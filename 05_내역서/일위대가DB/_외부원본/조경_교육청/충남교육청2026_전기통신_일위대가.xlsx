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saveExternalLinkValues="0" defaultThemeVersion="166925"/>
  <xr:revisionPtr revIDLastSave="0" documentId="13_ncr:1_{95386894-517F-4AA3-A261-C69D81B78EEA}" xr6:coauthVersionLast="36" xr6:coauthVersionMax="47" xr10:uidLastSave="{00000000-0000-0000-0000-000000000000}"/>
  <bookViews>
    <workbookView xWindow="-120" yWindow="-120" windowWidth="29040" windowHeight="15720" tabRatio="841" activeTab="1" xr2:uid="{00000000-000D-0000-FFFF-FFFF00000000}"/>
  </bookViews>
  <sheets>
    <sheet name="1.공통자재" sheetId="6" r:id="rId1"/>
    <sheet name="2.전기자재" sheetId="10" r:id="rId2"/>
    <sheet name="3.통신자재" sheetId="14" r:id="rId3"/>
    <sheet name="4.소방자재" sheetId="13" r:id="rId4"/>
    <sheet name="5.배선" sheetId="8" r:id="rId5"/>
    <sheet name="6.배관" sheetId="21" r:id="rId6"/>
    <sheet name="7.덕트,트레이" sheetId="7" r:id="rId7"/>
    <sheet name="8.접지자재" sheetId="22" r:id="rId8"/>
    <sheet name="9.전기(분전반)" sheetId="11" r:id="rId9"/>
    <sheet name="10.조명기구" sheetId="23" r:id="rId10"/>
    <sheet name="11.일위대가목록" sheetId="17" r:id="rId11"/>
    <sheet name="12.일위대가" sheetId="18" r:id="rId12"/>
    <sheet name="13.분전반조립공량표" sheetId="20" r:id="rId13"/>
    <sheet name="14.노무비" sheetId="19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</externalReferences>
  <definedNames>
    <definedName name="____H66766">#REF!</definedName>
    <definedName name="__H66766">#REF!</definedName>
    <definedName name="_0">[1]직재!#REF!</definedName>
    <definedName name="_1">[2]I一般比!#REF!</definedName>
    <definedName name="_1._PANEL_BD.__LP___1">#REF!</definedName>
    <definedName name="_2">#N/A</definedName>
    <definedName name="_24_24">#REF!</definedName>
    <definedName name="_3">#N/A</definedName>
    <definedName name="_5">'[3]설직재-1'!#REF!</definedName>
    <definedName name="_7">'[3]설직재-1'!#REF!</definedName>
    <definedName name="_A1">#REF!</definedName>
    <definedName name="_b2">#REF!</definedName>
    <definedName name="_D1">#REF!</definedName>
    <definedName name="_D2">#REF!</definedName>
    <definedName name="_DOG1">#REF!</definedName>
    <definedName name="_DOG2">#REF!</definedName>
    <definedName name="_DOG22">#REF!</definedName>
    <definedName name="_DOG3">#REF!</definedName>
    <definedName name="_DOG33">#REF!</definedName>
    <definedName name="_DOG4">#REF!</definedName>
    <definedName name="_E7_E9_E11_E13_">#N/A</definedName>
    <definedName name="_FF1">#REF!</definedName>
    <definedName name="_Fill" hidden="1">#REF!</definedName>
    <definedName name="_H66766">#REF!</definedName>
    <definedName name="_IL1">#REF!</definedName>
    <definedName name="_Key1" hidden="1">#REF!</definedName>
    <definedName name="_Key2" hidden="1">#REF!</definedName>
    <definedName name="_l1">[4]내역서!#REF!</definedName>
    <definedName name="_LP1">#REF!</definedName>
    <definedName name="_LP2">#REF!</definedName>
    <definedName name="_LPB1">[5]부하계산서!#REF!</definedName>
    <definedName name="_LPK1">[5]부하계산서!#REF!</definedName>
    <definedName name="_LU1">'[6]부하(성남)'!#REF!</definedName>
    <definedName name="_LU2">'[6]부하(성남)'!#REF!</definedName>
    <definedName name="_LV01">'[6]부하(성남)'!#REF!</definedName>
    <definedName name="_MDL1">'[7]2월가격표-ESG-1월'!$B:$B</definedName>
    <definedName name="_MDL2">[7]SPEC!$A:$A</definedName>
    <definedName name="_OIU1" localSheetId="9">[8]!BlankMacro1</definedName>
    <definedName name="_OIU1" localSheetId="5">[8]!BlankMacro1</definedName>
    <definedName name="_OIU1" localSheetId="7">[8]!BlankMacro1</definedName>
    <definedName name="_OIU1">[8]!BlankMacro1</definedName>
    <definedName name="_Order1" hidden="1">255</definedName>
    <definedName name="_Order2" hidden="1">255</definedName>
    <definedName name="_PB1">[9]工완성공사율!$A$1:$J$45</definedName>
    <definedName name="_PB2">[9]工완성공사율!$K$1:$T$45</definedName>
    <definedName name="_PB3">[9]工완성공사율!$U$1:$AD$45</definedName>
    <definedName name="_PI48">#REF!</definedName>
    <definedName name="_PI60">#REF!</definedName>
    <definedName name="_Q1">#REF!</definedName>
    <definedName name="_Q2">#REF!</definedName>
    <definedName name="_Q3">#REF!</definedName>
    <definedName name="_RNG1">'[7]2월가격표-ESG-1월'!$A:$D</definedName>
    <definedName name="_RO110">#REF!</definedName>
    <definedName name="_RO22">#REF!</definedName>
    <definedName name="_RO35">#REF!</definedName>
    <definedName name="_RO45">#REF!</definedName>
    <definedName name="_RO60">#REF!</definedName>
    <definedName name="_RO80">#REF!</definedName>
    <definedName name="_Sort" hidden="1">#REF!</definedName>
    <definedName name="_SUB1">#REF!</definedName>
    <definedName name="_SUB2">#REF!</definedName>
    <definedName name="_SUB3">#REF!</definedName>
    <definedName name="_sub4">#REF!</definedName>
    <definedName name="_sub5">#REF!</definedName>
    <definedName name="_SUM1">[10]EP0618!#REF!</definedName>
    <definedName name="_SUM10">[10]EP0618!#REF!</definedName>
    <definedName name="_SUM11">[10]EP0618!#REF!</definedName>
    <definedName name="_SUM12">[10]EP0618!#REF!</definedName>
    <definedName name="_SUM13">[10]EP0618!#REF!</definedName>
    <definedName name="_SUM14">[10]EP0618!#REF!</definedName>
    <definedName name="_SUM15">[10]EP0618!#REF!</definedName>
    <definedName name="_SUM16">[10]EP0618!#REF!</definedName>
    <definedName name="_SUM17">[10]EP0618!#REF!</definedName>
    <definedName name="_SUM18">[10]EP0618!#REF!</definedName>
    <definedName name="_SUM19">[10]EP0618!#REF!</definedName>
    <definedName name="_SUM2">[10]EP0618!#REF!</definedName>
    <definedName name="_SUM3">[10]EP0618!#REF!</definedName>
    <definedName name="_SUM4">[10]EP0618!#REF!</definedName>
    <definedName name="_SUM5">[10]EP0618!#REF!</definedName>
    <definedName name="_SUM6">[10]EP0618!#REF!</definedName>
    <definedName name="_SUM7">[10]EP0618!#REF!</definedName>
    <definedName name="_SUM8">[10]EP0618!#REF!</definedName>
    <definedName name="_SUM9">[10]EP0618!#REF!</definedName>
    <definedName name="_TON1">#REF!</definedName>
    <definedName name="_TON2">#REF!</definedName>
    <definedName name="_UP1">[5]부하계산서!#REF!</definedName>
    <definedName name="_UP2">[5]부하계산서!#REF!</definedName>
    <definedName name="_WW2">#REF!</definedName>
    <definedName name="_WW3">#REF!</definedName>
    <definedName name="_WW6">#REF!</definedName>
    <definedName name="_WW7">#REF!</definedName>
    <definedName name="_WW8">#REF!</definedName>
    <definedName name="¤?315">#REF!</definedName>
    <definedName name="¤C315">#REF!</definedName>
    <definedName name="¤Ç315">#REF!</definedName>
    <definedName name="\0">#REF!</definedName>
    <definedName name="\a">#N/A</definedName>
    <definedName name="\b">#REF!</definedName>
    <definedName name="\c">#N/A</definedName>
    <definedName name="\d">#N/A</definedName>
    <definedName name="\e">#REF!</definedName>
    <definedName name="\f">[11]밸브설치!#REF!</definedName>
    <definedName name="\g">'[2]N賃率-職'!#REF!</definedName>
    <definedName name="\h">[11]밸브설치!#REF!</definedName>
    <definedName name="\i">#REF!</definedName>
    <definedName name="\j">#N/A</definedName>
    <definedName name="\k">[11]밸브설치!#REF!</definedName>
    <definedName name="\l">[11]밸브설치!#REF!</definedName>
    <definedName name="\m">#REF!</definedName>
    <definedName name="\n">#N/A</definedName>
    <definedName name="\o">#N/A</definedName>
    <definedName name="\p">#N/A</definedName>
    <definedName name="\q">#N/A</definedName>
    <definedName name="\r">#N/A</definedName>
    <definedName name="\s">#N/A</definedName>
    <definedName name="\x">#N/A</definedName>
    <definedName name="\z">[12]일위_파일!#REF!</definedName>
    <definedName name="a">#REF!</definedName>
    <definedName name="A_HH">'[13]IMPEADENCE MAP 취수장'!#REF!,'[13]IMPEADENCE MAP 취수장'!#REF!,'[13]IMPEADENCE MAP 취수장'!#REF!,'[13]IMPEADENCE MAP 취수장'!#REF!,'[13]IMPEADENCE MAP 취수장'!$Q$19,'[13]IMPEADENCE MAP 취수장'!$R$19,'[13]IMPEADENCE MAP 취수장'!$S$19,'[13]IMPEADENCE MAP 취수장'!$T$19:$X$19,'[13]IMPEADENCE MAP 취수장'!$Z$19:$AA$19,'[13]IMPEADENCE MAP 취수장'!$AC$19</definedName>
    <definedName name="A12.">#REF!</definedName>
    <definedName name="AA">#REF!</definedName>
    <definedName name="AAAA">#REF!</definedName>
    <definedName name="AAAAA">[14]내역서!#REF!</definedName>
    <definedName name="AAAAAAA">#REF!</definedName>
    <definedName name="AAAAAAAAAAA">#REF!</definedName>
    <definedName name="AAAAAAAAAAAAAAA">#REF!</definedName>
    <definedName name="AAB">#REF!</definedName>
    <definedName name="AC">[15]내역서!#REF!</definedName>
    <definedName name="ACB">#REF!</definedName>
    <definedName name="AccessDatabase" hidden="1">"E:\WORK\VISUAL\MIRAE\LOADSYS\LoadDB.mdb"</definedName>
    <definedName name="AF">[16]DATA!$B$4:$C$15</definedName>
    <definedName name="aifjoweidmcx">#REF!</definedName>
    <definedName name="AJHD">#REF!</definedName>
    <definedName name="akfj">#REF!</definedName>
    <definedName name="AKJFD">#REF!</definedName>
    <definedName name="AKJFL">#REF!</definedName>
    <definedName name="aldfkuxp">#REF!</definedName>
    <definedName name="ANFRK2">#REF!</definedName>
    <definedName name="ANFRK3">#REF!</definedName>
    <definedName name="anfrkk">#REF!</definedName>
    <definedName name="as">[14]내역서!#REF!</definedName>
    <definedName name="asaasa">#REF!</definedName>
    <definedName name="asdf">#REF!</definedName>
    <definedName name="asdhf">#REF!</definedName>
    <definedName name="AT">[16]DATA!$E$4:$F$29</definedName>
    <definedName name="AV">#REF!</definedName>
    <definedName name="B">#REF!</definedName>
    <definedName name="BB">[17]내역서!$I$49</definedName>
    <definedName name="BBB">[18]내역서!#REF!</definedName>
    <definedName name="boong">#N/A</definedName>
    <definedName name="box" localSheetId="9">BlankMacro1</definedName>
    <definedName name="box" localSheetId="5">BlankMacro1</definedName>
    <definedName name="box" localSheetId="7">BlankMacro1</definedName>
    <definedName name="box">BlankMacro1</definedName>
    <definedName name="C_">#N/A</definedName>
    <definedName name="CA">#REF!</definedName>
    <definedName name="CC">#REF!</definedName>
    <definedName name="CCC">[18]내역서!#REF!</definedName>
    <definedName name="ccdc">#REF!</definedName>
    <definedName name="cellinput" localSheetId="9">[19]!cellinput</definedName>
    <definedName name="cellinput" localSheetId="5">[19]!cellinput</definedName>
    <definedName name="cellinput" localSheetId="7">[19]!cellinput</definedName>
    <definedName name="cellinput">[19]!cellinput</definedName>
    <definedName name="che" localSheetId="9">[19]!che</definedName>
    <definedName name="che" localSheetId="5">[19]!che</definedName>
    <definedName name="che" localSheetId="7">[19]!che</definedName>
    <definedName name="che">[19]!che</definedName>
    <definedName name="check" localSheetId="9">[19]!check</definedName>
    <definedName name="check" localSheetId="5">[19]!check</definedName>
    <definedName name="check" localSheetId="7">[19]!check</definedName>
    <definedName name="check">[19]!check</definedName>
    <definedName name="CJFRHD">[20]물가자료!$C$21</definedName>
    <definedName name="COVER">#REF!</definedName>
    <definedName name="_xlnm.Criteria">#REF!</definedName>
    <definedName name="Criteria_MI">#REF!</definedName>
    <definedName name="d">#REF!</definedName>
    <definedName name="DAN">[21]을!#REF!</definedName>
    <definedName name="DATA_CONTROL_SYSTEM">'[22]견적대비 견적서'!#REF!</definedName>
    <definedName name="_xlnm.Database">#REF!</definedName>
    <definedName name="Database_MI">#REF!</definedName>
    <definedName name="datainput" localSheetId="9">[19]!datainput</definedName>
    <definedName name="datainput" localSheetId="5">[19]!datainput</definedName>
    <definedName name="datainput" localSheetId="7">[19]!datainput</definedName>
    <definedName name="datainput">[19]!datainput</definedName>
    <definedName name="DC.PIPE">#REF!</definedName>
    <definedName name="DD">#REF!</definedName>
    <definedName name="DDD">#REF!</definedName>
    <definedName name="DDDD">#REF!</definedName>
    <definedName name="ddddd" hidden="1">#REF!</definedName>
    <definedName name="DDDDDDDDDD">#REF!</definedName>
    <definedName name="DDDDDDDDDDDDD">#REF!</definedName>
    <definedName name="DDS" localSheetId="9">BlankMacro1</definedName>
    <definedName name="DDS" localSheetId="5">BlankMacro1</definedName>
    <definedName name="DDS" localSheetId="7">BlankMacro1</definedName>
    <definedName name="DDS">BlankMacro1</definedName>
    <definedName name="DDW" localSheetId="9">BlankMacro1</definedName>
    <definedName name="DDW" localSheetId="5">BlankMacro1</definedName>
    <definedName name="DDW" localSheetId="7">BlankMacro1</definedName>
    <definedName name="DDW">BlankMacro1</definedName>
    <definedName name="DEMO">#REF!</definedName>
    <definedName name="df">#REF!</definedName>
    <definedName name="dfhao">#REF!</definedName>
    <definedName name="dfjalk">#REF!</definedName>
    <definedName name="DFJKSLAEO">#REF!</definedName>
    <definedName name="DFLF">#N/A</definedName>
    <definedName name="DFS">#REF!</definedName>
    <definedName name="DGF">#REF!</definedName>
    <definedName name="djfhka">#REF!</definedName>
    <definedName name="DJHFJ">#REF!</definedName>
    <definedName name="djhfs">#REF!</definedName>
    <definedName name="DJKFJ">#REF!</definedName>
    <definedName name="djkfslkjapoapei93">#REF!</definedName>
    <definedName name="DKD" localSheetId="9">BlankMacro1</definedName>
    <definedName name="DKD" localSheetId="5">BlankMacro1</definedName>
    <definedName name="DKD" localSheetId="7">BlankMacro1</definedName>
    <definedName name="DKD">BlankMacro1</definedName>
    <definedName name="DKE" localSheetId="9">BlankMacro1</definedName>
    <definedName name="DKE" localSheetId="5">BlankMacro1</definedName>
    <definedName name="DKE" localSheetId="7">BlankMacro1</definedName>
    <definedName name="DKE">BlankMacro1</definedName>
    <definedName name="DKFAJKL">#REF!</definedName>
    <definedName name="dkfja">#REF!</definedName>
    <definedName name="dkfjl">#REF!</definedName>
    <definedName name="DKFJLE">#REF!</definedName>
    <definedName name="dkfjsl">#REF!</definedName>
    <definedName name="DKFSLK">#REF!</definedName>
    <definedName name="dklsfj">#REF!</definedName>
    <definedName name="dld">[23]내역서!#REF!</definedName>
    <definedName name="DLDLDL">#REF!</definedName>
    <definedName name="dlkfjls">#REF!</definedName>
    <definedName name="DLKJDAOJD">[24]신우!#REF!</definedName>
    <definedName name="DN">#REF!</definedName>
    <definedName name="DRIVE">#REF!</definedName>
    <definedName name="drsg">#REF!</definedName>
    <definedName name="DS" localSheetId="9">BlankMacro1</definedName>
    <definedName name="DS" localSheetId="5">BlankMacro1</definedName>
    <definedName name="DS" localSheetId="7">BlankMacro1</definedName>
    <definedName name="DS">BlankMacro1</definedName>
    <definedName name="dsaghh">#REF!</definedName>
    <definedName name="DSKFJL">#REF!</definedName>
    <definedName name="DT">'[25]인건-측정'!#REF!</definedName>
    <definedName name="DWS" localSheetId="9">BlankMacro1</definedName>
    <definedName name="DWS" localSheetId="5">BlankMacro1</definedName>
    <definedName name="DWS" localSheetId="7">BlankMacro1</definedName>
    <definedName name="DWS">BlankMacro1</definedName>
    <definedName name="E">[26]내역서!#REF!</definedName>
    <definedName name="edgh">#REF!</definedName>
    <definedName name="edtgh">#REF!</definedName>
    <definedName name="EE">[26]내역서!#REF!</definedName>
    <definedName name="EEE">[27]내역서!#REF!</definedName>
    <definedName name="EEEEEEEEEEEEEEEEEEEEEEEEEEEEEEEEEEEEEEEEEEEEEEE">[28]손익!#REF!</definedName>
    <definedName name="EIRP">#REF!</definedName>
    <definedName name="elec1">#REF!</definedName>
    <definedName name="elec2">#REF!</definedName>
    <definedName name="elec3">#REF!</definedName>
    <definedName name="elec4">#REF!</definedName>
    <definedName name="elec5">#REF!</definedName>
    <definedName name="elec6">#REF!</definedName>
    <definedName name="ERER">#REF!</definedName>
    <definedName name="_xlnm.Extract">#REF!</definedName>
    <definedName name="Extract_MI">#REF!</definedName>
    <definedName name="F">#REF!</definedName>
    <definedName name="FACTOR">[29]개요!#REF!</definedName>
    <definedName name="FDGFDGDGDGF">#REF!</definedName>
    <definedName name="fdgz">#REF!</definedName>
    <definedName name="FEEL">#REF!</definedName>
    <definedName name="FF">[30]내역서!#REF!</definedName>
    <definedName name="FFDGGFD">#REF!</definedName>
    <definedName name="FFF">#REF!</definedName>
    <definedName name="FFFF">#REF!</definedName>
    <definedName name="FFFFF">#REF!</definedName>
    <definedName name="FG">#REF!</definedName>
    <definedName name="FGD">#REF!</definedName>
    <definedName name="FGGG">#REF!</definedName>
    <definedName name="FGHFHFHFHF">#REF!</definedName>
    <definedName name="FHFH" hidden="1">[31]수량산출!$A$1:$A$8561</definedName>
    <definedName name="FHFHFHFHFGHF">#REF!</definedName>
    <definedName name="FHFK" hidden="1">[31]수량산출!#REF!</definedName>
    <definedName name="FIX">#REF!</definedName>
    <definedName name="fj">[23]내역서!#REF!</definedName>
    <definedName name="fkalsjdioa">#REF!</definedName>
    <definedName name="flag">#REF!</definedName>
    <definedName name="FSWADJK">#REF!</definedName>
    <definedName name="FTYHHF" localSheetId="9">[8]!BlankMacro1</definedName>
    <definedName name="FTYHHF" localSheetId="5">[8]!BlankMacro1</definedName>
    <definedName name="FTYHHF" localSheetId="7">[8]!BlankMacro1</definedName>
    <definedName name="FTYHHF">[8]!BlankMacro1</definedName>
    <definedName name="Fㅠ3827">#REF!</definedName>
    <definedName name="G">#REF!</definedName>
    <definedName name="GAB">[21]을!#REF!</definedName>
    <definedName name="GFD">#REF!</definedName>
    <definedName name="GGGG">#REF!</definedName>
    <definedName name="GH">#REF!</definedName>
    <definedName name="GHGFHFHF">#REF!</definedName>
    <definedName name="GQ">#REF!</definedName>
    <definedName name="GY">#REF!</definedName>
    <definedName name="h">#REF!</definedName>
    <definedName name="HAFJDHO">#REF!</definedName>
    <definedName name="HG">[15]내역서!#REF!</definedName>
    <definedName name="HH" hidden="1">#REF!</definedName>
    <definedName name="HHH">#REF!</definedName>
    <definedName name="HHHH" hidden="1">#REF!</definedName>
    <definedName name="HI_전선관">#REF!</definedName>
    <definedName name="hidden">[32]TABLE!$H$1,[32]TABLE!$J$1,[32]TABLE!$K$1</definedName>
    <definedName name="HIT">'[33]2F 회의실견적(5_14 일대)'!$J$31</definedName>
    <definedName name="hj">#REF!</definedName>
    <definedName name="HORI">#REF!</definedName>
    <definedName name="HTML_CodePage" hidden="1">949</definedName>
    <definedName name="HTML_Control" localSheetId="9" hidden="1">{"'건축내역'!$A$1:$L$413"}</definedName>
    <definedName name="HTML_Control" hidden="1">{"'건축내역'!$A$1:$L$413"}</definedName>
    <definedName name="HTML_Description" hidden="1">""</definedName>
    <definedName name="HTML_Email" hidden="1">""</definedName>
    <definedName name="HTML_Header" hidden="1">"건축내역"</definedName>
    <definedName name="HTML_LastUpdate" hidden="1">"00-11-13"</definedName>
    <definedName name="HTML_LineAfter" hidden="1">FALSE</definedName>
    <definedName name="HTML_LineBefore" hidden="1">FALSE</definedName>
    <definedName name="HTML_Name" hidden="1">"HongJin Agriculture Korea"</definedName>
    <definedName name="HTML_OBDlg2" hidden="1">TRUE</definedName>
    <definedName name="HTML_OBDlg4" hidden="1">TRUE</definedName>
    <definedName name="HTML_OS" hidden="1">0</definedName>
    <definedName name="HTML_PathFile" hidden="1">"C:\001WORK\MyHTML.htm"</definedName>
    <definedName name="HTML_Title" hidden="1">"cost2010"</definedName>
    <definedName name="IA">#REF!</definedName>
    <definedName name="IB">#REF!</definedName>
    <definedName name="IB_2">'[13]IMPEADENCE MAP 취수장'!#REF!</definedName>
    <definedName name="II">[26]내역서!#REF!</definedName>
    <definedName name="IK">#REF!</definedName>
    <definedName name="IL">#REF!</definedName>
    <definedName name="INVERTER설치">[34]일위대가목록!#REF!</definedName>
    <definedName name="item" localSheetId="9">[19]!item</definedName>
    <definedName name="item" localSheetId="5">[19]!item</definedName>
    <definedName name="item" localSheetId="7">[19]!item</definedName>
    <definedName name="item">[19]!item</definedName>
    <definedName name="J">[26]내역서!#REF!</definedName>
    <definedName name="JJJ" hidden="1">#REF!</definedName>
    <definedName name="JJJJJ">#REF!</definedName>
    <definedName name="JJJJJJJJJ">#REF!</definedName>
    <definedName name="K">[26]내역서!#REF!</definedName>
    <definedName name="KA">'[35]조도계산서 (도서)'!$B$61:$E$68</definedName>
    <definedName name="kdfjaiow">#REF!</definedName>
    <definedName name="KDJ">#REF!</definedName>
    <definedName name="kfjaje">#REF!</definedName>
    <definedName name="KFJG">#REF!</definedName>
    <definedName name="KIM">#REF!</definedName>
    <definedName name="kj">[36]내역서!#REF!</definedName>
    <definedName name="kjkcm">#REF!</definedName>
    <definedName name="KK">[26]내역서!#REF!</definedName>
    <definedName name="KKK" hidden="1">#REF!</definedName>
    <definedName name="ksjafie">#REF!</definedName>
    <definedName name="L">[26]내역서!#REF!</definedName>
    <definedName name="labor">#REF!</definedName>
    <definedName name="lasdkj">#REF!</definedName>
    <definedName name="ldskjf">#REF!</definedName>
    <definedName name="li">[15]내역서!#REF!</definedName>
    <definedName name="LL">[26]내역서!#REF!</definedName>
    <definedName name="lll" hidden="1">#REF!</definedName>
    <definedName name="LLLL" localSheetId="9">BlankMacro1</definedName>
    <definedName name="LLLL" localSheetId="5">BlankMacro1</definedName>
    <definedName name="LLLL" localSheetId="7">BlankMacro1</definedName>
    <definedName name="LLLL">BlankMacro1</definedName>
    <definedName name="LO">#REF!</definedName>
    <definedName name="LOP">[37]LOPCALC!$A$4:$J$8</definedName>
    <definedName name="LP1A">'[6]부하(성남)'!#REF!</definedName>
    <definedName name="LP1B">[5]부하계산서!#REF!</definedName>
    <definedName name="LP3A">'[6]부하(성남)'!#REF!</definedName>
    <definedName name="LPB">'[6]부하(성남)'!#REF!</definedName>
    <definedName name="LPBA">[5]부하계산서!#REF!</definedName>
    <definedName name="LPKA">[5]부하계산서!#REF!</definedName>
    <definedName name="LPKB">[5]부하계산서!#REF!</definedName>
    <definedName name="LPM">[5]부하계산서!#REF!</definedName>
    <definedName name="LPMA">[5]부하계산서!#REF!</definedName>
    <definedName name="LPO">[5]부하계산서!#REF!</definedName>
    <definedName name="LPOA">[5]부하계산서!#REF!</definedName>
    <definedName name="LV02A">[5]부하계산서!#REF!</definedName>
    <definedName name="LV02B">[5]부하계산서!#REF!</definedName>
    <definedName name="LV04A">[5]부하계산서!#REF!</definedName>
    <definedName name="LV04B">[5]부하계산서!#REF!</definedName>
    <definedName name="L형옹벽">#REF!</definedName>
    <definedName name="m" hidden="1">#REF!</definedName>
    <definedName name="M_TR">#REF!</definedName>
    <definedName name="Macro18" localSheetId="9">[38]!Macro18</definedName>
    <definedName name="Macro18" localSheetId="5">[38]!Macro18</definedName>
    <definedName name="Macro18" localSheetId="7">[38]!Macro18</definedName>
    <definedName name="Macro18">[38]!Macro18</definedName>
    <definedName name="Macro2" localSheetId="9">'10.조명기구'!Macro2</definedName>
    <definedName name="Macro2">[0]!Macro2</definedName>
    <definedName name="Macro4" localSheetId="9">'10.조명기구'!Macro4</definedName>
    <definedName name="Macro4">[0]!Macro4</definedName>
    <definedName name="Macro5" localSheetId="9">'10.조명기구'!Macro5</definedName>
    <definedName name="Macro5">[0]!Macro5</definedName>
    <definedName name="Macro9" localSheetId="9">[39]!Macro9</definedName>
    <definedName name="Macro9" localSheetId="5">[39]!Macro9</definedName>
    <definedName name="Macro9" localSheetId="7">[39]!Macro9</definedName>
    <definedName name="Macro9">[39]!Macro9</definedName>
    <definedName name="MAIN_COM_소계">#REF!</definedName>
    <definedName name="MCCEA">[5]부하계산서!#REF!</definedName>
    <definedName name="MCCEB">[5]부하계산서!#REF!</definedName>
    <definedName name="MCCF">[5]부하계산서!#REF!</definedName>
    <definedName name="MCCN">'[6]부하(성남)'!#REF!</definedName>
    <definedName name="MCCP">[5]부하계산서!#REF!</definedName>
    <definedName name="MCCS">[5]부하계산서!#REF!</definedName>
    <definedName name="MM">[30]내역서!#REF!</definedName>
    <definedName name="monitor">#REF!</definedName>
    <definedName name="MOTOR__농형_전폐">#REF!</definedName>
    <definedName name="n">#N/A</definedName>
    <definedName name="NAM">#REF!</definedName>
    <definedName name="new">[29]개요!#REF!</definedName>
    <definedName name="NI">[40]노임!$A:$B</definedName>
    <definedName name="NO">#REF!</definedName>
    <definedName name="NOIM">[40]노임!$A$1:$B$17</definedName>
    <definedName name="NUMBER">#REF!</definedName>
    <definedName name="OIOPIPOPOPPOIPOOOIP">#REF!</definedName>
    <definedName name="OL">'[25]인건-측정'!#REF!</definedName>
    <definedName name="OOO" hidden="1">#REF!</definedName>
    <definedName name="or">[41]과천MAIN!#REF!</definedName>
    <definedName name="P">#N/A</definedName>
    <definedName name="P1693a3">#REF!</definedName>
    <definedName name="PB">'[6]부하(성남)'!#REF!</definedName>
    <definedName name="PB_2">'[13]IMPEADENCE MAP 취수장'!#REF!</definedName>
    <definedName name="peak">[42]개요!#REF!</definedName>
    <definedName name="PNLW10">[5]부하계산서!#REF!</definedName>
    <definedName name="PNLW8">[5]부하계산서!#REF!</definedName>
    <definedName name="po">#REF!</definedName>
    <definedName name="PP">'[6]부하(성남)'!#REF!</definedName>
    <definedName name="PPP" hidden="1">#REF!</definedName>
    <definedName name="PRICE">[43]Sheet1!$B$2:$H$95</definedName>
    <definedName name="_xlnm.Print_Area" localSheetId="0">'1.공통자재'!$A$1:$P$99</definedName>
    <definedName name="_xlnm.Print_Area" localSheetId="9">'10.조명기구'!$A$1:$H$64</definedName>
    <definedName name="_xlnm.Print_Area" localSheetId="10">'11.일위대가목록'!$A$1:$I$41</definedName>
    <definedName name="_xlnm.Print_Area" localSheetId="11">'12.일위대가'!$A$1:$P$413</definedName>
    <definedName name="_xlnm.Print_Area" localSheetId="12">'13.분전반조립공량표'!$A$1:$K$50</definedName>
    <definedName name="_xlnm.Print_Area" localSheetId="13">'14.노무비'!$A$1:$M$38</definedName>
    <definedName name="_xlnm.Print_Area" localSheetId="1">'2.전기자재'!$A$1:$P$69</definedName>
    <definedName name="_xlnm.Print_Area" localSheetId="2">'3.통신자재'!$A$1:$P$223</definedName>
    <definedName name="_xlnm.Print_Area" localSheetId="3">'4.소방자재'!$A$1:$P$84</definedName>
    <definedName name="_xlnm.Print_Area" localSheetId="4">'5.배선'!$A$1:$P$445</definedName>
    <definedName name="_xlnm.Print_Area" localSheetId="5">'6.배관'!$A$1:$P$211</definedName>
    <definedName name="_xlnm.Print_Area" localSheetId="6">'7.덕트,트레이'!$A$1:$P$368</definedName>
    <definedName name="_xlnm.Print_Area" localSheetId="7">'8.접지자재'!$A$1:$P$65</definedName>
    <definedName name="_xlnm.Print_Area" localSheetId="8">'9.전기(분전반)'!$A$1:$P$215</definedName>
    <definedName name="_xlnm.Print_Area">#REF!</definedName>
    <definedName name="Print_Area_MI">[44]가설!#REF!</definedName>
    <definedName name="_xlnm.Print_Titles" localSheetId="0">'1.공통자재'!$1:$4</definedName>
    <definedName name="_xlnm.Print_Titles" localSheetId="9">'10.조명기구'!$1:$4</definedName>
    <definedName name="_xlnm.Print_Titles" localSheetId="10">'11.일위대가목록'!$1:$3</definedName>
    <definedName name="_xlnm.Print_Titles" localSheetId="11">'12.일위대가'!$1:$3</definedName>
    <definedName name="_xlnm.Print_Titles" localSheetId="1">'2.전기자재'!$1:$4</definedName>
    <definedName name="_xlnm.Print_Titles" localSheetId="2">'3.통신자재'!$1:$4</definedName>
    <definedName name="_xlnm.Print_Titles" localSheetId="3">'4.소방자재'!$1:$4</definedName>
    <definedName name="_xlnm.Print_Titles" localSheetId="4">'5.배선'!$1:$4</definedName>
    <definedName name="_xlnm.Print_Titles" localSheetId="5">'6.배관'!$1:$4</definedName>
    <definedName name="_xlnm.Print_Titles" localSheetId="6">'7.덕트,트레이'!$1:$4</definedName>
    <definedName name="_xlnm.Print_Titles" localSheetId="7">'8.접지자재'!$1:$4</definedName>
    <definedName name="_xlnm.Print_Titles" localSheetId="8">'9.전기(분전반)'!$1:$4</definedName>
    <definedName name="_xlnm.Print_Titles">#REF!</definedName>
    <definedName name="PRINT_TITLES_MI">#REF!</definedName>
    <definedName name="PRO">#REF!</definedName>
    <definedName name="Q" hidden="1">#REF!</definedName>
    <definedName name="QQ">#REF!</definedName>
    <definedName name="qqq">[45]원가계산서!#REF!</definedName>
    <definedName name="qqqq">[46]내역서!#REF!</definedName>
    <definedName name="QQQQQ">[47]내역서!$G$49</definedName>
    <definedName name="qqqqqq">[46]내역서!#REF!</definedName>
    <definedName name="QQQQQQQQQQQQQQQQQQQQQQQQQQQ">#REF!</definedName>
    <definedName name="qty" localSheetId="9">[19]!qty</definedName>
    <definedName name="qty" localSheetId="5">[19]!qty</definedName>
    <definedName name="qty" localSheetId="7">[19]!qty</definedName>
    <definedName name="qty">[19]!qty</definedName>
    <definedName name="QW">#REF!</definedName>
    <definedName name="QWER">[45]원가계산서!#REF!</definedName>
    <definedName name="RACK">#REF!</definedName>
    <definedName name="RATE">#REF!</definedName>
    <definedName name="_xlnm.Recorder">#REF!</definedName>
    <definedName name="RF" localSheetId="9">BlankMacro1</definedName>
    <definedName name="RF" localSheetId="5">BlankMacro1</definedName>
    <definedName name="RF" localSheetId="7">BlankMacro1</definedName>
    <definedName name="RF">BlankMacro1</definedName>
    <definedName name="rff">[21]을!#REF!</definedName>
    <definedName name="riipd">#REF!</definedName>
    <definedName name="RJRJ" localSheetId="9">BlankMacro1</definedName>
    <definedName name="RJRJ" localSheetId="5">BlankMacro1</definedName>
    <definedName name="RJRJ" localSheetId="7">BlankMacro1</definedName>
    <definedName name="RJRJ">BlankMacro1</definedName>
    <definedName name="RJRKJRKJR" localSheetId="9">BlankMacro1</definedName>
    <definedName name="RJRKJRKJR" localSheetId="5">BlankMacro1</definedName>
    <definedName name="RJRKJRKJR" localSheetId="7">BlankMacro1</definedName>
    <definedName name="RJRKJRKJR">BlankMacro1</definedName>
    <definedName name="RK" hidden="1">[31]수량산출!#REF!</definedName>
    <definedName name="RKFJ">#REF!</definedName>
    <definedName name="RKFL">#REF!</definedName>
    <definedName name="RL">#REF!</definedName>
    <definedName name="rlr">#REF!</definedName>
    <definedName name="RLTJD" localSheetId="9">BlankMacro1</definedName>
    <definedName name="RLTJD" localSheetId="5">BlankMacro1</definedName>
    <definedName name="RLTJD" localSheetId="7">BlankMacro1</definedName>
    <definedName name="RLTJD">BlankMacro1</definedName>
    <definedName name="rmcAccount">14815.02</definedName>
    <definedName name="rmcCategory">"AC2YA"</definedName>
    <definedName name="rmcFrequency">"QTD"</definedName>
    <definedName name="rmcName">"493E"</definedName>
    <definedName name="RMCOptions">"*000000000000000"</definedName>
    <definedName name="RNG">'[48]10월가격'!$A:$D</definedName>
    <definedName name="rr" localSheetId="9" hidden="1">{#N/A,#N/A,FALSE,"UNIT";#N/A,#N/A,FALSE,"UNIT";#N/A,#N/A,FALSE,"계정"}</definedName>
    <definedName name="rr" hidden="1">{#N/A,#N/A,FALSE,"UNIT";#N/A,#N/A,FALSE,"UNIT";#N/A,#N/A,FALSE,"계정"}</definedName>
    <definedName name="RRR">#REF!</definedName>
    <definedName name="S" localSheetId="9">BlankMacro1</definedName>
    <definedName name="S" localSheetId="5">BlankMacro1</definedName>
    <definedName name="S" localSheetId="7">BlankMacro1</definedName>
    <definedName name="S">BlankMacro1</definedName>
    <definedName name="S_B">#REF!</definedName>
    <definedName name="S_B1">'[13]IMPEADENCE MAP 취수장'!#REF!</definedName>
    <definedName name="S_G">#REF!</definedName>
    <definedName name="S_G1">'[13]IMPEADENCE MAP 취수장'!#REF!</definedName>
    <definedName name="S_R">#REF!</definedName>
    <definedName name="S_R1">'[13]IMPEADENCE MAP 취수장'!#REF!</definedName>
    <definedName name="S_X">#REF!</definedName>
    <definedName name="S_X1">'[13]IMPEADENCE MAP 취수장'!#REF!</definedName>
    <definedName name="S_Y">#REF!</definedName>
    <definedName name="S_Y1">'[13]IMPEADENCE MAP 취수장'!#REF!</definedName>
    <definedName name="S_Z">#REF!</definedName>
    <definedName name="S_Z1">'[13]IMPEADENCE MAP 취수장'!#REF!</definedName>
    <definedName name="SA">#REF!</definedName>
    <definedName name="SADASDA" localSheetId="9" hidden="1">{#N/A,#N/A,FALSE,"UNIT";#N/A,#N/A,FALSE,"UNIT";#N/A,#N/A,FALSE,"계정"}</definedName>
    <definedName name="SADASDA" hidden="1">{#N/A,#N/A,FALSE,"UNIT";#N/A,#N/A,FALSE,"UNIT";#N/A,#N/A,FALSE,"계정"}</definedName>
    <definedName name="SAN">[21]을!#REF!</definedName>
    <definedName name="sd" localSheetId="9" hidden="1">{#N/A,#N/A,FALSE,"UNIT";#N/A,#N/A,FALSE,"UNIT";#N/A,#N/A,FALSE,"계정"}</definedName>
    <definedName name="sd" hidden="1">{#N/A,#N/A,FALSE,"UNIT";#N/A,#N/A,FALSE,"UNIT";#N/A,#N/A,FALSE,"계정"}</definedName>
    <definedName name="sdakfj">#REF!</definedName>
    <definedName name="SDF">#REF!</definedName>
    <definedName name="SDFHK">#REF!</definedName>
    <definedName name="sdfjk">#REF!</definedName>
    <definedName name="sdjfkl">#REF!</definedName>
    <definedName name="SDJI">#REF!</definedName>
    <definedName name="SIDE">#REF!</definedName>
    <definedName name="sjrhei">#REF!</definedName>
    <definedName name="skadjf">#REF!</definedName>
    <definedName name="SLID">#REF!</definedName>
    <definedName name="SPEC">[7]SPEC!$A:$C</definedName>
    <definedName name="SS">#REF!</definedName>
    <definedName name="SSS">#REF!</definedName>
    <definedName name="SSSS">#REF!</definedName>
    <definedName name="SSSSS">#REF!</definedName>
    <definedName name="SSSSSS">#REF!</definedName>
    <definedName name="SUBT1">#REF!</definedName>
    <definedName name="SUBT2">#REF!</definedName>
    <definedName name="SUBT3">#REF!</definedName>
    <definedName name="sw">'[25]인건-측정'!#REF!</definedName>
    <definedName name="T">#REF!</definedName>
    <definedName name="total">[49]갑지!$H$26</definedName>
    <definedName name="TR_R">#REF!</definedName>
    <definedName name="TR_X">#REF!</definedName>
    <definedName name="TTT">#REF!</definedName>
    <definedName name="TTTT" hidden="1">#REF!</definedName>
    <definedName name="UL">[21]을!#REF!</definedName>
    <definedName name="unit">[50]unit!$A$2:$K$778</definedName>
    <definedName name="UNITA">[5]부하계산서!#REF!</definedName>
    <definedName name="UNITAA">[5]부하계산서!#REF!</definedName>
    <definedName name="UNITB">[5]부하계산서!#REF!</definedName>
    <definedName name="UNITBB">[5]부하계산서!#REF!</definedName>
    <definedName name="UNITC">[5]부하계산서!#REF!</definedName>
    <definedName name="UNITC1">[5]부하계산서!#REF!</definedName>
    <definedName name="UNITCA">[5]부하계산서!#REF!</definedName>
    <definedName name="UNITD">[5]부하계산서!#REF!</definedName>
    <definedName name="UNITDA">[5]부하계산서!#REF!</definedName>
    <definedName name="UPSR">[5]부하계산서!#REF!</definedName>
    <definedName name="UU">#REF!</definedName>
    <definedName name="UY">#REF!</definedName>
    <definedName name="V">#N/A</definedName>
    <definedName name="VB">#REF!</definedName>
    <definedName name="VB_2">'[13]IMPEADENCE MAP 취수장'!#REF!</definedName>
    <definedName name="VVV">#REF!</definedName>
    <definedName name="w">#REF!</definedName>
    <definedName name="wddw" localSheetId="9">[8]!ㅈㄷㅂㄹ</definedName>
    <definedName name="wddw" localSheetId="5">[8]!ㅈㄷㅂㄹ</definedName>
    <definedName name="wddw" localSheetId="7">[8]!ㅈㄷㅂㄹ</definedName>
    <definedName name="wddw">[8]!ㅈㄷㅂㄹ</definedName>
    <definedName name="wdes" localSheetId="9">[8]!vbn</definedName>
    <definedName name="wdes" localSheetId="5">[8]!vbn</definedName>
    <definedName name="wdes" localSheetId="7">[8]!vbn</definedName>
    <definedName name="wdes">[8]!vbn</definedName>
    <definedName name="WDF" localSheetId="9">[8]!QQA</definedName>
    <definedName name="WDF" localSheetId="5">[8]!QQA</definedName>
    <definedName name="WDF" localSheetId="7">[8]!QQA</definedName>
    <definedName name="WDF">[8]!QQA</definedName>
    <definedName name="WDV" localSheetId="9">'10.조명기구'!WDV</definedName>
    <definedName name="WDV">[0]!WDV</definedName>
    <definedName name="WEFDS" localSheetId="9">[8]!MATRO</definedName>
    <definedName name="WEFDS" localSheetId="5">[8]!MATRO</definedName>
    <definedName name="WEFDS" localSheetId="7">[8]!MATRO</definedName>
    <definedName name="WEFDS">[8]!MATRO</definedName>
    <definedName name="WEQ">#REF!</definedName>
    <definedName name="WER" localSheetId="9">[8]!TRRR</definedName>
    <definedName name="WER" localSheetId="5">[8]!TRRR</definedName>
    <definedName name="WER" localSheetId="7">[8]!TRRR</definedName>
    <definedName name="WER">[8]!TRRR</definedName>
    <definedName name="wessdd">#REF!</definedName>
    <definedName name="WEW">#REF!</definedName>
    <definedName name="WFG" localSheetId="9">[8]!MATRO</definedName>
    <definedName name="WFG" localSheetId="5">[8]!MATRO</definedName>
    <definedName name="WFG" localSheetId="7">[8]!MATRO</definedName>
    <definedName name="WFG">[8]!MATRO</definedName>
    <definedName name="WIRUY" localSheetId="9">'10.조명기구'!WIRUY</definedName>
    <definedName name="WIRUY">[0]!WIRUY</definedName>
    <definedName name="WON">[21]을!#REF!</definedName>
    <definedName name="wqd" localSheetId="9">[8]!ㅗㅠㅎㄹ</definedName>
    <definedName name="wqd" localSheetId="5">[8]!ㅗㅠㅎㄹ</definedName>
    <definedName name="wqd" localSheetId="7">[8]!ㅗㅠㅎㄹ</definedName>
    <definedName name="wqd">[8]!ㅗㅠㅎㄹ</definedName>
    <definedName name="wrn.aa." localSheetId="9" hidden="1">{#N/A,#N/A,FALSE,"UNIT";#N/A,#N/A,FALSE,"UNIT";#N/A,#N/A,FALSE,"계정"}</definedName>
    <definedName name="wrn.aa." hidden="1">{#N/A,#N/A,FALSE,"UNIT";#N/A,#N/A,FALSE,"UNIT";#N/A,#N/A,FALSE,"계정"}</definedName>
    <definedName name="wrn.누계원가" localSheetId="9" hidden="1">{#N/A,#N/A,FALSE,"제조원가"}</definedName>
    <definedName name="wrn.누계원가" hidden="1">{#N/A,#N/A,FALSE,"제조원가"}</definedName>
    <definedName name="wrn.누계원가." localSheetId="9" hidden="1">{#N/A,#N/A,FALSE,"제조원가"}</definedName>
    <definedName name="wrn.누계원가." hidden="1">{#N/A,#N/A,FALSE,"제조원가"}</definedName>
    <definedName name="wrn.당월원가." localSheetId="9" hidden="1">{#N/A,#N/A,FALSE,"제조원가"}</definedName>
    <definedName name="wrn.당월원가." hidden="1">{#N/A,#N/A,FALSE,"제조원가"}</definedName>
    <definedName name="wsdf" localSheetId="9">[8]!ret</definedName>
    <definedName name="wsdf" localSheetId="5">[8]!ret</definedName>
    <definedName name="wsdf" localSheetId="7">[8]!ret</definedName>
    <definedName name="wsdf">[8]!ret</definedName>
    <definedName name="WSS" localSheetId="9">[8]!ㅁㄴㄹㅇㄹ</definedName>
    <definedName name="WSS" localSheetId="5">[8]!ㅁㄴㄹㅇㄹ</definedName>
    <definedName name="WSS" localSheetId="7">[8]!ㅁㄴㄹㅇㄹ</definedName>
    <definedName name="WSS">[8]!ㅁㄴㄹㅇㄹ</definedName>
    <definedName name="WSX" localSheetId="9">'10.조명기구'!WWF</definedName>
    <definedName name="WSX">[0]!WWF</definedName>
    <definedName name="WW">#REF!</definedName>
    <definedName name="WWD">#REF!</definedName>
    <definedName name="WWF" localSheetId="9">'10.조명기구'!WWF</definedName>
    <definedName name="WWF">'10.조명기구'!WWF</definedName>
    <definedName name="WWQ" localSheetId="9">[8]!ㄷㄹㅈ</definedName>
    <definedName name="WWQ" localSheetId="5">[8]!ㄷㄹㅈ</definedName>
    <definedName name="WWQ" localSheetId="7">[8]!ㄷㄹㅈ</definedName>
    <definedName name="WWQ">[8]!ㄷㄹㅈ</definedName>
    <definedName name="WWR" localSheetId="9">[8]!uiy</definedName>
    <definedName name="WWR" localSheetId="5">[8]!uiy</definedName>
    <definedName name="WWR" localSheetId="7">[8]!uiy</definedName>
    <definedName name="WWR">[8]!uiy</definedName>
    <definedName name="WWT" localSheetId="9">'10.조명기구'!WWT</definedName>
    <definedName name="WWT">[0]!WWT</definedName>
    <definedName name="WWU" localSheetId="9">[8]!ㅈㄷㅂㄹ</definedName>
    <definedName name="WWU" localSheetId="5">[8]!ㅈㄷㅂㄹ</definedName>
    <definedName name="WWU" localSheetId="7">[8]!ㅈㄷㅂㄹ</definedName>
    <definedName name="WWU">[8]!ㅈㄷㅂㄹ</definedName>
    <definedName name="WWW" localSheetId="9">[8]!DGRT</definedName>
    <definedName name="WWW" localSheetId="5">[8]!DGRT</definedName>
    <definedName name="WWW" localSheetId="7">[8]!DGRT</definedName>
    <definedName name="WWW">[8]!DGRT</definedName>
    <definedName name="WWWWWWWWWWWWWWWWWWWWWWWWWWWWWWWWWWWWWW">[28]손익!#REF!</definedName>
    <definedName name="X" localSheetId="9">BlankMacro1</definedName>
    <definedName name="X" localSheetId="5">BlankMacro1</definedName>
    <definedName name="X" localSheetId="7">BlankMacro1</definedName>
    <definedName name="X">BlankMacro1</definedName>
    <definedName name="xcc" localSheetId="9">[8]!ㅁㄴㄹㅇㄹ</definedName>
    <definedName name="xcc" localSheetId="5">[8]!ㅁㄴㄹㅇㄹ</definedName>
    <definedName name="xcc" localSheetId="7">[8]!ㅁㄴㄹㅇㄹ</definedName>
    <definedName name="xcc">[8]!ㅁㄴㄹㅇㄹ</definedName>
    <definedName name="xcf" localSheetId="9">'10.조명기구'!xcf</definedName>
    <definedName name="xcf">[0]!xcf</definedName>
    <definedName name="XCXC">[8]!FFF</definedName>
    <definedName name="xdd" localSheetId="9">[8]!jytr</definedName>
    <definedName name="xdd" localSheetId="5">[8]!jytr</definedName>
    <definedName name="xdd" localSheetId="7">[8]!jytr</definedName>
    <definedName name="xdd">[8]!jytr</definedName>
    <definedName name="XDE" localSheetId="9">[8]!ㅗㅠㅎㄹ</definedName>
    <definedName name="XDE" localSheetId="5">[8]!ㅗㅠㅎㄹ</definedName>
    <definedName name="XDE" localSheetId="7">[8]!ㅗㅠㅎㄹ</definedName>
    <definedName name="XDE">[8]!ㅗㅠㅎㄹ</definedName>
    <definedName name="XDF" localSheetId="9">'10.조명기구'!xcf</definedName>
    <definedName name="XDF">[0]!xcf</definedName>
    <definedName name="XDR" localSheetId="9">[8]!ㅈㄷㅂㄹ</definedName>
    <definedName name="XDR" localSheetId="5">[8]!ㅈㄷㅂㄹ</definedName>
    <definedName name="XDR" localSheetId="7">[8]!ㅈㄷㅂㄹ</definedName>
    <definedName name="XDR">[8]!ㅈㄷㅂㄹ</definedName>
    <definedName name="XDS" localSheetId="9">[8]!NNF</definedName>
    <definedName name="XDS" localSheetId="5">[8]!NNF</definedName>
    <definedName name="XDS" localSheetId="7">[8]!NNF</definedName>
    <definedName name="XDS">[8]!NNF</definedName>
    <definedName name="xhd" localSheetId="9">'10.조명기구'!xhd</definedName>
    <definedName name="xhd">[0]!xhd</definedName>
    <definedName name="XSD" localSheetId="9">[8]!MATRO</definedName>
    <definedName name="XSD" localSheetId="5">[8]!MATRO</definedName>
    <definedName name="XSD" localSheetId="7">[8]!MATRO</definedName>
    <definedName name="XSD">[8]!MATRO</definedName>
    <definedName name="XX">#REF!</definedName>
    <definedName name="xxx">#REF!</definedName>
    <definedName name="Y" localSheetId="9">BlankMacro1</definedName>
    <definedName name="Y" localSheetId="5">BlankMacro1</definedName>
    <definedName name="Y" localSheetId="7">BlankMacro1</definedName>
    <definedName name="Y">BlankMacro1</definedName>
    <definedName name="Y6U" localSheetId="9">'10.조명기구'!Y6U</definedName>
    <definedName name="Y6U">[0]!Y6U</definedName>
    <definedName name="YHG" localSheetId="9">'10.조명기구'!YHG</definedName>
    <definedName name="YHG">[0]!YHG</definedName>
    <definedName name="YHGG" localSheetId="9">[8]!HTD</definedName>
    <definedName name="YHGG" localSheetId="5">[8]!HTD</definedName>
    <definedName name="YHGG" localSheetId="7">[8]!HTD</definedName>
    <definedName name="YHGG">[8]!HTD</definedName>
    <definedName name="YIP" localSheetId="9">[8]!QQA</definedName>
    <definedName name="YIP" localSheetId="5">[8]!QQA</definedName>
    <definedName name="YIP" localSheetId="7">[8]!QQA</definedName>
    <definedName name="YIP">[8]!QQA</definedName>
    <definedName name="YJH" localSheetId="9">'10.조명기구'!YJH</definedName>
    <definedName name="YJH">[0]!YJH</definedName>
    <definedName name="yjy" localSheetId="9">[8]!jytr</definedName>
    <definedName name="yjy" localSheetId="5">[8]!jytr</definedName>
    <definedName name="yjy" localSheetId="7">[8]!jytr</definedName>
    <definedName name="yjy">[8]!jytr</definedName>
    <definedName name="yth" localSheetId="9">'10.조명기구'!yth</definedName>
    <definedName name="yth">[0]!yth</definedName>
    <definedName name="ytjuy" localSheetId="9">'10.조명기구'!ytjuy</definedName>
    <definedName name="ytjuy">[0]!ytjuy</definedName>
    <definedName name="yyy" hidden="1">[51]수량산출!$A$1:$A$8561</definedName>
    <definedName name="Z" localSheetId="9">BlankMacro1</definedName>
    <definedName name="Z" localSheetId="5">BlankMacro1</definedName>
    <definedName name="Z" localSheetId="7">BlankMacro1</definedName>
    <definedName name="Z">BlankMacro1</definedName>
    <definedName name="ZB">#REF!</definedName>
    <definedName name="ZB_2">'[13]IMPEADENCE MAP 취수장'!#REF!</definedName>
    <definedName name="ZFVGFDHB" localSheetId="9">[8]!AVGHBD</definedName>
    <definedName name="ZFVGFDHB" localSheetId="5">[8]!AVGHBD</definedName>
    <definedName name="ZFVGFDHB" localSheetId="7">[8]!AVGHBD</definedName>
    <definedName name="ZFVGFDHB">[8]!AVGHBD</definedName>
    <definedName name="ZLO" localSheetId="9">[8]!QQA</definedName>
    <definedName name="ZLO" localSheetId="5">[8]!QQA</definedName>
    <definedName name="ZLO" localSheetId="7">[8]!QQA</definedName>
    <definedName name="ZLO">[8]!QQA</definedName>
    <definedName name="zsb" localSheetId="9">[8]!GVHBG</definedName>
    <definedName name="zsb" localSheetId="5">[8]!GVHBG</definedName>
    <definedName name="zsb" localSheetId="7">[8]!GVHBG</definedName>
    <definedName name="zsb">[8]!GVHBG</definedName>
    <definedName name="zsd" localSheetId="9">[8]!ㅈㄷㅂㄹ</definedName>
    <definedName name="zsd" localSheetId="5">[8]!ㅈㄷㅂㄹ</definedName>
    <definedName name="zsd" localSheetId="7">[8]!ㅈㄷㅂㄹ</definedName>
    <definedName name="zsd">[8]!ㅈㄷㅂㄹ</definedName>
    <definedName name="zxc" localSheetId="9">[8]!ㄷㄹㅈ</definedName>
    <definedName name="zxc" localSheetId="5">[8]!ㄷㄹㅈ</definedName>
    <definedName name="zxc" localSheetId="7">[8]!ㄷㄹㅈ</definedName>
    <definedName name="zxc">[8]!ㄷㄹㅈ</definedName>
    <definedName name="zxcf" localSheetId="9">'10.조명기구'!zxcf</definedName>
    <definedName name="zxcf">[0]!zxcf</definedName>
    <definedName name="zxd" localSheetId="9">'10.조명기구'!zxd</definedName>
    <definedName name="zxd">[0]!zxd</definedName>
    <definedName name="zz">#REF!</definedName>
    <definedName name="ZZZ" localSheetId="9">[52]!Macro8</definedName>
    <definedName name="ZZZ" localSheetId="5">[52]!Macro8</definedName>
    <definedName name="ZZZ" localSheetId="7">[52]!Macro8</definedName>
    <definedName name="ZZZ">[52]!Macro8</definedName>
    <definedName name="ㄱ" hidden="1">[53]수량산출!#REF!</definedName>
    <definedName name="ㄱㄱ">[54]b_balju_cho!$A$1:$G$2079</definedName>
    <definedName name="ㄱㄱㄱㄱㄱ">#REF!</definedName>
    <definedName name="ㄱㅀ">#N/A</definedName>
    <definedName name="ㄱㅎ">#REF!</definedName>
    <definedName name="가">#REF!</definedName>
    <definedName name="가나">#REF!</definedName>
    <definedName name="가링">#REF!</definedName>
    <definedName name="가설">'[55]기타 정보통신공사'!$A$1:$D$964</definedName>
    <definedName name="가설공사">'[56]기타 정보통신공사'!$A$1:$D$964</definedName>
    <definedName name="가아" hidden="1">[57]수량산출!#REF!</definedName>
    <definedName name="간노1계수">#REF!</definedName>
    <definedName name="간노율">#N/A</definedName>
    <definedName name="간선변경" localSheetId="9">BlankMacro1</definedName>
    <definedName name="간선변경" localSheetId="5">BlankMacro1</definedName>
    <definedName name="간선변경" localSheetId="7">BlankMacro1</definedName>
    <definedName name="간선변경">BlankMacro1</definedName>
    <definedName name="감나무">#REF!</definedName>
    <definedName name="갑">#REF!</definedName>
    <definedName name="갑03">#REF!</definedName>
    <definedName name="갑지">#REF!</definedName>
    <definedName name="갑지총계">#REF!</definedName>
    <definedName name="강아지" hidden="1">#REF!</definedName>
    <definedName name="강의">#REF!</definedName>
    <definedName name="개나리">#REF!</definedName>
    <definedName name="개신단가">[58]가설!$A$3:$N$23</definedName>
    <definedName name="거ㅏ" hidden="1">[53]수량산출!$A$3:$H$8539</definedName>
    <definedName name="겉표지">#REF!</definedName>
    <definedName name="견적">#REF!</definedName>
    <definedName name="견적탱크">#REF!</definedName>
    <definedName name="계">#REF!</definedName>
    <definedName name="계산" localSheetId="9">dhtextevaluate([59]산출근거!$C$6)</definedName>
    <definedName name="계산" localSheetId="5">dhtextevaluate([59]산출근거!$C$6)</definedName>
    <definedName name="계산" localSheetId="7">dhtextevaluate([59]산출근거!$C$6)</definedName>
    <definedName name="계산">dhtextevaluate([59]산출근거!$C$6)</definedName>
    <definedName name="계성초">#REF!</definedName>
    <definedName name="계약단가2">[60]b_balju_cho!$A$1:$R$881</definedName>
    <definedName name="고용총괄">#REF!</definedName>
    <definedName name="공">[21]을!#REF!</definedName>
    <definedName name="공간노">#N/A</definedName>
    <definedName name="공노단">[61]직재!#REF!</definedName>
    <definedName name="공사비분류">[62]내역서!$A$3:$I$419</definedName>
    <definedName name="공산품1계수">#REF!</definedName>
    <definedName name="공산품1기준지수">#REF!</definedName>
    <definedName name="공산품1비교지수">#REF!</definedName>
    <definedName name="공산품2계수">#REF!</definedName>
    <definedName name="공산품2기준지수">#REF!</definedName>
    <definedName name="공산품2비교지수">#REF!</definedName>
    <definedName name="공정별_집계표">[63]산출금액내역!#REF!</definedName>
    <definedName name="관목계">#REF!</definedName>
    <definedName name="교목계">#REF!</definedName>
    <definedName name="교육내용">[64]연결임시!#REF!</definedName>
    <definedName name="규격">#REF!</definedName>
    <definedName name="금마타리">#REF!</definedName>
    <definedName name="기">#N/A</definedName>
    <definedName name="기계3" localSheetId="9">BlankMacro1</definedName>
    <definedName name="기계3" localSheetId="5">BlankMacro1</definedName>
    <definedName name="기계3" localSheetId="7">BlankMacro1</definedName>
    <definedName name="기계3">BlankMacro1</definedName>
    <definedName name="기성양식">[65]내역전기!#REF!</definedName>
    <definedName name="기성품" localSheetId="9">BlankMacro1</definedName>
    <definedName name="기성품" localSheetId="5">BlankMacro1</definedName>
    <definedName name="기성품" localSheetId="7">BlankMacro1</definedName>
    <definedName name="기성품">BlankMacro1</definedName>
    <definedName name="기자재수량">#REF!</definedName>
    <definedName name="기준">#REF!</definedName>
    <definedName name="기초">#REF!</definedName>
    <definedName name="기초단가">[66]기초일위!$G:$M</definedName>
    <definedName name="기초단가1">[66]기초일위!$B:$G</definedName>
    <definedName name="김">[15]내역서!#REF!</definedName>
    <definedName name="꽃창포">#REF!</definedName>
    <definedName name="꽃향유">#REF!</definedName>
    <definedName name="ㄳㄳ">#REF!</definedName>
    <definedName name="ㄴ">#REF!</definedName>
    <definedName name="ㄴ51">#REF!</definedName>
    <definedName name="ㄴㄴ">#REF!</definedName>
    <definedName name="ㄴㄴㄴ" hidden="1">#REF!</definedName>
    <definedName name="ㄴㄴㄴㄴ" hidden="1">#REF!</definedName>
    <definedName name="ㄴㄴㄴㄴㄴ" hidden="1">#REF!</definedName>
    <definedName name="ㄴㄴㄴㄴㄴㄴ">#REF!</definedName>
    <definedName name="ㄴㄴㄴㄴㄴㄴㄴㄴㄴㄴ">#REF!</definedName>
    <definedName name="ㄴㄴㄴㄴㄴㅁ">#REF!</definedName>
    <definedName name="ㄴㄴㅁㅁㅇㄴ">#REF!</definedName>
    <definedName name="ㄴㄴㅇㅇㄴ">#REF!</definedName>
    <definedName name="ㄴ댜러ㅏ니아ㅣㅋ">#REF!</definedName>
    <definedName name="ㄴㄹㅇㄴㄹㅇ">#REF!</definedName>
    <definedName name="ㄴ러ㅏ">#REF!</definedName>
    <definedName name="ㄴㅁ">#REF!</definedName>
    <definedName name="ㄴㅁㅁ">#REF!</definedName>
    <definedName name="ㄴㅁㅇㅇㄴㅇ">#REF!</definedName>
    <definedName name="ㄴㅁㅇㅇㄴㅇㄴ">#REF!</definedName>
    <definedName name="ㄴㅇ">#REF!</definedName>
    <definedName name="ㄴㅇㄴㄴㅁㅁ">#REF!</definedName>
    <definedName name="ㄴㅇㄹ">#REF!</definedName>
    <definedName name="ㄴㅇㄹㅇㄷ">#REF!</definedName>
    <definedName name="ㄴ아러">#REF!</definedName>
    <definedName name="ㄴ어">#REF!</definedName>
    <definedName name="ㄴ어ㅏㅑ">#REF!</definedName>
    <definedName name="ㄴ이라ㅓ">#REF!</definedName>
    <definedName name="ㄴ이ㅏ매">#REF!</definedName>
    <definedName name="나" localSheetId="9">BlankMacro1</definedName>
    <definedName name="나" localSheetId="5">BlankMacro1</definedName>
    <definedName name="나" localSheetId="7">BlankMacro1</definedName>
    <definedName name="나">BlankMacro1</definedName>
    <definedName name="나무">#REF!</definedName>
    <definedName name="나ㅏ다다" localSheetId="9">BlankMacro1</definedName>
    <definedName name="나ㅏ다다" localSheetId="5">BlankMacro1</definedName>
    <definedName name="나ㅏ다다" localSheetId="7">BlankMacro1</definedName>
    <definedName name="나ㅏ다다">BlankMacro1</definedName>
    <definedName name="나ㅓ리먀">#REF!</definedName>
    <definedName name="나ㅣ러재ㅑ">#REF!</definedName>
    <definedName name="낙찰가">#REF!</definedName>
    <definedName name="남덕" localSheetId="9">BlankMacro1</definedName>
    <definedName name="남덕" localSheetId="5">BlankMacro1</definedName>
    <definedName name="남덕" localSheetId="7">BlankMacro1</definedName>
    <definedName name="남덕">BlankMacro1</definedName>
    <definedName name="남럼">#REF!</definedName>
    <definedName name="남어">#REF!</definedName>
    <definedName name="내">#N/A</definedName>
    <definedName name="내선전공">[67]자재단가표!$K$93</definedName>
    <definedName name="내수EL">#REF!</definedName>
    <definedName name="내수ES">#REF!</definedName>
    <definedName name="내역">#REF!</definedName>
    <definedName name="내역1">#REF!</definedName>
    <definedName name="내역2">#REF!</definedName>
    <definedName name="내역서">#REF!</definedName>
    <definedName name="내용">#REF!</definedName>
    <definedName name="낵역4">#REF!</definedName>
    <definedName name="너">#REF!</definedName>
    <definedName name="널자">#REF!</definedName>
    <definedName name="노">#REF!</definedName>
    <definedName name="노무">#REF!</definedName>
    <definedName name="노무비">[68]건축내역!#REF!</definedName>
    <definedName name="노무비계수">#REF!</definedName>
    <definedName name="노무비기준지수">#REF!</definedName>
    <definedName name="노무비비교지수">#REF!</definedName>
    <definedName name="노무비총괄">#REF!</definedName>
    <definedName name="노임">[69]노임단가!$B$1:$C$131</definedName>
    <definedName name="노임단가">#REF!</definedName>
    <definedName name="노출직">#REF!</definedName>
    <definedName name="노출직부">#REF!</definedName>
    <definedName name="누계_중계정">[70]송전기본!#REF!</definedName>
    <definedName name="눈주목">#REF!</definedName>
    <definedName name="느티나무">#REF!</definedName>
    <definedName name="니럼">#REF!</definedName>
    <definedName name="ㄷ">#REF!</definedName>
    <definedName name="ㄷㄱㄷㅅㅅㅅ">#REF!</definedName>
    <definedName name="ㄷㄷ" hidden="1">#REF!</definedName>
    <definedName name="ㄷㄷㄷㄷㄷㄷ" localSheetId="9">BlankMacro1</definedName>
    <definedName name="ㄷㄷㄷㄷㄷㄷ" localSheetId="5">BlankMacro1</definedName>
    <definedName name="ㄷㄷㄷㄷㄷㄷ" localSheetId="7">BlankMacro1</definedName>
    <definedName name="ㄷㄷㄷㄷㄷㄷ">BlankMacro1</definedName>
    <definedName name="ㄷㄷㅈ">#REF!</definedName>
    <definedName name="ㄷㄹㄹㅇ">#REF!</definedName>
    <definedName name="ㄷㄹㅇㄴ">#REF!</definedName>
    <definedName name="ㄷㄹㅇㄴㄹ">#REF!</definedName>
    <definedName name="ㄷㅇㄴ">#REF!</definedName>
    <definedName name="ㄷㅇㄹ">#REF!</definedName>
    <definedName name="ㄷㅇㄹㄴ">#REF!</definedName>
    <definedName name="다" localSheetId="9">BlankMacro1</definedName>
    <definedName name="다" localSheetId="5">BlankMacro1</definedName>
    <definedName name="다" localSheetId="7">BlankMacro1</definedName>
    <definedName name="다">BlankMacro1</definedName>
    <definedName name="다목">#REF!</definedName>
    <definedName name="닥니야지">#REF!</definedName>
    <definedName name="단">[71]일위_파일!#REF!</definedName>
    <definedName name="단_가">#REF!</definedName>
    <definedName name="단_가2">#REF!</definedName>
    <definedName name="단_가3">#REF!</definedName>
    <definedName name="단_가4">#REF!</definedName>
    <definedName name="단_가5">#REF!</definedName>
    <definedName name="단_가6">#REF!</definedName>
    <definedName name="단가">[71]일위_파일!#REF!</definedName>
    <definedName name="단가내역">[72]b_balju_cho!$A$1:$R$762</definedName>
    <definedName name="단가다">#REF!</definedName>
    <definedName name="단가대비">[71]일위_파일!#REF!</definedName>
    <definedName name="단가산출서">#N/A</definedName>
    <definedName name="단가임">#REF!</definedName>
    <definedName name="단가적용">[71]일위_파일!#REF!</definedName>
    <definedName name="단가적용표">#REF!</definedName>
    <definedName name="단가조사">[73]단가조사!$A$1:$G$379</definedName>
    <definedName name="단가조사표">#REF!</definedName>
    <definedName name="단가표지">#REF!</definedName>
    <definedName name="단같">#N/A</definedName>
    <definedName name="단같1">#N/A</definedName>
    <definedName name="단같2">#N/A</definedName>
    <definedName name="단같3">#N/A</definedName>
    <definedName name="단같4">#N/A</definedName>
    <definedName name="단위">#REF!</definedName>
    <definedName name="단위공량1">#REF!</definedName>
    <definedName name="단위공량10">'[74]일위대가(4층원격)'!#REF!</definedName>
    <definedName name="단위공량11">'[74]일위대가(4층원격)'!#REF!</definedName>
    <definedName name="단위공량12">'[74]일위대가(4층원격)'!#REF!</definedName>
    <definedName name="단위공량13">'[74]일위대가(4층원격)'!#REF!</definedName>
    <definedName name="단위공량14">'[74]일위대가(4층원격)'!#REF!</definedName>
    <definedName name="단위공량15">'[74]일위대가(4층원격)'!#REF!</definedName>
    <definedName name="단위공량16">'[74]일위대가(4층원격)'!#REF!</definedName>
    <definedName name="단위공량17">'[74]일위대가(4층원격)'!#REF!</definedName>
    <definedName name="단위공량2">[75]일위대가!#REF!</definedName>
    <definedName name="단위공량3">[75]일위대가!#REF!</definedName>
    <definedName name="단위공량4">'[74]일위대가(4층원격)'!#REF!</definedName>
    <definedName name="단위공량5">'[74]일위대가(4층원격)'!#REF!</definedName>
    <definedName name="단위공량6">'[74]일위대가(4층원격)'!#REF!</definedName>
    <definedName name="단위공량7">'[74]일위대가(4층원격)'!#REF!</definedName>
    <definedName name="단위공량8">'[74]일위대가(4층원격)'!#REF!</definedName>
    <definedName name="단위공량9">#REF!</definedName>
    <definedName name="단위수량">#REF!</definedName>
    <definedName name="당월_소항목">[70]송전기본!#REF!</definedName>
    <definedName name="당월_중계정">[70]송전기본!$C$1:$R$47</definedName>
    <definedName name="대">[34]일위대가목록!#REF!</definedName>
    <definedName name="대가">#REF!</definedName>
    <definedName name="대나무">#REF!</definedName>
    <definedName name="대리점">[76]QandAJunior!$N$8:$N$16</definedName>
    <definedName name="도">#REF!</definedName>
    <definedName name="도장공">[20]물가자료!$C$23</definedName>
    <definedName name="돌단풍">#REF!</definedName>
    <definedName name="동">#REF!</definedName>
    <definedName name="동양TAVE">#REF!</definedName>
    <definedName name="드웰">#REF!</definedName>
    <definedName name="ㄹㄹ" hidden="1">#REF!</definedName>
    <definedName name="ㄹㄹㄹ" hidden="1">#REF!</definedName>
    <definedName name="ㄹㅇ">#REF!</definedName>
    <definedName name="ㄹㅇㄹㅇ" hidden="1">#REF!</definedName>
    <definedName name="라" localSheetId="9">BlankMacro1</definedName>
    <definedName name="라" localSheetId="5">BlankMacro1</definedName>
    <definedName name="라" localSheetId="7">BlankMacro1</definedName>
    <definedName name="라">BlankMacro1</definedName>
    <definedName name="라ㅓ니">#REF!</definedName>
    <definedName name="러ㅗㄴ머ㅏㄹ">#REF!</definedName>
    <definedName name="롬나ㅓ">#REF!</definedName>
    <definedName name="ㅀ">'[25]인건-측정'!#REF!</definedName>
    <definedName name="ㅁ" hidden="1">#REF!</definedName>
    <definedName name="ㅁ1">[77]일위대가표!#REF!</definedName>
    <definedName name="ㅁ1122">#REF!</definedName>
    <definedName name="ㅁ134">#REF!</definedName>
    <definedName name="ㅁ545">#REF!</definedName>
    <definedName name="ㅁ60">[78]직노!#REF!</definedName>
    <definedName name="ㅁ771">#REF!</definedName>
    <definedName name="ㅁㅁ" hidden="1">#REF!</definedName>
    <definedName name="ㅁㅁ158">#REF!</definedName>
    <definedName name="ㅁㅁㅁ">[79]을지!$1:$2</definedName>
    <definedName name="ㅁㅁㅁㅁ" localSheetId="9" hidden="1">{#N/A,#N/A,FALSE,"UNIT";#N/A,#N/A,FALSE,"UNIT";#N/A,#N/A,FALSE,"계정"}</definedName>
    <definedName name="ㅁㅁㅁㅁ" hidden="1">{#N/A,#N/A,FALSE,"UNIT";#N/A,#N/A,FALSE,"UNIT";#N/A,#N/A,FALSE,"계정"}</definedName>
    <definedName name="ㅁㅁㅁㅁㅁ" localSheetId="9" hidden="1">{#N/A,#N/A,FALSE,"UNIT";#N/A,#N/A,FALSE,"UNIT";#N/A,#N/A,FALSE,"계정"}</definedName>
    <definedName name="ㅁㅁㅁㅁㅁ" hidden="1">{#N/A,#N/A,FALSE,"UNIT";#N/A,#N/A,FALSE,"UNIT";#N/A,#N/A,FALSE,"계정"}</definedName>
    <definedName name="ㅁㅇ리">#REF!</definedName>
    <definedName name="마">#REF!</definedName>
    <definedName name="마마">#REF!</definedName>
    <definedName name="말" localSheetId="9">BlankMacro1</definedName>
    <definedName name="말" localSheetId="5">BlankMacro1</definedName>
    <definedName name="말" localSheetId="7">BlankMacro1</definedName>
    <definedName name="말">BlankMacro1</definedName>
    <definedName name="매크로1" localSheetId="9">[80]!매크로1</definedName>
    <definedName name="매크로1" localSheetId="5">[80]!매크로1</definedName>
    <definedName name="매크로1" localSheetId="7">[80]!매크로1</definedName>
    <definedName name="매크로1">[80]!매크로1</definedName>
    <definedName name="맥문동">#REF!</definedName>
    <definedName name="명칭">#REF!</definedName>
    <definedName name="모과나무">#REF!</definedName>
    <definedName name="목백합">#REF!</definedName>
    <definedName name="목차">[81]일위목차!$O$4:$T$151</definedName>
    <definedName name="목차번호">[81]일위목차!$U$4:$V$151</definedName>
    <definedName name="무궁화">#REF!</definedName>
    <definedName name="문">[82]원가계산서!#REF!</definedName>
    <definedName name="문화">[83]원가계산서!#REF!</definedName>
    <definedName name="문화1">[84]원가계산서!#REF!</definedName>
    <definedName name="문화5">[83]원가계산서!#REF!</definedName>
    <definedName name="문화A">[84]원가계산서!#REF!</definedName>
    <definedName name="문화정보">[85]원가계산서!#REF!</definedName>
    <definedName name="문화정보1">[86]원가계산서!#REF!</definedName>
    <definedName name="문화정보표지">[84]원가계산서!#REF!</definedName>
    <definedName name="물가">#REF!</definedName>
    <definedName name="물가2">#REF!</definedName>
    <definedName name="물가3">#REF!</definedName>
    <definedName name="물가자료">#REF!</definedName>
    <definedName name="물량대비">#REF!</definedName>
    <definedName name="물증">[87]설변내역서!$A$2:$F$2078</definedName>
    <definedName name="ㅂ">#REF!</definedName>
    <definedName name="ㅂㅂ" hidden="1">[53]수량산출!#REF!</definedName>
    <definedName name="ㅂㅂㅂㅂ">#REF!</definedName>
    <definedName name="ㅂㅂㅂㅂㅂㅂㅂㅂㅂㅂ">#REF!</definedName>
    <definedName name="ㅂㅈ">#REF!</definedName>
    <definedName name="ㅂㅈㅂㅈㅂㅈ">#REF!</definedName>
    <definedName name="바" localSheetId="9">BlankMacro1</definedName>
    <definedName name="바" localSheetId="5">BlankMacro1</definedName>
    <definedName name="바" localSheetId="7">BlankMacro1</definedName>
    <definedName name="바">BlankMacro1</definedName>
    <definedName name="바람">#REF!</definedName>
    <definedName name="바밥">[88]내역서!#REF!</definedName>
    <definedName name="바보">[89]I一般比!#REF!</definedName>
    <definedName name="박태기">#REF!</definedName>
    <definedName name="발주원본">[90]b_balju_cho!$A$2:$R$3547</definedName>
    <definedName name="방">'[91]KCS-CA'!$AG$1</definedName>
    <definedName name="방송" localSheetId="9">BlankMacro1</definedName>
    <definedName name="방송" localSheetId="5">BlankMacro1</definedName>
    <definedName name="방송" localSheetId="7">BlankMacro1</definedName>
    <definedName name="방송">BlankMacro1</definedName>
    <definedName name="배롱나무">#REF!</definedName>
    <definedName name="보">#REF!</definedName>
    <definedName name="보고장표_분기_">[70]송전기본!#REF!</definedName>
    <definedName name="보완자료복사">#REF!</definedName>
    <definedName name="보조">[92]기초일위!#REF!</definedName>
    <definedName name="보조기층부설">[93]기초일위!#REF!</definedName>
    <definedName name="보통">'[94]참조(인건비)'!$D$20</definedName>
    <definedName name="보통인부">[95]노임단가!$I$36</definedName>
    <definedName name="부대내역비교">#REF!</definedName>
    <definedName name="부소장비갑" localSheetId="9">BlankMacro1</definedName>
    <definedName name="부소장비갑" localSheetId="5">BlankMacro1</definedName>
    <definedName name="부소장비갑" localSheetId="7">BlankMacro1</definedName>
    <definedName name="부소장비갑">BlankMacro1</definedName>
    <definedName name="분기별">[96]PAN!#REF!</definedName>
    <definedName name="분류">[76]QandAJunior!$O$8:$O$12</definedName>
    <definedName name="분전반" localSheetId="9">BlankMacro1</definedName>
    <definedName name="분전반" localSheetId="5">BlankMacro1</definedName>
    <definedName name="분전반" localSheetId="7">BlankMacro1</definedName>
    <definedName name="분전반">BlankMacro1</definedName>
    <definedName name="분전반1" localSheetId="9">BlankMacro1</definedName>
    <definedName name="분전반1" localSheetId="5">BlankMacro1</definedName>
    <definedName name="분전반1" localSheetId="7">BlankMacro1</definedName>
    <definedName name="분전반1">BlankMacro1</definedName>
    <definedName name="붕" hidden="1">#REF!</definedName>
    <definedName name="브리핑실" localSheetId="9">BlankMacro1</definedName>
    <definedName name="브리핑실" localSheetId="5">BlankMacro1</definedName>
    <definedName name="브리핑실" localSheetId="7">BlankMacro1</definedName>
    <definedName name="브리핑실">BlankMacro1</definedName>
    <definedName name="비비추">#REF!</definedName>
    <definedName name="ㅅㅅ" hidden="1">#REF!</definedName>
    <definedName name="사" localSheetId="9">BlankMacro1</definedName>
    <definedName name="사" localSheetId="5">BlankMacro1</definedName>
    <definedName name="사" localSheetId="7">BlankMacro1</definedName>
    <definedName name="사">BlankMacro1</definedName>
    <definedName name="사사월">[42]개요!#REF!</definedName>
    <definedName name="사월합">[42]개요!#REF!</definedName>
    <definedName name="산1">[97]Sheet1!$B$2:$H$95</definedName>
    <definedName name="산줄근거1">#REF!</definedName>
    <definedName name="산철쭉">#REF!</definedName>
    <definedName name="산출">[98]산출내역서집계표!$D$3:$L$116</definedName>
    <definedName name="산출1">[98]산출내역서집계표!$D$6:$L$116</definedName>
    <definedName name="산출근거">[99]Sheet1!$B$2:$H$95</definedName>
    <definedName name="산출근거1">#REF!</definedName>
    <definedName name="산출금양">[98]산출내역서집계표!$AB$2:$AR$143</definedName>
    <definedName name="산출내역">#REF!</definedName>
    <definedName name="산출일위대가통신" localSheetId="9">BlankMacro1</definedName>
    <definedName name="산출일위대가통신" localSheetId="5">BlankMacro1</definedName>
    <definedName name="산출일위대가통신" localSheetId="7">BlankMacro1</definedName>
    <definedName name="산출일위대가통신">BlankMacro1</definedName>
    <definedName name="산표">#REF!</definedName>
    <definedName name="삼" localSheetId="9">BlankMacro1</definedName>
    <definedName name="삼" localSheetId="5">BlankMacro1</definedName>
    <definedName name="삼" localSheetId="7">BlankMacro1</definedName>
    <definedName name="삼">BlankMacro1</definedName>
    <definedName name="삼영">[85]원가계산서!#REF!</definedName>
    <definedName name="삼영1">[85]원가계산서!#REF!</definedName>
    <definedName name="삼영3">[83]원가계산서!#REF!</definedName>
    <definedName name="상반기">#N/A</definedName>
    <definedName name="선테ㄷ">#REF!</definedName>
    <definedName name="설2P100">#REF!</definedName>
    <definedName name="설2P30">#REF!</definedName>
    <definedName name="설2P60">#REF!</definedName>
    <definedName name="설3P100">#REF!</definedName>
    <definedName name="설3P30">#REF!</definedName>
    <definedName name="설3P60">#REF!</definedName>
    <definedName name="설4P100">#REF!</definedName>
    <definedName name="설4P200">#REF!</definedName>
    <definedName name="설4P30">#REF!</definedName>
    <definedName name="설4P300">#REF!</definedName>
    <definedName name="설4P60">#REF!</definedName>
    <definedName name="설계변경총괄">[100]일위_파일!#REF!</definedName>
    <definedName name="설집">#REF!</definedName>
    <definedName name="세운">'[101]인건-측정'!#REF!</definedName>
    <definedName name="소">#REF!</definedName>
    <definedName name="소계">#REF!</definedName>
    <definedName name="소계3">#REF!</definedName>
    <definedName name="소계4">#REF!</definedName>
    <definedName name="소계5">#REF!</definedName>
    <definedName name="소나무">#REF!</definedName>
    <definedName name="소방">#REF!</definedName>
    <definedName name="소방내역" localSheetId="9">BlankMacro1</definedName>
    <definedName name="소방내역" localSheetId="5">BlankMacro1</definedName>
    <definedName name="소방내역" localSheetId="7">BlankMacro1</definedName>
    <definedName name="소방내역">BlankMacro1</definedName>
    <definedName name="소방내역서" localSheetId="9">BlankMacro1</definedName>
    <definedName name="소방내역서" localSheetId="5">BlankMacro1</definedName>
    <definedName name="소방내역서" localSheetId="7">BlankMacro1</definedName>
    <definedName name="소방내역서">BlankMacro1</definedName>
    <definedName name="소일위대가1">#REF!</definedName>
    <definedName name="소총괄라고나">[102]내역!$A$2:$I$2023</definedName>
    <definedName name="손익3" localSheetId="9" hidden="1">{#N/A,#N/A,FALSE,"UNIT";#N/A,#N/A,FALSE,"UNIT";#N/A,#N/A,FALSE,"계정"}</definedName>
    <definedName name="손익3" hidden="1">{#N/A,#N/A,FALSE,"UNIT";#N/A,#N/A,FALSE,"UNIT";#N/A,#N/A,FALSE,"계정"}</definedName>
    <definedName name="수____종">#REF!</definedName>
    <definedName name="수량">#REF!</definedName>
    <definedName name="수량입력">#REF!</definedName>
    <definedName name="수량집계밀">#REF!</definedName>
    <definedName name="수량집계양">#REF!</definedName>
    <definedName name="수목">#REF!</definedName>
    <definedName name="수목단가">[103]식재가격!$A$3:$F$32</definedName>
    <definedName name="수목수량">[103]식재총괄!$C:$F</definedName>
    <definedName name="수수꽃다리">#REF!</definedName>
    <definedName name="수위2" localSheetId="9">[8]!BlankMacro1</definedName>
    <definedName name="수위2" localSheetId="5">[8]!BlankMacro1</definedName>
    <definedName name="수위2" localSheetId="7">[8]!BlankMacro1</definedName>
    <definedName name="수위2">[8]!BlankMacro1</definedName>
    <definedName name="순번">#REF!</definedName>
    <definedName name="시멘트" localSheetId="9">BlankMacro1</definedName>
    <definedName name="시멘트" localSheetId="5">BlankMacro1</definedName>
    <definedName name="시멘트" localSheetId="7">BlankMacro1</definedName>
    <definedName name="시멘트">BlankMacro1</definedName>
    <definedName name="시멘트6" localSheetId="9">BlankMacro1</definedName>
    <definedName name="시멘트6" localSheetId="5">BlankMacro1</definedName>
    <definedName name="시멘트6" localSheetId="7">BlankMacro1</definedName>
    <definedName name="시멘트6">BlankMacro1</definedName>
    <definedName name="시방">#REF!</definedName>
    <definedName name="시방1">#REF!</definedName>
    <definedName name="시설물수량">#REF!</definedName>
    <definedName name="시설수량">#REF!</definedName>
    <definedName name="시설일위금액">[66]시설일위!$G:$M</definedName>
    <definedName name="시행청">#REF!</definedName>
    <definedName name="식재">#REF!</definedName>
    <definedName name="식재단가">#REF!</definedName>
    <definedName name="식재단가1">#REF!</definedName>
    <definedName name="실행결의서">[102]내역!$A$2:$I$2023</definedName>
    <definedName name="ㅇ">#REF!</definedName>
    <definedName name="ㅇ나리">#REF!</definedName>
    <definedName name="ㅇ남러이">#REF!</definedName>
    <definedName name="ㅇ낯ㅍ">#REF!</definedName>
    <definedName name="ㅇ널">#REF!</definedName>
    <definedName name="ㅇ니ㅓ라ㅣ">[1]직재!#REF!</definedName>
    <definedName name="ㅇ닐">#REF!</definedName>
    <definedName name="ㅇㄹㄹ" hidden="1">#REF!</definedName>
    <definedName name="ㅇㄹㅇㄹ" hidden="1">#REF!</definedName>
    <definedName name="ㅇㄹ홍">#REF!</definedName>
    <definedName name="ㅇ러나ㅣ">#REF!</definedName>
    <definedName name="ㅇ리멍라">#REF!</definedName>
    <definedName name="ㅇㅇ" localSheetId="9">BlankMacro1</definedName>
    <definedName name="ㅇㅇ" localSheetId="5">BlankMacro1</definedName>
    <definedName name="ㅇㅇ" localSheetId="7">BlankMacro1</definedName>
    <definedName name="ㅇㅇ">BlankMacro1</definedName>
    <definedName name="ㅇㅇㄹ" hidden="1">#REF!</definedName>
    <definedName name="ㅇㅇㅇ" hidden="1">#REF!</definedName>
    <definedName name="ㅇㅇㅇㅇ" hidden="1">#REF!</definedName>
    <definedName name="ㅇㅇㅇㅇㅇ">#REF!</definedName>
    <definedName name="ㅇㅇㅇㅇㅇㅇㅇ">#REF!</definedName>
    <definedName name="ㅇㅇㅇㅇㅇㅇㅇㅇㅇㅇㅇㅇ" hidden="1">#REF!</definedName>
    <definedName name="ㅇ퍼ㅐㄴ">#REF!</definedName>
    <definedName name="아" localSheetId="9">BlankMacro1</definedName>
    <definedName name="아" localSheetId="5">BlankMacro1</definedName>
    <definedName name="아" localSheetId="7">BlankMacro1</definedName>
    <definedName name="아">BlankMacro1</definedName>
    <definedName name="아나라니리다">#REF!</definedName>
    <definedName name="아늘믿" localSheetId="9">BlankMacro1</definedName>
    <definedName name="아늘믿" localSheetId="5">BlankMacro1</definedName>
    <definedName name="아늘믿" localSheetId="7">BlankMacro1</definedName>
    <definedName name="아늘믿">BlankMacro1</definedName>
    <definedName name="아니" localSheetId="9">BlankMacro1</definedName>
    <definedName name="아니" localSheetId="5">BlankMacro1</definedName>
    <definedName name="아니" localSheetId="7">BlankMacro1</definedName>
    <definedName name="아니">BlankMacro1</definedName>
    <definedName name="아다" localSheetId="9">BlankMacro1</definedName>
    <definedName name="아다" localSheetId="5">BlankMacro1</definedName>
    <definedName name="아다" localSheetId="7">BlankMacro1</definedName>
    <definedName name="아다">BlankMacro1</definedName>
    <definedName name="아디" localSheetId="9">BlankMacro1</definedName>
    <definedName name="아디" localSheetId="5">BlankMacro1</definedName>
    <definedName name="아디" localSheetId="7">BlankMacro1</definedName>
    <definedName name="아디">BlankMacro1</definedName>
    <definedName name="아러">#REF!</definedName>
    <definedName name="아러ㅏ">#REF!</definedName>
    <definedName name="아서" localSheetId="9">BlankMacro1</definedName>
    <definedName name="아서" localSheetId="5">BlankMacro1</definedName>
    <definedName name="아서" localSheetId="7">BlankMacro1</definedName>
    <definedName name="아서">BlankMacro1</definedName>
    <definedName name="아아">[104]일위대가!#REF!</definedName>
    <definedName name="아이야">#REF!</definedName>
    <definedName name="아ㅓㅣㅏㄴ">#REF!</definedName>
    <definedName name="아ㅣㅓ">#REF!</definedName>
    <definedName name="알지">#REF!</definedName>
    <definedName name="애머ㅏㄹ">#REF!</definedName>
    <definedName name="앵커볼트">#REF!</definedName>
    <definedName name="어라">#REF!</definedName>
    <definedName name="어쭈구리">#REF!</definedName>
    <definedName name="어ㅏ">#REF!</definedName>
    <definedName name="업체3">#REF!</definedName>
    <definedName name="역L형옹벽">#REF!</definedName>
    <definedName name="연합회">#REF!</definedName>
    <definedName name="영산홍">#REF!</definedName>
    <definedName name="오오오">#REF!</definedName>
    <definedName name="올ㅇ">#REF!</definedName>
    <definedName name="완공1">[105]직재!#REF!</definedName>
    <definedName name="완공2">[105]직재!#REF!</definedName>
    <definedName name="완공3" hidden="1">#REF!</definedName>
    <definedName name="왕">[23]내역서!#REF!</definedName>
    <definedName name="왕벚나무">#REF!</definedName>
    <definedName name="왜성도라지">#REF!</definedName>
    <definedName name="요율">#REF!</definedName>
    <definedName name="요율인쇄">#REF!</definedName>
    <definedName name="용접공">[20]물가자료!$C$22</definedName>
    <definedName name="우수공" localSheetId="9">BlankMacro1</definedName>
    <definedName name="우수공" localSheetId="5">BlankMacro1</definedName>
    <definedName name="우수공" localSheetId="7">BlankMacro1</definedName>
    <definedName name="우수공">BlankMacro1</definedName>
    <definedName name="운반산출">#REF!</definedName>
    <definedName name="원">#REF!</definedName>
    <definedName name="원가" localSheetId="9">BlankMacro1</definedName>
    <definedName name="원가" localSheetId="5">BlankMacro1</definedName>
    <definedName name="원가" localSheetId="7">BlankMacro1</definedName>
    <definedName name="원가">BlankMacro1</definedName>
    <definedName name="원가계산">#REF!</definedName>
    <definedName name="원가총괄">[106]원가계산서!#REF!</definedName>
    <definedName name="원가표지">[106]원가계산서!#REF!</definedName>
    <definedName name="원가표지2">#REF!</definedName>
    <definedName name="원각계ㅅ산">#REF!</definedName>
    <definedName name="원지반다짐">[93]기초일위!#REF!</definedName>
    <definedName name="은행나무">#REF!</definedName>
    <definedName name="을지로" localSheetId="9">'10.조명기구'!을지로</definedName>
    <definedName name="을지로">[0]!을지로</definedName>
    <definedName name="이">#REF!</definedName>
    <definedName name="이런">[23]내역서!#REF!</definedName>
    <definedName name="이레">#REF!</definedName>
    <definedName name="이식">#REF!</definedName>
    <definedName name="이씨">#REF!</definedName>
    <definedName name="이윤">[107]간접비계산!#REF!</definedName>
    <definedName name="이이">#REF!</definedName>
    <definedName name="이ㅏㄴ러">#REF!</definedName>
    <definedName name="이ㅏㅓㄴ">#REF!</definedName>
    <definedName name="인건비">#REF!</definedName>
    <definedName name="인건비산출">#REF!</definedName>
    <definedName name="인동덩쿨">#REF!</definedName>
    <definedName name="인상익" localSheetId="9">BlankMacro1</definedName>
    <definedName name="인상익" localSheetId="5">BlankMacro1</definedName>
    <definedName name="인상익" localSheetId="7">BlankMacro1</definedName>
    <definedName name="인상익">BlankMacro1</definedName>
    <definedName name="인쇄영역">#REF!</definedName>
    <definedName name="인쇄영역2">#REF!</definedName>
    <definedName name="일반관리">[107]간접비계산!#REF!</definedName>
    <definedName name="일위1">#REF!</definedName>
    <definedName name="일위2">#REF!</definedName>
    <definedName name="일위단가">[103]일위목록!$F:$H</definedName>
    <definedName name="일위대가11">#REF!</definedName>
    <definedName name="일위대가표">#REF!</definedName>
    <definedName name="일의01">[78]직노!#REF!</definedName>
    <definedName name="ㅈㄷㅈㄷ">#REF!</definedName>
    <definedName name="ㅈㅈ">[108]내역서!#REF!</definedName>
    <definedName name="ㅈㅈㅈ">[109]내역서!#REF!</definedName>
    <definedName name="ㅈㅈㅈㅈㅈㅈ">[110]공사원가계산서!#REF!</definedName>
    <definedName name="자" localSheetId="9">BlankMacro1</definedName>
    <definedName name="자" localSheetId="5">BlankMacro1</definedName>
    <definedName name="자" localSheetId="7">BlankMacro1</definedName>
    <definedName name="자">BlankMacro1</definedName>
    <definedName name="자귀나무">#REF!</definedName>
    <definedName name="자니">#REF!</definedName>
    <definedName name="자동제어1차공량산출" localSheetId="9">BlankMacro1</definedName>
    <definedName name="자동제어1차공량산출" localSheetId="5">BlankMacro1</definedName>
    <definedName name="자동제어1차공량산출" localSheetId="7">BlankMacro1</definedName>
    <definedName name="자동제어1차공량산출">BlankMacro1</definedName>
    <definedName name="자재">[111]b_balju_cho!$A$1:$G$2079</definedName>
    <definedName name="자재단가">#REF!</definedName>
    <definedName name="자판기" localSheetId="9" hidden="1">{#N/A,#N/A,FALSE,"UNIT";#N/A,#N/A,FALSE,"UNIT";#N/A,#N/A,FALSE,"계정"}</definedName>
    <definedName name="자판기" hidden="1">{#N/A,#N/A,FALSE,"UNIT";#N/A,#N/A,FALSE,"UNIT";#N/A,#N/A,FALSE,"계정"}</definedName>
    <definedName name="잔디_평떼">#REF!</definedName>
    <definedName name="잣나무">#REF!</definedName>
    <definedName name="재료비">#REF!</definedName>
    <definedName name="재료비계수">#REF!</definedName>
    <definedName name="재어ㅏ">#REF!</definedName>
    <definedName name="쟁료비">[68]건축내역!#REF!</definedName>
    <definedName name="적용단가">'[112]401'!$1:$4</definedName>
    <definedName name="적용단가1">'[112]401'!$1:$4</definedName>
    <definedName name="적용단가2">#REF!</definedName>
    <definedName name="전">'[25]인건-측정'!#REF!</definedName>
    <definedName name="전기변경1" localSheetId="9">BlankMacro1</definedName>
    <definedName name="전기변경1" localSheetId="5">BlankMacro1</definedName>
    <definedName name="전기변경1" localSheetId="7">BlankMacro1</definedName>
    <definedName name="전기변경1">BlankMacro1</definedName>
    <definedName name="전기변경3" localSheetId="9">BlankMacro1</definedName>
    <definedName name="전기변경3" localSheetId="5">BlankMacro1</definedName>
    <definedName name="전기변경3" localSheetId="7">BlankMacro1</definedName>
    <definedName name="전기변경3">BlankMacro1</definedName>
    <definedName name="전기산출">#REF!</definedName>
    <definedName name="전선관입니다">#REF!</definedName>
    <definedName name="전자조합">[113]내역서!#REF!</definedName>
    <definedName name="전체">#REF!</definedName>
    <definedName name="점수표">#REF!</definedName>
    <definedName name="정류기">[114]정류기!$B$2:$C$32</definedName>
    <definedName name="제경비율">#REF!</definedName>
    <definedName name="제잡비">#REF!</definedName>
    <definedName name="제조노임">'[115]N賃率-職'!#REF!</definedName>
    <definedName name="조">#REF!</definedName>
    <definedName name="조건_입력">[116]!조건_입력</definedName>
    <definedName name="조명">#REF!</definedName>
    <definedName name="조명단가">[66]조명일위!$G:$M</definedName>
    <definedName name="조명단가1">[66]조명일위!$B:$G</definedName>
    <definedName name="조명설계">#REF!</definedName>
    <definedName name="조묭">#REF!</definedName>
    <definedName name="조사9909">#REF!</definedName>
    <definedName name="조사가">#REF!</definedName>
    <definedName name="조조조조" localSheetId="9">BlankMacro1</definedName>
    <definedName name="조조조조" localSheetId="5">BlankMacro1</definedName>
    <definedName name="조조조조" localSheetId="7">BlankMacro1</definedName>
    <definedName name="조조조조">BlankMacro1</definedName>
    <definedName name="조조조조좆" localSheetId="9">BlankMacro1</definedName>
    <definedName name="조조조조좆" localSheetId="5">BlankMacro1</definedName>
    <definedName name="조조조조좆" localSheetId="7">BlankMacro1</definedName>
    <definedName name="조조조조좆">BlankMacro1</definedName>
    <definedName name="조합내역">[117]원가계산서!#REF!</definedName>
    <definedName name="조합표지">[117]원가계산서!#REF!</definedName>
    <definedName name="종합기록표">[118]내역전기!#REF!</definedName>
    <definedName name="종합기록표1">[119]내역전기!#REF!</definedName>
    <definedName name="주목">#REF!</definedName>
    <definedName name="줄사철">#REF!</definedName>
    <definedName name="중량">#REF!</definedName>
    <definedName name="중량표">#REF!</definedName>
    <definedName name="중앙갑지">#REF!</definedName>
    <definedName name="지산최초">#REF!</definedName>
    <definedName name="지적사항">#REF!</definedName>
    <definedName name="지주">#N/A</definedName>
    <definedName name="직노1계수">#REF!</definedName>
    <definedName name="직접노무비">#REF!</definedName>
    <definedName name="직종">#REF!</definedName>
    <definedName name="집계">#REF!</definedName>
    <definedName name="집계1">#REF!</definedName>
    <definedName name="집계2">#REF!</definedName>
    <definedName name="집계표">'[56]기타 정보통신공사'!$A$1:$D$964</definedName>
    <definedName name="짱">[15]내역서!#REF!</definedName>
    <definedName name="ㅊ1555">#REF!</definedName>
    <definedName name="차" localSheetId="9">BlankMacro1</definedName>
    <definedName name="차" localSheetId="5">BlankMacro1</definedName>
    <definedName name="차" localSheetId="7">BlankMacro1</definedName>
    <definedName name="차">BlankMacro1</definedName>
    <definedName name="차량" localSheetId="9" hidden="1">{#N/A,#N/A,FALSE,"UNIT";#N/A,#N/A,FALSE,"UNIT";#N/A,#N/A,FALSE,"계정"}</definedName>
    <definedName name="차량" hidden="1">{#N/A,#N/A,FALSE,"UNIT";#N/A,#N/A,FALSE,"UNIT";#N/A,#N/A,FALSE,"계정"}</definedName>
    <definedName name="차량SVC" localSheetId="9" hidden="1">{#N/A,#N/A,FALSE,"UNIT";#N/A,#N/A,FALSE,"UNIT";#N/A,#N/A,FALSE,"계정"}</definedName>
    <definedName name="차량SVC" hidden="1">{#N/A,#N/A,FALSE,"UNIT";#N/A,#N/A,FALSE,"UNIT";#N/A,#N/A,FALSE,"계정"}</definedName>
    <definedName name="차커ㅑㅐㅁ">#REF!</definedName>
    <definedName name="철골">[120]가설공사!$A$3:$N$40</definedName>
    <definedName name="철공">#REF!</definedName>
    <definedName name="철근공">[20]물가자료!$C$4</definedName>
    <definedName name="청단풍">#REF!</definedName>
    <definedName name="청마총괄">[121]직노!#REF!</definedName>
    <definedName name="총_원_가">[122]손익분석!#REF!</definedName>
    <definedName name="총계">#REF!</definedName>
    <definedName name="총괄">#REF!</definedName>
    <definedName name="총괄고용보험">'[56]기타 정보통신공사'!$A$1:$D$964</definedName>
    <definedName name="총괄표">#REF!</definedName>
    <definedName name="총토탈">#REF!</definedName>
    <definedName name="총토탈1">#REF!</definedName>
    <definedName name="총토탈2">#REF!</definedName>
    <definedName name="ㅋ">#REF!</definedName>
    <definedName name="ㅋ티ㅓ하ㅣ">#REF!</definedName>
    <definedName name="카ㅓ치">#REF!</definedName>
    <definedName name="코드명">#REF!</definedName>
    <definedName name="코드입력">#REF!</definedName>
    <definedName name="콘">[123]토공사!$B$10</definedName>
    <definedName name="콘크리트공">[20]물가자료!$C$24</definedName>
    <definedName name="ㅌ">#REF!</definedName>
    <definedName name="ㅌ처포">#REF!</definedName>
    <definedName name="타ㅐㅁㄴ">#REF!</definedName>
    <definedName name="터라기2">[124]오억미만!#REF!</definedName>
    <definedName name="터파기1">[124]오억미만!#REF!</definedName>
    <definedName name="터파기2">[124]오억미만!#REF!</definedName>
    <definedName name="터파기고">#REF!</definedName>
    <definedName name="템플리트모듈1" localSheetId="9">BlankMacro1</definedName>
    <definedName name="템플리트모듈1" localSheetId="5">BlankMacro1</definedName>
    <definedName name="템플리트모듈1" localSheetId="7">BlankMacro1</definedName>
    <definedName name="템플리트모듈1">BlankMacro1</definedName>
    <definedName name="템플리트모듈2" localSheetId="9">BlankMacro1</definedName>
    <definedName name="템플리트모듈2" localSheetId="5">BlankMacro1</definedName>
    <definedName name="템플리트모듈2" localSheetId="7">BlankMacro1</definedName>
    <definedName name="템플리트모듈2">BlankMacro1</definedName>
    <definedName name="템플리트모듈3" localSheetId="9">BlankMacro1</definedName>
    <definedName name="템플리트모듈3" localSheetId="5">BlankMacro1</definedName>
    <definedName name="템플리트모듈3" localSheetId="7">BlankMacro1</definedName>
    <definedName name="템플리트모듈3">BlankMacro1</definedName>
    <definedName name="템플리트모듈4" localSheetId="9">BlankMacro1</definedName>
    <definedName name="템플리트모듈4" localSheetId="5">BlankMacro1</definedName>
    <definedName name="템플리트모듈4" localSheetId="7">BlankMacro1</definedName>
    <definedName name="템플리트모듈4">BlankMacro1</definedName>
    <definedName name="템플리트모듈5" localSheetId="9">BlankMacro1</definedName>
    <definedName name="템플리트모듈5" localSheetId="5">BlankMacro1</definedName>
    <definedName name="템플리트모듈5" localSheetId="7">BlankMacro1</definedName>
    <definedName name="템플리트모듈5">BlankMacro1</definedName>
    <definedName name="템플리트모듈6" localSheetId="9">BlankMacro1</definedName>
    <definedName name="템플리트모듈6" localSheetId="5">BlankMacro1</definedName>
    <definedName name="템플리트모듈6" localSheetId="7">BlankMacro1</definedName>
    <definedName name="템플리트모듈6">BlankMacro1</definedName>
    <definedName name="토목내역">#REF!</definedName>
    <definedName name="통신">#REF!</definedName>
    <definedName name="통신관련산업기사">[125]시중노임단가!$B$12</definedName>
    <definedName name="통신설비공">[125]시중노임단가!$B$14</definedName>
    <definedName name="통신자재" localSheetId="9">'10.조명기구'!통신자재</definedName>
    <definedName name="통신자재">[0]!통신자재</definedName>
    <definedName name="통신자재상" localSheetId="9">'10.조명기구'!통신자재상</definedName>
    <definedName name="통신자재상">[0]!통신자재상</definedName>
    <definedName name="통신총괄">[126]내역!$A$2:$I$2023</definedName>
    <definedName name="통합갑지총계">#REF!</definedName>
    <definedName name="통합시행청">#REF!</definedName>
    <definedName name="통합표지">#REF!</definedName>
    <definedName name="통합품목">#REF!</definedName>
    <definedName name="통합헤드커텐1">#REF!</definedName>
    <definedName name="통합현수막">#REF!</definedName>
    <definedName name="특별인부">[20]물가자료!$C$11</definedName>
    <definedName name="특수">#REF!</definedName>
    <definedName name="파">'[25]인건-측정'!#REF!</definedName>
    <definedName name="파고라상세도" localSheetId="9">[8]!BlankMacro1</definedName>
    <definedName name="파고라상세도" localSheetId="5">[8]!BlankMacro1</definedName>
    <definedName name="파고라상세도" localSheetId="7">[8]!BlankMacro1</definedName>
    <definedName name="파고라상세도">[8]!BlankMacro1</definedName>
    <definedName name="평안">#REF!</definedName>
    <definedName name="포장">#REF!</definedName>
    <definedName name="표">#REF!</definedName>
    <definedName name="표지">#REF!</definedName>
    <definedName name="표품_통신_6_13">[34]일위대가목록!#REF!</definedName>
    <definedName name="품명">#REF!</definedName>
    <definedName name="품목">#REF!</definedName>
    <definedName name="품번">[127]단가표!$A$1:$J$97</definedName>
    <definedName name="품셈계">#REF!</definedName>
    <definedName name="품셈공종">[128]품셈TABLE!$C$2:$C$50</definedName>
    <definedName name="품셈단가">[128]품셈TABLE!$D$2:$D$50</definedName>
    <definedName name="품위내역서" localSheetId="9">BlankMacro1</definedName>
    <definedName name="품위내역서" localSheetId="5">BlankMacro1</definedName>
    <definedName name="품위내역서" localSheetId="7">BlankMacro1</definedName>
    <definedName name="품위내역서">BlankMacro1</definedName>
    <definedName name="ㅎ314">#REF!</definedName>
    <definedName name="ㅎ662">#REF!</definedName>
    <definedName name="ㅎ략">#REF!</definedName>
    <definedName name="ㅎㅇ" localSheetId="9">BlankMacro1</definedName>
    <definedName name="ㅎㅇ" localSheetId="5">BlankMacro1</definedName>
    <definedName name="ㅎㅇ" localSheetId="7">BlankMacro1</definedName>
    <definedName name="ㅎㅇ">BlankMacro1</definedName>
    <definedName name="ㅎㅎ">#REF!</definedName>
    <definedName name="ㅎㅎㅎ">#REF!</definedName>
    <definedName name="하도">#REF!</definedName>
    <definedName name="하도비율">#REF!</definedName>
    <definedName name="하반기">#N/A</definedName>
    <definedName name="하아드">[121]실행내역!#REF!</definedName>
    <definedName name="하하">#REF!</definedName>
    <definedName name="학교">#REF!</definedName>
    <definedName name="학교2">#REF!</definedName>
    <definedName name="한라구절초">#REF!</definedName>
    <definedName name="합">#REF!</definedName>
    <definedName name="합계">#REF!</definedName>
    <definedName name="해당화">#REF!</definedName>
    <definedName name="허">#REF!</definedName>
    <definedName name="형틀목공">[95]노임단가!$C$4</definedName>
    <definedName name="호">#REF!</definedName>
    <definedName name="호호호호">#REF!</definedName>
    <definedName name="홍">#REF!</definedName>
    <definedName name="홍단풍">#REF!</definedName>
    <definedName name="회수년">#REF!</definedName>
    <definedName name="ㅏ">#N/A</definedName>
    <definedName name="ㅏ1150">#REF!</definedName>
    <definedName name="ㅏ89">#REF!</definedName>
    <definedName name="ㅏ눞ㄴ">#REF!</definedName>
    <definedName name="ㅏㅇㄹ너ㅑ">#REF!</definedName>
    <definedName name="ㅏ커">#REF!</definedName>
    <definedName name="ㅏㅏㅇ라너">#REF!</definedName>
    <definedName name="ㅏㅏㅏ">[117]원가계산서!#REF!</definedName>
    <definedName name="ㅏㅐ">#REF!</definedName>
    <definedName name="ㅏㅡ">[15]내역서!#REF!</definedName>
    <definedName name="ㅏㅣㅇ널">#REF!</definedName>
    <definedName name="ㅑ러ㅑ">#REF!</definedName>
    <definedName name="ㅑㅐㅑ" hidden="1">#REF!</definedName>
    <definedName name="ㅓㅏ">[36]내역서!#REF!</definedName>
    <definedName name="ㅓㅕ">#REF!</definedName>
    <definedName name="ㅓㅗ">[15]내역서!#REF!</definedName>
    <definedName name="ㅓㅗ허">#REF!</definedName>
    <definedName name="ㅓㅗㅓ">'[25]인건-측정'!#REF!</definedName>
    <definedName name="ㅓㅣ망래ㅑ">#REF!</definedName>
    <definedName name="ㅗ315">[129]신우!#REF!</definedName>
    <definedName name="ㅗ415">#REF!</definedName>
    <definedName name="ㅗ461">#REF!</definedName>
    <definedName name="ㅗㅑ">#REF!</definedName>
    <definedName name="ㅗㅓ">#REF!</definedName>
    <definedName name="ㅛㅛㅛㅛ" hidden="1">[51]수량산출!$A$1:$A$8561</definedName>
    <definedName name="ㅜ" hidden="1">[53]수량산출!#REF!</definedName>
    <definedName name="ㅜㅠ">[23]내역서!#REF!</definedName>
    <definedName name="ㅡ873">#REF!</definedName>
    <definedName name="ㅡㅡ">#REF!</definedName>
    <definedName name="ㅣ16">#REF!</definedName>
    <definedName name="ㅣㅣ">[15]내역서!#REF!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0" i="10" l="1"/>
  <c r="N19" i="10"/>
  <c r="N18" i="10"/>
  <c r="N17" i="10"/>
  <c r="N336" i="8"/>
  <c r="N335" i="8"/>
  <c r="G58" i="23" l="1"/>
  <c r="G57" i="23"/>
  <c r="G56" i="23"/>
  <c r="G55" i="23"/>
  <c r="G54" i="23"/>
  <c r="G53" i="23"/>
  <c r="G51" i="23"/>
  <c r="G50" i="23"/>
  <c r="G49" i="23"/>
  <c r="G48" i="23"/>
  <c r="G47" i="23"/>
  <c r="G46" i="23"/>
  <c r="G44" i="23"/>
  <c r="G43" i="23"/>
  <c r="G42" i="23"/>
  <c r="G41" i="23"/>
  <c r="G40" i="23"/>
  <c r="G38" i="23"/>
  <c r="G37" i="23"/>
  <c r="G36" i="23"/>
  <c r="G35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N220" i="7" l="1"/>
  <c r="N219" i="7"/>
  <c r="N218" i="7"/>
  <c r="N217" i="7"/>
  <c r="N216" i="7"/>
  <c r="N215" i="7"/>
  <c r="N214" i="7"/>
  <c r="N213" i="7"/>
  <c r="N212" i="7"/>
  <c r="N211" i="7"/>
  <c r="N210" i="7"/>
  <c r="N209" i="7"/>
  <c r="N208" i="7"/>
  <c r="N207" i="7"/>
  <c r="N206" i="7"/>
  <c r="N205" i="7"/>
  <c r="N204" i="7"/>
  <c r="N203" i="7"/>
  <c r="N202" i="7"/>
  <c r="N201" i="7"/>
  <c r="N200" i="7"/>
  <c r="N199" i="7"/>
  <c r="N198" i="7"/>
  <c r="N197" i="7"/>
  <c r="N196" i="7"/>
  <c r="N195" i="7"/>
  <c r="N194" i="7"/>
  <c r="N193" i="7"/>
  <c r="N192" i="7"/>
  <c r="N191" i="7"/>
  <c r="N244" i="7"/>
  <c r="N243" i="7"/>
  <c r="N242" i="7"/>
  <c r="N240" i="7"/>
  <c r="N239" i="7"/>
  <c r="N190" i="7"/>
  <c r="N180" i="7"/>
  <c r="N170" i="7"/>
  <c r="N151" i="7"/>
  <c r="N160" i="7"/>
  <c r="N30" i="7"/>
  <c r="N29" i="7"/>
  <c r="N28" i="7"/>
  <c r="N68" i="13"/>
  <c r="N17" i="13"/>
  <c r="N16" i="13"/>
  <c r="N15" i="13"/>
  <c r="N51" i="13"/>
  <c r="N50" i="13"/>
  <c r="N49" i="13"/>
  <c r="N45" i="13"/>
  <c r="N48" i="13"/>
  <c r="N47" i="13"/>
  <c r="N46" i="13"/>
  <c r="N44" i="13"/>
  <c r="N43" i="13"/>
  <c r="N42" i="13"/>
  <c r="N57" i="13"/>
  <c r="N12" i="10"/>
  <c r="N11" i="10"/>
  <c r="N31" i="10"/>
  <c r="N30" i="10"/>
  <c r="N29" i="10"/>
  <c r="N7" i="22"/>
  <c r="N6" i="22"/>
  <c r="N5" i="22"/>
  <c r="N18" i="22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215" i="11"/>
  <c r="N175" i="14"/>
  <c r="N173" i="14"/>
  <c r="N54" i="10" l="1"/>
  <c r="N53" i="10"/>
  <c r="N56" i="10"/>
  <c r="N55" i="10"/>
  <c r="N58" i="10"/>
  <c r="N57" i="10"/>
  <c r="N47" i="10"/>
  <c r="N46" i="10"/>
  <c r="N21" i="10"/>
  <c r="N28" i="10"/>
  <c r="N27" i="10"/>
  <c r="N26" i="10"/>
  <c r="N22" i="10"/>
  <c r="N68" i="10"/>
  <c r="N67" i="10"/>
  <c r="N10" i="22"/>
  <c r="N13" i="22"/>
  <c r="N12" i="22"/>
  <c r="N11" i="22"/>
  <c r="N9" i="22"/>
  <c r="N8" i="22"/>
  <c r="N65" i="22"/>
  <c r="N64" i="22"/>
  <c r="N63" i="22"/>
  <c r="N62" i="22"/>
  <c r="N61" i="22"/>
  <c r="N60" i="22"/>
  <c r="N59" i="22"/>
  <c r="N58" i="22"/>
  <c r="N57" i="22"/>
  <c r="N56" i="22"/>
  <c r="N55" i="22"/>
  <c r="N54" i="22"/>
  <c r="N53" i="22"/>
  <c r="N52" i="22"/>
  <c r="N51" i="22"/>
  <c r="N50" i="22"/>
  <c r="N49" i="22"/>
  <c r="N48" i="22"/>
  <c r="N47" i="22"/>
  <c r="N46" i="22"/>
  <c r="N45" i="22"/>
  <c r="N44" i="22"/>
  <c r="N43" i="22"/>
  <c r="N42" i="22"/>
  <c r="N41" i="22"/>
  <c r="N40" i="22"/>
  <c r="N39" i="22"/>
  <c r="N38" i="22"/>
  <c r="N37" i="22"/>
  <c r="N36" i="22"/>
  <c r="N35" i="22"/>
  <c r="N34" i="22"/>
  <c r="N33" i="22"/>
  <c r="N32" i="22"/>
  <c r="N31" i="22"/>
  <c r="N30" i="22"/>
  <c r="N29" i="22"/>
  <c r="N28" i="22"/>
  <c r="N27" i="22"/>
  <c r="N26" i="22"/>
  <c r="N25" i="22"/>
  <c r="N24" i="22"/>
  <c r="N23" i="22"/>
  <c r="N22" i="22"/>
  <c r="N21" i="22"/>
  <c r="N20" i="22"/>
  <c r="N19" i="22"/>
  <c r="N17" i="22"/>
  <c r="N16" i="22"/>
  <c r="N15" i="22"/>
  <c r="N14" i="22"/>
  <c r="N60" i="21"/>
  <c r="N37" i="11"/>
  <c r="N12" i="11"/>
  <c r="N60" i="6"/>
  <c r="N59" i="6"/>
  <c r="N7" i="11"/>
  <c r="N11" i="6"/>
  <c r="N129" i="11"/>
  <c r="N125" i="11"/>
  <c r="N124" i="11"/>
  <c r="N98" i="6"/>
  <c r="N141" i="8"/>
  <c r="N12" i="8"/>
  <c r="N204" i="21"/>
  <c r="N211" i="21"/>
  <c r="N210" i="21"/>
  <c r="N209" i="21"/>
  <c r="N208" i="21"/>
  <c r="N207" i="21"/>
  <c r="N206" i="21"/>
  <c r="N205" i="21"/>
  <c r="N203" i="21"/>
  <c r="N202" i="21"/>
  <c r="N13" i="21"/>
  <c r="N52" i="6"/>
  <c r="N51" i="6"/>
  <c r="N50" i="6"/>
  <c r="N201" i="21"/>
  <c r="N200" i="21"/>
  <c r="N199" i="21"/>
  <c r="N198" i="21"/>
  <c r="N197" i="21"/>
  <c r="N196" i="21"/>
  <c r="N195" i="21"/>
  <c r="N194" i="21"/>
  <c r="N193" i="21"/>
  <c r="N192" i="21"/>
  <c r="N191" i="21"/>
  <c r="N190" i="21"/>
  <c r="N189" i="21"/>
  <c r="N188" i="21"/>
  <c r="N187" i="21"/>
  <c r="N186" i="21"/>
  <c r="N185" i="21"/>
  <c r="N184" i="21"/>
  <c r="N183" i="21"/>
  <c r="N182" i="21"/>
  <c r="N181" i="21"/>
  <c r="N180" i="21"/>
  <c r="N179" i="21"/>
  <c r="N178" i="21"/>
  <c r="N177" i="21"/>
  <c r="N176" i="21"/>
  <c r="N175" i="21"/>
  <c r="N174" i="21"/>
  <c r="N173" i="21"/>
  <c r="N172" i="21"/>
  <c r="N171" i="21"/>
  <c r="N170" i="21"/>
  <c r="N169" i="21"/>
  <c r="N168" i="21"/>
  <c r="N167" i="21"/>
  <c r="N166" i="21"/>
  <c r="N165" i="21"/>
  <c r="N164" i="21"/>
  <c r="N163" i="21"/>
  <c r="N162" i="21"/>
  <c r="N161" i="21"/>
  <c r="N160" i="21"/>
  <c r="N159" i="21"/>
  <c r="N158" i="21"/>
  <c r="N157" i="21"/>
  <c r="N156" i="21"/>
  <c r="N155" i="21"/>
  <c r="N154" i="21"/>
  <c r="N153" i="21"/>
  <c r="N152" i="21"/>
  <c r="N151" i="21"/>
  <c r="N150" i="21"/>
  <c r="N149" i="21"/>
  <c r="N148" i="21"/>
  <c r="N147" i="21"/>
  <c r="N146" i="21"/>
  <c r="N145" i="21"/>
  <c r="N144" i="21"/>
  <c r="N143" i="21"/>
  <c r="N142" i="21"/>
  <c r="N141" i="21"/>
  <c r="N140" i="21"/>
  <c r="N139" i="21"/>
  <c r="N138" i="21"/>
  <c r="N137" i="21"/>
  <c r="N136" i="21"/>
  <c r="N135" i="21"/>
  <c r="N134" i="21"/>
  <c r="N133" i="21"/>
  <c r="N132" i="21"/>
  <c r="N131" i="21"/>
  <c r="N130" i="21"/>
  <c r="N129" i="21"/>
  <c r="N128" i="21"/>
  <c r="N127" i="21"/>
  <c r="N126" i="21"/>
  <c r="N125" i="21"/>
  <c r="N124" i="21"/>
  <c r="N123" i="21"/>
  <c r="N122" i="21"/>
  <c r="N121" i="21"/>
  <c r="N120" i="21"/>
  <c r="N119" i="21"/>
  <c r="N118" i="21"/>
  <c r="N117" i="21"/>
  <c r="N116" i="21"/>
  <c r="N115" i="21"/>
  <c r="N114" i="21"/>
  <c r="N113" i="21"/>
  <c r="N112" i="21"/>
  <c r="N111" i="21"/>
  <c r="N110" i="21"/>
  <c r="N109" i="21"/>
  <c r="N108" i="21"/>
  <c r="N107" i="21"/>
  <c r="N106" i="21"/>
  <c r="N105" i="21"/>
  <c r="N104" i="21"/>
  <c r="N103" i="21"/>
  <c r="N102" i="21"/>
  <c r="N101" i="21"/>
  <c r="N100" i="21"/>
  <c r="N99" i="21"/>
  <c r="N98" i="21"/>
  <c r="N97" i="21"/>
  <c r="N96" i="21"/>
  <c r="N95" i="21"/>
  <c r="N94" i="21"/>
  <c r="N93" i="21"/>
  <c r="N92" i="21"/>
  <c r="N91" i="21"/>
  <c r="N90" i="21"/>
  <c r="N89" i="21"/>
  <c r="N88" i="21"/>
  <c r="N87" i="21"/>
  <c r="N86" i="21"/>
  <c r="N85" i="21"/>
  <c r="N84" i="21"/>
  <c r="N83" i="21"/>
  <c r="N82" i="21"/>
  <c r="N81" i="21"/>
  <c r="N80" i="21"/>
  <c r="N79" i="21"/>
  <c r="N78" i="21"/>
  <c r="N77" i="21"/>
  <c r="N76" i="21"/>
  <c r="N75" i="21"/>
  <c r="N74" i="21"/>
  <c r="N73" i="21"/>
  <c r="N72" i="21"/>
  <c r="N71" i="21"/>
  <c r="N70" i="21"/>
  <c r="N69" i="21"/>
  <c r="N68" i="21"/>
  <c r="N67" i="21"/>
  <c r="N66" i="21"/>
  <c r="N65" i="21"/>
  <c r="N64" i="21"/>
  <c r="N63" i="21"/>
  <c r="N62" i="21"/>
  <c r="N61" i="21"/>
  <c r="N59" i="21"/>
  <c r="N58" i="21"/>
  <c r="N57" i="21"/>
  <c r="N56" i="21"/>
  <c r="N55" i="21"/>
  <c r="N54" i="21"/>
  <c r="N53" i="21"/>
  <c r="N52" i="21"/>
  <c r="N51" i="21"/>
  <c r="N50" i="21"/>
  <c r="N49" i="21"/>
  <c r="N48" i="21"/>
  <c r="N47" i="21"/>
  <c r="N46" i="21"/>
  <c r="N45" i="21"/>
  <c r="N44" i="21"/>
  <c r="N43" i="21"/>
  <c r="N42" i="21"/>
  <c r="N41" i="21"/>
  <c r="N40" i="21"/>
  <c r="N39" i="21"/>
  <c r="N38" i="21"/>
  <c r="N37" i="21"/>
  <c r="N36" i="21"/>
  <c r="N35" i="21"/>
  <c r="N34" i="21"/>
  <c r="N33" i="21"/>
  <c r="N32" i="21"/>
  <c r="N31" i="21"/>
  <c r="N30" i="21"/>
  <c r="N29" i="21"/>
  <c r="N28" i="21"/>
  <c r="N27" i="21"/>
  <c r="N26" i="21"/>
  <c r="N25" i="21"/>
  <c r="N24" i="21"/>
  <c r="N23" i="21"/>
  <c r="N22" i="21"/>
  <c r="N21" i="21"/>
  <c r="N20" i="21"/>
  <c r="N19" i="21"/>
  <c r="N18" i="21"/>
  <c r="N17" i="21"/>
  <c r="N16" i="21"/>
  <c r="N15" i="21"/>
  <c r="N14" i="21"/>
  <c r="N12" i="21"/>
  <c r="N11" i="21"/>
  <c r="N10" i="21"/>
  <c r="N9" i="21"/>
  <c r="N8" i="21"/>
  <c r="N7" i="21"/>
  <c r="N6" i="21"/>
  <c r="N5" i="21"/>
  <c r="N179" i="14"/>
  <c r="N148" i="14"/>
  <c r="N147" i="14"/>
  <c r="N119" i="14"/>
  <c r="N26" i="6"/>
  <c r="N17" i="6"/>
  <c r="N16" i="6"/>
  <c r="N15" i="6"/>
  <c r="N14" i="6"/>
  <c r="N13" i="6"/>
  <c r="N12" i="6"/>
  <c r="N10" i="6"/>
  <c r="N9" i="6"/>
  <c r="N8" i="6"/>
  <c r="N7" i="6"/>
  <c r="N6" i="6"/>
  <c r="N5" i="6"/>
  <c r="N31" i="6"/>
  <c r="N30" i="6"/>
  <c r="N29" i="6"/>
  <c r="N28" i="6"/>
  <c r="N27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49" i="6"/>
  <c r="N25" i="6"/>
  <c r="N24" i="6"/>
  <c r="N23" i="6"/>
  <c r="N22" i="6"/>
  <c r="N21" i="6"/>
  <c r="N20" i="6"/>
  <c r="N19" i="6"/>
  <c r="N18" i="6"/>
  <c r="N71" i="13"/>
  <c r="N189" i="7"/>
  <c r="N188" i="7"/>
  <c r="N187" i="7"/>
  <c r="N186" i="7"/>
  <c r="N185" i="7"/>
  <c r="N184" i="7"/>
  <c r="N183" i="7"/>
  <c r="N182" i="7"/>
  <c r="N181" i="7"/>
  <c r="N179" i="7"/>
  <c r="N178" i="7"/>
  <c r="N177" i="7"/>
  <c r="N176" i="7"/>
  <c r="N175" i="7"/>
  <c r="N174" i="7"/>
  <c r="N173" i="7"/>
  <c r="N172" i="7"/>
  <c r="N171" i="7"/>
  <c r="N169" i="7"/>
  <c r="N168" i="7"/>
  <c r="N167" i="7"/>
  <c r="N166" i="7"/>
  <c r="N165" i="7"/>
  <c r="N164" i="7"/>
  <c r="N163" i="7"/>
  <c r="N162" i="7"/>
  <c r="N161" i="7"/>
  <c r="N159" i="7"/>
  <c r="N158" i="7"/>
  <c r="N157" i="7"/>
  <c r="N156" i="7"/>
  <c r="N155" i="7"/>
  <c r="N154" i="7"/>
  <c r="N153" i="7"/>
  <c r="N152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286" i="7"/>
  <c r="N285" i="7"/>
  <c r="N284" i="7"/>
  <c r="N283" i="7"/>
  <c r="N282" i="7"/>
  <c r="N281" i="7"/>
  <c r="N280" i="7"/>
  <c r="N279" i="7"/>
  <c r="N278" i="7"/>
  <c r="N277" i="7"/>
  <c r="N276" i="7"/>
  <c r="N275" i="7"/>
  <c r="N274" i="7"/>
  <c r="N273" i="7"/>
  <c r="N272" i="7"/>
  <c r="N271" i="7"/>
  <c r="N270" i="7"/>
  <c r="N269" i="7"/>
  <c r="N268" i="7"/>
  <c r="N267" i="7"/>
  <c r="N266" i="7"/>
  <c r="N265" i="7"/>
  <c r="N264" i="7"/>
  <c r="N263" i="7"/>
  <c r="N262" i="7"/>
  <c r="N261" i="7"/>
  <c r="N260" i="7"/>
  <c r="N259" i="7"/>
  <c r="N258" i="7"/>
  <c r="N257" i="7"/>
  <c r="N256" i="7"/>
  <c r="N255" i="7"/>
  <c r="N254" i="7"/>
  <c r="N253" i="7"/>
  <c r="N252" i="7"/>
  <c r="N251" i="7"/>
  <c r="N250" i="7"/>
  <c r="N249" i="7"/>
  <c r="N248" i="7"/>
  <c r="N247" i="7"/>
  <c r="N246" i="7"/>
  <c r="N245" i="7"/>
  <c r="N237" i="7"/>
  <c r="N236" i="7"/>
  <c r="N235" i="7"/>
  <c r="N234" i="7"/>
  <c r="N233" i="7"/>
  <c r="N232" i="7"/>
  <c r="N231" i="7"/>
  <c r="N230" i="7"/>
  <c r="N229" i="7"/>
  <c r="N228" i="7"/>
  <c r="N227" i="7"/>
  <c r="N226" i="7"/>
  <c r="N225" i="7"/>
  <c r="N224" i="7"/>
  <c r="N223" i="7"/>
  <c r="N221" i="7"/>
  <c r="N222" i="7"/>
  <c r="N31" i="7"/>
  <c r="N32" i="7"/>
  <c r="N33" i="7"/>
  <c r="N34" i="7"/>
  <c r="N35" i="7"/>
  <c r="N36" i="7"/>
  <c r="N3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5" i="7"/>
  <c r="N8" i="7"/>
  <c r="N7" i="7"/>
  <c r="N6" i="7"/>
  <c r="N326" i="7"/>
  <c r="N318" i="7"/>
  <c r="N325" i="7"/>
  <c r="N324" i="7"/>
  <c r="N322" i="7"/>
  <c r="N320" i="7"/>
  <c r="N316" i="7"/>
  <c r="N315" i="7"/>
  <c r="N312" i="7"/>
  <c r="N310" i="7"/>
  <c r="N309" i="7"/>
  <c r="N307" i="7"/>
  <c r="N306" i="7"/>
  <c r="N304" i="7"/>
  <c r="N303" i="7"/>
  <c r="N300" i="7"/>
  <c r="N298" i="7"/>
  <c r="N297" i="7"/>
  <c r="N296" i="7"/>
  <c r="N295" i="7"/>
  <c r="N294" i="7"/>
  <c r="N292" i="7"/>
  <c r="N291" i="7"/>
  <c r="N289" i="7"/>
  <c r="N288" i="7"/>
  <c r="N445" i="8"/>
  <c r="N444" i="8"/>
  <c r="N443" i="8"/>
  <c r="N442" i="8"/>
  <c r="N441" i="8"/>
  <c r="N440" i="8"/>
  <c r="N439" i="8"/>
  <c r="N438" i="8"/>
  <c r="N437" i="8"/>
  <c r="N435" i="8"/>
  <c r="N434" i="8"/>
  <c r="N433" i="8"/>
  <c r="N432" i="8"/>
  <c r="N431" i="8"/>
  <c r="N430" i="8"/>
  <c r="N429" i="8"/>
  <c r="N428" i="8"/>
  <c r="N427" i="8"/>
  <c r="N426" i="8"/>
  <c r="N403" i="8"/>
  <c r="N367" i="8"/>
  <c r="N366" i="8"/>
  <c r="N365" i="8"/>
  <c r="N364" i="8"/>
  <c r="N363" i="8"/>
  <c r="N362" i="8"/>
  <c r="N368" i="8"/>
  <c r="N369" i="8"/>
  <c r="N348" i="8"/>
  <c r="N347" i="8"/>
  <c r="N346" i="8"/>
  <c r="N345" i="8"/>
  <c r="N344" i="8"/>
  <c r="N343" i="8"/>
  <c r="N342" i="8"/>
  <c r="N436" i="8"/>
  <c r="N425" i="8"/>
  <c r="N424" i="8"/>
  <c r="N423" i="8"/>
  <c r="N422" i="8"/>
  <c r="N421" i="8"/>
  <c r="N420" i="8"/>
  <c r="N419" i="8"/>
  <c r="N418" i="8"/>
  <c r="N417" i="8"/>
  <c r="N416" i="8"/>
  <c r="N415" i="8"/>
  <c r="N414" i="8"/>
  <c r="N413" i="8"/>
  <c r="N412" i="8"/>
  <c r="N411" i="8"/>
  <c r="N410" i="8"/>
  <c r="N409" i="8"/>
  <c r="N408" i="8"/>
  <c r="N407" i="8"/>
  <c r="N406" i="8"/>
  <c r="N405" i="8"/>
  <c r="N404" i="8"/>
  <c r="N402" i="8"/>
  <c r="N401" i="8"/>
  <c r="N400" i="8"/>
  <c r="N399" i="8"/>
  <c r="N398" i="8"/>
  <c r="N397" i="8"/>
  <c r="N396" i="8"/>
  <c r="N395" i="8"/>
  <c r="N394" i="8"/>
  <c r="N393" i="8"/>
  <c r="N392" i="8"/>
  <c r="N391" i="8"/>
  <c r="N390" i="8"/>
  <c r="N389" i="8"/>
  <c r="N388" i="8"/>
  <c r="N387" i="8"/>
  <c r="N386" i="8"/>
  <c r="N385" i="8"/>
  <c r="N384" i="8"/>
  <c r="N383" i="8"/>
  <c r="N382" i="8"/>
  <c r="N381" i="8"/>
  <c r="N380" i="8"/>
  <c r="N379" i="8"/>
  <c r="N378" i="8"/>
  <c r="N377" i="8"/>
  <c r="N376" i="8"/>
  <c r="N375" i="8"/>
  <c r="N374" i="8"/>
  <c r="N373" i="8"/>
  <c r="N372" i="8"/>
  <c r="N371" i="8"/>
  <c r="N370" i="8"/>
  <c r="N361" i="8"/>
  <c r="N360" i="8"/>
  <c r="N359" i="8"/>
  <c r="N358" i="8"/>
  <c r="N357" i="8"/>
  <c r="N356" i="8"/>
  <c r="N355" i="8"/>
  <c r="N354" i="8"/>
  <c r="N353" i="8"/>
  <c r="N352" i="8"/>
  <c r="N351" i="8"/>
  <c r="N350" i="8"/>
  <c r="N349" i="8"/>
  <c r="N341" i="8"/>
  <c r="N340" i="8"/>
  <c r="N339" i="8"/>
  <c r="N338" i="8"/>
  <c r="N337" i="8"/>
  <c r="N334" i="8"/>
  <c r="N333" i="8"/>
  <c r="N332" i="8"/>
  <c r="N331" i="8"/>
  <c r="N330" i="8"/>
  <c r="N329" i="8"/>
  <c r="N328" i="8"/>
  <c r="N327" i="8"/>
  <c r="N326" i="8"/>
  <c r="N325" i="8"/>
  <c r="N324" i="8"/>
  <c r="N323" i="8"/>
  <c r="N322" i="8"/>
  <c r="N321" i="8"/>
  <c r="N320" i="8"/>
  <c r="N319" i="8"/>
  <c r="N318" i="8"/>
  <c r="N317" i="8"/>
  <c r="N316" i="8"/>
  <c r="N315" i="8"/>
  <c r="N314" i="8"/>
  <c r="N313" i="8"/>
  <c r="N312" i="8"/>
  <c r="N311" i="8"/>
  <c r="N310" i="8"/>
  <c r="N309" i="8"/>
  <c r="N308" i="8"/>
  <c r="N307" i="8"/>
  <c r="N306" i="8"/>
  <c r="N305" i="8"/>
  <c r="N304" i="8"/>
  <c r="N303" i="8"/>
  <c r="N302" i="8"/>
  <c r="N301" i="8"/>
  <c r="N300" i="8"/>
  <c r="N299" i="8"/>
  <c r="N298" i="8"/>
  <c r="N297" i="8"/>
  <c r="N296" i="8"/>
  <c r="N295" i="8"/>
  <c r="N294" i="8"/>
  <c r="N293" i="8"/>
  <c r="N292" i="8"/>
  <c r="N291" i="8"/>
  <c r="N290" i="8"/>
  <c r="N289" i="8"/>
  <c r="N288" i="8"/>
  <c r="N287" i="8"/>
  <c r="N286" i="8"/>
  <c r="N285" i="8"/>
  <c r="N284" i="8"/>
  <c r="N283" i="8"/>
  <c r="N282" i="8"/>
  <c r="N281" i="8"/>
  <c r="N280" i="8"/>
  <c r="N279" i="8"/>
  <c r="N278" i="8"/>
  <c r="N277" i="8"/>
  <c r="N276" i="8"/>
  <c r="N275" i="8"/>
  <c r="N274" i="8"/>
  <c r="N273" i="8"/>
  <c r="N272" i="8"/>
  <c r="N271" i="8"/>
  <c r="N270" i="8"/>
  <c r="N269" i="8"/>
  <c r="N268" i="8"/>
  <c r="N267" i="8"/>
  <c r="N266" i="8"/>
  <c r="N265" i="8"/>
  <c r="N264" i="8"/>
  <c r="N263" i="8"/>
  <c r="N262" i="8"/>
  <c r="N261" i="8"/>
  <c r="N260" i="8"/>
  <c r="N259" i="8"/>
  <c r="N258" i="8"/>
  <c r="N257" i="8"/>
  <c r="N256" i="8"/>
  <c r="N255" i="8"/>
  <c r="N254" i="8"/>
  <c r="N253" i="8"/>
  <c r="N252" i="8"/>
  <c r="N251" i="8"/>
  <c r="N250" i="8"/>
  <c r="N249" i="8"/>
  <c r="N248" i="8"/>
  <c r="N247" i="8"/>
  <c r="N246" i="8"/>
  <c r="N245" i="8"/>
  <c r="N244" i="8"/>
  <c r="N243" i="8"/>
  <c r="N242" i="8"/>
  <c r="N241" i="8"/>
  <c r="N240" i="8"/>
  <c r="N239" i="8"/>
  <c r="N238" i="8"/>
  <c r="N237" i="8"/>
  <c r="N236" i="8"/>
  <c r="N235" i="8"/>
  <c r="N234" i="8"/>
  <c r="N233" i="8"/>
  <c r="N232" i="8"/>
  <c r="N231" i="8"/>
  <c r="N230" i="8"/>
  <c r="N229" i="8"/>
  <c r="N228" i="8"/>
  <c r="N227" i="8"/>
  <c r="N226" i="8"/>
  <c r="N225" i="8"/>
  <c r="N224" i="8"/>
  <c r="N223" i="8"/>
  <c r="N222" i="8"/>
  <c r="N221" i="8"/>
  <c r="N220" i="8"/>
  <c r="N219" i="8"/>
  <c r="N218" i="8"/>
  <c r="N217" i="8"/>
  <c r="N216" i="8"/>
  <c r="N215" i="8"/>
  <c r="N214" i="8"/>
  <c r="N213" i="8"/>
  <c r="N212" i="8"/>
  <c r="N211" i="8"/>
  <c r="N210" i="8"/>
  <c r="N209" i="8"/>
  <c r="N208" i="8"/>
  <c r="N207" i="8"/>
  <c r="N206" i="8"/>
  <c r="N205" i="8"/>
  <c r="N204" i="8"/>
  <c r="N203" i="8"/>
  <c r="N202" i="8"/>
  <c r="N201" i="8"/>
  <c r="N200" i="8"/>
  <c r="N199" i="8"/>
  <c r="N198" i="8"/>
  <c r="N197" i="8"/>
  <c r="N196" i="8"/>
  <c r="N195" i="8"/>
  <c r="N194" i="8"/>
  <c r="N193" i="8"/>
  <c r="N192" i="8"/>
  <c r="N191" i="8"/>
  <c r="N190" i="8"/>
  <c r="N189" i="8"/>
  <c r="N188" i="8"/>
  <c r="N187" i="8"/>
  <c r="N186" i="8"/>
  <c r="N185" i="8"/>
  <c r="N184" i="8"/>
  <c r="N183" i="8"/>
  <c r="N182" i="8"/>
  <c r="N181" i="8"/>
  <c r="N180" i="8"/>
  <c r="N179" i="8"/>
  <c r="N178" i="8"/>
  <c r="N177" i="8"/>
  <c r="N176" i="8"/>
  <c r="N175" i="8"/>
  <c r="N174" i="8"/>
  <c r="N173" i="8"/>
  <c r="N172" i="8"/>
  <c r="N171" i="8"/>
  <c r="N170" i="8"/>
  <c r="N169" i="8"/>
  <c r="N168" i="8"/>
  <c r="N167" i="8"/>
  <c r="N166" i="8"/>
  <c r="N165" i="8"/>
  <c r="N164" i="8"/>
  <c r="N163" i="8"/>
  <c r="N162" i="8"/>
  <c r="N161" i="8"/>
  <c r="N160" i="8"/>
  <c r="N159" i="8"/>
  <c r="N158" i="8"/>
  <c r="N157" i="8"/>
  <c r="N156" i="8"/>
  <c r="N155" i="8"/>
  <c r="N154" i="8"/>
  <c r="N153" i="8"/>
  <c r="N152" i="8"/>
  <c r="N151" i="8"/>
  <c r="N150" i="8"/>
  <c r="N149" i="8"/>
  <c r="N148" i="8"/>
  <c r="N147" i="8"/>
  <c r="N146" i="8"/>
  <c r="N145" i="8"/>
  <c r="N144" i="8"/>
  <c r="N143" i="8"/>
  <c r="N142" i="8"/>
  <c r="N140" i="8"/>
  <c r="N139" i="8"/>
  <c r="N138" i="8"/>
  <c r="N137" i="8"/>
  <c r="N136" i="8"/>
  <c r="N135" i="8"/>
  <c r="N134" i="8"/>
  <c r="N133" i="8"/>
  <c r="N132" i="8"/>
  <c r="N131" i="8"/>
  <c r="N130" i="8"/>
  <c r="N129" i="8"/>
  <c r="N128" i="8"/>
  <c r="N127" i="8"/>
  <c r="N126" i="8"/>
  <c r="N125" i="8"/>
  <c r="N124" i="8"/>
  <c r="N123" i="8"/>
  <c r="N122" i="8"/>
  <c r="N121" i="8"/>
  <c r="N120" i="8"/>
  <c r="N119" i="8"/>
  <c r="N118" i="8"/>
  <c r="N117" i="8"/>
  <c r="N116" i="8"/>
  <c r="N115" i="8"/>
  <c r="N114" i="8"/>
  <c r="N113" i="8"/>
  <c r="N112" i="8"/>
  <c r="N111" i="8"/>
  <c r="N110" i="8"/>
  <c r="N109" i="8"/>
  <c r="N108" i="8"/>
  <c r="N107" i="8"/>
  <c r="N106" i="8"/>
  <c r="N105" i="8"/>
  <c r="N104" i="8"/>
  <c r="N103" i="8"/>
  <c r="N102" i="8"/>
  <c r="N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5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N69" i="8"/>
  <c r="N68" i="8"/>
  <c r="N67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1" i="8"/>
  <c r="N10" i="8"/>
  <c r="N9" i="8"/>
  <c r="N8" i="8"/>
  <c r="N7" i="8"/>
  <c r="N6" i="8"/>
  <c r="N5" i="8"/>
  <c r="N204" i="11"/>
  <c r="N197" i="11"/>
  <c r="N195" i="11"/>
  <c r="N194" i="11"/>
  <c r="N193" i="11"/>
  <c r="N192" i="11"/>
  <c r="N186" i="11"/>
  <c r="N180" i="11"/>
  <c r="N179" i="11"/>
  <c r="N173" i="11"/>
  <c r="N172" i="11"/>
  <c r="N171" i="11"/>
  <c r="N170" i="11"/>
  <c r="N169" i="11"/>
  <c r="N168" i="11"/>
  <c r="N162" i="11"/>
  <c r="N156" i="11"/>
  <c r="N155" i="11"/>
  <c r="N149" i="11"/>
  <c r="N148" i="11"/>
  <c r="N147" i="11"/>
  <c r="N146" i="11"/>
  <c r="N145" i="11"/>
  <c r="N144" i="11"/>
  <c r="N214" i="11"/>
  <c r="N213" i="11"/>
  <c r="N212" i="11"/>
  <c r="N211" i="11"/>
  <c r="N210" i="11"/>
  <c r="N209" i="11"/>
  <c r="N208" i="11"/>
  <c r="N207" i="11"/>
  <c r="N206" i="11"/>
  <c r="N205" i="11"/>
  <c r="N203" i="11"/>
  <c r="N202" i="11"/>
  <c r="N201" i="11"/>
  <c r="N200" i="11"/>
  <c r="N199" i="11"/>
  <c r="N198" i="11"/>
  <c r="N196" i="11"/>
  <c r="N191" i="11"/>
  <c r="N190" i="11"/>
  <c r="N189" i="11"/>
  <c r="N188" i="11"/>
  <c r="N187" i="11"/>
  <c r="N185" i="11"/>
  <c r="N184" i="11"/>
  <c r="N183" i="11"/>
  <c r="N182" i="11"/>
  <c r="N181" i="11"/>
  <c r="N178" i="11"/>
  <c r="N177" i="11"/>
  <c r="N176" i="11"/>
  <c r="N175" i="11"/>
  <c r="N174" i="11"/>
  <c r="N167" i="11"/>
  <c r="N166" i="11"/>
  <c r="N165" i="11"/>
  <c r="N164" i="11"/>
  <c r="N163" i="11"/>
  <c r="N161" i="11"/>
  <c r="N160" i="11"/>
  <c r="N159" i="11"/>
  <c r="N158" i="11"/>
  <c r="N157" i="11"/>
  <c r="N154" i="11"/>
  <c r="N153" i="11"/>
  <c r="N152" i="11"/>
  <c r="N151" i="11"/>
  <c r="N150" i="11"/>
  <c r="N368" i="7"/>
  <c r="N367" i="7"/>
  <c r="N366" i="7"/>
  <c r="N365" i="7"/>
  <c r="N364" i="7"/>
  <c r="N363" i="7"/>
  <c r="N362" i="7"/>
  <c r="N361" i="7"/>
  <c r="N360" i="7"/>
  <c r="N359" i="7"/>
  <c r="N358" i="7"/>
  <c r="N357" i="7"/>
  <c r="G26" i="19"/>
  <c r="G32" i="19" s="1"/>
  <c r="L25" i="19"/>
  <c r="L24" i="19"/>
  <c r="L23" i="19"/>
  <c r="G22" i="19"/>
  <c r="G31" i="19" s="1"/>
  <c r="L21" i="19"/>
  <c r="L20" i="19"/>
  <c r="L19" i="19"/>
  <c r="L18" i="19"/>
  <c r="L17" i="19"/>
  <c r="G16" i="19"/>
  <c r="G30" i="19" s="1"/>
  <c r="L15" i="19"/>
  <c r="L14" i="19"/>
  <c r="L13" i="19"/>
  <c r="L12" i="19"/>
  <c r="L11" i="19"/>
  <c r="L10" i="19"/>
  <c r="L9" i="19"/>
  <c r="L8" i="19"/>
  <c r="L7" i="19"/>
  <c r="L6" i="19"/>
  <c r="L26" i="19" l="1"/>
  <c r="L32" i="19" s="1"/>
  <c r="L16" i="19"/>
  <c r="L30" i="19" s="1"/>
  <c r="L22" i="19"/>
  <c r="L31" i="19" s="1"/>
  <c r="N121" i="14"/>
  <c r="N120" i="14"/>
  <c r="N118" i="14"/>
  <c r="N117" i="14"/>
  <c r="N142" i="14" l="1"/>
  <c r="N141" i="14"/>
  <c r="N53" i="11"/>
  <c r="N314" i="7"/>
  <c r="N313" i="7"/>
  <c r="N311" i="7"/>
  <c r="N308" i="7"/>
  <c r="N305" i="7"/>
  <c r="N73" i="13"/>
  <c r="N72" i="13"/>
  <c r="N70" i="13"/>
  <c r="N69" i="13"/>
  <c r="N67" i="13"/>
  <c r="N66" i="13"/>
  <c r="N65" i="13"/>
  <c r="N64" i="13"/>
  <c r="N63" i="13"/>
  <c r="N62" i="13"/>
  <c r="N61" i="13"/>
  <c r="N60" i="13"/>
  <c r="N59" i="13"/>
  <c r="N58" i="13"/>
  <c r="N56" i="13"/>
  <c r="N55" i="13"/>
  <c r="N54" i="13"/>
  <c r="N53" i="13"/>
  <c r="N52" i="13"/>
  <c r="N41" i="13"/>
  <c r="N40" i="13"/>
  <c r="N158" i="14"/>
  <c r="N119" i="11"/>
  <c r="N118" i="11"/>
  <c r="N120" i="11"/>
  <c r="N117" i="11"/>
  <c r="N116" i="11"/>
  <c r="N115" i="11"/>
  <c r="N114" i="11"/>
  <c r="N99" i="6"/>
  <c r="N97" i="6"/>
  <c r="N98" i="11"/>
  <c r="N69" i="10"/>
  <c r="N66" i="10"/>
  <c r="N16" i="11"/>
  <c r="N31" i="11"/>
  <c r="N41" i="10" l="1"/>
  <c r="N40" i="10"/>
  <c r="N39" i="10"/>
  <c r="N38" i="10"/>
  <c r="N32" i="14"/>
  <c r="N241" i="7"/>
  <c r="N238" i="7"/>
  <c r="N327" i="7"/>
  <c r="N14" i="13"/>
  <c r="N13" i="13"/>
  <c r="N12" i="13"/>
  <c r="N7" i="13"/>
  <c r="N6" i="13"/>
  <c r="N5" i="13"/>
  <c r="N223" i="14"/>
  <c r="N222" i="14"/>
  <c r="N221" i="14"/>
  <c r="N220" i="14"/>
  <c r="N219" i="14"/>
  <c r="N218" i="14"/>
  <c r="N217" i="14"/>
  <c r="N216" i="14"/>
  <c r="N215" i="14"/>
  <c r="N214" i="14"/>
  <c r="N213" i="14"/>
  <c r="N212" i="14"/>
  <c r="N211" i="14"/>
  <c r="N210" i="14"/>
  <c r="N209" i="14"/>
  <c r="N208" i="14"/>
  <c r="N207" i="14"/>
  <c r="N206" i="14"/>
  <c r="N205" i="14"/>
  <c r="N204" i="14"/>
  <c r="N203" i="14"/>
  <c r="N202" i="14"/>
  <c r="N201" i="14"/>
  <c r="N200" i="14"/>
  <c r="N199" i="14"/>
  <c r="N198" i="14"/>
  <c r="N197" i="14"/>
  <c r="N196" i="14"/>
  <c r="N195" i="14"/>
  <c r="N194" i="14"/>
  <c r="N193" i="14"/>
  <c r="N192" i="14"/>
  <c r="N191" i="14"/>
  <c r="N190" i="14"/>
  <c r="N189" i="14"/>
  <c r="N188" i="14"/>
  <c r="N187" i="14"/>
  <c r="N186" i="14"/>
  <c r="N185" i="14"/>
  <c r="N184" i="14"/>
  <c r="N183" i="14"/>
  <c r="N182" i="14"/>
  <c r="N181" i="14"/>
  <c r="N180" i="14"/>
  <c r="N178" i="14"/>
  <c r="N177" i="14"/>
  <c r="N176" i="14"/>
  <c r="N174" i="14"/>
  <c r="N172" i="14"/>
  <c r="N171" i="14"/>
  <c r="N170" i="14"/>
  <c r="N169" i="14"/>
  <c r="N168" i="14"/>
  <c r="N167" i="14"/>
  <c r="N166" i="14"/>
  <c r="N165" i="14"/>
  <c r="N164" i="14"/>
  <c r="N163" i="14"/>
  <c r="N162" i="14"/>
  <c r="N161" i="14"/>
  <c r="N160" i="14"/>
  <c r="N157" i="14"/>
  <c r="N156" i="14"/>
  <c r="N155" i="14"/>
  <c r="N154" i="14"/>
  <c r="N153" i="14"/>
  <c r="N152" i="14"/>
  <c r="N151" i="14"/>
  <c r="N150" i="14"/>
  <c r="N149" i="14"/>
  <c r="N146" i="14"/>
  <c r="N145" i="14"/>
  <c r="N144" i="14"/>
  <c r="N143" i="14"/>
  <c r="N140" i="14"/>
  <c r="N139" i="14"/>
  <c r="N138" i="14"/>
  <c r="N137" i="14"/>
  <c r="N126" i="14"/>
  <c r="N125" i="14"/>
  <c r="N124" i="14"/>
  <c r="N123" i="14"/>
  <c r="N122" i="14"/>
  <c r="N107" i="11"/>
  <c r="N106" i="11"/>
  <c r="N105" i="11"/>
  <c r="N104" i="11"/>
  <c r="N103" i="11"/>
  <c r="N102" i="11"/>
  <c r="N101" i="11"/>
  <c r="N100" i="11"/>
  <c r="N99" i="11"/>
  <c r="N65" i="10"/>
  <c r="N64" i="10"/>
  <c r="N63" i="10"/>
  <c r="N62" i="10"/>
  <c r="N61" i="10"/>
  <c r="N60" i="10"/>
  <c r="N59" i="10"/>
  <c r="N16" i="10"/>
  <c r="N15" i="10"/>
  <c r="N14" i="10"/>
  <c r="N13" i="10"/>
  <c r="N10" i="10"/>
  <c r="N9" i="10"/>
  <c r="N8" i="10"/>
  <c r="N7" i="10"/>
  <c r="N6" i="10"/>
  <c r="N5" i="10"/>
  <c r="N68" i="11" l="1"/>
  <c r="N27" i="7"/>
  <c r="N8" i="13" l="1"/>
  <c r="N9" i="13"/>
  <c r="N10" i="13"/>
  <c r="N11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74" i="13"/>
  <c r="N75" i="13"/>
  <c r="N76" i="13"/>
  <c r="N77" i="13"/>
  <c r="N78" i="13"/>
  <c r="N79" i="13"/>
  <c r="N80" i="13"/>
  <c r="N81" i="13"/>
  <c r="N82" i="13"/>
  <c r="N83" i="13"/>
  <c r="N53" i="6" l="1"/>
  <c r="N54" i="6"/>
  <c r="N55" i="6"/>
  <c r="N56" i="6"/>
  <c r="N57" i="6"/>
  <c r="N58" i="6"/>
  <c r="N126" i="11" l="1"/>
  <c r="N131" i="11"/>
  <c r="N132" i="11"/>
  <c r="N133" i="11"/>
  <c r="N134" i="11"/>
  <c r="N135" i="11"/>
  <c r="N136" i="11"/>
  <c r="N137" i="11"/>
  <c r="N138" i="11"/>
  <c r="N139" i="11"/>
  <c r="N140" i="11"/>
  <c r="E11" i="20"/>
  <c r="H11" i="20" s="1"/>
  <c r="E10" i="20"/>
  <c r="H10" i="20" s="1"/>
  <c r="E9" i="20"/>
  <c r="H9" i="20" s="1"/>
  <c r="E8" i="20"/>
  <c r="H8" i="20" s="1"/>
  <c r="E7" i="20"/>
  <c r="H7" i="20" s="1"/>
  <c r="H149" i="18"/>
  <c r="H148" i="18"/>
  <c r="H147" i="18"/>
  <c r="H146" i="18"/>
  <c r="F36" i="20"/>
  <c r="I36" i="20" s="1"/>
  <c r="E36" i="20"/>
  <c r="H36" i="20" s="1"/>
  <c r="D36" i="20"/>
  <c r="G36" i="20" s="1"/>
  <c r="J36" i="20" s="1"/>
  <c r="F35" i="20"/>
  <c r="I35" i="20" s="1"/>
  <c r="E35" i="20"/>
  <c r="H35" i="20" s="1"/>
  <c r="D35" i="20"/>
  <c r="G35" i="20" s="1"/>
  <c r="J35" i="20" s="1"/>
  <c r="F34" i="20"/>
  <c r="I34" i="20" s="1"/>
  <c r="E34" i="20"/>
  <c r="H34" i="20" s="1"/>
  <c r="D34" i="20"/>
  <c r="G34" i="20" s="1"/>
  <c r="J34" i="20" s="1"/>
  <c r="F33" i="20"/>
  <c r="I33" i="20" s="1"/>
  <c r="E33" i="20"/>
  <c r="H33" i="20" s="1"/>
  <c r="D33" i="20"/>
  <c r="G33" i="20" s="1"/>
  <c r="J33" i="20" s="1"/>
  <c r="F32" i="20"/>
  <c r="I32" i="20" s="1"/>
  <c r="E32" i="20"/>
  <c r="H32" i="20" s="1"/>
  <c r="D32" i="20"/>
  <c r="G32" i="20" s="1"/>
  <c r="J32" i="20" s="1"/>
  <c r="F31" i="20"/>
  <c r="I31" i="20" s="1"/>
  <c r="E31" i="20"/>
  <c r="H31" i="20" s="1"/>
  <c r="D31" i="20"/>
  <c r="G31" i="20" s="1"/>
  <c r="J31" i="20" s="1"/>
  <c r="F30" i="20"/>
  <c r="I30" i="20" s="1"/>
  <c r="E30" i="20"/>
  <c r="H30" i="20" s="1"/>
  <c r="D30" i="20"/>
  <c r="G30" i="20" s="1"/>
  <c r="J30" i="20" s="1"/>
  <c r="F13" i="20"/>
  <c r="I13" i="20" s="1"/>
  <c r="E13" i="20"/>
  <c r="H13" i="20" s="1"/>
  <c r="D13" i="20"/>
  <c r="G13" i="20" s="1"/>
  <c r="J13" i="20" s="1"/>
  <c r="F12" i="20"/>
  <c r="I12" i="20" s="1"/>
  <c r="E12" i="20"/>
  <c r="H12" i="20" s="1"/>
  <c r="D12" i="20"/>
  <c r="G12" i="20" s="1"/>
  <c r="J12" i="20" s="1"/>
  <c r="F11" i="20"/>
  <c r="I11" i="20" s="1"/>
  <c r="D11" i="20"/>
  <c r="G11" i="20" s="1"/>
  <c r="J11" i="20" s="1"/>
  <c r="F10" i="20"/>
  <c r="I10" i="20" s="1"/>
  <c r="D10" i="20"/>
  <c r="G10" i="20" s="1"/>
  <c r="J10" i="20" s="1"/>
  <c r="F9" i="20"/>
  <c r="I9" i="20" s="1"/>
  <c r="D9" i="20"/>
  <c r="G9" i="20" s="1"/>
  <c r="J9" i="20" s="1"/>
  <c r="F8" i="20"/>
  <c r="I8" i="20" s="1"/>
  <c r="D8" i="20"/>
  <c r="G8" i="20" s="1"/>
  <c r="J8" i="20" s="1"/>
  <c r="F7" i="20"/>
  <c r="I7" i="20" s="1"/>
  <c r="D7" i="20"/>
  <c r="G7" i="20" s="1"/>
  <c r="J7" i="20" s="1"/>
  <c r="J389" i="18"/>
  <c r="H389" i="18"/>
  <c r="K388" i="18"/>
  <c r="J388" i="18"/>
  <c r="H388" i="18"/>
  <c r="E389" i="18" s="1"/>
  <c r="F389" i="18" s="1"/>
  <c r="F388" i="18"/>
  <c r="K387" i="18"/>
  <c r="J387" i="18"/>
  <c r="H387" i="18"/>
  <c r="F387" i="18"/>
  <c r="K386" i="18"/>
  <c r="J386" i="18"/>
  <c r="H386" i="18"/>
  <c r="F386" i="18"/>
  <c r="K385" i="18"/>
  <c r="J385" i="18"/>
  <c r="H385" i="18"/>
  <c r="F385" i="18"/>
  <c r="K384" i="18"/>
  <c r="J384" i="18"/>
  <c r="H384" i="18"/>
  <c r="F384" i="18"/>
  <c r="K383" i="18"/>
  <c r="J383" i="18"/>
  <c r="H383" i="18"/>
  <c r="F383" i="18"/>
  <c r="K382" i="18"/>
  <c r="J382" i="18"/>
  <c r="H382" i="18"/>
  <c r="F382" i="18"/>
  <c r="K381" i="18"/>
  <c r="J381" i="18"/>
  <c r="H381" i="18"/>
  <c r="F381" i="18"/>
  <c r="J377" i="18"/>
  <c r="H377" i="18"/>
  <c r="K376" i="18"/>
  <c r="J376" i="18"/>
  <c r="H376" i="18"/>
  <c r="E377" i="18" s="1"/>
  <c r="F376" i="18"/>
  <c r="K375" i="18"/>
  <c r="J375" i="18"/>
  <c r="H375" i="18"/>
  <c r="F375" i="18"/>
  <c r="K374" i="18"/>
  <c r="J374" i="18"/>
  <c r="H374" i="18"/>
  <c r="F374" i="18"/>
  <c r="K373" i="18"/>
  <c r="J373" i="18"/>
  <c r="H373" i="18"/>
  <c r="F373" i="18"/>
  <c r="K372" i="18"/>
  <c r="J372" i="18"/>
  <c r="H372" i="18"/>
  <c r="F372" i="18"/>
  <c r="K371" i="18"/>
  <c r="J371" i="18"/>
  <c r="H371" i="18"/>
  <c r="F371" i="18"/>
  <c r="K370" i="18"/>
  <c r="J370" i="18"/>
  <c r="H370" i="18"/>
  <c r="F370" i="18"/>
  <c r="K369" i="18"/>
  <c r="J369" i="18"/>
  <c r="H369" i="18"/>
  <c r="F369" i="18"/>
  <c r="J365" i="18"/>
  <c r="H365" i="18"/>
  <c r="K364" i="18"/>
  <c r="J364" i="18"/>
  <c r="H364" i="18"/>
  <c r="E365" i="18" s="1"/>
  <c r="F365" i="18" s="1"/>
  <c r="F364" i="18"/>
  <c r="K363" i="18"/>
  <c r="J363" i="18"/>
  <c r="H363" i="18"/>
  <c r="F363" i="18"/>
  <c r="K362" i="18"/>
  <c r="J362" i="18"/>
  <c r="H362" i="18"/>
  <c r="F362" i="18"/>
  <c r="K361" i="18"/>
  <c r="J361" i="18"/>
  <c r="H361" i="18"/>
  <c r="F361" i="18"/>
  <c r="K360" i="18"/>
  <c r="J360" i="18"/>
  <c r="H360" i="18"/>
  <c r="F360" i="18"/>
  <c r="K359" i="18"/>
  <c r="J359" i="18"/>
  <c r="H359" i="18"/>
  <c r="F359" i="18"/>
  <c r="K358" i="18"/>
  <c r="J358" i="18"/>
  <c r="H358" i="18"/>
  <c r="F358" i="18"/>
  <c r="K357" i="18"/>
  <c r="J357" i="18"/>
  <c r="H357" i="18"/>
  <c r="F357" i="18"/>
  <c r="J353" i="18"/>
  <c r="H353" i="18"/>
  <c r="K352" i="18"/>
  <c r="J352" i="18"/>
  <c r="H352" i="18"/>
  <c r="E353" i="18" s="1"/>
  <c r="F353" i="18" s="1"/>
  <c r="F352" i="18"/>
  <c r="K351" i="18"/>
  <c r="J351" i="18"/>
  <c r="H351" i="18"/>
  <c r="F351" i="18"/>
  <c r="K350" i="18"/>
  <c r="J350" i="18"/>
  <c r="H350" i="18"/>
  <c r="F350" i="18"/>
  <c r="K349" i="18"/>
  <c r="J349" i="18"/>
  <c r="H349" i="18"/>
  <c r="F349" i="18"/>
  <c r="K348" i="18"/>
  <c r="J348" i="18"/>
  <c r="H348" i="18"/>
  <c r="F348" i="18"/>
  <c r="K347" i="18"/>
  <c r="J347" i="18"/>
  <c r="H347" i="18"/>
  <c r="F347" i="18"/>
  <c r="K346" i="18"/>
  <c r="J346" i="18"/>
  <c r="H346" i="18"/>
  <c r="F346" i="18"/>
  <c r="K345" i="18"/>
  <c r="J345" i="18"/>
  <c r="H345" i="18"/>
  <c r="F345" i="18"/>
  <c r="J341" i="18"/>
  <c r="H341" i="18"/>
  <c r="K340" i="18"/>
  <c r="J340" i="18"/>
  <c r="H340" i="18"/>
  <c r="E341" i="18" s="1"/>
  <c r="K341" i="18" s="1"/>
  <c r="F340" i="18"/>
  <c r="K339" i="18"/>
  <c r="J339" i="18"/>
  <c r="H339" i="18"/>
  <c r="F339" i="18"/>
  <c r="K338" i="18"/>
  <c r="J338" i="18"/>
  <c r="H338" i="18"/>
  <c r="F338" i="18"/>
  <c r="K337" i="18"/>
  <c r="J337" i="18"/>
  <c r="H337" i="18"/>
  <c r="F337" i="18"/>
  <c r="K336" i="18"/>
  <c r="J336" i="18"/>
  <c r="H336" i="18"/>
  <c r="F336" i="18"/>
  <c r="K335" i="18"/>
  <c r="J335" i="18"/>
  <c r="H335" i="18"/>
  <c r="F335" i="18"/>
  <c r="K334" i="18"/>
  <c r="J334" i="18"/>
  <c r="H334" i="18"/>
  <c r="F334" i="18"/>
  <c r="K333" i="18"/>
  <c r="J333" i="18"/>
  <c r="H333" i="18"/>
  <c r="F333" i="18"/>
  <c r="J329" i="18"/>
  <c r="H329" i="18"/>
  <c r="K328" i="18"/>
  <c r="J328" i="18"/>
  <c r="H328" i="18"/>
  <c r="E329" i="18" s="1"/>
  <c r="F329" i="18" s="1"/>
  <c r="F328" i="18"/>
  <c r="K327" i="18"/>
  <c r="J327" i="18"/>
  <c r="H327" i="18"/>
  <c r="F327" i="18"/>
  <c r="K326" i="18"/>
  <c r="J326" i="18"/>
  <c r="H326" i="18"/>
  <c r="F326" i="18"/>
  <c r="K325" i="18"/>
  <c r="J325" i="18"/>
  <c r="H325" i="18"/>
  <c r="F325" i="18"/>
  <c r="K324" i="18"/>
  <c r="J324" i="18"/>
  <c r="H324" i="18"/>
  <c r="F324" i="18"/>
  <c r="K323" i="18"/>
  <c r="J323" i="18"/>
  <c r="H323" i="18"/>
  <c r="F323" i="18"/>
  <c r="K322" i="18"/>
  <c r="J322" i="18"/>
  <c r="H322" i="18"/>
  <c r="F322" i="18"/>
  <c r="K321" i="18"/>
  <c r="J321" i="18"/>
  <c r="H321" i="18"/>
  <c r="F321" i="18"/>
  <c r="J317" i="18"/>
  <c r="H317" i="18"/>
  <c r="K316" i="18"/>
  <c r="J316" i="18"/>
  <c r="H316" i="18"/>
  <c r="E317" i="18" s="1"/>
  <c r="F317" i="18" s="1"/>
  <c r="F316" i="18"/>
  <c r="K315" i="18"/>
  <c r="J315" i="18"/>
  <c r="H315" i="18"/>
  <c r="F315" i="18"/>
  <c r="K314" i="18"/>
  <c r="J314" i="18"/>
  <c r="H314" i="18"/>
  <c r="F314" i="18"/>
  <c r="K313" i="18"/>
  <c r="J313" i="18"/>
  <c r="H313" i="18"/>
  <c r="F313" i="18"/>
  <c r="K312" i="18"/>
  <c r="J312" i="18"/>
  <c r="H312" i="18"/>
  <c r="F312" i="18"/>
  <c r="K311" i="18"/>
  <c r="J311" i="18"/>
  <c r="H311" i="18"/>
  <c r="F311" i="18"/>
  <c r="K310" i="18"/>
  <c r="J310" i="18"/>
  <c r="H310" i="18"/>
  <c r="F310" i="18"/>
  <c r="K309" i="18"/>
  <c r="J309" i="18"/>
  <c r="H309" i="18"/>
  <c r="F309" i="18"/>
  <c r="J305" i="18"/>
  <c r="H305" i="18"/>
  <c r="K304" i="18"/>
  <c r="J304" i="18"/>
  <c r="H304" i="18"/>
  <c r="E305" i="18" s="1"/>
  <c r="F304" i="18"/>
  <c r="K303" i="18"/>
  <c r="J303" i="18"/>
  <c r="H303" i="18"/>
  <c r="F303" i="18"/>
  <c r="K302" i="18"/>
  <c r="J302" i="18"/>
  <c r="H302" i="18"/>
  <c r="F302" i="18"/>
  <c r="K301" i="18"/>
  <c r="J301" i="18"/>
  <c r="H301" i="18"/>
  <c r="F301" i="18"/>
  <c r="K300" i="18"/>
  <c r="J300" i="18"/>
  <c r="H300" i="18"/>
  <c r="F300" i="18"/>
  <c r="K299" i="18"/>
  <c r="J299" i="18"/>
  <c r="H299" i="18"/>
  <c r="F299" i="18"/>
  <c r="K298" i="18"/>
  <c r="J298" i="18"/>
  <c r="H298" i="18"/>
  <c r="F298" i="18"/>
  <c r="K297" i="18"/>
  <c r="J297" i="18"/>
  <c r="H297" i="18"/>
  <c r="F297" i="18"/>
  <c r="J293" i="18"/>
  <c r="H293" i="18"/>
  <c r="K292" i="18"/>
  <c r="J292" i="18"/>
  <c r="H292" i="18"/>
  <c r="E293" i="18" s="1"/>
  <c r="F293" i="18" s="1"/>
  <c r="F292" i="18"/>
  <c r="K291" i="18"/>
  <c r="J291" i="18"/>
  <c r="H291" i="18"/>
  <c r="F291" i="18"/>
  <c r="K290" i="18"/>
  <c r="J290" i="18"/>
  <c r="H290" i="18"/>
  <c r="F290" i="18"/>
  <c r="K289" i="18"/>
  <c r="J289" i="18"/>
  <c r="H289" i="18"/>
  <c r="F289" i="18"/>
  <c r="K288" i="18"/>
  <c r="J288" i="18"/>
  <c r="H288" i="18"/>
  <c r="F288" i="18"/>
  <c r="K287" i="18"/>
  <c r="J287" i="18"/>
  <c r="H287" i="18"/>
  <c r="F287" i="18"/>
  <c r="K286" i="18"/>
  <c r="J286" i="18"/>
  <c r="H286" i="18"/>
  <c r="F286" i="18"/>
  <c r="K285" i="18"/>
  <c r="J285" i="18"/>
  <c r="H285" i="18"/>
  <c r="F285" i="18"/>
  <c r="J281" i="18"/>
  <c r="H281" i="18"/>
  <c r="K280" i="18"/>
  <c r="J280" i="18"/>
  <c r="H280" i="18"/>
  <c r="E281" i="18" s="1"/>
  <c r="F281" i="18" s="1"/>
  <c r="F280" i="18"/>
  <c r="K279" i="18"/>
  <c r="J279" i="18"/>
  <c r="H279" i="18"/>
  <c r="F279" i="18"/>
  <c r="K278" i="18"/>
  <c r="J278" i="18"/>
  <c r="H278" i="18"/>
  <c r="F278" i="18"/>
  <c r="K277" i="18"/>
  <c r="J277" i="18"/>
  <c r="H277" i="18"/>
  <c r="F277" i="18"/>
  <c r="K276" i="18"/>
  <c r="J276" i="18"/>
  <c r="H276" i="18"/>
  <c r="F276" i="18"/>
  <c r="J272" i="18"/>
  <c r="H272" i="18"/>
  <c r="K271" i="18"/>
  <c r="J271" i="18"/>
  <c r="H271" i="18"/>
  <c r="E272" i="18" s="1"/>
  <c r="K272" i="18" s="1"/>
  <c r="F271" i="18"/>
  <c r="K270" i="18"/>
  <c r="J270" i="18"/>
  <c r="H270" i="18"/>
  <c r="F270" i="18"/>
  <c r="K269" i="18"/>
  <c r="J269" i="18"/>
  <c r="H269" i="18"/>
  <c r="F269" i="18"/>
  <c r="K268" i="18"/>
  <c r="J268" i="18"/>
  <c r="H268" i="18"/>
  <c r="F268" i="18"/>
  <c r="K267" i="18"/>
  <c r="J267" i="18"/>
  <c r="H267" i="18"/>
  <c r="F267" i="18"/>
  <c r="J263" i="18"/>
  <c r="H263" i="18"/>
  <c r="K262" i="18"/>
  <c r="J262" i="18"/>
  <c r="H262" i="18"/>
  <c r="E263" i="18" s="1"/>
  <c r="F263" i="18" s="1"/>
  <c r="F262" i="18"/>
  <c r="K261" i="18"/>
  <c r="J261" i="18"/>
  <c r="H261" i="18"/>
  <c r="F261" i="18"/>
  <c r="K260" i="18"/>
  <c r="J260" i="18"/>
  <c r="H260" i="18"/>
  <c r="F260" i="18"/>
  <c r="K259" i="18"/>
  <c r="J259" i="18"/>
  <c r="H259" i="18"/>
  <c r="F259" i="18"/>
  <c r="K258" i="18"/>
  <c r="J258" i="18"/>
  <c r="H258" i="18"/>
  <c r="F258" i="18"/>
  <c r="J254" i="18"/>
  <c r="H254" i="18"/>
  <c r="K253" i="18"/>
  <c r="J253" i="18"/>
  <c r="H253" i="18"/>
  <c r="F253" i="18"/>
  <c r="K252" i="18"/>
  <c r="J252" i="18"/>
  <c r="H252" i="18"/>
  <c r="F252" i="18"/>
  <c r="K251" i="18"/>
  <c r="J251" i="18"/>
  <c r="H251" i="18"/>
  <c r="F251" i="18"/>
  <c r="K250" i="18"/>
  <c r="J250" i="18"/>
  <c r="H250" i="18"/>
  <c r="F250" i="18"/>
  <c r="K249" i="18"/>
  <c r="J249" i="18"/>
  <c r="H249" i="18"/>
  <c r="F249" i="18"/>
  <c r="J245" i="18"/>
  <c r="H245" i="18"/>
  <c r="K244" i="18"/>
  <c r="J244" i="18"/>
  <c r="H244" i="18"/>
  <c r="E245" i="18" s="1"/>
  <c r="K245" i="18" s="1"/>
  <c r="F244" i="18"/>
  <c r="K243" i="18"/>
  <c r="J243" i="18"/>
  <c r="H243" i="18"/>
  <c r="F243" i="18"/>
  <c r="K242" i="18"/>
  <c r="J242" i="18"/>
  <c r="H242" i="18"/>
  <c r="F242" i="18"/>
  <c r="K241" i="18"/>
  <c r="J241" i="18"/>
  <c r="H241" i="18"/>
  <c r="F241" i="18"/>
  <c r="K240" i="18"/>
  <c r="J240" i="18"/>
  <c r="H240" i="18"/>
  <c r="F240" i="18"/>
  <c r="J236" i="18"/>
  <c r="H236" i="18"/>
  <c r="K235" i="18"/>
  <c r="J235" i="18"/>
  <c r="H235" i="18"/>
  <c r="E236" i="18" s="1"/>
  <c r="F235" i="18"/>
  <c r="K234" i="18"/>
  <c r="J234" i="18"/>
  <c r="H234" i="18"/>
  <c r="F234" i="18"/>
  <c r="K233" i="18"/>
  <c r="J233" i="18"/>
  <c r="H233" i="18"/>
  <c r="F233" i="18"/>
  <c r="K232" i="18"/>
  <c r="J232" i="18"/>
  <c r="H232" i="18"/>
  <c r="F232" i="18"/>
  <c r="K231" i="18"/>
  <c r="J231" i="18"/>
  <c r="H231" i="18"/>
  <c r="F231" i="18"/>
  <c r="J227" i="18"/>
  <c r="H227" i="18"/>
  <c r="K226" i="18"/>
  <c r="J226" i="18"/>
  <c r="H226" i="18"/>
  <c r="E227" i="18" s="1"/>
  <c r="F227" i="18" s="1"/>
  <c r="F226" i="18"/>
  <c r="K225" i="18"/>
  <c r="J225" i="18"/>
  <c r="H225" i="18"/>
  <c r="F225" i="18"/>
  <c r="K224" i="18"/>
  <c r="J224" i="18"/>
  <c r="H224" i="18"/>
  <c r="F224" i="18"/>
  <c r="K223" i="18"/>
  <c r="J223" i="18"/>
  <c r="H223" i="18"/>
  <c r="F223" i="18"/>
  <c r="K222" i="18"/>
  <c r="J222" i="18"/>
  <c r="H222" i="18"/>
  <c r="F222" i="18"/>
  <c r="J218" i="18"/>
  <c r="H218" i="18"/>
  <c r="K217" i="18"/>
  <c r="J217" i="18"/>
  <c r="H217" i="18"/>
  <c r="E218" i="18" s="1"/>
  <c r="F217" i="18"/>
  <c r="K216" i="18"/>
  <c r="J216" i="18"/>
  <c r="H216" i="18"/>
  <c r="F216" i="18"/>
  <c r="K215" i="18"/>
  <c r="J215" i="18"/>
  <c r="H215" i="18"/>
  <c r="F215" i="18"/>
  <c r="K214" i="18"/>
  <c r="J214" i="18"/>
  <c r="H214" i="18"/>
  <c r="F214" i="18"/>
  <c r="K213" i="18"/>
  <c r="J213" i="18"/>
  <c r="H213" i="18"/>
  <c r="F213" i="18"/>
  <c r="J209" i="18"/>
  <c r="H209" i="18"/>
  <c r="K208" i="18"/>
  <c r="J208" i="18"/>
  <c r="H208" i="18"/>
  <c r="E209" i="18" s="1"/>
  <c r="F208" i="18"/>
  <c r="K207" i="18"/>
  <c r="J207" i="18"/>
  <c r="H207" i="18"/>
  <c r="F207" i="18"/>
  <c r="K206" i="18"/>
  <c r="J206" i="18"/>
  <c r="H206" i="18"/>
  <c r="F206" i="18"/>
  <c r="K205" i="18"/>
  <c r="J205" i="18"/>
  <c r="H205" i="18"/>
  <c r="F205" i="18"/>
  <c r="K204" i="18"/>
  <c r="J204" i="18"/>
  <c r="H204" i="18"/>
  <c r="F204" i="18"/>
  <c r="J200" i="18"/>
  <c r="H200" i="18"/>
  <c r="K199" i="18"/>
  <c r="J199" i="18"/>
  <c r="H199" i="18"/>
  <c r="F199" i="18"/>
  <c r="K198" i="18"/>
  <c r="J198" i="18"/>
  <c r="H198" i="18"/>
  <c r="F198" i="18"/>
  <c r="K197" i="18"/>
  <c r="J197" i="18"/>
  <c r="H197" i="18"/>
  <c r="F197" i="18"/>
  <c r="K196" i="18"/>
  <c r="J196" i="18"/>
  <c r="H196" i="18"/>
  <c r="F196" i="18"/>
  <c r="K195" i="18"/>
  <c r="J195" i="18"/>
  <c r="H195" i="18"/>
  <c r="F195" i="18"/>
  <c r="J191" i="18"/>
  <c r="H191" i="18"/>
  <c r="K190" i="18"/>
  <c r="J190" i="18"/>
  <c r="H190" i="18"/>
  <c r="E191" i="18" s="1"/>
  <c r="K191" i="18" s="1"/>
  <c r="F190" i="18"/>
  <c r="K189" i="18"/>
  <c r="J189" i="18"/>
  <c r="H189" i="18"/>
  <c r="F189" i="18"/>
  <c r="K188" i="18"/>
  <c r="J188" i="18"/>
  <c r="H188" i="18"/>
  <c r="F188" i="18"/>
  <c r="K187" i="18"/>
  <c r="J187" i="18"/>
  <c r="H187" i="18"/>
  <c r="F187" i="18"/>
  <c r="K186" i="18"/>
  <c r="J186" i="18"/>
  <c r="H186" i="18"/>
  <c r="F186" i="18"/>
  <c r="K185" i="18"/>
  <c r="J185" i="18"/>
  <c r="H185" i="18"/>
  <c r="F185" i="18"/>
  <c r="J181" i="18"/>
  <c r="H181" i="18"/>
  <c r="K180" i="18"/>
  <c r="J180" i="18"/>
  <c r="H180" i="18"/>
  <c r="E181" i="18" s="1"/>
  <c r="F181" i="18" s="1"/>
  <c r="F180" i="18"/>
  <c r="K179" i="18"/>
  <c r="J179" i="18"/>
  <c r="H179" i="18"/>
  <c r="F179" i="18"/>
  <c r="K178" i="18"/>
  <c r="J178" i="18"/>
  <c r="H178" i="18"/>
  <c r="F178" i="18"/>
  <c r="K177" i="18"/>
  <c r="J177" i="18"/>
  <c r="H177" i="18"/>
  <c r="F177" i="18"/>
  <c r="K176" i="18"/>
  <c r="J176" i="18"/>
  <c r="H176" i="18"/>
  <c r="F176" i="18"/>
  <c r="K175" i="18"/>
  <c r="J175" i="18"/>
  <c r="H175" i="18"/>
  <c r="F175" i="18"/>
  <c r="J171" i="18"/>
  <c r="H171" i="18"/>
  <c r="K170" i="18"/>
  <c r="J170" i="18"/>
  <c r="H170" i="18"/>
  <c r="E171" i="18" s="1"/>
  <c r="F171" i="18" s="1"/>
  <c r="F170" i="18"/>
  <c r="K169" i="18"/>
  <c r="J169" i="18"/>
  <c r="H169" i="18"/>
  <c r="F169" i="18"/>
  <c r="K168" i="18"/>
  <c r="J168" i="18"/>
  <c r="H168" i="18"/>
  <c r="F168" i="18"/>
  <c r="K167" i="18"/>
  <c r="J167" i="18"/>
  <c r="H167" i="18"/>
  <c r="F167" i="18"/>
  <c r="K166" i="18"/>
  <c r="J166" i="18"/>
  <c r="H166" i="18"/>
  <c r="F166" i="18"/>
  <c r="K165" i="18"/>
  <c r="J165" i="18"/>
  <c r="H165" i="18"/>
  <c r="F165" i="18"/>
  <c r="J161" i="18"/>
  <c r="H161" i="18"/>
  <c r="K160" i="18"/>
  <c r="J160" i="18"/>
  <c r="H160" i="18"/>
  <c r="E161" i="18" s="1"/>
  <c r="K161" i="18" s="1"/>
  <c r="F160" i="18"/>
  <c r="K159" i="18"/>
  <c r="J159" i="18"/>
  <c r="H159" i="18"/>
  <c r="F159" i="18"/>
  <c r="K158" i="18"/>
  <c r="J158" i="18"/>
  <c r="H158" i="18"/>
  <c r="F158" i="18"/>
  <c r="K157" i="18"/>
  <c r="J157" i="18"/>
  <c r="H157" i="18"/>
  <c r="F157" i="18"/>
  <c r="K156" i="18"/>
  <c r="J156" i="18"/>
  <c r="H156" i="18"/>
  <c r="F156" i="18"/>
  <c r="K155" i="18"/>
  <c r="J155" i="18"/>
  <c r="H155" i="18"/>
  <c r="F155" i="18"/>
  <c r="J151" i="18"/>
  <c r="H151" i="18"/>
  <c r="K150" i="18"/>
  <c r="J150" i="18"/>
  <c r="H150" i="18"/>
  <c r="E151" i="18" s="1"/>
  <c r="F150" i="18"/>
  <c r="K149" i="18"/>
  <c r="J149" i="18"/>
  <c r="F149" i="18"/>
  <c r="K148" i="18"/>
  <c r="J148" i="18"/>
  <c r="F148" i="18"/>
  <c r="K147" i="18"/>
  <c r="J147" i="18"/>
  <c r="F147" i="18"/>
  <c r="K146" i="18"/>
  <c r="J146" i="18"/>
  <c r="F146" i="18"/>
  <c r="K145" i="18"/>
  <c r="J145" i="18"/>
  <c r="H145" i="18"/>
  <c r="F145" i="18"/>
  <c r="J141" i="18"/>
  <c r="H141" i="18"/>
  <c r="K140" i="18"/>
  <c r="J140" i="18"/>
  <c r="H140" i="18"/>
  <c r="E141" i="18" s="1"/>
  <c r="F141" i="18" s="1"/>
  <c r="F140" i="18"/>
  <c r="K139" i="18"/>
  <c r="J139" i="18"/>
  <c r="H139" i="18"/>
  <c r="F139" i="18"/>
  <c r="K138" i="18"/>
  <c r="J138" i="18"/>
  <c r="H138" i="18"/>
  <c r="F138" i="18"/>
  <c r="K137" i="18"/>
  <c r="J137" i="18"/>
  <c r="H137" i="18"/>
  <c r="F137" i="18"/>
  <c r="K136" i="18"/>
  <c r="J136" i="18"/>
  <c r="H136" i="18"/>
  <c r="F136" i="18"/>
  <c r="K135" i="18"/>
  <c r="J135" i="18"/>
  <c r="H135" i="18"/>
  <c r="F135" i="18"/>
  <c r="J131" i="18"/>
  <c r="H131" i="18"/>
  <c r="K130" i="18"/>
  <c r="J130" i="18"/>
  <c r="H130" i="18"/>
  <c r="E131" i="18" s="1"/>
  <c r="K131" i="18" s="1"/>
  <c r="F130" i="18"/>
  <c r="K129" i="18"/>
  <c r="J129" i="18"/>
  <c r="H129" i="18"/>
  <c r="F129" i="18"/>
  <c r="K128" i="18"/>
  <c r="J128" i="18"/>
  <c r="H128" i="18"/>
  <c r="F128" i="18"/>
  <c r="K127" i="18"/>
  <c r="J127" i="18"/>
  <c r="H127" i="18"/>
  <c r="F127" i="18"/>
  <c r="K126" i="18"/>
  <c r="J126" i="18"/>
  <c r="H126" i="18"/>
  <c r="F126" i="18"/>
  <c r="K125" i="18"/>
  <c r="J125" i="18"/>
  <c r="H125" i="18"/>
  <c r="F125" i="18"/>
  <c r="J121" i="18"/>
  <c r="H121" i="18"/>
  <c r="K120" i="18"/>
  <c r="J120" i="18"/>
  <c r="H120" i="18"/>
  <c r="E121" i="18" s="1"/>
  <c r="F120" i="18"/>
  <c r="K119" i="18"/>
  <c r="J119" i="18"/>
  <c r="H119" i="18"/>
  <c r="F119" i="18"/>
  <c r="K118" i="18"/>
  <c r="J118" i="18"/>
  <c r="H118" i="18"/>
  <c r="F118" i="18"/>
  <c r="K117" i="18"/>
  <c r="J117" i="18"/>
  <c r="H117" i="18"/>
  <c r="F117" i="18"/>
  <c r="K116" i="18"/>
  <c r="J116" i="18"/>
  <c r="H116" i="18"/>
  <c r="F116" i="18"/>
  <c r="K115" i="18"/>
  <c r="J115" i="18"/>
  <c r="H115" i="18"/>
  <c r="F115" i="18"/>
  <c r="J111" i="18"/>
  <c r="H111" i="18"/>
  <c r="K110" i="18"/>
  <c r="J110" i="18"/>
  <c r="H110" i="18"/>
  <c r="E111" i="18" s="1"/>
  <c r="F111" i="18" s="1"/>
  <c r="F110" i="18"/>
  <c r="K109" i="18"/>
  <c r="J109" i="18"/>
  <c r="H109" i="18"/>
  <c r="F109" i="18"/>
  <c r="K108" i="18"/>
  <c r="J108" i="18"/>
  <c r="H108" i="18"/>
  <c r="F108" i="18"/>
  <c r="K107" i="18"/>
  <c r="J107" i="18"/>
  <c r="H107" i="18"/>
  <c r="F107" i="18"/>
  <c r="K106" i="18"/>
  <c r="J106" i="18"/>
  <c r="H106" i="18"/>
  <c r="F106" i="18"/>
  <c r="K105" i="18"/>
  <c r="J105" i="18"/>
  <c r="H105" i="18"/>
  <c r="F105" i="18"/>
  <c r="J101" i="18"/>
  <c r="H101" i="18"/>
  <c r="K100" i="18"/>
  <c r="J100" i="18"/>
  <c r="H100" i="18"/>
  <c r="E101" i="18" s="1"/>
  <c r="K101" i="18" s="1"/>
  <c r="F100" i="18"/>
  <c r="K99" i="18"/>
  <c r="J99" i="18"/>
  <c r="H99" i="18"/>
  <c r="F99" i="18"/>
  <c r="K98" i="18"/>
  <c r="J98" i="18"/>
  <c r="H98" i="18"/>
  <c r="F98" i="18"/>
  <c r="K97" i="18"/>
  <c r="J97" i="18"/>
  <c r="H97" i="18"/>
  <c r="F97" i="18"/>
  <c r="K96" i="18"/>
  <c r="J96" i="18"/>
  <c r="H96" i="18"/>
  <c r="F96" i="18"/>
  <c r="K95" i="18"/>
  <c r="J95" i="18"/>
  <c r="H95" i="18"/>
  <c r="F95" i="18"/>
  <c r="J91" i="18"/>
  <c r="H91" i="18"/>
  <c r="K90" i="18"/>
  <c r="J90" i="18"/>
  <c r="H90" i="18"/>
  <c r="F90" i="18"/>
  <c r="K89" i="18"/>
  <c r="J89" i="18"/>
  <c r="H89" i="18"/>
  <c r="F89" i="18"/>
  <c r="K88" i="18"/>
  <c r="J88" i="18"/>
  <c r="H88" i="18"/>
  <c r="F88" i="18"/>
  <c r="K87" i="18"/>
  <c r="J87" i="18"/>
  <c r="H87" i="18"/>
  <c r="F87" i="18"/>
  <c r="K86" i="18"/>
  <c r="J86" i="18"/>
  <c r="H86" i="18"/>
  <c r="F86" i="18"/>
  <c r="K85" i="18"/>
  <c r="J85" i="18"/>
  <c r="H85" i="18"/>
  <c r="F85" i="18"/>
  <c r="J81" i="18"/>
  <c r="H81" i="18"/>
  <c r="K80" i="18"/>
  <c r="J80" i="18"/>
  <c r="H80" i="18"/>
  <c r="E81" i="18" s="1"/>
  <c r="F80" i="18"/>
  <c r="K79" i="18"/>
  <c r="J79" i="18"/>
  <c r="H79" i="18"/>
  <c r="F79" i="18"/>
  <c r="K78" i="18"/>
  <c r="J78" i="18"/>
  <c r="H78" i="18"/>
  <c r="F78" i="18"/>
  <c r="K77" i="18"/>
  <c r="J77" i="18"/>
  <c r="H77" i="18"/>
  <c r="F77" i="18"/>
  <c r="K76" i="18"/>
  <c r="J76" i="18"/>
  <c r="H76" i="18"/>
  <c r="F76" i="18"/>
  <c r="K75" i="18"/>
  <c r="J75" i="18"/>
  <c r="H75" i="18"/>
  <c r="F75" i="18"/>
  <c r="J71" i="18"/>
  <c r="H71" i="18"/>
  <c r="K70" i="18"/>
  <c r="J70" i="18"/>
  <c r="H70" i="18"/>
  <c r="E71" i="18" s="1"/>
  <c r="F71" i="18" s="1"/>
  <c r="F70" i="18"/>
  <c r="K69" i="18"/>
  <c r="J69" i="18"/>
  <c r="H69" i="18"/>
  <c r="F69" i="18"/>
  <c r="K68" i="18"/>
  <c r="J68" i="18"/>
  <c r="H68" i="18"/>
  <c r="F68" i="18"/>
  <c r="K67" i="18"/>
  <c r="J67" i="18"/>
  <c r="H67" i="18"/>
  <c r="F67" i="18"/>
  <c r="K66" i="18"/>
  <c r="J66" i="18"/>
  <c r="H66" i="18"/>
  <c r="F66" i="18"/>
  <c r="K65" i="18"/>
  <c r="J65" i="18"/>
  <c r="H65" i="18"/>
  <c r="F65" i="18"/>
  <c r="J61" i="18"/>
  <c r="H61" i="18"/>
  <c r="K60" i="18"/>
  <c r="J60" i="18"/>
  <c r="H60" i="18"/>
  <c r="F60" i="18"/>
  <c r="K59" i="18"/>
  <c r="J59" i="18"/>
  <c r="H59" i="18"/>
  <c r="F59" i="18"/>
  <c r="K58" i="18"/>
  <c r="J58" i="18"/>
  <c r="H58" i="18"/>
  <c r="F58" i="18"/>
  <c r="K57" i="18"/>
  <c r="J57" i="18"/>
  <c r="H57" i="18"/>
  <c r="F57" i="18"/>
  <c r="K56" i="18"/>
  <c r="J56" i="18"/>
  <c r="H56" i="18"/>
  <c r="F56" i="18"/>
  <c r="K55" i="18"/>
  <c r="J55" i="18"/>
  <c r="H55" i="18"/>
  <c r="F55" i="18"/>
  <c r="J51" i="18"/>
  <c r="H51" i="18"/>
  <c r="K50" i="18"/>
  <c r="J50" i="18"/>
  <c r="H50" i="18"/>
  <c r="E51" i="18" s="1"/>
  <c r="F50" i="18"/>
  <c r="K49" i="18"/>
  <c r="J49" i="18"/>
  <c r="H49" i="18"/>
  <c r="F49" i="18"/>
  <c r="K48" i="18"/>
  <c r="J48" i="18"/>
  <c r="H48" i="18"/>
  <c r="F48" i="18"/>
  <c r="K47" i="18"/>
  <c r="J47" i="18"/>
  <c r="H47" i="18"/>
  <c r="F47" i="18"/>
  <c r="K46" i="18"/>
  <c r="J46" i="18"/>
  <c r="H46" i="18"/>
  <c r="F46" i="18"/>
  <c r="K45" i="18"/>
  <c r="J45" i="18"/>
  <c r="H45" i="18"/>
  <c r="F45" i="18"/>
  <c r="J41" i="18"/>
  <c r="H41" i="18"/>
  <c r="K40" i="18"/>
  <c r="J40" i="18"/>
  <c r="H40" i="18"/>
  <c r="E41" i="18" s="1"/>
  <c r="K41" i="18" s="1"/>
  <c r="F40" i="18"/>
  <c r="K39" i="18"/>
  <c r="J39" i="18"/>
  <c r="H39" i="18"/>
  <c r="F39" i="18"/>
  <c r="K38" i="18"/>
  <c r="J38" i="18"/>
  <c r="H38" i="18"/>
  <c r="F38" i="18"/>
  <c r="K37" i="18"/>
  <c r="J37" i="18"/>
  <c r="H37" i="18"/>
  <c r="F37" i="18"/>
  <c r="K36" i="18"/>
  <c r="J36" i="18"/>
  <c r="H36" i="18"/>
  <c r="F36" i="18"/>
  <c r="K35" i="18"/>
  <c r="J35" i="18"/>
  <c r="H35" i="18"/>
  <c r="F35" i="18"/>
  <c r="J31" i="18"/>
  <c r="H31" i="18"/>
  <c r="K30" i="18"/>
  <c r="J30" i="18"/>
  <c r="H30" i="18"/>
  <c r="E31" i="18" s="1"/>
  <c r="K31" i="18" s="1"/>
  <c r="F30" i="18"/>
  <c r="K29" i="18"/>
  <c r="J29" i="18"/>
  <c r="H29" i="18"/>
  <c r="F29" i="18"/>
  <c r="K28" i="18"/>
  <c r="J28" i="18"/>
  <c r="H28" i="18"/>
  <c r="F28" i="18"/>
  <c r="K27" i="18"/>
  <c r="J27" i="18"/>
  <c r="H27" i="18"/>
  <c r="F27" i="18"/>
  <c r="K26" i="18"/>
  <c r="J26" i="18"/>
  <c r="H26" i="18"/>
  <c r="F26" i="18"/>
  <c r="K25" i="18"/>
  <c r="J25" i="18"/>
  <c r="H25" i="18"/>
  <c r="F25" i="18"/>
  <c r="J21" i="18"/>
  <c r="H21" i="18"/>
  <c r="K20" i="18"/>
  <c r="J20" i="18"/>
  <c r="H20" i="18"/>
  <c r="E21" i="18" s="1"/>
  <c r="K21" i="18" s="1"/>
  <c r="F20" i="18"/>
  <c r="K19" i="18"/>
  <c r="J19" i="18"/>
  <c r="H19" i="18"/>
  <c r="F19" i="18"/>
  <c r="K18" i="18"/>
  <c r="J18" i="18"/>
  <c r="H18" i="18"/>
  <c r="F18" i="18"/>
  <c r="K17" i="18"/>
  <c r="J17" i="18"/>
  <c r="H17" i="18"/>
  <c r="F17" i="18"/>
  <c r="K16" i="18"/>
  <c r="J16" i="18"/>
  <c r="H16" i="18"/>
  <c r="F16" i="18"/>
  <c r="K15" i="18"/>
  <c r="J15" i="18"/>
  <c r="H15" i="18"/>
  <c r="F15" i="18"/>
  <c r="J11" i="18"/>
  <c r="H11" i="18"/>
  <c r="K10" i="18"/>
  <c r="J10" i="18"/>
  <c r="H10" i="18"/>
  <c r="F10" i="18"/>
  <c r="K9" i="18"/>
  <c r="J9" i="18"/>
  <c r="H9" i="18"/>
  <c r="F9" i="18"/>
  <c r="K8" i="18"/>
  <c r="J8" i="18"/>
  <c r="H8" i="18"/>
  <c r="F8" i="18"/>
  <c r="K7" i="18"/>
  <c r="J7" i="18"/>
  <c r="H7" i="18"/>
  <c r="F7" i="18"/>
  <c r="K6" i="18"/>
  <c r="J6" i="18"/>
  <c r="H6" i="18"/>
  <c r="F6" i="18"/>
  <c r="K5" i="18"/>
  <c r="J5" i="18"/>
  <c r="H5" i="18"/>
  <c r="F5" i="18"/>
  <c r="L389" i="18" l="1"/>
  <c r="H82" i="18"/>
  <c r="F72" i="18"/>
  <c r="H72" i="18"/>
  <c r="E10" i="17" s="1"/>
  <c r="L353" i="18"/>
  <c r="L147" i="18"/>
  <c r="J390" i="18"/>
  <c r="F41" i="17" s="1"/>
  <c r="L180" i="18"/>
  <c r="L39" i="18"/>
  <c r="J32" i="18"/>
  <c r="F6" i="17" s="1"/>
  <c r="L268" i="18"/>
  <c r="L312" i="18"/>
  <c r="L360" i="18"/>
  <c r="L324" i="18"/>
  <c r="L157" i="18"/>
  <c r="L290" i="18"/>
  <c r="L309" i="18"/>
  <c r="L315" i="18"/>
  <c r="L382" i="18"/>
  <c r="L226" i="18"/>
  <c r="J255" i="18"/>
  <c r="F29" i="17" s="1"/>
  <c r="L227" i="18"/>
  <c r="L279" i="18"/>
  <c r="L271" i="18"/>
  <c r="L28" i="18"/>
  <c r="L135" i="18"/>
  <c r="L171" i="18"/>
  <c r="H182" i="18"/>
  <c r="E21" i="17" s="1"/>
  <c r="J201" i="18"/>
  <c r="F23" i="17" s="1"/>
  <c r="L339" i="18"/>
  <c r="L387" i="18"/>
  <c r="L57" i="18"/>
  <c r="L185" i="18"/>
  <c r="L288" i="18"/>
  <c r="L302" i="18"/>
  <c r="L19" i="18"/>
  <c r="L225" i="18"/>
  <c r="L242" i="18"/>
  <c r="L258" i="18"/>
  <c r="L372" i="18"/>
  <c r="L337" i="18"/>
  <c r="E91" i="18"/>
  <c r="F91" i="18" s="1"/>
  <c r="H92" i="18"/>
  <c r="E12" i="17" s="1"/>
  <c r="L120" i="18"/>
  <c r="H12" i="18"/>
  <c r="E4" i="17" s="1"/>
  <c r="E11" i="18"/>
  <c r="F11" i="18" s="1"/>
  <c r="L6" i="18"/>
  <c r="L17" i="18"/>
  <c r="L20" i="18"/>
  <c r="J92" i="18"/>
  <c r="F12" i="17" s="1"/>
  <c r="L87" i="18"/>
  <c r="L126" i="18"/>
  <c r="L158" i="18"/>
  <c r="L166" i="18"/>
  <c r="L250" i="18"/>
  <c r="L293" i="18"/>
  <c r="H306" i="18"/>
  <c r="E34" i="17" s="1"/>
  <c r="L373" i="18"/>
  <c r="L384" i="18"/>
  <c r="L75" i="18"/>
  <c r="L137" i="18"/>
  <c r="J237" i="18"/>
  <c r="F27" i="17" s="1"/>
  <c r="L233" i="18"/>
  <c r="L50" i="18"/>
  <c r="L89" i="18"/>
  <c r="L97" i="18"/>
  <c r="L100" i="18"/>
  <c r="L108" i="18"/>
  <c r="L168" i="18"/>
  <c r="L196" i="18"/>
  <c r="L241" i="18"/>
  <c r="L249" i="18"/>
  <c r="L77" i="18"/>
  <c r="L136" i="18"/>
  <c r="H246" i="18"/>
  <c r="E28" i="17" s="1"/>
  <c r="J282" i="18"/>
  <c r="F32" i="17" s="1"/>
  <c r="L365" i="18"/>
  <c r="H378" i="18"/>
  <c r="E40" i="17" s="1"/>
  <c r="L27" i="18"/>
  <c r="L38" i="18"/>
  <c r="L49" i="18"/>
  <c r="L119" i="18"/>
  <c r="J132" i="18"/>
  <c r="F16" i="17" s="1"/>
  <c r="L127" i="18"/>
  <c r="F182" i="18"/>
  <c r="D21" i="17" s="1"/>
  <c r="L179" i="18"/>
  <c r="L187" i="18"/>
  <c r="L198" i="18"/>
  <c r="L217" i="18"/>
  <c r="L301" i="18"/>
  <c r="L349" i="18"/>
  <c r="L303" i="18"/>
  <c r="L374" i="18"/>
  <c r="L388" i="18"/>
  <c r="K218" i="18"/>
  <c r="F218" i="18"/>
  <c r="L218" i="18" s="1"/>
  <c r="F209" i="18"/>
  <c r="F210" i="18" s="1"/>
  <c r="D24" i="17" s="1"/>
  <c r="K209" i="18"/>
  <c r="H192" i="18"/>
  <c r="E22" i="17" s="1"/>
  <c r="L95" i="18"/>
  <c r="F172" i="18"/>
  <c r="D20" i="17" s="1"/>
  <c r="H22" i="18"/>
  <c r="E5" i="17" s="1"/>
  <c r="L59" i="18"/>
  <c r="J72" i="18"/>
  <c r="F10" i="17" s="1"/>
  <c r="L67" i="18"/>
  <c r="K71" i="18"/>
  <c r="L76" i="18"/>
  <c r="L128" i="18"/>
  <c r="F131" i="18"/>
  <c r="L131" i="18" s="1"/>
  <c r="L148" i="18"/>
  <c r="L150" i="18"/>
  <c r="L159" i="18"/>
  <c r="L188" i="18"/>
  <c r="J246" i="18"/>
  <c r="F28" i="17" s="1"/>
  <c r="L269" i="18"/>
  <c r="L280" i="18"/>
  <c r="L281" i="18"/>
  <c r="H318" i="18"/>
  <c r="E35" i="17" s="1"/>
  <c r="L313" i="18"/>
  <c r="J366" i="18"/>
  <c r="F39" i="17" s="1"/>
  <c r="L359" i="18"/>
  <c r="L362" i="18"/>
  <c r="F390" i="18"/>
  <c r="D41" i="17" s="1"/>
  <c r="F330" i="18"/>
  <c r="D36" i="17" s="1"/>
  <c r="L386" i="18"/>
  <c r="L5" i="18"/>
  <c r="L29" i="18"/>
  <c r="J62" i="18"/>
  <c r="F9" i="17" s="1"/>
  <c r="J82" i="18"/>
  <c r="F11" i="17" s="1"/>
  <c r="H102" i="18"/>
  <c r="E13" i="17" s="1"/>
  <c r="L106" i="18"/>
  <c r="L109" i="18"/>
  <c r="H152" i="18"/>
  <c r="E18" i="17" s="1"/>
  <c r="L149" i="18"/>
  <c r="L169" i="18"/>
  <c r="J182" i="18"/>
  <c r="F21" i="17" s="1"/>
  <c r="L181" i="18"/>
  <c r="L195" i="18"/>
  <c r="L204" i="18"/>
  <c r="L244" i="18"/>
  <c r="H255" i="18"/>
  <c r="E29" i="17" s="1"/>
  <c r="J294" i="18"/>
  <c r="F33" i="17" s="1"/>
  <c r="L287" i="18"/>
  <c r="F318" i="18"/>
  <c r="D35" i="17" s="1"/>
  <c r="L326" i="18"/>
  <c r="L338" i="18"/>
  <c r="L346" i="18"/>
  <c r="J354" i="18"/>
  <c r="F38" i="17" s="1"/>
  <c r="L352" i="18"/>
  <c r="L364" i="18"/>
  <c r="H390" i="18"/>
  <c r="E41" i="17" s="1"/>
  <c r="F264" i="18"/>
  <c r="D30" i="17" s="1"/>
  <c r="H142" i="18"/>
  <c r="E17" i="17" s="1"/>
  <c r="H201" i="18"/>
  <c r="E23" i="17" s="1"/>
  <c r="J342" i="18"/>
  <c r="F37" i="17" s="1"/>
  <c r="L381" i="18"/>
  <c r="H62" i="18"/>
  <c r="E9" i="17" s="1"/>
  <c r="J152" i="18"/>
  <c r="F18" i="17" s="1"/>
  <c r="J228" i="18"/>
  <c r="F26" i="17" s="1"/>
  <c r="J12" i="18"/>
  <c r="F4" i="17" s="1"/>
  <c r="L10" i="18"/>
  <c r="L68" i="18"/>
  <c r="J142" i="18"/>
  <c r="F17" i="17" s="1"/>
  <c r="H172" i="18"/>
  <c r="E20" i="17" s="1"/>
  <c r="J219" i="18"/>
  <c r="F25" i="17" s="1"/>
  <c r="L234" i="18"/>
  <c r="J273" i="18"/>
  <c r="F31" i="17" s="1"/>
  <c r="L286" i="18"/>
  <c r="L310" i="18"/>
  <c r="J318" i="18"/>
  <c r="F35" i="17" s="1"/>
  <c r="L316" i="18"/>
  <c r="L345" i="18"/>
  <c r="L348" i="18"/>
  <c r="L351" i="18"/>
  <c r="L363" i="18"/>
  <c r="L375" i="18"/>
  <c r="L26" i="18"/>
  <c r="L207" i="18"/>
  <c r="L299" i="18"/>
  <c r="L7" i="18"/>
  <c r="L30" i="18"/>
  <c r="L98" i="18"/>
  <c r="L115" i="18"/>
  <c r="L138" i="18"/>
  <c r="L141" i="18"/>
  <c r="L178" i="18"/>
  <c r="L189" i="18"/>
  <c r="L208" i="18"/>
  <c r="L235" i="18"/>
  <c r="L251" i="18"/>
  <c r="L260" i="18"/>
  <c r="L277" i="18"/>
  <c r="L291" i="18"/>
  <c r="L300" i="18"/>
  <c r="L317" i="18"/>
  <c r="L327" i="18"/>
  <c r="L376" i="18"/>
  <c r="L18" i="18"/>
  <c r="L71" i="18"/>
  <c r="L130" i="18"/>
  <c r="K141" i="18"/>
  <c r="F161" i="18"/>
  <c r="L161" i="18" s="1"/>
  <c r="L177" i="18"/>
  <c r="L197" i="18"/>
  <c r="L206" i="18"/>
  <c r="L216" i="18"/>
  <c r="L223" i="18"/>
  <c r="L243" i="18"/>
  <c r="L262" i="18"/>
  <c r="K263" i="18"/>
  <c r="L289" i="18"/>
  <c r="L298" i="18"/>
  <c r="L323" i="18"/>
  <c r="L325" i="18"/>
  <c r="L334" i="18"/>
  <c r="F341" i="18"/>
  <c r="L341" i="18" s="1"/>
  <c r="L358" i="18"/>
  <c r="L371" i="18"/>
  <c r="F272" i="18"/>
  <c r="L272" i="18" s="1"/>
  <c r="L335" i="18"/>
  <c r="F21" i="18"/>
  <c r="L21" i="18" s="1"/>
  <c r="L46" i="18"/>
  <c r="L58" i="18"/>
  <c r="L69" i="18"/>
  <c r="L88" i="18"/>
  <c r="L110" i="18"/>
  <c r="L116" i="18"/>
  <c r="L165" i="18"/>
  <c r="L167" i="18"/>
  <c r="L176" i="18"/>
  <c r="L190" i="18"/>
  <c r="L215" i="18"/>
  <c r="L232" i="18"/>
  <c r="L252" i="18"/>
  <c r="K293" i="18"/>
  <c r="L328" i="18"/>
  <c r="K329" i="18"/>
  <c r="L361" i="18"/>
  <c r="L370" i="18"/>
  <c r="L385" i="18"/>
  <c r="L36" i="18"/>
  <c r="L37" i="18"/>
  <c r="L40" i="18"/>
  <c r="L79" i="18"/>
  <c r="F101" i="18"/>
  <c r="L101" i="18" s="1"/>
  <c r="K111" i="18"/>
  <c r="L129" i="18"/>
  <c r="L160" i="18"/>
  <c r="K171" i="18"/>
  <c r="L214" i="18"/>
  <c r="L261" i="18"/>
  <c r="L304" i="18"/>
  <c r="L314" i="18"/>
  <c r="L340" i="18"/>
  <c r="K365" i="18"/>
  <c r="L8" i="18"/>
  <c r="L15" i="18"/>
  <c r="L55" i="18"/>
  <c r="H132" i="18"/>
  <c r="E16" i="17" s="1"/>
  <c r="L222" i="18"/>
  <c r="F228" i="18"/>
  <c r="K236" i="18"/>
  <c r="F236" i="18"/>
  <c r="H330" i="18"/>
  <c r="E36" i="17" s="1"/>
  <c r="L321" i="18"/>
  <c r="F51" i="18"/>
  <c r="L51" i="18" s="1"/>
  <c r="K51" i="18"/>
  <c r="J22" i="18"/>
  <c r="F5" i="17" s="1"/>
  <c r="J42" i="18"/>
  <c r="F7" i="17" s="1"/>
  <c r="F112" i="18"/>
  <c r="L105" i="18"/>
  <c r="K305" i="18"/>
  <c r="F305" i="18"/>
  <c r="L305" i="18" s="1"/>
  <c r="L35" i="18"/>
  <c r="L45" i="18"/>
  <c r="L276" i="18"/>
  <c r="F282" i="18"/>
  <c r="K377" i="18"/>
  <c r="F377" i="18"/>
  <c r="L377" i="18" s="1"/>
  <c r="L85" i="18"/>
  <c r="L9" i="18"/>
  <c r="L16" i="18"/>
  <c r="H32" i="18"/>
  <c r="E6" i="17" s="1"/>
  <c r="H42" i="18"/>
  <c r="E7" i="17" s="1"/>
  <c r="E61" i="18"/>
  <c r="L60" i="18"/>
  <c r="L65" i="18"/>
  <c r="F81" i="18"/>
  <c r="L81" i="18" s="1"/>
  <c r="K81" i="18"/>
  <c r="L155" i="18"/>
  <c r="H162" i="18"/>
  <c r="E19" i="17" s="1"/>
  <c r="F31" i="18"/>
  <c r="L31" i="18" s="1"/>
  <c r="F41" i="18"/>
  <c r="L41" i="18" s="1"/>
  <c r="J52" i="18"/>
  <c r="F8" i="17" s="1"/>
  <c r="L47" i="18"/>
  <c r="L78" i="18"/>
  <c r="J102" i="18"/>
  <c r="F13" i="17" s="1"/>
  <c r="L117" i="18"/>
  <c r="L139" i="18"/>
  <c r="L145" i="18"/>
  <c r="H52" i="18"/>
  <c r="E8" i="17" s="1"/>
  <c r="H112" i="18"/>
  <c r="E14" i="17" s="1"/>
  <c r="F151" i="18"/>
  <c r="L151" i="18" s="1"/>
  <c r="K151" i="18"/>
  <c r="J162" i="18"/>
  <c r="F19" i="17" s="1"/>
  <c r="J172" i="18"/>
  <c r="F20" i="17" s="1"/>
  <c r="E200" i="18"/>
  <c r="L199" i="18"/>
  <c r="H228" i="18"/>
  <c r="E26" i="17" s="1"/>
  <c r="E254" i="18"/>
  <c r="L253" i="18"/>
  <c r="H282" i="18"/>
  <c r="E32" i="17" s="1"/>
  <c r="J330" i="18"/>
  <c r="F36" i="17" s="1"/>
  <c r="L25" i="18"/>
  <c r="L80" i="18"/>
  <c r="L90" i="18"/>
  <c r="L96" i="18"/>
  <c r="J112" i="18"/>
  <c r="F14" i="17" s="1"/>
  <c r="L140" i="18"/>
  <c r="J192" i="18"/>
  <c r="F22" i="17" s="1"/>
  <c r="F191" i="18"/>
  <c r="L191" i="18" s="1"/>
  <c r="H210" i="18"/>
  <c r="E24" i="17" s="1"/>
  <c r="H219" i="18"/>
  <c r="E25" i="17" s="1"/>
  <c r="F245" i="18"/>
  <c r="L245" i="18" s="1"/>
  <c r="H264" i="18"/>
  <c r="E30" i="17" s="1"/>
  <c r="J264" i="18"/>
  <c r="F30" i="17" s="1"/>
  <c r="H273" i="18"/>
  <c r="E31" i="17" s="1"/>
  <c r="L292" i="18"/>
  <c r="F354" i="18"/>
  <c r="L48" i="18"/>
  <c r="L66" i="18"/>
  <c r="L111" i="18"/>
  <c r="H122" i="18"/>
  <c r="E15" i="17" s="1"/>
  <c r="L118" i="18"/>
  <c r="L146" i="18"/>
  <c r="L156" i="18"/>
  <c r="L170" i="18"/>
  <c r="J210" i="18"/>
  <c r="F24" i="17" s="1"/>
  <c r="L224" i="18"/>
  <c r="L231" i="18"/>
  <c r="H237" i="18"/>
  <c r="E27" i="17" s="1"/>
  <c r="L278" i="18"/>
  <c r="H294" i="18"/>
  <c r="E33" i="17" s="1"/>
  <c r="L285" i="18"/>
  <c r="J306" i="18"/>
  <c r="F34" i="17" s="1"/>
  <c r="L329" i="18"/>
  <c r="L336" i="18"/>
  <c r="H342" i="18"/>
  <c r="E37" i="17" s="1"/>
  <c r="L350" i="18"/>
  <c r="H366" i="18"/>
  <c r="E39" i="17" s="1"/>
  <c r="L357" i="18"/>
  <c r="J378" i="18"/>
  <c r="F40" i="17" s="1"/>
  <c r="L56" i="18"/>
  <c r="L70" i="18"/>
  <c r="E11" i="17"/>
  <c r="L86" i="18"/>
  <c r="L99" i="18"/>
  <c r="L107" i="18"/>
  <c r="J122" i="18"/>
  <c r="F15" i="17" s="1"/>
  <c r="F121" i="18"/>
  <c r="L121" i="18" s="1"/>
  <c r="K121" i="18"/>
  <c r="L125" i="18"/>
  <c r="F142" i="18"/>
  <c r="L186" i="18"/>
  <c r="L240" i="18"/>
  <c r="L263" i="18"/>
  <c r="L270" i="18"/>
  <c r="F294" i="18"/>
  <c r="L322" i="18"/>
  <c r="H354" i="18"/>
  <c r="E38" i="17" s="1"/>
  <c r="F366" i="18"/>
  <c r="L175" i="18"/>
  <c r="K181" i="18"/>
  <c r="L205" i="18"/>
  <c r="L213" i="18"/>
  <c r="K227" i="18"/>
  <c r="L259" i="18"/>
  <c r="L267" i="18"/>
  <c r="K281" i="18"/>
  <c r="L297" i="18"/>
  <c r="L311" i="18"/>
  <c r="K317" i="18"/>
  <c r="L333" i="18"/>
  <c r="L347" i="18"/>
  <c r="K353" i="18"/>
  <c r="L369" i="18"/>
  <c r="L383" i="18"/>
  <c r="K389" i="18"/>
  <c r="F219" i="18" l="1"/>
  <c r="D25" i="17" s="1"/>
  <c r="G25" i="17" s="1"/>
  <c r="F82" i="18"/>
  <c r="L82" i="18" s="1"/>
  <c r="G41" i="17"/>
  <c r="F52" i="18"/>
  <c r="L52" i="18" s="1"/>
  <c r="F378" i="18"/>
  <c r="L378" i="18" s="1"/>
  <c r="G36" i="17"/>
  <c r="G21" i="17"/>
  <c r="G20" i="17"/>
  <c r="G24" i="17"/>
  <c r="G30" i="17"/>
  <c r="G35" i="17"/>
  <c r="F102" i="18"/>
  <c r="L102" i="18" s="1"/>
  <c r="L91" i="18"/>
  <c r="F92" i="18"/>
  <c r="L92" i="18" s="1"/>
  <c r="K91" i="18"/>
  <c r="L209" i="18"/>
  <c r="L182" i="18"/>
  <c r="K11" i="18"/>
  <c r="L11" i="18"/>
  <c r="F12" i="18"/>
  <c r="F342" i="18"/>
  <c r="D37" i="17" s="1"/>
  <c r="G37" i="17" s="1"/>
  <c r="F32" i="18"/>
  <c r="L32" i="18" s="1"/>
  <c r="L390" i="18"/>
  <c r="F132" i="18"/>
  <c r="L132" i="18" s="1"/>
  <c r="F306" i="18"/>
  <c r="D34" i="17" s="1"/>
  <c r="G34" i="17" s="1"/>
  <c r="F162" i="18"/>
  <c r="D19" i="17" s="1"/>
  <c r="G19" i="17" s="1"/>
  <c r="F246" i="18"/>
  <c r="D28" i="17" s="1"/>
  <c r="G28" i="17" s="1"/>
  <c r="L318" i="18"/>
  <c r="F273" i="18"/>
  <c r="D31" i="17" s="1"/>
  <c r="G31" i="17" s="1"/>
  <c r="F22" i="18"/>
  <c r="L22" i="18" s="1"/>
  <c r="F152" i="18"/>
  <c r="L152" i="18" s="1"/>
  <c r="L210" i="18"/>
  <c r="L294" i="18"/>
  <c r="D33" i="17"/>
  <c r="G33" i="17" s="1"/>
  <c r="L142" i="18"/>
  <c r="D17" i="17"/>
  <c r="G17" i="17" s="1"/>
  <c r="F61" i="18"/>
  <c r="F62" i="18" s="1"/>
  <c r="K61" i="18"/>
  <c r="L282" i="18"/>
  <c r="D32" i="17"/>
  <c r="G32" i="17" s="1"/>
  <c r="F192" i="18"/>
  <c r="L228" i="18"/>
  <c r="D26" i="17"/>
  <c r="G26" i="17" s="1"/>
  <c r="K254" i="18"/>
  <c r="F254" i="18"/>
  <c r="L366" i="18"/>
  <c r="D39" i="17"/>
  <c r="G39" i="17" s="1"/>
  <c r="L172" i="18"/>
  <c r="L354" i="18"/>
  <c r="D38" i="17"/>
  <c r="G38" i="17" s="1"/>
  <c r="L264" i="18"/>
  <c r="F42" i="18"/>
  <c r="L330" i="18"/>
  <c r="L236" i="18"/>
  <c r="F237" i="18"/>
  <c r="L72" i="18"/>
  <c r="D10" i="17"/>
  <c r="G10" i="17" s="1"/>
  <c r="F122" i="18"/>
  <c r="K200" i="18"/>
  <c r="F200" i="18"/>
  <c r="D14" i="17"/>
  <c r="G14" i="17" s="1"/>
  <c r="L112" i="18"/>
  <c r="L219" i="18" l="1"/>
  <c r="D40" i="17"/>
  <c r="G40" i="17" s="1"/>
  <c r="D11" i="17"/>
  <c r="G11" i="17" s="1"/>
  <c r="D13" i="17"/>
  <c r="G13" i="17" s="1"/>
  <c r="L12" i="18"/>
  <c r="D4" i="17"/>
  <c r="G4" i="17" s="1"/>
  <c r="D12" i="17"/>
  <c r="G12" i="17" s="1"/>
  <c r="D6" i="17"/>
  <c r="G6" i="17" s="1"/>
  <c r="L342" i="18"/>
  <c r="L246" i="18"/>
  <c r="L162" i="18"/>
  <c r="D16" i="17"/>
  <c r="G16" i="17" s="1"/>
  <c r="L306" i="18"/>
  <c r="D5" i="17"/>
  <c r="G5" i="17" s="1"/>
  <c r="L273" i="18"/>
  <c r="D8" i="17"/>
  <c r="G8" i="17" s="1"/>
  <c r="D18" i="17"/>
  <c r="G18" i="17" s="1"/>
  <c r="L122" i="18"/>
  <c r="D15" i="17"/>
  <c r="G15" i="17" s="1"/>
  <c r="L42" i="18"/>
  <c r="D7" i="17"/>
  <c r="G7" i="17" s="1"/>
  <c r="L237" i="18"/>
  <c r="D27" i="17"/>
  <c r="G27" i="17" s="1"/>
  <c r="L192" i="18"/>
  <c r="D22" i="17"/>
  <c r="G22" i="17" s="1"/>
  <c r="L254" i="18"/>
  <c r="F255" i="18"/>
  <c r="L200" i="18"/>
  <c r="F201" i="18"/>
  <c r="L61" i="18"/>
  <c r="L255" i="18" l="1"/>
  <c r="D29" i="17"/>
  <c r="G29" i="17" s="1"/>
  <c r="L201" i="18"/>
  <c r="D23" i="17"/>
  <c r="G23" i="17" s="1"/>
  <c r="L62" i="18"/>
  <c r="D9" i="17"/>
  <c r="G9" i="17" s="1"/>
  <c r="N43" i="11" l="1"/>
  <c r="N42" i="11"/>
  <c r="N41" i="11"/>
  <c r="N40" i="11"/>
  <c r="N39" i="11"/>
  <c r="N24" i="11"/>
  <c r="N18" i="11"/>
  <c r="N35" i="11"/>
  <c r="N34" i="11"/>
  <c r="N33" i="11"/>
  <c r="N29" i="11"/>
  <c r="N28" i="11"/>
  <c r="N19" i="11"/>
  <c r="N13" i="11"/>
  <c r="N5" i="11" l="1"/>
  <c r="N15" i="11"/>
  <c r="N20" i="11"/>
  <c r="N8" i="11"/>
  <c r="N6" i="11"/>
  <c r="N37" i="10"/>
  <c r="N17" i="11" l="1"/>
  <c r="N38" i="7" l="1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287" i="7"/>
  <c r="N290" i="7"/>
  <c r="N293" i="7"/>
  <c r="N299" i="7"/>
  <c r="N301" i="7"/>
  <c r="N302" i="7"/>
  <c r="N317" i="7"/>
  <c r="N319" i="7"/>
  <c r="N321" i="7"/>
  <c r="N323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72" i="11"/>
  <c r="N14" i="11"/>
  <c r="N11" i="11"/>
  <c r="N10" i="11"/>
  <c r="N9" i="11"/>
  <c r="N136" i="14" l="1"/>
  <c r="N135" i="14"/>
  <c r="N134" i="14"/>
  <c r="N133" i="14"/>
  <c r="N132" i="14"/>
  <c r="N131" i="14"/>
  <c r="N130" i="14"/>
  <c r="N129" i="14"/>
  <c r="N128" i="14"/>
  <c r="N127" i="14"/>
  <c r="N20" i="14"/>
  <c r="N7" i="14"/>
  <c r="N6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1" i="14"/>
  <c r="N22" i="14"/>
  <c r="N23" i="14"/>
  <c r="N24" i="14"/>
  <c r="N25" i="14"/>
  <c r="N26" i="14"/>
  <c r="N27" i="14"/>
  <c r="N28" i="14"/>
  <c r="N29" i="14"/>
  <c r="N30" i="14"/>
  <c r="N31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5" i="14"/>
  <c r="N84" i="13"/>
  <c r="N43" i="10" l="1"/>
  <c r="N42" i="10"/>
  <c r="N36" i="10"/>
  <c r="N35" i="10"/>
  <c r="N34" i="10"/>
  <c r="N33" i="10"/>
  <c r="N32" i="10"/>
  <c r="N97" i="11"/>
  <c r="N96" i="11"/>
  <c r="N95" i="11"/>
  <c r="N94" i="11"/>
  <c r="N93" i="11"/>
  <c r="N92" i="11"/>
  <c r="N91" i="11"/>
  <c r="N90" i="11"/>
  <c r="N89" i="11"/>
  <c r="N88" i="11"/>
  <c r="N87" i="11"/>
  <c r="N86" i="11"/>
  <c r="N85" i="11"/>
  <c r="N84" i="11"/>
  <c r="N83" i="11"/>
  <c r="N82" i="11"/>
  <c r="N81" i="11"/>
  <c r="N80" i="11"/>
  <c r="N79" i="11"/>
  <c r="N78" i="11"/>
  <c r="N77" i="11"/>
  <c r="N76" i="11"/>
  <c r="N75" i="11"/>
  <c r="N74" i="11"/>
  <c r="N73" i="11"/>
  <c r="N71" i="11"/>
  <c r="N70" i="11"/>
  <c r="N69" i="11"/>
  <c r="N67" i="11"/>
  <c r="N66" i="11"/>
  <c r="N65" i="11"/>
  <c r="N64" i="11"/>
  <c r="N63" i="11"/>
  <c r="N62" i="11"/>
  <c r="N61" i="11"/>
  <c r="N60" i="11"/>
  <c r="N59" i="11"/>
  <c r="N58" i="11"/>
  <c r="N57" i="11"/>
  <c r="N56" i="11"/>
  <c r="N55" i="11"/>
  <c r="N54" i="11"/>
  <c r="N52" i="11"/>
  <c r="N51" i="11"/>
  <c r="N50" i="11"/>
  <c r="N49" i="11"/>
  <c r="N48" i="11"/>
  <c r="N47" i="11"/>
  <c r="N46" i="11"/>
  <c r="N45" i="11"/>
  <c r="N44" i="11"/>
  <c r="N38" i="11"/>
  <c r="N36" i="11"/>
  <c r="N32" i="11"/>
  <c r="N30" i="11"/>
  <c r="N27" i="11"/>
  <c r="N26" i="11"/>
  <c r="N25" i="11"/>
  <c r="N23" i="11"/>
  <c r="N22" i="11"/>
  <c r="N21" i="11"/>
  <c r="N128" i="11"/>
  <c r="N127" i="11"/>
  <c r="N130" i="11"/>
  <c r="N123" i="11"/>
  <c r="N122" i="11"/>
  <c r="N121" i="11"/>
  <c r="N113" i="11"/>
  <c r="N112" i="11"/>
  <c r="N111" i="11"/>
  <c r="N110" i="11"/>
  <c r="N109" i="11"/>
  <c r="N108" i="11"/>
  <c r="N49" i="10"/>
  <c r="N48" i="10"/>
  <c r="N45" i="10"/>
  <c r="N44" i="10"/>
  <c r="N52" i="10"/>
  <c r="N51" i="10"/>
  <c r="N50" i="10"/>
  <c r="N25" i="10"/>
  <c r="N24" i="10"/>
  <c r="N23" i="10"/>
</calcChain>
</file>

<file path=xl/sharedStrings.xml><?xml version="1.0" encoding="utf-8"?>
<sst xmlns="http://schemas.openxmlformats.org/spreadsheetml/2006/main" count="18652" uniqueCount="2699">
  <si>
    <t>품      명</t>
  </si>
  <si>
    <t>단위</t>
  </si>
  <si>
    <t>재  료  비</t>
  </si>
  <si>
    <t>비  고</t>
  </si>
  <si>
    <t>자재구분</t>
  </si>
  <si>
    <t/>
  </si>
  <si>
    <t>Φ648(KS)</t>
  </si>
  <si>
    <t>조</t>
  </si>
  <si>
    <t>1,120*620(KS)</t>
  </si>
  <si>
    <t>950*450*700*150t</t>
  </si>
  <si>
    <t>지중선로표시기</t>
  </si>
  <si>
    <t>전기,통신용</t>
  </si>
  <si>
    <t>개</t>
  </si>
  <si>
    <t>200㎜</t>
  </si>
  <si>
    <t>M</t>
  </si>
  <si>
    <t>300㎜</t>
  </si>
  <si>
    <t>누전차단기내장</t>
  </si>
  <si>
    <t>스위치박스</t>
  </si>
  <si>
    <t>1개용, 44mm</t>
  </si>
  <si>
    <t>1개용, 54mm</t>
  </si>
  <si>
    <t>1개용, 75mm</t>
  </si>
  <si>
    <t>아웃렛박스</t>
  </si>
  <si>
    <t>4각</t>
  </si>
  <si>
    <t>8각</t>
  </si>
  <si>
    <t>하이박스(HI-BOX)</t>
  </si>
  <si>
    <t>150*150*90㎜</t>
  </si>
  <si>
    <t>150*200*122㎜</t>
  </si>
  <si>
    <t>200*300*140㎜</t>
  </si>
  <si>
    <t>300*300*165㎜</t>
  </si>
  <si>
    <t>300*400*170㎜</t>
  </si>
  <si>
    <t>400*500*170㎜</t>
  </si>
  <si>
    <t>100*100*50mm</t>
  </si>
  <si>
    <t>100*100*75mm</t>
  </si>
  <si>
    <t>100*100*100mm</t>
  </si>
  <si>
    <t>150*150*100mm</t>
  </si>
  <si>
    <t>200*200*100mm</t>
  </si>
  <si>
    <t>200*200*150mm</t>
  </si>
  <si>
    <t>200*200*200mm</t>
  </si>
  <si>
    <t>250*250*100mm</t>
  </si>
  <si>
    <t>250*250*150mm</t>
  </si>
  <si>
    <t>300*300*150mm</t>
  </si>
  <si>
    <t>300*300*200mm</t>
  </si>
  <si>
    <t>300*300*300mm</t>
  </si>
  <si>
    <t>400*400*150mm</t>
  </si>
  <si>
    <t>400*400*200mm</t>
  </si>
  <si>
    <t>400*400*300mm</t>
  </si>
  <si>
    <t>500*500*200mm</t>
  </si>
  <si>
    <t>500*500*300mm</t>
  </si>
  <si>
    <t>600*600*300mm</t>
  </si>
  <si>
    <t>1CCT</t>
  </si>
  <si>
    <t>2CCT</t>
  </si>
  <si>
    <t>3CCT</t>
  </si>
  <si>
    <t>4CCT</t>
  </si>
  <si>
    <t>5CCT</t>
  </si>
  <si>
    <t>14Φ*1000mm</t>
  </si>
  <si>
    <t>16Φ*1800mm</t>
  </si>
  <si>
    <t>18Φ*2400mm</t>
  </si>
  <si>
    <t>19Φ*2400mm</t>
  </si>
  <si>
    <t>피뢰침</t>
  </si>
  <si>
    <t>31*11mm, 소</t>
  </si>
  <si>
    <t>39*15mm, 중</t>
  </si>
  <si>
    <t>51*19mm, 대</t>
  </si>
  <si>
    <t>65*22mm, 특대</t>
  </si>
  <si>
    <t>알루미늄몰드</t>
  </si>
  <si>
    <t>28*11mm</t>
  </si>
  <si>
    <t>36*14mm</t>
  </si>
  <si>
    <t>50*20mm</t>
  </si>
  <si>
    <t>40*30mm</t>
  </si>
  <si>
    <t>60*40mm</t>
  </si>
  <si>
    <t>80*60mm</t>
  </si>
  <si>
    <t>100*80mm</t>
  </si>
  <si>
    <t>알루미늄덕트</t>
  </si>
  <si>
    <t>50*35mm</t>
  </si>
  <si>
    <t>60*60mm</t>
  </si>
  <si>
    <t>70*40mm</t>
  </si>
  <si>
    <t>100*50mm</t>
  </si>
  <si>
    <t>120*60mm</t>
  </si>
  <si>
    <t>150*100mm</t>
  </si>
  <si>
    <t>알루미늄덕트 부속품</t>
  </si>
  <si>
    <t>엘보ㄱ/ㄴ/T형, 50mm</t>
  </si>
  <si>
    <t>엘보ㄱ/ㄴ/T형, 70mm</t>
  </si>
  <si>
    <t>엘보ㄱ/ㄴ/T형, 100mm</t>
  </si>
  <si>
    <t>엘보ㄱ/ㄴ/T형, 120mm</t>
  </si>
  <si>
    <t>스텐덕트(V자 절곡및기타부속자재포함)</t>
  </si>
  <si>
    <t>100x100x0.8t</t>
  </si>
  <si>
    <t>150x100x0.8t</t>
  </si>
  <si>
    <t>200x100x0.8t</t>
  </si>
  <si>
    <t>300x100x0.8t</t>
  </si>
  <si>
    <t>400x100x0.8t</t>
  </si>
  <si>
    <t>500x100x0.8t</t>
  </si>
  <si>
    <t>600x100x0.8t</t>
  </si>
  <si>
    <t>700x100x0.8t</t>
  </si>
  <si>
    <t>800x100x0.8t</t>
  </si>
  <si>
    <t>900x100x0.8t</t>
  </si>
  <si>
    <t>1000x100x0.8t</t>
  </si>
  <si>
    <t>1200x100x0.8t</t>
  </si>
  <si>
    <t>덕트형케이블트레이</t>
  </si>
  <si>
    <t>ST, W150*100H*2.3t</t>
  </si>
  <si>
    <t>ST, W200*100H*2.3t</t>
  </si>
  <si>
    <t>ST, W300*100H*2.3t</t>
  </si>
  <si>
    <t>ST, W400*100H*2.3t</t>
  </si>
  <si>
    <t>ST, W500*100H*2.3t</t>
  </si>
  <si>
    <t>ST, W600*100H*2.3t</t>
  </si>
  <si>
    <t>ST, W700*100H*2.3t</t>
  </si>
  <si>
    <t>ST, W800*100H*2.3t</t>
  </si>
  <si>
    <t>ST, W900*100H*2.3t</t>
  </si>
  <si>
    <t>ST, W1000*100H*2.3t</t>
  </si>
  <si>
    <t>덕트형케이블트레이부속품</t>
  </si>
  <si>
    <t>ST, H. ELBOW, W150*100H*2.3t</t>
  </si>
  <si>
    <t>ST, H. ELBOW, W200*100H*2.3t</t>
  </si>
  <si>
    <t>ST, H. ELBOW, W300*100H*2.3t</t>
  </si>
  <si>
    <t>ST, H. ELBOW, W400*100H*2.3t</t>
  </si>
  <si>
    <t>ST, H. ELBOW, W500*100H*2.3t</t>
  </si>
  <si>
    <t>ST, H. ELBOW, W600*100H*2.3t</t>
  </si>
  <si>
    <t>ST, H. ELBOW, W700*100H*2.3t</t>
  </si>
  <si>
    <t>ST, H. ELBOW, W800*100H*2.3t</t>
  </si>
  <si>
    <t>ST, H. ELBOW, W900*100H*2.3t</t>
  </si>
  <si>
    <t>ST, H. ELBOW, W1000*100H*2.3t</t>
  </si>
  <si>
    <t>ST, V. ELBOW, W150*100H*2.3t</t>
  </si>
  <si>
    <t>ST, V. ELBOW, W200*100H*2.3t</t>
  </si>
  <si>
    <t>ST, V. ELBOW, W300*100H*2.3t</t>
  </si>
  <si>
    <t>ST, V. ELBOW, W400*100H*2.3t</t>
  </si>
  <si>
    <t>ST, V. ELBOW, W500*100H*2.3t</t>
  </si>
  <si>
    <t>ST, V. ELBOW, W600*100H*2.3t</t>
  </si>
  <si>
    <t>ST, V. ELBOW, W700*100H*2.3t</t>
  </si>
  <si>
    <t>ST, V. ELBOW, W800*100H*2.3t</t>
  </si>
  <si>
    <t>ST, V. ELBOW, W900*100H*2.3t</t>
  </si>
  <si>
    <t>ST, V. ELBOW, W1000*100H*2.3t</t>
  </si>
  <si>
    <t>ST, H. TEE, W150*100H*2.3t</t>
  </si>
  <si>
    <t>ST, H. TEE, W200*100H*2.3t</t>
  </si>
  <si>
    <t>ST, H. TEE, W300*100H*2.3t</t>
  </si>
  <si>
    <t>ST, H. TEE, W400*100H*2.3t</t>
  </si>
  <si>
    <t>ST, H. TEE, W500*100H*2.3t</t>
  </si>
  <si>
    <t>ST, H. TEE, W600*100H*2.3t</t>
  </si>
  <si>
    <t>ST, H. TEE, W700*100H*2.3t</t>
  </si>
  <si>
    <t>ST, H. TEE, W800*100H*2.3t</t>
  </si>
  <si>
    <t>ST, H. TEE, W900*100H*2.3t</t>
  </si>
  <si>
    <t>ST, H. TEE, W1000*100H*2.3t</t>
  </si>
  <si>
    <t>ST, H. CROSS, W150*100H*2.3t</t>
  </si>
  <si>
    <t>ST, H. CROSS, W200*100H*2.3t</t>
  </si>
  <si>
    <t>ST, H. CROSS, W300*100H*2.3t</t>
  </si>
  <si>
    <t>ST, H. CROSS, W400*100H*2.3t</t>
  </si>
  <si>
    <t>ST, H. CROSS, W500*100H*2.3t</t>
  </si>
  <si>
    <t>ST, H. CROSS, W600*100H*2.3t</t>
  </si>
  <si>
    <t>ST, H. CROSS, W700*100H*2.3t</t>
  </si>
  <si>
    <t>ST, H. CROSS, W800*100H*2.3t</t>
  </si>
  <si>
    <t>ST, H. CROSS, W900*100H*2.3t</t>
  </si>
  <si>
    <t>ST, H. CROSS, W1000*100H*2.3t</t>
  </si>
  <si>
    <t>ST, CONNECTOR, W150</t>
  </si>
  <si>
    <t>ST, CONNECTOR, W200</t>
  </si>
  <si>
    <t>ST, CONNECTOR, W300</t>
  </si>
  <si>
    <t>ST, CONNECTOR, W400</t>
  </si>
  <si>
    <t>ST, CONNECTOR, W500</t>
  </si>
  <si>
    <t>ST, CONNECTOR, W600</t>
  </si>
  <si>
    <t>ST, CONNECTOR, W700</t>
  </si>
  <si>
    <t>ST, CONNECTOR, W800</t>
  </si>
  <si>
    <t>ST, CONNECTOR, W900</t>
  </si>
  <si>
    <t>ST, CONNECTOR, W1000</t>
  </si>
  <si>
    <t>사다리형케이블트레이</t>
  </si>
  <si>
    <t>150x100x2.3t  (LADDER TYPE)</t>
  </si>
  <si>
    <t>200x100x2.3t  (LADDER TYPE)</t>
  </si>
  <si>
    <t>300x100x2.3t  (LADDER TYPE)</t>
  </si>
  <si>
    <t>400x100x2.3t  (LADDER TYPE)</t>
  </si>
  <si>
    <t>500x100x2.3t  (LADDER TYPE)</t>
  </si>
  <si>
    <t>600x100x2.3t  (LADDER TYPE)</t>
  </si>
  <si>
    <t>700x100x2.3t  (LADDER TYPE)</t>
  </si>
  <si>
    <t>800x100x2.3t  (LADDER TYPE)</t>
  </si>
  <si>
    <t>900x100x2.3t  (LADDER TYPE)</t>
  </si>
  <si>
    <t>케이블트레이부속품</t>
  </si>
  <si>
    <t>Joint connector, 아연도, 100*t2.3mm</t>
  </si>
  <si>
    <t>Shank bolt and nut, 아연도</t>
  </si>
  <si>
    <t>찬넬스프링너트, 아연도</t>
  </si>
  <si>
    <t>U Channel, 41*41*t2.6mm</t>
  </si>
  <si>
    <t>행어볼트</t>
  </si>
  <si>
    <t>육각너트</t>
  </si>
  <si>
    <t>육각너트, M10</t>
  </si>
  <si>
    <t>M10</t>
  </si>
  <si>
    <t>스프링와셔</t>
  </si>
  <si>
    <t>세트앵커</t>
  </si>
  <si>
    <t>스트롱앵커</t>
  </si>
  <si>
    <t>3/8"</t>
  </si>
  <si>
    <t>인서트</t>
  </si>
  <si>
    <t>HI-TEC트레이부속품</t>
  </si>
  <si>
    <t>레이스웨이-COVER</t>
  </si>
  <si>
    <t>Cover, 40*40mm</t>
  </si>
  <si>
    <t>레이스웨이-부속품</t>
  </si>
  <si>
    <t>Joiner, 40*40mm</t>
  </si>
  <si>
    <t>End cap, 40*40mm</t>
  </si>
  <si>
    <t>수평Elbow, 40*40mm</t>
  </si>
  <si>
    <t>수평Elbow, 110*50mm</t>
  </si>
  <si>
    <t>기구용금구, 40*40mm</t>
  </si>
  <si>
    <t>기구용금구, 110*50mm</t>
  </si>
  <si>
    <t>A형 Hanger, 40*40mm</t>
  </si>
  <si>
    <t>C형 Hanger, 40*40mm</t>
  </si>
  <si>
    <t>C형 Hanger, 110*50mm</t>
  </si>
  <si>
    <t>Box connector, 110*50mm</t>
  </si>
  <si>
    <t>Joint box, 40*40mm</t>
  </si>
  <si>
    <t>Junc box, 3방, 40*40mm</t>
  </si>
  <si>
    <t>Junc box, 2방, 40*40mm</t>
  </si>
  <si>
    <t>Junc box, 4방, 40*40mm</t>
  </si>
  <si>
    <t>Reducer box, 40*40mm</t>
  </si>
  <si>
    <t>R/W JUNC. box - 4방, 110*40</t>
  </si>
  <si>
    <t>ACSR-OC, 58㎟, 22.9kV</t>
  </si>
  <si>
    <t>HFIX, 2.5㎟</t>
  </si>
  <si>
    <t>HFIX, 4㎟</t>
  </si>
  <si>
    <t>HFIX, 6㎟</t>
  </si>
  <si>
    <t>HFIX, 10㎟</t>
  </si>
  <si>
    <t>600V폴리에틸렌케이블</t>
  </si>
  <si>
    <t>접지용비닐절연전선</t>
  </si>
  <si>
    <t>F-GV, 2.5㎟</t>
  </si>
  <si>
    <t>F-GV, 4㎟</t>
  </si>
  <si>
    <t>F-GV, 6㎟</t>
  </si>
  <si>
    <t>F-GV, 10㎟</t>
  </si>
  <si>
    <t>F-GV, 16㎟</t>
  </si>
  <si>
    <t>F-GV, 25㎟</t>
  </si>
  <si>
    <t>F-GV, 35㎟</t>
  </si>
  <si>
    <t>F-GV, 50㎟</t>
  </si>
  <si>
    <t>F-GV, 70㎟</t>
  </si>
  <si>
    <t>F-GV, 95㎟</t>
  </si>
  <si>
    <t>F-GV, 120㎟</t>
  </si>
  <si>
    <t>F-GV, 150㎟</t>
  </si>
  <si>
    <t>F-GV, 185㎟</t>
  </si>
  <si>
    <t>F-GV, 240㎟</t>
  </si>
  <si>
    <t>F-GV, 300㎟</t>
  </si>
  <si>
    <t>F-GV, 400㎟</t>
  </si>
  <si>
    <t>전기기기용비닐절연전선</t>
  </si>
  <si>
    <t>KIV, 1.5㎟</t>
  </si>
  <si>
    <t>KIV, 2.5㎟</t>
  </si>
  <si>
    <t>KIV, 4㎟</t>
  </si>
  <si>
    <t>KIV, 6㎟</t>
  </si>
  <si>
    <t>KIV, 10㎟</t>
  </si>
  <si>
    <t>KIV, 16㎟</t>
  </si>
  <si>
    <t>KIV, 25㎟</t>
  </si>
  <si>
    <t>KIV, 35㎟</t>
  </si>
  <si>
    <t>KIV, 50㎟</t>
  </si>
  <si>
    <t>KIV, 70㎟</t>
  </si>
  <si>
    <t>KIV, 95㎟</t>
  </si>
  <si>
    <t>KIV, 120㎟</t>
  </si>
  <si>
    <t>KIV, 150㎟</t>
  </si>
  <si>
    <t>KIV, 185㎟</t>
  </si>
  <si>
    <t>KIV, 240㎟</t>
  </si>
  <si>
    <t>600V비닐절연비닐캡타이어케이블</t>
  </si>
  <si>
    <t>내열전선</t>
  </si>
  <si>
    <t>제어케이블</t>
  </si>
  <si>
    <t>광케이블(SM)(싱글모드)</t>
  </si>
  <si>
    <t>4C</t>
  </si>
  <si>
    <t>8C</t>
  </si>
  <si>
    <t>12C</t>
  </si>
  <si>
    <t>16C</t>
  </si>
  <si>
    <t>24C</t>
  </si>
  <si>
    <t>광케이블(MM)(멀티모드)</t>
  </si>
  <si>
    <t>PE절연비닐시내쌍케이블</t>
  </si>
  <si>
    <t>통신케이블</t>
  </si>
  <si>
    <t>고발포동축케이블</t>
  </si>
  <si>
    <t>HFL-SS-10C</t>
  </si>
  <si>
    <t>ECX, 3C-2V</t>
  </si>
  <si>
    <t>고주파동축케이블</t>
  </si>
  <si>
    <t>ECX, 5C-2V</t>
  </si>
  <si>
    <t>ECX, 7C-2V</t>
  </si>
  <si>
    <t>ECX, 10C-2V</t>
  </si>
  <si>
    <t>스피커케이블</t>
  </si>
  <si>
    <t>SW-2200(연선30심)</t>
  </si>
  <si>
    <t>SW-2300(연선50심)</t>
  </si>
  <si>
    <t>스피커케이블(2C)</t>
  </si>
  <si>
    <t>2S9F</t>
  </si>
  <si>
    <t>2S11F</t>
  </si>
  <si>
    <t>2S14F</t>
  </si>
  <si>
    <t>마이크케이블</t>
  </si>
  <si>
    <t>MW-3200(20심)</t>
  </si>
  <si>
    <t>MW-3300(60심)</t>
  </si>
  <si>
    <t>오디오케이블(2C)</t>
  </si>
  <si>
    <t>L-2B2AT</t>
  </si>
  <si>
    <t>L-2E5AT</t>
  </si>
  <si>
    <t>L-2E5</t>
  </si>
  <si>
    <t>멀티오디오케이블(8CH)</t>
  </si>
  <si>
    <t>MR202-8AT</t>
  </si>
  <si>
    <t>멀티비디오케이블(RGB)</t>
  </si>
  <si>
    <t>V5-3C</t>
  </si>
  <si>
    <t>V5-1.5C</t>
  </si>
  <si>
    <t>컴퓨터용데이터케이블(무실드)</t>
  </si>
  <si>
    <t>AWG24/0.3㎟-2C</t>
  </si>
  <si>
    <t>AWG24/0.3㎟-3C</t>
  </si>
  <si>
    <t>AWG24/0.3㎟-4C</t>
  </si>
  <si>
    <t>컴퓨터용데이터케이블(실드)</t>
  </si>
  <si>
    <t>HDMI CABLE(Hi-Speed)</t>
  </si>
  <si>
    <t>HDMI(1.5M)</t>
  </si>
  <si>
    <t>HDMI(3M)</t>
  </si>
  <si>
    <t>HDMI(5M)</t>
  </si>
  <si>
    <t>HDMI(7M)</t>
  </si>
  <si>
    <t>HDMI(10M)</t>
  </si>
  <si>
    <t>HDMI(15M)</t>
  </si>
  <si>
    <t>HDMI(20M)</t>
  </si>
  <si>
    <t>주물단자</t>
  </si>
  <si>
    <t>동주물단자, 25㎟</t>
  </si>
  <si>
    <t>동주물단자, 35㎟</t>
  </si>
  <si>
    <t>동주물단자, 50㎟</t>
  </si>
  <si>
    <t>동주물단자, 70㎟</t>
  </si>
  <si>
    <t>동주물단자, 95㎟</t>
  </si>
  <si>
    <t>동주물단자, 150㎟</t>
  </si>
  <si>
    <t>동주물단자, 185㎟</t>
  </si>
  <si>
    <t>동주물단자, 240㎟</t>
  </si>
  <si>
    <t>동주물단자, 300㎟</t>
  </si>
  <si>
    <t>동주물단자, 400㎟</t>
  </si>
  <si>
    <t>동주물단자, 500㎟</t>
  </si>
  <si>
    <t>동주물단자, 600㎟</t>
  </si>
  <si>
    <t>동주물단자, 800㎟</t>
  </si>
  <si>
    <t>동주물단자, 1,000㎟</t>
  </si>
  <si>
    <t>압착단자</t>
  </si>
  <si>
    <t>압착터미널, 1.5㎟</t>
  </si>
  <si>
    <t>압착터미널, 2.5㎟</t>
  </si>
  <si>
    <t>압착터미널, 6㎟</t>
  </si>
  <si>
    <t>압착터미널, 10㎟</t>
  </si>
  <si>
    <t>압착터미널, 16㎟</t>
  </si>
  <si>
    <t>압착터미널, 25㎟</t>
  </si>
  <si>
    <t>압착터미널, 35㎟</t>
  </si>
  <si>
    <t>압착터미널, 50㎟</t>
  </si>
  <si>
    <t>압착터미널, 70㎟</t>
  </si>
  <si>
    <t>압착터미널, 95㎟</t>
  </si>
  <si>
    <t>압착터미널, 150㎟</t>
  </si>
  <si>
    <t>압착터미널, 185㎟</t>
  </si>
  <si>
    <t>압착터미널, 300㎟</t>
  </si>
  <si>
    <t>강제전선관(아연도)</t>
  </si>
  <si>
    <t>나사없는전선관(1본=3.6M)</t>
  </si>
  <si>
    <t>E19 (19.1Ø)(내경:16.7)</t>
  </si>
  <si>
    <t>E25 (25.4Ø)(내경:23.0)</t>
  </si>
  <si>
    <t>E31 (31.8Ø)(내경:29)</t>
  </si>
  <si>
    <t>E39 (38.1Ø)(내경:35.3)</t>
  </si>
  <si>
    <t>E51 (50.8Ø)(내경:48)</t>
  </si>
  <si>
    <t>E63 (63.5Ø)(내경:60.3)</t>
  </si>
  <si>
    <t>E75 (76.2Ø)(내경:72.6)</t>
  </si>
  <si>
    <t>경질비닐전선관</t>
  </si>
  <si>
    <t>폴리에틸렌전선관</t>
  </si>
  <si>
    <t>파상형경질폴리에틸렌전선관</t>
  </si>
  <si>
    <t>강재전선관용부품</t>
  </si>
  <si>
    <t>위험표지판(특별고압)</t>
  </si>
  <si>
    <t>SUS,규격품</t>
  </si>
  <si>
    <t>준공표지판</t>
  </si>
  <si>
    <t>케이블단말처리재-25kV 3C옥내외</t>
  </si>
  <si>
    <t>kit</t>
  </si>
  <si>
    <t>케이블 헤드지지금구</t>
  </si>
  <si>
    <t>식</t>
  </si>
  <si>
    <t>케이블 헤드 카바</t>
  </si>
  <si>
    <t>케이블 지지용강밴드</t>
  </si>
  <si>
    <t>40*1200mm</t>
  </si>
  <si>
    <t>주택용 분전반</t>
  </si>
  <si>
    <t>대</t>
  </si>
  <si>
    <t>차단기함(전면:SUS)</t>
  </si>
  <si>
    <t>250*350*150mm</t>
  </si>
  <si>
    <t>차단기함(노출:SUS)</t>
  </si>
  <si>
    <t>350*350*150mm</t>
  </si>
  <si>
    <t>등기구보강대</t>
  </si>
  <si>
    <t>형광등기구용, 장력형, 0.3m</t>
  </si>
  <si>
    <t>형광등기구용, 장력형, 1.0m</t>
  </si>
  <si>
    <t>형광등기구용, 장력형, 1.5m</t>
  </si>
  <si>
    <t>형광등기구용, 찬넬보강형</t>
  </si>
  <si>
    <t>형광등기구용, 행거스프링형</t>
  </si>
  <si>
    <t>다운라이트용, 장력형, 1.0m</t>
  </si>
  <si>
    <t>다운라이트용, 행거스프링형</t>
  </si>
  <si>
    <t>다운라이트용, 평형스프링형</t>
  </si>
  <si>
    <t>덤블러스위치(와이드)</t>
  </si>
  <si>
    <t>1로스위치, 15A250V1구</t>
  </si>
  <si>
    <t>1로스위치, 15A250V 2구</t>
  </si>
  <si>
    <t>1로스위치, 15A250V 3구</t>
  </si>
  <si>
    <t>1로스위치, 15A250V 4구</t>
  </si>
  <si>
    <t>1로스위치, 15A250V 5구</t>
  </si>
  <si>
    <t>1로스위치, 15A250V 6구</t>
  </si>
  <si>
    <t>3로스위치, 15A250V1구</t>
  </si>
  <si>
    <t>3로스위치, 15A250V2구</t>
  </si>
  <si>
    <t>3로스위치, 15A250V3구</t>
  </si>
  <si>
    <t>칼라플레이트(박스마감)</t>
  </si>
  <si>
    <t>SW박스용(지정색칼라)</t>
  </si>
  <si>
    <t>4각박스용(지정색칼라)</t>
  </si>
  <si>
    <t>콘센트</t>
  </si>
  <si>
    <t>1구, 15A, 250V, 매입형, 접지</t>
  </si>
  <si>
    <t>2구, 15A, 250V, 매입형, 접지</t>
  </si>
  <si>
    <t>2구, 15A, 250V, 둥근형-노출형, 접지</t>
  </si>
  <si>
    <t>1구, 15A, 250V, 방우형</t>
  </si>
  <si>
    <t>2구, 15A, 250V, 방우형</t>
  </si>
  <si>
    <t>안전형 매입접지 콘센트</t>
  </si>
  <si>
    <t>2구 16A 250V</t>
  </si>
  <si>
    <t>4구 16A 250V</t>
  </si>
  <si>
    <t>대기전력자동차단 콘센트</t>
  </si>
  <si>
    <t>1구 16A 250V</t>
  </si>
  <si>
    <t>3구 16A 250V</t>
  </si>
  <si>
    <t>콘센트 누전차단기</t>
  </si>
  <si>
    <t>4P, 30A, 480V, 노출/걸림형</t>
  </si>
  <si>
    <t>화장실자동전멸센서</t>
  </si>
  <si>
    <t>재실감지센서(적외선),앰프20W,스테레오스피커14W</t>
  </si>
  <si>
    <t>면</t>
  </si>
  <si>
    <t>STS문짝, 매입, 200x300x150</t>
  </si>
  <si>
    <t>STS문짝, 매입, 400x400*150</t>
  </si>
  <si>
    <t>STS문짝, 매입, 400x500*150</t>
  </si>
  <si>
    <t>STS문짝, 매입, 400x600*150</t>
  </si>
  <si>
    <t>STS문짝, 매입, 400x600*180</t>
  </si>
  <si>
    <t>STS문짝, 매입, 450x700*180</t>
  </si>
  <si>
    <t>STS문짝, 매입, 450x800*180</t>
  </si>
  <si>
    <t>STS문짝, 매입, 500x700*180</t>
  </si>
  <si>
    <t>STS문짝, 매입, 500x800*180</t>
  </si>
  <si>
    <t>STS문짝, 매입, 500x900*180</t>
  </si>
  <si>
    <t>STS문짝, 매입, 500x1000*180</t>
  </si>
  <si>
    <t>STS문짝, 매입, 550x800*180</t>
  </si>
  <si>
    <t>STS문짝, 매입, 550x1000*180</t>
  </si>
  <si>
    <t>STS문짝, 매입, 550x1200*180</t>
  </si>
  <si>
    <t>STS문짝, 매입, 600x900*180</t>
  </si>
  <si>
    <t>STS문짝, 매입, 600x1100*180</t>
  </si>
  <si>
    <t>STS문짝, 매입, 600x1300*180</t>
  </si>
  <si>
    <t>STS문짝, 매입, 650x900*180</t>
  </si>
  <si>
    <t>STS문짝, 매입, 650x1100*180</t>
  </si>
  <si>
    <t>STS문짝, 매입, 650x1300*180</t>
  </si>
  <si>
    <t>STS문짝, 매입, 700x1000*180</t>
  </si>
  <si>
    <t>STS문짝, 매입, 700x1100*180</t>
  </si>
  <si>
    <t>STS문짝, 매입, 700x1200*180</t>
  </si>
  <si>
    <t>STS문짝, 매입, 700x1300*180</t>
  </si>
  <si>
    <t>STS문짝, 매입, 700x1400*180</t>
  </si>
  <si>
    <t>STS문짝, 매입, 800x1200*180</t>
  </si>
  <si>
    <t>STS문짝, 매입, 800x1400*180</t>
  </si>
  <si>
    <t>STS문짝, 매입, 800x1600*180</t>
  </si>
  <si>
    <t>ALL STS, 노출, 600x900x180</t>
  </si>
  <si>
    <t>ALL STS, 노출, 600x1100x180</t>
  </si>
  <si>
    <t>ALL STS, 노출, 600x1300x180</t>
  </si>
  <si>
    <t>ALL STS, 노출, 650x900x180</t>
  </si>
  <si>
    <t>ALL STS, 노출, 650x1100x180</t>
  </si>
  <si>
    <t>ALL STS, 노출, 650x1300x180</t>
  </si>
  <si>
    <t>ALL STS, 노출, 700x1000x180</t>
  </si>
  <si>
    <t>ALL STS, 노출, 700x1100x180</t>
  </si>
  <si>
    <t>ALL STS, 노출, 700x1200x180</t>
  </si>
  <si>
    <t>ALL STS, 노출, 700x1300x180</t>
  </si>
  <si>
    <t>ALL STS, 노출, 700x1400x180</t>
  </si>
  <si>
    <t>ALL STS, 노출, 800x1200x180</t>
  </si>
  <si>
    <t>ALL STS, 노출, 800x1400x180</t>
  </si>
  <si>
    <t>ALL STS, 노출, 800x1600x180</t>
  </si>
  <si>
    <t>STEEL노출, 600x1200x400</t>
  </si>
  <si>
    <t>STS 노출, 600x1200x400</t>
  </si>
  <si>
    <t>전력량계(디지털)</t>
  </si>
  <si>
    <t>1P2W AC220V      40(10)A</t>
  </si>
  <si>
    <t>1P2W AC220V      80(20)A</t>
  </si>
  <si>
    <t>1P2W AC220V     120(30)A</t>
  </si>
  <si>
    <t>3P4W AC220/380V, 40(10)A</t>
  </si>
  <si>
    <t>3P4W AC220/380V, 80(20)A</t>
  </si>
  <si>
    <t>3P4W AC220/380V,120(30)A</t>
  </si>
  <si>
    <t>누전경보기</t>
  </si>
  <si>
    <t>6회로  경보용</t>
  </si>
  <si>
    <t>10회로  경보용</t>
  </si>
  <si>
    <t>저압용CT</t>
  </si>
  <si>
    <t>300/5A</t>
  </si>
  <si>
    <t>저압용PT</t>
  </si>
  <si>
    <t>220~480/110V 50VA</t>
  </si>
  <si>
    <t>저압용GPT</t>
  </si>
  <si>
    <t>380/√3/190/√3V50VA</t>
  </si>
  <si>
    <t>전류계</t>
  </si>
  <si>
    <t>AM, 광각 110*110</t>
  </si>
  <si>
    <t>전압계</t>
  </si>
  <si>
    <t>VM, 광각 110*110</t>
  </si>
  <si>
    <t>역율계</t>
  </si>
  <si>
    <t>3P4W 광각형</t>
  </si>
  <si>
    <t>3P 4W</t>
  </si>
  <si>
    <t>전류절환스위치</t>
  </si>
  <si>
    <t>절환스위치</t>
  </si>
  <si>
    <t>2단 20A</t>
  </si>
  <si>
    <t>지시또는표시등</t>
  </si>
  <si>
    <t>전원용서지보호기</t>
  </si>
  <si>
    <t>전력용콘덴서</t>
  </si>
  <si>
    <t>220V, 1P. 3P   10㎌</t>
  </si>
  <si>
    <t>220V, 1P. 3P   15㎌</t>
  </si>
  <si>
    <t>220V, 1P. 3P   20㎌</t>
  </si>
  <si>
    <t>220V, 1P. 3P   30㎌</t>
  </si>
  <si>
    <t>220V, 1P. 3P   40㎌</t>
  </si>
  <si>
    <t>220V, 1P. 3P   50㎌</t>
  </si>
  <si>
    <t>220V, 1P. 3P   75㎌</t>
  </si>
  <si>
    <t>220V, 1P. 3P  100㎌</t>
  </si>
  <si>
    <t>380. 440V, 3P  10㎌</t>
  </si>
  <si>
    <t>380. 440V, 3P  15㎌</t>
  </si>
  <si>
    <t>380. 440V, 3P  20㎌</t>
  </si>
  <si>
    <t>380. 440V, 3P  30㎌</t>
  </si>
  <si>
    <t>380. 440V, 3P  40㎌</t>
  </si>
  <si>
    <t>380. 440V, 3P  50㎌</t>
  </si>
  <si>
    <t>380. 440V, 3P  75㎌</t>
  </si>
  <si>
    <t>380. 440V, 3P 100㎌</t>
  </si>
  <si>
    <t>380. 440V, 3P 150㎌</t>
  </si>
  <si>
    <t>380. 440V, 3P 175㎌</t>
  </si>
  <si>
    <t>380. 440V, 3P 200㎌</t>
  </si>
  <si>
    <t>380. 440V, 3P 250㎌</t>
  </si>
  <si>
    <t>380. 440V, 3P 300㎌</t>
  </si>
  <si>
    <t>380. 440V, 3P 10kVA</t>
  </si>
  <si>
    <t>380. 440V, 3P 15kVA</t>
  </si>
  <si>
    <t>380. 440V, 3P 20kVA</t>
  </si>
  <si>
    <t>380. 440V, 3P 25kVA</t>
  </si>
  <si>
    <t>380. 440V, 3P 30kVA</t>
  </si>
  <si>
    <t>380. 440V, 3P 50kVA</t>
  </si>
  <si>
    <t>380. 440V, 3P 75kVA</t>
  </si>
  <si>
    <t>380. 440V, 3P 100kVA</t>
  </si>
  <si>
    <t>전자접촉기</t>
  </si>
  <si>
    <t>1￠220V     20A</t>
  </si>
  <si>
    <t>1￠220V     26A</t>
  </si>
  <si>
    <t>1￠220V     35A</t>
  </si>
  <si>
    <t>1￠220V     48A</t>
  </si>
  <si>
    <t>1￠220V     50A</t>
  </si>
  <si>
    <t>1￠220V     65A</t>
  </si>
  <si>
    <t>1￠220V     75A</t>
  </si>
  <si>
    <t>1￠220V     80A</t>
  </si>
  <si>
    <t>1￠220V    100A</t>
  </si>
  <si>
    <t>3￠380V     20A</t>
  </si>
  <si>
    <t>3￠380V     25A</t>
  </si>
  <si>
    <t>3￠380V     32A</t>
  </si>
  <si>
    <t>3￠380V     35A</t>
  </si>
  <si>
    <t>3￠380V     48A</t>
  </si>
  <si>
    <t>3￠380V     60A</t>
  </si>
  <si>
    <t>3￠380V     75A</t>
  </si>
  <si>
    <t>3￠380V     80A</t>
  </si>
  <si>
    <t>3￠380V    100A</t>
  </si>
  <si>
    <t>3￠380V    120A</t>
  </si>
  <si>
    <t>3￠380V    150A</t>
  </si>
  <si>
    <t>3￠380V    180A</t>
  </si>
  <si>
    <t>3￠380V    230A</t>
  </si>
  <si>
    <t>3￠380V    265A</t>
  </si>
  <si>
    <t>3￠380V    330A</t>
  </si>
  <si>
    <t>국선매입단자함(전면:스텐)보호기+110블럭포함</t>
  </si>
  <si>
    <t>국선10/사선25</t>
  </si>
  <si>
    <t>국선10/사선50</t>
  </si>
  <si>
    <t>국선20/사선50</t>
  </si>
  <si>
    <t>국선20/사선100</t>
  </si>
  <si>
    <t>국선30/사선100</t>
  </si>
  <si>
    <t>국선30/사선150</t>
  </si>
  <si>
    <t>국선40/사선100</t>
  </si>
  <si>
    <t>국선40/사선200</t>
  </si>
  <si>
    <t>국선50/사선100</t>
  </si>
  <si>
    <t>국선50/사선200</t>
  </si>
  <si>
    <t>국선80/사선200</t>
  </si>
  <si>
    <t>국선80/사선300</t>
  </si>
  <si>
    <t>국선100/사선300</t>
  </si>
  <si>
    <t>국선100/사선600</t>
  </si>
  <si>
    <t>국선150/사선600</t>
  </si>
  <si>
    <t>국선200/사선800</t>
  </si>
  <si>
    <t>국선단자함(노출:스텐)보호기+110블럭포함</t>
  </si>
  <si>
    <t>국선단자함(노출:철재)보호기+110블럭포함</t>
  </si>
  <si>
    <t>중간매입단자함(전면:스텐)110블럭포함</t>
  </si>
  <si>
    <t>10회선</t>
  </si>
  <si>
    <t>25회선</t>
  </si>
  <si>
    <t>50회선</t>
  </si>
  <si>
    <t>100회선</t>
  </si>
  <si>
    <t>200회선</t>
  </si>
  <si>
    <t>300회선</t>
  </si>
  <si>
    <t>400회선</t>
  </si>
  <si>
    <t>500회선</t>
  </si>
  <si>
    <t>중간단자함(노출:스텐)110블럭포함</t>
  </si>
  <si>
    <t>중간단자함(노출:철재)110블럭포함</t>
  </si>
  <si>
    <t>옥외종만매입단자함(전면:스텐)보호기+110블럭포함</t>
  </si>
  <si>
    <t>옥외종만단자함(노출:스텐)보호기+110블럭포함</t>
  </si>
  <si>
    <t>방송매입단자함(전면:스텐)단자대포함</t>
  </si>
  <si>
    <t>20회선</t>
  </si>
  <si>
    <t>30회선</t>
  </si>
  <si>
    <t>40회선</t>
  </si>
  <si>
    <t>60회선</t>
  </si>
  <si>
    <t>80회선</t>
  </si>
  <si>
    <t>150회선</t>
  </si>
  <si>
    <t>250회선</t>
  </si>
  <si>
    <t>방송단자함(노출:스텐)단자대포함</t>
  </si>
  <si>
    <t>방송단자함(노출:철재)단자대포함</t>
  </si>
  <si>
    <t>TV매입증폭기함(전면:철재)</t>
  </si>
  <si>
    <t>300*400mm</t>
  </si>
  <si>
    <t>400*500mm</t>
  </si>
  <si>
    <t>500*600mm</t>
  </si>
  <si>
    <t>600*700mm</t>
  </si>
  <si>
    <t>700*800mm</t>
  </si>
  <si>
    <t>TV매입증폭기함(전면:스텐)</t>
  </si>
  <si>
    <t>전화콘센트</t>
  </si>
  <si>
    <t>모듈러잭8핀형, 1구용</t>
  </si>
  <si>
    <t>모듈러잭8핀형, 2구용</t>
  </si>
  <si>
    <t>LAN콘센트</t>
  </si>
  <si>
    <t>모듈러 플러그</t>
  </si>
  <si>
    <t>RJ45-8Pin</t>
  </si>
  <si>
    <t>TV유니트</t>
  </si>
  <si>
    <t>직렬</t>
  </si>
  <si>
    <t>단말</t>
  </si>
  <si>
    <t>직렬분기용</t>
  </si>
  <si>
    <t>스피카짹박스(FLOOR용)</t>
  </si>
  <si>
    <t>S.P JACK BOX, 1구</t>
  </si>
  <si>
    <t>S.P.JACK BOX, 2구</t>
  </si>
  <si>
    <t>스피커짹박스(벽부용)</t>
  </si>
  <si>
    <t>S.P JACK BOX, 2구</t>
  </si>
  <si>
    <t>마이크짹박스(FLOOR용)</t>
  </si>
  <si>
    <t>MIC.JACK BOX, 1구</t>
  </si>
  <si>
    <t>MIC.JACK BOX, 2구</t>
  </si>
  <si>
    <t>PC짹박스(FLOOR용)</t>
  </si>
  <si>
    <t>PC.JACK BOX, 1구</t>
  </si>
  <si>
    <t>PC.JACK BOX, 2구</t>
  </si>
  <si>
    <t>A/V짹박스(FLOOR용)</t>
  </si>
  <si>
    <t>A/V.JACK BOX, 2구</t>
  </si>
  <si>
    <t>허브랙(IDF)벽부형</t>
  </si>
  <si>
    <t>100/1000M 5PORT</t>
  </si>
  <si>
    <t>100/1000M 8PORT</t>
  </si>
  <si>
    <t>100/1000M 24PORT+4PORT SFP</t>
  </si>
  <si>
    <t>광분배함(FDF)</t>
  </si>
  <si>
    <t>광점퍼코드</t>
  </si>
  <si>
    <t>SFP-1G-SX-500M DOM</t>
  </si>
  <si>
    <t>비상방송용앰프(벽부형)</t>
  </si>
  <si>
    <t>스피커셀렉타</t>
  </si>
  <si>
    <t>16회로</t>
  </si>
  <si>
    <t>스피커(천정형)</t>
  </si>
  <si>
    <t>S.T/Ceiling형, 3W</t>
  </si>
  <si>
    <t>PVC/Ceiling형, 3W</t>
  </si>
  <si>
    <t>Ceiling형, 10W</t>
  </si>
  <si>
    <t>스피커(벽부형)</t>
  </si>
  <si>
    <t>ATT포함/Wall형, 3W</t>
  </si>
  <si>
    <t>Wall형, 10W</t>
  </si>
  <si>
    <t>스피커</t>
  </si>
  <si>
    <t>APT/사각형, 1W</t>
  </si>
  <si>
    <t>콜롬스피커</t>
  </si>
  <si>
    <t>Column형/옥내용, 10W</t>
  </si>
  <si>
    <t>Column형/옥내용, 20W</t>
  </si>
  <si>
    <t>Column형/옥내용, 30W</t>
  </si>
  <si>
    <t>Column형/옥내용, 40W</t>
  </si>
  <si>
    <t>Column형/옥외용, 20W</t>
  </si>
  <si>
    <t>Column형/옥외용, 30W</t>
  </si>
  <si>
    <t>Column형/옥외용, 40W</t>
  </si>
  <si>
    <t>혼온스피커</t>
  </si>
  <si>
    <t>20W</t>
  </si>
  <si>
    <t>30W</t>
  </si>
  <si>
    <t>50W</t>
  </si>
  <si>
    <t>ATT, 알루미늄, 3단</t>
  </si>
  <si>
    <t>TV안테나</t>
  </si>
  <si>
    <t>스텐레스, 디지털 찬넬용</t>
  </si>
  <si>
    <t>스텐레스, AM용</t>
  </si>
  <si>
    <t>스텐레스, FM용</t>
  </si>
  <si>
    <t>안테나지지대</t>
  </si>
  <si>
    <t>3m 스텐</t>
  </si>
  <si>
    <t>디지털용</t>
  </si>
  <si>
    <t>안테나용</t>
  </si>
  <si>
    <t>보안기</t>
  </si>
  <si>
    <t>공청용혼합기</t>
  </si>
  <si>
    <t>VHF H/L</t>
  </si>
  <si>
    <t>VHF/UHF</t>
  </si>
  <si>
    <t>CATV증폭기</t>
  </si>
  <si>
    <t>쌍방향</t>
  </si>
  <si>
    <t>위성겸용</t>
  </si>
  <si>
    <t>분배기</t>
  </si>
  <si>
    <t>2분배기 쌍방향</t>
  </si>
  <si>
    <t>3분배기 쌍방향</t>
  </si>
  <si>
    <t>4분배기 쌍방향</t>
  </si>
  <si>
    <t>6분배기 쌍방향</t>
  </si>
  <si>
    <t>8분배기 쌍방향</t>
  </si>
  <si>
    <t>분기기</t>
  </si>
  <si>
    <t>2분기기 쌍방향</t>
  </si>
  <si>
    <t>4분기기 쌍방향</t>
  </si>
  <si>
    <t>8분기기 쌍방향</t>
  </si>
  <si>
    <t>화재수신기(복합형)</t>
  </si>
  <si>
    <t>기본10회로-LCD</t>
  </si>
  <si>
    <t>P형회로추가</t>
  </si>
  <si>
    <t>1회로당</t>
  </si>
  <si>
    <t>회로</t>
  </si>
  <si>
    <t>화재감지기(열)</t>
  </si>
  <si>
    <t>차동식 스포트형2종</t>
  </si>
  <si>
    <t>정온식 스포트형1종</t>
  </si>
  <si>
    <t>화재감지기(연기)</t>
  </si>
  <si>
    <t>광전식 스포트형2종-비축적</t>
  </si>
  <si>
    <t>단독형감지기(연기)</t>
  </si>
  <si>
    <t>광전식</t>
  </si>
  <si>
    <t>불꽃감지기</t>
  </si>
  <si>
    <t>감시거리 50M, 옥내,외,방수,일반형</t>
  </si>
  <si>
    <t>불꽃감지기 전원공급기</t>
  </si>
  <si>
    <t>발신기외함(노출)</t>
  </si>
  <si>
    <t>문짝:철재, 박스:철재</t>
  </si>
  <si>
    <t>문짝:스텐, 박스:스텐</t>
  </si>
  <si>
    <t>발신기외함(매입)</t>
  </si>
  <si>
    <t>문짝:스텐, 박스:철재</t>
  </si>
  <si>
    <t>경종</t>
  </si>
  <si>
    <t>DC 24V</t>
  </si>
  <si>
    <t>표시등(LED)</t>
  </si>
  <si>
    <t>수동발신기</t>
  </si>
  <si>
    <t>가압표시등</t>
  </si>
  <si>
    <t>25mm, PILOT LAMP</t>
  </si>
  <si>
    <t>접속단자대</t>
  </si>
  <si>
    <t>TB, 10P 20A</t>
  </si>
  <si>
    <t>TB, 15P 20A</t>
  </si>
  <si>
    <t>TB, 20P 20A</t>
  </si>
  <si>
    <t>피난구 유도등(고효율,고휘도)</t>
  </si>
  <si>
    <t>LED, 소형(단면), 60분용</t>
  </si>
  <si>
    <t>LED, 소형(양면), 60분용</t>
  </si>
  <si>
    <t>LED, 중형(단면), 60분용</t>
  </si>
  <si>
    <t>LED, 중형(양면), 60분용</t>
  </si>
  <si>
    <t>LED, 대형(단면), 60분용</t>
  </si>
  <si>
    <t>LED, 대형(양면), 60분용</t>
  </si>
  <si>
    <t>복도통로 유도등(고효율,고휘도)</t>
  </si>
  <si>
    <t>LED, 벽부, 60분용</t>
  </si>
  <si>
    <t>계단통로 유도등(고효율,고휘도)</t>
  </si>
  <si>
    <t>거실통로 유도등(고효율,고휘도)</t>
  </si>
  <si>
    <t>LED, 천정단면, 60분용</t>
  </si>
  <si>
    <t>LED, 천정양면, 60분용</t>
  </si>
  <si>
    <t>바닥통로 유도등(고효율,고휘도)</t>
  </si>
  <si>
    <t>LED, 소형, 60분용</t>
  </si>
  <si>
    <t>LED, 중형, 60분용</t>
  </si>
  <si>
    <t>객석유도등</t>
  </si>
  <si>
    <t>LED, DC24V</t>
  </si>
  <si>
    <t>객석유도등전원반</t>
  </si>
  <si>
    <t>10A</t>
  </si>
  <si>
    <t>축광유도표지</t>
  </si>
  <si>
    <t>피난구</t>
  </si>
  <si>
    <t>통로</t>
  </si>
  <si>
    <t>시각경보기</t>
  </si>
  <si>
    <t>15cd</t>
  </si>
  <si>
    <t>시각경보기전원반</t>
  </si>
  <si>
    <t>3A</t>
  </si>
  <si>
    <t>5A</t>
  </si>
  <si>
    <t>비상전원반</t>
  </si>
  <si>
    <t>20A</t>
  </si>
  <si>
    <t>자동화재속보설비</t>
  </si>
  <si>
    <t>자동속보기</t>
  </si>
  <si>
    <t>옥상복귀기능부(번호보턴식)</t>
  </si>
  <si>
    <t>슈퍼비죠리판넬</t>
  </si>
  <si>
    <t>DC-24V</t>
  </si>
  <si>
    <t>수동조작함</t>
  </si>
  <si>
    <t>스프링클러+소화약제+제연댐퍼</t>
  </si>
  <si>
    <t>댐퍼 수동조작함</t>
  </si>
  <si>
    <t>스프링클러 조작함</t>
  </si>
  <si>
    <t>소화가스 수동조작함</t>
  </si>
  <si>
    <t>휴대용비상조명등</t>
  </si>
  <si>
    <t>건전지타입</t>
  </si>
  <si>
    <t>발신기셋트규격</t>
  </si>
  <si>
    <t>소형규격</t>
  </si>
  <si>
    <t>중형규격</t>
  </si>
  <si>
    <t>대형규격</t>
  </si>
  <si>
    <t>조명등규격</t>
  </si>
  <si>
    <t>시각경보규격</t>
  </si>
  <si>
    <t>조달청가격</t>
  </si>
  <si>
    <t>PAGE</t>
  </si>
  <si>
    <t>적용단가</t>
  </si>
  <si>
    <t>노 무 비</t>
  </si>
  <si>
    <t>경    비</t>
  </si>
  <si>
    <t>번  호</t>
  </si>
  <si>
    <t>1008</t>
  </si>
  <si>
    <t>839</t>
  </si>
  <si>
    <t>994</t>
  </si>
  <si>
    <t>833</t>
  </si>
  <si>
    <t>836</t>
  </si>
  <si>
    <t>995</t>
  </si>
  <si>
    <t>834</t>
  </si>
  <si>
    <t>835</t>
  </si>
  <si>
    <t>840</t>
  </si>
  <si>
    <t>1007</t>
  </si>
  <si>
    <t>844</t>
  </si>
  <si>
    <t>996</t>
  </si>
  <si>
    <t>993</t>
  </si>
  <si>
    <t>998</t>
  </si>
  <si>
    <t>837</t>
  </si>
  <si>
    <t>999</t>
  </si>
  <si>
    <t>843</t>
  </si>
  <si>
    <t>56</t>
  </si>
  <si>
    <t>53</t>
  </si>
  <si>
    <t>55</t>
  </si>
  <si>
    <t>1104</t>
  </si>
  <si>
    <t>933</t>
  </si>
  <si>
    <t>756</t>
  </si>
  <si>
    <t>1028</t>
  </si>
  <si>
    <t>873</t>
  </si>
  <si>
    <t>925</t>
  </si>
  <si>
    <t>1020</t>
  </si>
  <si>
    <t>1019</t>
  </si>
  <si>
    <t>1099</t>
  </si>
  <si>
    <t>1085</t>
  </si>
  <si>
    <t>1177</t>
  </si>
  <si>
    <t>930</t>
  </si>
  <si>
    <t>856</t>
  </si>
  <si>
    <t>1083</t>
  </si>
  <si>
    <t>1134</t>
  </si>
  <si>
    <t>539</t>
  </si>
  <si>
    <t>1098</t>
  </si>
  <si>
    <t>1029</t>
  </si>
  <si>
    <t>864</t>
  </si>
  <si>
    <t>1024</t>
  </si>
  <si>
    <t>860</t>
  </si>
  <si>
    <t>1025</t>
  </si>
  <si>
    <t>861</t>
  </si>
  <si>
    <t>1027</t>
  </si>
  <si>
    <t>1026</t>
  </si>
  <si>
    <t>863</t>
  </si>
  <si>
    <t>1040</t>
  </si>
  <si>
    <t>1031</t>
  </si>
  <si>
    <t>870</t>
  </si>
  <si>
    <t>871</t>
  </si>
  <si>
    <t>758</t>
  </si>
  <si>
    <t>1144</t>
  </si>
  <si>
    <t>1006</t>
  </si>
  <si>
    <t>1049</t>
  </si>
  <si>
    <t>959</t>
  </si>
  <si>
    <t>접지콘넥타</t>
  </si>
  <si>
    <t>1195</t>
    <phoneticPr fontId="1" type="noConversion"/>
  </si>
  <si>
    <t>감시거리 30M, 옥내,외,방수,일반형</t>
    <phoneticPr fontId="1" type="noConversion"/>
  </si>
  <si>
    <t>AC220V/DC24V,5A</t>
    <phoneticPr fontId="1" type="noConversion"/>
  </si>
  <si>
    <t>756</t>
    <phoneticPr fontId="1" type="noConversion"/>
  </si>
  <si>
    <t>1193</t>
    <phoneticPr fontId="1" type="noConversion"/>
  </si>
  <si>
    <t>기본20회로-LCD</t>
    <phoneticPr fontId="1" type="noConversion"/>
  </si>
  <si>
    <t>1197</t>
    <phoneticPr fontId="1" type="noConversion"/>
  </si>
  <si>
    <t>757</t>
  </si>
  <si>
    <t>757</t>
    <phoneticPr fontId="1" type="noConversion"/>
  </si>
  <si>
    <t>TV증폭기함(노출:스텐)</t>
  </si>
  <si>
    <t>TV증폭기함(노출:철재)</t>
  </si>
  <si>
    <t>1099</t>
    <phoneticPr fontId="1" type="noConversion"/>
  </si>
  <si>
    <t>1030</t>
  </si>
  <si>
    <t>음향조절스위치(ATT)</t>
    <phoneticPr fontId="1" type="noConversion"/>
  </si>
  <si>
    <t>1057</t>
    <phoneticPr fontId="1" type="noConversion"/>
  </si>
  <si>
    <t>PROTECTOR</t>
    <phoneticPr fontId="1" type="noConversion"/>
  </si>
  <si>
    <t>FILTER</t>
    <phoneticPr fontId="1" type="noConversion"/>
  </si>
  <si>
    <t>낙뢰보호기</t>
    <phoneticPr fontId="1" type="noConversion"/>
  </si>
  <si>
    <t>60W (단락보호보호내장형)</t>
    <phoneticPr fontId="1" type="noConversion"/>
  </si>
  <si>
    <t>120W (단락보호보호내장형)</t>
    <phoneticPr fontId="1" type="noConversion"/>
  </si>
  <si>
    <t>240W (단락보호보호내장형)</t>
    <phoneticPr fontId="1" type="noConversion"/>
  </si>
  <si>
    <t>360W (단락보호보호내장형)</t>
    <phoneticPr fontId="1" type="noConversion"/>
  </si>
  <si>
    <t>480W (단락보호보호내장형)</t>
    <phoneticPr fontId="1" type="noConversion"/>
  </si>
  <si>
    <t>841</t>
    <phoneticPr fontId="1" type="noConversion"/>
  </si>
  <si>
    <t>1098</t>
    <phoneticPr fontId="1" type="noConversion"/>
  </si>
  <si>
    <t>1021</t>
    <phoneticPr fontId="1" type="noConversion"/>
  </si>
  <si>
    <t>1028</t>
    <phoneticPr fontId="1" type="noConversion"/>
  </si>
  <si>
    <t>PVC고강도몰드(컬러)</t>
    <phoneticPr fontId="1" type="noConversion"/>
  </si>
  <si>
    <t>ST, H. ELBOW, W150*100H*2.3t COVER</t>
  </si>
  <si>
    <t>ST, H. ELBOW, W200*100H*2.3t COVER</t>
  </si>
  <si>
    <t>ST, H. ELBOW, W300*100H*2.3t COVER</t>
  </si>
  <si>
    <t>ST, H. ELBOW, W400*100H*2.3t COVER</t>
  </si>
  <si>
    <t>ST, H. ELBOW, W500*100H*2.3t COVER</t>
  </si>
  <si>
    <t>ST, H. ELBOW, W600*100H*2.3t COVER</t>
  </si>
  <si>
    <t>ST, H. ELBOW, W700*100H*2.3t COVER</t>
  </si>
  <si>
    <t>ST, H. ELBOW, W800*100H*2.3t COVER</t>
  </si>
  <si>
    <t>ST, H. ELBOW, W900*100H*2.3t COVER</t>
  </si>
  <si>
    <t>ST, H. ELBOW, W1000*100H*2.3t COVER</t>
  </si>
  <si>
    <t>ST, V. ELBOW, W150*100H*2.3t COVER</t>
  </si>
  <si>
    <t>ST, V. ELBOW, W200*100H*2.3t COVER</t>
  </si>
  <si>
    <t>ST, V. ELBOW, W300*100H*2.3t COVER</t>
  </si>
  <si>
    <t>ST, V. ELBOW, W400*100H*2.3t COVER</t>
  </si>
  <si>
    <t>ST, V. ELBOW, W500*100H*2.3t COVER</t>
  </si>
  <si>
    <t>ST, V. ELBOW, W600*100H*2.3t COVER</t>
  </si>
  <si>
    <t>ST, V. ELBOW, W700*100H*2.3t COVER</t>
  </si>
  <si>
    <t>ST, V. ELBOW, W800*100H*2.3t COVER</t>
  </si>
  <si>
    <t>ST, V. ELBOW, W900*100H*2.3t COVER</t>
  </si>
  <si>
    <t>ST, V. ELBOW, W1000*100H*2.3t COVER</t>
  </si>
  <si>
    <t>ST, H. TEE, W150*100H*2.3t COVER</t>
  </si>
  <si>
    <t>ST, H. TEE, W200*100H*2.3t COVER</t>
  </si>
  <si>
    <t>ST, H. TEE, W300*100H*2.3t COVER</t>
  </si>
  <si>
    <t>ST, H. TEE, W400*100H*2.3t COVER</t>
  </si>
  <si>
    <t>ST, H. TEE, W500*100H*2.3t COVER</t>
  </si>
  <si>
    <t>ST, H. TEE, W600*100H*2.3t COVER</t>
  </si>
  <si>
    <t>ST, H. TEE, W700*100H*2.3t COVER</t>
  </si>
  <si>
    <t>ST, H. TEE, W800*100H*2.3t COVER</t>
  </si>
  <si>
    <t>ST, H. TEE, W900*100H*2.3t COVER</t>
  </si>
  <si>
    <t>ST, H. TEE, W1000*100H*2.3t COVER</t>
  </si>
  <si>
    <t>ST, H. CROSS, W150*100H*2.3t COVER</t>
  </si>
  <si>
    <t>ST, H. CROSS, W200*100H*2.3t COVER</t>
  </si>
  <si>
    <t>ST, H. CROSS, W300*100H*2.3t COVER</t>
  </si>
  <si>
    <t>ST, H. CROSS, W400*100H*2.3t COVER</t>
  </si>
  <si>
    <t>ST, H. CROSS, W500*100H*2.3t COVER</t>
  </si>
  <si>
    <t>ST, H. CROSS, W600*100H*2.3t COVER</t>
  </si>
  <si>
    <t>ST, H. CROSS, W700*100H*2.3t COVER</t>
  </si>
  <si>
    <t>ST, H. CROSS, W800*100H*2.3t COVER</t>
  </si>
  <si>
    <t>ST, H. CROSS, W900*100H*2.3t COVER</t>
  </si>
  <si>
    <t>ST, H. CROSS, W1000*100H*2.3t COVER</t>
  </si>
  <si>
    <t>Body, 40*40mm</t>
    <phoneticPr fontId="1" type="noConversion"/>
  </si>
  <si>
    <t>레이스웨이-BODY</t>
    <phoneticPr fontId="1" type="noConversion"/>
  </si>
  <si>
    <t>표준형</t>
    <phoneticPr fontId="1" type="noConversion"/>
  </si>
  <si>
    <t>100H</t>
    <phoneticPr fontId="1" type="noConversion"/>
  </si>
  <si>
    <t>조사가</t>
    <phoneticPr fontId="1" type="noConversion"/>
  </si>
  <si>
    <t>자기수축형, 60~70SQ</t>
    <phoneticPr fontId="1" type="noConversion"/>
  </si>
  <si>
    <t>MAIN:MCCB 30AF(SG32*4개)</t>
    <phoneticPr fontId="1" type="noConversion"/>
  </si>
  <si>
    <t>MAIN:MCCB 50AF(SG32*4개)</t>
    <phoneticPr fontId="1" type="noConversion"/>
  </si>
  <si>
    <t>매입분전함</t>
  </si>
  <si>
    <t>STEEL문짝, 매입, 200x300x150</t>
  </si>
  <si>
    <t>STEEL문짝, 매입, 400x400x150</t>
  </si>
  <si>
    <t>STEEL문짝, 매입, 400x500x150</t>
  </si>
  <si>
    <t>STEEL문짝, 매입, 400x600x150</t>
  </si>
  <si>
    <t>STEEL문짝, 매입, 450x600*180</t>
  </si>
  <si>
    <t>STEEL문짝, 매입, 450x700*180</t>
  </si>
  <si>
    <t>STEEL문짝, 매입, 450x800*180</t>
  </si>
  <si>
    <t>STEEL문짝, 매입, 500x700*180</t>
  </si>
  <si>
    <t>STEEL문짝, 매입, 500x800*180</t>
  </si>
  <si>
    <t>STEEL문짝, 매입, 500x900*180</t>
  </si>
  <si>
    <t>STEEL문짝, 매입, 500x1000*180</t>
  </si>
  <si>
    <t>STEEL문짝, 매입, 550x800*180</t>
  </si>
  <si>
    <t>STEEL문짝, 매입, 550x1000*180</t>
  </si>
  <si>
    <t>STEEL문짝, 매입, 550x1200*180</t>
  </si>
  <si>
    <t>STEEL문짝, 매입, 600x900*180</t>
  </si>
  <si>
    <t>STEEL문짝, 매입, 600x1100*180</t>
  </si>
  <si>
    <t>STEEL문짝, 매입, 600x1300*180</t>
  </si>
  <si>
    <t>STEEL문짝, 매입, 650x900*180</t>
  </si>
  <si>
    <t>STEEL문짝, 매입, 650x1100*180</t>
  </si>
  <si>
    <t>STEEL문짝, 매입, 650x1300*180</t>
  </si>
  <si>
    <t>STEEL문짝, 매입, 700x1000*180</t>
  </si>
  <si>
    <t>STEEL문짝, 매입, 700x1100*180</t>
  </si>
  <si>
    <t>STEEL문짝, 매입, 700x1200*180</t>
  </si>
  <si>
    <t>STEEL문짝, 매입, 700x1300*180</t>
  </si>
  <si>
    <t>STEEL문짝, 매입, 700x1400*180</t>
  </si>
  <si>
    <t>STEEL문짝, 매입, 800x1200*180</t>
  </si>
  <si>
    <t>STEEL문짝, 매입, 800x1400*180</t>
  </si>
  <si>
    <t>STEEL문짝, 매입, 800x1600*180</t>
  </si>
  <si>
    <t>노출분전함</t>
  </si>
  <si>
    <t>노출계량기함</t>
  </si>
  <si>
    <t>뚜껑2.0t, 외함 1.6t, 속판 포함</t>
  </si>
  <si>
    <t>1069</t>
    <phoneticPr fontId="1" type="noConversion"/>
  </si>
  <si>
    <t>901</t>
    <phoneticPr fontId="1" type="noConversion"/>
  </si>
  <si>
    <t>895</t>
    <phoneticPr fontId="1" type="noConversion"/>
  </si>
  <si>
    <t>전력용콘덴서</t>
    <phoneticPr fontId="1" type="noConversion"/>
  </si>
  <si>
    <t>380. 440V, 3P  25㎌</t>
  </si>
  <si>
    <t>전자접촉기</t>
    <phoneticPr fontId="1" type="noConversion"/>
  </si>
  <si>
    <t>922</t>
    <phoneticPr fontId="1" type="noConversion"/>
  </si>
  <si>
    <t>928</t>
    <phoneticPr fontId="1" type="noConversion"/>
  </si>
  <si>
    <t>300~600/5A</t>
    <phoneticPr fontId="1" type="noConversion"/>
  </si>
  <si>
    <t>전압절환스위치</t>
    <phoneticPr fontId="1" type="noConversion"/>
  </si>
  <si>
    <t>PL, LED25mm, AC220/110V</t>
    <phoneticPr fontId="1" type="noConversion"/>
  </si>
  <si>
    <t>AL 1.5x70x2000x43.5mm 결합높이 50H</t>
  </si>
  <si>
    <t>AL 1.5x124x2000x50mm 결합높이 50H</t>
  </si>
  <si>
    <t>AL 1.5x140x2000x70mm 결합높이 70H</t>
  </si>
  <si>
    <t>AL 1.5x70x2000x15.8mm 70mm</t>
  </si>
  <si>
    <t>AL 1.5x102x2000x15.8mm 124mm</t>
  </si>
  <si>
    <t>AL 1.5x120x2000x7mm 140mm</t>
  </si>
  <si>
    <t>AL 1.5x4x2000x47mm (70)</t>
  </si>
  <si>
    <t>AL 1.5x4x2000x47mm (124)</t>
  </si>
  <si>
    <t>AL 2x7x2000x66mm (140)</t>
  </si>
  <si>
    <t xml:space="preserve">AL 1.5x70x2000x43.5mm </t>
  </si>
  <si>
    <t xml:space="preserve">AL 1.5x124x2000x50mm </t>
  </si>
  <si>
    <t>AL 1.5x140x2000x70mm</t>
  </si>
  <si>
    <t>AL 1.5x70x200x43.5mm</t>
  </si>
  <si>
    <t xml:space="preserve">AL 1.5x70x150x43.5mm </t>
  </si>
  <si>
    <t xml:space="preserve">AL 1.5x124x200x50mm </t>
  </si>
  <si>
    <t>AL 1.5x140x240x70mm</t>
  </si>
  <si>
    <t xml:space="preserve">AL 1.5x70x70x245x43.5mm </t>
  </si>
  <si>
    <t xml:space="preserve">AL 1.5x124x124x245x50mm </t>
  </si>
  <si>
    <t xml:space="preserve">AL 1.5x140x140x300x70mm </t>
  </si>
  <si>
    <t>STL 1.25x60x120x3.45mm - 배선기구고정용</t>
  </si>
  <si>
    <t>Cu 3x57x5.5mm</t>
  </si>
  <si>
    <t>AL 1.5x124xx50mm (124)</t>
  </si>
  <si>
    <t>AL 1.5x140xx70mm (140)</t>
  </si>
  <si>
    <t>1033</t>
    <phoneticPr fontId="1" type="noConversion"/>
  </si>
  <si>
    <t>95</t>
  </si>
  <si>
    <t>1155</t>
    <phoneticPr fontId="1" type="noConversion"/>
  </si>
  <si>
    <t>개</t>
    <phoneticPr fontId="1" type="noConversion"/>
  </si>
  <si>
    <t>화장실자동음향장치(천정매입형)</t>
    <phoneticPr fontId="1" type="noConversion"/>
  </si>
  <si>
    <t>단     가     대     비     표</t>
    <phoneticPr fontId="1" type="noConversion"/>
  </si>
  <si>
    <t>A사</t>
    <phoneticPr fontId="1" type="noConversion"/>
  </si>
  <si>
    <t>B사</t>
    <phoneticPr fontId="1" type="noConversion"/>
  </si>
  <si>
    <t>C사</t>
    <phoneticPr fontId="1" type="noConversion"/>
  </si>
  <si>
    <t>MULTI WIRE DUCT</t>
  </si>
  <si>
    <t>MULTI WIRE DUCT COVER</t>
  </si>
  <si>
    <t>MULTI WIRE DUCT 격벽</t>
  </si>
  <si>
    <t>MULTI WIRE DUCT 수직형 엘보</t>
  </si>
  <si>
    <t>MULTI WIRE DUCT 수직형 티</t>
  </si>
  <si>
    <t>MULTI WIRE DUCT 수평형 엘보</t>
  </si>
  <si>
    <t>MULTI WIRE DUCT 수평형 티</t>
  </si>
  <si>
    <t>MULTI WIRE DUCT 아웃터 커버</t>
  </si>
  <si>
    <t>MULTI WIRE DUCT 유닛커버</t>
  </si>
  <si>
    <t>MULTI WIRE DUCT 붙임쇠</t>
  </si>
  <si>
    <t>MULTI WIRE DUCT 죠인트 커넥터</t>
  </si>
  <si>
    <t>MULTI WIRE DUCT 앤드캡</t>
  </si>
  <si>
    <t>노출박스(PVC)</t>
  </si>
  <si>
    <t>일괄소등스위치</t>
  </si>
  <si>
    <t>터치식</t>
  </si>
  <si>
    <t>1103</t>
    <phoneticPr fontId="1" type="noConversion"/>
  </si>
  <si>
    <t>디지털컨버터</t>
    <phoneticPr fontId="1" type="noConversion"/>
  </si>
  <si>
    <t>디지털타이머(한글지원)</t>
  </si>
  <si>
    <t>요일꺼짐,1년365일,일출/일몰내장</t>
  </si>
  <si>
    <t>저압가선용랙크</t>
    <phoneticPr fontId="1" type="noConversion"/>
  </si>
  <si>
    <t>1선</t>
    <phoneticPr fontId="1" type="noConversion"/>
  </si>
  <si>
    <t>규      격</t>
  </si>
  <si>
    <t>수량</t>
  </si>
  <si>
    <t>노  무  비</t>
  </si>
  <si>
    <t>경      비</t>
  </si>
  <si>
    <t>합      계</t>
  </si>
  <si>
    <t>품목코드</t>
  </si>
  <si>
    <t>설정</t>
  </si>
  <si>
    <t>일위</t>
  </si>
  <si>
    <t>단산</t>
  </si>
  <si>
    <t>자재</t>
  </si>
  <si>
    <t>손료적용</t>
  </si>
  <si>
    <t>손료저장</t>
  </si>
  <si>
    <t>적용율</t>
  </si>
  <si>
    <t>JUK1</t>
  </si>
  <si>
    <t>JUK2</t>
  </si>
  <si>
    <t>JUK3</t>
  </si>
  <si>
    <t>JUK4</t>
  </si>
  <si>
    <t>JUK5</t>
  </si>
  <si>
    <t>JUK6</t>
  </si>
  <si>
    <t>JUK7</t>
  </si>
  <si>
    <t>JUK8</t>
  </si>
  <si>
    <t>JUK9</t>
  </si>
  <si>
    <t>JUK10</t>
  </si>
  <si>
    <t>JUK11</t>
  </si>
  <si>
    <t>JUK12</t>
  </si>
  <si>
    <t>JUK13</t>
  </si>
  <si>
    <t>JUK14</t>
  </si>
  <si>
    <t>JUK15</t>
  </si>
  <si>
    <t>JUK16</t>
  </si>
  <si>
    <t>JUK17</t>
  </si>
  <si>
    <t>JUK18</t>
  </si>
  <si>
    <t>JUK19</t>
  </si>
  <si>
    <t>JUK20</t>
  </si>
  <si>
    <t>단  가</t>
  </si>
  <si>
    <t>금  액</t>
  </si>
  <si>
    <t>전선관지지행거(단독)</t>
  </si>
  <si>
    <t>개소</t>
  </si>
  <si>
    <t>5DE43312912966316725327F42F427</t>
  </si>
  <si>
    <t>T</t>
  </si>
  <si>
    <t>F</t>
  </si>
  <si>
    <t>22C</t>
  </si>
  <si>
    <t>5DE43312912966316725327F42CF23</t>
  </si>
  <si>
    <t>28C</t>
  </si>
  <si>
    <t>5DE43312912966316725327F42D92A</t>
  </si>
  <si>
    <t>36C</t>
  </si>
  <si>
    <t>5DE43312912966316725327F42AC25</t>
  </si>
  <si>
    <t>42C</t>
  </si>
  <si>
    <t>5DE43312912966316725327F42BE2C</t>
  </si>
  <si>
    <t>54C</t>
  </si>
  <si>
    <t>5DE43312912966316725327F428128</t>
  </si>
  <si>
    <t>70C</t>
  </si>
  <si>
    <t>5DE43312912966316725327F42932F</t>
  </si>
  <si>
    <t>82C</t>
  </si>
  <si>
    <t>5DE43312912966316725327F42662A</t>
  </si>
  <si>
    <t>104C</t>
  </si>
  <si>
    <t>5DE43312912966316725327F427721</t>
  </si>
  <si>
    <t>W:100</t>
  </si>
  <si>
    <t>5DE43312912966316726D9A94D1D2F</t>
  </si>
  <si>
    <t>W:150</t>
  </si>
  <si>
    <t>5DE43312912966316726D9A94D2E26</t>
  </si>
  <si>
    <t>W:200</t>
  </si>
  <si>
    <t>5DE43312912966316726D9A94D382D</t>
  </si>
  <si>
    <t>W:300</t>
  </si>
  <si>
    <t>5DE43312912966316726D9A94D4924</t>
  </si>
  <si>
    <t>W:400</t>
  </si>
  <si>
    <t>5DE43312912966316726D9A94D5B2A</t>
  </si>
  <si>
    <t>W:500</t>
  </si>
  <si>
    <t>5DE43312912966316726D9A94D6421</t>
  </si>
  <si>
    <t>W:600</t>
  </si>
  <si>
    <t>5DE43312912966316726D9A94D7628</t>
  </si>
  <si>
    <t>W:800</t>
  </si>
  <si>
    <t>5DE43312912966316726D9A94D802F</t>
  </si>
  <si>
    <t>W:900</t>
  </si>
  <si>
    <t>5DE43312912966316726D9A94D9125</t>
  </si>
  <si>
    <t>W:1000</t>
  </si>
  <si>
    <t>5DE43312912966316726D9A84C9C27</t>
  </si>
  <si>
    <t>5DE43312912966316727E09A48052A</t>
  </si>
  <si>
    <t>5DE43312912966316727E09A48322E</t>
  </si>
  <si>
    <t>5DE43312912966316727E09A482028</t>
  </si>
  <si>
    <t>5DE43312912966316727E09A485D2C</t>
  </si>
  <si>
    <t>5DE43312912966316727E09A484325</t>
  </si>
  <si>
    <t>5DE43312912966316727E09A487829</t>
  </si>
  <si>
    <t>5DE43312912966316727E09A486E23</t>
  </si>
  <si>
    <t>5DE43312912966316727E09A489B27</t>
  </si>
  <si>
    <t>5DE43312912966316727E09A488920</t>
  </si>
  <si>
    <t>5DE43312912966316727E09B4A802A</t>
  </si>
  <si>
    <t>동력배관지지가대</t>
  </si>
  <si>
    <t>5DE43312912966316720B1CC4DEC27</t>
  </si>
  <si>
    <t>5DE43312912966316720B1CC4DD220</t>
  </si>
  <si>
    <t>5DE43312912966316720B1CC4DC129</t>
  </si>
  <si>
    <t>5DE43312912966316720B1CC4DB723</t>
  </si>
  <si>
    <t>5DE43312912966316720B1CC4DA62C</t>
  </si>
  <si>
    <t>5DE43312912966316720B1CC4D9425</t>
  </si>
  <si>
    <t>5DE43312912966316720B1CC4D8B2E</t>
  </si>
  <si>
    <t>5DE43312912966316720B1CC4D7928</t>
  </si>
  <si>
    <t>5DE43312912966316720B1CC4D6F21</t>
  </si>
  <si>
    <t>TOTAL</t>
  </si>
  <si>
    <t>재 료 비</t>
  </si>
  <si>
    <t>합    계</t>
  </si>
  <si>
    <t>비      고</t>
  </si>
  <si>
    <t>장비일위</t>
  </si>
  <si>
    <t>호표 1</t>
  </si>
  <si>
    <t>호표 2</t>
  </si>
  <si>
    <t>호표 3</t>
  </si>
  <si>
    <t>호표 4</t>
  </si>
  <si>
    <t>호표 5</t>
  </si>
  <si>
    <t>호표 6</t>
  </si>
  <si>
    <t>호표 7</t>
  </si>
  <si>
    <t>호표 8</t>
  </si>
  <si>
    <t>호표 9</t>
  </si>
  <si>
    <t>호표 10</t>
  </si>
  <si>
    <t>호표 11</t>
  </si>
  <si>
    <t>호표 12</t>
  </si>
  <si>
    <t>호표 13</t>
  </si>
  <si>
    <t>호표 14</t>
  </si>
  <si>
    <t>호표 15</t>
  </si>
  <si>
    <t>호표 16</t>
  </si>
  <si>
    <t>호표 17</t>
  </si>
  <si>
    <t>호표 18</t>
  </si>
  <si>
    <t>호표 19</t>
  </si>
  <si>
    <t>호표 20</t>
  </si>
  <si>
    <t>호표 21</t>
  </si>
  <si>
    <t>호표 22</t>
  </si>
  <si>
    <t>호표 23</t>
  </si>
  <si>
    <t>호표 24</t>
  </si>
  <si>
    <t>호표 25</t>
  </si>
  <si>
    <t>호표 26</t>
  </si>
  <si>
    <t>호표 27</t>
  </si>
  <si>
    <t>호표 28</t>
  </si>
  <si>
    <t>호표 29</t>
  </si>
  <si>
    <t>호표 30</t>
  </si>
  <si>
    <t>호표 31</t>
  </si>
  <si>
    <t>호표 32</t>
  </si>
  <si>
    <t>호표 33</t>
  </si>
  <si>
    <t>호표 34</t>
  </si>
  <si>
    <t>호표 35</t>
  </si>
  <si>
    <t>호표 36</t>
  </si>
  <si>
    <t>호표 37</t>
  </si>
  <si>
    <t>호표 38</t>
  </si>
  <si>
    <t>일위대가</t>
  </si>
  <si>
    <t>할증적용</t>
  </si>
  <si>
    <t>할증저장</t>
  </si>
  <si>
    <t>할증율</t>
  </si>
  <si>
    <t>HAL1</t>
  </si>
  <si>
    <t>HAL2</t>
  </si>
  <si>
    <t>HAL3</t>
  </si>
  <si>
    <t>일위대가+자재</t>
  </si>
  <si>
    <t>전선관지지행거(단독)  16C  개소     ( 호표 1 )</t>
  </si>
  <si>
    <t>행어볼트, ∮9*1000mm</t>
  </si>
  <si>
    <t>5A86B36B9EDF7E4D67224A604D7827F3FCDF46</t>
  </si>
  <si>
    <t>5DE43312912966316725327F42F4275A86B36B9EDF7E4D67224A604D7827F3FCDF46</t>
  </si>
  <si>
    <t>스트롱앵커(천정)</t>
  </si>
  <si>
    <t>5A86B36B9EDF42CFE77DB45B4D0F266397E247</t>
  </si>
  <si>
    <t>5DE43312912966316725327F42F4275A86B36B9EDF42CFE77DB45B4D0F266397E247</t>
  </si>
  <si>
    <t>5A86B36B9EDF7E5E474CCBB046FA271604A4A6</t>
  </si>
  <si>
    <t>5DE43312912966316725327F42F4275A86B36B9EDF7E5E474CCBB046FA271604A4A6</t>
  </si>
  <si>
    <t>스프링와셔, 용융아연도, 호칭경 10mm</t>
  </si>
  <si>
    <t>5A86B36B9EDF7EA66787B0F04C9621BE0758F6</t>
  </si>
  <si>
    <t>5DE43312912966316725327F42F4275A86B36B9EDF7EA66787B0F04C9621BE0758F6</t>
  </si>
  <si>
    <t>강재전선관용부품, 파이프행거, 16C</t>
  </si>
  <si>
    <t>5A863315971B91317799A678459826DAEB5EB5</t>
  </si>
  <si>
    <t>5DE43312912966316725327F42F4275A863315971B91317799A678459826DAEB5EB5</t>
  </si>
  <si>
    <t>내선전공</t>
  </si>
  <si>
    <t>일반공사 직종</t>
  </si>
  <si>
    <t>인</t>
  </si>
  <si>
    <t>5D78737D913A649CC77710DD482023D208AE87</t>
  </si>
  <si>
    <t>5DE43312912966316725327F42F4275D78737D913A649CC77710DD482023D208AE87</t>
  </si>
  <si>
    <t>공구손료</t>
  </si>
  <si>
    <t>인력품의 3%</t>
  </si>
  <si>
    <t>5CBB63DF9CABA8FE2777B8784762001</t>
  </si>
  <si>
    <t>5DE43312912966316725327F42F4275CBB63DF9CABA8FE2777B8784762001</t>
  </si>
  <si>
    <t xml:space="preserve"> [ 합          계 ]</t>
  </si>
  <si>
    <t>전선관지지행거(단독)  22C  개소     ( 호표 2 )</t>
  </si>
  <si>
    <t>5DE43312912966316725327F42CF235A86B36B9EDF7E4D67224A604D7827F3FCDF46</t>
  </si>
  <si>
    <t>5DE43312912966316725327F42CF235A86B36B9EDF42CFE77DB45B4D0F266397E247</t>
  </si>
  <si>
    <t>5DE43312912966316725327F42CF235A86B36B9EDF7E5E474CCBB046FA271604A4A6</t>
  </si>
  <si>
    <t>5DE43312912966316725327F42CF235A86B36B9EDF7EA66787B0F04C9621BE0758F6</t>
  </si>
  <si>
    <t>강재전선관용부품, 파이프행거, 28C</t>
  </si>
  <si>
    <t>5A863315971B91317799A678459826DAEB5EBB</t>
  </si>
  <si>
    <t>5DE43312912966316725327F42CF235A863315971B91317799A678459826DAEB5EBB</t>
  </si>
  <si>
    <t>5DE43312912966316725327F42CF235D78737D913A649CC77710DD482023D208AE87</t>
  </si>
  <si>
    <t>5DE43312912966316725327F42CF235CBB63DF9CABA8FE2777B8784762001</t>
  </si>
  <si>
    <t>전선관지지행거(단독)  28C  개소     ( 호표 3 )</t>
  </si>
  <si>
    <t>5DE43312912966316725327F42D92A5A86B36B9EDF7E4D67224A604D7827F3FCDF46</t>
  </si>
  <si>
    <t>5DE43312912966316725327F42D92A5A86B36B9EDF42CFE77DB45B4D0F266397E247</t>
  </si>
  <si>
    <t>5DE43312912966316725327F42D92A5A86B36B9EDF7E5E474CCBB046FA271604A4A6</t>
  </si>
  <si>
    <t>5DE43312912966316725327F42D92A5A86B36B9EDF7EA66787B0F04C9621BE0758F6</t>
  </si>
  <si>
    <t>5DE43312912966316725327F42D92A5A863315971B91317799A678459826DAEB5EBB</t>
  </si>
  <si>
    <t>5DE43312912966316725327F42D92A5D78737D913A649CC77710DD482023D208AE87</t>
  </si>
  <si>
    <t>5DE43312912966316725327F42D92A5CBB63DF9CABA8FE2777B8784762001</t>
  </si>
  <si>
    <t>전선관지지행거(단독)  36C  개소     ( 호표 4 )</t>
  </si>
  <si>
    <t>5DE43312912966316725327F42AC255A86B36B9EDF7E4D67224A604D7827F3FCDF46</t>
  </si>
  <si>
    <t>5DE43312912966316725327F42AC255A86B36B9EDF42CFE77DB45B4D0F266397E247</t>
  </si>
  <si>
    <t>5DE43312912966316725327F42AC255A86B36B9EDF7E5E474CCBB046FA271604A4A6</t>
  </si>
  <si>
    <t>5DE43312912966316725327F42AC255A86B36B9EDF7EA66787B0F04C9621BE0758F6</t>
  </si>
  <si>
    <t>강재전선관용부품, 파이프행거, 36C</t>
  </si>
  <si>
    <t>5A863315971B91317799A678459826DAEB5DAB</t>
  </si>
  <si>
    <t>5DE43312912966316725327F42AC255A863315971B91317799A678459826DAEB5DAB</t>
  </si>
  <si>
    <t>5DE43312912966316725327F42AC255D78737D913A649CC77710DD482023D208AE87</t>
  </si>
  <si>
    <t>5DE43312912966316725327F42AC255CBB63DF9CABA8FE2777B8784762001</t>
  </si>
  <si>
    <t>전선관지지행거(단독)  42C  개소     ( 호표 5 )</t>
  </si>
  <si>
    <t>5DE43312912966316725327F42BE2C5A86B36B9EDF7E4D67224A604D7827F3FCDF46</t>
  </si>
  <si>
    <t>5DE43312912966316725327F42BE2C5A86B36B9EDF42CFE77DB45B4D0F266397E247</t>
  </si>
  <si>
    <t>5DE43312912966316725327F42BE2C5A86B36B9EDF7E5E474CCBB046FA271604A4A6</t>
  </si>
  <si>
    <t>5DE43312912966316725327F42BE2C5A86B36B9EDF7EA66787B0F04C9621BE0758F6</t>
  </si>
  <si>
    <t>강재전선관용부품, 파이프행거, 42C</t>
  </si>
  <si>
    <t>5A863315971B91317799A678459826DAEB5DAA</t>
  </si>
  <si>
    <t>5DE43312912966316725327F42BE2C5A863315971B91317799A678459826DAEB5DAA</t>
  </si>
  <si>
    <t>5DE43312912966316725327F42BE2C5D78737D913A649CC77710DD482023D208AE87</t>
  </si>
  <si>
    <t>5DE43312912966316725327F42BE2C5CBB63DF9CABA8FE2777B8784762001</t>
  </si>
  <si>
    <t>전선관지지행거(단독)  54C  개소     ( 호표 6 )</t>
  </si>
  <si>
    <t>5DE43312912966316725327F4281285A86B36B9EDF7E4D67224A604D7827F3FCDF46</t>
  </si>
  <si>
    <t>5DE43312912966316725327F4281285A86B36B9EDF42CFE77DB45B4D0F266397E247</t>
  </si>
  <si>
    <t>5DE43312912966316725327F4281285A86B36B9EDF7E5E474CCBB046FA271604A4A6</t>
  </si>
  <si>
    <t>5DE43312912966316725327F4281285A86B36B9EDF7EA66787B0F04C9621BE0758F6</t>
  </si>
  <si>
    <t>강재전선관용부품, 파이프행거, 54C</t>
  </si>
  <si>
    <t>5A863315971B91317799A678459826DAEB5DA9</t>
  </si>
  <si>
    <t>5DE43312912966316725327F4281285A863315971B91317799A678459826DAEB5DA9</t>
  </si>
  <si>
    <t>5DE43312912966316725327F4281285D78737D913A649CC77710DD482023D208AE87</t>
  </si>
  <si>
    <t>5DE43312912966316725327F4281285CBB63DF9CABA8FE2777B8784762001</t>
  </si>
  <si>
    <t>전선관지지행거(단독)  70C  개소     ( 호표 7 )</t>
  </si>
  <si>
    <t>5DE43312912966316725327F42932F5A86B36B9EDF7E4D67224A604D7827F3FCDF46</t>
  </si>
  <si>
    <t>5DE43312912966316725327F42932F5A86B36B9EDF42CFE77DB45B4D0F266397E247</t>
  </si>
  <si>
    <t>5DE43312912966316725327F42932F5A86B36B9EDF7E5E474CCBB046FA271604A4A6</t>
  </si>
  <si>
    <t>5DE43312912966316725327F42932F5A86B36B9EDF7EA66787B0F04C9621BE0758F6</t>
  </si>
  <si>
    <t>강재전선관용부품, 파이프행거, 70C</t>
  </si>
  <si>
    <t>5A863315971B91317799A678459826DAEB5DA8</t>
  </si>
  <si>
    <t>5DE43312912966316725327F42932F5A863315971B91317799A678459826DAEB5DA8</t>
  </si>
  <si>
    <t>5DE43312912966316725327F42932F5D78737D913A649CC77710DD482023D208AE87</t>
  </si>
  <si>
    <t>5DE43312912966316725327F42932F5CBB63DF9CABA8FE2777B8784762001</t>
  </si>
  <si>
    <t>전선관지지행거(단독)  82C  개소     ( 호표 8 )</t>
  </si>
  <si>
    <t>5DE43312912966316725327F42662A5A86B36B9EDF7E4D67224A604D7827F3FCDF46</t>
  </si>
  <si>
    <t>5DE43312912966316725327F42662A5A86B36B9EDF42CFE77DB45B4D0F266397E247</t>
  </si>
  <si>
    <t>5DE43312912966316725327F42662A5A86B36B9EDF7E5E474CCBB046FA271604A4A6</t>
  </si>
  <si>
    <t>5DE43312912966316725327F42662A5A86B36B9EDF7EA66787B0F04C9621BE0758F6</t>
  </si>
  <si>
    <t>강재전선관용부품, 파이프행거, 82C</t>
  </si>
  <si>
    <t>5A863315971B91317799A678459826DAEB5DAF</t>
  </si>
  <si>
    <t>5DE43312912966316725327F42662A5A863315971B91317799A678459826DAEB5DAF</t>
  </si>
  <si>
    <t>5DE43312912966316725327F42662A5D78737D913A649CC77710DD482023D208AE87</t>
  </si>
  <si>
    <t>5DE43312912966316725327F42662A5CBB63DF9CABA8FE2777B8784762001</t>
  </si>
  <si>
    <t>전선관지지행거(단독)  104C  개소     ( 호표 9 )</t>
  </si>
  <si>
    <t>5DE43312912966316725327F4277215A86B36B9EDF7E4D67224A604D7827F3FCDF46</t>
  </si>
  <si>
    <t>5DE43312912966316725327F4277215A86B36B9EDF42CFE77DB45B4D0F266397E247</t>
  </si>
  <si>
    <t>5DE43312912966316725327F4277215A86B36B9EDF7E5E474CCBB046FA271604A4A6</t>
  </si>
  <si>
    <t>5DE43312912966316725327F4277215A86B36B9EDF7EA66787B0F04C9621BE0758F6</t>
  </si>
  <si>
    <t>5A863315971B91317799A678459826DAEB5DAE</t>
  </si>
  <si>
    <t>5DE43312912966316725327F4277215A863315971B91317799A678459826DAEB5DAE</t>
  </si>
  <si>
    <t>5DE43312912966316725327F4277215D78737D913A649CC77710DD482023D208AE87</t>
  </si>
  <si>
    <t>5DE43312912966316725327F4277215CBB63DF9CABA8FE2777B8784762001</t>
  </si>
  <si>
    <t>5DE43312912966316726D9A94D1D2F5A86B36B9EDF7E4D67224A604D7827F3FCDF46</t>
  </si>
  <si>
    <t>케이블트레이부속품, U Channel, 41*41*t2.6mm</t>
  </si>
  <si>
    <t>5A863315971B913177942733494B268EBC47D5</t>
  </si>
  <si>
    <t>5DE43312912966316726D9A94D1D2F5A863315971B913177942733494B268EBC47D5</t>
  </si>
  <si>
    <t>5DE43312912966316726D9A94D1D2F5A86B36B9EDF42CFE77DB45B4D0F266397E247</t>
  </si>
  <si>
    <t>5DE43312912966316726D9A94D1D2F5A86B36B9EDF7E5E474CCBB046FA271604A4A6</t>
  </si>
  <si>
    <t>5DE43312912966316726D9A94D1D2F5A86B36B9EDF7EA66787B0F04C9621BE0758F6</t>
  </si>
  <si>
    <t>5DE43312912966316726D9A94D1D2F5D78737D913A649CC77710DD482023D208AE87</t>
  </si>
  <si>
    <t>5DE43312912966316726D9A94D1D2F5CBB63DF9CABA8FE2777B8784762001</t>
  </si>
  <si>
    <t>5DE43312912966316726D9A94D2E265A86B36B9EDF7E4D67224A604D7827F3FCDF46</t>
  </si>
  <si>
    <t>5DE43312912966316726D9A94D2E265A863315971B913177942733494B268EBC47D5</t>
  </si>
  <si>
    <t>5DE43312912966316726D9A94D2E265A86B36B9EDF42CFE77DB45B4D0F266397E247</t>
  </si>
  <si>
    <t>5DE43312912966316726D9A94D2E265A86B36B9EDF7E5E474CCBB046FA271604A4A6</t>
  </si>
  <si>
    <t>5DE43312912966316726D9A94D2E265A86B36B9EDF7EA66787B0F04C9621BE0758F6</t>
  </si>
  <si>
    <t>5DE43312912966316726D9A94D2E265D78737D913A649CC77710DD482023D208AE87</t>
  </si>
  <si>
    <t>5DE43312912966316726D9A94D2E265CBB63DF9CABA8FE2777B8784762001</t>
  </si>
  <si>
    <t>5DE43312912966316726D9A94D382D5A86B36B9EDF7E4D67224A604D7827F3FCDF46</t>
  </si>
  <si>
    <t>5DE43312912966316726D9A94D382D5A863315971B913177942733494B268EBC47D5</t>
  </si>
  <si>
    <t>5DE43312912966316726D9A94D382D5A86B36B9EDF42CFE77DB45B4D0F266397E247</t>
  </si>
  <si>
    <t>5DE43312912966316726D9A94D382D5A86B36B9EDF7E5E474CCBB046FA271604A4A6</t>
  </si>
  <si>
    <t>5DE43312912966316726D9A94D382D5A86B36B9EDF7EA66787B0F04C9621BE0758F6</t>
  </si>
  <si>
    <t>5DE43312912966316726D9A94D382D5D78737D913A649CC77710DD482023D208AE87</t>
  </si>
  <si>
    <t>5DE43312912966316726D9A94D382D5CBB63DF9CABA8FE2777B8784762001</t>
  </si>
  <si>
    <t>5DE43312912966316726D9A94D49245A86B36B9EDF7E4D67224A604D7827F3FCDF46</t>
  </si>
  <si>
    <t>5DE43312912966316726D9A94D49245A863315971B913177942733494B268EBC47D5</t>
  </si>
  <si>
    <t>5DE43312912966316726D9A94D49245A86B36B9EDF42CFE77DB45B4D0F266397E247</t>
  </si>
  <si>
    <t>5DE43312912966316726D9A94D49245A86B36B9EDF7E5E474CCBB046FA271604A4A6</t>
  </si>
  <si>
    <t>5DE43312912966316726D9A94D49245A86B36B9EDF7EA66787B0F04C9621BE0758F6</t>
  </si>
  <si>
    <t>5DE43312912966316726D9A94D49245D78737D913A649CC77710DD482023D208AE87</t>
  </si>
  <si>
    <t>5DE43312912966316726D9A94D49245CBB63DF9CABA8FE2777B8784762001</t>
  </si>
  <si>
    <t>5DE43312912966316726D9A94D5B2A5A86B36B9EDF7E4D67224A604D7827F3FCDF46</t>
  </si>
  <si>
    <t>5DE43312912966316726D9A94D5B2A5A863315971B913177942733494B268EBC47D5</t>
  </si>
  <si>
    <t>5DE43312912966316726D9A94D5B2A5A86B36B9EDF42CFE77DB45B4D0F266397E247</t>
  </si>
  <si>
    <t>5DE43312912966316726D9A94D5B2A5A86B36B9EDF7E5E474CCBB046FA271604A4A6</t>
  </si>
  <si>
    <t>5DE43312912966316726D9A94D5B2A5A86B36B9EDF7EA66787B0F04C9621BE0758F6</t>
  </si>
  <si>
    <t>5DE43312912966316726D9A94D5B2A5D78737D913A649CC77710DD482023D208AE87</t>
  </si>
  <si>
    <t>5DE43312912966316726D9A94D5B2A5CBB63DF9CABA8FE2777B8784762001</t>
  </si>
  <si>
    <t>5DE43312912966316726D9A94D64215A86B36B9EDF7E4D67224A604D7827F3FCDF46</t>
  </si>
  <si>
    <t>5DE43312912966316726D9A94D64215A863315971B913177942733494B268EBC47D5</t>
  </si>
  <si>
    <t>5DE43312912966316726D9A94D64215A86B36B9EDF42CFE77DB45B4D0F266397E247</t>
  </si>
  <si>
    <t>5DE43312912966316726D9A94D64215A86B36B9EDF7E5E474CCBB046FA271604A4A6</t>
  </si>
  <si>
    <t>5DE43312912966316726D9A94D64215A86B36B9EDF7EA66787B0F04C9621BE0758F6</t>
  </si>
  <si>
    <t>5DE43312912966316726D9A94D64215D78737D913A649CC77710DD482023D208AE87</t>
  </si>
  <si>
    <t>5DE43312912966316726D9A94D64215CBB63DF9CABA8FE2777B8784762001</t>
  </si>
  <si>
    <t>5DE43312912966316726D9A94D76285A86B36B9EDF7E4D67224A604D7827F3FCDF46</t>
  </si>
  <si>
    <t>5DE43312912966316726D9A94D76285A863315971B913177942733494B268EBC47D5</t>
  </si>
  <si>
    <t>5DE43312912966316726D9A94D76285A86B36B9EDF42CFE77DB45B4D0F266397E247</t>
  </si>
  <si>
    <t>5DE43312912966316726D9A94D76285A86B36B9EDF7E5E474CCBB046FA271604A4A6</t>
  </si>
  <si>
    <t>5DE43312912966316726D9A94D76285A86B36B9EDF7EA66787B0F04C9621BE0758F6</t>
  </si>
  <si>
    <t>5DE43312912966316726D9A94D76285D78737D913A649CC77710DD482023D208AE87</t>
  </si>
  <si>
    <t>5DE43312912966316726D9A94D76285CBB63DF9CABA8FE2777B8784762001</t>
  </si>
  <si>
    <t>5DE43312912966316726D9A94D802F5A86B36B9EDF7E4D67224A604D7827F3FCDF46</t>
  </si>
  <si>
    <t>5DE43312912966316726D9A94D802F5A863315971B913177942733494B268EBC47D5</t>
  </si>
  <si>
    <t>5DE43312912966316726D9A94D802F5A86B36B9EDF42CFE77DB45B4D0F266397E247</t>
  </si>
  <si>
    <t>5DE43312912966316726D9A94D802F5A86B36B9EDF7E5E474CCBB046FA271604A4A6</t>
  </si>
  <si>
    <t>5DE43312912966316726D9A94D802F5A86B36B9EDF7EA66787B0F04C9621BE0758F6</t>
  </si>
  <si>
    <t>5DE43312912966316726D9A94D802F5D78737D913A649CC77710DD482023D208AE87</t>
  </si>
  <si>
    <t>5DE43312912966316726D9A94D802F5CBB63DF9CABA8FE2777B8784762001</t>
  </si>
  <si>
    <t>5DE43312912966316726D9A94D91255A86B36B9EDF7E4D67224A604D7827F3FCDF46</t>
  </si>
  <si>
    <t>5DE43312912966316726D9A94D91255A863315971B913177942733494B268EBC47D5</t>
  </si>
  <si>
    <t>5DE43312912966316726D9A94D91255A86B36B9EDF42CFE77DB45B4D0F266397E247</t>
  </si>
  <si>
    <t>5DE43312912966316726D9A94D91255A86B36B9EDF7E5E474CCBB046FA271604A4A6</t>
  </si>
  <si>
    <t>5DE43312912966316726D9A94D91255A86B36B9EDF7EA66787B0F04C9621BE0758F6</t>
  </si>
  <si>
    <t>5DE43312912966316726D9A94D91255D78737D913A649CC77710DD482023D208AE87</t>
  </si>
  <si>
    <t>5DE43312912966316726D9A94D91255CBB63DF9CABA8FE2777B8784762001</t>
  </si>
  <si>
    <t>5DE43312912966316726D9A84C9C275A86B36B9EDF7E4D67224A604D7827F3FCDF46</t>
  </si>
  <si>
    <t>5DE43312912966316726D9A84C9C275A863315971B913177942733494B268EBC47D5</t>
  </si>
  <si>
    <t>5DE43312912966316726D9A84C9C275A86B36B9EDF42CFE77DB45B4D0F266397E247</t>
  </si>
  <si>
    <t>5DE43312912966316726D9A84C9C275A86B36B9EDF7E5E474CCBB046FA271604A4A6</t>
  </si>
  <si>
    <t>5DE43312912966316726D9A84C9C275A86B36B9EDF7EA66787B0F04C9621BE0758F6</t>
  </si>
  <si>
    <t>5DE43312912966316726D9A84C9C275D78737D913A649CC77710DD482023D208AE87</t>
  </si>
  <si>
    <t>5DE43312912966316726D9A84C9C275CBB63DF9CABA8FE2777B8784762001</t>
  </si>
  <si>
    <t>5DE43312912966316727E09A48052A5A863315971B913177942733494B268EBC47D5</t>
  </si>
  <si>
    <t>세트앵커, M10*L75mm</t>
  </si>
  <si>
    <t>5A86B36B9EDF42CFE77DB45B4D0F266397EF1F</t>
  </si>
  <si>
    <t>5DE43312912966316727E09A48052A5A86B36B9EDF42CFE77DB45B4D0F266397EF1F</t>
  </si>
  <si>
    <t>5DE43312912966316727E09A48052A5A86B36B9EDF7E5E474CCBB046FA271604A4A6</t>
  </si>
  <si>
    <t>5DE43312912966316727E09A48052A5A86B36B9EDF7EA66787B0F04C9621BE0758F6</t>
  </si>
  <si>
    <t>5DE43312912966316727E09A48052A5D78737D913A649CC77710DD482023D208AE87</t>
  </si>
  <si>
    <t>5DE43312912966316727E09A48052A5CBB63DF9CABA8FE2777B8784762001</t>
  </si>
  <si>
    <t>5DE43312912966316727E09A48322E5A863315971B913177942733494B268EBC47D5</t>
  </si>
  <si>
    <t>5DE43312912966316727E09A48322E5A86B36B9EDF42CFE77DB45B4D0F266397EF1F</t>
  </si>
  <si>
    <t>5DE43312912966316727E09A48322E5A86B36B9EDF7E5E474CCBB046FA271604A4A6</t>
  </si>
  <si>
    <t>5DE43312912966316727E09A48322E5A86B36B9EDF7EA66787B0F04C9621BE0758F6</t>
  </si>
  <si>
    <t>5DE43312912966316727E09A48322E5D78737D913A649CC77710DD482023D208AE87</t>
  </si>
  <si>
    <t>5DE43312912966316727E09A48322E5CBB63DF9CABA8FE2777B8784762001</t>
  </si>
  <si>
    <t>5DE43312912966316727E09A4820285A863315971B913177942733494B268EBC47D5</t>
  </si>
  <si>
    <t>5DE43312912966316727E09A4820285A86B36B9EDF42CFE77DB45B4D0F266397EF1F</t>
  </si>
  <si>
    <t>5DE43312912966316727E09A4820285A86B36B9EDF7E5E474CCBB046FA271604A4A6</t>
  </si>
  <si>
    <t>5DE43312912966316727E09A4820285A86B36B9EDF7EA66787B0F04C9621BE0758F6</t>
  </si>
  <si>
    <t>5DE43312912966316727E09A4820285D78737D913A649CC77710DD482023D208AE87</t>
  </si>
  <si>
    <t>5DE43312912966316727E09A4820285CBB63DF9CABA8FE2777B8784762001</t>
  </si>
  <si>
    <t>5DE43312912966316727E09A485D2C5A863315971B913177942733494B268EBC47D5</t>
  </si>
  <si>
    <t>5DE43312912966316727E09A485D2C5A86B36B9EDF42CFE77DB45B4D0F266397EF1F</t>
  </si>
  <si>
    <t>5DE43312912966316727E09A485D2C5A86B36B9EDF7E5E474CCBB046FA271604A4A6</t>
  </si>
  <si>
    <t>5DE43312912966316727E09A485D2C5A86B36B9EDF7EA66787B0F04C9621BE0758F6</t>
  </si>
  <si>
    <t>5DE43312912966316727E09A485D2C5D78737D913A649CC77710DD482023D208AE87</t>
  </si>
  <si>
    <t>5DE43312912966316727E09A485D2C5CBB63DF9CABA8FE2777B8784762001</t>
  </si>
  <si>
    <t>5DE43312912966316727E09A4843255A863315971B913177942733494B268EBC47D5</t>
  </si>
  <si>
    <t>5DE43312912966316727E09A4843255A86B36B9EDF42CFE77DB45B4D0F266397EF1F</t>
  </si>
  <si>
    <t>5DE43312912966316727E09A4843255A86B36B9EDF7E5E474CCBB046FA271604A4A6</t>
  </si>
  <si>
    <t>5DE43312912966316727E09A4843255A86B36B9EDF7EA66787B0F04C9621BE0758F6</t>
  </si>
  <si>
    <t>5DE43312912966316727E09A4843255D78737D913A649CC77710DD482023D208AE87</t>
  </si>
  <si>
    <t>5DE43312912966316727E09A4843255CBB63DF9CABA8FE2777B8784762001</t>
  </si>
  <si>
    <t>5DE43312912966316727E09A4878295A863315971B913177942733494B268EBC47D5</t>
  </si>
  <si>
    <t>5DE43312912966316727E09A4878295A86B36B9EDF42CFE77DB45B4D0F266397EF1F</t>
  </si>
  <si>
    <t>5DE43312912966316727E09A4878295A86B36B9EDF7E5E474CCBB046FA271604A4A6</t>
  </si>
  <si>
    <t>5DE43312912966316727E09A4878295A86B36B9EDF7EA66787B0F04C9621BE0758F6</t>
  </si>
  <si>
    <t>5DE43312912966316727E09A4878295D78737D913A649CC77710DD482023D208AE87</t>
  </si>
  <si>
    <t>5DE43312912966316727E09A4878295CBB63DF9CABA8FE2777B8784762001</t>
  </si>
  <si>
    <t>5DE43312912966316727E09A486E235A863315971B913177942733494B268EBC47D5</t>
  </si>
  <si>
    <t>5DE43312912966316727E09A486E235A86B36B9EDF42CFE77DB45B4D0F266397EF1F</t>
  </si>
  <si>
    <t>5DE43312912966316727E09A486E235A86B36B9EDF7E5E474CCBB046FA271604A4A6</t>
  </si>
  <si>
    <t>5DE43312912966316727E09A486E235A86B36B9EDF7EA66787B0F04C9621BE0758F6</t>
  </si>
  <si>
    <t>5DE43312912966316727E09A486E235D78737D913A649CC77710DD482023D208AE87</t>
  </si>
  <si>
    <t>5DE43312912966316727E09A486E235CBB63DF9CABA8FE2777B8784762001</t>
  </si>
  <si>
    <t>5DE43312912966316727E09A489B275A863315971B913177942733494B268EBC47D5</t>
  </si>
  <si>
    <t>5DE43312912966316727E09A489B275A86B36B9EDF42CFE77DB45B4D0F266397EF1F</t>
  </si>
  <si>
    <t>5DE43312912966316727E09A489B275A86B36B9EDF7E5E474CCBB046FA271604A4A6</t>
  </si>
  <si>
    <t>5DE43312912966316727E09A489B275A86B36B9EDF7EA66787B0F04C9621BE0758F6</t>
  </si>
  <si>
    <t>5DE43312912966316727E09A489B275D78737D913A649CC77710DD482023D208AE87</t>
  </si>
  <si>
    <t>5DE43312912966316727E09A489B275CBB63DF9CABA8FE2777B8784762001</t>
  </si>
  <si>
    <t>5DE43312912966316727E09A4889205A863315971B913177942733494B268EBC47D5</t>
  </si>
  <si>
    <t>5DE43312912966316727E09A4889205A86B36B9EDF42CFE77DB45B4D0F266397EF1F</t>
  </si>
  <si>
    <t>5DE43312912966316727E09A4889205A86B36B9EDF7E5E474CCBB046FA271604A4A6</t>
  </si>
  <si>
    <t>5DE43312912966316727E09A4889205A86B36B9EDF7EA66787B0F04C9621BE0758F6</t>
  </si>
  <si>
    <t>5DE43312912966316727E09A4889205D78737D913A649CC77710DD482023D208AE87</t>
  </si>
  <si>
    <t>5DE43312912966316727E09A4889205CBB63DF9CABA8FE2777B8784762001</t>
  </si>
  <si>
    <t>5DE43312912966316727E09B4A802A5A863315971B913177942733494B268EBC47D5</t>
  </si>
  <si>
    <t>5DE43312912966316727E09B4A802A5A86B36B9EDF42CFE77DB45B4D0F266397EF1F</t>
  </si>
  <si>
    <t>5DE43312912966316727E09B4A802A5A86B36B9EDF7E5E474CCBB046FA271604A4A6</t>
  </si>
  <si>
    <t>5DE43312912966316727E09B4A802A5A86B36B9EDF7EA66787B0F04C9621BE0758F6</t>
  </si>
  <si>
    <t>5DE43312912966316727E09B4A802A5D78737D913A649CC77710DD482023D208AE87</t>
  </si>
  <si>
    <t>5DE43312912966316727E09B4A802A5CBB63DF9CABA8FE2777B8784762001</t>
  </si>
  <si>
    <t>동력배관지지가대  16C  개소     ( 호표 30 )</t>
  </si>
  <si>
    <t>ㄱ형강</t>
  </si>
  <si>
    <t>ㄱ형강, 등변, 100*100*9mm</t>
  </si>
  <si>
    <t>kg</t>
  </si>
  <si>
    <t>5A86A34291432DB2D74A63B34FA9220AEC36FB</t>
  </si>
  <si>
    <t>5DE43312912966316720B1CC4DEC275A86A34291432DB2D74A63B34FA9220AEC36FB</t>
  </si>
  <si>
    <t>5DE43312912966316720B1CC4DEC275A863315971B913177942733494B268EBC47D5</t>
  </si>
  <si>
    <t>일반구조용압연강판</t>
  </si>
  <si>
    <t>일반구조용압연강판, 6mm</t>
  </si>
  <si>
    <t>5A86A34291431358A71A02B540F4204AE78D80</t>
  </si>
  <si>
    <t>5DE43312912966316720B1CC4DEC275A86A34291431358A71A02B540F4204AE78D80</t>
  </si>
  <si>
    <t>세트앵커, M25*L250mm</t>
  </si>
  <si>
    <t>5A86B36B9EDF42CFE77DB45B4D0F266397EE76</t>
  </si>
  <si>
    <t>5DE43312912966316720B1CC4DEC275A86B36B9EDF42CFE77DB45B4D0F266397EE76</t>
  </si>
  <si>
    <t>육각볼트</t>
  </si>
  <si>
    <t>육각볼트, M10*20</t>
  </si>
  <si>
    <t>5A86B36B9EDF7E4DD75A72384BE824FBDAA372</t>
  </si>
  <si>
    <t>5DE43312912966316720B1CC4DEC275A86B36B9EDF7E4DD75A72384BE824FBDAA372</t>
  </si>
  <si>
    <t>5DE43312912966316720B1CC4DEC275A86B36B9EDF7E5E474CCBB046FA271604A4A6</t>
  </si>
  <si>
    <t>강재전선관용부품, 파이프크램프, 16C</t>
  </si>
  <si>
    <t>5A863315971B91317799A678459826DAEB582D</t>
  </si>
  <si>
    <t>5DE43312912966316720B1CC4DEC275A863315971B91317799A678459826DAEB582D</t>
  </si>
  <si>
    <t>5DE43312912966316720B1CC4DEC275D78737D913A649CC77710DD482023D208AE87</t>
  </si>
  <si>
    <t>5DE43312912966316720B1CC4DEC275CBB63DF9CABA8FE2777B8784762001</t>
  </si>
  <si>
    <t>동력배관지지가대  22C  개소     ( 호표 31 )</t>
  </si>
  <si>
    <t>5DE43312912966316720B1CC4DD2205A86A34291432DB2D74A63B34FA9220AEC36FB</t>
  </si>
  <si>
    <t>5DE43312912966316720B1CC4DD2205A863315971B913177942733494B268EBC47D5</t>
  </si>
  <si>
    <t>5DE43312912966316720B1CC4DD2205A86A34291431358A71A02B540F4204AE78D80</t>
  </si>
  <si>
    <t>5DE43312912966316720B1CC4DD2205A86B36B9EDF42CFE77DB45B4D0F266397EE76</t>
  </si>
  <si>
    <t>5DE43312912966316720B1CC4DD2205A86B36B9EDF7E4DD75A72384BE824FBDAA372</t>
  </si>
  <si>
    <t>5DE43312912966316720B1CC4DD2205A86B36B9EDF7E5E474CCBB046FA271604A4A6</t>
  </si>
  <si>
    <t>강재전선관용부품, 파이프크램프, 22C</t>
  </si>
  <si>
    <t>5A863315971B91317799A678459826DAEB582C</t>
  </si>
  <si>
    <t>5DE43312912966316720B1CC4DD2205A863315971B91317799A678459826DAEB582C</t>
  </si>
  <si>
    <t>5DE43312912966316720B1CC4DD2205D78737D913A649CC77710DD482023D208AE87</t>
  </si>
  <si>
    <t>5DE43312912966316720B1CC4DD2205CBB63DF9CABA8FE2777B8784762001</t>
  </si>
  <si>
    <t>동력배관지지가대  28C  개소     ( 호표 32 )</t>
  </si>
  <si>
    <t>5DE43312912966316720B1CC4DC1295A86A34291432DB2D74A63B34FA9220AEC36FB</t>
  </si>
  <si>
    <t>5DE43312912966316720B1CC4DC1295A863315971B913177942733494B268EBC47D5</t>
  </si>
  <si>
    <t>5DE43312912966316720B1CC4DC1295A86A34291431358A71A02B540F4204AE78D80</t>
  </si>
  <si>
    <t>5DE43312912966316720B1CC4DC1295A86B36B9EDF42CFE77DB45B4D0F266397EE76</t>
  </si>
  <si>
    <t>5DE43312912966316720B1CC4DC1295A86B36B9EDF7E4DD75A72384BE824FBDAA372</t>
  </si>
  <si>
    <t>5DE43312912966316720B1CC4DC1295A86B36B9EDF7E5E474CCBB046FA271604A4A6</t>
  </si>
  <si>
    <t>강재전선관용부품, 파이프크램프, 28C</t>
  </si>
  <si>
    <t>5A863315971B91317799A678459826DAEB582F</t>
  </si>
  <si>
    <t>5DE43312912966316720B1CC4DC1295A863315971B91317799A678459826DAEB582F</t>
  </si>
  <si>
    <t>5DE43312912966316720B1CC4DC1295D78737D913A649CC77710DD482023D208AE87</t>
  </si>
  <si>
    <t>5DE43312912966316720B1CC4DC1295CBB63DF9CABA8FE2777B8784762001</t>
  </si>
  <si>
    <t>동력배관지지가대  36C  개소     ( 호표 33 )</t>
  </si>
  <si>
    <t>5DE43312912966316720B1CC4DB7235A86A34291432DB2D74A63B34FA9220AEC36FB</t>
  </si>
  <si>
    <t>5DE43312912966316720B1CC4DB7235A863315971B913177942733494B268EBC47D5</t>
  </si>
  <si>
    <t>5DE43312912966316720B1CC4DB7235A86A34291431358A71A02B540F4204AE78D80</t>
  </si>
  <si>
    <t>5DE43312912966316720B1CC4DB7235A86B36B9EDF42CFE77DB45B4D0F266397EE76</t>
  </si>
  <si>
    <t>5DE43312912966316720B1CC4DB7235A86B36B9EDF7E4DD75A72384BE824FBDAA372</t>
  </si>
  <si>
    <t>5DE43312912966316720B1CC4DB7235A86B36B9EDF7E5E474CCBB046FA271604A4A6</t>
  </si>
  <si>
    <t>강재전선관용부품, 파이프크램프, 36C</t>
  </si>
  <si>
    <t>5A863315971B91317799A678459826DAEB582E</t>
  </si>
  <si>
    <t>5DE43312912966316720B1CC4DB7235A863315971B91317799A678459826DAEB582E</t>
  </si>
  <si>
    <t>5DE43312912966316720B1CC4DB7235D78737D913A649CC77710DD482023D208AE87</t>
  </si>
  <si>
    <t>5DE43312912966316720B1CC4DB7235CBB63DF9CABA8FE2777B8784762001</t>
  </si>
  <si>
    <t>동력배관지지가대  42C  개소     ( 호표 34 )</t>
  </si>
  <si>
    <t>5DE43312912966316720B1CC4DA62C5A86A34291432DB2D74A63B34FA9220AEC36FB</t>
  </si>
  <si>
    <t>5DE43312912966316720B1CC4DA62C5A863315971B913177942733494B268EBC47D5</t>
  </si>
  <si>
    <t>5DE43312912966316720B1CC4DA62C5A86A34291431358A71A02B540F4204AE78D80</t>
  </si>
  <si>
    <t>5DE43312912966316720B1CC4DA62C5A86B36B9EDF42CFE77DB45B4D0F266397EE76</t>
  </si>
  <si>
    <t>5DE43312912966316720B1CC4DA62C5A86B36B9EDF7E4DD75A72384BE824FBDAA372</t>
  </si>
  <si>
    <t>5DE43312912966316720B1CC4DA62C5A86B36B9EDF7E5E474CCBB046FA271604A4A6</t>
  </si>
  <si>
    <t>강재전선관용부품, 파이프크램프, 42C</t>
  </si>
  <si>
    <t>5A863315971B91317799A678459826DAEB5821</t>
  </si>
  <si>
    <t>5DE43312912966316720B1CC4DA62C5A863315971B91317799A678459826DAEB5821</t>
  </si>
  <si>
    <t>5DE43312912966316720B1CC4DA62C5D78737D913A649CC77710DD482023D208AE87</t>
  </si>
  <si>
    <t>5DE43312912966316720B1CC4DA62C5CBB63DF9CABA8FE2777B8784762001</t>
  </si>
  <si>
    <t>동력배관지지가대  54C  개소     ( 호표 35 )</t>
  </si>
  <si>
    <t>5DE43312912966316720B1CC4D94255A86A34291432DB2D74A63B34FA9220AEC36FB</t>
  </si>
  <si>
    <t>5DE43312912966316720B1CC4D94255A863315971B913177942733494B268EBC47D5</t>
  </si>
  <si>
    <t>5DE43312912966316720B1CC4D94255A86A34291431358A71A02B540F4204AE78D80</t>
  </si>
  <si>
    <t>5DE43312912966316720B1CC4D94255A86B36B9EDF42CFE77DB45B4D0F266397EE76</t>
  </si>
  <si>
    <t>5DE43312912966316720B1CC4D94255A86B36B9EDF7E4DD75A72384BE824FBDAA372</t>
  </si>
  <si>
    <t>5DE43312912966316720B1CC4D94255A86B36B9EDF7E5E474CCBB046FA271604A4A6</t>
  </si>
  <si>
    <t>강재전선관용부품, 파이프크램프, 54C</t>
  </si>
  <si>
    <t>5A863315971B91317799A678459826DAEB5820</t>
  </si>
  <si>
    <t>5DE43312912966316720B1CC4D94255A863315971B91317799A678459826DAEB5820</t>
  </si>
  <si>
    <t>5DE43312912966316720B1CC4D94255D78737D913A649CC77710DD482023D208AE87</t>
  </si>
  <si>
    <t>5DE43312912966316720B1CC4D94255CBB63DF9CABA8FE2777B8784762001</t>
  </si>
  <si>
    <t>동력배관지지가대  70C  개소     ( 호표 36 )</t>
  </si>
  <si>
    <t>5DE43312912966316720B1CC4D8B2E5A86A34291432DB2D74A63B34FA9220AEC36FB</t>
  </si>
  <si>
    <t>5DE43312912966316720B1CC4D8B2E5A863315971B913177942733494B268EBC47D5</t>
  </si>
  <si>
    <t>5DE43312912966316720B1CC4D8B2E5A86A34291431358A71A02B540F4204AE78D80</t>
  </si>
  <si>
    <t>5DE43312912966316720B1CC4D8B2E5A86B36B9EDF42CFE77DB45B4D0F266397EE76</t>
  </si>
  <si>
    <t>5DE43312912966316720B1CC4D8B2E5A86B36B9EDF7E4DD75A72384BE824FBDAA372</t>
  </si>
  <si>
    <t>5DE43312912966316720B1CC4D8B2E5A86B36B9EDF7E5E474CCBB046FA271604A4A6</t>
  </si>
  <si>
    <t>강재전선관용부품, 파이프크램프, 70C</t>
  </si>
  <si>
    <t>5A863315971B91317799A678459826DAEB5F58</t>
  </si>
  <si>
    <t>5DE43312912966316720B1CC4D8B2E5A863315971B91317799A678459826DAEB5F58</t>
  </si>
  <si>
    <t>5DE43312912966316720B1CC4D8B2E5D78737D913A649CC77710DD482023D208AE87</t>
  </si>
  <si>
    <t>5DE43312912966316720B1CC4D8B2E5CBB63DF9CABA8FE2777B8784762001</t>
  </si>
  <si>
    <t>동력배관지지가대  82C  개소     ( 호표 37 )</t>
  </si>
  <si>
    <t>5DE43312912966316720B1CC4D79285A86A34291432DB2D74A63B34FA9220AEC36FB</t>
  </si>
  <si>
    <t>5DE43312912966316720B1CC4D79285A863315971B913177942733494B268EBC47D5</t>
  </si>
  <si>
    <t>5DE43312912966316720B1CC4D79285A86A34291431358A71A02B540F4204AE78D80</t>
  </si>
  <si>
    <t>5DE43312912966316720B1CC4D79285A86B36B9EDF42CFE77DB45B4D0F266397EE76</t>
  </si>
  <si>
    <t>5DE43312912966316720B1CC4D79285A86B36B9EDF7E4DD75A72384BE824FBDAA372</t>
  </si>
  <si>
    <t>5DE43312912966316720B1CC4D79285A86B36B9EDF7E5E474CCBB046FA271604A4A6</t>
  </si>
  <si>
    <t>강재전선관용부품, 파이프크램프, 82C</t>
  </si>
  <si>
    <t>5A863315971B91317799A678459826DAEB5F59</t>
  </si>
  <si>
    <t>5DE43312912966316720B1CC4D79285A863315971B91317799A678459826DAEB5F59</t>
  </si>
  <si>
    <t>5DE43312912966316720B1CC4D79285D78737D913A649CC77710DD482023D208AE87</t>
  </si>
  <si>
    <t>5DE43312912966316720B1CC4D79285CBB63DF9CABA8FE2777B8784762001</t>
  </si>
  <si>
    <t>동력배관지지가대  104C  개소     ( 호표 38 )</t>
  </si>
  <si>
    <t>5DE43312912966316720B1CC4D6F215A86A34291432DB2D74A63B34FA9220AEC36FB</t>
  </si>
  <si>
    <t>5DE43312912966316720B1CC4D6F215A863315971B913177942733494B268EBC47D5</t>
  </si>
  <si>
    <t>5DE43312912966316720B1CC4D6F215A86A34291431358A71A02B540F4204AE78D80</t>
  </si>
  <si>
    <t>5DE43312912966316720B1CC4D6F215A86B36B9EDF42CFE77DB45B4D0F266397EE76</t>
  </si>
  <si>
    <t>5DE43312912966316720B1CC4D6F215A86B36B9EDF7E4DD75A72384BE824FBDAA372</t>
  </si>
  <si>
    <t>5DE43312912966316720B1CC4D6F215A86B36B9EDF7E5E474CCBB046FA271604A4A6</t>
  </si>
  <si>
    <t>강재전선관용부품, 파이프크램프, 104C</t>
  </si>
  <si>
    <t>5A863315971B91317799A678459826DAEB5F5A</t>
  </si>
  <si>
    <t>5DE43312912966316720B1CC4D6F215A863315971B91317799A678459826DAEB5F5A</t>
  </si>
  <si>
    <t>5DE43312912966316720B1CC4D6F215D78737D913A649CC77710DD482023D208AE87</t>
  </si>
  <si>
    <t>5DE43312912966316720B1CC4D6F215CBB63DF9CABA8FE2777B8784762001</t>
  </si>
  <si>
    <t xml:space="preserve">  가. 노임비교표</t>
  </si>
  <si>
    <t>직종별</t>
  </si>
  <si>
    <t>직종번호</t>
    <phoneticPr fontId="7" type="noConversion"/>
  </si>
  <si>
    <t>직   종   명</t>
  </si>
  <si>
    <t>시중노임단가</t>
  </si>
  <si>
    <t>등락율</t>
  </si>
  <si>
    <t>비 고</t>
  </si>
  <si>
    <t>전기</t>
  </si>
  <si>
    <t>특고압케이블전공</t>
  </si>
  <si>
    <t>고압케이블전공</t>
  </si>
  <si>
    <t>저압케이블전공</t>
  </si>
  <si>
    <t>송전전공</t>
  </si>
  <si>
    <t>배전전공</t>
  </si>
  <si>
    <t>배전활선전공</t>
  </si>
  <si>
    <t>플랜트전공</t>
  </si>
  <si>
    <t>계장공</t>
  </si>
  <si>
    <t>변전전공</t>
    <phoneticPr fontId="7" type="noConversion"/>
  </si>
  <si>
    <t>평균등락율</t>
  </si>
  <si>
    <t>통신</t>
  </si>
  <si>
    <t>통신내선공</t>
  </si>
  <si>
    <t>통신설비공</t>
  </si>
  <si>
    <t>통신외선공</t>
  </si>
  <si>
    <t>통신케이블공</t>
  </si>
  <si>
    <t>무선안테나공</t>
  </si>
  <si>
    <t>공통</t>
  </si>
  <si>
    <t>보통인부</t>
  </si>
  <si>
    <t xml:space="preserve"> </t>
  </si>
  <si>
    <t>특별인부</t>
  </si>
  <si>
    <t>비계공</t>
  </si>
  <si>
    <t xml:space="preserve">  나. 부문별 평균 등락율</t>
  </si>
  <si>
    <t xml:space="preserve">    1) 전기부문</t>
  </si>
  <si>
    <t xml:space="preserve">    2) 통신부문</t>
  </si>
  <si>
    <t xml:space="preserve">    3) 공통부문</t>
    <phoneticPr fontId="7" type="noConversion"/>
  </si>
  <si>
    <t>1.분전반 신설시 조립 및 설치 공량표(5-18. 분전반 신설)</t>
    <phoneticPr fontId="7" type="noConversion"/>
  </si>
  <si>
    <t>1-가. 배선용차단기(누전차단기)</t>
  </si>
  <si>
    <t>현행적용품셈</t>
  </si>
  <si>
    <t>변경적용품셈</t>
  </si>
  <si>
    <t>개당노임단가</t>
  </si>
  <si>
    <t>비고</t>
  </si>
  <si>
    <t>조립(35%)</t>
  </si>
  <si>
    <t>2P</t>
  </si>
  <si>
    <t>3P</t>
  </si>
  <si>
    <t>4P</t>
  </si>
  <si>
    <t>30AF  이하</t>
    <phoneticPr fontId="7" type="noConversion"/>
  </si>
  <si>
    <t>50AF  이하</t>
    <phoneticPr fontId="7" type="noConversion"/>
  </si>
  <si>
    <t>100AF 이하</t>
    <phoneticPr fontId="7" type="noConversion"/>
  </si>
  <si>
    <t>225AF 이하</t>
    <phoneticPr fontId="7" type="noConversion"/>
  </si>
  <si>
    <t>400AF 이하</t>
    <phoneticPr fontId="7" type="noConversion"/>
  </si>
  <si>
    <t>600AF 이하</t>
    <phoneticPr fontId="7" type="noConversion"/>
  </si>
  <si>
    <t>800AF 이하</t>
    <phoneticPr fontId="7" type="noConversion"/>
  </si>
  <si>
    <t>2. 기타 사항은 전기부문 표준품셈 5-18(분전반 조립 및 설치)의 해설란 참조</t>
    <phoneticPr fontId="7" type="noConversion"/>
  </si>
  <si>
    <t>1-나. 나이프스위치(마그넷스위치)</t>
  </si>
  <si>
    <t>30A  이하</t>
  </si>
  <si>
    <t>60A  이하</t>
  </si>
  <si>
    <t>100A 이하</t>
  </si>
  <si>
    <t>200A 이하</t>
  </si>
  <si>
    <t>300A 이하</t>
  </si>
  <si>
    <t>400A 이하</t>
  </si>
  <si>
    <t>600A 이하</t>
  </si>
  <si>
    <t>트레이지지행거(천장)</t>
    <phoneticPr fontId="1" type="noConversion"/>
  </si>
  <si>
    <t>트레이지지대(벽체)</t>
    <phoneticPr fontId="1" type="noConversion"/>
  </si>
  <si>
    <t>트레이지지행거(천장)  W:100  개소     ( 호표 10 )</t>
  </si>
  <si>
    <t>트레이지지행거(천장)  W:150  개소     ( 호표 11 )</t>
  </si>
  <si>
    <t>트레이지지행거(천장)  W:200  개소     ( 호표 12 )</t>
  </si>
  <si>
    <t>트레이지지행거(천장)  W:300  개소     ( 호표 13 )</t>
  </si>
  <si>
    <t>트레이지지행거(천장)  W:400  개소     ( 호표 14 )</t>
  </si>
  <si>
    <t>트레이지지행거(천장)  W:500  개소     ( 호표 15 )</t>
  </si>
  <si>
    <t>트레이지지행거(천장)  W:600  개소     ( 호표 16 )</t>
  </si>
  <si>
    <t>트레이지지행거(천장)  W:800  개소     ( 호표 17 )</t>
  </si>
  <si>
    <t>트레이지지행거(천장)  W:900  개소     ( 호표 18 )</t>
  </si>
  <si>
    <t>트레이지지행거(천장)  W:1000  개소     ( 호표 19 )</t>
  </si>
  <si>
    <t>트레이지지대(벽체)  W:100  개소     ( 호표 20 )</t>
  </si>
  <si>
    <t>트레이지지대(벽체)  W:150  개소     ( 호표 21 )</t>
  </si>
  <si>
    <t>트레이지지대(벽체)  W:200  개소     ( 호표 22 )</t>
  </si>
  <si>
    <t>트레이지지대(벽체)  W:300  개소     ( 호표 23 )</t>
  </si>
  <si>
    <t>트레이지지대(벽체)  W:400  개소     ( 호표 24 )</t>
  </si>
  <si>
    <t>트레이지지대(벽체)  W:500  개소     ( 호표 25 )</t>
  </si>
  <si>
    <t>트레이지지대(벽체)  W:600  개소     ( 호표 26 )</t>
  </si>
  <si>
    <t>트레이지지대(벽체)  W:800  개소     ( 호표 27 )</t>
  </si>
  <si>
    <t>트레이지지대(벽체)  W:900  개소     ( 호표 28 )</t>
  </si>
  <si>
    <t>트레이지지대(벽체)  W:1000  개소     ( 호표 29 )</t>
  </si>
  <si>
    <t xml:space="preserve"> 폐기물 처리비(수집운송비포함)</t>
  </si>
  <si>
    <t xml:space="preserve"> 폐기물 처리비(수집운송비포함)</t>
    <phoneticPr fontId="1" type="noConversion"/>
  </si>
  <si>
    <t>디지털40회로 벽부형</t>
  </si>
  <si>
    <t>수신거리용</t>
  </si>
  <si>
    <t>경광등+음성</t>
  </si>
  <si>
    <t>점자스티커,안내보드판,아크릴케이스포함</t>
    <phoneticPr fontId="1" type="noConversion"/>
  </si>
  <si>
    <t>일 위 대 가 목 록</t>
    <phoneticPr fontId="1" type="noConversion"/>
  </si>
  <si>
    <t>전기기계조립원</t>
    <phoneticPr fontId="7" type="noConversion"/>
  </si>
  <si>
    <t>개폐기 용량</t>
    <phoneticPr fontId="1" type="noConversion"/>
  </si>
  <si>
    <r>
      <t xml:space="preserve">1. 위 품을 적용함에 있어 조립품은 제조부문의 </t>
    </r>
    <r>
      <rPr>
        <sz val="10"/>
        <color rgb="FFFF0000"/>
        <rFont val="맑은 고딕"/>
        <family val="3"/>
        <charset val="129"/>
        <scheme val="minor"/>
      </rPr>
      <t>전기기계조립원 노임</t>
    </r>
    <r>
      <rPr>
        <sz val="10"/>
        <rFont val="맑은 고딕"/>
        <family val="3"/>
        <charset val="129"/>
        <scheme val="minor"/>
      </rPr>
      <t>을 적용함</t>
    </r>
    <phoneticPr fontId="7" type="noConversion"/>
  </si>
  <si>
    <t>454</t>
    <phoneticPr fontId="1" type="noConversion"/>
  </si>
  <si>
    <t>비상문 자동폐쇄장치(옥상출입문)</t>
    <phoneticPr fontId="1" type="noConversion"/>
  </si>
  <si>
    <t>658</t>
    <phoneticPr fontId="1" type="noConversion"/>
  </si>
  <si>
    <t>24시간아날로그타이머</t>
    <phoneticPr fontId="1" type="noConversion"/>
  </si>
  <si>
    <t>정전보상형</t>
    <phoneticPr fontId="1" type="noConversion"/>
  </si>
  <si>
    <t>1089</t>
    <phoneticPr fontId="1" type="noConversion"/>
  </si>
  <si>
    <t>H:3.0M</t>
    <phoneticPr fontId="1" type="noConversion"/>
  </si>
  <si>
    <t>H:5.0M</t>
    <phoneticPr fontId="1" type="noConversion"/>
  </si>
  <si>
    <t>H:7.0M</t>
    <phoneticPr fontId="1" type="noConversion"/>
  </si>
  <si>
    <t>일반형(ON/OFF)</t>
    <phoneticPr fontId="1" type="noConversion"/>
  </si>
  <si>
    <t>시스템박스(매입용)</t>
    <phoneticPr fontId="1" type="noConversion"/>
  </si>
  <si>
    <t>시스템박스(악세스플로어용)</t>
    <phoneticPr fontId="1" type="noConversion"/>
  </si>
  <si>
    <t>저수위경보용</t>
    <phoneticPr fontId="1" type="noConversion"/>
  </si>
  <si>
    <t>HDMI(2M)</t>
    <phoneticPr fontId="1" type="noConversion"/>
  </si>
  <si>
    <t>MULTI WIRE DUCT 수평형 엘보</t>
    <phoneticPr fontId="1" type="noConversion"/>
  </si>
  <si>
    <t>품        명</t>
    <phoneticPr fontId="1" type="noConversion"/>
  </si>
  <si>
    <t>규        격</t>
    <phoneticPr fontId="1" type="noConversion"/>
  </si>
  <si>
    <t>2선</t>
  </si>
  <si>
    <t>3선</t>
  </si>
  <si>
    <t>4선</t>
  </si>
  <si>
    <t>수위조절기(전극봉)</t>
    <phoneticPr fontId="1" type="noConversion"/>
  </si>
  <si>
    <t>수위조절기(오뚜기)</t>
    <phoneticPr fontId="1" type="noConversion"/>
  </si>
  <si>
    <t>만든이:나라기술 정진붕</t>
    <phoneticPr fontId="1" type="noConversion"/>
  </si>
  <si>
    <t>인터폰</t>
    <phoneticPr fontId="1" type="noConversion"/>
  </si>
  <si>
    <t>상호식, 6회로</t>
    <phoneticPr fontId="1" type="noConversion"/>
  </si>
  <si>
    <t>상호식, 10회로</t>
    <phoneticPr fontId="1" type="noConversion"/>
  </si>
  <si>
    <t>Column형/옥외용, 10W</t>
    <phoneticPr fontId="1" type="noConversion"/>
  </si>
  <si>
    <t>APT/원형, 1W</t>
    <phoneticPr fontId="1" type="noConversion"/>
  </si>
  <si>
    <t>소화전발신기셋트 보호망(철재도장)</t>
    <phoneticPr fontId="1" type="noConversion"/>
  </si>
  <si>
    <t>피난구유도등 보호망(철재도장)</t>
    <phoneticPr fontId="1" type="noConversion"/>
  </si>
  <si>
    <t>RF형(적외선)</t>
    <phoneticPr fontId="1" type="noConversion"/>
  </si>
  <si>
    <t>가로등 방수접속함</t>
    <phoneticPr fontId="1" type="noConversion"/>
  </si>
  <si>
    <t>발신기셋트 보호망(철재도장)</t>
    <phoneticPr fontId="1" type="noConversion"/>
  </si>
  <si>
    <t>누름버튼스위치(조광형)</t>
    <phoneticPr fontId="1" type="noConversion"/>
  </si>
  <si>
    <t>220V 6A</t>
    <phoneticPr fontId="1" type="noConversion"/>
  </si>
  <si>
    <t>M</t>
    <phoneticPr fontId="1" type="noConversion"/>
  </si>
  <si>
    <t>일반공사 직종</t>
    <phoneticPr fontId="1" type="noConversion"/>
  </si>
  <si>
    <t>강재전선관용부품, 파이프행거, 104C</t>
    <phoneticPr fontId="1" type="noConversion"/>
  </si>
  <si>
    <t>1구, 15A, 250V, 둥근형-노출형, 접지</t>
    <phoneticPr fontId="1" type="noConversion"/>
  </si>
  <si>
    <t>1198</t>
    <phoneticPr fontId="1" type="noConversion"/>
  </si>
  <si>
    <t>AWG24/0.3㎟-2C</t>
    <phoneticPr fontId="1" type="noConversion"/>
  </si>
  <si>
    <t>고주파동축케이블</t>
    <phoneticPr fontId="1" type="noConversion"/>
  </si>
  <si>
    <t>1046</t>
  </si>
  <si>
    <t>877</t>
  </si>
  <si>
    <t>1117</t>
    <phoneticPr fontId="1" type="noConversion"/>
  </si>
  <si>
    <t>1145</t>
    <phoneticPr fontId="1" type="noConversion"/>
  </si>
  <si>
    <t>1162</t>
    <phoneticPr fontId="1" type="noConversion"/>
  </si>
  <si>
    <t>1161</t>
    <phoneticPr fontId="1" type="noConversion"/>
  </si>
  <si>
    <t>1166</t>
    <phoneticPr fontId="1" type="noConversion"/>
  </si>
  <si>
    <t>1168</t>
    <phoneticPr fontId="1" type="noConversion"/>
  </si>
  <si>
    <t>1191</t>
    <phoneticPr fontId="1" type="noConversion"/>
  </si>
  <si>
    <t>1203</t>
    <phoneticPr fontId="1" type="noConversion"/>
  </si>
  <si>
    <t>1002</t>
    <phoneticPr fontId="1" type="noConversion"/>
  </si>
  <si>
    <t>36C</t>
    <phoneticPr fontId="1" type="noConversion"/>
  </si>
  <si>
    <t>48C</t>
    <phoneticPr fontId="1" type="noConversion"/>
  </si>
  <si>
    <t>847</t>
    <phoneticPr fontId="1" type="noConversion"/>
  </si>
  <si>
    <t>2개용, 44mm</t>
    <phoneticPr fontId="1" type="noConversion"/>
  </si>
  <si>
    <t>2개용, 54mm</t>
    <phoneticPr fontId="1" type="noConversion"/>
  </si>
  <si>
    <t>2개용, 75mm</t>
    <phoneticPr fontId="1" type="noConversion"/>
  </si>
  <si>
    <t>콘센트박스</t>
    <phoneticPr fontId="1" type="noConversion"/>
  </si>
  <si>
    <t>Set</t>
    <phoneticPr fontId="1" type="noConversion"/>
  </si>
  <si>
    <t>전열2구</t>
    <phoneticPr fontId="1" type="noConversion"/>
  </si>
  <si>
    <t>방출표시등</t>
    <phoneticPr fontId="1" type="noConversion"/>
  </si>
  <si>
    <t>하론,소화약제</t>
    <phoneticPr fontId="1" type="noConversion"/>
  </si>
  <si>
    <t>소화가스용</t>
    <phoneticPr fontId="1" type="noConversion"/>
  </si>
  <si>
    <t>중계기수용합</t>
    <phoneticPr fontId="1" type="noConversion"/>
  </si>
  <si>
    <t>1개용</t>
    <phoneticPr fontId="1" type="noConversion"/>
  </si>
  <si>
    <t>2개용</t>
    <phoneticPr fontId="1" type="noConversion"/>
  </si>
  <si>
    <t>4개용</t>
    <phoneticPr fontId="1" type="noConversion"/>
  </si>
  <si>
    <t>통로유도등    보호망(철재도장)</t>
    <phoneticPr fontId="1" type="noConversion"/>
  </si>
  <si>
    <t>비상조명등    보호망(철재도장)</t>
    <phoneticPr fontId="1" type="noConversion"/>
  </si>
  <si>
    <t>시각경보       보호망(철재도장)</t>
    <phoneticPr fontId="1" type="noConversion"/>
  </si>
  <si>
    <t>1194</t>
    <phoneticPr fontId="1" type="noConversion"/>
  </si>
  <si>
    <t>1229</t>
    <phoneticPr fontId="1" type="noConversion"/>
  </si>
  <si>
    <t>1104</t>
    <phoneticPr fontId="1" type="noConversion"/>
  </si>
  <si>
    <t>4각주철(수공) 뚜껑 (전기,통신)</t>
    <phoneticPr fontId="1" type="noConversion"/>
  </si>
  <si>
    <t>964</t>
    <phoneticPr fontId="1" type="noConversion"/>
  </si>
  <si>
    <t>1204</t>
    <phoneticPr fontId="1" type="noConversion"/>
  </si>
  <si>
    <t>견적</t>
    <phoneticPr fontId="1" type="noConversion"/>
  </si>
  <si>
    <t>1320</t>
    <phoneticPr fontId="1" type="noConversion"/>
  </si>
  <si>
    <t>계측용</t>
    <phoneticPr fontId="1" type="noConversion"/>
  </si>
  <si>
    <t>집합형메타(각형)(디지털)</t>
    <phoneticPr fontId="1" type="noConversion"/>
  </si>
  <si>
    <t>주파수계(디지털)Hz</t>
    <phoneticPr fontId="1" type="noConversion"/>
  </si>
  <si>
    <t>무효전력계(디지털)Kvar</t>
    <phoneticPr fontId="1" type="noConversion"/>
  </si>
  <si>
    <t>유효전력계(디지털)kW</t>
    <phoneticPr fontId="1" type="noConversion"/>
  </si>
  <si>
    <t>3상 전류계(디지털)Am</t>
    <phoneticPr fontId="1" type="noConversion"/>
  </si>
  <si>
    <t>3상 전압계(디지털)Vm</t>
    <phoneticPr fontId="1" type="noConversion"/>
  </si>
  <si>
    <t>가입자보안기</t>
    <phoneticPr fontId="1" type="noConversion"/>
  </si>
  <si>
    <t>10회선</t>
    <phoneticPr fontId="1" type="noConversion"/>
  </si>
  <si>
    <t>대</t>
    <phoneticPr fontId="1" type="noConversion"/>
  </si>
  <si>
    <t>7CCT</t>
    <phoneticPr fontId="1" type="noConversion"/>
  </si>
  <si>
    <t>9CCT</t>
    <phoneticPr fontId="1" type="noConversion"/>
  </si>
  <si>
    <t>접지단자함(노출 ALL SUS)</t>
    <phoneticPr fontId="1" type="noConversion"/>
  </si>
  <si>
    <t>1CCT</t>
    <phoneticPr fontId="1" type="noConversion"/>
  </si>
  <si>
    <t>3CCT</t>
    <phoneticPr fontId="1" type="noConversion"/>
  </si>
  <si>
    <t>5CCT</t>
    <phoneticPr fontId="1" type="noConversion"/>
  </si>
  <si>
    <t>LAN콘센트(시스템박스용)</t>
    <phoneticPr fontId="1" type="noConversion"/>
  </si>
  <si>
    <t xml:space="preserve">전화콘센트(시스템박스용) </t>
    <phoneticPr fontId="1" type="noConversion"/>
  </si>
  <si>
    <t>모듈러잭8핀형, CAT-6</t>
    <phoneticPr fontId="1" type="noConversion"/>
  </si>
  <si>
    <t>1259</t>
    <phoneticPr fontId="1" type="noConversion"/>
  </si>
  <si>
    <t>1247</t>
    <phoneticPr fontId="1" type="noConversion"/>
  </si>
  <si>
    <t>1084</t>
    <phoneticPr fontId="1" type="noConversion"/>
  </si>
  <si>
    <t>871</t>
    <phoneticPr fontId="1" type="noConversion"/>
  </si>
  <si>
    <t>905</t>
    <phoneticPr fontId="1" type="noConversion"/>
  </si>
  <si>
    <t>906</t>
    <phoneticPr fontId="1" type="noConversion"/>
  </si>
  <si>
    <t>2024.7.1</t>
    <phoneticPr fontId="7" type="noConversion"/>
  </si>
  <si>
    <t>저독성난연케이블(단선)</t>
  </si>
  <si>
    <t>저독성난연케이블(연선)</t>
  </si>
  <si>
    <t>F-CV, 1.5㎟ -1C</t>
  </si>
  <si>
    <t>F-CV, 2.5㎟ -1C</t>
  </si>
  <si>
    <t>F-CV, 4㎟   -1C</t>
  </si>
  <si>
    <t>F-CV, 6㎟   -1C</t>
  </si>
  <si>
    <t>F-CV, 10㎟  -1C</t>
  </si>
  <si>
    <t>F-CV, 16㎟  -1C</t>
  </si>
  <si>
    <t>F-CV, 25㎟  -1C</t>
  </si>
  <si>
    <t>F-CV, 35㎟  -1C</t>
  </si>
  <si>
    <t>F-CV, 50㎟  -1C</t>
  </si>
  <si>
    <t>F-CV, 70㎟  -1C</t>
  </si>
  <si>
    <t>F-CV, 95㎟  -1C</t>
  </si>
  <si>
    <t>F-CV, 120㎟ -1C</t>
  </si>
  <si>
    <t>F-CV, 150㎟ -1C</t>
  </si>
  <si>
    <t>F-CV, 185㎟ -1C</t>
  </si>
  <si>
    <t>F-CV, 240㎟ -1C</t>
  </si>
  <si>
    <t>F-CV, 300㎟ -1C</t>
  </si>
  <si>
    <t>F-CV, 400㎟ -1C</t>
  </si>
  <si>
    <t>F-CV, 500㎟ -1C</t>
  </si>
  <si>
    <t>F-CV, 630㎟ -1C</t>
  </si>
  <si>
    <t>F-CV, 1.5㎟ -2C</t>
  </si>
  <si>
    <t>F-CV, 2.5㎟ -2C</t>
  </si>
  <si>
    <t>F-CV, 4㎟   -2C</t>
  </si>
  <si>
    <t>F-CV, 6㎟   -2C</t>
  </si>
  <si>
    <t>F-CV, 10㎟  -2C</t>
  </si>
  <si>
    <t>F-CV, 16㎟  -2C</t>
  </si>
  <si>
    <t>F-CV, 25㎟  -2C</t>
  </si>
  <si>
    <t>F-CV, 35㎟  -2C</t>
  </si>
  <si>
    <t>F-CV, 50㎟  -2C</t>
  </si>
  <si>
    <t>F-CV, 70㎟  -2C</t>
  </si>
  <si>
    <t>F-CV, 95㎟  -2C</t>
  </si>
  <si>
    <t>F-CV, 120㎟ -2C</t>
  </si>
  <si>
    <t>F-CV, 150㎟ -2C</t>
  </si>
  <si>
    <t>F-CV, 185㎟ -2C</t>
  </si>
  <si>
    <t>F-CV, 240㎟ -2C</t>
  </si>
  <si>
    <t>F-CV, 300㎟ -2C</t>
  </si>
  <si>
    <t>F-CV, 1.5㎟ -3C</t>
  </si>
  <si>
    <t>F-CV, 2.5㎟ -3C</t>
  </si>
  <si>
    <t>F-CV, 4㎟   -3C</t>
  </si>
  <si>
    <t>F-CV, 6㎟   -3C</t>
  </si>
  <si>
    <t>F-CV, 10㎟  -3C</t>
  </si>
  <si>
    <t>F-CV, 16㎟  -3C</t>
  </si>
  <si>
    <t>F-CV, 25㎟  -3C</t>
  </si>
  <si>
    <t>F-CV, 35㎟  -3C</t>
  </si>
  <si>
    <t>F-CV, 50㎟  -3C</t>
  </si>
  <si>
    <t>F-CV, 70㎟  -3C</t>
  </si>
  <si>
    <t>F-CV, 95㎟  -3C</t>
  </si>
  <si>
    <t>F-CV, 120㎟ -3C</t>
  </si>
  <si>
    <t>F-CV, 150㎟ -3C</t>
  </si>
  <si>
    <t>F-CV, 185㎟ -3C</t>
  </si>
  <si>
    <t>F-CV, 240㎟ -3C</t>
  </si>
  <si>
    <t>F-CV, 300㎟ -3C</t>
  </si>
  <si>
    <t>F-CV, 1.5㎟ -4C</t>
  </si>
  <si>
    <t>F-CV, 2.5㎟ -4C</t>
  </si>
  <si>
    <t>F-CV, 4㎟   -4C</t>
  </si>
  <si>
    <t>F-CV, 6㎟   -4C</t>
  </si>
  <si>
    <t>F-CV, 10㎟  -4C</t>
  </si>
  <si>
    <t>F-CV, 16㎟  -4C</t>
  </si>
  <si>
    <t>F-CV, 25㎟  -4C</t>
  </si>
  <si>
    <t>F-CV, 35㎟  -4C</t>
  </si>
  <si>
    <t>F-CV, 50㎟  -4C</t>
  </si>
  <si>
    <t>F-CV, 70㎟  -4C</t>
  </si>
  <si>
    <t>F-CV, 95㎟  -4C</t>
  </si>
  <si>
    <t>F-CV, 120㎟ -4C</t>
  </si>
  <si>
    <t>F-CV, 150㎟ -4C</t>
  </si>
  <si>
    <t>F-CV, 185㎟ -4C</t>
  </si>
  <si>
    <t>F-CV, 240㎟ -4C</t>
  </si>
  <si>
    <t>F-CV, 300㎟ -4C</t>
  </si>
  <si>
    <t>ACSR,    58㎟</t>
  </si>
  <si>
    <t>HFIX, 16㎟</t>
  </si>
  <si>
    <t>HFIX, 25㎟</t>
  </si>
  <si>
    <t>HFIX, 35㎟</t>
  </si>
  <si>
    <t>HFIX, 50㎟</t>
  </si>
  <si>
    <t>HFIX, 70㎟</t>
  </si>
  <si>
    <t>HFIX, 95㎟</t>
  </si>
  <si>
    <t>HFIX, 120㎟</t>
  </si>
  <si>
    <t>HFIX, 150㎟</t>
  </si>
  <si>
    <t>HFIX, 185㎟</t>
  </si>
  <si>
    <t>HFIX, 240㎟</t>
  </si>
  <si>
    <t>HFIX, 300㎟</t>
  </si>
  <si>
    <t>HFIX, 400㎟</t>
  </si>
  <si>
    <t>HFIX, 1.5㎣ (1.38㎜)</t>
  </si>
  <si>
    <t>HFIX, 2.5㎣ (1.78㎜)</t>
  </si>
  <si>
    <t>HFIX, 4㎣   (2.25㎜)</t>
  </si>
  <si>
    <t>소방용내화전선</t>
  </si>
  <si>
    <t>F-FR-8, 1.5㎟ -1C</t>
  </si>
  <si>
    <t>F-FR-8, 2.5㎟ -1C</t>
  </si>
  <si>
    <t>F-FR-8, 4㎟   -1C</t>
  </si>
  <si>
    <t>F-FR-8, 6㎟   -1C</t>
  </si>
  <si>
    <t>F-FR-8, 10㎟  -1C</t>
  </si>
  <si>
    <t>F-FR-8, 16㎟  -1C</t>
  </si>
  <si>
    <t>F-FR-8, 25㎟  -1C</t>
  </si>
  <si>
    <t>F-FR-8, 35㎟  -1C</t>
  </si>
  <si>
    <t>F-FR-8, 50㎟  -1C</t>
  </si>
  <si>
    <t>F-FR-8, 70㎟  -1C</t>
  </si>
  <si>
    <t>F-FR-8, 95㎟  -1C</t>
  </si>
  <si>
    <t>F-FR-8, 120㎟ -1C</t>
  </si>
  <si>
    <t>F-FR-8, 150㎟ -1C</t>
  </si>
  <si>
    <t>F-FR-8, 185㎟ -1C</t>
  </si>
  <si>
    <t>F-FR-8, 240㎟ -1C</t>
  </si>
  <si>
    <t>F-FR-8, 300㎟ -1C</t>
  </si>
  <si>
    <t>F-FR-8, 400㎟ -1C</t>
  </si>
  <si>
    <t>F-FR-8, 500㎟ -1C</t>
  </si>
  <si>
    <t>F-FR-8, 630㎟ -1C</t>
  </si>
  <si>
    <t>F-FR-8, 1.5㎟ -2C</t>
  </si>
  <si>
    <t>F-FR-8, 2.5㎟ -2C</t>
  </si>
  <si>
    <t>F-FR-8, 4㎟   -2C</t>
  </si>
  <si>
    <t>F-FR-8, 6㎟   -2C</t>
  </si>
  <si>
    <t>F-FR-8, 10㎟  -2C</t>
  </si>
  <si>
    <t>F-FR-8, 16㎟  -2C</t>
  </si>
  <si>
    <t>F-FR-8, 25㎟  -2C</t>
  </si>
  <si>
    <t>F-FR-8, 35㎟  -2C</t>
  </si>
  <si>
    <t>F-FR-8, 50㎟  -2C</t>
  </si>
  <si>
    <t>F-FR-8, 70㎟  -2C</t>
  </si>
  <si>
    <t>F-FR-8, 95㎟  -2C</t>
  </si>
  <si>
    <t>F-FR-8, 120㎟ -2C</t>
  </si>
  <si>
    <t>F-FR-8, 150㎟ -2C</t>
  </si>
  <si>
    <t>F-FR-8, 185㎟ -2C</t>
  </si>
  <si>
    <t>F-FR-8, 240㎟ -2C</t>
  </si>
  <si>
    <t>F-FR-8, 300㎟ -2C</t>
  </si>
  <si>
    <t>F-FR-8, 1.5㎟ -3C</t>
  </si>
  <si>
    <t>F-FR-8, 2.5㎟ -3C</t>
  </si>
  <si>
    <t>F-FR-8, 4㎟   -3C</t>
  </si>
  <si>
    <t>F-FR-8, 6㎟   -3C</t>
  </si>
  <si>
    <t>F-FR-8, 10㎟  -3C</t>
  </si>
  <si>
    <t>F-FR-8, 16㎟  -3C</t>
  </si>
  <si>
    <t>F-FR-8, 25㎟  -3C</t>
  </si>
  <si>
    <t>F-FR-8, 35㎟  -3C</t>
  </si>
  <si>
    <t>F-FR-8, 50㎟  -3C</t>
  </si>
  <si>
    <t>F-FR-8, 70㎟  -3C</t>
  </si>
  <si>
    <t>F-FR-8, 95㎟  -3C</t>
  </si>
  <si>
    <t>F-FR-8, 120㎟ -3C</t>
  </si>
  <si>
    <t>F-FR-8, 150㎟ -3C</t>
  </si>
  <si>
    <t>F-FR-8, 185㎟ -3C</t>
  </si>
  <si>
    <t>F-FR-8, 240㎟ -3C</t>
  </si>
  <si>
    <t>F-FR-8, 300㎟ -3C</t>
  </si>
  <si>
    <t>F-FR-8, 1.5㎟ -4C</t>
  </si>
  <si>
    <t>F-FR-8, 2.5㎟ -4C</t>
  </si>
  <si>
    <t>F-FR-8, 4㎟   -4C</t>
  </si>
  <si>
    <t>F-FR-8, 6㎟   -4C</t>
  </si>
  <si>
    <t>F-FR-8, 10㎟  -4C</t>
  </si>
  <si>
    <t>F-FR-8, 16㎟  -4C</t>
  </si>
  <si>
    <t>F-FR-8, 25㎟  -4C</t>
  </si>
  <si>
    <t>F-FR-8, 35㎟  -4C</t>
  </si>
  <si>
    <t>F-FR-8, 50㎟  -4C</t>
  </si>
  <si>
    <t>F-FR-8, 70㎟  -4C</t>
  </si>
  <si>
    <t>F-FR-8, 95㎟  -4C</t>
  </si>
  <si>
    <t>F-FR-8, 120㎟ -4C</t>
  </si>
  <si>
    <t>F-FR-8, 150㎟ -4C</t>
  </si>
  <si>
    <t>F-FR-8, 185㎟ -4C</t>
  </si>
  <si>
    <t>F-FR-8, 240㎟ -4C</t>
  </si>
  <si>
    <t>F-FR-8, 300㎟ -4C</t>
  </si>
  <si>
    <t>F-FR-3, 1.5㎟ -2C</t>
  </si>
  <si>
    <t>F-FR-3, 2.5㎟ -2C</t>
  </si>
  <si>
    <t>F-FR-3, 1.5㎟ -3C</t>
  </si>
  <si>
    <t>F-FR-3, 2.5㎟ -3C</t>
  </si>
  <si>
    <t>F-FR-3, 1.5㎟ -4C</t>
  </si>
  <si>
    <t>F-FR-3, 2.5㎟ -4C</t>
  </si>
  <si>
    <t>F-FR-3, 1.5㎟ -5C</t>
  </si>
  <si>
    <t>F-FR-3, 2.5㎟ -5C</t>
  </si>
  <si>
    <t>F-FR-3, 1.5㎟ -6C</t>
  </si>
  <si>
    <t>F-FR-3, 2.5㎟ -6C</t>
  </si>
  <si>
    <t>F-FR-3, 1.5㎟ -7C</t>
  </si>
  <si>
    <t>F-FR-3, 2.5㎟ -7C</t>
  </si>
  <si>
    <t>F-FR-3, 1.5㎟ -8C</t>
  </si>
  <si>
    <t>F-FR-3, 2.5㎟ -8C</t>
  </si>
  <si>
    <t>F-FR-3, 1.5㎟-10C</t>
  </si>
  <si>
    <t>F-FR-3, 2.5㎟-10C</t>
  </si>
  <si>
    <t>F-FR-3, 1.5㎟-12C</t>
  </si>
  <si>
    <t>F-FR-3, 2.5㎟-12C</t>
  </si>
  <si>
    <t>F-FR-3, 1.5㎟-15C</t>
  </si>
  <si>
    <t>F-FR-3, 2.5㎟-15C</t>
  </si>
  <si>
    <t>F-FR-3, 1.5㎟-20C</t>
  </si>
  <si>
    <t>F-FR-3, 2.5㎟-20C</t>
  </si>
  <si>
    <t>F-FR-3, 1.5㎟-25C</t>
  </si>
  <si>
    <t>F-FR-3, 2.5㎟-25C</t>
  </si>
  <si>
    <t>F-FR-3, 1.5㎟-30C</t>
  </si>
  <si>
    <t>F-FR-3, 2.5㎟-30C</t>
  </si>
  <si>
    <t>CPEV, 0.65mm - 5P</t>
  </si>
  <si>
    <t>CPEV, 0.65mm -10P</t>
  </si>
  <si>
    <t>CPEV, 0.65mm -15P</t>
  </si>
  <si>
    <t>CPEV, 0.65mm -20P</t>
  </si>
  <si>
    <t>CPEV, 0.65mm -25P</t>
  </si>
  <si>
    <t>CPEV, 0.65mm -30P</t>
  </si>
  <si>
    <t>CPEV, 0.65mm -50P</t>
  </si>
  <si>
    <t>CPEV, 0.65mm-100P</t>
  </si>
  <si>
    <t>CPEV, 0.65mm-150P</t>
  </si>
  <si>
    <t>CPEV, 0.65mm-200P</t>
  </si>
  <si>
    <t>누설고발포동축케이블</t>
  </si>
  <si>
    <t>HFL-SS -5C</t>
  </si>
  <si>
    <t>HFL-SS -7C</t>
  </si>
  <si>
    <t>HFBT  - 5C</t>
  </si>
  <si>
    <t>HFBT  - 7C</t>
  </si>
  <si>
    <t>HFBT - 10C</t>
  </si>
  <si>
    <t>UTP 케이블</t>
  </si>
  <si>
    <t>CAT-6   0.5㎜ -4P</t>
  </si>
  <si>
    <t>CAT-5E  0.5㎜ -4P</t>
  </si>
  <si>
    <t>CAT-5E  0.5㎜-25P</t>
  </si>
  <si>
    <t>TIV,    0.8mm -2C</t>
  </si>
  <si>
    <t>인타폰선,0.6mm-2C</t>
  </si>
  <si>
    <t>광케이블(MM) (멀티모드)</t>
  </si>
  <si>
    <t>ST,  16Φ</t>
  </si>
  <si>
    <t>ST,  22Φ</t>
  </si>
  <si>
    <t>ST,  28Φ</t>
  </si>
  <si>
    <t>ST,  36Φ</t>
  </si>
  <si>
    <t>ST,  42Φ</t>
  </si>
  <si>
    <t>ST,  54Φ</t>
  </si>
  <si>
    <t>ST,  70Φ</t>
  </si>
  <si>
    <t>ST,  82Φ</t>
  </si>
  <si>
    <t>ST, 104Φ</t>
  </si>
  <si>
    <t>HI,  16Φ</t>
  </si>
  <si>
    <t>HI,  22Φ</t>
  </si>
  <si>
    <t>HI,  28Φ</t>
  </si>
  <si>
    <t>HI,  36Φ</t>
  </si>
  <si>
    <t>HI,  42Φ</t>
  </si>
  <si>
    <t>HI,  54Φ</t>
  </si>
  <si>
    <t>HI,  70Φ</t>
  </si>
  <si>
    <t>HI,  82Φ</t>
  </si>
  <si>
    <t>HI, 100Φ</t>
  </si>
  <si>
    <t>ELP, 30Φ</t>
  </si>
  <si>
    <t>ELP, 40Φ</t>
  </si>
  <si>
    <t>ELP, 50Φ</t>
  </si>
  <si>
    <t>ELP, 65Φ</t>
  </si>
  <si>
    <t>ELP, 80Φ</t>
  </si>
  <si>
    <t>ELP,100Φ</t>
  </si>
  <si>
    <t>ELP,125Φ</t>
  </si>
  <si>
    <t>ELP,150Φ</t>
  </si>
  <si>
    <t>ELP,175Φ</t>
  </si>
  <si>
    <t>ELP,200Φ</t>
  </si>
  <si>
    <t>PE,  16Φ</t>
  </si>
  <si>
    <t>PE,  22Φ</t>
  </si>
  <si>
    <t>PE,  28Φ</t>
  </si>
  <si>
    <t>PE,  36Φ</t>
  </si>
  <si>
    <t>PE,  42Φ</t>
  </si>
  <si>
    <t>PE,  54Φ</t>
  </si>
  <si>
    <t>PE,  70Φ</t>
  </si>
  <si>
    <t>PE,  82Φ</t>
  </si>
  <si>
    <t>PE, 100Φ</t>
  </si>
  <si>
    <t>비방수, 16Φ</t>
  </si>
  <si>
    <t>비방수, 22Φ</t>
  </si>
  <si>
    <t>비방수, 28Φ</t>
  </si>
  <si>
    <t>비방수, 36Φ</t>
  </si>
  <si>
    <t>비방수, 42Φ</t>
  </si>
  <si>
    <t>비방수, 54Φ</t>
  </si>
  <si>
    <t>비방수, 70Φ</t>
  </si>
  <si>
    <t>비방수, 82Φ</t>
  </si>
  <si>
    <t>비방수,104Φ</t>
  </si>
  <si>
    <t>방  수. 16Φ</t>
  </si>
  <si>
    <t>방  수. 22Φ</t>
  </si>
  <si>
    <t>방  수. 28Φ</t>
  </si>
  <si>
    <t>방  수. 36Φ</t>
  </si>
  <si>
    <t>방  수. 42Φ</t>
  </si>
  <si>
    <t>방  수. 54Φ</t>
  </si>
  <si>
    <t>방  수. 70Φ</t>
  </si>
  <si>
    <t>방  수. 82Φ</t>
  </si>
  <si>
    <t>방  수.104Φ</t>
  </si>
  <si>
    <t>1종금속제가요전선관 콘넥타</t>
  </si>
  <si>
    <t>방  수, 16Φ</t>
  </si>
  <si>
    <t>방  수, 22Φ</t>
  </si>
  <si>
    <t>방  수, 28Φ</t>
  </si>
  <si>
    <t>방  수, 36Φ</t>
  </si>
  <si>
    <t>방  수, 42Φ</t>
  </si>
  <si>
    <t>방  수, 54Φ</t>
  </si>
  <si>
    <t>방  수, 70Φ</t>
  </si>
  <si>
    <t>방  수, 82Φ</t>
  </si>
  <si>
    <t>방  수,104Φ</t>
  </si>
  <si>
    <t>워 샤  캡</t>
  </si>
  <si>
    <t>16Φ</t>
  </si>
  <si>
    <t>22Φ</t>
  </si>
  <si>
    <t>28Φ</t>
  </si>
  <si>
    <t>36Φ</t>
  </si>
  <si>
    <t>42Φ</t>
  </si>
  <si>
    <t>54Φ</t>
  </si>
  <si>
    <t>70Φ</t>
  </si>
  <si>
    <t>82Φ</t>
  </si>
  <si>
    <t>104Φ</t>
  </si>
  <si>
    <t>노말밴드(아연도)</t>
  </si>
  <si>
    <t>노말밴드(PVC)</t>
  </si>
  <si>
    <t>HI, 104Φ</t>
  </si>
  <si>
    <t>볼트고정식이음쇠-커플링</t>
  </si>
  <si>
    <t>E19</t>
  </si>
  <si>
    <t>E25</t>
  </si>
  <si>
    <t>E31</t>
  </si>
  <si>
    <t>E39</t>
  </si>
  <si>
    <t>E51</t>
  </si>
  <si>
    <t>E63</t>
  </si>
  <si>
    <t>E75</t>
  </si>
  <si>
    <t>볼트고정식이음쇠-커넥터</t>
  </si>
  <si>
    <t>옥내용원터치방식이음쇠- 커플링, JIS</t>
  </si>
  <si>
    <t>옥내용원터치방식이음쇠- 커넥터, JIS</t>
  </si>
  <si>
    <t>옥내용원터치방식이음쇠- 가요전선관 커텍터</t>
  </si>
  <si>
    <t>옥외용원터치방식이음쇠- 커플링, JIS</t>
  </si>
  <si>
    <t>옥외용원터치방식이음쇠- 커넥터, JIS</t>
  </si>
  <si>
    <t>옥외용원터치방식이음쇠- 가요전선관 커텍터</t>
  </si>
  <si>
    <t>노멀밴드</t>
  </si>
  <si>
    <t>방수캡(원터치용)-일반</t>
  </si>
  <si>
    <t>새들</t>
  </si>
  <si>
    <t>클램프(볼트,너트 별도)-일반</t>
  </si>
  <si>
    <t>855</t>
    <phoneticPr fontId="1" type="noConversion"/>
  </si>
  <si>
    <t>840</t>
    <phoneticPr fontId="1" type="noConversion"/>
  </si>
  <si>
    <t>HFL   - 5C</t>
    <phoneticPr fontId="1" type="noConversion"/>
  </si>
  <si>
    <t>HFL   - 7C</t>
    <phoneticPr fontId="1" type="noConversion"/>
  </si>
  <si>
    <t>HFL   - 10C</t>
    <phoneticPr fontId="1" type="noConversion"/>
  </si>
  <si>
    <t>1283</t>
    <phoneticPr fontId="1" type="noConversion"/>
  </si>
  <si>
    <t>2025.1.1</t>
    <phoneticPr fontId="7" type="noConversion"/>
  </si>
  <si>
    <t>MAIN:MCCB 30AF(SG32*5개)</t>
    <phoneticPr fontId="1" type="noConversion"/>
  </si>
  <si>
    <t>MAIN:MCCB 30AF(SG32*6개)</t>
    <phoneticPr fontId="1" type="noConversion"/>
  </si>
  <si>
    <t>MAIN:MCCB 30AF(SG32*8개)</t>
    <phoneticPr fontId="1" type="noConversion"/>
  </si>
  <si>
    <t>MAIN:MCCB 30AF(SG32*10개)</t>
    <phoneticPr fontId="1" type="noConversion"/>
  </si>
  <si>
    <t>MAIN:MCCB 30AF(SG32*12개)</t>
    <phoneticPr fontId="1" type="noConversion"/>
  </si>
  <si>
    <t>CAT-5  0.5㎜-100P</t>
    <phoneticPr fontId="1" type="noConversion"/>
  </si>
  <si>
    <t>CAT-5   0.5㎜-50P</t>
    <phoneticPr fontId="1" type="noConversion"/>
  </si>
  <si>
    <t>Joint connector, 아연도, 150*t2.6mm</t>
    <phoneticPr fontId="1" type="noConversion"/>
  </si>
  <si>
    <t>강재전선관용부품, 파이프행거, 22C</t>
    <phoneticPr fontId="1" type="noConversion"/>
  </si>
  <si>
    <t>1272</t>
    <phoneticPr fontId="1" type="noConversion"/>
  </si>
  <si>
    <t>1298</t>
    <phoneticPr fontId="1" type="noConversion"/>
  </si>
  <si>
    <t>VCT, 1.0㎟ - 2C</t>
    <phoneticPr fontId="1" type="noConversion"/>
  </si>
  <si>
    <t>VCT, 1.5㎟ - 2C</t>
    <phoneticPr fontId="1" type="noConversion"/>
  </si>
  <si>
    <t>VCT, 2.5㎟ - 2C</t>
    <phoneticPr fontId="1" type="noConversion"/>
  </si>
  <si>
    <t>VCT,   4㎟ - 2C</t>
    <phoneticPr fontId="1" type="noConversion"/>
  </si>
  <si>
    <t>VCT, 1.0㎟ - 3C</t>
    <phoneticPr fontId="1" type="noConversion"/>
  </si>
  <si>
    <t>VCT, 1.5㎟ - 3C</t>
    <phoneticPr fontId="1" type="noConversion"/>
  </si>
  <si>
    <t>VCT, 2.5㎟ - 3C</t>
    <phoneticPr fontId="1" type="noConversion"/>
  </si>
  <si>
    <t>VCT,   4㎟ - 3C</t>
    <phoneticPr fontId="1" type="noConversion"/>
  </si>
  <si>
    <t>VCT, 1.0㎟ - 4C</t>
    <phoneticPr fontId="1" type="noConversion"/>
  </si>
  <si>
    <t>VCT, 1.5㎟ - 4C</t>
    <phoneticPr fontId="1" type="noConversion"/>
  </si>
  <si>
    <t>VCT, 2.5㎟ - 4C</t>
    <phoneticPr fontId="1" type="noConversion"/>
  </si>
  <si>
    <t>VCT,   4㎟ - 4C</t>
    <phoneticPr fontId="1" type="noConversion"/>
  </si>
  <si>
    <t>VCT, 1.0㎟ - 5C</t>
    <phoneticPr fontId="1" type="noConversion"/>
  </si>
  <si>
    <t>VCT, 1.5㎟ - 5C</t>
    <phoneticPr fontId="1" type="noConversion"/>
  </si>
  <si>
    <t>VCT,   4㎟ - 5C</t>
    <phoneticPr fontId="1" type="noConversion"/>
  </si>
  <si>
    <t>장애인용 음성안내 형수신기</t>
    <phoneticPr fontId="1" type="noConversion"/>
  </si>
  <si>
    <t>장애인용 중계기</t>
    <phoneticPr fontId="1" type="noConversion"/>
  </si>
  <si>
    <t>장애인용 비상벨</t>
    <phoneticPr fontId="1" type="noConversion"/>
  </si>
  <si>
    <t>장애인용 경광등</t>
    <phoneticPr fontId="1" type="noConversion"/>
  </si>
  <si>
    <r>
      <t>U볼트형, 16</t>
    </r>
    <r>
      <rPr>
        <sz val="11"/>
        <rFont val="Calibri"/>
        <family val="3"/>
        <charset val="161"/>
      </rPr>
      <t>Φ</t>
    </r>
    <phoneticPr fontId="1" type="noConversion"/>
  </si>
  <si>
    <r>
      <t>U볼트형, 19</t>
    </r>
    <r>
      <rPr>
        <sz val="11"/>
        <rFont val="Calibri"/>
        <family val="3"/>
        <charset val="161"/>
      </rPr>
      <t>Φ</t>
    </r>
    <phoneticPr fontId="1" type="noConversion"/>
  </si>
  <si>
    <r>
      <t>역율계(디지털)COS</t>
    </r>
    <r>
      <rPr>
        <sz val="11"/>
        <rFont val="Calibri"/>
        <family val="3"/>
        <charset val="161"/>
      </rPr>
      <t>Φ</t>
    </r>
    <phoneticPr fontId="1" type="noConversion"/>
  </si>
  <si>
    <t>2025.9.1</t>
    <phoneticPr fontId="7" type="noConversion"/>
  </si>
  <si>
    <t>2026.1.1</t>
    <phoneticPr fontId="7" type="noConversion"/>
  </si>
  <si>
    <r>
      <rPr>
        <sz val="14"/>
        <color rgb="FFFF0000"/>
        <rFont val="맑은 고딕"/>
        <family val="3"/>
        <charset val="129"/>
        <scheme val="minor"/>
      </rPr>
      <t>2026년 상반기</t>
    </r>
    <r>
      <rPr>
        <sz val="14"/>
        <rFont val="맑은 고딕"/>
        <family val="3"/>
        <charset val="129"/>
        <scheme val="minor"/>
      </rPr>
      <t xml:space="preserve"> 충남교육청 건설공사 일위대가(전기, 통신, 전기소방)</t>
    </r>
    <phoneticPr fontId="1" type="noConversion"/>
  </si>
  <si>
    <t>1종금속제가요전선관</t>
  </si>
  <si>
    <t>강심알미늄전선</t>
  </si>
  <si>
    <t>22.9KV동심중성선케이블</t>
  </si>
  <si>
    <t>22.9kv, FR-CN/CO-W, 수밀형무독성난연, 22.9kv, 1*60㎟</t>
  </si>
  <si>
    <t>22.9kv동심중성선케이블</t>
  </si>
  <si>
    <t>저독성난연케이블</t>
  </si>
  <si>
    <t>동주물단자, 120㎟</t>
    <phoneticPr fontId="1" type="noConversion"/>
  </si>
  <si>
    <t>압착 터미날캡</t>
    <phoneticPr fontId="1" type="noConversion"/>
  </si>
  <si>
    <t>터미날캡, 1.5㎟</t>
    <phoneticPr fontId="1" type="noConversion"/>
  </si>
  <si>
    <t>터미날캡,   4㎟</t>
    <phoneticPr fontId="1" type="noConversion"/>
  </si>
  <si>
    <t>터미날캡,   6㎟</t>
    <phoneticPr fontId="1" type="noConversion"/>
  </si>
  <si>
    <t>터미날캡,  10㎟</t>
    <phoneticPr fontId="1" type="noConversion"/>
  </si>
  <si>
    <t>터미날캡, 16㎟</t>
    <phoneticPr fontId="1" type="noConversion"/>
  </si>
  <si>
    <t>터미날캡, 25㎟</t>
    <phoneticPr fontId="1" type="noConversion"/>
  </si>
  <si>
    <t>터미날캡, 35㎟</t>
    <phoneticPr fontId="1" type="noConversion"/>
  </si>
  <si>
    <t>터미날캡, 95㎟</t>
    <phoneticPr fontId="1" type="noConversion"/>
  </si>
  <si>
    <t>터미날캡, 185㎟</t>
    <phoneticPr fontId="1" type="noConversion"/>
  </si>
  <si>
    <t>관구밀폐기</t>
    <phoneticPr fontId="1" type="noConversion"/>
  </si>
  <si>
    <r>
      <t>실링가스켓   100.</t>
    </r>
    <r>
      <rPr>
        <sz val="11"/>
        <rFont val="Calibri"/>
        <family val="3"/>
        <charset val="161"/>
      </rPr>
      <t>Φ</t>
    </r>
    <phoneticPr fontId="1" type="noConversion"/>
  </si>
  <si>
    <r>
      <t>실링가스켓   125.</t>
    </r>
    <r>
      <rPr>
        <sz val="11"/>
        <rFont val="Calibri"/>
        <family val="3"/>
        <charset val="161"/>
      </rPr>
      <t>Φ</t>
    </r>
    <phoneticPr fontId="1" type="noConversion"/>
  </si>
  <si>
    <r>
      <t>실링가스켓   150.</t>
    </r>
    <r>
      <rPr>
        <sz val="11"/>
        <rFont val="Calibri"/>
        <family val="3"/>
        <charset val="161"/>
      </rPr>
      <t>Φ</t>
    </r>
    <phoneticPr fontId="1" type="noConversion"/>
  </si>
  <si>
    <t>동압착 저압용   1.5㎟</t>
    <phoneticPr fontId="1" type="noConversion"/>
  </si>
  <si>
    <t>동압착 저압용   2.5㎟</t>
    <phoneticPr fontId="1" type="noConversion"/>
  </si>
  <si>
    <t>동압착 저압용    4㎟</t>
    <phoneticPr fontId="1" type="noConversion"/>
  </si>
  <si>
    <t>동압착 저압용    6㎟</t>
    <phoneticPr fontId="1" type="noConversion"/>
  </si>
  <si>
    <t>동압착 저압용   10㎟</t>
    <phoneticPr fontId="1" type="noConversion"/>
  </si>
  <si>
    <t>동압착 저압용   16㎟</t>
    <phoneticPr fontId="1" type="noConversion"/>
  </si>
  <si>
    <t>동압착 저압용   25㎟</t>
    <phoneticPr fontId="1" type="noConversion"/>
  </si>
  <si>
    <t>1019</t>
    <phoneticPr fontId="1" type="noConversion"/>
  </si>
  <si>
    <t>858</t>
    <phoneticPr fontId="1" type="noConversion"/>
  </si>
  <si>
    <t>동압착 저압용   35㎟</t>
    <phoneticPr fontId="1" type="noConversion"/>
  </si>
  <si>
    <t>동압착 저압용   95㎟</t>
    <phoneticPr fontId="1" type="noConversion"/>
  </si>
  <si>
    <t>동압착 저압용 185㎟</t>
    <phoneticPr fontId="1" type="noConversion"/>
  </si>
  <si>
    <t>압착 슬리브</t>
    <phoneticPr fontId="1" type="noConversion"/>
  </si>
  <si>
    <t>레이스웨이- BODY</t>
  </si>
  <si>
    <t>수평Elbow,70*40mm</t>
  </si>
  <si>
    <t>Box connector,70*40mm</t>
  </si>
  <si>
    <t>Joint box,  110*50mm</t>
  </si>
  <si>
    <t>Junc box,  3방, 70*40mm</t>
  </si>
  <si>
    <t>Junc box,  4방, 70*40mm</t>
  </si>
  <si>
    <t>Reducer box,  70*40mm</t>
  </si>
  <si>
    <t>Reducer box,110*50mm</t>
  </si>
  <si>
    <t>Joint box, 2방, 70*40mm</t>
  </si>
  <si>
    <t>R/W JUNC. BOX - 4방, 70*40mm</t>
  </si>
  <si>
    <t>22*9mm</t>
  </si>
  <si>
    <t>PVC 랜덕트</t>
  </si>
  <si>
    <t>케이블트레이 부속품</t>
  </si>
  <si>
    <t>Bonding jumper, 14㎟</t>
  </si>
  <si>
    <t>Bonding jumper, 22㎟</t>
  </si>
  <si>
    <t>Bonding jumper, 38㎟</t>
  </si>
  <si>
    <t>9Φ*1000mm</t>
  </si>
  <si>
    <t>673</t>
  </si>
  <si>
    <t>419</t>
  </si>
  <si>
    <t>97</t>
  </si>
  <si>
    <t>너트, 와샤</t>
  </si>
  <si>
    <t>42</t>
  </si>
  <si>
    <t>스프링와셔, 용융아연도, 호칭경10mm</t>
  </si>
  <si>
    <t>94</t>
  </si>
  <si>
    <t>데크용 스프링, 3/8"</t>
  </si>
  <si>
    <t>HI-TEC케이블트레이</t>
  </si>
  <si>
    <t>HP STRAIGHT, EPC 400x100x1.2t</t>
  </si>
  <si>
    <t>HP STRAIGHT, EPC 500x100x1.2t</t>
  </si>
  <si>
    <t>HP STRAIGHT, EPC 600x100x1.2t</t>
  </si>
  <si>
    <t>HP S/T COVER, EPC 150x1.2t</t>
  </si>
  <si>
    <t>HP S/T COVER, EPC 200x1.2t</t>
  </si>
  <si>
    <t>HP S/T COVER, EPC 300x1.2t</t>
  </si>
  <si>
    <t>HP S/T COVER, EPC 400x1.2t</t>
  </si>
  <si>
    <t>HP S/T COVER, EPC 500x1.2t</t>
  </si>
  <si>
    <t>HP S/T COVER, EPC 600x1.2t</t>
  </si>
  <si>
    <t>HP JOINER SET, EPC 150x100</t>
  </si>
  <si>
    <t>SET</t>
  </si>
  <si>
    <t>HP JOINER SET, EPC 200x100</t>
  </si>
  <si>
    <t>HP JOINER SET, EPC 300x100</t>
  </si>
  <si>
    <t>HP JOINER SET, EPC 400x100</t>
  </si>
  <si>
    <t>HP JOINER SET, EPC 500x100</t>
  </si>
  <si>
    <t>HP JOINER SET, EPC 600x100</t>
  </si>
  <si>
    <t>HP H. ELBOW, EPC 150x100</t>
  </si>
  <si>
    <t>HP H. ELBOW, EPC 200x100</t>
  </si>
  <si>
    <t>HP H. ELBOW, EPC 300x100</t>
  </si>
  <si>
    <t>HP H. ELBOW, EPC 400x100</t>
  </si>
  <si>
    <t>HP H. ELBOW, EPC 500x100</t>
  </si>
  <si>
    <t>HP H. ELBOW, EPC 600x100</t>
  </si>
  <si>
    <t>HP V. ELBOW, EPC 150x100</t>
  </si>
  <si>
    <t>HP V. ELBOW, EPC 200x100</t>
  </si>
  <si>
    <t>HP V. ELBOW, EPC 300x100</t>
  </si>
  <si>
    <t>HP V. ELBOW, EPC 400x100</t>
  </si>
  <si>
    <t>HP V. ELBOW, EPC 500x100</t>
  </si>
  <si>
    <t>HP V. ELBOW, EPC 600x100</t>
  </si>
  <si>
    <t>HP TEE, EPC 150x100</t>
  </si>
  <si>
    <t>HP TEE, EPC 200x100</t>
  </si>
  <si>
    <t>HP TEE, EPC 300x100</t>
  </si>
  <si>
    <t>HP TEE, EPC 400x100</t>
  </si>
  <si>
    <t>HP TEE, EPC 500x100</t>
  </si>
  <si>
    <t>HP TEE, EPC 600x100</t>
  </si>
  <si>
    <t>HP CROSS, EPC 150x100</t>
  </si>
  <si>
    <t>HP CROSS, EPC 200x100</t>
  </si>
  <si>
    <t>HP CROSS, EPC 300x100</t>
  </si>
  <si>
    <t>HP CROSS, EPC 400x100</t>
  </si>
  <si>
    <t>HP CROSS, EPC 500x100</t>
  </si>
  <si>
    <t>HP CROSS, EPC 600x100</t>
  </si>
  <si>
    <t>STRAIGHT, 500x100x2.3t</t>
  </si>
  <si>
    <t>STRAIGHT, 600x100x2.3t</t>
  </si>
  <si>
    <t>STRAIGHT, 700x100x2.3t</t>
  </si>
  <si>
    <t>STRAIGHT, 800x100x2.3t</t>
  </si>
  <si>
    <t>STRAIGHT, 900x100x2.3t</t>
  </si>
  <si>
    <t>STRAIGHT,1000x100x2.3t</t>
  </si>
  <si>
    <t>케이블트레이(카바)</t>
  </si>
  <si>
    <t>1000x100x2.3t (LADDER TYPE)</t>
  </si>
  <si>
    <t>사이렌</t>
  </si>
  <si>
    <t>1196</t>
  </si>
  <si>
    <t>757</t>
    <phoneticPr fontId="1" type="noConversion"/>
  </si>
  <si>
    <t>사각맨홀(뚜껑별도)</t>
  </si>
  <si>
    <t>800x800x800x150t</t>
  </si>
  <si>
    <t>197</t>
  </si>
  <si>
    <t>1000x1000x1000x150t</t>
  </si>
  <si>
    <t>1200*1200*1200*200t</t>
  </si>
  <si>
    <t>1500x1500x1500x150t</t>
  </si>
  <si>
    <t>1800*1800*1800*200t</t>
  </si>
  <si>
    <t>2000x2000x1500x150t</t>
  </si>
  <si>
    <t>1700*800*1100*150t</t>
  </si>
  <si>
    <t>2000*1000*1400*150t</t>
  </si>
  <si>
    <t>2000*1500*1500*150t</t>
  </si>
  <si>
    <t>경고테이프(케이블표시시트)</t>
  </si>
  <si>
    <t>1개용  54mm</t>
  </si>
  <si>
    <t>2개용, 44mm</t>
  </si>
  <si>
    <t>2개용, 54mm</t>
  </si>
  <si>
    <t>2개용, 75mm</t>
  </si>
  <si>
    <t>8각,   44mm</t>
  </si>
  <si>
    <t>8각,   54mm</t>
  </si>
  <si>
    <t>8각,   75mm</t>
  </si>
  <si>
    <t>4각,   44mm</t>
  </si>
  <si>
    <t>4각,   54mm</t>
  </si>
  <si>
    <t>4각,   75mm</t>
  </si>
  <si>
    <t>평  커  바</t>
  </si>
  <si>
    <t>905</t>
  </si>
  <si>
    <t>오 목 커버</t>
  </si>
  <si>
    <t>평  커  버</t>
  </si>
  <si>
    <t>1개용S/W, 평형</t>
  </si>
  <si>
    <t>오목 커 버</t>
  </si>
  <si>
    <t>2개용S/W, 오목</t>
  </si>
  <si>
    <t>노출박스</t>
  </si>
  <si>
    <t>후강전선관, 16mm, 1방출</t>
  </si>
  <si>
    <t>후강전선관, 16mm, 2방출</t>
  </si>
  <si>
    <t>후강전선관, 22mm, 1방출</t>
  </si>
  <si>
    <t>후강전선관, 22mm, 2방출</t>
  </si>
  <si>
    <t>후강전선관, 28mm, 1방출</t>
  </si>
  <si>
    <t>후강전선관, 28mm, 2방출</t>
  </si>
  <si>
    <t>300*300*100mm</t>
  </si>
  <si>
    <t>접지단자함(매입형STEEL커버)</t>
  </si>
  <si>
    <t>접지단자함(매입형SUS커버)</t>
  </si>
  <si>
    <t>접지단자함(매입형SUB커버)</t>
  </si>
  <si>
    <t>접  지  봉</t>
  </si>
  <si>
    <t>961</t>
  </si>
  <si>
    <t>볼트형,  일반형,16Φ</t>
  </si>
  <si>
    <t>볼트형,  일반형,19Φ</t>
  </si>
  <si>
    <t>접지 저항 저감제</t>
  </si>
  <si>
    <t>아스론 10KG</t>
  </si>
  <si>
    <t>포</t>
  </si>
  <si>
    <t>1035</t>
    <phoneticPr fontId="1" type="noConversion"/>
  </si>
  <si>
    <t>시스템박스</t>
    <phoneticPr fontId="1" type="noConversion"/>
  </si>
  <si>
    <t>FLOOR용, MIC JACK BOX,   2구</t>
    <phoneticPr fontId="1" type="noConversion"/>
  </si>
  <si>
    <t>벽부형      S.P  JACK BOX,   2구</t>
    <phoneticPr fontId="1" type="noConversion"/>
  </si>
  <si>
    <t>1177</t>
    <phoneticPr fontId="1" type="noConversion"/>
  </si>
  <si>
    <t>1065</t>
    <phoneticPr fontId="1" type="noConversion"/>
  </si>
  <si>
    <r>
      <t>실링가스켓     30.</t>
    </r>
    <r>
      <rPr>
        <sz val="11"/>
        <rFont val="Calibri"/>
        <family val="3"/>
        <charset val="161"/>
      </rPr>
      <t>Φ</t>
    </r>
    <phoneticPr fontId="1" type="noConversion"/>
  </si>
  <si>
    <r>
      <t>실링가스켓     50.</t>
    </r>
    <r>
      <rPr>
        <sz val="11"/>
        <rFont val="Calibri"/>
        <family val="3"/>
        <charset val="161"/>
      </rPr>
      <t>Φ</t>
    </r>
    <phoneticPr fontId="1" type="noConversion"/>
  </si>
  <si>
    <r>
      <t>실링가스켓     65.</t>
    </r>
    <r>
      <rPr>
        <sz val="11"/>
        <rFont val="Calibri"/>
        <family val="3"/>
        <charset val="161"/>
      </rPr>
      <t>Φ</t>
    </r>
    <phoneticPr fontId="1" type="noConversion"/>
  </si>
  <si>
    <r>
      <t>실링가스켓     80.</t>
    </r>
    <r>
      <rPr>
        <sz val="11"/>
        <rFont val="Calibri"/>
        <family val="3"/>
        <charset val="161"/>
      </rPr>
      <t>Φ</t>
    </r>
    <phoneticPr fontId="1" type="noConversion"/>
  </si>
  <si>
    <t>1008</t>
    <phoneticPr fontId="1" type="noConversion"/>
  </si>
  <si>
    <t>1101</t>
    <phoneticPr fontId="1" type="noConversion"/>
  </si>
  <si>
    <t>1107</t>
    <phoneticPr fontId="1" type="noConversion"/>
  </si>
  <si>
    <t>1106</t>
    <phoneticPr fontId="1" type="noConversion"/>
  </si>
  <si>
    <t>1105</t>
    <phoneticPr fontId="1" type="noConversion"/>
  </si>
  <si>
    <t>스위치박스(1개용)</t>
    <phoneticPr fontId="1" type="noConversion"/>
  </si>
  <si>
    <t>스위치박스(2개용)</t>
    <phoneticPr fontId="1" type="noConversion"/>
  </si>
  <si>
    <t>콘센트박스(1개용)</t>
    <phoneticPr fontId="1" type="noConversion"/>
  </si>
  <si>
    <t>콘센트박스(2개용)</t>
    <phoneticPr fontId="1" type="noConversion"/>
  </si>
  <si>
    <t>1101</t>
    <phoneticPr fontId="1" type="noConversion"/>
  </si>
  <si>
    <t>1107</t>
    <phoneticPr fontId="1" type="noConversion"/>
  </si>
  <si>
    <t>1102</t>
    <phoneticPr fontId="1" type="noConversion"/>
  </si>
  <si>
    <t>1201</t>
    <phoneticPr fontId="1" type="noConversion"/>
  </si>
  <si>
    <t>1202</t>
    <phoneticPr fontId="1" type="noConversion"/>
  </si>
  <si>
    <t>864</t>
    <phoneticPr fontId="1" type="noConversion"/>
  </si>
  <si>
    <t>861</t>
    <phoneticPr fontId="1" type="noConversion"/>
  </si>
  <si>
    <t>이종접속관</t>
    <phoneticPr fontId="1" type="noConversion"/>
  </si>
  <si>
    <r>
      <t>ELP전선관 연결시 사용   30.</t>
    </r>
    <r>
      <rPr>
        <sz val="11"/>
        <rFont val="Calibri"/>
        <family val="3"/>
        <charset val="161"/>
      </rPr>
      <t>Φ</t>
    </r>
    <phoneticPr fontId="1" type="noConversion"/>
  </si>
  <si>
    <r>
      <t>ELP전선관 연결시 사용   50.</t>
    </r>
    <r>
      <rPr>
        <sz val="11"/>
        <rFont val="Calibri"/>
        <family val="3"/>
        <charset val="161"/>
      </rPr>
      <t>Φ</t>
    </r>
    <phoneticPr fontId="1" type="noConversion"/>
  </si>
  <si>
    <r>
      <t>ELP전선관 연결시 사용   65.</t>
    </r>
    <r>
      <rPr>
        <sz val="11"/>
        <rFont val="Calibri"/>
        <family val="3"/>
        <charset val="161"/>
      </rPr>
      <t>Φ</t>
    </r>
    <phoneticPr fontId="1" type="noConversion"/>
  </si>
  <si>
    <r>
      <t>ELP전선관 연결시 사용   80.</t>
    </r>
    <r>
      <rPr>
        <sz val="11"/>
        <rFont val="Calibri"/>
        <family val="3"/>
        <charset val="161"/>
      </rPr>
      <t>Φ</t>
    </r>
    <phoneticPr fontId="1" type="noConversion"/>
  </si>
  <si>
    <r>
      <t>ELP전선관 연결시 사용  100.</t>
    </r>
    <r>
      <rPr>
        <sz val="11"/>
        <rFont val="Calibri"/>
        <family val="3"/>
        <charset val="161"/>
      </rPr>
      <t>Φ</t>
    </r>
    <phoneticPr fontId="1" type="noConversion"/>
  </si>
  <si>
    <r>
      <t>ELP전선관 연결시 사용  150.</t>
    </r>
    <r>
      <rPr>
        <sz val="11"/>
        <rFont val="Calibri"/>
        <family val="3"/>
        <charset val="161"/>
      </rPr>
      <t>Φ</t>
    </r>
    <phoneticPr fontId="1" type="noConversion"/>
  </si>
  <si>
    <r>
      <t>ELP전선관 연결시 사용  125.</t>
    </r>
    <r>
      <rPr>
        <sz val="11"/>
        <rFont val="Calibri"/>
        <family val="3"/>
        <charset val="161"/>
      </rPr>
      <t>Φ</t>
    </r>
    <phoneticPr fontId="1" type="noConversion"/>
  </si>
  <si>
    <r>
      <t>ELP전선관 연결시 사용  175.</t>
    </r>
    <r>
      <rPr>
        <sz val="11"/>
        <rFont val="Calibri"/>
        <family val="3"/>
        <charset val="161"/>
      </rPr>
      <t>Φ</t>
    </r>
    <phoneticPr fontId="1" type="noConversion"/>
  </si>
  <si>
    <r>
      <t>ELP전선관 연결시 사용  200.</t>
    </r>
    <r>
      <rPr>
        <sz val="11"/>
        <rFont val="Calibri"/>
        <family val="3"/>
        <charset val="161"/>
      </rPr>
      <t>Φ</t>
    </r>
    <phoneticPr fontId="1" type="noConversion"/>
  </si>
  <si>
    <r>
      <t>ELP전선관 연결시 사용   40.</t>
    </r>
    <r>
      <rPr>
        <sz val="11"/>
        <rFont val="Calibri"/>
        <family val="3"/>
        <charset val="161"/>
      </rPr>
      <t>Φ</t>
    </r>
    <phoneticPr fontId="1" type="noConversion"/>
  </si>
  <si>
    <t>1154</t>
    <phoneticPr fontId="1" type="noConversion"/>
  </si>
  <si>
    <t>1184</t>
    <phoneticPr fontId="1" type="noConversion"/>
  </si>
  <si>
    <t>1236</t>
    <phoneticPr fontId="1" type="noConversion"/>
  </si>
  <si>
    <t>1227</t>
    <phoneticPr fontId="1" type="noConversion"/>
  </si>
  <si>
    <t>1074</t>
    <phoneticPr fontId="1" type="noConversion"/>
  </si>
  <si>
    <t>HFIX, 1.5㎟</t>
    <phoneticPr fontId="1" type="noConversion"/>
  </si>
  <si>
    <t>1075</t>
    <phoneticPr fontId="1" type="noConversion"/>
  </si>
  <si>
    <t>1077</t>
    <phoneticPr fontId="1" type="noConversion"/>
  </si>
  <si>
    <t>1076</t>
    <phoneticPr fontId="1" type="noConversion"/>
  </si>
  <si>
    <t>1080</t>
    <phoneticPr fontId="1" type="noConversion"/>
  </si>
  <si>
    <t>849</t>
    <phoneticPr fontId="1" type="noConversion"/>
  </si>
  <si>
    <t>1174</t>
    <phoneticPr fontId="1" type="noConversion"/>
  </si>
  <si>
    <t>VCT, 2.5㎟ - 5C</t>
    <phoneticPr fontId="1" type="noConversion"/>
  </si>
  <si>
    <t>1080</t>
    <phoneticPr fontId="1" type="noConversion"/>
  </si>
  <si>
    <t>222</t>
    <phoneticPr fontId="1" type="noConversion"/>
  </si>
  <si>
    <t>1165</t>
    <phoneticPr fontId="1" type="noConversion"/>
  </si>
  <si>
    <t>1167</t>
    <phoneticPr fontId="1" type="noConversion"/>
  </si>
  <si>
    <t>1170</t>
    <phoneticPr fontId="1" type="noConversion"/>
  </si>
  <si>
    <t>1172</t>
    <phoneticPr fontId="1" type="noConversion"/>
  </si>
  <si>
    <t>1175</t>
    <phoneticPr fontId="1" type="noConversion"/>
  </si>
  <si>
    <t>1180</t>
    <phoneticPr fontId="1" type="noConversion"/>
  </si>
  <si>
    <t>1179</t>
    <phoneticPr fontId="1" type="noConversion"/>
  </si>
  <si>
    <t>207</t>
    <phoneticPr fontId="1" type="noConversion"/>
  </si>
  <si>
    <t>2P  40KA  220V</t>
    <phoneticPr fontId="1" type="noConversion"/>
  </si>
  <si>
    <t>2P  80KA  220V</t>
    <phoneticPr fontId="1" type="noConversion"/>
  </si>
  <si>
    <t>4P  40KA  220V/380V</t>
    <phoneticPr fontId="1" type="noConversion"/>
  </si>
  <si>
    <t>4P  80KA  220V/380V</t>
    <phoneticPr fontId="1" type="noConversion"/>
  </si>
  <si>
    <t>접지단자함(매입형SUS커버)</t>
    <phoneticPr fontId="1" type="noConversion"/>
  </si>
  <si>
    <t>1275</t>
    <phoneticPr fontId="1" type="noConversion"/>
  </si>
  <si>
    <t>1205</t>
    <phoneticPr fontId="1" type="noConversion"/>
  </si>
  <si>
    <t>1096</t>
    <phoneticPr fontId="1" type="noConversion"/>
  </si>
  <si>
    <t>1105</t>
    <phoneticPr fontId="1" type="noConversion"/>
  </si>
  <si>
    <t>AL 1.5x71x140x100x51mm   (둥근형)</t>
    <phoneticPr fontId="1" type="noConversion"/>
  </si>
  <si>
    <t>AL 1.5x70x140x15.8mm -    배선기구부착용</t>
    <phoneticPr fontId="1" type="noConversion"/>
  </si>
  <si>
    <t>AL 1.5x70xx50mm    (70)</t>
    <phoneticPr fontId="1" type="noConversion"/>
  </si>
  <si>
    <t>폐LED등</t>
    <phoneticPr fontId="1" type="noConversion"/>
  </si>
  <si>
    <t>메탈,나트륨</t>
    <phoneticPr fontId="1" type="noConversion"/>
  </si>
  <si>
    <t>폐형광등(직관형외)</t>
    <phoneticPr fontId="1" type="noConversion"/>
  </si>
  <si>
    <t>1230</t>
    <phoneticPr fontId="1" type="noConversion"/>
  </si>
  <si>
    <t>AL 1.5x125x140x100x51mm  (둥근형)</t>
    <phoneticPr fontId="1" type="noConversion"/>
  </si>
  <si>
    <t>AL 1.5x71x141x100x71mm   (둥근형)</t>
    <phoneticPr fontId="1" type="noConversion"/>
  </si>
  <si>
    <t>25*9mm,   미니소</t>
    <phoneticPr fontId="1" type="noConversion"/>
  </si>
  <si>
    <t>1237</t>
    <phoneticPr fontId="1" type="noConversion"/>
  </si>
  <si>
    <t>1335</t>
    <phoneticPr fontId="1" type="noConversion"/>
  </si>
  <si>
    <t>22.9kv, CN/CV-W, 일반형, 1*60㎟</t>
    <phoneticPr fontId="1" type="noConversion"/>
  </si>
  <si>
    <t>거래가격</t>
    <phoneticPr fontId="1" type="noConversion"/>
  </si>
  <si>
    <t>유통물가</t>
    <phoneticPr fontId="1" type="noConversion"/>
  </si>
  <si>
    <t>물가자료</t>
    <phoneticPr fontId="1" type="noConversion"/>
  </si>
  <si>
    <t>물가정보</t>
    <phoneticPr fontId="1" type="noConversion"/>
  </si>
  <si>
    <t>원형주철  뚜껑       (전기,통신)</t>
    <phoneticPr fontId="1" type="noConversion"/>
  </si>
  <si>
    <t>수공1호 (뚜껑별도)</t>
    <phoneticPr fontId="1" type="noConversion"/>
  </si>
  <si>
    <t>수공2호 (뚜껑별도)</t>
    <phoneticPr fontId="1" type="noConversion"/>
  </si>
  <si>
    <t>수공3호 (뚜껑별도)</t>
    <phoneticPr fontId="1" type="noConversion"/>
  </si>
  <si>
    <t>수공4호 (뚜껑별도)</t>
    <phoneticPr fontId="1" type="noConversion"/>
  </si>
  <si>
    <t>1289</t>
    <phoneticPr fontId="1" type="noConversion"/>
  </si>
  <si>
    <t>대전,세종,충남</t>
    <phoneticPr fontId="1" type="noConversion"/>
  </si>
  <si>
    <t>995</t>
    <phoneticPr fontId="1" type="noConversion"/>
  </si>
  <si>
    <t>1057</t>
    <phoneticPr fontId="1" type="noConversion"/>
  </si>
  <si>
    <t>1194</t>
    <phoneticPr fontId="1" type="noConversion"/>
  </si>
  <si>
    <t>969</t>
    <phoneticPr fontId="1" type="noConversion"/>
  </si>
  <si>
    <t>1206</t>
    <phoneticPr fontId="1" type="noConversion"/>
  </si>
  <si>
    <t>피뢰도선</t>
    <phoneticPr fontId="1" type="noConversion"/>
  </si>
  <si>
    <t>1199</t>
    <phoneticPr fontId="1" type="noConversion"/>
  </si>
  <si>
    <r>
      <t>(CU)    8</t>
    </r>
    <r>
      <rPr>
        <sz val="11"/>
        <color theme="1"/>
        <rFont val="Calibri"/>
        <family val="2"/>
        <charset val="161"/>
      </rPr>
      <t>Φ</t>
    </r>
    <phoneticPr fontId="1" type="noConversion"/>
  </si>
  <si>
    <r>
      <t>(AL)    8</t>
    </r>
    <r>
      <rPr>
        <sz val="11"/>
        <color theme="1"/>
        <rFont val="Calibri"/>
        <family val="2"/>
        <charset val="161"/>
      </rPr>
      <t>Φ</t>
    </r>
    <phoneticPr fontId="1" type="noConversion"/>
  </si>
  <si>
    <t>피뢰도선 조인트</t>
    <phoneticPr fontId="1" type="noConversion"/>
  </si>
  <si>
    <t>(AL)      "T" 자형</t>
    <phoneticPr fontId="1" type="noConversion"/>
  </si>
  <si>
    <t>(AL)      "-" 자형</t>
    <phoneticPr fontId="1" type="noConversion"/>
  </si>
  <si>
    <t>(CU)      "-" 자형</t>
    <phoneticPr fontId="1" type="noConversion"/>
  </si>
  <si>
    <t>(CU)      "T" 자형</t>
    <phoneticPr fontId="1" type="noConversion"/>
  </si>
  <si>
    <t>익스팬션 조인트</t>
    <phoneticPr fontId="1" type="noConversion"/>
  </si>
  <si>
    <t>이질크램프</t>
    <phoneticPr fontId="1" type="noConversion"/>
  </si>
  <si>
    <t>AL+CU      이질스리브 / BOLT</t>
    <phoneticPr fontId="1" type="noConversion"/>
  </si>
  <si>
    <t>AL+CU      이질스리브 / 압착</t>
    <phoneticPr fontId="1" type="noConversion"/>
  </si>
  <si>
    <t>38x200L (CU)</t>
    <phoneticPr fontId="1" type="noConversion"/>
  </si>
  <si>
    <t>Set</t>
    <phoneticPr fontId="1" type="noConversion"/>
  </si>
  <si>
    <t>38x200L (AL)</t>
    <phoneticPr fontId="1" type="noConversion"/>
  </si>
  <si>
    <t>피뢰도선 지지금구</t>
    <phoneticPr fontId="1" type="noConversion"/>
  </si>
  <si>
    <t>엑폭시애자(동봉)</t>
    <phoneticPr fontId="1" type="noConversion"/>
  </si>
  <si>
    <t>폴리카본(JSP-100)</t>
    <phoneticPr fontId="1" type="noConversion"/>
  </si>
  <si>
    <t>폴리카본(JSP-200)</t>
    <phoneticPr fontId="1" type="noConversion"/>
  </si>
  <si>
    <t>나동선새들(JS)</t>
    <phoneticPr fontId="1" type="noConversion"/>
  </si>
  <si>
    <t>평지용 지지대(STS)</t>
    <phoneticPr fontId="1" type="noConversion"/>
  </si>
  <si>
    <r>
      <t>(STS)  8</t>
    </r>
    <r>
      <rPr>
        <sz val="11"/>
        <color theme="1"/>
        <rFont val="Calibri"/>
        <family val="2"/>
        <charset val="161"/>
      </rPr>
      <t>Φ</t>
    </r>
    <phoneticPr fontId="1" type="noConversion"/>
  </si>
  <si>
    <t>(STS)    "-" 자형</t>
    <phoneticPr fontId="1" type="noConversion"/>
  </si>
  <si>
    <t>(STS)    "T" 자형</t>
    <phoneticPr fontId="1" type="noConversion"/>
  </si>
  <si>
    <t>STS+CU    이질스리브 / T자</t>
    <phoneticPr fontId="1" type="noConversion"/>
  </si>
  <si>
    <t>38x200L (STS)</t>
    <phoneticPr fontId="1" type="noConversion"/>
  </si>
  <si>
    <t>STS애자(JSP-300)</t>
    <phoneticPr fontId="1" type="noConversion"/>
  </si>
  <si>
    <t>STS애자(JSP-400)</t>
    <phoneticPr fontId="1" type="noConversion"/>
  </si>
  <si>
    <t>용마루 지지대(STS)</t>
    <phoneticPr fontId="1" type="noConversion"/>
  </si>
  <si>
    <t>중간경사면 지지대(STS)</t>
    <phoneticPr fontId="1" type="noConversion"/>
  </si>
  <si>
    <t>말단경사면 지지대(STS)</t>
    <phoneticPr fontId="1" type="noConversion"/>
  </si>
  <si>
    <t>1274</t>
    <phoneticPr fontId="1" type="noConversion"/>
  </si>
  <si>
    <t>1074</t>
    <phoneticPr fontId="1" type="noConversion"/>
  </si>
  <si>
    <t>2P   50AF   5KA</t>
    <phoneticPr fontId="1" type="noConversion"/>
  </si>
  <si>
    <t>3P   30AF  14KA</t>
    <phoneticPr fontId="1" type="noConversion"/>
  </si>
  <si>
    <t>3P   50AF  18KA</t>
    <phoneticPr fontId="1" type="noConversion"/>
  </si>
  <si>
    <t>3P   60AF  18KA</t>
    <phoneticPr fontId="1" type="noConversion"/>
  </si>
  <si>
    <t xml:space="preserve">3P 125AF  37KA </t>
    <phoneticPr fontId="1" type="noConversion"/>
  </si>
  <si>
    <t>3P 250AF  37KA</t>
    <phoneticPr fontId="1" type="noConversion"/>
  </si>
  <si>
    <t>3P 400AF  50KA</t>
    <phoneticPr fontId="1" type="noConversion"/>
  </si>
  <si>
    <t>3P 630AF  50KA</t>
    <phoneticPr fontId="1" type="noConversion"/>
  </si>
  <si>
    <t>4P   30AF  14KA</t>
    <phoneticPr fontId="1" type="noConversion"/>
  </si>
  <si>
    <t>4P   50AF  18KA</t>
    <phoneticPr fontId="1" type="noConversion"/>
  </si>
  <si>
    <t>4P 125AF  37KA</t>
    <phoneticPr fontId="1" type="noConversion"/>
  </si>
  <si>
    <t>4P 250AF  37KA</t>
    <phoneticPr fontId="1" type="noConversion"/>
  </si>
  <si>
    <t>4P 400AF  50KA</t>
    <phoneticPr fontId="1" type="noConversion"/>
  </si>
  <si>
    <t>2P   30AF  14KA</t>
    <phoneticPr fontId="1" type="noConversion"/>
  </si>
  <si>
    <t>2P   50AF  18KA</t>
    <phoneticPr fontId="1" type="noConversion"/>
  </si>
  <si>
    <t>2P   60AF  18KA</t>
    <phoneticPr fontId="1" type="noConversion"/>
  </si>
  <si>
    <t>2P  125AF  18KA</t>
    <phoneticPr fontId="1" type="noConversion"/>
  </si>
  <si>
    <t>3P 125AF  37KA</t>
    <phoneticPr fontId="1" type="noConversion"/>
  </si>
  <si>
    <t>3P  400AF 50KA</t>
    <phoneticPr fontId="1" type="noConversion"/>
  </si>
  <si>
    <t>4P   30AF 14KA</t>
    <phoneticPr fontId="1" type="noConversion"/>
  </si>
  <si>
    <t>4P   50AF 18KA</t>
    <phoneticPr fontId="1" type="noConversion"/>
  </si>
  <si>
    <t>4P   60AF 18KA</t>
    <phoneticPr fontId="1" type="noConversion"/>
  </si>
  <si>
    <t>4P  400AF 50KA</t>
    <phoneticPr fontId="1" type="noConversion"/>
  </si>
  <si>
    <t>4P  630AF 50KA</t>
    <phoneticPr fontId="1" type="noConversion"/>
  </si>
  <si>
    <t>4P  800AF 65KA</t>
    <phoneticPr fontId="1" type="noConversion"/>
  </si>
  <si>
    <t>2P   30AF 2.5KA(분전반용)</t>
    <phoneticPr fontId="1" type="noConversion"/>
  </si>
  <si>
    <t>Joint box, 70*40mm</t>
    <phoneticPr fontId="1" type="noConversion"/>
  </si>
  <si>
    <t>1205</t>
    <phoneticPr fontId="1" type="noConversion"/>
  </si>
  <si>
    <t>1115</t>
    <phoneticPr fontId="1" type="noConversion"/>
  </si>
  <si>
    <t>Body, 70*40mm</t>
    <phoneticPr fontId="1" type="noConversion"/>
  </si>
  <si>
    <t>Body, 110*50mm</t>
    <phoneticPr fontId="1" type="noConversion"/>
  </si>
  <si>
    <t>Cover, 70*40mm</t>
    <phoneticPr fontId="1" type="noConversion"/>
  </si>
  <si>
    <t>Cover, 110*50mm</t>
    <phoneticPr fontId="1" type="noConversion"/>
  </si>
  <si>
    <t>Joiner, 70*40mm</t>
    <phoneticPr fontId="1" type="noConversion"/>
  </si>
  <si>
    <t>Joiner, 110*50mm</t>
    <phoneticPr fontId="1" type="noConversion"/>
  </si>
  <si>
    <t>End cap, 70*40mm</t>
    <phoneticPr fontId="1" type="noConversion"/>
  </si>
  <si>
    <t>End cap, 110*50mm</t>
    <phoneticPr fontId="1" type="noConversion"/>
  </si>
  <si>
    <t>기구용금구, 70*40mm</t>
    <phoneticPr fontId="1" type="noConversion"/>
  </si>
  <si>
    <t>A형 Hanger, 70*40mm</t>
    <phoneticPr fontId="1" type="noConversion"/>
  </si>
  <si>
    <t>A형 Hanger, 110*50mm</t>
    <phoneticPr fontId="1" type="noConversion"/>
  </si>
  <si>
    <t>C형 Hanger, 70*40mm</t>
    <phoneticPr fontId="1" type="noConversion"/>
  </si>
  <si>
    <t>Box connector, 40*40mm</t>
    <phoneticPr fontId="1" type="noConversion"/>
  </si>
  <si>
    <t>피뢰침지지대(STS 지선 기초포함)</t>
    <phoneticPr fontId="1" type="noConversion"/>
  </si>
  <si>
    <t>상,하부용</t>
    <phoneticPr fontId="1" type="noConversion"/>
  </si>
  <si>
    <t>보안등 기초</t>
    <phoneticPr fontId="1" type="noConversion"/>
  </si>
  <si>
    <t>400x500x565x400</t>
    <phoneticPr fontId="1" type="noConversion"/>
  </si>
  <si>
    <t>400x525x605x500</t>
    <phoneticPr fontId="1" type="noConversion"/>
  </si>
  <si>
    <t>400x525x650x600</t>
    <phoneticPr fontId="1" type="noConversion"/>
  </si>
  <si>
    <t>3P,  30A, 250V, 노출형</t>
    <phoneticPr fontId="1" type="noConversion"/>
  </si>
  <si>
    <t>3P,  50A, 250V, 노출형</t>
    <phoneticPr fontId="1" type="noConversion"/>
  </si>
  <si>
    <t>허브랙(IDF)스텐다드형</t>
    <phoneticPr fontId="1" type="noConversion"/>
  </si>
  <si>
    <t>19"x250㎜(5U)</t>
    <phoneticPr fontId="1" type="noConversion"/>
  </si>
  <si>
    <t>19"x500㎜(8U)</t>
    <phoneticPr fontId="1" type="noConversion"/>
  </si>
  <si>
    <t>19"x750㎜(13U)</t>
    <phoneticPr fontId="1" type="noConversion"/>
  </si>
  <si>
    <t>19"x1,000㎜(18U)</t>
    <phoneticPr fontId="1" type="noConversion"/>
  </si>
  <si>
    <t>19"x1,400㎜(27U)</t>
    <phoneticPr fontId="1" type="noConversion"/>
  </si>
  <si>
    <t>19"x1,800㎜(36U)</t>
    <phoneticPr fontId="1" type="noConversion"/>
  </si>
  <si>
    <t>8Port, Mini</t>
    <phoneticPr fontId="1" type="noConversion"/>
  </si>
  <si>
    <t>12Port, 19", 라운드형</t>
    <phoneticPr fontId="1" type="noConversion"/>
  </si>
  <si>
    <t>24Port, 19", 라운드형</t>
    <phoneticPr fontId="1" type="noConversion"/>
  </si>
  <si>
    <t>Single, 피그테일, 1.5m</t>
    <phoneticPr fontId="1" type="noConversion"/>
  </si>
  <si>
    <t>Single, LC-SC 3m</t>
    <phoneticPr fontId="1" type="noConversion"/>
  </si>
  <si>
    <t>Patch Panel</t>
    <phoneticPr fontId="1" type="noConversion"/>
  </si>
  <si>
    <t>CAT.6   24PORT, 19"</t>
    <phoneticPr fontId="1" type="noConversion"/>
  </si>
  <si>
    <t>CAT.6   3m, 연선</t>
    <phoneticPr fontId="1" type="noConversion"/>
  </si>
  <si>
    <t>1.25Gbps,  Multi, LC</t>
    <phoneticPr fontId="1" type="noConversion"/>
  </si>
  <si>
    <t>풀  박  스 (철재)</t>
    <phoneticPr fontId="1" type="noConversion"/>
  </si>
  <si>
    <t>풀  박  스 (스텐))</t>
    <phoneticPr fontId="1" type="noConversion"/>
  </si>
  <si>
    <t>862</t>
    <phoneticPr fontId="1" type="noConversion"/>
  </si>
  <si>
    <r>
      <t>19</t>
    </r>
    <r>
      <rPr>
        <sz val="11"/>
        <color theme="1"/>
        <rFont val="Calibri"/>
        <family val="2"/>
        <charset val="161"/>
      </rPr>
      <t>Φ</t>
    </r>
    <r>
      <rPr>
        <sz val="11"/>
        <color theme="1"/>
        <rFont val="맑은 고딕"/>
        <family val="2"/>
        <charset val="129"/>
        <scheme val="minor"/>
      </rPr>
      <t>*3000mm</t>
    </r>
    <phoneticPr fontId="1" type="noConversion"/>
  </si>
  <si>
    <t>보호반경   65m</t>
    <phoneticPr fontId="1" type="noConversion"/>
  </si>
  <si>
    <t>보호반경 107m</t>
    <phoneticPr fontId="1" type="noConversion"/>
  </si>
  <si>
    <t>이온방사형 광역 피뢰침</t>
    <phoneticPr fontId="1" type="noConversion"/>
  </si>
  <si>
    <t>보호반경   84m</t>
    <phoneticPr fontId="1" type="noConversion"/>
  </si>
  <si>
    <t>주 공 용 (CU)</t>
    <phoneticPr fontId="1" type="noConversion"/>
  </si>
  <si>
    <t>일 자 용 (STS)</t>
    <phoneticPr fontId="1" type="noConversion"/>
  </si>
  <si>
    <t>천정형 선풍기 보강대</t>
    <phoneticPr fontId="1" type="noConversion"/>
  </si>
  <si>
    <t>철판형</t>
    <phoneticPr fontId="1" type="noConversion"/>
  </si>
  <si>
    <t>표준형</t>
    <phoneticPr fontId="1" type="noConversion"/>
  </si>
  <si>
    <t>행가표준형</t>
    <phoneticPr fontId="1" type="noConversion"/>
  </si>
  <si>
    <t>전주용입상관</t>
    <phoneticPr fontId="1" type="noConversion"/>
  </si>
  <si>
    <r>
      <t>130</t>
    </r>
    <r>
      <rPr>
        <sz val="11"/>
        <rFont val="Calibri"/>
        <family val="3"/>
        <charset val="161"/>
      </rPr>
      <t>Φ</t>
    </r>
    <r>
      <rPr>
        <sz val="11"/>
        <rFont val="맑은 고딕"/>
        <family val="3"/>
        <charset val="129"/>
      </rPr>
      <t>x2m</t>
    </r>
    <phoneticPr fontId="1" type="noConversion"/>
  </si>
  <si>
    <t>1134</t>
    <phoneticPr fontId="1" type="noConversion"/>
  </si>
  <si>
    <t>조립식 반할강판</t>
    <phoneticPr fontId="1" type="noConversion"/>
  </si>
  <si>
    <r>
      <t>130</t>
    </r>
    <r>
      <rPr>
        <sz val="11"/>
        <rFont val="Calibri"/>
        <family val="3"/>
        <charset val="161"/>
      </rPr>
      <t>Φ</t>
    </r>
    <phoneticPr fontId="1" type="noConversion"/>
  </si>
  <si>
    <t>1336</t>
    <phoneticPr fontId="1" type="noConversion"/>
  </si>
  <si>
    <t>중계기전원반</t>
    <phoneticPr fontId="1" type="noConversion"/>
  </si>
  <si>
    <t>15A</t>
    <phoneticPr fontId="1" type="noConversion"/>
  </si>
  <si>
    <t>1389</t>
    <phoneticPr fontId="1" type="noConversion"/>
  </si>
  <si>
    <t>피난구유도등 (음성점멸)</t>
    <phoneticPr fontId="1" type="noConversion"/>
  </si>
  <si>
    <t>천정,대형,단면,노출</t>
    <phoneticPr fontId="1" type="noConversion"/>
  </si>
  <si>
    <t>천정,대형,양면,노출</t>
    <phoneticPr fontId="1" type="noConversion"/>
  </si>
  <si>
    <t>천정,중형,단면,노출</t>
    <phoneticPr fontId="1" type="noConversion"/>
  </si>
  <si>
    <t>천정,중형,양면,노출</t>
    <phoneticPr fontId="1" type="noConversion"/>
  </si>
  <si>
    <t>벽부,대형,단면,노출</t>
    <phoneticPr fontId="1" type="noConversion"/>
  </si>
  <si>
    <t>벽부,중형,단면,노출</t>
    <phoneticPr fontId="1" type="noConversion"/>
  </si>
  <si>
    <t>벽부,소형,단면,노출</t>
    <phoneticPr fontId="1" type="noConversion"/>
  </si>
  <si>
    <t>벽부,중형, 와이드형</t>
    <phoneticPr fontId="1" type="noConversion"/>
  </si>
  <si>
    <t>입체형 유도등     통로</t>
    <phoneticPr fontId="1" type="noConversion"/>
  </si>
  <si>
    <t>소형</t>
    <phoneticPr fontId="1" type="noConversion"/>
  </si>
  <si>
    <t>입체형 유도등     피난구</t>
    <phoneticPr fontId="1" type="noConversion"/>
  </si>
  <si>
    <t>1396</t>
    <phoneticPr fontId="1" type="noConversion"/>
  </si>
  <si>
    <t>AC220V/DC24V,3A</t>
    <phoneticPr fontId="1" type="noConversion"/>
  </si>
  <si>
    <t>AC220V/DC24V,15A</t>
    <phoneticPr fontId="1" type="noConversion"/>
  </si>
  <si>
    <t>AC220V/DC24V,20A</t>
    <phoneticPr fontId="1" type="noConversion"/>
  </si>
  <si>
    <t>1393</t>
    <phoneticPr fontId="1" type="noConversion"/>
  </si>
  <si>
    <t>1387</t>
    <phoneticPr fontId="1" type="noConversion"/>
  </si>
  <si>
    <t>비상등(부착형)소방검정품</t>
    <phoneticPr fontId="1" type="noConversion"/>
  </si>
  <si>
    <t>LED 6Wx2(60분)</t>
    <phoneticPr fontId="1" type="noConversion"/>
  </si>
  <si>
    <t>1198</t>
    <phoneticPr fontId="1" type="noConversion"/>
  </si>
  <si>
    <t>1210</t>
    <phoneticPr fontId="1" type="noConversion"/>
  </si>
  <si>
    <t>알루미늄덕트</t>
    <phoneticPr fontId="1" type="noConversion"/>
  </si>
  <si>
    <t>벽면덕트80*47mm</t>
    <phoneticPr fontId="1" type="noConversion"/>
  </si>
  <si>
    <t>벽면덕트130*40mm</t>
    <phoneticPr fontId="1" type="noConversion"/>
  </si>
  <si>
    <t>플레이트, 마감</t>
    <phoneticPr fontId="1" type="noConversion"/>
  </si>
  <si>
    <t>1112</t>
    <phoneticPr fontId="1" type="noConversion"/>
  </si>
  <si>
    <t>STRAIGHT, 150x100x2.3t</t>
    <phoneticPr fontId="1" type="noConversion"/>
  </si>
  <si>
    <t>STRAIGHT, 200x100x2.3t</t>
    <phoneticPr fontId="1" type="noConversion"/>
  </si>
  <si>
    <t>STRAIGHT, 300x100x2.3t</t>
    <phoneticPr fontId="1" type="noConversion"/>
  </si>
  <si>
    <t>STRAIGHT, 400x100x2.3t</t>
    <phoneticPr fontId="1" type="noConversion"/>
  </si>
  <si>
    <t>H. ELBOW, 1000x100</t>
    <phoneticPr fontId="1" type="noConversion"/>
  </si>
  <si>
    <t>V. ELBOW, 1000x100</t>
    <phoneticPr fontId="1" type="noConversion"/>
  </si>
  <si>
    <t>H. ELBOW,   900x100</t>
    <phoneticPr fontId="1" type="noConversion"/>
  </si>
  <si>
    <t>H. ELBOW,   800x100</t>
    <phoneticPr fontId="1" type="noConversion"/>
  </si>
  <si>
    <t>H. ELBOW,   700x100</t>
    <phoneticPr fontId="1" type="noConversion"/>
  </si>
  <si>
    <t>H. ELBOW,   600x100</t>
    <phoneticPr fontId="1" type="noConversion"/>
  </si>
  <si>
    <t>H. ELBOW,   400x100</t>
    <phoneticPr fontId="1" type="noConversion"/>
  </si>
  <si>
    <t>H. ELBOW,   500x100</t>
    <phoneticPr fontId="1" type="noConversion"/>
  </si>
  <si>
    <t>H. ELBOW,   300x100</t>
    <phoneticPr fontId="1" type="noConversion"/>
  </si>
  <si>
    <t>H. ELBOW,   200x100</t>
    <phoneticPr fontId="1" type="noConversion"/>
  </si>
  <si>
    <t>H. ELBOW,   150x100</t>
    <phoneticPr fontId="1" type="noConversion"/>
  </si>
  <si>
    <t>V. ELBOW,   150x100</t>
    <phoneticPr fontId="1" type="noConversion"/>
  </si>
  <si>
    <t>V. ELBOW,   200x100</t>
    <phoneticPr fontId="1" type="noConversion"/>
  </si>
  <si>
    <t>V. ELBOW,   300x100</t>
    <phoneticPr fontId="1" type="noConversion"/>
  </si>
  <si>
    <t>V. ELBOW,   400x100</t>
    <phoneticPr fontId="1" type="noConversion"/>
  </si>
  <si>
    <t>V. ELBOW,   500x100</t>
    <phoneticPr fontId="1" type="noConversion"/>
  </si>
  <si>
    <t>V. ELBOW,   600x100</t>
    <phoneticPr fontId="1" type="noConversion"/>
  </si>
  <si>
    <t>V. ELBOW,   700x100</t>
    <phoneticPr fontId="1" type="noConversion"/>
  </si>
  <si>
    <t>V. ELBOW,   800x100</t>
    <phoneticPr fontId="1" type="noConversion"/>
  </si>
  <si>
    <t>V. ELBOW,   900x100</t>
    <phoneticPr fontId="1" type="noConversion"/>
  </si>
  <si>
    <t>TEE, 1000x100</t>
    <phoneticPr fontId="1" type="noConversion"/>
  </si>
  <si>
    <t>TEE,   900x100</t>
    <phoneticPr fontId="1" type="noConversion"/>
  </si>
  <si>
    <t>TEE,   150x100</t>
    <phoneticPr fontId="1" type="noConversion"/>
  </si>
  <si>
    <t>TEE,   200x100</t>
    <phoneticPr fontId="1" type="noConversion"/>
  </si>
  <si>
    <t>TEE,   300x100</t>
    <phoneticPr fontId="1" type="noConversion"/>
  </si>
  <si>
    <t>TEE,   400x100</t>
    <phoneticPr fontId="1" type="noConversion"/>
  </si>
  <si>
    <t>TEE,   500x100</t>
    <phoneticPr fontId="1" type="noConversion"/>
  </si>
  <si>
    <t>TEE,   600x100</t>
    <phoneticPr fontId="1" type="noConversion"/>
  </si>
  <si>
    <t>TEE,   700x100</t>
    <phoneticPr fontId="1" type="noConversion"/>
  </si>
  <si>
    <t>TEE,   800x100</t>
    <phoneticPr fontId="1" type="noConversion"/>
  </si>
  <si>
    <t>CROSS,   150x100</t>
    <phoneticPr fontId="1" type="noConversion"/>
  </si>
  <si>
    <t>CROSS,   200x100</t>
    <phoneticPr fontId="1" type="noConversion"/>
  </si>
  <si>
    <t>CROSS,   300x100</t>
    <phoneticPr fontId="1" type="noConversion"/>
  </si>
  <si>
    <t>CROSS,   400x100</t>
    <phoneticPr fontId="1" type="noConversion"/>
  </si>
  <si>
    <t>CROSS,   500x100</t>
    <phoneticPr fontId="1" type="noConversion"/>
  </si>
  <si>
    <t>CROSS,   600x100</t>
    <phoneticPr fontId="1" type="noConversion"/>
  </si>
  <si>
    <t>CROSS,   700x100</t>
    <phoneticPr fontId="1" type="noConversion"/>
  </si>
  <si>
    <t>CROSS,   800x100</t>
    <phoneticPr fontId="1" type="noConversion"/>
  </si>
  <si>
    <t>CROSS,   900x100</t>
    <phoneticPr fontId="1" type="noConversion"/>
  </si>
  <si>
    <t>CROSS, 1000x100</t>
    <phoneticPr fontId="1" type="noConversion"/>
  </si>
  <si>
    <t>1212</t>
    <phoneticPr fontId="1" type="noConversion"/>
  </si>
  <si>
    <t>내진써포트행거(방진형)</t>
    <phoneticPr fontId="1" type="noConversion"/>
  </si>
  <si>
    <t>일반형</t>
    <phoneticPr fontId="1" type="noConversion"/>
  </si>
  <si>
    <t>보강형</t>
    <phoneticPr fontId="1" type="noConversion"/>
  </si>
  <si>
    <t>내진스프링조인트 커넥터(수평형)</t>
    <phoneticPr fontId="1" type="noConversion"/>
  </si>
  <si>
    <t>150H</t>
    <phoneticPr fontId="1" type="noConversion"/>
  </si>
  <si>
    <t>내진스프링조인트 커넥터(수직 슬리브형)</t>
    <phoneticPr fontId="1" type="noConversion"/>
  </si>
  <si>
    <t>E/COVER,   150x100</t>
    <phoneticPr fontId="1" type="noConversion"/>
  </si>
  <si>
    <t>E/COVER,   200x100</t>
    <phoneticPr fontId="1" type="noConversion"/>
  </si>
  <si>
    <t>E/COVER,   300x100</t>
    <phoneticPr fontId="1" type="noConversion"/>
  </si>
  <si>
    <t>E/COVER,   400x100</t>
    <phoneticPr fontId="1" type="noConversion"/>
  </si>
  <si>
    <t>E/COVER,   700x100</t>
    <phoneticPr fontId="1" type="noConversion"/>
  </si>
  <si>
    <t>E/COVER,   900x100</t>
    <phoneticPr fontId="1" type="noConversion"/>
  </si>
  <si>
    <t>E/COVER,  1000x100</t>
    <phoneticPr fontId="1" type="noConversion"/>
  </si>
  <si>
    <t>E/COVER,   600x100</t>
    <phoneticPr fontId="1" type="noConversion"/>
  </si>
  <si>
    <t>E/COVER,   500x100</t>
    <phoneticPr fontId="1" type="noConversion"/>
  </si>
  <si>
    <t>E/COVER,   800x100</t>
    <phoneticPr fontId="1" type="noConversion"/>
  </si>
  <si>
    <t>T/COVER,   150x100</t>
    <phoneticPr fontId="1" type="noConversion"/>
  </si>
  <si>
    <t>T/COVER,   200x100</t>
    <phoneticPr fontId="1" type="noConversion"/>
  </si>
  <si>
    <t>T/COVER,   300x100</t>
    <phoneticPr fontId="1" type="noConversion"/>
  </si>
  <si>
    <t>T/COVER,   400x100</t>
    <phoneticPr fontId="1" type="noConversion"/>
  </si>
  <si>
    <t>T/COVER,   500x100</t>
    <phoneticPr fontId="1" type="noConversion"/>
  </si>
  <si>
    <t>T/COVER,   600x100</t>
    <phoneticPr fontId="1" type="noConversion"/>
  </si>
  <si>
    <t>T/COVER,   700x100</t>
    <phoneticPr fontId="1" type="noConversion"/>
  </si>
  <si>
    <t>T/COVER,   800x100</t>
    <phoneticPr fontId="1" type="noConversion"/>
  </si>
  <si>
    <t>T/COVER,   900x100</t>
    <phoneticPr fontId="1" type="noConversion"/>
  </si>
  <si>
    <t>T/COVER,  1000x100</t>
    <phoneticPr fontId="1" type="noConversion"/>
  </si>
  <si>
    <t>C/COVER,   150x100</t>
    <phoneticPr fontId="1" type="noConversion"/>
  </si>
  <si>
    <t>C/COVER,   200x100</t>
    <phoneticPr fontId="1" type="noConversion"/>
  </si>
  <si>
    <t>C/COVER,   300x100</t>
    <phoneticPr fontId="1" type="noConversion"/>
  </si>
  <si>
    <t>C/COVER,   400x100</t>
    <phoneticPr fontId="1" type="noConversion"/>
  </si>
  <si>
    <t>C/COVER,   500x100</t>
    <phoneticPr fontId="1" type="noConversion"/>
  </si>
  <si>
    <t>C/COVER,   600x100</t>
    <phoneticPr fontId="1" type="noConversion"/>
  </si>
  <si>
    <t>C/COVER,   700x100</t>
    <phoneticPr fontId="1" type="noConversion"/>
  </si>
  <si>
    <t>C/COVER,   800x100</t>
    <phoneticPr fontId="1" type="noConversion"/>
  </si>
  <si>
    <t>C/COVER,   900x100</t>
    <phoneticPr fontId="1" type="noConversion"/>
  </si>
  <si>
    <t>C/COVER,  1000x100</t>
    <phoneticPr fontId="1" type="noConversion"/>
  </si>
  <si>
    <t>868</t>
    <phoneticPr fontId="1" type="noConversion"/>
  </si>
  <si>
    <t>1109</t>
    <phoneticPr fontId="1" type="noConversion"/>
  </si>
  <si>
    <t>1205</t>
    <phoneticPr fontId="1" type="noConversion"/>
  </si>
  <si>
    <t>1099</t>
    <phoneticPr fontId="1" type="noConversion"/>
  </si>
  <si>
    <t>865</t>
    <phoneticPr fontId="1" type="noConversion"/>
  </si>
  <si>
    <t>HP STRAIGHT, EPC 150x100x1.0t</t>
    <phoneticPr fontId="1" type="noConversion"/>
  </si>
  <si>
    <t>HP STRAIGHT, EPC 200x100x1.0t</t>
    <phoneticPr fontId="1" type="noConversion"/>
  </si>
  <si>
    <t>HP STRAIGHT, EPC 300x100x1.0t</t>
    <phoneticPr fontId="1" type="noConversion"/>
  </si>
  <si>
    <t>재  료  비</t>
    <phoneticPr fontId="1" type="noConversion"/>
  </si>
  <si>
    <t>비     고</t>
    <phoneticPr fontId="1" type="noConversion"/>
  </si>
  <si>
    <t>A사 가격</t>
    <phoneticPr fontId="1" type="noConversion"/>
  </si>
  <si>
    <t>B사 가격</t>
    <phoneticPr fontId="1" type="noConversion"/>
  </si>
  <si>
    <t>C사 가격</t>
    <phoneticPr fontId="1" type="noConversion"/>
  </si>
  <si>
    <t>LED실내조명등</t>
    <phoneticPr fontId="1" type="noConversion"/>
  </si>
  <si>
    <t>LED면조명(M바) 1200*300</t>
    <phoneticPr fontId="1" type="noConversion"/>
  </si>
  <si>
    <t>LED 50W</t>
    <phoneticPr fontId="1" type="noConversion"/>
  </si>
  <si>
    <t>SET</t>
    <phoneticPr fontId="7" type="noConversion"/>
  </si>
  <si>
    <t xml:space="preserve">  </t>
  </si>
  <si>
    <t>LED 40W</t>
    <phoneticPr fontId="1" type="noConversion"/>
  </si>
  <si>
    <t>LED 20W</t>
    <phoneticPr fontId="1" type="noConversion"/>
  </si>
  <si>
    <t>LED방습등</t>
    <phoneticPr fontId="1" type="noConversion"/>
  </si>
  <si>
    <t>LED칠판등(백색분체도장)</t>
    <phoneticPr fontId="1" type="noConversion"/>
  </si>
  <si>
    <t>LED 18W</t>
    <phoneticPr fontId="1" type="noConversion"/>
  </si>
  <si>
    <t>LED펜단트갓등(PP)</t>
    <phoneticPr fontId="1" type="noConversion"/>
  </si>
  <si>
    <t>LED레이스웨이</t>
    <phoneticPr fontId="1" type="noConversion"/>
  </si>
  <si>
    <t>LED 14W</t>
    <phoneticPr fontId="1" type="noConversion"/>
  </si>
  <si>
    <t>LED원형직부등</t>
    <phoneticPr fontId="1" type="noConversion"/>
  </si>
  <si>
    <t>LED 12W</t>
    <phoneticPr fontId="1" type="noConversion"/>
  </si>
  <si>
    <t>LED 15W</t>
    <phoneticPr fontId="1" type="noConversion"/>
  </si>
  <si>
    <t>LED원형센서등</t>
    <phoneticPr fontId="1" type="noConversion"/>
  </si>
  <si>
    <t>LED 12W 이하</t>
    <phoneticPr fontId="1" type="noConversion"/>
  </si>
  <si>
    <t>LED 15W 이하</t>
    <phoneticPr fontId="1" type="noConversion"/>
  </si>
  <si>
    <t>LED 사각방등</t>
    <phoneticPr fontId="1" type="noConversion"/>
  </si>
  <si>
    <t>LED 150W</t>
    <phoneticPr fontId="1" type="noConversion"/>
  </si>
  <si>
    <t>LED 세면등</t>
    <phoneticPr fontId="1" type="noConversion"/>
  </si>
  <si>
    <t>LED 25W</t>
    <phoneticPr fontId="1" type="noConversion"/>
  </si>
  <si>
    <t>LED T5간접등(1198mm)</t>
    <phoneticPr fontId="1" type="noConversion"/>
  </si>
  <si>
    <t>LED T5간접등(900mm)</t>
    <phoneticPr fontId="1" type="noConversion"/>
  </si>
  <si>
    <t>LED 6W</t>
    <phoneticPr fontId="1" type="noConversion"/>
  </si>
  <si>
    <t>LED라인조명(원형라인포함)</t>
    <phoneticPr fontId="1" type="noConversion"/>
  </si>
  <si>
    <t>LED라인조명(1000mm) / 직부&amp;펜단트</t>
    <phoneticPr fontId="1" type="noConversion"/>
  </si>
  <si>
    <t>LED 29.5W~31W</t>
    <phoneticPr fontId="1" type="noConversion"/>
  </si>
  <si>
    <t>LED라인조명(1000mm) / 매입형</t>
    <phoneticPr fontId="1" type="noConversion"/>
  </si>
  <si>
    <t>LED인테리어조명</t>
    <phoneticPr fontId="1" type="noConversion"/>
  </si>
  <si>
    <t>레일별도</t>
    <phoneticPr fontId="1" type="noConversion"/>
  </si>
  <si>
    <t xml:space="preserve">LED 10W </t>
    <phoneticPr fontId="1" type="noConversion"/>
  </si>
  <si>
    <t>LED 10W</t>
    <phoneticPr fontId="1" type="noConversion"/>
  </si>
  <si>
    <t>LED 80W</t>
    <phoneticPr fontId="1" type="noConversion"/>
  </si>
  <si>
    <t>LED다운라이트</t>
    <phoneticPr fontId="1" type="noConversion"/>
  </si>
  <si>
    <t>LED다운라이트(6인치)</t>
    <phoneticPr fontId="1" type="noConversion"/>
  </si>
  <si>
    <t>LED 10.5W</t>
    <phoneticPr fontId="1" type="noConversion"/>
  </si>
  <si>
    <t>LED다운라이트(6인치) /센서형</t>
    <phoneticPr fontId="1" type="noConversion"/>
  </si>
  <si>
    <t>LED 12W</t>
  </si>
  <si>
    <t>LED다운라이트(8인치)</t>
    <phoneticPr fontId="1" type="noConversion"/>
  </si>
  <si>
    <t>LED투광등기구외</t>
    <phoneticPr fontId="1" type="noConversion"/>
  </si>
  <si>
    <t>LED사각투광등</t>
    <phoneticPr fontId="1" type="noConversion"/>
  </si>
  <si>
    <t>LED 30W</t>
    <phoneticPr fontId="1" type="noConversion"/>
  </si>
  <si>
    <t>LED투광등기구(직부&amp;체인형)</t>
    <phoneticPr fontId="1" type="noConversion"/>
  </si>
  <si>
    <t>LED 100W</t>
    <phoneticPr fontId="1" type="noConversion"/>
  </si>
  <si>
    <t>LED 120W</t>
    <phoneticPr fontId="1" type="noConversion"/>
  </si>
  <si>
    <r>
      <rPr>
        <sz val="14"/>
        <color rgb="FFFF0000"/>
        <rFont val="맑은 고딕"/>
        <family val="3"/>
        <charset val="129"/>
        <scheme val="minor"/>
      </rPr>
      <t>2026년 상반기</t>
    </r>
    <r>
      <rPr>
        <sz val="14"/>
        <rFont val="맑은 고딕"/>
        <family val="3"/>
        <charset val="129"/>
        <scheme val="minor"/>
      </rPr>
      <t xml:space="preserve"> 충남교육청 건설공사 일위대가 (조명기구)</t>
    </r>
    <phoneticPr fontId="1" type="noConversion"/>
  </si>
  <si>
    <t>LED슬림면조명(M바 &amp; 직부)   1280*320</t>
    <phoneticPr fontId="1" type="noConversion"/>
  </si>
  <si>
    <t>LED슬림면조명(M바 &amp; 직부)    640*310</t>
    <phoneticPr fontId="1" type="noConversion"/>
  </si>
  <si>
    <t>LED슬림면조명(M바 &amp;직부)     640*640</t>
    <phoneticPr fontId="1" type="noConversion"/>
  </si>
  <si>
    <t>LED슬림면조명(클립바)         1200*300</t>
    <phoneticPr fontId="1" type="noConversion"/>
  </si>
  <si>
    <t>LED슬림면조명(클립바)           600*600</t>
    <phoneticPr fontId="1" type="noConversion"/>
  </si>
  <si>
    <t>LED슬림면조명(클립바)           600*300</t>
    <phoneticPr fontId="1" type="noConversion"/>
  </si>
  <si>
    <t>LED슬림면조명(클립바)           300*300</t>
    <phoneticPr fontId="1" type="noConversion"/>
  </si>
  <si>
    <t>LED원형직부등(방수타입)</t>
    <phoneticPr fontId="1" type="noConversion"/>
  </si>
  <si>
    <t>KS,고효율</t>
    <phoneticPr fontId="1" type="noConversion"/>
  </si>
  <si>
    <t>LED  벽부등</t>
    <phoneticPr fontId="1" type="noConversion"/>
  </si>
  <si>
    <t>LED 거실등  (50W*3)</t>
    <phoneticPr fontId="1" type="noConversion"/>
  </si>
  <si>
    <t>LED T5간접등(600mm)</t>
    <phoneticPr fontId="1" type="noConversion"/>
  </si>
  <si>
    <t>LED T5간접등(300mm)</t>
    <phoneticPr fontId="1" type="noConversion"/>
  </si>
  <si>
    <t>LED라인조명(500mm) /  직부&amp;펜단트</t>
    <phoneticPr fontId="1" type="noConversion"/>
  </si>
  <si>
    <t>LED라인조명(500mm)  / 매입형</t>
    <phoneticPr fontId="1" type="noConversion"/>
  </si>
  <si>
    <t>LED  레일스포트</t>
    <phoneticPr fontId="1" type="noConversion"/>
  </si>
  <si>
    <t>규       격</t>
    <phoneticPr fontId="1" type="noConversion"/>
  </si>
  <si>
    <t>LED 갓펜던트(직부등)</t>
    <phoneticPr fontId="1" type="noConversion"/>
  </si>
  <si>
    <t>LED 갓펜던트(레일형)</t>
    <phoneticPr fontId="1" type="noConversion"/>
  </si>
  <si>
    <t>LED 봉 펜던트(직부형)</t>
    <phoneticPr fontId="1" type="noConversion"/>
  </si>
  <si>
    <t>LED 봉 펜던트(레일형)</t>
    <phoneticPr fontId="1" type="noConversion"/>
  </si>
  <si>
    <t xml:space="preserve">누전 차단기 </t>
    <phoneticPr fontId="1" type="noConversion"/>
  </si>
  <si>
    <t>배선용 차단기</t>
    <phoneticPr fontId="1" type="noConversion"/>
  </si>
  <si>
    <t>배선용 차단기 (ZCT내장형)</t>
    <phoneticPr fontId="1" type="noConversion"/>
  </si>
  <si>
    <t>4P   50AF 18KA (고차단)</t>
    <phoneticPr fontId="1" type="noConversion"/>
  </si>
  <si>
    <t>4P   60AF 18KA (고차단)</t>
    <phoneticPr fontId="1" type="noConversion"/>
  </si>
  <si>
    <t>4P  125AF 37KA(고차단)</t>
    <phoneticPr fontId="1" type="noConversion"/>
  </si>
  <si>
    <t>4P  250AF 37KA(고차단)</t>
    <phoneticPr fontId="1" type="noConversion"/>
  </si>
  <si>
    <t>4P  400AF 37KA(고차단)</t>
    <phoneticPr fontId="1" type="noConversion"/>
  </si>
  <si>
    <t>2P   30AF 2.5KA(미니)</t>
    <phoneticPr fontId="1" type="noConversion"/>
  </si>
  <si>
    <r>
      <t>14</t>
    </r>
    <r>
      <rPr>
        <sz val="11"/>
        <color theme="1"/>
        <rFont val="Calibri"/>
        <family val="2"/>
        <charset val="161"/>
      </rPr>
      <t>Φ</t>
    </r>
    <r>
      <rPr>
        <sz val="11"/>
        <color theme="1"/>
        <rFont val="맑은 고딕"/>
        <family val="2"/>
        <charset val="129"/>
        <scheme val="minor"/>
      </rPr>
      <t>x485(CU)</t>
    </r>
    <phoneticPr fontId="1" type="noConversion"/>
  </si>
  <si>
    <t>터미날캡, 2.5㎟</t>
    <phoneticPr fontId="1" type="noConversion"/>
  </si>
  <si>
    <t>기가비트 스위치 허브</t>
    <phoneticPr fontId="1" type="noConversion"/>
  </si>
  <si>
    <t>F-CVV, 1.5㎟ - 2C</t>
    <phoneticPr fontId="1" type="noConversion"/>
  </si>
  <si>
    <t>F-CVV, 2.5㎟ - 2C</t>
    <phoneticPr fontId="1" type="noConversion"/>
  </si>
  <si>
    <t>F-CVV, 1.5㎟ - 3C</t>
    <phoneticPr fontId="1" type="noConversion"/>
  </si>
  <si>
    <t>F-CVV, 2.5㎟ - 3C</t>
    <phoneticPr fontId="1" type="noConversion"/>
  </si>
  <si>
    <t>F-CVV, 1.5㎟ - 4C</t>
    <phoneticPr fontId="1" type="noConversion"/>
  </si>
  <si>
    <t>F-CVV, 2.5㎟ - 4C</t>
    <phoneticPr fontId="1" type="noConversion"/>
  </si>
  <si>
    <t>F-CVV, 1.5㎟ - 5C</t>
    <phoneticPr fontId="1" type="noConversion"/>
  </si>
  <si>
    <t>F-CVV, 2.5㎟-  5C</t>
    <phoneticPr fontId="1" type="noConversion"/>
  </si>
  <si>
    <t>F-CVV, 1.5㎟ - 6C</t>
    <phoneticPr fontId="1" type="noConversion"/>
  </si>
  <si>
    <t>F-CVV, 2.5㎟ - 6C</t>
    <phoneticPr fontId="1" type="noConversion"/>
  </si>
  <si>
    <t>F-CVV, 1.5㎟ - 7C</t>
    <phoneticPr fontId="1" type="noConversion"/>
  </si>
  <si>
    <t>F-CVV, 2.5㎟ - 7C</t>
    <phoneticPr fontId="1" type="noConversion"/>
  </si>
  <si>
    <t>F-CVV, 1.5㎟ - 8C</t>
    <phoneticPr fontId="1" type="noConversion"/>
  </si>
  <si>
    <t>F-CVV, 2.5㎟ - 8C</t>
    <phoneticPr fontId="1" type="noConversion"/>
  </si>
  <si>
    <t>F-CVV, 1.5㎟ - 10C</t>
    <phoneticPr fontId="1" type="noConversion"/>
  </si>
  <si>
    <t>F-CVV, 2.5㎟ - 10C</t>
    <phoneticPr fontId="1" type="noConversion"/>
  </si>
  <si>
    <t>F-CVV, 1.5㎟ - 12C</t>
    <phoneticPr fontId="1" type="noConversion"/>
  </si>
  <si>
    <t>F-CVV, 2.5㎟ - 12C</t>
    <phoneticPr fontId="1" type="noConversion"/>
  </si>
  <si>
    <t>F-CVV, 1.5㎟ - 15C</t>
    <phoneticPr fontId="1" type="noConversion"/>
  </si>
  <si>
    <t>F-CVV, 2.5㎟ - 15C</t>
    <phoneticPr fontId="1" type="noConversion"/>
  </si>
  <si>
    <t>F-CVV, 1.5㎟ - 20C</t>
    <phoneticPr fontId="1" type="noConversion"/>
  </si>
  <si>
    <t>F-CVV, 2.5㎟ - 20C</t>
    <phoneticPr fontId="1" type="noConversion"/>
  </si>
  <si>
    <t>F-CVV, 1.5㎟ - 25C</t>
    <phoneticPr fontId="1" type="noConversion"/>
  </si>
  <si>
    <t>F-CVV, 2.5㎟ - 25C</t>
    <phoneticPr fontId="1" type="noConversion"/>
  </si>
  <si>
    <t>F-CVV, 1.5㎟ - 30C</t>
    <phoneticPr fontId="1" type="noConversion"/>
  </si>
  <si>
    <t>F-CVV, 2.5㎟ - 30C</t>
    <phoneticPr fontId="1" type="noConversion"/>
  </si>
  <si>
    <t>F-CVV, 1.5㎟ - 40C</t>
    <phoneticPr fontId="1" type="noConversion"/>
  </si>
  <si>
    <t>F-CVV, 2.5㎟ - 40C</t>
    <phoneticPr fontId="1" type="noConversion"/>
  </si>
  <si>
    <t>F-CVV, 1.5㎟ - 50C</t>
    <phoneticPr fontId="1" type="noConversion"/>
  </si>
  <si>
    <t>F-CVV, 2.5㎟ - 50C</t>
    <phoneticPr fontId="1" type="noConversion"/>
  </si>
  <si>
    <t>F-CVV-S, 1.5㎟ - 2C</t>
    <phoneticPr fontId="1" type="noConversion"/>
  </si>
  <si>
    <t>F-CVV-S, 2.5㎟ - 2C</t>
    <phoneticPr fontId="1" type="noConversion"/>
  </si>
  <si>
    <t>F-CVV-S, 1.5㎟ - 3C</t>
    <phoneticPr fontId="1" type="noConversion"/>
  </si>
  <si>
    <t>F-CVV-S, 2.5㎟ - 3C</t>
    <phoneticPr fontId="1" type="noConversion"/>
  </si>
  <si>
    <t>F-CVV-S, 1.5㎟ - 4C</t>
    <phoneticPr fontId="1" type="noConversion"/>
  </si>
  <si>
    <t>F-CVV-S, 2.5㎟ - 4C</t>
    <phoneticPr fontId="1" type="noConversion"/>
  </si>
  <si>
    <t>F-CVV-S, 1.5㎟ - 5C</t>
    <phoneticPr fontId="1" type="noConversion"/>
  </si>
  <si>
    <t>F-CVV-S, 2.5㎟-  5C</t>
    <phoneticPr fontId="1" type="noConversion"/>
  </si>
  <si>
    <t>F-CVV-S, 1.5㎟ - 6C</t>
    <phoneticPr fontId="1" type="noConversion"/>
  </si>
  <si>
    <t>F-CVV-S, 2.5㎟ - 6C</t>
    <phoneticPr fontId="1" type="noConversion"/>
  </si>
  <si>
    <t>F-CVV-S, 1.5㎟ - 7C</t>
    <phoneticPr fontId="1" type="noConversion"/>
  </si>
  <si>
    <t>F-CVV-S, 2.5㎟ - 7C</t>
    <phoneticPr fontId="1" type="noConversion"/>
  </si>
  <si>
    <t>F-CVV-S, 1.5㎟ - 8C</t>
    <phoneticPr fontId="1" type="noConversion"/>
  </si>
  <si>
    <t>F-CVV-S, 2.5㎟ - 8C</t>
    <phoneticPr fontId="1" type="noConversion"/>
  </si>
  <si>
    <t>F-CVV-S, 1.5㎟ - 10C</t>
    <phoneticPr fontId="1" type="noConversion"/>
  </si>
  <si>
    <t>F-CVV-S, 2.5㎟ - 10C</t>
    <phoneticPr fontId="1" type="noConversion"/>
  </si>
  <si>
    <t>F-CVV-S, 1.5㎟ - 12C</t>
    <phoneticPr fontId="1" type="noConversion"/>
  </si>
  <si>
    <t>F-CVV-S, 2.5㎟ - 12C</t>
    <phoneticPr fontId="1" type="noConversion"/>
  </si>
  <si>
    <t>F-CVV-S, 1.5㎟ - 15C</t>
    <phoneticPr fontId="1" type="noConversion"/>
  </si>
  <si>
    <t>F-CVV-S, 2.5㎟ - 15C</t>
    <phoneticPr fontId="1" type="noConversion"/>
  </si>
  <si>
    <t>F-CVV-S, 1.5㎟ - 20C</t>
    <phoneticPr fontId="1" type="noConversion"/>
  </si>
  <si>
    <t>F-CVV-S, 2.5㎟ - 20C</t>
    <phoneticPr fontId="1" type="noConversion"/>
  </si>
  <si>
    <t>F-CVV-S, 1.5㎟ - 25C</t>
    <phoneticPr fontId="1" type="noConversion"/>
  </si>
  <si>
    <t>F-CVV-S, 2.5㎟ - 25C</t>
    <phoneticPr fontId="1" type="noConversion"/>
  </si>
  <si>
    <t>F-CVV-S, 1.5㎟ - 30C</t>
    <phoneticPr fontId="1" type="noConversion"/>
  </si>
  <si>
    <t>F-CVV-S, 2.5㎟ - 30C</t>
    <phoneticPr fontId="1" type="noConversion"/>
  </si>
  <si>
    <t>F-CVV-S, 1.5㎟ - 40C</t>
    <phoneticPr fontId="1" type="noConversion"/>
  </si>
  <si>
    <t>F-CVV-S, 2.5㎟ - 40C</t>
    <phoneticPr fontId="1" type="noConversion"/>
  </si>
  <si>
    <t>F-CVV-S, 1.5㎟ - 50C</t>
    <phoneticPr fontId="1" type="noConversion"/>
  </si>
  <si>
    <t>F-CVV-S, 2.5㎟ - 50C</t>
    <phoneticPr fontId="1" type="noConversion"/>
  </si>
  <si>
    <t>F-CVV-SB, 1.5㎟ - 2C</t>
    <phoneticPr fontId="1" type="noConversion"/>
  </si>
  <si>
    <t>F-CVV-SB, 2.5㎟ - 2C</t>
    <phoneticPr fontId="1" type="noConversion"/>
  </si>
  <si>
    <t>F-CVV-SB, 1.5㎟ - 3C</t>
    <phoneticPr fontId="1" type="noConversion"/>
  </si>
  <si>
    <t>F-CVV-SB, 2.5㎟ - 3C</t>
    <phoneticPr fontId="1" type="noConversion"/>
  </si>
  <si>
    <t>F-CVV-SB, 1.5㎟ - 4C</t>
    <phoneticPr fontId="1" type="noConversion"/>
  </si>
  <si>
    <t>F-CVV-SB, 2.5㎟ - 4C</t>
    <phoneticPr fontId="1" type="noConversion"/>
  </si>
  <si>
    <t>F-CVV-SB, 1.5㎟ - 5C</t>
    <phoneticPr fontId="1" type="noConversion"/>
  </si>
  <si>
    <t>F-CVV-SB, 2.5㎟-  5C</t>
    <phoneticPr fontId="1" type="noConversion"/>
  </si>
  <si>
    <t>F-CVV-SB, 1.5㎟ - 6C</t>
    <phoneticPr fontId="1" type="noConversion"/>
  </si>
  <si>
    <t>F-CVV-SB, 2.5㎟ - 6C</t>
    <phoneticPr fontId="1" type="noConversion"/>
  </si>
  <si>
    <t>F-CVV-SB, 1.5㎟ - 7C</t>
    <phoneticPr fontId="1" type="noConversion"/>
  </si>
  <si>
    <t>F-CVV-SB, 2.5㎟ - 7C</t>
    <phoneticPr fontId="1" type="noConversion"/>
  </si>
  <si>
    <t>F-CVV-SB, 1.5㎟ - 8C</t>
    <phoneticPr fontId="1" type="noConversion"/>
  </si>
  <si>
    <t>F-CVV-SB, 2.5㎟ - 8C</t>
    <phoneticPr fontId="1" type="noConversion"/>
  </si>
  <si>
    <t>F-CVV-SB, 1.5㎟ - 10C</t>
    <phoneticPr fontId="1" type="noConversion"/>
  </si>
  <si>
    <t>F-CVV-SB, 2.5㎟ - 10C</t>
    <phoneticPr fontId="1" type="noConversion"/>
  </si>
  <si>
    <t>F-CVV-SB, 1.5㎟ - 12C</t>
    <phoneticPr fontId="1" type="noConversion"/>
  </si>
  <si>
    <t>F-CVV-SB, 2.5㎟ - 12C</t>
    <phoneticPr fontId="1" type="noConversion"/>
  </si>
  <si>
    <t>F-CVV-SB, 1.5㎟ - 15C</t>
    <phoneticPr fontId="1" type="noConversion"/>
  </si>
  <si>
    <t>F-CVV-SB, 2.5㎟ - 15C</t>
    <phoneticPr fontId="1" type="noConversion"/>
  </si>
  <si>
    <t>F-CVV-SB, 1.5㎟ - 20C</t>
    <phoneticPr fontId="1" type="noConversion"/>
  </si>
  <si>
    <t>F-CVV-SB, 2.5㎟ - 20C</t>
    <phoneticPr fontId="1" type="noConversion"/>
  </si>
  <si>
    <t>F-CVV-SB, 1.5㎟ - 25C</t>
    <phoneticPr fontId="1" type="noConversion"/>
  </si>
  <si>
    <t>F-CVV-SB, 2.5㎟ - 25C</t>
    <phoneticPr fontId="1" type="noConversion"/>
  </si>
  <si>
    <t>F-CVV-SB, 1.5㎟ - 30C</t>
    <phoneticPr fontId="1" type="noConversion"/>
  </si>
  <si>
    <t>F-CVV-SB, 2.5㎟ - 30C</t>
    <phoneticPr fontId="1" type="noConversion"/>
  </si>
  <si>
    <t>F-CVV-SB, 1.5㎟ - 40C</t>
    <phoneticPr fontId="1" type="noConversion"/>
  </si>
  <si>
    <t>F-CVV-SB, 2.5㎟ - 40C</t>
    <phoneticPr fontId="1" type="noConversion"/>
  </si>
  <si>
    <t>F-CVV-SB, 1.5㎟ - 50C</t>
    <phoneticPr fontId="1" type="noConversion"/>
  </si>
  <si>
    <t>F-CVV-SB, 2.5㎟ - 50C</t>
    <phoneticPr fontId="1" type="noConversion"/>
  </si>
  <si>
    <r>
      <t>CD 하이렉스, 16</t>
    </r>
    <r>
      <rPr>
        <sz val="11"/>
        <color theme="1"/>
        <rFont val="Calibri"/>
        <family val="2"/>
        <charset val="161"/>
      </rPr>
      <t>Φ</t>
    </r>
    <phoneticPr fontId="1" type="noConversion"/>
  </si>
  <si>
    <r>
      <t>CD 하이렉스, 22</t>
    </r>
    <r>
      <rPr>
        <sz val="11"/>
        <color theme="1"/>
        <rFont val="Calibri"/>
        <family val="2"/>
        <charset val="161"/>
      </rPr>
      <t>Φ</t>
    </r>
    <phoneticPr fontId="1" type="noConversion"/>
  </si>
  <si>
    <r>
      <t>CD 하이렉스, 28</t>
    </r>
    <r>
      <rPr>
        <sz val="11"/>
        <color theme="1"/>
        <rFont val="Calibri"/>
        <family val="2"/>
        <charset val="161"/>
      </rPr>
      <t>Φ</t>
    </r>
    <phoneticPr fontId="1" type="noConversion"/>
  </si>
  <si>
    <t>합성수지제가요전선관(일반)</t>
    <phoneticPr fontId="1" type="noConversion"/>
  </si>
  <si>
    <t>콘크리트매입용</t>
    <phoneticPr fontId="1" type="noConversion"/>
  </si>
  <si>
    <t>300*400mm</t>
    <phoneticPr fontId="1" type="noConversion"/>
  </si>
  <si>
    <t>400*500mm</t>
    <phoneticPr fontId="1" type="noConversion"/>
  </si>
  <si>
    <t>500*600mm</t>
    <phoneticPr fontId="1" type="noConversion"/>
  </si>
  <si>
    <t>600*700mm</t>
    <phoneticPr fontId="1" type="noConversion"/>
  </si>
  <si>
    <t>700*800mm</t>
    <phoneticPr fontId="1" type="noConversion"/>
  </si>
  <si>
    <t>2P   30AF   5KA</t>
    <phoneticPr fontId="1" type="noConversion"/>
  </si>
  <si>
    <t>CAT-6A   0.5㎜ -4P</t>
    <phoneticPr fontId="1" type="noConversion"/>
  </si>
  <si>
    <t xml:space="preserve"> </t>
    <phoneticPr fontId="1" type="noConversion"/>
  </si>
  <si>
    <t xml:space="preserve"> </t>
    <phoneticPr fontId="1" type="noConversion"/>
  </si>
  <si>
    <t>1003</t>
    <phoneticPr fontId="1" type="noConversion"/>
  </si>
  <si>
    <t>1083</t>
    <phoneticPr fontId="1" type="noConversion"/>
  </si>
  <si>
    <t>1176</t>
    <phoneticPr fontId="1" type="noConversion"/>
  </si>
  <si>
    <t>고장구간자동개폐기</t>
    <phoneticPr fontId="1" type="noConversion"/>
  </si>
  <si>
    <t>기중차단기</t>
    <phoneticPr fontId="1" type="noConversion"/>
  </si>
  <si>
    <t>ASS, 25.8KV</t>
    <phoneticPr fontId="1" type="noConversion"/>
  </si>
  <si>
    <t>ACB, 1000AF</t>
    <phoneticPr fontId="1" type="noConversion"/>
  </si>
  <si>
    <t>ACB, 1601AF</t>
    <phoneticPr fontId="1" type="noConversion"/>
  </si>
  <si>
    <t>ACB, 2000AF</t>
    <phoneticPr fontId="1" type="noConversion"/>
  </si>
  <si>
    <t>1096</t>
    <phoneticPr fontId="1" type="noConversion"/>
  </si>
  <si>
    <t>1063</t>
    <phoneticPr fontId="1" type="noConversion"/>
  </si>
  <si>
    <t>1168</t>
    <phoneticPr fontId="1" type="noConversion"/>
  </si>
  <si>
    <t>1149</t>
    <phoneticPr fontId="1" type="noConversion"/>
  </si>
  <si>
    <t>1241</t>
    <phoneticPr fontId="1" type="noConversion"/>
  </si>
  <si>
    <t>1240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</si>
</sst>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#,##0.00#;\-#,##0.00#;#"/>
    <numFmt numFmtId="177" formatCode="#,##0.0"/>
    <numFmt numFmtId="178" formatCode="#,##0.00#"/>
    <numFmt numFmtId="179" formatCode="_ * #,##0_ ;_ * \-#,##0_ ;_ * &quot;-&quot;_ ;_ @_ "/>
    <numFmt numFmtId="180" formatCode="0.0%"/>
    <numFmt numFmtId="181" formatCode="0.000"/>
    <numFmt numFmtId="182" formatCode="#,##0;[Red]#,##0"/>
    <numFmt numFmtId="183" formatCode="0.00_ "/>
    <numFmt numFmtId="184" formatCode="#,##0_);[Red]\(#,##0\)"/>
    <numFmt numFmtId="185" formatCode="#,##0;\-#,##0;#"/>
  </numFmts>
  <fonts count="4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/>
      <sz val="26"/>
      <color theme="1"/>
      <name val="맑은 고딕"/>
      <family val="3"/>
      <charset val="129"/>
      <scheme val="minor"/>
    </font>
    <font>
      <sz val="12"/>
      <name val="굴림체"/>
      <family val="3"/>
      <charset val="129"/>
    </font>
    <font>
      <sz val="8"/>
      <name val="돋움"/>
      <family val="3"/>
      <charset val="129"/>
    </font>
    <font>
      <b/>
      <sz val="2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u/>
      <sz val="2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11"/>
      <name val="Calibri"/>
      <family val="3"/>
      <charset val="161"/>
    </font>
    <font>
      <sz val="14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Calibri"/>
      <family val="2"/>
      <charset val="161"/>
    </font>
    <font>
      <b/>
      <sz val="11"/>
      <color rgb="FF0000FF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0.7"/>
      <name val="맑은 고딕"/>
      <family val="3"/>
      <charset val="129"/>
      <scheme val="minor"/>
    </font>
    <font>
      <b/>
      <sz val="10.7"/>
      <color rgb="FF0000FF"/>
      <name val="맑은 고딕"/>
      <family val="3"/>
      <charset val="129"/>
      <scheme val="minor"/>
    </font>
    <font>
      <b/>
      <sz val="10.7"/>
      <color rgb="FFFF0000"/>
      <name val="맑은 고딕"/>
      <family val="3"/>
      <charset val="129"/>
      <scheme val="minor"/>
    </font>
    <font>
      <b/>
      <sz val="10.7"/>
      <name val="돋움"/>
      <family val="3"/>
      <charset val="129"/>
    </font>
    <font>
      <sz val="10.7"/>
      <name val="돋움"/>
      <family val="3"/>
      <charset val="129"/>
    </font>
    <font>
      <sz val="10.7"/>
      <name val="돋움체"/>
      <family val="3"/>
      <charset val="129"/>
    </font>
    <font>
      <sz val="10.7"/>
      <name val="굴림체"/>
      <family val="3"/>
      <charset val="129"/>
    </font>
    <font>
      <sz val="10.7"/>
      <color rgb="FFFF0000"/>
      <name val="맑은 고딕"/>
      <family val="3"/>
      <charset val="129"/>
      <scheme val="minor"/>
    </font>
    <font>
      <b/>
      <sz val="10.7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gray0625">
        <fgColor indexed="43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0" borderId="0"/>
    <xf numFmtId="17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1" fillId="0" borderId="0"/>
    <xf numFmtId="0" fontId="31" fillId="0" borderId="0"/>
    <xf numFmtId="0" fontId="31" fillId="0" borderId="0">
      <alignment vertical="center"/>
    </xf>
  </cellStyleXfs>
  <cellXfs count="23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quotePrefix="1" applyFont="1">
      <alignment vertical="center"/>
    </xf>
    <xf numFmtId="0" fontId="3" fillId="0" borderId="1" xfId="0" quotePrefix="1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41" fontId="3" fillId="0" borderId="1" xfId="1" applyFont="1" applyBorder="1" applyAlignment="1">
      <alignment vertical="center" wrapText="1"/>
    </xf>
    <xf numFmtId="41" fontId="3" fillId="0" borderId="0" xfId="1" applyFont="1">
      <alignment vertical="center"/>
    </xf>
    <xf numFmtId="41" fontId="3" fillId="0" borderId="1" xfId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77" fontId="3" fillId="0" borderId="1" xfId="0" applyNumberFormat="1" applyFont="1" applyBorder="1" applyAlignment="1">
      <alignment vertical="center" wrapText="1"/>
    </xf>
    <xf numFmtId="178" fontId="3" fillId="0" borderId="1" xfId="0" applyNumberFormat="1" applyFont="1" applyBorder="1" applyAlignment="1">
      <alignment vertical="center" wrapText="1"/>
    </xf>
    <xf numFmtId="0" fontId="9" fillId="0" borderId="0" xfId="2" applyFont="1" applyAlignment="1">
      <alignment vertical="center"/>
    </xf>
    <xf numFmtId="0" fontId="8" fillId="0" borderId="0" xfId="2" applyFont="1" applyAlignment="1">
      <alignment horizontal="centerContinuous" vertical="center"/>
    </xf>
    <xf numFmtId="0" fontId="9" fillId="0" borderId="0" xfId="2" applyFont="1" applyAlignment="1">
      <alignment horizontal="centerContinuous" vertical="center"/>
    </xf>
    <xf numFmtId="0" fontId="9" fillId="0" borderId="1" xfId="2" quotePrefix="1" applyFont="1" applyBorder="1" applyAlignment="1">
      <alignment horizontal="center" vertical="center"/>
    </xf>
    <xf numFmtId="0" fontId="9" fillId="0" borderId="11" xfId="2" quotePrefix="1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3" xfId="2" applyFont="1" applyBorder="1" applyAlignment="1">
      <alignment vertical="center"/>
    </xf>
    <xf numFmtId="10" fontId="9" fillId="0" borderId="1" xfId="4" applyNumberFormat="1" applyFont="1" applyBorder="1" applyAlignment="1">
      <alignment vertical="center"/>
    </xf>
    <xf numFmtId="0" fontId="9" fillId="0" borderId="10" xfId="2" applyFont="1" applyBorder="1" applyAlignment="1">
      <alignment vertical="center"/>
    </xf>
    <xf numFmtId="0" fontId="9" fillId="0" borderId="1" xfId="2" applyFont="1" applyBorder="1" applyAlignment="1">
      <alignment vertical="center" shrinkToFit="1"/>
    </xf>
    <xf numFmtId="0" fontId="9" fillId="0" borderId="12" xfId="2" applyFont="1" applyBorder="1" applyAlignment="1">
      <alignment vertical="center"/>
    </xf>
    <xf numFmtId="0" fontId="9" fillId="0" borderId="11" xfId="2" applyFont="1" applyBorder="1" applyAlignment="1">
      <alignment vertical="center"/>
    </xf>
    <xf numFmtId="0" fontId="9" fillId="0" borderId="1" xfId="2" applyFont="1" applyBorder="1" applyAlignment="1">
      <alignment vertical="center"/>
    </xf>
    <xf numFmtId="10" fontId="9" fillId="0" borderId="12" xfId="4" applyNumberFormat="1" applyFont="1" applyBorder="1" applyAlignment="1">
      <alignment vertical="center"/>
    </xf>
    <xf numFmtId="0" fontId="9" fillId="0" borderId="1" xfId="2" applyFont="1" applyBorder="1" applyAlignment="1">
      <alignment horizontal="left" vertical="center"/>
    </xf>
    <xf numFmtId="179" fontId="9" fillId="0" borderId="3" xfId="3" applyFont="1" applyFill="1" applyBorder="1" applyAlignment="1">
      <alignment vertical="center"/>
    </xf>
    <xf numFmtId="0" fontId="9" fillId="0" borderId="12" xfId="2" quotePrefix="1" applyFont="1" applyBorder="1" applyAlignment="1">
      <alignment horizontal="center" vertical="center"/>
    </xf>
    <xf numFmtId="0" fontId="9" fillId="0" borderId="13" xfId="2" applyFont="1" applyBorder="1" applyAlignment="1">
      <alignment vertical="center"/>
    </xf>
    <xf numFmtId="0" fontId="9" fillId="0" borderId="1" xfId="2" quotePrefix="1" applyFont="1" applyBorder="1" applyAlignment="1">
      <alignment horizontal="left" vertical="center"/>
    </xf>
    <xf numFmtId="0" fontId="9" fillId="0" borderId="11" xfId="2" applyFont="1" applyBorder="1" applyAlignment="1">
      <alignment horizontal="center" vertical="center"/>
    </xf>
    <xf numFmtId="0" fontId="9" fillId="0" borderId="14" xfId="2" applyFont="1" applyBorder="1" applyAlignment="1">
      <alignment vertical="center"/>
    </xf>
    <xf numFmtId="0" fontId="9" fillId="0" borderId="15" xfId="2" applyFont="1" applyBorder="1" applyAlignment="1">
      <alignment vertical="center"/>
    </xf>
    <xf numFmtId="0" fontId="9" fillId="0" borderId="16" xfId="2" applyFont="1" applyBorder="1" applyAlignment="1">
      <alignment horizontal="center" vertical="center"/>
    </xf>
    <xf numFmtId="0" fontId="9" fillId="0" borderId="16" xfId="2" applyFont="1" applyBorder="1" applyAlignment="1">
      <alignment vertical="center"/>
    </xf>
    <xf numFmtId="179" fontId="9" fillId="0" borderId="16" xfId="3" applyFont="1" applyBorder="1" applyAlignment="1">
      <alignment vertical="center"/>
    </xf>
    <xf numFmtId="0" fontId="9" fillId="0" borderId="17" xfId="2" applyFont="1" applyBorder="1" applyAlignment="1">
      <alignment vertical="center"/>
    </xf>
    <xf numFmtId="0" fontId="9" fillId="0" borderId="0" xfId="2" quotePrefix="1" applyFont="1" applyAlignment="1">
      <alignment horizontal="left" vertical="center"/>
    </xf>
    <xf numFmtId="180" fontId="9" fillId="0" borderId="0" xfId="4" applyNumberFormat="1" applyFont="1" applyBorder="1" applyAlignment="1">
      <alignment vertical="center"/>
    </xf>
    <xf numFmtId="0" fontId="11" fillId="0" borderId="0" xfId="2" applyFont="1" applyAlignment="1">
      <alignment vertical="center"/>
    </xf>
    <xf numFmtId="0" fontId="12" fillId="0" borderId="0" xfId="2" applyFont="1"/>
    <xf numFmtId="0" fontId="10" fillId="0" borderId="0" xfId="2" applyFont="1" applyAlignment="1">
      <alignment vertical="center"/>
    </xf>
    <xf numFmtId="0" fontId="13" fillId="0" borderId="19" xfId="2" applyFont="1" applyBorder="1" applyAlignment="1">
      <alignment horizontal="centerContinuous" vertical="center"/>
    </xf>
    <xf numFmtId="0" fontId="13" fillId="0" borderId="24" xfId="2" applyFont="1" applyBorder="1" applyAlignment="1">
      <alignment horizontal="centerContinuous" vertical="center"/>
    </xf>
    <xf numFmtId="0" fontId="13" fillId="2" borderId="24" xfId="2" applyFont="1" applyFill="1" applyBorder="1" applyAlignment="1">
      <alignment horizontal="centerContinuous" vertical="center"/>
    </xf>
    <xf numFmtId="0" fontId="13" fillId="0" borderId="24" xfId="2" applyFont="1" applyBorder="1" applyAlignment="1">
      <alignment horizontal="center" vertical="center"/>
    </xf>
    <xf numFmtId="181" fontId="13" fillId="0" borderId="24" xfId="2" applyNumberFormat="1" applyFont="1" applyBorder="1" applyAlignment="1">
      <alignment vertical="center"/>
    </xf>
    <xf numFmtId="0" fontId="13" fillId="0" borderId="29" xfId="2" applyFont="1" applyBorder="1" applyAlignment="1">
      <alignment horizontal="center" vertical="center"/>
    </xf>
    <xf numFmtId="181" fontId="13" fillId="0" borderId="29" xfId="2" applyNumberFormat="1" applyFont="1" applyBorder="1" applyAlignment="1">
      <alignment vertical="center"/>
    </xf>
    <xf numFmtId="0" fontId="13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183" fontId="13" fillId="0" borderId="24" xfId="2" applyNumberFormat="1" applyFont="1" applyBorder="1" applyAlignment="1">
      <alignment horizontal="center" vertical="center"/>
    </xf>
    <xf numFmtId="183" fontId="13" fillId="0" borderId="29" xfId="2" applyNumberFormat="1" applyFont="1" applyBorder="1" applyAlignment="1">
      <alignment horizontal="center" vertical="center"/>
    </xf>
    <xf numFmtId="10" fontId="15" fillId="0" borderId="0" xfId="2" applyNumberFormat="1" applyFont="1" applyAlignment="1">
      <alignment vertical="center"/>
    </xf>
    <xf numFmtId="10" fontId="15" fillId="0" borderId="1" xfId="2" applyNumberFormat="1" applyFont="1" applyBorder="1" applyAlignment="1">
      <alignment vertical="center"/>
    </xf>
    <xf numFmtId="10" fontId="15" fillId="0" borderId="16" xfId="2" applyNumberFormat="1" applyFont="1" applyBorder="1" applyAlignment="1">
      <alignment vertical="center"/>
    </xf>
    <xf numFmtId="182" fontId="16" fillId="0" borderId="24" xfId="3" applyNumberFormat="1" applyFont="1" applyBorder="1" applyAlignment="1">
      <alignment vertical="center"/>
    </xf>
    <xf numFmtId="182" fontId="16" fillId="0" borderId="29" xfId="3" applyNumberFormat="1" applyFont="1" applyBorder="1" applyAlignment="1">
      <alignment vertical="center"/>
    </xf>
    <xf numFmtId="0" fontId="13" fillId="0" borderId="31" xfId="2" applyFont="1" applyBorder="1" applyAlignment="1">
      <alignment horizontal="center" vertical="center"/>
    </xf>
    <xf numFmtId="181" fontId="13" fillId="0" borderId="31" xfId="2" applyNumberFormat="1" applyFont="1" applyBorder="1" applyAlignment="1">
      <alignment vertical="center"/>
    </xf>
    <xf numFmtId="182" fontId="16" fillId="0" borderId="31" xfId="3" applyNumberFormat="1" applyFont="1" applyBorder="1" applyAlignment="1">
      <alignment vertical="center"/>
    </xf>
    <xf numFmtId="183" fontId="13" fillId="0" borderId="31" xfId="2" applyNumberFormat="1" applyFont="1" applyBorder="1" applyAlignment="1">
      <alignment horizontal="center" vertical="center"/>
    </xf>
    <xf numFmtId="0" fontId="13" fillId="0" borderId="32" xfId="2" applyFont="1" applyBorder="1" applyAlignment="1">
      <alignment horizontal="center" vertical="center"/>
    </xf>
    <xf numFmtId="0" fontId="13" fillId="0" borderId="21" xfId="2" applyFont="1" applyBorder="1" applyAlignment="1">
      <alignment horizontal="center" vertical="center"/>
    </xf>
    <xf numFmtId="0" fontId="13" fillId="0" borderId="33" xfId="2" applyFont="1" applyBorder="1" applyAlignment="1">
      <alignment horizontal="center" vertical="center"/>
    </xf>
    <xf numFmtId="0" fontId="13" fillId="0" borderId="34" xfId="2" applyFont="1" applyBorder="1" applyAlignment="1">
      <alignment horizontal="centerContinuous" vertical="center"/>
    </xf>
    <xf numFmtId="179" fontId="14" fillId="3" borderId="33" xfId="3" applyFont="1" applyFill="1" applyBorder="1" applyAlignment="1">
      <alignment vertical="center"/>
    </xf>
    <xf numFmtId="182" fontId="16" fillId="0" borderId="21" xfId="3" applyNumberFormat="1" applyFont="1" applyBorder="1" applyAlignment="1">
      <alignment vertical="center"/>
    </xf>
    <xf numFmtId="182" fontId="16" fillId="0" borderId="33" xfId="3" applyNumberFormat="1" applyFont="1" applyBorder="1" applyAlignment="1">
      <alignment vertical="center"/>
    </xf>
    <xf numFmtId="182" fontId="16" fillId="0" borderId="32" xfId="3" applyNumberFormat="1" applyFont="1" applyBorder="1" applyAlignment="1">
      <alignment vertical="center"/>
    </xf>
    <xf numFmtId="0" fontId="13" fillId="0" borderId="35" xfId="2" applyFont="1" applyBorder="1" applyAlignment="1">
      <alignment horizontal="center" vertical="center"/>
    </xf>
    <xf numFmtId="0" fontId="13" fillId="0" borderId="23" xfId="2" applyFont="1" applyBorder="1" applyAlignment="1">
      <alignment horizontal="center" vertical="center"/>
    </xf>
    <xf numFmtId="0" fontId="13" fillId="0" borderId="36" xfId="2" applyFont="1" applyBorder="1" applyAlignment="1">
      <alignment horizontal="center" vertical="center"/>
    </xf>
    <xf numFmtId="0" fontId="13" fillId="0" borderId="37" xfId="2" applyFont="1" applyBorder="1" applyAlignment="1">
      <alignment horizontal="centerContinuous" vertical="center"/>
    </xf>
    <xf numFmtId="0" fontId="13" fillId="2" borderId="36" xfId="2" applyFont="1" applyFill="1" applyBorder="1" applyAlignment="1">
      <alignment horizontal="centerContinuous" vertical="center"/>
    </xf>
    <xf numFmtId="182" fontId="16" fillId="0" borderId="23" xfId="3" applyNumberFormat="1" applyFont="1" applyBorder="1" applyAlignment="1">
      <alignment vertical="center"/>
    </xf>
    <xf numFmtId="182" fontId="16" fillId="0" borderId="36" xfId="3" applyNumberFormat="1" applyFont="1" applyBorder="1" applyAlignment="1">
      <alignment vertical="center"/>
    </xf>
    <xf numFmtId="182" fontId="16" fillId="0" borderId="35" xfId="3" applyNumberFormat="1" applyFont="1" applyBorder="1" applyAlignment="1">
      <alignment vertical="center"/>
    </xf>
    <xf numFmtId="0" fontId="13" fillId="0" borderId="39" xfId="2" applyFont="1" applyBorder="1" applyAlignment="1">
      <alignment horizontal="centerContinuous" vertical="center" wrapText="1"/>
    </xf>
    <xf numFmtId="0" fontId="13" fillId="0" borderId="38" xfId="2" applyFont="1" applyBorder="1" applyAlignment="1">
      <alignment vertical="center"/>
    </xf>
    <xf numFmtId="0" fontId="13" fillId="0" borderId="40" xfId="2" applyFont="1" applyBorder="1" applyAlignment="1">
      <alignment vertical="center"/>
    </xf>
    <xf numFmtId="0" fontId="13" fillId="0" borderId="39" xfId="2" applyFont="1" applyBorder="1" applyAlignment="1">
      <alignment vertical="center"/>
    </xf>
    <xf numFmtId="0" fontId="13" fillId="0" borderId="41" xfId="2" applyFont="1" applyBorder="1" applyAlignment="1">
      <alignment horizontal="centerContinuous" vertical="center"/>
    </xf>
    <xf numFmtId="0" fontId="13" fillId="0" borderId="42" xfId="2" applyFont="1" applyBorder="1" applyAlignment="1">
      <alignment horizontal="centerContinuous" vertical="center"/>
    </xf>
    <xf numFmtId="0" fontId="13" fillId="0" borderId="26" xfId="2" applyFont="1" applyBorder="1" applyAlignment="1">
      <alignment horizontal="centerContinuous" vertical="center"/>
    </xf>
    <xf numFmtId="0" fontId="13" fillId="0" borderId="27" xfId="2" applyFont="1" applyBorder="1" applyAlignment="1">
      <alignment horizontal="centerContinuous" vertical="center"/>
    </xf>
    <xf numFmtId="0" fontId="13" fillId="0" borderId="28" xfId="2" applyFont="1" applyBorder="1" applyAlignment="1">
      <alignment horizontal="center" vertical="center"/>
    </xf>
    <xf numFmtId="0" fontId="13" fillId="0" borderId="30" xfId="2" applyFont="1" applyBorder="1" applyAlignment="1">
      <alignment horizontal="center" vertical="center"/>
    </xf>
    <xf numFmtId="181" fontId="13" fillId="0" borderId="20" xfId="2" applyNumberFormat="1" applyFont="1" applyBorder="1" applyAlignment="1">
      <alignment vertical="center"/>
    </xf>
    <xf numFmtId="181" fontId="13" fillId="0" borderId="25" xfId="2" applyNumberFormat="1" applyFont="1" applyBorder="1" applyAlignment="1">
      <alignment vertical="center"/>
    </xf>
    <xf numFmtId="181" fontId="13" fillId="0" borderId="26" xfId="2" applyNumberFormat="1" applyFont="1" applyBorder="1" applyAlignment="1">
      <alignment vertical="center"/>
    </xf>
    <xf numFmtId="181" fontId="13" fillId="0" borderId="27" xfId="2" applyNumberFormat="1" applyFont="1" applyBorder="1" applyAlignment="1">
      <alignment vertical="center"/>
    </xf>
    <xf numFmtId="181" fontId="13" fillId="0" borderId="28" xfId="2" applyNumberFormat="1" applyFont="1" applyBorder="1" applyAlignment="1">
      <alignment vertical="center"/>
    </xf>
    <xf numFmtId="181" fontId="13" fillId="0" borderId="30" xfId="2" applyNumberFormat="1" applyFont="1" applyBorder="1" applyAlignment="1">
      <alignment vertical="center"/>
    </xf>
    <xf numFmtId="183" fontId="13" fillId="0" borderId="23" xfId="2" applyNumberFormat="1" applyFont="1" applyBorder="1" applyAlignment="1">
      <alignment horizontal="center" vertical="center"/>
    </xf>
    <xf numFmtId="183" fontId="13" fillId="0" borderId="36" xfId="2" applyNumberFormat="1" applyFont="1" applyBorder="1" applyAlignment="1">
      <alignment horizontal="center" vertical="center"/>
    </xf>
    <xf numFmtId="183" fontId="13" fillId="0" borderId="35" xfId="2" applyNumberFormat="1" applyFont="1" applyBorder="1" applyAlignment="1">
      <alignment horizontal="center" vertical="center"/>
    </xf>
    <xf numFmtId="0" fontId="18" fillId="2" borderId="0" xfId="0" applyFont="1" applyFill="1">
      <alignment vertical="center"/>
    </xf>
    <xf numFmtId="0" fontId="2" fillId="5" borderId="1" xfId="0" quotePrefix="1" applyFont="1" applyFill="1" applyBorder="1" applyAlignment="1">
      <alignment horizontal="center" vertical="center"/>
    </xf>
    <xf numFmtId="41" fontId="2" fillId="5" borderId="1" xfId="1" quotePrefix="1" applyFont="1" applyFill="1" applyBorder="1" applyAlignment="1">
      <alignment horizontal="center" vertical="center"/>
    </xf>
    <xf numFmtId="0" fontId="9" fillId="5" borderId="1" xfId="2" quotePrefix="1" applyFont="1" applyFill="1" applyBorder="1" applyAlignment="1">
      <alignment horizontal="center" vertical="center"/>
    </xf>
    <xf numFmtId="179" fontId="9" fillId="5" borderId="3" xfId="3" applyFont="1" applyFill="1" applyBorder="1" applyAlignment="1">
      <alignment vertical="center"/>
    </xf>
    <xf numFmtId="0" fontId="13" fillId="5" borderId="35" xfId="2" applyFont="1" applyFill="1" applyBorder="1" applyAlignment="1">
      <alignment horizontal="center" vertical="center"/>
    </xf>
    <xf numFmtId="0" fontId="13" fillId="5" borderId="29" xfId="2" applyFont="1" applyFill="1" applyBorder="1" applyAlignment="1">
      <alignment horizontal="center" vertical="center"/>
    </xf>
    <xf numFmtId="0" fontId="13" fillId="5" borderId="32" xfId="2" applyFont="1" applyFill="1" applyBorder="1" applyAlignment="1">
      <alignment horizontal="center" vertical="center"/>
    </xf>
    <xf numFmtId="41" fontId="19" fillId="0" borderId="0" xfId="1" applyFont="1" applyFill="1">
      <alignment vertical="center"/>
    </xf>
    <xf numFmtId="0" fontId="9" fillId="4" borderId="1" xfId="2" quotePrefix="1" applyFont="1" applyFill="1" applyBorder="1" applyAlignment="1">
      <alignment horizontal="center" vertical="center"/>
    </xf>
    <xf numFmtId="179" fontId="9" fillId="4" borderId="3" xfId="3" applyFont="1" applyFill="1" applyBorder="1" applyAlignment="1">
      <alignment vertical="center"/>
    </xf>
    <xf numFmtId="41" fontId="27" fillId="0" borderId="0" xfId="1" applyFont="1" applyFill="1">
      <alignment vertical="center"/>
    </xf>
    <xf numFmtId="10" fontId="27" fillId="0" borderId="0" xfId="5" applyNumberFormat="1" applyFont="1" applyFill="1">
      <alignment vertical="center"/>
    </xf>
    <xf numFmtId="41" fontId="27" fillId="0" borderId="0" xfId="1" applyFont="1" applyFill="1" applyAlignment="1">
      <alignment horizontal="right" vertical="center"/>
    </xf>
    <xf numFmtId="41" fontId="19" fillId="0" borderId="0" xfId="1" applyFont="1" applyFill="1" applyAlignment="1">
      <alignment vertical="center"/>
    </xf>
    <xf numFmtId="184" fontId="18" fillId="0" borderId="0" xfId="1" applyNumberFormat="1" applyFont="1" applyFill="1">
      <alignment vertical="center"/>
    </xf>
    <xf numFmtId="41" fontId="18" fillId="0" borderId="0" xfId="1" applyFont="1" applyFill="1" applyAlignment="1">
      <alignment vertical="center"/>
    </xf>
    <xf numFmtId="0" fontId="19" fillId="0" borderId="0" xfId="0" applyFont="1">
      <alignment vertical="center"/>
    </xf>
    <xf numFmtId="184" fontId="30" fillId="0" borderId="1" xfId="1" quotePrefix="1" applyNumberFormat="1" applyFont="1" applyFill="1" applyBorder="1" applyAlignment="1">
      <alignment horizontal="center" vertical="center"/>
    </xf>
    <xf numFmtId="49" fontId="21" fillId="0" borderId="1" xfId="0" quotePrefix="1" applyNumberFormat="1" applyFont="1" applyBorder="1" applyAlignment="1">
      <alignment horizontal="center" vertical="center"/>
    </xf>
    <xf numFmtId="41" fontId="21" fillId="0" borderId="1" xfId="1" quotePrefix="1" applyFont="1" applyFill="1" applyBorder="1" applyAlignment="1">
      <alignment horizontal="center" vertical="center"/>
    </xf>
    <xf numFmtId="41" fontId="28" fillId="0" borderId="1" xfId="1" quotePrefix="1" applyFont="1" applyFill="1" applyBorder="1" applyAlignment="1">
      <alignment horizontal="center" vertical="center"/>
    </xf>
    <xf numFmtId="0" fontId="0" fillId="0" borderId="1" xfId="0" quotePrefix="1" applyBorder="1" applyAlignment="1">
      <alignment vertical="center" wrapText="1"/>
    </xf>
    <xf numFmtId="176" fontId="0" fillId="0" borderId="1" xfId="0" quotePrefix="1" applyNumberFormat="1" applyBorder="1" applyAlignment="1">
      <alignment horizontal="center" vertical="center" wrapText="1"/>
    </xf>
    <xf numFmtId="41" fontId="18" fillId="0" borderId="1" xfId="1" applyFont="1" applyFill="1" applyBorder="1" applyAlignment="1">
      <alignment vertical="center" wrapText="1"/>
    </xf>
    <xf numFmtId="0" fontId="19" fillId="0" borderId="1" xfId="0" quotePrefix="1" applyFont="1" applyBorder="1" applyAlignment="1">
      <alignment horizontal="center" vertical="center" wrapText="1"/>
    </xf>
    <xf numFmtId="185" fontId="19" fillId="0" borderId="1" xfId="0" applyNumberFormat="1" applyFont="1" applyBorder="1" applyAlignment="1">
      <alignment horizontal="right" vertical="center" wrapText="1"/>
    </xf>
    <xf numFmtId="185" fontId="19" fillId="0" borderId="1" xfId="0" applyNumberFormat="1" applyFont="1" applyBorder="1" applyAlignment="1">
      <alignment vertical="center" wrapText="1"/>
    </xf>
    <xf numFmtId="41" fontId="19" fillId="0" borderId="1" xfId="1" applyFont="1" applyFill="1" applyBorder="1" applyAlignment="1">
      <alignment vertical="center" wrapText="1"/>
    </xf>
    <xf numFmtId="49" fontId="19" fillId="0" borderId="1" xfId="0" quotePrefix="1" applyNumberFormat="1" applyFont="1" applyBorder="1" applyAlignment="1">
      <alignment horizontal="center" vertical="center" wrapText="1"/>
    </xf>
    <xf numFmtId="185" fontId="27" fillId="0" borderId="1" xfId="0" applyNumberFormat="1" applyFont="1" applyBorder="1" applyAlignment="1">
      <alignment horizontal="right" vertical="center" wrapText="1"/>
    </xf>
    <xf numFmtId="41" fontId="19" fillId="0" borderId="1" xfId="1" quotePrefix="1" applyFont="1" applyFill="1" applyBorder="1" applyAlignment="1">
      <alignment horizontal="center" vertical="center" wrapText="1"/>
    </xf>
    <xf numFmtId="0" fontId="19" fillId="0" borderId="1" xfId="0" quotePrefix="1" applyFont="1" applyBorder="1" applyAlignment="1">
      <alignment vertical="center" wrapText="1"/>
    </xf>
    <xf numFmtId="176" fontId="19" fillId="0" borderId="1" xfId="0" quotePrefix="1" applyNumberFormat="1" applyFont="1" applyBorder="1" applyAlignment="1">
      <alignment horizontal="center" vertical="center" wrapText="1"/>
    </xf>
    <xf numFmtId="41" fontId="19" fillId="0" borderId="1" xfId="1" applyFont="1" applyFill="1" applyBorder="1" applyAlignment="1">
      <alignment horizontal="right" vertical="center" wrapText="1"/>
    </xf>
    <xf numFmtId="185" fontId="18" fillId="0" borderId="1" xfId="0" applyNumberFormat="1" applyFont="1" applyBorder="1" applyAlignment="1">
      <alignment vertical="center" wrapText="1"/>
    </xf>
    <xf numFmtId="41" fontId="27" fillId="0" borderId="1" xfId="1" applyFont="1" applyFill="1" applyBorder="1" applyAlignment="1">
      <alignment horizontal="right" vertical="center" wrapText="1"/>
    </xf>
    <xf numFmtId="0" fontId="19" fillId="0" borderId="0" xfId="0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1" fontId="19" fillId="0" borderId="0" xfId="1" applyFont="1" applyFill="1" applyAlignment="1">
      <alignment horizontal="center" vertical="center"/>
    </xf>
    <xf numFmtId="41" fontId="19" fillId="0" borderId="1" xfId="1" applyFont="1" applyFill="1" applyBorder="1" applyAlignment="1">
      <alignment horizontal="center" vertical="center" wrapText="1"/>
    </xf>
    <xf numFmtId="41" fontId="22" fillId="0" borderId="1" xfId="1" applyFont="1" applyFill="1" applyBorder="1" applyAlignment="1">
      <alignment vertical="center" wrapText="1"/>
    </xf>
    <xf numFmtId="0" fontId="27" fillId="0" borderId="0" xfId="0" applyFont="1" applyAlignment="1">
      <alignment horizontal="right" vertical="center"/>
    </xf>
    <xf numFmtId="41" fontId="18" fillId="0" borderId="1" xfId="1" applyFont="1" applyFill="1" applyBorder="1" applyAlignment="1">
      <alignment vertical="center"/>
    </xf>
    <xf numFmtId="0" fontId="0" fillId="0" borderId="1" xfId="0" quotePrefix="1" applyBorder="1" applyAlignment="1">
      <alignment horizontal="center" vertical="center" wrapText="1"/>
    </xf>
    <xf numFmtId="185" fontId="27" fillId="0" borderId="1" xfId="0" applyNumberFormat="1" applyFont="1" applyBorder="1" applyAlignment="1">
      <alignment vertical="center" wrapText="1"/>
    </xf>
    <xf numFmtId="184" fontId="18" fillId="0" borderId="1" xfId="1" applyNumberFormat="1" applyFont="1" applyFill="1" applyBorder="1" applyAlignment="1">
      <alignment vertical="center" wrapText="1"/>
    </xf>
    <xf numFmtId="0" fontId="25" fillId="0" borderId="1" xfId="0" quotePrefix="1" applyFont="1" applyBorder="1" applyAlignment="1">
      <alignment horizontal="center" vertical="center" wrapText="1"/>
    </xf>
    <xf numFmtId="0" fontId="25" fillId="0" borderId="1" xfId="0" quotePrefix="1" applyFont="1" applyBorder="1" applyAlignment="1">
      <alignment vertical="center" wrapText="1"/>
    </xf>
    <xf numFmtId="41" fontId="18" fillId="0" borderId="1" xfId="1" applyFont="1" applyFill="1" applyBorder="1" applyAlignment="1">
      <alignment horizontal="right" vertical="center" wrapText="1"/>
    </xf>
    <xf numFmtId="185" fontId="18" fillId="0" borderId="1" xfId="0" applyNumberFormat="1" applyFont="1" applyBorder="1" applyAlignment="1">
      <alignment horizontal="right" vertical="center" wrapText="1"/>
    </xf>
    <xf numFmtId="41" fontId="22" fillId="0" borderId="1" xfId="1" applyFont="1" applyFill="1" applyBorder="1" applyAlignment="1">
      <alignment horizontal="center" vertical="center" wrapText="1"/>
    </xf>
    <xf numFmtId="41" fontId="18" fillId="0" borderId="0" xfId="1" applyFont="1" applyFill="1" applyAlignment="1">
      <alignment horizontal="right" vertical="center"/>
    </xf>
    <xf numFmtId="184" fontId="28" fillId="0" borderId="1" xfId="1" quotePrefix="1" applyNumberFormat="1" applyFont="1" applyFill="1" applyBorder="1" applyAlignment="1">
      <alignment horizontal="center" vertical="center"/>
    </xf>
    <xf numFmtId="41" fontId="27" fillId="0" borderId="1" xfId="1" applyFont="1" applyFill="1" applyBorder="1" applyAlignment="1">
      <alignment vertical="center" wrapText="1"/>
    </xf>
    <xf numFmtId="184" fontId="34" fillId="0" borderId="1" xfId="1" quotePrefix="1" applyNumberFormat="1" applyFont="1" applyFill="1" applyBorder="1" applyAlignment="1">
      <alignment horizontal="center" vertical="center"/>
    </xf>
    <xf numFmtId="41" fontId="35" fillId="0" borderId="1" xfId="1" quotePrefix="1" applyFont="1" applyFill="1" applyBorder="1" applyAlignment="1">
      <alignment horizontal="center" vertical="center"/>
    </xf>
    <xf numFmtId="0" fontId="36" fillId="0" borderId="45" xfId="6" applyFont="1" applyBorder="1" applyAlignment="1">
      <alignment horizontal="left" vertical="center"/>
    </xf>
    <xf numFmtId="0" fontId="37" fillId="0" borderId="47" xfId="6" applyFont="1" applyBorder="1">
      <alignment vertical="center"/>
    </xf>
    <xf numFmtId="0" fontId="37" fillId="0" borderId="1" xfId="6" applyFont="1" applyBorder="1" applyAlignment="1">
      <alignment horizontal="center" vertical="center"/>
    </xf>
    <xf numFmtId="3" fontId="38" fillId="0" borderId="1" xfId="7" applyNumberFormat="1" applyFont="1" applyFill="1" applyBorder="1" applyAlignment="1">
      <alignment horizontal="right" vertical="center" shrinkToFit="1"/>
    </xf>
    <xf numFmtId="3" fontId="39" fillId="0" borderId="1" xfId="8" applyNumberFormat="1" applyFont="1" applyBorder="1" applyAlignment="1">
      <alignment horizontal="right" vertical="center" shrinkToFit="1"/>
    </xf>
    <xf numFmtId="3" fontId="39" fillId="0" borderId="1" xfId="9" applyNumberFormat="1" applyFont="1" applyBorder="1" applyAlignment="1">
      <alignment vertical="center"/>
    </xf>
    <xf numFmtId="185" fontId="40" fillId="0" borderId="1" xfId="0" applyNumberFormat="1" applyFont="1" applyBorder="1" applyAlignment="1">
      <alignment horizontal="right" vertical="center" wrapText="1"/>
    </xf>
    <xf numFmtId="0" fontId="37" fillId="0" borderId="48" xfId="6" applyFont="1" applyBorder="1">
      <alignment vertical="center"/>
    </xf>
    <xf numFmtId="3" fontId="39" fillId="0" borderId="1" xfId="7" applyNumberFormat="1" applyFont="1" applyFill="1" applyBorder="1" applyAlignment="1">
      <alignment vertical="center"/>
    </xf>
    <xf numFmtId="0" fontId="37" fillId="0" borderId="1" xfId="6" applyFont="1" applyBorder="1" applyAlignment="1">
      <alignment horizontal="center" vertical="center" shrinkToFit="1"/>
    </xf>
    <xf numFmtId="0" fontId="37" fillId="0" borderId="1" xfId="10" applyFont="1" applyBorder="1" applyAlignment="1">
      <alignment horizontal="center" vertical="center" shrinkToFit="1"/>
    </xf>
    <xf numFmtId="0" fontId="36" fillId="0" borderId="48" xfId="6" applyFont="1" applyBorder="1">
      <alignment vertical="center"/>
    </xf>
    <xf numFmtId="0" fontId="37" fillId="0" borderId="48" xfId="6" applyFont="1" applyBorder="1" applyAlignment="1">
      <alignment vertical="center" shrinkToFit="1"/>
    </xf>
    <xf numFmtId="0" fontId="38" fillId="0" borderId="1" xfId="6" applyFont="1" applyBorder="1" applyAlignment="1">
      <alignment horizontal="center" vertical="center" shrinkToFit="1"/>
    </xf>
    <xf numFmtId="0" fontId="37" fillId="0" borderId="47" xfId="6" applyFont="1" applyBorder="1" applyAlignment="1">
      <alignment vertical="center" shrinkToFit="1"/>
    </xf>
    <xf numFmtId="0" fontId="37" fillId="0" borderId="0" xfId="6" applyFont="1">
      <alignment vertical="center"/>
    </xf>
    <xf numFmtId="0" fontId="37" fillId="0" borderId="0" xfId="6" applyFont="1" applyAlignment="1">
      <alignment vertical="center" shrinkToFit="1"/>
    </xf>
    <xf numFmtId="0" fontId="37" fillId="0" borderId="0" xfId="6" applyFont="1" applyAlignment="1">
      <alignment horizontal="center" vertical="center"/>
    </xf>
    <xf numFmtId="3" fontId="38" fillId="0" borderId="0" xfId="7" applyNumberFormat="1" applyFont="1" applyFill="1" applyBorder="1" applyAlignment="1">
      <alignment horizontal="right" vertical="center" shrinkToFit="1"/>
    </xf>
    <xf numFmtId="3" fontId="39" fillId="0" borderId="0" xfId="8" applyNumberFormat="1" applyFont="1" applyAlignment="1">
      <alignment horizontal="right" vertical="center" shrinkToFit="1"/>
    </xf>
    <xf numFmtId="3" fontId="39" fillId="0" borderId="0" xfId="7" applyNumberFormat="1" applyFont="1" applyFill="1" applyBorder="1" applyAlignment="1">
      <alignment vertical="center"/>
    </xf>
    <xf numFmtId="185" fontId="40" fillId="0" borderId="0" xfId="0" applyNumberFormat="1" applyFont="1" applyAlignment="1">
      <alignment horizontal="right" vertical="center" wrapText="1"/>
    </xf>
    <xf numFmtId="0" fontId="37" fillId="0" borderId="0" xfId="6" applyFont="1" applyAlignment="1">
      <alignment horizontal="center" vertical="center" shrinkToFit="1"/>
    </xf>
    <xf numFmtId="0" fontId="31" fillId="0" borderId="0" xfId="6">
      <alignment vertical="center"/>
    </xf>
    <xf numFmtId="0" fontId="19" fillId="2" borderId="0" xfId="0" applyFont="1" applyFill="1">
      <alignment vertical="center"/>
    </xf>
    <xf numFmtId="0" fontId="19" fillId="4" borderId="1" xfId="0" quotePrefix="1" applyFont="1" applyFill="1" applyBorder="1" applyAlignment="1">
      <alignment vertical="center" wrapText="1"/>
    </xf>
    <xf numFmtId="176" fontId="19" fillId="4" borderId="1" xfId="0" quotePrefix="1" applyNumberFormat="1" applyFont="1" applyFill="1" applyBorder="1" applyAlignment="1">
      <alignment horizontal="center" vertical="center" wrapText="1"/>
    </xf>
    <xf numFmtId="41" fontId="18" fillId="4" borderId="1" xfId="1" applyFont="1" applyFill="1" applyBorder="1" applyAlignment="1">
      <alignment vertical="center" wrapText="1"/>
    </xf>
    <xf numFmtId="49" fontId="19" fillId="4" borderId="1" xfId="0" quotePrefix="1" applyNumberFormat="1" applyFont="1" applyFill="1" applyBorder="1" applyAlignment="1">
      <alignment horizontal="center" vertical="center" wrapText="1"/>
    </xf>
    <xf numFmtId="41" fontId="19" fillId="4" borderId="1" xfId="1" applyFont="1" applyFill="1" applyBorder="1" applyAlignment="1">
      <alignment vertical="center" wrapText="1"/>
    </xf>
    <xf numFmtId="185" fontId="27" fillId="4" borderId="1" xfId="0" applyNumberFormat="1" applyFont="1" applyFill="1" applyBorder="1" applyAlignment="1">
      <alignment vertical="center" wrapText="1"/>
    </xf>
    <xf numFmtId="0" fontId="19" fillId="4" borderId="1" xfId="0" quotePrefix="1" applyFont="1" applyFill="1" applyBorder="1" applyAlignment="1">
      <alignment horizontal="center" vertical="center" wrapText="1"/>
    </xf>
    <xf numFmtId="41" fontId="19" fillId="4" borderId="1" xfId="1" quotePrefix="1" applyFont="1" applyFill="1" applyBorder="1" applyAlignment="1">
      <alignment horizontal="center" vertical="center" wrapText="1"/>
    </xf>
    <xf numFmtId="176" fontId="0" fillId="4" borderId="1" xfId="0" quotePrefix="1" applyNumberFormat="1" applyFill="1" applyBorder="1" applyAlignment="1">
      <alignment horizontal="center" vertical="center" wrapText="1"/>
    </xf>
    <xf numFmtId="185" fontId="19" fillId="4" borderId="1" xfId="0" applyNumberFormat="1" applyFont="1" applyFill="1" applyBorder="1" applyAlignment="1">
      <alignment vertical="center" wrapText="1"/>
    </xf>
    <xf numFmtId="0" fontId="19" fillId="0" borderId="1" xfId="0" quotePrefix="1" applyFont="1" applyFill="1" applyBorder="1" applyAlignment="1">
      <alignment vertical="center" wrapText="1"/>
    </xf>
    <xf numFmtId="176" fontId="19" fillId="0" borderId="1" xfId="0" quotePrefix="1" applyNumberFormat="1" applyFont="1" applyFill="1" applyBorder="1" applyAlignment="1">
      <alignment horizontal="center" vertical="center" wrapText="1"/>
    </xf>
    <xf numFmtId="49" fontId="19" fillId="0" borderId="1" xfId="0" quotePrefix="1" applyNumberFormat="1" applyFont="1" applyFill="1" applyBorder="1" applyAlignment="1">
      <alignment horizontal="center" vertical="center" wrapText="1"/>
    </xf>
    <xf numFmtId="0" fontId="19" fillId="0" borderId="1" xfId="0" quotePrefix="1" applyFont="1" applyFill="1" applyBorder="1" applyAlignment="1">
      <alignment horizontal="center" vertical="center" wrapText="1"/>
    </xf>
    <xf numFmtId="0" fontId="19" fillId="0" borderId="0" xfId="0" applyFont="1" applyFill="1">
      <alignment vertical="center"/>
    </xf>
    <xf numFmtId="0" fontId="27" fillId="0" borderId="0" xfId="0" applyFont="1">
      <alignment vertical="center"/>
    </xf>
    <xf numFmtId="41" fontId="27" fillId="4" borderId="1" xfId="1" applyFont="1" applyFill="1" applyBorder="1" applyAlignment="1">
      <alignment horizontal="right" vertical="center" wrapText="1"/>
    </xf>
    <xf numFmtId="0" fontId="19" fillId="4" borderId="0" xfId="0" applyFont="1" applyFill="1">
      <alignment vertical="center"/>
    </xf>
    <xf numFmtId="178" fontId="3" fillId="0" borderId="1" xfId="0" applyNumberFormat="1" applyFont="1" applyBorder="1" applyAlignment="1">
      <alignment vertical="center" wrapText="1"/>
    </xf>
    <xf numFmtId="49" fontId="20" fillId="0" borderId="0" xfId="0" quotePrefix="1" applyNumberFormat="1" applyFont="1" applyAlignment="1">
      <alignment horizontal="center" vertical="center"/>
    </xf>
    <xf numFmtId="0" fontId="24" fillId="0" borderId="0" xfId="0" quotePrefix="1" applyFont="1">
      <alignment vertical="center"/>
    </xf>
    <xf numFmtId="0" fontId="21" fillId="0" borderId="1" xfId="0" quotePrefix="1" applyFont="1" applyBorder="1" applyAlignment="1">
      <alignment horizontal="center" vertical="center"/>
    </xf>
    <xf numFmtId="0" fontId="21" fillId="0" borderId="2" xfId="0" quotePrefix="1" applyFont="1" applyBorder="1" applyAlignment="1">
      <alignment horizontal="center" vertical="center"/>
    </xf>
    <xf numFmtId="0" fontId="21" fillId="0" borderId="3" xfId="0" quotePrefix="1" applyFont="1" applyBorder="1" applyAlignment="1">
      <alignment horizontal="center" vertical="center"/>
    </xf>
    <xf numFmtId="41" fontId="21" fillId="0" borderId="2" xfId="1" quotePrefix="1" applyFont="1" applyFill="1" applyBorder="1" applyAlignment="1">
      <alignment horizontal="center" vertical="center"/>
    </xf>
    <xf numFmtId="41" fontId="21" fillId="0" borderId="3" xfId="1" quotePrefix="1" applyFont="1" applyFill="1" applyBorder="1" applyAlignment="1">
      <alignment horizontal="center" vertical="center"/>
    </xf>
    <xf numFmtId="0" fontId="41" fillId="0" borderId="44" xfId="0" applyFont="1" applyBorder="1" applyAlignment="1">
      <alignment horizontal="center" vertical="center"/>
    </xf>
    <xf numFmtId="0" fontId="41" fillId="0" borderId="46" xfId="0" applyFont="1" applyBorder="1" applyAlignment="1">
      <alignment horizontal="center" vertical="center"/>
    </xf>
    <xf numFmtId="0" fontId="33" fillId="0" borderId="1" xfId="0" quotePrefix="1" applyFont="1" applyBorder="1" applyAlignment="1">
      <alignment horizontal="center" vertical="center"/>
    </xf>
    <xf numFmtId="41" fontId="33" fillId="0" borderId="2" xfId="1" quotePrefix="1" applyFont="1" applyFill="1" applyBorder="1" applyAlignment="1">
      <alignment horizontal="center" vertical="center"/>
    </xf>
    <xf numFmtId="41" fontId="33" fillId="0" borderId="3" xfId="1" quotePrefix="1" applyFont="1" applyFill="1" applyBorder="1" applyAlignment="1">
      <alignment horizontal="center" vertical="center"/>
    </xf>
    <xf numFmtId="49" fontId="5" fillId="0" borderId="0" xfId="0" quotePrefix="1" applyNumberFormat="1" applyFont="1" applyAlignment="1">
      <alignment horizontal="center" vertical="center"/>
    </xf>
    <xf numFmtId="0" fontId="3" fillId="0" borderId="0" xfId="0" quotePrefix="1" applyFont="1">
      <alignment vertical="center"/>
    </xf>
    <xf numFmtId="0" fontId="2" fillId="5" borderId="1" xfId="0" quotePrefix="1" applyFont="1" applyFill="1" applyBorder="1" applyAlignment="1">
      <alignment horizontal="center" vertical="center"/>
    </xf>
    <xf numFmtId="0" fontId="3" fillId="0" borderId="43" xfId="0" quotePrefix="1" applyFont="1" applyBorder="1">
      <alignment vertical="center"/>
    </xf>
    <xf numFmtId="0" fontId="3" fillId="0" borderId="1" xfId="0" applyFont="1" applyBorder="1" applyAlignment="1">
      <alignment vertical="center" wrapText="1"/>
    </xf>
    <xf numFmtId="178" fontId="3" fillId="0" borderId="1" xfId="0" applyNumberFormat="1" applyFont="1" applyBorder="1" applyAlignment="1">
      <alignment vertical="center" wrapText="1"/>
    </xf>
    <xf numFmtId="177" fontId="3" fillId="0" borderId="1" xfId="0" applyNumberFormat="1" applyFont="1" applyBorder="1" applyAlignment="1">
      <alignment vertical="center" wrapText="1"/>
    </xf>
    <xf numFmtId="0" fontId="13" fillId="0" borderId="2" xfId="2" applyFont="1" applyBorder="1" applyAlignment="1">
      <alignment horizontal="center" vertical="center" wrapText="1"/>
    </xf>
    <xf numFmtId="0" fontId="13" fillId="0" borderId="38" xfId="2" applyFont="1" applyBorder="1" applyAlignment="1">
      <alignment horizontal="center" vertical="center" wrapText="1"/>
    </xf>
    <xf numFmtId="0" fontId="13" fillId="0" borderId="18" xfId="2" applyFont="1" applyBorder="1" applyAlignment="1">
      <alignment horizontal="center" vertical="center"/>
    </xf>
    <xf numFmtId="0" fontId="13" fillId="0" borderId="22" xfId="2" applyFont="1" applyBorder="1" applyAlignment="1">
      <alignment horizontal="center" vertical="center"/>
    </xf>
    <xf numFmtId="0" fontId="13" fillId="0" borderId="2" xfId="2" applyFont="1" applyBorder="1" applyAlignment="1">
      <alignment horizontal="center" vertical="center"/>
    </xf>
    <xf numFmtId="0" fontId="13" fillId="0" borderId="38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9" fillId="0" borderId="5" xfId="2" quotePrefix="1" applyFont="1" applyBorder="1" applyAlignment="1">
      <alignment horizontal="center" vertical="center"/>
    </xf>
    <xf numFmtId="0" fontId="9" fillId="0" borderId="3" xfId="2" quotePrefix="1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9" fillId="0" borderId="8" xfId="2" quotePrefix="1" applyFont="1" applyBorder="1" applyAlignment="1">
      <alignment horizontal="center" vertical="center"/>
    </xf>
    <xf numFmtId="0" fontId="9" fillId="0" borderId="10" xfId="2" quotePrefix="1" applyFont="1" applyBorder="1" applyAlignment="1">
      <alignment horizontal="center" vertical="center"/>
    </xf>
  </cellXfs>
  <cellStyles count="11">
    <cellStyle name="백분율" xfId="5" builtinId="5"/>
    <cellStyle name="백분율 2" xfId="4" xr:uid="{00000000-0005-0000-0000-000001000000}"/>
    <cellStyle name="쉼표 [0]" xfId="1" builtinId="6"/>
    <cellStyle name="쉼표 [0] 2" xfId="3" xr:uid="{00000000-0005-0000-0000-000003000000}"/>
    <cellStyle name="쉼표 [0] 2 2" xfId="7" xr:uid="{3D8BFC43-9229-4373-A89C-705F2572E284}"/>
    <cellStyle name="표준" xfId="0" builtinId="0"/>
    <cellStyle name="표준 2" xfId="2" xr:uid="{00000000-0005-0000-0000-000005000000}"/>
    <cellStyle name="표준 2 2" xfId="6" xr:uid="{01C46F3B-0667-4430-823B-8C4B5264E046}"/>
    <cellStyle name="표준 3 2" xfId="10" xr:uid="{1AA2E18E-25CC-4088-B16B-63B0E78DD202}"/>
    <cellStyle name="표준_Sheet1" xfId="8" xr:uid="{A980F761-837B-487C-BACA-8A0D54FFE93F}"/>
    <cellStyle name="표준_양천구청" xfId="9" xr:uid="{97D986FB-0CF3-4C41-96A0-3D9E6D9482DC}"/>
  </cellStyles>
  <dxfs count="0"/>
  <tableStyles count="0" defaultTableStyle="TableStyleMedium2" defaultPivotStyle="PivotStyleLight16"/>
  <colors>
    <mruColors>
      <color rgb="FF0000FF"/>
      <color rgb="FF00FF00"/>
      <color rgb="FFFF00FF"/>
      <color rgb="FF00FF9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3.xml"/><Relationship Id="rId21" Type="http://schemas.openxmlformats.org/officeDocument/2006/relationships/externalLink" Target="externalLinks/externalLink7.xml"/><Relationship Id="rId42" Type="http://schemas.openxmlformats.org/officeDocument/2006/relationships/externalLink" Target="externalLinks/externalLink28.xml"/><Relationship Id="rId63" Type="http://schemas.openxmlformats.org/officeDocument/2006/relationships/externalLink" Target="externalLinks/externalLink49.xml"/><Relationship Id="rId84" Type="http://schemas.openxmlformats.org/officeDocument/2006/relationships/externalLink" Target="externalLinks/externalLink70.xml"/><Relationship Id="rId138" Type="http://schemas.openxmlformats.org/officeDocument/2006/relationships/externalLink" Target="externalLinks/externalLink124.xml"/><Relationship Id="rId107" Type="http://schemas.openxmlformats.org/officeDocument/2006/relationships/externalLink" Target="externalLinks/externalLink93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8.xml"/><Relationship Id="rId53" Type="http://schemas.openxmlformats.org/officeDocument/2006/relationships/externalLink" Target="externalLinks/externalLink39.xml"/><Relationship Id="rId74" Type="http://schemas.openxmlformats.org/officeDocument/2006/relationships/externalLink" Target="externalLinks/externalLink60.xml"/><Relationship Id="rId128" Type="http://schemas.openxmlformats.org/officeDocument/2006/relationships/externalLink" Target="externalLinks/externalLink114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6.xml"/><Relationship Id="rId95" Type="http://schemas.openxmlformats.org/officeDocument/2006/relationships/externalLink" Target="externalLinks/externalLink81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9.xml"/><Relationship Id="rId48" Type="http://schemas.openxmlformats.org/officeDocument/2006/relationships/externalLink" Target="externalLinks/externalLink34.xml"/><Relationship Id="rId64" Type="http://schemas.openxmlformats.org/officeDocument/2006/relationships/externalLink" Target="externalLinks/externalLink50.xml"/><Relationship Id="rId69" Type="http://schemas.openxmlformats.org/officeDocument/2006/relationships/externalLink" Target="externalLinks/externalLink55.xml"/><Relationship Id="rId113" Type="http://schemas.openxmlformats.org/officeDocument/2006/relationships/externalLink" Target="externalLinks/externalLink99.xml"/><Relationship Id="rId118" Type="http://schemas.openxmlformats.org/officeDocument/2006/relationships/externalLink" Target="externalLinks/externalLink104.xml"/><Relationship Id="rId134" Type="http://schemas.openxmlformats.org/officeDocument/2006/relationships/externalLink" Target="externalLinks/externalLink120.xml"/><Relationship Id="rId139" Type="http://schemas.openxmlformats.org/officeDocument/2006/relationships/externalLink" Target="externalLinks/externalLink125.xml"/><Relationship Id="rId80" Type="http://schemas.openxmlformats.org/officeDocument/2006/relationships/externalLink" Target="externalLinks/externalLink66.xml"/><Relationship Id="rId85" Type="http://schemas.openxmlformats.org/officeDocument/2006/relationships/externalLink" Target="externalLinks/externalLink71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Relationship Id="rId59" Type="http://schemas.openxmlformats.org/officeDocument/2006/relationships/externalLink" Target="externalLinks/externalLink45.xml"/><Relationship Id="rId103" Type="http://schemas.openxmlformats.org/officeDocument/2006/relationships/externalLink" Target="externalLinks/externalLink89.xml"/><Relationship Id="rId108" Type="http://schemas.openxmlformats.org/officeDocument/2006/relationships/externalLink" Target="externalLinks/externalLink94.xml"/><Relationship Id="rId124" Type="http://schemas.openxmlformats.org/officeDocument/2006/relationships/externalLink" Target="externalLinks/externalLink110.xml"/><Relationship Id="rId129" Type="http://schemas.openxmlformats.org/officeDocument/2006/relationships/externalLink" Target="externalLinks/externalLink115.xml"/><Relationship Id="rId54" Type="http://schemas.openxmlformats.org/officeDocument/2006/relationships/externalLink" Target="externalLinks/externalLink40.xml"/><Relationship Id="rId70" Type="http://schemas.openxmlformats.org/officeDocument/2006/relationships/externalLink" Target="externalLinks/externalLink56.xml"/><Relationship Id="rId75" Type="http://schemas.openxmlformats.org/officeDocument/2006/relationships/externalLink" Target="externalLinks/externalLink61.xml"/><Relationship Id="rId91" Type="http://schemas.openxmlformats.org/officeDocument/2006/relationships/externalLink" Target="externalLinks/externalLink77.xml"/><Relationship Id="rId96" Type="http://schemas.openxmlformats.org/officeDocument/2006/relationships/externalLink" Target="externalLinks/externalLink82.xml"/><Relationship Id="rId140" Type="http://schemas.openxmlformats.org/officeDocument/2006/relationships/externalLink" Target="externalLinks/externalLink126.xml"/><Relationship Id="rId14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49" Type="http://schemas.openxmlformats.org/officeDocument/2006/relationships/externalLink" Target="externalLinks/externalLink35.xml"/><Relationship Id="rId114" Type="http://schemas.openxmlformats.org/officeDocument/2006/relationships/externalLink" Target="externalLinks/externalLink100.xml"/><Relationship Id="rId119" Type="http://schemas.openxmlformats.org/officeDocument/2006/relationships/externalLink" Target="externalLinks/externalLink105.xml"/><Relationship Id="rId44" Type="http://schemas.openxmlformats.org/officeDocument/2006/relationships/externalLink" Target="externalLinks/externalLink30.xml"/><Relationship Id="rId60" Type="http://schemas.openxmlformats.org/officeDocument/2006/relationships/externalLink" Target="externalLinks/externalLink46.xml"/><Relationship Id="rId65" Type="http://schemas.openxmlformats.org/officeDocument/2006/relationships/externalLink" Target="externalLinks/externalLink51.xml"/><Relationship Id="rId81" Type="http://schemas.openxmlformats.org/officeDocument/2006/relationships/externalLink" Target="externalLinks/externalLink67.xml"/><Relationship Id="rId86" Type="http://schemas.openxmlformats.org/officeDocument/2006/relationships/externalLink" Target="externalLinks/externalLink72.xml"/><Relationship Id="rId130" Type="http://schemas.openxmlformats.org/officeDocument/2006/relationships/externalLink" Target="externalLinks/externalLink116.xml"/><Relationship Id="rId135" Type="http://schemas.openxmlformats.org/officeDocument/2006/relationships/externalLink" Target="externalLinks/externalLink121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9" Type="http://schemas.openxmlformats.org/officeDocument/2006/relationships/externalLink" Target="externalLinks/externalLink25.xml"/><Relationship Id="rId109" Type="http://schemas.openxmlformats.org/officeDocument/2006/relationships/externalLink" Target="externalLinks/externalLink95.xml"/><Relationship Id="rId34" Type="http://schemas.openxmlformats.org/officeDocument/2006/relationships/externalLink" Target="externalLinks/externalLink20.xml"/><Relationship Id="rId50" Type="http://schemas.openxmlformats.org/officeDocument/2006/relationships/externalLink" Target="externalLinks/externalLink36.xml"/><Relationship Id="rId55" Type="http://schemas.openxmlformats.org/officeDocument/2006/relationships/externalLink" Target="externalLinks/externalLink41.xml"/><Relationship Id="rId76" Type="http://schemas.openxmlformats.org/officeDocument/2006/relationships/externalLink" Target="externalLinks/externalLink62.xml"/><Relationship Id="rId97" Type="http://schemas.openxmlformats.org/officeDocument/2006/relationships/externalLink" Target="externalLinks/externalLink83.xml"/><Relationship Id="rId104" Type="http://schemas.openxmlformats.org/officeDocument/2006/relationships/externalLink" Target="externalLinks/externalLink90.xml"/><Relationship Id="rId120" Type="http://schemas.openxmlformats.org/officeDocument/2006/relationships/externalLink" Target="externalLinks/externalLink106.xml"/><Relationship Id="rId125" Type="http://schemas.openxmlformats.org/officeDocument/2006/relationships/externalLink" Target="externalLinks/externalLink111.xml"/><Relationship Id="rId141" Type="http://schemas.openxmlformats.org/officeDocument/2006/relationships/externalLink" Target="externalLinks/externalLink127.xml"/><Relationship Id="rId14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7.xml"/><Relationship Id="rId92" Type="http://schemas.openxmlformats.org/officeDocument/2006/relationships/externalLink" Target="externalLinks/externalLink7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5.xml"/><Relationship Id="rId24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26.xml"/><Relationship Id="rId45" Type="http://schemas.openxmlformats.org/officeDocument/2006/relationships/externalLink" Target="externalLinks/externalLink31.xml"/><Relationship Id="rId66" Type="http://schemas.openxmlformats.org/officeDocument/2006/relationships/externalLink" Target="externalLinks/externalLink52.xml"/><Relationship Id="rId87" Type="http://schemas.openxmlformats.org/officeDocument/2006/relationships/externalLink" Target="externalLinks/externalLink73.xml"/><Relationship Id="rId110" Type="http://schemas.openxmlformats.org/officeDocument/2006/relationships/externalLink" Target="externalLinks/externalLink96.xml"/><Relationship Id="rId115" Type="http://schemas.openxmlformats.org/officeDocument/2006/relationships/externalLink" Target="externalLinks/externalLink101.xml"/><Relationship Id="rId131" Type="http://schemas.openxmlformats.org/officeDocument/2006/relationships/externalLink" Target="externalLinks/externalLink117.xml"/><Relationship Id="rId136" Type="http://schemas.openxmlformats.org/officeDocument/2006/relationships/externalLink" Target="externalLinks/externalLink122.xml"/><Relationship Id="rId61" Type="http://schemas.openxmlformats.org/officeDocument/2006/relationships/externalLink" Target="externalLinks/externalLink47.xml"/><Relationship Id="rId82" Type="http://schemas.openxmlformats.org/officeDocument/2006/relationships/externalLink" Target="externalLinks/externalLink68.xml"/><Relationship Id="rId19" Type="http://schemas.openxmlformats.org/officeDocument/2006/relationships/externalLink" Target="externalLinks/externalLink5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56" Type="http://schemas.openxmlformats.org/officeDocument/2006/relationships/externalLink" Target="externalLinks/externalLink42.xml"/><Relationship Id="rId77" Type="http://schemas.openxmlformats.org/officeDocument/2006/relationships/externalLink" Target="externalLinks/externalLink63.xml"/><Relationship Id="rId100" Type="http://schemas.openxmlformats.org/officeDocument/2006/relationships/externalLink" Target="externalLinks/externalLink86.xml"/><Relationship Id="rId105" Type="http://schemas.openxmlformats.org/officeDocument/2006/relationships/externalLink" Target="externalLinks/externalLink91.xml"/><Relationship Id="rId126" Type="http://schemas.openxmlformats.org/officeDocument/2006/relationships/externalLink" Target="externalLinks/externalLink112.xml"/><Relationship Id="rId14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7.xml"/><Relationship Id="rId72" Type="http://schemas.openxmlformats.org/officeDocument/2006/relationships/externalLink" Target="externalLinks/externalLink58.xml"/><Relationship Id="rId93" Type="http://schemas.openxmlformats.org/officeDocument/2006/relationships/externalLink" Target="externalLinks/externalLink79.xml"/><Relationship Id="rId98" Type="http://schemas.openxmlformats.org/officeDocument/2006/relationships/externalLink" Target="externalLinks/externalLink84.xml"/><Relationship Id="rId121" Type="http://schemas.openxmlformats.org/officeDocument/2006/relationships/externalLink" Target="externalLinks/externalLink107.xml"/><Relationship Id="rId142" Type="http://schemas.openxmlformats.org/officeDocument/2006/relationships/externalLink" Target="externalLinks/externalLink128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32.xml"/><Relationship Id="rId67" Type="http://schemas.openxmlformats.org/officeDocument/2006/relationships/externalLink" Target="externalLinks/externalLink53.xml"/><Relationship Id="rId116" Type="http://schemas.openxmlformats.org/officeDocument/2006/relationships/externalLink" Target="externalLinks/externalLink102.xml"/><Relationship Id="rId137" Type="http://schemas.openxmlformats.org/officeDocument/2006/relationships/externalLink" Target="externalLinks/externalLink123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62" Type="http://schemas.openxmlformats.org/officeDocument/2006/relationships/externalLink" Target="externalLinks/externalLink48.xml"/><Relationship Id="rId83" Type="http://schemas.openxmlformats.org/officeDocument/2006/relationships/externalLink" Target="externalLinks/externalLink69.xml"/><Relationship Id="rId88" Type="http://schemas.openxmlformats.org/officeDocument/2006/relationships/externalLink" Target="externalLinks/externalLink74.xml"/><Relationship Id="rId111" Type="http://schemas.openxmlformats.org/officeDocument/2006/relationships/externalLink" Target="externalLinks/externalLink97.xml"/><Relationship Id="rId132" Type="http://schemas.openxmlformats.org/officeDocument/2006/relationships/externalLink" Target="externalLinks/externalLink118.xml"/><Relationship Id="rId15" Type="http://schemas.openxmlformats.org/officeDocument/2006/relationships/externalLink" Target="externalLinks/externalLink1.xml"/><Relationship Id="rId36" Type="http://schemas.openxmlformats.org/officeDocument/2006/relationships/externalLink" Target="externalLinks/externalLink22.xml"/><Relationship Id="rId57" Type="http://schemas.openxmlformats.org/officeDocument/2006/relationships/externalLink" Target="externalLinks/externalLink43.xml"/><Relationship Id="rId106" Type="http://schemas.openxmlformats.org/officeDocument/2006/relationships/externalLink" Target="externalLinks/externalLink92.xml"/><Relationship Id="rId127" Type="http://schemas.openxmlformats.org/officeDocument/2006/relationships/externalLink" Target="externalLinks/externalLink11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52" Type="http://schemas.openxmlformats.org/officeDocument/2006/relationships/externalLink" Target="externalLinks/externalLink38.xml"/><Relationship Id="rId73" Type="http://schemas.openxmlformats.org/officeDocument/2006/relationships/externalLink" Target="externalLinks/externalLink59.xml"/><Relationship Id="rId78" Type="http://schemas.openxmlformats.org/officeDocument/2006/relationships/externalLink" Target="externalLinks/externalLink64.xml"/><Relationship Id="rId94" Type="http://schemas.openxmlformats.org/officeDocument/2006/relationships/externalLink" Target="externalLinks/externalLink80.xml"/><Relationship Id="rId99" Type="http://schemas.openxmlformats.org/officeDocument/2006/relationships/externalLink" Target="externalLinks/externalLink85.xml"/><Relationship Id="rId101" Type="http://schemas.openxmlformats.org/officeDocument/2006/relationships/externalLink" Target="externalLinks/externalLink87.xml"/><Relationship Id="rId122" Type="http://schemas.openxmlformats.org/officeDocument/2006/relationships/externalLink" Target="externalLinks/externalLink108.xml"/><Relationship Id="rId143" Type="http://schemas.openxmlformats.org/officeDocument/2006/relationships/externalLink" Target="externalLinks/externalLink12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33.xml"/><Relationship Id="rId68" Type="http://schemas.openxmlformats.org/officeDocument/2006/relationships/externalLink" Target="externalLinks/externalLink54.xml"/><Relationship Id="rId89" Type="http://schemas.openxmlformats.org/officeDocument/2006/relationships/externalLink" Target="externalLinks/externalLink75.xml"/><Relationship Id="rId112" Type="http://schemas.openxmlformats.org/officeDocument/2006/relationships/externalLink" Target="externalLinks/externalLink98.xml"/><Relationship Id="rId133" Type="http://schemas.openxmlformats.org/officeDocument/2006/relationships/externalLink" Target="externalLinks/externalLink119.xml"/><Relationship Id="rId16" Type="http://schemas.openxmlformats.org/officeDocument/2006/relationships/externalLink" Target="externalLinks/externalLink2.xml"/><Relationship Id="rId37" Type="http://schemas.openxmlformats.org/officeDocument/2006/relationships/externalLink" Target="externalLinks/externalLink23.xml"/><Relationship Id="rId58" Type="http://schemas.openxmlformats.org/officeDocument/2006/relationships/externalLink" Target="externalLinks/externalLink44.xml"/><Relationship Id="rId79" Type="http://schemas.openxmlformats.org/officeDocument/2006/relationships/externalLink" Target="externalLinks/externalLink65.xml"/><Relationship Id="rId102" Type="http://schemas.openxmlformats.org/officeDocument/2006/relationships/externalLink" Target="externalLinks/externalLink88.xml"/><Relationship Id="rId123" Type="http://schemas.openxmlformats.org/officeDocument/2006/relationships/externalLink" Target="externalLinks/externalLink109.xml"/><Relationship Id="rId14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0</xdr:row>
      <xdr:rowOff>28575</xdr:rowOff>
    </xdr:from>
    <xdr:to>
      <xdr:col>11</xdr:col>
      <xdr:colOff>0</xdr:colOff>
      <xdr:row>0</xdr:row>
      <xdr:rowOff>361950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95299EE-F13D-497C-A214-F1AD4C0515E9}"/>
            </a:ext>
          </a:extLst>
        </xdr:cNvPr>
        <xdr:cNvSpPr>
          <a:spLocks noChangeArrowheads="1"/>
        </xdr:cNvSpPr>
      </xdr:nvSpPr>
      <xdr:spPr bwMode="auto">
        <a:xfrm>
          <a:off x="904875" y="28575"/>
          <a:ext cx="4600575" cy="3333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285750</xdr:colOff>
      <xdr:row>0</xdr:row>
      <xdr:rowOff>28575</xdr:rowOff>
    </xdr:from>
    <xdr:to>
      <xdr:col>11</xdr:col>
      <xdr:colOff>0</xdr:colOff>
      <xdr:row>0</xdr:row>
      <xdr:rowOff>361950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9AF63F7C-3F23-4862-BDE9-007A574F7520}"/>
            </a:ext>
          </a:extLst>
        </xdr:cNvPr>
        <xdr:cNvSpPr>
          <a:spLocks noChangeArrowheads="1"/>
        </xdr:cNvSpPr>
      </xdr:nvSpPr>
      <xdr:spPr bwMode="auto">
        <a:xfrm>
          <a:off x="904875" y="28575"/>
          <a:ext cx="4600575" cy="3333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285750</xdr:colOff>
      <xdr:row>0</xdr:row>
      <xdr:rowOff>28575</xdr:rowOff>
    </xdr:from>
    <xdr:to>
      <xdr:col>11</xdr:col>
      <xdr:colOff>0</xdr:colOff>
      <xdr:row>0</xdr:row>
      <xdr:rowOff>361950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75C7C2A4-2FC1-4CA6-90AF-0CB9229860C4}"/>
            </a:ext>
          </a:extLst>
        </xdr:cNvPr>
        <xdr:cNvSpPr>
          <a:spLocks noChangeArrowheads="1"/>
        </xdr:cNvSpPr>
      </xdr:nvSpPr>
      <xdr:spPr bwMode="auto">
        <a:xfrm>
          <a:off x="1323975" y="28575"/>
          <a:ext cx="5943600" cy="3333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285750</xdr:colOff>
      <xdr:row>0</xdr:row>
      <xdr:rowOff>28575</xdr:rowOff>
    </xdr:from>
    <xdr:to>
      <xdr:col>11</xdr:col>
      <xdr:colOff>0</xdr:colOff>
      <xdr:row>0</xdr:row>
      <xdr:rowOff>361950</xdr:rowOff>
    </xdr:to>
    <xdr:sp macro="" textlink="">
      <xdr:nvSpPr>
        <xdr:cNvPr id="5" name="Rectangle 1">
          <a:extLst>
            <a:ext uri="{FF2B5EF4-FFF2-40B4-BE49-F238E27FC236}">
              <a16:creationId xmlns:a16="http://schemas.microsoft.com/office/drawing/2014/main" id="{618DF18D-5490-4029-BDB1-E40476F03E88}"/>
            </a:ext>
          </a:extLst>
        </xdr:cNvPr>
        <xdr:cNvSpPr>
          <a:spLocks noChangeArrowheads="1"/>
        </xdr:cNvSpPr>
      </xdr:nvSpPr>
      <xdr:spPr bwMode="auto">
        <a:xfrm>
          <a:off x="1323975" y="28575"/>
          <a:ext cx="5943600" cy="3333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nas\data\2000file\&#49436;&#49885;file\2000&#44221;&#51452;EXPO\7&#50900;file\&#46020;&#47196;&#44277;&#49324;\&#49436;&#50872;&#49884;CCT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work-for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MSOffice\99file\&#49436;&#50872;&#49884;&#49888;&#54840;-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54504;&#53552;1\D\LKH\EX-DATE\PROJECT\225-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WG\ILOT-MI\YUNCH\PLOT\S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WG\ILOT-MI\SUNGNAM\TAL\SUNGNAM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t3\aa\2003&#45380;%20&#47588;&#52636;%20&#51088;&#47308;\&#44032;&#44201;&#54364;,%20&#51228;&#54408;&#51088;&#47308;\COMPAQ\2003-02-HPNT&#44204;&#51201;-SAMP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nas\data\01---&#45236;&#50669;.&#49328;&#52636;&#49436;)2007~)\project(2019&#45380;)-&#45236;&#50669;,&#49328;&#52636;\17.&#49324;%20&#47549;%20&#54617;%20&#44368;\06.&#50696;&#49328;&#44368;&#50977;&#52397;\&#49341;&#44368;&#44256;&#46321;&#54617;&#44368;&#51312;&#47749;&#44060;&#49440;&#44277;&#49324;(&#49328;&#52636;&#49436;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office-file\99-OFFICE\99EXCEL&#51089;&#50629;\9903&#47784;&#48716;&#47001;&#48143;&#51060;&#51473;&#47560;&#47336;&#49444;&#5282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688;&#51652;\&#50500;&#47924;&#44144;&#45208;\My%20Documents\&#44204;&#51201;%20&#51088;&#47308;\&#44204;&#51201;&#44592;&#48376;FOR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client%20d\USER\&#44608;&#55148;&#52384;\&#50976;&#45768;&#50728;&#50836;&#52397;\PI-ILW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nas\data\Documents%20and%20Settings\tree1\&#48148;&#53461;%20&#54868;&#47732;\ISLAND\ARCH\&#49444;&#48320;\&#44148;&#52629;&#49444;&#48320;\&#44148;&#52629;1&#54924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9688;\C\CADATA\YANGPYUN\FINEL0\CALC\K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54504;&#53552;1\&#49888;&#49457;&#50629;&#47924;\LKH\EX-DATE\PROJECT\165-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\PROJECT\ELLWORD\98HABAN\518\NEAYUK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9688;\C\&#46020;&#47732;\W-&#44396;&#47168;&#54616;&#49688;\&#44228;&#49328;&#49436;\5&#50900;8&#51068;%20&#51456;&#44277;\LOA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3\piii450\PROJECT-\EX-DATE\DATA\25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nas\data\EX-DATE\MODE\165-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RSERVER\&#48729;&#52629;&#50676;%20&#51068;&#53552;I\EDATA\&#49352;%20&#54260;&#45908;\ExcelLesson\&#44368;&#50977;&#50857;Lab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client%20d\&#50577;&#49457;&#54868;\&#45824;&#52903;&#5436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client%20d\chy\2000&#45380;\Xls\&#49328;&#52636;&#51312;&#4943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\HWP22\&#49436;&#55141;&#44592;&#51204;\&#44204;&#51201;,&#45236;&#50669;&#49436;\&#51652;&#54644;&#48373;&#51648;&#44288;&#44032;&#46972;&#44204;&#51201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\PROJECT\ELLWORD\98HABAN\KW-LL\518\NEAYUK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766\1790\1790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\PROJECT\ELLWORD\98HABAN\WONJU-BO\&#50896;&#51452;&#48373;~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2\d\LKH\EX-DATE\PROJECT\225-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50416;\&#51204;&#46321;\SHIN-WRD\shinsung\96-97\WONSAN\DATA\165-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RRIER-WEB\&#51116;&#47924;&#54924;&#44228;\98&#44208;&#49328;\VM&#49552;&#51061;&#50836;&#50557;\&#44208;&#49328;&#49436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client%20d\&#45224;&#49436;&#50872;&#51228;&#51068;&#44368;&#54924;\&#44221;&#51228;&#49457;119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3\piii450\PROJECT-\EX-DATE\DATA\35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\c\1\&#49884;&#47549;&#46020;&#49436;&#44288;&#44053;&#45817;\TOTAL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9688;\C\DATA\SGH\NAMGWANG\REP-NG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nas\data\HEXCEL\XLS\XL_DATA\&#44204;&#51201;\&#50629;&#52404;\HIT\&#50500;&#49328;&#44277;&#51109;\&#50500;&#49328;&#51032;&#51204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my\local\&#51221;&#53685;&#48512;&#51068;&#50948;&#45824;&#44032;&#54364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DOWS\9605G\DS-LOAD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\c\My%20Documents\&#48169;&#49569;&#51109;&#52824;%20&#49444;&#44228;&#49436;\&#44040;&#47868;&#52488;&#46321;&#54617;&#44368;\PROJECT\ELLWORD\00HABAN\&#51221;&#49888;&#47928;&#54868;\PROJECT\ELLWORD\98HABAN\KW-LL\518\NEAYUK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9688;\C\DATA\0YEONGI\REPT-NG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202586\d\ksk97\ESS\97ESS&#50900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202586\d\ksk97\ESS\DAILY6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64;\PROJECT%20&#52572;&#51333;\&#44592;&#53440;\&#54617;&#50857;-&#46164;&#45909;\&#44592;&#53440;\ILWIPOH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3944;&#48513;\C\BAKUP\OLD-E\1760\1766\1766-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client%20d\&#47215;&#45936;&#51228;&#51452;&#54840;&#53588;\97.10.22-&#44608;&#47197;&#55148;\&#50868;&#51204;&#48708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nas\data\My%20Documents\My%20eBooks\WORK\My%20Documents\&#44032;&#47196;&#46321;&#49444;&#44228;\&#45236;&#50669;&#49436;\&#54364;&#51456;&#45236;&#50669;&#49436;\&#54616;&#49345;&#46020;&#47196;\ILWI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Local%20Settings/Temporary%20Internet%20Files/Content.IE5/0H2B0PY3/&#50724;&#48393;&#44512;02/16-1&#48169;&#52824;&#52264;(&#51312;&#47549;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w\c\&#44277;&#46041;&#54260;&#45908;\&#49444;&#44228;&#49436;\E\E172&#49884;&#47549;&#48120;&#49696;&#44288;\&#51089;&#50629;&#54028;&#51068;\3&#52264;&#51089;&#50629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54504;&#53552;1\&#49888;&#49457;&#50629;&#47924;\LKH\EX-DATE\PROJECT\225-5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54504;&#53552;3\C\LKH\EX-DATE\PROJECT\25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t3\aa\2001&#45380;\&#44204;&#51201;&#49436;\SUN\&#47592;&#53581;-E250-0628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RSERVER\&#48729;&#52629;&#50676;%20&#51068;&#53552;I\&#44204;&#51201;&#49436;&#50696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neyau-3s4tqfd\&#44277;&#50976;&#54260;&#45908;\Users\admin\AppData\Local\Microsoft\Windows\Temporary%20Internet%20Files\Content.IE5\NHD280CA\&#53440;&#44204;&#44201;&#49436;\&#50472;&#50976;&#44204;&#51201;&#49436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0689;&#44288;\&#51089;&#50629;&#54260;&#45908;\&#45236;&#50669;&#49436;sample\K-SET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LOTUS\9605P\BB_C-BD\OUT\YE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0689;&#44288;\&#51089;&#50629;&#54260;&#45908;\Program%20Files\AutoCAD%20R14\&#49892;&#49884;\&#49569;&#46972;&#52488;&#46321;&#54617;&#44368;\&#45236;&#50669;&#49436;\&#49569;&#46972;&#52488;&#51473;&#54617;&#44368;(final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617;&#49688;\c\WORK\&#49457;&#45224;&#54616;&#45824;&#50896;&#51204;&#44592;2\&#52265;&#44277;&#44288;&#47144;\&#49457;&#45224;&#54616;&#45824;&#50896;&#51204;&#4459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3685;&#49888;\&#47196;&#52972;%20&#46356;&#49828;&#53356;%20(D)\&#54028;&#51452;&#44552;&#52492;\&#54028;&#51452;&#44552;&#52492;&#45236;&#50669;(&#44228;&#50557;&#45236;&#50669;95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49689;\&#44204;&#51201;&#49436;\&#54028;&#51452;&#44552;&#52492;\&#54028;&#51452;&#44552;&#52492;&#45236;&#50669;(&#44228;&#50557;&#45236;&#50669;95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0689;&#44288;\&#51089;&#50629;&#54260;&#45908;\backup1\2001&#45380;\&#49888;&#50900;&#52397;&#49548;&#45380;&#47928;&#54868;&#49468;&#53552;\&#45236;&#50669;&#49436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Local%20Settings/Temporary%20Internet%20Files/Content.IE5/0H2B0PY3/&#44060;&#49888;&#51068;&#50948;-2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Local%20Settings/Temporary%20Internet%20Files/Content.IE5/0H2B0PY3/&#47732;&#52380;&#51064;&#53580;&#47532;&#50612;(&#48156;&#51452;&#51312;&#51221;&#51473;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49689;\&#44204;&#51201;&#49436;\&#54028;&#51452;&#44552;&#52492;\&#54028;&#51452;&#44552;&#52492;&#45800;&#44032;&#54364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617;&#51652;\C\2000file\&#49436;&#49885;file\2000&#44221;&#51452;EXPO\7&#50900;file\&#46020;&#47196;&#44277;&#49324;\&#49436;&#50872;&#49884;CCTV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0689;&#50865;\C\&#50696;&#49328;&#49328;&#49457;\&#50696;&#49328;&#49328;&#4945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nas\data\Documents%20and%20Settings\tree1\&#48148;&#53461;%20&#54868;&#47732;\&#53580;&#53356;&#45432;&#54028;&#53356;\&#49892;&#51221;&#48372;&#44256;\&#54028;&#51068;&#51221;&#49328;%20-%20&#50504;&#45824;&#47532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02\c\MYDOCU~1\A-&#49345;&#50857;\C00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688;&#50896;%20&#47588;&#53444;%204&#51648;&#44396;\&#44592;&#49457;&#44288;&#47144;\&#44592;&#49457;&#51312;&#49436;\5&#44277;&#44396;&#44592;&#49457;&#51312;&#49436;-2&#54924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1116;&#51473;\&#47196;&#52972;%20&#46356;&#49828;&#53356;%20(d)\libr\mine\&#45236;&#50669;&#49436;\&#51652;&#54644;&#49437;&#46041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44;&#48708;3\C\&#48372;&#44288;&#50857;&#54532;&#47196;&#51229;&#53944;\&#49340;&#51064;&#53552;&#45328;&#51204;&#44592;&#48516;&#50556;\&#44228;&#49328;&#49436;\(&#45236;&#50669;)&#49340;&#51064;&#53552;&#45328;&#51204;&#44592;&#48516;&#5055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nas\data\&#51228;&#51312;\&#53356;&#47021;&#53356;&#50808;\EXCEL\&#51312;&#44221;&#45236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a\d\DATA\XLS\SK&amp;C\DONGHAE\T6-2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nas\data\gong\gong\MSOFFICE\EXCEL\PYB\&#50900;&#48324;&#49892;&#51201;\96\MSOFFICE\HEXCEL\PYB\DATA\JEJO95G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nas\data\Documents%20and%20Settings\tree1\&#48148;&#53461;%20&#54868;&#47732;\&#44148;&#52629;1&#54924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49689;\&#44204;&#51201;&#49436;\&#54868;&#49457;&#53468;&#50504;4\&#45800;&#44032;&#54364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n\d\&#44608;&#49345;&#50864;JOB\DOWN&#47700;&#51068;\&#48128;&#50577;&#45236;&#50669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YS\3&#52264;&#51204;&#44592;&#44204;&#51201;\&#54532;&#47196;&#51229;&#53944;\GROUP\&#44053;&#45224;&#49324;&#50725;\&#44053;&#45224;1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my\local\&#44221;&#52272;&#52397;&#49324;&#51060;&#48260;&#49688;&#49324;&#45824;&#50896;&#44032;&#48516;&#49437;&#51088;&#47308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RSERVER\&#48729;&#52629;&#50676;%20&#51068;&#53552;I\EDATA\&#49352;%20&#54260;&#45908;\ExcelLesson\x0037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nas\data\&#50641;&#49444;%20&#48320;&#54872;&#48169;\b&#52649;&#52397;&#45224;&#46020;&#44368;&#50977;&#52397;\c&#52380;&#50504;&#44368;&#50977;&#52397;\2003&#45380;\&#46041;&#49457;&#51473;&#54617;&#44368;%20&#44553;&#49885;&#49892;%20&#51613;&#52629;%20&#51204;&#44592;&#49884;&#49444;&#44277;&#49324;(&#52572;&#51333;)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3468;&#54413;\&#44277;&#46041;&#51089;&#50629;\Julyko&#44277;&#50976;\KKK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nas\data\My%20Documents\&#44204;&#51201;&#49436;\Project\&#49688;&#50896;&#48124;&#51088;&#50669;&#49324;\&#49688;&#50896;&#48124;&#51088;&#50669;&#49324;&#44204;&#51201;&#49436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KSKVM\DJ97~1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nas\data\hoengsung\&#50896;&#51452;&#44428;&#51221;&#48372;&#53685;&#49888;\&#48156;&#51452;&#49444;&#44228;\&#50896;&#51452;&#46020;&#44553;&#45236;&#50669;&#49436;(&#44552;&#52264;&#48516;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wa\c\0201&#44277;&#53685;&#54260;&#45908;\&#49444;&#44228;&#49436;\E\E166&#44396;&#47196;&#51452;&#49345;&#48373;&#54633;&#44277;&#49324;\E166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109;\D\&#44277;&#46041;&#54260;&#45908;-2000-09-20\&#49444;&#44228;&#49436;\A\A127&#50689;&#50896;&#52488;&#46321;&#54617;&#44368;\2&#52264;&#49688;&#51221;\&#45236;&#50669;-&#49688;&#51221;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w\c\&#49352;%20&#54260;&#45908;\&#48156;&#49569;&#44204;&#51201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109;\D\&#44277;&#46041;&#54260;&#45908;-2000-09-20\&#49444;&#44228;&#49436;\E\E137&#54644;&#45224;&#44400;&#48124;&#44305;&#51109;\&#52572;&#51333;2\&#52572;&#51333;-2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wa\c\0201&#44277;&#53685;&#54260;&#45908;\&#49444;&#44228;&#49436;\E\E172&#49436;&#50872;&#49884;&#47549;&#48120;&#49696;&#44288;\&#51089;&#50629;&#54028;&#51068;\3&#52264;&#51089;&#50629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3685;&#49888;\&#47196;&#52972;%20&#46356;&#49828;&#53356;%20(D)\&#54868;&#49457;&#53468;&#50504;6&#44277;&#44396;&#53685;&#49888;\&#49444;&#44228;&#48320;&#44221;\&#53468;&#50504;&#51204;&#44592;1&#54924;&#49444;&#48320;(&#52572;&#51333;)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\c\PROJECT\ELLWORD\98HABAN\518\NEAYUK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office%20&#50577;&#49885;\I&#19968;&#33324;&#27604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160;&#54872;\MY%20DOCUMENTS\&#51652;\%05bhttp:\junet21.jugong.co.kr\Kyobo\Mail\20010926\&#51105;&#49436;&#47448;\&#49688;&#50896;&#47588;&#53444;%20&#51204;&#44592;&#44277;&#49324;%203&#44277;&#44396;%20&#45236;&#50669;&#49436;\b_balju_cho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\c\My%20Documents\&#48169;&#49569;&#51109;&#52824;%20&#49444;&#44228;&#49436;\&#44040;&#47868;&#52488;&#46321;&#54617;&#44368;\My%20Documents\KCS-98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7\e\02project\&#44221;&#44592;&#44256;%20&#49328;&#52293;&#47196;%20&#51312;&#49457;\&#45236;&#50669;\&#44221;&#44592;&#44256;&#45236;&#50669;&#49436;-&#54408;&#54624;&#51613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gjun\e\project2003\&#52280;&#44256;\&#49345;&#44228;10&#46041;%20&#47560;&#51012;&#47560;&#45817;0830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nas\data\&#45236;&#50669;&#49436;\&#44277;&#51452;&#44368;&#50977;&#52397;\2002&#45380;&#51204;&#44592;&#49884;&#49444;\&#46160;&#51221;&#44256;&#46321;&#54617;&#44368;\&#48156;&#51452;&#45236;&#50669;(1&#52264;)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nas\data\A&#45236;&#50669;,&#49328;&#52636;&#49436;(2000~)\&#12609;&#45800;&#44032;&#54364;,&#44592;&#48376;&#45236;&#50669;&#49436;\2005&#45380;\2005&#45380;%20&#46020;&#44368;&#50977;&#52397;%20&#47932;&#44032;&#51088;&#47308;&#54364;\_05&#45380;%20&#53664;&#47785;&#51068;&#50948;&#45824;&#44032;%20&#48143;%20&#47932;&#44032;&#51312;&#49324;&#54364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SOFFICE\EXCEL\PYB\&#51473;&#44592;&#44228;&#54925;\GRPAN95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nas\data\&#54616;&#49345;&#46020;&#47196;\ILWI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50689;&#49885;\&#45236;&#50669;&#44204;&#51201;(2)\&#54620;&#44397;&#50528;&#45768;\&#51089;&#50629;\&#49436;&#47928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RAGON\&#45236;&#50669;&#49436;\&#44552;&#48337;&#47196;3-1\&#45236;&#50669;&#49436;\&#54364;&#51456;&#45236;&#50669;&#49436;\&#54616;&#49345;&#46020;&#47196;\ILWI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nas\data\Documents%20and%20Settings\tree1\&#48148;&#53461;%20&#54868;&#47732;\program\&#49444;&#48320;\&#44148;&#52629;&#49444;&#48320;\&#44148;&#52629;1&#54924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y\&#49464;&#50868;PROJECT\PROJECT\ELLWORD\98HABAN\WONJU-BO\&#50896;&#51452;&#48373;~1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neyau-3s4tqfd\&#44277;&#50976;&#54260;&#45908;\&#54868;&#49457;&#48156;&#50504;\&#54868;&#49457;&#48156;&#50504;&#45236;&#50669;\&#51032;&#51221;&#48512;&#44552;&#50724;\&#44552;&#50724;&#45236;&#50669;&#49436;(86.74%25)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1116;&#51473;\&#47196;&#52972;%20&#46356;&#49828;&#53356;%20(d)\eun\&#52380;&#51648;&#50672;\0710&#45236;&#50669;&#49688;&#51221;\&#51473;&#50521;&#44305;&#51109;&#48512;(2&#45800;&#44228;)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384;&#54840;\&#47196;&#52972;%20&#46356;&#49828;&#53356;%20(h)\&#51088;&#47308;&#48155;&#51008;&#44163;\2003&#45380;\&#54844;&#48520;&#47928;&#54617;&#47560;&#51012;(&#51204;&#44592;&#53685;&#49888;&#48512;&#48516;)\&#53685;&#49888;\&#53685;&#49888;&#44288;&#44553;&#51088;&#51116;\&#48169;&#49569;,CCTV&#44288;&#44553;\&#51221;&#51021;&#45432;&#51064;&#48373;&#51648;\&#48320;&#44221;\&#51204;&#44592;&#45236;&#50669;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453;\C\2000file\&#49436;&#49885;file\2000&#44221;&#51452;EXPO\7&#50900;file\&#46020;&#47196;&#44277;&#49324;\&#49436;&#50872;&#49884;CCTV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109;\D\&#44277;&#46041;&#54260;&#45908;-2000-09-20\&#49444;&#44228;&#49436;\A\A035&#44368;&#50896;&#50672;&#49688;&#50896;-&#52572;&#51333;\&#46356;&#51648;&#53448;%20&#50896;&#44201;&#44053;&#51032;\&#44204;&#51201;\monitor-&#52572;&#51333;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8512;&#45824;&#51077;&#52272;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3\piii450\PROJECT-\EX-DATE\DATA\225-5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3\piii450\PROJECT-\EX-DATE\DATA\DATE\165-1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3\piii450\PROJECT-\EX-DATE\DATA\PRO98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160;&#54872;\MY%20DOCUMENTS\WORK\&#49457;&#45224;&#54616;&#45824;&#50896;&#51204;&#44592;2\&#52265;&#44277;&#44288;&#47144;\&#49457;&#45224;&#54616;&#45824;&#50896;&#51204;&#44592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4592;&#52980;1\c\&#53685;&#49888;&#50577;&#44396;\1&#44277;&#44396;&#50896;&#45824;&#47532;\&#49444;&#44228;&#48320;&#44221;&#49436;&#47448;\&#48169;&#49569;&#51077;&#49345;&#44036;&#49440;&#49444;&#44228;&#48320;&#44221;\WINDOWS\Temporary%20Internet%20Files\Content.IE5\Q45RXHCV\&#54028;&#51452;&#44552;&#52492;&#45236;&#50669;(&#50756;&#49457;&#48516;)(1)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21;&#47532;\D\WORK\PROJECT\ELLWORD\98HABAN\518\NEAYUK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221;&#51228;\&#54788;&#51116;&#50896;&#44032;&#48516;&#49437;\compact-ACS&#48516;&#49437;&#51473;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work-form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nas\data\Documents%20and%20Settings\tree1\&#48148;&#53461;%20&#54868;&#47732;\GROUP\Data\Mail\Temp\phk\&#44204;&#51201;&#44592;&#51456;\&#44277;&#49324;&#44592;&#44036;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109;\D\&#44277;&#46041;&#54260;&#45908;-2000-09-20\&#49444;&#44228;&#49436;\E\E173&#49884;&#47549;&#48120;&#49696;&#44288;\&#52572;&#51333;-1\&#51089;&#50629;&#54028;&#51068;\1&#52264;&#51089;&#50629;-&#51116;&#49688;&#51221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592;&#49457;&#51333;&#54633;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5&#44277;&#44396;-&#44592;&#49457;&#51312;&#49436;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Local%20Settings/Temporary%20Internet%20Files/Content.IE5/0H2B0PY3/&#50724;&#48393;&#44512;02/&#52404;&#50977;&#44288;12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37;&#44260;&#48512;&#51109;\C\&#49884;&#44277;&#51089;&#50629;\&#49688;&#45768;\&#52264;&#51452;&#51076;\KKK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K21887\1129&#49892;&#49884;\Temp\&#44032;&#44201;&#48708;&#44368;-&#54805;&#49437;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client%20d\WINDOWS\TEMP\&#51068;&#50948;&#45824;&#44032;&#47784;&#51020;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client%20d\My%20Documents\&#49444;&#44228;&#44049;&#51648;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-00(&#44053;&#48124;&#50896;)\D\NETWORK00\&#49345;&#47924;&#45784;\CCTV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49689;\&#44204;&#51201;&#49436;\&#54868;&#49457;&#48156;&#50504;\&#54868;&#49457;&#48156;&#50504;&#45236;&#50669;\&#51032;&#51221;&#48512;&#44552;&#50724;\&#44552;&#50724;&#45236;&#50669;&#49436;(86.74%25)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nas\data\02---Project&#44592;&#49696;&#49324;(2000~)\&#12593;&#50976;&#51068;&#50644;&#51648;&#45768;&#50612;&#47553;\2007&#45380;\&#50696;&#49328;&#44368;&#50977;&#52397;-&#51204;&#51109;&#55148;&#50472;\&#50696;&#49328;&#44368;&#50977;&#52397;&#49324;%20&#49688;&#51204;&#49444;&#48708;\D&#51652;&#50864;&#49884;&#49828;&#53596;\2007-&#50976;&#51068;&#50644;&#51648;&#45768;&#50612;&#47553;-&#50696;&#49328;&#44368;&#50977;&#52397;&#52397;&#49324;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4508;\&#54728;&#44508;\XX\&#45236;&#50669;&#49436;\&#44277;&#51452;\&#44277;&#51452;&#44288;&#47144;\&#48324;&#54364;&#45236;&#50669;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47564;&#51025;\D\2&#50641;&#49472;&#47928;&#49436;\02-&#52397;&#51452;&#44368;&#50896;&#45824;\1766\1790\179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업체"/>
      <sheetName val="결과"/>
      <sheetName val="총괄"/>
      <sheetName val="재료계"/>
      <sheetName val="직재"/>
      <sheetName val="간재"/>
      <sheetName val="노무"/>
      <sheetName val="일위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N賃率-職"/>
      <sheetName val="A製總"/>
      <sheetName val="IS"/>
      <sheetName val="J間材"/>
      <sheetName val="J輸入計"/>
      <sheetName val="J輸入率1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증감대비"/>
      <sheetName val="노무비"/>
      <sheetName val="일위"/>
      <sheetName val="노임단가표"/>
      <sheetName val="총괄 CCTV수량"/>
      <sheetName val="일위대가(VDS)"/>
      <sheetName val="제-노임"/>
      <sheetName val="설직재-1"/>
      <sheetName val="제직재"/>
      <sheetName val="약품설비"/>
      <sheetName val="N賃率_職"/>
      <sheetName val="Sheet3"/>
      <sheetName val="work-form"/>
      <sheetName val="기초자료입력"/>
      <sheetName val="직재"/>
      <sheetName val="직노"/>
      <sheetName val="DATA"/>
      <sheetName val="데이타"/>
      <sheetName val="경산"/>
      <sheetName val="2공구산출내역"/>
      <sheetName val="예가표"/>
      <sheetName val="제경집계"/>
      <sheetName val="내역"/>
      <sheetName val="mcc일위대가"/>
      <sheetName val="6. 직접경비"/>
      <sheetName val="단"/>
      <sheetName val="단위일위"/>
      <sheetName val="수량산출"/>
      <sheetName val="노임"/>
      <sheetName val="EQ-R1"/>
      <sheetName val="일위대가(가설)"/>
      <sheetName val="工완성공사율"/>
      <sheetName val="내역서"/>
      <sheetName val="5.설치내역"/>
      <sheetName val="b_balju_cho"/>
      <sheetName val="#REF"/>
      <sheetName val="소요자재명세서"/>
      <sheetName val="노무비명세서"/>
      <sheetName val="공조기"/>
      <sheetName val="을"/>
      <sheetName val="EQ"/>
      <sheetName val="여수토공사비"/>
      <sheetName val="토사(PE)"/>
      <sheetName val="원가 (2)"/>
      <sheetName val="노임단가"/>
      <sheetName val="유동표"/>
      <sheetName val="인건비 "/>
      <sheetName val="20관리비율"/>
      <sheetName val="단가산출2"/>
      <sheetName val="단가 및 재료비"/>
      <sheetName val="단가산출1"/>
      <sheetName val="일위대가"/>
      <sheetName val="Price List"/>
      <sheetName val="Sheet1"/>
      <sheetName val="산출기초(기계터파기)3열"/>
      <sheetName val="전송망집계"/>
      <sheetName val="철거수량(전송)"/>
      <sheetName val="자재단가"/>
      <sheetName val="7단가"/>
      <sheetName val="Total"/>
      <sheetName val="시행후면적"/>
      <sheetName val="수지예산"/>
      <sheetName val="약품공급2"/>
      <sheetName val="수목표준대가"/>
      <sheetName val="남양구조시험동"/>
      <sheetName val="G.R300경비"/>
      <sheetName val="재집"/>
      <sheetName val="금액내역서"/>
      <sheetName val="예정(3)"/>
      <sheetName val="동원(3)"/>
      <sheetName val="납부서"/>
      <sheetName val="품셈표"/>
      <sheetName val="신우"/>
      <sheetName val="Sheet13"/>
      <sheetName val="Sheet14"/>
      <sheetName val="발전기"/>
      <sheetName val="합천내역"/>
      <sheetName val="수량 산출서"/>
      <sheetName val="요율"/>
      <sheetName val="2.4 자재단가비교표"/>
      <sheetName val="NAI"/>
      <sheetName val="EP0618"/>
      <sheetName val="단가조사"/>
      <sheetName val="9811"/>
      <sheetName val="일위대가(4층원격)"/>
      <sheetName val="일위대가목록"/>
      <sheetName val="청천내"/>
      <sheetName val="갑지"/>
      <sheetName val="집계표"/>
      <sheetName val="HP1AMLIST"/>
      <sheetName val="CABLE"/>
      <sheetName val="인건비"/>
      <sheetName val="정SW_원_"/>
      <sheetName val="을지"/>
      <sheetName val="공사내역"/>
      <sheetName val="코드표"/>
      <sheetName val="공종별 공사비변동"/>
      <sheetName val="code"/>
      <sheetName val="기기리스트"/>
      <sheetName val="확정실적"/>
      <sheetName val="중기사용료"/>
      <sheetName val="품"/>
      <sheetName val="정SW(원)"/>
      <sheetName val="공사가격내역서"/>
      <sheetName val="cost9801"/>
      <sheetName val="총괄_CCTV수량"/>
      <sheetName val="6__직접경비"/>
      <sheetName val="터파기및재료"/>
      <sheetName val="건축내역"/>
      <sheetName val="9GNG운반"/>
      <sheetName val="결과조달"/>
      <sheetName val="예산대비"/>
      <sheetName val="CT "/>
      <sheetName val="C-노임단가"/>
      <sheetName val="A4-結果 "/>
      <sheetName val="기본일위"/>
      <sheetName val="내역서2안"/>
      <sheetName val="일위목록"/>
      <sheetName val="접지수량"/>
      <sheetName val="옥외외등집계표"/>
      <sheetName val="자재테이블"/>
      <sheetName val="2000년1차"/>
      <sheetName val="투자-국내2"/>
      <sheetName val="노임단가 (2)"/>
      <sheetName val="원가계산서구조조정"/>
      <sheetName val="DB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전기2005"/>
      <sheetName val="통신2005"/>
      <sheetName val="기본단가표"/>
      <sheetName val="공사원가계산서"/>
      <sheetName val="2000전체분"/>
      <sheetName val="시약"/>
      <sheetName val="재료비"/>
      <sheetName val="자재단가표"/>
      <sheetName val="산출(2)"/>
      <sheetName val="전체제잡비"/>
      <sheetName val="견적서"/>
      <sheetName val="ELEC"/>
      <sheetName val="내   역"/>
      <sheetName val="제작기술지원센터"/>
      <sheetName val="제노임"/>
      <sheetName val="Resource2"/>
      <sheetName val="대포2교접속"/>
      <sheetName val="천방교접속"/>
      <sheetName val="급,배기팬"/>
      <sheetName val="교각계산"/>
      <sheetName val="봉양~조차장간고하개명(신설)"/>
      <sheetName val="신호등일위대가"/>
      <sheetName val=" HIT-&gt;HMC 견적(3900)"/>
      <sheetName val="SHEET PILE단가"/>
      <sheetName val="#3_일위대가목록"/>
      <sheetName val="#2_일위대가목록"/>
      <sheetName val="노단"/>
      <sheetName val="기준"/>
      <sheetName val="현금예금"/>
      <sheetName val="토적계산"/>
      <sheetName val="sh1"/>
      <sheetName val="제출내역 (2)"/>
      <sheetName val="매립"/>
      <sheetName val="총괄"/>
      <sheetName val="과천MAIN"/>
      <sheetName val="INPUT"/>
      <sheetName val="샘플표지"/>
      <sheetName val="01"/>
      <sheetName val="총괄집계표"/>
      <sheetName val="임율"/>
      <sheetName val="부하(성남)"/>
      <sheetName val="C3"/>
      <sheetName val="토공총괄표"/>
      <sheetName val="감가상각"/>
      <sheetName val="HD01"/>
      <sheetName val="98연계표"/>
      <sheetName val="실행철강하도"/>
      <sheetName val="cal"/>
      <sheetName val="성곽내역서"/>
      <sheetName val="Sheet17"/>
      <sheetName val="DATE"/>
      <sheetName val="내역을"/>
      <sheetName val="내역서1-2"/>
      <sheetName val="시설수량표"/>
      <sheetName val="식재수량표"/>
      <sheetName val="건축일위"/>
      <sheetName val="그라우팅일위"/>
      <sheetName val="전기"/>
      <sheetName val="현장관리비"/>
      <sheetName val="단위세대물량"/>
      <sheetName val="기초DATA(2)"/>
      <sheetName val="공정코드"/>
      <sheetName val="조건표"/>
      <sheetName val="전신환매도율"/>
      <sheetName val="하조서"/>
      <sheetName val="DATA 입력란"/>
      <sheetName val="기계경비총괄표"/>
      <sheetName val="일위대가_현장"/>
      <sheetName val="횡배수관집현황(2공구)"/>
      <sheetName val="산출기준자료"/>
      <sheetName val="발전계획"/>
      <sheetName val="패널"/>
      <sheetName val="기존단가 (2)"/>
      <sheetName val="기계경비"/>
      <sheetName val="SLAB&quot;1&quot;"/>
      <sheetName val="단가"/>
      <sheetName val="하부철근수량"/>
      <sheetName val="단가 "/>
      <sheetName val="수목데이타 "/>
      <sheetName val="부대공Ⅱ"/>
      <sheetName val="손익분석"/>
      <sheetName val="변압기 및 발전기 용량"/>
      <sheetName val="입찰안"/>
      <sheetName val="단위수량"/>
      <sheetName val="노무비 "/>
      <sheetName val="프로젝트"/>
      <sheetName val="연부97-1"/>
      <sheetName val="갑지1"/>
      <sheetName val="Baby일위대가"/>
      <sheetName val="목록"/>
      <sheetName val="서식시트"/>
      <sheetName val="횡배수관토공수량"/>
      <sheetName val="BSD _2_"/>
      <sheetName val="유림골조"/>
      <sheetName val="Sheet2"/>
      <sheetName val=" 냉각수펌프"/>
      <sheetName val="2F 회의실견적(5_14 일대)"/>
      <sheetName val="LH3 동양시스템"/>
      <sheetName val="일위대가표"/>
      <sheetName val="한강운반비"/>
      <sheetName val="을-ATYPE"/>
      <sheetName val="danga"/>
      <sheetName val="ilch"/>
      <sheetName val="위치조서"/>
      <sheetName val="제36-40호표"/>
      <sheetName val="샤워실위생"/>
      <sheetName val="unit 4"/>
      <sheetName val="설계조건"/>
      <sheetName val="조경"/>
      <sheetName val="총괄내역서"/>
      <sheetName val="소비자가"/>
      <sheetName val="FANDBS"/>
      <sheetName val="GRDATA"/>
      <sheetName val="SHAFTDBSE"/>
      <sheetName val="산출내역서"/>
      <sheetName val="정산자료"/>
      <sheetName val="본부"/>
      <sheetName val="전주"/>
      <sheetName val="광주"/>
      <sheetName val="순천"/>
      <sheetName val="남원"/>
      <sheetName val="목포"/>
      <sheetName val="군산"/>
      <sheetName val="표지"/>
      <sheetName val="인건-측정"/>
      <sheetName val="A-4"/>
      <sheetName val="금호"/>
      <sheetName val="HVAC"/>
      <sheetName val="실행내역"/>
      <sheetName val="소요자재"/>
      <sheetName val="노무산출서"/>
      <sheetName val="ABUT수량-A1"/>
      <sheetName val="전체"/>
      <sheetName val="조도계산서 (도서)"/>
      <sheetName val="일위대가(계측기설치)"/>
      <sheetName val="정공공사"/>
      <sheetName val="날개벽"/>
      <sheetName val="유기공정"/>
      <sheetName val="적용토목"/>
      <sheetName val="Sheet6"/>
      <sheetName val="공정집계_국별"/>
      <sheetName val="대치판정"/>
      <sheetName val="품셈TABLE"/>
      <sheetName val="연습"/>
      <sheetName val="각형맨홀"/>
      <sheetName val="2"/>
      <sheetName val="96갑지"/>
      <sheetName val="입력"/>
      <sheetName val="말뚝지지력산정"/>
      <sheetName val="99노임기준"/>
      <sheetName val="접속도로1"/>
      <sheetName val="평자재단가"/>
      <sheetName val="주차구획선수량"/>
      <sheetName val="CP-E2 (품셈표)"/>
      <sheetName val="ETC"/>
      <sheetName val="자재단가비교표"/>
      <sheetName val="집수정"/>
      <sheetName val="포장복구집계"/>
      <sheetName val="원효펌프교체020812"/>
      <sheetName val="1.수인터널"/>
      <sheetName val="1.설계조건"/>
      <sheetName val="LEGEND"/>
      <sheetName val="GAEYO"/>
      <sheetName val="양천현"/>
      <sheetName val="을 1"/>
      <sheetName val="을 2"/>
      <sheetName val="내역서-CCTV"/>
      <sheetName val="설비단가표"/>
      <sheetName val="지구단위계획"/>
      <sheetName val="심사계산"/>
      <sheetName val="심사물량"/>
      <sheetName val="도로정위치부표"/>
      <sheetName val="DB구축"/>
      <sheetName val="도로조사부표"/>
      <sheetName val="재정비내역"/>
      <sheetName val="입력변수"/>
      <sheetName val="지적고시내역"/>
      <sheetName val="예방접종계획"/>
      <sheetName val="버스운행안내"/>
      <sheetName val="근태계획서"/>
      <sheetName val="진입부 단위수량"/>
      <sheetName val="조명시설"/>
      <sheetName val="홍보비디오"/>
      <sheetName val="_REF"/>
      <sheetName val="총괄표"/>
      <sheetName val="Sheet4"/>
      <sheetName val="갑지(추정)"/>
      <sheetName val="SP-B1"/>
      <sheetName val="노임조서"/>
      <sheetName val="Curves"/>
      <sheetName val="Tables"/>
      <sheetName val="재고"/>
      <sheetName val="전차선로 물량표"/>
      <sheetName val="가압장(토목)"/>
      <sheetName val="역T형"/>
      <sheetName val="작성기준"/>
      <sheetName val="2001년고정자산"/>
      <sheetName val="직공비"/>
      <sheetName val="공사현황"/>
      <sheetName val="1단계"/>
      <sheetName val="48전력선로일위"/>
      <sheetName val="COST"/>
      <sheetName val="재료비집계"/>
      <sheetName val="일(4)"/>
      <sheetName val="식재인부"/>
      <sheetName val="제조노임"/>
      <sheetName val="원가총괄"/>
      <sheetName val="다목적갑"/>
      <sheetName val="정부노임단가"/>
      <sheetName val="TABLE"/>
      <sheetName val="수목단가"/>
      <sheetName val="소방"/>
      <sheetName val="1.1서버도입"/>
      <sheetName val="ELECTRIC"/>
      <sheetName val="설계명세서"/>
      <sheetName val="File_관급"/>
      <sheetName val="공정집계"/>
      <sheetName val="일위대가 집계표"/>
      <sheetName val="견적대비 견적서"/>
      <sheetName val="단가대비표"/>
      <sheetName val="YOEMAGUM"/>
      <sheetName val="업무분장 "/>
      <sheetName val="수량산출(가로등)"/>
      <sheetName val="단가대비표 (2)"/>
      <sheetName val="단가대비표1"/>
      <sheetName val="예총"/>
      <sheetName val="입출재고현황 (2)"/>
      <sheetName val="工관리비율"/>
      <sheetName val="외자배분"/>
      <sheetName val="환율"/>
      <sheetName val="설계내역"/>
      <sheetName val="석재장조사"/>
      <sheetName val="교각1"/>
      <sheetName val="원가_(2)"/>
      <sheetName val="5_설치내역"/>
      <sheetName val="내역서1999.8최종"/>
      <sheetName val="일위목차"/>
      <sheetName val="식재가격"/>
      <sheetName val="식재총괄"/>
      <sheetName val="중강당 내역"/>
      <sheetName val="Macro(조도)"/>
      <sheetName val="98수문일위"/>
      <sheetName val="Customer Databas"/>
      <sheetName val="기자재비"/>
      <sheetName val="노임단가표 "/>
      <sheetName val="단중표"/>
      <sheetName val="금융비용"/>
      <sheetName val="케이블및전선관규격표"/>
      <sheetName val="조도계산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호기일지"/>
      <sheetName val="자료업체"/>
      <sheetName val="설비목비율"/>
      <sheetName val="요청목록"/>
      <sheetName val="표지"/>
      <sheetName val="비율"/>
      <sheetName val="신호결과"/>
      <sheetName val="Sheet1"/>
      <sheetName val="설-총괄"/>
      <sheetName val="설재료집"/>
      <sheetName val="설직재-1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완성공사율(2)"/>
      <sheetName val="工산재율"/>
      <sheetName val="工안전관리율"/>
      <sheetName val="설운반"/>
      <sheetName val="설-폐기"/>
      <sheetName val="설감가"/>
      <sheetName val="工관리비율"/>
      <sheetName val="제비목비율 "/>
      <sheetName val="제총괄"/>
      <sheetName val="제-직재집"/>
      <sheetName val="제직재"/>
      <sheetName val="J直材4"/>
      <sheetName val="N賃率-職"/>
      <sheetName val="직재"/>
      <sheetName val="직노"/>
      <sheetName val="설직재_1"/>
      <sheetName val="1.우편집중내역서"/>
      <sheetName val="집계"/>
      <sheetName val="#REF"/>
      <sheetName val="기본일위"/>
      <sheetName val="내역서2안"/>
      <sheetName val="패널"/>
      <sheetName val="실행내역"/>
      <sheetName val="토 적 표"/>
      <sheetName val="일위"/>
      <sheetName val="내역서"/>
      <sheetName val="지급자재"/>
      <sheetName val="서울시신호-2"/>
      <sheetName val="연령현황"/>
      <sheetName val="I一般比"/>
      <sheetName val="1-1"/>
      <sheetName val="__"/>
      <sheetName val="교각1"/>
      <sheetName val="업무"/>
      <sheetName val="단"/>
      <sheetName val="ABUT수량-A1"/>
      <sheetName val="danga"/>
      <sheetName val="ilch"/>
      <sheetName val=" HIT-&gt;HMC 견적(3900)"/>
      <sheetName val="내역"/>
      <sheetName val="인건비"/>
      <sheetName val="신우"/>
      <sheetName val="부서현황"/>
      <sheetName val="재집"/>
      <sheetName val="4.설계예산내역서"/>
      <sheetName val="6.관급자재조서"/>
      <sheetName val="20관리비율"/>
      <sheetName val="갑지"/>
      <sheetName val="금액내역서"/>
      <sheetName val="골조시행"/>
      <sheetName val="노무비"/>
      <sheetName val="노임단가표"/>
      <sheetName val="총괄 CCTV수량"/>
      <sheetName val="노임단가"/>
      <sheetName val="적용단가"/>
      <sheetName val="Y-WORK"/>
      <sheetName val="ITEM"/>
      <sheetName val="실행"/>
      <sheetName val="부하(성남)"/>
      <sheetName val="광혁기성"/>
      <sheetName val="토공(우물통,기타) "/>
      <sheetName val="input"/>
      <sheetName val="40총괄"/>
      <sheetName val="40집계"/>
      <sheetName val="내역및총괄"/>
      <sheetName val="COPING"/>
      <sheetName val="제-노임"/>
      <sheetName val="단위수량"/>
      <sheetName val="공사내역"/>
      <sheetName val="수량산출"/>
      <sheetName val="을"/>
      <sheetName val="합천내역"/>
      <sheetName val="경영상태"/>
      <sheetName val="유림골조"/>
      <sheetName val="재료집계"/>
      <sheetName val="guard(mac)"/>
      <sheetName val="8.PILE  (돌출)"/>
      <sheetName val="용소리교"/>
      <sheetName val="대가호표"/>
      <sheetName val="건축내역"/>
      <sheetName val="NEYOK"/>
      <sheetName val="단가산출2"/>
      <sheetName val="견적대비 견적서"/>
      <sheetName val="공사원가계산서"/>
      <sheetName val="경산"/>
      <sheetName val="산출기준자료"/>
      <sheetName val="공조기"/>
      <sheetName val="단가 "/>
      <sheetName val="일위대가"/>
      <sheetName val="수목데이타 "/>
      <sheetName val="B2BERP"/>
      <sheetName val="K55수출"/>
      <sheetName val="원가 (2)"/>
      <sheetName val="전체"/>
      <sheetName val="LH3 동양시스템"/>
      <sheetName val="sw1"/>
      <sheetName val="U-TYPE(1)"/>
      <sheetName val="단위일위"/>
      <sheetName val="6. 직접경비"/>
      <sheetName val="기존단가 (2)"/>
      <sheetName val="XL4Poppy"/>
      <sheetName val="포장절단"/>
      <sheetName val="데이타"/>
      <sheetName val="G.R300경비"/>
      <sheetName val="단가산출"/>
      <sheetName val="BASIC (2)"/>
      <sheetName val="6호기"/>
      <sheetName val="AILC004"/>
      <sheetName val="Summary Sheets"/>
      <sheetName val="EQ-R1"/>
      <sheetName val="3.공통공사대비"/>
      <sheetName val="9GNG운반"/>
      <sheetName val="개요"/>
      <sheetName val="Sheet6"/>
      <sheetName val="CODE1"/>
      <sheetName val="제비목비율_"/>
      <sheetName val="1_우편집중내역서"/>
      <sheetName val="토_적_표"/>
      <sheetName val="홍보비디오"/>
      <sheetName val="일위대가(계측기설치)"/>
      <sheetName val="공정집계_국별"/>
      <sheetName val="_HIT-&gt;HMC_견적(3900)"/>
      <sheetName val="4_설계예산내역서"/>
      <sheetName val="6_관급자재조서"/>
      <sheetName val="견적990322"/>
      <sheetName val="LOAD-46"/>
      <sheetName val="표지 (2)"/>
      <sheetName val="N賃率_職"/>
      <sheetName val="배수통관(좌)"/>
      <sheetName val="품셈TABLE"/>
      <sheetName val="DB"/>
      <sheetName val="총괄목록"/>
      <sheetName val="견적서"/>
      <sheetName val="HW일위"/>
      <sheetName val="교통대책내역"/>
      <sheetName val="손익분석"/>
      <sheetName val="전신환매도율"/>
      <sheetName val="자재단가"/>
      <sheetName val="LEGEND"/>
      <sheetName val="일위대가(가설)"/>
      <sheetName val="MS"/>
      <sheetName val="공정외주"/>
      <sheetName val="96갑지"/>
      <sheetName val="자재단가비교표"/>
      <sheetName val="data2"/>
      <sheetName val="대치판정"/>
      <sheetName val="일위대가(4층원격)"/>
      <sheetName val="이토변실(A3-LINE)"/>
      <sheetName val="제비목비율_1"/>
      <sheetName val="토_적_표1"/>
      <sheetName val="1_우편집중내역서1"/>
      <sheetName val="_HIT-&gt;HMC_견적(3900)1"/>
      <sheetName val="4_설계예산내역서1"/>
      <sheetName val="6_관급자재조서1"/>
      <sheetName val="총괄_CCTV수량"/>
      <sheetName val="6__직접경비"/>
      <sheetName val="8_PILE__(돌출)"/>
      <sheetName val="견적대비_견적서"/>
      <sheetName val="단가_"/>
      <sheetName val="수목데이타_"/>
      <sheetName val="원가_(2)"/>
      <sheetName val="LH3_동양시스템"/>
      <sheetName val="토공(우물통,기타)_"/>
      <sheetName val="설계변경내역서"/>
      <sheetName val="마감사양"/>
      <sheetName val="-배수구조총재료"/>
      <sheetName val="평자재단가"/>
      <sheetName val="공사비"/>
      <sheetName val="노임"/>
      <sheetName val="제경집계"/>
      <sheetName val="기계경비"/>
      <sheetName val="골막이(야매)"/>
      <sheetName val="조건표"/>
      <sheetName val="단가"/>
      <sheetName val="2002공임"/>
      <sheetName val="2002자재가격"/>
      <sheetName val="AP1"/>
      <sheetName val="1,2공구원가계산서"/>
      <sheetName val="1공구산출내역서"/>
      <sheetName val="총괄내역서"/>
      <sheetName val="조명율표"/>
      <sheetName val="예비품"/>
      <sheetName val="결과조달"/>
      <sheetName val="wall"/>
      <sheetName val="견적대비"/>
      <sheetName val="단가조사서"/>
      <sheetName val="목차"/>
      <sheetName val="부하계산서"/>
      <sheetName val="하조서"/>
      <sheetName val="공문"/>
      <sheetName val="노임이"/>
      <sheetName val="LKVL-CK-HT-GD1"/>
      <sheetName val="TONGKE-HT"/>
      <sheetName val="총괄표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대가 "/>
      <sheetName val="대비"/>
      <sheetName val="단-원산"/>
      <sheetName val="단-천우"/>
      <sheetName val="단-조은"/>
      <sheetName val="MOTOR"/>
      <sheetName val="2F 회의실견적(5_14 일대)"/>
      <sheetName val="정부노임단가"/>
      <sheetName val="조도계산서 (도서)"/>
      <sheetName val="wall"/>
      <sheetName val="사전공사"/>
      <sheetName val="Y-WORK"/>
      <sheetName val="인건비"/>
      <sheetName val="225-5"/>
      <sheetName val="중기일위대가"/>
      <sheetName val="DATA"/>
      <sheetName val="일반공사"/>
      <sheetName val="102역사"/>
      <sheetName val="MACRO(MCC)"/>
      <sheetName val="Sheet1"/>
      <sheetName val="ITEM"/>
      <sheetName val="1"/>
      <sheetName val="통합"/>
      <sheetName val="을"/>
      <sheetName val="내역"/>
      <sheetName val="WORK"/>
      <sheetName val="수량산출"/>
      <sheetName val="설직재-1"/>
      <sheetName val="품셈기준"/>
      <sheetName val="__MAIN"/>
      <sheetName val="의왕F사"/>
      <sheetName val="가공사"/>
      <sheetName val="BID"/>
      <sheetName val="명세서"/>
      <sheetName val="단가산출1"/>
      <sheetName val="일위대가목록"/>
      <sheetName val="#REF"/>
      <sheetName val="표지 (2)"/>
      <sheetName val="부안변전"/>
      <sheetName val="Macro1"/>
      <sheetName val="발전기계산서"/>
      <sheetName val="단가산출집계"/>
      <sheetName val="금액내역서"/>
      <sheetName val="견적대비 견적서"/>
      <sheetName val="안정검토(온1)"/>
      <sheetName val="ⴭⴭⴭⴭ"/>
      <sheetName val="L_RPTA05_목록"/>
      <sheetName val="98지급계획"/>
      <sheetName val="EP0618"/>
      <sheetName val="노임단가"/>
      <sheetName val="펌프장수량산출(토)"/>
      <sheetName val="giathanh1"/>
      <sheetName val="3련 BOX"/>
      <sheetName val="업무처리전"/>
      <sheetName val="부하_성남_"/>
      <sheetName val="단"/>
      <sheetName val="입력DATA"/>
      <sheetName val="바닥판"/>
      <sheetName val="일위대가"/>
      <sheetName val="본체"/>
      <sheetName val="빌딩 안내"/>
      <sheetName val="방송노임"/>
      <sheetName val="Total"/>
      <sheetName val="총괄"/>
      <sheetName val="K1자재(3차등)"/>
      <sheetName val="입찰안"/>
      <sheetName val="ABUT수량-A1"/>
      <sheetName val="과천MAIN"/>
      <sheetName val="신우"/>
      <sheetName val="현장지지물물량"/>
      <sheetName val="원가계산서"/>
      <sheetName val="방송(체육관)"/>
      <sheetName val="하수급견적대비"/>
      <sheetName val="설계조건"/>
      <sheetName val="뚝토공"/>
      <sheetName val="대가_"/>
      <sheetName val="2F_회의실견적(5_14_일대)"/>
      <sheetName val="조도계산서_(도서)"/>
      <sheetName val="토사(PE)"/>
      <sheetName val="재노경"/>
      <sheetName val="BQ"/>
      <sheetName val="FB25JN"/>
      <sheetName val="합천내역"/>
      <sheetName val="J直材4"/>
      <sheetName val="__"/>
      <sheetName val="자재단가비교표"/>
      <sheetName val="N賃率-職"/>
      <sheetName val="적용단가"/>
      <sheetName val="I一般比"/>
      <sheetName val="직재"/>
      <sheetName val="대공종"/>
      <sheetName val="목차"/>
      <sheetName val="工완성공사율"/>
      <sheetName val="날개벽수량표"/>
      <sheetName val="일위대가표"/>
      <sheetName val="표지"/>
      <sheetName val="공종별집계표"/>
      <sheetName val="공종별내역서"/>
      <sheetName val="조도계산서 _도서_"/>
      <sheetName val="9GNG운반"/>
      <sheetName val="을 2"/>
      <sheetName val="을 1"/>
      <sheetName val="우수"/>
      <sheetName val="DM 56"/>
      <sheetName val="TABLE"/>
      <sheetName val="간지"/>
      <sheetName val="조명시설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(승달문예회관)"/>
      <sheetName val="변압기용량"/>
      <sheetName val="발전기"/>
      <sheetName val="발전기부하"/>
      <sheetName val="축전지"/>
      <sheetName val="전압조건"/>
      <sheetName val="전압강하계산서"/>
      <sheetName val="부하조건"/>
      <sheetName val="부하계산서"/>
      <sheetName val="부하(성남)"/>
      <sheetName val="부하_성남_"/>
      <sheetName val="내역서"/>
      <sheetName val="조도계산서 (도서)"/>
      <sheetName val="FORM-0"/>
      <sheetName val="중기일위대가"/>
      <sheetName val="SD"/>
      <sheetName val="인건비"/>
      <sheetName val="전차선로 물량표"/>
      <sheetName val="가도공"/>
      <sheetName val="공사비예산서(토목분)"/>
      <sheetName val="정부노임단가"/>
      <sheetName val="LOPCALC"/>
      <sheetName val="노임단가"/>
      <sheetName val="중기사용료"/>
      <sheetName val="Sheet1"/>
      <sheetName val="바닥판"/>
      <sheetName val="수질정화시설"/>
      <sheetName val="집수정(600-700)"/>
      <sheetName val="설직재-1"/>
      <sheetName val="단면가정"/>
      <sheetName val="설계조건"/>
      <sheetName val="부재력정리"/>
      <sheetName val="토목주소"/>
      <sheetName val="프랜트면허"/>
      <sheetName val="대로근거"/>
      <sheetName val="중로근거"/>
      <sheetName val="#REF"/>
      <sheetName val="Sheet17"/>
      <sheetName val="INPUT"/>
      <sheetName val="기기리스트"/>
      <sheetName val="ABUT수량-A1"/>
      <sheetName val="현장지지물물량"/>
      <sheetName val="전기실및집수정"/>
      <sheetName val="금액내역서"/>
      <sheetName val="제경비"/>
      <sheetName val="내역표지"/>
      <sheetName val="내역"/>
      <sheetName val="가설건물"/>
      <sheetName val="2공구수량"/>
      <sheetName val="BOJUNGGM"/>
      <sheetName val="UEC영화관본공사내역"/>
      <sheetName val="영창26"/>
      <sheetName val="공통"/>
      <sheetName val="Macro1"/>
      <sheetName val="TRE TABLE"/>
      <sheetName val="DATA"/>
      <sheetName val="L-type"/>
      <sheetName val="사급자재"/>
      <sheetName val="집계표"/>
      <sheetName val="대전-교대(A1-A2)"/>
      <sheetName val="수량산출내역1115"/>
      <sheetName val="지급자재"/>
      <sheetName val="교각1"/>
      <sheetName val="타공종이기"/>
      <sheetName val="96작생능"/>
      <sheetName val="계약"/>
      <sheetName val="조도계산서_(도서)"/>
      <sheetName val="PI"/>
      <sheetName val="목차"/>
      <sheetName val="단가비교"/>
      <sheetName val="다이꾸"/>
      <sheetName val="MOTOR"/>
      <sheetName val="U-TYPE(1)"/>
      <sheetName val="부하LOAD"/>
      <sheetName val="아파트 "/>
      <sheetName val="자재단가"/>
      <sheetName val="주식"/>
      <sheetName val="Sheet1 (2)"/>
      <sheetName val="ⴭⴭⴭⴭ"/>
      <sheetName val="간선계산"/>
      <sheetName val="역T형교대(말뚝기초)"/>
      <sheetName val="일위대가"/>
      <sheetName val="7.1유효폭"/>
      <sheetName val="소비자가"/>
      <sheetName val="DATE"/>
      <sheetName val="수량산출"/>
      <sheetName val="별표총괄"/>
      <sheetName val="방송(체육관)"/>
      <sheetName val="골조시행"/>
      <sheetName val="EQUIP LIST"/>
      <sheetName val="BOM(Elec)"/>
      <sheetName val="처리단락"/>
      <sheetName val="건축부하"/>
      <sheetName val="약전닥트"/>
      <sheetName val="일지-H"/>
      <sheetName val="김포IO"/>
      <sheetName val="LD"/>
      <sheetName val="FA설치명세"/>
      <sheetName val="기별"/>
      <sheetName val="설계명세서"/>
      <sheetName val="일위대가(가설)"/>
      <sheetName val="Macro(전선)"/>
      <sheetName val="현황산출서"/>
      <sheetName val="Sheet3"/>
      <sheetName val="FD"/>
      <sheetName val="99관저"/>
      <sheetName val="XXXXXX"/>
      <sheetName val="갑지"/>
      <sheetName val="총괄"/>
      <sheetName val="표지"/>
      <sheetName val="3"/>
      <sheetName val="Sheet5"/>
      <sheetName val="데이타"/>
      <sheetName val="부대내역"/>
      <sheetName val="ITEM"/>
      <sheetName val="터널조도"/>
      <sheetName val="식재인부"/>
      <sheetName val="제잡비집계"/>
      <sheetName val="1,2공구원가계산서"/>
      <sheetName val="2공구산출내역"/>
      <sheetName val="1공구산출내역서"/>
      <sheetName val="조명율표"/>
      <sheetName val="설계예산서"/>
      <sheetName val="총계"/>
      <sheetName val="예산내역서"/>
      <sheetName val="개소별수량산출"/>
      <sheetName val="CC16-내역서"/>
      <sheetName val="노임이"/>
      <sheetName val="Ç¥Áö(½Â´Þ¹®¿¹È¸°ü)"/>
      <sheetName val="º¯¾Ð±â¿ë·®"/>
      <sheetName val="¹ßÀü±â"/>
      <sheetName val="¹ßÀü±âºÎÇÏ"/>
      <sheetName val="ÃàÀüÁö"/>
      <sheetName val="Àü¾ÐÁ¶°Ç"/>
      <sheetName val="Àü¾Ð°­ÇÏ°è»ê¼­"/>
      <sheetName val="ºÎÇÏÁ¶°Ç"/>
      <sheetName val="ºÎÇÏ°è»ê¼­"/>
      <sheetName val="ºÎÇÏ(¼º³²)"/>
      <sheetName val="ºÎÇÏ_¼º³²_"/>
      <sheetName val="교각계산"/>
      <sheetName val="대치판정"/>
      <sheetName val="예가표"/>
      <sheetName val="내역대비표"/>
      <sheetName val="시중노임단가"/>
      <sheetName val="정렬"/>
      <sheetName val="연돌일위집계"/>
      <sheetName val="99노임기준"/>
      <sheetName val="투찰"/>
      <sheetName val="조건표"/>
      <sheetName val="수량"/>
      <sheetName val="Total"/>
      <sheetName val="기성금내역서"/>
      <sheetName val="표지 (2)"/>
      <sheetName val="경영상태"/>
      <sheetName val="__"/>
      <sheetName val="노임"/>
      <sheetName val="전차선로_물량표"/>
      <sheetName val="아파트_"/>
      <sheetName val="단가조사표"/>
      <sheetName val="신우"/>
      <sheetName val="과천MAIN"/>
      <sheetName val="항목등록"/>
      <sheetName val="입력값"/>
      <sheetName val="SRC-B3U2"/>
      <sheetName val="적용단위길이"/>
      <sheetName val="소요자재"/>
      <sheetName val="노무산출서"/>
      <sheetName val="TRE_TABLE"/>
      <sheetName val="TABLE"/>
      <sheetName val="FB25JN"/>
      <sheetName val="투자효율분석"/>
      <sheetName val="공통(20-91)"/>
      <sheetName val="한강운반비"/>
      <sheetName val="자재"/>
      <sheetName val="BEND LOSS"/>
      <sheetName val="tggwan(mac)"/>
      <sheetName val="철근단면적"/>
      <sheetName val="내역기준"/>
      <sheetName val="뚝토공"/>
      <sheetName val="단가표"/>
      <sheetName val="001"/>
      <sheetName val="토사(PE)"/>
      <sheetName val="비용적자료"/>
      <sheetName val="인사자료총집계"/>
      <sheetName val="설계개요"/>
      <sheetName val="입찰안"/>
      <sheetName val="포장직선구간"/>
      <sheetName val="법면"/>
      <sheetName val="부대공"/>
      <sheetName val="구조물공"/>
      <sheetName val="포장공"/>
      <sheetName val="토공"/>
      <sheetName val="배수공1"/>
      <sheetName val="0124"/>
      <sheetName val="CTEMCOST"/>
      <sheetName val="수로단위수량"/>
      <sheetName val="설계내역서"/>
      <sheetName val="처리장"/>
      <sheetName val="하수관로"/>
      <sheetName val="우각부보강"/>
      <sheetName val="전기일위대가"/>
      <sheetName val="몰탈콘크리트"/>
      <sheetName val="Pack-3"/>
      <sheetName val="QUOTATION"/>
      <sheetName val="QUOTATION (2)"/>
      <sheetName val="조명시설"/>
      <sheetName val="차선도색현황"/>
      <sheetName val="특수기호강도거푸집"/>
      <sheetName val="종배수관면벽신"/>
      <sheetName val="종배수관(신)"/>
      <sheetName val="건축공사 내역"/>
      <sheetName val="배수공"/>
      <sheetName val="간지"/>
      <sheetName val="Sheet6"/>
      <sheetName val="4-3 보온 기본물량집계"/>
      <sheetName val="단중표"/>
      <sheetName val="시공여유율"/>
      <sheetName val="E01"/>
      <sheetName val="MVE02"/>
      <sheetName val="TYPE1"/>
      <sheetName val="철근량"/>
      <sheetName val="메서,변+증"/>
      <sheetName val="날개벽37.5。,82.5。"/>
      <sheetName val="말뚝지지력산정"/>
      <sheetName val="단가"/>
      <sheetName val="M1"/>
      <sheetName val="발신정보"/>
      <sheetName val="직노"/>
      <sheetName val="주형"/>
      <sheetName val="Ring"/>
      <sheetName val="INPUT(덕도방향-시점)"/>
      <sheetName val="Man Power &amp; Comp"/>
      <sheetName val="EP0618"/>
      <sheetName val="조도계산"/>
      <sheetName val="수량이동"/>
      <sheetName val="M3산출"/>
      <sheetName val="BAND(200)"/>
      <sheetName val="EL 표면적"/>
      <sheetName val="Detail"/>
      <sheetName val="화전내"/>
      <sheetName val="단면 (2)"/>
      <sheetName val="#매송휴게소 전체사원#"/>
    </sheetNames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변압기용량"/>
      <sheetName val="전압조건"/>
      <sheetName val="전압(성남)"/>
      <sheetName val="부하조건"/>
      <sheetName val="부하(성남)"/>
      <sheetName val="부하_성남_"/>
      <sheetName val="공통(20-91)"/>
      <sheetName val="부하LOAD"/>
      <sheetName val="VXXXXX"/>
      <sheetName val="갑지"/>
      <sheetName val="원가도공 (3)"/>
      <sheetName val="원가도공 (2)"/>
      <sheetName val="지급자재"/>
      <sheetName val="수배전원가"/>
      <sheetName val="수배전반"/>
      <sheetName val="수배전단가"/>
      <sheetName val="등기구내역"/>
      <sheetName val="발전기집계"/>
      <sheetName val="집계표"/>
      <sheetName val="내역서"/>
      <sheetName val="분전반일위대가"/>
      <sheetName val="일위대가 "/>
      <sheetName val="인공산출서"/>
      <sheetName val="수량산출"/>
      <sheetName val="단가조사서"/>
      <sheetName val="소방내역"/>
      <sheetName val="노무비조정 (%)"/>
      <sheetName val="단가대비표"/>
      <sheetName val="내역서 (2)"/>
      <sheetName val="산출집계"/>
      <sheetName val="101자탐기초"/>
      <sheetName val="101유도등기초"/>
      <sheetName val="101방송기초 "/>
      <sheetName val="102자탐기초 "/>
      <sheetName val="102유도등기초"/>
      <sheetName val="102방송기초"/>
      <sheetName val="103자탐기초"/>
      <sheetName val="103유도등기초"/>
      <sheetName val="103방송기초"/>
      <sheetName val="104자탐기초"/>
      <sheetName val="104유도등기초"/>
      <sheetName val="104방송기초"/>
      <sheetName val="105자탐기초"/>
      <sheetName val="105유도등기초"/>
      <sheetName val="105방송기초"/>
      <sheetName val="106자탐기초"/>
      <sheetName val="106유도등기초"/>
      <sheetName val="106방송기초"/>
      <sheetName val="107자탐기초"/>
      <sheetName val="107유도등기초"/>
      <sheetName val="107방송기초"/>
      <sheetName val="옥외자탐기초"/>
      <sheetName val="근생자탐기초"/>
      <sheetName val="내역서 (상가)"/>
      <sheetName val="분전반일위대가 (상가)"/>
      <sheetName val="일위대가  (상가)"/>
      <sheetName val="인공산출서 (상가)"/>
      <sheetName val="수량산출 (상가)"/>
      <sheetName val="단가조사서 (상가)"/>
      <sheetName val="LOPCALC"/>
      <sheetName val="조도계산서 (도서)"/>
      <sheetName val="인허가수행 Schedule"/>
      <sheetName val="노임단가"/>
      <sheetName val="요율"/>
      <sheetName val="Sheet2"/>
      <sheetName val="BID"/>
      <sheetName val="외천교"/>
      <sheetName val="부하계산서"/>
      <sheetName val="MOTOR"/>
      <sheetName val="바닥판"/>
      <sheetName val="목차"/>
      <sheetName val="예산내역서"/>
      <sheetName val="설계예산서"/>
      <sheetName val="가설건물"/>
      <sheetName val="관리사무소"/>
      <sheetName val="적용단위길이"/>
      <sheetName val="산출2-기기동력"/>
      <sheetName val="소비자가"/>
      <sheetName val="#REF"/>
      <sheetName val="DATA"/>
      <sheetName val="조명율표"/>
      <sheetName val="데이타"/>
      <sheetName val="자재테이블"/>
      <sheetName val="전차선로 물량표"/>
      <sheetName val="list"/>
      <sheetName val="기타유틸리티설비"/>
      <sheetName val="1"/>
      <sheetName val="BSD (2)"/>
      <sheetName val="7.1유효폭"/>
      <sheetName val="SUNGNAM1"/>
      <sheetName val="토목변경"/>
      <sheetName val="단가정보"/>
      <sheetName val="INPUT DATA"/>
      <sheetName val="CSTSUM"/>
      <sheetName val="TRE TABLE"/>
      <sheetName val="BQ"/>
      <sheetName val="J直材4"/>
      <sheetName val="Sheet17"/>
      <sheetName val="전력구구조물산근"/>
      <sheetName val="결선list"/>
      <sheetName val="정렬"/>
      <sheetName val="설계조건"/>
      <sheetName val="ABUT수량-A1"/>
      <sheetName val="cost"/>
      <sheetName val="전기실및집수정"/>
      <sheetName val="여흥"/>
      <sheetName val="원가"/>
      <sheetName val="한강운반비"/>
      <sheetName val="자재"/>
      <sheetName val="WORK"/>
      <sheetName val="산출내역서집계표"/>
      <sheetName val="ⴭⴭⴭⴭ"/>
      <sheetName val="L-type"/>
      <sheetName val="토공및부대2차"/>
      <sheetName val="토사(PE)"/>
      <sheetName val="L_RPTA05_목록"/>
      <sheetName val="정부노임단가"/>
      <sheetName val="3련 BOX"/>
      <sheetName val="발신정보"/>
      <sheetName val="일위대가내역"/>
      <sheetName val="총괄"/>
      <sheetName val="금긋기 및 절단"/>
      <sheetName val="96작생능"/>
      <sheetName val="품셈기준"/>
      <sheetName val="단가대비표 (3)"/>
      <sheetName val="일위대가"/>
      <sheetName val="입찰안"/>
      <sheetName val="주간기성"/>
      <sheetName val="적용토목"/>
      <sheetName val="단중표"/>
      <sheetName val="교각계산"/>
      <sheetName val="Code"/>
      <sheetName val="Import"/>
      <sheetName val="인건비"/>
      <sheetName val="wall"/>
      <sheetName val="FEXS"/>
      <sheetName val="MEXICO-C"/>
      <sheetName val="환율-LIBOR"/>
      <sheetName val="소요자재"/>
      <sheetName val="MACRO(MCC)"/>
      <sheetName val="ITEM"/>
      <sheetName val="횡배수관단위수량"/>
      <sheetName val="Sheet3"/>
      <sheetName val="품의서"/>
      <sheetName val="수질정화시설"/>
      <sheetName val="자재단가"/>
      <sheetName val="U-TYPE(1)"/>
      <sheetName val="c_balju"/>
      <sheetName val="중기사용료"/>
      <sheetName val="1공구(을)"/>
      <sheetName val="품목납기"/>
      <sheetName val="Macro1"/>
      <sheetName val="Macro2"/>
      <sheetName val="오산갈곳"/>
      <sheetName val="표지 (2)"/>
      <sheetName val="1.설계조건"/>
      <sheetName val="공정표"/>
      <sheetName val="공사원가계산서"/>
      <sheetName val="수량산출서"/>
      <sheetName val="안정검토"/>
      <sheetName val="3BL공동구 수량"/>
      <sheetName val="부안변전"/>
      <sheetName val="환율"/>
      <sheetName val="맨홀토공수량"/>
      <sheetName val="001"/>
      <sheetName val="주형"/>
      <sheetName val="예정공정표"/>
      <sheetName val="총계"/>
      <sheetName val="노임"/>
      <sheetName val="위치조서"/>
      <sheetName val="조명율데이타"/>
      <sheetName val="원가계산서"/>
      <sheetName val="인건-측정"/>
      <sheetName val="제잡비계산"/>
      <sheetName val="식재총괄"/>
      <sheetName val="시설물총괄"/>
      <sheetName val="건축총괄"/>
      <sheetName val="식재"/>
      <sheetName val="노무비"/>
      <sheetName val="FOOTING단면력"/>
      <sheetName val="중기일위대가"/>
      <sheetName val="타공종이기"/>
      <sheetName val="첨부"/>
      <sheetName val="부대내역"/>
      <sheetName val="GTG TR PIT"/>
      <sheetName val="조도계산서 _도서_"/>
      <sheetName val="CalcuSheet"/>
      <sheetName val="일반공사"/>
      <sheetName val="CRF"/>
      <sheetName val="현장지지물물량"/>
      <sheetName val="guard(mac)"/>
      <sheetName val="방배동내역(리라)"/>
      <sheetName val="공사비집계"/>
      <sheetName val="산#2-1 (2)"/>
      <sheetName val=" 견적서"/>
      <sheetName val="인허가수행_Schedule"/>
      <sheetName val="원가도공_(3)"/>
      <sheetName val="원가도공_(2)"/>
      <sheetName val="일위대가_"/>
      <sheetName val="노무비조정_(%)"/>
      <sheetName val="내역서_(2)"/>
      <sheetName val="101방송기초_"/>
      <sheetName val="102자탐기초_"/>
      <sheetName val="내역서_(상가)"/>
      <sheetName val="분전반일위대가_(상가)"/>
      <sheetName val="일위대가__(상가)"/>
      <sheetName val="인공산출서_(상가)"/>
      <sheetName val="수량산출_(상가)"/>
      <sheetName val="단가조사서_(상가)"/>
      <sheetName val="조도계산서_(도서)"/>
      <sheetName val="7_1유효폭"/>
      <sheetName val="BSD_(2)"/>
      <sheetName val="전차선로_물량표"/>
      <sheetName val="단가대비표_(3)"/>
      <sheetName val="산#2-1_(2)"/>
      <sheetName val="날개벽수량표"/>
      <sheetName val="입력DATA"/>
      <sheetName val="단"/>
      <sheetName val="내역"/>
      <sheetName val="공사비예산서(토목분)"/>
      <sheetName val="Proposal"/>
      <sheetName val="다이꾸"/>
      <sheetName val="추가및 공제(방파제)"/>
      <sheetName val="직공비"/>
      <sheetName val="Sheet1 (2)"/>
      <sheetName val="견적시담(송포2공구)"/>
      <sheetName val="양식"/>
      <sheetName val="실행품의서"/>
      <sheetName val="횡배위치"/>
      <sheetName val="일위대가목록"/>
      <sheetName val="HRSG SMALL07220"/>
      <sheetName val="49단가"/>
      <sheetName val="부대대비"/>
      <sheetName val="냉연집계"/>
      <sheetName val="토적계산"/>
      <sheetName val="전기일위대가"/>
      <sheetName val="금액내역서"/>
      <sheetName val="내역표지"/>
      <sheetName val="발전기계산서"/>
      <sheetName val="TABLE"/>
      <sheetName val="보차도경계석"/>
      <sheetName val="EQUIP LIST"/>
      <sheetName val="목록"/>
      <sheetName val="mesc"/>
      <sheetName val="cable-data"/>
      <sheetName val="처리단락"/>
      <sheetName val="LD"/>
      <sheetName val="약전닥트"/>
      <sheetName val="건축부하"/>
      <sheetName val="일지-H"/>
      <sheetName val="FA설치명세"/>
      <sheetName val="김포IO"/>
      <sheetName val="ilch"/>
      <sheetName val="차액보증"/>
      <sheetName val="기자재비"/>
      <sheetName val="1.우편집중내역서"/>
      <sheetName val="포장공"/>
      <sheetName val="Y-WORK"/>
      <sheetName val="Ç¥Áö"/>
      <sheetName val="º¯¾Ð±â¿ë·®"/>
      <sheetName val="Àü¾ÐÁ¶°Ç"/>
      <sheetName val="Àü¾Ð(¼º³²)"/>
      <sheetName val="ºÎÇÏÁ¶°Ç"/>
      <sheetName val="ºÎÇÏ(¼º³²)"/>
      <sheetName val="°øÅë(20-91)"/>
      <sheetName val="ºÎÇÏ_¼º³²_"/>
      <sheetName val="ÀÎÇã°¡¼öÇà Schedule"/>
      <sheetName val="ºÎÇÏLOAD"/>
      <sheetName val="7.1À¯È¿Æø"/>
      <sheetName val="°©Áö"/>
      <sheetName val="¿ø°¡µµ°ø (3)"/>
      <sheetName val="¿ø°¡µµ°ø (2)"/>
      <sheetName val="Áö±ÞÀÚÀç"/>
      <sheetName val="¼ö¹èÀü¿ø°¡"/>
      <sheetName val="¼ö¹èÀü¹Ý"/>
      <sheetName val="¼ö¹èÀü´Ü°¡"/>
      <sheetName val="µî±â±¸³»¿ª"/>
      <sheetName val="¹ßÀü±âÁý°è"/>
      <sheetName val="Áý°èÇ¥"/>
      <sheetName val="³»¿ª¼­"/>
      <sheetName val="ºÐÀü¹ÝÀÏÀ§´ë°¡"/>
      <sheetName val="ÀÏÀ§´ë°¡ "/>
      <sheetName val="ÀÎ°ø»êÃâ¼­"/>
      <sheetName val="¼ö·®»êÃâ"/>
      <sheetName val="´Ü°¡Á¶»ç¼­"/>
      <sheetName val="¼Ò¹æ³»¿ª"/>
      <sheetName val="³ë¹«ºñÁ¶Á¤ (%)"/>
      <sheetName val="´Ü°¡´ëºñÇ¥"/>
      <sheetName val="³»¿ª¼­ (2)"/>
      <sheetName val="»êÃâÁý°è"/>
      <sheetName val="101ÀÚÅ½±âÃÊ"/>
      <sheetName val="101À¯µµµî±âÃÊ"/>
      <sheetName val="101¹æ¼Û±âÃÊ "/>
      <sheetName val="102ÀÚÅ½±âÃÊ "/>
      <sheetName val="102À¯µµµî±âÃÊ"/>
      <sheetName val="102¹æ¼Û±âÃÊ"/>
      <sheetName val="103ÀÚÅ½±âÃÊ"/>
      <sheetName val="103À¯µµµî±âÃÊ"/>
      <sheetName val="103¹æ¼Û±âÃÊ"/>
      <sheetName val="104ÀÚÅ½±âÃÊ"/>
      <sheetName val="104À¯µµµî±âÃÊ"/>
      <sheetName val="104¹æ¼Û±âÃÊ"/>
      <sheetName val="105ÀÚÅ½±âÃÊ"/>
      <sheetName val="105À¯µµµî±âÃÊ"/>
      <sheetName val="105¹æ¼Û±âÃÊ"/>
      <sheetName val="106ÀÚÅ½±âÃÊ"/>
      <sheetName val="106À¯µµµî±âÃÊ"/>
      <sheetName val="106¹æ¼Û±âÃÊ"/>
      <sheetName val="107ÀÚÅ½±âÃÊ"/>
      <sheetName val="107À¯µµµî±âÃÊ"/>
      <sheetName val="107¹æ¼Û±âÃÊ"/>
      <sheetName val="¿Á¿ÜÀÚÅ½±âÃÊ"/>
      <sheetName val="±Ù»ýÀÚÅ½±âÃÊ"/>
      <sheetName val="³»¿ª¼­ (»ó°¡)"/>
      <sheetName val="ºÐÀü¹ÝÀÏÀ§´ë°¡ (»ó°¡)"/>
      <sheetName val="ÀÏÀ§´ë°¡  (»ó°¡)"/>
      <sheetName val="ÀÎ°ø»êÃâ¼­ (»ó°¡)"/>
      <sheetName val="¼ö·®»êÃâ (»ó°¡)"/>
      <sheetName val="´Ü°¡Á¶»ç¼­ (»ó°¡)"/>
      <sheetName val="L_RPTA05_¸ñ·Ï"/>
      <sheetName val="³¯°³º®¼ö·®Ç¥"/>
      <sheetName val="Á¶µµ°è»ê¼­ (µµ¼­)"/>
      <sheetName val="Áß±âÀÏÀ§´ë°¡"/>
      <sheetName val="´ÙÀÌ²Ù"/>
      <sheetName val="COVER"/>
      <sheetName val="참조"/>
      <sheetName val="Param"/>
      <sheetName val="W-현원가"/>
      <sheetName val="배수관공"/>
      <sheetName val="을 2"/>
      <sheetName val="철거산출근거"/>
      <sheetName val="Sheet13"/>
      <sheetName val="Sheet14"/>
      <sheetName val="발전기"/>
      <sheetName val="TRE_TABLE"/>
      <sheetName val="INPUT_DATA"/>
      <sheetName val="금긋기_및_절단"/>
      <sheetName val="1_설계조건"/>
      <sheetName val="ÀÎÇã°¡¼öÇà_Schedule"/>
      <sheetName val="7_1À¯È¿Æø"/>
      <sheetName val="¿ø°¡µµ°ø_(3)"/>
      <sheetName val="¿ø°¡µµ°ø_(2)"/>
      <sheetName val="ÀÏÀ§´ë°¡_"/>
      <sheetName val="³ë¹«ºñÁ¶Á¤_(%)"/>
      <sheetName val="³»¿ª¼­_(2)"/>
      <sheetName val="101¹æ¼Û±âÃÊ_"/>
      <sheetName val="102ÀÚÅ½±âÃÊ_"/>
      <sheetName val="³»¿ª¼­_(»ó°¡)"/>
      <sheetName val="ºÐÀü¹ÝÀÏÀ§´ë°¡_(»ó°¡)"/>
      <sheetName val="ÀÏÀ§´ë°¡__(»ó°¡)"/>
      <sheetName val="ÀÎ°ø»êÃâ¼­_(»ó°¡)"/>
      <sheetName val="¼ö·®»êÃâ_(»ó°¡)"/>
      <sheetName val="´Ü°¡Á¶»ç¼­_(»ó°¡)"/>
      <sheetName val="Á¶µµ°è»ê¼­_(µµ¼­)"/>
      <sheetName val="TYPE1"/>
      <sheetName val="철근량"/>
      <sheetName val="3련_BOX"/>
      <sheetName val="표지_(2)"/>
      <sheetName val="3BL공동구_수량"/>
      <sheetName val="hvac(제어동)"/>
      <sheetName val="기성집계"/>
      <sheetName val="GTG_TR_PIT"/>
      <sheetName val="조도계산서__도서_"/>
      <sheetName val="분뇨"/>
      <sheetName val="배관BM(일반)"/>
      <sheetName val="효율&amp;역율"/>
      <sheetName val="BEND LOSS"/>
      <sheetName val="Total"/>
      <sheetName val="프랜트면허"/>
      <sheetName val="현황산출서"/>
      <sheetName val="철근단면적"/>
      <sheetName val="경비"/>
      <sheetName val="CC16-내역서"/>
      <sheetName val="일위대가표"/>
      <sheetName val="주식"/>
      <sheetName val="토공"/>
      <sheetName val="기초대가"/>
      <sheetName val="D-3503"/>
      <sheetName val="L형옹벽측구"/>
      <sheetName val="CNC810M"/>
      <sheetName val="지진시"/>
      <sheetName val="방음벽기초(H=4m)"/>
      <sheetName val="변화치수"/>
      <sheetName val="터파기및재료"/>
      <sheetName val="일위대가(계측기설치)"/>
      <sheetName val="내역서1"/>
      <sheetName val="자단"/>
      <sheetName val="SRC-B3U2"/>
      <sheetName val="SILICATE"/>
      <sheetName val="토목주소"/>
      <sheetName val="123"/>
      <sheetName val="Oper Amount"/>
      <sheetName val="당초"/>
      <sheetName val="Sheet1"/>
      <sheetName val="b_balju_cho"/>
      <sheetName val="단가조사표"/>
      <sheetName val="일위대가(원본)"/>
      <sheetName val="1차변경내역"/>
      <sheetName val="단가조사"/>
      <sheetName val="도"/>
      <sheetName val="공통비"/>
      <sheetName val="N賃率-職"/>
      <sheetName val="경산"/>
      <sheetName val="횡배수관집현황(2공구)"/>
      <sheetName val="접속도로1"/>
      <sheetName val="횡날개수집"/>
      <sheetName val="단면가정"/>
      <sheetName val="부재력정리"/>
      <sheetName val="조경일람"/>
      <sheetName val="RE9604"/>
      <sheetName val="옹벽기초자료"/>
      <sheetName val="말뚝지지력산정"/>
      <sheetName val="자재일람"/>
      <sheetName val="CALCULATION"/>
      <sheetName val="안정검토(온1)"/>
      <sheetName val="A포공위"/>
      <sheetName val="금액"/>
      <sheetName val="토공사"/>
      <sheetName val="giathanh1"/>
      <sheetName val="K"/>
      <sheetName val="CAL"/>
      <sheetName val="가시설(TYPE-A)"/>
      <sheetName val="1호맨홀가감수량"/>
      <sheetName val="1-1평균터파기고(1)"/>
      <sheetName val="1호맨홀수량산출"/>
      <sheetName val="원형1호맨홀토공수량"/>
      <sheetName val="단위중량"/>
      <sheetName val="PIPE"/>
      <sheetName val="대로근거"/>
      <sheetName val="____"/>
    </sheetNames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330G2"/>
      <sheetName val="ML350G2"/>
      <sheetName val="ML350G3"/>
      <sheetName val="ML370G2"/>
      <sheetName val="ML370G3"/>
      <sheetName val="ML530G2"/>
      <sheetName val="ML570"/>
      <sheetName val="ML570G2"/>
      <sheetName val="DL320"/>
      <sheetName val="DL360G2"/>
      <sheetName val="DL360G3"/>
      <sheetName val="DL380G2"/>
      <sheetName val="DL380G3"/>
      <sheetName val="DL580G2"/>
      <sheetName val="DL760"/>
      <sheetName val="RACK"/>
      <sheetName val="2월가격표-ESG-1월"/>
      <sheetName val="SPEC"/>
      <sheetName val="부하(성남)"/>
      <sheetName val="031202"/>
    </sheetNames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명표지"/>
      <sheetName val="1.조명개선"/>
      <sheetName val="조명작업부산물"/>
      <sheetName val="냉난방표지"/>
      <sheetName val="1.냉난방개선"/>
      <sheetName val="냉난방작업부산물"/>
      <sheetName val="변전실표지"/>
      <sheetName val="1.변전실증설"/>
      <sheetName val="2.본관동간선보수"/>
      <sheetName val="2.철거공사"/>
      <sheetName val="3.고자재처리"/>
      <sheetName val="변전실작업부산물"/>
      <sheetName val="삽교고등학교조명개선공사(산출서)"/>
    </sheetNames>
    <definedNames>
      <definedName name="AVGHBD"/>
      <definedName name="BlankMacro1"/>
      <definedName name="DGRT"/>
      <definedName name="FFF" refersTo="#REF!"/>
      <definedName name="GVHBG"/>
      <definedName name="HTD"/>
      <definedName name="jytr"/>
      <definedName name="MATRO"/>
      <definedName name="NNF"/>
      <definedName name="QQA"/>
      <definedName name="ret"/>
      <definedName name="TRRR"/>
      <definedName name="uiy"/>
      <definedName name="vbn"/>
      <definedName name="ㄷㄹㅈ"/>
      <definedName name="ㅁㄴㄹㅇㄹ"/>
      <definedName name="ㅈㄷㅂㄹ"/>
      <definedName name="ㅗㅠㅎㄹ"/>
    </definedNames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총괄"/>
      <sheetName val="工총괄 (2)"/>
      <sheetName val="공-직集"/>
      <sheetName val="공-직비"/>
      <sheetName val="공-물량"/>
      <sheetName val="일위"/>
      <sheetName val="공-간노"/>
      <sheetName val="工경비"/>
      <sheetName val="工간노율"/>
      <sheetName val="工경비율"/>
      <sheetName val="工완성공사율"/>
      <sheetName val="工산재율"/>
      <sheetName val="工안전관리율"/>
      <sheetName val="工관리비율"/>
      <sheetName val="__MAIN"/>
      <sheetName val="과천MAIN"/>
      <sheetName val="견적"/>
      <sheetName val="인건-측정"/>
      <sheetName val="I一般比"/>
      <sheetName val="견적-내역"/>
      <sheetName val="N賃率-職"/>
      <sheetName val="9903모빌랙및이중마루설치"/>
      <sheetName val="Sheet1"/>
      <sheetName val="노임"/>
      <sheetName val="012803"/>
      <sheetName val="단가비교표"/>
      <sheetName val="내역서"/>
      <sheetName val="갑지"/>
      <sheetName val="합천내역"/>
      <sheetName val="NOMUBI"/>
      <sheetName val="sw1"/>
      <sheetName val="OSM0809"/>
      <sheetName val="수량산출"/>
      <sheetName val="설비"/>
      <sheetName val="외자배분"/>
      <sheetName val="재1"/>
      <sheetName val="J直材4"/>
      <sheetName val="장비 (2)"/>
      <sheetName val="TEST1"/>
      <sheetName val="공통(20-91)"/>
      <sheetName val="정부노임단가"/>
      <sheetName val="2F 회의실견적(5_14 일대)"/>
      <sheetName val="소계정"/>
      <sheetName val="예정(3)"/>
      <sheetName val="동원(3)"/>
      <sheetName val="터널조도"/>
      <sheetName val="유기공정"/>
      <sheetName val="EP0618"/>
      <sheetName val="부하(성남)"/>
      <sheetName val="구성비"/>
      <sheetName val="MOTOR"/>
      <sheetName val="MDL"/>
      <sheetName val="Y-WORK"/>
      <sheetName val="Sheet4"/>
      <sheetName val="IMPEADENCE MAP 취수장"/>
      <sheetName val="Sheet1 (2)"/>
      <sheetName val="부산4"/>
      <sheetName val="내역"/>
      <sheetName val="Project Brief"/>
      <sheetName val="부하계산서"/>
      <sheetName val="가공비"/>
      <sheetName val="Pier 3"/>
      <sheetName val="9GNG운반"/>
      <sheetName val="공사원가계산서"/>
      <sheetName val="2월가격표-ESG-1월"/>
      <sheetName val="SPEC"/>
      <sheetName val="TYPE-A"/>
      <sheetName val="환율"/>
      <sheetName val="MACRO(전선관)"/>
      <sheetName val="일위대가"/>
      <sheetName val="공통가설"/>
      <sheetName val="기술자료 (연수)"/>
      <sheetName val="노무비"/>
      <sheetName val="연결임시"/>
      <sheetName val="산출금액내역"/>
      <sheetName val="연부97-1"/>
      <sheetName val="갑지(추정)"/>
      <sheetName val="중기일위대가"/>
      <sheetName val="JUCK"/>
      <sheetName val="원가계산서"/>
      <sheetName val="자료입력"/>
      <sheetName val="외자내역"/>
      <sheetName val="을 2"/>
      <sheetName val="을 1"/>
      <sheetName val="부속동"/>
      <sheetName val="APT"/>
      <sheetName val="설직재-1"/>
      <sheetName val="Sheet2"/>
      <sheetName val="실행철강하도"/>
      <sheetName val="을"/>
      <sheetName val="8-3기계경비"/>
      <sheetName val="잡비"/>
      <sheetName val="조도계산"/>
      <sheetName val="변품8-37"/>
      <sheetName val="#REF"/>
    </sheetNames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EP0618"/>
      <sheetName val="제출갑지"/>
      <sheetName val="FAX 갑지"/>
      <sheetName val="견적서 갑지"/>
      <sheetName val="원가계산서"/>
      <sheetName val="SS-1"/>
      <sheetName val="총괄표"/>
      <sheetName val="제조원가계산서(SS-1)"/>
      <sheetName val="운반비원가계산"/>
      <sheetName val="조도계산"/>
      <sheetName val="#REF"/>
      <sheetName val="2.대외공문"/>
      <sheetName val="빌딩 안내"/>
      <sheetName val="부대내역"/>
      <sheetName val="견적기본FORM"/>
      <sheetName val="__MAIN"/>
      <sheetName val="일위대가"/>
      <sheetName val="SG"/>
      <sheetName val="단가산출"/>
      <sheetName val="일위목록"/>
      <sheetName val="요율"/>
      <sheetName val="도"/>
      <sheetName val="자재단가"/>
      <sheetName val="1~3월통계,정보"/>
      <sheetName val="정류기"/>
      <sheetName val="전략수주잔(3-31)"/>
      <sheetName val="갑지(추정)"/>
      <sheetName val="내역서"/>
      <sheetName val="내역"/>
      <sheetName val="일위(PN)"/>
      <sheetName val="표지 (2)"/>
      <sheetName val="HVAC"/>
      <sheetName val="IW-LIST"/>
      <sheetName val="일위"/>
      <sheetName val="교통대책내역"/>
      <sheetName val="I一般比"/>
      <sheetName val="단가사정"/>
      <sheetName val="MACRO(전선관)"/>
      <sheetName val="단가표"/>
      <sheetName val="시설일위"/>
      <sheetName val="S0"/>
      <sheetName val="401"/>
      <sheetName val="천마갑지"/>
      <sheetName val="기성금내역서"/>
      <sheetName val="sw1"/>
      <sheetName val="NOMUBI"/>
      <sheetName val="공종별자재"/>
      <sheetName val="FAX_갑지"/>
      <sheetName val="견적서_갑지"/>
      <sheetName val="2_대외공문"/>
      <sheetName val="빌딩_안내"/>
      <sheetName val="표지_(2)"/>
      <sheetName val="노임"/>
      <sheetName val="목차"/>
      <sheetName val="설계명세서"/>
      <sheetName val="工완성공사율"/>
      <sheetName val="일위대가(계측기설치)"/>
      <sheetName val="대로근거"/>
      <sheetName val="중로근거"/>
      <sheetName val="조내역"/>
      <sheetName val="7.경제성결과"/>
      <sheetName val="지명송금"/>
      <sheetName val="공사노임"/>
      <sheetName val="불출요청"/>
      <sheetName val="단가대비표(SYS)"/>
      <sheetName val="제조노임"/>
      <sheetName val="환율"/>
      <sheetName val="동해title"/>
      <sheetName val="노무비단가"/>
      <sheetName val="총괄"/>
      <sheetName val="내역(을)"/>
      <sheetName val="견적조건"/>
      <sheetName val="과천MAIN"/>
      <sheetName val="MCC제원"/>
      <sheetName val="약품공급2"/>
      <sheetName val="여과지동"/>
      <sheetName val="기초자료"/>
      <sheetName val="가설공사비"/>
      <sheetName val="부하(성남)"/>
      <sheetName val="제진기"/>
      <sheetName val="주경기-오배수"/>
      <sheetName val="인건비 "/>
      <sheetName val="Macro(차단기)"/>
      <sheetName val="DI-ESTI"/>
      <sheetName val="DATASPEC(VT1)"/>
      <sheetName val="자료입력"/>
      <sheetName val="화재 탐지 설비"/>
      <sheetName val="실행내역서 "/>
      <sheetName val="WORK"/>
      <sheetName val="수량산출"/>
      <sheetName val="가로등"/>
      <sheetName val="L1"/>
      <sheetName val="중기일위대가"/>
      <sheetName val="미드수량"/>
      <sheetName val="날개벽수량표"/>
      <sheetName val="방송(체육관)"/>
      <sheetName val="8.PILE  (돌출)"/>
      <sheetName val="자재"/>
      <sheetName val="LANGUAGE"/>
      <sheetName val="물가시세"/>
      <sheetName val="05년"/>
      <sheetName val="suk(mac)"/>
      <sheetName val="표지"/>
      <sheetName val="1.설계기준"/>
      <sheetName val="건축내역"/>
      <sheetName val="DATA"/>
      <sheetName val="접지수량"/>
      <sheetName val="노임단가"/>
      <sheetName val="단위수량"/>
      <sheetName val="일위대가표"/>
      <sheetName val="2000전체분"/>
      <sheetName val="2000년1차"/>
      <sheetName val="74,539,000 (2.22)"/>
      <sheetName val="설계산출표지"/>
      <sheetName val="노무비"/>
      <sheetName val="데이타"/>
      <sheetName val="HV, LV, CONTROL CABLE"/>
      <sheetName val="BID"/>
      <sheetName val="수출모델별원단위"/>
      <sheetName val="RCSPlan"/>
      <sheetName val="설계명세서(선로)"/>
      <sheetName val="부하계산서"/>
      <sheetName val="정부노임단가"/>
      <sheetName val="전기공사일위대가"/>
      <sheetName val="터널조도"/>
      <sheetName val="Sheet2"/>
      <sheetName val="DATE"/>
      <sheetName val="인건-측정"/>
      <sheetName val="설계내역"/>
      <sheetName val="DATA1"/>
      <sheetName val="설변내역서"/>
      <sheetName val="6PILE  (돌출)"/>
      <sheetName val="공사원가계산서"/>
      <sheetName val="토목주소"/>
      <sheetName val="수배전반 을지"/>
      <sheetName val="예산대비"/>
      <sheetName val="공용정보"/>
      <sheetName val="갑지"/>
      <sheetName val="견적을"/>
      <sheetName val="산출내역서집계표"/>
      <sheetName val="(A)내역서"/>
      <sheetName val="일위대가목차"/>
      <sheetName val="을"/>
      <sheetName val="A"/>
      <sheetName val="오억미만"/>
      <sheetName val="식재인부"/>
      <sheetName val="wall"/>
      <sheetName val="기초일위"/>
      <sheetName val="조명일위"/>
      <sheetName val="공통(20-91)"/>
      <sheetName val="전기일위목록"/>
      <sheetName val="노임기준"/>
      <sheetName val="IW_LIST"/>
      <sheetName val="노단"/>
      <sheetName val="산출근거"/>
      <sheetName val="FB25JN"/>
      <sheetName val="입찰결과보고"/>
      <sheetName val="예가표"/>
      <sheetName val="실행간접비용"/>
      <sheetName val="교각계산"/>
      <sheetName val="Sheet6"/>
      <sheetName val="노임,재료비"/>
      <sheetName val="우수"/>
      <sheetName val="제품정보"/>
      <sheetName val="방송"/>
      <sheetName val="허용전류-IEC DATA"/>
      <sheetName val="철근단면적"/>
      <sheetName val="설계조건"/>
      <sheetName val="재료값"/>
      <sheetName val="통합"/>
      <sheetName val="목표세부명세"/>
      <sheetName val="기둥(원형)"/>
      <sheetName val="INSTR"/>
      <sheetName val="ABUT수량-A1"/>
      <sheetName val="교각(P1)수량"/>
      <sheetName val="단가조사"/>
      <sheetName val=" 내역"/>
      <sheetName val="일반60"/>
      <sheetName val="FAX_갑지1"/>
      <sheetName val="견적서_갑지1"/>
      <sheetName val="2_대외공문1"/>
      <sheetName val="빌딩_안내1"/>
      <sheetName val="표지_(2)1"/>
      <sheetName val="b_balju_cho"/>
      <sheetName val="실행내역서_"/>
      <sheetName val="조건표"/>
      <sheetName val="산출집계표1"/>
      <sheetName val="우성교간선"/>
      <sheetName val="타견적(을)"/>
      <sheetName val="통신내역서"/>
      <sheetName val="지급자재내역서"/>
      <sheetName val="설계예산내역서"/>
      <sheetName val="일 위 대 가 표"/>
      <sheetName val="토공"/>
      <sheetName val="남양시작동010313100%"/>
      <sheetName val="샘플표지"/>
      <sheetName val="SLAB"/>
      <sheetName val="0001new"/>
      <sheetName val="M"/>
      <sheetName val="노무비산출"/>
      <sheetName val="단가"/>
      <sheetName val="별표"/>
      <sheetName val="수량산출서"/>
      <sheetName val="6동"/>
      <sheetName val="TRE TABLE"/>
      <sheetName val="공량산출근거서_일위대가"/>
      <sheetName val="입출재고현황 (2)"/>
      <sheetName val="건강보험료"/>
      <sheetName val="고용보험료"/>
      <sheetName val="시중노임"/>
      <sheetName val="품목별 지수"/>
      <sheetName val="연금보험료"/>
      <sheetName val="퇴직공제부금비"/>
      <sheetName val="ilch"/>
      <sheetName val="입력"/>
      <sheetName val="자재대"/>
      <sheetName val="자동제어"/>
      <sheetName val="세부내역서"/>
      <sheetName val="Component Description"/>
      <sheetName val="REDUCER"/>
      <sheetName val="WE'T"/>
      <sheetName val="실행철강하도"/>
      <sheetName val="충주"/>
      <sheetName val="내역전기"/>
      <sheetName val="기초자료입력"/>
    </sheetNames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록"/>
      <sheetName val="강관설치"/>
      <sheetName val="STS관설치"/>
      <sheetName val="HI-3P관접합"/>
      <sheetName val="배관보온"/>
      <sheetName val="신축관설치"/>
      <sheetName val="밸브설치"/>
      <sheetName val="강관플랜지접합"/>
      <sheetName val="STS플랜지접합"/>
      <sheetName val="PVC플랜지접합"/>
      <sheetName val="HI-3P플랜지접합"/>
      <sheetName val="드레인,에어밴트"/>
      <sheetName val="HOSE CONN"/>
      <sheetName val="잡철물,페인트"/>
      <sheetName val="노"/>
      <sheetName val="재"/>
      <sheetName val="PVC관설치"/>
      <sheetName val="부하(성남)"/>
    </sheetNames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변LIST"/>
      <sheetName val="설변LIST (2)"/>
      <sheetName val="설변총괄표 (2)"/>
      <sheetName val="커버F"/>
      <sheetName val="공문F"/>
      <sheetName val="총괄"/>
      <sheetName val="건총괄"/>
      <sheetName val="설변총괄표"/>
      <sheetName val="설변개요"/>
      <sheetName val="동별총괄"/>
      <sheetName val="원가계산"/>
      <sheetName val="물량증감세부"/>
      <sheetName val="건축직접비"/>
      <sheetName val="건축총괄"/>
      <sheetName val="원본"/>
      <sheetName val="건축내역"/>
      <sheetName val="단가적용표"/>
      <sheetName val="일위대가표"/>
      <sheetName val="수량내역"/>
      <sheetName val="수량산출"/>
      <sheetName val="금액산정"/>
      <sheetName val="Sheet4"/>
      <sheetName val="Sheet3"/>
      <sheetName val="Sheet2"/>
      <sheetName val="Sheet1"/>
      <sheetName val="설변총괄표(2)"/>
      <sheetName val="설변목록"/>
      <sheetName val="설변개요(2)"/>
      <sheetName val="물량증감세부 (2)"/>
      <sheetName val="발코니물량"/>
      <sheetName val="UBR수량"/>
      <sheetName val="일위대가"/>
      <sheetName val="일위_파일"/>
      <sheetName val="동별항타"/>
      <sheetName val="반입현황"/>
      <sheetName val="반입및시공"/>
      <sheetName val="일자별반입_"/>
      <sheetName val="항타사진"/>
      <sheetName val="터파기사진"/>
      <sheetName val="항타기록부커버"/>
      <sheetName val="공종별총괄"/>
      <sheetName val="커버F (1)"/>
    </sheetNames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EADENCE MAP 취수장"/>
      <sheetName val="관급단가"/>
      <sheetName val="단가표"/>
      <sheetName val="수문일1"/>
      <sheetName val="입찰안"/>
      <sheetName val="개소별수량산출"/>
      <sheetName val="조명율표"/>
      <sheetName val="원가"/>
      <sheetName val="노임"/>
      <sheetName val="말뚝물량"/>
      <sheetName val="KA"/>
      <sheetName val="설계명세서"/>
      <sheetName val="평균높이산출근거"/>
      <sheetName val="횡배수관위치조서"/>
      <sheetName val="일위대가(계측기설치)"/>
      <sheetName val="위치조서"/>
      <sheetName val="손익분석"/>
      <sheetName val="매립"/>
      <sheetName val="흄관기초"/>
      <sheetName val="자재단가"/>
      <sheetName val="노무비"/>
      <sheetName val="내역서"/>
      <sheetName val="D25"/>
      <sheetName val="D16"/>
      <sheetName val="D22"/>
      <sheetName val="횡배수관토공수량"/>
      <sheetName val="노면반사율"/>
      <sheetName val="직사조명율"/>
      <sheetName val="적현로"/>
      <sheetName val="일위대가서식"/>
      <sheetName val="22인공"/>
      <sheetName val="#REF"/>
      <sheetName val="설 계"/>
      <sheetName val="기존단가 (2)"/>
      <sheetName val="금액"/>
      <sheetName val="토사(PE)"/>
      <sheetName val="구조물공집계"/>
      <sheetName val="BOX"/>
      <sheetName val="FB25JN"/>
      <sheetName val="내역"/>
      <sheetName val="일위대가-1"/>
      <sheetName val="공사개요"/>
      <sheetName val="매입세율"/>
      <sheetName val="영창26"/>
      <sheetName val="49수량"/>
      <sheetName val="48수량"/>
      <sheetName val="22수량"/>
      <sheetName val="적용토목"/>
      <sheetName val="2003.4.1."/>
      <sheetName val="부하(성남)"/>
      <sheetName val="9GNG운반"/>
      <sheetName val="k-103경고문"/>
    </sheetNames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I一般比"/>
      <sheetName val="공사원가계산서"/>
      <sheetName val="입찰안"/>
      <sheetName val="IMPEADENCE MAP 취수장"/>
      <sheetName val="165-1"/>
      <sheetName val="노무비"/>
      <sheetName val="손익분석"/>
      <sheetName val="매립"/>
      <sheetName val="수량산출"/>
      <sheetName val="N賃率-職"/>
      <sheetName val="별표집계"/>
      <sheetName val="工완성공사율"/>
      <sheetName val="NEYOK"/>
      <sheetName val="Sheet2"/>
      <sheetName val="EQUIPMENT -2"/>
      <sheetName val="횡배수관토공수량"/>
      <sheetName val="일위대가(계측기설치)"/>
      <sheetName val="설계명세서"/>
      <sheetName val="공리공제"/>
      <sheetName val="DATA"/>
      <sheetName val="상수도토공집계표"/>
      <sheetName val="전선"/>
      <sheetName val="ABUT수량-A1"/>
      <sheetName val="건축내역"/>
      <sheetName val="전차선로 물량표"/>
      <sheetName val="일위대가"/>
      <sheetName val="VENT"/>
      <sheetName val="노임"/>
      <sheetName val="통합"/>
      <sheetName val="전기일위목록"/>
      <sheetName val="원가계산서"/>
      <sheetName val="본체"/>
      <sheetName val="시화점실행"/>
      <sheetName val="#REF"/>
      <sheetName val="약품공급2"/>
      <sheetName val="기계경비(시간당)"/>
      <sheetName val="램머"/>
      <sheetName val="내역"/>
      <sheetName val="을"/>
      <sheetName val="입출재고현황 (2)"/>
      <sheetName val="EACT10"/>
      <sheetName val="4)유동표"/>
      <sheetName val="일위"/>
      <sheetName val="현장관리비집계표"/>
      <sheetName val="약품설비"/>
      <sheetName val="수량이동"/>
      <sheetName val="총괄"/>
      <sheetName val="일위대가서식"/>
      <sheetName val="관급단가"/>
      <sheetName val="원가"/>
      <sheetName val="김포IO"/>
      <sheetName val="일지-H"/>
      <sheetName val="약전닥트"/>
      <sheetName val="FD"/>
      <sheetName val="건축부하"/>
      <sheetName val="FA설치명세"/>
      <sheetName val="처리단락"/>
      <sheetName val="99관저"/>
      <sheetName val="LD"/>
      <sheetName val="POL6차-PIPING"/>
      <sheetName val="산#2-1 (2)"/>
      <sheetName val="WEIGHT LIST"/>
      <sheetName val="Sheet6"/>
      <sheetName val="k-103경고문"/>
      <sheetName val="일위대가-1"/>
    </sheetNames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가격대비"/>
      <sheetName val="배관산출"/>
      <sheetName val="laroux"/>
      <sheetName val="기초일위"/>
      <sheetName val="시설일위"/>
      <sheetName val="조명일위"/>
      <sheetName val="원가계산서"/>
      <sheetName val="기본DATA"/>
    </sheetNames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하 계산서"/>
      <sheetName val="DATA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부하 계산서 (2)"/>
      <sheetName val="Sheet11"/>
      <sheetName val="Sheet12"/>
      <sheetName val="Sheet13"/>
      <sheetName val="Sheet14"/>
      <sheetName val="Sheet15"/>
      <sheetName val="Sheet16"/>
      <sheetName val="내역서"/>
      <sheetName val="LOPCALC"/>
      <sheetName val="IMPEADENCE MAP 취수장"/>
      <sheetName val="LEGEND"/>
      <sheetName val="PARAMETER"/>
      <sheetName val="처리단락"/>
      <sheetName val="LOAD"/>
      <sheetName val="입찰안"/>
      <sheetName val="환율"/>
      <sheetName val="XZLC004_PART2"/>
      <sheetName val="FB25JN"/>
      <sheetName val="상수도토공집계표"/>
      <sheetName val="교각계산"/>
      <sheetName val="LD"/>
      <sheetName val="약전닥트"/>
      <sheetName val="건축부하"/>
      <sheetName val="일지-H"/>
      <sheetName val="FA설치명세"/>
      <sheetName val="#REF"/>
      <sheetName val="김포IO"/>
      <sheetName val="일위대가(계측기설치)"/>
      <sheetName val="제수"/>
      <sheetName val="공기"/>
      <sheetName val="19상가"/>
      <sheetName val="직노"/>
      <sheetName val="TABLE"/>
      <sheetName val="입출재고현황 (2)"/>
      <sheetName val="GAEYO"/>
      <sheetName val="I一般比"/>
      <sheetName val="Curves"/>
      <sheetName val="Tables"/>
      <sheetName val="증감대비"/>
      <sheetName val="원가계산서"/>
      <sheetName val="BOX형 교대"/>
      <sheetName val="원가"/>
      <sheetName val="내역"/>
      <sheetName val="대조표(0108)"/>
      <sheetName val="조도계산서 (도서)"/>
      <sheetName val="98수문일위"/>
      <sheetName val="위치조서"/>
      <sheetName val="별표집계"/>
    </sheetNames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"/>
      <sheetName val="대가 "/>
      <sheetName val="대비"/>
      <sheetName val="내역서"/>
      <sheetName val="원가계산서"/>
      <sheetName val="견적서"/>
      <sheetName val="타-조은"/>
      <sheetName val="타-천우"/>
      <sheetName val="단-원산"/>
      <sheetName val="천-단"/>
      <sheetName val="조-단"/>
      <sheetName val="산-전기"/>
      <sheetName val="산-기계 "/>
      <sheetName val="겉지"/>
      <sheetName val="숫자를 한글로"/>
      <sheetName val="빨간글꼴만 합하기"/>
      <sheetName val="셀에 한칸씩삽입"/>
      <sheetName val="총괄표"/>
      <sheetName val="공종별집계표"/>
      <sheetName val="일대목록"/>
      <sheetName val="일위대가"/>
      <sheetName val="인건비산출"/>
      <sheetName val="산출갑지"/>
      <sheetName val="산출을지"/>
      <sheetName val="단가대비"/>
      <sheetName val="한전인입비"/>
      <sheetName val="공사원가계산서"/>
      <sheetName val="노임"/>
      <sheetName val="을지"/>
      <sheetName val="자재단가비교표"/>
      <sheetName val="전선"/>
      <sheetName val="I一般比"/>
      <sheetName val="N賃率-職"/>
      <sheetName val="간선계산"/>
      <sheetName val="교각1"/>
      <sheetName val="수로교총재료집계"/>
      <sheetName val="설직재-1"/>
      <sheetName val="제-노임"/>
      <sheetName val="단가"/>
      <sheetName val="J直材4"/>
      <sheetName val="방송일위대가"/>
      <sheetName val="일위대가(계측기설치)"/>
      <sheetName val="LEGEND"/>
      <sheetName val="계정"/>
      <sheetName val="총괄집계표"/>
      <sheetName val="부대내역"/>
      <sheetName val="IMPEADENCE MAP 취수장"/>
      <sheetName val="노무비"/>
      <sheetName val="DATA"/>
      <sheetName val="251"/>
      <sheetName val="집계"/>
      <sheetName val="직노"/>
      <sheetName val="기본일위"/>
      <sheetName val="#REF"/>
      <sheetName val="내역서2안"/>
      <sheetName val="패널"/>
      <sheetName val="실행내역"/>
      <sheetName val="전차선로 물량표"/>
      <sheetName val="EQUIPMENT -2"/>
      <sheetName val="단가 및 재료비"/>
      <sheetName val="내역을"/>
      <sheetName val="능률"/>
      <sheetName val="SP-B1"/>
      <sheetName val="1.설계조건"/>
      <sheetName val="횡배수관토공수량"/>
      <sheetName val="해외세목"/>
      <sheetName val="공통가설"/>
      <sheetName val="순공사비"/>
      <sheetName val="수수료"/>
      <sheetName val="자재테이블"/>
      <sheetName val="일위목록"/>
      <sheetName val="품셈총괄표"/>
      <sheetName val="단위수량"/>
      <sheetName val="견적"/>
      <sheetName val="견적990322"/>
      <sheetName val="부서현황"/>
      <sheetName val="수량산출"/>
      <sheetName val="손익분석"/>
      <sheetName val="시중노임단가"/>
      <sheetName val="일위"/>
      <sheetName val="실행대비"/>
      <sheetName val="B2BERP"/>
      <sheetName val="표지"/>
      <sheetName val="원가 (2)"/>
      <sheetName val="실행철강하도"/>
      <sheetName val="토적표"/>
      <sheetName val="교통대책내역"/>
      <sheetName val="제직재"/>
      <sheetName val="Sheet6"/>
      <sheetName val="남양시작동자105노65기1.3화1.2"/>
      <sheetName val="관음목장(제출용)자105인97.5"/>
      <sheetName val="9GNG운반"/>
      <sheetName val="공종목록표"/>
      <sheetName val="수량집계"/>
      <sheetName val="정산"/>
      <sheetName val="Sheet1"/>
      <sheetName val="내역"/>
      <sheetName val="DATE"/>
      <sheetName val="실행내역서 "/>
      <sheetName val="갑지"/>
      <sheetName val="감액총괄표"/>
      <sheetName val="집수정"/>
      <sheetName val="2000년1차"/>
      <sheetName val="인사자료총집계"/>
      <sheetName val="을_ATYPE"/>
      <sheetName val="일위단가"/>
      <sheetName val="4-3 보온 기본물량집계"/>
      <sheetName val="도급"/>
      <sheetName val="식재"/>
      <sheetName val="시설물"/>
      <sheetName val="식재출력용"/>
      <sheetName val="유지관리"/>
      <sheetName val="전등수량산출서"/>
      <sheetName val="전열수량산출서"/>
      <sheetName val="일위대가목록"/>
      <sheetName val="종배수관(신)"/>
      <sheetName val="적용단위길이"/>
      <sheetName val="AS복구"/>
      <sheetName val="중기터파기"/>
      <sheetName val="변수값"/>
      <sheetName val="중기상차"/>
      <sheetName val="N賃率_職"/>
      <sheetName val="버스운행안내"/>
      <sheetName val="예방접종계획"/>
      <sheetName val="근태계획서"/>
      <sheetName val="Sheet2"/>
      <sheetName val="고지내역"/>
      <sheetName val="기간사용량"/>
      <sheetName val="기간요금"/>
      <sheetName val="TVR사용량"/>
      <sheetName val="TVR요금"/>
      <sheetName val="전기일위대가"/>
      <sheetName val="자재단가"/>
      <sheetName val="BASIC (2)"/>
      <sheetName val="Macro1"/>
      <sheetName val="대가_"/>
      <sheetName val="산-기계_"/>
      <sheetName val="숫자를_한글로"/>
      <sheetName val="빨간글꼴만_합하기"/>
      <sheetName val="셀에_한칸씩삽입"/>
      <sheetName val="EQUIPMENT_-2"/>
      <sheetName val="전차선로_물량표"/>
      <sheetName val="단가_및_재료비"/>
      <sheetName val="1_설계조건"/>
      <sheetName val="IMPEADENCE_MAP_취수장"/>
      <sheetName val="주방환기"/>
      <sheetName val="전계가"/>
      <sheetName val="공사비예산서(토목분)"/>
      <sheetName val="대가단최종"/>
      <sheetName val="환율"/>
      <sheetName val="입찰안"/>
      <sheetName val="금호"/>
      <sheetName val="단중표"/>
      <sheetName val="가로내역"/>
      <sheetName val="대가_1"/>
      <sheetName val="산-기계_1"/>
      <sheetName val="숫자를_한글로1"/>
      <sheetName val="빨간글꼴만_합하기1"/>
      <sheetName val="셀에_한칸씩삽입1"/>
      <sheetName val="전차선로_물량표1"/>
      <sheetName val="EQUIPMENT_-21"/>
      <sheetName val="IMPEADENCE_MAP_취수장1"/>
      <sheetName val="1_설계조건1"/>
      <sheetName val="단가_및_재료비1"/>
      <sheetName val="원가_(2)"/>
      <sheetName val="남양시작동자105노65기1_3화1_2"/>
      <sheetName val="관음목장(제출용)자105인97_5"/>
      <sheetName val="실행내역서_"/>
      <sheetName val="BASIC_(2)"/>
      <sheetName val="4-3_보온_기본물량집계"/>
      <sheetName val="일위_파일"/>
      <sheetName val="교각계산"/>
      <sheetName val="신호등일위대가"/>
      <sheetName val="맨홀수량산출"/>
      <sheetName val="프로젝트"/>
      <sheetName val=""/>
      <sheetName val="전압강하계산"/>
      <sheetName val="데이타"/>
      <sheetName val="설변내역서"/>
      <sheetName val="총괄분 설계서용지"/>
      <sheetName val="일위대가(가설)"/>
      <sheetName val="조명율표"/>
      <sheetName val="단가산출"/>
      <sheetName val="유기공정"/>
      <sheetName val="Macro(차단기)"/>
      <sheetName val="터널조도"/>
      <sheetName val="도급예산내역서봉투"/>
      <sheetName val="설계산출표지"/>
      <sheetName val="도급예산내역서총괄표"/>
      <sheetName val="단가조사"/>
      <sheetName val="분전함신설"/>
      <sheetName val="설계산출기초"/>
      <sheetName val="을부담운반비"/>
      <sheetName val="운반비산출"/>
      <sheetName val="접지1종"/>
      <sheetName val="계수시트"/>
      <sheetName val="대가목록"/>
      <sheetName val="인건비"/>
      <sheetName val="EACT10"/>
      <sheetName val="Baby일위대가"/>
      <sheetName val="96작생능"/>
      <sheetName val="을-ATYPE"/>
      <sheetName val="기기리스트"/>
      <sheetName val="__System3_piii450_PROJECT__EX_2"/>
      <sheetName val="빗물받이(910-510-410)"/>
      <sheetName val="요율"/>
      <sheetName val="__System3_piii450_PROJECT__EX_3"/>
      <sheetName val="EQT-ESTN"/>
      <sheetName val="단면설계"/>
      <sheetName val="안정검토"/>
      <sheetName val="집계표"/>
      <sheetName val="Sheet9"/>
      <sheetName val="__System3_piii450_PROJECT__EX_4"/>
      <sheetName val="설계명세서"/>
      <sheetName val="공리공제"/>
    </sheetNames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조사 - 9810"/>
      <sheetName val="조사 - 9809"/>
    </sheetNames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교육용Lab"/>
      <sheetName val="변압94"/>
      <sheetName val="QandAJunior"/>
      <sheetName val="내역서"/>
      <sheetName val="DATA"/>
      <sheetName val="계화배수"/>
      <sheetName val="품목"/>
    </sheetNames>
    <definedNames>
      <definedName name="cellinput"/>
      <definedName name="che"/>
      <definedName name="check"/>
      <definedName name="datainput"/>
      <definedName name="item"/>
      <definedName name="qty"/>
    </definedNames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물가자료"/>
      <sheetName val="일위대가표(평택)"/>
      <sheetName val="laroux"/>
      <sheetName val="운전경비"/>
      <sheetName val="중기조종원인건비"/>
      <sheetName val="가설공사"/>
      <sheetName val="2공구산출내역"/>
      <sheetName val="공통가설"/>
      <sheetName val="대캧표"/>
      <sheetName val="QandAJunior"/>
    </sheetNames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을"/>
      <sheetName val="원가계산"/>
      <sheetName val="갑"/>
      <sheetName val="재료비산출 (2)"/>
      <sheetName val="재료비산출"/>
      <sheetName val="공임산출"/>
      <sheetName val="표지"/>
      <sheetName val="일위대가"/>
      <sheetName val="수련원펌프"/>
      <sheetName val="Sheet2"/>
      <sheetName val="만덕고 부수터"/>
      <sheetName val="산출내역서집계표"/>
      <sheetName val="데이타"/>
    </sheetNames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적대비 견적서"/>
      <sheetName val="Y-WORK"/>
      <sheetName val="danga"/>
      <sheetName val="ilch"/>
      <sheetName val="단가산출2"/>
      <sheetName val="내역서"/>
      <sheetName val="진해복지관가라견적"/>
      <sheetName val="을"/>
      <sheetName val="DATA"/>
      <sheetName val="WORK"/>
      <sheetName val="내역서 "/>
      <sheetName val="내역"/>
      <sheetName val="전류"/>
      <sheetName val="일위대가"/>
      <sheetName val="단가비교표"/>
      <sheetName val="포장절단"/>
      <sheetName val="단가산출1"/>
      <sheetName val="Parts"/>
      <sheetName val="Menu A"/>
      <sheetName val="전장품(관리용)"/>
      <sheetName val="SILICATE"/>
      <sheetName val="CODE"/>
      <sheetName val="단락전류-A"/>
      <sheetName val="YES-T"/>
      <sheetName val="기둥(원형)"/>
      <sheetName val="과천MAIN"/>
      <sheetName val="바.한일양산"/>
      <sheetName val="방송일위대가"/>
      <sheetName val="MATRLDATA"/>
      <sheetName val="대치판정"/>
      <sheetName val="간선계산"/>
      <sheetName val="건축내역"/>
      <sheetName val="백암비스타내역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단면가정"/>
      <sheetName val="수량산출"/>
      <sheetName val="노임단가"/>
      <sheetName val="Sheet2"/>
      <sheetName val="#REF"/>
      <sheetName val="단가"/>
      <sheetName val="ITB COST"/>
      <sheetName val="장지리내역"/>
      <sheetName val="KMT물량"/>
      <sheetName val="물가자료"/>
      <sheetName val="변압94"/>
      <sheetName val="코드"/>
      <sheetName val="SLAB&quot;1&quot;"/>
      <sheetName val="마산방향철근집계"/>
      <sheetName val="진주방향"/>
      <sheetName val="마산방향"/>
      <sheetName val="총괄"/>
      <sheetName val="전차선로 물량표"/>
      <sheetName val="하조서"/>
      <sheetName val="손익분석"/>
      <sheetName val="원가"/>
      <sheetName val="직노"/>
      <sheetName val="실행내역"/>
      <sheetName val="기본"/>
      <sheetName val="guard(mac)"/>
      <sheetName val="건축집계"/>
      <sheetName val="선로정수계산"/>
      <sheetName val="갑지"/>
      <sheetName val="집계표"/>
      <sheetName val="Sheet10"/>
      <sheetName val="Carepack"/>
      <sheetName val="OPT"/>
      <sheetName val="SV"/>
      <sheetName val="기초자료입력"/>
    </sheetNames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가격대비"/>
      <sheetName val="배관산출"/>
      <sheetName val="laroux"/>
      <sheetName val="표지"/>
      <sheetName val="통신물량"/>
    </sheetNames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우"/>
      <sheetName val="laroux"/>
      <sheetName val="갑지"/>
      <sheetName val="강 당"/>
      <sheetName val="신우갑지"/>
      <sheetName val="천우갑지"/>
      <sheetName val="천우"/>
      <sheetName val="__"/>
      <sheetName val="내역서"/>
      <sheetName val="원본(갑지)"/>
      <sheetName val="수량산출"/>
      <sheetName val="I一般比"/>
      <sheetName val="일위대가"/>
      <sheetName val="부하(성남)"/>
      <sheetName val="하조서"/>
      <sheetName val="공종별"/>
      <sheetName val="내역"/>
      <sheetName val="Sheet4"/>
      <sheetName val="98지급계획"/>
      <sheetName val="1790"/>
      <sheetName val="Sheet5"/>
      <sheetName val="경비"/>
      <sheetName val="대치판정"/>
      <sheetName val="단가산출"/>
      <sheetName val="인건-측정"/>
      <sheetName val="시운전연료"/>
      <sheetName val="#REF"/>
      <sheetName val="XL4Poppy"/>
      <sheetName val="인건비"/>
      <sheetName val="공문"/>
      <sheetName val="중기사용료"/>
      <sheetName val="품목코드"/>
      <sheetName val="적용단가"/>
      <sheetName val="DATA"/>
      <sheetName val="데이타"/>
      <sheetName val="산출근거"/>
      <sheetName val="견적대비 견적서"/>
      <sheetName val="wall"/>
      <sheetName val="부하계산서"/>
      <sheetName val="단가비교표"/>
      <sheetName val="설직재-1"/>
      <sheetName val="자재단가비교표"/>
      <sheetName val="SP-B1"/>
      <sheetName val="말뚝지지력산정"/>
      <sheetName val="조명시설"/>
      <sheetName val="집계표"/>
      <sheetName val="건축내역서"/>
      <sheetName val="단"/>
      <sheetName val="한강운반비"/>
      <sheetName val="보안등"/>
      <sheetName val="원가 (2)"/>
      <sheetName val="주소록"/>
      <sheetName val="노임단가"/>
      <sheetName val="자재단가"/>
      <sheetName val="N賃率-職"/>
      <sheetName val=" 토목 처리장도급내역서 "/>
      <sheetName val="sw1"/>
      <sheetName val="위치조서"/>
      <sheetName val="배관단가조사서"/>
      <sheetName val="P.M 별"/>
      <sheetName val="산출내역서"/>
      <sheetName val="Sheet6"/>
      <sheetName val="일위(설)"/>
      <sheetName val="원가계산서"/>
      <sheetName val="내역(정지)"/>
      <sheetName val="정부노임단가"/>
      <sheetName val="개소별수량산출"/>
      <sheetName val="총괄표"/>
      <sheetName val="견적990322"/>
      <sheetName val="자료"/>
      <sheetName val="강_당"/>
      <sheetName val="DB"/>
      <sheetName val="을"/>
      <sheetName val="LOPCALC"/>
      <sheetName val="간접"/>
      <sheetName val="LEGEND"/>
      <sheetName val="품셈총괄표"/>
      <sheetName val="__MAIN"/>
      <sheetName val="토목"/>
      <sheetName val="시행후면적"/>
      <sheetName val="수지예산"/>
      <sheetName val="유기공정"/>
      <sheetName val="포장절단"/>
      <sheetName val="일위대가1"/>
      <sheetName val="간지"/>
      <sheetName val="참조-(1)"/>
      <sheetName val="지하"/>
      <sheetName val="choose"/>
      <sheetName val="일위대가표"/>
      <sheetName val="단면적"/>
      <sheetName val="Sheet1"/>
      <sheetName val="과천MAIN"/>
      <sheetName val="신공항A-9(원가수정)"/>
      <sheetName val="bid"/>
      <sheetName val="코드"/>
      <sheetName val="터파기및재료"/>
      <sheetName val="품총"/>
      <sheetName val="일위대가(가설)"/>
      <sheetName val="실행철강하도"/>
      <sheetName val="공사"/>
      <sheetName val="6동"/>
      <sheetName val="전신환매도율"/>
      <sheetName val="갑지(추정)"/>
      <sheetName val="설계내역서"/>
      <sheetName val="1.수인터널"/>
      <sheetName val="대극장-하부단가"/>
      <sheetName val="EQ"/>
      <sheetName val="품셈TABLE"/>
      <sheetName val="1"/>
      <sheetName val="견적서"/>
      <sheetName val="제직재"/>
      <sheetName val="제-노임"/>
      <sheetName val="ABUT수량-A1"/>
      <sheetName val="일위대가(계측기설치)"/>
      <sheetName val="20관리비율"/>
      <sheetName val="TIE-IN"/>
      <sheetName val="단가비교"/>
      <sheetName val="내역서(1)"/>
    </sheetNames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laroux"/>
      <sheetName val="내역서"/>
      <sheetName val="물가대비"/>
      <sheetName val="총괄-표지"/>
      <sheetName val="인건-측정"/>
      <sheetName val="일위대가목록"/>
      <sheetName val="신우"/>
    </sheetNames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가 "/>
      <sheetName val="대비"/>
      <sheetName val="단-원산"/>
      <sheetName val="단-천우"/>
      <sheetName val="단-조은"/>
      <sheetName val="내역서"/>
      <sheetName val="조사 "/>
      <sheetName val="갑지"/>
      <sheetName val="타-천우"/>
      <sheetName val="타-조은"/>
      <sheetName val="산-기계"/>
      <sheetName val="산-전기"/>
      <sheetName val="겉지"/>
      <sheetName val="단"/>
      <sheetName val="신우"/>
      <sheetName val="전기일위대가"/>
      <sheetName val="직공비"/>
      <sheetName val="단가조사표"/>
      <sheetName val="간선계산"/>
      <sheetName val="Sheet13"/>
      <sheetName val="Sheet14"/>
      <sheetName val="Sheet9"/>
      <sheetName val="DATA1"/>
      <sheetName val="Y-WORK"/>
      <sheetName val="직노"/>
    </sheetNames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전기일위대가"/>
    </sheetNames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손익"/>
      <sheetName val="제품손익"/>
      <sheetName val="제품제조"/>
      <sheetName val="달성율"/>
      <sheetName val="제조명세서"/>
      <sheetName val="임율"/>
      <sheetName val="재고"/>
      <sheetName val="이동중계정"/>
      <sheetName val="제품별매출원가"/>
      <sheetName val="내역서"/>
    </sheetNames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비교"/>
      <sheetName val="1경제성결과"/>
      <sheetName val="2장비구성"/>
      <sheetName val="3초기투자비"/>
      <sheetName val="4운전동력 5운전시간"/>
      <sheetName val="6운전비"/>
      <sheetName val="개요"/>
      <sheetName val="재집"/>
      <sheetName val="직재"/>
      <sheetName val="물가대비표"/>
      <sheetName val="내역서"/>
    </sheetNames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"/>
      <sheetName val="대가 "/>
      <sheetName val="대비"/>
      <sheetName val="단-원산"/>
      <sheetName val="단-신우"/>
      <sheetName val="단-조은"/>
      <sheetName val="내역서"/>
      <sheetName val="갑지"/>
      <sheetName val="타-신우"/>
      <sheetName val="타-조은"/>
      <sheetName val="산기계"/>
      <sheetName val="산-전기"/>
      <sheetName val="겉지"/>
      <sheetName val="램머"/>
      <sheetName val="기계경비(시간당)"/>
      <sheetName val="352"/>
      <sheetName val="부하LOAD"/>
      <sheetName val="Sheet1"/>
      <sheetName val="차액보증"/>
      <sheetName val="단가조사"/>
      <sheetName val="Galaxy 소비자가격표"/>
      <sheetName val="소비자가"/>
      <sheetName val="부하(성남)"/>
      <sheetName val="민속촌메뉴"/>
      <sheetName val="9GNG운반"/>
      <sheetName val="공사원가계산서"/>
      <sheetName val="I一般比"/>
      <sheetName val="LOPCALC"/>
      <sheetName val="기초대가"/>
      <sheetName val="Macro1"/>
      <sheetName val="일위대가목록"/>
      <sheetName val="산출목록표"/>
      <sheetName val="Macro(차단기)"/>
      <sheetName val="수량산출"/>
      <sheetName val="내역"/>
      <sheetName val="관음목장(제출용)자105인97.5"/>
      <sheetName val="설직재-1"/>
      <sheetName val="N賃率-職"/>
      <sheetName val="FD"/>
      <sheetName val="LD"/>
      <sheetName val="수량산출서"/>
      <sheetName val="아파트기별"/>
      <sheetName val="공리일"/>
      <sheetName val="인건-측정"/>
      <sheetName val="제-노임"/>
      <sheetName val="제직재"/>
      <sheetName val="패널"/>
      <sheetName val="입찰안"/>
      <sheetName val="DATA"/>
      <sheetName val="FANDBS"/>
      <sheetName val="GRDATA"/>
      <sheetName val="SHAFTDBSE"/>
      <sheetName val="전기일위대가"/>
      <sheetName val="Sheet2"/>
      <sheetName val="하조서"/>
      <sheetName val="Sheet6"/>
      <sheetName val="단가"/>
      <sheetName val="매크로"/>
      <sheetName val="건축내역"/>
      <sheetName val="CT "/>
      <sheetName val="물가대비표"/>
      <sheetName val="재집"/>
      <sheetName val="직재"/>
      <sheetName val="금액집계"/>
      <sheetName val="Cost bd-&quot;A&quot;"/>
      <sheetName val="갑지1"/>
      <sheetName val="일위대가"/>
      <sheetName val="일위대가(4층원격)"/>
      <sheetName val="간선계산"/>
      <sheetName val="노임단가"/>
      <sheetName val="경비_원본"/>
      <sheetName val="정산"/>
      <sheetName val="구조물공1"/>
      <sheetName val="배수및구조물공1"/>
      <sheetName val="신우"/>
      <sheetName val="1안"/>
      <sheetName val="단가산출"/>
      <sheetName val="4원가계산"/>
      <sheetName val="AS복구"/>
      <sheetName val="중기터파기"/>
      <sheetName val="변수값"/>
      <sheetName val="중기상차"/>
      <sheetName val="부하계산서"/>
      <sheetName val="Total"/>
      <sheetName val="공통(20-91)"/>
      <sheetName val="20관리비율"/>
      <sheetName val="전차선로 물량표"/>
      <sheetName val="J直材4"/>
      <sheetName val="DB단가"/>
      <sheetName val="직노"/>
      <sheetName val="danga"/>
      <sheetName val="ilch"/>
      <sheetName val="을"/>
      <sheetName val="정부노임단가"/>
      <sheetName val="일위(설)"/>
      <sheetName val="공사비예산서(토목분)"/>
      <sheetName val="적용기준표(98년상반기)"/>
      <sheetName val="설계조건"/>
      <sheetName val="집수정(600-700)"/>
      <sheetName val="외주가공"/>
      <sheetName val="견적대비 견적서"/>
      <sheetName val="대가_"/>
      <sheetName val="관음목장(제출용)자105인97_5"/>
      <sheetName val="Galaxy_소비자가격표"/>
      <sheetName val="부대내역"/>
      <sheetName val="ETC"/>
      <sheetName val="표지 (2)"/>
      <sheetName val="Tender Summary"/>
      <sheetName val="FRP내역서"/>
      <sheetName val="실행내역"/>
      <sheetName val="Baby일위대가"/>
      <sheetName val="내역서-CCTV"/>
      <sheetName val="계수시트"/>
      <sheetName val="원가계산서"/>
      <sheetName val="우수공"/>
      <sheetName val="수량산출1"/>
      <sheetName val="자재단가표"/>
      <sheetName val="Y-WORK"/>
      <sheetName val="데이타"/>
      <sheetName val="구천"/>
      <sheetName val="청천내"/>
      <sheetName val="별표집계"/>
      <sheetName val="공사내역"/>
      <sheetName val="과천MAIN"/>
      <sheetName val="점검총괄"/>
      <sheetName val="인건비"/>
      <sheetName val="일위"/>
      <sheetName val="MOTOR"/>
      <sheetName val="전선"/>
      <sheetName val="표지_(2)"/>
      <sheetName val="CT_"/>
      <sheetName val="전차선로_물량표"/>
      <sheetName val="Cost_bd-&quot;A&quot;"/>
      <sheetName val="Tender_Summary"/>
      <sheetName val="Sheet5"/>
      <sheetName val="#REF"/>
      <sheetName val="금액내역서"/>
      <sheetName val="공량산출근거서"/>
      <sheetName val="음료실행"/>
      <sheetName val="원가계산"/>
      <sheetName val="EACT10"/>
      <sheetName val="개요"/>
      <sheetName val="포장절단"/>
      <sheetName val="급수 (LPM)"/>
      <sheetName val=" 냉각수펌프"/>
      <sheetName val="중기사용료"/>
      <sheetName val="공사현황"/>
      <sheetName val="기본일위"/>
      <sheetName val="말뚝지지력산정"/>
      <sheetName val="기본DATA"/>
      <sheetName val="조도"/>
      <sheetName val="현장관리비"/>
      <sheetName val="공사개요"/>
      <sheetName val="전선 및 전선관"/>
      <sheetName val="총괄집계표"/>
      <sheetName val="외자배분"/>
      <sheetName val="외자내역"/>
      <sheetName val="기성금내역서"/>
      <sheetName val="적용단가"/>
      <sheetName val="조명시설"/>
      <sheetName val="조정금액결과표 (차수별)"/>
    </sheetNames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수량산출"/>
      <sheetName val="중량산출"/>
      <sheetName val="PANEL 중량산출"/>
      <sheetName val="내역서"/>
      <sheetName val="견적대비표"/>
      <sheetName val="단가대비표"/>
      <sheetName val="I一般比"/>
      <sheetName val="TEL"/>
      <sheetName val="과천MAIN"/>
      <sheetName val="일위대가"/>
      <sheetName val="부대대비"/>
      <sheetName val="냉연집계"/>
      <sheetName val="Sheet3"/>
      <sheetName val="신우"/>
      <sheetName val="직재"/>
      <sheetName val="교각계산"/>
      <sheetName val="DATE"/>
      <sheetName val="sheets"/>
      <sheetName val="예산M12A"/>
      <sheetName val="일위대가목차"/>
      <sheetName val="노임단가"/>
      <sheetName val="경비_원본"/>
      <sheetName val="감가상각"/>
      <sheetName val="대비"/>
      <sheetName val="내역서(총)"/>
      <sheetName val="J直材4"/>
      <sheetName val="plan&amp;section of foundation"/>
      <sheetName val="노원열병합  건축공사기성내역서"/>
      <sheetName val="민속촌메뉴"/>
      <sheetName val="수량산출서"/>
      <sheetName val="업무"/>
      <sheetName val="code"/>
      <sheetName val="입찰안"/>
      <sheetName val="N賃率-職"/>
      <sheetName val="직노"/>
      <sheetName val="설계조건"/>
      <sheetName val="을지"/>
      <sheetName val="FANDBS"/>
      <sheetName val="GRDATA"/>
      <sheetName val="SHAFTDBSE"/>
      <sheetName val="자재단가비교표"/>
      <sheetName val="주소록"/>
      <sheetName val="공사현황"/>
      <sheetName val="20관리비율"/>
      <sheetName val="도"/>
      <sheetName val="터널조도"/>
      <sheetName val="실행내역서 "/>
      <sheetName val="부하계산서"/>
      <sheetName val="CT "/>
      <sheetName val="노임"/>
      <sheetName val="ABUT수량-A1"/>
      <sheetName val="발신정보"/>
      <sheetName val="기본일위"/>
      <sheetName val="2F 회의실견적(5_14 일대)"/>
      <sheetName val="TOTAL"/>
      <sheetName val="NOMUBI"/>
      <sheetName val="sw1"/>
      <sheetName val="실행철강하도"/>
      <sheetName val="단가비교표"/>
      <sheetName val="동원(3)"/>
      <sheetName val="예정(3)"/>
      <sheetName val="인건-측정"/>
      <sheetName val="조도계산서 (도서)"/>
      <sheetName val="동력부하(도산)"/>
      <sheetName val="명세서"/>
      <sheetName val="경산"/>
      <sheetName val="Sheet2"/>
      <sheetName val="C-노임단가"/>
      <sheetName val="유림골조"/>
      <sheetName val="Sheet14"/>
      <sheetName val="Sheet13"/>
      <sheetName val="danga"/>
      <sheetName val="ilch"/>
      <sheetName val="소비자가"/>
      <sheetName val="6호기"/>
      <sheetName val="전기일위대가"/>
      <sheetName val="DATA"/>
      <sheetName val="화재 탐지 설비"/>
      <sheetName val="工완성공사율"/>
      <sheetName val="공사원가계산서"/>
      <sheetName val="Y-WORK"/>
      <sheetName val="원가계산서"/>
      <sheetName val="타견적1"/>
      <sheetName val="타견적2"/>
      <sheetName val="타견적3"/>
      <sheetName val="개요"/>
      <sheetName val="DB"/>
      <sheetName val="기성금내역서"/>
      <sheetName val="견적서"/>
      <sheetName val="일위단가"/>
      <sheetName val="건축내역"/>
      <sheetName val="합천내역"/>
      <sheetName val="1안"/>
      <sheetName val="내역"/>
      <sheetName val="Sheet1"/>
      <sheetName val="단가표"/>
      <sheetName val="음료실행"/>
      <sheetName val="APT내역"/>
      <sheetName val="부대시설"/>
      <sheetName val="기둥(원형)"/>
      <sheetName val="설직재-1"/>
      <sheetName val="EACT10"/>
      <sheetName val="재집"/>
      <sheetName val="을"/>
      <sheetName val="DB단가"/>
      <sheetName val="단가조사"/>
      <sheetName val="TABLE"/>
      <sheetName val="유기공정"/>
      <sheetName val="96물가 CODE"/>
      <sheetName val="연부97-1"/>
      <sheetName val="갑지1"/>
      <sheetName val="단가산출2"/>
      <sheetName val="제36-40호표"/>
      <sheetName val="#REF"/>
      <sheetName val="총괄집계표"/>
      <sheetName val="노무비"/>
      <sheetName val="공조기휀"/>
      <sheetName val="재료"/>
      <sheetName val="설치자재"/>
      <sheetName val="기본사항"/>
      <sheetName val="환산"/>
      <sheetName val="일위"/>
      <sheetName val="노임이"/>
      <sheetName val="조명시설"/>
      <sheetName val="예산변경사항"/>
      <sheetName val="세부내역"/>
      <sheetName val="정공공사"/>
      <sheetName val="Sheet5"/>
      <sheetName val="갑지"/>
      <sheetName val="인건비"/>
      <sheetName val="공사내역"/>
      <sheetName val="BID"/>
      <sheetName val="LEGEND"/>
      <sheetName val="조경"/>
      <sheetName val="갑지(추정)"/>
      <sheetName val="본장"/>
      <sheetName val="최종갑지"/>
      <sheetName val="sum1 (2)"/>
      <sheetName val="견적정보"/>
      <sheetName val="PANEL_중량산출"/>
      <sheetName val="노원열병합__건축공사기성내역서"/>
      <sheetName val="plan&amp;section_of_foundation"/>
      <sheetName val="1단계"/>
      <sheetName val="FB25JN"/>
      <sheetName val="년도별실"/>
      <sheetName val="도체종-상수표"/>
      <sheetName val="계산서(곡선부)"/>
      <sheetName val="-치수표(곡선부)"/>
      <sheetName val="1.설계조건"/>
      <sheetName val="LOPCALC"/>
      <sheetName val="프로그램"/>
      <sheetName val="예산서"/>
      <sheetName val="운반비"/>
      <sheetName val="단가(1)"/>
      <sheetName val="단가(2)"/>
      <sheetName val="배관(TON)"/>
      <sheetName val="물량집계"/>
      <sheetName val="물량비교"/>
      <sheetName val="배관비교"/>
      <sheetName val="리스트"/>
      <sheetName val="용량-침사"/>
      <sheetName val="용량-펌프"/>
      <sheetName val="장애코드"/>
      <sheetName val="현금예금"/>
      <sheetName val="종배수관"/>
      <sheetName val="CP-E2 (품셈표)"/>
      <sheetName val="품목납기"/>
      <sheetName val="설비"/>
      <sheetName val="U-TYPE(1)"/>
      <sheetName val="조도계산(1)"/>
      <sheetName val="전차선로 물량표"/>
      <sheetName val="일위대가목록"/>
      <sheetName val="001"/>
      <sheetName val="와동25-3(변경)"/>
      <sheetName val="60명당사(총괄)"/>
      <sheetName val="CT_"/>
      <sheetName val="2F_회의실견적(5_14_일대)"/>
      <sheetName val="조도계산서_(도서)"/>
      <sheetName val="96물가_CODE"/>
      <sheetName val="CP-E2_(품셈표)"/>
      <sheetName val="70%"/>
      <sheetName val="전기단가조사서"/>
      <sheetName val="반중력식옹벽3.5"/>
      <sheetName val="중기사용료"/>
      <sheetName val="Macro1"/>
      <sheetName val="Macro2"/>
      <sheetName val="김재복부장님"/>
      <sheetName val="기초대가"/>
      <sheetName val="97"/>
      <sheetName val="WORK"/>
      <sheetName val="K1자재(3차등)"/>
      <sheetName val="자재단가"/>
      <sheetName val="덕전리"/>
      <sheetName val="선급금신청서"/>
      <sheetName val="실행비교"/>
      <sheetName val="OPT7"/>
      <sheetName val="6PILE  (돌출)"/>
      <sheetName val="신규 수주분(사용자 정의)"/>
      <sheetName val="UserData"/>
      <sheetName val="환율"/>
      <sheetName val="금액집계"/>
      <sheetName val="Sheet9"/>
      <sheetName val="통신원가"/>
      <sheetName val="터파기및재료"/>
      <sheetName val="소상 &quot;1&quot;"/>
      <sheetName val="여과지동"/>
      <sheetName val="기초자료"/>
      <sheetName val="CONCRETE"/>
      <sheetName val="부하LOAD"/>
      <sheetName val="데이타"/>
      <sheetName val="11월 가격"/>
      <sheetName val="일위대가(1)"/>
      <sheetName val="연수동"/>
      <sheetName val="1000 DB구축 부표"/>
      <sheetName val="청천내"/>
      <sheetName val="차액보증"/>
      <sheetName val="10월가격"/>
      <sheetName val="원형1호맨홀토공수량"/>
      <sheetName val="정부노임단가"/>
      <sheetName val="철거산출근거"/>
      <sheetName val="기계경비산출기준"/>
      <sheetName val="단가산출(변경없음)"/>
      <sheetName val="원본(갑지)"/>
      <sheetName val="판매96"/>
      <sheetName val="제-노임"/>
      <sheetName val="제직재"/>
      <sheetName val="원가"/>
      <sheetName val="운반"/>
      <sheetName val="UR2-Calculation"/>
      <sheetName val="GAEYO"/>
      <sheetName val="밸브설치"/>
      <sheetName val="단"/>
      <sheetName val="내역서1999.8최종"/>
      <sheetName val="견적대비 견적서"/>
      <sheetName val="사통"/>
      <sheetName val="토공정보"/>
      <sheetName val="예산M5A"/>
      <sheetName val="예산M2"/>
      <sheetName val="표지"/>
      <sheetName val="남양시작동자105노65기1.3화1.2"/>
      <sheetName val="지급자재"/>
      <sheetName val="계약내역서(을지)"/>
      <sheetName val="장비분석"/>
      <sheetName val="공조기"/>
      <sheetName val="STORAGE"/>
      <sheetName val="토목주소"/>
      <sheetName val="프랜트면허"/>
      <sheetName val="별표 "/>
      <sheetName val="조명율표"/>
      <sheetName val="단가조사-2"/>
      <sheetName val="copy"/>
      <sheetName val="11.단가비교표_"/>
      <sheetName val="16.기계경비산출내역_"/>
      <sheetName val="기성"/>
      <sheetName val="건축원가계산서"/>
      <sheetName val="전기"/>
      <sheetName val="날개벽수량표"/>
      <sheetName val="화재_탐지_설비"/>
      <sheetName val="백암비스타내역"/>
      <sheetName val="기계내역"/>
      <sheetName val="교각1"/>
      <sheetName val="토공(우물통,기타) "/>
      <sheetName val="wall"/>
      <sheetName val="COPING"/>
      <sheetName val="AA3000"/>
      <sheetName val="AA3100"/>
      <sheetName val="비계"/>
      <sheetName val="AA3200"/>
      <sheetName val="동바리"/>
      <sheetName val="AA3300"/>
      <sheetName val="특수거푸집"/>
      <sheetName val="AA3400"/>
      <sheetName val="집계표"/>
      <sheetName val="9GNG운반"/>
      <sheetName val="준검 내역서"/>
      <sheetName val="T13(P68~72,78)"/>
      <sheetName val="2"/>
      <sheetName val="여방토공 "/>
      <sheetName val="소상_&quot;1&quot;"/>
      <sheetName val="공통가설"/>
      <sheetName val="부속동"/>
      <sheetName val="공사개요(좌)"/>
      <sheetName val="직공비"/>
      <sheetName val="매입세율"/>
      <sheetName val="공사개요"/>
      <sheetName val="Sheet7"/>
      <sheetName val="어음광고주"/>
      <sheetName val="입출재고현황 (2)"/>
      <sheetName val="심사계산"/>
      <sheetName val="심사물량"/>
      <sheetName val="VE절감"/>
      <sheetName val="물량표S"/>
      <sheetName val="금액내역서"/>
      <sheetName val="물가시세"/>
      <sheetName val="ITEM"/>
      <sheetName val="type-F"/>
      <sheetName val="CTEMCOST"/>
      <sheetName val="기계경비(시간당)"/>
      <sheetName val="램머"/>
      <sheetName val="내역서 (2)"/>
      <sheetName val="총괄내역서"/>
      <sheetName val="교대(A1-A2)"/>
      <sheetName val="공사비집계"/>
      <sheetName val="건축"/>
      <sheetName val="제잡비"/>
      <sheetName val="B(함)일반수량"/>
      <sheetName val="플랜트 설치"/>
      <sheetName val="산출근거"/>
      <sheetName val="산출내역서집계표"/>
      <sheetName val="단가산출"/>
      <sheetName val="환경평가"/>
      <sheetName val="인구"/>
      <sheetName val="배수관공"/>
      <sheetName val="Sheet1 (2)"/>
      <sheetName val="FPA"/>
      <sheetName val="순수개발"/>
      <sheetName val="Data Vol"/>
      <sheetName val="차수"/>
      <sheetName val="전체"/>
      <sheetName val="Galaxy 소비자가격표"/>
      <sheetName val="가로등기초"/>
      <sheetName val="BASIC (2)"/>
      <sheetName val="dt0301"/>
      <sheetName val="dtt0301"/>
      <sheetName val="7.1 자재단가표(케이블)"/>
      <sheetName val="목록"/>
      <sheetName val="LOAD-46"/>
      <sheetName val="부하(성남)"/>
      <sheetName val="토공계산서(부체도로)"/>
      <sheetName val="내부부하"/>
      <sheetName val="설계내역(2001)"/>
      <sheetName val="본체"/>
      <sheetName val="토목"/>
      <sheetName val="단가목록"/>
      <sheetName val="대창(장성)"/>
      <sheetName val="Oper Amount"/>
      <sheetName val="실적단가"/>
      <sheetName val="일위대가_복합"/>
      <sheetName val="일위대가_서비스"/>
      <sheetName val="장비집계"/>
      <sheetName val="8.PILE  (돌출)"/>
      <sheetName val="임차품의(농조)"/>
      <sheetName val="실행내역"/>
      <sheetName val="조도계산서 _도서_"/>
      <sheetName val="원가 (2)"/>
      <sheetName val="대치판정"/>
      <sheetName val="rate"/>
      <sheetName val="첨부파일"/>
      <sheetName val="일반수량총괄"/>
      <sheetName val="토공총괄"/>
      <sheetName val="골재수량"/>
      <sheetName val="레미콘집계"/>
      <sheetName val="주요자재"/>
      <sheetName val="타공종이기"/>
      <sheetName val="(C)원내역"/>
      <sheetName val="원가계산"/>
      <sheetName val="사급자재"/>
      <sheetName val="이토변실(A3-LINE)"/>
      <sheetName val="98수문일위"/>
      <sheetName val="진주방향"/>
      <sheetName val="유통망계획"/>
      <sheetName val="기준자료"/>
      <sheetName val="제품"/>
      <sheetName val="견적계산"/>
      <sheetName val="TRE TABLE"/>
      <sheetName val="자재운반단가일람표"/>
      <sheetName val="실행"/>
      <sheetName val="DRUM"/>
      <sheetName val="담장산출"/>
      <sheetName val="BOX"/>
      <sheetName val="건축내역서"/>
      <sheetName val="실정공사비단가표"/>
      <sheetName val="PROCESS"/>
      <sheetName val="일위대가(계측기설치)"/>
      <sheetName val="말뚝지지력산정"/>
      <sheetName val="예산대비"/>
      <sheetName val="공문"/>
      <sheetName val="NEYOK"/>
      <sheetName val="외주가공"/>
      <sheetName val="7단가"/>
      <sheetName val="품산출서"/>
      <sheetName val="1-1"/>
      <sheetName val="차도조도계산"/>
      <sheetName val="자료"/>
      <sheetName val="우각부보강"/>
      <sheetName val="단면가정"/>
      <sheetName val="7내역"/>
      <sheetName val="표지판단위"/>
      <sheetName val="설계"/>
      <sheetName val="BUS제원1"/>
      <sheetName val="dtxl"/>
      <sheetName val="단가조사서"/>
      <sheetName val="목차"/>
      <sheetName val="간지"/>
      <sheetName val="간선계산"/>
      <sheetName val="소업1교"/>
      <sheetName val="sub"/>
      <sheetName val="노무비 근거"/>
      <sheetName val="품목"/>
      <sheetName val="AV시스템"/>
      <sheetName val="C1"/>
      <sheetName val="기성내역서표지"/>
      <sheetName val="(A)내역서"/>
      <sheetName val="값"/>
      <sheetName val="횡 연장"/>
      <sheetName val="호표"/>
      <sheetName val="공사비명세서"/>
      <sheetName val="지수"/>
      <sheetName val="일위대가표"/>
      <sheetName val="약품공급2"/>
      <sheetName val="배수내역 (2)"/>
      <sheetName val="협조전"/>
      <sheetName val="단위중량"/>
      <sheetName val="CB"/>
      <sheetName val="단위수량"/>
      <sheetName val="변경갑지"/>
      <sheetName val="증감(갑지)"/>
      <sheetName val="손익차9월2"/>
      <sheetName val="단가"/>
      <sheetName val="DLA"/>
      <sheetName val=" 견적서"/>
      <sheetName val="변압기 및 발전기 용량"/>
      <sheetName val="cost"/>
      <sheetName val="상승노임"/>
      <sheetName val="변화치수"/>
      <sheetName val="수량산출서 갑지"/>
      <sheetName val=" HIT-&gt;HMC 견적(3900)"/>
      <sheetName val="48일위"/>
      <sheetName val="48수량"/>
      <sheetName val="22수량"/>
      <sheetName val="49일위"/>
      <sheetName val="22일위"/>
      <sheetName val="49수량"/>
      <sheetName val="자재집계"/>
      <sheetName val="골재랑"/>
      <sheetName val="기초총괄"/>
      <sheetName val="구체총괄"/>
      <sheetName val="구체+기초총괄"/>
      <sheetName val="교대집계"/>
      <sheetName val="교대철근(구체)"/>
      <sheetName val="교대철근(기초)"/>
      <sheetName val="교대철근(구체+기초)"/>
      <sheetName val="교각집계"/>
      <sheetName val="교각철근(구체)"/>
      <sheetName val="교각철근 (기초)"/>
      <sheetName val="교각철근 (구체+기초)"/>
      <sheetName val="현장타설말뚝"/>
      <sheetName val="강재집계표"/>
      <sheetName val="원동교강재집계표"/>
      <sheetName val="설계명세서(선로)"/>
      <sheetName val="전기,계장"/>
      <sheetName val="품셈"/>
      <sheetName val="구조물공집계"/>
      <sheetName val="암거집계 "/>
      <sheetName val="암거구체수량"/>
      <sheetName val="암거구체"/>
      <sheetName val="날개벽집계표"/>
      <sheetName val="날개벽단위"/>
      <sheetName val="차수벽집계표"/>
      <sheetName val="차수벽"/>
      <sheetName val="시행후면적"/>
      <sheetName val="수지예산"/>
      <sheetName val="단가대비"/>
      <sheetName val="소요자재"/>
      <sheetName val="ROOF(ALKALI)"/>
      <sheetName val="일위대가(4층원격)"/>
      <sheetName val="건축집계표"/>
      <sheetName val="단가표 "/>
      <sheetName val="견내"/>
      <sheetName val="매립"/>
      <sheetName val="FACTOR"/>
      <sheetName val="Cost bd-&quot;A&quot;"/>
      <sheetName val="총괄"/>
      <sheetName val="공사비"/>
      <sheetName val="OPT"/>
      <sheetName val="SV"/>
      <sheetName val="99총공사내역서"/>
      <sheetName val="1공구(을)"/>
      <sheetName val="XL4Poppy"/>
      <sheetName val="List"/>
      <sheetName val="CHITIET VL-NC"/>
      <sheetName val="DON GIA"/>
      <sheetName val="MOTOR"/>
      <sheetName val="참고"/>
      <sheetName val="7.경제성결과"/>
      <sheetName val="FRP내역서"/>
      <sheetName val="부대내역"/>
      <sheetName val="실행내역서_"/>
      <sheetName val="3련 BOX"/>
      <sheetName val="도근좌표"/>
      <sheetName val="입상내역"/>
      <sheetName val="FAB별"/>
      <sheetName val="견적(갑지)"/>
      <sheetName val="계약내력"/>
      <sheetName val="11"/>
      <sheetName val="맨홀토공"/>
      <sheetName val="전선 및 전선관"/>
      <sheetName val="청주(철골발주의뢰서)"/>
      <sheetName val="정렬"/>
      <sheetName val="분전함신설"/>
      <sheetName val="접지1종"/>
      <sheetName val="A-4"/>
      <sheetName val="자재테이블"/>
      <sheetName val="산출금액내역"/>
      <sheetName val="실행간접비용"/>
      <sheetName val="자판실행"/>
      <sheetName val="목표세부명세"/>
      <sheetName val="Baby일위대가"/>
      <sheetName val="토사(PE)"/>
      <sheetName val="Ekog10"/>
      <sheetName val="코드표"/>
      <sheetName val="기초단가"/>
      <sheetName val="견적"/>
      <sheetName val="EQUIPMENT -2"/>
      <sheetName val="대림경상68억"/>
      <sheetName val="F1"/>
      <sheetName val="포장공자재집계표"/>
      <sheetName val="일반수량"/>
      <sheetName val="자재일람"/>
      <sheetName val="교대(A1)"/>
      <sheetName val="대가표(품셈)"/>
      <sheetName val="단가산출서"/>
      <sheetName val="토목공사"/>
      <sheetName val="위치"/>
      <sheetName val="총공사내역서"/>
      <sheetName val="다곡2교"/>
      <sheetName val="재1"/>
      <sheetName val="I.설계조건"/>
      <sheetName val="기초자료입력"/>
      <sheetName val="자재조사표(참고용)"/>
      <sheetName val="품셈집계표"/>
      <sheetName val="일반부표집계표"/>
      <sheetName val="공주-교대(A1)"/>
      <sheetName val="가격표"/>
      <sheetName val="연령현황"/>
      <sheetName val="암거공"/>
      <sheetName val="9호관로"/>
      <sheetName val="DHEQSUPT"/>
      <sheetName val="DATA1"/>
      <sheetName val="배수통관(좌)"/>
      <sheetName val="공종별내역서"/>
      <sheetName val="시화점실행"/>
      <sheetName val="안정검토"/>
      <sheetName val="H-pile(298x299)"/>
      <sheetName val="H-pile(250x250)"/>
      <sheetName val="일위_파일"/>
      <sheetName val="연결임시"/>
      <sheetName val="단면검토"/>
      <sheetName val="_산근2_"/>
      <sheetName val="_산근4_"/>
      <sheetName val="_산근5_"/>
      <sheetName val="BQ_Utl_Off"/>
      <sheetName val="BREAKDOWN(철거설치)"/>
      <sheetName val="기계경비"/>
      <sheetName val="분류작업"/>
      <sheetName val="기본자료"/>
      <sheetName val="2002상반기노임기준"/>
      <sheetName val="안정계산"/>
      <sheetName val="전체현황"/>
      <sheetName val="안정성검토"/>
      <sheetName val="하중계산"/>
      <sheetName val="설계기준"/>
      <sheetName val="총괄표"/>
      <sheetName val="대상공사(조달청)"/>
      <sheetName val="자료(통합)"/>
      <sheetName val="횡배수관집현황(2공구)"/>
      <sheetName val="JUCKEYK"/>
      <sheetName val="수목표준대가"/>
      <sheetName val="웅진교-S2"/>
      <sheetName val="시중노임(공사)"/>
      <sheetName val="식재"/>
      <sheetName val="시설물"/>
      <sheetName val="식재출력용"/>
      <sheetName val="유지관리"/>
      <sheetName val="매크로"/>
      <sheetName val="원가입력"/>
      <sheetName val="교통대책내역"/>
      <sheetName val="수량집계"/>
      <sheetName val="수량산출서 (2)"/>
      <sheetName val="Customer Databas"/>
      <sheetName val="암거"/>
      <sheetName val="포장공"/>
      <sheetName val="배수공"/>
      <sheetName val="Controls"/>
      <sheetName val="원계약서"/>
      <sheetName val="총괄내역"/>
      <sheetName val="우수"/>
      <sheetName val="__"/>
      <sheetName val="DIAPHRAGM"/>
      <sheetName val="물량산출근거"/>
      <sheetName val="설계예산서(2016년 보안등 신설공사 단가계약-).xls"/>
      <sheetName val="CATV"/>
      <sheetName val="CAL"/>
      <sheetName val="COVER-P"/>
      <sheetName val="3BL공동구 수량"/>
      <sheetName val="수안보-MBR1"/>
      <sheetName val="L형 옹벽"/>
      <sheetName val="샘플표지"/>
      <sheetName val="물가연동제"/>
      <sheetName val="1. 설계조건 2.단면가정 3. 하중계산"/>
      <sheetName val="DATA 입력란"/>
      <sheetName val="금융비용"/>
      <sheetName val="주안3차A-A"/>
      <sheetName val="자재"/>
      <sheetName val="원형맨홀수량"/>
      <sheetName val="기기리스트"/>
      <sheetName val="01"/>
      <sheetName val="연돌일위집계"/>
      <sheetName val="일위대가1"/>
      <sheetName val="원형측구(B-type)"/>
      <sheetName val="콘_재료분리(1)"/>
      <sheetName val="최종견"/>
      <sheetName val="sun"/>
      <sheetName val="예산M11A"/>
      <sheetName val="자료입력"/>
      <sheetName val="경사수로"/>
      <sheetName val="D16"/>
      <sheetName val="D25"/>
      <sheetName val="D22"/>
      <sheetName val="시행예산"/>
      <sheetName val="주요측점"/>
      <sheetName val="__MAIN"/>
      <sheetName val="회로내역(승인)"/>
      <sheetName val="안정검토(온1)"/>
      <sheetName val="관급"/>
      <sheetName val="투찰(하수)"/>
      <sheetName val="Site Expenses"/>
      <sheetName val="TYPE-A"/>
      <sheetName val="AHU집계"/>
      <sheetName val="INPUT"/>
      <sheetName val="Macro(차단기)"/>
      <sheetName val="BQ(실행)"/>
      <sheetName val="JUCK"/>
      <sheetName val="요약&amp;결과"/>
      <sheetName val="배관배선 단가조사"/>
      <sheetName val="유림총괄"/>
      <sheetName val="본실행경비"/>
      <sheetName val="작업일정"/>
      <sheetName val="일위대가집계"/>
      <sheetName val="4안전율"/>
      <sheetName val="사다리"/>
      <sheetName val="AA2000"/>
      <sheetName val="AA2100"/>
      <sheetName val="토류시설"/>
      <sheetName val="AA2200"/>
      <sheetName val="배수및물푸기시설집계"/>
      <sheetName val="가배수관"/>
      <sheetName val="가도수로"/>
      <sheetName val="절성경계도수로현황"/>
      <sheetName val="물푸기집계"/>
      <sheetName val="AA2300"/>
      <sheetName val="AA2400"/>
      <sheetName val="AA2500"/>
      <sheetName val="방호시설집계"/>
      <sheetName val="AA2600"/>
      <sheetName val="교통안전시설공집계"/>
      <sheetName val="교통처리가도수량집계"/>
      <sheetName val="국지도70호선-수량"/>
      <sheetName val="국지도70호선-현황"/>
      <sheetName val="남춘천IC접속부-수량"/>
      <sheetName val="남춘천IC접속부-현황"/>
      <sheetName val="군자4교하부-수량"/>
      <sheetName val="군자4교하부-현황"/>
      <sheetName val="AA2700"/>
      <sheetName val="낙하물방지공"/>
      <sheetName val="AA2800"/>
      <sheetName val="작업용가시설"/>
      <sheetName val="AA2900"/>
      <sheetName val="교량환기시설"/>
      <sheetName val="환기시설 (1)"/>
      <sheetName val="환기시설 (2)"/>
      <sheetName val="상-교대(A1-A2)"/>
      <sheetName val="해상PCB"/>
      <sheetName val="출입자명단"/>
      <sheetName val="뚝토공"/>
      <sheetName val="맨홀토공산출"/>
      <sheetName val="000000"/>
      <sheetName val="총내역서"/>
      <sheetName val="경관내역"/>
      <sheetName val="가로등내역"/>
      <sheetName val="영상수량산출"/>
      <sheetName val="경관수량산출"/>
      <sheetName val="가로등수량산출"/>
      <sheetName val="영상단가대비표 "/>
      <sheetName val="경관단가대비표"/>
      <sheetName val="배관"/>
      <sheetName val=" 냉각수펌프"/>
      <sheetName val="몰탈재료산출"/>
      <sheetName val="G.R300경비"/>
      <sheetName val="Macro(전선)"/>
      <sheetName val="기초안정검토"/>
      <sheetName val="15100"/>
      <sheetName val="현장지지물물량"/>
      <sheetName val="두앙"/>
      <sheetName val="통합"/>
      <sheetName val="COVER"/>
      <sheetName val="집계"/>
      <sheetName val="재료비"/>
      <sheetName val="보온자재단가표"/>
      <sheetName val="소운반"/>
      <sheetName val="단가대비표 표지"/>
      <sheetName val="2000시행"/>
      <sheetName val="단면치수"/>
      <sheetName val="교차구"/>
      <sheetName val="위치조서"/>
      <sheetName val="입찰견적보고서"/>
      <sheetName val="일반공사"/>
      <sheetName val="데리네이타현황"/>
      <sheetName val="사  업  비  수  지  예  산  서"/>
      <sheetName val="암거(내역)"/>
      <sheetName val="VENDOR LIST"/>
      <sheetName val="일보"/>
      <sheetName val="기력고압전동기"/>
      <sheetName val="OH공량old"/>
      <sheetName val="PIPE"/>
      <sheetName val="FLANGE"/>
      <sheetName val="VALVE"/>
      <sheetName val="1을"/>
      <sheetName val="예시 (수정 및 삭제금지)"/>
      <sheetName val="예산내역서"/>
      <sheetName val="BOQ(전체)"/>
      <sheetName val="사전공사"/>
      <sheetName val="단위수량산출"/>
      <sheetName val="EPro"/>
      <sheetName val="오존실배관내역"/>
      <sheetName val="특별교실"/>
      <sheetName val="각종양식"/>
      <sheetName val="BSD (2)"/>
      <sheetName val="대전-교대(A1-A2)"/>
      <sheetName val="8-1"/>
      <sheetName val="물가"/>
      <sheetName val="설계명세서"/>
      <sheetName val="기성내역서"/>
      <sheetName val="PANEL_중량산출1"/>
      <sheetName val="plan&amp;section_of_foundation1"/>
      <sheetName val="노원열병합__건축공사기성내역서1"/>
      <sheetName val="CT_1"/>
      <sheetName val="2F_회의실견적(5_14_일대)1"/>
      <sheetName val="조도계산서_(도서)1"/>
      <sheetName val="화재_탐지_설비1"/>
      <sheetName val="내역서1999_8최종"/>
      <sheetName val="입출재고현황_(2)"/>
      <sheetName val="소상_&quot;1&quot;1"/>
      <sheetName val="96물가_CODE1"/>
      <sheetName val="sum1_(2)"/>
      <sheetName val="CP-E2_(품셈표)1"/>
      <sheetName val="전차선로_물량표"/>
      <sheetName val="반중력식옹벽3_5"/>
      <sheetName val="1_설계조건"/>
      <sheetName val="견적대비_견적서"/>
      <sheetName val="11_단가비교표_"/>
      <sheetName val="16_기계경비산출내역_"/>
      <sheetName val="신규_수주분(사용자_정의)"/>
      <sheetName val="6PILE__(돌출)"/>
      <sheetName val="11월_가격"/>
      <sheetName val="1000_DB구축_부표"/>
      <sheetName val="토공(우물통,기타)_"/>
      <sheetName val="준검_내역서"/>
      <sheetName val="여방토공_"/>
      <sheetName val="내역서_(2)"/>
      <sheetName val="플랜트_설치"/>
      <sheetName val="Sheet1_(2)"/>
      <sheetName val="Data_Vol"/>
      <sheetName val="Galaxy_소비자가격표"/>
      <sheetName val="남양시작동자105노65기1_3화1_2"/>
      <sheetName val="별표_"/>
      <sheetName val="7_1_자재단가표(케이블)"/>
      <sheetName val="BASIC_(2)"/>
      <sheetName val="변압기_및_발전기_용량"/>
      <sheetName val="교각철근_(기초)"/>
      <sheetName val="교각철근_(구체+기초)"/>
      <sheetName val="40총괄"/>
      <sheetName val="40집계"/>
      <sheetName val="총요약서"/>
      <sheetName val="지주목시비량산출서"/>
      <sheetName val="1-3.조건,바닥판 "/>
      <sheetName val="월말"/>
      <sheetName val="가정오수"/>
      <sheetName val="잔수량(작성)"/>
      <sheetName val="토공총괄표"/>
      <sheetName val="물건도(원본)"/>
      <sheetName val="적용단위길이"/>
      <sheetName val="피벗테이블데이터분석"/>
      <sheetName val="특수기호강도거푸집"/>
      <sheetName val="종배수관면벽신"/>
      <sheetName val="종배수관(신)"/>
      <sheetName val="기본"/>
      <sheetName val="견적대비"/>
      <sheetName val="3.공통공사대비"/>
      <sheetName val="TABLE DB"/>
      <sheetName val="쌍용 data base"/>
      <sheetName val="guard(mac)"/>
      <sheetName val="추가예산"/>
      <sheetName val="Sheet4"/>
      <sheetName val="산수배수"/>
      <sheetName val="우棌"/>
      <sheetName val="사업수지"/>
      <sheetName val="1,2공구원가계산서"/>
      <sheetName val="2공구산출내역"/>
      <sheetName val="1공구산출내역서"/>
      <sheetName val="Proposal"/>
      <sheetName val="배수공 시멘트 및 골재량 산출"/>
      <sheetName val="원가계산하도"/>
      <sheetName val="총_x0000_ϭ"/>
      <sheetName val="우륀"/>
      <sheetName val="식재ط"/>
      <sheetName val="총蚨ϖ"/>
      <sheetName val="총蓨ώ"/>
      <sheetName val="총벝l"/>
      <sheetName val="총벝ê"/>
      <sheetName val="총_x0002__x0000_"/>
      <sheetName val="첨부1-1"/>
      <sheetName val="공통부대비"/>
      <sheetName val="회로내역(승인䠎"/>
      <sheetName val="회로내역(승인Ԉ"/>
      <sheetName val="1. 설계서-갑지"/>
      <sheetName val="2. 설계서-을지"/>
      <sheetName val="3. 산출기계"/>
      <sheetName val="4. 산출전기"/>
      <sheetName val="5. 일위대가목록"/>
      <sheetName val="6. 일위대가 "/>
      <sheetName val="7. 물가조사"/>
      <sheetName val="8. 견적대비"/>
      <sheetName val="9. 시중노임"/>
      <sheetName val="TARGET"/>
      <sheetName val="기본DATA"/>
      <sheetName val="보험료산출"/>
      <sheetName val="Oper_Amount"/>
      <sheetName val="8_PILE__(돌출)"/>
      <sheetName val="조도계산서__도서_"/>
      <sheetName val="횡_연장"/>
      <sheetName val="암거집계_"/>
      <sheetName val="원가_(2)"/>
      <sheetName val="3련_BOX"/>
      <sheetName val="TRE_TABLE"/>
      <sheetName val="노무비_근거"/>
      <sheetName val="_HIT-&gt;HMC_견적(3900)"/>
      <sheetName val="단가표_"/>
      <sheetName val="Cost_bd-&quot;A&quot;"/>
      <sheetName val="전선_및_전선관"/>
      <sheetName val="_견적서"/>
      <sheetName val="기초공"/>
      <sheetName val="물량표"/>
      <sheetName val="평가데이터"/>
      <sheetName val="우배수"/>
      <sheetName val="설명"/>
      <sheetName val="wing"/>
      <sheetName val="98비정기소모"/>
      <sheetName val="TYPE1"/>
      <sheetName val="입력자료모음"/>
      <sheetName val="원가계산서(공사)"/>
      <sheetName val="식재가격"/>
      <sheetName val="식재총괄"/>
      <sheetName val="일위목록"/>
      <sheetName val="2000년1차"/>
      <sheetName val="구조물철거타공정이월"/>
      <sheetName val="수목데이타 "/>
      <sheetName val="토공(우물통,기타)_2"/>
      <sheetName val="내역서_(2)2"/>
      <sheetName val="횡_연장2"/>
      <sheetName val="토공(우물통,기타)_1"/>
      <sheetName val="내역서_(2)1"/>
      <sheetName val="횡_연장1"/>
      <sheetName val="하부철근수량"/>
      <sheetName val="적용기준"/>
      <sheetName val="지주토목내역서"/>
      <sheetName val="일위대가(건축)"/>
      <sheetName val="6. 직접경비"/>
      <sheetName val="DS기성최종"/>
      <sheetName val="DS설변내역서"/>
      <sheetName val="단가_1_"/>
      <sheetName val="실행내역 "/>
      <sheetName val="ⴭⴭⴭⴭⴭ"/>
      <sheetName val="2001년 건설노임"/>
      <sheetName val="98지급계획"/>
      <sheetName val="맨홀수량산출"/>
      <sheetName val="E.P.T수량산출서"/>
      <sheetName val="교각별수량"/>
      <sheetName val="단가일람"/>
      <sheetName val="단가적용기준"/>
      <sheetName val="대로근거"/>
      <sheetName val="산근1"/>
      <sheetName val="장비"/>
      <sheetName val="노무"/>
      <sheetName val="돈암사업"/>
      <sheetName val="옹벽1"/>
      <sheetName val="CALCULATION"/>
      <sheetName val="직접인건비"/>
      <sheetName val="토적표"/>
      <sheetName val="Front"/>
      <sheetName val="사용성검토"/>
      <sheetName val="깨기수량"/>
      <sheetName val="PIPE내역(FCN)"/>
      <sheetName val="설비내역서"/>
      <sheetName val="전기내역서"/>
      <sheetName val="SW개발대상목록(기능점수)"/>
      <sheetName val="9.1지하2층하부보"/>
      <sheetName val="anchor"/>
      <sheetName val="서울대규장각_가시설흙막이_"/>
      <sheetName val="일위목차"/>
      <sheetName val="24.보증금(전신전화가입권)"/>
      <sheetName val="계정code"/>
      <sheetName val="시산표"/>
      <sheetName val="비교1"/>
      <sheetName val="단락전류-A"/>
      <sheetName val="참조"/>
      <sheetName val="총_x0010__x0000_"/>
      <sheetName val="주식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3.현장배치"/>
      <sheetName val="마산방향"/>
      <sheetName val="사리부설"/>
      <sheetName val="요율"/>
      <sheetName val="일위집계(기존)"/>
      <sheetName val="제경비"/>
      <sheetName val="내역서(삼호)"/>
      <sheetName val="규격"/>
      <sheetName val="입고장부 (4)"/>
      <sheetName val="견적보고(총액)"/>
      <sheetName val="공사손익실적"/>
      <sheetName val="96노임기준"/>
      <sheetName val="깨기"/>
      <sheetName val="공사명입력"/>
      <sheetName val="근로자자료입력"/>
      <sheetName val="참고자료"/>
      <sheetName val="도급예산내역서봉투"/>
      <sheetName val="도급예산내역서총괄표"/>
      <sheetName val="설계산출표지"/>
      <sheetName val="을부담운반비"/>
      <sheetName val="운반비산출"/>
      <sheetName val="AS포장복구 "/>
      <sheetName val="23"/>
      <sheetName val="총ꊐ˕"/>
      <sheetName val="물가자료"/>
      <sheetName val="부대집계1"/>
      <sheetName val="가도단위"/>
      <sheetName val="3BL공동구 수_x0000_"/>
      <sheetName val="3BL공동구 수嚠"/>
      <sheetName val="3BL공동구 수吐"/>
      <sheetName val="식재품셈"/>
      <sheetName val="본사공가현황"/>
      <sheetName val="11.자재단가"/>
      <sheetName val="NEGO"/>
      <sheetName val="직접경비"/>
      <sheetName val="C.배수관공"/>
      <sheetName val="비용"/>
      <sheetName val="4.2.1 마루높이 검토"/>
      <sheetName val="타견적(을)"/>
      <sheetName val="SANTOGO"/>
      <sheetName val="SANBAISU"/>
      <sheetName val="구천"/>
      <sheetName val="노무단가"/>
      <sheetName val="EQ-R1"/>
      <sheetName val="수목단가"/>
      <sheetName val="시설수량표"/>
      <sheetName val="식재수량표"/>
      <sheetName val="설계서을"/>
      <sheetName val="가압장구체수량산출서"/>
      <sheetName val="단 box"/>
      <sheetName val="실행예산서"/>
      <sheetName val="설계내역서"/>
      <sheetName val="역T형교대(말뚝기초)"/>
      <sheetName val="금주1교"/>
      <sheetName val="투찰"/>
      <sheetName val="철근량"/>
      <sheetName val="신림자금"/>
      <sheetName val=" 총괄표"/>
      <sheetName val="지급자재조서"/>
      <sheetName val="관로공표지"/>
      <sheetName val="총"/>
      <sheetName val="총肸"/>
      <sheetName val="총Ῐᅯ"/>
      <sheetName val="총葨ù"/>
      <sheetName val="총_x0005__x0000_"/>
      <sheetName val="근생APT-신마감"/>
      <sheetName val="복지관_FIART"/>
      <sheetName val="근생APT-FIART"/>
      <sheetName val="근생-FIART"/>
      <sheetName val="유지관_x0000_"/>
      <sheetName val="간접"/>
      <sheetName val="총缀⇐"/>
      <sheetName val="총䮘໪"/>
      <sheetName val="총ꘓÀ"/>
      <sheetName val="총鎠ັ"/>
      <sheetName val="총㳨⎱"/>
      <sheetName val="총౐ʥ"/>
      <sheetName val="총ꊐʮ"/>
      <sheetName val="안정검토(온1"/>
      <sheetName val="안정검토(온1렷"/>
      <sheetName val="총_xdfcc_"/>
      <sheetName val="STEEL BOX 단면설계(SEC.8)"/>
      <sheetName val="실행내역서_1"/>
      <sheetName val="예시_(수정_및_삭제금지)"/>
      <sheetName val="CHITIET_VL-NC"/>
      <sheetName val="DON_GIA"/>
      <sheetName val="7_경제성결과"/>
      <sheetName val="I_설계조건"/>
      <sheetName val="배수내역_(2)"/>
      <sheetName val="1__설계조건_2_단면가정_3__하중계산"/>
      <sheetName val="DATA_입력란"/>
      <sheetName val="수량산출서_(2)"/>
      <sheetName val="배수공_시멘트_및_골재량_산출"/>
      <sheetName val="배관배선_단가조사"/>
      <sheetName val="환기시설_(1)"/>
      <sheetName val="환기시설_(2)"/>
      <sheetName val="EQUIPMENT_-2"/>
      <sheetName val="수량산출서_갑지"/>
      <sheetName val="영상단가대비표_"/>
      <sheetName val="_냉각수펌프"/>
      <sheetName val="설계예산서(2016년_보안등_신설공사_단가계약-)_xls"/>
      <sheetName val="3BL공동구_수량"/>
      <sheetName val="L형_옹벽"/>
      <sheetName val="빗물받이(910-510-410)"/>
      <sheetName val="원본"/>
    </sheetNames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20관리비율"/>
      <sheetName val="수량산출"/>
      <sheetName val="내역서"/>
      <sheetName val="IMPEADENCE MAP 취수장"/>
      <sheetName val="정부노임단가"/>
      <sheetName val="대비"/>
      <sheetName val="REP-NG"/>
      <sheetName val="공사비 내역 (가)"/>
      <sheetName val="DATA"/>
      <sheetName val="재1"/>
      <sheetName val="공통"/>
      <sheetName val="토공총괄표"/>
      <sheetName val="단가조사표"/>
      <sheetName val="데이타"/>
      <sheetName val="교통표지"/>
      <sheetName val="3BL공동구 수량"/>
      <sheetName val="BID"/>
      <sheetName val="N賃率-職"/>
      <sheetName val="단가표 "/>
      <sheetName val="실행예산"/>
      <sheetName val="9GNG운반"/>
      <sheetName val="차액보증"/>
      <sheetName val="기초공"/>
      <sheetName val="기둥(원형)"/>
      <sheetName val="부대내역"/>
      <sheetName val="2.설계제원"/>
      <sheetName val="토목내역"/>
      <sheetName val="Sheet1"/>
      <sheetName val="Y-WORK"/>
      <sheetName val="변화치수"/>
      <sheetName val="경산"/>
      <sheetName val="수량산출서"/>
      <sheetName val="총괄표"/>
      <sheetName val="일위대가"/>
      <sheetName val="설계조건"/>
      <sheetName val="안정계산"/>
      <sheetName val="단면검토"/>
      <sheetName val=" 견적서"/>
      <sheetName val="XL4Poppy"/>
      <sheetName val="단중표"/>
    </sheetNames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F 회의실견적(5_14 일대)"/>
      <sheetName val="수량산출"/>
      <sheetName val="2F 회의실견적_5_14 일대_"/>
      <sheetName val="민속촌메뉴"/>
      <sheetName val="20관리비율"/>
    </sheetNames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원가계산서"/>
      <sheetName val="내역서"/>
      <sheetName val="일위대가목록"/>
      <sheetName val="일위대가표2"/>
      <sheetName val="내장물량산출"/>
      <sheetName val="노임단가"/>
      <sheetName val=" HIT-&gt;HMC 견적(3900)"/>
      <sheetName val="2F 회의실견적(5_14 일대)"/>
      <sheetName val="일위대가"/>
      <sheetName val="일위대가(4층원격)"/>
      <sheetName val="단가산출"/>
      <sheetName val="전기일위목록"/>
      <sheetName val="일위_파일"/>
      <sheetName val="보할공정"/>
      <sheetName val="정통부일위대가표"/>
      <sheetName val="내역서2안"/>
      <sheetName val="N賃率-職"/>
      <sheetName val="단가조사"/>
      <sheetName val="Y-WORK"/>
      <sheetName val="직재"/>
      <sheetName val="ilch"/>
      <sheetName val="시설물기초"/>
      <sheetName val="단가최종"/>
      <sheetName val="대가목록"/>
      <sheetName val="인건비"/>
      <sheetName val="기별(종합)"/>
      <sheetName val="WORK"/>
      <sheetName val="사업수지"/>
      <sheetName val="DATA1"/>
      <sheetName val="견적서"/>
      <sheetName val="입찰견적보고서"/>
      <sheetName val="방송노임"/>
      <sheetName val="Data Vol"/>
      <sheetName val="수지예산"/>
      <sheetName val="대가호표"/>
      <sheetName val="I一般比"/>
      <sheetName val="정부노임단가"/>
      <sheetName val="용소리교"/>
      <sheetName val="원형맨홀수량"/>
      <sheetName val="일위대가(출입)"/>
      <sheetName val="을 1"/>
      <sheetName val="을 2"/>
      <sheetName val="노임"/>
      <sheetName val="제직재"/>
      <sheetName val="설직재-1"/>
      <sheetName val="제-노임"/>
      <sheetName val="danga"/>
      <sheetName val="기본계획"/>
      <sheetName val="요율"/>
      <sheetName val="단위량"/>
      <sheetName val="재료집계표2"/>
      <sheetName val="토적집계표"/>
      <sheetName val="갑지"/>
      <sheetName val="집계표"/>
      <sheetName val="연결임시"/>
      <sheetName val="9509"/>
      <sheetName val="가시설(TYPE-A)"/>
      <sheetName val="1-1평균터파기고(1)"/>
      <sheetName val="단가"/>
      <sheetName val="시설물일위"/>
      <sheetName val="J直材4"/>
      <sheetName val="산출기초"/>
      <sheetName val="Mc1"/>
      <sheetName val="토적단위"/>
      <sheetName val="부대내역"/>
      <sheetName val="인건-측정"/>
      <sheetName val="기본일위"/>
      <sheetName val="환율"/>
      <sheetName val="월선수금"/>
      <sheetName val="표지"/>
      <sheetName val="WPL"/>
      <sheetName val="기초자료"/>
      <sheetName val="4.산출근거(추락방지)"/>
      <sheetName val="96수출"/>
      <sheetName val="자재단가"/>
      <sheetName val="일위목록"/>
      <sheetName val="대,유,램"/>
      <sheetName val="공종구간"/>
      <sheetName val="손익분석"/>
      <sheetName val="일위대가_4층원격_"/>
      <sheetName val="수량산출"/>
      <sheetName val="단가산출목록표"/>
      <sheetName val="설계명세서(선로)"/>
      <sheetName val="포장공사"/>
      <sheetName val="20관리비율"/>
      <sheetName val="간접경상비"/>
      <sheetName val="평자재단가"/>
      <sheetName val="단"/>
      <sheetName val="견"/>
      <sheetName val="준검 내역서"/>
      <sheetName val="원가"/>
      <sheetName val="일위"/>
      <sheetName val="중기사용료"/>
      <sheetName val="단관데이터"/>
      <sheetName val="이형관데이터"/>
      <sheetName val="계산근거"/>
      <sheetName val="DS-최종"/>
      <sheetName val="작업금지"/>
      <sheetName val="YES-T"/>
      <sheetName val="일위대가 (100%)"/>
      <sheetName val="Macro1"/>
      <sheetName val="05년"/>
      <sheetName val="BQ"/>
      <sheetName val="공정집계_국별"/>
      <sheetName val="을"/>
      <sheetName val="소포내역 (2)"/>
      <sheetName val="조견표"/>
      <sheetName val="IMP(MAIN)"/>
      <sheetName val="IMP (REACTOR)"/>
      <sheetName val="3. 단위내역목록"/>
      <sheetName val="2. 수량집계표"/>
      <sheetName val="투자효율분석"/>
      <sheetName val="한전고리-을"/>
      <sheetName val="단위수량"/>
      <sheetName val="설계내역서"/>
      <sheetName val="단가조사서"/>
      <sheetName val="직노"/>
      <sheetName val="소방"/>
      <sheetName val="부하(성남)"/>
      <sheetName val="G.R300경비"/>
      <sheetName val="sw1"/>
      <sheetName val="2F_회의실견적(5_14_일대)"/>
      <sheetName val="_HIT-&gt;HMC_견적(3900)"/>
      <sheetName val="Data_Vol"/>
      <sheetName val="을_1"/>
      <sheetName val="을_2"/>
      <sheetName val="설계명세서"/>
      <sheetName val="재노경"/>
      <sheetName val="도급내역5+800"/>
      <sheetName val="도급내역"/>
      <sheetName val="Galaxy 소비자가격표"/>
      <sheetName val="MOTOR"/>
      <sheetName val="SORCE1"/>
      <sheetName val="가시설단위수량"/>
      <sheetName val="제품TABLE"/>
      <sheetName val="MENU"/>
      <sheetName val="Sheet1"/>
      <sheetName val="산출목록표"/>
      <sheetName val="N賃率_職"/>
      <sheetName val="단가기준"/>
      <sheetName val="우각부보강"/>
      <sheetName val="10월"/>
      <sheetName val="경산"/>
      <sheetName val="NOMUBI"/>
      <sheetName val="기계경비일람"/>
      <sheetName val="토공사"/>
      <sheetName val="손익"/>
      <sheetName val="물가대비표"/>
      <sheetName val="인건비(VOICE)"/>
      <sheetName val="을지"/>
      <sheetName val="투찰"/>
      <sheetName val="2F_회의실견적(5_14_일대)1"/>
      <sheetName val="_HIT-&gt;HMC_견적(3900)1"/>
      <sheetName val="Data_Vol1"/>
      <sheetName val="4_산출근거(추락방지)"/>
      <sheetName val="준검_내역서"/>
      <sheetName val="Galaxy_소비자가격표"/>
      <sheetName val="대가"/>
      <sheetName val="#REF"/>
      <sheetName val="날개벽"/>
      <sheetName val="산출근거"/>
      <sheetName val="물량산출근거"/>
      <sheetName val="통장출금액"/>
      <sheetName val="경비_원본"/>
      <sheetName val="건축내역"/>
      <sheetName val="일위대가표"/>
      <sheetName val="내역서1"/>
      <sheetName val="기본입력"/>
      <sheetName val="6동"/>
      <sheetName val="철거산출근거"/>
      <sheetName val="단가표"/>
      <sheetName val="수량산출서"/>
      <sheetName val="점검총괄"/>
      <sheetName val="1안"/>
      <sheetName val="TABLE"/>
      <sheetName val="차액보증"/>
      <sheetName val="재1"/>
      <sheetName val="b_balju_cho"/>
      <sheetName val="통신일위목록"/>
      <sheetName val="IMPEADENCE MAP 취수장"/>
      <sheetName val="내역1"/>
      <sheetName val="일반맨홀수량집계(A-7 LINE)"/>
      <sheetName val="일반맨홀수량집계"/>
      <sheetName val="공통단가"/>
      <sheetName val="운반비"/>
      <sheetName val="시중노임단가"/>
      <sheetName val="36단가"/>
      <sheetName val="3__단위내역목록"/>
      <sheetName val="2__수량집계표"/>
      <sheetName val="을_21"/>
      <sheetName val="을_11"/>
      <sheetName val="IMP_(REACTOR)"/>
      <sheetName val="소포내역_(2)"/>
      <sheetName val="DWG-CAB-I"/>
      <sheetName val="1을"/>
    </sheetNames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(도서)"/>
      <sheetName val="변압기용량"/>
      <sheetName val="발전기"/>
      <sheetName val="발전기부하"/>
      <sheetName val="축전지"/>
      <sheetName val="전압조건(도서)"/>
      <sheetName val="전압(도서)"/>
      <sheetName val="부하조건(도서)"/>
      <sheetName val="조도계산서 (도서)"/>
      <sheetName val="조도계산서 _도서_"/>
      <sheetName val="ITEM"/>
      <sheetName val="인건비"/>
      <sheetName val="MOTOR"/>
      <sheetName val="#REF"/>
      <sheetName val="정부노임단가"/>
      <sheetName val="IMP(MAIN)"/>
      <sheetName val="IMP (REACTOR)"/>
      <sheetName val="내역"/>
      <sheetName val="부하계산서"/>
      <sheetName val="부하(성남)"/>
      <sheetName val="WORK"/>
      <sheetName val="중기일위대가"/>
      <sheetName val="산#3-1"/>
      <sheetName val="Y-WORK"/>
      <sheetName val="견적시담(송포2공구)"/>
      <sheetName val="Sheet1"/>
      <sheetName val="일위대가"/>
      <sheetName val="횡배위치"/>
      <sheetName val="설계명세서"/>
      <sheetName val="실행예산"/>
      <sheetName val="출근부"/>
      <sheetName val="건축내역"/>
      <sheetName val="내역서"/>
      <sheetName val="일반공사"/>
      <sheetName val="현황산출서"/>
      <sheetName val="B"/>
      <sheetName val="차액보증"/>
      <sheetName val="3BL공동구 수량"/>
      <sheetName val="단가산출집계"/>
      <sheetName val="SE-611"/>
      <sheetName val="자재테이블"/>
      <sheetName val="도급및 실행내역"/>
      <sheetName val="직노"/>
      <sheetName val="실행내역"/>
      <sheetName val="2F 회의실견적(5_14 일대)"/>
      <sheetName val="9GNG운반"/>
      <sheetName val="내역1"/>
      <sheetName val="여흥"/>
      <sheetName val="중기사용료"/>
      <sheetName val="별표 "/>
      <sheetName val="원가"/>
      <sheetName val="내역서 "/>
      <sheetName val="Macro(전선)"/>
      <sheetName val="BJJIN"/>
      <sheetName val="단가"/>
      <sheetName val="시설물일위"/>
      <sheetName val="투자효율분석"/>
      <sheetName val="TABLE"/>
      <sheetName val="CALCULATION"/>
      <sheetName val="DS-LOAD"/>
      <sheetName val="ABUT수량-A1"/>
      <sheetName val="말뚝물량"/>
      <sheetName val="K1자재(3차등)"/>
      <sheetName val="노임단가(0.3)"/>
      <sheetName val="노임단가"/>
      <sheetName val="현장지지물물량"/>
      <sheetName val="단가표 (2)"/>
      <sheetName val="표지"/>
      <sheetName val="TYPE-B 평균H"/>
      <sheetName val="가시설(TYPE-A)"/>
      <sheetName val="1호맨홀가감수량"/>
      <sheetName val="1-1평균터파기고(1)"/>
      <sheetName val="1호맨홀수량산출"/>
      <sheetName val="을"/>
      <sheetName val="단위중량"/>
      <sheetName val="General Data"/>
      <sheetName val="DATA(BAC)"/>
      <sheetName val="금액내역서"/>
      <sheetName val="Sheet4"/>
      <sheetName val="ilch"/>
      <sheetName val="견적서"/>
      <sheetName val="재료집계"/>
      <sheetName val="조인트"/>
      <sheetName val="조건표"/>
      <sheetName val="8.PILE  (돌출)"/>
      <sheetName val="토공총괄집계"/>
      <sheetName val="외자배분"/>
      <sheetName val="보집계표"/>
      <sheetName val="Proposal"/>
      <sheetName val="BQ"/>
      <sheetName val="부대내역"/>
      <sheetName val="명세서"/>
      <sheetName val="플랜트 설치"/>
      <sheetName val="토사(PE)"/>
      <sheetName val="변화치수"/>
      <sheetName val="I.설계조건"/>
      <sheetName val="수량산출서"/>
      <sheetName val="금액"/>
      <sheetName val="타공종이기"/>
      <sheetName val="토목내역"/>
      <sheetName val="CTEMCOST"/>
      <sheetName val="Total"/>
      <sheetName val="토공"/>
      <sheetName val="지급자재"/>
      <sheetName val="집계표"/>
      <sheetName val="방송노임"/>
      <sheetName val="교각계산"/>
      <sheetName val="내력서"/>
      <sheetName val="JOINT1"/>
      <sheetName val="Sheet3 (2)"/>
      <sheetName val="123"/>
      <sheetName val="cable"/>
      <sheetName val="대비"/>
      <sheetName val="신공"/>
      <sheetName val="관급단가"/>
      <sheetName val="노임"/>
      <sheetName val="단가대비표"/>
      <sheetName val="일위대가목차"/>
      <sheetName val="목차"/>
      <sheetName val="DATA1"/>
      <sheetName val="공사원가계산서"/>
      <sheetName val="전기일위대가"/>
      <sheetName val="내역표지"/>
      <sheetName val="기계내역"/>
      <sheetName val="D25"/>
      <sheetName val="D16"/>
      <sheetName val="D22"/>
      <sheetName val="도"/>
      <sheetName val="깨기"/>
      <sheetName val="단가조서"/>
      <sheetName val="착공계"/>
      <sheetName val="근생APT-신마감"/>
      <sheetName val="복지관_FIART"/>
      <sheetName val="근생APT-FIART"/>
      <sheetName val="근생-FIART"/>
      <sheetName val="단가대비"/>
      <sheetName val="정렬"/>
      <sheetName val="자판실행"/>
      <sheetName val="spec1"/>
      <sheetName val="경비_원본"/>
      <sheetName val="壓降計算基本資料"/>
      <sheetName val="견적접수"/>
      <sheetName val="견적내역서"/>
      <sheetName val="원형맨홀수량"/>
      <sheetName val="위치조서"/>
      <sheetName val="안정검토"/>
      <sheetName val="소비자가"/>
      <sheetName val="콘크리트 블록 유형별 수량"/>
      <sheetName val="6PILE  (돌출)"/>
      <sheetName val="2002계약현황"/>
      <sheetName val="자재단가 산출근거"/>
      <sheetName val="U-TYPE(1)"/>
      <sheetName val="FOOTING단면력"/>
      <sheetName val="Sheet1 (2)"/>
      <sheetName val="사각맨홀"/>
      <sheetName val="1단계"/>
      <sheetName val="계약내력"/>
      <sheetName val="조도계산서_(도서)"/>
      <sheetName val="경산"/>
      <sheetName val="년도별시공"/>
      <sheetName val="단가표 "/>
      <sheetName val="N賃率-職"/>
      <sheetName val="가시설단위수량"/>
      <sheetName val="J형측구단위수량"/>
      <sheetName val="계산중"/>
      <sheetName val=" 견적서"/>
      <sheetName val="터파기및재료"/>
      <sheetName val="2.내역서"/>
      <sheetName val="하수실행"/>
      <sheetName val="원가계산"/>
      <sheetName val="DESIGN_CRETERIA"/>
      <sheetName val="수로단위수량"/>
      <sheetName val="입력DATA"/>
      <sheetName val="바닥판"/>
      <sheetName val="일위대가목록"/>
      <sheetName val="98수문일위"/>
      <sheetName val="조도계산서__도서_"/>
      <sheetName val="IMP_(REACTOR)"/>
      <sheetName val="기성금내역서"/>
      <sheetName val="가시설수량"/>
      <sheetName val="뚝토공"/>
      <sheetName val="D-3503"/>
      <sheetName val="A-4"/>
      <sheetName val="가설공사"/>
      <sheetName val="Contents"/>
      <sheetName val="BM"/>
      <sheetName val="수량산출"/>
      <sheetName val="3BL공동구_수량"/>
      <sheetName val="별표_"/>
      <sheetName val="2F_회의실견적(5_14_일대)"/>
      <sheetName val="General_Data"/>
      <sheetName val="TYPE-B_평균H"/>
      <sheetName val="c_balju"/>
      <sheetName val="erl-b"/>
      <sheetName val="일위대가(계측기설치)"/>
      <sheetName val="횡배수관"/>
      <sheetName val="추가및 공제(방파제)"/>
      <sheetName val="수문보고"/>
      <sheetName val="2002상반기노임기준"/>
      <sheetName val="INPUT"/>
      <sheetName val="부대tu"/>
      <sheetName val="공종별 집계"/>
      <sheetName val="단면가정"/>
      <sheetName val="환률"/>
      <sheetName val="가공비"/>
      <sheetName val="밸브설치"/>
      <sheetName val="원가계산서"/>
      <sheetName val="교각1"/>
      <sheetName val="토공,기초"/>
      <sheetName val="dike도수로"/>
      <sheetName val="재집"/>
      <sheetName val="직재"/>
      <sheetName val="데이타"/>
      <sheetName val="DATA"/>
      <sheetName val="반중력식옹벽3.5"/>
      <sheetName val="설계조건"/>
      <sheetName val="안정계산"/>
      <sheetName val="단면검토"/>
      <sheetName val="수질정화시설"/>
      <sheetName val="내역서(총)"/>
      <sheetName val="오산갈곳"/>
      <sheetName val="화산경계"/>
      <sheetName val="자재집계표"/>
      <sheetName val="여과지동"/>
      <sheetName val="기초자료"/>
      <sheetName val="바.한일양산"/>
      <sheetName val="장비"/>
      <sheetName val="노무"/>
      <sheetName val="설계"/>
      <sheetName val="CODE"/>
      <sheetName val="인건-측정"/>
      <sheetName val="문산방향-교대(A2)"/>
      <sheetName val="ATS단가"/>
      <sheetName val="연결임시"/>
      <sheetName val="POL6차-PIPING"/>
      <sheetName val="토공계산서(부체도로)"/>
      <sheetName val="5지구단위"/>
      <sheetName val="우수관로집계"/>
      <sheetName val="평균높이산출근거"/>
      <sheetName val="횡배수관위치조서"/>
      <sheetName val="공사개요"/>
      <sheetName val="터널조도"/>
      <sheetName val="관집계"/>
      <sheetName val="배수공"/>
      <sheetName val="hvac(제어동)"/>
      <sheetName val="FACTOR"/>
      <sheetName val="단중"/>
      <sheetName val="CABLE DATA"/>
      <sheetName val="장비집계"/>
      <sheetName val="plan&amp;section of foundation"/>
      <sheetName val="design load"/>
      <sheetName val="working load at the btm ft."/>
      <sheetName val="stability check"/>
      <sheetName val="design criteria"/>
      <sheetName val="다이꾸"/>
      <sheetName val="wall"/>
      <sheetName val="입찰견적보고서"/>
      <sheetName val="적용기준"/>
      <sheetName val="MEXICO-C"/>
      <sheetName val="TIE-IN"/>
      <sheetName val="eq_data"/>
      <sheetName val="암거"/>
      <sheetName val="포장공"/>
      <sheetName val="danga"/>
      <sheetName val="단가 (2)"/>
      <sheetName val="자재단가"/>
      <sheetName val="LOPCALC"/>
      <sheetName val="일위대가표"/>
      <sheetName val="단중표"/>
      <sheetName val="Material"/>
      <sheetName val="6.INTER CONNECTING"/>
      <sheetName val="i zone"/>
      <sheetName val="공정양식"/>
      <sheetName val="2선재"/>
      <sheetName val="작성방법"/>
      <sheetName val="Base_Data"/>
      <sheetName val="POL설치공정"/>
      <sheetName val="연돌일위집계"/>
      <sheetName val="BEND LOSS"/>
      <sheetName val="총(철거)"/>
      <sheetName val="Legend"/>
      <sheetName val="식재인부"/>
      <sheetName val="????? (??)"/>
      <sheetName val="조건표 (2)"/>
      <sheetName val="입찰안"/>
      <sheetName val="기본"/>
      <sheetName val="단위수량"/>
      <sheetName val="공내역"/>
      <sheetName val="---FAB#1업무일지---"/>
      <sheetName val="동원인원산출"/>
      <sheetName val="XL4Poppy"/>
      <sheetName val="조도계산서_(도서)1"/>
      <sheetName val="조도계산서__도서_1"/>
      <sheetName val="IMP_(REACTOR)1"/>
      <sheetName val="3BL공동구_수량1"/>
      <sheetName val="2F_회의실견적(5_14_일대)1"/>
      <sheetName val="별표_1"/>
      <sheetName val="내역서_"/>
      <sheetName val="도급및_실행내역"/>
      <sheetName val="TYPE-B_평균H1"/>
      <sheetName val="General_Data1"/>
      <sheetName val="I_설계조건"/>
      <sheetName val="플랜트_설치"/>
      <sheetName val="Sheet1_(2)"/>
      <sheetName val="노임단가(0_3)"/>
      <sheetName val="단가표_(2)"/>
      <sheetName val="단가표_"/>
      <sheetName val="8_PILE__(돌출)"/>
      <sheetName val="콘크리트_블록_유형별_수량"/>
      <sheetName val="6PILE__(돌출)"/>
      <sheetName val="_견적서"/>
      <sheetName val="자재단가_산출근거"/>
      <sheetName val="Sheet3_(2)"/>
      <sheetName val="2_내역서"/>
      <sheetName val="추가및_공제(방파제)"/>
      <sheetName val="공종별_집계"/>
      <sheetName val="조도계산서_(도서)2"/>
      <sheetName val="조도계산서__도서_2"/>
      <sheetName val="IMP_(REACTOR)2"/>
      <sheetName val="3BL공동구_수량2"/>
      <sheetName val="2F_회의실견적(5_14_일대)2"/>
      <sheetName val="별표_2"/>
      <sheetName val="내역서_1"/>
      <sheetName val="도급및_실행내역1"/>
      <sheetName val="TYPE-B_평균H2"/>
      <sheetName val="General_Data2"/>
      <sheetName val="I_설계조건1"/>
      <sheetName val="플랜트_설치1"/>
      <sheetName val="Sheet1_(2)1"/>
      <sheetName val="노임단가(0_3)1"/>
      <sheetName val="단가표_(2)1"/>
      <sheetName val="단가표_1"/>
      <sheetName val="8_PILE__(돌출)1"/>
      <sheetName val="콘크리트_블록_유형별_수량1"/>
      <sheetName val="6PILE__(돌출)1"/>
      <sheetName val="_견적서1"/>
      <sheetName val="자재단가_산출근거1"/>
      <sheetName val="Sheet3_(2)1"/>
      <sheetName val="2_내역서1"/>
      <sheetName val="추가및_공제(방파제)1"/>
      <sheetName val="공종별_집계1"/>
      <sheetName val="날개수량1_51"/>
      <sheetName val="표__지"/>
      <sheetName val="대가호표"/>
      <sheetName val="건축"/>
      <sheetName val="SORCE1"/>
      <sheetName val="날개수량1.5"/>
      <sheetName val="Dae_Jiju"/>
      <sheetName val="Sikje_ingun"/>
      <sheetName val="TREE_D"/>
      <sheetName val="공사비명세서"/>
      <sheetName val="FORM-0"/>
      <sheetName val="부하"/>
      <sheetName val="TR용량"/>
      <sheetName val="BATT"/>
      <sheetName val="GENCALC"/>
      <sheetName val="CABLE SIZE CALCULATION SHEET"/>
      <sheetName val="IMPEADENCE MAP "/>
      <sheetName val="IMPEADENCE "/>
      <sheetName val="등가거리"/>
      <sheetName val="MCCCALC"/>
      <sheetName val="CABLECALC"/>
      <sheetName val="견적갑지"/>
      <sheetName val="입찰참가보고 (2)"/>
      <sheetName val="부대공II"/>
      <sheetName val="가설사무실"/>
      <sheetName val="조직도"/>
      <sheetName val="카메라"/>
      <sheetName val="000000"/>
      <sheetName val="조명율표"/>
      <sheetName val="전동기수정"/>
      <sheetName val="전동기적용"/>
      <sheetName val="전동기"/>
      <sheetName val="PACKAGE"/>
      <sheetName val="전선"/>
      <sheetName val="전선관"/>
      <sheetName val="허용전류"/>
      <sheetName val="선로정수"/>
      <sheetName val="전선관(1)"/>
      <sheetName val="부하산정"/>
      <sheetName val="케이블선정"/>
      <sheetName val="Sheet9"/>
      <sheetName val="Sheet10"/>
      <sheetName val="Sheet12"/>
      <sheetName val="Sheet11"/>
      <sheetName val="Sheet13"/>
      <sheetName val="Sheet14"/>
      <sheetName val="Sheet15"/>
      <sheetName val="Sheet16"/>
      <sheetName val="토목원가계산서"/>
      <sheetName val="토목원가"/>
      <sheetName val="집계장"/>
      <sheetName val="설계내역"/>
      <sheetName val="제외공종"/>
      <sheetName val="설계참고목차"/>
      <sheetName val="수량조서"/>
      <sheetName val="1.철주신설"/>
      <sheetName val="2.철주신설"/>
      <sheetName val="3.철주신설"/>
      <sheetName val="4.비임신설"/>
      <sheetName val="5.기기가대"/>
      <sheetName val="6.철주기초"/>
      <sheetName val="7.기기기초"/>
      <sheetName val="8.기기기초"/>
      <sheetName val="9.기기기초"/>
      <sheetName val="10.단권변압기"/>
      <sheetName val="11.가스절연"/>
      <sheetName val="12.전자식제어반"/>
      <sheetName val="13.고장점표정반"/>
      <sheetName val="14.GP"/>
      <sheetName val="15.전철용RTU"/>
      <sheetName val="16.R-C BANK"/>
      <sheetName val="17.모선배선"/>
      <sheetName val="18.제어및전력케이블"/>
      <sheetName val="19.핏트"/>
      <sheetName val="20.배수로"/>
      <sheetName val="21.스틸그레이팅"/>
      <sheetName val="22.접지장치"/>
      <sheetName val="23.옥외전선관"/>
      <sheetName val="24.옥외외등"/>
      <sheetName val="25.무인화설비"/>
      <sheetName val="26.콘크리트포장"/>
      <sheetName val="27.자갈부설"/>
      <sheetName val="28.휀스"/>
      <sheetName val="29.소내용TR"/>
      <sheetName val="30.고배용VCB"/>
      <sheetName val="31.고배용RTU"/>
      <sheetName val="32.기기기초"/>
      <sheetName val="33.지중케이블"/>
      <sheetName val="34.전력용관로"/>
      <sheetName val="35.장주신설"/>
      <sheetName val="36.맨홀"/>
      <sheetName val="37.운반비"/>
      <sheetName val="운반비(철재류)"/>
      <sheetName val="운반비(전선관)"/>
      <sheetName val="운반비(전선류)"/>
      <sheetName val="호표"/>
      <sheetName val="시중노임표"/>
      <sheetName val="견적단가"/>
      <sheetName val="재료단가"/>
      <sheetName val="공정현황보고(3.20) (2)"/>
      <sheetName val="추진공정(법인)3.20"/>
      <sheetName val="공정현황보고(3.27) (2)"/>
      <sheetName val="추진공정(법인)3.27"/>
      <sheetName val="공정현황보고(4.2)"/>
      <sheetName val="원가계산기준"/>
      <sheetName val="단가산출서"/>
      <sheetName val="수량산출-재료"/>
      <sheetName val="수량산출-노무"/>
      <sheetName val="산출1-전력"/>
      <sheetName val="산출1-분전반"/>
      <sheetName val="산출2-기기동력"/>
      <sheetName val="산출3-동력"/>
      <sheetName val="산출4-접지"/>
      <sheetName val="산출5-피뢰침"/>
      <sheetName val="산출6-전등"/>
      <sheetName val="산출-전등(TRAY)"/>
      <sheetName val="산출7-전열"/>
      <sheetName val="산출8-조명제어"/>
      <sheetName val="산출9-TRAY"/>
      <sheetName val="단가조사-1"/>
      <sheetName val="단가조사-2"/>
      <sheetName val="일위집계"/>
      <sheetName val="단가비교표"/>
      <sheetName val="Chart1"/>
      <sheetName val="단위내역목록"/>
      <sheetName val="단위내역서"/>
      <sheetName val="총괄표"/>
      <sheetName val="원가(1)"/>
      <sheetName val="원가(2)"/>
      <sheetName val="공량산출서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도급내역서"/>
      <sheetName val="1.공사집행계획서"/>
      <sheetName val="2.예산내역검토서"/>
      <sheetName val="3.실행원가내역서"/>
      <sheetName val="4.실행예산단가산출서(단가)"/>
      <sheetName val="4.실행예산단가산출서(금액)"/>
      <sheetName val="5.현장관리비"/>
      <sheetName val="6.공사예정공정표"/>
      <sheetName val="7.인원동원현황"/>
      <sheetName val="8.장비투입현황"/>
      <sheetName val="9.문제점 및 대책"/>
      <sheetName val="10.설계변경 및 추가공사"/>
      <sheetName val="공사수행범위"/>
      <sheetName val="자재투입계획"/>
      <sheetName val="사급자재구입량"/>
      <sheetName val="산출근거"/>
      <sheetName val="사급자재재료표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Module1"/>
      <sheetName val="적쒩2002"/>
      <sheetName val="단위내엍목록"/>
      <sheetName val="설계내역서"/>
      <sheetName val="제어반공량"/>
      <sheetName val="가격조사"/>
      <sheetName val="제어반견적"/>
      <sheetName val="주요물량"/>
      <sheetName val="안영판암원가계산서"/>
      <sheetName val="안영-판암간집계표"/>
      <sheetName val="안영복개집계표"/>
      <sheetName val="안영복개터널옥외변전"/>
      <sheetName val="안영복개터널가로등"/>
      <sheetName val="안영복개터널케이블(할증제외)"/>
      <sheetName val="안영복개터널케이블(할증)"/>
      <sheetName val="안영복개터널조명(할증제외)"/>
      <sheetName val="안영복개터널조명(할증)"/>
      <sheetName val="안영복개터널방재(할증제외)"/>
      <sheetName val="안영복개터널방재(할증)"/>
      <sheetName val="안영복개터널소화기(할증제외)"/>
      <sheetName val="안영복개터널소화기(할증)"/>
      <sheetName val="구완집계표"/>
      <sheetName val="구완터널옥외변전"/>
      <sheetName val="구완터널가로등"/>
      <sheetName val="구완터널케이블(할증제외)"/>
      <sheetName val="구완터널케이블(할증)"/>
      <sheetName val="구완터널조명(할증제외)"/>
      <sheetName val="구완터널조명(할증)"/>
      <sheetName val="구완터널방재(할증제외)"/>
      <sheetName val="구완터널방재(할증)"/>
      <sheetName val="구완터널소화기(할증제외)"/>
      <sheetName val="구완터널소화기(할증)"/>
      <sheetName val="안영영업소집계표"/>
      <sheetName val="안영옥외전기"/>
      <sheetName val="안영옥내전기"/>
      <sheetName val="안영옥내약전설비공사"/>
      <sheetName val="안영소방"/>
      <sheetName val="안영TG설비공사"/>
      <sheetName val="안영지명표지판총괄"/>
      <sheetName val="안영지명표지판"/>
      <sheetName val="안영지명표지판2"/>
      <sheetName val="안영IC집계표"/>
      <sheetName val="안영IC"/>
    </sheetNames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가격대비"/>
      <sheetName val="배관산출"/>
      <sheetName val="laroux"/>
      <sheetName val="조도계산서 (도서)"/>
    </sheetNames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PCALC"/>
      <sheetName val="조도계산서 (도서)"/>
      <sheetName val="부하LOAD"/>
      <sheetName val="내역서"/>
      <sheetName val="전차선로 물량표"/>
      <sheetName val="TABLE"/>
      <sheetName val="ITEM"/>
      <sheetName val="MEXICO-C"/>
      <sheetName val="#REF"/>
      <sheetName val="공통(20-91)"/>
      <sheetName val="한강운반비"/>
      <sheetName val="노임"/>
      <sheetName val="자재"/>
      <sheetName val="노무비"/>
      <sheetName val="96작생능"/>
      <sheetName val="Macro(조도)"/>
      <sheetName val="IMPEADENCE MAP 취수장"/>
      <sheetName val="보안등"/>
      <sheetName val="횡배위치"/>
      <sheetName val="정부노임단가"/>
      <sheetName val="EQ"/>
      <sheetName val="참조"/>
      <sheetName val="일위대가(원본)"/>
      <sheetName val="3련 BOX"/>
      <sheetName val="전기실및집수정"/>
      <sheetName val="기본일위"/>
      <sheetName val="총괄"/>
      <sheetName val="수량산출"/>
      <sheetName val="DATA"/>
      <sheetName val="98NS-N"/>
      <sheetName val="BID"/>
      <sheetName val="2F 회의실견적(5_14 일대)"/>
      <sheetName val="바닥판"/>
      <sheetName val="설계가"/>
      <sheetName val="REPT-NG"/>
      <sheetName val="INPUT"/>
      <sheetName val="내역"/>
      <sheetName val="일위산출"/>
      <sheetName val="인건비"/>
      <sheetName val="001"/>
      <sheetName val="내역1"/>
      <sheetName val="수질정화시설"/>
      <sheetName val="일위대가"/>
      <sheetName val="노임단가"/>
      <sheetName val="FB25JN"/>
      <sheetName val="Sheet1"/>
      <sheetName val="POL6차-PIPING"/>
    </sheetNames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7ESS월"/>
      <sheetName val="LOPCALC"/>
      <sheetName val="을지"/>
      <sheetName val="STORAGE"/>
      <sheetName val="내역"/>
      <sheetName val="Sheet1"/>
    </sheetNames>
    <definedNames>
      <definedName name="Macro18"/>
    </definedNames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6"/>
      <sheetName val="부하계산서"/>
    </sheetNames>
    <definedNames>
      <definedName name="Macro9"/>
    </definedNames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노임"/>
      <sheetName val="터널조도"/>
      <sheetName val="제품정보"/>
      <sheetName val="내역서"/>
      <sheetName val="대가목록"/>
      <sheetName val="인건-측정"/>
      <sheetName val="회로내역(승인)"/>
      <sheetName val="ILWIPOH"/>
      <sheetName val="공통(20-91)"/>
      <sheetName val="Sheet7"/>
      <sheetName val="MOTOR"/>
      <sheetName val="JUCK"/>
      <sheetName val="수량산출서 (2)"/>
      <sheetName val="표지(1)"/>
      <sheetName val="#REF"/>
      <sheetName val="장비내역서"/>
      <sheetName val="감가상각"/>
      <sheetName val="원가계산서"/>
      <sheetName val="조도계산서 (도서)"/>
      <sheetName val="실행철강하도"/>
      <sheetName val="현금"/>
      <sheetName val="수안보-MBR1"/>
      <sheetName val="SELTDATA"/>
      <sheetName val="2월가격"/>
      <sheetName val="부하(성남)"/>
      <sheetName val="Y-WORK"/>
      <sheetName val="단면치수"/>
      <sheetName val="DATE"/>
      <sheetName val="약품공급2"/>
      <sheetName val="건축내역"/>
      <sheetName val="시중노임단가"/>
      <sheetName val="DATA"/>
    </sheetNames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갑지"/>
      <sheetName val="과천MAIN"/>
      <sheetName val="일위 (2)"/>
      <sheetName val="갑지 (2)"/>
      <sheetName val="산출근거서"/>
      <sheetName val="일위"/>
      <sheetName val="1766-1"/>
      <sheetName val="원가계산서"/>
      <sheetName val="노무비"/>
      <sheetName val="인건-측정"/>
      <sheetName val="터널조도"/>
      <sheetName val="노임"/>
      <sheetName val="수량산출"/>
      <sheetName val="Macro(차단기)"/>
      <sheetName val="예정(3)"/>
      <sheetName val="동원(3)"/>
      <sheetName val="정부노임단가"/>
      <sheetName val="NOMUBI"/>
      <sheetName val="내역서"/>
      <sheetName val="ABUT수량-A1"/>
      <sheetName val="sw1"/>
      <sheetName val="OPT"/>
      <sheetName val="표지 (2)"/>
      <sheetName val="표지"/>
    </sheetNames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요"/>
      <sheetName val="과천MAIN"/>
      <sheetName val="손익"/>
    </sheetNames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Sheet2"/>
      <sheetName val="과천MAIN"/>
      <sheetName val="98지급계획"/>
      <sheetName val="개요"/>
      <sheetName val="工완성공사율"/>
    </sheetNames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방치차원가"/>
      <sheetName val="방치차내역"/>
      <sheetName val="수량산출"/>
      <sheetName val="가설"/>
      <sheetName val="철근"/>
      <sheetName val="철골"/>
      <sheetName val="판넬"/>
      <sheetName val="조,타"/>
      <sheetName val="미,금"/>
      <sheetName val="창,유"/>
      <sheetName val="도,수"/>
      <sheetName val="부대"/>
      <sheetName val="기계"/>
      <sheetName val="설비"/>
      <sheetName val="단가비교표"/>
      <sheetName val="표지 (착공)"/>
      <sheetName val="Sheet2"/>
      <sheetName val="Sheet1"/>
    </sheetNames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원가표지 "/>
      <sheetName val="원가계산서 총괄"/>
      <sheetName val="원가계산서"/>
      <sheetName val="시대표지"/>
      <sheetName val="시대"/>
      <sheetName val="문화정보1"/>
      <sheetName val="문화정보2"/>
      <sheetName val="삼영"/>
      <sheetName val="원가-추후설치분"/>
      <sheetName val="원가표지-추후설치분"/>
      <sheetName val="시대표지-추후설치분"/>
      <sheetName val="프로젝타 비교표"/>
      <sheetName val="원가표지  (2)"/>
      <sheetName val="인건-측정"/>
      <sheetName val="3차작업"/>
      <sheetName val="내역서"/>
      <sheetName val="Sheet1"/>
      <sheetName val="Macro1"/>
      <sheetName val="노임"/>
      <sheetName val="터널조도"/>
      <sheetName val="터파기및재료"/>
      <sheetName val="ABUT수량-A1"/>
      <sheetName val="의정부문예회관변경내역"/>
      <sheetName val="갑지(추정)"/>
      <sheetName val="JUCK"/>
      <sheetName val="BSD (2)"/>
      <sheetName val="PROJECT BRIEF"/>
      <sheetName val="우수"/>
      <sheetName val="화재 탐지 설비"/>
      <sheetName val="전기품산출"/>
      <sheetName val="견적을지"/>
      <sheetName val="평당자료"/>
      <sheetName val="내역기준"/>
      <sheetName val="1차설계변경내역"/>
      <sheetName val="Sheet2"/>
      <sheetName val="Total"/>
      <sheetName val="Macro(차단기)"/>
      <sheetName val="MOTOR"/>
      <sheetName val="부하(성남)"/>
      <sheetName val="내역"/>
      <sheetName val="工완성공사율"/>
      <sheetName val="工관리비율"/>
      <sheetName val="단가"/>
      <sheetName val="c_balju"/>
      <sheetName val="7)화재 탐지 설비"/>
      <sheetName val="2.대외공문"/>
      <sheetName val="노무비"/>
      <sheetName val="설계명세서"/>
      <sheetName val="계약원가"/>
      <sheetName val="전기공사"/>
      <sheetName val="POOM_MOTO"/>
      <sheetName val="POOM_MOTO2"/>
      <sheetName val="준검 내역서"/>
      <sheetName val="집계표"/>
      <sheetName val="토공계산"/>
      <sheetName val="tggwan(mac)"/>
      <sheetName val="주방"/>
      <sheetName val="DATA"/>
      <sheetName val="교각계산"/>
      <sheetName val="연습장소"/>
      <sheetName val="SG"/>
      <sheetName val="NO.3.PTA PLANT SD COST"/>
      <sheetName val="유기공정"/>
      <sheetName val="과천MAIN"/>
      <sheetName val="플랜트 설치"/>
      <sheetName val="부하계산서"/>
      <sheetName val="코드"/>
      <sheetName val="401"/>
      <sheetName val="sw1"/>
      <sheetName val="NOMUBI"/>
      <sheetName val="빌딩 안내"/>
      <sheetName val="견적서"/>
      <sheetName val="견적서 (2)"/>
      <sheetName val="일위대가(총괄)"/>
      <sheetName val="당정동공통이수"/>
      <sheetName val="당정동경상이수"/>
      <sheetName val="5.전사투자계획종함안"/>
      <sheetName val="노임단가"/>
      <sheetName val="을지"/>
      <sheetName val="과세면세표"/>
      <sheetName val="충주"/>
      <sheetName val="COVER"/>
      <sheetName val="적격"/>
      <sheetName val="__MAIN"/>
      <sheetName val="예정(3)"/>
      <sheetName val="동원(3)"/>
      <sheetName val="세원견적서"/>
      <sheetName val="포장복구집계"/>
      <sheetName val="인건비"/>
      <sheetName val="입고장부 (4)"/>
      <sheetName val="남양시작동자105노65기1.3화1.2"/>
      <sheetName val="조도계산서 (도서)"/>
      <sheetName val="방송노임"/>
      <sheetName val="실행철강하도"/>
    </sheetNames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대가 "/>
      <sheetName val="대비"/>
      <sheetName val="단-원산"/>
      <sheetName val="단-천우"/>
      <sheetName val="단-조은"/>
      <sheetName val="工완성공사율"/>
      <sheetName val="인건-측정"/>
      <sheetName val="공사원가계산서"/>
      <sheetName val="원가계산서"/>
      <sheetName val="예정(3)"/>
      <sheetName val="동원(3)"/>
      <sheetName val="직재"/>
      <sheetName val="I一般比"/>
      <sheetName val="N賃率-職"/>
      <sheetName val="과천MAIN"/>
      <sheetName val="Macro(차단기)"/>
      <sheetName val="가설"/>
      <sheetName val="수량산출"/>
      <sheetName val="__MAIN"/>
      <sheetName val="기계설비-물가변동"/>
      <sheetName val="건축-물가변동"/>
      <sheetName val="사전공사"/>
      <sheetName val="빌딩 안내"/>
      <sheetName val="화재 탐지 설비"/>
      <sheetName val="98지급계획"/>
      <sheetName val="97물량"/>
      <sheetName val="우수"/>
      <sheetName val="증감대비"/>
      <sheetName val="Sheet1"/>
      <sheetName val="225-5"/>
      <sheetName val="인원표"/>
      <sheetName val="입고장부 (4)"/>
      <sheetName val="cost"/>
      <sheetName val="견적"/>
      <sheetName val="부하(성남)"/>
      <sheetName val="J直材4"/>
      <sheetName val="1"/>
      <sheetName val="단가산출"/>
      <sheetName val="DATA"/>
      <sheetName val="노무비"/>
      <sheetName val="터널조도"/>
      <sheetName val="표지"/>
      <sheetName val="실행철강하도"/>
      <sheetName val="견적을지"/>
      <sheetName val="주방"/>
      <sheetName val="주식"/>
      <sheetName val="70%"/>
      <sheetName val="Sheet7"/>
      <sheetName val="순성토"/>
      <sheetName val="Start"/>
      <sheetName val="969910( R)"/>
      <sheetName val="COVER"/>
      <sheetName val="BSD (2)"/>
      <sheetName val="노임"/>
      <sheetName val="일위대가"/>
      <sheetName val="IMPEADENCE MAP 취수장"/>
      <sheetName val="03전력간선공사"/>
      <sheetName val="07피뢰침설비공사"/>
      <sheetName val="부대내역"/>
      <sheetName val="ALINE"/>
      <sheetName val="하남내역"/>
      <sheetName val="입찰안"/>
      <sheetName val="ABUT수량-A1"/>
      <sheetName val="조내역"/>
      <sheetName val="옹벽"/>
      <sheetName val="통합"/>
      <sheetName val="401"/>
      <sheetName val="8.석축단위(H=1.5M)"/>
      <sheetName val="내역"/>
      <sheetName val="工관리비율"/>
      <sheetName val="일위_파일"/>
      <sheetName val="물가시세"/>
      <sheetName val="총괄표"/>
      <sheetName val="갑지(추정)"/>
      <sheetName val="조도계산서"/>
      <sheetName val="대가_"/>
      <sheetName val="빌딩_안내"/>
      <sheetName val="서울대규장각(가시설흙막이)"/>
      <sheetName val="외자배분"/>
      <sheetName val="외자내역"/>
      <sheetName val="EP0618"/>
      <sheetName val="JUCK"/>
      <sheetName val="개요"/>
      <sheetName val="공종단가"/>
      <sheetName val="데이타"/>
      <sheetName val="터파기및재료"/>
      <sheetName val="설비"/>
      <sheetName val="PROJECT BRIEF"/>
      <sheetName val="tggwan(mac)"/>
      <sheetName val="일위목록"/>
      <sheetName val="품셈총괄표"/>
      <sheetName val="골조시행"/>
      <sheetName val="조건"/>
      <sheetName val="갑지1"/>
      <sheetName val="연부97-1"/>
      <sheetName val="금액내역서"/>
      <sheetName val="CTEMCOST"/>
      <sheetName val="Sheet2"/>
      <sheetName val="갑지"/>
      <sheetName val="충주"/>
      <sheetName val="IT-BAT"/>
      <sheetName val="합의경상"/>
    </sheetNames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조사"/>
      <sheetName val="대가 "/>
      <sheetName val="대비"/>
      <sheetName val="견적"/>
      <sheetName val="외주비"/>
      <sheetName val="집계표"/>
      <sheetName val="工완성공사율"/>
      <sheetName val="빌딩 안내"/>
      <sheetName val="ABUT수량-A1"/>
      <sheetName val="Pricing Table"/>
      <sheetName val="969910( R)"/>
      <sheetName val="원가계산서"/>
      <sheetName val="DATA"/>
      <sheetName val="인건-측정"/>
      <sheetName val="cost"/>
      <sheetName val="인원표"/>
      <sheetName val="과천MAIN"/>
      <sheetName val="사전공사"/>
      <sheetName val="수량산출"/>
      <sheetName val="노임"/>
      <sheetName val="견적을지"/>
      <sheetName val="실행철강하도"/>
      <sheetName val="우수"/>
      <sheetName val="NOMUBI"/>
      <sheetName val="sw1"/>
      <sheetName val="251"/>
      <sheetName val="__MAIN"/>
      <sheetName val="Sheet1"/>
      <sheetName val="내역"/>
      <sheetName val="내역(을)"/>
      <sheetName val="03전력간선공사"/>
      <sheetName val="07피뢰침설비공사"/>
      <sheetName val="하남내역"/>
      <sheetName val="1. 설계조건 2.단면가정 3. 하중계산"/>
      <sheetName val="DATA 입력란"/>
      <sheetName val="산출내역서"/>
      <sheetName val="97물량"/>
      <sheetName val="옹벽"/>
      <sheetName val="Macro(차단기)"/>
      <sheetName val="입고장부 (4)"/>
      <sheetName val="COVER"/>
      <sheetName val="401"/>
      <sheetName val="기둥(원형)"/>
      <sheetName val="BSD (2)"/>
      <sheetName val="갑지(추정)"/>
      <sheetName val="을"/>
      <sheetName val="자재단가"/>
      <sheetName val="설계서(7)"/>
      <sheetName val="일위목록"/>
      <sheetName val="품셈총괄표"/>
      <sheetName val="화재 탐지 설비"/>
      <sheetName val="품셈"/>
      <sheetName val="평형공사비"/>
      <sheetName val="견적대비 견적서"/>
      <sheetName val="tggwan(mac)"/>
      <sheetName val="2F 회의실견적(5_14 일대)"/>
      <sheetName val="설비"/>
      <sheetName val="98지급계획"/>
      <sheetName val="부하계산서"/>
      <sheetName val="직재"/>
      <sheetName val="교량하부공"/>
      <sheetName val="1"/>
      <sheetName val="개요"/>
      <sheetName val="PROJECT BRIEF"/>
      <sheetName val=" "/>
      <sheetName val="변압기 및 발전기 용량"/>
      <sheetName val="주방"/>
    </sheetNames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S"/>
      <sheetName val="맨텍-E250"/>
      <sheetName val="10월가격"/>
      <sheetName val="맨텍-E250-0628"/>
      <sheetName val="원가계산서"/>
      <sheetName val="표지 (2)"/>
      <sheetName val="Macro(차단기)"/>
      <sheetName val="실행내역서 "/>
      <sheetName val="전기설계변경"/>
    </sheetNames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Sheet1"/>
      <sheetName val="EP0618"/>
      <sheetName val="견적서예"/>
      <sheetName val="가도공"/>
      <sheetName val="표지 (2)"/>
      <sheetName val="내역서"/>
      <sheetName val="화재 탐지 설비"/>
      <sheetName val="현장지지물물량"/>
      <sheetName val="우수공"/>
      <sheetName val="과천MAIN"/>
    </sheetNames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계산서 "/>
      <sheetName val="총괄표"/>
      <sheetName val="일위대가집계표"/>
      <sheetName val="내역서"/>
      <sheetName val="일위대가"/>
      <sheetName val="일위대가산출기초"/>
      <sheetName val="cost"/>
      <sheetName val="unit"/>
      <sheetName val="수량집계"/>
      <sheetName val="수량산출"/>
      <sheetName val="호환성 보고서"/>
      <sheetName val="EP0618"/>
      <sheetName val="표지 (2)"/>
      <sheetName val="EQT-ESTN"/>
    </sheetNames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대비표"/>
      <sheetName val="견적대비표"/>
      <sheetName val="내역서"/>
      <sheetName val="PANEL 중량산출"/>
      <sheetName val="중량산출"/>
      <sheetName val="수량산출"/>
      <sheetName val="표지 (2)"/>
      <sheetName val="신우"/>
      <sheetName val="정부노임단가"/>
      <sheetName val="과천MAIN"/>
      <sheetName val="공사원가계산서"/>
      <sheetName val="자재단가"/>
      <sheetName val="FAX"/>
      <sheetName val="갑지"/>
      <sheetName val="부하계산서"/>
      <sheetName val="48일위(기존)"/>
      <sheetName val="기본DATA"/>
      <sheetName val="원본(갑지)"/>
      <sheetName val="총괄표"/>
      <sheetName val="내역"/>
      <sheetName val="DATE"/>
      <sheetName val="약품공급2"/>
      <sheetName val="01"/>
      <sheetName val="EP0618"/>
      <sheetName val="집계표"/>
      <sheetName val="일위대가(가설)"/>
      <sheetName val="토공집계표"/>
    </sheetNames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특별교실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YES"/>
      <sheetName val="표지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기안"/>
      <sheetName val="갑지"/>
      <sheetName val="견적서"/>
      <sheetName val="내역서"/>
      <sheetName val="XXXXXX"/>
      <sheetName val="호계"/>
      <sheetName val="제암"/>
      <sheetName val="월마트"/>
      <sheetName val="월드컵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2F 회의실견적(5_14 일대)"/>
      <sheetName val="재집"/>
      <sheetName val="직재"/>
      <sheetName val="인건비"/>
      <sheetName val="일반공사"/>
      <sheetName val="일위대가"/>
      <sheetName val="unit 4"/>
      <sheetName val="N賃率-職"/>
      <sheetName val="간선계산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부하계산서"/>
      <sheetName val="JUCK"/>
      <sheetName val="98지급계획"/>
      <sheetName val="남양시작동자105노65기1.3화1.2"/>
      <sheetName val="견적조건"/>
      <sheetName val="견적조건(을지)"/>
      <sheetName val="Baby일위대가"/>
      <sheetName val="을"/>
      <sheetName val="FILE1"/>
      <sheetName val="원가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총괄"/>
      <sheetName val="단가비교표"/>
      <sheetName val="MOTOR"/>
      <sheetName val="표지 (2)"/>
      <sheetName val="제-노임"/>
      <sheetName val="제직재"/>
      <sheetName val="노무비"/>
      <sheetName val="을지"/>
      <sheetName val="200"/>
      <sheetName val="대구실행"/>
      <sheetName val="0.집계"/>
      <sheetName val="1.수변전설비공사"/>
      <sheetName val="입찰안"/>
      <sheetName val="단가산출"/>
      <sheetName val="I一般比"/>
      <sheetName val="직노"/>
      <sheetName val="매립"/>
      <sheetName val="조도계산서 (도서)"/>
      <sheetName val="49-119"/>
      <sheetName val="일위대가목차"/>
      <sheetName val="발신정보"/>
      <sheetName val="준검 내역서"/>
      <sheetName val="부하(성남)"/>
      <sheetName val="연부97-1"/>
      <sheetName val="갑지1"/>
      <sheetName val="J直材4"/>
      <sheetName val="공사원가계산서)"/>
      <sheetName val="내역집계표"/>
      <sheetName val="전기내역"/>
      <sheetName val="산출근거"/>
      <sheetName val="대가집계표"/>
      <sheetName val="대가전기"/>
      <sheetName val="자료"/>
      <sheetName val="집계표(관급)"/>
      <sheetName val="전기내역관급"/>
      <sheetName val="실행내역"/>
      <sheetName val="내역"/>
      <sheetName val="DATA"/>
      <sheetName val="기초단가"/>
      <sheetName val="입찰보고"/>
      <sheetName val="보차도경계석"/>
      <sheetName val="부대내역"/>
      <sheetName val="ITEM"/>
      <sheetName val="AIR SHOWER(3인용)"/>
      <sheetName val="부대공Ⅱ"/>
      <sheetName val="설계내역서"/>
      <sheetName val="대치판정"/>
      <sheetName val="연습"/>
      <sheetName val="일위대가(가설)"/>
      <sheetName val="신우"/>
      <sheetName val="말뚝지지력산정"/>
      <sheetName val="구역화물"/>
      <sheetName val="단가일람"/>
      <sheetName val="아산추가1220"/>
      <sheetName val="XL4Poppy"/>
      <sheetName val="1.설계조건"/>
      <sheetName val="48전력선로일위"/>
      <sheetName val="조명율표"/>
      <sheetName val="기계경비(시간당)"/>
      <sheetName val="램머"/>
      <sheetName val="중기일위대가"/>
      <sheetName val="단위단가"/>
      <sheetName val="MAIN_TABLE"/>
      <sheetName val="재료"/>
      <sheetName val="Macro1"/>
      <sheetName val="LOPCALC"/>
      <sheetName val="가로등부표"/>
      <sheetName val="내역(설계)"/>
      <sheetName val="식생블럭단위수량"/>
      <sheetName val="3-1.CB"/>
      <sheetName val="노무비단가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STORAGE"/>
      <sheetName val="Y-WORK"/>
      <sheetName val="설계예산서"/>
      <sheetName val="수량집계"/>
      <sheetName val="토목"/>
      <sheetName val="가로등내역서"/>
      <sheetName val="수량산출서"/>
      <sheetName val="2000.11월설계내역"/>
      <sheetName val="#REF"/>
      <sheetName val="터파기및재료"/>
      <sheetName val="점수계산1-2"/>
      <sheetName val="BID"/>
      <sheetName val="부대공사비"/>
      <sheetName val="현장관리비집계표"/>
      <sheetName val="제경비율"/>
      <sheetName val="당초"/>
      <sheetName val="1.수인터널"/>
      <sheetName val="본공사"/>
      <sheetName val="DANGA"/>
      <sheetName val="BQ"/>
      <sheetName val="자재단가"/>
      <sheetName val="CA지입"/>
      <sheetName val="손익분석"/>
      <sheetName val="노임"/>
      <sheetName val="대비"/>
      <sheetName val="ITB COST"/>
      <sheetName val="집계표"/>
      <sheetName val="Macro(전선)"/>
      <sheetName val="전선 및 전선관"/>
      <sheetName val="Sheet17"/>
      <sheetName val="토공"/>
      <sheetName val="U-TYPE(1)"/>
      <sheetName val="자료입력"/>
      <sheetName val="예산명세서"/>
      <sheetName val="단가조사"/>
      <sheetName val="우배수"/>
      <sheetName val="맨홀"/>
      <sheetName val="금호"/>
      <sheetName val="정부노임단가"/>
      <sheetName val="단가"/>
      <sheetName val="총괄표"/>
      <sheetName val="실행철강하도"/>
      <sheetName val="내역서2안"/>
      <sheetName val="소야공정계획표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본선차로수량집계표"/>
      <sheetName val="수주현황2월"/>
      <sheetName val="단면 (2)"/>
      <sheetName val="토공유동표"/>
      <sheetName val="교각계산"/>
      <sheetName val="실행내역서"/>
      <sheetName val="INPUT"/>
      <sheetName val="적용공정"/>
      <sheetName val="L_RPTB02_01"/>
      <sheetName val="1차설계변경내역"/>
      <sheetName val="수량"/>
      <sheetName val="전선"/>
      <sheetName val="CABLE"/>
      <sheetName val="설계명세서"/>
      <sheetName val="단"/>
      <sheetName val="교통대책내역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산출내역서집계표"/>
      <sheetName val="원가계산서 (총괄)"/>
      <sheetName val="원가계산서 (건축)"/>
      <sheetName val="(총괄집계)"/>
      <sheetName val="내역구성"/>
      <sheetName val="4원가"/>
      <sheetName val="임시급식"/>
      <sheetName val="옥외가스"/>
      <sheetName val="임시급식 (2)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목차"/>
      <sheetName val="CTEMCOST"/>
      <sheetName val="보할공정"/>
      <sheetName val="지진시"/>
      <sheetName val="일반수량"/>
      <sheetName val="데이타"/>
      <sheetName val="BOQ(전체)"/>
      <sheetName val="금리계산"/>
      <sheetName val="부대시설"/>
      <sheetName val="Apt내역"/>
      <sheetName val="율촌법률사무소2내역"/>
      <sheetName val="보합"/>
      <sheetName val="1공구(을)"/>
      <sheetName val="대공종"/>
      <sheetName val="차종별"/>
      <sheetName val="구동"/>
      <sheetName val="96보완계획7.12"/>
      <sheetName val="토량산출서"/>
      <sheetName val="3.내역서"/>
      <sheetName val="98NS-N"/>
      <sheetName val="Summary Sheets"/>
      <sheetName val="요율"/>
      <sheetName val="일위목록-기"/>
      <sheetName val="Module11"/>
      <sheetName val="6동"/>
      <sheetName val="Chart1"/>
      <sheetName val="단위내역목록"/>
      <sheetName val="단위내역서"/>
      <sheetName val="원가(1)"/>
      <sheetName val="원가(2)"/>
      <sheetName val="공량산출서"/>
      <sheetName val="BID-도로"/>
      <sheetName val="001"/>
      <sheetName val="총계"/>
      <sheetName val="내력서"/>
      <sheetName val="지주목시비량산출서"/>
      <sheetName val="내역서(전기)"/>
      <sheetName val="원가계산서"/>
      <sheetName val="하조서"/>
      <sheetName val="빌딩 안내"/>
      <sheetName val="Macro2"/>
      <sheetName val="가설건물"/>
      <sheetName val="별표"/>
      <sheetName val="단가 및 재료비"/>
      <sheetName val="수량산출"/>
      <sheetName val="봉양~조차장간고하개명(신설)"/>
      <sheetName val="주상도"/>
      <sheetName val="6호기"/>
      <sheetName val="보증수수료산출"/>
      <sheetName val="기계경비"/>
      <sheetName val="가로등"/>
      <sheetName val="공사비예산서(토목분)"/>
      <sheetName val="수목데이타 "/>
      <sheetName val="변압기 및 발전기 용량"/>
      <sheetName val="일위대가(목록)"/>
      <sheetName val="재료비"/>
      <sheetName val="참고"/>
      <sheetName val="공사개요"/>
      <sheetName val="각형맨홀"/>
      <sheetName val="수목단가"/>
      <sheetName val="시설수량표"/>
      <sheetName val="식재수량표"/>
      <sheetName val="일위목록"/>
      <sheetName val="예산변경사항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2000년1차"/>
      <sheetName val="수입"/>
      <sheetName val="조건표"/>
      <sheetName val="JJ"/>
      <sheetName val="설계"/>
      <sheetName val="설 계"/>
      <sheetName val="ASP포장"/>
      <sheetName val="3BL공동구 수량"/>
      <sheetName val="일위대가표"/>
      <sheetName val="단가산출서(기계)"/>
      <sheetName val="에너지동"/>
      <sheetName val="Total"/>
      <sheetName val="코드표"/>
      <sheetName val="Sheet1 (2)"/>
      <sheetName val="조명시설"/>
      <sheetName val="공사비"/>
      <sheetName val="가드레일산근"/>
      <sheetName val="수량집계표"/>
      <sheetName val="단가비교"/>
      <sheetName val="적용2002"/>
      <sheetName val="중기"/>
      <sheetName val="45,46"/>
      <sheetName val="교대(A1)"/>
      <sheetName val="교대(A1-A2)"/>
      <sheetName val="교각1"/>
      <sheetName val="자재대"/>
      <sheetName val="소요자재"/>
      <sheetName val="노무산출서"/>
      <sheetName val="ETC"/>
      <sheetName val="우수맨홀공제단위수량"/>
      <sheetName val="스톱로그내역"/>
      <sheetName val="기계내역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JUCKEYK"/>
      <sheetName val="돌망태단위수량"/>
      <sheetName val="전기일위대가"/>
      <sheetName val="단면(RW1)"/>
      <sheetName val="시설물일위"/>
      <sheetName val="WORK"/>
      <sheetName val="비교표"/>
      <sheetName val="소비자가"/>
      <sheetName val="ilch"/>
      <sheetName val="A-4"/>
      <sheetName val="IMP(MAIN)"/>
      <sheetName val="IMP (REACTOR)"/>
      <sheetName val="차액보증"/>
      <sheetName val="오산갈곳"/>
      <sheetName val="맨홀수량집계"/>
      <sheetName val="설계조건"/>
      <sheetName val="날개벽(TYPE3)"/>
      <sheetName val="안정계산"/>
      <sheetName val="단면검토"/>
      <sheetName val="예정(3)"/>
      <sheetName val="동원(3)"/>
      <sheetName val="1.설계기준"/>
      <sheetName val="터널조도"/>
      <sheetName val="주형"/>
      <sheetName val="3차설계"/>
      <sheetName val="현황CODE"/>
      <sheetName val="손익현황"/>
      <sheetName val="기둥(원형)"/>
      <sheetName val="ABUT수량-A1"/>
      <sheetName val="밸브설치"/>
      <sheetName val="3.바닥판설계"/>
      <sheetName val="3.공통공사대비"/>
      <sheetName val="90.03실행 "/>
      <sheetName val="원가"/>
      <sheetName val="6PILE  (돌출)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인건-측정"/>
      <sheetName val="기자재비"/>
      <sheetName val="현장관리비내역서"/>
      <sheetName val="포장복구집계"/>
      <sheetName val="간접비"/>
      <sheetName val="건축공사"/>
      <sheetName val="한강운반비"/>
      <sheetName val="포장공"/>
      <sheetName val="계수시트"/>
      <sheetName val="L_RPTA05_목록"/>
      <sheetName val="연결임시"/>
      <sheetName val="계산식"/>
      <sheetName val="가도공"/>
      <sheetName val="SG"/>
      <sheetName val="DATE"/>
      <sheetName val="지급자재"/>
      <sheetName val="설비내역서"/>
      <sheetName val="건축내역서"/>
      <sheetName val="전기내역서"/>
      <sheetName val="철거집계"/>
      <sheetName val="전차선로 물량표"/>
      <sheetName val="자재"/>
      <sheetName val="공통(20-91)"/>
      <sheetName val="말뚝물량"/>
      <sheetName val="99총공사내역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적상기초자료"/>
      <sheetName val="고분전시관"/>
      <sheetName val="설비"/>
      <sheetName val="총괄내역서"/>
      <sheetName val="공종별내역서"/>
      <sheetName val="데리네이타현황"/>
      <sheetName val="기초코드"/>
      <sheetName val="화재 탐지 설비"/>
      <sheetName val="전기2005"/>
      <sheetName val="통신2005"/>
      <sheetName val="TOT"/>
      <sheetName val="C3"/>
      <sheetName val=" 견적서"/>
      <sheetName val="설직재-1"/>
      <sheetName val="경상직원"/>
      <sheetName val="주사무실종합"/>
      <sheetName val="노원열병합  건축공사기성내역서"/>
      <sheetName val="검사원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합천내역"/>
      <sheetName val="노무비산출"/>
      <sheetName val="사전공사"/>
      <sheetName val="Customer Databas"/>
      <sheetName val="금액내역서"/>
      <sheetName val="3련 BOX"/>
      <sheetName val="12월31일"/>
      <sheetName val="PIPE"/>
      <sheetName val="VALVE"/>
      <sheetName val="변경내역을"/>
      <sheetName val="철거산출근거"/>
      <sheetName val="내역서(전체)"/>
      <sheetName val="유첨#2"/>
      <sheetName val="관접합및부설"/>
      <sheetName val="실행간접비용"/>
      <sheetName val="2002하반기노임기준"/>
      <sheetName val="본부장"/>
      <sheetName val="5.공종별예산내역서"/>
      <sheetName val="EACT10"/>
      <sheetName val="BOQ"/>
      <sheetName val="대외공문"/>
      <sheetName val="총괄집계표"/>
      <sheetName val="고창터널(고창방향)"/>
      <sheetName val="대림산업"/>
      <sheetName val="개요"/>
      <sheetName val="품셈"/>
      <sheetName val="SLAB&quot;1&quot;"/>
      <sheetName val="연령현황"/>
      <sheetName val="기초자료"/>
      <sheetName val="여과지동"/>
      <sheetName val="내역표지"/>
      <sheetName val="본부소개"/>
      <sheetName val="현관"/>
      <sheetName val="구리토평1전기"/>
      <sheetName val="세부내역"/>
      <sheetName val="220 (2)"/>
      <sheetName val="가시설흙막이"/>
      <sheetName val="NYS"/>
      <sheetName val="플랜트 설치"/>
      <sheetName val="총수량집계표"/>
      <sheetName val="기계경비일람"/>
      <sheetName val="집수정(600-700)"/>
      <sheetName val="맨홀수량산출"/>
      <sheetName val="1공구 건정토건 토공"/>
      <sheetName val="역T형교대(말뚝기초)"/>
      <sheetName val="고등학교"/>
      <sheetName val="세목전체"/>
      <sheetName val="BJJIN"/>
      <sheetName val="DWPM"/>
      <sheetName val="내역서 (2)"/>
      <sheetName val="접지수량"/>
      <sheetName val="DATA1"/>
      <sheetName val="22단가(철거)"/>
      <sheetName val="49단가"/>
      <sheetName val="49단가(철거)"/>
      <sheetName val="22단가"/>
      <sheetName val="과천MAIN"/>
      <sheetName val="노무비 근거"/>
      <sheetName val="효성CB 1P기초"/>
      <sheetName val="EQ-R1"/>
      <sheetName val="품목"/>
      <sheetName val="2006기계경비산출표"/>
      <sheetName val="일용노임단가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TABLE"/>
      <sheetName val="노무"/>
    </sheetNames>
    <definedNames>
      <definedName name="Macro8"/>
    </definedNames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  <sheetName val="가설"/>
      <sheetName val="일위_파일"/>
      <sheetName val="일위총괄표"/>
      <sheetName val="정공공사"/>
      <sheetName val="EP0618"/>
      <sheetName val="DATE"/>
      <sheetName val="직재"/>
      <sheetName val="재집"/>
      <sheetName val="data"/>
      <sheetName val="방송(체육관)"/>
      <sheetName val="공사원가계산서"/>
      <sheetName val="수량산출(음암)"/>
      <sheetName val="99노임기준"/>
      <sheetName val="일위대가"/>
      <sheetName val="과천MAIN"/>
      <sheetName val="전력"/>
      <sheetName val="부대내역"/>
      <sheetName val="원가계산서"/>
      <sheetName val="단"/>
    </sheetNames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balju_cho"/>
      <sheetName val="내역서"/>
      <sheetName val="총괄표"/>
      <sheetName val="자재집계"/>
      <sheetName val="기타 정보통신공사"/>
      <sheetName val="내역"/>
      <sheetName val="수량산출"/>
      <sheetName val="사통"/>
      <sheetName val="가설공사내역"/>
    </sheetNames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  지"/>
      <sheetName val="총괄표"/>
      <sheetName val="총괄(고용보험)"/>
      <sheetName val="가설공사내역"/>
      <sheetName val="통신내역 집계표"/>
      <sheetName val="84A1-58-15I(2P)201"/>
      <sheetName val="84A1N-60-15I 202"/>
      <sheetName val="84A1N-60-15I 203"/>
      <sheetName val="75AN-108-18I 204"/>
      <sheetName val="84A1-46-23I 205"/>
      <sheetName val="84A1N-107-18(1P) 206"/>
      <sheetName val="84A1N-46-23I 207"/>
      <sheetName val="84A1N-46-23 208"/>
      <sheetName val="84A1N-115-18+23 209"/>
      <sheetName val="84A1-87-15I(3P) 210"/>
      <sheetName val="402"/>
      <sheetName val="403"/>
      <sheetName val="404+주차장인입"/>
      <sheetName val="기타 정보통신공사"/>
      <sheetName val="401-상가"/>
      <sheetName val="갑  지 (2)"/>
      <sheetName val="계약단가"/>
      <sheetName val="b_balju_cho"/>
      <sheetName val="문학간접"/>
      <sheetName val="401㦔삁가"/>
      <sheetName val="참조"/>
      <sheetName val="참조M"/>
      <sheetName val="일위"/>
      <sheetName val="세부내역서"/>
    </sheetNames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  지"/>
      <sheetName val="총괄표"/>
      <sheetName val="총괄(고용보험)"/>
      <sheetName val="가설공사내역"/>
      <sheetName val="통신내역 집계표"/>
      <sheetName val="84A1-58-15I(2P)201"/>
      <sheetName val="84A1N-60-15I 202"/>
      <sheetName val="84A1N-60-15I 203"/>
      <sheetName val="75AN-108-18I 204"/>
      <sheetName val="84A1-46-23I 205"/>
      <sheetName val="84A1N-107-18(1P) 206"/>
      <sheetName val="84A1N-46-23I 207"/>
      <sheetName val="84A1N-46-23 208"/>
      <sheetName val="84A1N-115-18+23 209"/>
      <sheetName val="84A1-87-15I(3P) 210"/>
      <sheetName val="402"/>
      <sheetName val="403"/>
      <sheetName val="404+주차장인입"/>
      <sheetName val="기타 정보통신공사"/>
      <sheetName val="401-상가"/>
      <sheetName val="갑  지 (2)"/>
      <sheetName val="계약단가"/>
    </sheetNames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내역서"/>
      <sheetName val="수량산출"/>
      <sheetName val="중량산출"/>
      <sheetName val="PANEL 중량산출"/>
      <sheetName val="견적대비표"/>
      <sheetName val="배관배선"/>
      <sheetName val="단가대비표"/>
      <sheetName val="성스테이지"/>
      <sheetName val="타견적서 영시스템"/>
      <sheetName val="진명견적"/>
      <sheetName val="직재"/>
      <sheetName val="재집"/>
      <sheetName val="데이타"/>
      <sheetName val="식재인부"/>
      <sheetName val="가로등"/>
      <sheetName val="노임"/>
      <sheetName val="내역서(토목) "/>
      <sheetName val="Sheet1"/>
      <sheetName val="Sheet2"/>
      <sheetName val="Sheet3"/>
      <sheetName val=""/>
      <sheetName val="여의도"/>
      <sheetName val="여의도 (도)(3)"/>
      <sheetName val="여의도 (식)"/>
      <sheetName val="여의도 (87)"/>
      <sheetName val="케이씨"/>
      <sheetName val="능곡"/>
      <sheetName val="ISONI"/>
      <sheetName val="ISONI (2)"/>
      <sheetName val="응암동"/>
      <sheetName val="태백"/>
      <sheetName val="상계1"/>
      <sheetName val="상계2"/>
      <sheetName val="을지로"/>
      <sheetName val="동부s"/>
      <sheetName val="충주"/>
      <sheetName val="2000년1차"/>
      <sheetName val="일위"/>
      <sheetName val="전시시설물"/>
      <sheetName val="모형"/>
      <sheetName val="영상HW"/>
      <sheetName val="영상SW"/>
      <sheetName val="싸인"/>
      <sheetName val="설명그래픽"/>
      <sheetName val="조명기구"/>
      <sheetName val="마감"/>
      <sheetName val="야외"/>
      <sheetName val="집계표"/>
      <sheetName val="총집계표"/>
      <sheetName val="원가계산"/>
      <sheetName val="Sheet10"/>
      <sheetName val="Sheet11"/>
      <sheetName val="Sheet12"/>
      <sheetName val="Sheet13"/>
      <sheetName val="Sheet14"/>
      <sheetName val="Sheet15"/>
      <sheetName val="Sheet16"/>
      <sheetName val="조건표 (2)"/>
      <sheetName val="기성표지"/>
      <sheetName val="1회갑지"/>
      <sheetName val="극동건설"/>
      <sheetName val="#REF"/>
      <sheetName val="표지"/>
      <sheetName val="내역 "/>
      <sheetName val="설계명세서"/>
      <sheetName val="XXXXXX"/>
      <sheetName val="검토내역 (2)"/>
      <sheetName val="내역"/>
      <sheetName val="부대tu"/>
      <sheetName val="연결임시"/>
      <sheetName val="요율"/>
      <sheetName val="한성전공 (4)"/>
      <sheetName val="한성전공 (5)"/>
      <sheetName val="Sheet4"/>
      <sheetName val="Sheet5"/>
      <sheetName val="Sheet6"/>
      <sheetName val="Sheet7"/>
      <sheetName val="Sheet8"/>
      <sheetName val="Sheet9"/>
      <sheetName val="b_balju"/>
      <sheetName val="자재일람"/>
      <sheetName val="패널"/>
      <sheetName val="교각별철근수량집계표"/>
      <sheetName val="터파기및재료"/>
      <sheetName val="내역표지"/>
      <sheetName val="일위_파일"/>
      <sheetName val="산출"/>
      <sheetName val="기타 정보통신공사"/>
      <sheetName val="INPUT"/>
      <sheetName val="AS포장복구 "/>
      <sheetName val="노임이"/>
      <sheetName val="표지 (2)"/>
      <sheetName val="단가조사표"/>
      <sheetName val="준공정산"/>
      <sheetName val="수목데이타"/>
      <sheetName val="건축-물가변동"/>
    </sheetNames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비교표"/>
      <sheetName val="가설"/>
      <sheetName val="기계시공"/>
      <sheetName val="토"/>
      <sheetName val="철근"/>
      <sheetName val="철골"/>
      <sheetName val="타일"/>
      <sheetName val="석"/>
      <sheetName val="방수"/>
      <sheetName val="미장"/>
      <sheetName val="금속"/>
      <sheetName val="창호"/>
      <sheetName val="유리"/>
      <sheetName val="도장"/>
      <sheetName val="수장"/>
      <sheetName val="부대"/>
      <sheetName val="Sheet2"/>
      <sheetName val="철거"/>
      <sheetName val="조경"/>
      <sheetName val="기계시공(근본)"/>
      <sheetName val="부대(근본)"/>
    </sheetNames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테리어(원가)"/>
      <sheetName val="인테리어내역 "/>
      <sheetName val="일위대가"/>
      <sheetName val="산출근거"/>
      <sheetName val="표지"/>
      <sheetName val="가설"/>
    </sheetNames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balju_cho"/>
      <sheetName val="내역서1999.8최종"/>
      <sheetName val="갑지"/>
      <sheetName val="집계표"/>
    </sheetNames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업체"/>
      <sheetName val="결과"/>
      <sheetName val="총괄"/>
      <sheetName val="재료계"/>
      <sheetName val="직재"/>
      <sheetName val="간재"/>
      <sheetName val="노무"/>
      <sheetName val="일위"/>
      <sheetName val="요율"/>
      <sheetName val="#REF"/>
      <sheetName val="견적"/>
      <sheetName val="일위대가목록"/>
      <sheetName val="내역"/>
      <sheetName val="설직재-1"/>
      <sheetName val="내역서1999.8최종"/>
      <sheetName val="내역서"/>
      <sheetName val="일위대가 "/>
      <sheetName val="N賃率-職"/>
      <sheetName val="I一般比"/>
      <sheetName val="FB25JN"/>
      <sheetName val="계정"/>
      <sheetName val="Total"/>
      <sheetName val="서울시CCTV"/>
      <sheetName val="전기일위대가"/>
      <sheetName val="총괄내역서"/>
      <sheetName val="9509"/>
      <sheetName val="신우"/>
      <sheetName val="설계내역서"/>
      <sheetName val="A 견적"/>
      <sheetName val="청천내"/>
      <sheetName val="데이타"/>
      <sheetName val="단가조사"/>
      <sheetName val="단가 (2)"/>
      <sheetName val="동원인원"/>
      <sheetName val="변수값"/>
      <sheetName val="중기상차"/>
      <sheetName val="AS복구"/>
      <sheetName val="중기터파기"/>
      <sheetName val="기초입력 DATA"/>
      <sheetName val="설계명세서"/>
      <sheetName val="아파트기별"/>
      <sheetName val="공리일"/>
      <sheetName val="수량산출"/>
      <sheetName val="6호기"/>
      <sheetName val="DATE"/>
      <sheetName val="일위_파일"/>
      <sheetName val="SAM"/>
      <sheetName val="갑지"/>
      <sheetName val="집계표"/>
      <sheetName val="단가 및 재료비"/>
      <sheetName val="중기사용료산출근거"/>
      <sheetName val="기계경비(시간당)"/>
      <sheetName val="연습"/>
      <sheetName val="램머"/>
      <sheetName val="내역서(세부)"/>
      <sheetName val="인건비"/>
      <sheetName val="일위대가"/>
      <sheetName val="갑지(추정)"/>
      <sheetName val="감액총괄표"/>
      <sheetName val="예산내역서"/>
      <sheetName val="집수정(600-700)"/>
      <sheetName val="공사통보서"/>
      <sheetName val="을"/>
      <sheetName val="원가"/>
      <sheetName val="판매시설"/>
      <sheetName val="pier(각형)"/>
      <sheetName val="일위대가표"/>
      <sheetName val="일위대가_"/>
      <sheetName val="내역서1999_8최종"/>
      <sheetName val="A_견적"/>
      <sheetName val="단가_및_재료비"/>
      <sheetName val="견적대비 견적서"/>
      <sheetName val="결과조달"/>
      <sheetName val="CTEMCOST"/>
      <sheetName val="AS포장복구 "/>
      <sheetName val="21301동"/>
      <sheetName val="1.옥외통신"/>
      <sheetName val="3.전화,LAN"/>
      <sheetName val="4.TV"/>
      <sheetName val="5.방송"/>
      <sheetName val="수량산출서"/>
      <sheetName val="제안서입력"/>
      <sheetName val="수량산출(가로등)"/>
      <sheetName val="노임"/>
      <sheetName val="일위대가집계"/>
      <sheetName val="단가대비표"/>
      <sheetName val="직노"/>
      <sheetName val="200"/>
      <sheetName val="노임단가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견적서"/>
      <sheetName val="공사예산하조서"/>
      <sheetName val="건축내역"/>
      <sheetName val="Sheet1"/>
      <sheetName val="중기일위대가"/>
      <sheetName val="정부노임단가"/>
      <sheetName val="업무"/>
      <sheetName val="내역- CCTV"/>
      <sheetName val="설계예산서"/>
      <sheetName val="총계"/>
      <sheetName val="단가비교표"/>
    </sheetNames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내역서"/>
      <sheetName val="단가조정표"/>
      <sheetName val="MATERIAL"/>
      <sheetName val="자재집계표"/>
      <sheetName val="공종별공정율"/>
      <sheetName val="아파트골조공정율"/>
      <sheetName val="잔여내역"/>
      <sheetName val="잔여총괄"/>
      <sheetName val="비목군집계표"/>
      <sheetName val="지수조정율"/>
      <sheetName val="지수의 계산"/>
      <sheetName val="산출근거"/>
      <sheetName val="연동총괄"/>
      <sheetName val="Sheet3"/>
      <sheetName val="Sheet2"/>
      <sheetName val="내역전기"/>
      <sheetName val="KCS-CA"/>
      <sheetName val="가설공사"/>
      <sheetName val="공사개요"/>
      <sheetName val="매입세"/>
      <sheetName val="감액총괄표"/>
      <sheetName val="평가데이터"/>
      <sheetName val="49"/>
      <sheetName val="내역"/>
      <sheetName val="b_balju_cho"/>
      <sheetName val="빌딩 안내"/>
      <sheetName val="예산산성"/>
      <sheetName val="설계내역서"/>
      <sheetName val="변수값"/>
      <sheetName val="중기상차"/>
      <sheetName val="AS복구"/>
      <sheetName val="중기터파기"/>
      <sheetName val="기초자료입력"/>
      <sheetName val="착공시(착공계)"/>
      <sheetName val="중강당 내역"/>
      <sheetName val="집계"/>
      <sheetName val="설계명세서"/>
      <sheetName val="토목공사"/>
      <sheetName val="데이타"/>
      <sheetName val="대비"/>
      <sheetName val="기타 정보통신공사"/>
      <sheetName val="일위대가"/>
      <sheetName val="설계서"/>
      <sheetName val="수정"/>
      <sheetName val="설계명세서(종합)"/>
      <sheetName val="소요자재"/>
      <sheetName val="노무산출서"/>
      <sheetName val="공통"/>
      <sheetName val="공용"/>
      <sheetName val="동원인원"/>
      <sheetName val="공사착공계"/>
      <sheetName val="세부내역서"/>
      <sheetName val="401"/>
      <sheetName val="가설공사내역"/>
      <sheetName val="database"/>
      <sheetName val="일위대가 "/>
      <sheetName val="청천내"/>
      <sheetName val="구리토평1전기"/>
      <sheetName val="정보"/>
      <sheetName val="#REF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기초입력 DATA"/>
      <sheetName val="포장복구집계"/>
      <sheetName val="전기"/>
    </sheetNames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출금액내역"/>
      <sheetName val="파일단가"/>
      <sheetName val="일위대가표"/>
      <sheetName val="길이중량표"/>
      <sheetName val="재단시설(지하3층)"/>
      <sheetName val="기숙사동(지하2층)"/>
      <sheetName val="기계조합손료"/>
      <sheetName val="규격별평균관입깊이"/>
      <sheetName val="단가산출서(15m이하)"/>
      <sheetName val="단가산출서(15m이상)"/>
      <sheetName val="단가산출서양식"/>
      <sheetName val="기계경비(시간당)"/>
      <sheetName val="램머"/>
    </sheetNames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도공품의"/>
      <sheetName val="조달품의"/>
      <sheetName val="조정안"/>
      <sheetName val="투찰총괄"/>
      <sheetName val="기구표"/>
      <sheetName val="영종도"/>
      <sheetName val="A4PO"/>
      <sheetName val="A4LA"/>
      <sheetName val="타사"/>
      <sheetName val="연결임시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0000"/>
      <sheetName val="원하집계"/>
      <sheetName val="세부기준"/>
      <sheetName val="하도총괄"/>
      <sheetName val="원하도"/>
      <sheetName val="투찰"/>
      <sheetName val="표지"/>
      <sheetName val="공사개요"/>
      <sheetName val="공사원가"/>
      <sheetName val="건축공사비"/>
      <sheetName val="공종별비교"/>
      <sheetName val="마감별비교"/>
      <sheetName val="건축평형별"/>
      <sheetName val="피벗자료"/>
      <sheetName val="평형별피벗"/>
      <sheetName val="설비공사비"/>
      <sheetName val=" 설비마감재"/>
      <sheetName val="전기공사비"/>
      <sheetName val="승강기"/>
      <sheetName val="공정표"/>
      <sheetName val="산출금액내역"/>
      <sheetName val="일위_파일"/>
      <sheetName val="실행예산"/>
      <sheetName val="토사(PE)"/>
      <sheetName val="G.R300경비"/>
      <sheetName val="빌딩 안내"/>
      <sheetName val="일산실행내역"/>
      <sheetName val="한일양산"/>
      <sheetName val="현장관리비"/>
      <sheetName val="장비비"/>
      <sheetName val="견"/>
      <sheetName val="평가데이터"/>
      <sheetName val="인건비 "/>
      <sheetName val="내역서"/>
      <sheetName val="기계경비(시간당)"/>
      <sheetName val="램머"/>
      <sheetName val="설계내역서"/>
      <sheetName val="Customer Databas"/>
      <sheetName val="유림골조"/>
      <sheetName val="비교1"/>
      <sheetName val="#REF"/>
      <sheetName val="지수980731이후"/>
      <sheetName val="Y-WORK"/>
      <sheetName val="계수시트"/>
      <sheetName val="총괄"/>
      <sheetName val="코스모공장 (어음)"/>
      <sheetName val="산출내역"/>
      <sheetName val="01"/>
      <sheetName val="실행간접비용"/>
      <sheetName val="설계조건"/>
      <sheetName val="요율"/>
      <sheetName val="산출"/>
      <sheetName val="관급_File"/>
      <sheetName val="일위목록"/>
      <sheetName val="노임단가"/>
      <sheetName val="수량산출"/>
      <sheetName val="직재"/>
      <sheetName val="NOMUBI"/>
      <sheetName val="조경"/>
      <sheetName val="중강당 내역"/>
      <sheetName val="총괄표"/>
      <sheetName val="데이타"/>
      <sheetName val="식재인부"/>
      <sheetName val="내역서1999.8최종"/>
      <sheetName val="인부임"/>
      <sheetName val="수목데이타"/>
      <sheetName val="2. 공원조도"/>
      <sheetName val="맨홀수량산출(A-LINE)"/>
      <sheetName val="별표 "/>
      <sheetName val="공종단가"/>
      <sheetName val="증감대비"/>
      <sheetName val="품셈TABLE"/>
      <sheetName val="기초자료입력"/>
      <sheetName val="9902"/>
      <sheetName val="1차 내역서"/>
      <sheetName val="TOTAL_BOQ"/>
      <sheetName val="일반교실"/>
      <sheetName val="전차선로 물량표"/>
      <sheetName val="내역서01"/>
      <sheetName val="견적의뢰"/>
      <sheetName val="갑지"/>
      <sheetName val="현장경비"/>
      <sheetName val="소방일위 "/>
      <sheetName val="소방 "/>
      <sheetName val="본사공가현황"/>
      <sheetName val="건축내역"/>
      <sheetName val="가정"/>
      <sheetName val="Macro1"/>
      <sheetName val="냉천부속동"/>
      <sheetName val="1호인버트수량"/>
      <sheetName val="집계표"/>
      <sheetName val="토공"/>
      <sheetName val="PAC"/>
      <sheetName val="2000년1차"/>
      <sheetName val="물가대비표"/>
      <sheetName val="FACTOR"/>
      <sheetName val="청천내"/>
      <sheetName val="참조"/>
      <sheetName val="단가"/>
      <sheetName val="판매시설"/>
      <sheetName val="총투입계"/>
      <sheetName val="국내조달(통합-1)"/>
      <sheetName val="database"/>
      <sheetName val="자재대"/>
      <sheetName val="일(4)"/>
      <sheetName val="P TRAY"/>
      <sheetName val="P CABLE"/>
      <sheetName val="U 전력감시"/>
      <sheetName val="U CON "/>
      <sheetName val="U TUB"/>
      <sheetName val="U SUPP"/>
      <sheetName val="P 전력감시C"/>
      <sheetName val="P CON"/>
      <sheetName val="P 전력감시 CON"/>
      <sheetName val="P TUB"/>
      <sheetName val="P P&amp;F"/>
      <sheetName val="P SUPP"/>
      <sheetName val="U TRAY "/>
      <sheetName val="U CABLE "/>
      <sheetName val="견적서"/>
      <sheetName val="가로등"/>
      <sheetName val="세부 Data"/>
      <sheetName val="협력업체기성(투입)"/>
      <sheetName val="협력업체기성(매출)"/>
      <sheetName val="본사불자재투입(투입)"/>
      <sheetName val="본사불자재투입(매출)"/>
      <sheetName val="슬래브"/>
      <sheetName val="작성"/>
      <sheetName val="관로부문"/>
      <sheetName val="Total"/>
      <sheetName val="건축내역서"/>
      <sheetName val="설비내역서"/>
      <sheetName val="전기내역서"/>
      <sheetName val="문학간접"/>
      <sheetName val="견적조건"/>
      <sheetName val="부대집계"/>
      <sheetName val="DATE"/>
      <sheetName val="토공(우물통,기타) "/>
      <sheetName val="단가산출서(기계)"/>
      <sheetName val="대전(세창동)"/>
      <sheetName val="c_balju"/>
      <sheetName val="2@ BOX"/>
      <sheetName val="관급자재"/>
      <sheetName val="변경관급자재"/>
      <sheetName val="관접합및부설"/>
      <sheetName val="원가계산서"/>
      <sheetName val="개산공사비"/>
      <sheetName val="Sheet1"/>
      <sheetName val="설치공사비"/>
      <sheetName val="설직재-1"/>
      <sheetName val="맨홀수량산출"/>
      <sheetName val="3"/>
      <sheetName val="수량산출근거"/>
      <sheetName val="일위대가(4층원격)"/>
      <sheetName val="21301동"/>
      <sheetName val="용소리교"/>
      <sheetName val="신우"/>
      <sheetName val="교사기준면적(초등)"/>
      <sheetName val="주소록"/>
      <sheetName val="효성CB 1P기초"/>
      <sheetName val="갑지1"/>
      <sheetName val="연부97-1"/>
      <sheetName val="9GNG운반"/>
      <sheetName val="물량산출"/>
      <sheetName val="협력업체"/>
      <sheetName val="GI-LIST"/>
      <sheetName val="남평내역"/>
      <sheetName val="정부노임단가"/>
      <sheetName val="CTEMCOST"/>
      <sheetName val="data"/>
      <sheetName val="파일의이용"/>
      <sheetName val="공종구간"/>
      <sheetName val="내역서1"/>
      <sheetName val="조명시설"/>
    </sheetNames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대금지불요청서"/>
      <sheetName val="검사원"/>
      <sheetName val="조서"/>
      <sheetName val="공사비분석표"/>
      <sheetName val="총괄내역"/>
      <sheetName val="총괄 "/>
      <sheetName val="내역가설"/>
      <sheetName val="세부내역총괄"/>
      <sheetName val="총괄고용(수)"/>
      <sheetName val="중총괄표 "/>
      <sheetName val="소APT전기"/>
      <sheetName val="소APT소방"/>
      <sheetName val="내역전기"/>
      <sheetName val="내역소방"/>
      <sheetName val="종합기록표"/>
      <sheetName val="기성서식"/>
      <sheetName val="총괄고용 (%)"/>
      <sheetName val="총괄고용 (감)"/>
      <sheetName val="총괄고용 (검)"/>
      <sheetName val="내역상가"/>
      <sheetName val="내역"/>
      <sheetName val="가설공사내역"/>
      <sheetName val="산출근거"/>
      <sheetName val="산출(합계)"/>
      <sheetName val="세부내역서"/>
      <sheetName val="과세내역(세부)"/>
      <sheetName val="5공구기성조서-2회"/>
      <sheetName val="코드표"/>
      <sheetName val="감액총괄표"/>
      <sheetName val="청 구"/>
      <sheetName val="49신설수량"/>
      <sheetName val="Y-WORK"/>
      <sheetName val="공종"/>
      <sheetName val="세부내역"/>
      <sheetName val="내역서"/>
      <sheetName val="노임이"/>
      <sheetName val="연결임시"/>
      <sheetName val="NYS"/>
    </sheetNames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식재수량표"/>
      <sheetName val="시설수량표"/>
      <sheetName val="광조명수량산출"/>
      <sheetName val="주요자재집계"/>
      <sheetName val="주요자재"/>
      <sheetName val="시멘모래"/>
      <sheetName val="관급"/>
      <sheetName val="일위목록"/>
      <sheetName val="식재일위"/>
      <sheetName val="시설일위"/>
      <sheetName val="조명일위"/>
      <sheetName val="기초일위"/>
      <sheetName val="자재단가"/>
      <sheetName val="수목단가"/>
      <sheetName val="노임단가"/>
      <sheetName val="경비목록"/>
      <sheetName val="경비"/>
      <sheetName val="주공일위"/>
      <sheetName val="내역전기"/>
      <sheetName val="검수고1-1층"/>
      <sheetName val="매매"/>
      <sheetName val="전신"/>
    </sheetNames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표지1"/>
      <sheetName val="원가계산서"/>
      <sheetName val="총괄표"/>
      <sheetName val="(1)수변전설비"/>
      <sheetName val="(2)터널조명설비공사"/>
      <sheetName val="(3)BOX점검등설비공사"/>
      <sheetName val="(4)이설전기공사"/>
      <sheetName val="표지2"/>
      <sheetName val="(5)관급내역서"/>
      <sheetName val="표지3"/>
      <sheetName val="일위대가목록S"/>
      <sheetName val="일위대가S"/>
      <sheetName val="표지4"/>
      <sheetName val="한전인입공사비"/>
      <sheetName val="표지5"/>
      <sheetName val="자재단가표"/>
      <sheetName val="표지6"/>
      <sheetName val="기본Module"/>
      <sheetName val="찾기Module"/>
      <sheetName val="함수Module"/>
      <sheetName val="(내역)삼인터널전기분야"/>
      <sheetName val="일위대가"/>
      <sheetName val="copy"/>
      <sheetName val="서식"/>
      <sheetName val="단가책자"/>
      <sheetName val="내역전기"/>
      <sheetName val="고창터널(고창방향)"/>
      <sheetName val="대비"/>
    </sheetNames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  <sheetName val="건축내역"/>
      <sheetName val="기존단가 (2)"/>
      <sheetName val="직노"/>
      <sheetName val="단"/>
      <sheetName val="노무단가"/>
      <sheetName val="견적서"/>
      <sheetName val="노무비"/>
      <sheetName val="000000"/>
      <sheetName val="설계서"/>
      <sheetName val="공사원가 계산서"/>
      <sheetName val="총괄내역서"/>
      <sheetName val="내역서"/>
      <sheetName val="폐기물처리 내역서"/>
      <sheetName val="원가(상차)"/>
      <sheetName val="원가(수집·운반)"/>
      <sheetName val="원가(혼합)"/>
      <sheetName val="구조물깨기"/>
      <sheetName val="상차(폐자재)"/>
      <sheetName val="살수(물탱크)"/>
      <sheetName val="중기사용료"/>
      <sheetName val="B.H(0.7㎥)"/>
      <sheetName val="Breaker(0.7㎥)"/>
      <sheetName val="D.T(15ton)"/>
      <sheetName val="물탱크(5,500ℓ)"/>
      <sheetName val="크레인(트럭)10ton"/>
      <sheetName val="물량집계표"/>
    </sheetNames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중기사용료"/>
      <sheetName val="기계단가"/>
      <sheetName val="단가비교표"/>
      <sheetName val="노임단가"/>
      <sheetName val="Sheet1"/>
      <sheetName val="Sheet2"/>
      <sheetName val="Sheet3"/>
      <sheetName val="수목표준대가"/>
      <sheetName val="코드표"/>
      <sheetName val="b_balju_cho"/>
      <sheetName val="기초일위"/>
      <sheetName val="시설일위"/>
      <sheetName val="조명일위"/>
      <sheetName val="설계명세서"/>
      <sheetName val="노임"/>
      <sheetName val="자재"/>
      <sheetName val="수량산출"/>
    </sheetNames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업기본"/>
      <sheetName val="저압기본"/>
      <sheetName val="고압기본"/>
      <sheetName val="변압기본"/>
      <sheetName val="계량기본"/>
      <sheetName val="송전기본"/>
    </sheetNames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변LIST"/>
      <sheetName val="설변LIST (2)"/>
      <sheetName val="커버F"/>
      <sheetName val="공문F"/>
      <sheetName val="총괄"/>
      <sheetName val="건총괄"/>
      <sheetName val="설변총괄표"/>
      <sheetName val="설변개요"/>
      <sheetName val="동별총괄"/>
      <sheetName val="원가계산"/>
      <sheetName val="물량증감세부"/>
      <sheetName val="건축직접비"/>
      <sheetName val="건축총괄"/>
      <sheetName val="원본"/>
      <sheetName val="건축내역"/>
      <sheetName val="단가적용표"/>
      <sheetName val="일위대가표"/>
      <sheetName val="수량내역"/>
      <sheetName val="수량산출"/>
      <sheetName val="금액산정"/>
      <sheetName val="Sheet4"/>
      <sheetName val="Sheet3"/>
      <sheetName val="Sheet2"/>
      <sheetName val="Sheet1"/>
      <sheetName val="설변총괄표(2)"/>
      <sheetName val="설변목록"/>
      <sheetName val="설변개요(2)"/>
      <sheetName val="물량증감세부 (2)"/>
      <sheetName val="발코니물량"/>
      <sheetName val="UBR수량"/>
      <sheetName val="일위대가"/>
      <sheetName val="일위_파일"/>
      <sheetName val="동별항타"/>
      <sheetName val="반입현황"/>
      <sheetName val="반입및시공"/>
      <sheetName val="일자별반입_"/>
      <sheetName val="항타사진"/>
      <sheetName val="터파기사진"/>
      <sheetName val="항타기록부커버"/>
      <sheetName val="공종별총괄"/>
      <sheetName val="커버F (1)"/>
      <sheetName val="설변총괄표 (2)"/>
      <sheetName val="단"/>
      <sheetName val="노임단가(9월)"/>
      <sheetName val="단가"/>
    </sheetNames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balju_cho"/>
      <sheetName val="단가표"/>
      <sheetName val="일위_파일"/>
      <sheetName val="단"/>
    </sheetNames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출내역"/>
      <sheetName val="원가계산"/>
      <sheetName val="원가근거"/>
      <sheetName val="직 영 비"/>
      <sheetName val="총괄내역"/>
      <sheetName val="세부내역"/>
      <sheetName val="일위집계"/>
      <sheetName val="일위대가"/>
      <sheetName val="단가조사"/>
      <sheetName val="노임단가"/>
      <sheetName val="노임"/>
      <sheetName val="샘플표지"/>
      <sheetName val="b_balju_cho"/>
      <sheetName val="9509"/>
      <sheetName val="말고개터널조명전압강하"/>
      <sheetName val="내역단가"/>
      <sheetName val="일위단가"/>
      <sheetName val="단가산출"/>
      <sheetName val="남대문빌딩"/>
      <sheetName val="수량산출서"/>
      <sheetName val="갑지"/>
      <sheetName val="집계표"/>
      <sheetName val="수목표준대가"/>
      <sheetName val="Y-WORK"/>
      <sheetName val="Config"/>
      <sheetName val="401"/>
    </sheetNames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(4층원격)"/>
      <sheetName val="일위대가목록"/>
      <sheetName val="Macro1"/>
      <sheetName val="CATV"/>
      <sheetName val="내역"/>
      <sheetName val="소방"/>
      <sheetName val="일위대가_4층원격_"/>
      <sheetName val="단"/>
      <sheetName val="일위_파일"/>
      <sheetName val="공종단가"/>
      <sheetName val="대,유,램"/>
      <sheetName val="일위대가"/>
      <sheetName val="설계내역"/>
      <sheetName val="단가산출목록표"/>
      <sheetName val="내역서2안"/>
      <sheetName val="단가표"/>
      <sheetName val="투찰추정"/>
      <sheetName val="한강운반비"/>
      <sheetName val="전차선로 물량표"/>
      <sheetName val="단가조사"/>
      <sheetName val="단가산출"/>
      <sheetName val="인건비(VOICE)"/>
      <sheetName val="I一般比"/>
      <sheetName val="노임단가"/>
      <sheetName val="식재가격"/>
      <sheetName val="식재총괄"/>
      <sheetName val="일위목록"/>
      <sheetName val="내역서"/>
      <sheetName val="갑지"/>
      <sheetName val="집계표"/>
      <sheetName val="1안"/>
      <sheetName val="내역서(교량)전체"/>
      <sheetName val="산출목록표"/>
      <sheetName val="강남1"/>
      <sheetName val="4.산출근거(추락방지)"/>
      <sheetName val="직재"/>
      <sheetName val="단가산출서"/>
      <sheetName val="경산"/>
      <sheetName val="수량산출(VMS)"/>
      <sheetName val="매출원가명세"/>
      <sheetName val="WORK"/>
      <sheetName val="N賃率-職"/>
      <sheetName val="기계경비(시간당)"/>
      <sheetName val="램머"/>
      <sheetName val="직노"/>
      <sheetName val="일위"/>
      <sheetName val="연봉제 전환의 건"/>
      <sheetName val="연봉제임금테이블"/>
      <sheetName val="단가최종"/>
      <sheetName val="대가목록"/>
    </sheetNames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자재 내역서"/>
      <sheetName val="일위대가"/>
      <sheetName val="Sheet1"/>
      <sheetName val="일위대가(4층원격)"/>
      <sheetName val="CATV"/>
      <sheetName val="일위_파일"/>
      <sheetName val="설직재-1"/>
      <sheetName val="대,유,램"/>
      <sheetName val="내역서"/>
      <sheetName val="갑지"/>
      <sheetName val="집계표"/>
      <sheetName val="#REF"/>
      <sheetName val="Sheet2"/>
      <sheetName val="단관데이터"/>
      <sheetName val="이형관데이터"/>
      <sheetName val="일위대가목록"/>
      <sheetName val="I一般比"/>
      <sheetName val="1안"/>
      <sheetName val="Macro1"/>
      <sheetName val="일위대가_4층원격_"/>
      <sheetName val="공종단가"/>
      <sheetName val="단가산출"/>
      <sheetName val="내역서2안"/>
      <sheetName val="산출목록표"/>
      <sheetName val="단"/>
      <sheetName val="C-직노1"/>
      <sheetName val="D-경비1"/>
      <sheetName val="2F 회의실견적(5_14 일대)"/>
      <sheetName val="단가"/>
      <sheetName val="4.산출근거(추락방지)"/>
      <sheetName val="백암비스타내역"/>
      <sheetName val="단가산출서"/>
      <sheetName val="단가표"/>
      <sheetName val="N賃率-職"/>
      <sheetName val="물가대비표"/>
      <sheetName val="요율"/>
      <sheetName val="노임단가"/>
    </sheetNames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andAJunior"/>
      <sheetName val="FRONT"/>
      <sheetName val="STUDIO"/>
      <sheetName val="QandASenior"/>
      <sheetName val="개요"/>
      <sheetName val="단가"/>
      <sheetName val="단가표 (2)"/>
      <sheetName val="내역서2안"/>
      <sheetName val="단"/>
    </sheetNames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계산서"/>
      <sheetName val="전기내역서"/>
      <sheetName val="통신내역서"/>
      <sheetName val="소방내역서"/>
      <sheetName val="일위대가표"/>
      <sheetName val="표지"/>
    </sheetNames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일위대가"/>
      <sheetName val="원가계산서"/>
      <sheetName val="조건표 (2)"/>
      <sheetName val="Baby일위대가"/>
      <sheetName val="철거산출근거"/>
      <sheetName val="일위목록"/>
      <sheetName val="요율"/>
      <sheetName val="KKK"/>
      <sheetName val=" 냉각수펌프"/>
      <sheetName val="공조기휀"/>
      <sheetName val="AHU집계"/>
      <sheetName val="조건표"/>
      <sheetName val="내역서"/>
      <sheetName val="일위산출"/>
      <sheetName val="실행예산서"/>
      <sheetName val="일위(설)"/>
      <sheetName val="노무비"/>
      <sheetName val="단가표"/>
      <sheetName val="단가조사"/>
      <sheetName val="경산"/>
      <sheetName val="내역서(삼호)"/>
      <sheetName val="자재단가표"/>
      <sheetName val="목록"/>
      <sheetName val="일위"/>
    </sheetNames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을지"/>
      <sheetName val="CCTV설치&amp;시운전"/>
      <sheetName val="AUTOCOP3000"/>
      <sheetName val="층별 물량표"/>
    </sheetNames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J97~1"/>
      <sheetName val="PAN"/>
      <sheetName val="공조기"/>
      <sheetName val="직노"/>
      <sheetName val="N賃率-職"/>
    </sheetNames>
    <definedNames>
      <definedName name="매크로1"/>
    </definedNames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1"/>
      <sheetName val="표지2"/>
      <sheetName val="산출내역"/>
      <sheetName val="공사원가"/>
      <sheetName val="집계"/>
      <sheetName val="공청설비"/>
      <sheetName val="전화OA"/>
      <sheetName val="유지공구"/>
      <sheetName val="방송설비"/>
      <sheetName val="계측제어"/>
      <sheetName val="이설"/>
      <sheetName val="일위목차"/>
      <sheetName val="일위대가"/>
      <sheetName val="단가조사서"/>
      <sheetName val="견적대비"/>
      <sheetName val="노임"/>
      <sheetName val="수질계기"/>
    </sheetNames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원가표지 "/>
      <sheetName val="원가계산서 총괄"/>
      <sheetName val="원가계산서"/>
      <sheetName val="시대표지"/>
      <sheetName val="시대"/>
      <sheetName val="문화정보2"/>
      <sheetName val="삼영"/>
      <sheetName val="문화정보1"/>
      <sheetName val="인건비"/>
      <sheetName val="수량산출"/>
      <sheetName val="내역서"/>
      <sheetName val="노무비"/>
      <sheetName val="을지"/>
      <sheetName val="직노"/>
      <sheetName val="배관배선내역"/>
      <sheetName val="인사자료총집계"/>
      <sheetName val="총괄"/>
      <sheetName val="표지 (2)"/>
      <sheetName val="6호기"/>
      <sheetName val="일위대가(가설)"/>
      <sheetName val="자재단가"/>
      <sheetName val="내역"/>
      <sheetName val="Baby일위대가"/>
      <sheetName val="단가산출"/>
      <sheetName val="CT "/>
      <sheetName val="IMPEADENCE MAP 취수장"/>
      <sheetName val="대가목록"/>
      <sheetName val="목차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철거산출근거"/>
      <sheetName val="자재비"/>
      <sheetName val="E166"/>
      <sheetName val="맨홀수량산출"/>
      <sheetName val="가감수량"/>
      <sheetName val="피엘"/>
      <sheetName val="재료"/>
      <sheetName val="설치자재"/>
      <sheetName val="SUN 2000. 10 가격"/>
    </sheetNames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원가표지 "/>
      <sheetName val="원가계산서 총괄"/>
      <sheetName val="원가계산서"/>
      <sheetName val="시대표지"/>
      <sheetName val="시대"/>
      <sheetName val="문화정보1"/>
      <sheetName val="문화정보2"/>
      <sheetName val="삼영-1"/>
      <sheetName val="삼영-2"/>
      <sheetName val="인건비"/>
      <sheetName val="총괄집계표"/>
      <sheetName val="수량산출"/>
      <sheetName val="을지"/>
      <sheetName val="내역"/>
      <sheetName val="2공구자재집"/>
      <sheetName val="노무비"/>
      <sheetName val="목차"/>
      <sheetName val="단위수량"/>
      <sheetName val="수량집계"/>
      <sheetName val="조명율표"/>
      <sheetName val="Baby일위대가"/>
      <sheetName val="일위대가목록"/>
      <sheetName val="내역-수정1"/>
      <sheetName val="내역서"/>
      <sheetName val="자재단가"/>
      <sheetName val="직노"/>
      <sheetName val="내역서1"/>
      <sheetName val="차도부연장현황"/>
    </sheetNames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원가표지 "/>
      <sheetName val="원가계산서 총괄"/>
      <sheetName val="원가계산서"/>
      <sheetName val="시대표지"/>
      <sheetName val="시대"/>
      <sheetName val="문화정보1"/>
      <sheetName val="문화정보2"/>
      <sheetName val="삼영"/>
      <sheetName val="발송견적"/>
      <sheetName val="단가조사"/>
      <sheetName val="정화조동내역"/>
      <sheetName val="을지"/>
      <sheetName val="Sheet2"/>
      <sheetName val="일위대가"/>
      <sheetName val="Baby일위대가"/>
      <sheetName val="갑지(추정)"/>
      <sheetName val="2공구산출내역"/>
      <sheetName val="내역"/>
      <sheetName val="기계공사"/>
      <sheetName val="총괄집계표"/>
      <sheetName val="고분"/>
      <sheetName val="단위수량"/>
      <sheetName val="목록"/>
      <sheetName val="단"/>
      <sheetName val="Macro1"/>
      <sheetName val="전신환매도율"/>
      <sheetName val="1차설계변경내역"/>
      <sheetName val="노무비"/>
      <sheetName val="일위대가(가설)"/>
      <sheetName val="#REF"/>
      <sheetName val="선정요령"/>
      <sheetName val="대치판정"/>
      <sheetName val="연돌일위집계"/>
      <sheetName val="기본일위"/>
      <sheetName val="준검 내역서"/>
      <sheetName val="수량산출"/>
      <sheetName val="적현로"/>
      <sheetName val="2공구자재집"/>
      <sheetName val="직노"/>
      <sheetName val="단위단가"/>
      <sheetName val="사원명부"/>
      <sheetName val="원형1호맨홀토공수량"/>
      <sheetName val="대가목록"/>
      <sheetName val="품목현황"/>
      <sheetName val="출고대장"/>
      <sheetName val="공주-교대(A1)"/>
      <sheetName val="재료"/>
      <sheetName val="설치자재"/>
      <sheetName val="저"/>
      <sheetName val="45,46"/>
      <sheetName val="대전-교대(A1-A2)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Sheet4"/>
      <sheetName val="노임"/>
      <sheetName val="도급및 실행내역"/>
      <sheetName val="목차"/>
      <sheetName val="기본사항"/>
      <sheetName val="자재단가"/>
      <sheetName val="설비"/>
      <sheetName val="고분전시관"/>
      <sheetName val="지시서"/>
      <sheetName val="대구-교대(A1)"/>
      <sheetName val="인건비"/>
      <sheetName val="주소"/>
      <sheetName val="간접"/>
      <sheetName val="내역서"/>
      <sheetName val="대목"/>
      <sheetName val="간선계산"/>
      <sheetName val="단가목록"/>
      <sheetName val="4.일위대가목차"/>
      <sheetName val="산수배수"/>
      <sheetName val="내역서(삼호)"/>
      <sheetName val="집계표"/>
      <sheetName val="견적서1"/>
      <sheetName val="교대(A1)"/>
      <sheetName val="기초목록"/>
      <sheetName val="일위대가표"/>
      <sheetName val="교대(A1-A2)"/>
      <sheetName val="도근좌표"/>
      <sheetName val="진주방향"/>
      <sheetName val="위치조서"/>
      <sheetName val="일지-H"/>
      <sheetName val="입찰안"/>
      <sheetName val="건축2"/>
      <sheetName val="단가"/>
      <sheetName val="도급내역"/>
      <sheetName val="3.내역서"/>
      <sheetName val="참조M"/>
      <sheetName val="1동"/>
      <sheetName val="날개벽"/>
      <sheetName val="계림(함평)"/>
      <sheetName val="계림(장성)"/>
      <sheetName val="ABUT수량-A1"/>
      <sheetName val="토공수량산출"/>
      <sheetName val="토적계산서"/>
      <sheetName val="용산3(영광)"/>
      <sheetName val="설계내역"/>
      <sheetName val="직재"/>
      <sheetName val="재집"/>
      <sheetName val="전선관"/>
      <sheetName val="시운전연료"/>
      <sheetName val="21301동"/>
      <sheetName val="차도부연장현황"/>
      <sheetName val="CABLE"/>
      <sheetName val="공조기휀"/>
      <sheetName val="건축공사실행"/>
    </sheetNames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원가표지 "/>
      <sheetName val="원가계산서 총괄"/>
      <sheetName val="원가계산서"/>
      <sheetName val="시대표지"/>
      <sheetName val="시대"/>
      <sheetName val="문화정보1"/>
      <sheetName val="직노"/>
      <sheetName val="실행내역"/>
      <sheetName val="내역서"/>
      <sheetName val="苜대표지"/>
      <sheetName val="인건비"/>
    </sheetNames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원가표지 "/>
      <sheetName val="원가계산서 총괄"/>
      <sheetName val="원가계산서"/>
      <sheetName val="시대표지"/>
      <sheetName val="시대"/>
      <sheetName val="문화정보1"/>
      <sheetName val="문화정보2"/>
      <sheetName val="삼영"/>
      <sheetName val="원가-추후설치분"/>
      <sheetName val="원가표지-추후설치분"/>
      <sheetName val="시대표지-추후설치분"/>
      <sheetName val="프로젝타 비교표"/>
      <sheetName val="원가표지  (2)"/>
      <sheetName val="부하계산서"/>
      <sheetName val="Carepack"/>
      <sheetName val="OPT"/>
      <sheetName val="SV"/>
      <sheetName val="내역"/>
      <sheetName val="Macro1"/>
      <sheetName val="목록"/>
      <sheetName val="1차설계변경내역"/>
      <sheetName val="의정부문예회관변경내역"/>
      <sheetName val="부하(성남)"/>
      <sheetName val="건축내역"/>
      <sheetName val="고분"/>
      <sheetName val="노무비"/>
      <sheetName val="단위단가"/>
      <sheetName val="기본단가표"/>
      <sheetName val="도급내역"/>
      <sheetName val="직노"/>
      <sheetName val="연돌일위집계"/>
      <sheetName val="내역표지"/>
      <sheetName val="총괄내역서"/>
      <sheetName val="기계공사"/>
      <sheetName val="일위"/>
      <sheetName val="상각비"/>
      <sheetName val="기초일위"/>
      <sheetName val="노임단가 (2)"/>
      <sheetName val="조도계산서 (도서)"/>
      <sheetName val="수량산출"/>
      <sheetName val="3차작업"/>
      <sheetName val="대가목록"/>
      <sheetName val="인건-측정"/>
      <sheetName val="내역서"/>
      <sheetName val="Sheet1"/>
      <sheetName val="증감대비"/>
      <sheetName val="Sheet2"/>
      <sheetName val="을지"/>
      <sheetName val="프로젝트"/>
      <sheetName val="Sheet4"/>
      <sheetName val="일위대가"/>
      <sheetName val="총물량"/>
      <sheetName val="N賃率-職"/>
      <sheetName val="준검 내역서"/>
      <sheetName val="인건비"/>
      <sheetName val="간접"/>
      <sheetName val="45,46"/>
      <sheetName val="단위수량"/>
      <sheetName val="일위목차"/>
      <sheetName val="#2_일위대가목록"/>
      <sheetName val="AS포장복구 "/>
      <sheetName val="수량산출서"/>
      <sheetName val="#REF"/>
      <sheetName val="데이터"/>
      <sheetName val="총괄집계표"/>
      <sheetName val="교대(A1)"/>
      <sheetName val="적현로"/>
      <sheetName val="기초목록"/>
      <sheetName val="일위대가표"/>
      <sheetName val="노임단가"/>
      <sheetName val="예산명세서"/>
      <sheetName val="설계명세서"/>
      <sheetName val="자료입력"/>
      <sheetName val="Baby일위대가"/>
      <sheetName val="바닥판"/>
      <sheetName val="입력DATA"/>
      <sheetName val="설계내역"/>
      <sheetName val="노임"/>
      <sheetName val="대전-교대(A1-A2)"/>
      <sheetName val="일위대가 (100%)"/>
      <sheetName val="Total"/>
      <sheetName val="현장별계약현황('98.10.31)"/>
      <sheetName val="견적서"/>
      <sheetName val="추천서"/>
      <sheetName val="기본사항"/>
      <sheetName val="EACT10"/>
      <sheetName val="Fin_Assumption"/>
      <sheetName val="대목"/>
      <sheetName val="BSD (2)"/>
    </sheetNames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물증대비"/>
      <sheetName val="표지"/>
      <sheetName val="갑지"/>
      <sheetName val="내역서(설계)"/>
      <sheetName val="총괄표(총괄)"/>
      <sheetName val="고용보험총괄표(총괄)"/>
      <sheetName val="소총괄(총괄)"/>
      <sheetName val="총괄표(전기)"/>
      <sheetName val="고용보험총괄표(전기)"/>
      <sheetName val="소총괄(전기)"/>
      <sheetName val="총괄표(소방)"/>
      <sheetName val="고용보험총괄표(소방)"/>
      <sheetName val="소총괄(소방)"/>
      <sheetName val="설변내역서"/>
      <sheetName val="단가비교표"/>
      <sheetName val="전기소방구분"/>
      <sheetName val="총괄표(비교)"/>
      <sheetName val="고용보험총괄표(비교)"/>
      <sheetName val="자재집계"/>
      <sheetName val="b_balju_cho"/>
      <sheetName val="가설공사내역"/>
      <sheetName val="순공사비"/>
      <sheetName val="원가계산서"/>
      <sheetName val="용산3(영광)"/>
      <sheetName val="수량산출"/>
    </sheetNames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가격대비"/>
      <sheetName val="배관산출"/>
      <sheetName val="laroux"/>
      <sheetName val="9509"/>
      <sheetName val="관급"/>
      <sheetName val="설변내역서"/>
    </sheetNames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내역서"/>
      <sheetName val="20관리비율"/>
      <sheetName val="N賃率-職"/>
      <sheetName val="J直材4"/>
      <sheetName val="집계표"/>
      <sheetName val="#REF"/>
      <sheetName val="내역을"/>
      <sheetName val="수량집계"/>
      <sheetName val="총괄집계표"/>
      <sheetName val="직노"/>
      <sheetName val="재료"/>
      <sheetName val="설치자재"/>
      <sheetName val="금액내역서"/>
      <sheetName val="노임"/>
      <sheetName val="직재"/>
      <sheetName val="수량산출"/>
      <sheetName val="을지"/>
      <sheetName val="일위_파일"/>
      <sheetName val="노무비"/>
      <sheetName val="일위"/>
      <sheetName val="설직재-1"/>
      <sheetName val="제직재"/>
      <sheetName val="순공사비"/>
      <sheetName val="자재단가비교표"/>
      <sheetName val="SP_B1"/>
      <sheetName val="원가 (2)"/>
      <sheetName val="EQUIPMENT -2"/>
      <sheetName val="내역"/>
      <sheetName val="실행대비"/>
      <sheetName val="견적"/>
      <sheetName val="단"/>
      <sheetName val="EACT10"/>
      <sheetName val="교통대책내역"/>
      <sheetName val="시운전연료"/>
      <sheetName val="원가계산서"/>
      <sheetName val="기본일위"/>
      <sheetName val="설변내역서"/>
      <sheetName val="제-노임"/>
      <sheetName val="판매시설"/>
      <sheetName val="을-ATYPE"/>
      <sheetName val="프로젝트"/>
      <sheetName val="단가 및 재료비"/>
      <sheetName val="공통가설"/>
      <sheetName val="견적서"/>
      <sheetName val="건축토목내역"/>
      <sheetName val="EQUIPMENT_-2"/>
      <sheetName val="준검 내역서"/>
      <sheetName val="굴착현장"/>
      <sheetName val="집계"/>
      <sheetName val="내역서(기성청구)"/>
      <sheetName val="인사자료총집계"/>
      <sheetName val="빗물받이(910-510-410)"/>
      <sheetName val="가설공사비"/>
      <sheetName val="원재료출고수량"/>
      <sheetName val="목차"/>
      <sheetName val="토적계산"/>
      <sheetName val="노임단가"/>
      <sheetName val="기기리스트"/>
      <sheetName val="신천3호용수로"/>
      <sheetName val="남양시작동010313100%"/>
      <sheetName val="지급자재"/>
      <sheetName val="전기"/>
      <sheetName val="합의경상"/>
      <sheetName val="환율"/>
      <sheetName val="갑지"/>
      <sheetName val="Baby일위대가"/>
      <sheetName val="인건-측정"/>
      <sheetName val="자재단가"/>
      <sheetName val="Sheet6"/>
    </sheetNames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balju_cho"/>
      <sheetName val="I一般比"/>
      <sheetName val="내역서"/>
      <sheetName val="노임"/>
    </sheetNames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적서"/>
      <sheetName val="KCS-CA"/>
      <sheetName val="KCS-CA1"/>
      <sheetName val="KCS-CA2"/>
      <sheetName val="KCS-CA3"/>
      <sheetName val="KCS-CC"/>
      <sheetName val="무선보조"/>
      <sheetName val="이동통신"/>
      <sheetName val="b_balju_cho"/>
    </sheetNames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로표지"/>
      <sheetName val="설계서"/>
      <sheetName val="설계서(폐기물)"/>
      <sheetName val="공사원가"/>
      <sheetName val="총괄내역"/>
      <sheetName val="내역합계"/>
      <sheetName val="내역"/>
      <sheetName val="이전비내역"/>
      <sheetName val="이전내역수량산출"/>
      <sheetName val="수량(지주,비료)"/>
      <sheetName val="수량(시설물)"/>
      <sheetName val="일위목록"/>
      <sheetName val="일위대가"/>
      <sheetName val="기초일위"/>
      <sheetName val="수목단가"/>
      <sheetName val="시설단가"/>
      <sheetName val="노임단가"/>
      <sheetName val="중기단가"/>
      <sheetName val="중기산출"/>
      <sheetName val="수량산출"/>
      <sheetName val="예정공정"/>
      <sheetName val="단가"/>
      <sheetName val="총괄내역서"/>
      <sheetName val="내역서"/>
      <sheetName val="KCS-CA"/>
    </sheetNames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로표지"/>
      <sheetName val="예정공정"/>
      <sheetName val="설계서"/>
      <sheetName val="공사원가"/>
      <sheetName val="총괄내역"/>
      <sheetName val="내역합계"/>
      <sheetName val="내역"/>
      <sheetName val="이전비내역"/>
      <sheetName val="이전내역수량산출"/>
      <sheetName val="수량(지주,비료)"/>
      <sheetName val="수량(시설물)"/>
      <sheetName val="일위목록"/>
      <sheetName val="일위대가"/>
      <sheetName val="기초일위"/>
      <sheetName val="수목단가"/>
      <sheetName val="시설단가"/>
      <sheetName val="노임단가"/>
      <sheetName val="중기단가"/>
      <sheetName val="중기산출"/>
      <sheetName val="수량산출"/>
    </sheetNames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행예산"/>
      <sheetName val="원가계산서"/>
      <sheetName val="공종별총괄집계"/>
      <sheetName val="전기집계"/>
      <sheetName val="통신집계"/>
      <sheetName val="소방집계"/>
      <sheetName val="평생관급"/>
      <sheetName val="관급내역"/>
      <sheetName val="주요자재"/>
      <sheetName val="전기수량"/>
      <sheetName val="발주주요내역"/>
      <sheetName val="전기내역"/>
      <sheetName val="통신수량"/>
      <sheetName val="소방합계"/>
      <sheetName val="통신내역"/>
      <sheetName val="소방수량"/>
      <sheetName val="소방내역"/>
      <sheetName val="전기일위목록"/>
      <sheetName val="전기일위"/>
      <sheetName val="통신일위목록"/>
      <sheetName val="단가대비표"/>
      <sheetName val="단가대비표(견적)"/>
      <sheetName val="통신일위"/>
      <sheetName val="(참조)한전인입공사비"/>
      <sheetName val="참조(인건비)"/>
      <sheetName val="참조_인건비_"/>
      <sheetName val="백룡교차로"/>
      <sheetName val="산정교차로"/>
      <sheetName val="신영교차로"/>
    </sheetNames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"/>
      <sheetName val="VXXXXXX"/>
      <sheetName val="가설"/>
      <sheetName val="토공"/>
      <sheetName val="CON'C"/>
      <sheetName val="조경"/>
      <sheetName val="포장 및 유지"/>
      <sheetName val="관공사"/>
      <sheetName val="장비기초 단가자료"/>
      <sheetName val="장비시간당경비"/>
      <sheetName val="자재단가"/>
      <sheetName val="노임단가"/>
      <sheetName val="참조(인건비)"/>
    </sheetNames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"/>
      <sheetName val="98손익실적 (전력시스템 전체)"/>
      <sheetName val="98손익실적 (배전반부문)"/>
      <sheetName val="98손익실적 (배전반) "/>
      <sheetName val="98손익실적 (변압기)"/>
      <sheetName val="98손익실적 (스카다)"/>
      <sheetName val="98손익실적 (태양광)"/>
      <sheetName val="Mark"/>
      <sheetName val="1. Svc_Sales"/>
      <sheetName val="2. Portfolio"/>
      <sheetName val="3. SVC_Price(Avg)"/>
      <sheetName val="4.  Net Gain"/>
      <sheetName val="5.1Q_SVC(callback)"/>
      <sheetName val="5.2 Q_SVC(Response)"/>
      <sheetName val="5.3 Q_SVC(all)"/>
      <sheetName val="SVC_Portfolio(1)"/>
      <sheetName val="송전기본"/>
      <sheetName val="참조(인건비)"/>
      <sheetName val="일반부표"/>
    </sheetNames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Sheet2"/>
      <sheetName val="인건비"/>
    </sheetNames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비 (2)"/>
      <sheetName val="토목 (2)"/>
      <sheetName val="건축 (2)"/>
      <sheetName val="퍼스트"/>
      <sheetName val="요율맨"/>
      <sheetName val="산출내역서집계표"/>
      <sheetName val="건축"/>
      <sheetName val="토목"/>
      <sheetName val="설비"/>
      <sheetName val="요율맨_x0008_뀁鳀듍᳅퇁쓉岬˔Ā건축_x0002_ꀁ꧑ʺĀ설비Ā갑지_x0006_匀敨瑥ȳ"/>
      <sheetName val="Sheet1"/>
      <sheetName val="1"/>
      <sheetName val="개요"/>
    </sheetNames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Sheet2"/>
      <sheetName val="산출내역서집계표"/>
      <sheetName val="단가조사서"/>
      <sheetName val="설계서"/>
      <sheetName val="일위대가"/>
      <sheetName val="수량산출"/>
      <sheetName val="빗물받이(910-510-410)"/>
      <sheetName val="노임단가"/>
      <sheetName val="형틀공사"/>
      <sheetName val="일위산출"/>
      <sheetName val="물가시세"/>
      <sheetName val="내역서 "/>
      <sheetName val="산출1"/>
      <sheetName val="산출서"/>
      <sheetName val="4차원가계산서"/>
      <sheetName val="ILWI"/>
      <sheetName val="PAN"/>
      <sheetName val="신우"/>
      <sheetName val="분전함신설"/>
      <sheetName val="접지1종"/>
      <sheetName val="중동공구"/>
      <sheetName val="3련 BOX"/>
      <sheetName val="콘_재료분리(1)"/>
      <sheetName val="내역"/>
      <sheetName val="DATA1"/>
      <sheetName val="백룡교차로"/>
      <sheetName val="산정교차로"/>
      <sheetName val="신영교차로"/>
      <sheetName val="갑지1"/>
      <sheetName val="갑지"/>
      <sheetName val="자재단가"/>
      <sheetName val="공비대비"/>
      <sheetName val="gyun"/>
      <sheetName val="요율"/>
      <sheetName val="설계"/>
      <sheetName val="2002하반기노임기준"/>
      <sheetName val="1"/>
      <sheetName val="공통"/>
      <sheetName val="날개수량1.5"/>
      <sheetName val="산출내역서"/>
      <sheetName val="개요"/>
      <sheetName val="일반부표"/>
      <sheetName val="원가계산서"/>
      <sheetName val="을지"/>
      <sheetName val="횡 연장"/>
      <sheetName val="날개벽"/>
      <sheetName val="00000"/>
    </sheetNames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변LIST"/>
      <sheetName val="설변LIST (2)"/>
      <sheetName val="설변총괄표 (2)"/>
      <sheetName val="커버F"/>
      <sheetName val="공문F"/>
      <sheetName val="총괄"/>
      <sheetName val="건총괄"/>
      <sheetName val="설변총괄표"/>
      <sheetName val="설변개요"/>
      <sheetName val="동별총괄"/>
      <sheetName val="원가계산"/>
      <sheetName val="물량증감세부"/>
      <sheetName val="건축직접비"/>
      <sheetName val="건축총괄"/>
      <sheetName val="원본"/>
      <sheetName val="건축내역"/>
      <sheetName val="단가적용표"/>
      <sheetName val="일위대가표"/>
      <sheetName val="수량내역"/>
      <sheetName val="수량산출"/>
      <sheetName val="금액산정"/>
      <sheetName val="Sheet4"/>
      <sheetName val="Sheet3"/>
      <sheetName val="Sheet2"/>
      <sheetName val="Sheet1"/>
      <sheetName val="설변총괄표(2)"/>
      <sheetName val="설변목록"/>
      <sheetName val="설변개요(2)"/>
      <sheetName val="물량증감세부 (2)"/>
      <sheetName val="발코니물량"/>
      <sheetName val="UBR수량"/>
      <sheetName val="일위대가"/>
      <sheetName val="일위_파일"/>
      <sheetName val="동별항타"/>
      <sheetName val="반입현황"/>
      <sheetName val="반입및시공"/>
      <sheetName val="일자별반입_"/>
      <sheetName val="항타사진"/>
      <sheetName val="터파기사진"/>
      <sheetName val="항타기록부커버"/>
      <sheetName val="공종별총괄"/>
      <sheetName val="커버F (1)"/>
      <sheetName val="산출내역서집계표"/>
    </sheetNames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laroux"/>
      <sheetName val="내역서"/>
      <sheetName val="물가대비"/>
      <sheetName val="총괄-표지"/>
      <sheetName val="인건-측정"/>
      <sheetName val="갑지들"/>
      <sheetName val="총괄표"/>
      <sheetName val="원가계산서"/>
      <sheetName val="인건_측정"/>
      <sheetName val="Sheet1"/>
      <sheetName val="단가"/>
      <sheetName val="개소별수량산출"/>
      <sheetName val="건축(을)"/>
      <sheetName val="gyun"/>
      <sheetName val="노임단가"/>
      <sheetName val="산출내역서집계표"/>
    </sheetNames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"/>
    </sheetNames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원가"/>
      <sheetName val="내역서"/>
      <sheetName val="예정공정표"/>
      <sheetName val="원가계산서"/>
      <sheetName val="내역서1"/>
      <sheetName val="주요자재"/>
      <sheetName val="관급자재"/>
      <sheetName val="일위목록"/>
      <sheetName val="식재일위"/>
      <sheetName val="기초일위"/>
      <sheetName val="시설일위"/>
      <sheetName val="시설일위 (2)"/>
      <sheetName val="토량산출"/>
      <sheetName val="식재가격"/>
      <sheetName val="시설가격"/>
      <sheetName val="운송비"/>
      <sheetName val="노임"/>
      <sheetName val="노임단가"/>
      <sheetName val="식재총괄"/>
      <sheetName val="표지"/>
      <sheetName val="표지2"/>
      <sheetName val="경목"/>
      <sheetName val="전국현황"/>
    </sheetNames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원가"/>
      <sheetName val="공종별집계표"/>
      <sheetName val="설계내역"/>
      <sheetName val="일위대가"/>
      <sheetName val="산출집계"/>
      <sheetName val="산출근거"/>
      <sheetName val="관급자재비"/>
      <sheetName val="각종수수료"/>
      <sheetName val="단가"/>
      <sheetName val="내역"/>
      <sheetName val="실행내역서 "/>
    </sheetNames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업체"/>
      <sheetName val="결과"/>
      <sheetName val="총괄"/>
      <sheetName val="재료계"/>
      <sheetName val="직재"/>
      <sheetName val="간재"/>
      <sheetName val="노무"/>
      <sheetName val="일위"/>
      <sheetName val="수량산출"/>
      <sheetName val="Macro1"/>
      <sheetName val="자재단가"/>
      <sheetName val="호표"/>
      <sheetName val="서울시CCTV"/>
      <sheetName val="공사비"/>
      <sheetName val="예산조서"/>
      <sheetName val="대치판정"/>
      <sheetName val="내역"/>
      <sheetName val="여과지동"/>
      <sheetName val="기초자료"/>
      <sheetName val="옥외등신설"/>
      <sheetName val="저케CV22신설"/>
      <sheetName val="저케CV38신설"/>
      <sheetName val="저케CV8신설"/>
      <sheetName val="접지3종"/>
      <sheetName val="일위_파일"/>
      <sheetName val="신우"/>
      <sheetName val="터널조도"/>
      <sheetName val="일위대가"/>
      <sheetName val="I一般比"/>
      <sheetName val="#REF"/>
      <sheetName val="일위대가목록"/>
      <sheetName val="99 조정금액"/>
      <sheetName val="단"/>
      <sheetName val="전기단가조사서"/>
      <sheetName val="효성CB 1P기초"/>
      <sheetName val="입찰안"/>
      <sheetName val="터파기및재료"/>
      <sheetName val="자재단가표"/>
      <sheetName val="N賃率-職"/>
      <sheetName val="연부97-1"/>
      <sheetName val="내역서"/>
      <sheetName val="노무,재료"/>
      <sheetName val="산출내역서집계표"/>
      <sheetName val="일위대가(1)"/>
      <sheetName val="설비"/>
      <sheetName val="내역서1999.8최종"/>
      <sheetName val="실행철강하도"/>
      <sheetName val="청천내"/>
      <sheetName val="5.단가대비표"/>
      <sheetName val="단가대비표(SYS)"/>
      <sheetName val="제조노임"/>
      <sheetName val="신설개소별 총집계표(동해-배전)"/>
      <sheetName val="안평역사 총집계"/>
      <sheetName val="A 견적"/>
      <sheetName val="일위대가(가설)"/>
      <sheetName val="코드표"/>
      <sheetName val="요율"/>
      <sheetName val="주요재료비(원본)"/>
      <sheetName val="견적서"/>
      <sheetName val="9GNG운반"/>
    </sheetNames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표지 "/>
      <sheetName val="원가계산서 총괄"/>
      <sheetName val="원가계산서"/>
      <sheetName val="시대표지"/>
      <sheetName val="시대"/>
      <sheetName val="시대(원가풀이)"/>
      <sheetName val="자재단가"/>
      <sheetName val="내역서"/>
      <sheetName val="인건비"/>
      <sheetName val="옥외외등집계표"/>
      <sheetName val="노무비"/>
      <sheetName val="여과지동"/>
      <sheetName val="기초자료"/>
      <sheetName val="수량산출"/>
      <sheetName val="monitor-최종"/>
      <sheetName val="단가표"/>
      <sheetName val="일위대가"/>
      <sheetName val="설비"/>
      <sheetName val="기본단가표"/>
      <sheetName val="공통(20-91)"/>
      <sheetName val="내역"/>
      <sheetName val="Sheet1"/>
      <sheetName val="내역서2안"/>
      <sheetName val="98수문일위"/>
      <sheetName val="일위"/>
      <sheetName val="배관배선 단가조사"/>
      <sheetName val="일위대가집계"/>
      <sheetName val="자재단가표"/>
      <sheetName val="우성교간선"/>
      <sheetName val="단가"/>
      <sheetName val="직재"/>
      <sheetName val="8.식재일위"/>
      <sheetName val="B시설가격"/>
      <sheetName val="대치판정"/>
      <sheetName val="1단계"/>
      <sheetName val="일위대가(1)"/>
      <sheetName val="산출내역서집계표"/>
      <sheetName val="원하대비"/>
      <sheetName val="원도급"/>
      <sheetName val="하도급"/>
      <sheetName val="지급자재"/>
      <sheetName val="직노"/>
      <sheetName val="일위대가표"/>
      <sheetName val="집계표"/>
      <sheetName val="운반비(시흥)"/>
      <sheetName val=" 갑지"/>
    </sheetNames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파트"/>
      <sheetName val="부속동"/>
      <sheetName val="주차장"/>
      <sheetName val="골조내역"/>
      <sheetName val="공사개요"/>
      <sheetName val="Sheet12"/>
      <sheetName val="개요"/>
      <sheetName val="부대입찰갑지"/>
      <sheetName val="하도급사항(목포)"/>
      <sheetName val="확약서"/>
      <sheetName val="부대내역갑지"/>
      <sheetName val="원하예정금액대비표(목포)"/>
      <sheetName val="원도급계약예정금액"/>
      <sheetName val="하도급계약예정금액"/>
      <sheetName val="원하도급세부내역"/>
      <sheetName val="도급내역"/>
      <sheetName val="지급자재"/>
      <sheetName val="간접비계산"/>
      <sheetName val="일위"/>
      <sheetName val="401"/>
      <sheetName val="설변내역서"/>
      <sheetName val="투자효율분석"/>
      <sheetName val="노임"/>
      <sheetName val="단가비교"/>
      <sheetName val="b_balju_cho"/>
      <sheetName val="감액총괄표"/>
      <sheetName val="공통(20-91)"/>
      <sheetName val="내역"/>
      <sheetName val="공통"/>
      <sheetName val="49"/>
      <sheetName val="세부내역서"/>
      <sheetName val="2공구산출내역"/>
      <sheetName val="자재단가"/>
      <sheetName val="원내역"/>
      <sheetName val="내역(정지)"/>
      <sheetName val="세부내역서(소방)"/>
      <sheetName val="1,2공구원가계산서"/>
      <sheetName val="1공구산출내역서"/>
      <sheetName val="가스"/>
      <sheetName val="기초자료입력"/>
      <sheetName val="원가계산서"/>
      <sheetName val="전체"/>
      <sheetName val="노무비 근거"/>
      <sheetName val="일대"/>
      <sheetName val="전국현황"/>
      <sheetName val="일위대가표"/>
      <sheetName val="1_2공구원가계산서"/>
      <sheetName val="Sheet1"/>
      <sheetName val="공통가설공사"/>
      <sheetName val="내역서"/>
      <sheetName val="부대입찰"/>
      <sheetName val="SHL"/>
      <sheetName val="토목단가"/>
      <sheetName val="실행철강하도"/>
      <sheetName val="열차제어동"/>
      <sheetName val="전기성능동"/>
      <sheetName val="차량시스템인자"/>
      <sheetName val="차량부품동"/>
      <sheetName val="공정집계_국별"/>
      <sheetName val="가설공사내역"/>
      <sheetName val="화재 탐지 설비"/>
      <sheetName val="소방"/>
      <sheetName val="2"/>
      <sheetName val="단가산출"/>
    </sheetNames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 "/>
      <sheetName val="대가 "/>
      <sheetName val="대비"/>
      <sheetName val="단-원산"/>
      <sheetName val="단-천우"/>
      <sheetName val="단-조은"/>
      <sheetName val="내역서"/>
      <sheetName val="갑지"/>
      <sheetName val="타-천우"/>
      <sheetName val="타-조은"/>
      <sheetName val="산-기계"/>
      <sheetName val="산-전기"/>
      <sheetName val="겉지"/>
      <sheetName val="일위대가"/>
      <sheetName val="일위총괄표"/>
      <sheetName val="#2_일위대가목록"/>
      <sheetName val="225-5"/>
      <sheetName val="목차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임시AFC)"/>
      <sheetName val="수량산출(임시CCTV)"/>
      <sheetName val="수량산출(임시TV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량산출(AFC)"/>
      <sheetName val="수량산출(CCTV)"/>
      <sheetName val="수량_작성"/>
      <sheetName val="상수도토공집계표"/>
      <sheetName val="수량산출"/>
      <sheetName val=" HIT-&gt;HMC 견적(3900)"/>
      <sheetName val="직재"/>
      <sheetName val="DATA"/>
      <sheetName val="설계조건"/>
      <sheetName val="안정계산"/>
      <sheetName val="단면검토"/>
      <sheetName val="토공"/>
      <sheetName val="기계내역"/>
      <sheetName val="단가"/>
      <sheetName val="제-노임"/>
      <sheetName val="설직재-1"/>
      <sheetName val="제직재"/>
      <sheetName val="2F 회의실견적(5_14 일대)"/>
      <sheetName val="직노"/>
      <sheetName val="부대내역"/>
      <sheetName val="J直材4"/>
      <sheetName val="직공비"/>
      <sheetName val="Galaxy 소비자가격표"/>
      <sheetName val="20관리비율"/>
      <sheetName val="원가"/>
      <sheetName val="PROJECT BRIEF(EX.NEW)"/>
      <sheetName val="일위목록"/>
      <sheetName val="단가산출"/>
      <sheetName val="GRDBS"/>
      <sheetName val="FANDBS"/>
      <sheetName val="GRDATA"/>
      <sheetName val="SHAFTDBSE"/>
      <sheetName val="공사원가계산서"/>
      <sheetName val="집계표"/>
      <sheetName val="맨홀수량집계"/>
      <sheetName val="일위집계(기존)"/>
      <sheetName val="내역"/>
      <sheetName val="일위산출"/>
      <sheetName val="요율"/>
      <sheetName val="일위단가"/>
      <sheetName val="약품공급2"/>
      <sheetName val="Y-WORK"/>
      <sheetName val="인건-측정"/>
      <sheetName val="COPING"/>
      <sheetName val="TABLE"/>
      <sheetName val="여과지동"/>
      <sheetName val="기초자료"/>
      <sheetName val="SP-B1"/>
      <sheetName val="자재단가비교표"/>
      <sheetName val="XL4Poppy"/>
      <sheetName val="노임단가"/>
      <sheetName val="정부노임단가"/>
      <sheetName val="단가조사표"/>
      <sheetName val="BID"/>
      <sheetName val="단가대비표"/>
      <sheetName val="설비"/>
      <sheetName val="LEGEND"/>
      <sheetName val="연부97-1"/>
      <sheetName val="갑지1"/>
      <sheetName val="I一般比"/>
      <sheetName val="N賃率-職"/>
      <sheetName val="일위대가-전기"/>
      <sheetName val="2F 회의실견적_5_14 일대_"/>
      <sheetName val="COPING-1"/>
      <sheetName val="역T형교대-2수량"/>
      <sheetName val="1-1"/>
      <sheetName val="연령현황"/>
      <sheetName val="품셈총괄표"/>
      <sheetName val="3.공통공사대비"/>
      <sheetName val="제경비"/>
      <sheetName val="퍼스트"/>
      <sheetName val="9GNG운반"/>
      <sheetName val="기본일위"/>
      <sheetName val="내역표지"/>
      <sheetName val="갑지(추정)"/>
      <sheetName val="공통가설"/>
      <sheetName val="CTEMCOST"/>
      <sheetName val="수량산출서"/>
      <sheetName val="물량산출근거"/>
      <sheetName val="차액보증"/>
      <sheetName val="Sheet1"/>
      <sheetName val="일위"/>
      <sheetName val="방송일위대가"/>
      <sheetName val="#REF"/>
      <sheetName val="실행내역"/>
      <sheetName val=" 견적서"/>
      <sheetName val="노임"/>
      <sheetName val="기별용지"/>
      <sheetName val="Baby일위대가"/>
      <sheetName val="데이타"/>
      <sheetName val="철근집계"/>
      <sheetName val="기존단가 (2)"/>
      <sheetName val="백암비스타내역"/>
      <sheetName val="전압강하계산"/>
      <sheetName val="일위산출근거"/>
      <sheetName val="신우"/>
      <sheetName val="견적대비 견적서"/>
      <sheetName val="계화배수"/>
      <sheetName val="자재단가"/>
      <sheetName val="대치판정"/>
      <sheetName val="을지"/>
      <sheetName val="T13(P68~72,78)"/>
      <sheetName val="점검총괄"/>
      <sheetName val="3BL공동구 수량"/>
      <sheetName val="견"/>
      <sheetName val="표지"/>
      <sheetName val="산수배수"/>
      <sheetName val="조사_"/>
      <sheetName val="대가_"/>
      <sheetName val="_HIT-&gt;HMC_견적(3900)"/>
      <sheetName val="2F_회의실견적(5_14_일대)"/>
      <sheetName val="PROJECT_BRIEF(EX_NEW)"/>
      <sheetName val="Galaxy_소비자가격표"/>
      <sheetName val="3BL공동구_수량"/>
      <sheetName val="2F_회의실견적_5_14_일대_"/>
      <sheetName val="3_공통공사대비"/>
      <sheetName val="_견적서"/>
      <sheetName val="기존단가_(2)"/>
      <sheetName val="물가시세"/>
      <sheetName val="견적990322"/>
      <sheetName val="전기일위대가"/>
      <sheetName val="CAPVC"/>
      <sheetName val="교각1"/>
      <sheetName val="방송노임"/>
      <sheetName val="간접재료비산출표-27-30"/>
      <sheetName val="바.한일양산"/>
      <sheetName val="일위_파일"/>
      <sheetName val="교량전기"/>
      <sheetName val="견적"/>
      <sheetName val="단가조사"/>
      <sheetName val="조도"/>
      <sheetName val="DATA1"/>
      <sheetName val="예산내역서"/>
      <sheetName val="단위수량"/>
      <sheetName val="맨홀수량산출"/>
      <sheetName val="ABUT수량-A1"/>
      <sheetName val="환율"/>
      <sheetName val="6호기"/>
      <sheetName val="산출"/>
      <sheetName val="단가표 (2)"/>
      <sheetName val="총괄"/>
      <sheetName val="일위대가집계"/>
      <sheetName val="일위1"/>
      <sheetName val="일위대가집계표"/>
      <sheetName val="순공사비"/>
      <sheetName val="실행철강하도"/>
      <sheetName val="을"/>
      <sheetName val="2"/>
      <sheetName val="도로단위당"/>
      <sheetName val="단가표"/>
      <sheetName val="노무비"/>
      <sheetName val="일반부표"/>
      <sheetName val="Carepack"/>
      <sheetName val="OPT"/>
      <sheetName val="SV"/>
      <sheetName val="관람석제출"/>
    </sheetNames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조사"/>
      <sheetName val="대가 "/>
      <sheetName val="대비"/>
      <sheetName val="단-원산"/>
      <sheetName val="천-단"/>
      <sheetName val="조-단"/>
      <sheetName val="표지"/>
      <sheetName val="원가계산서 "/>
      <sheetName val="집계표 (1)"/>
      <sheetName val="집계표(2)"/>
      <sheetName val="내역서(1차공사분)"/>
      <sheetName val="선로정수계산"/>
      <sheetName val="공사원가계산서"/>
      <sheetName val="간선계산"/>
      <sheetName val="guard(mac)"/>
      <sheetName val="165-1"/>
      <sheetName val="건축내역"/>
      <sheetName val="일위대가"/>
      <sheetName val="직재"/>
      <sheetName val="일위"/>
      <sheetName val="단위세대"/>
      <sheetName val="Sheet5"/>
      <sheetName val="#2_일위대가목록"/>
      <sheetName val="입찰안"/>
      <sheetName val="산출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임시AFC)"/>
      <sheetName val="수량산출(임시CCTV)"/>
      <sheetName val="수량산출(임시TV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량산출(AFC)"/>
      <sheetName val="수량산출(CCTV)"/>
      <sheetName val="수량_작성"/>
      <sheetName val="Sheet4"/>
      <sheetName val="견적"/>
      <sheetName val="조내역"/>
      <sheetName val="차액보증"/>
      <sheetName val="일위집계(기존)"/>
      <sheetName val="일위총괄표"/>
      <sheetName val="일위단가"/>
      <sheetName val="요율"/>
      <sheetName val="Y-WORK"/>
      <sheetName val="예산내역서"/>
      <sheetName val="설계예산서"/>
      <sheetName val="일위목록"/>
      <sheetName val="원가계산서"/>
      <sheetName val="1을"/>
      <sheetName val="전기일위대가"/>
      <sheetName val="집계표"/>
      <sheetName val="수전기기DATA"/>
      <sheetName val="EQT-ESTN"/>
      <sheetName val="상수도토공집계표"/>
      <sheetName val="직노"/>
      <sheetName val="계화배수"/>
      <sheetName val="견적사양비교표"/>
      <sheetName val="BID"/>
      <sheetName val="Carepack"/>
      <sheetName val="OPT"/>
      <sheetName val="SV"/>
      <sheetName val="일위1"/>
      <sheetName val="기준자료"/>
      <sheetName val="지중자재단가"/>
      <sheetName val="을지"/>
      <sheetName val="하남내역"/>
      <sheetName val="제경비"/>
      <sheetName val=" HIT-&gt;HMC 견적(3900)"/>
      <sheetName val="측구터파기공수량집계"/>
      <sheetName val="배수공 시멘트 및 골재량 산출"/>
      <sheetName val="교각계산"/>
      <sheetName val="배선DATA"/>
      <sheetName val="약품공급2"/>
      <sheetName val="철근집계"/>
      <sheetName val="Carepaq"/>
      <sheetName val="데이타"/>
      <sheetName val="DATA"/>
      <sheetName val="견"/>
      <sheetName val="LEGEND"/>
      <sheetName val="품목"/>
      <sheetName val="대가_"/>
      <sheetName val="원가계산서_"/>
      <sheetName val="집계표_(1)"/>
      <sheetName val="_HIT-&gt;HMC_견적(3900)"/>
      <sheetName val="수량산출"/>
      <sheetName val="48일위"/>
      <sheetName val="설직재-1"/>
      <sheetName val="적용률"/>
      <sheetName val="서울산업대(토)"/>
      <sheetName val="#3_일위대가목록"/>
      <sheetName val="단가산출"/>
      <sheetName val="CM 1"/>
      <sheetName val="산출0"/>
      <sheetName val="2공구산출내역"/>
      <sheetName val="N賃率-職"/>
      <sheetName val="견적 (2)"/>
      <sheetName val=" 견적서"/>
      <sheetName val="조명율표"/>
      <sheetName val="제-노임"/>
      <sheetName val="제직재"/>
      <sheetName val="품셈총괄표"/>
      <sheetName val="98지급계획"/>
      <sheetName val="조건"/>
      <sheetName val="간접"/>
      <sheetName val="Macro(전선)"/>
      <sheetName val="내역표지"/>
      <sheetName val="관급자재"/>
      <sheetName val="sheet1"/>
      <sheetName val="개산공사비"/>
      <sheetName val="COPING"/>
      <sheetName val="점수계산1-2"/>
      <sheetName val="9-1차이내역"/>
      <sheetName val="일위대가집계표"/>
      <sheetName val="노임"/>
      <sheetName val="노무비 근거"/>
      <sheetName val="전장품(관리용)"/>
      <sheetName val="부서현황"/>
      <sheetName val="부대비율"/>
      <sheetName val="EQ"/>
      <sheetName val=""/>
      <sheetName val="XL4Poppy"/>
      <sheetName val="정부노임단가"/>
      <sheetName val="공통(20-91)"/>
      <sheetName val="버스운행안내"/>
      <sheetName val="예방접종계획"/>
      <sheetName val="근태계획서"/>
      <sheetName val="B2BERP"/>
      <sheetName val="재료집계"/>
      <sheetName val="설계명세서(종합)"/>
      <sheetName val="소요자재"/>
      <sheetName val="노무산출서"/>
    </sheetNames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가 98"/>
      <sheetName val="조사 - 9806"/>
      <sheetName val="조사 - 9809"/>
      <sheetName val="조사 - 9810"/>
      <sheetName val="원가계산서"/>
      <sheetName val="공사원가계산서"/>
      <sheetName val="대비"/>
      <sheetName val="대가99"/>
      <sheetName val="조사 - 9902"/>
      <sheetName val="조사9909"/>
      <sheetName val="조사 - 10"/>
      <sheetName val="조사 - 09"/>
      <sheetName val="조사 - 06"/>
      <sheetName val="내역서"/>
      <sheetName val="전기일위대가"/>
      <sheetName val="DATA"/>
      <sheetName val="Y-WORK"/>
      <sheetName val="1.우편집중내역서"/>
      <sheetName val="제-노임"/>
      <sheetName val="설직재-1"/>
      <sheetName val="제직재"/>
      <sheetName val="일위대가"/>
      <sheetName val="NEYOK"/>
      <sheetName val="N賃率-職"/>
      <sheetName val="I一般比"/>
      <sheetName val="일위"/>
      <sheetName val="상수도토공집계표"/>
      <sheetName val="FRP내역서"/>
      <sheetName val="PRO98"/>
      <sheetName val="조명시설"/>
      <sheetName val="일위목록"/>
      <sheetName val="요율"/>
      <sheetName val="신우"/>
      <sheetName val="2.대외공문"/>
      <sheetName val="예산내역서"/>
      <sheetName val="적용기준"/>
      <sheetName val="견적대비 견적서"/>
      <sheetName val="일위집계(기존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임시AFC)"/>
      <sheetName val="수량산출(임시CCTV)"/>
      <sheetName val="수량산출(임시TV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량산출(AFC)"/>
      <sheetName val="수량산출(CCTV)"/>
      <sheetName val="수량_작성"/>
      <sheetName val="견적"/>
      <sheetName val="수량산출"/>
      <sheetName val="2F 회의실견적(5_14 일대)"/>
      <sheetName val=" HIT-&gt;HMC 견적(3900)"/>
      <sheetName val="약품공급2"/>
      <sheetName val="단"/>
      <sheetName val="직노"/>
      <sheetName val="금액내역서"/>
      <sheetName val="공사현황"/>
      <sheetName val="토적표"/>
      <sheetName val="제경비"/>
      <sheetName val="철근집계"/>
      <sheetName val="직재"/>
      <sheetName val="BID"/>
      <sheetName val="내역서1"/>
      <sheetName val="일위_파일"/>
      <sheetName val="소비자가"/>
      <sheetName val="갑지(추정)"/>
      <sheetName val="unit 4"/>
      <sheetName val="인건-측정"/>
      <sheetName val="일위산출"/>
      <sheetName val="참조"/>
      <sheetName val="LH3 동양시스템"/>
      <sheetName val="지시서"/>
      <sheetName val="구조물철거타공정이월"/>
      <sheetName val="집계표"/>
      <sheetName val="설계명세서"/>
      <sheetName val="표지"/>
      <sheetName val="DW-040614"/>
      <sheetName val="ET-040817"/>
      <sheetName val="HS-100510"/>
      <sheetName val="SD-060201"/>
      <sheetName val="단가산출1"/>
      <sheetName val="기초자료입력"/>
      <sheetName val="#2_일위대가목록"/>
      <sheetName val="대가_98"/>
      <sheetName val="조사_-_9806"/>
      <sheetName val="조사_-_9809"/>
      <sheetName val="조사_-_9810"/>
      <sheetName val="조사_-_9902"/>
      <sheetName val="조사_-_10"/>
      <sheetName val="조사_-_09"/>
      <sheetName val="조사_-_06"/>
      <sheetName val="1_우편집중내역서"/>
      <sheetName val="2_대외공문"/>
      <sheetName val="2F_회의실견적(5_14_일대)"/>
      <sheetName val="_HIT-&gt;HMC_견적(3900)"/>
      <sheetName val="unit_4"/>
      <sheetName val="견적대비_견적서"/>
      <sheetName val="Sheet9"/>
      <sheetName val="Sheet1"/>
      <sheetName val="교각1"/>
      <sheetName val="danga"/>
      <sheetName val="ilch"/>
      <sheetName val="평가데이터"/>
      <sheetName val="Macro(전선)"/>
      <sheetName val="48일위"/>
      <sheetName val="퍼스트"/>
      <sheetName val="단위세대"/>
      <sheetName val="DATE"/>
      <sheetName val="#REF"/>
      <sheetName val="공정코드"/>
      <sheetName val="손익분석"/>
      <sheetName val="코드일람표"/>
      <sheetName val="내역"/>
      <sheetName val="표지 (2)"/>
      <sheetName val="말뚝지지력산정"/>
      <sheetName val="노임"/>
      <sheetName val="을지"/>
      <sheetName val="일위1"/>
      <sheetName val="일위대가집계"/>
      <sheetName val="일위단가"/>
      <sheetName val="내역표지"/>
      <sheetName val="2공구산출내역"/>
      <sheetName val="Page 1A - Proposal Strategy "/>
      <sheetName val="점수계산1-2"/>
      <sheetName val="9-1차이내역"/>
      <sheetName val="입찰안"/>
      <sheetName val="실행철강하도"/>
      <sheetName val="I.설계조건"/>
      <sheetName val="20관리비율"/>
      <sheetName val="심사계산"/>
      <sheetName val="심사물량"/>
      <sheetName val="자료"/>
      <sheetName val="부서현황"/>
      <sheetName val="부대비율"/>
      <sheetName val="EQ"/>
      <sheetName val="환율"/>
      <sheetName val="예비품"/>
      <sheetName val="일위대가표"/>
      <sheetName val="동우-견적서"/>
      <sheetName val="일위대가집계표"/>
      <sheetName val="단가"/>
      <sheetName val="목차"/>
    </sheetNames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balju_cho"/>
      <sheetName val="내역서"/>
      <sheetName val="총괄표"/>
      <sheetName val="자재집계"/>
      <sheetName val=" HIT-&gt;HMC 견적(3900)"/>
      <sheetName val="약품공급2"/>
      <sheetName val="공사원가계산서"/>
    </sheetNames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총괄(고용보험)"/>
      <sheetName val="가설공사내역"/>
      <sheetName val="통신내역 집계표"/>
      <sheetName val="기타 정보통신공사"/>
      <sheetName val="84A1-58-15I(2P)201"/>
      <sheetName val="84A1N-60-15I 202"/>
      <sheetName val="84A1N-60-15I 203"/>
      <sheetName val="75AN-108-18I 204"/>
      <sheetName val="84A1-46-23I 205"/>
      <sheetName val="84A1N-107-18(1P) 206"/>
      <sheetName val="84A1N-46-23I 207"/>
      <sheetName val="84A1N-46-23 208"/>
      <sheetName val="84A1N-115-18+23 209"/>
      <sheetName val="84A1-87-15I(3P) 210"/>
      <sheetName val="401"/>
      <sheetName val="402"/>
      <sheetName val="403"/>
      <sheetName val="404"/>
      <sheetName val="b_balju_cho"/>
      <sheetName val="건축내역"/>
      <sheetName val="#REF"/>
      <sheetName val="설변내역서"/>
      <sheetName val="일위목록"/>
      <sheetName val="단가"/>
      <sheetName val="요율"/>
      <sheetName val="관급"/>
      <sheetName val="단가비교"/>
      <sheetName val="실행(1)"/>
      <sheetName val="간접비계산"/>
      <sheetName val="건축"/>
      <sheetName val="원내역서 그대로"/>
      <sheetName val="자재일람"/>
      <sheetName val="자재단가"/>
      <sheetName val="설계변경총괄표(계산식)"/>
      <sheetName val="집계표"/>
      <sheetName val="조명율표"/>
      <sheetName val="내역"/>
      <sheetName val="SG-INT"/>
      <sheetName val="기초자료입력"/>
      <sheetName val="수량산출서 (2)"/>
      <sheetName val="산출내역서"/>
      <sheetName val="간접"/>
      <sheetName val="교통대책내역"/>
      <sheetName val="동별산출근거"/>
      <sheetName val="Sheet4"/>
      <sheetName val="일위단가"/>
      <sheetName val="Sheet1"/>
      <sheetName val="자료"/>
      <sheetName val="설계서"/>
      <sheetName val="자재테이블"/>
      <sheetName val="을부담운반비"/>
      <sheetName val="일위대가"/>
      <sheetName val="감액총괄표"/>
      <sheetName val="일위대가표"/>
      <sheetName val="수량산출서"/>
      <sheetName val="전기일위대가"/>
      <sheetName val="원가계산서"/>
      <sheetName val="실행철강하도"/>
      <sheetName val="파주금촌내역(완성분)(1)"/>
      <sheetName val="공예을"/>
      <sheetName val="1공구(입찰내역)"/>
    </sheetNames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가격대비"/>
      <sheetName val="배관산출"/>
      <sheetName val="laroux"/>
      <sheetName val="코드일람표2001년10월"/>
      <sheetName val="RE9604"/>
      <sheetName val="#REF"/>
      <sheetName val="약품공급2"/>
      <sheetName val="전기2005"/>
      <sheetName val="요율"/>
      <sheetName val="인건-측정"/>
      <sheetName val="예산조서(전송)"/>
      <sheetName val="공사원가계산서"/>
      <sheetName val="노임단가표"/>
      <sheetName val="자재단가"/>
      <sheetName val="봉양~조차장간고하개명(신설)"/>
      <sheetName val="일위목록"/>
      <sheetName val="전기일위목록"/>
      <sheetName val="401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직노"/>
      <sheetName val="잡철물"/>
      <sheetName val="집계표2"/>
      <sheetName val="품셈"/>
      <sheetName val="전기내역서(총계)"/>
      <sheetName val="원가총괄"/>
      <sheetName val="건축내역"/>
      <sheetName val="수량산출서"/>
      <sheetName val="총괄표"/>
      <sheetName val="98지급계획"/>
      <sheetName val="기초자료입력"/>
      <sheetName val="Macro(전선)"/>
      <sheetName val="COST"/>
      <sheetName val="총(철거)"/>
      <sheetName val="실행내역"/>
      <sheetName val="A 견적"/>
      <sheetName val="4.전기"/>
      <sheetName val="을02"/>
      <sheetName val="일위대가 집계표"/>
      <sheetName val="운반비산정"/>
      <sheetName val="EJ"/>
      <sheetName val="2000노임기준"/>
      <sheetName val="시중노임단가"/>
      <sheetName val="원가계산서"/>
      <sheetName val="옥외1"/>
      <sheetName val="내역서1"/>
      <sheetName val="sw1"/>
      <sheetName val="NOMUBI"/>
      <sheetName val="노임단가"/>
      <sheetName val=" HIT-&gt;HMC 견적(3900)"/>
      <sheetName val="일위산출"/>
      <sheetName val="갑지"/>
      <sheetName val="실행(1)"/>
      <sheetName val="일위대가"/>
      <sheetName val="문학간접"/>
      <sheetName val="암거 제원표"/>
      <sheetName val="도담구내 개소별 명세"/>
      <sheetName val="자재단가표"/>
      <sheetName val="정렬"/>
      <sheetName val="노임"/>
      <sheetName val="교각계산"/>
      <sheetName val="BID"/>
      <sheetName val="data"/>
      <sheetName val="관급자재"/>
      <sheetName val="자재단가표(5)"/>
      <sheetName val="I一般比"/>
      <sheetName val="자재테이블"/>
      <sheetName val="편입토지조서"/>
      <sheetName val="자재단가비교표"/>
      <sheetName val="퍼스트"/>
      <sheetName val="대림경상68억"/>
      <sheetName val="중강당 내역"/>
      <sheetName val="토목주소"/>
      <sheetName val="전동기"/>
      <sheetName val="98수문일위"/>
      <sheetName val="Sheet1"/>
      <sheetName val="8설7발"/>
      <sheetName val="NEAYUK"/>
      <sheetName val="교통대책내역"/>
      <sheetName val="집계표"/>
      <sheetName val="참조-(1)"/>
      <sheetName val="단가비교"/>
      <sheetName val="하조서"/>
      <sheetName val="터널대가"/>
      <sheetName val="A LINE"/>
      <sheetName val="내역서 (을)"/>
      <sheetName val="점검총괄"/>
      <sheetName val="손익분석"/>
      <sheetName val="재료값"/>
      <sheetName val="일위대가목차"/>
      <sheetName val="자재목록표"/>
      <sheetName val="견적대비"/>
      <sheetName val="을부담운반비"/>
      <sheetName val="일위"/>
      <sheetName val="통신2005"/>
      <sheetName val="통신대가"/>
      <sheetName val="을지"/>
      <sheetName val="Sheet6"/>
      <sheetName val="방식총괄"/>
      <sheetName val="부하계산서"/>
      <sheetName val="표지1"/>
      <sheetName val="N賃率-職"/>
      <sheetName val="한일양산"/>
      <sheetName val="당진1,2호기전선관설치및접지4차공사내역서-을지"/>
    </sheetNames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력"/>
      <sheetName val="예비품입력"/>
      <sheetName val="공사비입력"/>
      <sheetName val="부대물자입력"/>
      <sheetName val="정류기"/>
      <sheetName val="밧데리"/>
      <sheetName val="실장도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일위대가"/>
      <sheetName val="내역서"/>
      <sheetName val="401"/>
      <sheetName val="요율"/>
    </sheetNames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N賃率-職"/>
      <sheetName val="A4-結果 "/>
      <sheetName val="I一般比"/>
      <sheetName val="IS"/>
      <sheetName val="J間材"/>
      <sheetName val="J輸入計"/>
      <sheetName val="J輸入率1"/>
      <sheetName val="A製總"/>
      <sheetName val="직재"/>
      <sheetName val="요율"/>
      <sheetName val="내역"/>
      <sheetName val="설직재-1"/>
      <sheetName val="일위대가"/>
      <sheetName val="일위목록"/>
      <sheetName val="N賃率_職"/>
      <sheetName val="sheet1"/>
      <sheetName val="기본일위"/>
      <sheetName val="직노"/>
      <sheetName val="내역서2안"/>
      <sheetName val="약품공급2"/>
      <sheetName val="내역서"/>
      <sheetName val="접지수량"/>
      <sheetName val="옥외외등집계표"/>
      <sheetName val="2000년1차"/>
      <sheetName val="자재테이블"/>
      <sheetName val="#REF"/>
      <sheetName val="공사원가계산서"/>
      <sheetName val="2000전체분"/>
      <sheetName val="기본단가표"/>
      <sheetName val="DB"/>
      <sheetName val="시약"/>
      <sheetName val="재료비"/>
      <sheetName val="노임단가 (2)"/>
      <sheetName val="원가계산서구조조정"/>
      <sheetName val="건축내역"/>
      <sheetName val="대포2교접속"/>
      <sheetName val="천방교접속"/>
      <sheetName val="교각계산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전기2005"/>
      <sheetName val="통신2005"/>
      <sheetName val="투자-국내2"/>
      <sheetName val="정류기"/>
      <sheetName val="산출(2)"/>
      <sheetName val="전체제잡비"/>
      <sheetName val="20관리비율"/>
      <sheetName val="자재단가표"/>
      <sheetName val="교통대책내역"/>
      <sheetName val="공사내역"/>
      <sheetName val="제노임"/>
      <sheetName val="급,배기팬"/>
      <sheetName val="경산"/>
      <sheetName val="노단"/>
      <sheetName val="내   역"/>
      <sheetName val="봉양~조차장간고하개명(신설)"/>
      <sheetName val="ELEC"/>
      <sheetName val="금액내역서"/>
      <sheetName val="원가총괄"/>
      <sheetName val="통신대가"/>
      <sheetName val="견적서"/>
      <sheetName val=" HIT-&gt;HMC 견적(3900)"/>
      <sheetName val="work-form"/>
      <sheetName val="자재단가"/>
      <sheetName val="ABUT수량-A1"/>
      <sheetName val="A 견적"/>
      <sheetName val="제작기술지원센터"/>
      <sheetName val="자재"/>
      <sheetName val="Resource2"/>
      <sheetName val="노무비"/>
      <sheetName val="일위"/>
      <sheetName val="신호등일위대가"/>
      <sheetName val="SHEET PILE단가"/>
      <sheetName val="노임변동률"/>
      <sheetName val="잡철물"/>
      <sheetName val="견적"/>
      <sheetName val="직접경비호표"/>
      <sheetName val="DATA"/>
      <sheetName val="b_balju"/>
      <sheetName val="투찰(하수)"/>
      <sheetName val="기계실냉난방"/>
      <sheetName val="인건-측정"/>
      <sheetName val="#2_일위대가목록"/>
      <sheetName val="COST"/>
      <sheetName val="일위대가목록"/>
      <sheetName val="자재단가비교표"/>
      <sheetName val="영1"/>
      <sheetName val="제조노임"/>
      <sheetName val="단가산출"/>
      <sheetName val="내역서 (을)"/>
      <sheetName val="재료"/>
      <sheetName val="갑지"/>
      <sheetName val="설비2차"/>
      <sheetName val="설계서(본관)"/>
      <sheetName val="A4-結果_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노임단가_(2)"/>
      <sheetName val="내___역"/>
      <sheetName val="정산자료"/>
      <sheetName val="본부"/>
      <sheetName val="전주"/>
      <sheetName val="광주"/>
      <sheetName val="순천"/>
      <sheetName val="남원"/>
      <sheetName val="목포"/>
      <sheetName val="군산"/>
      <sheetName val="표지"/>
      <sheetName val="관급"/>
      <sheetName val="#3_일위대가목록"/>
      <sheetName val="전기일위목록"/>
      <sheetName val="4.전기"/>
      <sheetName val="사무기기단가표"/>
      <sheetName val="직접경비총괄 총괄"/>
      <sheetName val="공정증감대ㅈ표"/>
      <sheetName val="Price List"/>
      <sheetName val="재료비집계"/>
      <sheetName val="현금예금"/>
      <sheetName val="총괄표"/>
      <sheetName val="공사비예산서"/>
      <sheetName val="제직재"/>
      <sheetName val="99-0002"/>
      <sheetName val="단가 및 재료비"/>
      <sheetName val="한일양산"/>
      <sheetName val="8설7발"/>
      <sheetName val="중강당 내역"/>
      <sheetName val="내역서1"/>
      <sheetName val="교각1"/>
      <sheetName val="단가대비표"/>
      <sheetName val="기준"/>
      <sheetName val="수량총괄"/>
      <sheetName val="수량산출서"/>
      <sheetName val="총괄내역서"/>
      <sheetName val="전기내역서(총계)"/>
      <sheetName val="센터"/>
      <sheetName val="노임"/>
      <sheetName val="현금"/>
      <sheetName val="품셈"/>
      <sheetName val="동방설계서"/>
      <sheetName val="제조경비누계"/>
      <sheetName val="토사(PE)"/>
      <sheetName val="약품설비"/>
      <sheetName val="견적조건"/>
      <sheetName val="전동기"/>
      <sheetName val="학교별우선순위"/>
      <sheetName val=" 옥외 통신 공사 간선 집계표"/>
      <sheetName val="여과지동"/>
      <sheetName val="기초자료"/>
      <sheetName val="설계서"/>
      <sheetName val="미드수량"/>
      <sheetName val="수우미양가(Vlookup)"/>
      <sheetName val="NìüëÒ-òÅ"/>
      <sheetName val="IìéÚõÝï"/>
      <sheetName val="JâÃìýî§"/>
      <sheetName val="JíÂÍª"/>
      <sheetName val="Jî§ÖùÕá1"/>
      <sheetName val="Jî§ÖùÕá2"/>
      <sheetName val="JòÁî§1"/>
      <sheetName val="JòÁî§2"/>
      <sheetName val="JòÁî§3"/>
      <sheetName val="JòÁî§4"/>
      <sheetName val="KÊõßÚÊ¿"/>
      <sheetName val="KÌèÍª"/>
      <sheetName val="KÌèÛÕÝ·"/>
      <sheetName val="KÌèðàïÚ"/>
      <sheetName val="Ká¼ÙÄÝÂ"/>
      <sheetName val="NÊàÒ¾Íª"/>
      <sheetName val="NÊàÝïëÒ"/>
      <sheetName val="NÊàãÁëÒ"/>
      <sheetName val="NÍïâ¦1"/>
      <sheetName val="NÍïâ¦2"/>
      <sheetName val="NÒ¾Íª"/>
      <sheetName val="NÒ¾ÙâÝÂ"/>
      <sheetName val="NÒ¾Ùâãù"/>
      <sheetName val="NÒ¾íÂ"/>
      <sheetName val="Að²õÅ"/>
      <sheetName val="A4-Ì¿Íý "/>
      <sheetName val="JÊàî§"/>
      <sheetName val="JâÃìýÍª"/>
      <sheetName val="JâÃìýëÒ1"/>
      <sheetName val="³»¿ª"/>
      <sheetName val="¼³Á÷Àç-1"/>
      <sheetName val="Á÷Àç"/>
      <sheetName val="±âº»ÀÏÀ§"/>
      <sheetName val="Á÷³ë"/>
      <sheetName val="³»¿ª¼­2¾È"/>
      <sheetName val="¿äÀ²"/>
      <sheetName val="±âº»´Ü°¡Ç¥"/>
      <sheetName val="¾àÇ°°ø±Þ2"/>
      <sheetName val="NìüëÒ_òÅ"/>
      <sheetName val="ÀÏÀ§´ë°¡"/>
      <sheetName val="ÀÏÀ§¸ñ·Ï"/>
      <sheetName val="2000³â1Â÷"/>
      <sheetName val="2000ÀüÃ¼ºÐ"/>
      <sheetName val="Á¦³ëÀÓ"/>
      <sheetName val="³ëÀÓ´Ü°¡ (2)"/>
      <sheetName val="¿ø°¡°è»ê¼­±¸Á¶Á¶Á¤"/>
      <sheetName val="°ÇÃà³»¿ª"/>
      <sheetName val="Àü±â2005"/>
      <sheetName val="Åë½Å2005"/>
      <sheetName val="ÀÏÀ§´ë°¡1"/>
      <sheetName val="ÀÏÀ§´ë°¡10"/>
      <sheetName val="ÀÏÀ§´ë°¡11"/>
      <sheetName val="ÀÏÀ§´ë°¡12"/>
      <sheetName val="ÀÏÀ§´ë°¡13"/>
      <sheetName val="ÀÏÀ§´ë°¡14"/>
      <sheetName val="ÀÏÀ§´ë°¡15"/>
      <sheetName val="ÀÏÀ§´ë°¡16"/>
      <sheetName val="ÀÏÀ§´ë°¡17"/>
      <sheetName val="ÀÏÀ§´ë°¡2"/>
      <sheetName val="ÀÏÀ§´ë°¡3"/>
      <sheetName val="ÀÏÀ§´ë°¡4"/>
      <sheetName val="ÀÏÀ§´ë°¡5"/>
      <sheetName val="ÀÏÀ§´ë°¡6"/>
      <sheetName val="ÀÏÀ§´ë°¡7"/>
      <sheetName val="ÀÏÀ§´ë°¡8"/>
      <sheetName val="ÀÏÀ§´ë°¡9"/>
      <sheetName val="ÀÏÀ§´ë°¡18-1"/>
      <sheetName val="ÀÏÀ§´ë°¡19-1"/>
      <sheetName val="ÀÏÀ§´ë°¡20-1"/>
      <sheetName val="ÀÏÀ§´ë°¡21-1"/>
      <sheetName val="ÀÏÀ§´ë°¡22-1"/>
      <sheetName val="ÀÏÀ§´ë°¡23-1"/>
      <sheetName val="ÀÏÀ§´ë°¡24-1"/>
      <sheetName val="ÀÏÀ§´ë°¡25-1"/>
      <sheetName val="ÀÏÀ§´ë°¡26-1"/>
      <sheetName val="ÀÏÀ§´ë°¡27-1"/>
      <sheetName val="ÀÏÀ§´ë°¡28-1"/>
      <sheetName val="ÀÏÀ§´ë°¡29-1"/>
      <sheetName val="ÀÏÀ§´ë°¡30-1"/>
      <sheetName val="ÀÏÀ§´ë°¡31-1"/>
      <sheetName val="ÀÏÀ§´ë°¡32-1"/>
      <sheetName val="ÀÏÀ§´ë°¡33-1"/>
      <sheetName val="ÀÏÀ§´ë°¡34-1"/>
      <sheetName val="ÀÏÀ§´ë°¡35-1"/>
      <sheetName val="ÀÏÀ§´ë°¡36-1"/>
      <sheetName val="ÀÏÀ§´ë°¡37-1"/>
      <sheetName val="ÀÏÀ§´ë°¡38-1"/>
      <sheetName val="ÀÏÀ§´ë°¡39-1"/>
      <sheetName val="ÀÏÀ§´ë°¡40-1"/>
      <sheetName val="ÀÏÀ§´ë°¡41-1"/>
      <sheetName val="ÀÏÀ§´ë°¡42-1"/>
      <sheetName val="ÀÏÀ§´ë°¡43-1"/>
      <sheetName val="ÀÏÀ§´ë°¡44-1"/>
      <sheetName val="ÀÏÀ§´ë°¡45-1"/>
      <sheetName val="ÀÏÀ§´ë°¡46-1"/>
      <sheetName val="ÀÏÀ§´ë°¡47-1"/>
      <sheetName val="ÀÏÀ§´ë°¡48-1"/>
      <sheetName val="ÀÏÀ§´ë°¡49-1"/>
      <sheetName val="ÀÏÀ§´ë°¡50-1"/>
      <sheetName val="ÀÏÀ§´ë°¡51-1"/>
      <sheetName val="ÀÏÀ§´ë°¡52-1"/>
      <sheetName val="ÀÏÀ§´ë°¡53-1"/>
      <sheetName val="ÀÏÀ§´ë°¡54-1"/>
      <sheetName val="ÀÏÀ§´ë°¡55-1"/>
      <sheetName val="ÀÏÀ§´ë°¡56-1 "/>
      <sheetName val="ÀÏÀ§´ë°¡57-1"/>
      <sheetName val="ÀÏÀ§´ë°¡58-1"/>
      <sheetName val="ÀÏÀ§´ë°¡59-1"/>
      <sheetName val="ÀÏÀ§´ë°¡60-1"/>
      <sheetName val="ÀÏÀ§´ë°¡61-1"/>
      <sheetName val="ÀÏÀ§´ë°¡62-1"/>
      <sheetName val="ÀÏÀ§´ë°¡63-1"/>
      <sheetName val="ÀÏÀ§´ë°¡64-1"/>
      <sheetName val="ÀÏÀ§´ë°¡65-1"/>
      <sheetName val="ÀÏÀ§´ë°¡66-1"/>
      <sheetName val="ÀÏÀ§´ë°¡67-1"/>
      <sheetName val="ÀÏÀ§´ë°¡68-1"/>
      <sheetName val="ÀÏÀ§´ë°¡69-1"/>
      <sheetName val="ÀÏÀ§´ë°¡70-1"/>
      <sheetName val="ÀÏÀ§´ë°¡71-1 "/>
      <sheetName val="ÀÏÀ§´ë°¡72-1"/>
      <sheetName val="ÀÏÀ§´ë°¡73-1"/>
      <sheetName val="ÀÏÀ§´ë°¡74-1 "/>
      <sheetName val="ÀÏÀ§´ë°¡75-1"/>
      <sheetName val="ÀÏÀ§´ë°¡76-1 "/>
      <sheetName val="ÀÏÀ§´ë°¡77-1 "/>
      <sheetName val="ÀÏÀ§´ë°¡78-1 "/>
      <sheetName val="ÀÏÀ§´ë°¡79-1"/>
      <sheetName val="ÀÏÀ§´ë°¡80-1"/>
      <sheetName val="ÀÏÀ§´ë°¡81-1"/>
      <sheetName val="ÀÏÀ§´ë°¡82-1"/>
      <sheetName val="ÀÏÀ§´ë°¡92-1"/>
      <sheetName val="³»¿ª¼­"/>
      <sheetName val="20°ü¸®ºñÀ²"/>
      <sheetName val="ÀÚÀç´Ü°¡"/>
      <sheetName val="½Ã¾à"/>
      <sheetName val="Àç·áºñ"/>
      <sheetName val="°æ»ê"/>
      <sheetName val="현장조사"/>
      <sheetName val="집계표2"/>
      <sheetName val="이형관"/>
      <sheetName val="율촌법률사무소2내역"/>
      <sheetName val="원가계산서"/>
      <sheetName val="실행내역서 "/>
      <sheetName val="일위집계(기존)"/>
      <sheetName val="집계표"/>
      <sheetName val="실행철강하도"/>
      <sheetName val="일위산출"/>
    </sheetNames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원가"/>
      <sheetName val="원가 (2)"/>
      <sheetName val="수량"/>
      <sheetName val="수량 (2)"/>
      <sheetName val="자립흙막이"/>
      <sheetName val="자립흙막이 (2)"/>
      <sheetName val="pile 항타"/>
      <sheetName val="pile 인발"/>
      <sheetName val="토류판 (2)"/>
      <sheetName val="H-BEAM설치및철거"/>
      <sheetName val="BRACKET"/>
      <sheetName val="단가표"/>
      <sheetName val="토류판 (3)"/>
      <sheetName val="강재손료"/>
      <sheetName val="원가 (3)"/>
      <sheetName val="자립흙막이 (3)"/>
      <sheetName val="1.공사원가계산서"/>
      <sheetName val="2.내역첫장"/>
      <sheetName val="3.공사비총괄표(휴게소)"/>
      <sheetName val="4.휴게소건축"/>
      <sheetName val="5.휴게소설비"/>
      <sheetName val="6.공사비총괄표(주유소)"/>
      <sheetName val="7.주유소건축"/>
      <sheetName val="8.주유소설비"/>
      <sheetName val="공사기간"/>
      <sheetName val="N賃率-職"/>
      <sheetName val="기본단가표"/>
      <sheetName val="Sheet1"/>
    </sheetNames>
    <definedNames>
      <definedName name="조건_입력" refersTo="#REF!"/>
    </definedNames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원가표지 "/>
      <sheetName val="원가계산서 총괄"/>
      <sheetName val="원가계산서"/>
      <sheetName val="시대표지"/>
      <sheetName val="시대"/>
      <sheetName val="문화정보1"/>
      <sheetName val="문화정보2"/>
      <sheetName val="삼영"/>
      <sheetName val="원가-추후설치분"/>
      <sheetName val="원가표지-추후설치분"/>
      <sheetName val="시대표지-추후설치분"/>
      <sheetName val="프로젝타 비교표"/>
      <sheetName val="원가표지  (2)"/>
      <sheetName val="1.수인터널"/>
      <sheetName val="실행철강하도"/>
      <sheetName val="wall"/>
      <sheetName val="Front"/>
      <sheetName val="내역"/>
      <sheetName val="조명율표"/>
      <sheetName val="내역서"/>
      <sheetName val="인건비"/>
      <sheetName val="1안"/>
      <sheetName val="1차작업-재수정"/>
      <sheetName val="자재단가표"/>
      <sheetName val="Macro1"/>
      <sheetName val="내역을"/>
      <sheetName val="산출내역서집계표"/>
      <sheetName val="자재단가"/>
      <sheetName val="EQ"/>
      <sheetName val="sheet1"/>
      <sheetName val="원가총괄"/>
      <sheetName val="망미"/>
      <sheetName val="수량산출서"/>
      <sheetName val="단가비교"/>
      <sheetName val="하조서"/>
      <sheetName val="#REF"/>
      <sheetName val="견적조건"/>
      <sheetName val="노임단가"/>
      <sheetName val="포장공자재집계표"/>
      <sheetName val="교각계산"/>
      <sheetName val="N賃率-職"/>
      <sheetName val="요율"/>
      <sheetName val="20_10_100"/>
      <sheetName val="13LPMCC"/>
      <sheetName val="표지"/>
      <sheetName val="공사원가계산서"/>
      <sheetName val="코드표"/>
      <sheetName val="설계서을"/>
      <sheetName val="견적내역서"/>
      <sheetName val="1"/>
      <sheetName val="인상효1"/>
      <sheetName val="LOPCALC"/>
      <sheetName val="내역서2안"/>
      <sheetName val="별표 "/>
      <sheetName val="견적서 N"/>
      <sheetName val="단가산출서"/>
      <sheetName val="수량계산"/>
      <sheetName val="일위산출"/>
      <sheetName val="ELEC"/>
      <sheetName val="제목현황"/>
      <sheetName val="단가목록"/>
      <sheetName val="신호등일위대가"/>
      <sheetName val="입찰안"/>
      <sheetName val="일위대가"/>
    </sheetNames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성조서"/>
      <sheetName val="기성검사원"/>
      <sheetName val="대총괄"/>
      <sheetName val="총괄 "/>
      <sheetName val="세부내역총괄(2)"/>
      <sheetName val="세부내역총괄"/>
      <sheetName val="총괄고용 (2)"/>
      <sheetName val="총괄고용"/>
      <sheetName val="중총괄표 "/>
      <sheetName val="소APT전기"/>
      <sheetName val="소APT소방"/>
      <sheetName val="내역전기 (2)"/>
      <sheetName val="내역전기"/>
      <sheetName val="내역소방 (2)"/>
      <sheetName val="내역소방"/>
      <sheetName val="내역가설"/>
      <sheetName val="내역상가"/>
      <sheetName val="조명율표"/>
      <sheetName val="401"/>
      <sheetName val="세부내역"/>
      <sheetName val="자료"/>
      <sheetName val="총괄"/>
      <sheetName val="b_balju_cho"/>
      <sheetName val="원가계산서"/>
      <sheetName val="기성종합"/>
      <sheetName val="세부내역서"/>
      <sheetName val="내역"/>
      <sheetName val="중기일위대가"/>
      <sheetName val="내역서"/>
      <sheetName val="입찰안"/>
      <sheetName val="N賃率-職"/>
      <sheetName val="자재단가"/>
      <sheetName val="6동"/>
      <sheetName val="감액총괄표"/>
      <sheetName val="노임이"/>
      <sheetName val="간접비계산"/>
    </sheetNames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대금지불요청서"/>
      <sheetName val="기성조서"/>
      <sheetName val="기성검사원"/>
      <sheetName val="공사비분석표"/>
      <sheetName val="기록표 (2)"/>
      <sheetName val="검사내용 (2)"/>
      <sheetName val="대총괄"/>
      <sheetName val="총괄 "/>
      <sheetName val="세부내역총괄(2)"/>
      <sheetName val="세부내역총괄"/>
      <sheetName val="총괄고용 (2)"/>
      <sheetName val="총괄고용"/>
      <sheetName val="중총괄표 "/>
      <sheetName val="소APT전기"/>
      <sheetName val="소APT소방"/>
      <sheetName val="내역전기 (2)"/>
      <sheetName val="내역전기"/>
      <sheetName val="내역소방 (2)"/>
      <sheetName val="내역소방"/>
      <sheetName val="내역가설"/>
      <sheetName val="내역상가"/>
      <sheetName val="총괄"/>
      <sheetName val="자료"/>
      <sheetName val="세부내역"/>
      <sheetName val="조명율표"/>
      <sheetName val="입찰안"/>
      <sheetName val="401"/>
      <sheetName val="원가계산서"/>
    </sheetNames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축(총괄)"/>
      <sheetName val="건축"/>
      <sheetName val="기계"/>
      <sheetName val="전기"/>
      <sheetName val="통신"/>
      <sheetName val="소방"/>
      <sheetName val="체육관내역"/>
      <sheetName val="주요자재"/>
      <sheetName val="조경"/>
      <sheetName val="가설공사"/>
      <sheetName val="토공사"/>
      <sheetName val="철근공사 "/>
      <sheetName val="조적공사"/>
      <sheetName val="타일공사"/>
      <sheetName val="석공사"/>
      <sheetName val="미장공사"/>
      <sheetName val="방수공사"/>
      <sheetName val="목공사"/>
      <sheetName val="수장공사"/>
      <sheetName val="창유리공"/>
      <sheetName val="금속공사"/>
      <sheetName val="도장공사"/>
      <sheetName val="지붕공사"/>
      <sheetName val="부대"/>
      <sheetName val="기계시공"/>
      <sheetName val="철거공사"/>
      <sheetName val="건축(총괄) (2)"/>
      <sheetName val="조명율표"/>
      <sheetName val="체육관12"/>
      <sheetName val="일위"/>
    </sheetNames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원가계산"/>
      <sheetName val="수정내역"/>
      <sheetName val="일위대가표"/>
      <sheetName val="일위대가"/>
      <sheetName val="실행내역"/>
      <sheetName val="XXXXXX"/>
      <sheetName val="VXXX"/>
      <sheetName val="진짜내역"/>
      <sheetName val="전시원"/>
      <sheetName val="전시내"/>
      <sheetName val="Sheet1"/>
      <sheetName val="Sheet2"/>
      <sheetName val="Sheet3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집계표"/>
      <sheetName val="제작총집계표"/>
      <sheetName val="총경기장별내역서(10-11)"/>
      <sheetName val="경기장별내역서(12-107)"/>
      <sheetName val="내역서"/>
      <sheetName val="단가산출서"/>
      <sheetName val="중기사용료"/>
      <sheetName val="재료단가"/>
      <sheetName val="노임단가"/>
      <sheetName val="내역"/>
      <sheetName val="#REF"/>
      <sheetName val="기본일위"/>
      <sheetName val="J直材4"/>
      <sheetName val="I一般比"/>
      <sheetName val="재료"/>
      <sheetName val="기본단가표"/>
      <sheetName val="현장"/>
      <sheetName val="단가조사"/>
      <sheetName val="식재인부"/>
      <sheetName val="설직재-1"/>
      <sheetName val="예산M11A"/>
      <sheetName val="건축내역"/>
      <sheetName val="101동"/>
      <sheetName val="2000년1차"/>
      <sheetName val="2000전체분"/>
      <sheetName val="MAIN_TABLE"/>
      <sheetName val="백암비스타내역"/>
      <sheetName val="출자한도"/>
      <sheetName val="KKK"/>
      <sheetName val="교통대책내역"/>
      <sheetName val="AIR SHOWER(3인용)"/>
      <sheetName val="기초자료"/>
      <sheetName val="3BL공동구 수량"/>
      <sheetName val="일대-1"/>
      <sheetName val="공사비총괄표"/>
      <sheetName val="공사개요(서광주)"/>
      <sheetName val="자료"/>
      <sheetName val="대공종"/>
      <sheetName val="골재산출"/>
      <sheetName val="총괄표"/>
      <sheetName val="차수공개요"/>
      <sheetName val="경산"/>
      <sheetName val="조명율표"/>
      <sheetName val="본체"/>
      <sheetName val="5공철탑검토표"/>
      <sheetName val="4공철탑검토"/>
      <sheetName val="N賃率-職"/>
      <sheetName val="설계서"/>
      <sheetName val="산근"/>
      <sheetName val="기초내역서"/>
      <sheetName val="수량산출"/>
      <sheetName val="대가목록표"/>
      <sheetName val="Customer Databas"/>
      <sheetName val="스포회원매출"/>
      <sheetName val="실행"/>
      <sheetName val="금액내역서"/>
      <sheetName val="적용토목"/>
      <sheetName val="6PILE  (돌출)"/>
      <sheetName val="asd"/>
      <sheetName val="자재단가"/>
      <sheetName val="본공사"/>
      <sheetName val="영창26"/>
      <sheetName val="요율"/>
      <sheetName val="갑지"/>
      <sheetName val="갑지(추정)"/>
      <sheetName val="물가자료"/>
      <sheetName val="지질조사"/>
      <sheetName val="CTEMCOST"/>
      <sheetName val="산출내역서"/>
      <sheetName val="단중표"/>
      <sheetName val="견적서"/>
      <sheetName val="Sheet6"/>
      <sheetName val="철탑공사"/>
      <sheetName val="LF자재단가"/>
      <sheetName val="산출근거"/>
      <sheetName val="노임"/>
      <sheetName val="교각별철근수량집계표"/>
      <sheetName val="당초"/>
      <sheetName val="위생설비"/>
      <sheetName val="토공(우물통,기타) "/>
      <sheetName val="공정율"/>
      <sheetName val="pldt"/>
      <sheetName val="건집"/>
      <sheetName val="건축"/>
      <sheetName val="기설집"/>
      <sheetName val="설집"/>
      <sheetName val="식재수량표"/>
      <sheetName val="총괄"/>
      <sheetName val="집계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공량"/>
      <sheetName val="VXXXXX"/>
      <sheetName val="적용대가"/>
      <sheetName val="지수내역"/>
      <sheetName val="노(97.1,97.9,98.1)"/>
      <sheetName val="코드표"/>
      <sheetName val="재료비노무비"/>
      <sheetName val="NYS"/>
      <sheetName val="데이타"/>
      <sheetName val="DATA"/>
      <sheetName val="단가산출"/>
      <sheetName val="Sheet5"/>
      <sheetName val="기술부대조건"/>
      <sheetName val="교수설계"/>
      <sheetName val="일위대가목차"/>
      <sheetName val="예산"/>
      <sheetName val="공사직종별노임"/>
      <sheetName val="RE9604"/>
      <sheetName val="특외대"/>
      <sheetName val="내역서2안"/>
      <sheetName val="지하"/>
      <sheetName val="전기일위목록"/>
      <sheetName val="001"/>
      <sheetName val="견적"/>
      <sheetName val="단위내역서"/>
      <sheetName val="식생블럭단위수량"/>
      <sheetName val="노임,재료비"/>
      <sheetName val="토공 total"/>
      <sheetName val="당진1,2호기전선관설치및접지4차공사내역서-을지"/>
      <sheetName val="도급기성"/>
      <sheetName val="설비단가표"/>
      <sheetName val="오수공수량집계표"/>
      <sheetName val="연부97-1"/>
      <sheetName val="조건표"/>
      <sheetName val="자갈,시멘트,모래산출"/>
      <sheetName val="LEGEND"/>
      <sheetName val="원가 (2)"/>
      <sheetName val="목록"/>
      <sheetName val="본체철근표"/>
      <sheetName val="기계경비(시간당)"/>
      <sheetName val="율촌법률사무소2내역"/>
      <sheetName val="중기"/>
      <sheetName val="원가계산서"/>
      <sheetName val="노 무 비"/>
      <sheetName val="카메라"/>
      <sheetName val="102역사"/>
      <sheetName val="48전력선로일위"/>
      <sheetName val="공통가설공사"/>
      <sheetName val="노무비"/>
      <sheetName val="6호기"/>
      <sheetName val="산출-설비"/>
      <sheetName val="입찰안"/>
      <sheetName val=" HIT-&gt;HMC 견적(3900)"/>
      <sheetName val="노무,재료"/>
      <sheetName val="철거산출근거"/>
      <sheetName val="사다리"/>
      <sheetName val="CIVIL4"/>
      <sheetName val="내역(원안-대안)"/>
      <sheetName val="아파트건축"/>
      <sheetName val="표지"/>
      <sheetName val="부대공Ⅱ"/>
      <sheetName val="조명시설"/>
      <sheetName val="조경일람"/>
      <sheetName val="공사개요"/>
      <sheetName val="단가표"/>
      <sheetName val="데리네이타현황"/>
      <sheetName val="계약서"/>
      <sheetName val="제작비추산총괄표"/>
      <sheetName val="갑"/>
      <sheetName val="96정변2"/>
      <sheetName val="설_(3)"/>
      <sheetName val="설_(2)"/>
      <sheetName val="3BL공동구_수량"/>
      <sheetName val="Customer_Databas"/>
      <sheetName val="토공_total"/>
      <sheetName val="_HIT-&gt;HMC_견적(3900)"/>
      <sheetName val="토공(우물통,기타)_"/>
      <sheetName val="AIR_SHOWER(3인용)"/>
      <sheetName val="노(97_1,97_9,98_1)"/>
      <sheetName val="6PILE__(돌출)"/>
      <sheetName val="원가_(2)"/>
      <sheetName val="1.설계조건"/>
      <sheetName val="guard(mac)"/>
      <sheetName val="도급견적가"/>
      <sheetName val="원가서"/>
      <sheetName val="주beam"/>
      <sheetName val="적용단위길이"/>
      <sheetName val="피벗테이블데이터분석"/>
      <sheetName val="기계공사비집계(원안)"/>
      <sheetName val="sub"/>
      <sheetName val="기타 정보통신공사"/>
      <sheetName val="상가분양"/>
      <sheetName val="배수내역"/>
      <sheetName val="기흥하도용"/>
      <sheetName val="Baby일위대가"/>
      <sheetName val="을지"/>
      <sheetName val="첨부1"/>
      <sheetName val="연습"/>
      <sheetName val="일위목록"/>
      <sheetName val="내역서(중수)"/>
      <sheetName val="CAT_5"/>
      <sheetName val="단가비교표_공통1"/>
      <sheetName val="3.2제조설비"/>
      <sheetName val="하이테콤직원"/>
      <sheetName val="내역서 "/>
      <sheetName val="금액집계"/>
      <sheetName val="공통가설"/>
      <sheetName val="내역표지"/>
      <sheetName val="을"/>
      <sheetName val="접지수량"/>
      <sheetName val="일위대가1"/>
      <sheetName val="DATE"/>
      <sheetName val="수주추정"/>
      <sheetName val="시설물기초"/>
      <sheetName val=" 냉각수펌프"/>
      <sheetName val="AHU집계"/>
      <sheetName val="ELEC"/>
      <sheetName val="9GNG운반"/>
      <sheetName val="공조기휀"/>
      <sheetName val="시멘트"/>
      <sheetName val="N賃率_職"/>
      <sheetName val="일위(철거)"/>
      <sheetName val="하도급원가계산총괄표(식재)"/>
      <sheetName val="산출0"/>
      <sheetName val="내역전기"/>
      <sheetName val="대치판정"/>
      <sheetName val="물량입력"/>
      <sheetName val="연결관암거"/>
      <sheetName val="소비자가"/>
      <sheetName val="저"/>
      <sheetName val="일위대가목록"/>
      <sheetName val="일위_파일"/>
      <sheetName val="일위(PANEL)"/>
      <sheetName val="효성CB 1P기초"/>
      <sheetName val="계수시트"/>
      <sheetName val="램머"/>
      <sheetName val="경영상태"/>
      <sheetName val="민감도"/>
      <sheetName val="역공종"/>
      <sheetName val="200"/>
      <sheetName val="토공"/>
      <sheetName val="터파기및재료"/>
      <sheetName val="단"/>
      <sheetName val="간접1"/>
      <sheetName val="장비가동"/>
      <sheetName val="E총15"/>
      <sheetName val="약품공급2"/>
      <sheetName val="유림콘도"/>
      <sheetName val="청주(철골발주의뢰서)"/>
      <sheetName val="반포2차"/>
      <sheetName val="공사착공계"/>
      <sheetName val="유기공정"/>
      <sheetName val="총수량집계표"/>
      <sheetName val="일위"/>
      <sheetName val="별표 "/>
      <sheetName val="내역서1"/>
      <sheetName val="입상내역"/>
      <sheetName val="본서하반기"/>
      <sheetName val="하반기(지구대)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1공구산출내역서"/>
      <sheetName val="별표"/>
      <sheetName val="부대내역"/>
      <sheetName val="세골재  T2 변경 현황"/>
      <sheetName val="갑지1"/>
      <sheetName val="전선 및 전선관"/>
      <sheetName val="물량표"/>
      <sheetName val="2000년 공정표"/>
      <sheetName val="3본사"/>
      <sheetName val="설계조건"/>
      <sheetName val="부하자료"/>
      <sheetName val="통합집계표"/>
      <sheetName val="국내"/>
      <sheetName val="내역서 제출"/>
      <sheetName val="단가일람"/>
      <sheetName val="찍기"/>
      <sheetName val="토공집계표"/>
      <sheetName val="직공비"/>
      <sheetName val="1안"/>
      <sheetName val="적용건축"/>
      <sheetName val="청곡지선입력"/>
      <sheetName val="제-노임"/>
      <sheetName val="제직재"/>
      <sheetName val="COST"/>
      <sheetName val="전기내역"/>
      <sheetName val="내역관리1"/>
      <sheetName val="내역(설계)"/>
      <sheetName val="백룡교차로"/>
      <sheetName val="산정교차로"/>
      <sheetName val="신영교차로"/>
      <sheetName val="내역서(기성청구)"/>
      <sheetName val="Inst."/>
      <sheetName val="01상노임"/>
      <sheetName val="특별땅고르기"/>
      <sheetName val="노무비 근거"/>
      <sheetName val="단위단가"/>
      <sheetName val="INPUT"/>
      <sheetName val="세부내역서(전기)"/>
      <sheetName val="수량산출(생반)"/>
      <sheetName val="날개벽수량표"/>
      <sheetName val="제경비율"/>
      <sheetName val="기본가정"/>
      <sheetName val="직재"/>
      <sheetName val="ITEM"/>
      <sheetName val="현장관리비"/>
      <sheetName val="원본"/>
      <sheetName val="Sheet7(ㅅ)"/>
      <sheetName val="봉방동근생"/>
      <sheetName val="개요"/>
      <sheetName val="노임단가(08.01)"/>
      <sheetName val="직접공사비"/>
      <sheetName val="JUCKEYK"/>
      <sheetName val="건축원가"/>
      <sheetName val="#3_일위대가목록"/>
      <sheetName val="노무비단가"/>
      <sheetName val="예가표"/>
      <sheetName val="지점장"/>
      <sheetName val="부대"/>
      <sheetName val="일위CODE"/>
      <sheetName val="gyun"/>
      <sheetName val="신우"/>
      <sheetName val="총괄내역"/>
      <sheetName val="품셈"/>
      <sheetName val="그림"/>
      <sheetName val="그림2"/>
      <sheetName val="차액보증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일반전기C"/>
      <sheetName val="현장관리비참조"/>
      <sheetName val="자재표"/>
      <sheetName val="손익분석"/>
      <sheetName val="갑지.을지"/>
      <sheetName val="실행철강하도"/>
      <sheetName val="BID"/>
      <sheetName val="일위대가(1)"/>
      <sheetName val="Sheet4"/>
      <sheetName val="인공산출"/>
      <sheetName val="보증수수료산출"/>
      <sheetName val="철근량"/>
      <sheetName val="2공구산출내역"/>
      <sheetName val="입력변수"/>
      <sheetName val="기초일위"/>
      <sheetName val="암거단위"/>
      <sheetName val="단가대비표 (3)"/>
      <sheetName val="원가총괄"/>
      <sheetName val="재집"/>
      <sheetName val="Sheet1 (2)"/>
      <sheetName val="조명율"/>
      <sheetName val="(1)본선수량집계"/>
      <sheetName val="Macro1"/>
      <sheetName val="1000 DB구축 부표"/>
      <sheetName val="CT "/>
      <sheetName val="발신정보"/>
      <sheetName val="기초대가"/>
      <sheetName val="조도계산서 (도서)"/>
      <sheetName val="명세서"/>
      <sheetName val="구리토평1전기"/>
      <sheetName val="C.전기공사"/>
      <sheetName val="J-EQ"/>
      <sheetName val="맨홀수량산출"/>
      <sheetName val="변경내역(전체)"/>
      <sheetName val="유림골조"/>
      <sheetName val="참조자료"/>
      <sheetName val="98지급계획"/>
      <sheetName val="20관리비율"/>
      <sheetName val="내역서중"/>
      <sheetName val="교각계산"/>
      <sheetName val="직접노무"/>
      <sheetName val="직접재료"/>
      <sheetName val="전기"/>
      <sheetName val="처리단락"/>
      <sheetName val="건축부하"/>
      <sheetName val="약전닥트"/>
      <sheetName val="일지-H"/>
      <sheetName val="김포IO"/>
      <sheetName val="LD"/>
      <sheetName val="FA설치명세"/>
      <sheetName val="철근중량"/>
      <sheetName val="기초자료입력"/>
      <sheetName val="전기2005"/>
      <sheetName val="통신2005"/>
      <sheetName val="총괄집계표"/>
      <sheetName val="수량총괄"/>
      <sheetName val="집수정토공"/>
      <sheetName val="설계명세서"/>
      <sheetName val="견적내역서"/>
      <sheetName val="어룡"/>
      <sheetName val="ATM기초철가"/>
      <sheetName val="교각1"/>
      <sheetName val="정거장 설계조건"/>
      <sheetName val="단재적표"/>
      <sheetName val="지입자재집계표"/>
      <sheetName val="가설공사"/>
      <sheetName val="ABUT수량-A1"/>
      <sheetName val="준공내역"/>
      <sheetName val="설계"/>
      <sheetName val="견적(100%)"/>
      <sheetName val="표  지"/>
      <sheetName val="분전반"/>
      <sheetName val="내역서적용수량"/>
      <sheetName val="가도공"/>
      <sheetName val="간접비계산"/>
      <sheetName val="유림총괄"/>
      <sheetName val="작성"/>
      <sheetName val="출력은 금물"/>
      <sheetName val="일위대가(건축)"/>
      <sheetName val="간접비"/>
      <sheetName val="청도공장"/>
      <sheetName val="철콘"/>
      <sheetName val="계측기"/>
      <sheetName val="단가 "/>
      <sheetName val="COVER"/>
      <sheetName val="ESCO개보수공사"/>
      <sheetName val="자료입력"/>
      <sheetName val="빌딩 안내"/>
      <sheetName val="전체"/>
      <sheetName val="화재 탐지 설비"/>
      <sheetName val="PIPING"/>
      <sheetName val="DATA테이블1 (2)"/>
      <sheetName val="건축기계설비표선정수장"/>
      <sheetName val="DB"/>
      <sheetName val="공연,전시"/>
      <sheetName val="A 견적"/>
      <sheetName val="s.v"/>
      <sheetName val="공사입찰정보입력"/>
      <sheetName val="국내조달(통합-1)"/>
      <sheetName val="도담구내 개소별 명세"/>
      <sheetName val="2000.05"/>
      <sheetName val="실행대비"/>
      <sheetName val="터널조도"/>
      <sheetName val="16-1"/>
      <sheetName val="구의33고"/>
      <sheetName val="구성1"/>
      <sheetName val="구성2"/>
      <sheetName val="구성3"/>
      <sheetName val="구성4"/>
      <sheetName val="남양시작동자105노65기1.3화1.2"/>
      <sheetName val="인적사항"/>
      <sheetName val="국도접속 차도부수량"/>
      <sheetName val="조명일위"/>
      <sheetName val="참고"/>
      <sheetName val="대"/>
      <sheetName val="옥외계측"/>
      <sheetName val="Total"/>
      <sheetName val="99년하반기"/>
      <sheetName val="말뚝지지력산정"/>
      <sheetName val="엔지니어링"/>
      <sheetName val="패널"/>
      <sheetName val="간접(90)"/>
      <sheetName val="품셈총괄"/>
      <sheetName val="표층포설및다짐"/>
      <sheetName val="투찰가"/>
      <sheetName val="공문"/>
      <sheetName val="수목표준대가"/>
      <sheetName val="예산총괄"/>
      <sheetName val="CODE"/>
      <sheetName val="인공"/>
      <sheetName val="도급자재"/>
      <sheetName val="설_(3)1"/>
      <sheetName val="설_(2)1"/>
      <sheetName val="3BL공동구_수량1"/>
      <sheetName val="1_설계조건"/>
      <sheetName val="_냉각수펌프"/>
      <sheetName val="2000년_공정표"/>
      <sheetName val="노무비_근거"/>
      <sheetName val="전선_및_전선관"/>
      <sheetName val="효성CB_1P기초"/>
      <sheetName val="내역서_제출"/>
      <sheetName val="중기일위대가"/>
      <sheetName val="0Title"/>
      <sheetName val="추가예산"/>
      <sheetName val="오동"/>
      <sheetName val="대조"/>
      <sheetName val="나한"/>
      <sheetName val="물가시세"/>
      <sheetName val="부하"/>
      <sheetName val="지급자재"/>
      <sheetName val="工관리비율"/>
      <sheetName val="工완성공사율"/>
      <sheetName val="주요기준"/>
      <sheetName val="자재단가비교표"/>
      <sheetName val="단가대비표"/>
      <sheetName val="b_balju"/>
      <sheetName val="노무단가산정"/>
      <sheetName val="도급내역서(재노경)"/>
      <sheetName val="와동수량"/>
      <sheetName val="직원현황"/>
      <sheetName val="ELECTRIC"/>
      <sheetName val="품셈TABLE"/>
      <sheetName val="금융비용"/>
    </sheetNames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격비교-형석"/>
      <sheetName val="을지"/>
      <sheetName val="손익분석"/>
      <sheetName val="통합배선인건"/>
      <sheetName val="견적갑지"/>
      <sheetName val="물량산출"/>
      <sheetName val="비교자료"/>
      <sheetName val="동력부하"/>
      <sheetName val="L-기술계산(1Φ220-110V)"/>
      <sheetName val="전등부하"/>
      <sheetName val="0.6-1KV FCV"/>
      <sheetName val="전동기규격"/>
      <sheetName val="표지"/>
      <sheetName val="수변전용량검토"/>
      <sheetName val="단락전류계산서"/>
      <sheetName val="(UT동)SUB"/>
      <sheetName val="(본관동)SUB"/>
      <sheetName val="(2공장동)SUB"/>
      <sheetName val="(사출동)SUB"/>
      <sheetName val="(UT동)UTIL"/>
      <sheetName val="(본관동)AHU"/>
      <sheetName val="(2공장동)AHU"/>
      <sheetName val="(사출동)AHU"/>
      <sheetName val="(사출동)장치"/>
      <sheetName val="조명율표"/>
      <sheetName val="200"/>
      <sheetName val="실행내역"/>
      <sheetName val="N賃率-職"/>
      <sheetName val="직노"/>
      <sheetName val="48전력선로일위"/>
      <sheetName val="내역서1"/>
      <sheetName val="건축내역"/>
      <sheetName val="내역서"/>
      <sheetName val="실행"/>
      <sheetName val="고등학교"/>
      <sheetName val="요율"/>
      <sheetName val="설계서"/>
      <sheetName val="총괄표"/>
      <sheetName val="#REF"/>
      <sheetName val="봉방동근생"/>
      <sheetName val="대공종"/>
      <sheetName val="제잡비"/>
      <sheetName val="표지 (2)"/>
      <sheetName val="교통대책내역"/>
      <sheetName val="갑지"/>
      <sheetName val="집계표"/>
      <sheetName val="CTEMCOST"/>
      <sheetName val="A 견적"/>
      <sheetName val="기본일위"/>
      <sheetName val="빌딩 안내"/>
      <sheetName val="CAT_5"/>
      <sheetName val="단가표"/>
      <sheetName val="적용토목"/>
      <sheetName val="자재단가"/>
      <sheetName val="98지급계획"/>
      <sheetName val="한일양산"/>
      <sheetName val="노무비 근거"/>
      <sheetName val="내역"/>
      <sheetName val="지입자재집계표"/>
      <sheetName val="전기일위목록"/>
      <sheetName val="설계금내역서"/>
      <sheetName val="수량산출서"/>
      <sheetName val="BasePriceList"/>
      <sheetName val="Sheet1"/>
      <sheetName val="공사비총괄표"/>
      <sheetName val="신우"/>
      <sheetName val="산출금액내역"/>
      <sheetName val="원가계산서 "/>
      <sheetName val="내역표지"/>
      <sheetName val="일위"/>
      <sheetName val="물가조사"/>
      <sheetName val="Sheet2"/>
      <sheetName val="Sheet3"/>
      <sheetName val="노임단가표"/>
      <sheetName val=" 소방공사 산출근거"/>
      <sheetName val="영창26"/>
      <sheetName val="가설공사"/>
      <sheetName val="MAIN_TABLE"/>
      <sheetName val="총괄"/>
      <sheetName val="당초"/>
      <sheetName val="DATA"/>
      <sheetName val="SG"/>
      <sheetName val="기계경비"/>
      <sheetName val="철거산출근거"/>
      <sheetName val="본부소개"/>
      <sheetName val="상가TV배선"/>
      <sheetName val="1유리"/>
      <sheetName val="재료"/>
      <sheetName val="기계경비(시간당)"/>
      <sheetName val="골재산출"/>
      <sheetName val="공내역"/>
      <sheetName val="AIR SHOWER(3인용)"/>
      <sheetName val="예산M11A"/>
      <sheetName val="DB"/>
      <sheetName val="견적서"/>
      <sheetName val="견적"/>
      <sheetName val="101동"/>
      <sheetName val="식생블럭단위수량"/>
      <sheetName val="일위대가표"/>
      <sheetName val="토공사"/>
      <sheetName val="인수공규격"/>
      <sheetName val="J-EQ"/>
      <sheetName val="제출내역"/>
      <sheetName val="을"/>
      <sheetName val="총(신설)"/>
      <sheetName val="N賃率_職"/>
      <sheetName val="일위대가집계표"/>
      <sheetName val="차수공개요"/>
      <sheetName val="95년12월말"/>
      <sheetName val="102역사"/>
      <sheetName val="원가"/>
      <sheetName val="수량산출"/>
      <sheetName val="3BL공동구 수량"/>
      <sheetName val="6호기"/>
      <sheetName val="BID"/>
      <sheetName val="NYS"/>
      <sheetName val="입찰안"/>
      <sheetName val="주beam"/>
      <sheetName val="데이타"/>
      <sheetName val="일위대가목차"/>
      <sheetName val="I一般比"/>
      <sheetName val="5공철탑검토표"/>
      <sheetName val="4공철탑검토"/>
      <sheetName val="대창(장성)"/>
      <sheetName val="일위대가"/>
      <sheetName val="조명시설"/>
      <sheetName val="설비2차"/>
      <sheetName val="건축공사"/>
      <sheetName val="97년 추정"/>
      <sheetName val="단중표"/>
      <sheetName val="수량분배표"/>
      <sheetName val="교수설계"/>
      <sheetName val="asd"/>
      <sheetName val="Customer Databas"/>
      <sheetName val="990430_당초"/>
      <sheetName val="b_balju_cho"/>
      <sheetName val="입상내역"/>
      <sheetName val="내역(가지)"/>
      <sheetName val="원가총괄"/>
      <sheetName val="중기사용료산출근거"/>
      <sheetName val="급,배기팬"/>
      <sheetName val="카메라"/>
      <sheetName val="교각별철근수량집계표"/>
      <sheetName val="제직재"/>
      <sheetName val="조도계산서 (도서)"/>
      <sheetName val="일위총괄"/>
      <sheetName val="단위량"/>
      <sheetName val="재료집계표2"/>
      <sheetName val="토적집계표"/>
      <sheetName val="코드표"/>
      <sheetName val="물량입력"/>
      <sheetName val="지하"/>
      <sheetName val="일위대가-내역 "/>
      <sheetName val="단가"/>
      <sheetName val="적현로"/>
      <sheetName val="바닥판"/>
      <sheetName val="입력DATA"/>
      <sheetName val="노무단가산정"/>
      <sheetName val="부하자료"/>
      <sheetName val="J直材4"/>
      <sheetName val="0_6-1KV_FCV"/>
      <sheetName val="A_견적"/>
      <sheetName val="빌딩_안내"/>
      <sheetName val="_소방공사_산출근거"/>
      <sheetName val="노무비_근거"/>
      <sheetName val="표지_(2)"/>
      <sheetName val="AIR_SHOWER(3인용)"/>
      <sheetName val="3BL공동구_수량"/>
      <sheetName val="Customer_Databas"/>
      <sheetName val="97년_추정"/>
      <sheetName val="원가계산서_"/>
      <sheetName val="기존단가 (2)"/>
      <sheetName val="운반공사"/>
      <sheetName val="갑지1"/>
      <sheetName val="노임단가"/>
      <sheetName val="내역서 "/>
      <sheetName val="약품공급2"/>
      <sheetName val="교각1"/>
      <sheetName val="재개발"/>
      <sheetName val="대치판정"/>
      <sheetName val="공사착공계"/>
      <sheetName val="220 (2)"/>
      <sheetName val="담장산출"/>
      <sheetName val="소일위대가코드표"/>
      <sheetName val="1.취수장"/>
      <sheetName val="PIPE"/>
      <sheetName val="단가산출"/>
      <sheetName val="예산대비"/>
      <sheetName val="프로젝트"/>
      <sheetName val="2공구산출내역"/>
      <sheetName val="간접비계산"/>
      <sheetName val="기초자료"/>
      <sheetName val="분전반"/>
      <sheetName val="19990101-엑셀1"/>
      <sheetName val="중기"/>
      <sheetName val="갑  지"/>
      <sheetName val="본체"/>
      <sheetName val="설직재-1"/>
      <sheetName val="개요"/>
      <sheetName val="노임"/>
      <sheetName val="직원자료입력"/>
      <sheetName val="날개벽수량표"/>
      <sheetName val="기성내역"/>
      <sheetName val="설계명세"/>
      <sheetName val="내역전기"/>
      <sheetName val="일위1"/>
      <sheetName val="L1"/>
      <sheetName val="계약용량(서포)"/>
      <sheetName val="Macro(MCC)"/>
      <sheetName val="PIPING"/>
      <sheetName val="일위_파일"/>
      <sheetName val="inputdata"/>
      <sheetName val="연습"/>
      <sheetName val="실행(1)"/>
      <sheetName val="토공 total"/>
      <sheetName val="B"/>
      <sheetName val="#3_일위대가목록"/>
      <sheetName val="단가목록"/>
      <sheetName val="특별땅고르기"/>
      <sheetName val="원가계산서"/>
      <sheetName val="명세서"/>
      <sheetName val="전기공사"/>
      <sheetName val="기본1"/>
      <sheetName val="수정일위대가"/>
      <sheetName val="관급_File"/>
      <sheetName val="입력변수"/>
      <sheetName val="도담구내 개소별 명세"/>
      <sheetName val="일위대가(가설)"/>
      <sheetName val="공기압축기실"/>
      <sheetName val="기별(종합)"/>
      <sheetName val="측량노임.재료.기재"/>
      <sheetName val="철근량"/>
      <sheetName val="원본"/>
      <sheetName val="재료값"/>
      <sheetName val="오수공수량집계표"/>
      <sheetName val="2000년1차"/>
      <sheetName val="2000전체분"/>
      <sheetName val="산출근거"/>
      <sheetName val="원본(갑지)"/>
      <sheetName val="자재테이블"/>
      <sheetName val="가시설수량"/>
      <sheetName val="guard(mac)"/>
      <sheetName val="개소별수량산출"/>
      <sheetName val="국도접속 차도부수량"/>
      <sheetName val="데리네이타현황"/>
      <sheetName val="공량산출서"/>
      <sheetName val="연부97-1"/>
      <sheetName val="인건-측정"/>
      <sheetName val="인건비"/>
      <sheetName val="잡철물"/>
      <sheetName val="본사인상전"/>
      <sheetName val="준검 내역서"/>
      <sheetName val="국내조달(통합-1)"/>
      <sheetName val="강북라우터"/>
      <sheetName val="중기일위대가"/>
      <sheetName val="실행간접비용"/>
      <sheetName val="당진1,2호기전선관설치및접지4차공사내역서-을지"/>
      <sheetName val="공정집계"/>
      <sheetName val="접지수량"/>
      <sheetName val="lee"/>
      <sheetName val="집계표소트"/>
      <sheetName val="위치조서"/>
      <sheetName val="조건표"/>
      <sheetName val="물가시세"/>
      <sheetName val=" HIT-&gt;HMC 견적(3900)"/>
      <sheetName val="LD"/>
      <sheetName val="전기산출기초"/>
      <sheetName val="봉양~조차장간고하개명(신설)"/>
      <sheetName val="POL6차-PIPING"/>
      <sheetName val="Baby일위대가"/>
      <sheetName val="노임변동률"/>
      <sheetName val="설계명세서"/>
      <sheetName val="단가비교표_공통1"/>
      <sheetName val="세부내역"/>
      <sheetName val="표지1"/>
      <sheetName val="직재"/>
      <sheetName val="경산"/>
      <sheetName val="ES조서출력하기"/>
      <sheetName val="중강당 내역"/>
      <sheetName val="케이블"/>
      <sheetName val="1안"/>
      <sheetName val="연결임시"/>
      <sheetName val="과세내역(세부)"/>
      <sheetName val="계산표지"/>
      <sheetName val="자료"/>
      <sheetName val="통신대가"/>
      <sheetName val="일 위 대 가 표"/>
      <sheetName val="전동기"/>
      <sheetName val="중기사용료"/>
      <sheetName val="9GNG운반"/>
      <sheetName val="물가자료"/>
      <sheetName val="콘크리트"/>
      <sheetName val="을 1"/>
      <sheetName val="을 2"/>
      <sheetName val="제품정보"/>
      <sheetName val="추가예산"/>
      <sheetName val="내역서(2)"/>
      <sheetName val="암거단위"/>
      <sheetName val="자금운용계획표"/>
      <sheetName val="대차"/>
      <sheetName val="지급자재"/>
      <sheetName val="전기내역서(총계)"/>
      <sheetName val="입력"/>
      <sheetName val="일위목록"/>
      <sheetName val="cable산출"/>
      <sheetName val="음성(cable)"/>
      <sheetName val="PassPort-60%"/>
      <sheetName val="교각토공"/>
      <sheetName val="일위산출"/>
      <sheetName val="내역서(중수)"/>
      <sheetName val="품셈"/>
      <sheetName val="골조"/>
      <sheetName val="96정변2"/>
      <sheetName val="Macro(전기)"/>
      <sheetName val="노무비"/>
      <sheetName val="SIL98"/>
      <sheetName val="퍼스트"/>
      <sheetName val="LOPCALC"/>
      <sheetName val="하조서"/>
      <sheetName val="설계"/>
      <sheetName val="환율"/>
      <sheetName val="1,2공구원가계산서"/>
      <sheetName val="1공구산출내역서"/>
      <sheetName val="설비견적"/>
      <sheetName val="FAX"/>
      <sheetName val="자재일람"/>
      <sheetName val="창호"/>
      <sheetName val="실행철강하도"/>
      <sheetName val="내역서(전기)"/>
      <sheetName val="관리비비계상"/>
      <sheetName val="위생설비"/>
      <sheetName val="기초일위"/>
      <sheetName val="시설일위"/>
      <sheetName val="조명일위"/>
      <sheetName val="FAB4생산"/>
      <sheetName val="Sheet5"/>
      <sheetName val="단가표 (2)"/>
      <sheetName val="청주(철골발주의뢰서)"/>
      <sheetName val="참조 (2)"/>
      <sheetName val="내역서(기성청구)"/>
      <sheetName val="물집"/>
      <sheetName val="IMPEADENCE MAP 취수장"/>
      <sheetName val="MECH"/>
      <sheetName val="자단"/>
      <sheetName val="기본단가표"/>
      <sheetName val="경율산정.XLS"/>
      <sheetName val="품셈표"/>
      <sheetName val="품셈1-17"/>
      <sheetName val="부하계산서"/>
      <sheetName val="철탑공사"/>
      <sheetName val="공사직종별노임"/>
      <sheetName val="차압계산"/>
      <sheetName val="일위(시설)"/>
      <sheetName val="장비분류"/>
      <sheetName val="전체제잡비"/>
      <sheetName val="fursys"/>
      <sheetName val="터파기및재료"/>
      <sheetName val="수주추정"/>
      <sheetName val="ㄱ"/>
      <sheetName val="현장"/>
      <sheetName val="구성1"/>
      <sheetName val="구성2"/>
      <sheetName val="구성3"/>
      <sheetName val="구성4"/>
      <sheetName val="그림2"/>
      <sheetName val="RE9604"/>
      <sheetName val="수량산출서 (2)"/>
      <sheetName val="포승중환경개선공사(변경)"/>
      <sheetName val="20관리비율"/>
      <sheetName val="1.설계조건"/>
      <sheetName val="일위단가"/>
      <sheetName val="자동제어"/>
      <sheetName val="학생내역"/>
      <sheetName val="견적대비 견적서"/>
      <sheetName val="말뚝지지력산정"/>
      <sheetName val="미익SUB"/>
      <sheetName val="관급자재"/>
      <sheetName val="총수량집계표"/>
      <sheetName val="입찰보고"/>
      <sheetName val="상수도토공집계표"/>
      <sheetName val="자재표"/>
      <sheetName val="48일위"/>
      <sheetName val="48수량"/>
      <sheetName val="22수량"/>
      <sheetName val="49일위"/>
      <sheetName val="22일위"/>
      <sheetName val="49수량"/>
      <sheetName val="공사원가계산서"/>
      <sheetName val="공사설계서"/>
      <sheetName val="BTS Rack실장도(실외형)"/>
      <sheetName val="율촌법률사무소2내역"/>
      <sheetName val="Sheet13"/>
      <sheetName val="교각계산"/>
      <sheetName val="단가비교"/>
      <sheetName val="6. 안전관리비"/>
      <sheetName val="단가일람"/>
      <sheetName val="조경일람"/>
      <sheetName val="2"/>
      <sheetName val="감액총괄표"/>
      <sheetName val="세부내역서"/>
      <sheetName val="도급b_balju"/>
      <sheetName val="집계표(공종별)"/>
      <sheetName val="load(지하층)"/>
      <sheetName val="전체"/>
      <sheetName val="테이블"/>
      <sheetName val="집수정(600-700)"/>
      <sheetName val="설치내역"/>
      <sheetName val="전화공사 공량 및 집계표"/>
      <sheetName val="중간"/>
      <sheetName val="ATM기초철가"/>
      <sheetName val="설계변경"/>
      <sheetName val="인부신상자료"/>
      <sheetName val="대로근거"/>
      <sheetName val="계약서"/>
      <sheetName val="PLB"/>
      <sheetName val="사용자일위"/>
      <sheetName val="일위대가목록"/>
      <sheetName val="산출근거 (2)"/>
      <sheetName val="집계표 (2)"/>
      <sheetName val="을부담운반비"/>
      <sheetName val="신대방33(적용)"/>
      <sheetName val="토목주소"/>
      <sheetName val="차액보증"/>
      <sheetName val="위스키3"/>
      <sheetName val="주류전체2"/>
      <sheetName val="Total"/>
      <sheetName val="스포회원매출"/>
      <sheetName val="20-25"/>
      <sheetName val="13LPMCC"/>
      <sheetName val="Y-WORK"/>
      <sheetName val="부대내역"/>
      <sheetName val="공정집계_국별"/>
      <sheetName val="건축원가계산서"/>
      <sheetName val="정렬"/>
      <sheetName val="전기공사일위대가"/>
      <sheetName val="내역(설계)"/>
      <sheetName val="LOAD-46"/>
      <sheetName val="시운전연료"/>
      <sheetName val="일위집계(기존)"/>
      <sheetName val="개인별조서"/>
      <sheetName val="모관부설및연결"/>
      <sheetName val="청천내"/>
      <sheetName val="노임이"/>
      <sheetName val="여과지동"/>
      <sheetName val="토사(PE)"/>
      <sheetName val="토공(우물통,기타) "/>
      <sheetName val="문학간접"/>
      <sheetName val="본부장"/>
      <sheetName val="지질조사"/>
      <sheetName val="집계"/>
      <sheetName val="할증 "/>
      <sheetName val="견적대비표"/>
      <sheetName val="voucher"/>
      <sheetName val="대장"/>
      <sheetName val="환율change"/>
      <sheetName val="FACTOR"/>
      <sheetName val="단위단가"/>
      <sheetName val="별표 "/>
      <sheetName val="P1(좌,우)"/>
      <sheetName val="노무비단가"/>
      <sheetName val="총괄메뉴"/>
      <sheetName val="재료비"/>
      <sheetName val="인사자료총집계"/>
      <sheetName val="기본사항"/>
      <sheetName val="견적조건"/>
      <sheetName val="사다리"/>
      <sheetName val="철근중량"/>
      <sheetName val="기본자료"/>
      <sheetName val="예산서"/>
      <sheetName val="철근집계"/>
      <sheetName val="품목"/>
      <sheetName val="NEYOK"/>
      <sheetName val="2.대외공문"/>
      <sheetName val="직공비"/>
      <sheetName val="개요2"/>
      <sheetName val="수량총괄"/>
      <sheetName val="연장,면적"/>
      <sheetName val="자재"/>
      <sheetName val="월별수입"/>
      <sheetName val="참조"/>
      <sheetName val="콘센트신설"/>
      <sheetName val="직접경비호표"/>
      <sheetName val="기본DATA"/>
      <sheetName val="순공사비"/>
      <sheetName val="항측노임단가"/>
      <sheetName val="역공종"/>
      <sheetName val="dtxl"/>
      <sheetName val="접속 SLAB,BRACKET 설계"/>
      <sheetName val="교량data"/>
      <sheetName val="AIR SHOWER_3인용_"/>
      <sheetName val="노 무 비"/>
      <sheetName val="지하시설물작성"/>
      <sheetName val="재료집계표3"/>
      <sheetName val="9509"/>
      <sheetName val="암거날개벽재료집계"/>
      <sheetName val="갈현동"/>
      <sheetName val="식재인부"/>
      <sheetName val="일위대가표(DEEP)"/>
      <sheetName val="금융비용"/>
      <sheetName val="설계내역서"/>
      <sheetName val="재료집계표"/>
      <sheetName val="신천3호용수로"/>
      <sheetName val="1 자원총괄"/>
      <sheetName val="시중노임단가"/>
      <sheetName val="계약내력"/>
      <sheetName val="Sheet4"/>
      <sheetName val="0_6-1KV_FCV1"/>
      <sheetName val="노무비_근거1"/>
      <sheetName val="빌딩_안내1"/>
      <sheetName val="A_견적1"/>
      <sheetName val="_소방공사_산출근거1"/>
      <sheetName val="원가계산서_1"/>
      <sheetName val="AIR_SHOWER(3인용)1"/>
      <sheetName val="표지_(2)1"/>
      <sheetName val="3BL공동구_수량1"/>
      <sheetName val="97년_추정1"/>
      <sheetName val="Customer_Databas1"/>
      <sheetName val="조도계산서_(도서)"/>
      <sheetName val="일위대가-내역_"/>
      <sheetName val="내역서_"/>
      <sheetName val="220_(2)"/>
      <sheetName val="갑__지"/>
      <sheetName val="1_취수장"/>
      <sheetName val="기존단가_(2)"/>
      <sheetName val="토공_total"/>
      <sheetName val="도담구내_개소별_명세"/>
      <sheetName val="측량노임_재료_기재"/>
      <sheetName val="국도접속_차도부수량"/>
      <sheetName val="_HIT-&gt;HMC_견적(3900)"/>
      <sheetName val="준검_내역서"/>
      <sheetName val="일_위_대_가_표"/>
      <sheetName val="경율산정_XLS"/>
      <sheetName val="물량표"/>
      <sheetName val="2공구내역"/>
      <sheetName val="98수문일위"/>
      <sheetName val="정산내역서"/>
      <sheetName val="대비"/>
      <sheetName val="오동"/>
      <sheetName val="대조"/>
      <sheetName val="나한"/>
      <sheetName val="휴가비,급량비"/>
      <sheetName val="건축"/>
      <sheetName val="표  지"/>
    </sheetNames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공사"/>
      <sheetName val="부지정리"/>
      <sheetName val="콘크리트"/>
      <sheetName val="조적"/>
      <sheetName val="지주"/>
      <sheetName val="자연석"/>
      <sheetName val="잔디"/>
      <sheetName val="포장공"/>
      <sheetName val="엣지"/>
      <sheetName val="상하차 운반비, 운반비"/>
      <sheetName val="물가자료"/>
      <sheetName val="가설공사"/>
      <sheetName val="단가"/>
      <sheetName val="손익분석"/>
      <sheetName val="토적"/>
      <sheetName val="VXXXXX"/>
      <sheetName val="일위대가모음"/>
      <sheetName val="부안일위"/>
    </sheetNames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오억미만"/>
      <sheetName val="오억이상"/>
      <sheetName val="Sheet4"/>
      <sheetName val="오천미만"/>
      <sheetName val="토공사"/>
      <sheetName val="물가자료"/>
      <sheetName val="단가"/>
    </sheetNames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1"/>
      <sheetName val="표지2"/>
      <sheetName val="산출내역서"/>
      <sheetName val="원가계산서"/>
      <sheetName val="일위대가바로가기"/>
      <sheetName val="일위대가표"/>
      <sheetName val="수량계산서 "/>
      <sheetName val="물가대비표"/>
      <sheetName val="시중노임단가"/>
      <sheetName val="도면   "/>
      <sheetName val="점검사항"/>
      <sheetName val="배움터"/>
      <sheetName val="정렬"/>
      <sheetName val="오억미만"/>
      <sheetName val="개요"/>
      <sheetName val="가정급수관"/>
      <sheetName val="손익분석"/>
      <sheetName val="인건비 "/>
      <sheetName val="합천내역"/>
      <sheetName val="단가"/>
      <sheetName val="일위대가"/>
      <sheetName val="전기단가조사서"/>
      <sheetName val="인건-측정"/>
      <sheetName val="토공총괄표"/>
      <sheetName val="품산출서"/>
      <sheetName val="내역서"/>
      <sheetName val="자료입력"/>
      <sheetName val="5(철거수량)"/>
      <sheetName val="수량산출서"/>
      <sheetName val="램머"/>
      <sheetName val="통신0009"/>
      <sheetName val="제품목록"/>
      <sheetName val="준검 내역서"/>
      <sheetName val="하조서"/>
      <sheetName val="코드2"/>
      <sheetName val="노임단가"/>
      <sheetName val="sw1"/>
      <sheetName val="대구칠곡5전기"/>
      <sheetName val="집계표"/>
      <sheetName val="단가비교표_공통1"/>
      <sheetName val="대조표(0108)"/>
      <sheetName val="I一般比"/>
      <sheetName val="경비공통"/>
      <sheetName val="기본일위"/>
      <sheetName val="본사업"/>
      <sheetName val="DANGA"/>
      <sheetName val="가시설(TYPE-A)"/>
      <sheetName val="1-1평균터파기고(1)"/>
      <sheetName val="입찰안"/>
      <sheetName val="집수정(600-700)"/>
      <sheetName val="내역서1"/>
      <sheetName val="배수통관(좌)"/>
      <sheetName val="총괄"/>
      <sheetName val="토목단가"/>
      <sheetName val="노무비 "/>
      <sheetName val="200"/>
      <sheetName val="설계명세서"/>
      <sheetName val="대가목록"/>
      <sheetName val="토공사"/>
      <sheetName val="토공집계표"/>
      <sheetName val="총괄-1"/>
      <sheetName val="건축내역"/>
      <sheetName val="단가산출"/>
      <sheetName val="갑지"/>
      <sheetName val="수량산출"/>
      <sheetName val="설계산출표지"/>
      <sheetName val="CCTV"/>
      <sheetName val="공정코드"/>
      <sheetName val="산출0"/>
      <sheetName val="통신2005"/>
      <sheetName val="자재단가"/>
      <sheetName val="내역표지"/>
      <sheetName val="최종견"/>
      <sheetName val="배관배선 단가조사"/>
      <sheetName val="일위대가집계"/>
      <sheetName val="참조 (2)"/>
      <sheetName val="설계내역서"/>
      <sheetName val="실행내역 (2)"/>
      <sheetName val="을02"/>
      <sheetName val="입상내역"/>
      <sheetName val="옥외전력간선설비공사"/>
      <sheetName val="견적대비"/>
      <sheetName val="노무비"/>
      <sheetName val="인원계획"/>
      <sheetName val="조명율표"/>
      <sheetName val="대림경상68억"/>
      <sheetName val="사본 - b_balju"/>
      <sheetName val="제경비"/>
      <sheetName val="콘센트신설"/>
      <sheetName val="VXXXXX"/>
      <sheetName val="공사비총괄표"/>
      <sheetName val="인건비"/>
      <sheetName val="일위대가(1)"/>
      <sheetName val="미장"/>
      <sheetName val="산출기초"/>
      <sheetName val="부대공Ⅱ"/>
      <sheetName val="반응조"/>
      <sheetName val="기계경비(시간당)"/>
      <sheetName val="관급"/>
      <sheetName val="약품공급2"/>
      <sheetName val="사급자재"/>
      <sheetName val="설계서을"/>
      <sheetName val="DATA"/>
      <sheetName val="기기리스트"/>
      <sheetName val="내역서(중수)"/>
      <sheetName val="조경일람"/>
      <sheetName val="직노"/>
      <sheetName val="실행내역"/>
      <sheetName val="SIL98"/>
      <sheetName val="지하1층"/>
      <sheetName val="J直材4"/>
      <sheetName val="단위일위"/>
      <sheetName val="설계예산서"/>
      <sheetName val="__MAIN"/>
      <sheetName val="관급자재일위대가집계표"/>
      <sheetName val="N賃率-職"/>
      <sheetName val="조내역"/>
      <sheetName val="노임"/>
      <sheetName val="공사비"/>
      <sheetName val="사다리"/>
      <sheetName val="전기"/>
      <sheetName val="3BL공동구 수량"/>
      <sheetName val="자재집계표"/>
      <sheetName val="수벽설치(효자)"/>
      <sheetName val="일위대가(가설)"/>
      <sheetName val="Sheet1 (2)"/>
      <sheetName val="예산명세서"/>
      <sheetName val="한일양산"/>
      <sheetName val="평3"/>
      <sheetName val="설계명세서(선로)"/>
      <sheetName val="990430_당초"/>
      <sheetName val="건축"/>
      <sheetName val="Macro(차단기)"/>
      <sheetName val="수주추정"/>
      <sheetName val="피벗테이블데이터분석"/>
      <sheetName val="노임단가표"/>
      <sheetName val="견적"/>
      <sheetName val="대치판정"/>
      <sheetName val="9GNG운반"/>
      <sheetName val="일위대가목차"/>
      <sheetName val="수량산출서 (2)"/>
      <sheetName val="일위집계"/>
      <sheetName val="단가비교"/>
      <sheetName val="데이타"/>
      <sheetName val="깨기"/>
      <sheetName val="(암정)관급"/>
      <sheetName val="단가조사"/>
      <sheetName val="전선 및 전선관"/>
      <sheetName val="EQUIP-H"/>
      <sheetName val="총공사내역서"/>
      <sheetName val="실행철강하도"/>
      <sheetName val="프랜트면허"/>
      <sheetName val="토목주소"/>
      <sheetName val="앨범표지"/>
      <sheetName val="케이블"/>
      <sheetName val="내역"/>
      <sheetName val="설계서"/>
      <sheetName val="#REF"/>
      <sheetName val="우배수"/>
      <sheetName val="15설계GIS"/>
      <sheetName val="공사설계서"/>
      <sheetName val="복갑"/>
      <sheetName val="토공1차"/>
      <sheetName val="자재테이블"/>
      <sheetName val="코드일람표2001년10월"/>
      <sheetName val="포장공사"/>
      <sheetName val="NOMUBI"/>
      <sheetName val="상세내역서"/>
      <sheetName val="#2-3 일위대가"/>
      <sheetName val="#2-4 단가대비표"/>
      <sheetName val="맨홀수량산출"/>
      <sheetName val="총(철거)"/>
      <sheetName val="총물량표"/>
      <sheetName val="계약서"/>
      <sheetName val="#3_일위대가목록"/>
      <sheetName val="#2_일위대가목록"/>
      <sheetName val="Sheet1"/>
      <sheetName val="산출내역서(전체)"/>
      <sheetName val="일위산출근거"/>
      <sheetName val="수량집계(일반통신)"/>
      <sheetName val="준공정산"/>
      <sheetName val="AIR SHOWER_3인용_"/>
      <sheetName val="쇠(1)"/>
      <sheetName val="가격(3)"/>
      <sheetName val="남양내역"/>
      <sheetName val="Sheet6"/>
      <sheetName val="집계"/>
      <sheetName val="부안일위"/>
      <sheetName val="기별명세"/>
      <sheetName val="통계연보"/>
      <sheetName val="신호등일위대가"/>
      <sheetName val="총괄표"/>
      <sheetName val="적용토목"/>
      <sheetName val="guard(mac)"/>
      <sheetName val="토목내역서 (도급단가) (2)"/>
      <sheetName val="(C)원내역"/>
      <sheetName val="공사개요"/>
      <sheetName val="ABUT수량-A1"/>
      <sheetName val="세골재  T2 변경 현황"/>
      <sheetName val="4.2.1 마루높이 검토"/>
      <sheetName val="입찰보고"/>
      <sheetName val="요율"/>
      <sheetName val="도급"/>
      <sheetName val="조명시설"/>
      <sheetName val="토목단가목록"/>
      <sheetName val="단가 및 재료비"/>
      <sheetName val="IMPEADENCE MAP 취수장"/>
      <sheetName val="원가서"/>
      <sheetName val="LD"/>
      <sheetName val="을지"/>
      <sheetName val="을지  (2)"/>
      <sheetName val="장"/>
      <sheetName val="단가비교표"/>
      <sheetName val="일위목록"/>
      <sheetName val="잔여세부내역"/>
      <sheetName val="수량계산서_"/>
      <sheetName val="도면___"/>
      <sheetName val="401"/>
      <sheetName val="기초자료입력"/>
      <sheetName val="코드명"/>
      <sheetName val="내역갑지"/>
      <sheetName val="보호"/>
      <sheetName val="SLAB&quot;1&quot;"/>
      <sheetName val="침출산"/>
      <sheetName val="1.취수장"/>
      <sheetName val="직영2"/>
      <sheetName val="1,2공구원가계산서"/>
      <sheetName val="1공구산출내역서"/>
    </sheetNames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"/>
      <sheetName val="시중노임단가"/>
    </sheetNames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표"/>
      <sheetName val="3월28일"/>
      <sheetName val="건축내역"/>
      <sheetName val="오억미만"/>
    </sheetNames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예산서 (2)"/>
      <sheetName val="설계 내역서 (2)"/>
      <sheetName val="공사비예산서"/>
      <sheetName val="설계 내역서"/>
      <sheetName val="품셈총괄표"/>
      <sheetName val=" 품셈"/>
      <sheetName val="장비부표총괄표"/>
      <sheetName val="부표총괄표"/>
      <sheetName val="일반부표"/>
      <sheetName val="별표총괄표"/>
      <sheetName val="별표 (2)"/>
      <sheetName val="사급자재"/>
      <sheetName val="지입자재"/>
      <sheetName val="자재수량"/>
      <sheetName val="토량총괄"/>
      <sheetName val="토적계산"/>
      <sheetName val="구조물토량"/>
      <sheetName val="우수평균깊이"/>
      <sheetName val="구조물수량산출"/>
      <sheetName val="자료"/>
      <sheetName val="단가"/>
      <sheetName val="Sheet11"/>
      <sheetName val="Sheet12"/>
      <sheetName val="Sheet13"/>
      <sheetName val="Sheet14"/>
      <sheetName val="Sheet15"/>
      <sheetName val="Sheet16"/>
      <sheetName val="일반부표총괄"/>
      <sheetName val="별 표"/>
      <sheetName val="별표총괄"/>
      <sheetName val="품셈TABLE"/>
      <sheetName val="견적 조건 변경사항"/>
      <sheetName val="단지내-공내역"/>
      <sheetName val="Sheet2"/>
      <sheetName val="Sheet3"/>
      <sheetName val="단가표"/>
      <sheetName val="내역표지"/>
      <sheetName val="원가계산서(총괄)"/>
      <sheetName val="산출내역집계"/>
      <sheetName val="건축집계"/>
      <sheetName val="건축내역"/>
      <sheetName val="토목집계"/>
      <sheetName val="토목내역"/>
      <sheetName val="설비집계"/>
      <sheetName val="설비내역"/>
      <sheetName val="금액내역서"/>
      <sheetName val="원가계산서(남측)"/>
      <sheetName val="별표내역"/>
      <sheetName val="공통가설(현장검토안)"/>
      <sheetName val="노임단가"/>
      <sheetName val="3BL공동구 수량"/>
      <sheetName val="자재집계표"/>
      <sheetName val="시멘트"/>
      <sheetName val="도급"/>
      <sheetName val="잡설비내역"/>
      <sheetName val="견적서"/>
      <sheetName val="총괄-1"/>
      <sheetName val="별표 "/>
      <sheetName val="품셈표"/>
      <sheetName val="품 셈"/>
      <sheetName val="부표"/>
      <sheetName val="부표 TABLE"/>
      <sheetName val="Sheet4"/>
      <sheetName val="Sheet5"/>
      <sheetName val="Sheet6"/>
      <sheetName val="토목"/>
      <sheetName val="TB-내역서"/>
      <sheetName val="PIPE(UG)내역"/>
      <sheetName val="자료입력"/>
      <sheetName val="실행내역"/>
      <sheetName val="일위대가표"/>
      <sheetName val="시설물기초"/>
      <sheetName val="원가계산"/>
      <sheetName val="별총"/>
      <sheetName val="우,오수"/>
      <sheetName val="EJ"/>
      <sheetName val="간접경상비"/>
      <sheetName val="종단계산"/>
      <sheetName val="정렬"/>
      <sheetName val="부표총괄"/>
      <sheetName val="품셈1-"/>
      <sheetName val="중기"/>
      <sheetName val="6-1. 관개량조서"/>
      <sheetName val="외주비"/>
      <sheetName val="오억미만"/>
      <sheetName val="자재단가조사표-수목"/>
      <sheetName val="접속도로"/>
      <sheetName val="NYS"/>
      <sheetName val="포장(수량)-관로부"/>
      <sheetName val="JOIN(2span)"/>
      <sheetName val="값"/>
      <sheetName val="일위"/>
      <sheetName val="총물량"/>
      <sheetName val="품셈"/>
      <sheetName val="부대내역"/>
      <sheetName val="일위대가"/>
      <sheetName val="보차도경계석"/>
      <sheetName val="Y-WORK"/>
      <sheetName val="을지"/>
      <sheetName val="플랜트 설치"/>
      <sheetName val="Ⅴ-2.공종별내역"/>
      <sheetName val="단중"/>
      <sheetName val="2000년1차"/>
      <sheetName val="AABS내역"/>
      <sheetName val="LIST"/>
      <sheetName val="PUMP"/>
      <sheetName val="VENDOR LIST"/>
      <sheetName val="공통비"/>
      <sheetName val="토목내역서"/>
      <sheetName val="6동"/>
      <sheetName val="경비_원본"/>
      <sheetName val="갑지"/>
      <sheetName val="일위대가목록"/>
      <sheetName val="접속도로1"/>
      <sheetName val="노임"/>
      <sheetName val="sw1"/>
      <sheetName val="NOMUBI"/>
      <sheetName val="접속도로집계"/>
      <sheetName val="실행"/>
      <sheetName val="구조물"/>
      <sheetName val="예산M2"/>
      <sheetName val="인건비"/>
      <sheetName val="단중표"/>
      <sheetName val="기성내역서표지"/>
      <sheetName val="00상노임"/>
      <sheetName val="건축"/>
      <sheetName val="투찰(하수)"/>
      <sheetName val="참조-(1)"/>
      <sheetName val="내역서"/>
      <sheetName val="#REF"/>
      <sheetName val="공사개요"/>
      <sheetName val="표준단면수량(출력안함)"/>
      <sheetName val="수량산출서"/>
      <sheetName val="에너지요금"/>
      <sheetName val="토공사"/>
      <sheetName val="견적의뢰"/>
      <sheetName val="장비별표(오거보링)(Ø400)(12M)"/>
      <sheetName val="내역"/>
      <sheetName val="소방"/>
      <sheetName val="설계예시"/>
      <sheetName val="별표집계"/>
      <sheetName val="프랜트면허"/>
      <sheetName val="2.품제O호표"/>
      <sheetName val="명단"/>
      <sheetName val="교통대책내역"/>
      <sheetName val="일위대가표집계표"/>
      <sheetName val="DATE"/>
      <sheetName val="가시설(TYPE-A)"/>
      <sheetName val="1-1평균터파기고(1)"/>
      <sheetName val="사다리"/>
      <sheetName val="포장공사"/>
      <sheetName val="공사내역"/>
      <sheetName val="청주(철골발주의뢰서)"/>
      <sheetName val="정공공사"/>
      <sheetName val="부대공(집계)"/>
      <sheetName val="제품별절단길이-0628"/>
      <sheetName val="절단길이-CODE4"/>
      <sheetName val="색상코드-CODE5,6,7,8"/>
      <sheetName val="기초일위"/>
      <sheetName val="일위대가목차"/>
      <sheetName val="집계"/>
      <sheetName val="Macro1"/>
      <sheetName val="전기"/>
      <sheetName val="정부노임"/>
      <sheetName val="guard(mac)"/>
      <sheetName val="정부노임단가"/>
      <sheetName val="원가계산서"/>
      <sheetName val="우수맨홀공제단위수량"/>
      <sheetName val="물량표"/>
      <sheetName val="대구칠곡5전기"/>
      <sheetName val="자재단가"/>
      <sheetName val="BID"/>
      <sheetName val="P.M 별"/>
      <sheetName val="평자재단가"/>
      <sheetName val="원본"/>
      <sheetName val="부대공Ⅱ"/>
      <sheetName val="Sheet1"/>
      <sheetName val="1월"/>
      <sheetName val="지질조사"/>
      <sheetName val="하수급견적대비"/>
      <sheetName val="관계주식"/>
      <sheetName val="평균터파기고(1-2,ASP)"/>
      <sheetName val="국내"/>
      <sheetName val="중소기업"/>
      <sheetName val="품목"/>
      <sheetName val="I一般比"/>
      <sheetName val="마감"/>
      <sheetName val="직재"/>
      <sheetName val="Customer Databas"/>
      <sheetName val="총괄표"/>
      <sheetName val="200"/>
      <sheetName val="공통가설"/>
      <sheetName val="갑지(요약)"/>
      <sheetName val="대가표(품셈)"/>
      <sheetName val="laroux"/>
      <sheetName val="전기관급내역서"/>
      <sheetName val="전기관급내역총계"/>
      <sheetName val="목차"/>
      <sheetName val="전기토목총괄"/>
      <sheetName val="토목내역총계"/>
      <sheetName val="전기내역총계"/>
      <sheetName val="전기내역서"/>
      <sheetName val="일위대가표-1"/>
      <sheetName val="일위대가표-2"/>
      <sheetName val="일위대가표-3"/>
      <sheetName val="일위대가표-4"/>
      <sheetName val="일위대가표-5"/>
      <sheetName val="일위대가표-4 (2)"/>
      <sheetName val="단가산출서"/>
      <sheetName val="재료비 "/>
      <sheetName val="중기총괄"/>
      <sheetName val="중기손료"/>
      <sheetName val="중기단가"/>
      <sheetName val="계수"/>
      <sheetName val="환율"/>
      <sheetName val="유류대"/>
      <sheetName val="중시노임"/>
      <sheetName val="관급내역서"/>
      <sheetName val="관급내역총계"/>
      <sheetName val="직노"/>
      <sheetName val="터파기및재료"/>
      <sheetName val="인건-측정"/>
      <sheetName val="내역_ver1.0"/>
      <sheetName val="골조시행"/>
      <sheetName val="설 계"/>
      <sheetName val="토공집계표"/>
      <sheetName val="지급자재"/>
      <sheetName val="기계경비(시간당)"/>
      <sheetName val="A3.공사비 검토"/>
      <sheetName val="밸브설치"/>
      <sheetName val="이자율"/>
      <sheetName val="이익영"/>
      <sheetName val="변경총괄표"/>
      <sheetName val="재공품"/>
      <sheetName val="입력자료(노무비)"/>
      <sheetName val="분수장비시설수량"/>
      <sheetName val="식재수량표"/>
      <sheetName val="입고장부 (4)"/>
      <sheetName val="inputdata"/>
      <sheetName val="남양내역"/>
      <sheetName val="설계예산서"/>
      <sheetName val="품셈목록"/>
      <sheetName val="제잡비(주공종)"/>
      <sheetName val="별표 (1)"/>
      <sheetName val="잡비"/>
      <sheetName val="6호기"/>
      <sheetName val="유림골조"/>
      <sheetName val="건축공사"/>
      <sheetName val="건축직"/>
      <sheetName val="갑지(추정)"/>
      <sheetName val="원가"/>
      <sheetName val="단가 및 재료비"/>
      <sheetName val="3.3수량집계"/>
      <sheetName val="기본일위"/>
      <sheetName val="제잡비"/>
      <sheetName val="총괄원가계산서"/>
      <sheetName val="SLAB&quot;1&quot;"/>
      <sheetName val="재료"/>
      <sheetName val="자재단가비교표"/>
      <sheetName val="포장복구집계"/>
      <sheetName val="하조서"/>
      <sheetName val="가시설흙막이"/>
      <sheetName val="식재일위"/>
      <sheetName val="인건비 "/>
      <sheetName val="조명율표"/>
      <sheetName val="내역조적"/>
      <sheetName val="최종견"/>
      <sheetName val="2002상반기노임기준"/>
      <sheetName val="BEND LOSS"/>
      <sheetName val="견적을지"/>
      <sheetName val="당초"/>
      <sheetName val="토목노임단가"/>
      <sheetName val="101동"/>
      <sheetName val="용소리교"/>
      <sheetName val="산출(열차무선)"/>
      <sheetName val="산출(역무통신)"/>
      <sheetName val="견"/>
      <sheetName val="노임대가"/>
      <sheetName val="1062-X방향 "/>
      <sheetName val="(C)원내역"/>
      <sheetName val="기계설비"/>
      <sheetName val="MOTOR"/>
      <sheetName val="현장관리비데이타"/>
      <sheetName val="7. 현장관리비 "/>
      <sheetName val="6. 안전관리비"/>
      <sheetName val="단면"/>
      <sheetName val="출자한도"/>
      <sheetName val="MIJIBI"/>
      <sheetName val="공정코드"/>
      <sheetName val="#3E1_GCR"/>
      <sheetName val="공사비산출내역"/>
      <sheetName val="선수금"/>
      <sheetName val="주차구획선수량"/>
      <sheetName val="MAIN_TABLE"/>
      <sheetName val="대로근거"/>
      <sheetName val="수량산출서 갑지"/>
      <sheetName val="98지급계획"/>
      <sheetName val="9-1차이내역"/>
      <sheetName val="연습"/>
      <sheetName val="단양 00 아파트-세부내역"/>
      <sheetName val="빙장비사양"/>
      <sheetName val="장비사양"/>
      <sheetName val="견적대비표"/>
      <sheetName val="C3.토목_옹벽"/>
      <sheetName val="A6.샤시등"/>
      <sheetName val="비탈면보호공수량산출"/>
      <sheetName val="06-BATCH "/>
      <sheetName val="AP1"/>
      <sheetName val="DATA"/>
      <sheetName val="SG"/>
      <sheetName val="공주방향"/>
      <sheetName val="공사비예산서_(2)"/>
      <sheetName val="설계_내역서_(2)"/>
      <sheetName val="설계_내역서"/>
      <sheetName val="_품셈"/>
      <sheetName val="별표_(2)"/>
      <sheetName val="별_표"/>
      <sheetName val="견적_조건_변경사항"/>
      <sheetName val="3BL공동구_수량"/>
      <sheetName val="별표_"/>
      <sheetName val="품_셈"/>
      <sheetName val="부표_TABLE"/>
      <sheetName val="6-1__관개량조서"/>
      <sheetName val="플랜트_설치"/>
      <sheetName val="Ⅴ-2_공종별내역"/>
      <sheetName val="VENDOR_LIST"/>
      <sheetName val="2_품제O호표"/>
      <sheetName val="P_M_별"/>
      <sheetName val="A3_공사비_검토"/>
      <sheetName val="내역_ver1_0"/>
      <sheetName val="1F"/>
      <sheetName val="표지"/>
      <sheetName val="집계표"/>
      <sheetName val="SIL98"/>
      <sheetName val="설계명세서"/>
      <sheetName val="별표(1)"/>
      <sheetName val="배수공 시멘트 및 골재량 산출"/>
      <sheetName val="조명시설"/>
      <sheetName val="우수받이"/>
      <sheetName val="산출내역서"/>
      <sheetName val="몰탈재료산출"/>
      <sheetName val="세부내역"/>
      <sheetName val="전기일위대가"/>
      <sheetName val="단위단가"/>
      <sheetName val="우배수"/>
      <sheetName val="#3_일위대가목록"/>
      <sheetName val="SCH"/>
      <sheetName val="입찰"/>
      <sheetName val="현경"/>
      <sheetName val="관리,공감"/>
      <sheetName val="견적대비"/>
      <sheetName val="노무비"/>
      <sheetName val="준검 내역서"/>
      <sheetName val="부분별수량산출(조합기초)"/>
      <sheetName val="2호맨홀공제수량"/>
      <sheetName val="수량-77m)"/>
      <sheetName val="예정공정-전체"/>
      <sheetName val="총공사내역서"/>
      <sheetName val="-배수구조총재료"/>
      <sheetName val="기초자료입력"/>
      <sheetName val="1.취수장"/>
      <sheetName val="현장"/>
      <sheetName val="개요"/>
      <sheetName val="DB"/>
      <sheetName val="산출근거"/>
      <sheetName val="명세서"/>
      <sheetName val="견적"/>
      <sheetName val="6.이토처리시간"/>
      <sheetName val="토공(우물통,기타) "/>
      <sheetName val="99노임기준"/>
      <sheetName val="말뚝지지력산정"/>
      <sheetName val="산출내역서집계표"/>
      <sheetName val="감가상각"/>
      <sheetName val="합계금액"/>
      <sheetName val="노임단가명세표"/>
      <sheetName val="교대(A1)"/>
      <sheetName val="인부노임"/>
      <sheetName val="식생블럭단위수량"/>
      <sheetName val="관리비"/>
      <sheetName val="출력X"/>
      <sheetName val="품목테이블"/>
      <sheetName val="Baby일위대가"/>
      <sheetName val="교각별철근수량집계표"/>
      <sheetName val="동원인원"/>
      <sheetName val="22인공"/>
      <sheetName val="산출표"/>
      <sheetName val="Total"/>
      <sheetName val="대치판정"/>
      <sheetName val="관급"/>
      <sheetName val="Macro(전선)"/>
      <sheetName val="1"/>
      <sheetName val="중기사용료"/>
      <sheetName val="사본 - b_balju"/>
      <sheetName val="WEIGHT"/>
      <sheetName val="시중노임단가"/>
      <sheetName val="기본단가표"/>
      <sheetName val="설비"/>
      <sheetName val="퇴직금(울산천상)"/>
      <sheetName val="SCHEDULE"/>
      <sheetName val="ELECTRIC"/>
      <sheetName val="데이타"/>
      <sheetName val="1.수인터널"/>
      <sheetName val="각종양식"/>
      <sheetName val="근로자자료입력"/>
      <sheetName val="참고자료"/>
      <sheetName val="fursys"/>
      <sheetName val="1차증가원가계산"/>
      <sheetName val="BD운반거리"/>
      <sheetName val="REINF."/>
      <sheetName val="LOADS"/>
      <sheetName val="장비임대료"/>
      <sheetName val="DATA 입력란"/>
      <sheetName val="손익분석"/>
      <sheetName val="설계내역서"/>
      <sheetName val="수량명세서"/>
      <sheetName val="별표"/>
      <sheetName val="평3"/>
      <sheetName val="BOX전기내역"/>
      <sheetName val="방수"/>
      <sheetName val="2002공임"/>
      <sheetName val="2002자재가격"/>
      <sheetName val="95년12월말"/>
      <sheetName val="품셈총괄"/>
      <sheetName val="개산공사비"/>
      <sheetName val="내역서(기성청구)"/>
      <sheetName val="4.2.1 마루높이 검토"/>
      <sheetName val="주관사업"/>
      <sheetName val="전체내역"/>
      <sheetName val="전기단가조사서"/>
      <sheetName val="내역(가지)"/>
      <sheetName val="철집"/>
      <sheetName val="공통부대비"/>
      <sheetName val="토적계산서"/>
      <sheetName val="골조공사"/>
      <sheetName val="cable산출"/>
      <sheetName val="배수통관(좌)"/>
      <sheetName val="토공총괄표"/>
      <sheetName val="품목단가"/>
      <sheetName val="일위목차"/>
      <sheetName val="수량산출(2공구)"/>
      <sheetName val="수량산출 (3공구)"/>
      <sheetName val="경비일반이윤변경"/>
      <sheetName val="재료변경"/>
      <sheetName val="품셈(기초)"/>
      <sheetName val="부총"/>
      <sheetName val="공종별적용단가"/>
      <sheetName val="금융비용"/>
      <sheetName val="INPUT"/>
      <sheetName val="공사설명서"/>
      <sheetName val="전기_x0002__x0000_韈G"/>
      <sheetName val=""/>
      <sheetName val="설계기준"/>
      <sheetName val="재"/>
      <sheetName val="0217상가미분양자산"/>
      <sheetName val="내역기준"/>
      <sheetName val="9GNG운반"/>
      <sheetName val="코드표"/>
      <sheetName val="기계"/>
      <sheetName val="정화조"/>
      <sheetName val="조경"/>
      <sheetName val="TABLE"/>
      <sheetName val="삼보지질"/>
      <sheetName val="단가대비표"/>
      <sheetName val="지구단위계획"/>
      <sheetName val="천안IP공장자100노100물량110할증"/>
      <sheetName val="입력자료"/>
      <sheetName val="대가호표"/>
      <sheetName val="퇴직공제부금산출근거"/>
      <sheetName val="입찰안"/>
      <sheetName val="실행철강하도"/>
      <sheetName val="입찰보고"/>
      <sheetName val="토사(PE)"/>
      <sheetName val="철골"/>
      <sheetName val="입상내역"/>
      <sheetName val="세골재  T2 변경 현황"/>
      <sheetName val="토목공사"/>
      <sheetName val="저"/>
      <sheetName val="장비가동"/>
      <sheetName val="설계내역"/>
      <sheetName val="일위대가1"/>
      <sheetName val="총괄내역서"/>
      <sheetName val="3본사"/>
      <sheetName val="관개"/>
      <sheetName val="실행단가"/>
      <sheetName val="년도별시공"/>
      <sheetName val="예산명세서"/>
      <sheetName val="TB_내역서"/>
      <sheetName val="기계경비목록"/>
      <sheetName val="우주화성공장"/>
      <sheetName val="성서방향-교대(A2)"/>
      <sheetName val="단가_및_재료비"/>
      <sheetName val="공사비예산서_(2)1"/>
      <sheetName val="설계_내역서_(2)1"/>
      <sheetName val="설계_내역서1"/>
      <sheetName val="_품셈1"/>
      <sheetName val="별표_(2)1"/>
      <sheetName val="별_표1"/>
      <sheetName val="견적_조건_변경사항1"/>
      <sheetName val="별표_1"/>
      <sheetName val="품_셈1"/>
      <sheetName val="부표_TABLE1"/>
      <sheetName val="3BL공동구_수량1"/>
      <sheetName val="단가_및_재료비1"/>
      <sheetName val="6-1__관개량조서1"/>
      <sheetName val="플랜트_설치1"/>
      <sheetName val="Ⅴ-2_공종별내역1"/>
      <sheetName val="VENDOR_LIST1"/>
      <sheetName val="2축기둥해석"/>
      <sheetName val="총집계"/>
      <sheetName val="집계표 (2)"/>
      <sheetName val="VXXXXXXX"/>
      <sheetName val="VXXXXX"/>
      <sheetName val="설계조건"/>
      <sheetName val="말뚝설계"/>
      <sheetName val="대비"/>
      <sheetName val="건재양식"/>
      <sheetName val="삭제금지단가"/>
      <sheetName val="맨홀수량산출"/>
      <sheetName val="기존단가 (2)"/>
      <sheetName val="수량산출"/>
      <sheetName val="주요수량증감"/>
      <sheetName val="3.하중산정4.지지력"/>
      <sheetName val="직영2"/>
      <sheetName val="SRC-B3U2"/>
      <sheetName val="차액보증"/>
      <sheetName val="변화치수"/>
      <sheetName val="지수링 단위수량"/>
      <sheetName val="맨홀천공및반구연결거푸집집계"/>
      <sheetName val="오수맨홀평균높이"/>
      <sheetName val="토공"/>
      <sheetName val="6PILE  (돌출)"/>
      <sheetName val="동측급수"/>
      <sheetName val="배수장토목공사비"/>
      <sheetName val="평야부총"/>
      <sheetName val="설계명세"/>
      <sheetName val="일위목록"/>
      <sheetName val="969910( R)"/>
      <sheetName val="지하1층"/>
      <sheetName val="빌딩 안내"/>
      <sheetName val="SORCE1"/>
      <sheetName val="인사자료총집계"/>
      <sheetName val="별첨1"/>
      <sheetName val="건축비목군분류"/>
      <sheetName val="내용"/>
      <sheetName val="YC구입"/>
      <sheetName val="영창26"/>
      <sheetName val="구조물총"/>
      <sheetName val="기본가정"/>
      <sheetName val="T13(P68~72,78)"/>
      <sheetName val="단면 (2)"/>
      <sheetName val="찍기"/>
      <sheetName val="기계경비일람"/>
      <sheetName val="DANGA"/>
      <sheetName val="Dae_Jiju"/>
      <sheetName val="총괄"/>
      <sheetName val="98수문일위"/>
      <sheetName val="증감대비"/>
      <sheetName val="전체"/>
      <sheetName val="퍼스트"/>
      <sheetName val="상하차비용"/>
      <sheetName val="내역서1"/>
      <sheetName val="-기성청구내역서.xlsx"/>
      <sheetName val="산출기초"/>
      <sheetName val="기성2"/>
      <sheetName val="연습장소"/>
      <sheetName val="공사비"/>
      <sheetName val="ilch"/>
      <sheetName val="기계사급자재"/>
      <sheetName val="4.전기"/>
      <sheetName val="각종단가"/>
      <sheetName val="잡철물"/>
      <sheetName val="적용토목"/>
      <sheetName val="건축내역서"/>
      <sheetName val="6.일위목록"/>
      <sheetName val="9.단가조사서"/>
      <sheetName val="날개벽(시점좌측)"/>
      <sheetName val="새공통"/>
      <sheetName val="하수처리장"/>
      <sheetName val="2000전체분"/>
      <sheetName val="경비공통"/>
      <sheetName val="자단"/>
      <sheetName val="품셈표-환경공사"/>
      <sheetName val="포장수량집계"/>
      <sheetName val="XL4Poppy"/>
      <sheetName val="샌딩 에폭시 도장"/>
      <sheetName val="스텐문틀설치"/>
      <sheetName val="일반문틀 설치"/>
      <sheetName val="장비집계"/>
      <sheetName val="태안9)3-2)원내역"/>
      <sheetName val="코드"/>
      <sheetName val="단가비교표"/>
      <sheetName val="공종목록표"/>
      <sheetName val="공사설계서"/>
      <sheetName val="기계공사비집계(원안)"/>
      <sheetName val="rate"/>
      <sheetName val="노무비집계"/>
      <sheetName val="(A)내역서"/>
      <sheetName val="총수량집계표"/>
      <sheetName val="3.공통공사대비"/>
      <sheetName val="바닥판"/>
      <sheetName val="입력DATA"/>
      <sheetName val="성과심사(총괄)"/>
      <sheetName val="퇴비산출근거"/>
      <sheetName val="신규일위대가"/>
      <sheetName val="기계시공"/>
      <sheetName val="주beam"/>
      <sheetName val="000000"/>
      <sheetName val="PBS"/>
      <sheetName val="대가목록"/>
      <sheetName val="요율"/>
      <sheetName val="중기조종사 단위단가"/>
      <sheetName val="포장공"/>
      <sheetName val="앉음벽 (2)"/>
      <sheetName val="대가2(원본)"/>
    </sheetNames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우"/>
      <sheetName val="laroux"/>
      <sheetName val="갑지"/>
      <sheetName val="강 당"/>
      <sheetName val="신우갑지"/>
      <sheetName val="천우갑지"/>
      <sheetName val="천우"/>
      <sheetName val="원가계산서"/>
      <sheetName val="인건-측정"/>
      <sheetName val="내역서"/>
      <sheetName val="일위대가"/>
      <sheetName val="대치판정"/>
      <sheetName val="단가"/>
      <sheetName val="APT"/>
      <sheetName val="일위_파일"/>
      <sheetName val="인건비"/>
      <sheetName val="단"/>
      <sheetName val="설계명세서"/>
      <sheetName val="인사자료총집계"/>
      <sheetName val="인건비 "/>
      <sheetName val="1.수인터널"/>
      <sheetName val="품셈TABLE"/>
      <sheetName val="시중노임단가"/>
      <sheetName val="목차"/>
      <sheetName val="1790"/>
      <sheetName val="변경비교-을"/>
      <sheetName val="주차구획선수량"/>
      <sheetName val="원본(갑지)"/>
      <sheetName val="집계표"/>
      <sheetName val="실행철강하도"/>
      <sheetName val="하조서"/>
      <sheetName val="손익분석"/>
      <sheetName val="직노"/>
      <sheetName val="내역"/>
      <sheetName val="단가표"/>
      <sheetName val="토량산출서"/>
      <sheetName val="관일"/>
      <sheetName val="자재단가표"/>
      <sheetName val="CTEMCOST"/>
      <sheetName val="중기사용료"/>
      <sheetName val="을지"/>
      <sheetName val="N賃率-職"/>
      <sheetName val="Sheet1"/>
      <sheetName val="구천"/>
      <sheetName val="Sheet4"/>
      <sheetName val="표지"/>
      <sheetName val="자료입력"/>
      <sheetName val="지하1층"/>
      <sheetName val="단가비교표"/>
      <sheetName val="__"/>
      <sheetName val="공종별"/>
      <sheetName val="98지급계획"/>
      <sheetName val="Sheet5"/>
      <sheetName val="경비"/>
      <sheetName val="단가산출"/>
      <sheetName val="시운전연료"/>
      <sheetName val="자재단가비교표"/>
      <sheetName val="SP-B1"/>
      <sheetName val="설직재-1"/>
      <sheetName val="#REF"/>
      <sheetName val="XL4Poppy"/>
      <sheetName val="I一般比"/>
      <sheetName val="부하(성남)"/>
      <sheetName val="한강운반비"/>
      <sheetName val="보안등"/>
      <sheetName val="수량산출"/>
      <sheetName val="sw1"/>
      <sheetName val="적용단가"/>
      <sheetName val="과천MAIN"/>
      <sheetName val="노임단가"/>
      <sheetName val="자재단가"/>
      <sheetName val="배관단가조사서"/>
      <sheetName val="위치조서"/>
      <sheetName val="조명시설"/>
      <sheetName val="P.M 별"/>
      <sheetName val="원가 (2)"/>
      <sheetName val="부하계산서"/>
      <sheetName val="말뚝지지력산정"/>
      <sheetName val="신공항A-9(원가수정)"/>
      <sheetName val="bid"/>
      <sheetName val="코드"/>
      <sheetName val="터파기및재료"/>
      <sheetName val="산출내역서"/>
      <sheetName val="Sheet6"/>
      <sheetName val="품총"/>
      <sheetName val="정부노임단가"/>
      <sheetName val="공문"/>
      <sheetName val="품목코드"/>
      <sheetName val="wall"/>
      <sheetName val="일위대가(가설)"/>
      <sheetName val="DATA"/>
      <sheetName val="데이타"/>
      <sheetName val="LOPCALC"/>
      <sheetName val="공사"/>
      <sheetName val="간접"/>
      <sheetName val="내역(정지)"/>
      <sheetName val="6동"/>
      <sheetName val="전신환매도율"/>
      <sheetName val="산출근거"/>
      <sheetName val="견적대비 견적서"/>
      <sheetName val="갑지(추정)"/>
      <sheetName val="설계내역서"/>
      <sheetName val="을"/>
      <sheetName val="일위대가표"/>
      <sheetName val="신호등일위대가"/>
      <sheetName val="50-4(2차)"/>
      <sheetName val="기계경비"/>
      <sheetName val="횡배수관토공수량"/>
      <sheetName val="조명율표"/>
      <sheetName val="J直材4"/>
    </sheetNames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pageSetUpPr fitToPage="1"/>
  </sheetPr>
  <dimension ref="A1:P99"/>
  <sheetViews>
    <sheetView view="pageBreakPreview" zoomScale="85" zoomScaleNormal="87" zoomScaleSheetLayoutView="85" workbookViewId="0">
      <pane ySplit="4" topLeftCell="A92" activePane="bottomLeft" state="frozen"/>
      <selection activeCell="A3" sqref="A3:A4"/>
      <selection pane="bottomLeft" activeCell="B106" sqref="B106"/>
    </sheetView>
  </sheetViews>
  <sheetFormatPr defaultRowHeight="16.5" x14ac:dyDescent="0.3"/>
  <cols>
    <col min="1" max="2" width="30.5" style="116" bestFit="1" customWidth="1"/>
    <col min="3" max="3" width="5.5" style="136" bestFit="1" customWidth="1"/>
    <col min="4" max="4" width="11.625" style="115" customWidth="1"/>
    <col min="5" max="5" width="6.625" style="137" customWidth="1"/>
    <col min="6" max="6" width="11.625" style="113" customWidth="1"/>
    <col min="7" max="7" width="6.625" style="137" customWidth="1"/>
    <col min="8" max="8" width="11.625" style="113" customWidth="1"/>
    <col min="9" max="9" width="6.625" style="137" customWidth="1"/>
    <col min="10" max="10" width="11.625" style="113" customWidth="1"/>
    <col min="11" max="11" width="6.625" style="137" customWidth="1"/>
    <col min="12" max="12" width="13.875" style="113" customWidth="1"/>
    <col min="13" max="13" width="6.625" style="137" customWidth="1"/>
    <col min="14" max="14" width="13.875" style="112" bestFit="1" customWidth="1"/>
    <col min="15" max="15" width="8.5" style="136" bestFit="1" customWidth="1"/>
    <col min="16" max="16" width="15" style="138" bestFit="1" customWidth="1"/>
    <col min="17" max="16384" width="9" style="116"/>
  </cols>
  <sheetData>
    <row r="1" spans="1:16" ht="30" customHeight="1" x14ac:dyDescent="0.3">
      <c r="A1" s="200" t="s">
        <v>932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</row>
    <row r="2" spans="1:16" ht="30" customHeight="1" x14ac:dyDescent="0.3">
      <c r="A2" s="201" t="s">
        <v>1998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</row>
    <row r="3" spans="1:16" ht="30" customHeight="1" x14ac:dyDescent="0.3">
      <c r="A3" s="202" t="s">
        <v>1566</v>
      </c>
      <c r="B3" s="202" t="s">
        <v>1567</v>
      </c>
      <c r="C3" s="202" t="s">
        <v>1</v>
      </c>
      <c r="D3" s="202" t="s">
        <v>2</v>
      </c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3" t="s">
        <v>728</v>
      </c>
      <c r="P3" s="205" t="s">
        <v>3</v>
      </c>
    </row>
    <row r="4" spans="1:16" ht="30" customHeight="1" x14ac:dyDescent="0.3">
      <c r="A4" s="202"/>
      <c r="B4" s="202"/>
      <c r="C4" s="202"/>
      <c r="D4" s="117" t="s">
        <v>723</v>
      </c>
      <c r="E4" s="118" t="s">
        <v>724</v>
      </c>
      <c r="F4" s="119" t="s">
        <v>2239</v>
      </c>
      <c r="G4" s="118" t="s">
        <v>724</v>
      </c>
      <c r="H4" s="119" t="s">
        <v>2240</v>
      </c>
      <c r="I4" s="118" t="s">
        <v>724</v>
      </c>
      <c r="J4" s="119" t="s">
        <v>2241</v>
      </c>
      <c r="K4" s="118" t="s">
        <v>724</v>
      </c>
      <c r="L4" s="119" t="s">
        <v>2242</v>
      </c>
      <c r="M4" s="118" t="s">
        <v>724</v>
      </c>
      <c r="N4" s="120" t="s">
        <v>725</v>
      </c>
      <c r="O4" s="204"/>
      <c r="P4" s="206"/>
    </row>
    <row r="5" spans="1:16" ht="30" customHeight="1" x14ac:dyDescent="0.3">
      <c r="A5" s="121" t="s">
        <v>2110</v>
      </c>
      <c r="B5" s="121" t="s">
        <v>2111</v>
      </c>
      <c r="C5" s="122" t="s">
        <v>7</v>
      </c>
      <c r="D5" s="123">
        <v>0</v>
      </c>
      <c r="E5" s="124" t="s">
        <v>5</v>
      </c>
      <c r="F5" s="125">
        <v>210000</v>
      </c>
      <c r="G5" s="124" t="s">
        <v>2208</v>
      </c>
      <c r="H5" s="126">
        <v>320000</v>
      </c>
      <c r="I5" s="124" t="s">
        <v>2112</v>
      </c>
      <c r="J5" s="127">
        <v>0</v>
      </c>
      <c r="K5" s="128" t="s">
        <v>5</v>
      </c>
      <c r="L5" s="126">
        <v>170000</v>
      </c>
      <c r="M5" s="124" t="s">
        <v>2216</v>
      </c>
      <c r="N5" s="129">
        <f t="shared" ref="N5:N17" si="0">SMALL(D5:L5,COUNTIF(D5:L5,0)+1)</f>
        <v>170000</v>
      </c>
      <c r="O5" s="124"/>
      <c r="P5" s="130"/>
    </row>
    <row r="6" spans="1:16" ht="30" customHeight="1" x14ac:dyDescent="0.3">
      <c r="A6" s="121" t="s">
        <v>2110</v>
      </c>
      <c r="B6" s="121" t="s">
        <v>2113</v>
      </c>
      <c r="C6" s="122" t="s">
        <v>7</v>
      </c>
      <c r="D6" s="123">
        <v>0</v>
      </c>
      <c r="E6" s="124" t="s">
        <v>5</v>
      </c>
      <c r="F6" s="127">
        <v>0</v>
      </c>
      <c r="G6" s="124" t="s">
        <v>5</v>
      </c>
      <c r="H6" s="127">
        <v>0</v>
      </c>
      <c r="I6" s="124"/>
      <c r="J6" s="127">
        <v>0</v>
      </c>
      <c r="K6" s="128" t="s">
        <v>5</v>
      </c>
      <c r="L6" s="126">
        <v>220000</v>
      </c>
      <c r="M6" s="124" t="s">
        <v>2216</v>
      </c>
      <c r="N6" s="129">
        <f t="shared" si="0"/>
        <v>220000</v>
      </c>
      <c r="O6" s="124"/>
      <c r="P6" s="130"/>
    </row>
    <row r="7" spans="1:16" ht="30" customHeight="1" x14ac:dyDescent="0.3">
      <c r="A7" s="121" t="s">
        <v>2110</v>
      </c>
      <c r="B7" s="121" t="s">
        <v>2114</v>
      </c>
      <c r="C7" s="122" t="s">
        <v>7</v>
      </c>
      <c r="D7" s="123">
        <v>0</v>
      </c>
      <c r="E7" s="124" t="s">
        <v>5</v>
      </c>
      <c r="F7" s="127">
        <v>0</v>
      </c>
      <c r="G7" s="124"/>
      <c r="H7" s="127">
        <v>0</v>
      </c>
      <c r="I7" s="124"/>
      <c r="J7" s="127">
        <v>0</v>
      </c>
      <c r="K7" s="128" t="s">
        <v>5</v>
      </c>
      <c r="L7" s="126">
        <v>290000</v>
      </c>
      <c r="M7" s="124" t="s">
        <v>2216</v>
      </c>
      <c r="N7" s="129">
        <f t="shared" si="0"/>
        <v>290000</v>
      </c>
      <c r="O7" s="124"/>
      <c r="P7" s="130"/>
    </row>
    <row r="8" spans="1:16" ht="30" customHeight="1" x14ac:dyDescent="0.3">
      <c r="A8" s="121" t="s">
        <v>2110</v>
      </c>
      <c r="B8" s="121" t="s">
        <v>2115</v>
      </c>
      <c r="C8" s="122" t="s">
        <v>7</v>
      </c>
      <c r="D8" s="123">
        <v>0</v>
      </c>
      <c r="E8" s="124" t="s">
        <v>5</v>
      </c>
      <c r="F8" s="127">
        <v>0</v>
      </c>
      <c r="G8" s="124" t="s">
        <v>5</v>
      </c>
      <c r="H8" s="127">
        <v>0</v>
      </c>
      <c r="I8" s="124"/>
      <c r="J8" s="127">
        <v>0</v>
      </c>
      <c r="K8" s="128" t="s">
        <v>5</v>
      </c>
      <c r="L8" s="126">
        <v>440000</v>
      </c>
      <c r="M8" s="124" t="s">
        <v>2216</v>
      </c>
      <c r="N8" s="129">
        <f t="shared" si="0"/>
        <v>440000</v>
      </c>
      <c r="O8" s="124"/>
      <c r="P8" s="130"/>
    </row>
    <row r="9" spans="1:16" ht="30" customHeight="1" x14ac:dyDescent="0.3">
      <c r="A9" s="121" t="s">
        <v>2110</v>
      </c>
      <c r="B9" s="121" t="s">
        <v>2116</v>
      </c>
      <c r="C9" s="122" t="s">
        <v>7</v>
      </c>
      <c r="D9" s="123">
        <v>0</v>
      </c>
      <c r="E9" s="124" t="s">
        <v>5</v>
      </c>
      <c r="F9" s="127">
        <v>0</v>
      </c>
      <c r="G9" s="124" t="s">
        <v>5</v>
      </c>
      <c r="H9" s="127">
        <v>0</v>
      </c>
      <c r="I9" s="124"/>
      <c r="J9" s="127">
        <v>0</v>
      </c>
      <c r="K9" s="128" t="s">
        <v>5</v>
      </c>
      <c r="L9" s="126">
        <v>1350000</v>
      </c>
      <c r="M9" s="124" t="s">
        <v>2216</v>
      </c>
      <c r="N9" s="129">
        <f t="shared" si="0"/>
        <v>1350000</v>
      </c>
      <c r="O9" s="124"/>
      <c r="P9" s="130"/>
    </row>
    <row r="10" spans="1:16" ht="30" customHeight="1" x14ac:dyDescent="0.3">
      <c r="A10" s="121" t="s">
        <v>2110</v>
      </c>
      <c r="B10" s="121" t="s">
        <v>2117</v>
      </c>
      <c r="C10" s="122" t="s">
        <v>7</v>
      </c>
      <c r="D10" s="123">
        <v>0</v>
      </c>
      <c r="E10" s="124" t="s">
        <v>5</v>
      </c>
      <c r="F10" s="127">
        <v>0</v>
      </c>
      <c r="G10" s="124"/>
      <c r="H10" s="127">
        <v>0</v>
      </c>
      <c r="I10" s="124" t="s">
        <v>5</v>
      </c>
      <c r="J10" s="127">
        <v>0</v>
      </c>
      <c r="K10" s="128" t="s">
        <v>5</v>
      </c>
      <c r="L10" s="126">
        <v>1600000</v>
      </c>
      <c r="M10" s="124" t="s">
        <v>2216</v>
      </c>
      <c r="N10" s="129">
        <f t="shared" si="0"/>
        <v>1600000</v>
      </c>
      <c r="O10" s="124"/>
      <c r="P10" s="130"/>
    </row>
    <row r="11" spans="1:16" ht="30" customHeight="1" x14ac:dyDescent="0.3">
      <c r="A11" s="121" t="s">
        <v>2244</v>
      </c>
      <c r="B11" s="121" t="s">
        <v>9</v>
      </c>
      <c r="C11" s="122" t="s">
        <v>7</v>
      </c>
      <c r="D11" s="123">
        <v>0</v>
      </c>
      <c r="E11" s="124" t="s">
        <v>5</v>
      </c>
      <c r="F11" s="127">
        <v>0</v>
      </c>
      <c r="G11" s="124"/>
      <c r="H11" s="127">
        <v>0</v>
      </c>
      <c r="I11" s="124" t="s">
        <v>5</v>
      </c>
      <c r="J11" s="127">
        <v>0</v>
      </c>
      <c r="K11" s="128" t="s">
        <v>5</v>
      </c>
      <c r="L11" s="126">
        <v>110000</v>
      </c>
      <c r="M11" s="124" t="s">
        <v>2216</v>
      </c>
      <c r="N11" s="129">
        <f>SMALL(D11:L11,COUNTIF(D11:L11,0)+1)</f>
        <v>110000</v>
      </c>
      <c r="O11" s="124"/>
      <c r="P11" s="130"/>
    </row>
    <row r="12" spans="1:16" ht="30" customHeight="1" x14ac:dyDescent="0.3">
      <c r="A12" s="121" t="s">
        <v>2245</v>
      </c>
      <c r="B12" s="121" t="s">
        <v>2118</v>
      </c>
      <c r="C12" s="122" t="s">
        <v>7</v>
      </c>
      <c r="D12" s="123">
        <v>0</v>
      </c>
      <c r="E12" s="124" t="s">
        <v>5</v>
      </c>
      <c r="F12" s="127">
        <v>0</v>
      </c>
      <c r="G12" s="124" t="s">
        <v>5</v>
      </c>
      <c r="H12" s="127">
        <v>0</v>
      </c>
      <c r="I12" s="124" t="s">
        <v>5</v>
      </c>
      <c r="J12" s="127">
        <v>0</v>
      </c>
      <c r="K12" s="128" t="s">
        <v>5</v>
      </c>
      <c r="L12" s="126">
        <v>290000</v>
      </c>
      <c r="M12" s="124" t="s">
        <v>2216</v>
      </c>
      <c r="N12" s="129">
        <f t="shared" si="0"/>
        <v>290000</v>
      </c>
      <c r="O12" s="124"/>
      <c r="P12" s="130"/>
    </row>
    <row r="13" spans="1:16" ht="30" customHeight="1" x14ac:dyDescent="0.3">
      <c r="A13" s="121" t="s">
        <v>2246</v>
      </c>
      <c r="B13" s="121" t="s">
        <v>2119</v>
      </c>
      <c r="C13" s="122" t="s">
        <v>7</v>
      </c>
      <c r="D13" s="123">
        <v>0</v>
      </c>
      <c r="E13" s="124" t="s">
        <v>5</v>
      </c>
      <c r="F13" s="127">
        <v>0</v>
      </c>
      <c r="G13" s="124" t="s">
        <v>5</v>
      </c>
      <c r="H13" s="127">
        <v>0</v>
      </c>
      <c r="I13" s="124" t="s">
        <v>5</v>
      </c>
      <c r="J13" s="127">
        <v>0</v>
      </c>
      <c r="K13" s="128" t="s">
        <v>5</v>
      </c>
      <c r="L13" s="126">
        <v>450000</v>
      </c>
      <c r="M13" s="124" t="s">
        <v>2216</v>
      </c>
      <c r="N13" s="129">
        <f t="shared" si="0"/>
        <v>450000</v>
      </c>
      <c r="O13" s="124"/>
      <c r="P13" s="130"/>
    </row>
    <row r="14" spans="1:16" ht="30" customHeight="1" x14ac:dyDescent="0.3">
      <c r="A14" s="121" t="s">
        <v>2247</v>
      </c>
      <c r="B14" s="121" t="s">
        <v>2120</v>
      </c>
      <c r="C14" s="122" t="s">
        <v>7</v>
      </c>
      <c r="D14" s="123">
        <v>0</v>
      </c>
      <c r="E14" s="124" t="s">
        <v>5</v>
      </c>
      <c r="F14" s="127">
        <v>0</v>
      </c>
      <c r="G14" s="124" t="s">
        <v>5</v>
      </c>
      <c r="H14" s="127">
        <v>0</v>
      </c>
      <c r="I14" s="124" t="s">
        <v>5</v>
      </c>
      <c r="J14" s="127">
        <v>0</v>
      </c>
      <c r="K14" s="128" t="s">
        <v>5</v>
      </c>
      <c r="L14" s="126">
        <v>590000</v>
      </c>
      <c r="M14" s="124" t="s">
        <v>2216</v>
      </c>
      <c r="N14" s="129">
        <f t="shared" si="0"/>
        <v>590000</v>
      </c>
      <c r="O14" s="124"/>
      <c r="P14" s="130"/>
    </row>
    <row r="15" spans="1:16" ht="30" customHeight="1" x14ac:dyDescent="0.3">
      <c r="A15" s="131" t="s">
        <v>2243</v>
      </c>
      <c r="B15" s="131" t="s">
        <v>6</v>
      </c>
      <c r="C15" s="132" t="s">
        <v>7</v>
      </c>
      <c r="D15" s="123">
        <v>0</v>
      </c>
      <c r="E15" s="124" t="s">
        <v>5</v>
      </c>
      <c r="F15" s="127">
        <v>0</v>
      </c>
      <c r="G15" s="128"/>
      <c r="H15" s="127">
        <v>0</v>
      </c>
      <c r="I15" s="124" t="s">
        <v>5</v>
      </c>
      <c r="J15" s="127">
        <v>0</v>
      </c>
      <c r="K15" s="128" t="s">
        <v>5</v>
      </c>
      <c r="L15" s="127">
        <v>230000</v>
      </c>
      <c r="M15" s="124" t="s">
        <v>2216</v>
      </c>
      <c r="N15" s="129">
        <f t="shared" si="0"/>
        <v>230000</v>
      </c>
      <c r="O15" s="124"/>
      <c r="P15" s="130"/>
    </row>
    <row r="16" spans="1:16" ht="30" customHeight="1" x14ac:dyDescent="0.3">
      <c r="A16" s="131" t="s">
        <v>1626</v>
      </c>
      <c r="B16" s="131" t="s">
        <v>8</v>
      </c>
      <c r="C16" s="132" t="s">
        <v>7</v>
      </c>
      <c r="D16" s="123">
        <v>0</v>
      </c>
      <c r="E16" s="128" t="s">
        <v>5</v>
      </c>
      <c r="F16" s="133">
        <v>540000</v>
      </c>
      <c r="G16" s="124" t="s">
        <v>2208</v>
      </c>
      <c r="H16" s="127">
        <v>0</v>
      </c>
      <c r="I16" s="128" t="s">
        <v>5</v>
      </c>
      <c r="J16" s="127">
        <v>0</v>
      </c>
      <c r="K16" s="128" t="s">
        <v>5</v>
      </c>
      <c r="L16" s="127">
        <v>370000</v>
      </c>
      <c r="M16" s="124" t="s">
        <v>2216</v>
      </c>
      <c r="N16" s="129">
        <f t="shared" si="0"/>
        <v>370000</v>
      </c>
      <c r="O16" s="124"/>
      <c r="P16" s="130"/>
    </row>
    <row r="17" spans="1:16" ht="30" customHeight="1" x14ac:dyDescent="0.3">
      <c r="A17" s="131" t="s">
        <v>10</v>
      </c>
      <c r="B17" s="131" t="s">
        <v>11</v>
      </c>
      <c r="C17" s="132" t="s">
        <v>12</v>
      </c>
      <c r="D17" s="123">
        <v>0</v>
      </c>
      <c r="E17" s="128" t="s">
        <v>5</v>
      </c>
      <c r="F17" s="133">
        <v>5400</v>
      </c>
      <c r="G17" s="128" t="s">
        <v>762</v>
      </c>
      <c r="H17" s="127">
        <v>5400</v>
      </c>
      <c r="I17" s="128" t="s">
        <v>1654</v>
      </c>
      <c r="J17" s="127">
        <v>0</v>
      </c>
      <c r="K17" s="128" t="s">
        <v>5</v>
      </c>
      <c r="L17" s="127">
        <v>0</v>
      </c>
      <c r="M17" s="128"/>
      <c r="N17" s="129">
        <f t="shared" si="0"/>
        <v>5400</v>
      </c>
      <c r="O17" s="124"/>
      <c r="P17" s="130"/>
    </row>
    <row r="18" spans="1:16" ht="30" customHeight="1" x14ac:dyDescent="0.3">
      <c r="A18" s="121" t="s">
        <v>2121</v>
      </c>
      <c r="B18" s="121" t="s">
        <v>13</v>
      </c>
      <c r="C18" s="122" t="s">
        <v>14</v>
      </c>
      <c r="D18" s="123">
        <v>0</v>
      </c>
      <c r="E18" s="124" t="s">
        <v>5</v>
      </c>
      <c r="F18" s="126">
        <v>202</v>
      </c>
      <c r="G18" s="124" t="s">
        <v>763</v>
      </c>
      <c r="H18" s="126">
        <v>180</v>
      </c>
      <c r="I18" s="124" t="s">
        <v>764</v>
      </c>
      <c r="J18" s="127">
        <v>0</v>
      </c>
      <c r="K18" s="124" t="s">
        <v>5</v>
      </c>
      <c r="L18" s="127">
        <v>0</v>
      </c>
      <c r="M18" s="124" t="s">
        <v>5</v>
      </c>
      <c r="N18" s="129">
        <f t="shared" ref="N18:N25" si="1">SMALL(D18:L18,COUNTIF(D18:L18,0)+1)</f>
        <v>180</v>
      </c>
      <c r="O18" s="124"/>
      <c r="P18" s="130"/>
    </row>
    <row r="19" spans="1:16" ht="30" customHeight="1" x14ac:dyDescent="0.3">
      <c r="A19" s="121" t="s">
        <v>2121</v>
      </c>
      <c r="B19" s="121" t="s">
        <v>15</v>
      </c>
      <c r="C19" s="122" t="s">
        <v>14</v>
      </c>
      <c r="D19" s="123">
        <v>0</v>
      </c>
      <c r="E19" s="124" t="s">
        <v>5</v>
      </c>
      <c r="F19" s="126">
        <v>297</v>
      </c>
      <c r="G19" s="124" t="s">
        <v>763</v>
      </c>
      <c r="H19" s="126">
        <v>200</v>
      </c>
      <c r="I19" s="124" t="s">
        <v>764</v>
      </c>
      <c r="J19" s="127">
        <v>0</v>
      </c>
      <c r="K19" s="124" t="s">
        <v>5</v>
      </c>
      <c r="L19" s="127">
        <v>0</v>
      </c>
      <c r="M19" s="124" t="s">
        <v>5</v>
      </c>
      <c r="N19" s="129">
        <f t="shared" si="1"/>
        <v>200</v>
      </c>
      <c r="O19" s="124"/>
      <c r="P19" s="130"/>
    </row>
    <row r="20" spans="1:16" ht="30" customHeight="1" x14ac:dyDescent="0.3">
      <c r="A20" s="121" t="s">
        <v>17</v>
      </c>
      <c r="B20" s="121" t="s">
        <v>18</v>
      </c>
      <c r="C20" s="122" t="s">
        <v>12</v>
      </c>
      <c r="D20" s="134">
        <v>507</v>
      </c>
      <c r="E20" s="124" t="s">
        <v>5</v>
      </c>
      <c r="F20" s="126">
        <v>600</v>
      </c>
      <c r="G20" s="124" t="s">
        <v>752</v>
      </c>
      <c r="H20" s="126">
        <v>600</v>
      </c>
      <c r="I20" s="124" t="s">
        <v>753</v>
      </c>
      <c r="J20" s="126">
        <v>560</v>
      </c>
      <c r="K20" s="124" t="s">
        <v>2225</v>
      </c>
      <c r="L20" s="127">
        <v>600</v>
      </c>
      <c r="M20" s="124" t="s">
        <v>2254</v>
      </c>
      <c r="N20" s="129">
        <f t="shared" si="1"/>
        <v>507</v>
      </c>
      <c r="O20" s="124"/>
      <c r="P20" s="130"/>
    </row>
    <row r="21" spans="1:16" ht="30" customHeight="1" x14ac:dyDescent="0.3">
      <c r="A21" s="121" t="s">
        <v>17</v>
      </c>
      <c r="B21" s="121" t="s">
        <v>2122</v>
      </c>
      <c r="C21" s="122" t="s">
        <v>12</v>
      </c>
      <c r="D21" s="134">
        <v>591</v>
      </c>
      <c r="E21" s="124" t="s">
        <v>5</v>
      </c>
      <c r="F21" s="126">
        <v>650</v>
      </c>
      <c r="G21" s="124" t="s">
        <v>752</v>
      </c>
      <c r="H21" s="126">
        <v>700</v>
      </c>
      <c r="I21" s="124" t="s">
        <v>753</v>
      </c>
      <c r="J21" s="126">
        <v>650</v>
      </c>
      <c r="K21" s="124" t="s">
        <v>2225</v>
      </c>
      <c r="L21" s="127">
        <v>700</v>
      </c>
      <c r="M21" s="124" t="s">
        <v>2254</v>
      </c>
      <c r="N21" s="129">
        <f t="shared" si="1"/>
        <v>591</v>
      </c>
      <c r="O21" s="124"/>
      <c r="P21" s="130"/>
    </row>
    <row r="22" spans="1:16" ht="30" customHeight="1" x14ac:dyDescent="0.3">
      <c r="A22" s="121" t="s">
        <v>17</v>
      </c>
      <c r="B22" s="121" t="s">
        <v>20</v>
      </c>
      <c r="C22" s="122" t="s">
        <v>12</v>
      </c>
      <c r="D22" s="134">
        <v>1285</v>
      </c>
      <c r="E22" s="124" t="s">
        <v>5</v>
      </c>
      <c r="F22" s="126">
        <v>1400</v>
      </c>
      <c r="G22" s="124" t="s">
        <v>752</v>
      </c>
      <c r="H22" s="126">
        <v>1518</v>
      </c>
      <c r="I22" s="124" t="s">
        <v>753</v>
      </c>
      <c r="J22" s="126">
        <v>1360</v>
      </c>
      <c r="K22" s="124" t="s">
        <v>2225</v>
      </c>
      <c r="L22" s="127">
        <v>1518</v>
      </c>
      <c r="M22" s="124" t="s">
        <v>2254</v>
      </c>
      <c r="N22" s="129">
        <f t="shared" si="1"/>
        <v>1285</v>
      </c>
      <c r="O22" s="124"/>
      <c r="P22" s="130"/>
    </row>
    <row r="23" spans="1:16" ht="30" customHeight="1" x14ac:dyDescent="0.3">
      <c r="A23" s="121" t="s">
        <v>17</v>
      </c>
      <c r="B23" s="121" t="s">
        <v>2123</v>
      </c>
      <c r="C23" s="122" t="s">
        <v>12</v>
      </c>
      <c r="D23" s="134">
        <v>764</v>
      </c>
      <c r="E23" s="124" t="s">
        <v>5</v>
      </c>
      <c r="F23" s="126">
        <v>900</v>
      </c>
      <c r="G23" s="124" t="s">
        <v>752</v>
      </c>
      <c r="H23" s="126">
        <v>904</v>
      </c>
      <c r="I23" s="124" t="s">
        <v>753</v>
      </c>
      <c r="J23" s="126">
        <v>820</v>
      </c>
      <c r="K23" s="124" t="s">
        <v>2225</v>
      </c>
      <c r="L23" s="127">
        <v>904</v>
      </c>
      <c r="M23" s="124" t="s">
        <v>2254</v>
      </c>
      <c r="N23" s="129">
        <f t="shared" si="1"/>
        <v>764</v>
      </c>
      <c r="O23" s="124"/>
      <c r="P23" s="130"/>
    </row>
    <row r="24" spans="1:16" ht="30" customHeight="1" x14ac:dyDescent="0.3">
      <c r="A24" s="121" t="s">
        <v>17</v>
      </c>
      <c r="B24" s="121" t="s">
        <v>2124</v>
      </c>
      <c r="C24" s="122" t="s">
        <v>12</v>
      </c>
      <c r="D24" s="134">
        <v>823</v>
      </c>
      <c r="E24" s="124" t="s">
        <v>5</v>
      </c>
      <c r="F24" s="126">
        <v>1000</v>
      </c>
      <c r="G24" s="124" t="s">
        <v>752</v>
      </c>
      <c r="H24" s="126">
        <v>973</v>
      </c>
      <c r="I24" s="124" t="s">
        <v>753</v>
      </c>
      <c r="J24" s="126">
        <v>920</v>
      </c>
      <c r="K24" s="124" t="s">
        <v>2225</v>
      </c>
      <c r="L24" s="127">
        <v>973</v>
      </c>
      <c r="M24" s="124" t="s">
        <v>2254</v>
      </c>
      <c r="N24" s="129">
        <f t="shared" si="1"/>
        <v>823</v>
      </c>
      <c r="O24" s="124"/>
      <c r="P24" s="130"/>
    </row>
    <row r="25" spans="1:16" ht="30" customHeight="1" x14ac:dyDescent="0.3">
      <c r="A25" s="121" t="s">
        <v>17</v>
      </c>
      <c r="B25" s="121" t="s">
        <v>2125</v>
      </c>
      <c r="C25" s="122" t="s">
        <v>12</v>
      </c>
      <c r="D25" s="134">
        <v>1447</v>
      </c>
      <c r="E25" s="124" t="s">
        <v>5</v>
      </c>
      <c r="F25" s="126">
        <v>1600</v>
      </c>
      <c r="G25" s="124" t="s">
        <v>752</v>
      </c>
      <c r="H25" s="126">
        <v>1709</v>
      </c>
      <c r="I25" s="124" t="s">
        <v>753</v>
      </c>
      <c r="J25" s="126">
        <v>1540</v>
      </c>
      <c r="K25" s="124" t="s">
        <v>2225</v>
      </c>
      <c r="L25" s="127">
        <v>1709</v>
      </c>
      <c r="M25" s="124" t="s">
        <v>2254</v>
      </c>
      <c r="N25" s="129">
        <f t="shared" si="1"/>
        <v>1447</v>
      </c>
      <c r="O25" s="124"/>
      <c r="P25" s="130"/>
    </row>
    <row r="26" spans="1:16" ht="30" customHeight="1" x14ac:dyDescent="0.3">
      <c r="A26" s="131" t="s">
        <v>1610</v>
      </c>
      <c r="B26" s="131" t="s">
        <v>18</v>
      </c>
      <c r="C26" s="132" t="s">
        <v>12</v>
      </c>
      <c r="D26" s="134">
        <v>507</v>
      </c>
      <c r="E26" s="124" t="s">
        <v>5</v>
      </c>
      <c r="F26" s="126">
        <v>600</v>
      </c>
      <c r="G26" s="124" t="s">
        <v>752</v>
      </c>
      <c r="H26" s="126">
        <v>600</v>
      </c>
      <c r="I26" s="124" t="s">
        <v>753</v>
      </c>
      <c r="J26" s="127">
        <v>0</v>
      </c>
      <c r="K26" s="124"/>
      <c r="L26" s="127">
        <v>0</v>
      </c>
      <c r="M26" s="124"/>
      <c r="N26" s="129">
        <f>SMALL(D26:L26,COUNTIF(D26:L26,0)+1)</f>
        <v>507</v>
      </c>
      <c r="O26" s="124"/>
      <c r="P26" s="130"/>
    </row>
    <row r="27" spans="1:16" ht="30" customHeight="1" x14ac:dyDescent="0.3">
      <c r="A27" s="131" t="s">
        <v>1610</v>
      </c>
      <c r="B27" s="131" t="s">
        <v>19</v>
      </c>
      <c r="C27" s="132" t="s">
        <v>12</v>
      </c>
      <c r="D27" s="134">
        <v>591</v>
      </c>
      <c r="E27" s="124" t="s">
        <v>5</v>
      </c>
      <c r="F27" s="126">
        <v>650</v>
      </c>
      <c r="G27" s="124" t="s">
        <v>752</v>
      </c>
      <c r="H27" s="126">
        <v>700</v>
      </c>
      <c r="I27" s="124" t="s">
        <v>753</v>
      </c>
      <c r="J27" s="126">
        <v>740</v>
      </c>
      <c r="K27" s="124" t="s">
        <v>2225</v>
      </c>
      <c r="L27" s="127">
        <v>763</v>
      </c>
      <c r="M27" s="124" t="s">
        <v>2254</v>
      </c>
      <c r="N27" s="129">
        <f t="shared" ref="N27:N31" si="2">SMALL(D27:L27,COUNTIF(D27:L27,0)+1)</f>
        <v>591</v>
      </c>
      <c r="O27" s="124"/>
      <c r="P27" s="130"/>
    </row>
    <row r="28" spans="1:16" ht="30" customHeight="1" x14ac:dyDescent="0.3">
      <c r="A28" s="131" t="s">
        <v>1610</v>
      </c>
      <c r="B28" s="131" t="s">
        <v>20</v>
      </c>
      <c r="C28" s="132" t="s">
        <v>12</v>
      </c>
      <c r="D28" s="134">
        <v>1285</v>
      </c>
      <c r="E28" s="124" t="s">
        <v>5</v>
      </c>
      <c r="F28" s="126">
        <v>1400</v>
      </c>
      <c r="G28" s="124" t="s">
        <v>752</v>
      </c>
      <c r="H28" s="126">
        <v>1518</v>
      </c>
      <c r="I28" s="124" t="s">
        <v>753</v>
      </c>
      <c r="J28" s="126">
        <v>1450</v>
      </c>
      <c r="K28" s="124" t="s">
        <v>2225</v>
      </c>
      <c r="L28" s="127">
        <v>1526</v>
      </c>
      <c r="M28" s="124" t="s">
        <v>2254</v>
      </c>
      <c r="N28" s="129">
        <f t="shared" si="2"/>
        <v>1285</v>
      </c>
      <c r="O28" s="124"/>
      <c r="P28" s="130"/>
    </row>
    <row r="29" spans="1:16" ht="30" customHeight="1" x14ac:dyDescent="0.3">
      <c r="A29" s="131" t="s">
        <v>1610</v>
      </c>
      <c r="B29" s="131" t="s">
        <v>1607</v>
      </c>
      <c r="C29" s="132" t="s">
        <v>12</v>
      </c>
      <c r="D29" s="134">
        <v>764</v>
      </c>
      <c r="E29" s="124" t="s">
        <v>5</v>
      </c>
      <c r="F29" s="126">
        <v>900</v>
      </c>
      <c r="G29" s="124" t="s">
        <v>752</v>
      </c>
      <c r="H29" s="126">
        <v>904</v>
      </c>
      <c r="I29" s="124" t="s">
        <v>753</v>
      </c>
      <c r="J29" s="127">
        <v>0</v>
      </c>
      <c r="K29" s="124"/>
      <c r="L29" s="127">
        <v>0</v>
      </c>
      <c r="M29" s="124"/>
      <c r="N29" s="129">
        <f t="shared" si="2"/>
        <v>764</v>
      </c>
      <c r="O29" s="124"/>
      <c r="P29" s="130"/>
    </row>
    <row r="30" spans="1:16" ht="30" customHeight="1" x14ac:dyDescent="0.3">
      <c r="A30" s="131" t="s">
        <v>1610</v>
      </c>
      <c r="B30" s="131" t="s">
        <v>1608</v>
      </c>
      <c r="C30" s="132" t="s">
        <v>12</v>
      </c>
      <c r="D30" s="134">
        <v>823</v>
      </c>
      <c r="E30" s="124" t="s">
        <v>5</v>
      </c>
      <c r="F30" s="126">
        <v>1000</v>
      </c>
      <c r="G30" s="124" t="s">
        <v>752</v>
      </c>
      <c r="H30" s="126">
        <v>973</v>
      </c>
      <c r="I30" s="124" t="s">
        <v>753</v>
      </c>
      <c r="J30" s="126">
        <v>980</v>
      </c>
      <c r="K30" s="124" t="s">
        <v>2225</v>
      </c>
      <c r="L30" s="127">
        <v>1003</v>
      </c>
      <c r="M30" s="124" t="s">
        <v>2254</v>
      </c>
      <c r="N30" s="129">
        <f t="shared" si="2"/>
        <v>823</v>
      </c>
      <c r="O30" s="124"/>
      <c r="P30" s="130"/>
    </row>
    <row r="31" spans="1:16" ht="30" customHeight="1" x14ac:dyDescent="0.3">
      <c r="A31" s="131" t="s">
        <v>1610</v>
      </c>
      <c r="B31" s="131" t="s">
        <v>1609</v>
      </c>
      <c r="C31" s="132" t="s">
        <v>12</v>
      </c>
      <c r="D31" s="134">
        <v>1447</v>
      </c>
      <c r="E31" s="124" t="s">
        <v>5</v>
      </c>
      <c r="F31" s="126">
        <v>1600</v>
      </c>
      <c r="G31" s="124" t="s">
        <v>752</v>
      </c>
      <c r="H31" s="126">
        <v>1709</v>
      </c>
      <c r="I31" s="124" t="s">
        <v>753</v>
      </c>
      <c r="J31" s="126">
        <v>1600</v>
      </c>
      <c r="K31" s="124" t="s">
        <v>2225</v>
      </c>
      <c r="L31" s="127">
        <v>1660</v>
      </c>
      <c r="M31" s="124" t="s">
        <v>2254</v>
      </c>
      <c r="N31" s="129">
        <f t="shared" si="2"/>
        <v>1447</v>
      </c>
      <c r="O31" s="124"/>
      <c r="P31" s="130"/>
    </row>
    <row r="32" spans="1:16" ht="30" customHeight="1" x14ac:dyDescent="0.3">
      <c r="A32" s="121" t="s">
        <v>21</v>
      </c>
      <c r="B32" s="121" t="s">
        <v>2129</v>
      </c>
      <c r="C32" s="122" t="s">
        <v>12</v>
      </c>
      <c r="D32" s="134">
        <v>0</v>
      </c>
      <c r="E32" s="124" t="s">
        <v>5</v>
      </c>
      <c r="F32" s="126">
        <v>661</v>
      </c>
      <c r="G32" s="124" t="s">
        <v>755</v>
      </c>
      <c r="H32" s="127">
        <v>0</v>
      </c>
      <c r="I32" s="124" t="s">
        <v>5</v>
      </c>
      <c r="J32" s="127">
        <v>0</v>
      </c>
      <c r="K32" s="124"/>
      <c r="L32" s="127">
        <v>0</v>
      </c>
      <c r="M32" s="124" t="s">
        <v>5</v>
      </c>
      <c r="N32" s="129">
        <f t="shared" ref="N32:N48" si="3">SMALL(D32:L32,COUNTIF(D32:L32,0)+1)</f>
        <v>661</v>
      </c>
      <c r="O32" s="124"/>
      <c r="P32" s="130"/>
    </row>
    <row r="33" spans="1:16" ht="30" customHeight="1" x14ac:dyDescent="0.3">
      <c r="A33" s="121" t="s">
        <v>21</v>
      </c>
      <c r="B33" s="121" t="s">
        <v>2130</v>
      </c>
      <c r="C33" s="122" t="s">
        <v>12</v>
      </c>
      <c r="D33" s="134"/>
      <c r="E33" s="124" t="s">
        <v>5</v>
      </c>
      <c r="F33" s="126">
        <v>840</v>
      </c>
      <c r="G33" s="124" t="s">
        <v>755</v>
      </c>
      <c r="H33" s="127">
        <v>0</v>
      </c>
      <c r="I33" s="124" t="s">
        <v>5</v>
      </c>
      <c r="J33" s="126">
        <v>3100</v>
      </c>
      <c r="K33" s="124" t="s">
        <v>2225</v>
      </c>
      <c r="L33" s="127">
        <v>3480</v>
      </c>
      <c r="M33" s="124" t="s">
        <v>2254</v>
      </c>
      <c r="N33" s="129">
        <f t="shared" si="3"/>
        <v>840</v>
      </c>
      <c r="O33" s="124"/>
      <c r="P33" s="130"/>
    </row>
    <row r="34" spans="1:16" ht="30" customHeight="1" x14ac:dyDescent="0.3">
      <c r="A34" s="121" t="s">
        <v>21</v>
      </c>
      <c r="B34" s="121" t="s">
        <v>2131</v>
      </c>
      <c r="C34" s="122" t="s">
        <v>12</v>
      </c>
      <c r="D34" s="134">
        <v>0</v>
      </c>
      <c r="E34" s="124" t="s">
        <v>5</v>
      </c>
      <c r="F34" s="126">
        <v>1562</v>
      </c>
      <c r="G34" s="124" t="s">
        <v>755</v>
      </c>
      <c r="H34" s="127">
        <v>0</v>
      </c>
      <c r="I34" s="124" t="s">
        <v>5</v>
      </c>
      <c r="J34" s="126">
        <v>3330</v>
      </c>
      <c r="K34" s="124" t="s">
        <v>2225</v>
      </c>
      <c r="L34" s="127">
        <v>3960</v>
      </c>
      <c r="M34" s="124" t="s">
        <v>2254</v>
      </c>
      <c r="N34" s="129">
        <f t="shared" si="3"/>
        <v>1562</v>
      </c>
      <c r="O34" s="124"/>
      <c r="P34" s="130"/>
    </row>
    <row r="35" spans="1:16" ht="30" customHeight="1" x14ac:dyDescent="0.3">
      <c r="A35" s="121" t="s">
        <v>21</v>
      </c>
      <c r="B35" s="121" t="s">
        <v>2126</v>
      </c>
      <c r="C35" s="122" t="s">
        <v>12</v>
      </c>
      <c r="D35" s="134">
        <v>562</v>
      </c>
      <c r="E35" s="124" t="s">
        <v>5</v>
      </c>
      <c r="F35" s="126">
        <v>527</v>
      </c>
      <c r="G35" s="124" t="s">
        <v>755</v>
      </c>
      <c r="H35" s="126">
        <v>752</v>
      </c>
      <c r="I35" s="124" t="s">
        <v>753</v>
      </c>
      <c r="J35" s="126">
        <v>690</v>
      </c>
      <c r="K35" s="124" t="s">
        <v>2225</v>
      </c>
      <c r="L35" s="127">
        <v>752</v>
      </c>
      <c r="M35" s="124" t="s">
        <v>2254</v>
      </c>
      <c r="N35" s="129">
        <f t="shared" si="3"/>
        <v>527</v>
      </c>
      <c r="O35" s="124"/>
      <c r="P35" s="130"/>
    </row>
    <row r="36" spans="1:16" ht="30" customHeight="1" x14ac:dyDescent="0.3">
      <c r="A36" s="121" t="s">
        <v>21</v>
      </c>
      <c r="B36" s="121" t="s">
        <v>2127</v>
      </c>
      <c r="C36" s="122" t="s">
        <v>12</v>
      </c>
      <c r="D36" s="134">
        <v>626</v>
      </c>
      <c r="E36" s="124" t="s">
        <v>5</v>
      </c>
      <c r="F36" s="126">
        <v>721</v>
      </c>
      <c r="G36" s="124" t="s">
        <v>755</v>
      </c>
      <c r="H36" s="126">
        <v>845</v>
      </c>
      <c r="I36" s="124" t="s">
        <v>753</v>
      </c>
      <c r="J36" s="126">
        <v>790</v>
      </c>
      <c r="K36" s="124" t="s">
        <v>2225</v>
      </c>
      <c r="L36" s="127">
        <v>845</v>
      </c>
      <c r="M36" s="124" t="s">
        <v>2254</v>
      </c>
      <c r="N36" s="129">
        <f t="shared" si="3"/>
        <v>626</v>
      </c>
      <c r="O36" s="124"/>
      <c r="P36" s="130"/>
    </row>
    <row r="37" spans="1:16" ht="30" customHeight="1" x14ac:dyDescent="0.3">
      <c r="A37" s="121" t="s">
        <v>21</v>
      </c>
      <c r="B37" s="121" t="s">
        <v>2128</v>
      </c>
      <c r="C37" s="122" t="s">
        <v>12</v>
      </c>
      <c r="D37" s="134">
        <v>1219</v>
      </c>
      <c r="E37" s="124" t="s">
        <v>5</v>
      </c>
      <c r="F37" s="126">
        <v>1254</v>
      </c>
      <c r="G37" s="124" t="s">
        <v>755</v>
      </c>
      <c r="H37" s="126">
        <v>1650</v>
      </c>
      <c r="I37" s="124" t="s">
        <v>753</v>
      </c>
      <c r="J37" s="126">
        <v>1450</v>
      </c>
      <c r="K37" s="124" t="s">
        <v>2225</v>
      </c>
      <c r="L37" s="127">
        <v>1650</v>
      </c>
      <c r="M37" s="124" t="s">
        <v>2254</v>
      </c>
      <c r="N37" s="129">
        <f t="shared" si="3"/>
        <v>1219</v>
      </c>
      <c r="O37" s="124"/>
      <c r="P37" s="130"/>
    </row>
    <row r="38" spans="1:16" ht="30" customHeight="1" x14ac:dyDescent="0.3">
      <c r="A38" s="121" t="s">
        <v>2132</v>
      </c>
      <c r="B38" s="121" t="s">
        <v>23</v>
      </c>
      <c r="C38" s="122" t="s">
        <v>12</v>
      </c>
      <c r="D38" s="134"/>
      <c r="E38" s="124" t="s">
        <v>5</v>
      </c>
      <c r="F38" s="126">
        <v>240</v>
      </c>
      <c r="G38" s="124" t="s">
        <v>755</v>
      </c>
      <c r="H38" s="126">
        <v>328</v>
      </c>
      <c r="I38" s="124" t="s">
        <v>2133</v>
      </c>
      <c r="J38" s="127">
        <v>0</v>
      </c>
      <c r="K38" s="124"/>
      <c r="L38" s="127">
        <v>0</v>
      </c>
      <c r="M38" s="124" t="s">
        <v>5</v>
      </c>
      <c r="N38" s="129">
        <f t="shared" si="3"/>
        <v>240</v>
      </c>
      <c r="O38" s="124"/>
      <c r="P38" s="130"/>
    </row>
    <row r="39" spans="1:16" ht="30" customHeight="1" x14ac:dyDescent="0.3">
      <c r="A39" s="121" t="s">
        <v>2132</v>
      </c>
      <c r="B39" s="121" t="s">
        <v>22</v>
      </c>
      <c r="C39" s="122" t="s">
        <v>12</v>
      </c>
      <c r="D39" s="134"/>
      <c r="E39" s="124" t="s">
        <v>5</v>
      </c>
      <c r="F39" s="126">
        <v>240</v>
      </c>
      <c r="G39" s="124" t="s">
        <v>755</v>
      </c>
      <c r="H39" s="127">
        <v>0</v>
      </c>
      <c r="I39" s="124" t="s">
        <v>5</v>
      </c>
      <c r="J39" s="126">
        <v>400</v>
      </c>
      <c r="K39" s="124" t="s">
        <v>2225</v>
      </c>
      <c r="L39" s="127">
        <v>0</v>
      </c>
      <c r="M39" s="124" t="s">
        <v>5</v>
      </c>
      <c r="N39" s="129">
        <f t="shared" si="3"/>
        <v>240</v>
      </c>
      <c r="O39" s="124"/>
      <c r="P39" s="130"/>
    </row>
    <row r="40" spans="1:16" ht="30" customHeight="1" x14ac:dyDescent="0.3">
      <c r="A40" s="121" t="s">
        <v>2134</v>
      </c>
      <c r="B40" s="121" t="s">
        <v>22</v>
      </c>
      <c r="C40" s="122" t="s">
        <v>12</v>
      </c>
      <c r="D40" s="134"/>
      <c r="E40" s="124" t="s">
        <v>5</v>
      </c>
      <c r="F40" s="126">
        <v>240</v>
      </c>
      <c r="G40" s="124" t="s">
        <v>755</v>
      </c>
      <c r="H40" s="126">
        <v>448</v>
      </c>
      <c r="I40" s="124" t="s">
        <v>2133</v>
      </c>
      <c r="J40" s="126">
        <v>400</v>
      </c>
      <c r="K40" s="124" t="s">
        <v>2225</v>
      </c>
      <c r="L40" s="127">
        <v>0</v>
      </c>
      <c r="M40" s="124" t="s">
        <v>5</v>
      </c>
      <c r="N40" s="129">
        <f t="shared" si="3"/>
        <v>240</v>
      </c>
      <c r="O40" s="124"/>
      <c r="P40" s="130"/>
    </row>
    <row r="41" spans="1:16" ht="30" customHeight="1" x14ac:dyDescent="0.3">
      <c r="A41" s="121" t="s">
        <v>2135</v>
      </c>
      <c r="B41" s="121" t="s">
        <v>2136</v>
      </c>
      <c r="C41" s="122" t="s">
        <v>12</v>
      </c>
      <c r="D41" s="134"/>
      <c r="E41" s="124" t="s">
        <v>5</v>
      </c>
      <c r="F41" s="126">
        <v>213</v>
      </c>
      <c r="G41" s="124" t="s">
        <v>755</v>
      </c>
      <c r="H41" s="127">
        <v>0</v>
      </c>
      <c r="I41" s="124" t="s">
        <v>5</v>
      </c>
      <c r="J41" s="126">
        <v>240</v>
      </c>
      <c r="K41" s="124" t="s">
        <v>2225</v>
      </c>
      <c r="L41" s="127">
        <v>0</v>
      </c>
      <c r="M41" s="124" t="s">
        <v>5</v>
      </c>
      <c r="N41" s="129">
        <f t="shared" si="3"/>
        <v>213</v>
      </c>
      <c r="O41" s="124"/>
      <c r="P41" s="130"/>
    </row>
    <row r="42" spans="1:16" ht="30" customHeight="1" x14ac:dyDescent="0.3">
      <c r="A42" s="121" t="s">
        <v>2137</v>
      </c>
      <c r="B42" s="121" t="s">
        <v>2138</v>
      </c>
      <c r="C42" s="122" t="s">
        <v>12</v>
      </c>
      <c r="D42" s="134"/>
      <c r="E42" s="124" t="s">
        <v>5</v>
      </c>
      <c r="F42" s="126">
        <v>240</v>
      </c>
      <c r="G42" s="124" t="s">
        <v>755</v>
      </c>
      <c r="H42" s="127">
        <v>0</v>
      </c>
      <c r="I42" s="124" t="s">
        <v>5</v>
      </c>
      <c r="J42" s="126">
        <v>400</v>
      </c>
      <c r="K42" s="124" t="s">
        <v>2225</v>
      </c>
      <c r="L42" s="127">
        <v>0</v>
      </c>
      <c r="M42" s="124" t="s">
        <v>5</v>
      </c>
      <c r="N42" s="129">
        <f t="shared" si="3"/>
        <v>240</v>
      </c>
      <c r="O42" s="124"/>
      <c r="P42" s="130"/>
    </row>
    <row r="43" spans="1:16" ht="30" customHeight="1" x14ac:dyDescent="0.3">
      <c r="A43" s="121" t="s">
        <v>2139</v>
      </c>
      <c r="B43" s="121" t="s">
        <v>2140</v>
      </c>
      <c r="C43" s="122" t="s">
        <v>12</v>
      </c>
      <c r="D43" s="134">
        <v>2527</v>
      </c>
      <c r="E43" s="124" t="s">
        <v>5</v>
      </c>
      <c r="F43" s="126">
        <v>2657</v>
      </c>
      <c r="G43" s="124" t="s">
        <v>797</v>
      </c>
      <c r="H43" s="126">
        <v>2657</v>
      </c>
      <c r="I43" s="124" t="s">
        <v>753</v>
      </c>
      <c r="J43" s="127">
        <v>0</v>
      </c>
      <c r="K43" s="124" t="s">
        <v>5</v>
      </c>
      <c r="L43" s="127">
        <v>0</v>
      </c>
      <c r="M43" s="124" t="s">
        <v>5</v>
      </c>
      <c r="N43" s="129">
        <f t="shared" si="3"/>
        <v>2527</v>
      </c>
      <c r="O43" s="124"/>
      <c r="P43" s="130"/>
    </row>
    <row r="44" spans="1:16" ht="30" customHeight="1" x14ac:dyDescent="0.3">
      <c r="A44" s="121" t="s">
        <v>2139</v>
      </c>
      <c r="B44" s="121" t="s">
        <v>2141</v>
      </c>
      <c r="C44" s="122" t="s">
        <v>12</v>
      </c>
      <c r="D44" s="134">
        <v>2696</v>
      </c>
      <c r="E44" s="124" t="s">
        <v>5</v>
      </c>
      <c r="F44" s="126">
        <v>2818</v>
      </c>
      <c r="G44" s="124" t="s">
        <v>797</v>
      </c>
      <c r="H44" s="126">
        <v>2818</v>
      </c>
      <c r="I44" s="124" t="s">
        <v>753</v>
      </c>
      <c r="J44" s="127">
        <v>0</v>
      </c>
      <c r="K44" s="124" t="s">
        <v>5</v>
      </c>
      <c r="L44" s="127">
        <v>0</v>
      </c>
      <c r="M44" s="124" t="s">
        <v>5</v>
      </c>
      <c r="N44" s="129">
        <f t="shared" si="3"/>
        <v>2696</v>
      </c>
      <c r="O44" s="124"/>
      <c r="P44" s="130"/>
    </row>
    <row r="45" spans="1:16" ht="30" customHeight="1" x14ac:dyDescent="0.3">
      <c r="A45" s="121" t="s">
        <v>2139</v>
      </c>
      <c r="B45" s="121" t="s">
        <v>2142</v>
      </c>
      <c r="C45" s="122" t="s">
        <v>12</v>
      </c>
      <c r="D45" s="134">
        <v>2808</v>
      </c>
      <c r="E45" s="124" t="s">
        <v>5</v>
      </c>
      <c r="F45" s="126">
        <v>2898</v>
      </c>
      <c r="G45" s="124" t="s">
        <v>797</v>
      </c>
      <c r="H45" s="126">
        <v>2898</v>
      </c>
      <c r="I45" s="124" t="s">
        <v>753</v>
      </c>
      <c r="J45" s="127">
        <v>0</v>
      </c>
      <c r="K45" s="124" t="s">
        <v>5</v>
      </c>
      <c r="L45" s="127">
        <v>0</v>
      </c>
      <c r="M45" s="124" t="s">
        <v>5</v>
      </c>
      <c r="N45" s="129">
        <f t="shared" si="3"/>
        <v>2808</v>
      </c>
      <c r="O45" s="124"/>
      <c r="P45" s="130"/>
    </row>
    <row r="46" spans="1:16" ht="30" customHeight="1" x14ac:dyDescent="0.3">
      <c r="A46" s="121" t="s">
        <v>2139</v>
      </c>
      <c r="B46" s="121" t="s">
        <v>2143</v>
      </c>
      <c r="C46" s="122" t="s">
        <v>12</v>
      </c>
      <c r="D46" s="134">
        <v>3119</v>
      </c>
      <c r="E46" s="124" t="s">
        <v>5</v>
      </c>
      <c r="F46" s="126">
        <v>3623</v>
      </c>
      <c r="G46" s="124" t="s">
        <v>797</v>
      </c>
      <c r="H46" s="126">
        <v>3220</v>
      </c>
      <c r="I46" s="124" t="s">
        <v>753</v>
      </c>
      <c r="J46" s="127">
        <v>0</v>
      </c>
      <c r="K46" s="124" t="s">
        <v>5</v>
      </c>
      <c r="L46" s="127">
        <v>0</v>
      </c>
      <c r="M46" s="124" t="s">
        <v>5</v>
      </c>
      <c r="N46" s="129">
        <f t="shared" si="3"/>
        <v>3119</v>
      </c>
      <c r="O46" s="124"/>
      <c r="P46" s="130"/>
    </row>
    <row r="47" spans="1:16" ht="30" customHeight="1" x14ac:dyDescent="0.3">
      <c r="A47" s="121" t="s">
        <v>2139</v>
      </c>
      <c r="B47" s="121" t="s">
        <v>2144</v>
      </c>
      <c r="C47" s="122" t="s">
        <v>12</v>
      </c>
      <c r="D47" s="134">
        <v>4581</v>
      </c>
      <c r="E47" s="124" t="s">
        <v>5</v>
      </c>
      <c r="F47" s="126">
        <v>4669</v>
      </c>
      <c r="G47" s="124" t="s">
        <v>797</v>
      </c>
      <c r="H47" s="126">
        <v>4669</v>
      </c>
      <c r="I47" s="124" t="s">
        <v>753</v>
      </c>
      <c r="J47" s="127">
        <v>0</v>
      </c>
      <c r="K47" s="124" t="s">
        <v>5</v>
      </c>
      <c r="L47" s="127">
        <v>0</v>
      </c>
      <c r="M47" s="124" t="s">
        <v>5</v>
      </c>
      <c r="N47" s="129">
        <f t="shared" si="3"/>
        <v>4581</v>
      </c>
      <c r="O47" s="124"/>
      <c r="P47" s="130"/>
    </row>
    <row r="48" spans="1:16" ht="30" customHeight="1" x14ac:dyDescent="0.3">
      <c r="A48" s="121" t="s">
        <v>2139</v>
      </c>
      <c r="B48" s="121" t="s">
        <v>2145</v>
      </c>
      <c r="C48" s="122" t="s">
        <v>12</v>
      </c>
      <c r="D48" s="134">
        <v>5224</v>
      </c>
      <c r="E48" s="124" t="s">
        <v>5</v>
      </c>
      <c r="F48" s="126">
        <v>5313</v>
      </c>
      <c r="G48" s="124" t="s">
        <v>797</v>
      </c>
      <c r="H48" s="126">
        <v>5313</v>
      </c>
      <c r="I48" s="124" t="s">
        <v>753</v>
      </c>
      <c r="J48" s="127">
        <v>0</v>
      </c>
      <c r="K48" s="124" t="s">
        <v>5</v>
      </c>
      <c r="L48" s="127">
        <v>0</v>
      </c>
      <c r="M48" s="124" t="s">
        <v>5</v>
      </c>
      <c r="N48" s="129">
        <f t="shared" si="3"/>
        <v>5224</v>
      </c>
      <c r="O48" s="124"/>
      <c r="P48" s="130"/>
    </row>
    <row r="49" spans="1:16" ht="30" customHeight="1" x14ac:dyDescent="0.3">
      <c r="A49" s="131" t="s">
        <v>948</v>
      </c>
      <c r="B49" s="131" t="s">
        <v>2172</v>
      </c>
      <c r="C49" s="132" t="s">
        <v>12</v>
      </c>
      <c r="D49" s="123">
        <v>0</v>
      </c>
      <c r="E49" s="128" t="s">
        <v>5</v>
      </c>
      <c r="F49" s="127">
        <v>0</v>
      </c>
      <c r="G49" s="128" t="s">
        <v>5</v>
      </c>
      <c r="H49" s="127">
        <v>0</v>
      </c>
      <c r="I49" s="128" t="s">
        <v>5</v>
      </c>
      <c r="J49" s="127">
        <v>700</v>
      </c>
      <c r="K49" s="128" t="s">
        <v>1625</v>
      </c>
      <c r="L49" s="127">
        <v>0</v>
      </c>
      <c r="M49" s="128" t="s">
        <v>5</v>
      </c>
      <c r="N49" s="135">
        <f t="shared" ref="N49:N79" si="4">SMALL(D49:L49,COUNTIF(D49:L49,0)+1)</f>
        <v>700</v>
      </c>
      <c r="O49" s="124"/>
      <c r="P49" s="130"/>
    </row>
    <row r="50" spans="1:16" ht="30" customHeight="1" x14ac:dyDescent="0.3">
      <c r="A50" s="131" t="s">
        <v>948</v>
      </c>
      <c r="B50" s="131" t="s">
        <v>2173</v>
      </c>
      <c r="C50" s="132" t="s">
        <v>12</v>
      </c>
      <c r="D50" s="123">
        <v>0</v>
      </c>
      <c r="E50" s="128" t="s">
        <v>5</v>
      </c>
      <c r="F50" s="127">
        <v>0</v>
      </c>
      <c r="G50" s="128" t="s">
        <v>5</v>
      </c>
      <c r="H50" s="127">
        <v>0</v>
      </c>
      <c r="I50" s="128" t="s">
        <v>5</v>
      </c>
      <c r="J50" s="127">
        <v>1200</v>
      </c>
      <c r="K50" s="128" t="s">
        <v>1625</v>
      </c>
      <c r="L50" s="127">
        <v>0</v>
      </c>
      <c r="M50" s="128" t="s">
        <v>5</v>
      </c>
      <c r="N50" s="135">
        <f t="shared" ref="N50:N51" si="5">SMALL(D50:L50,COUNTIF(D50:L50,0)+1)</f>
        <v>1200</v>
      </c>
      <c r="O50" s="124"/>
      <c r="P50" s="130"/>
    </row>
    <row r="51" spans="1:16" ht="30" customHeight="1" x14ac:dyDescent="0.3">
      <c r="A51" s="131" t="s">
        <v>948</v>
      </c>
      <c r="B51" s="131" t="s">
        <v>2174</v>
      </c>
      <c r="C51" s="132" t="s">
        <v>12</v>
      </c>
      <c r="D51" s="123">
        <v>0</v>
      </c>
      <c r="E51" s="128" t="s">
        <v>5</v>
      </c>
      <c r="F51" s="127">
        <v>0</v>
      </c>
      <c r="G51" s="128" t="s">
        <v>5</v>
      </c>
      <c r="H51" s="127">
        <v>0</v>
      </c>
      <c r="I51" s="128" t="s">
        <v>5</v>
      </c>
      <c r="J51" s="127">
        <v>900</v>
      </c>
      <c r="K51" s="128" t="s">
        <v>1625</v>
      </c>
      <c r="L51" s="127">
        <v>0</v>
      </c>
      <c r="M51" s="128" t="s">
        <v>5</v>
      </c>
      <c r="N51" s="135">
        <f t="shared" si="5"/>
        <v>900</v>
      </c>
      <c r="O51" s="124"/>
      <c r="P51" s="130"/>
    </row>
    <row r="52" spans="1:16" ht="30" customHeight="1" x14ac:dyDescent="0.3">
      <c r="A52" s="131" t="s">
        <v>948</v>
      </c>
      <c r="B52" s="131" t="s">
        <v>2175</v>
      </c>
      <c r="C52" s="132" t="s">
        <v>12</v>
      </c>
      <c r="D52" s="123">
        <v>0</v>
      </c>
      <c r="E52" s="128" t="s">
        <v>5</v>
      </c>
      <c r="F52" s="127">
        <v>0</v>
      </c>
      <c r="G52" s="128" t="s">
        <v>5</v>
      </c>
      <c r="H52" s="127">
        <v>0</v>
      </c>
      <c r="I52" s="128" t="s">
        <v>5</v>
      </c>
      <c r="J52" s="127">
        <v>1300</v>
      </c>
      <c r="K52" s="128" t="s">
        <v>1625</v>
      </c>
      <c r="L52" s="127">
        <v>0</v>
      </c>
      <c r="M52" s="128" t="s">
        <v>5</v>
      </c>
      <c r="N52" s="135">
        <f t="shared" ref="N52" si="6">SMALL(D52:L52,COUNTIF(D52:L52,0)+1)</f>
        <v>1300</v>
      </c>
      <c r="O52" s="124"/>
      <c r="P52" s="130"/>
    </row>
    <row r="53" spans="1:16" ht="30" customHeight="1" x14ac:dyDescent="0.3">
      <c r="A53" s="131" t="s">
        <v>24</v>
      </c>
      <c r="B53" s="131" t="s">
        <v>25</v>
      </c>
      <c r="C53" s="132" t="s">
        <v>12</v>
      </c>
      <c r="D53" s="123">
        <v>0</v>
      </c>
      <c r="E53" s="128" t="s">
        <v>5</v>
      </c>
      <c r="F53" s="127">
        <v>7200</v>
      </c>
      <c r="G53" s="128" t="s">
        <v>811</v>
      </c>
      <c r="H53" s="127">
        <v>8180</v>
      </c>
      <c r="I53" s="128" t="s">
        <v>1653</v>
      </c>
      <c r="J53" s="127">
        <v>4900</v>
      </c>
      <c r="K53" s="128" t="s">
        <v>2171</v>
      </c>
      <c r="L53" s="127">
        <v>0</v>
      </c>
      <c r="M53" s="128" t="s">
        <v>5</v>
      </c>
      <c r="N53" s="135">
        <f t="shared" si="4"/>
        <v>4900</v>
      </c>
      <c r="O53" s="124"/>
      <c r="P53" s="130"/>
    </row>
    <row r="54" spans="1:16" ht="30" customHeight="1" x14ac:dyDescent="0.3">
      <c r="A54" s="131" t="s">
        <v>24</v>
      </c>
      <c r="B54" s="131" t="s">
        <v>26</v>
      </c>
      <c r="C54" s="132" t="s">
        <v>12</v>
      </c>
      <c r="D54" s="123">
        <v>0</v>
      </c>
      <c r="E54" s="128" t="s">
        <v>5</v>
      </c>
      <c r="F54" s="127">
        <v>7500</v>
      </c>
      <c r="G54" s="128" t="s">
        <v>811</v>
      </c>
      <c r="H54" s="127">
        <v>9090</v>
      </c>
      <c r="I54" s="128" t="s">
        <v>1653</v>
      </c>
      <c r="J54" s="127">
        <v>7200</v>
      </c>
      <c r="K54" s="128" t="s">
        <v>2171</v>
      </c>
      <c r="L54" s="127">
        <v>0</v>
      </c>
      <c r="M54" s="128" t="s">
        <v>5</v>
      </c>
      <c r="N54" s="135">
        <f t="shared" si="4"/>
        <v>7200</v>
      </c>
      <c r="O54" s="124"/>
      <c r="P54" s="130"/>
    </row>
    <row r="55" spans="1:16" ht="30" customHeight="1" x14ac:dyDescent="0.3">
      <c r="A55" s="131" t="s">
        <v>24</v>
      </c>
      <c r="B55" s="131" t="s">
        <v>27</v>
      </c>
      <c r="C55" s="132" t="s">
        <v>12</v>
      </c>
      <c r="D55" s="123">
        <v>0</v>
      </c>
      <c r="E55" s="128" t="s">
        <v>5</v>
      </c>
      <c r="F55" s="127">
        <v>8500</v>
      </c>
      <c r="G55" s="128" t="s">
        <v>811</v>
      </c>
      <c r="H55" s="127">
        <v>14540</v>
      </c>
      <c r="I55" s="128" t="s">
        <v>1653</v>
      </c>
      <c r="J55" s="127">
        <v>8500</v>
      </c>
      <c r="K55" s="128" t="s">
        <v>2171</v>
      </c>
      <c r="L55" s="127">
        <v>0</v>
      </c>
      <c r="M55" s="128" t="s">
        <v>5</v>
      </c>
      <c r="N55" s="135">
        <f t="shared" si="4"/>
        <v>8500</v>
      </c>
      <c r="O55" s="124"/>
      <c r="P55" s="130"/>
    </row>
    <row r="56" spans="1:16" ht="30" customHeight="1" x14ac:dyDescent="0.3">
      <c r="A56" s="131" t="s">
        <v>24</v>
      </c>
      <c r="B56" s="131" t="s">
        <v>28</v>
      </c>
      <c r="C56" s="132" t="s">
        <v>12</v>
      </c>
      <c r="D56" s="123">
        <v>0</v>
      </c>
      <c r="E56" s="128" t="s">
        <v>5</v>
      </c>
      <c r="F56" s="127">
        <v>12500</v>
      </c>
      <c r="G56" s="128" t="s">
        <v>811</v>
      </c>
      <c r="H56" s="127">
        <v>0</v>
      </c>
      <c r="I56" s="128" t="s">
        <v>5</v>
      </c>
      <c r="J56" s="127">
        <v>12200</v>
      </c>
      <c r="K56" s="128" t="s">
        <v>2171</v>
      </c>
      <c r="L56" s="127">
        <v>0</v>
      </c>
      <c r="M56" s="128" t="s">
        <v>5</v>
      </c>
      <c r="N56" s="135">
        <f t="shared" si="4"/>
        <v>12200</v>
      </c>
      <c r="O56" s="124"/>
      <c r="P56" s="130"/>
    </row>
    <row r="57" spans="1:16" ht="30" customHeight="1" x14ac:dyDescent="0.3">
      <c r="A57" s="131" t="s">
        <v>24</v>
      </c>
      <c r="B57" s="131" t="s">
        <v>29</v>
      </c>
      <c r="C57" s="132" t="s">
        <v>12</v>
      </c>
      <c r="D57" s="123">
        <v>0</v>
      </c>
      <c r="E57" s="128" t="s">
        <v>5</v>
      </c>
      <c r="F57" s="127">
        <v>17500</v>
      </c>
      <c r="G57" s="128" t="s">
        <v>811</v>
      </c>
      <c r="H57" s="127">
        <v>300000</v>
      </c>
      <c r="I57" s="128" t="s">
        <v>1653</v>
      </c>
      <c r="J57" s="127">
        <v>17500</v>
      </c>
      <c r="K57" s="128" t="s">
        <v>2171</v>
      </c>
      <c r="L57" s="127">
        <v>0</v>
      </c>
      <c r="M57" s="128" t="s">
        <v>5</v>
      </c>
      <c r="N57" s="135">
        <f t="shared" si="4"/>
        <v>17500</v>
      </c>
      <c r="O57" s="124"/>
      <c r="P57" s="130"/>
    </row>
    <row r="58" spans="1:16" ht="30" customHeight="1" x14ac:dyDescent="0.3">
      <c r="A58" s="131" t="s">
        <v>24</v>
      </c>
      <c r="B58" s="131" t="s">
        <v>30</v>
      </c>
      <c r="C58" s="132" t="s">
        <v>12</v>
      </c>
      <c r="D58" s="123">
        <v>0</v>
      </c>
      <c r="E58" s="128" t="s">
        <v>5</v>
      </c>
      <c r="F58" s="127">
        <v>35100</v>
      </c>
      <c r="G58" s="128" t="s">
        <v>811</v>
      </c>
      <c r="H58" s="127">
        <v>40000</v>
      </c>
      <c r="I58" s="128" t="s">
        <v>1653</v>
      </c>
      <c r="J58" s="127">
        <v>35000</v>
      </c>
      <c r="K58" s="128" t="s">
        <v>2171</v>
      </c>
      <c r="L58" s="127">
        <v>0</v>
      </c>
      <c r="M58" s="128" t="s">
        <v>5</v>
      </c>
      <c r="N58" s="135">
        <f t="shared" si="4"/>
        <v>35000</v>
      </c>
      <c r="O58" s="124"/>
      <c r="P58" s="130"/>
    </row>
    <row r="59" spans="1:16" s="198" customFormat="1" ht="30" customHeight="1" x14ac:dyDescent="0.3">
      <c r="A59" s="181" t="s">
        <v>1561</v>
      </c>
      <c r="B59" s="181" t="s">
        <v>1612</v>
      </c>
      <c r="C59" s="182" t="s">
        <v>12</v>
      </c>
      <c r="D59" s="183">
        <v>54967</v>
      </c>
      <c r="E59" s="184" t="s">
        <v>5</v>
      </c>
      <c r="F59" s="185">
        <v>23850</v>
      </c>
      <c r="G59" s="184" t="s">
        <v>2157</v>
      </c>
      <c r="H59" s="185">
        <v>0</v>
      </c>
      <c r="I59" s="184" t="s">
        <v>5</v>
      </c>
      <c r="J59" s="185">
        <v>0</v>
      </c>
      <c r="K59" s="184" t="s">
        <v>5</v>
      </c>
      <c r="L59" s="185">
        <v>0</v>
      </c>
      <c r="M59" s="184" t="s">
        <v>5</v>
      </c>
      <c r="N59" s="197">
        <f t="shared" si="4"/>
        <v>23850</v>
      </c>
      <c r="O59" s="187"/>
      <c r="P59" s="187"/>
    </row>
    <row r="60" spans="1:16" s="198" customFormat="1" ht="30" customHeight="1" x14ac:dyDescent="0.3">
      <c r="A60" s="181" t="s">
        <v>1562</v>
      </c>
      <c r="B60" s="181" t="s">
        <v>1612</v>
      </c>
      <c r="C60" s="182" t="s">
        <v>12</v>
      </c>
      <c r="D60" s="183">
        <v>0</v>
      </c>
      <c r="E60" s="184" t="s">
        <v>5</v>
      </c>
      <c r="F60" s="185">
        <v>22850</v>
      </c>
      <c r="G60" s="184" t="s">
        <v>2157</v>
      </c>
      <c r="H60" s="185">
        <v>0</v>
      </c>
      <c r="I60" s="184" t="s">
        <v>5</v>
      </c>
      <c r="J60" s="185">
        <v>0</v>
      </c>
      <c r="K60" s="184" t="s">
        <v>5</v>
      </c>
      <c r="L60" s="185">
        <v>0</v>
      </c>
      <c r="M60" s="184" t="s">
        <v>5</v>
      </c>
      <c r="N60" s="197">
        <f t="shared" si="4"/>
        <v>22850</v>
      </c>
      <c r="O60" s="187"/>
      <c r="P60" s="187"/>
    </row>
    <row r="61" spans="1:16" ht="30" customHeight="1" x14ac:dyDescent="0.3">
      <c r="A61" s="121" t="s">
        <v>2355</v>
      </c>
      <c r="B61" s="121" t="s">
        <v>31</v>
      </c>
      <c r="C61" s="122" t="s">
        <v>12</v>
      </c>
      <c r="D61" s="134">
        <v>2286</v>
      </c>
      <c r="E61" s="124" t="s">
        <v>5</v>
      </c>
      <c r="F61" s="126">
        <v>4200</v>
      </c>
      <c r="G61" s="124" t="s">
        <v>752</v>
      </c>
      <c r="H61" s="126">
        <v>2690</v>
      </c>
      <c r="I61" s="124" t="s">
        <v>753</v>
      </c>
      <c r="J61" s="127">
        <v>0</v>
      </c>
      <c r="K61" s="124" t="s">
        <v>5</v>
      </c>
      <c r="L61" s="126">
        <v>2690</v>
      </c>
      <c r="M61" s="124" t="s">
        <v>2254</v>
      </c>
      <c r="N61" s="129">
        <f t="shared" si="4"/>
        <v>2286</v>
      </c>
      <c r="O61" s="124"/>
      <c r="P61" s="130"/>
    </row>
    <row r="62" spans="1:16" ht="30" customHeight="1" x14ac:dyDescent="0.3">
      <c r="A62" s="121" t="s">
        <v>2355</v>
      </c>
      <c r="B62" s="121" t="s">
        <v>32</v>
      </c>
      <c r="C62" s="122" t="s">
        <v>12</v>
      </c>
      <c r="D62" s="134">
        <v>2737</v>
      </c>
      <c r="E62" s="124" t="s">
        <v>5</v>
      </c>
      <c r="F62" s="126">
        <v>5100</v>
      </c>
      <c r="G62" s="124" t="s">
        <v>752</v>
      </c>
      <c r="H62" s="126">
        <v>3220</v>
      </c>
      <c r="I62" s="124" t="s">
        <v>753</v>
      </c>
      <c r="J62" s="127">
        <v>0</v>
      </c>
      <c r="K62" s="124" t="s">
        <v>5</v>
      </c>
      <c r="L62" s="126">
        <v>3220</v>
      </c>
      <c r="M62" s="124" t="s">
        <v>2254</v>
      </c>
      <c r="N62" s="129">
        <f t="shared" si="4"/>
        <v>2737</v>
      </c>
      <c r="O62" s="124"/>
      <c r="P62" s="130"/>
    </row>
    <row r="63" spans="1:16" ht="30" customHeight="1" x14ac:dyDescent="0.3">
      <c r="A63" s="121" t="s">
        <v>2355</v>
      </c>
      <c r="B63" s="121" t="s">
        <v>33</v>
      </c>
      <c r="C63" s="122" t="s">
        <v>12</v>
      </c>
      <c r="D63" s="134">
        <v>2864</v>
      </c>
      <c r="E63" s="124" t="s">
        <v>5</v>
      </c>
      <c r="F63" s="126">
        <v>5800</v>
      </c>
      <c r="G63" s="124" t="s">
        <v>752</v>
      </c>
      <c r="H63" s="126">
        <v>3520</v>
      </c>
      <c r="I63" s="124" t="s">
        <v>753</v>
      </c>
      <c r="J63" s="126">
        <v>3370</v>
      </c>
      <c r="K63" s="128" t="s">
        <v>2171</v>
      </c>
      <c r="L63" s="126">
        <v>3520</v>
      </c>
      <c r="M63" s="124" t="s">
        <v>2254</v>
      </c>
      <c r="N63" s="129">
        <f t="shared" si="4"/>
        <v>2864</v>
      </c>
      <c r="O63" s="124"/>
      <c r="P63" s="130"/>
    </row>
    <row r="64" spans="1:16" ht="30" customHeight="1" x14ac:dyDescent="0.3">
      <c r="A64" s="121" t="s">
        <v>2355</v>
      </c>
      <c r="B64" s="121" t="s">
        <v>34</v>
      </c>
      <c r="C64" s="122" t="s">
        <v>12</v>
      </c>
      <c r="D64" s="134">
        <v>3856</v>
      </c>
      <c r="E64" s="124" t="s">
        <v>5</v>
      </c>
      <c r="F64" s="126">
        <v>7510</v>
      </c>
      <c r="G64" s="124" t="s">
        <v>752</v>
      </c>
      <c r="H64" s="126">
        <v>3360</v>
      </c>
      <c r="I64" s="124" t="s">
        <v>753</v>
      </c>
      <c r="J64" s="126">
        <v>3870</v>
      </c>
      <c r="K64" s="128" t="s">
        <v>2171</v>
      </c>
      <c r="L64" s="126">
        <v>3360</v>
      </c>
      <c r="M64" s="124" t="s">
        <v>2254</v>
      </c>
      <c r="N64" s="129">
        <f t="shared" si="4"/>
        <v>3360</v>
      </c>
      <c r="O64" s="124"/>
      <c r="P64" s="130"/>
    </row>
    <row r="65" spans="1:16" ht="30" customHeight="1" x14ac:dyDescent="0.3">
      <c r="A65" s="121" t="s">
        <v>2355</v>
      </c>
      <c r="B65" s="121" t="s">
        <v>35</v>
      </c>
      <c r="C65" s="122" t="s">
        <v>12</v>
      </c>
      <c r="D65" s="134">
        <v>4020</v>
      </c>
      <c r="E65" s="124" t="s">
        <v>5</v>
      </c>
      <c r="F65" s="126">
        <v>10250</v>
      </c>
      <c r="G65" s="124" t="s">
        <v>752</v>
      </c>
      <c r="H65" s="126">
        <v>4730</v>
      </c>
      <c r="I65" s="124" t="s">
        <v>753</v>
      </c>
      <c r="J65" s="126">
        <v>5540</v>
      </c>
      <c r="K65" s="128" t="s">
        <v>2171</v>
      </c>
      <c r="L65" s="126">
        <v>4730</v>
      </c>
      <c r="M65" s="124" t="s">
        <v>2254</v>
      </c>
      <c r="N65" s="129">
        <f t="shared" si="4"/>
        <v>4020</v>
      </c>
      <c r="O65" s="124"/>
      <c r="P65" s="130"/>
    </row>
    <row r="66" spans="1:16" ht="30" customHeight="1" x14ac:dyDescent="0.3">
      <c r="A66" s="121" t="s">
        <v>2355</v>
      </c>
      <c r="B66" s="121" t="s">
        <v>36</v>
      </c>
      <c r="C66" s="122" t="s">
        <v>12</v>
      </c>
      <c r="D66" s="134">
        <v>4760</v>
      </c>
      <c r="E66" s="124" t="s">
        <v>5</v>
      </c>
      <c r="F66" s="126">
        <v>12500</v>
      </c>
      <c r="G66" s="124" t="s">
        <v>752</v>
      </c>
      <c r="H66" s="126">
        <v>5600</v>
      </c>
      <c r="I66" s="124" t="s">
        <v>753</v>
      </c>
      <c r="J66" s="126">
        <v>6600</v>
      </c>
      <c r="K66" s="128" t="s">
        <v>2171</v>
      </c>
      <c r="L66" s="126">
        <v>5600</v>
      </c>
      <c r="M66" s="124" t="s">
        <v>2254</v>
      </c>
      <c r="N66" s="129">
        <f t="shared" si="4"/>
        <v>4760</v>
      </c>
      <c r="O66" s="124"/>
      <c r="P66" s="130"/>
    </row>
    <row r="67" spans="1:16" ht="30" customHeight="1" x14ac:dyDescent="0.3">
      <c r="A67" s="121" t="s">
        <v>2355</v>
      </c>
      <c r="B67" s="121" t="s">
        <v>37</v>
      </c>
      <c r="C67" s="122" t="s">
        <v>12</v>
      </c>
      <c r="D67" s="134">
        <v>6035</v>
      </c>
      <c r="E67" s="124" t="s">
        <v>5</v>
      </c>
      <c r="F67" s="126">
        <v>14600</v>
      </c>
      <c r="G67" s="124" t="s">
        <v>752</v>
      </c>
      <c r="H67" s="126">
        <v>7100</v>
      </c>
      <c r="I67" s="124" t="s">
        <v>753</v>
      </c>
      <c r="J67" s="126">
        <v>7920</v>
      </c>
      <c r="K67" s="128" t="s">
        <v>2171</v>
      </c>
      <c r="L67" s="126">
        <v>7100</v>
      </c>
      <c r="M67" s="124" t="s">
        <v>2254</v>
      </c>
      <c r="N67" s="129">
        <f t="shared" si="4"/>
        <v>6035</v>
      </c>
      <c r="O67" s="124"/>
      <c r="P67" s="130"/>
    </row>
    <row r="68" spans="1:16" ht="30" customHeight="1" x14ac:dyDescent="0.3">
      <c r="A68" s="121" t="s">
        <v>2355</v>
      </c>
      <c r="B68" s="121" t="s">
        <v>38</v>
      </c>
      <c r="C68" s="122" t="s">
        <v>12</v>
      </c>
      <c r="D68" s="134">
        <v>6740</v>
      </c>
      <c r="E68" s="124" t="s">
        <v>5</v>
      </c>
      <c r="F68" s="126">
        <v>14300</v>
      </c>
      <c r="G68" s="124" t="s">
        <v>752</v>
      </c>
      <c r="H68" s="126">
        <v>7930</v>
      </c>
      <c r="I68" s="124" t="s">
        <v>753</v>
      </c>
      <c r="J68" s="126">
        <v>8140</v>
      </c>
      <c r="K68" s="128" t="s">
        <v>2171</v>
      </c>
      <c r="L68" s="126">
        <v>7930</v>
      </c>
      <c r="M68" s="124" t="s">
        <v>2254</v>
      </c>
      <c r="N68" s="129">
        <f t="shared" si="4"/>
        <v>6740</v>
      </c>
      <c r="O68" s="124"/>
      <c r="P68" s="130"/>
    </row>
    <row r="69" spans="1:16" ht="30" customHeight="1" x14ac:dyDescent="0.3">
      <c r="A69" s="121" t="s">
        <v>2355</v>
      </c>
      <c r="B69" s="121" t="s">
        <v>39</v>
      </c>
      <c r="C69" s="122" t="s">
        <v>12</v>
      </c>
      <c r="D69" s="134">
        <v>7675</v>
      </c>
      <c r="E69" s="124" t="s">
        <v>5</v>
      </c>
      <c r="F69" s="126">
        <v>16800</v>
      </c>
      <c r="G69" s="124" t="s">
        <v>752</v>
      </c>
      <c r="H69" s="126">
        <v>9030</v>
      </c>
      <c r="I69" s="124" t="s">
        <v>753</v>
      </c>
      <c r="J69" s="126">
        <v>9500</v>
      </c>
      <c r="K69" s="128" t="s">
        <v>2171</v>
      </c>
      <c r="L69" s="126">
        <v>9030</v>
      </c>
      <c r="M69" s="124" t="s">
        <v>2254</v>
      </c>
      <c r="N69" s="129">
        <f t="shared" si="4"/>
        <v>7675</v>
      </c>
      <c r="O69" s="124"/>
      <c r="P69" s="130"/>
    </row>
    <row r="70" spans="1:16" ht="30" customHeight="1" x14ac:dyDescent="0.3">
      <c r="A70" s="121" t="s">
        <v>2355</v>
      </c>
      <c r="B70" s="121" t="s">
        <v>2146</v>
      </c>
      <c r="C70" s="122" t="s">
        <v>12</v>
      </c>
      <c r="D70" s="134">
        <v>7741</v>
      </c>
      <c r="E70" s="124" t="s">
        <v>5</v>
      </c>
      <c r="F70" s="126">
        <v>17200</v>
      </c>
      <c r="G70" s="124" t="s">
        <v>752</v>
      </c>
      <c r="H70" s="126">
        <v>9970</v>
      </c>
      <c r="I70" s="124" t="s">
        <v>753</v>
      </c>
      <c r="J70" s="126">
        <v>9460</v>
      </c>
      <c r="K70" s="128" t="s">
        <v>2171</v>
      </c>
      <c r="L70" s="126">
        <v>9970</v>
      </c>
      <c r="M70" s="124" t="s">
        <v>2254</v>
      </c>
      <c r="N70" s="129">
        <f t="shared" si="4"/>
        <v>7741</v>
      </c>
      <c r="O70" s="124"/>
      <c r="P70" s="130"/>
    </row>
    <row r="71" spans="1:16" ht="30" customHeight="1" x14ac:dyDescent="0.3">
      <c r="A71" s="121" t="s">
        <v>2355</v>
      </c>
      <c r="B71" s="121" t="s">
        <v>40</v>
      </c>
      <c r="C71" s="122" t="s">
        <v>12</v>
      </c>
      <c r="D71" s="134">
        <v>9996</v>
      </c>
      <c r="E71" s="124" t="s">
        <v>5</v>
      </c>
      <c r="F71" s="126">
        <v>20100</v>
      </c>
      <c r="G71" s="124" t="s">
        <v>752</v>
      </c>
      <c r="H71" s="126">
        <v>11760</v>
      </c>
      <c r="I71" s="124" t="s">
        <v>753</v>
      </c>
      <c r="J71" s="126">
        <v>11880</v>
      </c>
      <c r="K71" s="128" t="s">
        <v>2171</v>
      </c>
      <c r="L71" s="126">
        <v>11760</v>
      </c>
      <c r="M71" s="124" t="s">
        <v>2254</v>
      </c>
      <c r="N71" s="129">
        <f t="shared" si="4"/>
        <v>9996</v>
      </c>
      <c r="O71" s="124"/>
      <c r="P71" s="130"/>
    </row>
    <row r="72" spans="1:16" ht="30" customHeight="1" x14ac:dyDescent="0.3">
      <c r="A72" s="121" t="s">
        <v>2355</v>
      </c>
      <c r="B72" s="121" t="s">
        <v>41</v>
      </c>
      <c r="C72" s="122" t="s">
        <v>12</v>
      </c>
      <c r="D72" s="134">
        <v>10769</v>
      </c>
      <c r="E72" s="124" t="s">
        <v>5</v>
      </c>
      <c r="F72" s="126">
        <v>23400</v>
      </c>
      <c r="G72" s="124" t="s">
        <v>752</v>
      </c>
      <c r="H72" s="126">
        <v>13460</v>
      </c>
      <c r="I72" s="124" t="s">
        <v>753</v>
      </c>
      <c r="J72" s="126">
        <v>12670</v>
      </c>
      <c r="K72" s="128" t="s">
        <v>2171</v>
      </c>
      <c r="L72" s="126">
        <v>13460</v>
      </c>
      <c r="M72" s="124" t="s">
        <v>2254</v>
      </c>
      <c r="N72" s="129">
        <f t="shared" si="4"/>
        <v>10769</v>
      </c>
      <c r="O72" s="124"/>
      <c r="P72" s="130"/>
    </row>
    <row r="73" spans="1:16" ht="30" customHeight="1" x14ac:dyDescent="0.3">
      <c r="A73" s="121" t="s">
        <v>2355</v>
      </c>
      <c r="B73" s="121" t="s">
        <v>42</v>
      </c>
      <c r="C73" s="122" t="s">
        <v>12</v>
      </c>
      <c r="D73" s="134">
        <v>14365</v>
      </c>
      <c r="E73" s="124" t="s">
        <v>5</v>
      </c>
      <c r="F73" s="126">
        <v>31600</v>
      </c>
      <c r="G73" s="124" t="s">
        <v>752</v>
      </c>
      <c r="H73" s="126">
        <v>16900</v>
      </c>
      <c r="I73" s="124" t="s">
        <v>753</v>
      </c>
      <c r="J73" s="127">
        <v>0</v>
      </c>
      <c r="K73" s="124" t="s">
        <v>5</v>
      </c>
      <c r="L73" s="126">
        <v>16900</v>
      </c>
      <c r="M73" s="124" t="s">
        <v>2254</v>
      </c>
      <c r="N73" s="129">
        <f t="shared" si="4"/>
        <v>14365</v>
      </c>
      <c r="O73" s="124"/>
      <c r="P73" s="130"/>
    </row>
    <row r="74" spans="1:16" ht="30" customHeight="1" x14ac:dyDescent="0.3">
      <c r="A74" s="121" t="s">
        <v>2355</v>
      </c>
      <c r="B74" s="121" t="s">
        <v>43</v>
      </c>
      <c r="C74" s="122" t="s">
        <v>12</v>
      </c>
      <c r="D74" s="134">
        <v>14637</v>
      </c>
      <c r="E74" s="124" t="s">
        <v>5</v>
      </c>
      <c r="F74" s="126">
        <v>32200</v>
      </c>
      <c r="G74" s="124" t="s">
        <v>752</v>
      </c>
      <c r="H74" s="126">
        <v>17220</v>
      </c>
      <c r="I74" s="124" t="s">
        <v>753</v>
      </c>
      <c r="J74" s="127">
        <v>0</v>
      </c>
      <c r="K74" s="124" t="s">
        <v>5</v>
      </c>
      <c r="L74" s="126">
        <v>17220</v>
      </c>
      <c r="M74" s="124" t="s">
        <v>2254</v>
      </c>
      <c r="N74" s="129">
        <f t="shared" si="4"/>
        <v>14637</v>
      </c>
      <c r="O74" s="124"/>
      <c r="P74" s="130"/>
    </row>
    <row r="75" spans="1:16" ht="30" customHeight="1" x14ac:dyDescent="0.3">
      <c r="A75" s="121" t="s">
        <v>2355</v>
      </c>
      <c r="B75" s="121" t="s">
        <v>44</v>
      </c>
      <c r="C75" s="122" t="s">
        <v>12</v>
      </c>
      <c r="D75" s="134">
        <v>17042</v>
      </c>
      <c r="E75" s="124" t="s">
        <v>5</v>
      </c>
      <c r="F75" s="126">
        <v>37300</v>
      </c>
      <c r="G75" s="124" t="s">
        <v>752</v>
      </c>
      <c r="H75" s="126">
        <v>20050</v>
      </c>
      <c r="I75" s="124" t="s">
        <v>753</v>
      </c>
      <c r="J75" s="126">
        <v>26840</v>
      </c>
      <c r="K75" s="128" t="s">
        <v>2171</v>
      </c>
      <c r="L75" s="126">
        <v>20050</v>
      </c>
      <c r="M75" s="124" t="s">
        <v>2254</v>
      </c>
      <c r="N75" s="129">
        <f t="shared" si="4"/>
        <v>17042</v>
      </c>
      <c r="O75" s="124"/>
      <c r="P75" s="130"/>
    </row>
    <row r="76" spans="1:16" ht="30" customHeight="1" x14ac:dyDescent="0.3">
      <c r="A76" s="121" t="s">
        <v>2355</v>
      </c>
      <c r="B76" s="121" t="s">
        <v>45</v>
      </c>
      <c r="C76" s="122" t="s">
        <v>12</v>
      </c>
      <c r="D76" s="134">
        <v>21020</v>
      </c>
      <c r="E76" s="124" t="s">
        <v>5</v>
      </c>
      <c r="F76" s="126">
        <v>46800</v>
      </c>
      <c r="G76" s="124" t="s">
        <v>752</v>
      </c>
      <c r="H76" s="126">
        <v>24730</v>
      </c>
      <c r="I76" s="124" t="s">
        <v>753</v>
      </c>
      <c r="J76" s="126">
        <v>31900</v>
      </c>
      <c r="K76" s="128" t="s">
        <v>2171</v>
      </c>
      <c r="L76" s="126">
        <v>24730</v>
      </c>
      <c r="M76" s="124" t="s">
        <v>2254</v>
      </c>
      <c r="N76" s="129">
        <f t="shared" si="4"/>
        <v>21020</v>
      </c>
      <c r="O76" s="124"/>
      <c r="P76" s="130"/>
    </row>
    <row r="77" spans="1:16" ht="30" customHeight="1" x14ac:dyDescent="0.3">
      <c r="A77" s="121" t="s">
        <v>2355</v>
      </c>
      <c r="B77" s="121" t="s">
        <v>46</v>
      </c>
      <c r="C77" s="122" t="s">
        <v>12</v>
      </c>
      <c r="D77" s="134">
        <v>29036</v>
      </c>
      <c r="E77" s="124" t="s">
        <v>5</v>
      </c>
      <c r="F77" s="126"/>
      <c r="G77" s="124"/>
      <c r="H77" s="126">
        <v>34160</v>
      </c>
      <c r="I77" s="124" t="s">
        <v>753</v>
      </c>
      <c r="J77" s="127">
        <v>0</v>
      </c>
      <c r="K77" s="124" t="s">
        <v>5</v>
      </c>
      <c r="L77" s="126">
        <v>34160</v>
      </c>
      <c r="M77" s="124" t="s">
        <v>2254</v>
      </c>
      <c r="N77" s="129">
        <f t="shared" si="4"/>
        <v>29036</v>
      </c>
      <c r="O77" s="124"/>
      <c r="P77" s="130"/>
    </row>
    <row r="78" spans="1:16" ht="30" customHeight="1" x14ac:dyDescent="0.3">
      <c r="A78" s="121" t="s">
        <v>2355</v>
      </c>
      <c r="B78" s="121" t="s">
        <v>47</v>
      </c>
      <c r="C78" s="122" t="s">
        <v>12</v>
      </c>
      <c r="D78" s="134">
        <v>34093</v>
      </c>
      <c r="E78" s="124" t="s">
        <v>5</v>
      </c>
      <c r="F78" s="126"/>
      <c r="G78" s="124"/>
      <c r="H78" s="126">
        <v>40110</v>
      </c>
      <c r="I78" s="124" t="s">
        <v>753</v>
      </c>
      <c r="J78" s="127">
        <v>0</v>
      </c>
      <c r="K78" s="124" t="s">
        <v>5</v>
      </c>
      <c r="L78" s="126">
        <v>40110</v>
      </c>
      <c r="M78" s="124" t="s">
        <v>2254</v>
      </c>
      <c r="N78" s="129">
        <f t="shared" si="4"/>
        <v>34093</v>
      </c>
      <c r="O78" s="124"/>
      <c r="P78" s="130"/>
    </row>
    <row r="79" spans="1:16" ht="30" customHeight="1" x14ac:dyDescent="0.3">
      <c r="A79" s="121" t="s">
        <v>2355</v>
      </c>
      <c r="B79" s="121" t="s">
        <v>48</v>
      </c>
      <c r="C79" s="122" t="s">
        <v>12</v>
      </c>
      <c r="D79" s="134">
        <v>47523</v>
      </c>
      <c r="E79" s="124" t="s">
        <v>5</v>
      </c>
      <c r="F79" s="126"/>
      <c r="G79" s="124"/>
      <c r="H79" s="126">
        <v>55910</v>
      </c>
      <c r="I79" s="124" t="s">
        <v>753</v>
      </c>
      <c r="J79" s="127">
        <v>0</v>
      </c>
      <c r="K79" s="124" t="s">
        <v>5</v>
      </c>
      <c r="L79" s="126">
        <v>55910</v>
      </c>
      <c r="M79" s="124" t="s">
        <v>2254</v>
      </c>
      <c r="N79" s="129">
        <f t="shared" si="4"/>
        <v>47523</v>
      </c>
      <c r="O79" s="124"/>
      <c r="P79" s="130"/>
    </row>
    <row r="80" spans="1:16" ht="30" customHeight="1" x14ac:dyDescent="0.3">
      <c r="A80" s="121" t="s">
        <v>2356</v>
      </c>
      <c r="B80" s="121" t="s">
        <v>31</v>
      </c>
      <c r="C80" s="122" t="s">
        <v>12</v>
      </c>
      <c r="D80" s="123">
        <v>0</v>
      </c>
      <c r="E80" s="124" t="s">
        <v>5</v>
      </c>
      <c r="F80" s="127">
        <v>5800</v>
      </c>
      <c r="G80" s="124" t="s">
        <v>752</v>
      </c>
      <c r="H80" s="127">
        <v>0</v>
      </c>
      <c r="I80" s="124"/>
      <c r="J80" s="127">
        <v>0</v>
      </c>
      <c r="K80" s="124" t="s">
        <v>5</v>
      </c>
      <c r="L80" s="127">
        <v>0</v>
      </c>
      <c r="M80" s="124"/>
      <c r="N80" s="129">
        <f t="shared" ref="N80:N96" si="7">SMALL(D80:L80,COUNTIF(D80:L80,0)+1)</f>
        <v>5800</v>
      </c>
      <c r="O80" s="124"/>
      <c r="P80" s="130"/>
    </row>
    <row r="81" spans="1:16" ht="30" customHeight="1" x14ac:dyDescent="0.3">
      <c r="A81" s="121" t="s">
        <v>2356</v>
      </c>
      <c r="B81" s="121" t="s">
        <v>32</v>
      </c>
      <c r="C81" s="122" t="s">
        <v>12</v>
      </c>
      <c r="D81" s="123">
        <v>0</v>
      </c>
      <c r="E81" s="124" t="s">
        <v>5</v>
      </c>
      <c r="F81" s="127">
        <v>6800</v>
      </c>
      <c r="G81" s="124" t="s">
        <v>752</v>
      </c>
      <c r="H81" s="127">
        <v>0</v>
      </c>
      <c r="I81" s="124"/>
      <c r="J81" s="127">
        <v>0</v>
      </c>
      <c r="K81" s="124" t="s">
        <v>5</v>
      </c>
      <c r="L81" s="127">
        <v>0</v>
      </c>
      <c r="M81" s="124"/>
      <c r="N81" s="129">
        <f t="shared" si="7"/>
        <v>6800</v>
      </c>
      <c r="O81" s="124"/>
      <c r="P81" s="130"/>
    </row>
    <row r="82" spans="1:16" ht="30" customHeight="1" x14ac:dyDescent="0.3">
      <c r="A82" s="121" t="s">
        <v>2356</v>
      </c>
      <c r="B82" s="121" t="s">
        <v>33</v>
      </c>
      <c r="C82" s="122" t="s">
        <v>12</v>
      </c>
      <c r="D82" s="123">
        <v>0</v>
      </c>
      <c r="E82" s="124" t="s">
        <v>5</v>
      </c>
      <c r="F82" s="127">
        <v>7600</v>
      </c>
      <c r="G82" s="124" t="s">
        <v>752</v>
      </c>
      <c r="H82" s="127">
        <v>0</v>
      </c>
      <c r="I82" s="124"/>
      <c r="J82" s="127">
        <v>0</v>
      </c>
      <c r="K82" s="128"/>
      <c r="L82" s="127">
        <v>0</v>
      </c>
      <c r="M82" s="124"/>
      <c r="N82" s="129">
        <f t="shared" si="7"/>
        <v>7600</v>
      </c>
      <c r="O82" s="124"/>
      <c r="P82" s="130"/>
    </row>
    <row r="83" spans="1:16" ht="30" customHeight="1" x14ac:dyDescent="0.3">
      <c r="A83" s="121" t="s">
        <v>2356</v>
      </c>
      <c r="B83" s="121" t="s">
        <v>34</v>
      </c>
      <c r="C83" s="122" t="s">
        <v>12</v>
      </c>
      <c r="D83" s="123">
        <v>0</v>
      </c>
      <c r="E83" s="124" t="s">
        <v>5</v>
      </c>
      <c r="F83" s="127">
        <v>11900</v>
      </c>
      <c r="G83" s="124" t="s">
        <v>752</v>
      </c>
      <c r="H83" s="127">
        <v>0</v>
      </c>
      <c r="I83" s="124"/>
      <c r="J83" s="127">
        <v>0</v>
      </c>
      <c r="K83" s="128"/>
      <c r="L83" s="127">
        <v>0</v>
      </c>
      <c r="M83" s="124"/>
      <c r="N83" s="129">
        <f t="shared" si="7"/>
        <v>11900</v>
      </c>
      <c r="O83" s="124"/>
      <c r="P83" s="130"/>
    </row>
    <row r="84" spans="1:16" ht="30" customHeight="1" x14ac:dyDescent="0.3">
      <c r="A84" s="121" t="s">
        <v>2356</v>
      </c>
      <c r="B84" s="121" t="s">
        <v>35</v>
      </c>
      <c r="C84" s="122" t="s">
        <v>12</v>
      </c>
      <c r="D84" s="123">
        <v>0</v>
      </c>
      <c r="E84" s="124" t="s">
        <v>5</v>
      </c>
      <c r="F84" s="127">
        <v>16500</v>
      </c>
      <c r="G84" s="124" t="s">
        <v>752</v>
      </c>
      <c r="H84" s="127">
        <v>0</v>
      </c>
      <c r="I84" s="124"/>
      <c r="J84" s="127">
        <v>0</v>
      </c>
      <c r="K84" s="128"/>
      <c r="L84" s="127">
        <v>0</v>
      </c>
      <c r="M84" s="124"/>
      <c r="N84" s="129">
        <f t="shared" si="7"/>
        <v>16500</v>
      </c>
      <c r="O84" s="124"/>
      <c r="P84" s="130"/>
    </row>
    <row r="85" spans="1:16" ht="30" customHeight="1" x14ac:dyDescent="0.3">
      <c r="A85" s="121" t="s">
        <v>2356</v>
      </c>
      <c r="B85" s="121" t="s">
        <v>36</v>
      </c>
      <c r="C85" s="122" t="s">
        <v>12</v>
      </c>
      <c r="D85" s="123">
        <v>0</v>
      </c>
      <c r="E85" s="124" t="s">
        <v>5</v>
      </c>
      <c r="F85" s="127">
        <v>19800</v>
      </c>
      <c r="G85" s="124" t="s">
        <v>752</v>
      </c>
      <c r="H85" s="127">
        <v>0</v>
      </c>
      <c r="I85" s="124"/>
      <c r="J85" s="127">
        <v>0</v>
      </c>
      <c r="K85" s="128"/>
      <c r="L85" s="127">
        <v>0</v>
      </c>
      <c r="M85" s="124"/>
      <c r="N85" s="129">
        <f t="shared" si="7"/>
        <v>19800</v>
      </c>
      <c r="O85" s="124"/>
      <c r="P85" s="130"/>
    </row>
    <row r="86" spans="1:16" ht="30" customHeight="1" x14ac:dyDescent="0.3">
      <c r="A86" s="121" t="s">
        <v>2356</v>
      </c>
      <c r="B86" s="121" t="s">
        <v>37</v>
      </c>
      <c r="C86" s="122" t="s">
        <v>12</v>
      </c>
      <c r="D86" s="123">
        <v>0</v>
      </c>
      <c r="E86" s="124" t="s">
        <v>5</v>
      </c>
      <c r="F86" s="127">
        <v>22700</v>
      </c>
      <c r="G86" s="124" t="s">
        <v>752</v>
      </c>
      <c r="H86" s="127">
        <v>0</v>
      </c>
      <c r="I86" s="124"/>
      <c r="J86" s="127">
        <v>0</v>
      </c>
      <c r="K86" s="128"/>
      <c r="L86" s="127">
        <v>0</v>
      </c>
      <c r="M86" s="124"/>
      <c r="N86" s="129">
        <f t="shared" si="7"/>
        <v>22700</v>
      </c>
      <c r="O86" s="124"/>
      <c r="P86" s="130"/>
    </row>
    <row r="87" spans="1:16" ht="30" customHeight="1" x14ac:dyDescent="0.3">
      <c r="A87" s="121" t="s">
        <v>2356</v>
      </c>
      <c r="B87" s="121" t="s">
        <v>38</v>
      </c>
      <c r="C87" s="122" t="s">
        <v>12</v>
      </c>
      <c r="D87" s="123">
        <v>0</v>
      </c>
      <c r="E87" s="124" t="s">
        <v>5</v>
      </c>
      <c r="F87" s="127">
        <v>22700</v>
      </c>
      <c r="G87" s="124" t="s">
        <v>752</v>
      </c>
      <c r="H87" s="127">
        <v>0</v>
      </c>
      <c r="I87" s="124"/>
      <c r="J87" s="127">
        <v>0</v>
      </c>
      <c r="K87" s="128"/>
      <c r="L87" s="127">
        <v>0</v>
      </c>
      <c r="M87" s="124"/>
      <c r="N87" s="129">
        <f t="shared" si="7"/>
        <v>22700</v>
      </c>
      <c r="O87" s="124"/>
      <c r="P87" s="130"/>
    </row>
    <row r="88" spans="1:16" ht="30" customHeight="1" x14ac:dyDescent="0.3">
      <c r="A88" s="121" t="s">
        <v>2356</v>
      </c>
      <c r="B88" s="121" t="s">
        <v>39</v>
      </c>
      <c r="C88" s="122" t="s">
        <v>12</v>
      </c>
      <c r="D88" s="123">
        <v>0</v>
      </c>
      <c r="E88" s="124" t="s">
        <v>5</v>
      </c>
      <c r="F88" s="127">
        <v>26500</v>
      </c>
      <c r="G88" s="124" t="s">
        <v>752</v>
      </c>
      <c r="H88" s="127">
        <v>0</v>
      </c>
      <c r="I88" s="124"/>
      <c r="J88" s="127">
        <v>0</v>
      </c>
      <c r="K88" s="128"/>
      <c r="L88" s="127">
        <v>0</v>
      </c>
      <c r="M88" s="124"/>
      <c r="N88" s="129">
        <f t="shared" si="7"/>
        <v>26500</v>
      </c>
      <c r="O88" s="124"/>
      <c r="P88" s="130"/>
    </row>
    <row r="89" spans="1:16" ht="30" customHeight="1" x14ac:dyDescent="0.3">
      <c r="A89" s="121" t="s">
        <v>2356</v>
      </c>
      <c r="B89" s="121" t="s">
        <v>2146</v>
      </c>
      <c r="C89" s="122" t="s">
        <v>12</v>
      </c>
      <c r="D89" s="123">
        <v>0</v>
      </c>
      <c r="E89" s="124" t="s">
        <v>5</v>
      </c>
      <c r="F89" s="127">
        <v>35500</v>
      </c>
      <c r="G89" s="124" t="s">
        <v>752</v>
      </c>
      <c r="H89" s="127">
        <v>0</v>
      </c>
      <c r="I89" s="124"/>
      <c r="J89" s="127">
        <v>0</v>
      </c>
      <c r="K89" s="128"/>
      <c r="L89" s="127">
        <v>0</v>
      </c>
      <c r="M89" s="124"/>
      <c r="N89" s="129">
        <f t="shared" si="7"/>
        <v>35500</v>
      </c>
      <c r="O89" s="124"/>
      <c r="P89" s="130"/>
    </row>
    <row r="90" spans="1:16" ht="30" customHeight="1" x14ac:dyDescent="0.3">
      <c r="A90" s="121" t="s">
        <v>2356</v>
      </c>
      <c r="B90" s="121" t="s">
        <v>40</v>
      </c>
      <c r="C90" s="122" t="s">
        <v>12</v>
      </c>
      <c r="D90" s="123">
        <v>0</v>
      </c>
      <c r="E90" s="124" t="s">
        <v>5</v>
      </c>
      <c r="F90" s="127">
        <v>40700</v>
      </c>
      <c r="G90" s="124" t="s">
        <v>752</v>
      </c>
      <c r="H90" s="127">
        <v>0</v>
      </c>
      <c r="I90" s="124"/>
      <c r="J90" s="127">
        <v>0</v>
      </c>
      <c r="K90" s="128"/>
      <c r="L90" s="127">
        <v>0</v>
      </c>
      <c r="M90" s="124"/>
      <c r="N90" s="129">
        <f t="shared" si="7"/>
        <v>40700</v>
      </c>
      <c r="O90" s="124"/>
      <c r="P90" s="130"/>
    </row>
    <row r="91" spans="1:16" ht="30" customHeight="1" x14ac:dyDescent="0.3">
      <c r="A91" s="121" t="s">
        <v>2356</v>
      </c>
      <c r="B91" s="121" t="s">
        <v>41</v>
      </c>
      <c r="C91" s="122" t="s">
        <v>12</v>
      </c>
      <c r="D91" s="123">
        <v>0</v>
      </c>
      <c r="E91" s="124" t="s">
        <v>5</v>
      </c>
      <c r="F91" s="127">
        <v>46400</v>
      </c>
      <c r="G91" s="124" t="s">
        <v>752</v>
      </c>
      <c r="H91" s="127">
        <v>0</v>
      </c>
      <c r="I91" s="124"/>
      <c r="J91" s="127">
        <v>0</v>
      </c>
      <c r="K91" s="128"/>
      <c r="L91" s="127">
        <v>0</v>
      </c>
      <c r="M91" s="124"/>
      <c r="N91" s="129">
        <f t="shared" si="7"/>
        <v>46400</v>
      </c>
      <c r="O91" s="124"/>
      <c r="P91" s="130"/>
    </row>
    <row r="92" spans="1:16" ht="30" customHeight="1" x14ac:dyDescent="0.3">
      <c r="A92" s="121" t="s">
        <v>2356</v>
      </c>
      <c r="B92" s="121" t="s">
        <v>42</v>
      </c>
      <c r="C92" s="122" t="s">
        <v>12</v>
      </c>
      <c r="D92" s="123">
        <v>0</v>
      </c>
      <c r="E92" s="124" t="s">
        <v>5</v>
      </c>
      <c r="F92" s="127">
        <v>57800</v>
      </c>
      <c r="G92" s="124" t="s">
        <v>752</v>
      </c>
      <c r="H92" s="127">
        <v>0</v>
      </c>
      <c r="I92" s="124"/>
      <c r="J92" s="127">
        <v>0</v>
      </c>
      <c r="K92" s="124"/>
      <c r="L92" s="127">
        <v>0</v>
      </c>
      <c r="M92" s="124"/>
      <c r="N92" s="129">
        <f t="shared" si="7"/>
        <v>57800</v>
      </c>
      <c r="O92" s="124"/>
      <c r="P92" s="130"/>
    </row>
    <row r="93" spans="1:16" ht="30" customHeight="1" x14ac:dyDescent="0.3">
      <c r="A93" s="121" t="s">
        <v>2356</v>
      </c>
      <c r="B93" s="121" t="s">
        <v>43</v>
      </c>
      <c r="C93" s="122" t="s">
        <v>12</v>
      </c>
      <c r="D93" s="123">
        <v>0</v>
      </c>
      <c r="E93" s="124" t="s">
        <v>5</v>
      </c>
      <c r="F93" s="127">
        <v>63400</v>
      </c>
      <c r="G93" s="124" t="s">
        <v>752</v>
      </c>
      <c r="H93" s="127">
        <v>0</v>
      </c>
      <c r="I93" s="124"/>
      <c r="J93" s="127">
        <v>0</v>
      </c>
      <c r="K93" s="124"/>
      <c r="L93" s="127">
        <v>0</v>
      </c>
      <c r="M93" s="124"/>
      <c r="N93" s="129">
        <f t="shared" si="7"/>
        <v>63400</v>
      </c>
      <c r="O93" s="124"/>
      <c r="P93" s="130"/>
    </row>
    <row r="94" spans="1:16" ht="30" customHeight="1" x14ac:dyDescent="0.3">
      <c r="A94" s="121" t="s">
        <v>2356</v>
      </c>
      <c r="B94" s="121" t="s">
        <v>44</v>
      </c>
      <c r="C94" s="122" t="s">
        <v>12</v>
      </c>
      <c r="D94" s="123">
        <v>0</v>
      </c>
      <c r="E94" s="124" t="s">
        <v>5</v>
      </c>
      <c r="F94" s="127">
        <v>73700</v>
      </c>
      <c r="G94" s="124" t="s">
        <v>752</v>
      </c>
      <c r="H94" s="127">
        <v>0</v>
      </c>
      <c r="I94" s="124"/>
      <c r="J94" s="127">
        <v>0</v>
      </c>
      <c r="K94" s="128"/>
      <c r="L94" s="127">
        <v>0</v>
      </c>
      <c r="M94" s="124"/>
      <c r="N94" s="129">
        <f t="shared" si="7"/>
        <v>73700</v>
      </c>
      <c r="O94" s="124"/>
      <c r="P94" s="130"/>
    </row>
    <row r="95" spans="1:16" ht="30" customHeight="1" x14ac:dyDescent="0.3">
      <c r="A95" s="121" t="s">
        <v>2356</v>
      </c>
      <c r="B95" s="121" t="s">
        <v>45</v>
      </c>
      <c r="C95" s="122" t="s">
        <v>12</v>
      </c>
      <c r="D95" s="123">
        <v>0</v>
      </c>
      <c r="E95" s="124" t="s">
        <v>5</v>
      </c>
      <c r="F95" s="127">
        <v>93800</v>
      </c>
      <c r="G95" s="124" t="s">
        <v>752</v>
      </c>
      <c r="H95" s="127">
        <v>0</v>
      </c>
      <c r="I95" s="124"/>
      <c r="J95" s="127">
        <v>0</v>
      </c>
      <c r="K95" s="128"/>
      <c r="L95" s="127">
        <v>0</v>
      </c>
      <c r="M95" s="124"/>
      <c r="N95" s="129">
        <f t="shared" si="7"/>
        <v>93800</v>
      </c>
      <c r="O95" s="124"/>
      <c r="P95" s="130"/>
    </row>
    <row r="96" spans="1:16" ht="30" customHeight="1" x14ac:dyDescent="0.3">
      <c r="A96" s="121" t="s">
        <v>2356</v>
      </c>
      <c r="B96" s="121" t="s">
        <v>46</v>
      </c>
      <c r="C96" s="122" t="s">
        <v>12</v>
      </c>
      <c r="D96" s="123">
        <v>0</v>
      </c>
      <c r="E96" s="124" t="s">
        <v>5</v>
      </c>
      <c r="F96" s="127">
        <v>117250</v>
      </c>
      <c r="G96" s="124" t="s">
        <v>752</v>
      </c>
      <c r="H96" s="127">
        <v>0</v>
      </c>
      <c r="I96" s="124"/>
      <c r="J96" s="127">
        <v>0</v>
      </c>
      <c r="K96" s="124" t="s">
        <v>5</v>
      </c>
      <c r="L96" s="127">
        <v>0</v>
      </c>
      <c r="M96" s="124"/>
      <c r="N96" s="129">
        <f t="shared" si="7"/>
        <v>117250</v>
      </c>
      <c r="O96" s="124"/>
      <c r="P96" s="130"/>
    </row>
    <row r="97" spans="1:16" ht="30" customHeight="1" x14ac:dyDescent="0.3">
      <c r="A97" s="131" t="s">
        <v>1542</v>
      </c>
      <c r="B97" s="131" t="s">
        <v>2231</v>
      </c>
      <c r="C97" s="132" t="s">
        <v>12</v>
      </c>
      <c r="D97" s="123">
        <v>0</v>
      </c>
      <c r="E97" s="128" t="s">
        <v>5</v>
      </c>
      <c r="F97" s="127">
        <v>0</v>
      </c>
      <c r="G97" s="128" t="s">
        <v>5</v>
      </c>
      <c r="H97" s="127">
        <v>0</v>
      </c>
      <c r="I97" s="128" t="s">
        <v>5</v>
      </c>
      <c r="J97" s="127">
        <v>0</v>
      </c>
      <c r="K97" s="128" t="s">
        <v>5</v>
      </c>
      <c r="L97" s="127">
        <v>300</v>
      </c>
      <c r="M97" s="128" t="s">
        <v>1629</v>
      </c>
      <c r="N97" s="135">
        <f t="shared" ref="N97:N99" si="8">SMALL(D97:L97,COUNTIF(D97:L97,0)+1)</f>
        <v>300</v>
      </c>
      <c r="O97" s="124"/>
      <c r="P97" s="130"/>
    </row>
    <row r="98" spans="1:16" ht="30" customHeight="1" x14ac:dyDescent="0.3">
      <c r="A98" s="131" t="s">
        <v>1542</v>
      </c>
      <c r="B98" s="131" t="s">
        <v>2229</v>
      </c>
      <c r="C98" s="132" t="s">
        <v>12</v>
      </c>
      <c r="D98" s="123">
        <v>0</v>
      </c>
      <c r="E98" s="128" t="s">
        <v>5</v>
      </c>
      <c r="F98" s="127">
        <v>0</v>
      </c>
      <c r="G98" s="128" t="s">
        <v>5</v>
      </c>
      <c r="H98" s="127">
        <v>0</v>
      </c>
      <c r="I98" s="128" t="s">
        <v>5</v>
      </c>
      <c r="J98" s="127">
        <v>0</v>
      </c>
      <c r="K98" s="128" t="s">
        <v>5</v>
      </c>
      <c r="L98" s="127">
        <v>350</v>
      </c>
      <c r="M98" s="128" t="s">
        <v>1629</v>
      </c>
      <c r="N98" s="135">
        <f t="shared" ref="N98" si="9">SMALL(D98:L98,COUNTIF(D98:L98,0)+1)</f>
        <v>350</v>
      </c>
      <c r="O98" s="124"/>
      <c r="P98" s="130"/>
    </row>
    <row r="99" spans="1:16" ht="30" customHeight="1" x14ac:dyDescent="0.3">
      <c r="A99" s="131" t="s">
        <v>1541</v>
      </c>
      <c r="B99" s="131" t="s">
        <v>2230</v>
      </c>
      <c r="C99" s="132" t="s">
        <v>12</v>
      </c>
      <c r="D99" s="123">
        <v>0</v>
      </c>
      <c r="E99" s="128" t="s">
        <v>5</v>
      </c>
      <c r="F99" s="127">
        <v>0</v>
      </c>
      <c r="G99" s="128" t="s">
        <v>5</v>
      </c>
      <c r="H99" s="127">
        <v>0</v>
      </c>
      <c r="I99" s="128" t="s">
        <v>5</v>
      </c>
      <c r="J99" s="127">
        <v>0</v>
      </c>
      <c r="K99" s="128" t="s">
        <v>5</v>
      </c>
      <c r="L99" s="127">
        <v>7000</v>
      </c>
      <c r="M99" s="128" t="s">
        <v>1629</v>
      </c>
      <c r="N99" s="135">
        <f t="shared" si="8"/>
        <v>7000</v>
      </c>
      <c r="O99" s="124"/>
      <c r="P99" s="130"/>
    </row>
  </sheetData>
  <mergeCells count="8">
    <mergeCell ref="A1:P1"/>
    <mergeCell ref="A2:P2"/>
    <mergeCell ref="A3:A4"/>
    <mergeCell ref="B3:B4"/>
    <mergeCell ref="C3:C4"/>
    <mergeCell ref="D3:N3"/>
    <mergeCell ref="O3:O4"/>
    <mergeCell ref="P3:P4"/>
  </mergeCells>
  <phoneticPr fontId="1" type="noConversion"/>
  <pageMargins left="0.78740157480314954" right="0" top="0.39370078740157477" bottom="0.39370078740157477" header="0" footer="0"/>
  <pageSetup paperSize="9"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pageSetUpPr fitToPage="1"/>
  </sheetPr>
  <dimension ref="A1:Q69"/>
  <sheetViews>
    <sheetView tabSelected="1" view="pageBreakPreview" zoomScale="85" zoomScaleNormal="87" zoomScaleSheetLayoutView="85" workbookViewId="0">
      <pane ySplit="4" topLeftCell="A5" activePane="bottomLeft" state="frozen"/>
      <selection activeCell="A3" sqref="A3:A4"/>
      <selection pane="bottomLeft" activeCell="L14" sqref="L14"/>
    </sheetView>
  </sheetViews>
  <sheetFormatPr defaultRowHeight="16.5" x14ac:dyDescent="0.3"/>
  <cols>
    <col min="1" max="2" width="30.5" style="116" bestFit="1" customWidth="1"/>
    <col min="3" max="3" width="5.5" style="136" customWidth="1"/>
    <col min="4" max="4" width="11.625" style="115" customWidth="1"/>
    <col min="5" max="5" width="6.625" style="137" customWidth="1"/>
    <col min="6" max="6" width="11.625" style="113" customWidth="1"/>
    <col min="7" max="7" width="6.625" style="137" customWidth="1"/>
    <col min="8" max="8" width="11.625" style="113" customWidth="1"/>
    <col min="9" max="9" width="6.625" style="137" customWidth="1"/>
    <col min="10" max="10" width="11.625" style="113" customWidth="1"/>
    <col min="11" max="11" width="6.625" style="137" customWidth="1"/>
    <col min="12" max="12" width="13.875" style="113" customWidth="1"/>
    <col min="13" max="13" width="6.625" style="137" customWidth="1"/>
    <col min="14" max="14" width="13.875" style="112" bestFit="1" customWidth="1"/>
    <col min="15" max="15" width="8.5" style="136" customWidth="1"/>
    <col min="16" max="16" width="15" style="136" customWidth="1"/>
    <col min="17" max="17" width="9" style="196"/>
    <col min="18" max="16384" width="9" style="116"/>
  </cols>
  <sheetData>
    <row r="1" spans="1:16" ht="30" customHeight="1" x14ac:dyDescent="0.3">
      <c r="A1" s="200" t="s">
        <v>932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</row>
    <row r="2" spans="1:16" ht="30" customHeight="1" x14ac:dyDescent="0.3">
      <c r="A2" s="201" t="s">
        <v>1998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</row>
    <row r="3" spans="1:16" ht="30" customHeight="1" x14ac:dyDescent="0.3">
      <c r="A3" s="202" t="s">
        <v>1566</v>
      </c>
      <c r="B3" s="202" t="s">
        <v>1567</v>
      </c>
      <c r="C3" s="202" t="s">
        <v>1</v>
      </c>
      <c r="D3" s="202" t="s">
        <v>2</v>
      </c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3" t="s">
        <v>728</v>
      </c>
      <c r="P3" s="203" t="s">
        <v>3</v>
      </c>
    </row>
    <row r="4" spans="1:16" ht="30" customHeight="1" x14ac:dyDescent="0.3">
      <c r="A4" s="202"/>
      <c r="B4" s="202"/>
      <c r="C4" s="202"/>
      <c r="D4" s="117" t="s">
        <v>723</v>
      </c>
      <c r="E4" s="118" t="s">
        <v>724</v>
      </c>
      <c r="F4" s="119" t="s">
        <v>2239</v>
      </c>
      <c r="G4" s="118" t="s">
        <v>724</v>
      </c>
      <c r="H4" s="119" t="s">
        <v>2240</v>
      </c>
      <c r="I4" s="118" t="s">
        <v>724</v>
      </c>
      <c r="J4" s="119" t="s">
        <v>2241</v>
      </c>
      <c r="K4" s="118" t="s">
        <v>724</v>
      </c>
      <c r="L4" s="119" t="s">
        <v>2242</v>
      </c>
      <c r="M4" s="118" t="s">
        <v>724</v>
      </c>
      <c r="N4" s="120" t="s">
        <v>725</v>
      </c>
      <c r="O4" s="204"/>
      <c r="P4" s="204"/>
    </row>
    <row r="5" spans="1:16" ht="30" customHeight="1" x14ac:dyDescent="0.3">
      <c r="A5" s="131" t="s">
        <v>337</v>
      </c>
      <c r="B5" s="131" t="s">
        <v>858</v>
      </c>
      <c r="C5" s="132" t="s">
        <v>338</v>
      </c>
      <c r="D5" s="134">
        <v>212788</v>
      </c>
      <c r="E5" s="128" t="s">
        <v>5</v>
      </c>
      <c r="F5" s="127">
        <v>264000</v>
      </c>
      <c r="G5" s="128" t="s">
        <v>810</v>
      </c>
      <c r="H5" s="127">
        <v>264000</v>
      </c>
      <c r="I5" s="128" t="s">
        <v>1956</v>
      </c>
      <c r="J5" s="127">
        <v>264000</v>
      </c>
      <c r="K5" s="128" t="s">
        <v>2224</v>
      </c>
      <c r="L5" s="127">
        <v>0</v>
      </c>
      <c r="M5" s="128"/>
      <c r="N5" s="135">
        <f t="shared" ref="N5:N21" si="0">SMALL(D5:L5,COUNTIF(D5:L5,0)+1)</f>
        <v>212788</v>
      </c>
      <c r="O5" s="124"/>
      <c r="P5" s="124"/>
    </row>
    <row r="6" spans="1:16" ht="30" customHeight="1" x14ac:dyDescent="0.3">
      <c r="A6" s="131" t="s">
        <v>339</v>
      </c>
      <c r="B6" s="131" t="s">
        <v>2332</v>
      </c>
      <c r="C6" s="132" t="s">
        <v>340</v>
      </c>
      <c r="D6" s="123">
        <v>0</v>
      </c>
      <c r="E6" s="128" t="s">
        <v>5</v>
      </c>
      <c r="F6" s="127">
        <v>79715</v>
      </c>
      <c r="G6" s="128" t="s">
        <v>2371</v>
      </c>
      <c r="H6" s="127">
        <v>0</v>
      </c>
      <c r="I6" s="128" t="s">
        <v>5</v>
      </c>
      <c r="J6" s="127">
        <v>0</v>
      </c>
      <c r="K6" s="128" t="s">
        <v>5</v>
      </c>
      <c r="L6" s="127">
        <v>0</v>
      </c>
      <c r="M6" s="128"/>
      <c r="N6" s="135">
        <f t="shared" si="0"/>
        <v>79715</v>
      </c>
      <c r="O6" s="124"/>
      <c r="P6" s="124"/>
    </row>
    <row r="7" spans="1:16" ht="30" customHeight="1" x14ac:dyDescent="0.3">
      <c r="A7" s="131" t="s">
        <v>341</v>
      </c>
      <c r="B7" s="131" t="s">
        <v>5</v>
      </c>
      <c r="C7" s="132" t="s">
        <v>12</v>
      </c>
      <c r="D7" s="123">
        <v>0</v>
      </c>
      <c r="E7" s="128" t="s">
        <v>5</v>
      </c>
      <c r="F7" s="127">
        <v>55186</v>
      </c>
      <c r="G7" s="128" t="s">
        <v>2371</v>
      </c>
      <c r="H7" s="127">
        <v>0</v>
      </c>
      <c r="I7" s="128" t="s">
        <v>5</v>
      </c>
      <c r="J7" s="127">
        <v>0</v>
      </c>
      <c r="K7" s="128" t="s">
        <v>5</v>
      </c>
      <c r="L7" s="127">
        <v>0</v>
      </c>
      <c r="M7" s="128"/>
      <c r="N7" s="135">
        <f t="shared" si="0"/>
        <v>55186</v>
      </c>
      <c r="O7" s="124"/>
      <c r="P7" s="124"/>
    </row>
    <row r="8" spans="1:16" ht="30" customHeight="1" x14ac:dyDescent="0.3">
      <c r="A8" s="131" t="s">
        <v>342</v>
      </c>
      <c r="B8" s="131" t="s">
        <v>343</v>
      </c>
      <c r="C8" s="132" t="s">
        <v>12</v>
      </c>
      <c r="D8" s="123">
        <v>0</v>
      </c>
      <c r="E8" s="128" t="s">
        <v>5</v>
      </c>
      <c r="F8" s="127">
        <v>3500</v>
      </c>
      <c r="G8" s="128" t="s">
        <v>2371</v>
      </c>
      <c r="H8" s="127">
        <v>0</v>
      </c>
      <c r="I8" s="128" t="s">
        <v>5</v>
      </c>
      <c r="J8" s="127">
        <v>0</v>
      </c>
      <c r="K8" s="128" t="s">
        <v>5</v>
      </c>
      <c r="L8" s="127">
        <v>3500</v>
      </c>
      <c r="M8" s="128" t="s">
        <v>1973</v>
      </c>
      <c r="N8" s="135">
        <f t="shared" si="0"/>
        <v>3500</v>
      </c>
      <c r="O8" s="124"/>
      <c r="P8" s="124"/>
    </row>
    <row r="9" spans="1:16" ht="30" customHeight="1" x14ac:dyDescent="0.3">
      <c r="A9" s="131" t="s">
        <v>334</v>
      </c>
      <c r="B9" s="131" t="s">
        <v>335</v>
      </c>
      <c r="C9" s="132" t="s">
        <v>12</v>
      </c>
      <c r="D9" s="123">
        <v>0</v>
      </c>
      <c r="E9" s="128" t="s">
        <v>5</v>
      </c>
      <c r="F9" s="127">
        <v>0</v>
      </c>
      <c r="G9" s="128" t="s">
        <v>5</v>
      </c>
      <c r="H9" s="127">
        <v>0</v>
      </c>
      <c r="I9" s="128" t="s">
        <v>5</v>
      </c>
      <c r="J9" s="127">
        <v>0</v>
      </c>
      <c r="K9" s="128" t="s">
        <v>5</v>
      </c>
      <c r="L9" s="127">
        <v>35000</v>
      </c>
      <c r="M9" s="128" t="s">
        <v>857</v>
      </c>
      <c r="N9" s="135">
        <f t="shared" si="0"/>
        <v>35000</v>
      </c>
      <c r="O9" s="124"/>
      <c r="P9" s="124"/>
    </row>
    <row r="10" spans="1:16" ht="30" customHeight="1" x14ac:dyDescent="0.3">
      <c r="A10" s="131" t="s">
        <v>336</v>
      </c>
      <c r="B10" s="131" t="s">
        <v>335</v>
      </c>
      <c r="C10" s="132" t="s">
        <v>12</v>
      </c>
      <c r="D10" s="123">
        <v>0</v>
      </c>
      <c r="E10" s="128" t="s">
        <v>5</v>
      </c>
      <c r="F10" s="127">
        <v>0</v>
      </c>
      <c r="G10" s="128" t="s">
        <v>5</v>
      </c>
      <c r="H10" s="127">
        <v>0</v>
      </c>
      <c r="I10" s="128" t="s">
        <v>5</v>
      </c>
      <c r="J10" s="127">
        <v>0</v>
      </c>
      <c r="K10" s="128" t="s">
        <v>5</v>
      </c>
      <c r="L10" s="127">
        <v>150000</v>
      </c>
      <c r="M10" s="128" t="s">
        <v>857</v>
      </c>
      <c r="N10" s="135">
        <f t="shared" si="0"/>
        <v>150000</v>
      </c>
      <c r="O10" s="124"/>
      <c r="P10" s="124"/>
    </row>
    <row r="11" spans="1:16" ht="30" customHeight="1" x14ac:dyDescent="0.3">
      <c r="A11" s="131" t="s">
        <v>2369</v>
      </c>
      <c r="B11" s="131" t="s">
        <v>2370</v>
      </c>
      <c r="C11" s="132" t="s">
        <v>12</v>
      </c>
      <c r="D11" s="123">
        <v>0</v>
      </c>
      <c r="E11" s="128" t="s">
        <v>5</v>
      </c>
      <c r="F11" s="127">
        <v>39856</v>
      </c>
      <c r="G11" s="128" t="s">
        <v>2371</v>
      </c>
      <c r="H11" s="127">
        <v>0</v>
      </c>
      <c r="I11" s="128" t="s">
        <v>5</v>
      </c>
      <c r="J11" s="127">
        <v>0</v>
      </c>
      <c r="K11" s="128" t="s">
        <v>5</v>
      </c>
      <c r="L11" s="127">
        <v>0</v>
      </c>
      <c r="M11" s="128" t="s">
        <v>5</v>
      </c>
      <c r="N11" s="135">
        <f t="shared" ref="N11:N12" si="1">SMALL(D11:L11,COUNTIF(D11:L11,0)+1)</f>
        <v>39856</v>
      </c>
      <c r="O11" s="124"/>
      <c r="P11" s="124"/>
    </row>
    <row r="12" spans="1:16" ht="30" customHeight="1" x14ac:dyDescent="0.3">
      <c r="A12" s="131" t="s">
        <v>2372</v>
      </c>
      <c r="B12" s="131" t="s">
        <v>2373</v>
      </c>
      <c r="C12" s="132" t="s">
        <v>12</v>
      </c>
      <c r="D12" s="123">
        <v>0</v>
      </c>
      <c r="E12" s="128" t="s">
        <v>5</v>
      </c>
      <c r="F12" s="127">
        <v>88911</v>
      </c>
      <c r="G12" s="128" t="s">
        <v>2371</v>
      </c>
      <c r="H12" s="127">
        <v>0</v>
      </c>
      <c r="I12" s="128" t="s">
        <v>5</v>
      </c>
      <c r="J12" s="127">
        <v>0</v>
      </c>
      <c r="K12" s="128" t="s">
        <v>5</v>
      </c>
      <c r="L12" s="127">
        <v>0</v>
      </c>
      <c r="M12" s="128" t="s">
        <v>5</v>
      </c>
      <c r="N12" s="135">
        <f t="shared" si="1"/>
        <v>88911</v>
      </c>
      <c r="O12" s="124"/>
      <c r="P12" s="124"/>
    </row>
    <row r="13" spans="1:16" ht="30" customHeight="1" x14ac:dyDescent="0.3">
      <c r="A13" s="131" t="s">
        <v>955</v>
      </c>
      <c r="B13" s="131" t="s">
        <v>956</v>
      </c>
      <c r="C13" s="132" t="s">
        <v>12</v>
      </c>
      <c r="D13" s="123">
        <v>0</v>
      </c>
      <c r="E13" s="128" t="s">
        <v>5</v>
      </c>
      <c r="F13" s="127">
        <v>0</v>
      </c>
      <c r="G13" s="128" t="s">
        <v>5</v>
      </c>
      <c r="H13" s="127">
        <v>0</v>
      </c>
      <c r="I13" s="128" t="s">
        <v>5</v>
      </c>
      <c r="J13" s="127">
        <v>0</v>
      </c>
      <c r="K13" s="128" t="s">
        <v>5</v>
      </c>
      <c r="L13" s="127">
        <v>1650</v>
      </c>
      <c r="M13" s="128" t="s">
        <v>1973</v>
      </c>
      <c r="N13" s="135">
        <f t="shared" si="0"/>
        <v>1650</v>
      </c>
      <c r="O13" s="124"/>
      <c r="P13" s="124"/>
    </row>
    <row r="14" spans="1:16" ht="30" customHeight="1" x14ac:dyDescent="0.3">
      <c r="A14" s="131" t="s">
        <v>955</v>
      </c>
      <c r="B14" s="131" t="s">
        <v>1568</v>
      </c>
      <c r="C14" s="132" t="s">
        <v>12</v>
      </c>
      <c r="D14" s="123">
        <v>0</v>
      </c>
      <c r="E14" s="128" t="s">
        <v>5</v>
      </c>
      <c r="F14" s="127">
        <v>0</v>
      </c>
      <c r="G14" s="128" t="s">
        <v>5</v>
      </c>
      <c r="H14" s="127">
        <v>0</v>
      </c>
      <c r="I14" s="128" t="s">
        <v>5</v>
      </c>
      <c r="J14" s="127">
        <v>0</v>
      </c>
      <c r="K14" s="128" t="s">
        <v>5</v>
      </c>
      <c r="L14" s="127">
        <v>6000</v>
      </c>
      <c r="M14" s="128" t="s">
        <v>1973</v>
      </c>
      <c r="N14" s="135">
        <f t="shared" si="0"/>
        <v>6000</v>
      </c>
      <c r="O14" s="124"/>
      <c r="P14" s="124"/>
    </row>
    <row r="15" spans="1:16" ht="30" customHeight="1" x14ac:dyDescent="0.3">
      <c r="A15" s="131" t="s">
        <v>955</v>
      </c>
      <c r="B15" s="131" t="s">
        <v>1569</v>
      </c>
      <c r="C15" s="132" t="s">
        <v>12</v>
      </c>
      <c r="D15" s="123">
        <v>0</v>
      </c>
      <c r="E15" s="128" t="s">
        <v>5</v>
      </c>
      <c r="F15" s="127">
        <v>0</v>
      </c>
      <c r="G15" s="128" t="s">
        <v>5</v>
      </c>
      <c r="H15" s="127">
        <v>0</v>
      </c>
      <c r="I15" s="128" t="s">
        <v>5</v>
      </c>
      <c r="J15" s="127">
        <v>0</v>
      </c>
      <c r="K15" s="128" t="s">
        <v>5</v>
      </c>
      <c r="L15" s="127">
        <v>8700</v>
      </c>
      <c r="M15" s="128" t="s">
        <v>1973</v>
      </c>
      <c r="N15" s="135">
        <f t="shared" si="0"/>
        <v>8700</v>
      </c>
      <c r="O15" s="124"/>
      <c r="P15" s="124"/>
    </row>
    <row r="16" spans="1:16" ht="30" customHeight="1" x14ac:dyDescent="0.3">
      <c r="A16" s="131" t="s">
        <v>955</v>
      </c>
      <c r="B16" s="131" t="s">
        <v>1570</v>
      </c>
      <c r="C16" s="132" t="s">
        <v>12</v>
      </c>
      <c r="D16" s="123">
        <v>0</v>
      </c>
      <c r="E16" s="128" t="s">
        <v>5</v>
      </c>
      <c r="F16" s="127">
        <v>0</v>
      </c>
      <c r="G16" s="128" t="s">
        <v>5</v>
      </c>
      <c r="H16" s="127">
        <v>0</v>
      </c>
      <c r="I16" s="128" t="s">
        <v>5</v>
      </c>
      <c r="J16" s="127">
        <v>0</v>
      </c>
      <c r="K16" s="128" t="s">
        <v>5</v>
      </c>
      <c r="L16" s="127">
        <v>11700</v>
      </c>
      <c r="M16" s="128" t="s">
        <v>1973</v>
      </c>
      <c r="N16" s="135">
        <f t="shared" si="0"/>
        <v>11700</v>
      </c>
      <c r="O16" s="124"/>
      <c r="P16" s="124"/>
    </row>
    <row r="17" spans="1:16" s="116" customFormat="1" ht="30" customHeight="1" x14ac:dyDescent="0.3">
      <c r="A17" s="131" t="s">
        <v>2687</v>
      </c>
      <c r="B17" s="131" t="s">
        <v>2689</v>
      </c>
      <c r="C17" s="132" t="s">
        <v>12</v>
      </c>
      <c r="D17" s="127">
        <v>0</v>
      </c>
      <c r="E17" s="128" t="s">
        <v>5</v>
      </c>
      <c r="F17" s="127">
        <v>3026000</v>
      </c>
      <c r="G17" s="128" t="s">
        <v>2693</v>
      </c>
      <c r="H17" s="127">
        <v>0</v>
      </c>
      <c r="I17" s="128" t="s">
        <v>5</v>
      </c>
      <c r="J17" s="127">
        <v>2507000</v>
      </c>
      <c r="K17" s="128" t="s">
        <v>2695</v>
      </c>
      <c r="L17" s="127">
        <v>2631000</v>
      </c>
      <c r="M17" s="128" t="s">
        <v>2697</v>
      </c>
      <c r="N17" s="135">
        <f t="shared" ref="N17:N19" si="2">SMALL(D17:L17,COUNTIF(D17:L17,0)+1)</f>
        <v>2507000</v>
      </c>
      <c r="O17" s="124"/>
      <c r="P17" s="124"/>
    </row>
    <row r="18" spans="1:16" s="116" customFormat="1" ht="30" customHeight="1" x14ac:dyDescent="0.3">
      <c r="A18" s="131" t="s">
        <v>2688</v>
      </c>
      <c r="B18" s="131" t="s">
        <v>2690</v>
      </c>
      <c r="C18" s="132" t="s">
        <v>12</v>
      </c>
      <c r="D18" s="127">
        <v>0</v>
      </c>
      <c r="E18" s="128" t="s">
        <v>5</v>
      </c>
      <c r="F18" s="127">
        <v>3773000</v>
      </c>
      <c r="G18" s="128" t="s">
        <v>2694</v>
      </c>
      <c r="H18" s="127">
        <v>0</v>
      </c>
      <c r="I18" s="128" t="s">
        <v>5</v>
      </c>
      <c r="J18" s="127">
        <v>2222000</v>
      </c>
      <c r="K18" s="128" t="s">
        <v>2696</v>
      </c>
      <c r="L18" s="127">
        <v>3773000</v>
      </c>
      <c r="M18" s="128" t="s">
        <v>2698</v>
      </c>
      <c r="N18" s="135">
        <f t="shared" si="2"/>
        <v>2222000</v>
      </c>
      <c r="O18" s="124"/>
      <c r="P18" s="124"/>
    </row>
    <row r="19" spans="1:16" s="116" customFormat="1" ht="30" customHeight="1" x14ac:dyDescent="0.3">
      <c r="A19" s="131" t="s">
        <v>2688</v>
      </c>
      <c r="B19" s="131" t="s">
        <v>2691</v>
      </c>
      <c r="C19" s="132" t="s">
        <v>12</v>
      </c>
      <c r="D19" s="127">
        <v>0</v>
      </c>
      <c r="E19" s="128" t="s">
        <v>5</v>
      </c>
      <c r="F19" s="127">
        <v>4740000</v>
      </c>
      <c r="G19" s="128" t="s">
        <v>2694</v>
      </c>
      <c r="H19" s="127">
        <v>0</v>
      </c>
      <c r="I19" s="128" t="s">
        <v>5</v>
      </c>
      <c r="J19" s="127">
        <v>2495000</v>
      </c>
      <c r="K19" s="128" t="s">
        <v>2696</v>
      </c>
      <c r="L19" s="127">
        <v>4740000</v>
      </c>
      <c r="M19" s="128" t="s">
        <v>2698</v>
      </c>
      <c r="N19" s="135">
        <f t="shared" si="2"/>
        <v>2495000</v>
      </c>
      <c r="O19" s="124"/>
      <c r="P19" s="124"/>
    </row>
    <row r="20" spans="1:16" s="116" customFormat="1" ht="30" customHeight="1" x14ac:dyDescent="0.3">
      <c r="A20" s="131" t="s">
        <v>2688</v>
      </c>
      <c r="B20" s="131" t="s">
        <v>2692</v>
      </c>
      <c r="C20" s="132" t="s">
        <v>12</v>
      </c>
      <c r="D20" s="127">
        <v>0</v>
      </c>
      <c r="E20" s="128" t="s">
        <v>5</v>
      </c>
      <c r="F20" s="127">
        <v>5022000</v>
      </c>
      <c r="G20" s="128" t="s">
        <v>2694</v>
      </c>
      <c r="H20" s="127">
        <v>0</v>
      </c>
      <c r="I20" s="128" t="s">
        <v>5</v>
      </c>
      <c r="J20" s="127">
        <v>3310000</v>
      </c>
      <c r="K20" s="128" t="s">
        <v>2696</v>
      </c>
      <c r="L20" s="127">
        <v>5022000</v>
      </c>
      <c r="M20" s="128" t="s">
        <v>2698</v>
      </c>
      <c r="N20" s="135">
        <f t="shared" ref="N20" si="3">SMALL(D20:L20,COUNTIF(D20:L20,0)+1)</f>
        <v>3310000</v>
      </c>
      <c r="O20" s="124"/>
      <c r="P20" s="124"/>
    </row>
    <row r="21" spans="1:16" ht="30" customHeight="1" x14ac:dyDescent="0.3">
      <c r="A21" s="131" t="s">
        <v>350</v>
      </c>
      <c r="B21" s="131" t="s">
        <v>354</v>
      </c>
      <c r="C21" s="132" t="s">
        <v>7</v>
      </c>
      <c r="D21" s="123">
        <v>9246</v>
      </c>
      <c r="E21" s="128" t="s">
        <v>5</v>
      </c>
      <c r="F21" s="127">
        <v>11800</v>
      </c>
      <c r="G21" s="128" t="s">
        <v>749</v>
      </c>
      <c r="H21" s="127">
        <v>19000</v>
      </c>
      <c r="I21" s="128" t="s">
        <v>750</v>
      </c>
      <c r="J21" s="127">
        <v>0</v>
      </c>
      <c r="K21" s="128" t="s">
        <v>5</v>
      </c>
      <c r="L21" s="127">
        <v>19000</v>
      </c>
      <c r="M21" s="128" t="s">
        <v>2248</v>
      </c>
      <c r="N21" s="135">
        <f t="shared" si="0"/>
        <v>9246</v>
      </c>
      <c r="O21" s="124"/>
      <c r="P21" s="130"/>
    </row>
    <row r="22" spans="1:16" ht="30" customHeight="1" x14ac:dyDescent="0.3">
      <c r="A22" s="131" t="s">
        <v>350</v>
      </c>
      <c r="B22" s="131" t="s">
        <v>355</v>
      </c>
      <c r="C22" s="132" t="s">
        <v>7</v>
      </c>
      <c r="D22" s="123">
        <v>10329</v>
      </c>
      <c r="E22" s="128" t="s">
        <v>5</v>
      </c>
      <c r="F22" s="127">
        <v>11200</v>
      </c>
      <c r="G22" s="128" t="s">
        <v>749</v>
      </c>
      <c r="H22" s="127">
        <v>15600</v>
      </c>
      <c r="I22" s="128" t="s">
        <v>750</v>
      </c>
      <c r="J22" s="127">
        <v>0</v>
      </c>
      <c r="K22" s="128" t="s">
        <v>5</v>
      </c>
      <c r="L22" s="127">
        <v>15600</v>
      </c>
      <c r="M22" s="128" t="s">
        <v>2248</v>
      </c>
      <c r="N22" s="135">
        <f t="shared" ref="N22" si="4">SMALL(D22:L22,COUNTIF(D22:L22,0)+1)</f>
        <v>10329</v>
      </c>
      <c r="O22" s="124"/>
      <c r="P22" s="130"/>
    </row>
    <row r="23" spans="1:16" ht="30" customHeight="1" x14ac:dyDescent="0.3">
      <c r="A23" s="131" t="s">
        <v>350</v>
      </c>
      <c r="B23" s="131" t="s">
        <v>351</v>
      </c>
      <c r="C23" s="132" t="s">
        <v>7</v>
      </c>
      <c r="D23" s="123">
        <v>4560</v>
      </c>
      <c r="E23" s="128" t="s">
        <v>5</v>
      </c>
      <c r="F23" s="127">
        <v>5900</v>
      </c>
      <c r="G23" s="128" t="s">
        <v>749</v>
      </c>
      <c r="H23" s="127">
        <v>9000</v>
      </c>
      <c r="I23" s="128" t="s">
        <v>750</v>
      </c>
      <c r="J23" s="127">
        <v>0</v>
      </c>
      <c r="K23" s="128" t="s">
        <v>5</v>
      </c>
      <c r="L23" s="127">
        <v>9000</v>
      </c>
      <c r="M23" s="128" t="s">
        <v>2248</v>
      </c>
      <c r="N23" s="135">
        <f t="shared" ref="N23:N26" si="5">SMALL(D23:L23,COUNTIF(D23:L23,0)+1)</f>
        <v>4560</v>
      </c>
      <c r="O23" s="124"/>
      <c r="P23" s="130"/>
    </row>
    <row r="24" spans="1:16" ht="30" customHeight="1" x14ac:dyDescent="0.3">
      <c r="A24" s="131" t="s">
        <v>350</v>
      </c>
      <c r="B24" s="131" t="s">
        <v>352</v>
      </c>
      <c r="C24" s="132" t="s">
        <v>7</v>
      </c>
      <c r="D24" s="123">
        <v>8199</v>
      </c>
      <c r="E24" s="128" t="s">
        <v>5</v>
      </c>
      <c r="F24" s="127">
        <v>8400</v>
      </c>
      <c r="G24" s="128" t="s">
        <v>749</v>
      </c>
      <c r="H24" s="127">
        <v>9600</v>
      </c>
      <c r="I24" s="128" t="s">
        <v>750</v>
      </c>
      <c r="J24" s="127">
        <v>0</v>
      </c>
      <c r="K24" s="128" t="s">
        <v>5</v>
      </c>
      <c r="L24" s="127">
        <v>9600</v>
      </c>
      <c r="M24" s="128" t="s">
        <v>2248</v>
      </c>
      <c r="N24" s="135">
        <f t="shared" si="5"/>
        <v>8199</v>
      </c>
      <c r="O24" s="124"/>
      <c r="P24" s="130"/>
    </row>
    <row r="25" spans="1:16" ht="30" customHeight="1" x14ac:dyDescent="0.3">
      <c r="A25" s="131" t="s">
        <v>350</v>
      </c>
      <c r="B25" s="131" t="s">
        <v>353</v>
      </c>
      <c r="C25" s="132" t="s">
        <v>7</v>
      </c>
      <c r="D25" s="123">
        <v>8544</v>
      </c>
      <c r="E25" s="128" t="s">
        <v>5</v>
      </c>
      <c r="F25" s="127">
        <v>10000</v>
      </c>
      <c r="G25" s="128" t="s">
        <v>749</v>
      </c>
      <c r="H25" s="127">
        <v>0</v>
      </c>
      <c r="I25" s="128"/>
      <c r="J25" s="127">
        <v>0</v>
      </c>
      <c r="K25" s="128" t="s">
        <v>5</v>
      </c>
      <c r="L25" s="127">
        <v>0</v>
      </c>
      <c r="M25" s="128" t="s">
        <v>5</v>
      </c>
      <c r="N25" s="135">
        <f t="shared" si="5"/>
        <v>8544</v>
      </c>
      <c r="O25" s="124"/>
      <c r="P25" s="130"/>
    </row>
    <row r="26" spans="1:16" ht="30" customHeight="1" x14ac:dyDescent="0.3">
      <c r="A26" s="131" t="s">
        <v>350</v>
      </c>
      <c r="B26" s="131" t="s">
        <v>356</v>
      </c>
      <c r="C26" s="132" t="s">
        <v>7</v>
      </c>
      <c r="D26" s="123">
        <v>5123</v>
      </c>
      <c r="E26" s="128" t="s">
        <v>5</v>
      </c>
      <c r="F26" s="127">
        <v>5500</v>
      </c>
      <c r="G26" s="128" t="s">
        <v>749</v>
      </c>
      <c r="H26" s="127">
        <v>6600</v>
      </c>
      <c r="I26" s="128" t="s">
        <v>750</v>
      </c>
      <c r="J26" s="127">
        <v>0</v>
      </c>
      <c r="K26" s="128" t="s">
        <v>5</v>
      </c>
      <c r="L26" s="127">
        <v>6600</v>
      </c>
      <c r="M26" s="128" t="s">
        <v>2248</v>
      </c>
      <c r="N26" s="135">
        <f t="shared" si="5"/>
        <v>5123</v>
      </c>
      <c r="O26" s="124"/>
      <c r="P26" s="130"/>
    </row>
    <row r="27" spans="1:16" ht="30" customHeight="1" x14ac:dyDescent="0.3">
      <c r="A27" s="131" t="s">
        <v>350</v>
      </c>
      <c r="B27" s="131" t="s">
        <v>357</v>
      </c>
      <c r="C27" s="132" t="s">
        <v>7</v>
      </c>
      <c r="D27" s="123">
        <v>6795</v>
      </c>
      <c r="E27" s="128" t="s">
        <v>5</v>
      </c>
      <c r="F27" s="127">
        <v>6800</v>
      </c>
      <c r="G27" s="128" t="s">
        <v>749</v>
      </c>
      <c r="H27" s="127">
        <v>9000</v>
      </c>
      <c r="I27" s="128" t="s">
        <v>750</v>
      </c>
      <c r="J27" s="127">
        <v>0</v>
      </c>
      <c r="K27" s="128" t="s">
        <v>5</v>
      </c>
      <c r="L27" s="127">
        <v>9000</v>
      </c>
      <c r="M27" s="128" t="s">
        <v>2248</v>
      </c>
      <c r="N27" s="135">
        <f t="shared" ref="N27:N28" si="6">SMALL(D27:L27,COUNTIF(D27:L27,0)+1)</f>
        <v>6795</v>
      </c>
      <c r="O27" s="124"/>
      <c r="P27" s="130"/>
    </row>
    <row r="28" spans="1:16" ht="30" customHeight="1" x14ac:dyDescent="0.3">
      <c r="A28" s="131" t="s">
        <v>350</v>
      </c>
      <c r="B28" s="131" t="s">
        <v>358</v>
      </c>
      <c r="C28" s="132" t="s">
        <v>7</v>
      </c>
      <c r="D28" s="123">
        <v>7402</v>
      </c>
      <c r="E28" s="128" t="s">
        <v>5</v>
      </c>
      <c r="F28" s="127">
        <v>9500</v>
      </c>
      <c r="G28" s="128" t="s">
        <v>749</v>
      </c>
      <c r="H28" s="127">
        <v>14800</v>
      </c>
      <c r="I28" s="128" t="s">
        <v>750</v>
      </c>
      <c r="J28" s="127">
        <v>0</v>
      </c>
      <c r="K28" s="128" t="s">
        <v>5</v>
      </c>
      <c r="L28" s="127">
        <v>14800</v>
      </c>
      <c r="M28" s="128" t="s">
        <v>2248</v>
      </c>
      <c r="N28" s="135">
        <f t="shared" si="6"/>
        <v>7402</v>
      </c>
      <c r="O28" s="124"/>
      <c r="P28" s="130"/>
    </row>
    <row r="29" spans="1:16" ht="30" customHeight="1" x14ac:dyDescent="0.3">
      <c r="A29" s="131" t="s">
        <v>2365</v>
      </c>
      <c r="B29" s="131" t="s">
        <v>2366</v>
      </c>
      <c r="C29" s="132" t="s">
        <v>7</v>
      </c>
      <c r="D29" s="123">
        <v>0</v>
      </c>
      <c r="E29" s="128" t="s">
        <v>5</v>
      </c>
      <c r="F29" s="127">
        <v>5600</v>
      </c>
      <c r="G29" s="128" t="s">
        <v>749</v>
      </c>
      <c r="H29" s="127">
        <v>10200</v>
      </c>
      <c r="I29" s="128" t="s">
        <v>750</v>
      </c>
      <c r="J29" s="127">
        <v>0</v>
      </c>
      <c r="K29" s="128" t="s">
        <v>5</v>
      </c>
      <c r="L29" s="127">
        <v>0</v>
      </c>
      <c r="M29" s="128"/>
      <c r="N29" s="135">
        <f t="shared" ref="N29" si="7">SMALL(D29:L29,COUNTIF(D29:L29,0)+1)</f>
        <v>5600</v>
      </c>
      <c r="O29" s="124"/>
      <c r="P29" s="130"/>
    </row>
    <row r="30" spans="1:16" ht="30" customHeight="1" x14ac:dyDescent="0.3">
      <c r="A30" s="131" t="s">
        <v>2365</v>
      </c>
      <c r="B30" s="131" t="s">
        <v>2367</v>
      </c>
      <c r="C30" s="132" t="s">
        <v>7</v>
      </c>
      <c r="D30" s="123">
        <v>0</v>
      </c>
      <c r="E30" s="128" t="s">
        <v>5</v>
      </c>
      <c r="F30" s="127">
        <v>13600</v>
      </c>
      <c r="G30" s="128" t="s">
        <v>749</v>
      </c>
      <c r="H30" s="127">
        <v>15600</v>
      </c>
      <c r="I30" s="128" t="s">
        <v>750</v>
      </c>
      <c r="J30" s="127">
        <v>0</v>
      </c>
      <c r="K30" s="128" t="s">
        <v>5</v>
      </c>
      <c r="L30" s="127">
        <v>0</v>
      </c>
      <c r="M30" s="128"/>
      <c r="N30" s="135">
        <f t="shared" ref="N30" si="8">SMALL(D30:L30,COUNTIF(D30:L30,0)+1)</f>
        <v>13600</v>
      </c>
      <c r="O30" s="124"/>
      <c r="P30" s="130"/>
    </row>
    <row r="31" spans="1:16" ht="30" customHeight="1" x14ac:dyDescent="0.3">
      <c r="A31" s="131" t="s">
        <v>2365</v>
      </c>
      <c r="B31" s="131" t="s">
        <v>2368</v>
      </c>
      <c r="C31" s="132" t="s">
        <v>7</v>
      </c>
      <c r="D31" s="123">
        <v>0</v>
      </c>
      <c r="E31" s="128" t="s">
        <v>5</v>
      </c>
      <c r="F31" s="127">
        <v>15600</v>
      </c>
      <c r="G31" s="128" t="s">
        <v>749</v>
      </c>
      <c r="H31" s="127">
        <v>18000</v>
      </c>
      <c r="I31" s="128" t="s">
        <v>750</v>
      </c>
      <c r="J31" s="127">
        <v>0</v>
      </c>
      <c r="K31" s="128" t="s">
        <v>5</v>
      </c>
      <c r="L31" s="127">
        <v>0</v>
      </c>
      <c r="M31" s="128"/>
      <c r="N31" s="135">
        <f t="shared" ref="N31" si="9">SMALL(D31:L31,COUNTIF(D31:L31,0)+1)</f>
        <v>15600</v>
      </c>
      <c r="O31" s="124"/>
      <c r="P31" s="130"/>
    </row>
    <row r="32" spans="1:16" ht="30" customHeight="1" x14ac:dyDescent="0.3">
      <c r="A32" s="131" t="s">
        <v>359</v>
      </c>
      <c r="B32" s="131" t="s">
        <v>360</v>
      </c>
      <c r="C32" s="132" t="s">
        <v>12</v>
      </c>
      <c r="D32" s="123">
        <v>1323</v>
      </c>
      <c r="E32" s="128" t="s">
        <v>5</v>
      </c>
      <c r="F32" s="127">
        <v>3920</v>
      </c>
      <c r="G32" s="128" t="s">
        <v>765</v>
      </c>
      <c r="H32" s="127">
        <v>3967</v>
      </c>
      <c r="I32" s="128" t="s">
        <v>760</v>
      </c>
      <c r="J32" s="127">
        <v>0</v>
      </c>
      <c r="K32" s="128" t="s">
        <v>5</v>
      </c>
      <c r="L32" s="127">
        <v>0</v>
      </c>
      <c r="M32" s="128" t="s">
        <v>5</v>
      </c>
      <c r="N32" s="135">
        <f t="shared" ref="N32:N43" si="10">SMALL(D32:L32,COUNTIF(D32:L32,0)+1)</f>
        <v>1323</v>
      </c>
      <c r="O32" s="124"/>
      <c r="P32" s="130"/>
    </row>
    <row r="33" spans="1:16" ht="30" customHeight="1" x14ac:dyDescent="0.3">
      <c r="A33" s="131" t="s">
        <v>359</v>
      </c>
      <c r="B33" s="131" t="s">
        <v>361</v>
      </c>
      <c r="C33" s="132" t="s">
        <v>12</v>
      </c>
      <c r="D33" s="123">
        <v>1851</v>
      </c>
      <c r="E33" s="128" t="s">
        <v>5</v>
      </c>
      <c r="F33" s="127">
        <v>5500</v>
      </c>
      <c r="G33" s="128" t="s">
        <v>765</v>
      </c>
      <c r="H33" s="127">
        <v>5934</v>
      </c>
      <c r="I33" s="128" t="s">
        <v>760</v>
      </c>
      <c r="J33" s="127">
        <v>0</v>
      </c>
      <c r="K33" s="128" t="s">
        <v>5</v>
      </c>
      <c r="L33" s="127">
        <v>0</v>
      </c>
      <c r="M33" s="128" t="s">
        <v>5</v>
      </c>
      <c r="N33" s="135">
        <f t="shared" si="10"/>
        <v>1851</v>
      </c>
      <c r="O33" s="124"/>
      <c r="P33" s="130"/>
    </row>
    <row r="34" spans="1:16" ht="30" customHeight="1" x14ac:dyDescent="0.3">
      <c r="A34" s="131" t="s">
        <v>359</v>
      </c>
      <c r="B34" s="131" t="s">
        <v>362</v>
      </c>
      <c r="C34" s="132" t="s">
        <v>12</v>
      </c>
      <c r="D34" s="123">
        <v>2393</v>
      </c>
      <c r="E34" s="128" t="s">
        <v>5</v>
      </c>
      <c r="F34" s="127">
        <v>7070</v>
      </c>
      <c r="G34" s="128" t="s">
        <v>765</v>
      </c>
      <c r="H34" s="127">
        <v>7900</v>
      </c>
      <c r="I34" s="128" t="s">
        <v>760</v>
      </c>
      <c r="J34" s="127">
        <v>0</v>
      </c>
      <c r="K34" s="128" t="s">
        <v>5</v>
      </c>
      <c r="L34" s="127">
        <v>0</v>
      </c>
      <c r="M34" s="128" t="s">
        <v>5</v>
      </c>
      <c r="N34" s="135">
        <f t="shared" si="10"/>
        <v>2393</v>
      </c>
      <c r="O34" s="124"/>
      <c r="P34" s="130"/>
    </row>
    <row r="35" spans="1:16" ht="30" customHeight="1" x14ac:dyDescent="0.3">
      <c r="A35" s="131" t="s">
        <v>359</v>
      </c>
      <c r="B35" s="131" t="s">
        <v>363</v>
      </c>
      <c r="C35" s="132" t="s">
        <v>12</v>
      </c>
      <c r="D35" s="123">
        <v>3350</v>
      </c>
      <c r="E35" s="128" t="s">
        <v>5</v>
      </c>
      <c r="F35" s="127">
        <v>0</v>
      </c>
      <c r="G35" s="128"/>
      <c r="H35" s="127">
        <v>11867</v>
      </c>
      <c r="I35" s="128" t="s">
        <v>760</v>
      </c>
      <c r="J35" s="127">
        <v>0</v>
      </c>
      <c r="K35" s="128" t="s">
        <v>5</v>
      </c>
      <c r="L35" s="127">
        <v>0</v>
      </c>
      <c r="M35" s="128" t="s">
        <v>5</v>
      </c>
      <c r="N35" s="135">
        <f>SMALL(D35:L35,COUNTIF(D35:L35,0)+1)</f>
        <v>3350</v>
      </c>
      <c r="O35" s="124"/>
      <c r="P35" s="130"/>
    </row>
    <row r="36" spans="1:16" ht="30" customHeight="1" x14ac:dyDescent="0.3">
      <c r="A36" s="131" t="s">
        <v>359</v>
      </c>
      <c r="B36" s="131" t="s">
        <v>364</v>
      </c>
      <c r="C36" s="132" t="s">
        <v>12</v>
      </c>
      <c r="D36" s="123">
        <v>4686</v>
      </c>
      <c r="E36" s="128" t="s">
        <v>5</v>
      </c>
      <c r="F36" s="127">
        <v>0</v>
      </c>
      <c r="G36" s="128"/>
      <c r="H36" s="127">
        <v>13834</v>
      </c>
      <c r="I36" s="128" t="s">
        <v>760</v>
      </c>
      <c r="J36" s="127">
        <v>0</v>
      </c>
      <c r="K36" s="128" t="s">
        <v>5</v>
      </c>
      <c r="L36" s="127">
        <v>0</v>
      </c>
      <c r="M36" s="128" t="s">
        <v>5</v>
      </c>
      <c r="N36" s="135">
        <f>SMALL(D36:L36,COUNTIF(D36:L36,0)+1)</f>
        <v>4686</v>
      </c>
      <c r="O36" s="124"/>
      <c r="P36" s="130"/>
    </row>
    <row r="37" spans="1:16" ht="30" customHeight="1" x14ac:dyDescent="0.3">
      <c r="A37" s="131" t="s">
        <v>359</v>
      </c>
      <c r="B37" s="131" t="s">
        <v>365</v>
      </c>
      <c r="C37" s="132" t="s">
        <v>12</v>
      </c>
      <c r="D37" s="123">
        <v>6233</v>
      </c>
      <c r="E37" s="128" t="s">
        <v>5</v>
      </c>
      <c r="F37" s="127">
        <v>0</v>
      </c>
      <c r="G37" s="128"/>
      <c r="H37" s="127">
        <v>15800</v>
      </c>
      <c r="I37" s="128" t="s">
        <v>760</v>
      </c>
      <c r="J37" s="127">
        <v>0</v>
      </c>
      <c r="K37" s="128" t="s">
        <v>5</v>
      </c>
      <c r="L37" s="127">
        <v>0</v>
      </c>
      <c r="M37" s="128" t="s">
        <v>5</v>
      </c>
      <c r="N37" s="135">
        <f t="shared" ref="N37" si="11">SMALL(D37:L37,COUNTIF(D37:L37,0)+1)</f>
        <v>6233</v>
      </c>
      <c r="O37" s="124"/>
      <c r="P37" s="130"/>
    </row>
    <row r="38" spans="1:16" ht="30" customHeight="1" x14ac:dyDescent="0.3">
      <c r="A38" s="131" t="s">
        <v>359</v>
      </c>
      <c r="B38" s="131" t="s">
        <v>366</v>
      </c>
      <c r="C38" s="132" t="s">
        <v>12</v>
      </c>
      <c r="D38" s="123">
        <v>1725</v>
      </c>
      <c r="E38" s="128" t="s">
        <v>5</v>
      </c>
      <c r="F38" s="127">
        <v>4210</v>
      </c>
      <c r="G38" s="128" t="s">
        <v>765</v>
      </c>
      <c r="H38" s="127">
        <v>4434</v>
      </c>
      <c r="I38" s="128" t="s">
        <v>760</v>
      </c>
      <c r="J38" s="127">
        <v>0</v>
      </c>
      <c r="K38" s="128" t="s">
        <v>5</v>
      </c>
      <c r="L38" s="127">
        <v>0</v>
      </c>
      <c r="M38" s="128" t="s">
        <v>5</v>
      </c>
      <c r="N38" s="135">
        <f>SMALL(D38:L38,COUNTIF(D38:L38,0)+1)</f>
        <v>1725</v>
      </c>
      <c r="O38" s="124"/>
      <c r="P38" s="139"/>
    </row>
    <row r="39" spans="1:16" ht="30" customHeight="1" x14ac:dyDescent="0.3">
      <c r="A39" s="131" t="s">
        <v>359</v>
      </c>
      <c r="B39" s="131" t="s">
        <v>367</v>
      </c>
      <c r="C39" s="132" t="s">
        <v>12</v>
      </c>
      <c r="D39" s="123">
        <v>2589</v>
      </c>
      <c r="E39" s="128" t="s">
        <v>5</v>
      </c>
      <c r="F39" s="127">
        <v>6070</v>
      </c>
      <c r="G39" s="128" t="s">
        <v>765</v>
      </c>
      <c r="H39" s="127">
        <v>6667</v>
      </c>
      <c r="I39" s="128" t="s">
        <v>760</v>
      </c>
      <c r="J39" s="127">
        <v>0</v>
      </c>
      <c r="K39" s="128" t="s">
        <v>5</v>
      </c>
      <c r="L39" s="127">
        <v>0</v>
      </c>
      <c r="M39" s="128" t="s">
        <v>5</v>
      </c>
      <c r="N39" s="135">
        <f>SMALL(D39:L39,COUNTIF(D39:L39,0)+1)</f>
        <v>2589</v>
      </c>
      <c r="O39" s="124"/>
      <c r="P39" s="139"/>
    </row>
    <row r="40" spans="1:16" ht="30" customHeight="1" x14ac:dyDescent="0.3">
      <c r="A40" s="131" t="s">
        <v>359</v>
      </c>
      <c r="B40" s="131" t="s">
        <v>368</v>
      </c>
      <c r="C40" s="132" t="s">
        <v>12</v>
      </c>
      <c r="D40" s="123">
        <v>3544</v>
      </c>
      <c r="E40" s="128" t="s">
        <v>5</v>
      </c>
      <c r="F40" s="127">
        <v>7920</v>
      </c>
      <c r="G40" s="128" t="s">
        <v>765</v>
      </c>
      <c r="H40" s="127">
        <v>8450</v>
      </c>
      <c r="I40" s="128" t="s">
        <v>760</v>
      </c>
      <c r="J40" s="127">
        <v>0</v>
      </c>
      <c r="K40" s="128" t="s">
        <v>5</v>
      </c>
      <c r="L40" s="127">
        <v>0</v>
      </c>
      <c r="M40" s="128" t="s">
        <v>5</v>
      </c>
      <c r="N40" s="135">
        <f>SMALL(D40:L40,COUNTIF(D40:L40,0)+1)</f>
        <v>3544</v>
      </c>
      <c r="O40" s="124"/>
      <c r="P40" s="139"/>
    </row>
    <row r="41" spans="1:16" ht="30" customHeight="1" x14ac:dyDescent="0.3">
      <c r="A41" s="131" t="s">
        <v>949</v>
      </c>
      <c r="B41" s="131" t="s">
        <v>950</v>
      </c>
      <c r="C41" s="132" t="s">
        <v>12</v>
      </c>
      <c r="D41" s="123">
        <v>0</v>
      </c>
      <c r="E41" s="128" t="s">
        <v>5</v>
      </c>
      <c r="F41" s="127">
        <v>0</v>
      </c>
      <c r="G41" s="128"/>
      <c r="H41" s="127">
        <v>0</v>
      </c>
      <c r="I41" s="128" t="s">
        <v>5</v>
      </c>
      <c r="J41" s="127">
        <v>61600</v>
      </c>
      <c r="K41" s="128" t="s">
        <v>1628</v>
      </c>
      <c r="L41" s="127">
        <v>0</v>
      </c>
      <c r="M41" s="128" t="s">
        <v>5</v>
      </c>
      <c r="N41" s="135">
        <f>SMALL(D41:L41,COUNTIF(D41:L41,0)+1)</f>
        <v>61600</v>
      </c>
      <c r="O41" s="124"/>
      <c r="P41" s="130"/>
    </row>
    <row r="42" spans="1:16" ht="30" customHeight="1" x14ac:dyDescent="0.3">
      <c r="A42" s="131" t="s">
        <v>369</v>
      </c>
      <c r="B42" s="131" t="s">
        <v>370</v>
      </c>
      <c r="C42" s="132" t="s">
        <v>12</v>
      </c>
      <c r="D42" s="123">
        <v>0</v>
      </c>
      <c r="E42" s="128" t="s">
        <v>5</v>
      </c>
      <c r="F42" s="127">
        <v>0</v>
      </c>
      <c r="G42" s="128" t="s">
        <v>5</v>
      </c>
      <c r="H42" s="127">
        <v>0</v>
      </c>
      <c r="I42" s="128" t="s">
        <v>5</v>
      </c>
      <c r="J42" s="127">
        <v>1020</v>
      </c>
      <c r="K42" s="128" t="s">
        <v>1628</v>
      </c>
      <c r="L42" s="127">
        <v>0</v>
      </c>
      <c r="M42" s="128" t="s">
        <v>5</v>
      </c>
      <c r="N42" s="135">
        <f t="shared" si="10"/>
        <v>1020</v>
      </c>
      <c r="O42" s="124"/>
      <c r="P42" s="130"/>
    </row>
    <row r="43" spans="1:16" ht="30" customHeight="1" x14ac:dyDescent="0.3">
      <c r="A43" s="131" t="s">
        <v>369</v>
      </c>
      <c r="B43" s="131" t="s">
        <v>371</v>
      </c>
      <c r="C43" s="132" t="s">
        <v>12</v>
      </c>
      <c r="D43" s="123">
        <v>0</v>
      </c>
      <c r="E43" s="128" t="s">
        <v>5</v>
      </c>
      <c r="F43" s="127">
        <v>0</v>
      </c>
      <c r="G43" s="128" t="s">
        <v>5</v>
      </c>
      <c r="H43" s="127">
        <v>0</v>
      </c>
      <c r="I43" s="128" t="s">
        <v>5</v>
      </c>
      <c r="J43" s="127">
        <v>1680</v>
      </c>
      <c r="K43" s="128" t="s">
        <v>1628</v>
      </c>
      <c r="L43" s="127">
        <v>0</v>
      </c>
      <c r="M43" s="128" t="s">
        <v>5</v>
      </c>
      <c r="N43" s="135">
        <f t="shared" si="10"/>
        <v>1680</v>
      </c>
      <c r="O43" s="124"/>
      <c r="P43" s="130"/>
    </row>
    <row r="44" spans="1:16" ht="30" customHeight="1" x14ac:dyDescent="0.3">
      <c r="A44" s="131" t="s">
        <v>372</v>
      </c>
      <c r="B44" s="131" t="s">
        <v>373</v>
      </c>
      <c r="C44" s="132" t="s">
        <v>12</v>
      </c>
      <c r="D44" s="123">
        <v>935</v>
      </c>
      <c r="E44" s="128" t="s">
        <v>5</v>
      </c>
      <c r="F44" s="127">
        <v>2417</v>
      </c>
      <c r="G44" s="128" t="s">
        <v>757</v>
      </c>
      <c r="H44" s="127">
        <v>2467</v>
      </c>
      <c r="I44" s="128" t="s">
        <v>760</v>
      </c>
      <c r="J44" s="127">
        <v>2200</v>
      </c>
      <c r="K44" s="128" t="s">
        <v>2223</v>
      </c>
      <c r="L44" s="127">
        <v>0</v>
      </c>
      <c r="M44" s="128" t="s">
        <v>5</v>
      </c>
      <c r="N44" s="135">
        <f>SMALL(D44:L44,COUNTIF(D44:L44,0)+1)</f>
        <v>935</v>
      </c>
      <c r="O44" s="124"/>
      <c r="P44" s="139"/>
    </row>
    <row r="45" spans="1:16" ht="30" customHeight="1" x14ac:dyDescent="0.3">
      <c r="A45" s="131" t="s">
        <v>372</v>
      </c>
      <c r="B45" s="131" t="s">
        <v>374</v>
      </c>
      <c r="C45" s="132" t="s">
        <v>12</v>
      </c>
      <c r="D45" s="123">
        <v>1384</v>
      </c>
      <c r="E45" s="128" t="s">
        <v>5</v>
      </c>
      <c r="F45" s="127">
        <v>2834</v>
      </c>
      <c r="G45" s="128" t="s">
        <v>757</v>
      </c>
      <c r="H45" s="127">
        <v>2884</v>
      </c>
      <c r="I45" s="128" t="s">
        <v>760</v>
      </c>
      <c r="J45" s="127">
        <v>2420</v>
      </c>
      <c r="K45" s="128" t="s">
        <v>2223</v>
      </c>
      <c r="L45" s="127">
        <v>0</v>
      </c>
      <c r="M45" s="128" t="s">
        <v>5</v>
      </c>
      <c r="N45" s="135">
        <f>SMALL(D45:L45,COUNTIF(D45:L45,0)+1)</f>
        <v>1384</v>
      </c>
      <c r="O45" s="124"/>
      <c r="P45" s="139"/>
    </row>
    <row r="46" spans="1:16" ht="30" customHeight="1" x14ac:dyDescent="0.3">
      <c r="A46" s="131" t="s">
        <v>372</v>
      </c>
      <c r="B46" s="131" t="s">
        <v>1589</v>
      </c>
      <c r="C46" s="132" t="s">
        <v>12</v>
      </c>
      <c r="D46" s="123">
        <v>1294</v>
      </c>
      <c r="E46" s="128" t="s">
        <v>5</v>
      </c>
      <c r="F46" s="127">
        <v>1734</v>
      </c>
      <c r="G46" s="128" t="s">
        <v>757</v>
      </c>
      <c r="H46" s="127">
        <v>0</v>
      </c>
      <c r="I46" s="128" t="s">
        <v>5</v>
      </c>
      <c r="J46" s="127">
        <v>2380</v>
      </c>
      <c r="K46" s="128" t="s">
        <v>2223</v>
      </c>
      <c r="L46" s="127">
        <v>0</v>
      </c>
      <c r="M46" s="128" t="s">
        <v>5</v>
      </c>
      <c r="N46" s="135">
        <f t="shared" ref="N46:N47" si="12">SMALL(D46:L46,COUNTIF(D46:L46,0)+1)</f>
        <v>1294</v>
      </c>
      <c r="O46" s="124"/>
      <c r="P46" s="139"/>
    </row>
    <row r="47" spans="1:16" ht="30" customHeight="1" x14ac:dyDescent="0.3">
      <c r="A47" s="131" t="s">
        <v>372</v>
      </c>
      <c r="B47" s="131" t="s">
        <v>375</v>
      </c>
      <c r="C47" s="132" t="s">
        <v>12</v>
      </c>
      <c r="D47" s="123">
        <v>1456</v>
      </c>
      <c r="E47" s="128" t="s">
        <v>5</v>
      </c>
      <c r="F47" s="127">
        <v>2567</v>
      </c>
      <c r="G47" s="128" t="s">
        <v>757</v>
      </c>
      <c r="H47" s="127">
        <v>0</v>
      </c>
      <c r="I47" s="128" t="s">
        <v>5</v>
      </c>
      <c r="J47" s="127">
        <v>4040</v>
      </c>
      <c r="K47" s="128" t="s">
        <v>2223</v>
      </c>
      <c r="L47" s="127">
        <v>0</v>
      </c>
      <c r="M47" s="128" t="s">
        <v>5</v>
      </c>
      <c r="N47" s="135">
        <f t="shared" si="12"/>
        <v>1456</v>
      </c>
      <c r="O47" s="124"/>
      <c r="P47" s="139"/>
    </row>
    <row r="48" spans="1:16" ht="30" customHeight="1" x14ac:dyDescent="0.3">
      <c r="A48" s="131" t="s">
        <v>372</v>
      </c>
      <c r="B48" s="131" t="s">
        <v>376</v>
      </c>
      <c r="C48" s="132" t="s">
        <v>12</v>
      </c>
      <c r="D48" s="123">
        <v>2035</v>
      </c>
      <c r="E48" s="128" t="s">
        <v>5</v>
      </c>
      <c r="F48" s="127">
        <v>3567</v>
      </c>
      <c r="G48" s="128" t="s">
        <v>757</v>
      </c>
      <c r="H48" s="127">
        <v>3567</v>
      </c>
      <c r="I48" s="128" t="s">
        <v>760</v>
      </c>
      <c r="J48" s="127">
        <v>3600</v>
      </c>
      <c r="K48" s="128" t="s">
        <v>2223</v>
      </c>
      <c r="L48" s="127">
        <v>0</v>
      </c>
      <c r="M48" s="128" t="s">
        <v>5</v>
      </c>
      <c r="N48" s="135">
        <f>SMALL(D48:L48,COUNTIF(D48:L48,0)+1)</f>
        <v>2035</v>
      </c>
      <c r="O48" s="124"/>
      <c r="P48" s="139"/>
    </row>
    <row r="49" spans="1:16" ht="30" customHeight="1" x14ac:dyDescent="0.3">
      <c r="A49" s="131" t="s">
        <v>372</v>
      </c>
      <c r="B49" s="131" t="s">
        <v>377</v>
      </c>
      <c r="C49" s="132" t="s">
        <v>12</v>
      </c>
      <c r="D49" s="123">
        <v>2121</v>
      </c>
      <c r="E49" s="128" t="s">
        <v>5</v>
      </c>
      <c r="F49" s="127">
        <v>4251</v>
      </c>
      <c r="G49" s="128" t="s">
        <v>757</v>
      </c>
      <c r="H49" s="127">
        <v>4251</v>
      </c>
      <c r="I49" s="128" t="s">
        <v>760</v>
      </c>
      <c r="J49" s="127">
        <v>4400</v>
      </c>
      <c r="K49" s="128" t="s">
        <v>2223</v>
      </c>
      <c r="L49" s="127">
        <v>0</v>
      </c>
      <c r="M49" s="128" t="s">
        <v>5</v>
      </c>
      <c r="N49" s="135">
        <f>SMALL(D49:L49,COUNTIF(D49:L49,0)+1)</f>
        <v>2121</v>
      </c>
      <c r="O49" s="124"/>
      <c r="P49" s="139"/>
    </row>
    <row r="50" spans="1:16" ht="30" customHeight="1" x14ac:dyDescent="0.3">
      <c r="A50" s="131" t="s">
        <v>372</v>
      </c>
      <c r="B50" s="131" t="s">
        <v>2337</v>
      </c>
      <c r="C50" s="132" t="s">
        <v>12</v>
      </c>
      <c r="D50" s="123">
        <v>3361</v>
      </c>
      <c r="E50" s="128" t="s">
        <v>5</v>
      </c>
      <c r="F50" s="127">
        <v>0</v>
      </c>
      <c r="G50" s="128"/>
      <c r="H50" s="127">
        <v>0</v>
      </c>
      <c r="I50" s="128" t="s">
        <v>5</v>
      </c>
      <c r="J50" s="127">
        <v>0</v>
      </c>
      <c r="K50" s="128" t="s">
        <v>5</v>
      </c>
      <c r="L50" s="127">
        <v>0</v>
      </c>
      <c r="M50" s="128" t="s">
        <v>5</v>
      </c>
      <c r="N50" s="135">
        <f t="shared" ref="N50:N63" si="13">SMALL(D50:L50,COUNTIF(D50:L50,0)+1)</f>
        <v>3361</v>
      </c>
      <c r="O50" s="124"/>
      <c r="P50" s="130"/>
    </row>
    <row r="51" spans="1:16" ht="30" customHeight="1" x14ac:dyDescent="0.3">
      <c r="A51" s="131" t="s">
        <v>372</v>
      </c>
      <c r="B51" s="131" t="s">
        <v>2338</v>
      </c>
      <c r="C51" s="132" t="s">
        <v>12</v>
      </c>
      <c r="D51" s="123">
        <v>3776</v>
      </c>
      <c r="E51" s="128" t="s">
        <v>5</v>
      </c>
      <c r="F51" s="127">
        <v>0</v>
      </c>
      <c r="G51" s="128"/>
      <c r="H51" s="127">
        <v>0</v>
      </c>
      <c r="I51" s="128" t="s">
        <v>5</v>
      </c>
      <c r="J51" s="127">
        <v>0</v>
      </c>
      <c r="K51" s="128" t="s">
        <v>5</v>
      </c>
      <c r="L51" s="127">
        <v>0</v>
      </c>
      <c r="M51" s="128" t="s">
        <v>5</v>
      </c>
      <c r="N51" s="135">
        <f t="shared" si="13"/>
        <v>3776</v>
      </c>
      <c r="O51" s="124"/>
      <c r="P51" s="130"/>
    </row>
    <row r="52" spans="1:16" ht="30" customHeight="1" x14ac:dyDescent="0.3">
      <c r="A52" s="131" t="s">
        <v>372</v>
      </c>
      <c r="B52" s="131" t="s">
        <v>385</v>
      </c>
      <c r="C52" s="132" t="s">
        <v>12</v>
      </c>
      <c r="D52" s="123">
        <v>5872</v>
      </c>
      <c r="E52" s="128" t="s">
        <v>5</v>
      </c>
      <c r="F52" s="127">
        <v>0</v>
      </c>
      <c r="G52" s="128"/>
      <c r="H52" s="127">
        <v>0</v>
      </c>
      <c r="I52" s="128" t="s">
        <v>5</v>
      </c>
      <c r="J52" s="127">
        <v>0</v>
      </c>
      <c r="K52" s="128" t="s">
        <v>5</v>
      </c>
      <c r="L52" s="127">
        <v>0</v>
      </c>
      <c r="M52" s="128" t="s">
        <v>5</v>
      </c>
      <c r="N52" s="135">
        <f t="shared" si="13"/>
        <v>5872</v>
      </c>
      <c r="O52" s="124"/>
      <c r="P52" s="130"/>
    </row>
    <row r="53" spans="1:16" ht="30" customHeight="1" x14ac:dyDescent="0.3">
      <c r="A53" s="131" t="s">
        <v>378</v>
      </c>
      <c r="B53" s="131" t="s">
        <v>379</v>
      </c>
      <c r="C53" s="132" t="s">
        <v>12</v>
      </c>
      <c r="D53" s="123">
        <v>0</v>
      </c>
      <c r="E53" s="128" t="s">
        <v>5</v>
      </c>
      <c r="F53" s="127">
        <v>3767</v>
      </c>
      <c r="G53" s="128" t="s">
        <v>757</v>
      </c>
      <c r="H53" s="127">
        <v>3734</v>
      </c>
      <c r="I53" s="128" t="s">
        <v>760</v>
      </c>
      <c r="J53" s="127">
        <v>0</v>
      </c>
      <c r="K53" s="128" t="s">
        <v>5</v>
      </c>
      <c r="L53" s="127">
        <v>0</v>
      </c>
      <c r="M53" s="128" t="s">
        <v>5</v>
      </c>
      <c r="N53" s="135">
        <f t="shared" ref="N53:N54" si="14">SMALL(D53:L53,COUNTIF(D53:L53,0)+1)</f>
        <v>3734</v>
      </c>
      <c r="O53" s="124"/>
      <c r="P53" s="124"/>
    </row>
    <row r="54" spans="1:16" ht="30" customHeight="1" x14ac:dyDescent="0.3">
      <c r="A54" s="131" t="s">
        <v>378</v>
      </c>
      <c r="B54" s="131" t="s">
        <v>380</v>
      </c>
      <c r="C54" s="132" t="s">
        <v>12</v>
      </c>
      <c r="D54" s="123">
        <v>0</v>
      </c>
      <c r="E54" s="128" t="s">
        <v>5</v>
      </c>
      <c r="F54" s="127">
        <v>7367</v>
      </c>
      <c r="G54" s="128" t="s">
        <v>757</v>
      </c>
      <c r="H54" s="127">
        <v>7300</v>
      </c>
      <c r="I54" s="128" t="s">
        <v>760</v>
      </c>
      <c r="J54" s="127">
        <v>0</v>
      </c>
      <c r="K54" s="128" t="s">
        <v>5</v>
      </c>
      <c r="L54" s="127">
        <v>0</v>
      </c>
      <c r="M54" s="128" t="s">
        <v>5</v>
      </c>
      <c r="N54" s="135">
        <f t="shared" si="14"/>
        <v>7300</v>
      </c>
      <c r="O54" s="124"/>
      <c r="P54" s="124"/>
    </row>
    <row r="55" spans="1:16" ht="30" customHeight="1" x14ac:dyDescent="0.3">
      <c r="A55" s="131" t="s">
        <v>384</v>
      </c>
      <c r="B55" s="131" t="s">
        <v>382</v>
      </c>
      <c r="C55" s="132" t="s">
        <v>12</v>
      </c>
      <c r="D55" s="123">
        <v>0</v>
      </c>
      <c r="E55" s="128" t="s">
        <v>5</v>
      </c>
      <c r="F55" s="127">
        <v>0</v>
      </c>
      <c r="G55" s="128" t="s">
        <v>5</v>
      </c>
      <c r="H55" s="127">
        <v>18800</v>
      </c>
      <c r="I55" s="128" t="s">
        <v>760</v>
      </c>
      <c r="J55" s="127">
        <v>0</v>
      </c>
      <c r="K55" s="128" t="s">
        <v>5</v>
      </c>
      <c r="L55" s="127">
        <v>0</v>
      </c>
      <c r="M55" s="128" t="s">
        <v>5</v>
      </c>
      <c r="N55" s="135">
        <f t="shared" si="13"/>
        <v>18800</v>
      </c>
      <c r="O55" s="124"/>
      <c r="P55" s="124"/>
    </row>
    <row r="56" spans="1:16" ht="30" customHeight="1" x14ac:dyDescent="0.3">
      <c r="A56" s="131" t="s">
        <v>384</v>
      </c>
      <c r="B56" s="131" t="s">
        <v>379</v>
      </c>
      <c r="C56" s="132" t="s">
        <v>12</v>
      </c>
      <c r="D56" s="123">
        <v>0</v>
      </c>
      <c r="E56" s="128" t="s">
        <v>5</v>
      </c>
      <c r="F56" s="127">
        <v>0</v>
      </c>
      <c r="G56" s="128" t="s">
        <v>5</v>
      </c>
      <c r="H56" s="127">
        <v>21584</v>
      </c>
      <c r="I56" s="128" t="s">
        <v>760</v>
      </c>
      <c r="J56" s="127">
        <v>0</v>
      </c>
      <c r="K56" s="128" t="s">
        <v>5</v>
      </c>
      <c r="L56" s="127">
        <v>0</v>
      </c>
      <c r="M56" s="128" t="s">
        <v>5</v>
      </c>
      <c r="N56" s="135">
        <f t="shared" si="13"/>
        <v>21584</v>
      </c>
      <c r="O56" s="124"/>
      <c r="P56" s="124"/>
    </row>
    <row r="57" spans="1:16" ht="30" customHeight="1" x14ac:dyDescent="0.3">
      <c r="A57" s="131" t="s">
        <v>381</v>
      </c>
      <c r="B57" s="131" t="s">
        <v>382</v>
      </c>
      <c r="C57" s="132" t="s">
        <v>12</v>
      </c>
      <c r="D57" s="123">
        <v>31100</v>
      </c>
      <c r="E57" s="128" t="s">
        <v>5</v>
      </c>
      <c r="F57" s="127">
        <v>54550</v>
      </c>
      <c r="G57" s="128" t="s">
        <v>757</v>
      </c>
      <c r="H57" s="127">
        <v>54550</v>
      </c>
      <c r="I57" s="128" t="s">
        <v>760</v>
      </c>
      <c r="J57" s="127">
        <v>0</v>
      </c>
      <c r="K57" s="128" t="s">
        <v>5</v>
      </c>
      <c r="L57" s="127">
        <v>0</v>
      </c>
      <c r="M57" s="128" t="s">
        <v>5</v>
      </c>
      <c r="N57" s="135">
        <f t="shared" si="13"/>
        <v>31100</v>
      </c>
      <c r="O57" s="124"/>
      <c r="P57" s="124"/>
    </row>
    <row r="58" spans="1:16" ht="30" customHeight="1" x14ac:dyDescent="0.3">
      <c r="A58" s="131" t="s">
        <v>381</v>
      </c>
      <c r="B58" s="131" t="s">
        <v>383</v>
      </c>
      <c r="C58" s="132" t="s">
        <v>12</v>
      </c>
      <c r="D58" s="123">
        <v>46800</v>
      </c>
      <c r="E58" s="128" t="s">
        <v>5</v>
      </c>
      <c r="F58" s="127">
        <v>59550</v>
      </c>
      <c r="G58" s="128" t="s">
        <v>757</v>
      </c>
      <c r="H58" s="127">
        <v>59550</v>
      </c>
      <c r="I58" s="128" t="s">
        <v>760</v>
      </c>
      <c r="J58" s="127">
        <v>0</v>
      </c>
      <c r="K58" s="128" t="s">
        <v>5</v>
      </c>
      <c r="L58" s="127">
        <v>0</v>
      </c>
      <c r="M58" s="128" t="s">
        <v>5</v>
      </c>
      <c r="N58" s="135">
        <f t="shared" si="13"/>
        <v>46800</v>
      </c>
      <c r="O58" s="124"/>
      <c r="P58" s="124"/>
    </row>
    <row r="59" spans="1:16" ht="30" customHeight="1" x14ac:dyDescent="0.3">
      <c r="A59" s="131" t="s">
        <v>386</v>
      </c>
      <c r="B59" s="131" t="s">
        <v>1560</v>
      </c>
      <c r="C59" s="132" t="s">
        <v>12</v>
      </c>
      <c r="D59" s="123">
        <v>0</v>
      </c>
      <c r="E59" s="128" t="s">
        <v>5</v>
      </c>
      <c r="F59" s="127">
        <v>64000</v>
      </c>
      <c r="G59" s="128" t="s">
        <v>951</v>
      </c>
      <c r="H59" s="127">
        <v>0</v>
      </c>
      <c r="I59" s="128" t="s">
        <v>5</v>
      </c>
      <c r="J59" s="127">
        <v>0</v>
      </c>
      <c r="K59" s="128" t="s">
        <v>5</v>
      </c>
      <c r="L59" s="127">
        <v>0</v>
      </c>
      <c r="M59" s="128" t="s">
        <v>5</v>
      </c>
      <c r="N59" s="135">
        <f t="shared" si="13"/>
        <v>64000</v>
      </c>
      <c r="O59" s="124"/>
      <c r="P59" s="124"/>
    </row>
    <row r="60" spans="1:16" ht="30" customHeight="1" x14ac:dyDescent="0.3">
      <c r="A60" s="131" t="s">
        <v>386</v>
      </c>
      <c r="B60" s="131" t="s">
        <v>1581</v>
      </c>
      <c r="C60" s="132" t="s">
        <v>12</v>
      </c>
      <c r="D60" s="123">
        <v>0</v>
      </c>
      <c r="E60" s="128" t="s">
        <v>5</v>
      </c>
      <c r="F60" s="127">
        <v>87000</v>
      </c>
      <c r="G60" s="128" t="s">
        <v>951</v>
      </c>
      <c r="H60" s="127">
        <v>0</v>
      </c>
      <c r="I60" s="128" t="s">
        <v>5</v>
      </c>
      <c r="J60" s="127">
        <v>0</v>
      </c>
      <c r="K60" s="128" t="s">
        <v>5</v>
      </c>
      <c r="L60" s="127">
        <v>0</v>
      </c>
      <c r="M60" s="128" t="s">
        <v>5</v>
      </c>
      <c r="N60" s="135">
        <f t="shared" si="13"/>
        <v>87000</v>
      </c>
      <c r="O60" s="124"/>
      <c r="P60" s="124"/>
    </row>
    <row r="61" spans="1:16" ht="30" customHeight="1" x14ac:dyDescent="0.3">
      <c r="A61" s="131" t="s">
        <v>931</v>
      </c>
      <c r="B61" s="131" t="s">
        <v>387</v>
      </c>
      <c r="C61" s="132" t="s">
        <v>12</v>
      </c>
      <c r="D61" s="123">
        <v>0</v>
      </c>
      <c r="E61" s="128" t="s">
        <v>5</v>
      </c>
      <c r="F61" s="127">
        <v>400000</v>
      </c>
      <c r="G61" s="128" t="s">
        <v>929</v>
      </c>
      <c r="H61" s="127">
        <v>0</v>
      </c>
      <c r="I61" s="128" t="s">
        <v>5</v>
      </c>
      <c r="J61" s="127">
        <v>0</v>
      </c>
      <c r="K61" s="128" t="s">
        <v>5</v>
      </c>
      <c r="L61" s="127">
        <v>0</v>
      </c>
      <c r="M61" s="128" t="s">
        <v>5</v>
      </c>
      <c r="N61" s="135">
        <f t="shared" si="13"/>
        <v>400000</v>
      </c>
      <c r="O61" s="124"/>
      <c r="P61" s="124"/>
    </row>
    <row r="62" spans="1:16" ht="30" customHeight="1" x14ac:dyDescent="0.3">
      <c r="A62" s="131" t="s">
        <v>1989</v>
      </c>
      <c r="B62" s="131" t="s">
        <v>1543</v>
      </c>
      <c r="C62" s="132" t="s">
        <v>12</v>
      </c>
      <c r="D62" s="123">
        <v>0</v>
      </c>
      <c r="E62" s="128" t="s">
        <v>5</v>
      </c>
      <c r="F62" s="127">
        <v>0</v>
      </c>
      <c r="G62" s="128" t="s">
        <v>5</v>
      </c>
      <c r="H62" s="127">
        <v>0</v>
      </c>
      <c r="I62" s="128" t="s">
        <v>5</v>
      </c>
      <c r="J62" s="127">
        <v>0</v>
      </c>
      <c r="K62" s="128" t="s">
        <v>5</v>
      </c>
      <c r="L62" s="127">
        <v>130000</v>
      </c>
      <c r="M62" s="128" t="s">
        <v>1629</v>
      </c>
      <c r="N62" s="135">
        <f t="shared" si="13"/>
        <v>130000</v>
      </c>
      <c r="O62" s="124"/>
      <c r="P62" s="124"/>
    </row>
    <row r="63" spans="1:16" ht="30" customHeight="1" x14ac:dyDescent="0.3">
      <c r="A63" s="131" t="s">
        <v>1990</v>
      </c>
      <c r="B63" s="131" t="s">
        <v>1544</v>
      </c>
      <c r="C63" s="132" t="s">
        <v>12</v>
      </c>
      <c r="D63" s="123">
        <v>0</v>
      </c>
      <c r="E63" s="128" t="s">
        <v>5</v>
      </c>
      <c r="F63" s="127">
        <v>0</v>
      </c>
      <c r="G63" s="128" t="s">
        <v>5</v>
      </c>
      <c r="H63" s="127">
        <v>0</v>
      </c>
      <c r="I63" s="128" t="s">
        <v>5</v>
      </c>
      <c r="J63" s="127">
        <v>0</v>
      </c>
      <c r="K63" s="128" t="s">
        <v>5</v>
      </c>
      <c r="L63" s="127">
        <v>170000</v>
      </c>
      <c r="M63" s="128" t="s">
        <v>1629</v>
      </c>
      <c r="N63" s="135">
        <f t="shared" si="13"/>
        <v>170000</v>
      </c>
      <c r="O63" s="124"/>
      <c r="P63" s="124"/>
    </row>
    <row r="64" spans="1:16" ht="30" customHeight="1" x14ac:dyDescent="0.3">
      <c r="A64" s="131" t="s">
        <v>1991</v>
      </c>
      <c r="B64" s="131" t="s">
        <v>1546</v>
      </c>
      <c r="C64" s="132" t="s">
        <v>12</v>
      </c>
      <c r="D64" s="123">
        <v>0</v>
      </c>
      <c r="E64" s="128" t="s">
        <v>5</v>
      </c>
      <c r="F64" s="127">
        <v>0</v>
      </c>
      <c r="G64" s="128" t="s">
        <v>5</v>
      </c>
      <c r="H64" s="127">
        <v>0</v>
      </c>
      <c r="I64" s="128" t="s">
        <v>5</v>
      </c>
      <c r="J64" s="127">
        <v>0</v>
      </c>
      <c r="K64" s="128" t="s">
        <v>5</v>
      </c>
      <c r="L64" s="127">
        <v>135000</v>
      </c>
      <c r="M64" s="128" t="s">
        <v>1629</v>
      </c>
      <c r="N64" s="135">
        <f>SMALL(D64:L64,COUNTIF(D64:L64,0)+1)</f>
        <v>135000</v>
      </c>
      <c r="O64" s="124"/>
      <c r="P64" s="124"/>
    </row>
    <row r="65" spans="1:16" ht="30" customHeight="1" x14ac:dyDescent="0.3">
      <c r="A65" s="131" t="s">
        <v>1992</v>
      </c>
      <c r="B65" s="131" t="s">
        <v>1545</v>
      </c>
      <c r="C65" s="132" t="s">
        <v>930</v>
      </c>
      <c r="D65" s="123">
        <v>0</v>
      </c>
      <c r="E65" s="128" t="s">
        <v>5</v>
      </c>
      <c r="F65" s="127">
        <v>0</v>
      </c>
      <c r="G65" s="128" t="s">
        <v>5</v>
      </c>
      <c r="H65" s="127">
        <v>0</v>
      </c>
      <c r="I65" s="128" t="s">
        <v>5</v>
      </c>
      <c r="J65" s="127">
        <v>0</v>
      </c>
      <c r="K65" s="128" t="s">
        <v>5</v>
      </c>
      <c r="L65" s="127">
        <v>170000</v>
      </c>
      <c r="M65" s="128" t="s">
        <v>1629</v>
      </c>
      <c r="N65" s="135">
        <f t="shared" ref="N65:N69" si="15">SMALL(D65:L65,COUNTIF(D65:L65,0)+1)</f>
        <v>170000</v>
      </c>
      <c r="O65" s="124"/>
      <c r="P65" s="124"/>
    </row>
    <row r="66" spans="1:16" ht="30" customHeight="1" x14ac:dyDescent="0.3">
      <c r="A66" s="131" t="s">
        <v>2333</v>
      </c>
      <c r="B66" s="131" t="s">
        <v>2334</v>
      </c>
      <c r="C66" s="132" t="s">
        <v>12</v>
      </c>
      <c r="D66" s="123">
        <v>0</v>
      </c>
      <c r="E66" s="128" t="s">
        <v>5</v>
      </c>
      <c r="F66" s="127">
        <v>0</v>
      </c>
      <c r="G66" s="128" t="s">
        <v>5</v>
      </c>
      <c r="H66" s="127">
        <v>0</v>
      </c>
      <c r="I66" s="128" t="s">
        <v>5</v>
      </c>
      <c r="J66" s="127">
        <v>100000</v>
      </c>
      <c r="K66" s="128" t="s">
        <v>2232</v>
      </c>
      <c r="L66" s="127">
        <v>0</v>
      </c>
      <c r="M66" s="128" t="s">
        <v>5</v>
      </c>
      <c r="N66" s="135">
        <f t="shared" si="15"/>
        <v>100000</v>
      </c>
      <c r="O66" s="124"/>
      <c r="P66" s="130"/>
    </row>
    <row r="67" spans="1:16" ht="30" customHeight="1" x14ac:dyDescent="0.3">
      <c r="A67" s="131" t="s">
        <v>2333</v>
      </c>
      <c r="B67" s="131" t="s">
        <v>2335</v>
      </c>
      <c r="C67" s="132" t="s">
        <v>12</v>
      </c>
      <c r="D67" s="123">
        <v>0</v>
      </c>
      <c r="E67" s="128" t="s">
        <v>5</v>
      </c>
      <c r="F67" s="127">
        <v>0</v>
      </c>
      <c r="G67" s="128" t="s">
        <v>5</v>
      </c>
      <c r="H67" s="127">
        <v>0</v>
      </c>
      <c r="I67" s="128" t="s">
        <v>5</v>
      </c>
      <c r="J67" s="127">
        <v>110000</v>
      </c>
      <c r="K67" s="128" t="s">
        <v>2232</v>
      </c>
      <c r="L67" s="127">
        <v>0</v>
      </c>
      <c r="M67" s="128" t="s">
        <v>5</v>
      </c>
      <c r="N67" s="135">
        <f t="shared" ref="N67:N68" si="16">SMALL(D67:L67,COUNTIF(D67:L67,0)+1)</f>
        <v>110000</v>
      </c>
      <c r="O67" s="124"/>
      <c r="P67" s="130"/>
    </row>
    <row r="68" spans="1:16" ht="30" customHeight="1" x14ac:dyDescent="0.3">
      <c r="A68" s="131" t="s">
        <v>2333</v>
      </c>
      <c r="B68" s="131" t="s">
        <v>2336</v>
      </c>
      <c r="C68" s="132" t="s">
        <v>12</v>
      </c>
      <c r="D68" s="123">
        <v>0</v>
      </c>
      <c r="E68" s="128" t="s">
        <v>5</v>
      </c>
      <c r="F68" s="127">
        <v>0</v>
      </c>
      <c r="G68" s="128" t="s">
        <v>5</v>
      </c>
      <c r="H68" s="127">
        <v>0</v>
      </c>
      <c r="I68" s="128" t="s">
        <v>5</v>
      </c>
      <c r="J68" s="127">
        <v>120000</v>
      </c>
      <c r="K68" s="128" t="s">
        <v>2232</v>
      </c>
      <c r="L68" s="127">
        <v>0</v>
      </c>
      <c r="M68" s="128" t="s">
        <v>5</v>
      </c>
      <c r="N68" s="135">
        <f t="shared" si="16"/>
        <v>120000</v>
      </c>
      <c r="O68" s="124"/>
      <c r="P68" s="130"/>
    </row>
    <row r="69" spans="1:16" ht="30" customHeight="1" x14ac:dyDescent="0.3">
      <c r="A69" s="131" t="s">
        <v>1582</v>
      </c>
      <c r="B69" s="131" t="s">
        <v>16</v>
      </c>
      <c r="C69" s="132" t="s">
        <v>12</v>
      </c>
      <c r="D69" s="123">
        <v>0</v>
      </c>
      <c r="E69" s="128" t="s">
        <v>5</v>
      </c>
      <c r="F69" s="127">
        <v>0</v>
      </c>
      <c r="G69" s="128" t="s">
        <v>5</v>
      </c>
      <c r="H69" s="127">
        <v>45000</v>
      </c>
      <c r="I69" s="128" t="s">
        <v>783</v>
      </c>
      <c r="J69" s="127">
        <v>45000</v>
      </c>
      <c r="K69" s="128" t="s">
        <v>2196</v>
      </c>
      <c r="L69" s="127">
        <v>45000</v>
      </c>
      <c r="M69" s="128" t="s">
        <v>1630</v>
      </c>
      <c r="N69" s="135">
        <f t="shared" si="15"/>
        <v>45000</v>
      </c>
      <c r="O69" s="124"/>
      <c r="P69" s="130"/>
    </row>
  </sheetData>
  <mergeCells count="8">
    <mergeCell ref="A1:P1"/>
    <mergeCell ref="A2:P2"/>
    <mergeCell ref="A3:A4"/>
    <mergeCell ref="B3:B4"/>
    <mergeCell ref="C3:C4"/>
    <mergeCell ref="D3:N3"/>
    <mergeCell ref="O3:O4"/>
    <mergeCell ref="P3:P4"/>
  </mergeCells>
  <phoneticPr fontId="1" type="noConversion"/>
  <pageMargins left="0.78740157480314954" right="0" top="0.39370078740157477" bottom="0.39370078740157477" header="0" footer="0"/>
  <pageSetup paperSize="9" scale="6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pageSetUpPr fitToPage="1"/>
  </sheetPr>
  <dimension ref="A1:P223"/>
  <sheetViews>
    <sheetView view="pageBreakPreview" zoomScale="85" zoomScaleNormal="87" zoomScaleSheetLayoutView="85" workbookViewId="0">
      <pane ySplit="4" topLeftCell="A113" activePane="bottomLeft" state="frozen"/>
      <selection activeCell="A3" sqref="A3:A4"/>
      <selection pane="bottomLeft" activeCell="B168" sqref="B168"/>
    </sheetView>
  </sheetViews>
  <sheetFormatPr defaultRowHeight="16.5" x14ac:dyDescent="0.3"/>
  <cols>
    <col min="1" max="2" width="30.5" style="116" bestFit="1" customWidth="1"/>
    <col min="3" max="3" width="5.5" style="136" bestFit="1" customWidth="1"/>
    <col min="4" max="4" width="11.625" style="115" bestFit="1" customWidth="1"/>
    <col min="5" max="5" width="6.625" style="137" bestFit="1" customWidth="1"/>
    <col min="6" max="6" width="11.625" style="113" bestFit="1" customWidth="1"/>
    <col min="7" max="7" width="6.625" style="137" bestFit="1" customWidth="1"/>
    <col min="8" max="8" width="11.625" style="113" bestFit="1" customWidth="1"/>
    <col min="9" max="9" width="6.625" style="137" bestFit="1" customWidth="1"/>
    <col min="10" max="10" width="11.625" style="113" bestFit="1" customWidth="1"/>
    <col min="11" max="11" width="6.625" style="137" bestFit="1" customWidth="1"/>
    <col min="12" max="12" width="13.875" style="113" bestFit="1" customWidth="1"/>
    <col min="13" max="13" width="6.625" style="137" bestFit="1" customWidth="1"/>
    <col min="14" max="14" width="13.875" style="141" bestFit="1" customWidth="1"/>
    <col min="15" max="15" width="8.5" style="136" bestFit="1" customWidth="1"/>
    <col min="16" max="16" width="15" style="136" bestFit="1" customWidth="1"/>
    <col min="17" max="16384" width="9" style="116"/>
  </cols>
  <sheetData>
    <row r="1" spans="1:16" ht="30" customHeight="1" x14ac:dyDescent="0.3">
      <c r="A1" s="200" t="s">
        <v>932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</row>
    <row r="2" spans="1:16" ht="30" customHeight="1" x14ac:dyDescent="0.3">
      <c r="A2" s="201" t="s">
        <v>1998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</row>
    <row r="3" spans="1:16" ht="30" customHeight="1" x14ac:dyDescent="0.3">
      <c r="A3" s="202" t="s">
        <v>1566</v>
      </c>
      <c r="B3" s="202" t="s">
        <v>1567</v>
      </c>
      <c r="C3" s="202" t="s">
        <v>1</v>
      </c>
      <c r="D3" s="202" t="s">
        <v>2</v>
      </c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3" t="s">
        <v>728</v>
      </c>
      <c r="P3" s="203" t="s">
        <v>3</v>
      </c>
    </row>
    <row r="4" spans="1:16" ht="30" customHeight="1" x14ac:dyDescent="0.3">
      <c r="A4" s="202"/>
      <c r="B4" s="202"/>
      <c r="C4" s="202"/>
      <c r="D4" s="117" t="s">
        <v>723</v>
      </c>
      <c r="E4" s="118" t="s">
        <v>724</v>
      </c>
      <c r="F4" s="119" t="s">
        <v>2239</v>
      </c>
      <c r="G4" s="118" t="s">
        <v>724</v>
      </c>
      <c r="H4" s="119" t="s">
        <v>2240</v>
      </c>
      <c r="I4" s="118" t="s">
        <v>724</v>
      </c>
      <c r="J4" s="119" t="s">
        <v>2241</v>
      </c>
      <c r="K4" s="118" t="s">
        <v>724</v>
      </c>
      <c r="L4" s="119" t="s">
        <v>2242</v>
      </c>
      <c r="M4" s="118" t="s">
        <v>724</v>
      </c>
      <c r="N4" s="120" t="s">
        <v>725</v>
      </c>
      <c r="O4" s="204"/>
      <c r="P4" s="204"/>
    </row>
    <row r="5" spans="1:16" ht="30" customHeight="1" x14ac:dyDescent="0.3">
      <c r="A5" s="131" t="s">
        <v>516</v>
      </c>
      <c r="B5" s="131" t="s">
        <v>517</v>
      </c>
      <c r="C5" s="132" t="s">
        <v>1611</v>
      </c>
      <c r="D5" s="123">
        <v>0</v>
      </c>
      <c r="E5" s="128"/>
      <c r="F5" s="127">
        <v>0</v>
      </c>
      <c r="G5" s="128"/>
      <c r="H5" s="127">
        <v>0</v>
      </c>
      <c r="I5" s="128"/>
      <c r="J5" s="127">
        <v>74000</v>
      </c>
      <c r="K5" s="128" t="s">
        <v>1961</v>
      </c>
      <c r="L5" s="127">
        <v>0</v>
      </c>
      <c r="M5" s="128" t="s">
        <v>5</v>
      </c>
      <c r="N5" s="135">
        <f t="shared" ref="N5:N68" si="0">SMALL(D5:L5,COUNTIF(D5:L5,0)+1)</f>
        <v>74000</v>
      </c>
      <c r="O5" s="124"/>
      <c r="P5" s="130"/>
    </row>
    <row r="6" spans="1:16" ht="30" customHeight="1" x14ac:dyDescent="0.3">
      <c r="A6" s="131" t="s">
        <v>516</v>
      </c>
      <c r="B6" s="131" t="s">
        <v>518</v>
      </c>
      <c r="C6" s="132" t="s">
        <v>1611</v>
      </c>
      <c r="D6" s="123">
        <v>0</v>
      </c>
      <c r="E6" s="128" t="s">
        <v>5</v>
      </c>
      <c r="F6" s="127">
        <v>0</v>
      </c>
      <c r="G6" s="128" t="s">
        <v>5</v>
      </c>
      <c r="H6" s="127">
        <v>0</v>
      </c>
      <c r="I6" s="128" t="s">
        <v>5</v>
      </c>
      <c r="J6" s="127">
        <v>77000</v>
      </c>
      <c r="K6" s="128" t="s">
        <v>1961</v>
      </c>
      <c r="L6" s="127">
        <v>0</v>
      </c>
      <c r="M6" s="128" t="s">
        <v>5</v>
      </c>
      <c r="N6" s="135">
        <f t="shared" si="0"/>
        <v>77000</v>
      </c>
      <c r="O6" s="124"/>
      <c r="P6" s="130"/>
    </row>
    <row r="7" spans="1:16" ht="30" customHeight="1" x14ac:dyDescent="0.3">
      <c r="A7" s="131" t="s">
        <v>516</v>
      </c>
      <c r="B7" s="131" t="s">
        <v>519</v>
      </c>
      <c r="C7" s="132" t="s">
        <v>1611</v>
      </c>
      <c r="D7" s="123">
        <v>0</v>
      </c>
      <c r="E7" s="128" t="s">
        <v>5</v>
      </c>
      <c r="F7" s="127">
        <v>0</v>
      </c>
      <c r="G7" s="128" t="s">
        <v>5</v>
      </c>
      <c r="H7" s="127">
        <v>0</v>
      </c>
      <c r="I7" s="128" t="s">
        <v>5</v>
      </c>
      <c r="J7" s="127">
        <v>101000</v>
      </c>
      <c r="K7" s="128" t="s">
        <v>1961</v>
      </c>
      <c r="L7" s="127">
        <v>0</v>
      </c>
      <c r="M7" s="128" t="s">
        <v>5</v>
      </c>
      <c r="N7" s="135">
        <f>SMALL(D7:L7,COUNTIF(D7:L7,0)+1)</f>
        <v>101000</v>
      </c>
      <c r="O7" s="124"/>
      <c r="P7" s="130"/>
    </row>
    <row r="8" spans="1:16" ht="30" customHeight="1" x14ac:dyDescent="0.3">
      <c r="A8" s="131" t="s">
        <v>516</v>
      </c>
      <c r="B8" s="131" t="s">
        <v>520</v>
      </c>
      <c r="C8" s="132" t="s">
        <v>1611</v>
      </c>
      <c r="D8" s="123">
        <v>0</v>
      </c>
      <c r="E8" s="128" t="s">
        <v>5</v>
      </c>
      <c r="F8" s="127">
        <v>0</v>
      </c>
      <c r="G8" s="128" t="s">
        <v>5</v>
      </c>
      <c r="H8" s="127">
        <v>0</v>
      </c>
      <c r="I8" s="128" t="s">
        <v>5</v>
      </c>
      <c r="J8" s="127">
        <v>123000</v>
      </c>
      <c r="K8" s="128" t="s">
        <v>1961</v>
      </c>
      <c r="L8" s="127">
        <v>0</v>
      </c>
      <c r="M8" s="128" t="s">
        <v>5</v>
      </c>
      <c r="N8" s="135">
        <f t="shared" si="0"/>
        <v>123000</v>
      </c>
      <c r="O8" s="124"/>
      <c r="P8" s="130"/>
    </row>
    <row r="9" spans="1:16" ht="30" customHeight="1" x14ac:dyDescent="0.3">
      <c r="A9" s="131" t="s">
        <v>516</v>
      </c>
      <c r="B9" s="131" t="s">
        <v>521</v>
      </c>
      <c r="C9" s="132" t="s">
        <v>1611</v>
      </c>
      <c r="D9" s="123">
        <v>0</v>
      </c>
      <c r="E9" s="128" t="s">
        <v>5</v>
      </c>
      <c r="F9" s="127">
        <v>0</v>
      </c>
      <c r="G9" s="128" t="s">
        <v>5</v>
      </c>
      <c r="H9" s="127">
        <v>0</v>
      </c>
      <c r="I9" s="128" t="s">
        <v>5</v>
      </c>
      <c r="J9" s="127">
        <v>136000</v>
      </c>
      <c r="K9" s="128" t="s">
        <v>1961</v>
      </c>
      <c r="L9" s="127">
        <v>0</v>
      </c>
      <c r="M9" s="128" t="s">
        <v>5</v>
      </c>
      <c r="N9" s="135">
        <f t="shared" si="0"/>
        <v>136000</v>
      </c>
      <c r="O9" s="124"/>
      <c r="P9" s="130"/>
    </row>
    <row r="10" spans="1:16" ht="30" customHeight="1" x14ac:dyDescent="0.3">
      <c r="A10" s="131" t="s">
        <v>516</v>
      </c>
      <c r="B10" s="131" t="s">
        <v>522</v>
      </c>
      <c r="C10" s="132" t="s">
        <v>1611</v>
      </c>
      <c r="D10" s="123">
        <v>0</v>
      </c>
      <c r="E10" s="128" t="s">
        <v>5</v>
      </c>
      <c r="F10" s="127">
        <v>0</v>
      </c>
      <c r="G10" s="128" t="s">
        <v>5</v>
      </c>
      <c r="H10" s="127">
        <v>0</v>
      </c>
      <c r="I10" s="128" t="s">
        <v>5</v>
      </c>
      <c r="J10" s="127">
        <v>163000</v>
      </c>
      <c r="K10" s="128" t="s">
        <v>1961</v>
      </c>
      <c r="L10" s="127">
        <v>0</v>
      </c>
      <c r="M10" s="128" t="s">
        <v>5</v>
      </c>
      <c r="N10" s="135">
        <f t="shared" si="0"/>
        <v>163000</v>
      </c>
      <c r="O10" s="124"/>
      <c r="P10" s="130"/>
    </row>
    <row r="11" spans="1:16" ht="30" customHeight="1" x14ac:dyDescent="0.3">
      <c r="A11" s="131" t="s">
        <v>516</v>
      </c>
      <c r="B11" s="131" t="s">
        <v>523</v>
      </c>
      <c r="C11" s="132" t="s">
        <v>1611</v>
      </c>
      <c r="D11" s="123">
        <v>0</v>
      </c>
      <c r="E11" s="128" t="s">
        <v>5</v>
      </c>
      <c r="F11" s="127">
        <v>0</v>
      </c>
      <c r="G11" s="128" t="s">
        <v>5</v>
      </c>
      <c r="H11" s="127">
        <v>0</v>
      </c>
      <c r="I11" s="128" t="s">
        <v>5</v>
      </c>
      <c r="J11" s="127">
        <v>170000</v>
      </c>
      <c r="K11" s="128" t="s">
        <v>1961</v>
      </c>
      <c r="L11" s="127">
        <v>0</v>
      </c>
      <c r="M11" s="128" t="s">
        <v>5</v>
      </c>
      <c r="N11" s="135">
        <f t="shared" si="0"/>
        <v>170000</v>
      </c>
      <c r="O11" s="124"/>
      <c r="P11" s="130"/>
    </row>
    <row r="12" spans="1:16" ht="30" customHeight="1" x14ac:dyDescent="0.3">
      <c r="A12" s="131" t="s">
        <v>516</v>
      </c>
      <c r="B12" s="131" t="s">
        <v>524</v>
      </c>
      <c r="C12" s="132" t="s">
        <v>1611</v>
      </c>
      <c r="D12" s="123">
        <v>0</v>
      </c>
      <c r="E12" s="128" t="s">
        <v>5</v>
      </c>
      <c r="F12" s="127">
        <v>0</v>
      </c>
      <c r="G12" s="128" t="s">
        <v>5</v>
      </c>
      <c r="H12" s="127">
        <v>0</v>
      </c>
      <c r="I12" s="128" t="s">
        <v>5</v>
      </c>
      <c r="J12" s="127">
        <v>180000</v>
      </c>
      <c r="K12" s="128" t="s">
        <v>1961</v>
      </c>
      <c r="L12" s="127">
        <v>0</v>
      </c>
      <c r="M12" s="128" t="s">
        <v>5</v>
      </c>
      <c r="N12" s="135">
        <f t="shared" si="0"/>
        <v>180000</v>
      </c>
      <c r="O12" s="124"/>
      <c r="P12" s="130"/>
    </row>
    <row r="13" spans="1:16" ht="30" customHeight="1" x14ac:dyDescent="0.3">
      <c r="A13" s="131" t="s">
        <v>516</v>
      </c>
      <c r="B13" s="131" t="s">
        <v>525</v>
      </c>
      <c r="C13" s="132" t="s">
        <v>1611</v>
      </c>
      <c r="D13" s="123">
        <v>0</v>
      </c>
      <c r="E13" s="128" t="s">
        <v>5</v>
      </c>
      <c r="F13" s="127">
        <v>0</v>
      </c>
      <c r="G13" s="128" t="s">
        <v>5</v>
      </c>
      <c r="H13" s="127">
        <v>0</v>
      </c>
      <c r="I13" s="128" t="s">
        <v>5</v>
      </c>
      <c r="J13" s="127">
        <v>183000</v>
      </c>
      <c r="K13" s="128" t="s">
        <v>1961</v>
      </c>
      <c r="L13" s="127"/>
      <c r="M13" s="128"/>
      <c r="N13" s="135">
        <f t="shared" si="0"/>
        <v>183000</v>
      </c>
      <c r="O13" s="124"/>
      <c r="P13" s="130"/>
    </row>
    <row r="14" spans="1:16" ht="30" customHeight="1" x14ac:dyDescent="0.3">
      <c r="A14" s="131" t="s">
        <v>516</v>
      </c>
      <c r="B14" s="131" t="s">
        <v>526</v>
      </c>
      <c r="C14" s="132" t="s">
        <v>1611</v>
      </c>
      <c r="D14" s="123">
        <v>0</v>
      </c>
      <c r="E14" s="128" t="s">
        <v>5</v>
      </c>
      <c r="F14" s="127">
        <v>0</v>
      </c>
      <c r="G14" s="128" t="s">
        <v>5</v>
      </c>
      <c r="H14" s="127">
        <v>0</v>
      </c>
      <c r="I14" s="128" t="s">
        <v>5</v>
      </c>
      <c r="J14" s="127">
        <v>197000</v>
      </c>
      <c r="K14" s="128" t="s">
        <v>1961</v>
      </c>
      <c r="L14" s="127">
        <v>0</v>
      </c>
      <c r="M14" s="128" t="s">
        <v>5</v>
      </c>
      <c r="N14" s="135">
        <f t="shared" si="0"/>
        <v>197000</v>
      </c>
      <c r="O14" s="124"/>
      <c r="P14" s="130"/>
    </row>
    <row r="15" spans="1:16" ht="30" customHeight="1" x14ac:dyDescent="0.3">
      <c r="A15" s="131" t="s">
        <v>516</v>
      </c>
      <c r="B15" s="131" t="s">
        <v>527</v>
      </c>
      <c r="C15" s="132" t="s">
        <v>1611</v>
      </c>
      <c r="D15" s="123">
        <v>0</v>
      </c>
      <c r="E15" s="128" t="s">
        <v>5</v>
      </c>
      <c r="F15" s="127">
        <v>0</v>
      </c>
      <c r="G15" s="128" t="s">
        <v>5</v>
      </c>
      <c r="H15" s="127">
        <v>0</v>
      </c>
      <c r="I15" s="128" t="s">
        <v>5</v>
      </c>
      <c r="J15" s="127">
        <v>234000</v>
      </c>
      <c r="K15" s="128" t="s">
        <v>1961</v>
      </c>
      <c r="L15" s="127">
        <v>0</v>
      </c>
      <c r="M15" s="128" t="s">
        <v>5</v>
      </c>
      <c r="N15" s="135">
        <f t="shared" si="0"/>
        <v>234000</v>
      </c>
      <c r="O15" s="124"/>
      <c r="P15" s="130"/>
    </row>
    <row r="16" spans="1:16" ht="30" customHeight="1" x14ac:dyDescent="0.3">
      <c r="A16" s="131" t="s">
        <v>516</v>
      </c>
      <c r="B16" s="131" t="s">
        <v>528</v>
      </c>
      <c r="C16" s="132" t="s">
        <v>1611</v>
      </c>
      <c r="D16" s="123">
        <v>0</v>
      </c>
      <c r="E16" s="128" t="s">
        <v>5</v>
      </c>
      <c r="F16" s="127">
        <v>0</v>
      </c>
      <c r="G16" s="128" t="s">
        <v>5</v>
      </c>
      <c r="H16" s="127">
        <v>0</v>
      </c>
      <c r="I16" s="128" t="s">
        <v>5</v>
      </c>
      <c r="J16" s="127">
        <v>290000</v>
      </c>
      <c r="K16" s="128" t="s">
        <v>1961</v>
      </c>
      <c r="L16" s="127">
        <v>0</v>
      </c>
      <c r="M16" s="128" t="s">
        <v>5</v>
      </c>
      <c r="N16" s="135">
        <f t="shared" si="0"/>
        <v>290000</v>
      </c>
      <c r="O16" s="124"/>
      <c r="P16" s="130"/>
    </row>
    <row r="17" spans="1:16" ht="30" customHeight="1" x14ac:dyDescent="0.3">
      <c r="A17" s="131" t="s">
        <v>516</v>
      </c>
      <c r="B17" s="131" t="s">
        <v>529</v>
      </c>
      <c r="C17" s="132" t="s">
        <v>1611</v>
      </c>
      <c r="D17" s="123">
        <v>0</v>
      </c>
      <c r="E17" s="128" t="s">
        <v>5</v>
      </c>
      <c r="F17" s="127">
        <v>0</v>
      </c>
      <c r="G17" s="128" t="s">
        <v>5</v>
      </c>
      <c r="H17" s="127">
        <v>0</v>
      </c>
      <c r="I17" s="128" t="s">
        <v>5</v>
      </c>
      <c r="J17" s="127">
        <v>348000</v>
      </c>
      <c r="K17" s="128" t="s">
        <v>1961</v>
      </c>
      <c r="L17" s="127">
        <v>0</v>
      </c>
      <c r="M17" s="128" t="s">
        <v>5</v>
      </c>
      <c r="N17" s="135">
        <f t="shared" si="0"/>
        <v>348000</v>
      </c>
      <c r="O17" s="124"/>
      <c r="P17" s="130"/>
    </row>
    <row r="18" spans="1:16" ht="30" customHeight="1" x14ac:dyDescent="0.3">
      <c r="A18" s="131" t="s">
        <v>516</v>
      </c>
      <c r="B18" s="131" t="s">
        <v>530</v>
      </c>
      <c r="C18" s="132" t="s">
        <v>1611</v>
      </c>
      <c r="D18" s="123">
        <v>0</v>
      </c>
      <c r="E18" s="128" t="s">
        <v>5</v>
      </c>
      <c r="F18" s="127">
        <v>0</v>
      </c>
      <c r="G18" s="128" t="s">
        <v>5</v>
      </c>
      <c r="H18" s="127">
        <v>0</v>
      </c>
      <c r="I18" s="128" t="s">
        <v>5</v>
      </c>
      <c r="J18" s="127">
        <v>378000</v>
      </c>
      <c r="K18" s="128" t="s">
        <v>1961</v>
      </c>
      <c r="L18" s="127">
        <v>0</v>
      </c>
      <c r="M18" s="128" t="s">
        <v>5</v>
      </c>
      <c r="N18" s="135">
        <f t="shared" si="0"/>
        <v>378000</v>
      </c>
      <c r="O18" s="124"/>
      <c r="P18" s="130"/>
    </row>
    <row r="19" spans="1:16" ht="30" customHeight="1" x14ac:dyDescent="0.3">
      <c r="A19" s="131" t="s">
        <v>516</v>
      </c>
      <c r="B19" s="131" t="s">
        <v>531</v>
      </c>
      <c r="C19" s="132" t="s">
        <v>1611</v>
      </c>
      <c r="D19" s="123">
        <v>0</v>
      </c>
      <c r="E19" s="128" t="s">
        <v>5</v>
      </c>
      <c r="F19" s="127">
        <v>0</v>
      </c>
      <c r="G19" s="128" t="s">
        <v>5</v>
      </c>
      <c r="H19" s="127">
        <v>0</v>
      </c>
      <c r="I19" s="128" t="s">
        <v>5</v>
      </c>
      <c r="J19" s="127">
        <v>499000</v>
      </c>
      <c r="K19" s="128" t="s">
        <v>1961</v>
      </c>
      <c r="L19" s="127">
        <v>0</v>
      </c>
      <c r="M19" s="128" t="s">
        <v>5</v>
      </c>
      <c r="N19" s="135">
        <f t="shared" si="0"/>
        <v>499000</v>
      </c>
      <c r="O19" s="124"/>
      <c r="P19" s="130"/>
    </row>
    <row r="20" spans="1:16" ht="30" customHeight="1" x14ac:dyDescent="0.3">
      <c r="A20" s="131" t="s">
        <v>516</v>
      </c>
      <c r="B20" s="131" t="s">
        <v>532</v>
      </c>
      <c r="C20" s="132" t="s">
        <v>1611</v>
      </c>
      <c r="D20" s="123">
        <v>0</v>
      </c>
      <c r="E20" s="128" t="s">
        <v>5</v>
      </c>
      <c r="F20" s="127">
        <v>0</v>
      </c>
      <c r="G20" s="128" t="s">
        <v>5</v>
      </c>
      <c r="H20" s="127">
        <v>0</v>
      </c>
      <c r="I20" s="128" t="s">
        <v>5</v>
      </c>
      <c r="J20" s="127">
        <v>617000</v>
      </c>
      <c r="K20" s="128" t="s">
        <v>1961</v>
      </c>
      <c r="L20" s="127">
        <v>0</v>
      </c>
      <c r="M20" s="128" t="s">
        <v>5</v>
      </c>
      <c r="N20" s="135">
        <f t="shared" si="0"/>
        <v>617000</v>
      </c>
      <c r="O20" s="124"/>
      <c r="P20" s="130"/>
    </row>
    <row r="21" spans="1:16" ht="30" customHeight="1" x14ac:dyDescent="0.3">
      <c r="A21" s="131" t="s">
        <v>533</v>
      </c>
      <c r="B21" s="131" t="s">
        <v>517</v>
      </c>
      <c r="C21" s="132" t="s">
        <v>1611</v>
      </c>
      <c r="D21" s="123">
        <v>0</v>
      </c>
      <c r="E21" s="128" t="s">
        <v>5</v>
      </c>
      <c r="F21" s="127">
        <v>0</v>
      </c>
      <c r="G21" s="128" t="s">
        <v>5</v>
      </c>
      <c r="H21" s="127">
        <v>0</v>
      </c>
      <c r="I21" s="128" t="s">
        <v>5</v>
      </c>
      <c r="J21" s="127">
        <v>82000</v>
      </c>
      <c r="K21" s="128" t="s">
        <v>1961</v>
      </c>
      <c r="L21" s="127">
        <v>0</v>
      </c>
      <c r="M21" s="128" t="s">
        <v>5</v>
      </c>
      <c r="N21" s="135">
        <f t="shared" si="0"/>
        <v>82000</v>
      </c>
      <c r="O21" s="124"/>
      <c r="P21" s="130"/>
    </row>
    <row r="22" spans="1:16" ht="30" customHeight="1" x14ac:dyDescent="0.3">
      <c r="A22" s="131" t="s">
        <v>533</v>
      </c>
      <c r="B22" s="131" t="s">
        <v>518</v>
      </c>
      <c r="C22" s="132" t="s">
        <v>1611</v>
      </c>
      <c r="D22" s="123">
        <v>0</v>
      </c>
      <c r="E22" s="128" t="s">
        <v>5</v>
      </c>
      <c r="F22" s="127">
        <v>0</v>
      </c>
      <c r="G22" s="128" t="s">
        <v>5</v>
      </c>
      <c r="H22" s="127">
        <v>0</v>
      </c>
      <c r="I22" s="128" t="s">
        <v>5</v>
      </c>
      <c r="J22" s="127">
        <v>85000</v>
      </c>
      <c r="K22" s="128" t="s">
        <v>1961</v>
      </c>
      <c r="L22" s="127">
        <v>0</v>
      </c>
      <c r="M22" s="128" t="s">
        <v>5</v>
      </c>
      <c r="N22" s="135">
        <f t="shared" si="0"/>
        <v>85000</v>
      </c>
      <c r="O22" s="124"/>
      <c r="P22" s="130"/>
    </row>
    <row r="23" spans="1:16" ht="30" customHeight="1" x14ac:dyDescent="0.3">
      <c r="A23" s="131" t="s">
        <v>533</v>
      </c>
      <c r="B23" s="131" t="s">
        <v>519</v>
      </c>
      <c r="C23" s="132" t="s">
        <v>1611</v>
      </c>
      <c r="D23" s="123">
        <v>0</v>
      </c>
      <c r="E23" s="128" t="s">
        <v>5</v>
      </c>
      <c r="F23" s="127">
        <v>0</v>
      </c>
      <c r="G23" s="128" t="s">
        <v>5</v>
      </c>
      <c r="H23" s="127">
        <v>0</v>
      </c>
      <c r="I23" s="128" t="s">
        <v>5</v>
      </c>
      <c r="J23" s="127">
        <v>119000</v>
      </c>
      <c r="K23" s="128" t="s">
        <v>1961</v>
      </c>
      <c r="L23" s="127">
        <v>0</v>
      </c>
      <c r="M23" s="128" t="s">
        <v>5</v>
      </c>
      <c r="N23" s="135">
        <f t="shared" si="0"/>
        <v>119000</v>
      </c>
      <c r="O23" s="124"/>
      <c r="P23" s="130"/>
    </row>
    <row r="24" spans="1:16" ht="30" customHeight="1" x14ac:dyDescent="0.3">
      <c r="A24" s="131" t="s">
        <v>533</v>
      </c>
      <c r="B24" s="131" t="s">
        <v>520</v>
      </c>
      <c r="C24" s="132" t="s">
        <v>1611</v>
      </c>
      <c r="D24" s="123">
        <v>0</v>
      </c>
      <c r="E24" s="128" t="s">
        <v>5</v>
      </c>
      <c r="F24" s="127">
        <v>0</v>
      </c>
      <c r="G24" s="128" t="s">
        <v>5</v>
      </c>
      <c r="H24" s="127">
        <v>0</v>
      </c>
      <c r="I24" s="128" t="s">
        <v>5</v>
      </c>
      <c r="J24" s="127">
        <v>137000</v>
      </c>
      <c r="K24" s="128" t="s">
        <v>1961</v>
      </c>
      <c r="L24" s="127">
        <v>0</v>
      </c>
      <c r="M24" s="128" t="s">
        <v>5</v>
      </c>
      <c r="N24" s="135">
        <f t="shared" si="0"/>
        <v>137000</v>
      </c>
      <c r="O24" s="124"/>
      <c r="P24" s="130"/>
    </row>
    <row r="25" spans="1:16" ht="30" customHeight="1" x14ac:dyDescent="0.3">
      <c r="A25" s="131" t="s">
        <v>533</v>
      </c>
      <c r="B25" s="131" t="s">
        <v>521</v>
      </c>
      <c r="C25" s="132" t="s">
        <v>1611</v>
      </c>
      <c r="D25" s="123">
        <v>0</v>
      </c>
      <c r="E25" s="128" t="s">
        <v>5</v>
      </c>
      <c r="F25" s="127">
        <v>0</v>
      </c>
      <c r="G25" s="128" t="s">
        <v>5</v>
      </c>
      <c r="H25" s="127">
        <v>0</v>
      </c>
      <c r="I25" s="128" t="s">
        <v>5</v>
      </c>
      <c r="J25" s="127">
        <v>150000</v>
      </c>
      <c r="K25" s="128" t="s">
        <v>1961</v>
      </c>
      <c r="L25" s="127">
        <v>0</v>
      </c>
      <c r="M25" s="128" t="s">
        <v>5</v>
      </c>
      <c r="N25" s="135">
        <f t="shared" si="0"/>
        <v>150000</v>
      </c>
      <c r="O25" s="124"/>
      <c r="P25" s="130"/>
    </row>
    <row r="26" spans="1:16" ht="30" customHeight="1" x14ac:dyDescent="0.3">
      <c r="A26" s="131" t="s">
        <v>533</v>
      </c>
      <c r="B26" s="131" t="s">
        <v>522</v>
      </c>
      <c r="C26" s="132" t="s">
        <v>1611</v>
      </c>
      <c r="D26" s="123">
        <v>0</v>
      </c>
      <c r="E26" s="128" t="s">
        <v>5</v>
      </c>
      <c r="F26" s="127">
        <v>0</v>
      </c>
      <c r="G26" s="128" t="s">
        <v>5</v>
      </c>
      <c r="H26" s="127">
        <v>0</v>
      </c>
      <c r="I26" s="128" t="s">
        <v>5</v>
      </c>
      <c r="J26" s="127">
        <v>176000</v>
      </c>
      <c r="K26" s="128" t="s">
        <v>1961</v>
      </c>
      <c r="L26" s="127">
        <v>0</v>
      </c>
      <c r="M26" s="128" t="s">
        <v>5</v>
      </c>
      <c r="N26" s="135">
        <f t="shared" si="0"/>
        <v>176000</v>
      </c>
      <c r="O26" s="124"/>
      <c r="P26" s="130"/>
    </row>
    <row r="27" spans="1:16" ht="30" customHeight="1" x14ac:dyDescent="0.3">
      <c r="A27" s="131" t="s">
        <v>533</v>
      </c>
      <c r="B27" s="131" t="s">
        <v>523</v>
      </c>
      <c r="C27" s="132" t="s">
        <v>1611</v>
      </c>
      <c r="D27" s="123">
        <v>0</v>
      </c>
      <c r="E27" s="128" t="s">
        <v>5</v>
      </c>
      <c r="F27" s="127">
        <v>0</v>
      </c>
      <c r="G27" s="128" t="s">
        <v>5</v>
      </c>
      <c r="H27" s="127">
        <v>0</v>
      </c>
      <c r="I27" s="128" t="s">
        <v>5</v>
      </c>
      <c r="J27" s="127">
        <v>183000</v>
      </c>
      <c r="K27" s="128" t="s">
        <v>1961</v>
      </c>
      <c r="L27" s="127">
        <v>0</v>
      </c>
      <c r="M27" s="128" t="s">
        <v>5</v>
      </c>
      <c r="N27" s="135">
        <f t="shared" si="0"/>
        <v>183000</v>
      </c>
      <c r="O27" s="124"/>
      <c r="P27" s="130"/>
    </row>
    <row r="28" spans="1:16" ht="30" customHeight="1" x14ac:dyDescent="0.3">
      <c r="A28" s="131" t="s">
        <v>533</v>
      </c>
      <c r="B28" s="131" t="s">
        <v>524</v>
      </c>
      <c r="C28" s="132" t="s">
        <v>1611</v>
      </c>
      <c r="D28" s="123">
        <v>0</v>
      </c>
      <c r="E28" s="128" t="s">
        <v>5</v>
      </c>
      <c r="F28" s="127">
        <v>0</v>
      </c>
      <c r="G28" s="128" t="s">
        <v>5</v>
      </c>
      <c r="H28" s="127">
        <v>0</v>
      </c>
      <c r="I28" s="128" t="s">
        <v>5</v>
      </c>
      <c r="J28" s="127">
        <v>193000</v>
      </c>
      <c r="K28" s="128" t="s">
        <v>1961</v>
      </c>
      <c r="L28" s="127">
        <v>0</v>
      </c>
      <c r="M28" s="128" t="s">
        <v>5</v>
      </c>
      <c r="N28" s="135">
        <f t="shared" si="0"/>
        <v>193000</v>
      </c>
      <c r="O28" s="124"/>
      <c r="P28" s="130"/>
    </row>
    <row r="29" spans="1:16" ht="30" customHeight="1" x14ac:dyDescent="0.3">
      <c r="A29" s="131" t="s">
        <v>533</v>
      </c>
      <c r="B29" s="131" t="s">
        <v>525</v>
      </c>
      <c r="C29" s="132" t="s">
        <v>1611</v>
      </c>
      <c r="D29" s="123">
        <v>0</v>
      </c>
      <c r="E29" s="128" t="s">
        <v>5</v>
      </c>
      <c r="F29" s="127">
        <v>0</v>
      </c>
      <c r="G29" s="128" t="s">
        <v>5</v>
      </c>
      <c r="H29" s="127">
        <v>0</v>
      </c>
      <c r="I29" s="128" t="s">
        <v>5</v>
      </c>
      <c r="J29" s="127">
        <v>196000</v>
      </c>
      <c r="K29" s="128" t="s">
        <v>1961</v>
      </c>
      <c r="L29" s="127">
        <v>0</v>
      </c>
      <c r="M29" s="128" t="s">
        <v>5</v>
      </c>
      <c r="N29" s="135">
        <f t="shared" si="0"/>
        <v>196000</v>
      </c>
      <c r="O29" s="124"/>
      <c r="P29" s="130"/>
    </row>
    <row r="30" spans="1:16" ht="30" customHeight="1" x14ac:dyDescent="0.3">
      <c r="A30" s="131" t="s">
        <v>533</v>
      </c>
      <c r="B30" s="131" t="s">
        <v>526</v>
      </c>
      <c r="C30" s="132" t="s">
        <v>1611</v>
      </c>
      <c r="D30" s="123">
        <v>0</v>
      </c>
      <c r="E30" s="128" t="s">
        <v>5</v>
      </c>
      <c r="F30" s="127">
        <v>0</v>
      </c>
      <c r="G30" s="128" t="s">
        <v>5</v>
      </c>
      <c r="H30" s="127">
        <v>0</v>
      </c>
      <c r="I30" s="128" t="s">
        <v>5</v>
      </c>
      <c r="J30" s="127">
        <v>210000</v>
      </c>
      <c r="K30" s="128" t="s">
        <v>1961</v>
      </c>
      <c r="L30" s="127">
        <v>0</v>
      </c>
      <c r="M30" s="128" t="s">
        <v>5</v>
      </c>
      <c r="N30" s="135">
        <f t="shared" si="0"/>
        <v>210000</v>
      </c>
      <c r="O30" s="124"/>
      <c r="P30" s="130"/>
    </row>
    <row r="31" spans="1:16" ht="30" customHeight="1" x14ac:dyDescent="0.3">
      <c r="A31" s="131" t="s">
        <v>533</v>
      </c>
      <c r="B31" s="131" t="s">
        <v>527</v>
      </c>
      <c r="C31" s="132" t="s">
        <v>1611</v>
      </c>
      <c r="D31" s="123">
        <v>0</v>
      </c>
      <c r="E31" s="128" t="s">
        <v>5</v>
      </c>
      <c r="F31" s="127">
        <v>0</v>
      </c>
      <c r="G31" s="128" t="s">
        <v>5</v>
      </c>
      <c r="H31" s="127">
        <v>0</v>
      </c>
      <c r="I31" s="128" t="s">
        <v>5</v>
      </c>
      <c r="J31" s="127">
        <v>290000</v>
      </c>
      <c r="K31" s="128" t="s">
        <v>1961</v>
      </c>
      <c r="L31" s="127">
        <v>0</v>
      </c>
      <c r="M31" s="128" t="s">
        <v>5</v>
      </c>
      <c r="N31" s="135">
        <f t="shared" si="0"/>
        <v>290000</v>
      </c>
      <c r="O31" s="124"/>
      <c r="P31" s="130"/>
    </row>
    <row r="32" spans="1:16" ht="30" customHeight="1" x14ac:dyDescent="0.3">
      <c r="A32" s="131" t="s">
        <v>533</v>
      </c>
      <c r="B32" s="131" t="s">
        <v>528</v>
      </c>
      <c r="C32" s="132" t="s">
        <v>1611</v>
      </c>
      <c r="D32" s="123">
        <v>0</v>
      </c>
      <c r="E32" s="128" t="s">
        <v>5</v>
      </c>
      <c r="F32" s="127">
        <v>0</v>
      </c>
      <c r="G32" s="128" t="s">
        <v>5</v>
      </c>
      <c r="H32" s="127">
        <v>0</v>
      </c>
      <c r="I32" s="128" t="s">
        <v>5</v>
      </c>
      <c r="J32" s="127">
        <v>300000</v>
      </c>
      <c r="K32" s="128" t="s">
        <v>1961</v>
      </c>
      <c r="L32" s="127">
        <v>0</v>
      </c>
      <c r="M32" s="128" t="s">
        <v>5</v>
      </c>
      <c r="N32" s="135">
        <f>SMALL(D32:L32,COUNTIF(D32:L32,0)+1)</f>
        <v>300000</v>
      </c>
      <c r="O32" s="124"/>
      <c r="P32" s="130"/>
    </row>
    <row r="33" spans="1:16" ht="30" customHeight="1" x14ac:dyDescent="0.3">
      <c r="A33" s="131" t="s">
        <v>533</v>
      </c>
      <c r="B33" s="131" t="s">
        <v>529</v>
      </c>
      <c r="C33" s="132" t="s">
        <v>1611</v>
      </c>
      <c r="D33" s="123">
        <v>0</v>
      </c>
      <c r="E33" s="128" t="s">
        <v>5</v>
      </c>
      <c r="F33" s="127">
        <v>0</v>
      </c>
      <c r="G33" s="128" t="s">
        <v>5</v>
      </c>
      <c r="H33" s="127">
        <v>0</v>
      </c>
      <c r="I33" s="128" t="s">
        <v>5</v>
      </c>
      <c r="J33" s="127">
        <v>376000</v>
      </c>
      <c r="K33" s="128" t="s">
        <v>1961</v>
      </c>
      <c r="L33" s="127">
        <v>0</v>
      </c>
      <c r="M33" s="128" t="s">
        <v>5</v>
      </c>
      <c r="N33" s="135">
        <f t="shared" si="0"/>
        <v>376000</v>
      </c>
      <c r="O33" s="124"/>
      <c r="P33" s="130"/>
    </row>
    <row r="34" spans="1:16" ht="30" customHeight="1" x14ac:dyDescent="0.3">
      <c r="A34" s="131" t="s">
        <v>533</v>
      </c>
      <c r="B34" s="131" t="s">
        <v>530</v>
      </c>
      <c r="C34" s="132" t="s">
        <v>1611</v>
      </c>
      <c r="D34" s="123">
        <v>0</v>
      </c>
      <c r="E34" s="128" t="s">
        <v>5</v>
      </c>
      <c r="F34" s="127">
        <v>0</v>
      </c>
      <c r="G34" s="128" t="s">
        <v>5</v>
      </c>
      <c r="H34" s="127">
        <v>0</v>
      </c>
      <c r="I34" s="128" t="s">
        <v>5</v>
      </c>
      <c r="J34" s="127">
        <v>406000</v>
      </c>
      <c r="K34" s="128" t="s">
        <v>1961</v>
      </c>
      <c r="L34" s="127">
        <v>0</v>
      </c>
      <c r="M34" s="128" t="s">
        <v>5</v>
      </c>
      <c r="N34" s="135">
        <f t="shared" si="0"/>
        <v>406000</v>
      </c>
      <c r="O34" s="124"/>
      <c r="P34" s="130"/>
    </row>
    <row r="35" spans="1:16" ht="30" customHeight="1" x14ac:dyDescent="0.3">
      <c r="A35" s="131" t="s">
        <v>533</v>
      </c>
      <c r="B35" s="131" t="s">
        <v>531</v>
      </c>
      <c r="C35" s="132" t="s">
        <v>1611</v>
      </c>
      <c r="D35" s="123">
        <v>0</v>
      </c>
      <c r="E35" s="128" t="s">
        <v>5</v>
      </c>
      <c r="F35" s="127">
        <v>0</v>
      </c>
      <c r="G35" s="128" t="s">
        <v>5</v>
      </c>
      <c r="H35" s="127">
        <v>0</v>
      </c>
      <c r="I35" s="128" t="s">
        <v>5</v>
      </c>
      <c r="J35" s="127">
        <v>510000</v>
      </c>
      <c r="K35" s="128" t="s">
        <v>1961</v>
      </c>
      <c r="L35" s="127">
        <v>0</v>
      </c>
      <c r="M35" s="128" t="s">
        <v>5</v>
      </c>
      <c r="N35" s="135">
        <f t="shared" si="0"/>
        <v>510000</v>
      </c>
      <c r="O35" s="124"/>
      <c r="P35" s="130"/>
    </row>
    <row r="36" spans="1:16" ht="30" customHeight="1" x14ac:dyDescent="0.3">
      <c r="A36" s="131" t="s">
        <v>533</v>
      </c>
      <c r="B36" s="131" t="s">
        <v>532</v>
      </c>
      <c r="C36" s="132" t="s">
        <v>1611</v>
      </c>
      <c r="D36" s="123">
        <v>0</v>
      </c>
      <c r="E36" s="128" t="s">
        <v>5</v>
      </c>
      <c r="F36" s="127">
        <v>0</v>
      </c>
      <c r="G36" s="128" t="s">
        <v>5</v>
      </c>
      <c r="H36" s="127">
        <v>0</v>
      </c>
      <c r="I36" s="128" t="s">
        <v>5</v>
      </c>
      <c r="J36" s="127">
        <v>677000</v>
      </c>
      <c r="K36" s="128" t="s">
        <v>1961</v>
      </c>
      <c r="L36" s="127">
        <v>0</v>
      </c>
      <c r="M36" s="128" t="s">
        <v>5</v>
      </c>
      <c r="N36" s="135">
        <f t="shared" si="0"/>
        <v>677000</v>
      </c>
      <c r="O36" s="124"/>
      <c r="P36" s="130"/>
    </row>
    <row r="37" spans="1:16" ht="30" customHeight="1" x14ac:dyDescent="0.3">
      <c r="A37" s="131" t="s">
        <v>534</v>
      </c>
      <c r="B37" s="131" t="s">
        <v>517</v>
      </c>
      <c r="C37" s="132" t="s">
        <v>1611</v>
      </c>
      <c r="D37" s="123">
        <v>0</v>
      </c>
      <c r="E37" s="128" t="s">
        <v>5</v>
      </c>
      <c r="F37" s="127">
        <v>0</v>
      </c>
      <c r="G37" s="128" t="s">
        <v>5</v>
      </c>
      <c r="H37" s="127">
        <v>0</v>
      </c>
      <c r="I37" s="128" t="s">
        <v>5</v>
      </c>
      <c r="J37" s="127">
        <v>51000</v>
      </c>
      <c r="K37" s="128" t="s">
        <v>1961</v>
      </c>
      <c r="L37" s="127">
        <v>0</v>
      </c>
      <c r="M37" s="128" t="s">
        <v>5</v>
      </c>
      <c r="N37" s="135">
        <f t="shared" si="0"/>
        <v>51000</v>
      </c>
      <c r="O37" s="124"/>
      <c r="P37" s="130"/>
    </row>
    <row r="38" spans="1:16" ht="30" customHeight="1" x14ac:dyDescent="0.3">
      <c r="A38" s="131" t="s">
        <v>534</v>
      </c>
      <c r="B38" s="131" t="s">
        <v>518</v>
      </c>
      <c r="C38" s="132" t="s">
        <v>1611</v>
      </c>
      <c r="D38" s="123">
        <v>0</v>
      </c>
      <c r="E38" s="128" t="s">
        <v>5</v>
      </c>
      <c r="F38" s="127">
        <v>0</v>
      </c>
      <c r="G38" s="128" t="s">
        <v>5</v>
      </c>
      <c r="H38" s="127">
        <v>0</v>
      </c>
      <c r="I38" s="128" t="s">
        <v>5</v>
      </c>
      <c r="J38" s="127">
        <v>54000</v>
      </c>
      <c r="K38" s="128" t="s">
        <v>1961</v>
      </c>
      <c r="L38" s="127">
        <v>0</v>
      </c>
      <c r="M38" s="128" t="s">
        <v>5</v>
      </c>
      <c r="N38" s="135">
        <f t="shared" si="0"/>
        <v>54000</v>
      </c>
      <c r="O38" s="124"/>
      <c r="P38" s="130"/>
    </row>
    <row r="39" spans="1:16" ht="30" customHeight="1" x14ac:dyDescent="0.3">
      <c r="A39" s="131" t="s">
        <v>534</v>
      </c>
      <c r="B39" s="131" t="s">
        <v>519</v>
      </c>
      <c r="C39" s="132" t="s">
        <v>1611</v>
      </c>
      <c r="D39" s="123">
        <v>0</v>
      </c>
      <c r="E39" s="128" t="s">
        <v>5</v>
      </c>
      <c r="F39" s="127">
        <v>0</v>
      </c>
      <c r="G39" s="128" t="s">
        <v>5</v>
      </c>
      <c r="H39" s="127">
        <v>0</v>
      </c>
      <c r="I39" s="128" t="s">
        <v>5</v>
      </c>
      <c r="J39" s="127">
        <v>77000</v>
      </c>
      <c r="K39" s="128" t="s">
        <v>1961</v>
      </c>
      <c r="L39" s="127">
        <v>0</v>
      </c>
      <c r="M39" s="128" t="s">
        <v>5</v>
      </c>
      <c r="N39" s="135">
        <f t="shared" si="0"/>
        <v>77000</v>
      </c>
      <c r="O39" s="124"/>
      <c r="P39" s="130"/>
    </row>
    <row r="40" spans="1:16" ht="30" customHeight="1" x14ac:dyDescent="0.3">
      <c r="A40" s="131" t="s">
        <v>534</v>
      </c>
      <c r="B40" s="131" t="s">
        <v>520</v>
      </c>
      <c r="C40" s="132" t="s">
        <v>1611</v>
      </c>
      <c r="D40" s="123">
        <v>0</v>
      </c>
      <c r="E40" s="128" t="s">
        <v>5</v>
      </c>
      <c r="F40" s="127">
        <v>0</v>
      </c>
      <c r="G40" s="128" t="s">
        <v>5</v>
      </c>
      <c r="H40" s="127">
        <v>0</v>
      </c>
      <c r="I40" s="128" t="s">
        <v>5</v>
      </c>
      <c r="J40" s="127">
        <v>100000</v>
      </c>
      <c r="K40" s="128" t="s">
        <v>1961</v>
      </c>
      <c r="L40" s="127">
        <v>0</v>
      </c>
      <c r="M40" s="128" t="s">
        <v>5</v>
      </c>
      <c r="N40" s="135">
        <f t="shared" si="0"/>
        <v>100000</v>
      </c>
      <c r="O40" s="124"/>
      <c r="P40" s="130"/>
    </row>
    <row r="41" spans="1:16" ht="30" customHeight="1" x14ac:dyDescent="0.3">
      <c r="A41" s="131" t="s">
        <v>534</v>
      </c>
      <c r="B41" s="131" t="s">
        <v>521</v>
      </c>
      <c r="C41" s="132" t="s">
        <v>1611</v>
      </c>
      <c r="D41" s="123">
        <v>0</v>
      </c>
      <c r="E41" s="128" t="s">
        <v>5</v>
      </c>
      <c r="F41" s="127">
        <v>0</v>
      </c>
      <c r="G41" s="128" t="s">
        <v>5</v>
      </c>
      <c r="H41" s="127">
        <v>0</v>
      </c>
      <c r="I41" s="128" t="s">
        <v>5</v>
      </c>
      <c r="J41" s="127">
        <v>113000</v>
      </c>
      <c r="K41" s="128" t="s">
        <v>1961</v>
      </c>
      <c r="L41" s="127">
        <v>0</v>
      </c>
      <c r="M41" s="128" t="s">
        <v>5</v>
      </c>
      <c r="N41" s="135">
        <f t="shared" si="0"/>
        <v>113000</v>
      </c>
      <c r="O41" s="124"/>
      <c r="P41" s="130"/>
    </row>
    <row r="42" spans="1:16" ht="30" customHeight="1" x14ac:dyDescent="0.3">
      <c r="A42" s="131" t="s">
        <v>534</v>
      </c>
      <c r="B42" s="131" t="s">
        <v>522</v>
      </c>
      <c r="C42" s="132" t="s">
        <v>1611</v>
      </c>
      <c r="D42" s="123">
        <v>0</v>
      </c>
      <c r="E42" s="128" t="s">
        <v>5</v>
      </c>
      <c r="F42" s="127">
        <v>0</v>
      </c>
      <c r="G42" s="128" t="s">
        <v>5</v>
      </c>
      <c r="H42" s="127">
        <v>0</v>
      </c>
      <c r="I42" s="128" t="s">
        <v>5</v>
      </c>
      <c r="J42" s="127">
        <v>132000</v>
      </c>
      <c r="K42" s="128" t="s">
        <v>1961</v>
      </c>
      <c r="L42" s="127">
        <v>0</v>
      </c>
      <c r="M42" s="128" t="s">
        <v>5</v>
      </c>
      <c r="N42" s="135">
        <f t="shared" si="0"/>
        <v>132000</v>
      </c>
      <c r="O42" s="124"/>
      <c r="P42" s="130"/>
    </row>
    <row r="43" spans="1:16" ht="30" customHeight="1" x14ac:dyDescent="0.3">
      <c r="A43" s="131" t="s">
        <v>534</v>
      </c>
      <c r="B43" s="131" t="s">
        <v>523</v>
      </c>
      <c r="C43" s="132" t="s">
        <v>1611</v>
      </c>
      <c r="D43" s="123">
        <v>0</v>
      </c>
      <c r="E43" s="128" t="s">
        <v>5</v>
      </c>
      <c r="F43" s="127">
        <v>0</v>
      </c>
      <c r="G43" s="128" t="s">
        <v>5</v>
      </c>
      <c r="H43" s="127">
        <v>0</v>
      </c>
      <c r="I43" s="128" t="s">
        <v>5</v>
      </c>
      <c r="J43" s="127">
        <v>139000</v>
      </c>
      <c r="K43" s="128" t="s">
        <v>1961</v>
      </c>
      <c r="L43" s="127">
        <v>0</v>
      </c>
      <c r="M43" s="128" t="s">
        <v>5</v>
      </c>
      <c r="N43" s="135">
        <f t="shared" si="0"/>
        <v>139000</v>
      </c>
      <c r="O43" s="124"/>
      <c r="P43" s="130"/>
    </row>
    <row r="44" spans="1:16" ht="30" customHeight="1" x14ac:dyDescent="0.3">
      <c r="A44" s="131" t="s">
        <v>534</v>
      </c>
      <c r="B44" s="131" t="s">
        <v>524</v>
      </c>
      <c r="C44" s="132" t="s">
        <v>1611</v>
      </c>
      <c r="D44" s="123">
        <v>0</v>
      </c>
      <c r="E44" s="128" t="s">
        <v>5</v>
      </c>
      <c r="F44" s="127">
        <v>0</v>
      </c>
      <c r="G44" s="128" t="s">
        <v>5</v>
      </c>
      <c r="H44" s="127">
        <v>0</v>
      </c>
      <c r="I44" s="128" t="s">
        <v>5</v>
      </c>
      <c r="J44" s="127">
        <v>149000</v>
      </c>
      <c r="K44" s="128" t="s">
        <v>1961</v>
      </c>
      <c r="L44" s="127">
        <v>0</v>
      </c>
      <c r="M44" s="128" t="s">
        <v>5</v>
      </c>
      <c r="N44" s="135">
        <f t="shared" si="0"/>
        <v>149000</v>
      </c>
      <c r="O44" s="124"/>
      <c r="P44" s="130"/>
    </row>
    <row r="45" spans="1:16" ht="30" customHeight="1" x14ac:dyDescent="0.3">
      <c r="A45" s="131" t="s">
        <v>534</v>
      </c>
      <c r="B45" s="131" t="s">
        <v>525</v>
      </c>
      <c r="C45" s="132" t="s">
        <v>1611</v>
      </c>
      <c r="D45" s="123">
        <v>0</v>
      </c>
      <c r="E45" s="128" t="s">
        <v>5</v>
      </c>
      <c r="F45" s="127">
        <v>0</v>
      </c>
      <c r="G45" s="128" t="s">
        <v>5</v>
      </c>
      <c r="H45" s="127">
        <v>0</v>
      </c>
      <c r="I45" s="128" t="s">
        <v>5</v>
      </c>
      <c r="J45" s="127">
        <v>152000</v>
      </c>
      <c r="K45" s="128" t="s">
        <v>1961</v>
      </c>
      <c r="L45" s="127">
        <v>0</v>
      </c>
      <c r="M45" s="128" t="s">
        <v>5</v>
      </c>
      <c r="N45" s="135">
        <f t="shared" si="0"/>
        <v>152000</v>
      </c>
      <c r="O45" s="124"/>
      <c r="P45" s="130"/>
    </row>
    <row r="46" spans="1:16" ht="30" customHeight="1" x14ac:dyDescent="0.3">
      <c r="A46" s="131" t="s">
        <v>534</v>
      </c>
      <c r="B46" s="131" t="s">
        <v>526</v>
      </c>
      <c r="C46" s="132" t="s">
        <v>1611</v>
      </c>
      <c r="D46" s="123">
        <v>0</v>
      </c>
      <c r="E46" s="128" t="s">
        <v>5</v>
      </c>
      <c r="F46" s="127">
        <v>0</v>
      </c>
      <c r="G46" s="128" t="s">
        <v>5</v>
      </c>
      <c r="H46" s="127">
        <v>0</v>
      </c>
      <c r="I46" s="128" t="s">
        <v>5</v>
      </c>
      <c r="J46" s="127">
        <v>166000</v>
      </c>
      <c r="K46" s="128" t="s">
        <v>1961</v>
      </c>
      <c r="L46" s="127">
        <v>0</v>
      </c>
      <c r="M46" s="128" t="s">
        <v>5</v>
      </c>
      <c r="N46" s="135">
        <f t="shared" si="0"/>
        <v>166000</v>
      </c>
      <c r="O46" s="124"/>
      <c r="P46" s="130"/>
    </row>
    <row r="47" spans="1:16" ht="30" customHeight="1" x14ac:dyDescent="0.3">
      <c r="A47" s="131" t="s">
        <v>534</v>
      </c>
      <c r="B47" s="131" t="s">
        <v>527</v>
      </c>
      <c r="C47" s="132" t="s">
        <v>1611</v>
      </c>
      <c r="D47" s="123">
        <v>0</v>
      </c>
      <c r="E47" s="128" t="s">
        <v>5</v>
      </c>
      <c r="F47" s="127">
        <v>0</v>
      </c>
      <c r="G47" s="128" t="s">
        <v>5</v>
      </c>
      <c r="H47" s="127">
        <v>0</v>
      </c>
      <c r="I47" s="128" t="s">
        <v>5</v>
      </c>
      <c r="J47" s="127">
        <v>241000</v>
      </c>
      <c r="K47" s="128" t="s">
        <v>1961</v>
      </c>
      <c r="L47" s="127">
        <v>0</v>
      </c>
      <c r="M47" s="128" t="s">
        <v>5</v>
      </c>
      <c r="N47" s="135">
        <f t="shared" si="0"/>
        <v>241000</v>
      </c>
      <c r="O47" s="124"/>
      <c r="P47" s="130"/>
    </row>
    <row r="48" spans="1:16" ht="30" customHeight="1" x14ac:dyDescent="0.3">
      <c r="A48" s="131" t="s">
        <v>534</v>
      </c>
      <c r="B48" s="131" t="s">
        <v>528</v>
      </c>
      <c r="C48" s="132" t="s">
        <v>1611</v>
      </c>
      <c r="D48" s="123">
        <v>0</v>
      </c>
      <c r="E48" s="128" t="s">
        <v>5</v>
      </c>
      <c r="F48" s="127">
        <v>0</v>
      </c>
      <c r="G48" s="128" t="s">
        <v>5</v>
      </c>
      <c r="H48" s="127">
        <v>0</v>
      </c>
      <c r="I48" s="128" t="s">
        <v>5</v>
      </c>
      <c r="J48" s="127">
        <v>251000</v>
      </c>
      <c r="K48" s="128" t="s">
        <v>1961</v>
      </c>
      <c r="L48" s="127">
        <v>0</v>
      </c>
      <c r="M48" s="128" t="s">
        <v>5</v>
      </c>
      <c r="N48" s="135">
        <f t="shared" si="0"/>
        <v>251000</v>
      </c>
      <c r="O48" s="124"/>
      <c r="P48" s="130"/>
    </row>
    <row r="49" spans="1:16" ht="30" customHeight="1" x14ac:dyDescent="0.3">
      <c r="A49" s="131" t="s">
        <v>534</v>
      </c>
      <c r="B49" s="131" t="s">
        <v>529</v>
      </c>
      <c r="C49" s="132" t="s">
        <v>1611</v>
      </c>
      <c r="D49" s="123">
        <v>0</v>
      </c>
      <c r="E49" s="128" t="s">
        <v>5</v>
      </c>
      <c r="F49" s="127">
        <v>0</v>
      </c>
      <c r="G49" s="128" t="s">
        <v>5</v>
      </c>
      <c r="H49" s="127">
        <v>0</v>
      </c>
      <c r="I49" s="128" t="s">
        <v>5</v>
      </c>
      <c r="J49" s="127">
        <v>302000</v>
      </c>
      <c r="K49" s="128" t="s">
        <v>1961</v>
      </c>
      <c r="L49" s="127">
        <v>0</v>
      </c>
      <c r="M49" s="128" t="s">
        <v>5</v>
      </c>
      <c r="N49" s="135">
        <f t="shared" si="0"/>
        <v>302000</v>
      </c>
      <c r="O49" s="124"/>
      <c r="P49" s="130"/>
    </row>
    <row r="50" spans="1:16" ht="30" customHeight="1" x14ac:dyDescent="0.3">
      <c r="A50" s="131" t="s">
        <v>534</v>
      </c>
      <c r="B50" s="131" t="s">
        <v>530</v>
      </c>
      <c r="C50" s="132" t="s">
        <v>1611</v>
      </c>
      <c r="D50" s="123">
        <v>0</v>
      </c>
      <c r="E50" s="128" t="s">
        <v>5</v>
      </c>
      <c r="F50" s="127">
        <v>0</v>
      </c>
      <c r="G50" s="128" t="s">
        <v>5</v>
      </c>
      <c r="H50" s="127">
        <v>0</v>
      </c>
      <c r="I50" s="128" t="s">
        <v>5</v>
      </c>
      <c r="J50" s="127">
        <v>332000</v>
      </c>
      <c r="K50" s="128" t="s">
        <v>1961</v>
      </c>
      <c r="L50" s="127">
        <v>0</v>
      </c>
      <c r="M50" s="128" t="s">
        <v>5</v>
      </c>
      <c r="N50" s="135">
        <f t="shared" si="0"/>
        <v>332000</v>
      </c>
      <c r="O50" s="124"/>
      <c r="P50" s="130"/>
    </row>
    <row r="51" spans="1:16" ht="30" customHeight="1" x14ac:dyDescent="0.3">
      <c r="A51" s="131" t="s">
        <v>534</v>
      </c>
      <c r="B51" s="131" t="s">
        <v>531</v>
      </c>
      <c r="C51" s="132" t="s">
        <v>1611</v>
      </c>
      <c r="D51" s="123">
        <v>0</v>
      </c>
      <c r="E51" s="128" t="s">
        <v>5</v>
      </c>
      <c r="F51" s="127">
        <v>0</v>
      </c>
      <c r="G51" s="128" t="s">
        <v>5</v>
      </c>
      <c r="H51" s="127">
        <v>0</v>
      </c>
      <c r="I51" s="128" t="s">
        <v>5</v>
      </c>
      <c r="J51" s="127">
        <v>441000</v>
      </c>
      <c r="K51" s="128" t="s">
        <v>1961</v>
      </c>
      <c r="L51" s="127">
        <v>0</v>
      </c>
      <c r="M51" s="128" t="s">
        <v>5</v>
      </c>
      <c r="N51" s="135">
        <f t="shared" si="0"/>
        <v>441000</v>
      </c>
      <c r="O51" s="124"/>
      <c r="P51" s="130"/>
    </row>
    <row r="52" spans="1:16" ht="30" customHeight="1" x14ac:dyDescent="0.3">
      <c r="A52" s="131" t="s">
        <v>534</v>
      </c>
      <c r="B52" s="131" t="s">
        <v>532</v>
      </c>
      <c r="C52" s="132" t="s">
        <v>1611</v>
      </c>
      <c r="D52" s="123">
        <v>0</v>
      </c>
      <c r="E52" s="128" t="s">
        <v>5</v>
      </c>
      <c r="F52" s="127">
        <v>0</v>
      </c>
      <c r="G52" s="128" t="s">
        <v>5</v>
      </c>
      <c r="H52" s="127">
        <v>0</v>
      </c>
      <c r="I52" s="128" t="s">
        <v>5</v>
      </c>
      <c r="J52" s="127">
        <v>577000</v>
      </c>
      <c r="K52" s="128" t="s">
        <v>1961</v>
      </c>
      <c r="L52" s="127">
        <v>0</v>
      </c>
      <c r="M52" s="128" t="s">
        <v>5</v>
      </c>
      <c r="N52" s="135">
        <f t="shared" si="0"/>
        <v>577000</v>
      </c>
      <c r="O52" s="124"/>
      <c r="P52" s="130"/>
    </row>
    <row r="53" spans="1:16" ht="30" customHeight="1" x14ac:dyDescent="0.3">
      <c r="A53" s="131" t="s">
        <v>535</v>
      </c>
      <c r="B53" s="131" t="s">
        <v>536</v>
      </c>
      <c r="C53" s="132" t="s">
        <v>1611</v>
      </c>
      <c r="D53" s="123">
        <v>0</v>
      </c>
      <c r="E53" s="128" t="s">
        <v>5</v>
      </c>
      <c r="F53" s="127">
        <v>0</v>
      </c>
      <c r="G53" s="128" t="s">
        <v>5</v>
      </c>
      <c r="H53" s="127">
        <v>0</v>
      </c>
      <c r="I53" s="128" t="s">
        <v>5</v>
      </c>
      <c r="J53" s="127">
        <v>39000</v>
      </c>
      <c r="K53" s="128" t="s">
        <v>1961</v>
      </c>
      <c r="L53" s="127">
        <v>0</v>
      </c>
      <c r="M53" s="128" t="s">
        <v>5</v>
      </c>
      <c r="N53" s="135">
        <f t="shared" si="0"/>
        <v>39000</v>
      </c>
      <c r="O53" s="124"/>
      <c r="P53" s="130"/>
    </row>
    <row r="54" spans="1:16" ht="30" customHeight="1" x14ac:dyDescent="0.3">
      <c r="A54" s="131" t="s">
        <v>535</v>
      </c>
      <c r="B54" s="131" t="s">
        <v>537</v>
      </c>
      <c r="C54" s="132" t="s">
        <v>1611</v>
      </c>
      <c r="D54" s="123">
        <v>0</v>
      </c>
      <c r="E54" s="128" t="s">
        <v>5</v>
      </c>
      <c r="F54" s="127">
        <v>0</v>
      </c>
      <c r="G54" s="128" t="s">
        <v>5</v>
      </c>
      <c r="H54" s="127">
        <v>0</v>
      </c>
      <c r="I54" s="128" t="s">
        <v>5</v>
      </c>
      <c r="J54" s="127">
        <v>40000</v>
      </c>
      <c r="K54" s="128" t="s">
        <v>1961</v>
      </c>
      <c r="L54" s="127">
        <v>0</v>
      </c>
      <c r="M54" s="128" t="s">
        <v>5</v>
      </c>
      <c r="N54" s="135">
        <f t="shared" si="0"/>
        <v>40000</v>
      </c>
      <c r="O54" s="124"/>
      <c r="P54" s="130"/>
    </row>
    <row r="55" spans="1:16" ht="30" customHeight="1" x14ac:dyDescent="0.3">
      <c r="A55" s="131" t="s">
        <v>535</v>
      </c>
      <c r="B55" s="131" t="s">
        <v>538</v>
      </c>
      <c r="C55" s="132" t="s">
        <v>1611</v>
      </c>
      <c r="D55" s="123">
        <v>0</v>
      </c>
      <c r="E55" s="128" t="s">
        <v>5</v>
      </c>
      <c r="F55" s="127">
        <v>0</v>
      </c>
      <c r="G55" s="128" t="s">
        <v>5</v>
      </c>
      <c r="H55" s="127">
        <v>0</v>
      </c>
      <c r="I55" s="128" t="s">
        <v>5</v>
      </c>
      <c r="J55" s="127">
        <v>44000</v>
      </c>
      <c r="K55" s="128" t="s">
        <v>1961</v>
      </c>
      <c r="L55" s="127">
        <v>0</v>
      </c>
      <c r="M55" s="128" t="s">
        <v>5</v>
      </c>
      <c r="N55" s="135">
        <f t="shared" si="0"/>
        <v>44000</v>
      </c>
      <c r="O55" s="124"/>
      <c r="P55" s="130"/>
    </row>
    <row r="56" spans="1:16" ht="30" customHeight="1" x14ac:dyDescent="0.3">
      <c r="A56" s="131" t="s">
        <v>535</v>
      </c>
      <c r="B56" s="131" t="s">
        <v>539</v>
      </c>
      <c r="C56" s="132" t="s">
        <v>1611</v>
      </c>
      <c r="D56" s="123">
        <v>0</v>
      </c>
      <c r="E56" s="128" t="s">
        <v>5</v>
      </c>
      <c r="F56" s="127">
        <v>0</v>
      </c>
      <c r="G56" s="128" t="s">
        <v>5</v>
      </c>
      <c r="H56" s="127">
        <v>0</v>
      </c>
      <c r="I56" s="128" t="s">
        <v>5</v>
      </c>
      <c r="J56" s="127">
        <v>66600</v>
      </c>
      <c r="K56" s="128" t="s">
        <v>1961</v>
      </c>
      <c r="L56" s="127">
        <v>0</v>
      </c>
      <c r="M56" s="128" t="s">
        <v>5</v>
      </c>
      <c r="N56" s="135">
        <f t="shared" si="0"/>
        <v>66600</v>
      </c>
      <c r="O56" s="124"/>
      <c r="P56" s="130"/>
    </row>
    <row r="57" spans="1:16" ht="30" customHeight="1" x14ac:dyDescent="0.3">
      <c r="A57" s="131" t="s">
        <v>535</v>
      </c>
      <c r="B57" s="131" t="s">
        <v>540</v>
      </c>
      <c r="C57" s="132" t="s">
        <v>1611</v>
      </c>
      <c r="D57" s="123">
        <v>0</v>
      </c>
      <c r="E57" s="128" t="s">
        <v>5</v>
      </c>
      <c r="F57" s="127">
        <v>0</v>
      </c>
      <c r="G57" s="128" t="s">
        <v>5</v>
      </c>
      <c r="H57" s="127">
        <v>0</v>
      </c>
      <c r="I57" s="128" t="s">
        <v>5</v>
      </c>
      <c r="J57" s="127">
        <v>75900</v>
      </c>
      <c r="K57" s="128" t="s">
        <v>1961</v>
      </c>
      <c r="L57" s="127">
        <v>0</v>
      </c>
      <c r="M57" s="128" t="s">
        <v>5</v>
      </c>
      <c r="N57" s="135">
        <f t="shared" si="0"/>
        <v>75900</v>
      </c>
      <c r="O57" s="124"/>
      <c r="P57" s="130"/>
    </row>
    <row r="58" spans="1:16" ht="30" customHeight="1" x14ac:dyDescent="0.3">
      <c r="A58" s="131" t="s">
        <v>535</v>
      </c>
      <c r="B58" s="131" t="s">
        <v>541</v>
      </c>
      <c r="C58" s="132" t="s">
        <v>1611</v>
      </c>
      <c r="D58" s="123">
        <v>0</v>
      </c>
      <c r="E58" s="128" t="s">
        <v>5</v>
      </c>
      <c r="F58" s="127">
        <v>0</v>
      </c>
      <c r="G58" s="128" t="s">
        <v>5</v>
      </c>
      <c r="H58" s="127">
        <v>0</v>
      </c>
      <c r="I58" s="128" t="s">
        <v>5</v>
      </c>
      <c r="J58" s="127">
        <v>112300</v>
      </c>
      <c r="K58" s="128" t="s">
        <v>1961</v>
      </c>
      <c r="L58" s="127">
        <v>0</v>
      </c>
      <c r="M58" s="128" t="s">
        <v>5</v>
      </c>
      <c r="N58" s="135">
        <f t="shared" si="0"/>
        <v>112300</v>
      </c>
      <c r="O58" s="124"/>
      <c r="P58" s="130"/>
    </row>
    <row r="59" spans="1:16" ht="30" customHeight="1" x14ac:dyDescent="0.3">
      <c r="A59" s="131" t="s">
        <v>535</v>
      </c>
      <c r="B59" s="131" t="s">
        <v>542</v>
      </c>
      <c r="C59" s="132" t="s">
        <v>1611</v>
      </c>
      <c r="D59" s="123">
        <v>0</v>
      </c>
      <c r="E59" s="128" t="s">
        <v>5</v>
      </c>
      <c r="F59" s="127">
        <v>0</v>
      </c>
      <c r="G59" s="128" t="s">
        <v>5</v>
      </c>
      <c r="H59" s="127">
        <v>0</v>
      </c>
      <c r="I59" s="128" t="s">
        <v>5</v>
      </c>
      <c r="J59" s="127">
        <v>144200</v>
      </c>
      <c r="K59" s="128" t="s">
        <v>1961</v>
      </c>
      <c r="L59" s="127">
        <v>0</v>
      </c>
      <c r="M59" s="128" t="s">
        <v>5</v>
      </c>
      <c r="N59" s="135">
        <f t="shared" si="0"/>
        <v>144200</v>
      </c>
      <c r="O59" s="124"/>
      <c r="P59" s="130"/>
    </row>
    <row r="60" spans="1:16" ht="30" customHeight="1" x14ac:dyDescent="0.3">
      <c r="A60" s="131" t="s">
        <v>535</v>
      </c>
      <c r="B60" s="131" t="s">
        <v>543</v>
      </c>
      <c r="C60" s="132" t="s">
        <v>1611</v>
      </c>
      <c r="D60" s="123">
        <v>0</v>
      </c>
      <c r="E60" s="128" t="s">
        <v>5</v>
      </c>
      <c r="F60" s="127">
        <v>0</v>
      </c>
      <c r="G60" s="128" t="s">
        <v>5</v>
      </c>
      <c r="H60" s="127">
        <v>0</v>
      </c>
      <c r="I60" s="128" t="s">
        <v>5</v>
      </c>
      <c r="J60" s="127">
        <v>172300</v>
      </c>
      <c r="K60" s="128" t="s">
        <v>1961</v>
      </c>
      <c r="L60" s="127">
        <v>0</v>
      </c>
      <c r="M60" s="128" t="s">
        <v>5</v>
      </c>
      <c r="N60" s="135">
        <f t="shared" si="0"/>
        <v>172300</v>
      </c>
      <c r="O60" s="124"/>
      <c r="P60" s="130"/>
    </row>
    <row r="61" spans="1:16" ht="30" customHeight="1" x14ac:dyDescent="0.3">
      <c r="A61" s="131" t="s">
        <v>544</v>
      </c>
      <c r="B61" s="131" t="s">
        <v>536</v>
      </c>
      <c r="C61" s="132" t="s">
        <v>1611</v>
      </c>
      <c r="D61" s="123">
        <v>0</v>
      </c>
      <c r="E61" s="128" t="s">
        <v>5</v>
      </c>
      <c r="F61" s="127">
        <v>0</v>
      </c>
      <c r="G61" s="128" t="s">
        <v>5</v>
      </c>
      <c r="H61" s="127">
        <v>0</v>
      </c>
      <c r="I61" s="128" t="s">
        <v>5</v>
      </c>
      <c r="J61" s="127">
        <v>58500</v>
      </c>
      <c r="K61" s="128" t="s">
        <v>1961</v>
      </c>
      <c r="L61" s="127">
        <v>0</v>
      </c>
      <c r="M61" s="128" t="s">
        <v>5</v>
      </c>
      <c r="N61" s="135">
        <f t="shared" si="0"/>
        <v>58500</v>
      </c>
      <c r="O61" s="124"/>
      <c r="P61" s="130"/>
    </row>
    <row r="62" spans="1:16" ht="30" customHeight="1" x14ac:dyDescent="0.3">
      <c r="A62" s="131" t="s">
        <v>544</v>
      </c>
      <c r="B62" s="131" t="s">
        <v>537</v>
      </c>
      <c r="C62" s="132" t="s">
        <v>1611</v>
      </c>
      <c r="D62" s="123">
        <v>0</v>
      </c>
      <c r="E62" s="128" t="s">
        <v>5</v>
      </c>
      <c r="F62" s="127">
        <v>0</v>
      </c>
      <c r="G62" s="128" t="s">
        <v>5</v>
      </c>
      <c r="H62" s="127">
        <v>0</v>
      </c>
      <c r="I62" s="128" t="s">
        <v>5</v>
      </c>
      <c r="J62" s="127">
        <v>59500</v>
      </c>
      <c r="K62" s="128" t="s">
        <v>1961</v>
      </c>
      <c r="L62" s="127">
        <v>0</v>
      </c>
      <c r="M62" s="128" t="s">
        <v>5</v>
      </c>
      <c r="N62" s="135">
        <f t="shared" si="0"/>
        <v>59500</v>
      </c>
      <c r="O62" s="124"/>
      <c r="P62" s="130"/>
    </row>
    <row r="63" spans="1:16" ht="30" customHeight="1" x14ac:dyDescent="0.3">
      <c r="A63" s="131" t="s">
        <v>544</v>
      </c>
      <c r="B63" s="131" t="s">
        <v>538</v>
      </c>
      <c r="C63" s="132" t="s">
        <v>1611</v>
      </c>
      <c r="D63" s="123">
        <v>0</v>
      </c>
      <c r="E63" s="128" t="s">
        <v>5</v>
      </c>
      <c r="F63" s="127">
        <v>0</v>
      </c>
      <c r="G63" s="128" t="s">
        <v>5</v>
      </c>
      <c r="H63" s="127">
        <v>0</v>
      </c>
      <c r="I63" s="128" t="s">
        <v>5</v>
      </c>
      <c r="J63" s="127">
        <v>63500</v>
      </c>
      <c r="K63" s="128" t="s">
        <v>1961</v>
      </c>
      <c r="L63" s="127">
        <v>0</v>
      </c>
      <c r="M63" s="128" t="s">
        <v>5</v>
      </c>
      <c r="N63" s="135">
        <f t="shared" si="0"/>
        <v>63500</v>
      </c>
      <c r="O63" s="124"/>
      <c r="P63" s="130"/>
    </row>
    <row r="64" spans="1:16" ht="30" customHeight="1" x14ac:dyDescent="0.3">
      <c r="A64" s="131" t="s">
        <v>544</v>
      </c>
      <c r="B64" s="131" t="s">
        <v>539</v>
      </c>
      <c r="C64" s="132" t="s">
        <v>1611</v>
      </c>
      <c r="D64" s="123">
        <v>0</v>
      </c>
      <c r="E64" s="128" t="s">
        <v>5</v>
      </c>
      <c r="F64" s="127">
        <v>0</v>
      </c>
      <c r="G64" s="128" t="s">
        <v>5</v>
      </c>
      <c r="H64" s="127">
        <v>0</v>
      </c>
      <c r="I64" s="128" t="s">
        <v>5</v>
      </c>
      <c r="J64" s="127">
        <v>74000</v>
      </c>
      <c r="K64" s="128" t="s">
        <v>1961</v>
      </c>
      <c r="L64" s="127">
        <v>0</v>
      </c>
      <c r="M64" s="128" t="s">
        <v>5</v>
      </c>
      <c r="N64" s="135">
        <f t="shared" si="0"/>
        <v>74000</v>
      </c>
      <c r="O64" s="124"/>
      <c r="P64" s="130"/>
    </row>
    <row r="65" spans="1:16" ht="30" customHeight="1" x14ac:dyDescent="0.3">
      <c r="A65" s="131" t="s">
        <v>544</v>
      </c>
      <c r="B65" s="131" t="s">
        <v>540</v>
      </c>
      <c r="C65" s="132" t="s">
        <v>1611</v>
      </c>
      <c r="D65" s="123">
        <v>0</v>
      </c>
      <c r="E65" s="128" t="s">
        <v>5</v>
      </c>
      <c r="F65" s="127">
        <v>0</v>
      </c>
      <c r="G65" s="128" t="s">
        <v>5</v>
      </c>
      <c r="H65" s="127">
        <v>0</v>
      </c>
      <c r="I65" s="128" t="s">
        <v>5</v>
      </c>
      <c r="J65" s="127">
        <v>104900</v>
      </c>
      <c r="K65" s="128" t="s">
        <v>1961</v>
      </c>
      <c r="L65" s="127">
        <v>0</v>
      </c>
      <c r="M65" s="128" t="s">
        <v>5</v>
      </c>
      <c r="N65" s="135">
        <f t="shared" si="0"/>
        <v>104900</v>
      </c>
      <c r="O65" s="124"/>
      <c r="P65" s="130"/>
    </row>
    <row r="66" spans="1:16" ht="30" customHeight="1" x14ac:dyDescent="0.3">
      <c r="A66" s="131" t="s">
        <v>544</v>
      </c>
      <c r="B66" s="131" t="s">
        <v>541</v>
      </c>
      <c r="C66" s="132" t="s">
        <v>1611</v>
      </c>
      <c r="D66" s="123">
        <v>0</v>
      </c>
      <c r="E66" s="128" t="s">
        <v>5</v>
      </c>
      <c r="F66" s="127">
        <v>0</v>
      </c>
      <c r="G66" s="128" t="s">
        <v>5</v>
      </c>
      <c r="H66" s="127">
        <v>0</v>
      </c>
      <c r="I66" s="128" t="s">
        <v>5</v>
      </c>
      <c r="J66" s="127">
        <v>129100</v>
      </c>
      <c r="K66" s="128" t="s">
        <v>1961</v>
      </c>
      <c r="L66" s="127">
        <v>0</v>
      </c>
      <c r="M66" s="128" t="s">
        <v>5</v>
      </c>
      <c r="N66" s="135">
        <f t="shared" si="0"/>
        <v>129100</v>
      </c>
      <c r="O66" s="124"/>
      <c r="P66" s="130"/>
    </row>
    <row r="67" spans="1:16" ht="30" customHeight="1" x14ac:dyDescent="0.3">
      <c r="A67" s="131" t="s">
        <v>544</v>
      </c>
      <c r="B67" s="131" t="s">
        <v>542</v>
      </c>
      <c r="C67" s="132" t="s">
        <v>1611</v>
      </c>
      <c r="D67" s="123">
        <v>0</v>
      </c>
      <c r="E67" s="128" t="s">
        <v>5</v>
      </c>
      <c r="F67" s="127">
        <v>0</v>
      </c>
      <c r="G67" s="128" t="s">
        <v>5</v>
      </c>
      <c r="H67" s="127">
        <v>0</v>
      </c>
      <c r="I67" s="128" t="s">
        <v>5</v>
      </c>
      <c r="J67" s="127">
        <v>159000</v>
      </c>
      <c r="K67" s="128" t="s">
        <v>1961</v>
      </c>
      <c r="L67" s="127">
        <v>0</v>
      </c>
      <c r="M67" s="128" t="s">
        <v>5</v>
      </c>
      <c r="N67" s="135">
        <f t="shared" si="0"/>
        <v>159000</v>
      </c>
      <c r="O67" s="124"/>
      <c r="P67" s="130"/>
    </row>
    <row r="68" spans="1:16" ht="30" customHeight="1" x14ac:dyDescent="0.3">
      <c r="A68" s="131" t="s">
        <v>544</v>
      </c>
      <c r="B68" s="131" t="s">
        <v>543</v>
      </c>
      <c r="C68" s="132" t="s">
        <v>1611</v>
      </c>
      <c r="D68" s="123">
        <v>0</v>
      </c>
      <c r="E68" s="128" t="s">
        <v>5</v>
      </c>
      <c r="F68" s="127">
        <v>0</v>
      </c>
      <c r="G68" s="128" t="s">
        <v>5</v>
      </c>
      <c r="H68" s="127">
        <v>0</v>
      </c>
      <c r="I68" s="128" t="s">
        <v>5</v>
      </c>
      <c r="J68" s="127">
        <v>194200</v>
      </c>
      <c r="K68" s="128" t="s">
        <v>1961</v>
      </c>
      <c r="L68" s="127">
        <v>0</v>
      </c>
      <c r="M68" s="128" t="s">
        <v>5</v>
      </c>
      <c r="N68" s="135">
        <f t="shared" si="0"/>
        <v>194200</v>
      </c>
      <c r="O68" s="124"/>
      <c r="P68" s="130"/>
    </row>
    <row r="69" spans="1:16" ht="30" customHeight="1" x14ac:dyDescent="0.3">
      <c r="A69" s="131" t="s">
        <v>545</v>
      </c>
      <c r="B69" s="131" t="s">
        <v>536</v>
      </c>
      <c r="C69" s="132" t="s">
        <v>1611</v>
      </c>
      <c r="D69" s="123">
        <v>0</v>
      </c>
      <c r="E69" s="128" t="s">
        <v>5</v>
      </c>
      <c r="F69" s="127">
        <v>0</v>
      </c>
      <c r="G69" s="128" t="s">
        <v>5</v>
      </c>
      <c r="H69" s="127">
        <v>0</v>
      </c>
      <c r="I69" s="128" t="s">
        <v>5</v>
      </c>
      <c r="J69" s="127">
        <v>24000</v>
      </c>
      <c r="K69" s="128" t="s">
        <v>1961</v>
      </c>
      <c r="L69" s="127">
        <v>0</v>
      </c>
      <c r="M69" s="128" t="s">
        <v>5</v>
      </c>
      <c r="N69" s="135">
        <f t="shared" ref="N69:N126" si="1">SMALL(D69:L69,COUNTIF(D69:L69,0)+1)</f>
        <v>24000</v>
      </c>
      <c r="O69" s="124"/>
      <c r="P69" s="130"/>
    </row>
    <row r="70" spans="1:16" ht="30" customHeight="1" x14ac:dyDescent="0.3">
      <c r="A70" s="131" t="s">
        <v>545</v>
      </c>
      <c r="B70" s="131" t="s">
        <v>537</v>
      </c>
      <c r="C70" s="132" t="s">
        <v>1611</v>
      </c>
      <c r="D70" s="123">
        <v>0</v>
      </c>
      <c r="E70" s="128" t="s">
        <v>5</v>
      </c>
      <c r="F70" s="127">
        <v>0</v>
      </c>
      <c r="G70" s="128" t="s">
        <v>5</v>
      </c>
      <c r="H70" s="127">
        <v>0</v>
      </c>
      <c r="I70" s="128" t="s">
        <v>5</v>
      </c>
      <c r="J70" s="127">
        <v>25000</v>
      </c>
      <c r="K70" s="128" t="s">
        <v>1961</v>
      </c>
      <c r="L70" s="127">
        <v>0</v>
      </c>
      <c r="M70" s="128" t="s">
        <v>5</v>
      </c>
      <c r="N70" s="135">
        <f t="shared" si="1"/>
        <v>25000</v>
      </c>
      <c r="O70" s="124"/>
      <c r="P70" s="130"/>
    </row>
    <row r="71" spans="1:16" ht="30" customHeight="1" x14ac:dyDescent="0.3">
      <c r="A71" s="131" t="s">
        <v>545</v>
      </c>
      <c r="B71" s="131" t="s">
        <v>538</v>
      </c>
      <c r="C71" s="132" t="s">
        <v>1611</v>
      </c>
      <c r="D71" s="123">
        <v>0</v>
      </c>
      <c r="E71" s="128" t="s">
        <v>5</v>
      </c>
      <c r="F71" s="127">
        <v>0</v>
      </c>
      <c r="G71" s="128" t="s">
        <v>5</v>
      </c>
      <c r="H71" s="127">
        <v>0</v>
      </c>
      <c r="I71" s="128" t="s">
        <v>5</v>
      </c>
      <c r="J71" s="127">
        <v>29000</v>
      </c>
      <c r="K71" s="128" t="s">
        <v>1961</v>
      </c>
      <c r="L71" s="127">
        <v>0</v>
      </c>
      <c r="M71" s="128" t="s">
        <v>5</v>
      </c>
      <c r="N71" s="135">
        <f t="shared" si="1"/>
        <v>29000</v>
      </c>
      <c r="O71" s="124"/>
      <c r="P71" s="130"/>
    </row>
    <row r="72" spans="1:16" ht="30" customHeight="1" x14ac:dyDescent="0.3">
      <c r="A72" s="131" t="s">
        <v>545</v>
      </c>
      <c r="B72" s="131" t="s">
        <v>539</v>
      </c>
      <c r="C72" s="132" t="s">
        <v>1611</v>
      </c>
      <c r="D72" s="123">
        <v>0</v>
      </c>
      <c r="E72" s="128" t="s">
        <v>5</v>
      </c>
      <c r="F72" s="127">
        <v>0</v>
      </c>
      <c r="G72" s="128" t="s">
        <v>5</v>
      </c>
      <c r="H72" s="127">
        <v>0</v>
      </c>
      <c r="I72" s="128" t="s">
        <v>5</v>
      </c>
      <c r="J72" s="127">
        <v>42900</v>
      </c>
      <c r="K72" s="128" t="s">
        <v>1961</v>
      </c>
      <c r="L72" s="127">
        <v>0</v>
      </c>
      <c r="M72" s="128" t="s">
        <v>5</v>
      </c>
      <c r="N72" s="135">
        <f t="shared" si="1"/>
        <v>42900</v>
      </c>
      <c r="O72" s="124"/>
      <c r="P72" s="130"/>
    </row>
    <row r="73" spans="1:16" ht="30" customHeight="1" x14ac:dyDescent="0.3">
      <c r="A73" s="131" t="s">
        <v>545</v>
      </c>
      <c r="B73" s="131" t="s">
        <v>540</v>
      </c>
      <c r="C73" s="132" t="s">
        <v>1611</v>
      </c>
      <c r="D73" s="123">
        <v>0</v>
      </c>
      <c r="E73" s="128" t="s">
        <v>5</v>
      </c>
      <c r="F73" s="127">
        <v>0</v>
      </c>
      <c r="G73" s="128" t="s">
        <v>5</v>
      </c>
      <c r="H73" s="127">
        <v>0</v>
      </c>
      <c r="I73" s="128" t="s">
        <v>5</v>
      </c>
      <c r="J73" s="127">
        <v>64900</v>
      </c>
      <c r="K73" s="128" t="s">
        <v>1961</v>
      </c>
      <c r="L73" s="127">
        <v>0</v>
      </c>
      <c r="M73" s="128" t="s">
        <v>5</v>
      </c>
      <c r="N73" s="135">
        <f t="shared" si="1"/>
        <v>64900</v>
      </c>
      <c r="O73" s="124"/>
      <c r="P73" s="130"/>
    </row>
    <row r="74" spans="1:16" ht="30" customHeight="1" x14ac:dyDescent="0.3">
      <c r="A74" s="131" t="s">
        <v>545</v>
      </c>
      <c r="B74" s="131" t="s">
        <v>541</v>
      </c>
      <c r="C74" s="132" t="s">
        <v>1611</v>
      </c>
      <c r="D74" s="123">
        <v>0</v>
      </c>
      <c r="E74" s="128" t="s">
        <v>5</v>
      </c>
      <c r="F74" s="127">
        <v>0</v>
      </c>
      <c r="G74" s="128" t="s">
        <v>5</v>
      </c>
      <c r="H74" s="127">
        <v>0</v>
      </c>
      <c r="I74" s="128" t="s">
        <v>5</v>
      </c>
      <c r="J74" s="127">
        <v>85800</v>
      </c>
      <c r="K74" s="128" t="s">
        <v>1961</v>
      </c>
      <c r="L74" s="127">
        <v>0</v>
      </c>
      <c r="M74" s="128" t="s">
        <v>5</v>
      </c>
      <c r="N74" s="135">
        <f t="shared" si="1"/>
        <v>85800</v>
      </c>
      <c r="O74" s="124"/>
      <c r="P74" s="130"/>
    </row>
    <row r="75" spans="1:16" ht="30" customHeight="1" x14ac:dyDescent="0.3">
      <c r="A75" s="131" t="s">
        <v>545</v>
      </c>
      <c r="B75" s="131" t="s">
        <v>542</v>
      </c>
      <c r="C75" s="132" t="s">
        <v>1611</v>
      </c>
      <c r="D75" s="123">
        <v>0</v>
      </c>
      <c r="E75" s="128" t="s">
        <v>5</v>
      </c>
      <c r="F75" s="127">
        <v>0</v>
      </c>
      <c r="G75" s="128" t="s">
        <v>5</v>
      </c>
      <c r="H75" s="127">
        <v>0</v>
      </c>
      <c r="I75" s="128" t="s">
        <v>5</v>
      </c>
      <c r="J75" s="127">
        <v>110100</v>
      </c>
      <c r="K75" s="128" t="s">
        <v>1961</v>
      </c>
      <c r="L75" s="127">
        <v>0</v>
      </c>
      <c r="M75" s="128" t="s">
        <v>5</v>
      </c>
      <c r="N75" s="135">
        <f t="shared" si="1"/>
        <v>110100</v>
      </c>
      <c r="O75" s="124"/>
      <c r="P75" s="130"/>
    </row>
    <row r="76" spans="1:16" ht="30" customHeight="1" x14ac:dyDescent="0.3">
      <c r="A76" s="131" t="s">
        <v>545</v>
      </c>
      <c r="B76" s="131" t="s">
        <v>543</v>
      </c>
      <c r="C76" s="132" t="s">
        <v>1611</v>
      </c>
      <c r="D76" s="123">
        <v>0</v>
      </c>
      <c r="E76" s="128" t="s">
        <v>5</v>
      </c>
      <c r="F76" s="127">
        <v>0</v>
      </c>
      <c r="G76" s="128" t="s">
        <v>5</v>
      </c>
      <c r="H76" s="127">
        <v>0</v>
      </c>
      <c r="I76" s="128" t="s">
        <v>5</v>
      </c>
      <c r="J76" s="127">
        <v>130900</v>
      </c>
      <c r="K76" s="128" t="s">
        <v>1961</v>
      </c>
      <c r="L76" s="127">
        <v>0</v>
      </c>
      <c r="M76" s="128" t="s">
        <v>5</v>
      </c>
      <c r="N76" s="135">
        <f t="shared" si="1"/>
        <v>130900</v>
      </c>
      <c r="O76" s="124"/>
      <c r="P76" s="130"/>
    </row>
    <row r="77" spans="1:16" ht="30" customHeight="1" x14ac:dyDescent="0.3">
      <c r="A77" s="131" t="s">
        <v>546</v>
      </c>
      <c r="B77" s="131" t="s">
        <v>537</v>
      </c>
      <c r="C77" s="132" t="s">
        <v>1611</v>
      </c>
      <c r="D77" s="123">
        <v>0</v>
      </c>
      <c r="E77" s="128" t="s">
        <v>5</v>
      </c>
      <c r="F77" s="127">
        <v>0</v>
      </c>
      <c r="G77" s="128" t="s">
        <v>5</v>
      </c>
      <c r="H77" s="127">
        <v>0</v>
      </c>
      <c r="I77" s="128" t="s">
        <v>5</v>
      </c>
      <c r="J77" s="127">
        <v>40000</v>
      </c>
      <c r="K77" s="128" t="s">
        <v>1961</v>
      </c>
      <c r="L77" s="127">
        <v>0</v>
      </c>
      <c r="M77" s="128" t="s">
        <v>5</v>
      </c>
      <c r="N77" s="135">
        <f t="shared" si="1"/>
        <v>40000</v>
      </c>
      <c r="O77" s="124"/>
      <c r="P77" s="130"/>
    </row>
    <row r="78" spans="1:16" ht="30" customHeight="1" x14ac:dyDescent="0.3">
      <c r="A78" s="131" t="s">
        <v>546</v>
      </c>
      <c r="B78" s="131" t="s">
        <v>538</v>
      </c>
      <c r="C78" s="132" t="s">
        <v>1611</v>
      </c>
      <c r="D78" s="123">
        <v>0</v>
      </c>
      <c r="E78" s="128" t="s">
        <v>5</v>
      </c>
      <c r="F78" s="127">
        <v>0</v>
      </c>
      <c r="G78" s="128" t="s">
        <v>5</v>
      </c>
      <c r="H78" s="127">
        <v>0</v>
      </c>
      <c r="I78" s="128" t="s">
        <v>5</v>
      </c>
      <c r="J78" s="127">
        <v>44000</v>
      </c>
      <c r="K78" s="128" t="s">
        <v>1961</v>
      </c>
      <c r="L78" s="127">
        <v>0</v>
      </c>
      <c r="M78" s="128" t="s">
        <v>5</v>
      </c>
      <c r="N78" s="135">
        <f t="shared" si="1"/>
        <v>44000</v>
      </c>
      <c r="O78" s="124"/>
      <c r="P78" s="130"/>
    </row>
    <row r="79" spans="1:16" ht="30" customHeight="1" x14ac:dyDescent="0.3">
      <c r="A79" s="131" t="s">
        <v>547</v>
      </c>
      <c r="B79" s="131" t="s">
        <v>537</v>
      </c>
      <c r="C79" s="132" t="s">
        <v>1611</v>
      </c>
      <c r="D79" s="123">
        <v>0</v>
      </c>
      <c r="E79" s="128" t="s">
        <v>5</v>
      </c>
      <c r="F79" s="127">
        <v>0</v>
      </c>
      <c r="G79" s="128" t="s">
        <v>5</v>
      </c>
      <c r="H79" s="127">
        <v>0</v>
      </c>
      <c r="I79" s="128" t="s">
        <v>5</v>
      </c>
      <c r="J79" s="127">
        <v>59500</v>
      </c>
      <c r="K79" s="128" t="s">
        <v>1961</v>
      </c>
      <c r="L79" s="127">
        <v>0</v>
      </c>
      <c r="M79" s="128" t="s">
        <v>5</v>
      </c>
      <c r="N79" s="135">
        <f t="shared" si="1"/>
        <v>59500</v>
      </c>
      <c r="O79" s="124"/>
      <c r="P79" s="130"/>
    </row>
    <row r="80" spans="1:16" ht="30" customHeight="1" x14ac:dyDescent="0.3">
      <c r="A80" s="131" t="s">
        <v>547</v>
      </c>
      <c r="B80" s="131" t="s">
        <v>538</v>
      </c>
      <c r="C80" s="132" t="s">
        <v>1611</v>
      </c>
      <c r="D80" s="123">
        <v>0</v>
      </c>
      <c r="E80" s="128" t="s">
        <v>5</v>
      </c>
      <c r="F80" s="127">
        <v>0</v>
      </c>
      <c r="G80" s="128" t="s">
        <v>5</v>
      </c>
      <c r="H80" s="127">
        <v>0</v>
      </c>
      <c r="I80" s="128" t="s">
        <v>5</v>
      </c>
      <c r="J80" s="127">
        <v>63500</v>
      </c>
      <c r="K80" s="128" t="s">
        <v>1961</v>
      </c>
      <c r="L80" s="127">
        <v>0</v>
      </c>
      <c r="M80" s="128" t="s">
        <v>5</v>
      </c>
      <c r="N80" s="135">
        <f t="shared" si="1"/>
        <v>63500</v>
      </c>
      <c r="O80" s="124"/>
      <c r="P80" s="130"/>
    </row>
    <row r="81" spans="1:16" ht="30" customHeight="1" x14ac:dyDescent="0.3">
      <c r="A81" s="131" t="s">
        <v>548</v>
      </c>
      <c r="B81" s="131" t="s">
        <v>536</v>
      </c>
      <c r="C81" s="132" t="s">
        <v>1611</v>
      </c>
      <c r="D81" s="123">
        <v>0</v>
      </c>
      <c r="E81" s="128" t="s">
        <v>5</v>
      </c>
      <c r="F81" s="127">
        <v>0</v>
      </c>
      <c r="G81" s="128" t="s">
        <v>5</v>
      </c>
      <c r="H81" s="127">
        <v>0</v>
      </c>
      <c r="I81" s="128" t="s">
        <v>5</v>
      </c>
      <c r="J81" s="127">
        <v>39500</v>
      </c>
      <c r="K81" s="128" t="s">
        <v>1961</v>
      </c>
      <c r="L81" s="127">
        <v>0</v>
      </c>
      <c r="M81" s="128" t="s">
        <v>5</v>
      </c>
      <c r="N81" s="135">
        <f t="shared" si="1"/>
        <v>39500</v>
      </c>
      <c r="O81" s="124"/>
      <c r="P81" s="130"/>
    </row>
    <row r="82" spans="1:16" ht="30" customHeight="1" x14ac:dyDescent="0.3">
      <c r="A82" s="131" t="s">
        <v>548</v>
      </c>
      <c r="B82" s="131" t="s">
        <v>549</v>
      </c>
      <c r="C82" s="132" t="s">
        <v>1611</v>
      </c>
      <c r="D82" s="123">
        <v>0</v>
      </c>
      <c r="E82" s="128" t="s">
        <v>5</v>
      </c>
      <c r="F82" s="127">
        <v>0</v>
      </c>
      <c r="G82" s="128" t="s">
        <v>5</v>
      </c>
      <c r="H82" s="127">
        <v>0</v>
      </c>
      <c r="I82" s="128" t="s">
        <v>5</v>
      </c>
      <c r="J82" s="127">
        <v>41000</v>
      </c>
      <c r="K82" s="128" t="s">
        <v>1961</v>
      </c>
      <c r="L82" s="127">
        <v>0</v>
      </c>
      <c r="M82" s="128" t="s">
        <v>5</v>
      </c>
      <c r="N82" s="135">
        <f t="shared" si="1"/>
        <v>41000</v>
      </c>
      <c r="O82" s="124"/>
      <c r="P82" s="130"/>
    </row>
    <row r="83" spans="1:16" ht="30" customHeight="1" x14ac:dyDescent="0.3">
      <c r="A83" s="131" t="s">
        <v>548</v>
      </c>
      <c r="B83" s="131" t="s">
        <v>550</v>
      </c>
      <c r="C83" s="132" t="s">
        <v>1611</v>
      </c>
      <c r="D83" s="123">
        <v>0</v>
      </c>
      <c r="E83" s="128" t="s">
        <v>5</v>
      </c>
      <c r="F83" s="127">
        <v>0</v>
      </c>
      <c r="G83" s="128" t="s">
        <v>5</v>
      </c>
      <c r="H83" s="127">
        <v>0</v>
      </c>
      <c r="I83" s="128" t="s">
        <v>5</v>
      </c>
      <c r="J83" s="127">
        <v>58600</v>
      </c>
      <c r="K83" s="128" t="s">
        <v>1961</v>
      </c>
      <c r="L83" s="127">
        <v>0</v>
      </c>
      <c r="M83" s="128" t="s">
        <v>5</v>
      </c>
      <c r="N83" s="135">
        <f t="shared" si="1"/>
        <v>58600</v>
      </c>
      <c r="O83" s="124"/>
      <c r="P83" s="130"/>
    </row>
    <row r="84" spans="1:16" ht="30" customHeight="1" x14ac:dyDescent="0.3">
      <c r="A84" s="131" t="s">
        <v>548</v>
      </c>
      <c r="B84" s="131" t="s">
        <v>551</v>
      </c>
      <c r="C84" s="132" t="s">
        <v>1611</v>
      </c>
      <c r="D84" s="123">
        <v>0</v>
      </c>
      <c r="E84" s="128" t="s">
        <v>5</v>
      </c>
      <c r="F84" s="127">
        <v>0</v>
      </c>
      <c r="G84" s="128" t="s">
        <v>5</v>
      </c>
      <c r="H84" s="127">
        <v>0</v>
      </c>
      <c r="I84" s="128" t="s">
        <v>5</v>
      </c>
      <c r="J84" s="127">
        <v>72000</v>
      </c>
      <c r="K84" s="128" t="s">
        <v>1961</v>
      </c>
      <c r="L84" s="127">
        <v>0</v>
      </c>
      <c r="M84" s="128" t="s">
        <v>5</v>
      </c>
      <c r="N84" s="135">
        <f t="shared" si="1"/>
        <v>72000</v>
      </c>
      <c r="O84" s="124"/>
      <c r="P84" s="130"/>
    </row>
    <row r="85" spans="1:16" ht="30" customHeight="1" x14ac:dyDescent="0.3">
      <c r="A85" s="131" t="s">
        <v>548</v>
      </c>
      <c r="B85" s="131" t="s">
        <v>538</v>
      </c>
      <c r="C85" s="132" t="s">
        <v>1611</v>
      </c>
      <c r="D85" s="123">
        <v>0</v>
      </c>
      <c r="E85" s="128" t="s">
        <v>5</v>
      </c>
      <c r="F85" s="127">
        <v>0</v>
      </c>
      <c r="G85" s="128" t="s">
        <v>5</v>
      </c>
      <c r="H85" s="127">
        <v>0</v>
      </c>
      <c r="I85" s="128" t="s">
        <v>5</v>
      </c>
      <c r="J85" s="127">
        <v>73500</v>
      </c>
      <c r="K85" s="128" t="s">
        <v>1961</v>
      </c>
      <c r="L85" s="127">
        <v>0</v>
      </c>
      <c r="M85" s="128" t="s">
        <v>5</v>
      </c>
      <c r="N85" s="135">
        <f t="shared" si="1"/>
        <v>73500</v>
      </c>
      <c r="O85" s="124"/>
      <c r="P85" s="130"/>
    </row>
    <row r="86" spans="1:16" ht="30" customHeight="1" x14ac:dyDescent="0.3">
      <c r="A86" s="131" t="s">
        <v>548</v>
      </c>
      <c r="B86" s="131" t="s">
        <v>552</v>
      </c>
      <c r="C86" s="132" t="s">
        <v>1611</v>
      </c>
      <c r="D86" s="123">
        <v>0</v>
      </c>
      <c r="E86" s="128" t="s">
        <v>5</v>
      </c>
      <c r="F86" s="127">
        <v>0</v>
      </c>
      <c r="G86" s="128" t="s">
        <v>5</v>
      </c>
      <c r="H86" s="127">
        <v>0</v>
      </c>
      <c r="I86" s="128" t="s">
        <v>5</v>
      </c>
      <c r="J86" s="127">
        <v>75000</v>
      </c>
      <c r="K86" s="128" t="s">
        <v>1961</v>
      </c>
      <c r="L86" s="127">
        <v>0</v>
      </c>
      <c r="M86" s="128" t="s">
        <v>5</v>
      </c>
      <c r="N86" s="135">
        <f t="shared" si="1"/>
        <v>75000</v>
      </c>
      <c r="O86" s="124"/>
      <c r="P86" s="130"/>
    </row>
    <row r="87" spans="1:16" ht="30" customHeight="1" x14ac:dyDescent="0.3">
      <c r="A87" s="131" t="s">
        <v>548</v>
      </c>
      <c r="B87" s="131" t="s">
        <v>553</v>
      </c>
      <c r="C87" s="132" t="s">
        <v>1611</v>
      </c>
      <c r="D87" s="123">
        <v>0</v>
      </c>
      <c r="E87" s="128" t="s">
        <v>5</v>
      </c>
      <c r="F87" s="127">
        <v>0</v>
      </c>
      <c r="G87" s="128" t="s">
        <v>5</v>
      </c>
      <c r="H87" s="127">
        <v>0</v>
      </c>
      <c r="I87" s="128" t="s">
        <v>5</v>
      </c>
      <c r="J87" s="127">
        <v>90300</v>
      </c>
      <c r="K87" s="128" t="s">
        <v>1961</v>
      </c>
      <c r="L87" s="127">
        <v>0</v>
      </c>
      <c r="M87" s="128" t="s">
        <v>5</v>
      </c>
      <c r="N87" s="135">
        <f t="shared" si="1"/>
        <v>90300</v>
      </c>
      <c r="O87" s="124"/>
      <c r="P87" s="130"/>
    </row>
    <row r="88" spans="1:16" ht="30" customHeight="1" x14ac:dyDescent="0.3">
      <c r="A88" s="131" t="s">
        <v>548</v>
      </c>
      <c r="B88" s="131" t="s">
        <v>539</v>
      </c>
      <c r="C88" s="132" t="s">
        <v>1611</v>
      </c>
      <c r="D88" s="123">
        <v>0</v>
      </c>
      <c r="E88" s="128" t="s">
        <v>5</v>
      </c>
      <c r="F88" s="127">
        <v>0</v>
      </c>
      <c r="G88" s="128" t="s">
        <v>5</v>
      </c>
      <c r="H88" s="127">
        <v>0</v>
      </c>
      <c r="I88" s="128" t="s">
        <v>5</v>
      </c>
      <c r="J88" s="127">
        <v>113200</v>
      </c>
      <c r="K88" s="128" t="s">
        <v>1961</v>
      </c>
      <c r="L88" s="127">
        <v>0</v>
      </c>
      <c r="M88" s="128" t="s">
        <v>5</v>
      </c>
      <c r="N88" s="135">
        <f t="shared" si="1"/>
        <v>113200</v>
      </c>
      <c r="O88" s="124"/>
      <c r="P88" s="130"/>
    </row>
    <row r="89" spans="1:16" ht="30" customHeight="1" x14ac:dyDescent="0.3">
      <c r="A89" s="131" t="s">
        <v>548</v>
      </c>
      <c r="B89" s="131" t="s">
        <v>554</v>
      </c>
      <c r="C89" s="132" t="s">
        <v>1611</v>
      </c>
      <c r="D89" s="123">
        <v>0</v>
      </c>
      <c r="E89" s="128" t="s">
        <v>5</v>
      </c>
      <c r="F89" s="127">
        <v>0</v>
      </c>
      <c r="G89" s="128" t="s">
        <v>5</v>
      </c>
      <c r="H89" s="127">
        <v>0</v>
      </c>
      <c r="I89" s="128" t="s">
        <v>5</v>
      </c>
      <c r="J89" s="127">
        <v>136100</v>
      </c>
      <c r="K89" s="128" t="s">
        <v>1961</v>
      </c>
      <c r="L89" s="127">
        <v>0</v>
      </c>
      <c r="M89" s="128" t="s">
        <v>5</v>
      </c>
      <c r="N89" s="135">
        <f t="shared" si="1"/>
        <v>136100</v>
      </c>
      <c r="O89" s="124"/>
      <c r="P89" s="130"/>
    </row>
    <row r="90" spans="1:16" ht="30" customHeight="1" x14ac:dyDescent="0.3">
      <c r="A90" s="131" t="s">
        <v>548</v>
      </c>
      <c r="B90" s="131" t="s">
        <v>540</v>
      </c>
      <c r="C90" s="132" t="s">
        <v>1611</v>
      </c>
      <c r="D90" s="123">
        <v>0</v>
      </c>
      <c r="E90" s="128" t="s">
        <v>5</v>
      </c>
      <c r="F90" s="127">
        <v>0</v>
      </c>
      <c r="G90" s="128" t="s">
        <v>5</v>
      </c>
      <c r="H90" s="127">
        <v>0</v>
      </c>
      <c r="I90" s="128" t="s">
        <v>5</v>
      </c>
      <c r="J90" s="127">
        <v>163300</v>
      </c>
      <c r="K90" s="128" t="s">
        <v>1961</v>
      </c>
      <c r="L90" s="127">
        <v>0</v>
      </c>
      <c r="M90" s="128" t="s">
        <v>5</v>
      </c>
      <c r="N90" s="135">
        <f t="shared" si="1"/>
        <v>163300</v>
      </c>
      <c r="O90" s="124"/>
      <c r="P90" s="130"/>
    </row>
    <row r="91" spans="1:16" ht="30" customHeight="1" x14ac:dyDescent="0.3">
      <c r="A91" s="131" t="s">
        <v>548</v>
      </c>
      <c r="B91" s="131" t="s">
        <v>555</v>
      </c>
      <c r="C91" s="132" t="s">
        <v>1611</v>
      </c>
      <c r="D91" s="123">
        <v>0</v>
      </c>
      <c r="E91" s="128" t="s">
        <v>5</v>
      </c>
      <c r="F91" s="127">
        <v>0</v>
      </c>
      <c r="G91" s="128" t="s">
        <v>5</v>
      </c>
      <c r="H91" s="127">
        <v>0</v>
      </c>
      <c r="I91" s="128" t="s">
        <v>5</v>
      </c>
      <c r="J91" s="127">
        <v>208400</v>
      </c>
      <c r="K91" s="128" t="s">
        <v>1961</v>
      </c>
      <c r="L91" s="127">
        <v>0</v>
      </c>
      <c r="M91" s="128" t="s">
        <v>5</v>
      </c>
      <c r="N91" s="135">
        <f t="shared" si="1"/>
        <v>208400</v>
      </c>
      <c r="O91" s="124"/>
      <c r="P91" s="130"/>
    </row>
    <row r="92" spans="1:16" ht="30" customHeight="1" x14ac:dyDescent="0.3">
      <c r="A92" s="131" t="s">
        <v>548</v>
      </c>
      <c r="B92" s="131" t="s">
        <v>541</v>
      </c>
      <c r="C92" s="132" t="s">
        <v>1611</v>
      </c>
      <c r="D92" s="123">
        <v>0</v>
      </c>
      <c r="E92" s="128" t="s">
        <v>5</v>
      </c>
      <c r="F92" s="127">
        <v>0</v>
      </c>
      <c r="G92" s="128" t="s">
        <v>5</v>
      </c>
      <c r="H92" s="127">
        <v>0</v>
      </c>
      <c r="I92" s="128" t="s">
        <v>5</v>
      </c>
      <c r="J92" s="127">
        <v>267400</v>
      </c>
      <c r="K92" s="128" t="s">
        <v>1961</v>
      </c>
      <c r="L92" s="127">
        <v>0</v>
      </c>
      <c r="M92" s="128" t="s">
        <v>5</v>
      </c>
      <c r="N92" s="135">
        <f t="shared" si="1"/>
        <v>267400</v>
      </c>
      <c r="O92" s="124"/>
      <c r="P92" s="130"/>
    </row>
    <row r="93" spans="1:16" ht="30" customHeight="1" x14ac:dyDescent="0.3">
      <c r="A93" s="131" t="s">
        <v>556</v>
      </c>
      <c r="B93" s="131" t="s">
        <v>536</v>
      </c>
      <c r="C93" s="132" t="s">
        <v>1611</v>
      </c>
      <c r="D93" s="123">
        <v>0</v>
      </c>
      <c r="E93" s="128" t="s">
        <v>5</v>
      </c>
      <c r="F93" s="127">
        <v>0</v>
      </c>
      <c r="G93" s="128" t="s">
        <v>5</v>
      </c>
      <c r="H93" s="127">
        <v>0</v>
      </c>
      <c r="I93" s="128" t="s">
        <v>5</v>
      </c>
      <c r="J93" s="127">
        <v>51500</v>
      </c>
      <c r="K93" s="128" t="s">
        <v>1961</v>
      </c>
      <c r="L93" s="127">
        <v>0</v>
      </c>
      <c r="M93" s="128" t="s">
        <v>5</v>
      </c>
      <c r="N93" s="135">
        <f t="shared" si="1"/>
        <v>51500</v>
      </c>
      <c r="O93" s="124"/>
      <c r="P93" s="130"/>
    </row>
    <row r="94" spans="1:16" ht="30" customHeight="1" x14ac:dyDescent="0.3">
      <c r="A94" s="131" t="s">
        <v>556</v>
      </c>
      <c r="B94" s="131" t="s">
        <v>549</v>
      </c>
      <c r="C94" s="132" t="s">
        <v>1611</v>
      </c>
      <c r="D94" s="123">
        <v>0</v>
      </c>
      <c r="E94" s="128" t="s">
        <v>5</v>
      </c>
      <c r="F94" s="127">
        <v>0</v>
      </c>
      <c r="G94" s="128" t="s">
        <v>5</v>
      </c>
      <c r="H94" s="127">
        <v>0</v>
      </c>
      <c r="I94" s="128" t="s">
        <v>5</v>
      </c>
      <c r="J94" s="127">
        <v>53000</v>
      </c>
      <c r="K94" s="128" t="s">
        <v>1961</v>
      </c>
      <c r="L94" s="127">
        <v>0</v>
      </c>
      <c r="M94" s="128" t="s">
        <v>5</v>
      </c>
      <c r="N94" s="135">
        <f t="shared" si="1"/>
        <v>53000</v>
      </c>
      <c r="O94" s="124"/>
      <c r="P94" s="130"/>
    </row>
    <row r="95" spans="1:16" ht="30" customHeight="1" x14ac:dyDescent="0.3">
      <c r="A95" s="131" t="s">
        <v>556</v>
      </c>
      <c r="B95" s="131" t="s">
        <v>550</v>
      </c>
      <c r="C95" s="132" t="s">
        <v>1611</v>
      </c>
      <c r="D95" s="123">
        <v>0</v>
      </c>
      <c r="E95" s="128" t="s">
        <v>5</v>
      </c>
      <c r="F95" s="127">
        <v>0</v>
      </c>
      <c r="G95" s="128" t="s">
        <v>5</v>
      </c>
      <c r="H95" s="127">
        <v>0</v>
      </c>
      <c r="I95" s="128" t="s">
        <v>5</v>
      </c>
      <c r="J95" s="127">
        <v>61000</v>
      </c>
      <c r="K95" s="128" t="s">
        <v>1961</v>
      </c>
      <c r="L95" s="127">
        <v>0</v>
      </c>
      <c r="M95" s="128" t="s">
        <v>5</v>
      </c>
      <c r="N95" s="135">
        <f t="shared" si="1"/>
        <v>61000</v>
      </c>
      <c r="O95" s="124"/>
      <c r="P95" s="130"/>
    </row>
    <row r="96" spans="1:16" ht="30" customHeight="1" x14ac:dyDescent="0.3">
      <c r="A96" s="131" t="s">
        <v>556</v>
      </c>
      <c r="B96" s="131" t="s">
        <v>551</v>
      </c>
      <c r="C96" s="132" t="s">
        <v>1611</v>
      </c>
      <c r="D96" s="123">
        <v>0</v>
      </c>
      <c r="E96" s="128" t="s">
        <v>5</v>
      </c>
      <c r="F96" s="127">
        <v>0</v>
      </c>
      <c r="G96" s="128" t="s">
        <v>5</v>
      </c>
      <c r="H96" s="127">
        <v>0</v>
      </c>
      <c r="I96" s="128" t="s">
        <v>5</v>
      </c>
      <c r="J96" s="127">
        <v>80100</v>
      </c>
      <c r="K96" s="128" t="s">
        <v>1961</v>
      </c>
      <c r="L96" s="127">
        <v>0</v>
      </c>
      <c r="M96" s="128" t="s">
        <v>5</v>
      </c>
      <c r="N96" s="135">
        <f t="shared" si="1"/>
        <v>80100</v>
      </c>
      <c r="O96" s="124"/>
      <c r="P96" s="130"/>
    </row>
    <row r="97" spans="1:16" ht="30" customHeight="1" x14ac:dyDescent="0.3">
      <c r="A97" s="131" t="s">
        <v>556</v>
      </c>
      <c r="B97" s="131" t="s">
        <v>538</v>
      </c>
      <c r="C97" s="132" t="s">
        <v>1611</v>
      </c>
      <c r="D97" s="123">
        <v>0</v>
      </c>
      <c r="E97" s="128" t="s">
        <v>5</v>
      </c>
      <c r="F97" s="127">
        <v>0</v>
      </c>
      <c r="G97" s="128" t="s">
        <v>5</v>
      </c>
      <c r="H97" s="127">
        <v>0</v>
      </c>
      <c r="I97" s="128" t="s">
        <v>5</v>
      </c>
      <c r="J97" s="127">
        <v>81600</v>
      </c>
      <c r="K97" s="128" t="s">
        <v>1961</v>
      </c>
      <c r="L97" s="127">
        <v>0</v>
      </c>
      <c r="M97" s="128" t="s">
        <v>5</v>
      </c>
      <c r="N97" s="135">
        <f t="shared" si="1"/>
        <v>81600</v>
      </c>
      <c r="O97" s="124"/>
      <c r="P97" s="130"/>
    </row>
    <row r="98" spans="1:16" ht="30" customHeight="1" x14ac:dyDescent="0.3">
      <c r="A98" s="131" t="s">
        <v>556</v>
      </c>
      <c r="B98" s="131" t="s">
        <v>552</v>
      </c>
      <c r="C98" s="132" t="s">
        <v>1611</v>
      </c>
      <c r="D98" s="123">
        <v>0</v>
      </c>
      <c r="E98" s="128" t="s">
        <v>5</v>
      </c>
      <c r="F98" s="127">
        <v>0</v>
      </c>
      <c r="G98" s="128" t="s">
        <v>5</v>
      </c>
      <c r="H98" s="127">
        <v>0</v>
      </c>
      <c r="I98" s="128" t="s">
        <v>5</v>
      </c>
      <c r="J98" s="127">
        <v>83100</v>
      </c>
      <c r="K98" s="128" t="s">
        <v>1961</v>
      </c>
      <c r="L98" s="127">
        <v>0</v>
      </c>
      <c r="M98" s="128" t="s">
        <v>5</v>
      </c>
      <c r="N98" s="135">
        <f t="shared" si="1"/>
        <v>83100</v>
      </c>
      <c r="O98" s="124"/>
      <c r="P98" s="130"/>
    </row>
    <row r="99" spans="1:16" ht="30" customHeight="1" x14ac:dyDescent="0.3">
      <c r="A99" s="131" t="s">
        <v>556</v>
      </c>
      <c r="B99" s="131" t="s">
        <v>553</v>
      </c>
      <c r="C99" s="132" t="s">
        <v>1611</v>
      </c>
      <c r="D99" s="123">
        <v>0</v>
      </c>
      <c r="E99" s="128" t="s">
        <v>5</v>
      </c>
      <c r="F99" s="127">
        <v>0</v>
      </c>
      <c r="G99" s="128" t="s">
        <v>5</v>
      </c>
      <c r="H99" s="127">
        <v>0</v>
      </c>
      <c r="I99" s="128" t="s">
        <v>5</v>
      </c>
      <c r="J99" s="127">
        <v>97200</v>
      </c>
      <c r="K99" s="128" t="s">
        <v>1961</v>
      </c>
      <c r="L99" s="127">
        <v>0</v>
      </c>
      <c r="M99" s="128" t="s">
        <v>5</v>
      </c>
      <c r="N99" s="135">
        <f t="shared" si="1"/>
        <v>97200</v>
      </c>
      <c r="O99" s="124"/>
      <c r="P99" s="130"/>
    </row>
    <row r="100" spans="1:16" ht="30" customHeight="1" x14ac:dyDescent="0.3">
      <c r="A100" s="131" t="s">
        <v>556</v>
      </c>
      <c r="B100" s="131" t="s">
        <v>539</v>
      </c>
      <c r="C100" s="132" t="s">
        <v>1611</v>
      </c>
      <c r="D100" s="123">
        <v>0</v>
      </c>
      <c r="E100" s="128" t="s">
        <v>5</v>
      </c>
      <c r="F100" s="127">
        <v>0</v>
      </c>
      <c r="G100" s="128" t="s">
        <v>5</v>
      </c>
      <c r="H100" s="127">
        <v>0</v>
      </c>
      <c r="I100" s="128" t="s">
        <v>5</v>
      </c>
      <c r="J100" s="127">
        <v>116900</v>
      </c>
      <c r="K100" s="128" t="s">
        <v>1961</v>
      </c>
      <c r="L100" s="127">
        <v>0</v>
      </c>
      <c r="M100" s="128" t="s">
        <v>5</v>
      </c>
      <c r="N100" s="135">
        <f t="shared" si="1"/>
        <v>116900</v>
      </c>
      <c r="O100" s="124"/>
      <c r="P100" s="130"/>
    </row>
    <row r="101" spans="1:16" ht="30" customHeight="1" x14ac:dyDescent="0.3">
      <c r="A101" s="131" t="s">
        <v>556</v>
      </c>
      <c r="B101" s="131" t="s">
        <v>554</v>
      </c>
      <c r="C101" s="132" t="s">
        <v>1611</v>
      </c>
      <c r="D101" s="123">
        <v>0</v>
      </c>
      <c r="E101" s="128" t="s">
        <v>5</v>
      </c>
      <c r="F101" s="127">
        <v>0</v>
      </c>
      <c r="G101" s="128" t="s">
        <v>5</v>
      </c>
      <c r="H101" s="127">
        <v>0</v>
      </c>
      <c r="I101" s="128" t="s">
        <v>5</v>
      </c>
      <c r="J101" s="127">
        <v>142000</v>
      </c>
      <c r="K101" s="128" t="s">
        <v>1961</v>
      </c>
      <c r="L101" s="127">
        <v>0</v>
      </c>
      <c r="M101" s="128" t="s">
        <v>5</v>
      </c>
      <c r="N101" s="135">
        <f t="shared" si="1"/>
        <v>142000</v>
      </c>
      <c r="O101" s="124"/>
      <c r="P101" s="130"/>
    </row>
    <row r="102" spans="1:16" ht="30" customHeight="1" x14ac:dyDescent="0.3">
      <c r="A102" s="131" t="s">
        <v>556</v>
      </c>
      <c r="B102" s="131" t="s">
        <v>540</v>
      </c>
      <c r="C102" s="132" t="s">
        <v>1611</v>
      </c>
      <c r="D102" s="123">
        <v>0</v>
      </c>
      <c r="E102" s="128" t="s">
        <v>5</v>
      </c>
      <c r="F102" s="127">
        <v>0</v>
      </c>
      <c r="G102" s="128" t="s">
        <v>5</v>
      </c>
      <c r="H102" s="127">
        <v>0</v>
      </c>
      <c r="I102" s="128" t="s">
        <v>5</v>
      </c>
      <c r="J102" s="127">
        <v>167200</v>
      </c>
      <c r="K102" s="128" t="s">
        <v>1961</v>
      </c>
      <c r="L102" s="127">
        <v>0</v>
      </c>
      <c r="M102" s="128" t="s">
        <v>5</v>
      </c>
      <c r="N102" s="135">
        <f t="shared" si="1"/>
        <v>167200</v>
      </c>
      <c r="O102" s="124"/>
      <c r="P102" s="130"/>
    </row>
    <row r="103" spans="1:16" ht="30" customHeight="1" x14ac:dyDescent="0.3">
      <c r="A103" s="131" t="s">
        <v>556</v>
      </c>
      <c r="B103" s="131" t="s">
        <v>555</v>
      </c>
      <c r="C103" s="132" t="s">
        <v>1611</v>
      </c>
      <c r="D103" s="123">
        <v>0</v>
      </c>
      <c r="E103" s="128" t="s">
        <v>5</v>
      </c>
      <c r="F103" s="127">
        <v>0</v>
      </c>
      <c r="G103" s="128" t="s">
        <v>5</v>
      </c>
      <c r="H103" s="127">
        <v>0</v>
      </c>
      <c r="I103" s="128" t="s">
        <v>5</v>
      </c>
      <c r="J103" s="127">
        <v>209000</v>
      </c>
      <c r="K103" s="128" t="s">
        <v>1961</v>
      </c>
      <c r="L103" s="127">
        <v>0</v>
      </c>
      <c r="M103" s="128" t="s">
        <v>5</v>
      </c>
      <c r="N103" s="135">
        <f t="shared" si="1"/>
        <v>209000</v>
      </c>
      <c r="O103" s="124"/>
      <c r="P103" s="130"/>
    </row>
    <row r="104" spans="1:16" ht="30" customHeight="1" x14ac:dyDescent="0.3">
      <c r="A104" s="131" t="s">
        <v>556</v>
      </c>
      <c r="B104" s="131" t="s">
        <v>541</v>
      </c>
      <c r="C104" s="132" t="s">
        <v>1611</v>
      </c>
      <c r="D104" s="123">
        <v>0</v>
      </c>
      <c r="E104" s="128" t="s">
        <v>5</v>
      </c>
      <c r="F104" s="127">
        <v>0</v>
      </c>
      <c r="G104" s="128" t="s">
        <v>5</v>
      </c>
      <c r="H104" s="127">
        <v>0</v>
      </c>
      <c r="I104" s="128" t="s">
        <v>5</v>
      </c>
      <c r="J104" s="127">
        <v>252800</v>
      </c>
      <c r="K104" s="128" t="s">
        <v>1961</v>
      </c>
      <c r="L104" s="127">
        <v>0</v>
      </c>
      <c r="M104" s="128" t="s">
        <v>5</v>
      </c>
      <c r="N104" s="135">
        <f t="shared" si="1"/>
        <v>252800</v>
      </c>
      <c r="O104" s="124"/>
      <c r="P104" s="130"/>
    </row>
    <row r="105" spans="1:16" ht="30" customHeight="1" x14ac:dyDescent="0.3">
      <c r="A105" s="131" t="s">
        <v>557</v>
      </c>
      <c r="B105" s="131" t="s">
        <v>536</v>
      </c>
      <c r="C105" s="132" t="s">
        <v>1611</v>
      </c>
      <c r="D105" s="123">
        <v>0</v>
      </c>
      <c r="E105" s="128" t="s">
        <v>5</v>
      </c>
      <c r="F105" s="127">
        <v>0</v>
      </c>
      <c r="G105" s="128" t="s">
        <v>5</v>
      </c>
      <c r="H105" s="127">
        <v>0</v>
      </c>
      <c r="I105" s="128" t="s">
        <v>5</v>
      </c>
      <c r="J105" s="127">
        <v>23500</v>
      </c>
      <c r="K105" s="128" t="s">
        <v>1961</v>
      </c>
      <c r="L105" s="127">
        <v>0</v>
      </c>
      <c r="M105" s="128" t="s">
        <v>5</v>
      </c>
      <c r="N105" s="135">
        <f t="shared" si="1"/>
        <v>23500</v>
      </c>
      <c r="O105" s="124"/>
      <c r="P105" s="130"/>
    </row>
    <row r="106" spans="1:16" ht="30" customHeight="1" x14ac:dyDescent="0.3">
      <c r="A106" s="131" t="s">
        <v>557</v>
      </c>
      <c r="B106" s="131" t="s">
        <v>549</v>
      </c>
      <c r="C106" s="132" t="s">
        <v>1611</v>
      </c>
      <c r="D106" s="123">
        <v>0</v>
      </c>
      <c r="E106" s="128" t="s">
        <v>5</v>
      </c>
      <c r="F106" s="127">
        <v>0</v>
      </c>
      <c r="G106" s="128" t="s">
        <v>5</v>
      </c>
      <c r="H106" s="127">
        <v>0</v>
      </c>
      <c r="I106" s="128" t="s">
        <v>5</v>
      </c>
      <c r="J106" s="127">
        <v>25000</v>
      </c>
      <c r="K106" s="128" t="s">
        <v>1961</v>
      </c>
      <c r="L106" s="127">
        <v>0</v>
      </c>
      <c r="M106" s="128" t="s">
        <v>5</v>
      </c>
      <c r="N106" s="135">
        <f t="shared" si="1"/>
        <v>25000</v>
      </c>
      <c r="O106" s="124"/>
      <c r="P106" s="130"/>
    </row>
    <row r="107" spans="1:16" ht="30" customHeight="1" x14ac:dyDescent="0.3">
      <c r="A107" s="131" t="s">
        <v>557</v>
      </c>
      <c r="B107" s="131" t="s">
        <v>550</v>
      </c>
      <c r="C107" s="132" t="s">
        <v>1611</v>
      </c>
      <c r="D107" s="123">
        <v>0</v>
      </c>
      <c r="E107" s="128" t="s">
        <v>5</v>
      </c>
      <c r="F107" s="127">
        <v>0</v>
      </c>
      <c r="G107" s="128" t="s">
        <v>5</v>
      </c>
      <c r="H107" s="127">
        <v>0</v>
      </c>
      <c r="I107" s="128" t="s">
        <v>5</v>
      </c>
      <c r="J107" s="127">
        <v>34300</v>
      </c>
      <c r="K107" s="128" t="s">
        <v>1961</v>
      </c>
      <c r="L107" s="127">
        <v>0</v>
      </c>
      <c r="M107" s="128" t="s">
        <v>5</v>
      </c>
      <c r="N107" s="135">
        <f t="shared" si="1"/>
        <v>34300</v>
      </c>
      <c r="O107" s="124"/>
      <c r="P107" s="130"/>
    </row>
    <row r="108" spans="1:16" ht="30" customHeight="1" x14ac:dyDescent="0.3">
      <c r="A108" s="131" t="s">
        <v>557</v>
      </c>
      <c r="B108" s="131" t="s">
        <v>551</v>
      </c>
      <c r="C108" s="132" t="s">
        <v>1611</v>
      </c>
      <c r="D108" s="123">
        <v>0</v>
      </c>
      <c r="E108" s="128" t="s">
        <v>5</v>
      </c>
      <c r="F108" s="127">
        <v>0</v>
      </c>
      <c r="G108" s="128" t="s">
        <v>5</v>
      </c>
      <c r="H108" s="127">
        <v>0</v>
      </c>
      <c r="I108" s="128" t="s">
        <v>5</v>
      </c>
      <c r="J108" s="127">
        <v>47900</v>
      </c>
      <c r="K108" s="128" t="s">
        <v>1961</v>
      </c>
      <c r="L108" s="127">
        <v>0</v>
      </c>
      <c r="M108" s="128" t="s">
        <v>5</v>
      </c>
      <c r="N108" s="135">
        <f t="shared" si="1"/>
        <v>47900</v>
      </c>
      <c r="O108" s="124"/>
      <c r="P108" s="130"/>
    </row>
    <row r="109" spans="1:16" ht="30" customHeight="1" x14ac:dyDescent="0.3">
      <c r="A109" s="131" t="s">
        <v>557</v>
      </c>
      <c r="B109" s="131" t="s">
        <v>538</v>
      </c>
      <c r="C109" s="132" t="s">
        <v>1611</v>
      </c>
      <c r="D109" s="123">
        <v>0</v>
      </c>
      <c r="E109" s="128" t="s">
        <v>5</v>
      </c>
      <c r="F109" s="127">
        <v>0</v>
      </c>
      <c r="G109" s="128" t="s">
        <v>5</v>
      </c>
      <c r="H109" s="127">
        <v>0</v>
      </c>
      <c r="I109" s="128" t="s">
        <v>5</v>
      </c>
      <c r="J109" s="127">
        <v>49400</v>
      </c>
      <c r="K109" s="128" t="s">
        <v>1961</v>
      </c>
      <c r="L109" s="127">
        <v>0</v>
      </c>
      <c r="M109" s="128" t="s">
        <v>5</v>
      </c>
      <c r="N109" s="135">
        <f t="shared" si="1"/>
        <v>49400</v>
      </c>
      <c r="O109" s="124"/>
      <c r="P109" s="130"/>
    </row>
    <row r="110" spans="1:16" ht="30" customHeight="1" x14ac:dyDescent="0.3">
      <c r="A110" s="131" t="s">
        <v>557</v>
      </c>
      <c r="B110" s="131" t="s">
        <v>552</v>
      </c>
      <c r="C110" s="132" t="s">
        <v>1611</v>
      </c>
      <c r="D110" s="123">
        <v>0</v>
      </c>
      <c r="E110" s="128" t="s">
        <v>5</v>
      </c>
      <c r="F110" s="127">
        <v>0</v>
      </c>
      <c r="G110" s="128" t="s">
        <v>5</v>
      </c>
      <c r="H110" s="127">
        <v>0</v>
      </c>
      <c r="I110" s="128" t="s">
        <v>5</v>
      </c>
      <c r="J110" s="127">
        <v>50900</v>
      </c>
      <c r="K110" s="128" t="s">
        <v>1961</v>
      </c>
      <c r="L110" s="127">
        <v>0</v>
      </c>
      <c r="M110" s="128" t="s">
        <v>5</v>
      </c>
      <c r="N110" s="135">
        <f t="shared" si="1"/>
        <v>50900</v>
      </c>
      <c r="O110" s="124"/>
      <c r="P110" s="130"/>
    </row>
    <row r="111" spans="1:16" ht="30" customHeight="1" x14ac:dyDescent="0.3">
      <c r="A111" s="131" t="s">
        <v>557</v>
      </c>
      <c r="B111" s="131" t="s">
        <v>553</v>
      </c>
      <c r="C111" s="132" t="s">
        <v>1611</v>
      </c>
      <c r="D111" s="123">
        <v>0</v>
      </c>
      <c r="E111" s="128" t="s">
        <v>5</v>
      </c>
      <c r="F111" s="127">
        <v>0</v>
      </c>
      <c r="G111" s="128" t="s">
        <v>5</v>
      </c>
      <c r="H111" s="127">
        <v>0</v>
      </c>
      <c r="I111" s="128" t="s">
        <v>5</v>
      </c>
      <c r="J111" s="127">
        <v>62800</v>
      </c>
      <c r="K111" s="128" t="s">
        <v>1961</v>
      </c>
      <c r="L111" s="127">
        <v>0</v>
      </c>
      <c r="M111" s="128" t="s">
        <v>5</v>
      </c>
      <c r="N111" s="135">
        <f t="shared" si="1"/>
        <v>62800</v>
      </c>
      <c r="O111" s="124"/>
      <c r="P111" s="130"/>
    </row>
    <row r="112" spans="1:16" ht="30" customHeight="1" x14ac:dyDescent="0.3">
      <c r="A112" s="131" t="s">
        <v>557</v>
      </c>
      <c r="B112" s="131" t="s">
        <v>539</v>
      </c>
      <c r="C112" s="132" t="s">
        <v>1611</v>
      </c>
      <c r="D112" s="123">
        <v>0</v>
      </c>
      <c r="E112" s="128" t="s">
        <v>5</v>
      </c>
      <c r="F112" s="127">
        <v>0</v>
      </c>
      <c r="G112" s="128" t="s">
        <v>5</v>
      </c>
      <c r="H112" s="127">
        <v>0</v>
      </c>
      <c r="I112" s="128" t="s">
        <v>5</v>
      </c>
      <c r="J112" s="127">
        <v>79100</v>
      </c>
      <c r="K112" s="128" t="s">
        <v>1961</v>
      </c>
      <c r="L112" s="127">
        <v>0</v>
      </c>
      <c r="M112" s="128" t="s">
        <v>5</v>
      </c>
      <c r="N112" s="135">
        <f t="shared" si="1"/>
        <v>79100</v>
      </c>
      <c r="O112" s="124"/>
      <c r="P112" s="130"/>
    </row>
    <row r="113" spans="1:16" ht="30" customHeight="1" x14ac:dyDescent="0.3">
      <c r="A113" s="131" t="s">
        <v>557</v>
      </c>
      <c r="B113" s="131" t="s">
        <v>554</v>
      </c>
      <c r="C113" s="132" t="s">
        <v>1611</v>
      </c>
      <c r="D113" s="123">
        <v>0</v>
      </c>
      <c r="E113" s="128" t="s">
        <v>5</v>
      </c>
      <c r="F113" s="127">
        <v>0</v>
      </c>
      <c r="G113" s="128" t="s">
        <v>5</v>
      </c>
      <c r="H113" s="127">
        <v>0</v>
      </c>
      <c r="I113" s="128" t="s">
        <v>5</v>
      </c>
      <c r="J113" s="127">
        <v>92100</v>
      </c>
      <c r="K113" s="128" t="s">
        <v>1961</v>
      </c>
      <c r="L113" s="127">
        <v>0</v>
      </c>
      <c r="M113" s="128" t="s">
        <v>5</v>
      </c>
      <c r="N113" s="135">
        <f t="shared" si="1"/>
        <v>92100</v>
      </c>
      <c r="O113" s="124"/>
      <c r="P113" s="130"/>
    </row>
    <row r="114" spans="1:16" ht="30" customHeight="1" x14ac:dyDescent="0.3">
      <c r="A114" s="131" t="s">
        <v>557</v>
      </c>
      <c r="B114" s="131" t="s">
        <v>540</v>
      </c>
      <c r="C114" s="132" t="s">
        <v>1611</v>
      </c>
      <c r="D114" s="123">
        <v>0</v>
      </c>
      <c r="E114" s="128" t="s">
        <v>5</v>
      </c>
      <c r="F114" s="127">
        <v>0</v>
      </c>
      <c r="G114" s="128" t="s">
        <v>5</v>
      </c>
      <c r="H114" s="127">
        <v>0</v>
      </c>
      <c r="I114" s="128" t="s">
        <v>5</v>
      </c>
      <c r="J114" s="127">
        <v>113900</v>
      </c>
      <c r="K114" s="128" t="s">
        <v>1961</v>
      </c>
      <c r="L114" s="127">
        <v>0</v>
      </c>
      <c r="M114" s="128" t="s">
        <v>5</v>
      </c>
      <c r="N114" s="135">
        <f t="shared" si="1"/>
        <v>113900</v>
      </c>
      <c r="O114" s="124"/>
      <c r="P114" s="130"/>
    </row>
    <row r="115" spans="1:16" ht="30" customHeight="1" x14ac:dyDescent="0.3">
      <c r="A115" s="131" t="s">
        <v>557</v>
      </c>
      <c r="B115" s="131" t="s">
        <v>555</v>
      </c>
      <c r="C115" s="132" t="s">
        <v>1611</v>
      </c>
      <c r="D115" s="123">
        <v>0</v>
      </c>
      <c r="E115" s="128" t="s">
        <v>5</v>
      </c>
      <c r="F115" s="127">
        <v>0</v>
      </c>
      <c r="G115" s="128" t="s">
        <v>5</v>
      </c>
      <c r="H115" s="127">
        <v>0</v>
      </c>
      <c r="I115" s="128" t="s">
        <v>5</v>
      </c>
      <c r="J115" s="127">
        <v>157900</v>
      </c>
      <c r="K115" s="128" t="s">
        <v>1961</v>
      </c>
      <c r="L115" s="127">
        <v>0</v>
      </c>
      <c r="M115" s="128" t="s">
        <v>5</v>
      </c>
      <c r="N115" s="135">
        <f t="shared" si="1"/>
        <v>157900</v>
      </c>
      <c r="O115" s="124"/>
      <c r="P115" s="130"/>
    </row>
    <row r="116" spans="1:16" ht="30" customHeight="1" x14ac:dyDescent="0.3">
      <c r="A116" s="131" t="s">
        <v>557</v>
      </c>
      <c r="B116" s="131" t="s">
        <v>541</v>
      </c>
      <c r="C116" s="132" t="s">
        <v>1611</v>
      </c>
      <c r="D116" s="123">
        <v>0</v>
      </c>
      <c r="E116" s="128" t="s">
        <v>5</v>
      </c>
      <c r="F116" s="127">
        <v>0</v>
      </c>
      <c r="G116" s="128" t="s">
        <v>5</v>
      </c>
      <c r="H116" s="127">
        <v>0</v>
      </c>
      <c r="I116" s="128" t="s">
        <v>5</v>
      </c>
      <c r="J116" s="127">
        <v>199500</v>
      </c>
      <c r="K116" s="128" t="s">
        <v>1961</v>
      </c>
      <c r="L116" s="127">
        <v>0</v>
      </c>
      <c r="M116" s="128" t="s">
        <v>5</v>
      </c>
      <c r="N116" s="135">
        <f t="shared" si="1"/>
        <v>199500</v>
      </c>
      <c r="O116" s="124"/>
      <c r="P116" s="130"/>
    </row>
    <row r="117" spans="1:16" ht="30" customHeight="1" x14ac:dyDescent="0.3">
      <c r="A117" s="131" t="s">
        <v>564</v>
      </c>
      <c r="B117" s="131" t="s">
        <v>2675</v>
      </c>
      <c r="C117" s="132" t="s">
        <v>12</v>
      </c>
      <c r="D117" s="134">
        <v>60264</v>
      </c>
      <c r="E117" s="131" t="s">
        <v>5</v>
      </c>
      <c r="F117" s="127">
        <v>0</v>
      </c>
      <c r="G117" s="124" t="s">
        <v>5</v>
      </c>
      <c r="H117" s="127">
        <v>0</v>
      </c>
      <c r="I117" s="124" t="s">
        <v>5</v>
      </c>
      <c r="J117" s="126">
        <v>66000</v>
      </c>
      <c r="K117" s="128" t="s">
        <v>1961</v>
      </c>
      <c r="L117" s="127">
        <v>96940</v>
      </c>
      <c r="M117" s="128" t="s">
        <v>2374</v>
      </c>
      <c r="N117" s="129">
        <f>SMALL(D117:L117,COUNTIF(D117:L117,0)+1)</f>
        <v>60264</v>
      </c>
      <c r="O117" s="124"/>
      <c r="P117" s="131" t="s">
        <v>5</v>
      </c>
    </row>
    <row r="118" spans="1:16" ht="30" customHeight="1" x14ac:dyDescent="0.3">
      <c r="A118" s="131" t="s">
        <v>564</v>
      </c>
      <c r="B118" s="131" t="s">
        <v>2676</v>
      </c>
      <c r="C118" s="132" t="s">
        <v>12</v>
      </c>
      <c r="D118" s="134">
        <v>72564</v>
      </c>
      <c r="E118" s="131" t="s">
        <v>5</v>
      </c>
      <c r="F118" s="127">
        <v>0</v>
      </c>
      <c r="G118" s="124" t="s">
        <v>5</v>
      </c>
      <c r="H118" s="127">
        <v>0</v>
      </c>
      <c r="I118" s="124" t="s">
        <v>5</v>
      </c>
      <c r="J118" s="126">
        <v>98200</v>
      </c>
      <c r="K118" s="128" t="s">
        <v>1961</v>
      </c>
      <c r="L118" s="127">
        <v>141520</v>
      </c>
      <c r="M118" s="128" t="s">
        <v>2374</v>
      </c>
      <c r="N118" s="129">
        <f t="shared" ref="N118:N121" si="2">SMALL(D118:L118,COUNTIF(D118:L118,0)+1)</f>
        <v>72564</v>
      </c>
      <c r="O118" s="124"/>
      <c r="P118" s="131" t="s">
        <v>5</v>
      </c>
    </row>
    <row r="119" spans="1:16" ht="30" customHeight="1" x14ac:dyDescent="0.3">
      <c r="A119" s="131" t="s">
        <v>564</v>
      </c>
      <c r="B119" s="131" t="s">
        <v>2677</v>
      </c>
      <c r="C119" s="132" t="s">
        <v>12</v>
      </c>
      <c r="D119" s="134">
        <v>99863</v>
      </c>
      <c r="E119" s="131" t="s">
        <v>5</v>
      </c>
      <c r="F119" s="127">
        <v>0</v>
      </c>
      <c r="G119" s="124" t="s">
        <v>5</v>
      </c>
      <c r="H119" s="127">
        <v>0</v>
      </c>
      <c r="I119" s="124" t="s">
        <v>5</v>
      </c>
      <c r="J119" s="126">
        <v>133300</v>
      </c>
      <c r="K119" s="128" t="s">
        <v>1961</v>
      </c>
      <c r="L119" s="127">
        <v>198020</v>
      </c>
      <c r="M119" s="128" t="s">
        <v>2374</v>
      </c>
      <c r="N119" s="129">
        <f t="shared" si="2"/>
        <v>99863</v>
      </c>
      <c r="O119" s="124"/>
      <c r="P119" s="131" t="s">
        <v>5</v>
      </c>
    </row>
    <row r="120" spans="1:16" ht="30" customHeight="1" x14ac:dyDescent="0.3">
      <c r="A120" s="131" t="s">
        <v>564</v>
      </c>
      <c r="B120" s="131" t="s">
        <v>2678</v>
      </c>
      <c r="C120" s="132" t="s">
        <v>12</v>
      </c>
      <c r="D120" s="134">
        <v>127045</v>
      </c>
      <c r="E120" s="131" t="s">
        <v>5</v>
      </c>
      <c r="F120" s="127">
        <v>0</v>
      </c>
      <c r="G120" s="124" t="s">
        <v>5</v>
      </c>
      <c r="H120" s="127">
        <v>0</v>
      </c>
      <c r="I120" s="124" t="s">
        <v>5</v>
      </c>
      <c r="J120" s="126">
        <v>170900</v>
      </c>
      <c r="K120" s="128" t="s">
        <v>1961</v>
      </c>
      <c r="L120" s="127">
        <v>266800</v>
      </c>
      <c r="M120" s="128" t="s">
        <v>2374</v>
      </c>
      <c r="N120" s="129">
        <f t="shared" si="2"/>
        <v>127045</v>
      </c>
      <c r="O120" s="124"/>
      <c r="P120" s="131" t="s">
        <v>5</v>
      </c>
    </row>
    <row r="121" spans="1:16" ht="30" customHeight="1" x14ac:dyDescent="0.3">
      <c r="A121" s="131" t="s">
        <v>564</v>
      </c>
      <c r="B121" s="131" t="s">
        <v>2679</v>
      </c>
      <c r="C121" s="132" t="s">
        <v>12</v>
      </c>
      <c r="D121" s="134">
        <v>181528</v>
      </c>
      <c r="E121" s="131" t="s">
        <v>5</v>
      </c>
      <c r="F121" s="127">
        <v>0</v>
      </c>
      <c r="G121" s="124" t="s">
        <v>5</v>
      </c>
      <c r="H121" s="127">
        <v>0</v>
      </c>
      <c r="I121" s="124" t="s">
        <v>5</v>
      </c>
      <c r="J121" s="126">
        <v>222400</v>
      </c>
      <c r="K121" s="128" t="s">
        <v>1961</v>
      </c>
      <c r="L121" s="127">
        <v>0</v>
      </c>
      <c r="M121" s="124" t="s">
        <v>5</v>
      </c>
      <c r="N121" s="129">
        <f t="shared" si="2"/>
        <v>181528</v>
      </c>
      <c r="O121" s="124"/>
      <c r="P121" s="131" t="s">
        <v>5</v>
      </c>
    </row>
    <row r="122" spans="1:16" ht="30" customHeight="1" x14ac:dyDescent="0.3">
      <c r="A122" s="131" t="s">
        <v>558</v>
      </c>
      <c r="B122" s="131" t="s">
        <v>559</v>
      </c>
      <c r="C122" s="132" t="s">
        <v>1611</v>
      </c>
      <c r="D122" s="123">
        <v>36281</v>
      </c>
      <c r="E122" s="128" t="s">
        <v>5</v>
      </c>
      <c r="F122" s="127">
        <v>30000</v>
      </c>
      <c r="G122" s="128" t="s">
        <v>2161</v>
      </c>
      <c r="H122" s="127">
        <v>0</v>
      </c>
      <c r="I122" s="128" t="s">
        <v>5</v>
      </c>
      <c r="J122" s="127">
        <v>43800</v>
      </c>
      <c r="K122" s="128" t="s">
        <v>1961</v>
      </c>
      <c r="L122" s="127">
        <v>62550</v>
      </c>
      <c r="M122" s="128" t="s">
        <v>2374</v>
      </c>
      <c r="N122" s="135">
        <f t="shared" si="1"/>
        <v>30000</v>
      </c>
      <c r="O122" s="124"/>
      <c r="P122" s="124"/>
    </row>
    <row r="123" spans="1:16" ht="30" customHeight="1" x14ac:dyDescent="0.3">
      <c r="A123" s="131" t="s">
        <v>558</v>
      </c>
      <c r="B123" s="131" t="s">
        <v>560</v>
      </c>
      <c r="C123" s="132" t="s">
        <v>1611</v>
      </c>
      <c r="D123" s="123">
        <v>45380</v>
      </c>
      <c r="E123" s="128" t="s">
        <v>5</v>
      </c>
      <c r="F123" s="127">
        <v>0</v>
      </c>
      <c r="G123" s="128" t="s">
        <v>5</v>
      </c>
      <c r="H123" s="127">
        <v>0</v>
      </c>
      <c r="I123" s="128" t="s">
        <v>5</v>
      </c>
      <c r="J123" s="127">
        <v>66000</v>
      </c>
      <c r="K123" s="128" t="s">
        <v>1961</v>
      </c>
      <c r="L123" s="127">
        <v>88810</v>
      </c>
      <c r="M123" s="128" t="s">
        <v>2374</v>
      </c>
      <c r="N123" s="135">
        <f t="shared" si="1"/>
        <v>45380</v>
      </c>
      <c r="O123" s="124"/>
      <c r="P123" s="124"/>
    </row>
    <row r="124" spans="1:16" ht="30" customHeight="1" x14ac:dyDescent="0.3">
      <c r="A124" s="131" t="s">
        <v>558</v>
      </c>
      <c r="B124" s="131" t="s">
        <v>561</v>
      </c>
      <c r="C124" s="132" t="s">
        <v>1611</v>
      </c>
      <c r="D124" s="123">
        <v>54480</v>
      </c>
      <c r="E124" s="128" t="s">
        <v>5</v>
      </c>
      <c r="F124" s="127">
        <v>70000</v>
      </c>
      <c r="G124" s="128" t="s">
        <v>2161</v>
      </c>
      <c r="H124" s="127">
        <v>0</v>
      </c>
      <c r="I124" s="128" t="s">
        <v>5</v>
      </c>
      <c r="J124" s="127">
        <v>87800</v>
      </c>
      <c r="K124" s="128" t="s">
        <v>1961</v>
      </c>
      <c r="L124" s="127">
        <v>133400</v>
      </c>
      <c r="M124" s="128" t="s">
        <v>2374</v>
      </c>
      <c r="N124" s="135">
        <f t="shared" si="1"/>
        <v>54480</v>
      </c>
      <c r="O124" s="124"/>
      <c r="P124" s="124"/>
    </row>
    <row r="125" spans="1:16" ht="30" customHeight="1" x14ac:dyDescent="0.3">
      <c r="A125" s="131" t="s">
        <v>558</v>
      </c>
      <c r="B125" s="131" t="s">
        <v>562</v>
      </c>
      <c r="C125" s="132" t="s">
        <v>1611</v>
      </c>
      <c r="D125" s="123">
        <v>90763</v>
      </c>
      <c r="E125" s="128" t="s">
        <v>5</v>
      </c>
      <c r="F125" s="127">
        <v>0</v>
      </c>
      <c r="G125" s="128" t="s">
        <v>5</v>
      </c>
      <c r="H125" s="127">
        <v>0</v>
      </c>
      <c r="I125" s="128" t="s">
        <v>5</v>
      </c>
      <c r="J125" s="127">
        <v>125400</v>
      </c>
      <c r="K125" s="128" t="s">
        <v>1961</v>
      </c>
      <c r="L125" s="127">
        <v>185930</v>
      </c>
      <c r="M125" s="128" t="s">
        <v>2374</v>
      </c>
      <c r="N125" s="135">
        <f t="shared" si="1"/>
        <v>90763</v>
      </c>
      <c r="O125" s="124"/>
      <c r="P125" s="124"/>
    </row>
    <row r="126" spans="1:16" ht="30" customHeight="1" x14ac:dyDescent="0.3">
      <c r="A126" s="131" t="s">
        <v>558</v>
      </c>
      <c r="B126" s="131" t="s">
        <v>563</v>
      </c>
      <c r="C126" s="132" t="s">
        <v>1611</v>
      </c>
      <c r="D126" s="123">
        <v>117946</v>
      </c>
      <c r="E126" s="128" t="s">
        <v>5</v>
      </c>
      <c r="F126" s="127">
        <v>0</v>
      </c>
      <c r="G126" s="128" t="s">
        <v>5</v>
      </c>
      <c r="H126" s="127">
        <v>0</v>
      </c>
      <c r="I126" s="128" t="s">
        <v>5</v>
      </c>
      <c r="J126" s="127">
        <v>162400</v>
      </c>
      <c r="K126" s="128" t="s">
        <v>1961</v>
      </c>
      <c r="L126" s="127">
        <v>0</v>
      </c>
      <c r="M126" s="128" t="s">
        <v>5</v>
      </c>
      <c r="N126" s="135">
        <f t="shared" si="1"/>
        <v>117946</v>
      </c>
      <c r="O126" s="124"/>
      <c r="P126" s="124"/>
    </row>
    <row r="127" spans="1:16" s="198" customFormat="1" ht="30" customHeight="1" x14ac:dyDescent="0.3">
      <c r="A127" s="181" t="s">
        <v>794</v>
      </c>
      <c r="B127" s="181" t="s">
        <v>559</v>
      </c>
      <c r="C127" s="182" t="s">
        <v>1611</v>
      </c>
      <c r="D127" s="183">
        <v>0</v>
      </c>
      <c r="E127" s="184" t="s">
        <v>5</v>
      </c>
      <c r="F127" s="185">
        <v>0</v>
      </c>
      <c r="G127" s="184" t="s">
        <v>5</v>
      </c>
      <c r="H127" s="185">
        <v>0</v>
      </c>
      <c r="I127" s="184" t="s">
        <v>5</v>
      </c>
      <c r="J127" s="185">
        <v>74100</v>
      </c>
      <c r="K127" s="184" t="s">
        <v>1961</v>
      </c>
      <c r="L127" s="185">
        <v>0</v>
      </c>
      <c r="M127" s="184" t="s">
        <v>5</v>
      </c>
      <c r="N127" s="197">
        <f t="shared" ref="N127:N157" si="3">SMALL(D127:L127,COUNTIF(D127:L127,0)+1)</f>
        <v>74100</v>
      </c>
      <c r="O127" s="187"/>
      <c r="P127" s="187"/>
    </row>
    <row r="128" spans="1:16" ht="30" customHeight="1" x14ac:dyDescent="0.3">
      <c r="A128" s="131" t="s">
        <v>794</v>
      </c>
      <c r="B128" s="131" t="s">
        <v>560</v>
      </c>
      <c r="C128" s="132" t="s">
        <v>1611</v>
      </c>
      <c r="D128" s="123">
        <v>0</v>
      </c>
      <c r="E128" s="128" t="s">
        <v>5</v>
      </c>
      <c r="F128" s="127">
        <v>0</v>
      </c>
      <c r="G128" s="128" t="s">
        <v>5</v>
      </c>
      <c r="H128" s="127">
        <v>0</v>
      </c>
      <c r="I128" s="128" t="s">
        <v>5</v>
      </c>
      <c r="J128" s="127">
        <v>101900</v>
      </c>
      <c r="K128" s="128" t="s">
        <v>1961</v>
      </c>
      <c r="L128" s="127">
        <v>0</v>
      </c>
      <c r="M128" s="128" t="s">
        <v>5</v>
      </c>
      <c r="N128" s="135">
        <f t="shared" si="3"/>
        <v>101900</v>
      </c>
      <c r="O128" s="124"/>
      <c r="P128" s="124"/>
    </row>
    <row r="129" spans="1:16" ht="30" customHeight="1" x14ac:dyDescent="0.3">
      <c r="A129" s="131" t="s">
        <v>794</v>
      </c>
      <c r="B129" s="131" t="s">
        <v>561</v>
      </c>
      <c r="C129" s="132" t="s">
        <v>1611</v>
      </c>
      <c r="D129" s="123">
        <v>0</v>
      </c>
      <c r="E129" s="128" t="s">
        <v>5</v>
      </c>
      <c r="F129" s="127">
        <v>0</v>
      </c>
      <c r="G129" s="128" t="s">
        <v>5</v>
      </c>
      <c r="H129" s="127">
        <v>0</v>
      </c>
      <c r="I129" s="128" t="s">
        <v>5</v>
      </c>
      <c r="J129" s="127">
        <v>137200</v>
      </c>
      <c r="K129" s="128" t="s">
        <v>1961</v>
      </c>
      <c r="L129" s="127">
        <v>0</v>
      </c>
      <c r="M129" s="128" t="s">
        <v>5</v>
      </c>
      <c r="N129" s="135">
        <f t="shared" si="3"/>
        <v>137200</v>
      </c>
      <c r="O129" s="124"/>
      <c r="P129" s="124"/>
    </row>
    <row r="130" spans="1:16" ht="30" customHeight="1" x14ac:dyDescent="0.3">
      <c r="A130" s="131" t="s">
        <v>794</v>
      </c>
      <c r="B130" s="131" t="s">
        <v>562</v>
      </c>
      <c r="C130" s="132" t="s">
        <v>1611</v>
      </c>
      <c r="D130" s="123">
        <v>0</v>
      </c>
      <c r="E130" s="128" t="s">
        <v>5</v>
      </c>
      <c r="F130" s="127">
        <v>0</v>
      </c>
      <c r="G130" s="128" t="s">
        <v>5</v>
      </c>
      <c r="H130" s="127">
        <v>0</v>
      </c>
      <c r="I130" s="128" t="s">
        <v>5</v>
      </c>
      <c r="J130" s="127">
        <v>171500</v>
      </c>
      <c r="K130" s="128" t="s">
        <v>1961</v>
      </c>
      <c r="L130" s="127">
        <v>0</v>
      </c>
      <c r="M130" s="128" t="s">
        <v>5</v>
      </c>
      <c r="N130" s="135">
        <f t="shared" si="3"/>
        <v>171500</v>
      </c>
      <c r="O130" s="124"/>
      <c r="P130" s="124"/>
    </row>
    <row r="131" spans="1:16" ht="30" customHeight="1" x14ac:dyDescent="0.3">
      <c r="A131" s="131" t="s">
        <v>794</v>
      </c>
      <c r="B131" s="131" t="s">
        <v>563</v>
      </c>
      <c r="C131" s="132" t="s">
        <v>1611</v>
      </c>
      <c r="D131" s="123">
        <v>0</v>
      </c>
      <c r="E131" s="128" t="s">
        <v>5</v>
      </c>
      <c r="F131" s="127">
        <v>0</v>
      </c>
      <c r="G131" s="128" t="s">
        <v>5</v>
      </c>
      <c r="H131" s="127">
        <v>0</v>
      </c>
      <c r="I131" s="128" t="s">
        <v>5</v>
      </c>
      <c r="J131" s="127">
        <v>207800</v>
      </c>
      <c r="K131" s="128" t="s">
        <v>1961</v>
      </c>
      <c r="L131" s="127">
        <v>0</v>
      </c>
      <c r="M131" s="128" t="s">
        <v>5</v>
      </c>
      <c r="N131" s="135">
        <f t="shared" si="3"/>
        <v>207800</v>
      </c>
      <c r="O131" s="124"/>
      <c r="P131" s="124"/>
    </row>
    <row r="132" spans="1:16" ht="30" customHeight="1" x14ac:dyDescent="0.3">
      <c r="A132" s="131" t="s">
        <v>795</v>
      </c>
      <c r="B132" s="131" t="s">
        <v>559</v>
      </c>
      <c r="C132" s="132" t="s">
        <v>1611</v>
      </c>
      <c r="D132" s="123">
        <v>0</v>
      </c>
      <c r="E132" s="128" t="s">
        <v>5</v>
      </c>
      <c r="F132" s="127">
        <v>0</v>
      </c>
      <c r="G132" s="128" t="s">
        <v>5</v>
      </c>
      <c r="H132" s="127">
        <v>0</v>
      </c>
      <c r="I132" s="128"/>
      <c r="J132" s="127">
        <v>41900</v>
      </c>
      <c r="K132" s="128" t="s">
        <v>1961</v>
      </c>
      <c r="L132" s="127">
        <v>68600</v>
      </c>
      <c r="M132" s="128" t="s">
        <v>2374</v>
      </c>
      <c r="N132" s="135">
        <f t="shared" si="3"/>
        <v>41900</v>
      </c>
      <c r="O132" s="124"/>
      <c r="P132" s="124"/>
    </row>
    <row r="133" spans="1:16" ht="30" customHeight="1" x14ac:dyDescent="0.3">
      <c r="A133" s="131" t="s">
        <v>795</v>
      </c>
      <c r="B133" s="131" t="s">
        <v>560</v>
      </c>
      <c r="C133" s="132" t="s">
        <v>1611</v>
      </c>
      <c r="D133" s="123">
        <v>0</v>
      </c>
      <c r="E133" s="128" t="s">
        <v>5</v>
      </c>
      <c r="F133" s="127">
        <v>0</v>
      </c>
      <c r="G133" s="128" t="s">
        <v>5</v>
      </c>
      <c r="H133" s="127">
        <v>0</v>
      </c>
      <c r="I133" s="128" t="s">
        <v>5</v>
      </c>
      <c r="J133" s="127">
        <v>64100</v>
      </c>
      <c r="K133" s="128" t="s">
        <v>1961</v>
      </c>
      <c r="L133" s="127">
        <v>99010</v>
      </c>
      <c r="M133" s="128" t="s">
        <v>2374</v>
      </c>
      <c r="N133" s="135">
        <f t="shared" si="3"/>
        <v>64100</v>
      </c>
      <c r="O133" s="124"/>
      <c r="P133" s="124"/>
    </row>
    <row r="134" spans="1:16" ht="30" customHeight="1" x14ac:dyDescent="0.3">
      <c r="A134" s="131" t="s">
        <v>795</v>
      </c>
      <c r="B134" s="131" t="s">
        <v>561</v>
      </c>
      <c r="C134" s="132" t="s">
        <v>1611</v>
      </c>
      <c r="D134" s="123">
        <v>0</v>
      </c>
      <c r="E134" s="128" t="s">
        <v>5</v>
      </c>
      <c r="F134" s="127">
        <v>0</v>
      </c>
      <c r="G134" s="128" t="s">
        <v>5</v>
      </c>
      <c r="H134" s="127">
        <v>0</v>
      </c>
      <c r="I134" s="128"/>
      <c r="J134" s="127">
        <v>83900</v>
      </c>
      <c r="K134" s="128" t="s">
        <v>1961</v>
      </c>
      <c r="L134" s="127">
        <v>149470</v>
      </c>
      <c r="M134" s="128" t="s">
        <v>2374</v>
      </c>
      <c r="N134" s="135">
        <f t="shared" si="3"/>
        <v>83900</v>
      </c>
      <c r="O134" s="124"/>
      <c r="P134" s="124"/>
    </row>
    <row r="135" spans="1:16" ht="30" customHeight="1" x14ac:dyDescent="0.3">
      <c r="A135" s="131" t="s">
        <v>795</v>
      </c>
      <c r="B135" s="131" t="s">
        <v>562</v>
      </c>
      <c r="C135" s="132" t="s">
        <v>1611</v>
      </c>
      <c r="D135" s="123">
        <v>0</v>
      </c>
      <c r="E135" s="128" t="s">
        <v>5</v>
      </c>
      <c r="F135" s="127">
        <v>0</v>
      </c>
      <c r="G135" s="128" t="s">
        <v>5</v>
      </c>
      <c r="H135" s="127">
        <v>0</v>
      </c>
      <c r="I135" s="128" t="s">
        <v>5</v>
      </c>
      <c r="J135" s="127">
        <v>120400</v>
      </c>
      <c r="K135" s="128" t="s">
        <v>1961</v>
      </c>
      <c r="L135" s="127">
        <v>206150</v>
      </c>
      <c r="M135" s="128" t="s">
        <v>2374</v>
      </c>
      <c r="N135" s="135">
        <f t="shared" si="3"/>
        <v>120400</v>
      </c>
      <c r="O135" s="124"/>
      <c r="P135" s="124"/>
    </row>
    <row r="136" spans="1:16" ht="30" customHeight="1" x14ac:dyDescent="0.3">
      <c r="A136" s="131" t="s">
        <v>795</v>
      </c>
      <c r="B136" s="131" t="s">
        <v>563</v>
      </c>
      <c r="C136" s="132" t="s">
        <v>1611</v>
      </c>
      <c r="D136" s="123">
        <v>0</v>
      </c>
      <c r="E136" s="128" t="s">
        <v>5</v>
      </c>
      <c r="F136" s="127">
        <v>0</v>
      </c>
      <c r="G136" s="128" t="s">
        <v>5</v>
      </c>
      <c r="H136" s="127">
        <v>0</v>
      </c>
      <c r="I136" s="128" t="s">
        <v>5</v>
      </c>
      <c r="J136" s="127">
        <v>154500</v>
      </c>
      <c r="K136" s="128" t="s">
        <v>1961</v>
      </c>
      <c r="L136" s="127">
        <v>0</v>
      </c>
      <c r="M136" s="128" t="s">
        <v>5</v>
      </c>
      <c r="N136" s="135">
        <f t="shared" si="3"/>
        <v>154500</v>
      </c>
      <c r="O136" s="124"/>
      <c r="P136" s="124"/>
    </row>
    <row r="137" spans="1:16" ht="30" customHeight="1" x14ac:dyDescent="0.3">
      <c r="A137" s="131" t="s">
        <v>565</v>
      </c>
      <c r="B137" s="131" t="s">
        <v>566</v>
      </c>
      <c r="C137" s="132" t="s">
        <v>12</v>
      </c>
      <c r="D137" s="123">
        <v>2750</v>
      </c>
      <c r="E137" s="128" t="s">
        <v>5</v>
      </c>
      <c r="F137" s="127">
        <v>0</v>
      </c>
      <c r="G137" s="128" t="s">
        <v>5</v>
      </c>
      <c r="H137" s="127"/>
      <c r="I137" s="128"/>
      <c r="J137" s="127">
        <v>2480</v>
      </c>
      <c r="K137" s="128" t="s">
        <v>2223</v>
      </c>
      <c r="L137" s="127">
        <v>0</v>
      </c>
      <c r="M137" s="128" t="s">
        <v>5</v>
      </c>
      <c r="N137" s="135">
        <f t="shared" si="3"/>
        <v>2480</v>
      </c>
      <c r="O137" s="124"/>
      <c r="P137" s="124"/>
    </row>
    <row r="138" spans="1:16" ht="30" customHeight="1" x14ac:dyDescent="0.3">
      <c r="A138" s="131" t="s">
        <v>565</v>
      </c>
      <c r="B138" s="131" t="s">
        <v>567</v>
      </c>
      <c r="C138" s="132" t="s">
        <v>12</v>
      </c>
      <c r="D138" s="123">
        <v>0</v>
      </c>
      <c r="E138" s="128" t="s">
        <v>5</v>
      </c>
      <c r="F138" s="127">
        <v>0</v>
      </c>
      <c r="G138" s="128" t="s">
        <v>5</v>
      </c>
      <c r="H138" s="127">
        <v>0</v>
      </c>
      <c r="I138" s="128" t="s">
        <v>5</v>
      </c>
      <c r="J138" s="127">
        <v>4360</v>
      </c>
      <c r="K138" s="128" t="s">
        <v>2223</v>
      </c>
      <c r="L138" s="127">
        <v>0</v>
      </c>
      <c r="M138" s="128" t="s">
        <v>5</v>
      </c>
      <c r="N138" s="135">
        <f t="shared" si="3"/>
        <v>4360</v>
      </c>
      <c r="O138" s="124"/>
      <c r="P138" s="124"/>
    </row>
    <row r="139" spans="1:16" ht="30" customHeight="1" x14ac:dyDescent="0.3">
      <c r="A139" s="131" t="s">
        <v>568</v>
      </c>
      <c r="B139" s="131" t="s">
        <v>566</v>
      </c>
      <c r="C139" s="132" t="s">
        <v>12</v>
      </c>
      <c r="D139" s="123">
        <v>2750</v>
      </c>
      <c r="E139" s="128" t="s">
        <v>5</v>
      </c>
      <c r="F139" s="127">
        <v>0</v>
      </c>
      <c r="G139" s="128" t="s">
        <v>5</v>
      </c>
      <c r="H139" s="127">
        <v>0</v>
      </c>
      <c r="I139" s="128" t="s">
        <v>5</v>
      </c>
      <c r="J139" s="127">
        <v>2480</v>
      </c>
      <c r="K139" s="128" t="s">
        <v>2223</v>
      </c>
      <c r="L139" s="127">
        <v>0</v>
      </c>
      <c r="M139" s="128" t="s">
        <v>5</v>
      </c>
      <c r="N139" s="135">
        <f t="shared" si="3"/>
        <v>2480</v>
      </c>
      <c r="O139" s="124"/>
      <c r="P139" s="124"/>
    </row>
    <row r="140" spans="1:16" ht="30" customHeight="1" x14ac:dyDescent="0.3">
      <c r="A140" s="131" t="s">
        <v>568</v>
      </c>
      <c r="B140" s="131" t="s">
        <v>567</v>
      </c>
      <c r="C140" s="132" t="s">
        <v>12</v>
      </c>
      <c r="D140" s="123">
        <v>0</v>
      </c>
      <c r="E140" s="128" t="s">
        <v>5</v>
      </c>
      <c r="F140" s="127">
        <v>0</v>
      </c>
      <c r="G140" s="128" t="s">
        <v>5</v>
      </c>
      <c r="H140" s="127">
        <v>0</v>
      </c>
      <c r="I140" s="128" t="s">
        <v>5</v>
      </c>
      <c r="J140" s="127">
        <v>4360</v>
      </c>
      <c r="K140" s="128" t="s">
        <v>2223</v>
      </c>
      <c r="L140" s="127">
        <v>0</v>
      </c>
      <c r="M140" s="128" t="s">
        <v>5</v>
      </c>
      <c r="N140" s="135">
        <f t="shared" si="3"/>
        <v>4360</v>
      </c>
      <c r="O140" s="124"/>
      <c r="P140" s="124"/>
    </row>
    <row r="141" spans="1:16" ht="30" customHeight="1" x14ac:dyDescent="0.3">
      <c r="A141" s="131" t="s">
        <v>1648</v>
      </c>
      <c r="B141" s="131" t="s">
        <v>1649</v>
      </c>
      <c r="C141" s="132" t="s">
        <v>12</v>
      </c>
      <c r="D141" s="123">
        <v>0</v>
      </c>
      <c r="E141" s="128" t="s">
        <v>5</v>
      </c>
      <c r="F141" s="127">
        <v>0</v>
      </c>
      <c r="G141" s="128" t="s">
        <v>5</v>
      </c>
      <c r="H141" s="127">
        <v>0</v>
      </c>
      <c r="I141" s="128"/>
      <c r="J141" s="127">
        <v>3520</v>
      </c>
      <c r="K141" s="128" t="s">
        <v>2223</v>
      </c>
      <c r="L141" s="127">
        <v>0</v>
      </c>
      <c r="M141" s="128" t="s">
        <v>5</v>
      </c>
      <c r="N141" s="135">
        <f t="shared" ref="N141" si="4">SMALL(D141:L141,COUNTIF(D141:L141,0)+1)</f>
        <v>3520</v>
      </c>
      <c r="O141" s="124"/>
      <c r="P141" s="124"/>
    </row>
    <row r="142" spans="1:16" ht="30" customHeight="1" x14ac:dyDescent="0.3">
      <c r="A142" s="131" t="s">
        <v>1647</v>
      </c>
      <c r="B142" s="131" t="s">
        <v>1649</v>
      </c>
      <c r="C142" s="132" t="s">
        <v>12</v>
      </c>
      <c r="D142" s="123">
        <v>0</v>
      </c>
      <c r="E142" s="128" t="s">
        <v>5</v>
      </c>
      <c r="F142" s="127">
        <v>0</v>
      </c>
      <c r="G142" s="128" t="s">
        <v>5</v>
      </c>
      <c r="H142" s="127">
        <v>0</v>
      </c>
      <c r="I142" s="128"/>
      <c r="J142" s="127">
        <v>3520</v>
      </c>
      <c r="K142" s="128" t="s">
        <v>2223</v>
      </c>
      <c r="L142" s="127">
        <v>0</v>
      </c>
      <c r="M142" s="128" t="s">
        <v>5</v>
      </c>
      <c r="N142" s="135">
        <f t="shared" ref="N142" si="5">SMALL(D142:L142,COUNTIF(D142:L142,0)+1)</f>
        <v>3520</v>
      </c>
      <c r="O142" s="124"/>
      <c r="P142" s="124"/>
    </row>
    <row r="143" spans="1:16" ht="30" customHeight="1" x14ac:dyDescent="0.3">
      <c r="A143" s="131" t="s">
        <v>569</v>
      </c>
      <c r="B143" s="131" t="s">
        <v>570</v>
      </c>
      <c r="C143" s="132" t="s">
        <v>12</v>
      </c>
      <c r="D143" s="123">
        <v>0</v>
      </c>
      <c r="E143" s="128" t="s">
        <v>5</v>
      </c>
      <c r="F143" s="127">
        <v>250</v>
      </c>
      <c r="G143" s="128" t="s">
        <v>759</v>
      </c>
      <c r="H143" s="127">
        <v>250</v>
      </c>
      <c r="I143" s="128" t="s">
        <v>758</v>
      </c>
      <c r="J143" s="127">
        <v>1250</v>
      </c>
      <c r="K143" s="128" t="s">
        <v>1652</v>
      </c>
      <c r="L143" s="127">
        <v>0</v>
      </c>
      <c r="M143" s="128" t="s">
        <v>5</v>
      </c>
      <c r="N143" s="135">
        <f t="shared" si="3"/>
        <v>250</v>
      </c>
      <c r="O143" s="124"/>
      <c r="P143" s="124"/>
    </row>
    <row r="144" spans="1:16" ht="30" customHeight="1" x14ac:dyDescent="0.3">
      <c r="A144" s="131" t="s">
        <v>571</v>
      </c>
      <c r="B144" s="131" t="s">
        <v>572</v>
      </c>
      <c r="C144" s="132" t="s">
        <v>12</v>
      </c>
      <c r="D144" s="123">
        <v>2302</v>
      </c>
      <c r="E144" s="128" t="s">
        <v>5</v>
      </c>
      <c r="F144" s="127">
        <v>2917</v>
      </c>
      <c r="G144" s="128" t="s">
        <v>796</v>
      </c>
      <c r="H144" s="127">
        <v>10000</v>
      </c>
      <c r="I144" s="128" t="s">
        <v>2251</v>
      </c>
      <c r="J144" s="127">
        <v>2280</v>
      </c>
      <c r="K144" s="128" t="s">
        <v>2223</v>
      </c>
      <c r="L144" s="127">
        <v>0</v>
      </c>
      <c r="M144" s="128" t="s">
        <v>5</v>
      </c>
      <c r="N144" s="135">
        <f t="shared" si="3"/>
        <v>2280</v>
      </c>
      <c r="O144" s="124"/>
      <c r="P144" s="124"/>
    </row>
    <row r="145" spans="1:16" ht="30" customHeight="1" x14ac:dyDescent="0.3">
      <c r="A145" s="131" t="s">
        <v>571</v>
      </c>
      <c r="B145" s="131" t="s">
        <v>573</v>
      </c>
      <c r="C145" s="132" t="s">
        <v>12</v>
      </c>
      <c r="D145" s="123">
        <v>2302</v>
      </c>
      <c r="E145" s="128" t="s">
        <v>5</v>
      </c>
      <c r="F145" s="127">
        <v>3084</v>
      </c>
      <c r="G145" s="128" t="s">
        <v>796</v>
      </c>
      <c r="H145" s="127">
        <v>5500</v>
      </c>
      <c r="I145" s="128" t="s">
        <v>2251</v>
      </c>
      <c r="J145" s="127">
        <v>2120</v>
      </c>
      <c r="K145" s="128" t="s">
        <v>2223</v>
      </c>
      <c r="L145" s="127">
        <v>0</v>
      </c>
      <c r="M145" s="128" t="s">
        <v>5</v>
      </c>
      <c r="N145" s="135">
        <f t="shared" si="3"/>
        <v>2120</v>
      </c>
      <c r="O145" s="124"/>
      <c r="P145" s="124"/>
    </row>
    <row r="146" spans="1:16" ht="30" customHeight="1" x14ac:dyDescent="0.3">
      <c r="A146" s="131" t="s">
        <v>571</v>
      </c>
      <c r="B146" s="131" t="s">
        <v>574</v>
      </c>
      <c r="C146" s="132" t="s">
        <v>12</v>
      </c>
      <c r="D146" s="123">
        <v>2302</v>
      </c>
      <c r="E146" s="128" t="s">
        <v>5</v>
      </c>
      <c r="F146" s="127">
        <v>2917</v>
      </c>
      <c r="G146" s="128" t="s">
        <v>796</v>
      </c>
      <c r="H146" s="127">
        <v>11000</v>
      </c>
      <c r="I146" s="128" t="s">
        <v>2251</v>
      </c>
      <c r="J146" s="127">
        <v>2280</v>
      </c>
      <c r="K146" s="128" t="s">
        <v>2223</v>
      </c>
      <c r="L146" s="127">
        <v>0</v>
      </c>
      <c r="M146" s="128" t="s">
        <v>5</v>
      </c>
      <c r="N146" s="135">
        <f t="shared" si="3"/>
        <v>2280</v>
      </c>
      <c r="O146" s="124"/>
      <c r="P146" s="124"/>
    </row>
    <row r="147" spans="1:16" ht="30" customHeight="1" x14ac:dyDescent="0.3">
      <c r="A147" s="131" t="s">
        <v>2158</v>
      </c>
      <c r="B147" s="131" t="s">
        <v>2160</v>
      </c>
      <c r="C147" s="132" t="s">
        <v>12</v>
      </c>
      <c r="D147" s="123">
        <v>46877</v>
      </c>
      <c r="E147" s="128" t="s">
        <v>5</v>
      </c>
      <c r="F147" s="127">
        <v>0</v>
      </c>
      <c r="G147" s="128" t="s">
        <v>5</v>
      </c>
      <c r="H147" s="127">
        <v>0</v>
      </c>
      <c r="I147" s="128" t="s">
        <v>5</v>
      </c>
      <c r="J147" s="127">
        <v>0</v>
      </c>
      <c r="K147" s="128" t="s">
        <v>5</v>
      </c>
      <c r="L147" s="127">
        <v>0</v>
      </c>
      <c r="M147" s="128" t="s">
        <v>5</v>
      </c>
      <c r="N147" s="135">
        <f t="shared" si="3"/>
        <v>46877</v>
      </c>
      <c r="O147" s="124"/>
      <c r="P147" s="124"/>
    </row>
    <row r="148" spans="1:16" ht="30" customHeight="1" x14ac:dyDescent="0.3">
      <c r="A148" s="131" t="s">
        <v>2158</v>
      </c>
      <c r="B148" s="131" t="s">
        <v>2159</v>
      </c>
      <c r="C148" s="132" t="s">
        <v>12</v>
      </c>
      <c r="D148" s="123">
        <v>60896</v>
      </c>
      <c r="E148" s="128" t="s">
        <v>5</v>
      </c>
      <c r="F148" s="127">
        <v>0</v>
      </c>
      <c r="G148" s="128" t="s">
        <v>5</v>
      </c>
      <c r="H148" s="127">
        <v>0</v>
      </c>
      <c r="I148" s="128" t="s">
        <v>5</v>
      </c>
      <c r="J148" s="127">
        <v>0</v>
      </c>
      <c r="K148" s="128" t="s">
        <v>5</v>
      </c>
      <c r="L148" s="127">
        <v>0</v>
      </c>
      <c r="M148" s="128" t="s">
        <v>5</v>
      </c>
      <c r="N148" s="135">
        <f t="shared" si="3"/>
        <v>60896</v>
      </c>
      <c r="O148" s="124"/>
      <c r="P148" s="124"/>
    </row>
    <row r="149" spans="1:16" ht="30" customHeight="1" x14ac:dyDescent="0.3">
      <c r="A149" s="131" t="s">
        <v>575</v>
      </c>
      <c r="B149" s="131" t="s">
        <v>576</v>
      </c>
      <c r="C149" s="132" t="s">
        <v>12</v>
      </c>
      <c r="D149" s="123">
        <v>60933</v>
      </c>
      <c r="E149" s="128" t="s">
        <v>5</v>
      </c>
      <c r="F149" s="127">
        <v>0</v>
      </c>
      <c r="G149" s="128" t="s">
        <v>5</v>
      </c>
      <c r="H149" s="127">
        <v>0</v>
      </c>
      <c r="I149" s="128" t="s">
        <v>5</v>
      </c>
      <c r="J149" s="127">
        <v>0</v>
      </c>
      <c r="K149" s="128" t="s">
        <v>5</v>
      </c>
      <c r="L149" s="127">
        <v>0</v>
      </c>
      <c r="M149" s="128" t="s">
        <v>5</v>
      </c>
      <c r="N149" s="135">
        <f t="shared" si="3"/>
        <v>60933</v>
      </c>
      <c r="O149" s="124"/>
      <c r="P149" s="124"/>
    </row>
    <row r="150" spans="1:16" ht="30" customHeight="1" x14ac:dyDescent="0.3">
      <c r="A150" s="131" t="s">
        <v>575</v>
      </c>
      <c r="B150" s="131" t="s">
        <v>577</v>
      </c>
      <c r="C150" s="132" t="s">
        <v>12</v>
      </c>
      <c r="D150" s="123">
        <v>60933</v>
      </c>
      <c r="E150" s="128" t="s">
        <v>5</v>
      </c>
      <c r="F150" s="127">
        <v>0</v>
      </c>
      <c r="G150" s="128" t="s">
        <v>5</v>
      </c>
      <c r="H150" s="127">
        <v>0</v>
      </c>
      <c r="I150" s="128" t="s">
        <v>5</v>
      </c>
      <c r="J150" s="127">
        <v>0</v>
      </c>
      <c r="K150" s="128" t="s">
        <v>5</v>
      </c>
      <c r="L150" s="127">
        <v>0</v>
      </c>
      <c r="M150" s="128" t="s">
        <v>5</v>
      </c>
      <c r="N150" s="135">
        <f t="shared" si="3"/>
        <v>60933</v>
      </c>
      <c r="O150" s="124"/>
      <c r="P150" s="124"/>
    </row>
    <row r="151" spans="1:16" ht="30" customHeight="1" x14ac:dyDescent="0.3">
      <c r="A151" s="131" t="s">
        <v>578</v>
      </c>
      <c r="B151" s="131" t="s">
        <v>579</v>
      </c>
      <c r="C151" s="132" t="s">
        <v>12</v>
      </c>
      <c r="D151" s="123">
        <v>60933</v>
      </c>
      <c r="E151" s="128" t="s">
        <v>5</v>
      </c>
      <c r="F151" s="127">
        <v>0</v>
      </c>
      <c r="G151" s="128" t="s">
        <v>5</v>
      </c>
      <c r="H151" s="127">
        <v>0</v>
      </c>
      <c r="I151" s="128" t="s">
        <v>5</v>
      </c>
      <c r="J151" s="127">
        <v>0</v>
      </c>
      <c r="K151" s="128" t="s">
        <v>5</v>
      </c>
      <c r="L151" s="127">
        <v>0</v>
      </c>
      <c r="M151" s="128" t="s">
        <v>5</v>
      </c>
      <c r="N151" s="135">
        <f t="shared" si="3"/>
        <v>60933</v>
      </c>
      <c r="O151" s="124"/>
      <c r="P151" s="124"/>
    </row>
    <row r="152" spans="1:16" ht="30" customHeight="1" x14ac:dyDescent="0.3">
      <c r="A152" s="131" t="s">
        <v>575</v>
      </c>
      <c r="B152" s="131" t="s">
        <v>577</v>
      </c>
      <c r="C152" s="132" t="s">
        <v>12</v>
      </c>
      <c r="D152" s="123">
        <v>60933</v>
      </c>
      <c r="E152" s="128" t="s">
        <v>5</v>
      </c>
      <c r="F152" s="127">
        <v>0</v>
      </c>
      <c r="G152" s="128" t="s">
        <v>5</v>
      </c>
      <c r="H152" s="127">
        <v>0</v>
      </c>
      <c r="I152" s="128" t="s">
        <v>5</v>
      </c>
      <c r="J152" s="127">
        <v>0</v>
      </c>
      <c r="K152" s="128" t="s">
        <v>5</v>
      </c>
      <c r="L152" s="127">
        <v>0</v>
      </c>
      <c r="M152" s="128" t="s">
        <v>5</v>
      </c>
      <c r="N152" s="135">
        <f t="shared" si="3"/>
        <v>60933</v>
      </c>
      <c r="O152" s="124"/>
      <c r="P152" s="124"/>
    </row>
    <row r="153" spans="1:16" ht="30" customHeight="1" x14ac:dyDescent="0.3">
      <c r="A153" s="131" t="s">
        <v>580</v>
      </c>
      <c r="B153" s="131" t="s">
        <v>581</v>
      </c>
      <c r="C153" s="132" t="s">
        <v>12</v>
      </c>
      <c r="D153" s="123">
        <v>60933</v>
      </c>
      <c r="E153" s="128" t="s">
        <v>5</v>
      </c>
      <c r="F153" s="127">
        <v>0</v>
      </c>
      <c r="G153" s="128" t="s">
        <v>5</v>
      </c>
      <c r="H153" s="127">
        <v>0</v>
      </c>
      <c r="I153" s="128" t="s">
        <v>5</v>
      </c>
      <c r="J153" s="127">
        <v>0</v>
      </c>
      <c r="K153" s="128" t="s">
        <v>5</v>
      </c>
      <c r="L153" s="127">
        <v>0</v>
      </c>
      <c r="M153" s="128" t="s">
        <v>5</v>
      </c>
      <c r="N153" s="135">
        <f t="shared" si="3"/>
        <v>60933</v>
      </c>
      <c r="O153" s="124"/>
      <c r="P153" s="124"/>
    </row>
    <row r="154" spans="1:16" ht="30" customHeight="1" x14ac:dyDescent="0.3">
      <c r="A154" s="131" t="s">
        <v>580</v>
      </c>
      <c r="B154" s="131" t="s">
        <v>582</v>
      </c>
      <c r="C154" s="132" t="s">
        <v>12</v>
      </c>
      <c r="D154" s="123">
        <v>60933</v>
      </c>
      <c r="E154" s="128" t="s">
        <v>5</v>
      </c>
      <c r="F154" s="127">
        <v>0</v>
      </c>
      <c r="G154" s="128" t="s">
        <v>5</v>
      </c>
      <c r="H154" s="127">
        <v>0</v>
      </c>
      <c r="I154" s="128" t="s">
        <v>5</v>
      </c>
      <c r="J154" s="127">
        <v>0</v>
      </c>
      <c r="K154" s="128" t="s">
        <v>5</v>
      </c>
      <c r="L154" s="127">
        <v>0</v>
      </c>
      <c r="M154" s="128" t="s">
        <v>5</v>
      </c>
      <c r="N154" s="135">
        <f t="shared" si="3"/>
        <v>60933</v>
      </c>
      <c r="O154" s="124"/>
      <c r="P154" s="124"/>
    </row>
    <row r="155" spans="1:16" ht="30" customHeight="1" x14ac:dyDescent="0.3">
      <c r="A155" s="131" t="s">
        <v>583</v>
      </c>
      <c r="B155" s="131" t="s">
        <v>584</v>
      </c>
      <c r="C155" s="132" t="s">
        <v>12</v>
      </c>
      <c r="D155" s="123">
        <v>60933</v>
      </c>
      <c r="E155" s="128" t="s">
        <v>5</v>
      </c>
      <c r="F155" s="127">
        <v>0</v>
      </c>
      <c r="G155" s="128" t="s">
        <v>5</v>
      </c>
      <c r="H155" s="127">
        <v>0</v>
      </c>
      <c r="I155" s="128" t="s">
        <v>5</v>
      </c>
      <c r="J155" s="127">
        <v>0</v>
      </c>
      <c r="K155" s="128" t="s">
        <v>5</v>
      </c>
      <c r="L155" s="127">
        <v>0</v>
      </c>
      <c r="M155" s="128" t="s">
        <v>5</v>
      </c>
      <c r="N155" s="135">
        <f t="shared" si="3"/>
        <v>60933</v>
      </c>
      <c r="O155" s="124"/>
      <c r="P155" s="124"/>
    </row>
    <row r="156" spans="1:16" ht="30" customHeight="1" x14ac:dyDescent="0.3">
      <c r="A156" s="131" t="s">
        <v>583</v>
      </c>
      <c r="B156" s="131" t="s">
        <v>585</v>
      </c>
      <c r="C156" s="132" t="s">
        <v>12</v>
      </c>
      <c r="D156" s="123">
        <v>60933</v>
      </c>
      <c r="E156" s="128" t="s">
        <v>5</v>
      </c>
      <c r="F156" s="127">
        <v>0</v>
      </c>
      <c r="G156" s="128" t="s">
        <v>5</v>
      </c>
      <c r="H156" s="127">
        <v>0</v>
      </c>
      <c r="I156" s="128" t="s">
        <v>5</v>
      </c>
      <c r="J156" s="127">
        <v>0</v>
      </c>
      <c r="K156" s="128" t="s">
        <v>5</v>
      </c>
      <c r="L156" s="127">
        <v>0</v>
      </c>
      <c r="M156" s="128" t="s">
        <v>5</v>
      </c>
      <c r="N156" s="135">
        <f t="shared" si="3"/>
        <v>60933</v>
      </c>
      <c r="O156" s="124"/>
      <c r="P156" s="124"/>
    </row>
    <row r="157" spans="1:16" ht="30" customHeight="1" x14ac:dyDescent="0.3">
      <c r="A157" s="131" t="s">
        <v>586</v>
      </c>
      <c r="B157" s="131" t="s">
        <v>587</v>
      </c>
      <c r="C157" s="132" t="s">
        <v>12</v>
      </c>
      <c r="D157" s="123">
        <v>60933</v>
      </c>
      <c r="E157" s="128" t="s">
        <v>5</v>
      </c>
      <c r="F157" s="127">
        <v>0</v>
      </c>
      <c r="G157" s="128" t="s">
        <v>5</v>
      </c>
      <c r="H157" s="127">
        <v>0</v>
      </c>
      <c r="I157" s="128" t="s">
        <v>5</v>
      </c>
      <c r="J157" s="127">
        <v>0</v>
      </c>
      <c r="K157" s="128" t="s">
        <v>5</v>
      </c>
      <c r="L157" s="127">
        <v>0</v>
      </c>
      <c r="M157" s="128" t="s">
        <v>5</v>
      </c>
      <c r="N157" s="135">
        <f t="shared" si="3"/>
        <v>60933</v>
      </c>
      <c r="O157" s="124"/>
      <c r="P157" s="124"/>
    </row>
    <row r="158" spans="1:16" ht="30" customHeight="1" x14ac:dyDescent="0.3">
      <c r="A158" s="131" t="s">
        <v>1638</v>
      </c>
      <c r="B158" s="131" t="s">
        <v>1639</v>
      </c>
      <c r="C158" s="132" t="s">
        <v>1640</v>
      </c>
      <c r="D158" s="123">
        <v>11525</v>
      </c>
      <c r="E158" s="128" t="s">
        <v>5</v>
      </c>
      <c r="F158" s="127">
        <v>0</v>
      </c>
      <c r="G158" s="128" t="s">
        <v>5</v>
      </c>
      <c r="H158" s="127">
        <v>0</v>
      </c>
      <c r="I158" s="128" t="s">
        <v>5</v>
      </c>
      <c r="J158" s="127">
        <v>0</v>
      </c>
      <c r="K158" s="128" t="s">
        <v>5</v>
      </c>
      <c r="L158" s="127">
        <v>0</v>
      </c>
      <c r="M158" s="128" t="s">
        <v>5</v>
      </c>
      <c r="N158" s="135">
        <f t="shared" ref="N158" si="6">SMALL(D158:L158,COUNTIF(D158:L158,0)+1)</f>
        <v>11525</v>
      </c>
      <c r="O158" s="124"/>
      <c r="P158" s="124"/>
    </row>
    <row r="159" spans="1:16" ht="30" customHeight="1" x14ac:dyDescent="0.3">
      <c r="A159" s="131"/>
      <c r="B159" s="131"/>
      <c r="C159" s="132"/>
      <c r="D159" s="123">
        <v>0</v>
      </c>
      <c r="E159" s="128" t="s">
        <v>5</v>
      </c>
      <c r="F159" s="140" t="s">
        <v>933</v>
      </c>
      <c r="G159" s="128" t="s">
        <v>5</v>
      </c>
      <c r="H159" s="140" t="s">
        <v>934</v>
      </c>
      <c r="I159" s="128" t="s">
        <v>5</v>
      </c>
      <c r="J159" s="140" t="s">
        <v>935</v>
      </c>
      <c r="K159" s="128" t="s">
        <v>5</v>
      </c>
      <c r="L159" s="127"/>
      <c r="M159" s="128"/>
      <c r="N159" s="135"/>
      <c r="O159" s="124"/>
      <c r="P159" s="124"/>
    </row>
    <row r="160" spans="1:16" ht="30" customHeight="1" x14ac:dyDescent="0.3">
      <c r="A160" s="131" t="s">
        <v>588</v>
      </c>
      <c r="B160" s="131" t="s">
        <v>2340</v>
      </c>
      <c r="C160" s="132" t="s">
        <v>12</v>
      </c>
      <c r="D160" s="123">
        <v>0</v>
      </c>
      <c r="E160" s="128" t="s">
        <v>5</v>
      </c>
      <c r="F160" s="127">
        <v>308000</v>
      </c>
      <c r="G160" s="128" t="s">
        <v>5</v>
      </c>
      <c r="H160" s="127">
        <v>338800</v>
      </c>
      <c r="I160" s="128" t="s">
        <v>5</v>
      </c>
      <c r="J160" s="127">
        <v>372680</v>
      </c>
      <c r="K160" s="128" t="s">
        <v>5</v>
      </c>
      <c r="L160" s="127">
        <v>0</v>
      </c>
      <c r="M160" s="128" t="s">
        <v>5</v>
      </c>
      <c r="N160" s="135">
        <f t="shared" ref="N160:N220" si="7">SMALL(D160:L160,COUNTIF(D160:L160,0)+1)</f>
        <v>308000</v>
      </c>
      <c r="O160" s="124"/>
      <c r="P160" s="124"/>
    </row>
    <row r="161" spans="1:16" ht="30" customHeight="1" x14ac:dyDescent="0.3">
      <c r="A161" s="131" t="s">
        <v>2339</v>
      </c>
      <c r="B161" s="131" t="s">
        <v>2341</v>
      </c>
      <c r="C161" s="132" t="s">
        <v>12</v>
      </c>
      <c r="D161" s="123">
        <v>0</v>
      </c>
      <c r="E161" s="128" t="s">
        <v>5</v>
      </c>
      <c r="F161" s="127">
        <v>321200</v>
      </c>
      <c r="G161" s="128" t="s">
        <v>5</v>
      </c>
      <c r="H161" s="127">
        <v>353320</v>
      </c>
      <c r="I161" s="128" t="s">
        <v>5</v>
      </c>
      <c r="J161" s="127">
        <v>388652</v>
      </c>
      <c r="K161" s="128" t="s">
        <v>5</v>
      </c>
      <c r="L161" s="127">
        <v>0</v>
      </c>
      <c r="M161" s="128" t="s">
        <v>5</v>
      </c>
      <c r="N161" s="135">
        <f t="shared" si="7"/>
        <v>321200</v>
      </c>
      <c r="O161" s="124"/>
      <c r="P161" s="124"/>
    </row>
    <row r="162" spans="1:16" ht="30" customHeight="1" x14ac:dyDescent="0.3">
      <c r="A162" s="131" t="s">
        <v>2339</v>
      </c>
      <c r="B162" s="131" t="s">
        <v>2342</v>
      </c>
      <c r="C162" s="132" t="s">
        <v>12</v>
      </c>
      <c r="D162" s="123">
        <v>0</v>
      </c>
      <c r="E162" s="128" t="s">
        <v>5</v>
      </c>
      <c r="F162" s="127">
        <v>605000</v>
      </c>
      <c r="G162" s="128" t="s">
        <v>5</v>
      </c>
      <c r="H162" s="127">
        <v>665500</v>
      </c>
      <c r="I162" s="128" t="s">
        <v>5</v>
      </c>
      <c r="J162" s="127">
        <v>732050</v>
      </c>
      <c r="K162" s="128" t="s">
        <v>5</v>
      </c>
      <c r="L162" s="127">
        <v>0</v>
      </c>
      <c r="M162" s="128" t="s">
        <v>5</v>
      </c>
      <c r="N162" s="135">
        <f t="shared" si="7"/>
        <v>605000</v>
      </c>
      <c r="O162" s="124"/>
      <c r="P162" s="124"/>
    </row>
    <row r="163" spans="1:16" ht="30" customHeight="1" x14ac:dyDescent="0.3">
      <c r="A163" s="131" t="s">
        <v>2339</v>
      </c>
      <c r="B163" s="131" t="s">
        <v>2343</v>
      </c>
      <c r="C163" s="132" t="s">
        <v>12</v>
      </c>
      <c r="D163" s="123">
        <v>0</v>
      </c>
      <c r="E163" s="128" t="s">
        <v>5</v>
      </c>
      <c r="F163" s="127">
        <v>627000</v>
      </c>
      <c r="G163" s="128" t="s">
        <v>5</v>
      </c>
      <c r="H163" s="127">
        <v>689700</v>
      </c>
      <c r="I163" s="128" t="s">
        <v>5</v>
      </c>
      <c r="J163" s="127">
        <v>758670</v>
      </c>
      <c r="K163" s="128"/>
      <c r="L163" s="127">
        <v>0</v>
      </c>
      <c r="M163" s="128" t="s">
        <v>5</v>
      </c>
      <c r="N163" s="135">
        <f t="shared" si="7"/>
        <v>627000</v>
      </c>
      <c r="O163" s="124"/>
      <c r="P163" s="124"/>
    </row>
    <row r="164" spans="1:16" ht="30" customHeight="1" x14ac:dyDescent="0.3">
      <c r="A164" s="131" t="s">
        <v>2339</v>
      </c>
      <c r="B164" s="131" t="s">
        <v>2344</v>
      </c>
      <c r="C164" s="132" t="s">
        <v>12</v>
      </c>
      <c r="D164" s="123">
        <v>0</v>
      </c>
      <c r="E164" s="128" t="s">
        <v>5</v>
      </c>
      <c r="F164" s="127">
        <v>671000</v>
      </c>
      <c r="G164" s="128" t="s">
        <v>5</v>
      </c>
      <c r="H164" s="127">
        <v>738100</v>
      </c>
      <c r="I164" s="128" t="s">
        <v>5</v>
      </c>
      <c r="J164" s="127">
        <v>811910</v>
      </c>
      <c r="K164" s="128"/>
      <c r="L164" s="127">
        <v>0</v>
      </c>
      <c r="M164" s="128" t="s">
        <v>5</v>
      </c>
      <c r="N164" s="135">
        <f t="shared" si="7"/>
        <v>671000</v>
      </c>
      <c r="O164" s="124"/>
      <c r="P164" s="124"/>
    </row>
    <row r="165" spans="1:16" ht="30" customHeight="1" x14ac:dyDescent="0.3">
      <c r="A165" s="131" t="s">
        <v>2339</v>
      </c>
      <c r="B165" s="131" t="s">
        <v>2345</v>
      </c>
      <c r="C165" s="132" t="s">
        <v>12</v>
      </c>
      <c r="D165" s="123">
        <v>0</v>
      </c>
      <c r="E165" s="128" t="s">
        <v>5</v>
      </c>
      <c r="F165" s="127">
        <v>712000</v>
      </c>
      <c r="G165" s="128" t="s">
        <v>5</v>
      </c>
      <c r="H165" s="127">
        <v>786500</v>
      </c>
      <c r="I165" s="128" t="s">
        <v>5</v>
      </c>
      <c r="J165" s="127">
        <v>865150</v>
      </c>
      <c r="K165" s="128"/>
      <c r="L165" s="127">
        <v>0</v>
      </c>
      <c r="M165" s="128" t="s">
        <v>5</v>
      </c>
      <c r="N165" s="135">
        <f t="shared" si="7"/>
        <v>712000</v>
      </c>
      <c r="O165" s="124"/>
      <c r="P165" s="124"/>
    </row>
    <row r="166" spans="1:16" s="195" customFormat="1" ht="30" customHeight="1" x14ac:dyDescent="0.3">
      <c r="A166" s="191" t="s">
        <v>2579</v>
      </c>
      <c r="B166" s="191" t="s">
        <v>589</v>
      </c>
      <c r="C166" s="192" t="s">
        <v>12</v>
      </c>
      <c r="D166" s="123">
        <v>0</v>
      </c>
      <c r="E166" s="193" t="s">
        <v>5</v>
      </c>
      <c r="F166" s="127">
        <v>45760</v>
      </c>
      <c r="G166" s="193" t="s">
        <v>5</v>
      </c>
      <c r="H166" s="127">
        <v>50336</v>
      </c>
      <c r="I166" s="193" t="s">
        <v>5</v>
      </c>
      <c r="J166" s="127">
        <v>55370</v>
      </c>
      <c r="K166" s="193" t="s">
        <v>5</v>
      </c>
      <c r="L166" s="127">
        <v>0</v>
      </c>
      <c r="M166" s="193" t="s">
        <v>5</v>
      </c>
      <c r="N166" s="135">
        <f t="shared" si="7"/>
        <v>45760</v>
      </c>
      <c r="O166" s="194"/>
      <c r="P166" s="194"/>
    </row>
    <row r="167" spans="1:16" s="195" customFormat="1" ht="30" customHeight="1" x14ac:dyDescent="0.3">
      <c r="A167" s="191" t="s">
        <v>2579</v>
      </c>
      <c r="B167" s="191" t="s">
        <v>590</v>
      </c>
      <c r="C167" s="192" t="s">
        <v>12</v>
      </c>
      <c r="D167" s="123">
        <v>0</v>
      </c>
      <c r="E167" s="193" t="s">
        <v>5</v>
      </c>
      <c r="F167" s="127">
        <v>78650</v>
      </c>
      <c r="G167" s="193" t="s">
        <v>5</v>
      </c>
      <c r="H167" s="127">
        <v>86515</v>
      </c>
      <c r="I167" s="193" t="s">
        <v>5</v>
      </c>
      <c r="J167" s="127">
        <v>95167</v>
      </c>
      <c r="K167" s="193" t="s">
        <v>5</v>
      </c>
      <c r="L167" s="127">
        <v>0</v>
      </c>
      <c r="M167" s="193" t="s">
        <v>5</v>
      </c>
      <c r="N167" s="135">
        <f t="shared" si="7"/>
        <v>78650</v>
      </c>
      <c r="O167" s="194"/>
      <c r="P167" s="194"/>
    </row>
    <row r="168" spans="1:16" s="198" customFormat="1" ht="30" customHeight="1" x14ac:dyDescent="0.3">
      <c r="A168" s="181" t="s">
        <v>2579</v>
      </c>
      <c r="B168" s="181" t="s">
        <v>591</v>
      </c>
      <c r="C168" s="182" t="s">
        <v>12</v>
      </c>
      <c r="D168" s="183">
        <v>0</v>
      </c>
      <c r="E168" s="184" t="s">
        <v>5</v>
      </c>
      <c r="F168" s="185">
        <v>1464100</v>
      </c>
      <c r="G168" s="184" t="s">
        <v>5</v>
      </c>
      <c r="H168" s="185">
        <v>1610510</v>
      </c>
      <c r="I168" s="184" t="s">
        <v>5</v>
      </c>
      <c r="J168" s="185">
        <v>1771561</v>
      </c>
      <c r="K168" s="184" t="s">
        <v>5</v>
      </c>
      <c r="L168" s="185">
        <v>0</v>
      </c>
      <c r="M168" s="184" t="s">
        <v>5</v>
      </c>
      <c r="N168" s="197">
        <f t="shared" si="7"/>
        <v>1464100</v>
      </c>
      <c r="O168" s="187"/>
      <c r="P168" s="187"/>
    </row>
    <row r="169" spans="1:16" ht="30" customHeight="1" x14ac:dyDescent="0.3">
      <c r="A169" s="131" t="s">
        <v>592</v>
      </c>
      <c r="B169" s="131" t="s">
        <v>2346</v>
      </c>
      <c r="C169" s="132" t="s">
        <v>12</v>
      </c>
      <c r="D169" s="123">
        <v>0</v>
      </c>
      <c r="E169" s="128" t="s">
        <v>5</v>
      </c>
      <c r="F169" s="127">
        <v>21890</v>
      </c>
      <c r="G169" s="128" t="s">
        <v>5</v>
      </c>
      <c r="H169" s="127">
        <v>24079</v>
      </c>
      <c r="I169" s="128" t="s">
        <v>5</v>
      </c>
      <c r="J169" s="127">
        <v>26487</v>
      </c>
      <c r="K169" s="128" t="s">
        <v>5</v>
      </c>
      <c r="L169" s="127">
        <v>0</v>
      </c>
      <c r="M169" s="128" t="s">
        <v>5</v>
      </c>
      <c r="N169" s="135">
        <f t="shared" si="7"/>
        <v>21890</v>
      </c>
      <c r="O169" s="124"/>
      <c r="P169" s="124"/>
    </row>
    <row r="170" spans="1:16" ht="30" customHeight="1" x14ac:dyDescent="0.3">
      <c r="A170" s="131" t="s">
        <v>592</v>
      </c>
      <c r="B170" s="131" t="s">
        <v>2347</v>
      </c>
      <c r="C170" s="132" t="s">
        <v>12</v>
      </c>
      <c r="D170" s="123">
        <v>0</v>
      </c>
      <c r="E170" s="128" t="s">
        <v>5</v>
      </c>
      <c r="F170" s="127">
        <v>73700</v>
      </c>
      <c r="G170" s="128" t="s">
        <v>5</v>
      </c>
      <c r="H170" s="127">
        <v>81070</v>
      </c>
      <c r="I170" s="128" t="s">
        <v>5</v>
      </c>
      <c r="J170" s="127">
        <v>89177</v>
      </c>
      <c r="K170" s="128" t="s">
        <v>5</v>
      </c>
      <c r="L170" s="127">
        <v>0</v>
      </c>
      <c r="M170" s="128" t="s">
        <v>5</v>
      </c>
      <c r="N170" s="135">
        <f t="shared" si="7"/>
        <v>73700</v>
      </c>
      <c r="O170" s="124"/>
      <c r="P170" s="124"/>
    </row>
    <row r="171" spans="1:16" ht="30" customHeight="1" x14ac:dyDescent="0.3">
      <c r="A171" s="131" t="s">
        <v>592</v>
      </c>
      <c r="B171" s="131" t="s">
        <v>2348</v>
      </c>
      <c r="C171" s="132" t="s">
        <v>12</v>
      </c>
      <c r="D171" s="123">
        <v>0</v>
      </c>
      <c r="E171" s="128" t="s">
        <v>5</v>
      </c>
      <c r="F171" s="127">
        <v>79200</v>
      </c>
      <c r="G171" s="128" t="s">
        <v>5</v>
      </c>
      <c r="H171" s="127">
        <v>87120</v>
      </c>
      <c r="I171" s="128" t="s">
        <v>5</v>
      </c>
      <c r="J171" s="127">
        <v>95832</v>
      </c>
      <c r="K171" s="128" t="s">
        <v>5</v>
      </c>
      <c r="L171" s="127">
        <v>0</v>
      </c>
      <c r="M171" s="128" t="s">
        <v>5</v>
      </c>
      <c r="N171" s="135">
        <f t="shared" si="7"/>
        <v>79200</v>
      </c>
      <c r="O171" s="124"/>
      <c r="P171" s="124"/>
    </row>
    <row r="172" spans="1:16" ht="30" customHeight="1" x14ac:dyDescent="0.3">
      <c r="A172" s="131" t="s">
        <v>593</v>
      </c>
      <c r="B172" s="131" t="s">
        <v>2349</v>
      </c>
      <c r="C172" s="132" t="s">
        <v>12</v>
      </c>
      <c r="D172" s="123">
        <v>0</v>
      </c>
      <c r="E172" s="128" t="s">
        <v>5</v>
      </c>
      <c r="F172" s="127">
        <v>1650</v>
      </c>
      <c r="G172" s="128" t="s">
        <v>5</v>
      </c>
      <c r="H172" s="127">
        <v>1815</v>
      </c>
      <c r="I172" s="128" t="s">
        <v>5</v>
      </c>
      <c r="J172" s="127">
        <v>1997</v>
      </c>
      <c r="K172" s="128" t="s">
        <v>5</v>
      </c>
      <c r="L172" s="127">
        <v>0</v>
      </c>
      <c r="M172" s="128" t="s">
        <v>5</v>
      </c>
      <c r="N172" s="135">
        <f t="shared" si="7"/>
        <v>1650</v>
      </c>
      <c r="O172" s="124"/>
      <c r="P172" s="124"/>
    </row>
    <row r="173" spans="1:16" ht="30" customHeight="1" x14ac:dyDescent="0.3">
      <c r="A173" s="131" t="s">
        <v>593</v>
      </c>
      <c r="B173" s="131" t="s">
        <v>2350</v>
      </c>
      <c r="C173" s="132" t="s">
        <v>12</v>
      </c>
      <c r="D173" s="123">
        <v>0</v>
      </c>
      <c r="E173" s="128" t="s">
        <v>5</v>
      </c>
      <c r="F173" s="127">
        <v>5830</v>
      </c>
      <c r="G173" s="128" t="s">
        <v>5</v>
      </c>
      <c r="H173" s="127">
        <v>6413</v>
      </c>
      <c r="I173" s="128" t="s">
        <v>5</v>
      </c>
      <c r="J173" s="127">
        <v>7054</v>
      </c>
      <c r="K173" s="128" t="s">
        <v>5</v>
      </c>
      <c r="L173" s="127">
        <v>0</v>
      </c>
      <c r="M173" s="128" t="s">
        <v>5</v>
      </c>
      <c r="N173" s="135">
        <f t="shared" ref="N173" si="8">SMALL(D173:L173,COUNTIF(D173:L173,0)+1)</f>
        <v>5830</v>
      </c>
      <c r="O173" s="124"/>
      <c r="P173" s="124"/>
    </row>
    <row r="174" spans="1:16" ht="30" customHeight="1" x14ac:dyDescent="0.3">
      <c r="A174" s="131" t="s">
        <v>2351</v>
      </c>
      <c r="B174" s="131" t="s">
        <v>2352</v>
      </c>
      <c r="C174" s="132" t="s">
        <v>12</v>
      </c>
      <c r="D174" s="123">
        <v>0</v>
      </c>
      <c r="E174" s="128" t="s">
        <v>5</v>
      </c>
      <c r="F174" s="127">
        <v>147400</v>
      </c>
      <c r="G174" s="128" t="s">
        <v>5</v>
      </c>
      <c r="H174" s="127">
        <v>162140</v>
      </c>
      <c r="I174" s="128" t="s">
        <v>5</v>
      </c>
      <c r="J174" s="127">
        <v>178354</v>
      </c>
      <c r="K174" s="128" t="s">
        <v>5</v>
      </c>
      <c r="L174" s="127">
        <v>0</v>
      </c>
      <c r="M174" s="128" t="s">
        <v>5</v>
      </c>
      <c r="N174" s="135">
        <f t="shared" si="7"/>
        <v>147400</v>
      </c>
      <c r="O174" s="124"/>
      <c r="P174" s="124"/>
    </row>
    <row r="175" spans="1:16" ht="30" customHeight="1" x14ac:dyDescent="0.3">
      <c r="A175" s="131" t="s">
        <v>2351</v>
      </c>
      <c r="B175" s="131" t="s">
        <v>2353</v>
      </c>
      <c r="C175" s="132" t="s">
        <v>12</v>
      </c>
      <c r="D175" s="123">
        <v>0</v>
      </c>
      <c r="E175" s="128" t="s">
        <v>5</v>
      </c>
      <c r="F175" s="127">
        <v>3850</v>
      </c>
      <c r="G175" s="128" t="s">
        <v>5</v>
      </c>
      <c r="H175" s="127">
        <v>4235</v>
      </c>
      <c r="I175" s="128" t="s">
        <v>5</v>
      </c>
      <c r="J175" s="127">
        <v>4659</v>
      </c>
      <c r="K175" s="128" t="s">
        <v>5</v>
      </c>
      <c r="L175" s="127">
        <v>0</v>
      </c>
      <c r="M175" s="128" t="s">
        <v>5</v>
      </c>
      <c r="N175" s="135">
        <f t="shared" ref="N175" si="9">SMALL(D175:L175,COUNTIF(D175:L175,0)+1)</f>
        <v>3850</v>
      </c>
      <c r="O175" s="124"/>
      <c r="P175" s="124"/>
    </row>
    <row r="176" spans="1:16" ht="30" customHeight="1" x14ac:dyDescent="0.3">
      <c r="A176" s="131" t="s">
        <v>594</v>
      </c>
      <c r="B176" s="131" t="s">
        <v>2354</v>
      </c>
      <c r="C176" s="132" t="s">
        <v>12</v>
      </c>
      <c r="D176" s="123">
        <v>0</v>
      </c>
      <c r="E176" s="128" t="s">
        <v>5</v>
      </c>
      <c r="F176" s="127">
        <v>37400</v>
      </c>
      <c r="G176" s="128" t="s">
        <v>5</v>
      </c>
      <c r="H176" s="127">
        <v>41140</v>
      </c>
      <c r="I176" s="128" t="s">
        <v>5</v>
      </c>
      <c r="J176" s="127">
        <v>45254</v>
      </c>
      <c r="K176" s="128" t="s">
        <v>5</v>
      </c>
      <c r="L176" s="127">
        <v>0</v>
      </c>
      <c r="M176" s="128" t="s">
        <v>5</v>
      </c>
      <c r="N176" s="135">
        <f t="shared" si="7"/>
        <v>37400</v>
      </c>
      <c r="O176" s="124"/>
      <c r="P176" s="124"/>
    </row>
    <row r="177" spans="1:16" ht="30" customHeight="1" x14ac:dyDescent="0.3">
      <c r="A177" s="131" t="s">
        <v>595</v>
      </c>
      <c r="B177" s="131" t="s">
        <v>803</v>
      </c>
      <c r="C177" s="132" t="s">
        <v>12</v>
      </c>
      <c r="D177" s="123">
        <v>0</v>
      </c>
      <c r="E177" s="128" t="s">
        <v>5</v>
      </c>
      <c r="F177" s="127">
        <v>0</v>
      </c>
      <c r="G177" s="128" t="s">
        <v>5</v>
      </c>
      <c r="H177" s="127">
        <v>1658000</v>
      </c>
      <c r="I177" s="128" t="s">
        <v>2167</v>
      </c>
      <c r="J177" s="127">
        <v>0</v>
      </c>
      <c r="K177" s="128" t="s">
        <v>5</v>
      </c>
      <c r="L177" s="127">
        <v>0</v>
      </c>
      <c r="M177" s="128" t="s">
        <v>5</v>
      </c>
      <c r="N177" s="135">
        <f t="shared" si="7"/>
        <v>1658000</v>
      </c>
      <c r="O177" s="124"/>
      <c r="P177" s="124"/>
    </row>
    <row r="178" spans="1:16" ht="30" customHeight="1" x14ac:dyDescent="0.3">
      <c r="A178" s="131" t="s">
        <v>595</v>
      </c>
      <c r="B178" s="131" t="s">
        <v>804</v>
      </c>
      <c r="C178" s="132" t="s">
        <v>12</v>
      </c>
      <c r="D178" s="123">
        <v>0</v>
      </c>
      <c r="E178" s="128" t="s">
        <v>5</v>
      </c>
      <c r="F178" s="127">
        <v>0</v>
      </c>
      <c r="G178" s="128" t="s">
        <v>5</v>
      </c>
      <c r="H178" s="127">
        <v>1933000</v>
      </c>
      <c r="I178" s="128" t="s">
        <v>2167</v>
      </c>
      <c r="J178" s="127">
        <v>0</v>
      </c>
      <c r="K178" s="128" t="s">
        <v>5</v>
      </c>
      <c r="L178" s="127">
        <v>0</v>
      </c>
      <c r="M178" s="128" t="s">
        <v>5</v>
      </c>
      <c r="N178" s="135">
        <f t="shared" si="7"/>
        <v>1933000</v>
      </c>
      <c r="O178" s="124"/>
      <c r="P178" s="124"/>
    </row>
    <row r="179" spans="1:16" ht="30" customHeight="1" x14ac:dyDescent="0.3">
      <c r="A179" s="131" t="s">
        <v>595</v>
      </c>
      <c r="B179" s="131" t="s">
        <v>805</v>
      </c>
      <c r="C179" s="132" t="s">
        <v>12</v>
      </c>
      <c r="D179" s="123">
        <v>0</v>
      </c>
      <c r="E179" s="128" t="s">
        <v>5</v>
      </c>
      <c r="F179" s="127">
        <v>0</v>
      </c>
      <c r="G179" s="128" t="s">
        <v>5</v>
      </c>
      <c r="H179" s="127">
        <v>2278000</v>
      </c>
      <c r="I179" s="128" t="s">
        <v>2167</v>
      </c>
      <c r="J179" s="127">
        <v>0</v>
      </c>
      <c r="K179" s="128" t="s">
        <v>5</v>
      </c>
      <c r="L179" s="127">
        <v>0</v>
      </c>
      <c r="M179" s="128" t="s">
        <v>5</v>
      </c>
      <c r="N179" s="135">
        <f t="shared" ref="N179" si="10">SMALL(D179:L179,COUNTIF(D179:L179,0)+1)</f>
        <v>2278000</v>
      </c>
      <c r="O179" s="124"/>
      <c r="P179" s="124"/>
    </row>
    <row r="180" spans="1:16" ht="30" customHeight="1" x14ac:dyDescent="0.3">
      <c r="A180" s="131" t="s">
        <v>595</v>
      </c>
      <c r="B180" s="131" t="s">
        <v>806</v>
      </c>
      <c r="C180" s="132" t="s">
        <v>12</v>
      </c>
      <c r="D180" s="123">
        <v>0</v>
      </c>
      <c r="E180" s="128" t="s">
        <v>5</v>
      </c>
      <c r="F180" s="127">
        <v>0</v>
      </c>
      <c r="G180" s="128" t="s">
        <v>5</v>
      </c>
      <c r="H180" s="127">
        <v>2573000</v>
      </c>
      <c r="I180" s="128" t="s">
        <v>2167</v>
      </c>
      <c r="J180" s="127">
        <v>0</v>
      </c>
      <c r="K180" s="128" t="s">
        <v>5</v>
      </c>
      <c r="L180" s="127">
        <v>0</v>
      </c>
      <c r="M180" s="128" t="s">
        <v>5</v>
      </c>
      <c r="N180" s="135">
        <f t="shared" si="7"/>
        <v>2573000</v>
      </c>
      <c r="O180" s="124"/>
      <c r="P180" s="124"/>
    </row>
    <row r="181" spans="1:16" ht="30" customHeight="1" x14ac:dyDescent="0.3">
      <c r="A181" s="131" t="s">
        <v>595</v>
      </c>
      <c r="B181" s="131" t="s">
        <v>807</v>
      </c>
      <c r="C181" s="132" t="s">
        <v>12</v>
      </c>
      <c r="D181" s="123">
        <v>0</v>
      </c>
      <c r="E181" s="128" t="s">
        <v>5</v>
      </c>
      <c r="F181" s="127">
        <v>0</v>
      </c>
      <c r="G181" s="128" t="s">
        <v>5</v>
      </c>
      <c r="H181" s="127">
        <v>2875000</v>
      </c>
      <c r="I181" s="128" t="s">
        <v>2167</v>
      </c>
      <c r="J181" s="127">
        <v>0</v>
      </c>
      <c r="K181" s="128" t="s">
        <v>5</v>
      </c>
      <c r="L181" s="127">
        <v>0</v>
      </c>
      <c r="M181" s="128" t="s">
        <v>5</v>
      </c>
      <c r="N181" s="135">
        <f t="shared" si="7"/>
        <v>2875000</v>
      </c>
      <c r="O181" s="124"/>
      <c r="P181" s="124"/>
    </row>
    <row r="182" spans="1:16" ht="30" customHeight="1" x14ac:dyDescent="0.3">
      <c r="A182" s="131" t="s">
        <v>596</v>
      </c>
      <c r="B182" s="131" t="s">
        <v>597</v>
      </c>
      <c r="C182" s="132" t="s">
        <v>12</v>
      </c>
      <c r="D182" s="123">
        <v>0</v>
      </c>
      <c r="E182" s="128" t="s">
        <v>5</v>
      </c>
      <c r="F182" s="127">
        <v>0</v>
      </c>
      <c r="G182" s="128" t="s">
        <v>5</v>
      </c>
      <c r="H182" s="127">
        <v>253000</v>
      </c>
      <c r="I182" s="128" t="s">
        <v>2167</v>
      </c>
      <c r="J182" s="127">
        <v>0</v>
      </c>
      <c r="K182" s="128" t="s">
        <v>5</v>
      </c>
      <c r="L182" s="127">
        <v>0</v>
      </c>
      <c r="M182" s="128" t="s">
        <v>5</v>
      </c>
      <c r="N182" s="135">
        <f t="shared" si="7"/>
        <v>253000</v>
      </c>
      <c r="O182" s="124"/>
      <c r="P182" s="124"/>
    </row>
    <row r="183" spans="1:16" ht="30" customHeight="1" x14ac:dyDescent="0.3">
      <c r="A183" s="131" t="s">
        <v>598</v>
      </c>
      <c r="B183" s="131" t="s">
        <v>599</v>
      </c>
      <c r="C183" s="132" t="s">
        <v>12</v>
      </c>
      <c r="D183" s="123">
        <v>16164</v>
      </c>
      <c r="E183" s="128" t="s">
        <v>5</v>
      </c>
      <c r="F183" s="127">
        <v>18000</v>
      </c>
      <c r="G183" s="128" t="s">
        <v>780</v>
      </c>
      <c r="H183" s="127">
        <v>40000</v>
      </c>
      <c r="I183" s="128" t="s">
        <v>781</v>
      </c>
      <c r="J183" s="127">
        <v>34400</v>
      </c>
      <c r="K183" s="128" t="s">
        <v>1651</v>
      </c>
      <c r="L183" s="127">
        <v>0</v>
      </c>
      <c r="M183" s="128" t="s">
        <v>5</v>
      </c>
      <c r="N183" s="135">
        <f t="shared" si="7"/>
        <v>16164</v>
      </c>
      <c r="O183" s="124"/>
      <c r="P183" s="124"/>
    </row>
    <row r="184" spans="1:16" ht="30" customHeight="1" x14ac:dyDescent="0.3">
      <c r="A184" s="131" t="s">
        <v>598</v>
      </c>
      <c r="B184" s="131" t="s">
        <v>600</v>
      </c>
      <c r="C184" s="132" t="s">
        <v>12</v>
      </c>
      <c r="D184" s="123">
        <v>13582</v>
      </c>
      <c r="E184" s="128" t="s">
        <v>5</v>
      </c>
      <c r="F184" s="127">
        <v>0</v>
      </c>
      <c r="G184" s="128" t="s">
        <v>5</v>
      </c>
      <c r="H184" s="127">
        <v>0</v>
      </c>
      <c r="I184" s="128" t="s">
        <v>5</v>
      </c>
      <c r="J184" s="127">
        <v>0</v>
      </c>
      <c r="K184" s="128" t="s">
        <v>5</v>
      </c>
      <c r="L184" s="127">
        <v>0</v>
      </c>
      <c r="M184" s="128" t="s">
        <v>5</v>
      </c>
      <c r="N184" s="135">
        <f t="shared" si="7"/>
        <v>13582</v>
      </c>
      <c r="O184" s="124"/>
      <c r="P184" s="124"/>
    </row>
    <row r="185" spans="1:16" ht="30" customHeight="1" x14ac:dyDescent="0.3">
      <c r="A185" s="131" t="s">
        <v>602</v>
      </c>
      <c r="B185" s="131" t="s">
        <v>603</v>
      </c>
      <c r="C185" s="132" t="s">
        <v>12</v>
      </c>
      <c r="D185" s="123">
        <v>13577</v>
      </c>
      <c r="E185" s="128" t="s">
        <v>5</v>
      </c>
      <c r="F185" s="127">
        <v>0</v>
      </c>
      <c r="G185" s="128" t="s">
        <v>5</v>
      </c>
      <c r="H185" s="127">
        <v>0</v>
      </c>
      <c r="I185" s="128" t="s">
        <v>5</v>
      </c>
      <c r="J185" s="127">
        <v>40500</v>
      </c>
      <c r="K185" s="128" t="s">
        <v>1651</v>
      </c>
      <c r="L185" s="127">
        <v>0</v>
      </c>
      <c r="M185" s="128" t="s">
        <v>5</v>
      </c>
      <c r="N185" s="135">
        <f t="shared" si="7"/>
        <v>13577</v>
      </c>
      <c r="O185" s="124"/>
      <c r="P185" s="124"/>
    </row>
    <row r="186" spans="1:16" ht="30" customHeight="1" x14ac:dyDescent="0.3">
      <c r="A186" s="131" t="s">
        <v>602</v>
      </c>
      <c r="B186" s="131" t="s">
        <v>604</v>
      </c>
      <c r="C186" s="132" t="s">
        <v>12</v>
      </c>
      <c r="D186" s="123">
        <v>23036</v>
      </c>
      <c r="E186" s="128" t="s">
        <v>5</v>
      </c>
      <c r="F186" s="127">
        <v>42000</v>
      </c>
      <c r="G186" s="128" t="s">
        <v>780</v>
      </c>
      <c r="H186" s="127">
        <v>34000</v>
      </c>
      <c r="I186" s="128" t="s">
        <v>782</v>
      </c>
      <c r="J186" s="127">
        <v>0</v>
      </c>
      <c r="K186" s="128"/>
      <c r="L186" s="127">
        <v>0</v>
      </c>
      <c r="M186" s="128" t="s">
        <v>5</v>
      </c>
      <c r="N186" s="135">
        <f t="shared" si="7"/>
        <v>23036</v>
      </c>
      <c r="O186" s="124"/>
      <c r="P186" s="124"/>
    </row>
    <row r="187" spans="1:16" ht="30" customHeight="1" x14ac:dyDescent="0.3">
      <c r="A187" s="131" t="s">
        <v>598</v>
      </c>
      <c r="B187" s="131" t="s">
        <v>601</v>
      </c>
      <c r="C187" s="132" t="s">
        <v>12</v>
      </c>
      <c r="D187" s="123">
        <v>35027</v>
      </c>
      <c r="E187" s="128" t="s">
        <v>5</v>
      </c>
      <c r="F187" s="127">
        <v>0</v>
      </c>
      <c r="G187" s="128" t="s">
        <v>5</v>
      </c>
      <c r="H187" s="127">
        <v>26400</v>
      </c>
      <c r="I187" s="128" t="s">
        <v>782</v>
      </c>
      <c r="J187" s="127">
        <v>0</v>
      </c>
      <c r="K187" s="128" t="s">
        <v>5</v>
      </c>
      <c r="L187" s="127">
        <v>0</v>
      </c>
      <c r="M187" s="128" t="s">
        <v>5</v>
      </c>
      <c r="N187" s="135">
        <f t="shared" si="7"/>
        <v>26400</v>
      </c>
      <c r="O187" s="124"/>
      <c r="P187" s="124"/>
    </row>
    <row r="188" spans="1:16" ht="30" customHeight="1" x14ac:dyDescent="0.3">
      <c r="A188" s="131" t="s">
        <v>607</v>
      </c>
      <c r="B188" s="131" t="s">
        <v>608</v>
      </c>
      <c r="C188" s="132" t="s">
        <v>12</v>
      </c>
      <c r="D188" s="123">
        <v>0</v>
      </c>
      <c r="E188" s="128" t="s">
        <v>5</v>
      </c>
      <c r="F188" s="127">
        <v>45000</v>
      </c>
      <c r="G188" s="128" t="s">
        <v>780</v>
      </c>
      <c r="H188" s="127">
        <v>55000</v>
      </c>
      <c r="I188" s="128" t="s">
        <v>782</v>
      </c>
      <c r="J188" s="127">
        <v>68800</v>
      </c>
      <c r="K188" s="128" t="s">
        <v>1651</v>
      </c>
      <c r="L188" s="127">
        <v>0</v>
      </c>
      <c r="M188" s="128" t="s">
        <v>5</v>
      </c>
      <c r="N188" s="135">
        <f t="shared" si="7"/>
        <v>45000</v>
      </c>
      <c r="O188" s="124"/>
      <c r="P188" s="124"/>
    </row>
    <row r="189" spans="1:16" ht="30" customHeight="1" x14ac:dyDescent="0.3">
      <c r="A189" s="131" t="s">
        <v>607</v>
      </c>
      <c r="B189" s="131" t="s">
        <v>609</v>
      </c>
      <c r="C189" s="132" t="s">
        <v>12</v>
      </c>
      <c r="D189" s="123">
        <v>0</v>
      </c>
      <c r="E189" s="128" t="s">
        <v>5</v>
      </c>
      <c r="F189" s="127">
        <v>66000</v>
      </c>
      <c r="G189" s="128" t="s">
        <v>780</v>
      </c>
      <c r="H189" s="127">
        <v>75000</v>
      </c>
      <c r="I189" s="128" t="s">
        <v>782</v>
      </c>
      <c r="J189" s="127">
        <v>88500</v>
      </c>
      <c r="K189" s="128" t="s">
        <v>1651</v>
      </c>
      <c r="L189" s="127">
        <v>0</v>
      </c>
      <c r="M189" s="128" t="s">
        <v>5</v>
      </c>
      <c r="N189" s="135">
        <f t="shared" si="7"/>
        <v>66000</v>
      </c>
      <c r="O189" s="124"/>
      <c r="P189" s="124"/>
    </row>
    <row r="190" spans="1:16" ht="30" customHeight="1" x14ac:dyDescent="0.3">
      <c r="A190" s="131" t="s">
        <v>607</v>
      </c>
      <c r="B190" s="131" t="s">
        <v>610</v>
      </c>
      <c r="C190" s="132" t="s">
        <v>12</v>
      </c>
      <c r="D190" s="123">
        <v>0</v>
      </c>
      <c r="E190" s="128" t="s">
        <v>5</v>
      </c>
      <c r="F190" s="127">
        <v>79000</v>
      </c>
      <c r="G190" s="128" t="s">
        <v>780</v>
      </c>
      <c r="H190" s="127">
        <v>103000</v>
      </c>
      <c r="I190" s="128" t="s">
        <v>782</v>
      </c>
      <c r="J190" s="127">
        <v>0</v>
      </c>
      <c r="K190" s="128" t="s">
        <v>5</v>
      </c>
      <c r="L190" s="127">
        <v>0</v>
      </c>
      <c r="M190" s="128" t="s">
        <v>5</v>
      </c>
      <c r="N190" s="135">
        <f t="shared" si="7"/>
        <v>79000</v>
      </c>
      <c r="O190" s="124"/>
      <c r="P190" s="124"/>
    </row>
    <row r="191" spans="1:16" ht="30" customHeight="1" x14ac:dyDescent="0.3">
      <c r="A191" s="131" t="s">
        <v>607</v>
      </c>
      <c r="B191" s="131" t="s">
        <v>611</v>
      </c>
      <c r="C191" s="132" t="s">
        <v>12</v>
      </c>
      <c r="D191" s="123">
        <v>0</v>
      </c>
      <c r="E191" s="128" t="s">
        <v>5</v>
      </c>
      <c r="F191" s="127">
        <v>97000</v>
      </c>
      <c r="G191" s="128" t="s">
        <v>780</v>
      </c>
      <c r="H191" s="127">
        <v>120000</v>
      </c>
      <c r="I191" s="128" t="s">
        <v>782</v>
      </c>
      <c r="J191" s="127">
        <v>0</v>
      </c>
      <c r="K191" s="128" t="s">
        <v>5</v>
      </c>
      <c r="L191" s="127">
        <v>0</v>
      </c>
      <c r="M191" s="128" t="s">
        <v>5</v>
      </c>
      <c r="N191" s="135">
        <f t="shared" si="7"/>
        <v>97000</v>
      </c>
      <c r="O191" s="124"/>
      <c r="P191" s="124"/>
    </row>
    <row r="192" spans="1:16" ht="30" customHeight="1" x14ac:dyDescent="0.3">
      <c r="A192" s="131" t="s">
        <v>607</v>
      </c>
      <c r="B192" s="131" t="s">
        <v>1577</v>
      </c>
      <c r="C192" s="132" t="s">
        <v>12</v>
      </c>
      <c r="D192" s="123">
        <v>0</v>
      </c>
      <c r="E192" s="128" t="s">
        <v>5</v>
      </c>
      <c r="F192" s="127">
        <v>0</v>
      </c>
      <c r="G192" s="128" t="s">
        <v>5</v>
      </c>
      <c r="H192" s="127">
        <v>59000</v>
      </c>
      <c r="I192" s="128" t="s">
        <v>782</v>
      </c>
      <c r="J192" s="127"/>
      <c r="K192" s="128"/>
      <c r="L192" s="127">
        <v>0</v>
      </c>
      <c r="M192" s="128" t="s">
        <v>5</v>
      </c>
      <c r="N192" s="135">
        <f t="shared" si="7"/>
        <v>59000</v>
      </c>
      <c r="O192" s="124"/>
      <c r="P192" s="124"/>
    </row>
    <row r="193" spans="1:16" ht="30" customHeight="1" x14ac:dyDescent="0.3">
      <c r="A193" s="131" t="s">
        <v>607</v>
      </c>
      <c r="B193" s="131" t="s">
        <v>612</v>
      </c>
      <c r="C193" s="132" t="s">
        <v>12</v>
      </c>
      <c r="D193" s="123">
        <v>0</v>
      </c>
      <c r="E193" s="128" t="s">
        <v>5</v>
      </c>
      <c r="F193" s="127">
        <v>0</v>
      </c>
      <c r="G193" s="128" t="s">
        <v>5</v>
      </c>
      <c r="H193" s="127">
        <v>78000</v>
      </c>
      <c r="I193" s="128" t="s">
        <v>782</v>
      </c>
      <c r="J193" s="127">
        <v>79900</v>
      </c>
      <c r="K193" s="128" t="s">
        <v>1651</v>
      </c>
      <c r="L193" s="127">
        <v>0</v>
      </c>
      <c r="M193" s="128" t="s">
        <v>5</v>
      </c>
      <c r="N193" s="135">
        <f t="shared" si="7"/>
        <v>78000</v>
      </c>
      <c r="O193" s="124"/>
      <c r="P193" s="124"/>
    </row>
    <row r="194" spans="1:16" ht="30" customHeight="1" x14ac:dyDescent="0.3">
      <c r="A194" s="131" t="s">
        <v>607</v>
      </c>
      <c r="B194" s="131" t="s">
        <v>613</v>
      </c>
      <c r="C194" s="132" t="s">
        <v>12</v>
      </c>
      <c r="D194" s="123">
        <v>0</v>
      </c>
      <c r="E194" s="128" t="s">
        <v>5</v>
      </c>
      <c r="F194" s="127">
        <v>0</v>
      </c>
      <c r="G194" s="128" t="s">
        <v>5</v>
      </c>
      <c r="H194" s="127">
        <v>106000</v>
      </c>
      <c r="I194" s="128" t="s">
        <v>782</v>
      </c>
      <c r="J194" s="127">
        <v>123000</v>
      </c>
      <c r="K194" s="128" t="s">
        <v>1651</v>
      </c>
      <c r="L194" s="127">
        <v>0</v>
      </c>
      <c r="M194" s="128" t="s">
        <v>5</v>
      </c>
      <c r="N194" s="135">
        <f t="shared" si="7"/>
        <v>106000</v>
      </c>
      <c r="O194" s="124"/>
      <c r="P194" s="124"/>
    </row>
    <row r="195" spans="1:16" ht="30" customHeight="1" x14ac:dyDescent="0.3">
      <c r="A195" s="131" t="s">
        <v>607</v>
      </c>
      <c r="B195" s="131" t="s">
        <v>614</v>
      </c>
      <c r="C195" s="132" t="s">
        <v>12</v>
      </c>
      <c r="D195" s="123">
        <v>0</v>
      </c>
      <c r="E195" s="128" t="s">
        <v>5</v>
      </c>
      <c r="F195" s="127">
        <v>0</v>
      </c>
      <c r="G195" s="128" t="s">
        <v>5</v>
      </c>
      <c r="H195" s="127">
        <v>123000</v>
      </c>
      <c r="I195" s="128" t="s">
        <v>782</v>
      </c>
      <c r="J195" s="127">
        <v>0</v>
      </c>
      <c r="K195" s="128" t="s">
        <v>5</v>
      </c>
      <c r="L195" s="127">
        <v>0</v>
      </c>
      <c r="M195" s="128" t="s">
        <v>5</v>
      </c>
      <c r="N195" s="135">
        <f t="shared" si="7"/>
        <v>123000</v>
      </c>
      <c r="O195" s="124"/>
      <c r="P195" s="124"/>
    </row>
    <row r="196" spans="1:16" ht="30" customHeight="1" x14ac:dyDescent="0.3">
      <c r="A196" s="131" t="s">
        <v>605</v>
      </c>
      <c r="B196" s="131" t="s">
        <v>606</v>
      </c>
      <c r="C196" s="132" t="s">
        <v>12</v>
      </c>
      <c r="D196" s="123">
        <v>0</v>
      </c>
      <c r="E196" s="128" t="s">
        <v>5</v>
      </c>
      <c r="F196" s="127">
        <v>0</v>
      </c>
      <c r="G196" s="128" t="s">
        <v>5</v>
      </c>
      <c r="H196" s="127">
        <v>27000</v>
      </c>
      <c r="I196" s="128" t="s">
        <v>781</v>
      </c>
      <c r="J196" s="127">
        <v>0</v>
      </c>
      <c r="K196" s="128" t="s">
        <v>5</v>
      </c>
      <c r="L196" s="127">
        <v>0</v>
      </c>
      <c r="M196" s="128" t="s">
        <v>5</v>
      </c>
      <c r="N196" s="135">
        <f t="shared" si="7"/>
        <v>27000</v>
      </c>
      <c r="O196" s="124"/>
      <c r="P196" s="124"/>
    </row>
    <row r="197" spans="1:16" ht="30" customHeight="1" x14ac:dyDescent="0.3">
      <c r="A197" s="131" t="s">
        <v>605</v>
      </c>
      <c r="B197" s="131" t="s">
        <v>1578</v>
      </c>
      <c r="C197" s="132" t="s">
        <v>12</v>
      </c>
      <c r="D197" s="123">
        <v>0</v>
      </c>
      <c r="E197" s="128" t="s">
        <v>5</v>
      </c>
      <c r="F197" s="127">
        <v>0</v>
      </c>
      <c r="G197" s="128" t="s">
        <v>5</v>
      </c>
      <c r="H197" s="127">
        <v>27000</v>
      </c>
      <c r="I197" s="128" t="s">
        <v>781</v>
      </c>
      <c r="J197" s="127">
        <v>15900</v>
      </c>
      <c r="K197" s="128" t="s">
        <v>1651</v>
      </c>
      <c r="L197" s="127">
        <v>0</v>
      </c>
      <c r="M197" s="128" t="s">
        <v>5</v>
      </c>
      <c r="N197" s="135">
        <f t="shared" si="7"/>
        <v>15900</v>
      </c>
      <c r="O197" s="124"/>
      <c r="P197" s="124"/>
    </row>
    <row r="198" spans="1:16" ht="30" customHeight="1" x14ac:dyDescent="0.3">
      <c r="A198" s="131" t="s">
        <v>615</v>
      </c>
      <c r="B198" s="131" t="s">
        <v>616</v>
      </c>
      <c r="C198" s="132" t="s">
        <v>12</v>
      </c>
      <c r="D198" s="123">
        <v>0</v>
      </c>
      <c r="E198" s="128" t="s">
        <v>5</v>
      </c>
      <c r="F198" s="127">
        <v>0</v>
      </c>
      <c r="G198" s="128" t="s">
        <v>5</v>
      </c>
      <c r="H198" s="127">
        <v>8000</v>
      </c>
      <c r="I198" s="128" t="s">
        <v>776</v>
      </c>
      <c r="J198" s="127">
        <v>0</v>
      </c>
      <c r="K198" s="128" t="s">
        <v>5</v>
      </c>
      <c r="L198" s="127">
        <v>0</v>
      </c>
      <c r="M198" s="128" t="s">
        <v>5</v>
      </c>
      <c r="N198" s="135">
        <f t="shared" si="7"/>
        <v>8000</v>
      </c>
      <c r="O198" s="124"/>
      <c r="P198" s="124"/>
    </row>
    <row r="199" spans="1:16" ht="30" customHeight="1" x14ac:dyDescent="0.3">
      <c r="A199" s="131" t="s">
        <v>615</v>
      </c>
      <c r="B199" s="131" t="s">
        <v>617</v>
      </c>
      <c r="C199" s="132" t="s">
        <v>12</v>
      </c>
      <c r="D199" s="123">
        <v>0</v>
      </c>
      <c r="E199" s="128" t="s">
        <v>5</v>
      </c>
      <c r="F199" s="127">
        <v>0</v>
      </c>
      <c r="G199" s="128" t="s">
        <v>5</v>
      </c>
      <c r="H199" s="127">
        <v>98000</v>
      </c>
      <c r="I199" s="128" t="s">
        <v>776</v>
      </c>
      <c r="J199" s="127">
        <v>0</v>
      </c>
      <c r="K199" s="128" t="s">
        <v>5</v>
      </c>
      <c r="L199" s="127">
        <v>0</v>
      </c>
      <c r="M199" s="128" t="s">
        <v>5</v>
      </c>
      <c r="N199" s="135">
        <f t="shared" si="7"/>
        <v>98000</v>
      </c>
      <c r="O199" s="124"/>
      <c r="P199" s="124"/>
    </row>
    <row r="200" spans="1:16" ht="30" customHeight="1" x14ac:dyDescent="0.3">
      <c r="A200" s="131" t="s">
        <v>615</v>
      </c>
      <c r="B200" s="131" t="s">
        <v>618</v>
      </c>
      <c r="C200" s="132" t="s">
        <v>12</v>
      </c>
      <c r="D200" s="123">
        <v>0</v>
      </c>
      <c r="E200" s="128" t="s">
        <v>5</v>
      </c>
      <c r="F200" s="127">
        <v>0</v>
      </c>
      <c r="G200" s="128" t="s">
        <v>5</v>
      </c>
      <c r="H200" s="127">
        <v>132000</v>
      </c>
      <c r="I200" s="128" t="s">
        <v>776</v>
      </c>
      <c r="J200" s="127">
        <v>0</v>
      </c>
      <c r="K200" s="128" t="s">
        <v>5</v>
      </c>
      <c r="L200" s="127">
        <v>0</v>
      </c>
      <c r="M200" s="128" t="s">
        <v>5</v>
      </c>
      <c r="N200" s="135">
        <f t="shared" si="7"/>
        <v>132000</v>
      </c>
      <c r="O200" s="124"/>
      <c r="P200" s="124"/>
    </row>
    <row r="201" spans="1:16" ht="30" customHeight="1" x14ac:dyDescent="0.3">
      <c r="A201" s="131" t="s">
        <v>798</v>
      </c>
      <c r="B201" s="131" t="s">
        <v>619</v>
      </c>
      <c r="C201" s="132" t="s">
        <v>345</v>
      </c>
      <c r="D201" s="123">
        <v>4606</v>
      </c>
      <c r="E201" s="128" t="s">
        <v>5</v>
      </c>
      <c r="F201" s="127">
        <v>0</v>
      </c>
      <c r="G201" s="128" t="s">
        <v>5</v>
      </c>
      <c r="H201" s="127">
        <v>0</v>
      </c>
      <c r="I201" s="128" t="s">
        <v>5</v>
      </c>
      <c r="J201" s="127">
        <v>15000</v>
      </c>
      <c r="K201" s="128" t="s">
        <v>1651</v>
      </c>
      <c r="L201" s="127">
        <v>0</v>
      </c>
      <c r="M201" s="128" t="s">
        <v>5</v>
      </c>
      <c r="N201" s="135">
        <f t="shared" si="7"/>
        <v>4606</v>
      </c>
      <c r="O201" s="124"/>
      <c r="P201" s="124"/>
    </row>
    <row r="202" spans="1:16" ht="30" customHeight="1" x14ac:dyDescent="0.3">
      <c r="A202" s="131" t="s">
        <v>620</v>
      </c>
      <c r="B202" s="131" t="s">
        <v>621</v>
      </c>
      <c r="C202" s="132" t="s">
        <v>12</v>
      </c>
      <c r="D202" s="123">
        <v>117289</v>
      </c>
      <c r="E202" s="128" t="s">
        <v>5</v>
      </c>
      <c r="F202" s="127">
        <v>0</v>
      </c>
      <c r="G202" s="128" t="s">
        <v>5</v>
      </c>
      <c r="H202" s="127">
        <v>150000</v>
      </c>
      <c r="I202" s="128" t="s">
        <v>799</v>
      </c>
      <c r="J202" s="127">
        <v>0</v>
      </c>
      <c r="K202" s="128" t="s">
        <v>5</v>
      </c>
      <c r="L202" s="127">
        <v>169000</v>
      </c>
      <c r="M202" s="128" t="s">
        <v>2237</v>
      </c>
      <c r="N202" s="135">
        <f t="shared" si="7"/>
        <v>117289</v>
      </c>
      <c r="O202" s="124"/>
      <c r="P202" s="124"/>
    </row>
    <row r="203" spans="1:16" ht="30" customHeight="1" x14ac:dyDescent="0.3">
      <c r="A203" s="131" t="s">
        <v>620</v>
      </c>
      <c r="B203" s="131" t="s">
        <v>622</v>
      </c>
      <c r="C203" s="132" t="s">
        <v>12</v>
      </c>
      <c r="D203" s="123">
        <v>117289</v>
      </c>
      <c r="E203" s="128" t="s">
        <v>5</v>
      </c>
      <c r="F203" s="127">
        <v>0</v>
      </c>
      <c r="G203" s="128" t="s">
        <v>5</v>
      </c>
      <c r="H203" s="127">
        <v>150000</v>
      </c>
      <c r="I203" s="128" t="s">
        <v>799</v>
      </c>
      <c r="J203" s="127">
        <v>0</v>
      </c>
      <c r="K203" s="128" t="s">
        <v>5</v>
      </c>
      <c r="L203" s="127">
        <v>169000</v>
      </c>
      <c r="M203" s="128" t="s">
        <v>2237</v>
      </c>
      <c r="N203" s="135">
        <f t="shared" si="7"/>
        <v>117289</v>
      </c>
      <c r="O203" s="124"/>
      <c r="P203" s="124"/>
    </row>
    <row r="204" spans="1:16" ht="30" customHeight="1" x14ac:dyDescent="0.3">
      <c r="A204" s="131" t="s">
        <v>620</v>
      </c>
      <c r="B204" s="131" t="s">
        <v>623</v>
      </c>
      <c r="C204" s="132" t="s">
        <v>12</v>
      </c>
      <c r="D204" s="123">
        <v>117289</v>
      </c>
      <c r="E204" s="128" t="s">
        <v>5</v>
      </c>
      <c r="F204" s="127">
        <v>0</v>
      </c>
      <c r="G204" s="128" t="s">
        <v>5</v>
      </c>
      <c r="H204" s="127">
        <v>150000</v>
      </c>
      <c r="I204" s="128" t="s">
        <v>799</v>
      </c>
      <c r="J204" s="127">
        <v>0</v>
      </c>
      <c r="K204" s="128" t="s">
        <v>5</v>
      </c>
      <c r="L204" s="127">
        <v>169000</v>
      </c>
      <c r="M204" s="128" t="s">
        <v>2237</v>
      </c>
      <c r="N204" s="135">
        <f t="shared" si="7"/>
        <v>117289</v>
      </c>
      <c r="O204" s="124"/>
      <c r="P204" s="124"/>
    </row>
    <row r="205" spans="1:16" ht="30" customHeight="1" x14ac:dyDescent="0.3">
      <c r="A205" s="131" t="s">
        <v>624</v>
      </c>
      <c r="B205" s="131" t="s">
        <v>625</v>
      </c>
      <c r="C205" s="132" t="s">
        <v>12</v>
      </c>
      <c r="D205" s="123">
        <v>0</v>
      </c>
      <c r="E205" s="128" t="s">
        <v>5</v>
      </c>
      <c r="F205" s="127">
        <v>0</v>
      </c>
      <c r="G205" s="128" t="s">
        <v>5</v>
      </c>
      <c r="H205" s="127">
        <v>0</v>
      </c>
      <c r="I205" s="128"/>
      <c r="J205" s="127">
        <v>0</v>
      </c>
      <c r="K205" s="128" t="s">
        <v>5</v>
      </c>
      <c r="L205" s="127">
        <v>250000</v>
      </c>
      <c r="M205" s="128" t="s">
        <v>2237</v>
      </c>
      <c r="N205" s="135">
        <f t="shared" si="7"/>
        <v>250000</v>
      </c>
      <c r="O205" s="124"/>
      <c r="P205" s="124"/>
    </row>
    <row r="206" spans="1:16" ht="30" customHeight="1" x14ac:dyDescent="0.3">
      <c r="A206" s="131" t="s">
        <v>952</v>
      </c>
      <c r="B206" s="131" t="s">
        <v>626</v>
      </c>
      <c r="C206" s="132" t="s">
        <v>12</v>
      </c>
      <c r="D206" s="123">
        <v>0</v>
      </c>
      <c r="E206" s="128" t="s">
        <v>5</v>
      </c>
      <c r="F206" s="127">
        <v>0</v>
      </c>
      <c r="G206" s="128" t="s">
        <v>5</v>
      </c>
      <c r="H206" s="127">
        <v>0</v>
      </c>
      <c r="I206" s="128"/>
      <c r="J206" s="127">
        <v>0</v>
      </c>
      <c r="K206" s="128" t="s">
        <v>5</v>
      </c>
      <c r="L206" s="127">
        <v>78000</v>
      </c>
      <c r="M206" s="128" t="s">
        <v>2237</v>
      </c>
      <c r="N206" s="135">
        <f t="shared" si="7"/>
        <v>78000</v>
      </c>
      <c r="O206" s="124"/>
      <c r="P206" s="124"/>
    </row>
    <row r="207" spans="1:16" ht="30" customHeight="1" x14ac:dyDescent="0.3">
      <c r="A207" s="131" t="s">
        <v>802</v>
      </c>
      <c r="B207" s="131" t="s">
        <v>627</v>
      </c>
      <c r="C207" s="132" t="s">
        <v>12</v>
      </c>
      <c r="D207" s="123">
        <v>0</v>
      </c>
      <c r="E207" s="128" t="s">
        <v>5</v>
      </c>
      <c r="F207" s="127">
        <v>0</v>
      </c>
      <c r="G207" s="128" t="s">
        <v>5</v>
      </c>
      <c r="H207" s="127">
        <v>0</v>
      </c>
      <c r="I207" s="128"/>
      <c r="J207" s="127">
        <v>0</v>
      </c>
      <c r="K207" s="128" t="s">
        <v>5</v>
      </c>
      <c r="L207" s="127">
        <v>12000</v>
      </c>
      <c r="M207" s="128" t="s">
        <v>2237</v>
      </c>
      <c r="N207" s="135">
        <f t="shared" si="7"/>
        <v>12000</v>
      </c>
      <c r="O207" s="124"/>
      <c r="P207" s="124"/>
    </row>
    <row r="208" spans="1:16" ht="30" customHeight="1" x14ac:dyDescent="0.3">
      <c r="A208" s="131" t="s">
        <v>800</v>
      </c>
      <c r="B208" s="131" t="s">
        <v>628</v>
      </c>
      <c r="C208" s="132" t="s">
        <v>12</v>
      </c>
      <c r="D208" s="123">
        <v>0</v>
      </c>
      <c r="E208" s="128" t="s">
        <v>5</v>
      </c>
      <c r="F208" s="127">
        <v>0</v>
      </c>
      <c r="G208" s="128" t="s">
        <v>5</v>
      </c>
      <c r="H208" s="127">
        <v>0</v>
      </c>
      <c r="I208" s="128"/>
      <c r="J208" s="127">
        <v>0</v>
      </c>
      <c r="K208" s="128" t="s">
        <v>5</v>
      </c>
      <c r="L208" s="127">
        <v>4500</v>
      </c>
      <c r="M208" s="128" t="s">
        <v>2237</v>
      </c>
      <c r="N208" s="135">
        <f t="shared" si="7"/>
        <v>4500</v>
      </c>
      <c r="O208" s="124"/>
      <c r="P208" s="124"/>
    </row>
    <row r="209" spans="1:16" ht="30" customHeight="1" x14ac:dyDescent="0.3">
      <c r="A209" s="131" t="s">
        <v>801</v>
      </c>
      <c r="B209" s="131" t="s">
        <v>5</v>
      </c>
      <c r="C209" s="132" t="s">
        <v>12</v>
      </c>
      <c r="D209" s="123">
        <v>0</v>
      </c>
      <c r="E209" s="128" t="s">
        <v>5</v>
      </c>
      <c r="F209" s="127">
        <v>0</v>
      </c>
      <c r="G209" s="128" t="s">
        <v>5</v>
      </c>
      <c r="H209" s="127">
        <v>0</v>
      </c>
      <c r="I209" s="128"/>
      <c r="J209" s="127">
        <v>0</v>
      </c>
      <c r="K209" s="128" t="s">
        <v>5</v>
      </c>
      <c r="L209" s="127">
        <v>6000</v>
      </c>
      <c r="M209" s="128" t="s">
        <v>2237</v>
      </c>
      <c r="N209" s="135">
        <f t="shared" si="7"/>
        <v>6000</v>
      </c>
      <c r="O209" s="124"/>
      <c r="P209" s="124"/>
    </row>
    <row r="210" spans="1:16" ht="30" customHeight="1" x14ac:dyDescent="0.3">
      <c r="A210" s="131" t="s">
        <v>1574</v>
      </c>
      <c r="B210" s="131" t="s">
        <v>1575</v>
      </c>
      <c r="C210" s="132" t="s">
        <v>12</v>
      </c>
      <c r="D210" s="123">
        <v>29882</v>
      </c>
      <c r="E210" s="128" t="s">
        <v>5</v>
      </c>
      <c r="F210" s="127">
        <v>0</v>
      </c>
      <c r="G210" s="128" t="s">
        <v>5</v>
      </c>
      <c r="H210" s="127">
        <v>0</v>
      </c>
      <c r="I210" s="128"/>
      <c r="J210" s="127">
        <v>0</v>
      </c>
      <c r="K210" s="128" t="s">
        <v>5</v>
      </c>
      <c r="L210" s="127">
        <v>0</v>
      </c>
      <c r="M210" s="128"/>
      <c r="N210" s="135">
        <f t="shared" si="7"/>
        <v>29882</v>
      </c>
      <c r="O210" s="124"/>
      <c r="P210" s="124"/>
    </row>
    <row r="211" spans="1:16" ht="30" customHeight="1" x14ac:dyDescent="0.3">
      <c r="A211" s="131" t="s">
        <v>1574</v>
      </c>
      <c r="B211" s="131" t="s">
        <v>1576</v>
      </c>
      <c r="C211" s="132" t="s">
        <v>12</v>
      </c>
      <c r="D211" s="123">
        <v>33779</v>
      </c>
      <c r="E211" s="128" t="s">
        <v>5</v>
      </c>
      <c r="F211" s="127">
        <v>0</v>
      </c>
      <c r="G211" s="128" t="s">
        <v>5</v>
      </c>
      <c r="H211" s="127">
        <v>0</v>
      </c>
      <c r="I211" s="128"/>
      <c r="J211" s="127">
        <v>0</v>
      </c>
      <c r="K211" s="128" t="s">
        <v>5</v>
      </c>
      <c r="L211" s="127">
        <v>0</v>
      </c>
      <c r="M211" s="128" t="s">
        <v>5</v>
      </c>
      <c r="N211" s="135">
        <f t="shared" si="7"/>
        <v>33779</v>
      </c>
      <c r="O211" s="124"/>
      <c r="P211" s="124"/>
    </row>
    <row r="212" spans="1:16" ht="30" customHeight="1" x14ac:dyDescent="0.3">
      <c r="A212" s="131" t="s">
        <v>629</v>
      </c>
      <c r="B212" s="131" t="s">
        <v>630</v>
      </c>
      <c r="C212" s="132" t="s">
        <v>12</v>
      </c>
      <c r="D212" s="123">
        <v>0</v>
      </c>
      <c r="E212" s="128" t="s">
        <v>5</v>
      </c>
      <c r="F212" s="127">
        <v>0</v>
      </c>
      <c r="G212" s="128" t="s">
        <v>5</v>
      </c>
      <c r="H212" s="127">
        <v>0</v>
      </c>
      <c r="I212" s="128" t="s">
        <v>5</v>
      </c>
      <c r="J212" s="127">
        <v>0</v>
      </c>
      <c r="K212" s="128" t="s">
        <v>5</v>
      </c>
      <c r="L212" s="127">
        <v>17000</v>
      </c>
      <c r="M212" s="128" t="s">
        <v>2237</v>
      </c>
      <c r="N212" s="135">
        <f t="shared" si="7"/>
        <v>17000</v>
      </c>
      <c r="O212" s="124"/>
      <c r="P212" s="124"/>
    </row>
    <row r="213" spans="1:16" ht="30" customHeight="1" x14ac:dyDescent="0.3">
      <c r="A213" s="131" t="s">
        <v>629</v>
      </c>
      <c r="B213" s="131" t="s">
        <v>631</v>
      </c>
      <c r="C213" s="132" t="s">
        <v>12</v>
      </c>
      <c r="D213" s="123">
        <v>0</v>
      </c>
      <c r="E213" s="128" t="s">
        <v>5</v>
      </c>
      <c r="F213" s="127">
        <v>0</v>
      </c>
      <c r="G213" s="128" t="s">
        <v>5</v>
      </c>
      <c r="H213" s="127">
        <v>0</v>
      </c>
      <c r="I213" s="128" t="s">
        <v>5</v>
      </c>
      <c r="J213" s="127">
        <v>0</v>
      </c>
      <c r="K213" s="128" t="s">
        <v>5</v>
      </c>
      <c r="L213" s="127">
        <v>17000</v>
      </c>
      <c r="M213" s="128" t="s">
        <v>2237</v>
      </c>
      <c r="N213" s="135">
        <f t="shared" si="7"/>
        <v>17000</v>
      </c>
      <c r="O213" s="124"/>
      <c r="P213" s="124"/>
    </row>
    <row r="214" spans="1:16" ht="30" customHeight="1" x14ac:dyDescent="0.3">
      <c r="A214" s="131" t="s">
        <v>632</v>
      </c>
      <c r="B214" s="131" t="s">
        <v>633</v>
      </c>
      <c r="C214" s="132" t="s">
        <v>12</v>
      </c>
      <c r="D214" s="123">
        <v>62693</v>
      </c>
      <c r="E214" s="128" t="s">
        <v>5</v>
      </c>
      <c r="F214" s="127">
        <v>0</v>
      </c>
      <c r="G214" s="128" t="s">
        <v>5</v>
      </c>
      <c r="H214" s="127">
        <v>120000</v>
      </c>
      <c r="I214" s="128" t="s">
        <v>799</v>
      </c>
      <c r="J214" s="127">
        <v>0</v>
      </c>
      <c r="K214" s="128" t="s">
        <v>5</v>
      </c>
      <c r="L214" s="127">
        <v>107000</v>
      </c>
      <c r="M214" s="128" t="s">
        <v>2237</v>
      </c>
      <c r="N214" s="135">
        <f t="shared" si="7"/>
        <v>62693</v>
      </c>
      <c r="O214" s="124"/>
      <c r="P214" s="124"/>
    </row>
    <row r="215" spans="1:16" ht="30" customHeight="1" x14ac:dyDescent="0.3">
      <c r="A215" s="131" t="s">
        <v>632</v>
      </c>
      <c r="B215" s="131" t="s">
        <v>634</v>
      </c>
      <c r="C215" s="132" t="s">
        <v>12</v>
      </c>
      <c r="D215" s="123">
        <v>0</v>
      </c>
      <c r="E215" s="128" t="s">
        <v>5</v>
      </c>
      <c r="F215" s="127">
        <v>0</v>
      </c>
      <c r="G215" s="128" t="s">
        <v>5</v>
      </c>
      <c r="H215" s="127">
        <v>150000</v>
      </c>
      <c r="I215" s="128" t="s">
        <v>799</v>
      </c>
      <c r="J215" s="127">
        <v>0</v>
      </c>
      <c r="K215" s="128" t="s">
        <v>5</v>
      </c>
      <c r="L215" s="127">
        <v>0</v>
      </c>
      <c r="M215" s="128" t="s">
        <v>5</v>
      </c>
      <c r="N215" s="135">
        <f t="shared" si="7"/>
        <v>150000</v>
      </c>
      <c r="O215" s="124"/>
      <c r="P215" s="124"/>
    </row>
    <row r="216" spans="1:16" ht="30" customHeight="1" x14ac:dyDescent="0.3">
      <c r="A216" s="131" t="s">
        <v>635</v>
      </c>
      <c r="B216" s="131" t="s">
        <v>636</v>
      </c>
      <c r="C216" s="132" t="s">
        <v>12</v>
      </c>
      <c r="D216" s="123">
        <v>3563</v>
      </c>
      <c r="E216" s="128" t="s">
        <v>5</v>
      </c>
      <c r="F216" s="127">
        <v>0</v>
      </c>
      <c r="G216" s="128" t="s">
        <v>5</v>
      </c>
      <c r="H216" s="127">
        <v>0</v>
      </c>
      <c r="I216" s="128" t="s">
        <v>5</v>
      </c>
      <c r="J216" s="127">
        <v>0</v>
      </c>
      <c r="K216" s="128" t="s">
        <v>5</v>
      </c>
      <c r="L216" s="127">
        <v>0</v>
      </c>
      <c r="M216" s="128" t="s">
        <v>5</v>
      </c>
      <c r="N216" s="135">
        <f t="shared" si="7"/>
        <v>3563</v>
      </c>
      <c r="O216" s="124"/>
      <c r="P216" s="124"/>
    </row>
    <row r="217" spans="1:16" ht="30" customHeight="1" x14ac:dyDescent="0.3">
      <c r="A217" s="131" t="s">
        <v>635</v>
      </c>
      <c r="B217" s="131" t="s">
        <v>637</v>
      </c>
      <c r="C217" s="132" t="s">
        <v>345</v>
      </c>
      <c r="D217" s="123">
        <v>3949</v>
      </c>
      <c r="E217" s="128" t="s">
        <v>5</v>
      </c>
      <c r="F217" s="127">
        <v>0</v>
      </c>
      <c r="G217" s="128" t="s">
        <v>5</v>
      </c>
      <c r="H217" s="127">
        <v>0</v>
      </c>
      <c r="I217" s="128" t="s">
        <v>5</v>
      </c>
      <c r="J217" s="127">
        <v>0</v>
      </c>
      <c r="K217" s="128" t="s">
        <v>5</v>
      </c>
      <c r="L217" s="127">
        <v>0</v>
      </c>
      <c r="M217" s="128" t="s">
        <v>5</v>
      </c>
      <c r="N217" s="135">
        <f>SMALL(D217:L217,COUNTIF(D217:L217,0)+1)</f>
        <v>3949</v>
      </c>
      <c r="O217" s="124"/>
      <c r="P217" s="124"/>
    </row>
    <row r="218" spans="1:16" ht="30" customHeight="1" x14ac:dyDescent="0.3">
      <c r="A218" s="131" t="s">
        <v>635</v>
      </c>
      <c r="B218" s="131" t="s">
        <v>638</v>
      </c>
      <c r="C218" s="132" t="s">
        <v>12</v>
      </c>
      <c r="D218" s="123">
        <v>5135</v>
      </c>
      <c r="E218" s="128" t="s">
        <v>5</v>
      </c>
      <c r="F218" s="127">
        <v>0</v>
      </c>
      <c r="G218" s="128" t="s">
        <v>5</v>
      </c>
      <c r="H218" s="127">
        <v>0</v>
      </c>
      <c r="I218" s="128" t="s">
        <v>5</v>
      </c>
      <c r="J218" s="127">
        <v>0</v>
      </c>
      <c r="K218" s="128" t="s">
        <v>5</v>
      </c>
      <c r="L218" s="127">
        <v>0</v>
      </c>
      <c r="M218" s="128" t="s">
        <v>5</v>
      </c>
      <c r="N218" s="135">
        <f t="shared" si="7"/>
        <v>5135</v>
      </c>
      <c r="O218" s="124"/>
      <c r="P218" s="124"/>
    </row>
    <row r="219" spans="1:16" ht="30" customHeight="1" x14ac:dyDescent="0.3">
      <c r="A219" s="131" t="s">
        <v>635</v>
      </c>
      <c r="B219" s="131" t="s">
        <v>639</v>
      </c>
      <c r="C219" s="132" t="s">
        <v>345</v>
      </c>
      <c r="D219" s="123">
        <v>6898</v>
      </c>
      <c r="E219" s="128" t="s">
        <v>5</v>
      </c>
      <c r="F219" s="127">
        <v>0</v>
      </c>
      <c r="G219" s="128" t="s">
        <v>5</v>
      </c>
      <c r="H219" s="127">
        <v>0</v>
      </c>
      <c r="I219" s="128" t="s">
        <v>5</v>
      </c>
      <c r="J219" s="127">
        <v>0</v>
      </c>
      <c r="K219" s="128" t="s">
        <v>5</v>
      </c>
      <c r="L219" s="127">
        <v>0</v>
      </c>
      <c r="M219" s="128" t="s">
        <v>5</v>
      </c>
      <c r="N219" s="135">
        <f t="shared" si="7"/>
        <v>6898</v>
      </c>
      <c r="O219" s="124"/>
      <c r="P219" s="124"/>
    </row>
    <row r="220" spans="1:16" ht="30" customHeight="1" x14ac:dyDescent="0.3">
      <c r="A220" s="131" t="s">
        <v>635</v>
      </c>
      <c r="B220" s="131" t="s">
        <v>640</v>
      </c>
      <c r="C220" s="132" t="s">
        <v>345</v>
      </c>
      <c r="D220" s="123">
        <v>7635</v>
      </c>
      <c r="E220" s="128" t="s">
        <v>5</v>
      </c>
      <c r="F220" s="127">
        <v>0</v>
      </c>
      <c r="G220" s="128" t="s">
        <v>5</v>
      </c>
      <c r="H220" s="127">
        <v>0</v>
      </c>
      <c r="I220" s="128" t="s">
        <v>5</v>
      </c>
      <c r="J220" s="127">
        <v>0</v>
      </c>
      <c r="K220" s="128" t="s">
        <v>5</v>
      </c>
      <c r="L220" s="127">
        <v>0</v>
      </c>
      <c r="M220" s="128" t="s">
        <v>5</v>
      </c>
      <c r="N220" s="135">
        <f t="shared" si="7"/>
        <v>7635</v>
      </c>
      <c r="O220" s="124"/>
      <c r="P220" s="124"/>
    </row>
    <row r="221" spans="1:16" ht="30" customHeight="1" x14ac:dyDescent="0.3">
      <c r="A221" s="131" t="s">
        <v>641</v>
      </c>
      <c r="B221" s="131" t="s">
        <v>642</v>
      </c>
      <c r="C221" s="132" t="s">
        <v>12</v>
      </c>
      <c r="D221" s="123">
        <v>4811</v>
      </c>
      <c r="E221" s="128" t="s">
        <v>5</v>
      </c>
      <c r="F221" s="127">
        <v>0</v>
      </c>
      <c r="G221" s="128" t="s">
        <v>5</v>
      </c>
      <c r="H221" s="127">
        <v>0</v>
      </c>
      <c r="I221" s="128" t="s">
        <v>5</v>
      </c>
      <c r="J221" s="127">
        <v>0</v>
      </c>
      <c r="K221" s="128" t="s">
        <v>5</v>
      </c>
      <c r="L221" s="127">
        <v>0</v>
      </c>
      <c r="M221" s="128" t="s">
        <v>5</v>
      </c>
      <c r="N221" s="135">
        <f t="shared" ref="N221:N223" si="11">SMALL(D221:L221,COUNTIF(D221:L221,0)+1)</f>
        <v>4811</v>
      </c>
      <c r="O221" s="124"/>
      <c r="P221" s="124"/>
    </row>
    <row r="222" spans="1:16" ht="30" customHeight="1" x14ac:dyDescent="0.3">
      <c r="A222" s="131" t="s">
        <v>641</v>
      </c>
      <c r="B222" s="131" t="s">
        <v>643</v>
      </c>
      <c r="C222" s="132" t="s">
        <v>12</v>
      </c>
      <c r="D222" s="123">
        <v>6486</v>
      </c>
      <c r="E222" s="128" t="s">
        <v>5</v>
      </c>
      <c r="F222" s="127">
        <v>0</v>
      </c>
      <c r="G222" s="128" t="s">
        <v>5</v>
      </c>
      <c r="H222" s="127">
        <v>0</v>
      </c>
      <c r="I222" s="128" t="s">
        <v>5</v>
      </c>
      <c r="J222" s="127">
        <v>0</v>
      </c>
      <c r="K222" s="128" t="s">
        <v>5</v>
      </c>
      <c r="L222" s="127">
        <v>0</v>
      </c>
      <c r="M222" s="128" t="s">
        <v>5</v>
      </c>
      <c r="N222" s="135">
        <f t="shared" si="11"/>
        <v>6486</v>
      </c>
      <c r="O222" s="124"/>
      <c r="P222" s="124"/>
    </row>
    <row r="223" spans="1:16" ht="30" customHeight="1" x14ac:dyDescent="0.3">
      <c r="A223" s="131" t="s">
        <v>641</v>
      </c>
      <c r="B223" s="131" t="s">
        <v>644</v>
      </c>
      <c r="C223" s="132" t="s">
        <v>12</v>
      </c>
      <c r="D223" s="123">
        <v>8195</v>
      </c>
      <c r="E223" s="128" t="s">
        <v>5</v>
      </c>
      <c r="F223" s="127">
        <v>0</v>
      </c>
      <c r="G223" s="128" t="s">
        <v>5</v>
      </c>
      <c r="H223" s="127">
        <v>0</v>
      </c>
      <c r="I223" s="128" t="s">
        <v>5</v>
      </c>
      <c r="J223" s="127">
        <v>0</v>
      </c>
      <c r="K223" s="128" t="s">
        <v>5</v>
      </c>
      <c r="L223" s="127">
        <v>0</v>
      </c>
      <c r="M223" s="128" t="s">
        <v>5</v>
      </c>
      <c r="N223" s="135">
        <f t="shared" si="11"/>
        <v>8195</v>
      </c>
      <c r="O223" s="124"/>
      <c r="P223" s="124"/>
    </row>
  </sheetData>
  <mergeCells count="8">
    <mergeCell ref="A1:P1"/>
    <mergeCell ref="A2:P2"/>
    <mergeCell ref="A3:A4"/>
    <mergeCell ref="B3:B4"/>
    <mergeCell ref="C3:C4"/>
    <mergeCell ref="D3:N3"/>
    <mergeCell ref="O3:O4"/>
    <mergeCell ref="P3:P4"/>
  </mergeCells>
  <phoneticPr fontId="1" type="noConversion"/>
  <pageMargins left="0.78740157480314954" right="0" top="0.39370078740157477" bottom="0.39370078740157477" header="0" footer="0"/>
  <pageSetup paperSize="9" scale="6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pageSetUpPr fitToPage="1"/>
  </sheetPr>
  <dimension ref="A1:U84"/>
  <sheetViews>
    <sheetView view="pageBreakPreview" zoomScale="85" zoomScaleNormal="87" zoomScaleSheetLayoutView="85" workbookViewId="0">
      <pane ySplit="4" topLeftCell="A5" activePane="bottomLeft" state="frozen"/>
      <selection activeCell="A3" sqref="A3:A4"/>
      <selection pane="bottomLeft" activeCell="T105" sqref="T105"/>
    </sheetView>
  </sheetViews>
  <sheetFormatPr defaultRowHeight="16.5" x14ac:dyDescent="0.3"/>
  <cols>
    <col min="1" max="2" width="30.5" style="116" bestFit="1" customWidth="1"/>
    <col min="3" max="3" width="5.5" style="136" bestFit="1" customWidth="1"/>
    <col min="4" max="4" width="11.625" style="115" bestFit="1" customWidth="1"/>
    <col min="5" max="5" width="6.625" style="137" bestFit="1" customWidth="1"/>
    <col min="6" max="6" width="11.625" style="113" bestFit="1" customWidth="1"/>
    <col min="7" max="7" width="6.625" style="137" bestFit="1" customWidth="1"/>
    <col min="8" max="8" width="11.625" style="113" bestFit="1" customWidth="1"/>
    <col min="9" max="9" width="6.625" style="137" bestFit="1" customWidth="1"/>
    <col min="10" max="10" width="11.625" style="113" bestFit="1" customWidth="1"/>
    <col min="11" max="11" width="6.625" style="137" bestFit="1" customWidth="1"/>
    <col min="12" max="12" width="13.875" style="113" bestFit="1" customWidth="1"/>
    <col min="13" max="13" width="6.625" style="137" bestFit="1" customWidth="1"/>
    <col min="14" max="14" width="13.875" style="112" bestFit="1" customWidth="1"/>
    <col min="15" max="15" width="8.5" style="136" bestFit="1" customWidth="1"/>
    <col min="16" max="16" width="15" style="136" bestFit="1" customWidth="1"/>
    <col min="17" max="20" width="9" style="116"/>
    <col min="21" max="21" width="0" style="116" hidden="1" customWidth="1"/>
    <col min="22" max="16384" width="9" style="116"/>
  </cols>
  <sheetData>
    <row r="1" spans="1:21" ht="30" customHeight="1" x14ac:dyDescent="0.3">
      <c r="A1" s="200" t="s">
        <v>932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U1" s="116" t="s">
        <v>1573</v>
      </c>
    </row>
    <row r="2" spans="1:21" ht="30" customHeight="1" x14ac:dyDescent="0.3">
      <c r="A2" s="201" t="s">
        <v>1998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</row>
    <row r="3" spans="1:21" ht="30" customHeight="1" x14ac:dyDescent="0.3">
      <c r="A3" s="202" t="s">
        <v>1566</v>
      </c>
      <c r="B3" s="202" t="s">
        <v>1567</v>
      </c>
      <c r="C3" s="202" t="s">
        <v>1</v>
      </c>
      <c r="D3" s="202" t="s">
        <v>2</v>
      </c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3" t="s">
        <v>728</v>
      </c>
      <c r="P3" s="203" t="s">
        <v>3</v>
      </c>
    </row>
    <row r="4" spans="1:21" ht="30" customHeight="1" x14ac:dyDescent="0.3">
      <c r="A4" s="202"/>
      <c r="B4" s="202"/>
      <c r="C4" s="202"/>
      <c r="D4" s="117" t="s">
        <v>723</v>
      </c>
      <c r="E4" s="118" t="s">
        <v>724</v>
      </c>
      <c r="F4" s="119" t="s">
        <v>2239</v>
      </c>
      <c r="G4" s="118" t="s">
        <v>724</v>
      </c>
      <c r="H4" s="119" t="s">
        <v>2240</v>
      </c>
      <c r="I4" s="118" t="s">
        <v>724</v>
      </c>
      <c r="J4" s="119" t="s">
        <v>2241</v>
      </c>
      <c r="K4" s="118" t="s">
        <v>724</v>
      </c>
      <c r="L4" s="119" t="s">
        <v>2242</v>
      </c>
      <c r="M4" s="118" t="s">
        <v>724</v>
      </c>
      <c r="N4" s="120" t="s">
        <v>725</v>
      </c>
      <c r="O4" s="204"/>
      <c r="P4" s="204"/>
    </row>
    <row r="5" spans="1:21" ht="30" customHeight="1" x14ac:dyDescent="0.3">
      <c r="A5" s="131" t="s">
        <v>645</v>
      </c>
      <c r="B5" s="131" t="s">
        <v>646</v>
      </c>
      <c r="C5" s="132" t="s">
        <v>345</v>
      </c>
      <c r="D5" s="123">
        <v>0</v>
      </c>
      <c r="E5" s="128"/>
      <c r="F5" s="127">
        <v>0</v>
      </c>
      <c r="G5" s="128"/>
      <c r="H5" s="127">
        <v>0</v>
      </c>
      <c r="I5" s="128"/>
      <c r="J5" s="127">
        <v>0</v>
      </c>
      <c r="K5" s="128"/>
      <c r="L5" s="127">
        <v>800000</v>
      </c>
      <c r="M5" s="128" t="s">
        <v>2394</v>
      </c>
      <c r="N5" s="135">
        <f t="shared" ref="N5:N7" si="0">SMALL(D5:L5,COUNTIF(D5:L5,0)+1)</f>
        <v>800000</v>
      </c>
      <c r="O5" s="124"/>
      <c r="P5" s="124"/>
    </row>
    <row r="6" spans="1:21" ht="30" customHeight="1" x14ac:dyDescent="0.3">
      <c r="A6" s="131" t="s">
        <v>645</v>
      </c>
      <c r="B6" s="131" t="s">
        <v>790</v>
      </c>
      <c r="C6" s="132" t="s">
        <v>345</v>
      </c>
      <c r="D6" s="123">
        <v>0</v>
      </c>
      <c r="E6" s="128"/>
      <c r="F6" s="127">
        <v>0</v>
      </c>
      <c r="G6" s="128"/>
      <c r="H6" s="127">
        <v>0</v>
      </c>
      <c r="I6" s="128"/>
      <c r="J6" s="127">
        <v>0</v>
      </c>
      <c r="K6" s="128"/>
      <c r="L6" s="127">
        <v>1300000</v>
      </c>
      <c r="M6" s="128" t="s">
        <v>2394</v>
      </c>
      <c r="N6" s="135">
        <f t="shared" si="0"/>
        <v>1300000</v>
      </c>
      <c r="O6" s="124"/>
      <c r="P6" s="124"/>
    </row>
    <row r="7" spans="1:21" ht="30" customHeight="1" x14ac:dyDescent="0.3">
      <c r="A7" s="131" t="s">
        <v>647</v>
      </c>
      <c r="B7" s="131" t="s">
        <v>648</v>
      </c>
      <c r="C7" s="132" t="s">
        <v>649</v>
      </c>
      <c r="D7" s="123">
        <v>0</v>
      </c>
      <c r="E7" s="128" t="s">
        <v>5</v>
      </c>
      <c r="F7" s="127">
        <v>0</v>
      </c>
      <c r="G7" s="128"/>
      <c r="H7" s="127">
        <v>0</v>
      </c>
      <c r="I7" s="128"/>
      <c r="J7" s="127">
        <v>0</v>
      </c>
      <c r="K7" s="128" t="s">
        <v>5</v>
      </c>
      <c r="L7" s="127">
        <v>50000</v>
      </c>
      <c r="M7" s="128" t="s">
        <v>2394</v>
      </c>
      <c r="N7" s="135">
        <f t="shared" si="0"/>
        <v>50000</v>
      </c>
      <c r="O7" s="124"/>
      <c r="P7" s="124"/>
    </row>
    <row r="8" spans="1:21" ht="30" customHeight="1" x14ac:dyDescent="0.3">
      <c r="A8" s="131" t="s">
        <v>650</v>
      </c>
      <c r="B8" s="131" t="s">
        <v>651</v>
      </c>
      <c r="C8" s="132" t="s">
        <v>12</v>
      </c>
      <c r="D8" s="123">
        <v>4010</v>
      </c>
      <c r="E8" s="128" t="s">
        <v>5</v>
      </c>
      <c r="F8" s="127">
        <v>5000</v>
      </c>
      <c r="G8" s="128" t="s">
        <v>1623</v>
      </c>
      <c r="H8" s="127">
        <v>5000</v>
      </c>
      <c r="I8" s="128" t="s">
        <v>779</v>
      </c>
      <c r="J8" s="127">
        <v>0</v>
      </c>
      <c r="K8" s="128"/>
      <c r="L8" s="127">
        <v>0</v>
      </c>
      <c r="M8" s="128"/>
      <c r="N8" s="135">
        <f t="shared" ref="N8:N83" si="1">SMALL(D8:L8,COUNTIF(D8:L8,0)+1)</f>
        <v>4010</v>
      </c>
      <c r="O8" s="124"/>
      <c r="P8" s="139"/>
    </row>
    <row r="9" spans="1:21" ht="30" customHeight="1" x14ac:dyDescent="0.3">
      <c r="A9" s="131" t="s">
        <v>650</v>
      </c>
      <c r="B9" s="131" t="s">
        <v>652</v>
      </c>
      <c r="C9" s="132" t="s">
        <v>12</v>
      </c>
      <c r="D9" s="123">
        <v>3663</v>
      </c>
      <c r="E9" s="128" t="s">
        <v>5</v>
      </c>
      <c r="F9" s="127">
        <v>5000</v>
      </c>
      <c r="G9" s="128" t="s">
        <v>1623</v>
      </c>
      <c r="H9" s="127">
        <v>5000</v>
      </c>
      <c r="I9" s="128" t="s">
        <v>779</v>
      </c>
      <c r="J9" s="127">
        <v>0</v>
      </c>
      <c r="K9" s="128"/>
      <c r="L9" s="127">
        <v>0</v>
      </c>
      <c r="M9" s="128"/>
      <c r="N9" s="135">
        <f t="shared" si="1"/>
        <v>3663</v>
      </c>
      <c r="O9" s="124"/>
      <c r="P9" s="139"/>
    </row>
    <row r="10" spans="1:21" ht="30" customHeight="1" x14ac:dyDescent="0.3">
      <c r="A10" s="131" t="s">
        <v>653</v>
      </c>
      <c r="B10" s="131" t="s">
        <v>654</v>
      </c>
      <c r="C10" s="132" t="s">
        <v>12</v>
      </c>
      <c r="D10" s="123">
        <v>12631</v>
      </c>
      <c r="E10" s="128" t="s">
        <v>5</v>
      </c>
      <c r="F10" s="127">
        <v>18000</v>
      </c>
      <c r="G10" s="128" t="s">
        <v>1623</v>
      </c>
      <c r="H10" s="127">
        <v>30000</v>
      </c>
      <c r="I10" s="128" t="s">
        <v>751</v>
      </c>
      <c r="J10" s="127">
        <v>0</v>
      </c>
      <c r="K10" s="128"/>
      <c r="L10" s="127">
        <v>0</v>
      </c>
      <c r="M10" s="128"/>
      <c r="N10" s="135">
        <f t="shared" si="1"/>
        <v>12631</v>
      </c>
      <c r="O10" s="124"/>
      <c r="P10" s="139"/>
    </row>
    <row r="11" spans="1:21" ht="30" customHeight="1" x14ac:dyDescent="0.3">
      <c r="A11" s="131" t="s">
        <v>655</v>
      </c>
      <c r="B11" s="131" t="s">
        <v>656</v>
      </c>
      <c r="C11" s="132" t="s">
        <v>12</v>
      </c>
      <c r="D11" s="123">
        <v>0</v>
      </c>
      <c r="E11" s="128" t="s">
        <v>5</v>
      </c>
      <c r="F11" s="127">
        <v>30000</v>
      </c>
      <c r="G11" s="128" t="s">
        <v>1623</v>
      </c>
      <c r="H11" s="127">
        <v>0</v>
      </c>
      <c r="I11" s="128" t="s">
        <v>5</v>
      </c>
      <c r="J11" s="127">
        <v>0</v>
      </c>
      <c r="K11" s="128" t="s">
        <v>5</v>
      </c>
      <c r="L11" s="127">
        <v>25000</v>
      </c>
      <c r="M11" s="128" t="s">
        <v>2394</v>
      </c>
      <c r="N11" s="135">
        <f t="shared" si="1"/>
        <v>25000</v>
      </c>
      <c r="O11" s="124"/>
      <c r="P11" s="130"/>
    </row>
    <row r="12" spans="1:21" ht="30" customHeight="1" x14ac:dyDescent="0.3">
      <c r="A12" s="131" t="s">
        <v>657</v>
      </c>
      <c r="B12" s="131" t="s">
        <v>786</v>
      </c>
      <c r="C12" s="132" t="s">
        <v>12</v>
      </c>
      <c r="D12" s="123">
        <v>0</v>
      </c>
      <c r="E12" s="128" t="s">
        <v>5</v>
      </c>
      <c r="F12" s="127">
        <v>2000000</v>
      </c>
      <c r="G12" s="128" t="s">
        <v>1623</v>
      </c>
      <c r="H12" s="127">
        <v>1100000</v>
      </c>
      <c r="I12" s="128" t="s">
        <v>792</v>
      </c>
      <c r="J12" s="127">
        <v>0</v>
      </c>
      <c r="K12" s="128"/>
      <c r="L12" s="127">
        <v>1350000</v>
      </c>
      <c r="M12" s="128" t="s">
        <v>2395</v>
      </c>
      <c r="N12" s="135">
        <f t="shared" si="1"/>
        <v>1100000</v>
      </c>
      <c r="O12" s="124"/>
      <c r="P12" s="124"/>
    </row>
    <row r="13" spans="1:21" ht="30" customHeight="1" x14ac:dyDescent="0.3">
      <c r="A13" s="131" t="s">
        <v>657</v>
      </c>
      <c r="B13" s="131" t="s">
        <v>658</v>
      </c>
      <c r="C13" s="132" t="s">
        <v>12</v>
      </c>
      <c r="D13" s="123">
        <v>0</v>
      </c>
      <c r="E13" s="128" t="s">
        <v>5</v>
      </c>
      <c r="F13" s="127">
        <v>0</v>
      </c>
      <c r="G13" s="128"/>
      <c r="H13" s="127">
        <v>1500000</v>
      </c>
      <c r="I13" s="128" t="s">
        <v>792</v>
      </c>
      <c r="J13" s="127">
        <v>0</v>
      </c>
      <c r="K13" s="128"/>
      <c r="L13" s="127">
        <v>1800000</v>
      </c>
      <c r="M13" s="128" t="s">
        <v>2395</v>
      </c>
      <c r="N13" s="135">
        <f t="shared" si="1"/>
        <v>1500000</v>
      </c>
      <c r="O13" s="124"/>
      <c r="P13" s="124"/>
    </row>
    <row r="14" spans="1:21" ht="30" customHeight="1" x14ac:dyDescent="0.3">
      <c r="A14" s="131" t="s">
        <v>659</v>
      </c>
      <c r="B14" s="131" t="s">
        <v>2391</v>
      </c>
      <c r="C14" s="132" t="s">
        <v>12</v>
      </c>
      <c r="D14" s="123">
        <v>0</v>
      </c>
      <c r="E14" s="128" t="s">
        <v>5</v>
      </c>
      <c r="F14" s="127">
        <v>0</v>
      </c>
      <c r="G14" s="128" t="s">
        <v>5</v>
      </c>
      <c r="H14" s="127">
        <v>0</v>
      </c>
      <c r="I14" s="128"/>
      <c r="J14" s="127">
        <v>0</v>
      </c>
      <c r="K14" s="128"/>
      <c r="L14" s="127">
        <v>300000</v>
      </c>
      <c r="M14" s="128" t="s">
        <v>2390</v>
      </c>
      <c r="N14" s="135">
        <f t="shared" si="1"/>
        <v>300000</v>
      </c>
      <c r="O14" s="124"/>
      <c r="P14" s="124"/>
    </row>
    <row r="15" spans="1:21" ht="30" customHeight="1" x14ac:dyDescent="0.3">
      <c r="A15" s="131" t="s">
        <v>659</v>
      </c>
      <c r="B15" s="131" t="s">
        <v>787</v>
      </c>
      <c r="C15" s="132" t="s">
        <v>12</v>
      </c>
      <c r="D15" s="123">
        <v>0</v>
      </c>
      <c r="E15" s="128" t="s">
        <v>5</v>
      </c>
      <c r="F15" s="127">
        <v>0</v>
      </c>
      <c r="G15" s="128" t="s">
        <v>5</v>
      </c>
      <c r="H15" s="127">
        <v>0</v>
      </c>
      <c r="I15" s="128"/>
      <c r="J15" s="127">
        <v>0</v>
      </c>
      <c r="K15" s="128"/>
      <c r="L15" s="127">
        <v>400000</v>
      </c>
      <c r="M15" s="128" t="s">
        <v>2390</v>
      </c>
      <c r="N15" s="135">
        <f t="shared" ref="N15:N17" si="2">SMALL(D15:L15,COUNTIF(D15:L15,0)+1)</f>
        <v>400000</v>
      </c>
      <c r="O15" s="124"/>
      <c r="P15" s="124"/>
    </row>
    <row r="16" spans="1:21" ht="30" customHeight="1" x14ac:dyDescent="0.3">
      <c r="A16" s="131" t="s">
        <v>659</v>
      </c>
      <c r="B16" s="131" t="s">
        <v>2392</v>
      </c>
      <c r="C16" s="132" t="s">
        <v>12</v>
      </c>
      <c r="D16" s="123">
        <v>0</v>
      </c>
      <c r="E16" s="128" t="s">
        <v>5</v>
      </c>
      <c r="F16" s="127">
        <v>0</v>
      </c>
      <c r="G16" s="128" t="s">
        <v>5</v>
      </c>
      <c r="H16" s="127">
        <v>0</v>
      </c>
      <c r="I16" s="128"/>
      <c r="J16" s="127">
        <v>0</v>
      </c>
      <c r="K16" s="128"/>
      <c r="L16" s="127">
        <v>600000</v>
      </c>
      <c r="M16" s="128" t="s">
        <v>2390</v>
      </c>
      <c r="N16" s="135">
        <f t="shared" si="2"/>
        <v>600000</v>
      </c>
      <c r="O16" s="124"/>
      <c r="P16" s="124"/>
    </row>
    <row r="17" spans="1:16" ht="30" customHeight="1" x14ac:dyDescent="0.3">
      <c r="A17" s="131" t="s">
        <v>659</v>
      </c>
      <c r="B17" s="131" t="s">
        <v>2393</v>
      </c>
      <c r="C17" s="132" t="s">
        <v>12</v>
      </c>
      <c r="D17" s="123">
        <v>0</v>
      </c>
      <c r="E17" s="128" t="s">
        <v>5</v>
      </c>
      <c r="F17" s="127">
        <v>0</v>
      </c>
      <c r="G17" s="128" t="s">
        <v>5</v>
      </c>
      <c r="H17" s="127">
        <v>0</v>
      </c>
      <c r="I17" s="128"/>
      <c r="J17" s="127">
        <v>0</v>
      </c>
      <c r="K17" s="128"/>
      <c r="L17" s="127">
        <v>750000</v>
      </c>
      <c r="M17" s="128" t="s">
        <v>2390</v>
      </c>
      <c r="N17" s="135">
        <f t="shared" si="2"/>
        <v>750000</v>
      </c>
      <c r="O17" s="124"/>
      <c r="P17" s="124"/>
    </row>
    <row r="18" spans="1:16" ht="30" customHeight="1" x14ac:dyDescent="0.3">
      <c r="A18" s="131" t="s">
        <v>660</v>
      </c>
      <c r="B18" s="131" t="s">
        <v>661</v>
      </c>
      <c r="C18" s="132" t="s">
        <v>12</v>
      </c>
      <c r="D18" s="123">
        <v>19982</v>
      </c>
      <c r="E18" s="128" t="s">
        <v>5</v>
      </c>
      <c r="F18" s="127">
        <v>70000</v>
      </c>
      <c r="G18" s="128" t="s">
        <v>785</v>
      </c>
      <c r="H18" s="127">
        <v>50000</v>
      </c>
      <c r="I18" s="128" t="s">
        <v>2109</v>
      </c>
      <c r="J18" s="127">
        <v>25000</v>
      </c>
      <c r="K18" s="128" t="s">
        <v>2253</v>
      </c>
      <c r="L18" s="127">
        <v>0</v>
      </c>
      <c r="M18" s="128" t="s">
        <v>5</v>
      </c>
      <c r="N18" s="135">
        <f t="shared" si="1"/>
        <v>19982</v>
      </c>
      <c r="O18" s="124"/>
      <c r="P18" s="139"/>
    </row>
    <row r="19" spans="1:16" ht="30" customHeight="1" x14ac:dyDescent="0.3">
      <c r="A19" s="131" t="s">
        <v>660</v>
      </c>
      <c r="B19" s="131" t="s">
        <v>662</v>
      </c>
      <c r="C19" s="132" t="s">
        <v>12</v>
      </c>
      <c r="D19" s="123">
        <v>40090</v>
      </c>
      <c r="E19" s="128" t="s">
        <v>5</v>
      </c>
      <c r="F19" s="127">
        <v>155000</v>
      </c>
      <c r="G19" s="128" t="s">
        <v>785</v>
      </c>
      <c r="H19" s="127">
        <v>110000</v>
      </c>
      <c r="I19" s="128" t="s">
        <v>792</v>
      </c>
      <c r="J19" s="127">
        <v>60000</v>
      </c>
      <c r="K19" s="128" t="s">
        <v>2253</v>
      </c>
      <c r="L19" s="127">
        <v>0</v>
      </c>
      <c r="M19" s="128" t="s">
        <v>5</v>
      </c>
      <c r="N19" s="135">
        <f t="shared" si="1"/>
        <v>40090</v>
      </c>
      <c r="O19" s="124"/>
      <c r="P19" s="139"/>
    </row>
    <row r="20" spans="1:16" ht="30" customHeight="1" x14ac:dyDescent="0.3">
      <c r="A20" s="131" t="s">
        <v>663</v>
      </c>
      <c r="B20" s="131" t="s">
        <v>664</v>
      </c>
      <c r="C20" s="132" t="s">
        <v>12</v>
      </c>
      <c r="D20" s="123">
        <v>0</v>
      </c>
      <c r="E20" s="128" t="s">
        <v>5</v>
      </c>
      <c r="F20" s="127">
        <v>0</v>
      </c>
      <c r="G20" s="128" t="s">
        <v>5</v>
      </c>
      <c r="H20" s="127">
        <v>65000</v>
      </c>
      <c r="I20" s="128" t="s">
        <v>792</v>
      </c>
      <c r="J20" s="127">
        <v>0</v>
      </c>
      <c r="K20" s="128"/>
      <c r="L20" s="127">
        <v>0</v>
      </c>
      <c r="M20" s="128" t="s">
        <v>5</v>
      </c>
      <c r="N20" s="135">
        <f t="shared" si="1"/>
        <v>65000</v>
      </c>
      <c r="O20" s="124"/>
      <c r="P20" s="130"/>
    </row>
    <row r="21" spans="1:16" ht="30" customHeight="1" x14ac:dyDescent="0.3">
      <c r="A21" s="131" t="s">
        <v>665</v>
      </c>
      <c r="B21" s="131" t="s">
        <v>666</v>
      </c>
      <c r="C21" s="132" t="s">
        <v>12</v>
      </c>
      <c r="D21" s="123">
        <v>4138</v>
      </c>
      <c r="E21" s="128" t="s">
        <v>5</v>
      </c>
      <c r="F21" s="127">
        <v>6000</v>
      </c>
      <c r="G21" s="128" t="s">
        <v>1623</v>
      </c>
      <c r="H21" s="127">
        <v>7500</v>
      </c>
      <c r="I21" s="128" t="s">
        <v>751</v>
      </c>
      <c r="J21" s="127">
        <v>0</v>
      </c>
      <c r="K21" s="128"/>
      <c r="L21" s="127">
        <v>0</v>
      </c>
      <c r="M21" s="128" t="s">
        <v>5</v>
      </c>
      <c r="N21" s="135">
        <f t="shared" si="1"/>
        <v>4138</v>
      </c>
      <c r="O21" s="124"/>
      <c r="P21" s="139"/>
    </row>
    <row r="22" spans="1:16" ht="30" customHeight="1" x14ac:dyDescent="0.3">
      <c r="A22" s="131" t="s">
        <v>667</v>
      </c>
      <c r="B22" s="131" t="s">
        <v>666</v>
      </c>
      <c r="C22" s="132" t="s">
        <v>12</v>
      </c>
      <c r="D22" s="123">
        <v>1364</v>
      </c>
      <c r="E22" s="128" t="s">
        <v>5</v>
      </c>
      <c r="F22" s="127">
        <v>2000</v>
      </c>
      <c r="G22" s="128" t="s">
        <v>1623</v>
      </c>
      <c r="H22" s="127">
        <v>2000</v>
      </c>
      <c r="I22" s="128" t="s">
        <v>751</v>
      </c>
      <c r="J22" s="127">
        <v>0</v>
      </c>
      <c r="K22" s="128"/>
      <c r="L22" s="127">
        <v>0</v>
      </c>
      <c r="M22" s="128" t="s">
        <v>5</v>
      </c>
      <c r="N22" s="135">
        <f t="shared" si="1"/>
        <v>1364</v>
      </c>
      <c r="O22" s="124"/>
      <c r="P22" s="139"/>
    </row>
    <row r="23" spans="1:16" ht="30" customHeight="1" x14ac:dyDescent="0.3">
      <c r="A23" s="131" t="s">
        <v>668</v>
      </c>
      <c r="B23" s="131" t="s">
        <v>666</v>
      </c>
      <c r="C23" s="132" t="s">
        <v>12</v>
      </c>
      <c r="D23" s="123">
        <v>2404</v>
      </c>
      <c r="E23" s="128" t="s">
        <v>5</v>
      </c>
      <c r="F23" s="127">
        <v>5000</v>
      </c>
      <c r="G23" s="128" t="s">
        <v>1623</v>
      </c>
      <c r="H23" s="127">
        <v>5000</v>
      </c>
      <c r="I23" s="128" t="s">
        <v>751</v>
      </c>
      <c r="J23" s="127">
        <v>0</v>
      </c>
      <c r="K23" s="128"/>
      <c r="L23" s="127">
        <v>0</v>
      </c>
      <c r="M23" s="128" t="s">
        <v>5</v>
      </c>
      <c r="N23" s="135">
        <f t="shared" si="1"/>
        <v>2404</v>
      </c>
      <c r="O23" s="124"/>
      <c r="P23" s="139"/>
    </row>
    <row r="24" spans="1:16" ht="30" customHeight="1" x14ac:dyDescent="0.3">
      <c r="A24" s="131" t="s">
        <v>669</v>
      </c>
      <c r="B24" s="131" t="s">
        <v>670</v>
      </c>
      <c r="C24" s="132" t="s">
        <v>12</v>
      </c>
      <c r="D24" s="123">
        <v>0</v>
      </c>
      <c r="E24" s="128" t="s">
        <v>5</v>
      </c>
      <c r="F24" s="127">
        <v>3000</v>
      </c>
      <c r="G24" s="128" t="s">
        <v>1623</v>
      </c>
      <c r="H24" s="127">
        <v>0</v>
      </c>
      <c r="I24" s="128" t="s">
        <v>5</v>
      </c>
      <c r="J24" s="127">
        <v>0</v>
      </c>
      <c r="K24" s="128" t="s">
        <v>5</v>
      </c>
      <c r="L24" s="127">
        <v>0</v>
      </c>
      <c r="M24" s="128" t="s">
        <v>5</v>
      </c>
      <c r="N24" s="135">
        <f t="shared" si="1"/>
        <v>3000</v>
      </c>
      <c r="O24" s="124"/>
      <c r="P24" s="130"/>
    </row>
    <row r="25" spans="1:16" ht="30" customHeight="1" x14ac:dyDescent="0.3">
      <c r="A25" s="131" t="s">
        <v>671</v>
      </c>
      <c r="B25" s="131" t="s">
        <v>672</v>
      </c>
      <c r="C25" s="132" t="s">
        <v>12</v>
      </c>
      <c r="D25" s="123">
        <v>0</v>
      </c>
      <c r="E25" s="128" t="s">
        <v>5</v>
      </c>
      <c r="F25" s="127">
        <v>0</v>
      </c>
      <c r="G25" s="128" t="s">
        <v>5</v>
      </c>
      <c r="H25" s="127">
        <v>1900</v>
      </c>
      <c r="I25" s="128" t="s">
        <v>761</v>
      </c>
      <c r="J25" s="127">
        <v>0</v>
      </c>
      <c r="K25" s="128" t="s">
        <v>5</v>
      </c>
      <c r="L25" s="127">
        <v>0</v>
      </c>
      <c r="M25" s="128" t="s">
        <v>5</v>
      </c>
      <c r="N25" s="135">
        <f t="shared" si="1"/>
        <v>1900</v>
      </c>
      <c r="O25" s="124"/>
      <c r="P25" s="130"/>
    </row>
    <row r="26" spans="1:16" ht="30" customHeight="1" x14ac:dyDescent="0.3">
      <c r="A26" s="131" t="s">
        <v>671</v>
      </c>
      <c r="B26" s="131" t="s">
        <v>673</v>
      </c>
      <c r="C26" s="132" t="s">
        <v>12</v>
      </c>
      <c r="D26" s="123">
        <v>0</v>
      </c>
      <c r="E26" s="128" t="s">
        <v>5</v>
      </c>
      <c r="F26" s="127">
        <v>0</v>
      </c>
      <c r="G26" s="128" t="s">
        <v>5</v>
      </c>
      <c r="H26" s="127">
        <v>2900</v>
      </c>
      <c r="I26" s="128" t="s">
        <v>761</v>
      </c>
      <c r="J26" s="127">
        <v>0</v>
      </c>
      <c r="K26" s="128" t="s">
        <v>5</v>
      </c>
      <c r="L26" s="127">
        <v>0</v>
      </c>
      <c r="M26" s="128" t="s">
        <v>5</v>
      </c>
      <c r="N26" s="135">
        <f t="shared" si="1"/>
        <v>2900</v>
      </c>
      <c r="O26" s="124"/>
      <c r="P26" s="130"/>
    </row>
    <row r="27" spans="1:16" ht="30" customHeight="1" x14ac:dyDescent="0.3">
      <c r="A27" s="131" t="s">
        <v>671</v>
      </c>
      <c r="B27" s="131" t="s">
        <v>674</v>
      </c>
      <c r="C27" s="132" t="s">
        <v>12</v>
      </c>
      <c r="D27" s="123">
        <v>0</v>
      </c>
      <c r="E27" s="128" t="s">
        <v>5</v>
      </c>
      <c r="F27" s="127">
        <v>0</v>
      </c>
      <c r="G27" s="128" t="s">
        <v>5</v>
      </c>
      <c r="H27" s="127">
        <v>3770</v>
      </c>
      <c r="I27" s="128" t="s">
        <v>761</v>
      </c>
      <c r="J27" s="127">
        <v>0</v>
      </c>
      <c r="K27" s="128" t="s">
        <v>5</v>
      </c>
      <c r="L27" s="127">
        <v>0</v>
      </c>
      <c r="M27" s="128" t="s">
        <v>5</v>
      </c>
      <c r="N27" s="135">
        <f t="shared" si="1"/>
        <v>3770</v>
      </c>
      <c r="O27" s="124"/>
      <c r="P27" s="130"/>
    </row>
    <row r="28" spans="1:16" ht="30" customHeight="1" x14ac:dyDescent="0.3">
      <c r="A28" s="131" t="s">
        <v>675</v>
      </c>
      <c r="B28" s="131" t="s">
        <v>676</v>
      </c>
      <c r="C28" s="132" t="s">
        <v>12</v>
      </c>
      <c r="D28" s="123">
        <v>44806</v>
      </c>
      <c r="E28" s="128" t="s">
        <v>5</v>
      </c>
      <c r="F28" s="127">
        <v>125000</v>
      </c>
      <c r="G28" s="128" t="s">
        <v>2252</v>
      </c>
      <c r="H28" s="127">
        <v>100000</v>
      </c>
      <c r="I28" s="128" t="s">
        <v>793</v>
      </c>
      <c r="J28" s="127">
        <v>100000</v>
      </c>
      <c r="K28" s="128" t="s">
        <v>2253</v>
      </c>
      <c r="L28" s="127">
        <v>100000</v>
      </c>
      <c r="M28" s="128" t="s">
        <v>2390</v>
      </c>
      <c r="N28" s="135">
        <f t="shared" si="1"/>
        <v>44806</v>
      </c>
      <c r="O28" s="124"/>
      <c r="P28" s="139"/>
    </row>
    <row r="29" spans="1:16" ht="30" customHeight="1" x14ac:dyDescent="0.3">
      <c r="A29" s="131" t="s">
        <v>675</v>
      </c>
      <c r="B29" s="131" t="s">
        <v>677</v>
      </c>
      <c r="C29" s="132" t="s">
        <v>12</v>
      </c>
      <c r="D29" s="123">
        <v>48491</v>
      </c>
      <c r="E29" s="128" t="s">
        <v>5</v>
      </c>
      <c r="F29" s="127">
        <v>150000</v>
      </c>
      <c r="G29" s="128" t="s">
        <v>2252</v>
      </c>
      <c r="H29" s="127">
        <v>150000</v>
      </c>
      <c r="I29" s="128" t="s">
        <v>793</v>
      </c>
      <c r="J29" s="127">
        <v>130000</v>
      </c>
      <c r="K29" s="128" t="s">
        <v>2253</v>
      </c>
      <c r="L29" s="127">
        <v>110000</v>
      </c>
      <c r="M29" s="128" t="s">
        <v>2390</v>
      </c>
      <c r="N29" s="135">
        <f t="shared" si="1"/>
        <v>48491</v>
      </c>
      <c r="O29" s="124"/>
      <c r="P29" s="139"/>
    </row>
    <row r="30" spans="1:16" ht="30" customHeight="1" x14ac:dyDescent="0.3">
      <c r="A30" s="131" t="s">
        <v>675</v>
      </c>
      <c r="B30" s="131" t="s">
        <v>678</v>
      </c>
      <c r="C30" s="132" t="s">
        <v>12</v>
      </c>
      <c r="D30" s="123">
        <v>52282</v>
      </c>
      <c r="E30" s="128" t="s">
        <v>5</v>
      </c>
      <c r="F30" s="127">
        <v>150000</v>
      </c>
      <c r="G30" s="128" t="s">
        <v>2252</v>
      </c>
      <c r="H30" s="127">
        <v>160000</v>
      </c>
      <c r="I30" s="128" t="s">
        <v>793</v>
      </c>
      <c r="J30" s="127">
        <v>130000</v>
      </c>
      <c r="K30" s="128" t="s">
        <v>2253</v>
      </c>
      <c r="L30" s="127">
        <v>130000</v>
      </c>
      <c r="M30" s="128" t="s">
        <v>2390</v>
      </c>
      <c r="N30" s="135">
        <f t="shared" si="1"/>
        <v>52282</v>
      </c>
      <c r="O30" s="124"/>
      <c r="P30" s="139"/>
    </row>
    <row r="31" spans="1:16" ht="30" customHeight="1" x14ac:dyDescent="0.3">
      <c r="A31" s="131" t="s">
        <v>675</v>
      </c>
      <c r="B31" s="131" t="s">
        <v>679</v>
      </c>
      <c r="C31" s="132" t="s">
        <v>12</v>
      </c>
      <c r="D31" s="123">
        <v>56765</v>
      </c>
      <c r="E31" s="128" t="s">
        <v>5</v>
      </c>
      <c r="F31" s="127">
        <v>180000</v>
      </c>
      <c r="G31" s="128" t="s">
        <v>2252</v>
      </c>
      <c r="H31" s="127">
        <v>200000</v>
      </c>
      <c r="I31" s="128" t="s">
        <v>793</v>
      </c>
      <c r="J31" s="127">
        <v>160000</v>
      </c>
      <c r="K31" s="128" t="s">
        <v>2253</v>
      </c>
      <c r="L31" s="127">
        <v>150000</v>
      </c>
      <c r="M31" s="128" t="s">
        <v>2390</v>
      </c>
      <c r="N31" s="135">
        <f t="shared" si="1"/>
        <v>56765</v>
      </c>
      <c r="O31" s="124"/>
      <c r="P31" s="139"/>
    </row>
    <row r="32" spans="1:16" ht="30" customHeight="1" x14ac:dyDescent="0.3">
      <c r="A32" s="131" t="s">
        <v>675</v>
      </c>
      <c r="B32" s="131" t="s">
        <v>680</v>
      </c>
      <c r="C32" s="132" t="s">
        <v>12</v>
      </c>
      <c r="D32" s="123">
        <v>0</v>
      </c>
      <c r="E32" s="128" t="s">
        <v>5</v>
      </c>
      <c r="F32" s="127">
        <v>180000</v>
      </c>
      <c r="G32" s="128" t="s">
        <v>2252</v>
      </c>
      <c r="H32" s="127">
        <v>200000</v>
      </c>
      <c r="I32" s="128" t="s">
        <v>751</v>
      </c>
      <c r="J32" s="127">
        <v>0</v>
      </c>
      <c r="K32" s="128"/>
      <c r="L32" s="127">
        <v>150000</v>
      </c>
      <c r="M32" s="128" t="s">
        <v>2390</v>
      </c>
      <c r="N32" s="135">
        <f t="shared" si="1"/>
        <v>150000</v>
      </c>
      <c r="O32" s="124"/>
      <c r="P32" s="139"/>
    </row>
    <row r="33" spans="1:16" ht="30" customHeight="1" x14ac:dyDescent="0.3">
      <c r="A33" s="131" t="s">
        <v>675</v>
      </c>
      <c r="B33" s="131" t="s">
        <v>681</v>
      </c>
      <c r="C33" s="132" t="s">
        <v>12</v>
      </c>
      <c r="D33" s="123">
        <v>0</v>
      </c>
      <c r="E33" s="128" t="s">
        <v>5</v>
      </c>
      <c r="F33" s="127">
        <v>220000</v>
      </c>
      <c r="G33" s="128" t="s">
        <v>2252</v>
      </c>
      <c r="H33" s="127">
        <v>0</v>
      </c>
      <c r="I33" s="128" t="s">
        <v>5</v>
      </c>
      <c r="J33" s="127">
        <v>0</v>
      </c>
      <c r="K33" s="128"/>
      <c r="L33" s="127">
        <v>170000</v>
      </c>
      <c r="M33" s="128" t="s">
        <v>2390</v>
      </c>
      <c r="N33" s="135">
        <f t="shared" si="1"/>
        <v>170000</v>
      </c>
      <c r="O33" s="124"/>
      <c r="P33" s="139"/>
    </row>
    <row r="34" spans="1:16" ht="30" customHeight="1" x14ac:dyDescent="0.3">
      <c r="A34" s="131" t="s">
        <v>682</v>
      </c>
      <c r="B34" s="131" t="s">
        <v>683</v>
      </c>
      <c r="C34" s="132" t="s">
        <v>12</v>
      </c>
      <c r="D34" s="123">
        <v>0</v>
      </c>
      <c r="E34" s="128" t="s">
        <v>5</v>
      </c>
      <c r="F34" s="127">
        <v>100000</v>
      </c>
      <c r="G34" s="128" t="s">
        <v>2252</v>
      </c>
      <c r="H34" s="127">
        <v>100000</v>
      </c>
      <c r="I34" s="128" t="s">
        <v>751</v>
      </c>
      <c r="J34" s="127">
        <v>100000</v>
      </c>
      <c r="K34" s="128" t="s">
        <v>2253</v>
      </c>
      <c r="L34" s="127">
        <v>100000</v>
      </c>
      <c r="M34" s="128" t="s">
        <v>2390</v>
      </c>
      <c r="N34" s="135">
        <f t="shared" si="1"/>
        <v>100000</v>
      </c>
      <c r="O34" s="124"/>
      <c r="P34" s="130"/>
    </row>
    <row r="35" spans="1:16" ht="30" customHeight="1" x14ac:dyDescent="0.3">
      <c r="A35" s="131" t="s">
        <v>684</v>
      </c>
      <c r="B35" s="131" t="s">
        <v>683</v>
      </c>
      <c r="C35" s="132" t="s">
        <v>12</v>
      </c>
      <c r="D35" s="123">
        <v>0</v>
      </c>
      <c r="E35" s="128" t="s">
        <v>5</v>
      </c>
      <c r="F35" s="127">
        <v>120000</v>
      </c>
      <c r="G35" s="128" t="s">
        <v>2252</v>
      </c>
      <c r="H35" s="127">
        <v>220000</v>
      </c>
      <c r="I35" s="128" t="s">
        <v>751</v>
      </c>
      <c r="J35" s="127">
        <v>150000</v>
      </c>
      <c r="K35" s="128" t="s">
        <v>2253</v>
      </c>
      <c r="L35" s="127">
        <v>150000</v>
      </c>
      <c r="M35" s="128" t="s">
        <v>2390</v>
      </c>
      <c r="N35" s="135">
        <f t="shared" si="1"/>
        <v>120000</v>
      </c>
      <c r="O35" s="124"/>
      <c r="P35" s="130"/>
    </row>
    <row r="36" spans="1:16" ht="30" customHeight="1" x14ac:dyDescent="0.3">
      <c r="A36" s="131" t="s">
        <v>685</v>
      </c>
      <c r="B36" s="131" t="s">
        <v>686</v>
      </c>
      <c r="C36" s="132" t="s">
        <v>12</v>
      </c>
      <c r="D36" s="123">
        <v>52282</v>
      </c>
      <c r="E36" s="128" t="s">
        <v>5</v>
      </c>
      <c r="F36" s="127">
        <v>160000</v>
      </c>
      <c r="G36" s="128" t="s">
        <v>2252</v>
      </c>
      <c r="H36" s="127">
        <v>0</v>
      </c>
      <c r="I36" s="128" t="s">
        <v>5</v>
      </c>
      <c r="J36" s="127">
        <v>130000</v>
      </c>
      <c r="K36" s="128" t="s">
        <v>2253</v>
      </c>
      <c r="L36" s="127">
        <v>130000</v>
      </c>
      <c r="M36" s="128" t="s">
        <v>2390</v>
      </c>
      <c r="N36" s="135">
        <f t="shared" si="1"/>
        <v>52282</v>
      </c>
      <c r="O36" s="124"/>
      <c r="P36" s="139"/>
    </row>
    <row r="37" spans="1:16" ht="30" customHeight="1" x14ac:dyDescent="0.3">
      <c r="A37" s="131" t="s">
        <v>685</v>
      </c>
      <c r="B37" s="131" t="s">
        <v>687</v>
      </c>
      <c r="C37" s="132" t="s">
        <v>12</v>
      </c>
      <c r="D37" s="123">
        <v>56765</v>
      </c>
      <c r="E37" s="128" t="s">
        <v>5</v>
      </c>
      <c r="F37" s="127">
        <v>190000</v>
      </c>
      <c r="G37" s="128" t="s">
        <v>2252</v>
      </c>
      <c r="H37" s="127">
        <v>160000</v>
      </c>
      <c r="I37" s="128" t="s">
        <v>788</v>
      </c>
      <c r="J37" s="127">
        <v>160000</v>
      </c>
      <c r="K37" s="128" t="s">
        <v>2253</v>
      </c>
      <c r="L37" s="127">
        <v>160000</v>
      </c>
      <c r="M37" s="128" t="s">
        <v>2390</v>
      </c>
      <c r="N37" s="135">
        <f t="shared" si="1"/>
        <v>56765</v>
      </c>
      <c r="O37" s="124"/>
      <c r="P37" s="139"/>
    </row>
    <row r="38" spans="1:16" ht="30" customHeight="1" x14ac:dyDescent="0.3">
      <c r="A38" s="131" t="s">
        <v>688</v>
      </c>
      <c r="B38" s="131" t="s">
        <v>689</v>
      </c>
      <c r="C38" s="132" t="s">
        <v>12</v>
      </c>
      <c r="D38" s="123">
        <v>170078</v>
      </c>
      <c r="E38" s="128" t="s">
        <v>5</v>
      </c>
      <c r="F38" s="127">
        <v>300000</v>
      </c>
      <c r="G38" s="128" t="s">
        <v>2252</v>
      </c>
      <c r="H38" s="127">
        <v>0</v>
      </c>
      <c r="I38" s="128" t="s">
        <v>5</v>
      </c>
      <c r="J38" s="127">
        <v>0</v>
      </c>
      <c r="K38" s="128"/>
      <c r="L38" s="127">
        <v>0</v>
      </c>
      <c r="M38" s="128" t="s">
        <v>5</v>
      </c>
      <c r="N38" s="135">
        <f t="shared" si="1"/>
        <v>170078</v>
      </c>
      <c r="O38" s="124"/>
      <c r="P38" s="139"/>
    </row>
    <row r="39" spans="1:16" ht="30" customHeight="1" x14ac:dyDescent="0.3">
      <c r="A39" s="131" t="s">
        <v>688</v>
      </c>
      <c r="B39" s="131" t="s">
        <v>690</v>
      </c>
      <c r="C39" s="132" t="s">
        <v>12</v>
      </c>
      <c r="D39" s="142">
        <v>258163</v>
      </c>
      <c r="E39" s="128" t="s">
        <v>5</v>
      </c>
      <c r="F39" s="127">
        <v>390000</v>
      </c>
      <c r="G39" s="128" t="s">
        <v>2252</v>
      </c>
      <c r="H39" s="127">
        <v>310000</v>
      </c>
      <c r="I39" s="128" t="s">
        <v>751</v>
      </c>
      <c r="J39" s="127">
        <v>310000</v>
      </c>
      <c r="K39" s="128" t="s">
        <v>2253</v>
      </c>
      <c r="L39" s="127">
        <v>0</v>
      </c>
      <c r="M39" s="128" t="s">
        <v>5</v>
      </c>
      <c r="N39" s="135">
        <f t="shared" si="1"/>
        <v>258163</v>
      </c>
      <c r="O39" s="124"/>
      <c r="P39" s="139"/>
    </row>
    <row r="40" spans="1:16" ht="30" customHeight="1" x14ac:dyDescent="0.3">
      <c r="A40" s="131" t="s">
        <v>691</v>
      </c>
      <c r="B40" s="131" t="s">
        <v>692</v>
      </c>
      <c r="C40" s="132" t="s">
        <v>12</v>
      </c>
      <c r="D40" s="142"/>
      <c r="E40" s="128" t="s">
        <v>5</v>
      </c>
      <c r="F40" s="127">
        <v>100000</v>
      </c>
      <c r="G40" s="128" t="s">
        <v>2252</v>
      </c>
      <c r="H40" s="127">
        <v>0</v>
      </c>
      <c r="I40" s="128" t="s">
        <v>5</v>
      </c>
      <c r="J40" s="127">
        <v>0</v>
      </c>
      <c r="K40" s="128"/>
      <c r="L40" s="127">
        <v>0</v>
      </c>
      <c r="M40" s="128"/>
      <c r="N40" s="135">
        <f t="shared" ref="N40:N73" si="3">SMALL(D40:L40,COUNTIF(D40:L40,0)+1)</f>
        <v>100000</v>
      </c>
      <c r="O40" s="124"/>
      <c r="P40" s="139"/>
    </row>
    <row r="41" spans="1:16" ht="30" customHeight="1" x14ac:dyDescent="0.3">
      <c r="A41" s="131" t="s">
        <v>693</v>
      </c>
      <c r="B41" s="131" t="s">
        <v>694</v>
      </c>
      <c r="C41" s="132" t="s">
        <v>12</v>
      </c>
      <c r="D41" s="123">
        <v>0</v>
      </c>
      <c r="E41" s="128" t="s">
        <v>5</v>
      </c>
      <c r="F41" s="127">
        <v>0</v>
      </c>
      <c r="G41" s="128" t="s">
        <v>5</v>
      </c>
      <c r="H41" s="127">
        <v>0</v>
      </c>
      <c r="I41" s="128" t="s">
        <v>5</v>
      </c>
      <c r="J41" s="127">
        <v>450000</v>
      </c>
      <c r="K41" s="128" t="s">
        <v>2253</v>
      </c>
      <c r="L41" s="127">
        <v>0</v>
      </c>
      <c r="M41" s="128" t="s">
        <v>5</v>
      </c>
      <c r="N41" s="135">
        <f t="shared" si="3"/>
        <v>450000</v>
      </c>
      <c r="O41" s="124"/>
      <c r="P41" s="130"/>
    </row>
    <row r="42" spans="1:16" ht="30" customHeight="1" x14ac:dyDescent="0.3">
      <c r="A42" s="131" t="s">
        <v>2378</v>
      </c>
      <c r="B42" s="131" t="s">
        <v>2379</v>
      </c>
      <c r="C42" s="132" t="s">
        <v>12</v>
      </c>
      <c r="D42" s="123">
        <v>0</v>
      </c>
      <c r="E42" s="128" t="s">
        <v>5</v>
      </c>
      <c r="F42" s="127">
        <v>0</v>
      </c>
      <c r="G42" s="128"/>
      <c r="H42" s="127">
        <v>0</v>
      </c>
      <c r="I42" s="128" t="s">
        <v>5</v>
      </c>
      <c r="J42" s="127">
        <v>0</v>
      </c>
      <c r="K42" s="128"/>
      <c r="L42" s="127">
        <v>250000</v>
      </c>
      <c r="M42" s="128" t="s">
        <v>2390</v>
      </c>
      <c r="N42" s="135">
        <f t="shared" si="3"/>
        <v>250000</v>
      </c>
      <c r="O42" s="124"/>
      <c r="P42" s="130"/>
    </row>
    <row r="43" spans="1:16" ht="30" customHeight="1" x14ac:dyDescent="0.3">
      <c r="A43" s="131" t="s">
        <v>2378</v>
      </c>
      <c r="B43" s="131" t="s">
        <v>2380</v>
      </c>
      <c r="C43" s="132" t="s">
        <v>12</v>
      </c>
      <c r="D43" s="123">
        <v>0</v>
      </c>
      <c r="E43" s="128" t="s">
        <v>5</v>
      </c>
      <c r="F43" s="127">
        <v>0</v>
      </c>
      <c r="G43" s="128"/>
      <c r="H43" s="127">
        <v>0</v>
      </c>
      <c r="I43" s="128" t="s">
        <v>5</v>
      </c>
      <c r="J43" s="127">
        <v>0</v>
      </c>
      <c r="K43" s="128"/>
      <c r="L43" s="127">
        <v>300000</v>
      </c>
      <c r="M43" s="128" t="s">
        <v>2390</v>
      </c>
      <c r="N43" s="135">
        <f t="shared" ref="N43:N48" si="4">SMALL(D43:L43,COUNTIF(D43:L43,0)+1)</f>
        <v>300000</v>
      </c>
      <c r="O43" s="124"/>
      <c r="P43" s="130"/>
    </row>
    <row r="44" spans="1:16" ht="30" customHeight="1" x14ac:dyDescent="0.3">
      <c r="A44" s="131" t="s">
        <v>2378</v>
      </c>
      <c r="B44" s="131" t="s">
        <v>2381</v>
      </c>
      <c r="C44" s="132" t="s">
        <v>12</v>
      </c>
      <c r="D44" s="123">
        <v>0</v>
      </c>
      <c r="E44" s="128" t="s">
        <v>5</v>
      </c>
      <c r="F44" s="127">
        <v>0</v>
      </c>
      <c r="G44" s="128"/>
      <c r="H44" s="127">
        <v>0</v>
      </c>
      <c r="I44" s="128" t="s">
        <v>5</v>
      </c>
      <c r="J44" s="127">
        <v>0</v>
      </c>
      <c r="K44" s="128"/>
      <c r="L44" s="127">
        <v>200000</v>
      </c>
      <c r="M44" s="128" t="s">
        <v>2390</v>
      </c>
      <c r="N44" s="135">
        <f t="shared" si="4"/>
        <v>200000</v>
      </c>
      <c r="O44" s="124"/>
      <c r="P44" s="130"/>
    </row>
    <row r="45" spans="1:16" ht="30" customHeight="1" x14ac:dyDescent="0.3">
      <c r="A45" s="131" t="s">
        <v>2378</v>
      </c>
      <c r="B45" s="131" t="s">
        <v>2382</v>
      </c>
      <c r="C45" s="132" t="s">
        <v>12</v>
      </c>
      <c r="D45" s="123">
        <v>0</v>
      </c>
      <c r="E45" s="128" t="s">
        <v>5</v>
      </c>
      <c r="F45" s="127">
        <v>0</v>
      </c>
      <c r="G45" s="128"/>
      <c r="H45" s="127">
        <v>0</v>
      </c>
      <c r="I45" s="128" t="s">
        <v>5</v>
      </c>
      <c r="J45" s="127">
        <v>0</v>
      </c>
      <c r="K45" s="128"/>
      <c r="L45" s="127">
        <v>220000</v>
      </c>
      <c r="M45" s="128" t="s">
        <v>2390</v>
      </c>
      <c r="N45" s="135">
        <f t="shared" ref="N45" si="5">SMALL(D45:L45,COUNTIF(D45:L45,0)+1)</f>
        <v>220000</v>
      </c>
      <c r="O45" s="124"/>
      <c r="P45" s="130"/>
    </row>
    <row r="46" spans="1:16" ht="30" customHeight="1" x14ac:dyDescent="0.3">
      <c r="A46" s="131" t="s">
        <v>2378</v>
      </c>
      <c r="B46" s="131" t="s">
        <v>2383</v>
      </c>
      <c r="C46" s="132" t="s">
        <v>12</v>
      </c>
      <c r="D46" s="123">
        <v>0</v>
      </c>
      <c r="E46" s="128" t="s">
        <v>5</v>
      </c>
      <c r="F46" s="127">
        <v>0</v>
      </c>
      <c r="G46" s="128"/>
      <c r="H46" s="127">
        <v>0</v>
      </c>
      <c r="I46" s="128" t="s">
        <v>5</v>
      </c>
      <c r="J46" s="127">
        <v>0</v>
      </c>
      <c r="K46" s="128"/>
      <c r="L46" s="127">
        <v>250000</v>
      </c>
      <c r="M46" s="128" t="s">
        <v>2390</v>
      </c>
      <c r="N46" s="135">
        <f t="shared" si="4"/>
        <v>250000</v>
      </c>
      <c r="O46" s="124"/>
      <c r="P46" s="130"/>
    </row>
    <row r="47" spans="1:16" ht="30" customHeight="1" x14ac:dyDescent="0.3">
      <c r="A47" s="131" t="s">
        <v>2378</v>
      </c>
      <c r="B47" s="131" t="s">
        <v>2384</v>
      </c>
      <c r="C47" s="132" t="s">
        <v>12</v>
      </c>
      <c r="D47" s="123">
        <v>0</v>
      </c>
      <c r="E47" s="128" t="s">
        <v>5</v>
      </c>
      <c r="F47" s="127">
        <v>0</v>
      </c>
      <c r="G47" s="128"/>
      <c r="H47" s="127">
        <v>0</v>
      </c>
      <c r="I47" s="128" t="s">
        <v>5</v>
      </c>
      <c r="J47" s="127">
        <v>0</v>
      </c>
      <c r="K47" s="128"/>
      <c r="L47" s="127">
        <v>200000</v>
      </c>
      <c r="M47" s="128" t="s">
        <v>2390</v>
      </c>
      <c r="N47" s="135">
        <f t="shared" si="4"/>
        <v>200000</v>
      </c>
      <c r="O47" s="124"/>
      <c r="P47" s="130"/>
    </row>
    <row r="48" spans="1:16" ht="30" customHeight="1" x14ac:dyDescent="0.3">
      <c r="A48" s="131" t="s">
        <v>2378</v>
      </c>
      <c r="B48" s="131" t="s">
        <v>2385</v>
      </c>
      <c r="C48" s="132" t="s">
        <v>12</v>
      </c>
      <c r="D48" s="123">
        <v>0</v>
      </c>
      <c r="E48" s="128" t="s">
        <v>5</v>
      </c>
      <c r="F48" s="127">
        <v>0</v>
      </c>
      <c r="G48" s="128"/>
      <c r="H48" s="127">
        <v>0</v>
      </c>
      <c r="I48" s="128" t="s">
        <v>5</v>
      </c>
      <c r="J48" s="127">
        <v>0</v>
      </c>
      <c r="K48" s="128"/>
      <c r="L48" s="127">
        <v>170000</v>
      </c>
      <c r="M48" s="128" t="s">
        <v>2390</v>
      </c>
      <c r="N48" s="135">
        <f t="shared" si="4"/>
        <v>170000</v>
      </c>
      <c r="O48" s="124"/>
      <c r="P48" s="130"/>
    </row>
    <row r="49" spans="1:16" ht="30" customHeight="1" x14ac:dyDescent="0.3">
      <c r="A49" s="131" t="s">
        <v>2378</v>
      </c>
      <c r="B49" s="131" t="s">
        <v>2386</v>
      </c>
      <c r="C49" s="132" t="s">
        <v>12</v>
      </c>
      <c r="D49" s="123">
        <v>0</v>
      </c>
      <c r="E49" s="128" t="s">
        <v>5</v>
      </c>
      <c r="F49" s="127">
        <v>0</v>
      </c>
      <c r="G49" s="128"/>
      <c r="H49" s="127">
        <v>0</v>
      </c>
      <c r="I49" s="128" t="s">
        <v>5</v>
      </c>
      <c r="J49" s="127">
        <v>0</v>
      </c>
      <c r="K49" s="128"/>
      <c r="L49" s="127">
        <v>250000</v>
      </c>
      <c r="M49" s="128" t="s">
        <v>2390</v>
      </c>
      <c r="N49" s="135">
        <f t="shared" ref="N49" si="6">SMALL(D49:L49,COUNTIF(D49:L49,0)+1)</f>
        <v>250000</v>
      </c>
      <c r="O49" s="124"/>
      <c r="P49" s="130"/>
    </row>
    <row r="50" spans="1:16" ht="30" customHeight="1" x14ac:dyDescent="0.3">
      <c r="A50" s="131" t="s">
        <v>2387</v>
      </c>
      <c r="B50" s="131" t="s">
        <v>2388</v>
      </c>
      <c r="C50" s="132" t="s">
        <v>12</v>
      </c>
      <c r="D50" s="123">
        <v>0</v>
      </c>
      <c r="E50" s="128" t="s">
        <v>5</v>
      </c>
      <c r="F50" s="127">
        <v>0</v>
      </c>
      <c r="G50" s="128"/>
      <c r="H50" s="127">
        <v>0</v>
      </c>
      <c r="I50" s="128" t="s">
        <v>5</v>
      </c>
      <c r="J50" s="127">
        <v>0</v>
      </c>
      <c r="K50" s="128"/>
      <c r="L50" s="127">
        <v>150000</v>
      </c>
      <c r="M50" s="128" t="s">
        <v>2390</v>
      </c>
      <c r="N50" s="135">
        <f t="shared" ref="N50" si="7">SMALL(D50:L50,COUNTIF(D50:L50,0)+1)</f>
        <v>150000</v>
      </c>
      <c r="O50" s="124"/>
      <c r="P50" s="130"/>
    </row>
    <row r="51" spans="1:16" ht="30" customHeight="1" x14ac:dyDescent="0.3">
      <c r="A51" s="131" t="s">
        <v>2389</v>
      </c>
      <c r="B51" s="131" t="s">
        <v>2388</v>
      </c>
      <c r="C51" s="132" t="s">
        <v>12</v>
      </c>
      <c r="D51" s="123">
        <v>0</v>
      </c>
      <c r="E51" s="128" t="s">
        <v>5</v>
      </c>
      <c r="F51" s="127">
        <v>0</v>
      </c>
      <c r="G51" s="128"/>
      <c r="H51" s="127">
        <v>0</v>
      </c>
      <c r="I51" s="128" t="s">
        <v>5</v>
      </c>
      <c r="J51" s="127">
        <v>0</v>
      </c>
      <c r="K51" s="128"/>
      <c r="L51" s="127">
        <v>160000</v>
      </c>
      <c r="M51" s="128" t="s">
        <v>2390</v>
      </c>
      <c r="N51" s="135">
        <f t="shared" ref="N51" si="8">SMALL(D51:L51,COUNTIF(D51:L51,0)+1)</f>
        <v>160000</v>
      </c>
      <c r="O51" s="124"/>
      <c r="P51" s="130"/>
    </row>
    <row r="52" spans="1:16" ht="30" customHeight="1" x14ac:dyDescent="0.3">
      <c r="A52" s="131" t="s">
        <v>698</v>
      </c>
      <c r="B52" s="131" t="s">
        <v>699</v>
      </c>
      <c r="C52" s="132" t="s">
        <v>12</v>
      </c>
      <c r="D52" s="123">
        <v>0</v>
      </c>
      <c r="E52" s="128" t="s">
        <v>5</v>
      </c>
      <c r="F52" s="127">
        <v>60000</v>
      </c>
      <c r="G52" s="128" t="s">
        <v>2252</v>
      </c>
      <c r="H52" s="127">
        <v>60000</v>
      </c>
      <c r="I52" s="128" t="s">
        <v>793</v>
      </c>
      <c r="J52" s="127">
        <v>0</v>
      </c>
      <c r="K52" s="128"/>
      <c r="L52" s="127">
        <v>0</v>
      </c>
      <c r="M52" s="128"/>
      <c r="N52" s="135">
        <f t="shared" si="3"/>
        <v>60000</v>
      </c>
      <c r="O52" s="124"/>
      <c r="P52" s="139"/>
    </row>
    <row r="53" spans="1:16" ht="30" customHeight="1" x14ac:dyDescent="0.3">
      <c r="A53" s="131" t="s">
        <v>700</v>
      </c>
      <c r="B53" s="131" t="s">
        <v>701</v>
      </c>
      <c r="C53" s="132" t="s">
        <v>12</v>
      </c>
      <c r="D53" s="123">
        <v>0</v>
      </c>
      <c r="E53" s="128" t="s">
        <v>5</v>
      </c>
      <c r="F53" s="127">
        <v>0</v>
      </c>
      <c r="G53" s="128" t="s">
        <v>5</v>
      </c>
      <c r="H53" s="127">
        <v>100000</v>
      </c>
      <c r="I53" s="128" t="s">
        <v>793</v>
      </c>
      <c r="J53" s="127">
        <v>0</v>
      </c>
      <c r="K53" s="128" t="s">
        <v>5</v>
      </c>
      <c r="L53" s="127">
        <v>100000</v>
      </c>
      <c r="M53" s="128" t="s">
        <v>2390</v>
      </c>
      <c r="N53" s="135">
        <f t="shared" si="3"/>
        <v>100000</v>
      </c>
      <c r="O53" s="124"/>
      <c r="P53" s="130"/>
    </row>
    <row r="54" spans="1:16" ht="30" customHeight="1" x14ac:dyDescent="0.3">
      <c r="A54" s="131" t="s">
        <v>700</v>
      </c>
      <c r="B54" s="131" t="s">
        <v>702</v>
      </c>
      <c r="C54" s="132" t="s">
        <v>12</v>
      </c>
      <c r="D54" s="123">
        <v>0</v>
      </c>
      <c r="E54" s="128" t="s">
        <v>5</v>
      </c>
      <c r="F54" s="127">
        <v>0</v>
      </c>
      <c r="G54" s="128" t="s">
        <v>5</v>
      </c>
      <c r="H54" s="127">
        <v>150000</v>
      </c>
      <c r="I54" s="128" t="s">
        <v>793</v>
      </c>
      <c r="J54" s="127">
        <v>0</v>
      </c>
      <c r="K54" s="128" t="s">
        <v>5</v>
      </c>
      <c r="L54" s="127">
        <v>150000</v>
      </c>
      <c r="M54" s="128" t="s">
        <v>2390</v>
      </c>
      <c r="N54" s="135">
        <f t="shared" si="3"/>
        <v>150000</v>
      </c>
      <c r="O54" s="124"/>
      <c r="P54" s="130"/>
    </row>
    <row r="55" spans="1:16" ht="30" customHeight="1" x14ac:dyDescent="0.3">
      <c r="A55" s="131" t="s">
        <v>700</v>
      </c>
      <c r="B55" s="131" t="s">
        <v>694</v>
      </c>
      <c r="C55" s="132" t="s">
        <v>12</v>
      </c>
      <c r="D55" s="123">
        <v>0</v>
      </c>
      <c r="E55" s="128" t="s">
        <v>5</v>
      </c>
      <c r="F55" s="127">
        <v>0</v>
      </c>
      <c r="G55" s="128" t="s">
        <v>5</v>
      </c>
      <c r="H55" s="127">
        <v>200000</v>
      </c>
      <c r="I55" s="128" t="s">
        <v>793</v>
      </c>
      <c r="J55" s="127">
        <v>0</v>
      </c>
      <c r="K55" s="128" t="s">
        <v>5</v>
      </c>
      <c r="L55" s="127">
        <v>200000</v>
      </c>
      <c r="M55" s="128" t="s">
        <v>2390</v>
      </c>
      <c r="N55" s="135">
        <f t="shared" si="3"/>
        <v>200000</v>
      </c>
      <c r="O55" s="124"/>
      <c r="P55" s="130"/>
    </row>
    <row r="56" spans="1:16" ht="30" customHeight="1" x14ac:dyDescent="0.3">
      <c r="A56" s="131" t="s">
        <v>703</v>
      </c>
      <c r="B56" s="131" t="s">
        <v>704</v>
      </c>
      <c r="C56" s="132" t="s">
        <v>12</v>
      </c>
      <c r="D56" s="123">
        <v>0</v>
      </c>
      <c r="E56" s="128" t="s">
        <v>5</v>
      </c>
      <c r="F56" s="127">
        <v>400000</v>
      </c>
      <c r="G56" s="128" t="s">
        <v>789</v>
      </c>
      <c r="H56" s="127">
        <v>400000</v>
      </c>
      <c r="I56" s="128" t="s">
        <v>793</v>
      </c>
      <c r="J56" s="127">
        <v>450000</v>
      </c>
      <c r="K56" s="128" t="s">
        <v>1627</v>
      </c>
      <c r="L56" s="127">
        <v>0</v>
      </c>
      <c r="M56" s="128" t="s">
        <v>5</v>
      </c>
      <c r="N56" s="135">
        <f t="shared" si="3"/>
        <v>400000</v>
      </c>
      <c r="O56" s="124"/>
      <c r="P56" s="130"/>
    </row>
    <row r="57" spans="1:16" ht="30" customHeight="1" x14ac:dyDescent="0.3">
      <c r="A57" s="131" t="s">
        <v>2375</v>
      </c>
      <c r="B57" s="131" t="s">
        <v>2376</v>
      </c>
      <c r="C57" s="132" t="s">
        <v>12</v>
      </c>
      <c r="D57" s="123">
        <v>0</v>
      </c>
      <c r="E57" s="128" t="s">
        <v>5</v>
      </c>
      <c r="F57" s="127">
        <v>0</v>
      </c>
      <c r="G57" s="128"/>
      <c r="H57" s="127">
        <v>0</v>
      </c>
      <c r="I57" s="128"/>
      <c r="J57" s="127">
        <v>0</v>
      </c>
      <c r="K57" s="128"/>
      <c r="L57" s="127">
        <v>600000</v>
      </c>
      <c r="M57" s="128" t="s">
        <v>2377</v>
      </c>
      <c r="N57" s="135">
        <f t="shared" ref="N57" si="9">SMALL(D57:L57,COUNTIF(D57:L57,0)+1)</f>
        <v>600000</v>
      </c>
      <c r="O57" s="124"/>
      <c r="P57" s="130"/>
    </row>
    <row r="58" spans="1:16" ht="30" customHeight="1" x14ac:dyDescent="0.3">
      <c r="A58" s="131" t="s">
        <v>1616</v>
      </c>
      <c r="B58" s="131" t="s">
        <v>1617</v>
      </c>
      <c r="C58" s="132" t="s">
        <v>12</v>
      </c>
      <c r="D58" s="123">
        <v>11361</v>
      </c>
      <c r="E58" s="128" t="s">
        <v>5</v>
      </c>
      <c r="F58" s="127">
        <v>0</v>
      </c>
      <c r="G58" s="128" t="s">
        <v>5</v>
      </c>
      <c r="H58" s="127">
        <v>0</v>
      </c>
      <c r="I58" s="128" t="s">
        <v>5</v>
      </c>
      <c r="J58" s="127">
        <v>0</v>
      </c>
      <c r="K58" s="128" t="s">
        <v>5</v>
      </c>
      <c r="L58" s="127">
        <v>0</v>
      </c>
      <c r="M58" s="128" t="s">
        <v>5</v>
      </c>
      <c r="N58" s="135">
        <f t="shared" si="3"/>
        <v>11361</v>
      </c>
      <c r="O58" s="124"/>
      <c r="P58" s="130"/>
    </row>
    <row r="59" spans="1:16" ht="30" customHeight="1" x14ac:dyDescent="0.3">
      <c r="A59" s="131" t="s">
        <v>1616</v>
      </c>
      <c r="B59" s="131" t="s">
        <v>1618</v>
      </c>
      <c r="C59" s="132" t="s">
        <v>12</v>
      </c>
      <c r="D59" s="123">
        <v>17220</v>
      </c>
      <c r="E59" s="128" t="s">
        <v>5</v>
      </c>
      <c r="F59" s="127">
        <v>0</v>
      </c>
      <c r="G59" s="128" t="s">
        <v>5</v>
      </c>
      <c r="H59" s="127">
        <v>0</v>
      </c>
      <c r="I59" s="128" t="s">
        <v>5</v>
      </c>
      <c r="J59" s="127">
        <v>0</v>
      </c>
      <c r="K59" s="128" t="s">
        <v>5</v>
      </c>
      <c r="L59" s="127">
        <v>0</v>
      </c>
      <c r="M59" s="128" t="s">
        <v>5</v>
      </c>
      <c r="N59" s="135">
        <f t="shared" si="3"/>
        <v>17220</v>
      </c>
      <c r="O59" s="124"/>
      <c r="P59" s="130"/>
    </row>
    <row r="60" spans="1:16" ht="30" customHeight="1" x14ac:dyDescent="0.3">
      <c r="A60" s="131" t="s">
        <v>1616</v>
      </c>
      <c r="B60" s="131" t="s">
        <v>1619</v>
      </c>
      <c r="C60" s="132" t="s">
        <v>12</v>
      </c>
      <c r="D60" s="123">
        <v>23732</v>
      </c>
      <c r="E60" s="128" t="s">
        <v>5</v>
      </c>
      <c r="F60" s="127">
        <v>0</v>
      </c>
      <c r="G60" s="128" t="s">
        <v>5</v>
      </c>
      <c r="H60" s="127">
        <v>0</v>
      </c>
      <c r="I60" s="128" t="s">
        <v>5</v>
      </c>
      <c r="J60" s="127">
        <v>0</v>
      </c>
      <c r="K60" s="128" t="s">
        <v>5</v>
      </c>
      <c r="L60" s="127">
        <v>0</v>
      </c>
      <c r="M60" s="128" t="s">
        <v>5</v>
      </c>
      <c r="N60" s="135">
        <f t="shared" si="3"/>
        <v>23732</v>
      </c>
      <c r="O60" s="124"/>
      <c r="P60" s="130"/>
    </row>
    <row r="61" spans="1:16" ht="30" customHeight="1" x14ac:dyDescent="0.3">
      <c r="A61" s="131" t="s">
        <v>708</v>
      </c>
      <c r="B61" s="131" t="s">
        <v>666</v>
      </c>
      <c r="C61" s="132" t="s">
        <v>12</v>
      </c>
      <c r="D61" s="123">
        <v>40206</v>
      </c>
      <c r="E61" s="128" t="s">
        <v>5</v>
      </c>
      <c r="F61" s="127">
        <v>0</v>
      </c>
      <c r="G61" s="128" t="s">
        <v>5</v>
      </c>
      <c r="H61" s="127">
        <v>0</v>
      </c>
      <c r="I61" s="128" t="s">
        <v>5</v>
      </c>
      <c r="J61" s="127">
        <v>0</v>
      </c>
      <c r="K61" s="128" t="s">
        <v>5</v>
      </c>
      <c r="L61" s="127">
        <v>0</v>
      </c>
      <c r="M61" s="128" t="s">
        <v>5</v>
      </c>
      <c r="N61" s="135">
        <f t="shared" si="3"/>
        <v>40206</v>
      </c>
      <c r="O61" s="124"/>
      <c r="P61" s="139"/>
    </row>
    <row r="62" spans="1:16" ht="30" customHeight="1" x14ac:dyDescent="0.3">
      <c r="A62" s="131" t="s">
        <v>1613</v>
      </c>
      <c r="B62" s="131" t="s">
        <v>1614</v>
      </c>
      <c r="C62" s="132" t="s">
        <v>12</v>
      </c>
      <c r="D62" s="123">
        <v>15613</v>
      </c>
      <c r="E62" s="128" t="s">
        <v>5</v>
      </c>
      <c r="F62" s="127">
        <v>0</v>
      </c>
      <c r="G62" s="128" t="s">
        <v>5</v>
      </c>
      <c r="H62" s="127">
        <v>0</v>
      </c>
      <c r="I62" s="128" t="s">
        <v>5</v>
      </c>
      <c r="J62" s="127">
        <v>0</v>
      </c>
      <c r="K62" s="128" t="s">
        <v>5</v>
      </c>
      <c r="L62" s="127">
        <v>0</v>
      </c>
      <c r="M62" s="128" t="s">
        <v>5</v>
      </c>
      <c r="N62" s="135">
        <f t="shared" si="3"/>
        <v>15613</v>
      </c>
      <c r="O62" s="124"/>
      <c r="P62" s="130"/>
    </row>
    <row r="63" spans="1:16" ht="30" customHeight="1" x14ac:dyDescent="0.3">
      <c r="A63" s="131" t="s">
        <v>1613</v>
      </c>
      <c r="B63" s="131" t="s">
        <v>1615</v>
      </c>
      <c r="C63" s="132" t="s">
        <v>12</v>
      </c>
      <c r="D63" s="123">
        <v>0</v>
      </c>
      <c r="E63" s="128" t="s">
        <v>5</v>
      </c>
      <c r="F63" s="127">
        <v>35000</v>
      </c>
      <c r="G63" s="128" t="s">
        <v>785</v>
      </c>
      <c r="H63" s="127">
        <v>35000</v>
      </c>
      <c r="I63" s="128" t="s">
        <v>751</v>
      </c>
      <c r="J63" s="127">
        <v>30000</v>
      </c>
      <c r="K63" s="128" t="s">
        <v>1627</v>
      </c>
      <c r="L63" s="127">
        <v>40000</v>
      </c>
      <c r="M63" s="128" t="s">
        <v>2390</v>
      </c>
      <c r="N63" s="135">
        <f t="shared" si="3"/>
        <v>30000</v>
      </c>
      <c r="O63" s="124"/>
      <c r="P63" s="130"/>
    </row>
    <row r="64" spans="1:16" ht="30" customHeight="1" x14ac:dyDescent="0.3">
      <c r="A64" s="131" t="s">
        <v>710</v>
      </c>
      <c r="B64" s="131" t="s">
        <v>711</v>
      </c>
      <c r="C64" s="132" t="s">
        <v>12</v>
      </c>
      <c r="D64" s="123">
        <v>0</v>
      </c>
      <c r="E64" s="128" t="s">
        <v>5</v>
      </c>
      <c r="F64" s="127">
        <v>50000</v>
      </c>
      <c r="G64" s="128" t="s">
        <v>785</v>
      </c>
      <c r="H64" s="127">
        <v>60000</v>
      </c>
      <c r="I64" s="128" t="s">
        <v>751</v>
      </c>
      <c r="J64" s="127">
        <v>70000</v>
      </c>
      <c r="K64" s="128" t="s">
        <v>1627</v>
      </c>
      <c r="L64" s="127">
        <v>60000</v>
      </c>
      <c r="M64" s="128" t="s">
        <v>2390</v>
      </c>
      <c r="N64" s="135">
        <f t="shared" si="3"/>
        <v>50000</v>
      </c>
      <c r="O64" s="124"/>
      <c r="P64" s="139"/>
    </row>
    <row r="65" spans="1:16" ht="30" customHeight="1" x14ac:dyDescent="0.3">
      <c r="A65" s="131" t="s">
        <v>712</v>
      </c>
      <c r="B65" s="131" t="s">
        <v>709</v>
      </c>
      <c r="C65" s="132" t="s">
        <v>12</v>
      </c>
      <c r="D65" s="123">
        <v>0</v>
      </c>
      <c r="E65" s="128" t="s">
        <v>5</v>
      </c>
      <c r="F65" s="127">
        <v>50000</v>
      </c>
      <c r="G65" s="128" t="s">
        <v>789</v>
      </c>
      <c r="H65" s="127">
        <v>60000</v>
      </c>
      <c r="I65" s="128" t="s">
        <v>751</v>
      </c>
      <c r="J65" s="127">
        <v>70000</v>
      </c>
      <c r="K65" s="128" t="s">
        <v>1627</v>
      </c>
      <c r="L65" s="127">
        <v>60000</v>
      </c>
      <c r="M65" s="128" t="s">
        <v>2390</v>
      </c>
      <c r="N65" s="135">
        <f t="shared" si="3"/>
        <v>50000</v>
      </c>
      <c r="O65" s="124"/>
      <c r="P65" s="130"/>
    </row>
    <row r="66" spans="1:16" ht="30" customHeight="1" x14ac:dyDescent="0.3">
      <c r="A66" s="131" t="s">
        <v>713</v>
      </c>
      <c r="B66" s="131" t="s">
        <v>709</v>
      </c>
      <c r="C66" s="132" t="s">
        <v>12</v>
      </c>
      <c r="D66" s="123">
        <v>0</v>
      </c>
      <c r="E66" s="128" t="s">
        <v>5</v>
      </c>
      <c r="F66" s="127">
        <v>60000</v>
      </c>
      <c r="G66" s="128" t="s">
        <v>789</v>
      </c>
      <c r="H66" s="127">
        <v>0</v>
      </c>
      <c r="I66" s="128" t="s">
        <v>5</v>
      </c>
      <c r="J66" s="127">
        <v>70000</v>
      </c>
      <c r="K66" s="128" t="s">
        <v>1627</v>
      </c>
      <c r="L66" s="127">
        <v>60000</v>
      </c>
      <c r="M66" s="128" t="s">
        <v>2390</v>
      </c>
      <c r="N66" s="135">
        <f t="shared" si="3"/>
        <v>60000</v>
      </c>
      <c r="O66" s="124"/>
      <c r="P66" s="130"/>
    </row>
    <row r="67" spans="1:16" ht="30" customHeight="1" x14ac:dyDescent="0.3">
      <c r="A67" s="131" t="s">
        <v>714</v>
      </c>
      <c r="B67" s="131" t="s">
        <v>709</v>
      </c>
      <c r="C67" s="132" t="s">
        <v>12</v>
      </c>
      <c r="D67" s="123">
        <v>0</v>
      </c>
      <c r="E67" s="128" t="s">
        <v>5</v>
      </c>
      <c r="F67" s="127">
        <v>50000</v>
      </c>
      <c r="G67" s="128" t="s">
        <v>789</v>
      </c>
      <c r="H67" s="127">
        <v>60000</v>
      </c>
      <c r="I67" s="128" t="s">
        <v>751</v>
      </c>
      <c r="J67" s="127">
        <v>70000</v>
      </c>
      <c r="K67" s="128" t="s">
        <v>1627</v>
      </c>
      <c r="L67" s="127">
        <v>60000</v>
      </c>
      <c r="M67" s="128" t="s">
        <v>2390</v>
      </c>
      <c r="N67" s="135">
        <f t="shared" si="3"/>
        <v>50000</v>
      </c>
      <c r="O67" s="124"/>
      <c r="P67" s="130"/>
    </row>
    <row r="68" spans="1:16" ht="30" customHeight="1" x14ac:dyDescent="0.3">
      <c r="A68" s="131" t="s">
        <v>2396</v>
      </c>
      <c r="B68" s="131" t="s">
        <v>2397</v>
      </c>
      <c r="C68" s="132" t="s">
        <v>12</v>
      </c>
      <c r="D68" s="123">
        <v>0</v>
      </c>
      <c r="E68" s="128" t="s">
        <v>5</v>
      </c>
      <c r="F68" s="127">
        <v>170000</v>
      </c>
      <c r="G68" s="128" t="s">
        <v>2398</v>
      </c>
      <c r="H68" s="127">
        <v>0</v>
      </c>
      <c r="I68" s="128" t="s">
        <v>5</v>
      </c>
      <c r="J68" s="127">
        <v>150000</v>
      </c>
      <c r="K68" s="128" t="s">
        <v>2399</v>
      </c>
      <c r="L68" s="127">
        <v>0</v>
      </c>
      <c r="M68" s="128" t="s">
        <v>5</v>
      </c>
      <c r="N68" s="135">
        <f t="shared" ref="N68" si="10">SMALL(D68:L68,COUNTIF(D68:L68,0)+1)</f>
        <v>150000</v>
      </c>
      <c r="O68" s="124"/>
      <c r="P68" s="130"/>
    </row>
    <row r="69" spans="1:16" ht="30" customHeight="1" x14ac:dyDescent="0.3">
      <c r="A69" s="131" t="s">
        <v>715</v>
      </c>
      <c r="B69" s="131" t="s">
        <v>716</v>
      </c>
      <c r="C69" s="132" t="s">
        <v>12</v>
      </c>
      <c r="D69" s="123">
        <v>0</v>
      </c>
      <c r="E69" s="128" t="s">
        <v>5</v>
      </c>
      <c r="F69" s="127">
        <v>20000</v>
      </c>
      <c r="G69" s="128" t="s">
        <v>791</v>
      </c>
      <c r="H69" s="127">
        <v>0</v>
      </c>
      <c r="I69" s="128" t="s">
        <v>5</v>
      </c>
      <c r="J69" s="127">
        <v>0</v>
      </c>
      <c r="K69" s="128"/>
      <c r="L69" s="127">
        <v>0</v>
      </c>
      <c r="M69" s="128" t="s">
        <v>5</v>
      </c>
      <c r="N69" s="135">
        <f t="shared" si="3"/>
        <v>20000</v>
      </c>
      <c r="O69" s="124"/>
      <c r="P69" s="139"/>
    </row>
    <row r="70" spans="1:16" ht="30" customHeight="1" x14ac:dyDescent="0.3">
      <c r="A70" s="131" t="s">
        <v>1552</v>
      </c>
      <c r="B70" s="131" t="s">
        <v>707</v>
      </c>
      <c r="C70" s="132" t="s">
        <v>12</v>
      </c>
      <c r="D70" s="123">
        <v>0</v>
      </c>
      <c r="E70" s="128" t="s">
        <v>5</v>
      </c>
      <c r="F70" s="127">
        <v>360000</v>
      </c>
      <c r="G70" s="128" t="s">
        <v>1553</v>
      </c>
      <c r="H70" s="127">
        <v>360000</v>
      </c>
      <c r="I70" s="128" t="s">
        <v>1551</v>
      </c>
      <c r="J70" s="127">
        <v>0</v>
      </c>
      <c r="K70" s="128" t="s">
        <v>5</v>
      </c>
      <c r="L70" s="127">
        <v>0</v>
      </c>
      <c r="M70" s="128" t="s">
        <v>5</v>
      </c>
      <c r="N70" s="135">
        <f t="shared" si="3"/>
        <v>360000</v>
      </c>
      <c r="O70" s="124"/>
      <c r="P70" s="130"/>
    </row>
    <row r="71" spans="1:16" ht="30" customHeight="1" x14ac:dyDescent="0.3">
      <c r="A71" s="121" t="s">
        <v>2107</v>
      </c>
      <c r="B71" s="121" t="s">
        <v>2107</v>
      </c>
      <c r="C71" s="122" t="s">
        <v>12</v>
      </c>
      <c r="D71" s="134">
        <v>18260</v>
      </c>
      <c r="E71" s="124" t="s">
        <v>5</v>
      </c>
      <c r="F71" s="126">
        <v>25000</v>
      </c>
      <c r="G71" s="124" t="s">
        <v>2108</v>
      </c>
      <c r="H71" s="126">
        <v>30000</v>
      </c>
      <c r="I71" s="124" t="s">
        <v>751</v>
      </c>
      <c r="J71" s="127">
        <v>0</v>
      </c>
      <c r="K71" s="124" t="s">
        <v>5</v>
      </c>
      <c r="L71" s="127">
        <v>0</v>
      </c>
      <c r="M71" s="124" t="s">
        <v>5</v>
      </c>
      <c r="N71" s="129">
        <f t="shared" si="3"/>
        <v>18260</v>
      </c>
      <c r="O71" s="143"/>
      <c r="P71" s="121" t="s">
        <v>5</v>
      </c>
    </row>
    <row r="72" spans="1:16" ht="30" customHeight="1" x14ac:dyDescent="0.3">
      <c r="A72" s="131" t="s">
        <v>1571</v>
      </c>
      <c r="B72" s="131" t="s">
        <v>1563</v>
      </c>
      <c r="C72" s="132" t="s">
        <v>12</v>
      </c>
      <c r="D72" s="123">
        <v>0</v>
      </c>
      <c r="E72" s="128" t="s">
        <v>5</v>
      </c>
      <c r="F72" s="127">
        <v>0</v>
      </c>
      <c r="G72" s="128" t="s">
        <v>5</v>
      </c>
      <c r="H72" s="127">
        <v>0</v>
      </c>
      <c r="I72" s="128" t="s">
        <v>5</v>
      </c>
      <c r="J72" s="127">
        <v>0</v>
      </c>
      <c r="K72" s="128"/>
      <c r="L72" s="127">
        <v>100000</v>
      </c>
      <c r="M72" s="128" t="s">
        <v>1629</v>
      </c>
      <c r="N72" s="135">
        <f t="shared" si="3"/>
        <v>100000</v>
      </c>
      <c r="O72" s="124"/>
      <c r="P72" s="130"/>
    </row>
    <row r="73" spans="1:16" ht="30" customHeight="1" x14ac:dyDescent="0.3">
      <c r="A73" s="131" t="s">
        <v>1572</v>
      </c>
      <c r="B73" s="131" t="s">
        <v>1563</v>
      </c>
      <c r="C73" s="132" t="s">
        <v>12</v>
      </c>
      <c r="D73" s="123">
        <v>0</v>
      </c>
      <c r="E73" s="128" t="s">
        <v>5</v>
      </c>
      <c r="F73" s="127">
        <v>0</v>
      </c>
      <c r="G73" s="128" t="s">
        <v>5</v>
      </c>
      <c r="H73" s="127">
        <v>0</v>
      </c>
      <c r="I73" s="128" t="s">
        <v>5</v>
      </c>
      <c r="J73" s="127">
        <v>0</v>
      </c>
      <c r="K73" s="128"/>
      <c r="L73" s="127">
        <v>20000</v>
      </c>
      <c r="M73" s="128" t="s">
        <v>1629</v>
      </c>
      <c r="N73" s="135">
        <f t="shared" si="3"/>
        <v>20000</v>
      </c>
      <c r="O73" s="124"/>
      <c r="P73" s="130"/>
    </row>
    <row r="74" spans="1:16" ht="30" customHeight="1" x14ac:dyDescent="0.3">
      <c r="A74" s="131" t="s">
        <v>705</v>
      </c>
      <c r="B74" s="131" t="s">
        <v>706</v>
      </c>
      <c r="C74" s="132" t="s">
        <v>12</v>
      </c>
      <c r="D74" s="123">
        <v>0</v>
      </c>
      <c r="E74" s="128" t="s">
        <v>5</v>
      </c>
      <c r="F74" s="127">
        <v>0</v>
      </c>
      <c r="G74" s="128" t="s">
        <v>5</v>
      </c>
      <c r="H74" s="127">
        <v>0</v>
      </c>
      <c r="I74" s="128" t="s">
        <v>5</v>
      </c>
      <c r="J74" s="127">
        <v>0</v>
      </c>
      <c r="K74" s="128" t="s">
        <v>5</v>
      </c>
      <c r="L74" s="127">
        <v>385000</v>
      </c>
      <c r="M74" s="128" t="s">
        <v>1629</v>
      </c>
      <c r="N74" s="135">
        <f t="shared" si="1"/>
        <v>385000</v>
      </c>
      <c r="O74" s="124"/>
      <c r="P74" s="130"/>
    </row>
    <row r="75" spans="1:16" ht="30" customHeight="1" x14ac:dyDescent="0.3">
      <c r="A75" s="131" t="s">
        <v>695</v>
      </c>
      <c r="B75" s="131" t="s">
        <v>696</v>
      </c>
      <c r="C75" s="132" t="s">
        <v>12</v>
      </c>
      <c r="D75" s="123">
        <v>0</v>
      </c>
      <c r="E75" s="128" t="s">
        <v>5</v>
      </c>
      <c r="F75" s="127">
        <v>0</v>
      </c>
      <c r="G75" s="128" t="s">
        <v>5</v>
      </c>
      <c r="H75" s="127">
        <v>0</v>
      </c>
      <c r="I75" s="128" t="s">
        <v>5</v>
      </c>
      <c r="J75" s="127">
        <v>0</v>
      </c>
      <c r="K75" s="128" t="s">
        <v>5</v>
      </c>
      <c r="L75" s="127">
        <v>4500</v>
      </c>
      <c r="M75" s="128" t="s">
        <v>1629</v>
      </c>
      <c r="N75" s="135">
        <f t="shared" si="1"/>
        <v>4500</v>
      </c>
      <c r="O75" s="124"/>
      <c r="P75" s="130"/>
    </row>
    <row r="76" spans="1:16" ht="30" customHeight="1" x14ac:dyDescent="0.3">
      <c r="A76" s="131" t="s">
        <v>695</v>
      </c>
      <c r="B76" s="131" t="s">
        <v>697</v>
      </c>
      <c r="C76" s="132" t="s">
        <v>12</v>
      </c>
      <c r="D76" s="123">
        <v>0</v>
      </c>
      <c r="E76" s="128" t="s">
        <v>5</v>
      </c>
      <c r="F76" s="127">
        <v>0</v>
      </c>
      <c r="G76" s="128" t="s">
        <v>5</v>
      </c>
      <c r="H76" s="127">
        <v>0</v>
      </c>
      <c r="I76" s="128" t="s">
        <v>5</v>
      </c>
      <c r="J76" s="127">
        <v>0</v>
      </c>
      <c r="K76" s="128" t="s">
        <v>5</v>
      </c>
      <c r="L76" s="127">
        <v>4500</v>
      </c>
      <c r="M76" s="128" t="s">
        <v>1629</v>
      </c>
      <c r="N76" s="135">
        <f t="shared" si="1"/>
        <v>4500</v>
      </c>
      <c r="O76" s="124"/>
      <c r="P76" s="130"/>
    </row>
    <row r="77" spans="1:16" ht="30" customHeight="1" x14ac:dyDescent="0.3">
      <c r="A77" s="131" t="s">
        <v>1583</v>
      </c>
      <c r="B77" s="131" t="s">
        <v>717</v>
      </c>
      <c r="C77" s="132" t="s">
        <v>12</v>
      </c>
      <c r="D77" s="123">
        <v>0</v>
      </c>
      <c r="E77" s="128" t="s">
        <v>5</v>
      </c>
      <c r="F77" s="127">
        <v>0</v>
      </c>
      <c r="G77" s="128" t="s">
        <v>5</v>
      </c>
      <c r="H77" s="127">
        <v>0</v>
      </c>
      <c r="I77" s="128" t="s">
        <v>5</v>
      </c>
      <c r="J77" s="127">
        <v>0</v>
      </c>
      <c r="K77" s="128" t="s">
        <v>5</v>
      </c>
      <c r="L77" s="127">
        <v>42000</v>
      </c>
      <c r="M77" s="128" t="s">
        <v>1629</v>
      </c>
      <c r="N77" s="135">
        <f t="shared" si="1"/>
        <v>42000</v>
      </c>
      <c r="O77" s="124"/>
      <c r="P77" s="130"/>
    </row>
    <row r="78" spans="1:16" ht="30" customHeight="1" x14ac:dyDescent="0.3">
      <c r="A78" s="131" t="s">
        <v>1579</v>
      </c>
      <c r="B78" s="131" t="s">
        <v>717</v>
      </c>
      <c r="C78" s="132" t="s">
        <v>12</v>
      </c>
      <c r="D78" s="123">
        <v>0</v>
      </c>
      <c r="E78" s="128" t="s">
        <v>5</v>
      </c>
      <c r="F78" s="127">
        <v>0</v>
      </c>
      <c r="G78" s="128" t="s">
        <v>5</v>
      </c>
      <c r="H78" s="127">
        <v>0</v>
      </c>
      <c r="I78" s="128" t="s">
        <v>5</v>
      </c>
      <c r="J78" s="127">
        <v>0</v>
      </c>
      <c r="K78" s="128" t="s">
        <v>5</v>
      </c>
      <c r="L78" s="127">
        <v>35000</v>
      </c>
      <c r="M78" s="128" t="s">
        <v>1629</v>
      </c>
      <c r="N78" s="135">
        <f t="shared" si="1"/>
        <v>35000</v>
      </c>
      <c r="O78" s="124"/>
      <c r="P78" s="130"/>
    </row>
    <row r="79" spans="1:16" ht="30" customHeight="1" x14ac:dyDescent="0.3">
      <c r="A79" s="131" t="s">
        <v>1580</v>
      </c>
      <c r="B79" s="131" t="s">
        <v>718</v>
      </c>
      <c r="C79" s="132" t="s">
        <v>12</v>
      </c>
      <c r="D79" s="123">
        <v>0</v>
      </c>
      <c r="E79" s="128" t="s">
        <v>5</v>
      </c>
      <c r="F79" s="127">
        <v>0</v>
      </c>
      <c r="G79" s="128" t="s">
        <v>5</v>
      </c>
      <c r="H79" s="127">
        <v>0</v>
      </c>
      <c r="I79" s="128" t="s">
        <v>5</v>
      </c>
      <c r="J79" s="127">
        <v>0</v>
      </c>
      <c r="K79" s="128" t="s">
        <v>5</v>
      </c>
      <c r="L79" s="127">
        <v>24000</v>
      </c>
      <c r="M79" s="128" t="s">
        <v>1629</v>
      </c>
      <c r="N79" s="135">
        <f t="shared" si="1"/>
        <v>24000</v>
      </c>
      <c r="O79" s="124"/>
      <c r="P79" s="130"/>
    </row>
    <row r="80" spans="1:16" ht="30" customHeight="1" x14ac:dyDescent="0.3">
      <c r="A80" s="131" t="s">
        <v>1580</v>
      </c>
      <c r="B80" s="131" t="s">
        <v>719</v>
      </c>
      <c r="C80" s="132" t="s">
        <v>12</v>
      </c>
      <c r="D80" s="123">
        <v>0</v>
      </c>
      <c r="E80" s="128" t="s">
        <v>5</v>
      </c>
      <c r="F80" s="127">
        <v>0</v>
      </c>
      <c r="G80" s="128" t="s">
        <v>5</v>
      </c>
      <c r="H80" s="127">
        <v>0</v>
      </c>
      <c r="I80" s="128" t="s">
        <v>5</v>
      </c>
      <c r="J80" s="127">
        <v>0</v>
      </c>
      <c r="K80" s="128" t="s">
        <v>5</v>
      </c>
      <c r="L80" s="127">
        <v>28800</v>
      </c>
      <c r="M80" s="128" t="s">
        <v>1629</v>
      </c>
      <c r="N80" s="135">
        <f t="shared" si="1"/>
        <v>28800</v>
      </c>
      <c r="O80" s="124"/>
      <c r="P80" s="130"/>
    </row>
    <row r="81" spans="1:16" ht="30" customHeight="1" x14ac:dyDescent="0.3">
      <c r="A81" s="131" t="s">
        <v>1580</v>
      </c>
      <c r="B81" s="131" t="s">
        <v>720</v>
      </c>
      <c r="C81" s="132" t="s">
        <v>12</v>
      </c>
      <c r="D81" s="123">
        <v>0</v>
      </c>
      <c r="E81" s="128" t="s">
        <v>5</v>
      </c>
      <c r="F81" s="127">
        <v>0</v>
      </c>
      <c r="G81" s="128" t="s">
        <v>5</v>
      </c>
      <c r="H81" s="127">
        <v>0</v>
      </c>
      <c r="I81" s="128" t="s">
        <v>5</v>
      </c>
      <c r="J81" s="127">
        <v>0</v>
      </c>
      <c r="K81" s="128" t="s">
        <v>5</v>
      </c>
      <c r="L81" s="127">
        <v>36000</v>
      </c>
      <c r="M81" s="128" t="s">
        <v>1629</v>
      </c>
      <c r="N81" s="135">
        <f t="shared" si="1"/>
        <v>36000</v>
      </c>
      <c r="O81" s="124"/>
      <c r="P81" s="130"/>
    </row>
    <row r="82" spans="1:16" ht="30" customHeight="1" x14ac:dyDescent="0.3">
      <c r="A82" s="131" t="s">
        <v>1620</v>
      </c>
      <c r="B82" s="131" t="s">
        <v>718</v>
      </c>
      <c r="C82" s="132" t="s">
        <v>12</v>
      </c>
      <c r="D82" s="123">
        <v>0</v>
      </c>
      <c r="E82" s="128" t="s">
        <v>5</v>
      </c>
      <c r="F82" s="127">
        <v>0</v>
      </c>
      <c r="G82" s="128" t="s">
        <v>5</v>
      </c>
      <c r="H82" s="127">
        <v>0</v>
      </c>
      <c r="I82" s="128" t="s">
        <v>5</v>
      </c>
      <c r="J82" s="127">
        <v>0</v>
      </c>
      <c r="K82" s="128" t="s">
        <v>5</v>
      </c>
      <c r="L82" s="127">
        <v>24000</v>
      </c>
      <c r="M82" s="128" t="s">
        <v>1629</v>
      </c>
      <c r="N82" s="135">
        <f t="shared" si="1"/>
        <v>24000</v>
      </c>
      <c r="O82" s="124"/>
      <c r="P82" s="130"/>
    </row>
    <row r="83" spans="1:16" ht="30" customHeight="1" x14ac:dyDescent="0.3">
      <c r="A83" s="131" t="s">
        <v>1621</v>
      </c>
      <c r="B83" s="131" t="s">
        <v>721</v>
      </c>
      <c r="C83" s="132" t="s">
        <v>12</v>
      </c>
      <c r="D83" s="123">
        <v>0</v>
      </c>
      <c r="E83" s="128" t="s">
        <v>5</v>
      </c>
      <c r="F83" s="127">
        <v>0</v>
      </c>
      <c r="G83" s="128" t="s">
        <v>5</v>
      </c>
      <c r="H83" s="127">
        <v>0</v>
      </c>
      <c r="I83" s="128" t="s">
        <v>5</v>
      </c>
      <c r="J83" s="127">
        <v>0</v>
      </c>
      <c r="K83" s="128" t="s">
        <v>5</v>
      </c>
      <c r="L83" s="127">
        <v>34800</v>
      </c>
      <c r="M83" s="128" t="s">
        <v>1629</v>
      </c>
      <c r="N83" s="135">
        <f t="shared" si="1"/>
        <v>34800</v>
      </c>
      <c r="O83" s="124"/>
      <c r="P83" s="130"/>
    </row>
    <row r="84" spans="1:16" ht="30" customHeight="1" x14ac:dyDescent="0.3">
      <c r="A84" s="131" t="s">
        <v>1622</v>
      </c>
      <c r="B84" s="131" t="s">
        <v>722</v>
      </c>
      <c r="C84" s="132" t="s">
        <v>12</v>
      </c>
      <c r="D84" s="123">
        <v>0</v>
      </c>
      <c r="E84" s="128" t="s">
        <v>5</v>
      </c>
      <c r="F84" s="127">
        <v>0</v>
      </c>
      <c r="G84" s="128" t="s">
        <v>5</v>
      </c>
      <c r="H84" s="127">
        <v>0</v>
      </c>
      <c r="I84" s="128" t="s">
        <v>5</v>
      </c>
      <c r="J84" s="127">
        <v>0</v>
      </c>
      <c r="K84" s="128" t="s">
        <v>5</v>
      </c>
      <c r="L84" s="127">
        <v>24000</v>
      </c>
      <c r="M84" s="128" t="s">
        <v>1629</v>
      </c>
      <c r="N84" s="135">
        <f t="shared" ref="N84" si="11">SMALL(D84:L84,COUNTIF(D84:L84,0)+1)</f>
        <v>24000</v>
      </c>
      <c r="O84" s="124"/>
      <c r="P84" s="130"/>
    </row>
  </sheetData>
  <mergeCells count="8">
    <mergeCell ref="A1:P1"/>
    <mergeCell ref="A2:P2"/>
    <mergeCell ref="A3:A4"/>
    <mergeCell ref="B3:B4"/>
    <mergeCell ref="C3:C4"/>
    <mergeCell ref="D3:N3"/>
    <mergeCell ref="O3:O4"/>
    <mergeCell ref="P3:P4"/>
  </mergeCells>
  <phoneticPr fontId="1" type="noConversion"/>
  <pageMargins left="0.78740157480314954" right="0" top="0.39370078740157477" bottom="0.39370078740157477" header="0" footer="0"/>
  <pageSetup paperSize="9" scale="6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pageSetUpPr fitToPage="1"/>
  </sheetPr>
  <dimension ref="A1:P447"/>
  <sheetViews>
    <sheetView view="pageBreakPreview" zoomScale="85" zoomScaleNormal="87" zoomScaleSheetLayoutView="85" workbookViewId="0">
      <pane ySplit="4" topLeftCell="A327" activePane="bottomLeft" state="frozen"/>
      <selection activeCell="A3" sqref="A3:A4"/>
      <selection pane="bottomLeft" activeCell="B343" sqref="B343"/>
    </sheetView>
  </sheetViews>
  <sheetFormatPr defaultRowHeight="16.5" x14ac:dyDescent="0.3"/>
  <cols>
    <col min="1" max="2" width="30.5" style="116" bestFit="1" customWidth="1"/>
    <col min="3" max="3" width="5.5" style="136" customWidth="1"/>
    <col min="4" max="4" width="11.625" style="114" customWidth="1"/>
    <col min="5" max="5" width="6.625" style="137" customWidth="1"/>
    <col min="6" max="6" width="11.625" style="107" customWidth="1"/>
    <col min="7" max="7" width="6.625" style="137" customWidth="1"/>
    <col min="8" max="8" width="14.25" style="107" customWidth="1"/>
    <col min="9" max="9" width="6.625" style="137" customWidth="1"/>
    <col min="10" max="10" width="11.625" style="107" customWidth="1"/>
    <col min="11" max="11" width="6.625" style="137" customWidth="1"/>
    <col min="12" max="12" width="13.875" style="107" customWidth="1"/>
    <col min="13" max="13" width="6.625" style="137" customWidth="1"/>
    <col min="14" max="14" width="13.875" style="110" bestFit="1" customWidth="1"/>
    <col min="15" max="15" width="8.5" style="136" bestFit="1" customWidth="1"/>
    <col min="16" max="16" width="15" style="136" bestFit="1" customWidth="1"/>
    <col min="17" max="16384" width="9" style="116"/>
  </cols>
  <sheetData>
    <row r="1" spans="1:16" ht="30" customHeight="1" x14ac:dyDescent="0.3">
      <c r="A1" s="200" t="s">
        <v>932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</row>
    <row r="2" spans="1:16" ht="30" customHeight="1" x14ac:dyDescent="0.3">
      <c r="A2" s="201" t="s">
        <v>1998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</row>
    <row r="3" spans="1:16" ht="30" customHeight="1" x14ac:dyDescent="0.3">
      <c r="A3" s="202" t="s">
        <v>1566</v>
      </c>
      <c r="B3" s="202" t="s">
        <v>1567</v>
      </c>
      <c r="C3" s="202" t="s">
        <v>1</v>
      </c>
      <c r="D3" s="202" t="s">
        <v>2</v>
      </c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3" t="s">
        <v>728</v>
      </c>
      <c r="P3" s="203" t="s">
        <v>3</v>
      </c>
    </row>
    <row r="4" spans="1:16" ht="30" customHeight="1" x14ac:dyDescent="0.3">
      <c r="A4" s="202"/>
      <c r="B4" s="202"/>
      <c r="C4" s="202"/>
      <c r="D4" s="117" t="s">
        <v>723</v>
      </c>
      <c r="E4" s="118" t="s">
        <v>724</v>
      </c>
      <c r="F4" s="119" t="s">
        <v>2239</v>
      </c>
      <c r="G4" s="118" t="s">
        <v>724</v>
      </c>
      <c r="H4" s="119" t="s">
        <v>2240</v>
      </c>
      <c r="I4" s="118" t="s">
        <v>724</v>
      </c>
      <c r="J4" s="119" t="s">
        <v>2241</v>
      </c>
      <c r="K4" s="118" t="s">
        <v>724</v>
      </c>
      <c r="L4" s="119" t="s">
        <v>2242</v>
      </c>
      <c r="M4" s="118" t="s">
        <v>724</v>
      </c>
      <c r="N4" s="120" t="s">
        <v>725</v>
      </c>
      <c r="O4" s="204"/>
      <c r="P4" s="204"/>
    </row>
    <row r="5" spans="1:16" ht="30" customHeight="1" x14ac:dyDescent="0.3">
      <c r="A5" s="121" t="s">
        <v>2000</v>
      </c>
      <c r="B5" s="121" t="s">
        <v>202</v>
      </c>
      <c r="C5" s="122" t="s">
        <v>14</v>
      </c>
      <c r="D5" s="123">
        <v>0</v>
      </c>
      <c r="E5" s="124" t="s">
        <v>5</v>
      </c>
      <c r="F5" s="126">
        <v>1819</v>
      </c>
      <c r="G5" s="124" t="s">
        <v>729</v>
      </c>
      <c r="H5" s="126">
        <v>3839</v>
      </c>
      <c r="I5" s="124" t="s">
        <v>730</v>
      </c>
      <c r="J5" s="127">
        <v>0</v>
      </c>
      <c r="K5" s="124" t="s">
        <v>5</v>
      </c>
      <c r="L5" s="126">
        <v>3810</v>
      </c>
      <c r="M5" s="124" t="s">
        <v>2214</v>
      </c>
      <c r="N5" s="144">
        <f t="shared" ref="N5:N69" si="0">SMALL(D5:L5,COUNTIF(D5:L5,0)+1)</f>
        <v>1819</v>
      </c>
      <c r="O5" s="124"/>
      <c r="P5" s="131" t="s">
        <v>5</v>
      </c>
    </row>
    <row r="6" spans="1:16" ht="30" customHeight="1" x14ac:dyDescent="0.3">
      <c r="A6" s="121" t="s">
        <v>2000</v>
      </c>
      <c r="B6" s="121" t="s">
        <v>1726</v>
      </c>
      <c r="C6" s="122" t="s">
        <v>14</v>
      </c>
      <c r="D6" s="123">
        <v>0</v>
      </c>
      <c r="E6" s="124" t="s">
        <v>5</v>
      </c>
      <c r="F6" s="126">
        <v>1137</v>
      </c>
      <c r="G6" s="124" t="s">
        <v>729</v>
      </c>
      <c r="H6" s="126">
        <v>2172</v>
      </c>
      <c r="I6" s="124" t="s">
        <v>730</v>
      </c>
      <c r="J6" s="127">
        <v>0</v>
      </c>
      <c r="K6" s="124" t="s">
        <v>5</v>
      </c>
      <c r="L6" s="126">
        <v>2147</v>
      </c>
      <c r="M6" s="124" t="s">
        <v>2214</v>
      </c>
      <c r="N6" s="144">
        <f t="shared" si="0"/>
        <v>1137</v>
      </c>
      <c r="O6" s="124"/>
      <c r="P6" s="131" t="s">
        <v>5</v>
      </c>
    </row>
    <row r="7" spans="1:16" ht="30" customHeight="1" x14ac:dyDescent="0.3">
      <c r="A7" s="121" t="s">
        <v>2001</v>
      </c>
      <c r="B7" s="121" t="s">
        <v>2002</v>
      </c>
      <c r="C7" s="122" t="s">
        <v>14</v>
      </c>
      <c r="D7" s="134">
        <v>17959</v>
      </c>
      <c r="E7" s="124" t="s">
        <v>5</v>
      </c>
      <c r="F7" s="126">
        <v>22679</v>
      </c>
      <c r="G7" s="124" t="s">
        <v>740</v>
      </c>
      <c r="H7" s="126">
        <v>25398</v>
      </c>
      <c r="I7" s="124" t="s">
        <v>736</v>
      </c>
      <c r="J7" s="127">
        <v>0</v>
      </c>
      <c r="K7" s="124"/>
      <c r="L7" s="126">
        <v>26519</v>
      </c>
      <c r="M7" s="124" t="s">
        <v>2211</v>
      </c>
      <c r="N7" s="144">
        <f t="shared" si="0"/>
        <v>17959</v>
      </c>
      <c r="O7" s="124"/>
      <c r="P7" s="124" t="s">
        <v>2249</v>
      </c>
    </row>
    <row r="8" spans="1:16" ht="30" customHeight="1" x14ac:dyDescent="0.3">
      <c r="A8" s="121" t="s">
        <v>2003</v>
      </c>
      <c r="B8" s="121" t="s">
        <v>2238</v>
      </c>
      <c r="C8" s="122" t="s">
        <v>14</v>
      </c>
      <c r="D8" s="134">
        <v>19159</v>
      </c>
      <c r="E8" s="124" t="s">
        <v>5</v>
      </c>
      <c r="F8" s="126">
        <v>24425</v>
      </c>
      <c r="G8" s="124" t="s">
        <v>740</v>
      </c>
      <c r="H8" s="126">
        <v>27352</v>
      </c>
      <c r="I8" s="124" t="s">
        <v>736</v>
      </c>
      <c r="J8" s="127">
        <v>0</v>
      </c>
      <c r="K8" s="124"/>
      <c r="L8" s="126">
        <v>28560</v>
      </c>
      <c r="M8" s="124" t="s">
        <v>2211</v>
      </c>
      <c r="N8" s="144">
        <f t="shared" si="0"/>
        <v>19159</v>
      </c>
      <c r="O8" s="124"/>
      <c r="P8" s="124" t="s">
        <v>2249</v>
      </c>
    </row>
    <row r="9" spans="1:16" ht="30" customHeight="1" x14ac:dyDescent="0.3">
      <c r="A9" s="121" t="s">
        <v>1657</v>
      </c>
      <c r="B9" s="121" t="s">
        <v>1739</v>
      </c>
      <c r="C9" s="122" t="s">
        <v>14</v>
      </c>
      <c r="D9" s="134">
        <v>342</v>
      </c>
      <c r="E9" s="124" t="s">
        <v>5</v>
      </c>
      <c r="F9" s="126">
        <v>382</v>
      </c>
      <c r="G9" s="124" t="s">
        <v>741</v>
      </c>
      <c r="H9" s="126">
        <v>532</v>
      </c>
      <c r="I9" s="124" t="s">
        <v>732</v>
      </c>
      <c r="J9" s="126">
        <v>441</v>
      </c>
      <c r="K9" s="124" t="s">
        <v>2198</v>
      </c>
      <c r="L9" s="126">
        <v>596</v>
      </c>
      <c r="M9" s="124" t="s">
        <v>2209</v>
      </c>
      <c r="N9" s="144">
        <f t="shared" si="0"/>
        <v>342</v>
      </c>
      <c r="O9" s="124"/>
      <c r="P9" s="124" t="s">
        <v>2249</v>
      </c>
    </row>
    <row r="10" spans="1:16" ht="30" customHeight="1" x14ac:dyDescent="0.3">
      <c r="A10" s="121" t="s">
        <v>1657</v>
      </c>
      <c r="B10" s="121" t="s">
        <v>1740</v>
      </c>
      <c r="C10" s="122" t="s">
        <v>14</v>
      </c>
      <c r="D10" s="134">
        <v>513</v>
      </c>
      <c r="E10" s="124" t="s">
        <v>5</v>
      </c>
      <c r="F10" s="126">
        <v>580</v>
      </c>
      <c r="G10" s="124" t="s">
        <v>741</v>
      </c>
      <c r="H10" s="126">
        <v>859</v>
      </c>
      <c r="I10" s="124" t="s">
        <v>732</v>
      </c>
      <c r="J10" s="126">
        <v>641</v>
      </c>
      <c r="K10" s="124" t="s">
        <v>2198</v>
      </c>
      <c r="L10" s="126">
        <v>981</v>
      </c>
      <c r="M10" s="124" t="s">
        <v>2209</v>
      </c>
      <c r="N10" s="144">
        <f t="shared" si="0"/>
        <v>513</v>
      </c>
      <c r="O10" s="124"/>
      <c r="P10" s="124" t="s">
        <v>2249</v>
      </c>
    </row>
    <row r="11" spans="1:16" ht="30" customHeight="1" x14ac:dyDescent="0.3">
      <c r="A11" s="121" t="s">
        <v>1657</v>
      </c>
      <c r="B11" s="121" t="s">
        <v>1741</v>
      </c>
      <c r="C11" s="122" t="s">
        <v>14</v>
      </c>
      <c r="D11" s="134">
        <v>781</v>
      </c>
      <c r="E11" s="124" t="s">
        <v>5</v>
      </c>
      <c r="F11" s="126">
        <v>878</v>
      </c>
      <c r="G11" s="124" t="s">
        <v>741</v>
      </c>
      <c r="H11" s="126">
        <v>1349</v>
      </c>
      <c r="I11" s="124" t="s">
        <v>732</v>
      </c>
      <c r="J11" s="126">
        <v>980</v>
      </c>
      <c r="K11" s="124" t="s">
        <v>2198</v>
      </c>
      <c r="L11" s="126">
        <v>1528</v>
      </c>
      <c r="M11" s="124" t="s">
        <v>2209</v>
      </c>
      <c r="N11" s="144">
        <f t="shared" si="0"/>
        <v>781</v>
      </c>
      <c r="O11" s="124"/>
      <c r="P11" s="124" t="s">
        <v>2249</v>
      </c>
    </row>
    <row r="12" spans="1:16" ht="30" customHeight="1" x14ac:dyDescent="0.3">
      <c r="A12" s="121" t="s">
        <v>1658</v>
      </c>
      <c r="B12" s="121" t="s">
        <v>2199</v>
      </c>
      <c r="C12" s="122" t="s">
        <v>14</v>
      </c>
      <c r="D12" s="123">
        <v>0</v>
      </c>
      <c r="E12" s="124" t="s">
        <v>5</v>
      </c>
      <c r="F12" s="127">
        <v>0</v>
      </c>
      <c r="G12" s="124"/>
      <c r="H12" s="127">
        <v>0</v>
      </c>
      <c r="I12" s="124"/>
      <c r="J12" s="126">
        <v>473</v>
      </c>
      <c r="K12" s="124" t="s">
        <v>2198</v>
      </c>
      <c r="L12" s="127">
        <v>0</v>
      </c>
      <c r="M12" s="124" t="s">
        <v>5</v>
      </c>
      <c r="N12" s="144">
        <f t="shared" ref="N12" si="1">SMALL(D12:L12,COUNTIF(D12:L12,0)+1)</f>
        <v>473</v>
      </c>
      <c r="O12" s="124"/>
      <c r="P12" s="124" t="s">
        <v>2249</v>
      </c>
    </row>
    <row r="13" spans="1:16" ht="30" customHeight="1" x14ac:dyDescent="0.3">
      <c r="A13" s="121" t="s">
        <v>1658</v>
      </c>
      <c r="B13" s="121" t="s">
        <v>203</v>
      </c>
      <c r="C13" s="122" t="s">
        <v>14</v>
      </c>
      <c r="D13" s="134">
        <v>551</v>
      </c>
      <c r="E13" s="124" t="s">
        <v>5</v>
      </c>
      <c r="F13" s="126">
        <v>607</v>
      </c>
      <c r="G13" s="124" t="s">
        <v>741</v>
      </c>
      <c r="H13" s="126">
        <v>878</v>
      </c>
      <c r="I13" s="124" t="s">
        <v>732</v>
      </c>
      <c r="J13" s="126">
        <v>729</v>
      </c>
      <c r="K13" s="124" t="s">
        <v>2198</v>
      </c>
      <c r="L13" s="126">
        <v>999</v>
      </c>
      <c r="M13" s="124" t="s">
        <v>2209</v>
      </c>
      <c r="N13" s="144">
        <f t="shared" si="0"/>
        <v>551</v>
      </c>
      <c r="O13" s="124"/>
      <c r="P13" s="124" t="s">
        <v>2249</v>
      </c>
    </row>
    <row r="14" spans="1:16" ht="30" customHeight="1" x14ac:dyDescent="0.3">
      <c r="A14" s="121" t="s">
        <v>1658</v>
      </c>
      <c r="B14" s="121" t="s">
        <v>204</v>
      </c>
      <c r="C14" s="122" t="s">
        <v>14</v>
      </c>
      <c r="D14" s="134">
        <v>817</v>
      </c>
      <c r="E14" s="124" t="s">
        <v>5</v>
      </c>
      <c r="F14" s="126">
        <v>899</v>
      </c>
      <c r="G14" s="124" t="s">
        <v>741</v>
      </c>
      <c r="H14" s="126">
        <v>1446</v>
      </c>
      <c r="I14" s="124" t="s">
        <v>732</v>
      </c>
      <c r="J14" s="126">
        <v>1129</v>
      </c>
      <c r="K14" s="124" t="s">
        <v>2198</v>
      </c>
      <c r="L14" s="126">
        <v>1641</v>
      </c>
      <c r="M14" s="124" t="s">
        <v>2209</v>
      </c>
      <c r="N14" s="144">
        <f t="shared" si="0"/>
        <v>817</v>
      </c>
      <c r="O14" s="124"/>
      <c r="P14" s="124" t="s">
        <v>2249</v>
      </c>
    </row>
    <row r="15" spans="1:16" ht="30" customHeight="1" x14ac:dyDescent="0.3">
      <c r="A15" s="121" t="s">
        <v>2004</v>
      </c>
      <c r="B15" s="121" t="s">
        <v>205</v>
      </c>
      <c r="C15" s="122" t="s">
        <v>14</v>
      </c>
      <c r="D15" s="134">
        <v>1083</v>
      </c>
      <c r="E15" s="124" t="s">
        <v>5</v>
      </c>
      <c r="F15" s="126">
        <v>1284</v>
      </c>
      <c r="G15" s="124" t="s">
        <v>741</v>
      </c>
      <c r="H15" s="126">
        <v>2069</v>
      </c>
      <c r="I15" s="124" t="s">
        <v>732</v>
      </c>
      <c r="J15" s="126">
        <v>1548</v>
      </c>
      <c r="K15" s="124" t="s">
        <v>2198</v>
      </c>
      <c r="L15" s="126">
        <v>2348</v>
      </c>
      <c r="M15" s="124" t="s">
        <v>2209</v>
      </c>
      <c r="N15" s="144">
        <f t="shared" si="0"/>
        <v>1083</v>
      </c>
      <c r="O15" s="124"/>
      <c r="P15" s="124" t="s">
        <v>2249</v>
      </c>
    </row>
    <row r="16" spans="1:16" ht="30" customHeight="1" x14ac:dyDescent="0.3">
      <c r="A16" s="121" t="s">
        <v>2004</v>
      </c>
      <c r="B16" s="121" t="s">
        <v>206</v>
      </c>
      <c r="C16" s="122" t="s">
        <v>14</v>
      </c>
      <c r="D16" s="134">
        <v>1896</v>
      </c>
      <c r="E16" s="124" t="s">
        <v>5</v>
      </c>
      <c r="F16" s="126">
        <v>2087</v>
      </c>
      <c r="G16" s="124" t="s">
        <v>741</v>
      </c>
      <c r="H16" s="126">
        <v>3982</v>
      </c>
      <c r="I16" s="124" t="s">
        <v>732</v>
      </c>
      <c r="J16" s="126">
        <v>2700</v>
      </c>
      <c r="K16" s="124" t="s">
        <v>2198</v>
      </c>
      <c r="L16" s="126">
        <v>4521</v>
      </c>
      <c r="M16" s="124" t="s">
        <v>2209</v>
      </c>
      <c r="N16" s="144">
        <f t="shared" si="0"/>
        <v>1896</v>
      </c>
      <c r="O16" s="124"/>
      <c r="P16" s="124" t="s">
        <v>2249</v>
      </c>
    </row>
    <row r="17" spans="1:16" ht="30" customHeight="1" x14ac:dyDescent="0.3">
      <c r="A17" s="121" t="s">
        <v>2004</v>
      </c>
      <c r="B17" s="121" t="s">
        <v>1727</v>
      </c>
      <c r="C17" s="122" t="s">
        <v>14</v>
      </c>
      <c r="D17" s="134">
        <v>2697</v>
      </c>
      <c r="E17" s="124" t="s">
        <v>5</v>
      </c>
      <c r="F17" s="126">
        <v>3318</v>
      </c>
      <c r="G17" s="124" t="s">
        <v>741</v>
      </c>
      <c r="H17" s="126">
        <v>5413</v>
      </c>
      <c r="I17" s="124" t="s">
        <v>732</v>
      </c>
      <c r="J17" s="126">
        <v>4302</v>
      </c>
      <c r="K17" s="124" t="s">
        <v>2198</v>
      </c>
      <c r="L17" s="126">
        <v>6146</v>
      </c>
      <c r="M17" s="124" t="s">
        <v>2209</v>
      </c>
      <c r="N17" s="144">
        <f t="shared" si="0"/>
        <v>2697</v>
      </c>
      <c r="O17" s="124"/>
      <c r="P17" s="124" t="s">
        <v>2249</v>
      </c>
    </row>
    <row r="18" spans="1:16" ht="30" customHeight="1" x14ac:dyDescent="0.3">
      <c r="A18" s="121" t="s">
        <v>2004</v>
      </c>
      <c r="B18" s="121" t="s">
        <v>1728</v>
      </c>
      <c r="C18" s="122" t="s">
        <v>14</v>
      </c>
      <c r="D18" s="134">
        <v>4295</v>
      </c>
      <c r="E18" s="124" t="s">
        <v>5</v>
      </c>
      <c r="F18" s="126">
        <v>4983</v>
      </c>
      <c r="G18" s="124" t="s">
        <v>741</v>
      </c>
      <c r="H18" s="126">
        <v>8450</v>
      </c>
      <c r="I18" s="124" t="s">
        <v>732</v>
      </c>
      <c r="J18" s="126">
        <v>6664</v>
      </c>
      <c r="K18" s="124" t="s">
        <v>2198</v>
      </c>
      <c r="L18" s="126">
        <v>9660</v>
      </c>
      <c r="M18" s="124" t="s">
        <v>2209</v>
      </c>
      <c r="N18" s="144">
        <f t="shared" si="0"/>
        <v>4295</v>
      </c>
      <c r="O18" s="124"/>
      <c r="P18" s="124" t="s">
        <v>2249</v>
      </c>
    </row>
    <row r="19" spans="1:16" ht="30" customHeight="1" x14ac:dyDescent="0.3">
      <c r="A19" s="121" t="s">
        <v>2004</v>
      </c>
      <c r="B19" s="121" t="s">
        <v>1729</v>
      </c>
      <c r="C19" s="122" t="s">
        <v>14</v>
      </c>
      <c r="D19" s="134">
        <v>5871</v>
      </c>
      <c r="E19" s="124" t="s">
        <v>5</v>
      </c>
      <c r="F19" s="126">
        <v>6463</v>
      </c>
      <c r="G19" s="124" t="s">
        <v>741</v>
      </c>
      <c r="H19" s="126">
        <v>11225</v>
      </c>
      <c r="I19" s="124" t="s">
        <v>732</v>
      </c>
      <c r="J19" s="126">
        <v>9088</v>
      </c>
      <c r="K19" s="124" t="s">
        <v>2198</v>
      </c>
      <c r="L19" s="126">
        <v>12767</v>
      </c>
      <c r="M19" s="124" t="s">
        <v>2209</v>
      </c>
      <c r="N19" s="144">
        <f t="shared" si="0"/>
        <v>5871</v>
      </c>
      <c r="O19" s="124"/>
      <c r="P19" s="124" t="s">
        <v>2249</v>
      </c>
    </row>
    <row r="20" spans="1:16" ht="30" customHeight="1" x14ac:dyDescent="0.3">
      <c r="A20" s="121" t="s">
        <v>2004</v>
      </c>
      <c r="B20" s="121" t="s">
        <v>1730</v>
      </c>
      <c r="C20" s="122" t="s">
        <v>14</v>
      </c>
      <c r="D20" s="134">
        <v>8150</v>
      </c>
      <c r="E20" s="124" t="s">
        <v>5</v>
      </c>
      <c r="F20" s="126">
        <v>8971</v>
      </c>
      <c r="G20" s="124" t="s">
        <v>741</v>
      </c>
      <c r="H20" s="126">
        <v>15551</v>
      </c>
      <c r="I20" s="124" t="s">
        <v>732</v>
      </c>
      <c r="J20" s="126">
        <v>12970</v>
      </c>
      <c r="K20" s="124" t="s">
        <v>2198</v>
      </c>
      <c r="L20" s="126">
        <v>17746</v>
      </c>
      <c r="M20" s="124" t="s">
        <v>2209</v>
      </c>
      <c r="N20" s="144">
        <f t="shared" si="0"/>
        <v>8150</v>
      </c>
      <c r="O20" s="124"/>
      <c r="P20" s="124" t="s">
        <v>2249</v>
      </c>
    </row>
    <row r="21" spans="1:16" ht="30" customHeight="1" x14ac:dyDescent="0.3">
      <c r="A21" s="121" t="s">
        <v>2004</v>
      </c>
      <c r="B21" s="121" t="s">
        <v>1731</v>
      </c>
      <c r="C21" s="122" t="s">
        <v>14</v>
      </c>
      <c r="D21" s="134">
        <v>11155</v>
      </c>
      <c r="E21" s="124" t="s">
        <v>5</v>
      </c>
      <c r="F21" s="126">
        <v>12293</v>
      </c>
      <c r="G21" s="124" t="s">
        <v>741</v>
      </c>
      <c r="H21" s="126">
        <v>21095</v>
      </c>
      <c r="I21" s="124" t="s">
        <v>732</v>
      </c>
      <c r="J21" s="126">
        <v>17587</v>
      </c>
      <c r="K21" s="124" t="s">
        <v>2198</v>
      </c>
      <c r="L21" s="126">
        <v>23980</v>
      </c>
      <c r="M21" s="124" t="s">
        <v>2209</v>
      </c>
      <c r="N21" s="144">
        <f t="shared" si="0"/>
        <v>11155</v>
      </c>
      <c r="O21" s="124"/>
      <c r="P21" s="124" t="s">
        <v>2249</v>
      </c>
    </row>
    <row r="22" spans="1:16" ht="30" customHeight="1" x14ac:dyDescent="0.3">
      <c r="A22" s="121" t="s">
        <v>2004</v>
      </c>
      <c r="B22" s="121" t="s">
        <v>1732</v>
      </c>
      <c r="C22" s="122" t="s">
        <v>14</v>
      </c>
      <c r="D22" s="134">
        <v>14462</v>
      </c>
      <c r="E22" s="124" t="s">
        <v>5</v>
      </c>
      <c r="F22" s="126">
        <v>16803</v>
      </c>
      <c r="G22" s="124" t="s">
        <v>741</v>
      </c>
      <c r="H22" s="126">
        <v>28931</v>
      </c>
      <c r="I22" s="124" t="s">
        <v>732</v>
      </c>
      <c r="J22" s="126">
        <v>24008</v>
      </c>
      <c r="K22" s="124" t="s">
        <v>2198</v>
      </c>
      <c r="L22" s="126">
        <v>32908</v>
      </c>
      <c r="M22" s="124" t="s">
        <v>2209</v>
      </c>
      <c r="N22" s="144">
        <f t="shared" si="0"/>
        <v>14462</v>
      </c>
      <c r="O22" s="124"/>
      <c r="P22" s="124" t="s">
        <v>2249</v>
      </c>
    </row>
    <row r="23" spans="1:16" ht="30" customHeight="1" x14ac:dyDescent="0.3">
      <c r="A23" s="121" t="s">
        <v>2004</v>
      </c>
      <c r="B23" s="121" t="s">
        <v>1733</v>
      </c>
      <c r="C23" s="122" t="s">
        <v>14</v>
      </c>
      <c r="D23" s="134">
        <v>18358</v>
      </c>
      <c r="E23" s="124" t="s">
        <v>5</v>
      </c>
      <c r="F23" s="126">
        <v>21415</v>
      </c>
      <c r="G23" s="124" t="s">
        <v>741</v>
      </c>
      <c r="H23" s="126">
        <v>33637</v>
      </c>
      <c r="I23" s="124" t="s">
        <v>732</v>
      </c>
      <c r="J23" s="126">
        <v>30313</v>
      </c>
      <c r="K23" s="124" t="s">
        <v>2198</v>
      </c>
      <c r="L23" s="126">
        <v>38328</v>
      </c>
      <c r="M23" s="124" t="s">
        <v>2209</v>
      </c>
      <c r="N23" s="144">
        <f t="shared" si="0"/>
        <v>18358</v>
      </c>
      <c r="O23" s="124"/>
      <c r="P23" s="124" t="s">
        <v>2249</v>
      </c>
    </row>
    <row r="24" spans="1:16" ht="30" customHeight="1" x14ac:dyDescent="0.3">
      <c r="A24" s="121" t="s">
        <v>2004</v>
      </c>
      <c r="B24" s="121" t="s">
        <v>1734</v>
      </c>
      <c r="C24" s="122" t="s">
        <v>14</v>
      </c>
      <c r="D24" s="134">
        <v>22386</v>
      </c>
      <c r="E24" s="124" t="s">
        <v>5</v>
      </c>
      <c r="F24" s="126">
        <v>27811</v>
      </c>
      <c r="G24" s="124" t="s">
        <v>741</v>
      </c>
      <c r="H24" s="126">
        <v>41044</v>
      </c>
      <c r="I24" s="124" t="s">
        <v>732</v>
      </c>
      <c r="J24" s="126">
        <v>37180</v>
      </c>
      <c r="K24" s="124" t="s">
        <v>2198</v>
      </c>
      <c r="L24" s="126">
        <v>46739</v>
      </c>
      <c r="M24" s="124" t="s">
        <v>2209</v>
      </c>
      <c r="N24" s="144">
        <f t="shared" si="0"/>
        <v>22386</v>
      </c>
      <c r="O24" s="124"/>
      <c r="P24" s="124" t="s">
        <v>2249</v>
      </c>
    </row>
    <row r="25" spans="1:16" ht="30" customHeight="1" x14ac:dyDescent="0.3">
      <c r="A25" s="121" t="s">
        <v>2004</v>
      </c>
      <c r="B25" s="121" t="s">
        <v>1735</v>
      </c>
      <c r="C25" s="122" t="s">
        <v>14</v>
      </c>
      <c r="D25" s="134">
        <v>27767</v>
      </c>
      <c r="E25" s="124" t="s">
        <v>5</v>
      </c>
      <c r="F25" s="126">
        <v>33052</v>
      </c>
      <c r="G25" s="124" t="s">
        <v>741</v>
      </c>
      <c r="H25" s="126">
        <v>52400</v>
      </c>
      <c r="I25" s="124" t="s">
        <v>732</v>
      </c>
      <c r="J25" s="126">
        <v>46150</v>
      </c>
      <c r="K25" s="124" t="s">
        <v>2198</v>
      </c>
      <c r="L25" s="126">
        <v>59450</v>
      </c>
      <c r="M25" s="124" t="s">
        <v>2209</v>
      </c>
      <c r="N25" s="144">
        <f t="shared" si="0"/>
        <v>27767</v>
      </c>
      <c r="O25" s="124"/>
      <c r="P25" s="124" t="s">
        <v>2249</v>
      </c>
    </row>
    <row r="26" spans="1:16" ht="30" customHeight="1" x14ac:dyDescent="0.3">
      <c r="A26" s="121" t="s">
        <v>2004</v>
      </c>
      <c r="B26" s="121" t="s">
        <v>1736</v>
      </c>
      <c r="C26" s="122" t="s">
        <v>14</v>
      </c>
      <c r="D26" s="134">
        <v>35988</v>
      </c>
      <c r="E26" s="124" t="s">
        <v>5</v>
      </c>
      <c r="F26" s="126">
        <v>41230</v>
      </c>
      <c r="G26" s="124" t="s">
        <v>741</v>
      </c>
      <c r="H26" s="126">
        <v>68437</v>
      </c>
      <c r="I26" s="124" t="s">
        <v>732</v>
      </c>
      <c r="J26" s="126">
        <v>59712</v>
      </c>
      <c r="K26" s="124" t="s">
        <v>2198</v>
      </c>
      <c r="L26" s="126">
        <v>78200</v>
      </c>
      <c r="M26" s="124" t="s">
        <v>2209</v>
      </c>
      <c r="N26" s="144">
        <f t="shared" si="0"/>
        <v>35988</v>
      </c>
      <c r="O26" s="124"/>
      <c r="P26" s="124" t="s">
        <v>2249</v>
      </c>
    </row>
    <row r="27" spans="1:16" ht="30" customHeight="1" x14ac:dyDescent="0.3">
      <c r="A27" s="121" t="s">
        <v>2004</v>
      </c>
      <c r="B27" s="121" t="s">
        <v>1737</v>
      </c>
      <c r="C27" s="122" t="s">
        <v>14</v>
      </c>
      <c r="D27" s="134">
        <v>45457</v>
      </c>
      <c r="E27" s="124" t="s">
        <v>5</v>
      </c>
      <c r="F27" s="126">
        <v>53075</v>
      </c>
      <c r="G27" s="124" t="s">
        <v>741</v>
      </c>
      <c r="H27" s="126">
        <v>86527</v>
      </c>
      <c r="I27" s="124" t="s">
        <v>732</v>
      </c>
      <c r="J27" s="126">
        <v>75609</v>
      </c>
      <c r="K27" s="124" t="s">
        <v>2198</v>
      </c>
      <c r="L27" s="126">
        <v>98750</v>
      </c>
      <c r="M27" s="124" t="s">
        <v>2209</v>
      </c>
      <c r="N27" s="144">
        <f t="shared" si="0"/>
        <v>45457</v>
      </c>
      <c r="O27" s="124"/>
      <c r="P27" s="124" t="s">
        <v>2249</v>
      </c>
    </row>
    <row r="28" spans="1:16" ht="30" customHeight="1" x14ac:dyDescent="0.3">
      <c r="A28" s="121" t="s">
        <v>2004</v>
      </c>
      <c r="B28" s="121" t="s">
        <v>1738</v>
      </c>
      <c r="C28" s="122" t="s">
        <v>14</v>
      </c>
      <c r="D28" s="134">
        <v>56452</v>
      </c>
      <c r="E28" s="124" t="s">
        <v>5</v>
      </c>
      <c r="F28" s="126">
        <v>68451</v>
      </c>
      <c r="G28" s="124" t="s">
        <v>741</v>
      </c>
      <c r="H28" s="127">
        <v>0</v>
      </c>
      <c r="I28" s="124" t="s">
        <v>5</v>
      </c>
      <c r="J28" s="127">
        <v>0</v>
      </c>
      <c r="K28" s="124" t="s">
        <v>5</v>
      </c>
      <c r="L28" s="126">
        <v>123013</v>
      </c>
      <c r="M28" s="124" t="s">
        <v>2209</v>
      </c>
      <c r="N28" s="144">
        <f t="shared" si="0"/>
        <v>56452</v>
      </c>
      <c r="O28" s="124"/>
      <c r="P28" s="124" t="s">
        <v>2249</v>
      </c>
    </row>
    <row r="29" spans="1:16" ht="30" customHeight="1" x14ac:dyDescent="0.3">
      <c r="A29" s="121" t="s">
        <v>207</v>
      </c>
      <c r="B29" s="121" t="s">
        <v>1659</v>
      </c>
      <c r="C29" s="122" t="s">
        <v>14</v>
      </c>
      <c r="D29" s="134">
        <v>442</v>
      </c>
      <c r="E29" s="124" t="s">
        <v>5</v>
      </c>
      <c r="F29" s="126">
        <v>591</v>
      </c>
      <c r="G29" s="124" t="s">
        <v>741</v>
      </c>
      <c r="H29" s="126">
        <v>577</v>
      </c>
      <c r="I29" s="124" t="s">
        <v>735</v>
      </c>
      <c r="J29" s="127">
        <v>0</v>
      </c>
      <c r="K29" s="124" t="s">
        <v>5</v>
      </c>
      <c r="L29" s="126">
        <v>586</v>
      </c>
      <c r="M29" s="124" t="s">
        <v>1600</v>
      </c>
      <c r="N29" s="144">
        <f t="shared" si="0"/>
        <v>442</v>
      </c>
      <c r="O29" s="124"/>
      <c r="P29" s="124" t="s">
        <v>2249</v>
      </c>
    </row>
    <row r="30" spans="1:16" ht="30" customHeight="1" x14ac:dyDescent="0.3">
      <c r="A30" s="121" t="s">
        <v>207</v>
      </c>
      <c r="B30" s="121" t="s">
        <v>1660</v>
      </c>
      <c r="C30" s="122" t="s">
        <v>14</v>
      </c>
      <c r="D30" s="134">
        <v>616</v>
      </c>
      <c r="E30" s="124" t="s">
        <v>5</v>
      </c>
      <c r="F30" s="126">
        <v>965</v>
      </c>
      <c r="G30" s="124" t="s">
        <v>741</v>
      </c>
      <c r="H30" s="126">
        <v>798</v>
      </c>
      <c r="I30" s="124" t="s">
        <v>735</v>
      </c>
      <c r="J30" s="126">
        <v>1243</v>
      </c>
      <c r="K30" s="124" t="s">
        <v>2200</v>
      </c>
      <c r="L30" s="126">
        <v>816</v>
      </c>
      <c r="M30" s="124" t="s">
        <v>1600</v>
      </c>
      <c r="N30" s="144">
        <f t="shared" si="0"/>
        <v>616</v>
      </c>
      <c r="O30" s="124"/>
      <c r="P30" s="124" t="s">
        <v>2249</v>
      </c>
    </row>
    <row r="31" spans="1:16" ht="30" customHeight="1" x14ac:dyDescent="0.3">
      <c r="A31" s="121" t="s">
        <v>207</v>
      </c>
      <c r="B31" s="121" t="s">
        <v>1661</v>
      </c>
      <c r="C31" s="122" t="s">
        <v>14</v>
      </c>
      <c r="D31" s="134">
        <v>871</v>
      </c>
      <c r="E31" s="124" t="s">
        <v>5</v>
      </c>
      <c r="F31" s="126">
        <v>1340</v>
      </c>
      <c r="G31" s="124" t="s">
        <v>741</v>
      </c>
      <c r="H31" s="126">
        <v>1127</v>
      </c>
      <c r="I31" s="124" t="s">
        <v>735</v>
      </c>
      <c r="J31" s="126">
        <v>1601</v>
      </c>
      <c r="K31" s="124" t="s">
        <v>2200</v>
      </c>
      <c r="L31" s="126">
        <v>1154</v>
      </c>
      <c r="M31" s="124" t="s">
        <v>1600</v>
      </c>
      <c r="N31" s="144">
        <f t="shared" si="0"/>
        <v>871</v>
      </c>
      <c r="O31" s="124"/>
      <c r="P31" s="124" t="s">
        <v>2249</v>
      </c>
    </row>
    <row r="32" spans="1:16" ht="30" customHeight="1" x14ac:dyDescent="0.3">
      <c r="A32" s="121" t="s">
        <v>207</v>
      </c>
      <c r="B32" s="121" t="s">
        <v>1662</v>
      </c>
      <c r="C32" s="122" t="s">
        <v>14</v>
      </c>
      <c r="D32" s="134">
        <v>1260</v>
      </c>
      <c r="E32" s="124" t="s">
        <v>5</v>
      </c>
      <c r="F32" s="126">
        <v>1582</v>
      </c>
      <c r="G32" s="124" t="s">
        <v>741</v>
      </c>
      <c r="H32" s="126">
        <v>1650</v>
      </c>
      <c r="I32" s="124" t="s">
        <v>735</v>
      </c>
      <c r="J32" s="126">
        <v>2020</v>
      </c>
      <c r="K32" s="124" t="s">
        <v>2200</v>
      </c>
      <c r="L32" s="126">
        <v>1691</v>
      </c>
      <c r="M32" s="124" t="s">
        <v>1600</v>
      </c>
      <c r="N32" s="144">
        <f t="shared" si="0"/>
        <v>1260</v>
      </c>
      <c r="O32" s="124"/>
      <c r="P32" s="124" t="s">
        <v>2249</v>
      </c>
    </row>
    <row r="33" spans="1:16" ht="30" customHeight="1" x14ac:dyDescent="0.3">
      <c r="A33" s="121" t="s">
        <v>207</v>
      </c>
      <c r="B33" s="121" t="s">
        <v>1663</v>
      </c>
      <c r="C33" s="122" t="s">
        <v>14</v>
      </c>
      <c r="D33" s="134">
        <v>1983</v>
      </c>
      <c r="E33" s="124" t="s">
        <v>5</v>
      </c>
      <c r="F33" s="126">
        <v>2643</v>
      </c>
      <c r="G33" s="124" t="s">
        <v>741</v>
      </c>
      <c r="H33" s="126">
        <v>2550</v>
      </c>
      <c r="I33" s="124" t="s">
        <v>735</v>
      </c>
      <c r="J33" s="126">
        <v>3169</v>
      </c>
      <c r="K33" s="124" t="s">
        <v>2200</v>
      </c>
      <c r="L33" s="126">
        <v>2625</v>
      </c>
      <c r="M33" s="124" t="s">
        <v>1600</v>
      </c>
      <c r="N33" s="144">
        <f t="shared" si="0"/>
        <v>1983</v>
      </c>
      <c r="O33" s="124"/>
      <c r="P33" s="124" t="s">
        <v>2249</v>
      </c>
    </row>
    <row r="34" spans="1:16" ht="30" customHeight="1" x14ac:dyDescent="0.3">
      <c r="A34" s="121" t="s">
        <v>207</v>
      </c>
      <c r="B34" s="121" t="s">
        <v>1664</v>
      </c>
      <c r="C34" s="122" t="s">
        <v>14</v>
      </c>
      <c r="D34" s="134">
        <v>3156</v>
      </c>
      <c r="E34" s="124" t="s">
        <v>5</v>
      </c>
      <c r="F34" s="126">
        <v>4018</v>
      </c>
      <c r="G34" s="124" t="s">
        <v>741</v>
      </c>
      <c r="H34" s="126">
        <v>4002</v>
      </c>
      <c r="I34" s="124" t="s">
        <v>735</v>
      </c>
      <c r="J34" s="126">
        <v>4562</v>
      </c>
      <c r="K34" s="124" t="s">
        <v>2200</v>
      </c>
      <c r="L34" s="126">
        <v>4179</v>
      </c>
      <c r="M34" s="124" t="s">
        <v>1600</v>
      </c>
      <c r="N34" s="144">
        <f t="shared" si="0"/>
        <v>3156</v>
      </c>
      <c r="O34" s="124"/>
      <c r="P34" s="124" t="s">
        <v>2249</v>
      </c>
    </row>
    <row r="35" spans="1:16" ht="30" customHeight="1" x14ac:dyDescent="0.3">
      <c r="A35" s="121" t="s">
        <v>207</v>
      </c>
      <c r="B35" s="121" t="s">
        <v>1665</v>
      </c>
      <c r="C35" s="122" t="s">
        <v>14</v>
      </c>
      <c r="D35" s="134">
        <v>4767</v>
      </c>
      <c r="E35" s="124" t="s">
        <v>5</v>
      </c>
      <c r="F35" s="126">
        <v>6068</v>
      </c>
      <c r="G35" s="124" t="s">
        <v>741</v>
      </c>
      <c r="H35" s="126">
        <v>6105</v>
      </c>
      <c r="I35" s="124" t="s">
        <v>735</v>
      </c>
      <c r="J35" s="126">
        <v>7259</v>
      </c>
      <c r="K35" s="124" t="s">
        <v>2200</v>
      </c>
      <c r="L35" s="126">
        <v>6311</v>
      </c>
      <c r="M35" s="124" t="s">
        <v>1600</v>
      </c>
      <c r="N35" s="144">
        <f t="shared" si="0"/>
        <v>4767</v>
      </c>
      <c r="O35" s="124"/>
      <c r="P35" s="124" t="s">
        <v>2249</v>
      </c>
    </row>
    <row r="36" spans="1:16" ht="30" customHeight="1" x14ac:dyDescent="0.3">
      <c r="A36" s="121" t="s">
        <v>207</v>
      </c>
      <c r="B36" s="121" t="s">
        <v>1666</v>
      </c>
      <c r="C36" s="122" t="s">
        <v>14</v>
      </c>
      <c r="D36" s="134">
        <v>6418</v>
      </c>
      <c r="E36" s="124" t="s">
        <v>5</v>
      </c>
      <c r="F36" s="126">
        <v>8281</v>
      </c>
      <c r="G36" s="124" t="s">
        <v>741</v>
      </c>
      <c r="H36" s="126">
        <v>8608</v>
      </c>
      <c r="I36" s="124" t="s">
        <v>735</v>
      </c>
      <c r="J36" s="126">
        <v>9820</v>
      </c>
      <c r="K36" s="124" t="s">
        <v>2200</v>
      </c>
      <c r="L36" s="126">
        <v>8613</v>
      </c>
      <c r="M36" s="124" t="s">
        <v>1600</v>
      </c>
      <c r="N36" s="144">
        <f t="shared" si="0"/>
        <v>6418</v>
      </c>
      <c r="O36" s="124"/>
      <c r="P36" s="124" t="s">
        <v>2249</v>
      </c>
    </row>
    <row r="37" spans="1:16" ht="30" customHeight="1" x14ac:dyDescent="0.3">
      <c r="A37" s="121" t="s">
        <v>207</v>
      </c>
      <c r="B37" s="121" t="s">
        <v>1667</v>
      </c>
      <c r="C37" s="122" t="s">
        <v>14</v>
      </c>
      <c r="D37" s="134">
        <v>8697</v>
      </c>
      <c r="E37" s="124" t="s">
        <v>5</v>
      </c>
      <c r="F37" s="126">
        <v>11069</v>
      </c>
      <c r="G37" s="124" t="s">
        <v>741</v>
      </c>
      <c r="H37" s="126">
        <v>11639</v>
      </c>
      <c r="I37" s="124" t="s">
        <v>735</v>
      </c>
      <c r="J37" s="126">
        <v>12871</v>
      </c>
      <c r="K37" s="124" t="s">
        <v>2200</v>
      </c>
      <c r="L37" s="126">
        <v>11513</v>
      </c>
      <c r="M37" s="124" t="s">
        <v>1600</v>
      </c>
      <c r="N37" s="144">
        <f t="shared" si="0"/>
        <v>8697</v>
      </c>
      <c r="O37" s="124"/>
      <c r="P37" s="124" t="s">
        <v>2249</v>
      </c>
    </row>
    <row r="38" spans="1:16" ht="30" customHeight="1" x14ac:dyDescent="0.3">
      <c r="A38" s="121" t="s">
        <v>207</v>
      </c>
      <c r="B38" s="121" t="s">
        <v>1668</v>
      </c>
      <c r="C38" s="122" t="s">
        <v>14</v>
      </c>
      <c r="D38" s="134">
        <v>12127</v>
      </c>
      <c r="E38" s="124" t="s">
        <v>5</v>
      </c>
      <c r="F38" s="126">
        <v>15435</v>
      </c>
      <c r="G38" s="124" t="s">
        <v>741</v>
      </c>
      <c r="H38" s="126">
        <v>15657</v>
      </c>
      <c r="I38" s="124" t="s">
        <v>735</v>
      </c>
      <c r="J38" s="126">
        <v>18545</v>
      </c>
      <c r="K38" s="124" t="s">
        <v>2200</v>
      </c>
      <c r="L38" s="126">
        <v>16055</v>
      </c>
      <c r="M38" s="124" t="s">
        <v>1600</v>
      </c>
      <c r="N38" s="144">
        <f t="shared" si="0"/>
        <v>12127</v>
      </c>
      <c r="O38" s="124"/>
      <c r="P38" s="124" t="s">
        <v>2249</v>
      </c>
    </row>
    <row r="39" spans="1:16" ht="30" customHeight="1" x14ac:dyDescent="0.3">
      <c r="A39" s="121" t="s">
        <v>207</v>
      </c>
      <c r="B39" s="121" t="s">
        <v>1669</v>
      </c>
      <c r="C39" s="122" t="s">
        <v>14</v>
      </c>
      <c r="D39" s="134">
        <v>16587</v>
      </c>
      <c r="E39" s="124" t="s">
        <v>5</v>
      </c>
      <c r="F39" s="126">
        <v>19426</v>
      </c>
      <c r="G39" s="124" t="s">
        <v>741</v>
      </c>
      <c r="H39" s="126">
        <v>22022</v>
      </c>
      <c r="I39" s="124" t="s">
        <v>735</v>
      </c>
      <c r="J39" s="126">
        <v>25149</v>
      </c>
      <c r="K39" s="124" t="s">
        <v>2200</v>
      </c>
      <c r="L39" s="126">
        <v>22209</v>
      </c>
      <c r="M39" s="124" t="s">
        <v>1600</v>
      </c>
      <c r="N39" s="144">
        <f t="shared" si="0"/>
        <v>16587</v>
      </c>
      <c r="O39" s="124"/>
      <c r="P39" s="124" t="s">
        <v>2249</v>
      </c>
    </row>
    <row r="40" spans="1:16" ht="30" customHeight="1" x14ac:dyDescent="0.3">
      <c r="A40" s="121" t="s">
        <v>207</v>
      </c>
      <c r="B40" s="121" t="s">
        <v>1670</v>
      </c>
      <c r="C40" s="122" t="s">
        <v>14</v>
      </c>
      <c r="D40" s="134">
        <v>20765</v>
      </c>
      <c r="E40" s="124" t="s">
        <v>5</v>
      </c>
      <c r="F40" s="126">
        <v>24045</v>
      </c>
      <c r="G40" s="124" t="s">
        <v>741</v>
      </c>
      <c r="H40" s="126">
        <v>27005</v>
      </c>
      <c r="I40" s="124" t="s">
        <v>735</v>
      </c>
      <c r="J40" s="126">
        <v>31357</v>
      </c>
      <c r="K40" s="124" t="s">
        <v>2200</v>
      </c>
      <c r="L40" s="126">
        <v>27490</v>
      </c>
      <c r="M40" s="124" t="s">
        <v>1600</v>
      </c>
      <c r="N40" s="144">
        <f t="shared" si="0"/>
        <v>20765</v>
      </c>
      <c r="O40" s="124"/>
      <c r="P40" s="124" t="s">
        <v>2249</v>
      </c>
    </row>
    <row r="41" spans="1:16" ht="30" customHeight="1" x14ac:dyDescent="0.3">
      <c r="A41" s="121" t="s">
        <v>207</v>
      </c>
      <c r="B41" s="121" t="s">
        <v>1671</v>
      </c>
      <c r="C41" s="122" t="s">
        <v>14</v>
      </c>
      <c r="D41" s="134">
        <v>25591</v>
      </c>
      <c r="E41" s="124" t="s">
        <v>5</v>
      </c>
      <c r="F41" s="126">
        <v>29633</v>
      </c>
      <c r="G41" s="124" t="s">
        <v>741</v>
      </c>
      <c r="H41" s="126">
        <v>32826</v>
      </c>
      <c r="I41" s="124" t="s">
        <v>735</v>
      </c>
      <c r="J41" s="126">
        <v>38748</v>
      </c>
      <c r="K41" s="124" t="s">
        <v>2200</v>
      </c>
      <c r="L41" s="126">
        <v>33878</v>
      </c>
      <c r="M41" s="124" t="s">
        <v>1600</v>
      </c>
      <c r="N41" s="144">
        <f t="shared" si="0"/>
        <v>25591</v>
      </c>
      <c r="O41" s="124"/>
      <c r="P41" s="124" t="s">
        <v>2249</v>
      </c>
    </row>
    <row r="42" spans="1:16" ht="30" customHeight="1" x14ac:dyDescent="0.3">
      <c r="A42" s="121" t="s">
        <v>207</v>
      </c>
      <c r="B42" s="121" t="s">
        <v>1672</v>
      </c>
      <c r="C42" s="122" t="s">
        <v>14</v>
      </c>
      <c r="D42" s="134">
        <v>31664</v>
      </c>
      <c r="E42" s="124" t="s">
        <v>5</v>
      </c>
      <c r="F42" s="126">
        <v>36666</v>
      </c>
      <c r="G42" s="124" t="s">
        <v>741</v>
      </c>
      <c r="H42" s="126">
        <v>40524</v>
      </c>
      <c r="I42" s="124" t="s">
        <v>735</v>
      </c>
      <c r="J42" s="126">
        <v>48254</v>
      </c>
      <c r="K42" s="124" t="s">
        <v>2200</v>
      </c>
      <c r="L42" s="126">
        <v>41918</v>
      </c>
      <c r="M42" s="124" t="s">
        <v>1600</v>
      </c>
      <c r="N42" s="144">
        <f t="shared" si="0"/>
        <v>31664</v>
      </c>
      <c r="O42" s="124"/>
      <c r="P42" s="124" t="s">
        <v>2249</v>
      </c>
    </row>
    <row r="43" spans="1:16" ht="30" customHeight="1" x14ac:dyDescent="0.3">
      <c r="A43" s="121" t="s">
        <v>207</v>
      </c>
      <c r="B43" s="121" t="s">
        <v>1673</v>
      </c>
      <c r="C43" s="122" t="s">
        <v>14</v>
      </c>
      <c r="D43" s="134">
        <v>40807</v>
      </c>
      <c r="E43" s="124" t="s">
        <v>5</v>
      </c>
      <c r="F43" s="126">
        <v>47254</v>
      </c>
      <c r="G43" s="124" t="s">
        <v>741</v>
      </c>
      <c r="H43" s="126">
        <v>53035</v>
      </c>
      <c r="I43" s="124" t="s">
        <v>735</v>
      </c>
      <c r="J43" s="126">
        <v>63067</v>
      </c>
      <c r="K43" s="124" t="s">
        <v>2200</v>
      </c>
      <c r="L43" s="126">
        <v>54022</v>
      </c>
      <c r="M43" s="124" t="s">
        <v>1600</v>
      </c>
      <c r="N43" s="144">
        <f t="shared" si="0"/>
        <v>40807</v>
      </c>
      <c r="O43" s="124"/>
      <c r="P43" s="124" t="s">
        <v>2249</v>
      </c>
    </row>
    <row r="44" spans="1:16" ht="30" customHeight="1" x14ac:dyDescent="0.3">
      <c r="A44" s="121" t="s">
        <v>207</v>
      </c>
      <c r="B44" s="121" t="s">
        <v>1674</v>
      </c>
      <c r="C44" s="122" t="s">
        <v>14</v>
      </c>
      <c r="D44" s="134">
        <v>51953</v>
      </c>
      <c r="E44" s="124" t="s">
        <v>5</v>
      </c>
      <c r="F44" s="126">
        <v>60160</v>
      </c>
      <c r="G44" s="124" t="s">
        <v>741</v>
      </c>
      <c r="H44" s="126">
        <v>66248</v>
      </c>
      <c r="I44" s="124" t="s">
        <v>735</v>
      </c>
      <c r="J44" s="126">
        <v>79184</v>
      </c>
      <c r="K44" s="124" t="s">
        <v>2200</v>
      </c>
      <c r="L44" s="126">
        <v>68778</v>
      </c>
      <c r="M44" s="124" t="s">
        <v>1600</v>
      </c>
      <c r="N44" s="144">
        <f t="shared" si="0"/>
        <v>51953</v>
      </c>
      <c r="O44" s="124"/>
      <c r="P44" s="124" t="s">
        <v>2249</v>
      </c>
    </row>
    <row r="45" spans="1:16" ht="30" customHeight="1" x14ac:dyDescent="0.3">
      <c r="A45" s="121" t="s">
        <v>207</v>
      </c>
      <c r="B45" s="121" t="s">
        <v>1675</v>
      </c>
      <c r="C45" s="122" t="s">
        <v>14</v>
      </c>
      <c r="D45" s="134">
        <v>68894</v>
      </c>
      <c r="E45" s="124" t="s">
        <v>5</v>
      </c>
      <c r="F45" s="126">
        <v>83974</v>
      </c>
      <c r="G45" s="124" t="s">
        <v>741</v>
      </c>
      <c r="H45" s="126">
        <v>93604</v>
      </c>
      <c r="I45" s="124" t="s">
        <v>735</v>
      </c>
      <c r="J45" s="126">
        <v>97651</v>
      </c>
      <c r="K45" s="124" t="s">
        <v>2200</v>
      </c>
      <c r="L45" s="126">
        <v>96002</v>
      </c>
      <c r="M45" s="124" t="s">
        <v>1600</v>
      </c>
      <c r="N45" s="144">
        <f t="shared" si="0"/>
        <v>68894</v>
      </c>
      <c r="O45" s="124"/>
      <c r="P45" s="124" t="s">
        <v>2249</v>
      </c>
    </row>
    <row r="46" spans="1:16" ht="30" customHeight="1" x14ac:dyDescent="0.3">
      <c r="A46" s="121" t="s">
        <v>207</v>
      </c>
      <c r="B46" s="121" t="s">
        <v>1676</v>
      </c>
      <c r="C46" s="122" t="s">
        <v>14</v>
      </c>
      <c r="D46" s="134">
        <v>89806</v>
      </c>
      <c r="E46" s="124" t="s">
        <v>5</v>
      </c>
      <c r="F46" s="126">
        <v>103993</v>
      </c>
      <c r="G46" s="124" t="s">
        <v>741</v>
      </c>
      <c r="H46" s="126">
        <v>116172</v>
      </c>
      <c r="I46" s="124" t="s">
        <v>735</v>
      </c>
      <c r="J46" s="127">
        <v>0</v>
      </c>
      <c r="K46" s="124" t="s">
        <v>5</v>
      </c>
      <c r="L46" s="126">
        <v>118889</v>
      </c>
      <c r="M46" s="124" t="s">
        <v>1600</v>
      </c>
      <c r="N46" s="144">
        <f t="shared" si="0"/>
        <v>89806</v>
      </c>
      <c r="O46" s="124"/>
      <c r="P46" s="124" t="s">
        <v>2249</v>
      </c>
    </row>
    <row r="47" spans="1:16" ht="30" customHeight="1" x14ac:dyDescent="0.3">
      <c r="A47" s="121" t="s">
        <v>207</v>
      </c>
      <c r="B47" s="121" t="s">
        <v>1677</v>
      </c>
      <c r="C47" s="122" t="s">
        <v>14</v>
      </c>
      <c r="D47" s="134">
        <v>114494</v>
      </c>
      <c r="E47" s="124" t="s">
        <v>5</v>
      </c>
      <c r="F47" s="126">
        <v>132581</v>
      </c>
      <c r="G47" s="124" t="s">
        <v>741</v>
      </c>
      <c r="H47" s="126">
        <v>150487</v>
      </c>
      <c r="I47" s="124" t="s">
        <v>735</v>
      </c>
      <c r="J47" s="127">
        <v>0</v>
      </c>
      <c r="K47" s="124" t="s">
        <v>5</v>
      </c>
      <c r="L47" s="126">
        <v>151572</v>
      </c>
      <c r="M47" s="124" t="s">
        <v>1600</v>
      </c>
      <c r="N47" s="144">
        <f t="shared" si="0"/>
        <v>114494</v>
      </c>
      <c r="O47" s="124"/>
      <c r="P47" s="124" t="s">
        <v>2249</v>
      </c>
    </row>
    <row r="48" spans="1:16" ht="30" customHeight="1" x14ac:dyDescent="0.3">
      <c r="A48" s="121" t="s">
        <v>207</v>
      </c>
      <c r="B48" s="121" t="s">
        <v>1678</v>
      </c>
      <c r="C48" s="122" t="s">
        <v>14</v>
      </c>
      <c r="D48" s="134">
        <v>1141</v>
      </c>
      <c r="E48" s="124" t="s">
        <v>5</v>
      </c>
      <c r="F48" s="126">
        <v>1522</v>
      </c>
      <c r="G48" s="124" t="s">
        <v>741</v>
      </c>
      <c r="H48" s="126">
        <v>1473</v>
      </c>
      <c r="I48" s="124" t="s">
        <v>735</v>
      </c>
      <c r="J48" s="126">
        <v>1766</v>
      </c>
      <c r="K48" s="124" t="s">
        <v>2200</v>
      </c>
      <c r="L48" s="126">
        <v>1512</v>
      </c>
      <c r="M48" s="124" t="s">
        <v>1600</v>
      </c>
      <c r="N48" s="144">
        <f t="shared" si="0"/>
        <v>1141</v>
      </c>
      <c r="O48" s="124"/>
      <c r="P48" s="124" t="s">
        <v>2249</v>
      </c>
    </row>
    <row r="49" spans="1:16" ht="30" customHeight="1" x14ac:dyDescent="0.3">
      <c r="A49" s="121" t="s">
        <v>207</v>
      </c>
      <c r="B49" s="121" t="s">
        <v>1679</v>
      </c>
      <c r="C49" s="122" t="s">
        <v>14</v>
      </c>
      <c r="D49" s="134">
        <v>1501</v>
      </c>
      <c r="E49" s="124" t="s">
        <v>5</v>
      </c>
      <c r="F49" s="126">
        <v>2002</v>
      </c>
      <c r="G49" s="124" t="s">
        <v>741</v>
      </c>
      <c r="H49" s="126">
        <v>1940</v>
      </c>
      <c r="I49" s="124" t="s">
        <v>735</v>
      </c>
      <c r="J49" s="126">
        <v>2333</v>
      </c>
      <c r="K49" s="124" t="s">
        <v>2200</v>
      </c>
      <c r="L49" s="126">
        <v>1989</v>
      </c>
      <c r="M49" s="124" t="s">
        <v>1600</v>
      </c>
      <c r="N49" s="144">
        <f t="shared" si="0"/>
        <v>1501</v>
      </c>
      <c r="O49" s="124"/>
      <c r="P49" s="124" t="s">
        <v>2249</v>
      </c>
    </row>
    <row r="50" spans="1:16" ht="30" customHeight="1" x14ac:dyDescent="0.3">
      <c r="A50" s="121" t="s">
        <v>207</v>
      </c>
      <c r="B50" s="121" t="s">
        <v>1680</v>
      </c>
      <c r="C50" s="122" t="s">
        <v>14</v>
      </c>
      <c r="D50" s="134">
        <v>2087</v>
      </c>
      <c r="E50" s="124" t="s">
        <v>5</v>
      </c>
      <c r="F50" s="126">
        <v>2783</v>
      </c>
      <c r="G50" s="124" t="s">
        <v>741</v>
      </c>
      <c r="H50" s="126">
        <v>2682</v>
      </c>
      <c r="I50" s="124" t="s">
        <v>735</v>
      </c>
      <c r="J50" s="126">
        <v>3169</v>
      </c>
      <c r="K50" s="124" t="s">
        <v>2200</v>
      </c>
      <c r="L50" s="126">
        <v>2763</v>
      </c>
      <c r="M50" s="124" t="s">
        <v>1600</v>
      </c>
      <c r="N50" s="144">
        <f t="shared" si="0"/>
        <v>2087</v>
      </c>
      <c r="O50" s="124"/>
      <c r="P50" s="124" t="s">
        <v>2249</v>
      </c>
    </row>
    <row r="51" spans="1:16" ht="30" customHeight="1" x14ac:dyDescent="0.3">
      <c r="A51" s="121" t="s">
        <v>207</v>
      </c>
      <c r="B51" s="121" t="s">
        <v>1681</v>
      </c>
      <c r="C51" s="122" t="s">
        <v>14</v>
      </c>
      <c r="D51" s="134">
        <v>2820</v>
      </c>
      <c r="E51" s="124" t="s">
        <v>5</v>
      </c>
      <c r="F51" s="126">
        <v>3764</v>
      </c>
      <c r="G51" s="124" t="s">
        <v>741</v>
      </c>
      <c r="H51" s="126">
        <v>3639</v>
      </c>
      <c r="I51" s="124" t="s">
        <v>735</v>
      </c>
      <c r="J51" s="126">
        <v>4264</v>
      </c>
      <c r="K51" s="124" t="s">
        <v>2200</v>
      </c>
      <c r="L51" s="126">
        <v>3738</v>
      </c>
      <c r="M51" s="124" t="s">
        <v>1600</v>
      </c>
      <c r="N51" s="144">
        <f t="shared" si="0"/>
        <v>2820</v>
      </c>
      <c r="O51" s="124"/>
      <c r="P51" s="124" t="s">
        <v>2249</v>
      </c>
    </row>
    <row r="52" spans="1:16" ht="30" customHeight="1" x14ac:dyDescent="0.3">
      <c r="A52" s="121" t="s">
        <v>207</v>
      </c>
      <c r="B52" s="121" t="s">
        <v>1682</v>
      </c>
      <c r="C52" s="122" t="s">
        <v>14</v>
      </c>
      <c r="D52" s="134">
        <v>4172</v>
      </c>
      <c r="E52" s="124" t="s">
        <v>5</v>
      </c>
      <c r="F52" s="126">
        <v>5727</v>
      </c>
      <c r="G52" s="124" t="s">
        <v>741</v>
      </c>
      <c r="H52" s="126">
        <v>5533</v>
      </c>
      <c r="I52" s="124" t="s">
        <v>735</v>
      </c>
      <c r="J52" s="126">
        <v>6655</v>
      </c>
      <c r="K52" s="124" t="s">
        <v>2200</v>
      </c>
      <c r="L52" s="126">
        <v>5687</v>
      </c>
      <c r="M52" s="124" t="s">
        <v>1600</v>
      </c>
      <c r="N52" s="144">
        <f t="shared" si="0"/>
        <v>4172</v>
      </c>
      <c r="O52" s="124"/>
      <c r="P52" s="124" t="s">
        <v>2249</v>
      </c>
    </row>
    <row r="53" spans="1:16" ht="30" customHeight="1" x14ac:dyDescent="0.3">
      <c r="A53" s="121" t="s">
        <v>207</v>
      </c>
      <c r="B53" s="121" t="s">
        <v>1683</v>
      </c>
      <c r="C53" s="122" t="s">
        <v>14</v>
      </c>
      <c r="D53" s="134">
        <v>6702</v>
      </c>
      <c r="E53" s="124" t="s">
        <v>5</v>
      </c>
      <c r="F53" s="126">
        <v>8548</v>
      </c>
      <c r="G53" s="124" t="s">
        <v>741</v>
      </c>
      <c r="H53" s="126">
        <v>8463</v>
      </c>
      <c r="I53" s="124" t="s">
        <v>735</v>
      </c>
      <c r="J53" s="126">
        <v>9628</v>
      </c>
      <c r="K53" s="124" t="s">
        <v>2200</v>
      </c>
      <c r="L53" s="126">
        <v>8890</v>
      </c>
      <c r="M53" s="124" t="s">
        <v>1600</v>
      </c>
      <c r="N53" s="144">
        <f t="shared" si="0"/>
        <v>6702</v>
      </c>
      <c r="O53" s="124"/>
      <c r="P53" s="124" t="s">
        <v>2249</v>
      </c>
    </row>
    <row r="54" spans="1:16" ht="30" customHeight="1" x14ac:dyDescent="0.3">
      <c r="A54" s="121" t="s">
        <v>207</v>
      </c>
      <c r="B54" s="121" t="s">
        <v>1684</v>
      </c>
      <c r="C54" s="122" t="s">
        <v>14</v>
      </c>
      <c r="D54" s="134">
        <v>10275</v>
      </c>
      <c r="E54" s="124" t="s">
        <v>5</v>
      </c>
      <c r="F54" s="126">
        <v>13078</v>
      </c>
      <c r="G54" s="124" t="s">
        <v>741</v>
      </c>
      <c r="H54" s="126">
        <v>13138</v>
      </c>
      <c r="I54" s="124" t="s">
        <v>735</v>
      </c>
      <c r="J54" s="126">
        <v>14960</v>
      </c>
      <c r="K54" s="124" t="s">
        <v>2200</v>
      </c>
      <c r="L54" s="126">
        <v>13603</v>
      </c>
      <c r="M54" s="124" t="s">
        <v>1600</v>
      </c>
      <c r="N54" s="144">
        <f t="shared" si="0"/>
        <v>10275</v>
      </c>
      <c r="O54" s="124"/>
      <c r="P54" s="124" t="s">
        <v>2249</v>
      </c>
    </row>
    <row r="55" spans="1:16" ht="30" customHeight="1" x14ac:dyDescent="0.3">
      <c r="A55" s="121" t="s">
        <v>207</v>
      </c>
      <c r="B55" s="121" t="s">
        <v>1685</v>
      </c>
      <c r="C55" s="122" t="s">
        <v>14</v>
      </c>
      <c r="D55" s="134">
        <v>13635</v>
      </c>
      <c r="E55" s="124" t="s">
        <v>5</v>
      </c>
      <c r="F55" s="126">
        <v>17362</v>
      </c>
      <c r="G55" s="124" t="s">
        <v>741</v>
      </c>
      <c r="H55" s="126">
        <v>18137</v>
      </c>
      <c r="I55" s="124" t="s">
        <v>735</v>
      </c>
      <c r="J55" s="126">
        <v>20351</v>
      </c>
      <c r="K55" s="124" t="s">
        <v>2200</v>
      </c>
      <c r="L55" s="126">
        <v>18058</v>
      </c>
      <c r="M55" s="124" t="s">
        <v>1600</v>
      </c>
      <c r="N55" s="144">
        <f t="shared" si="0"/>
        <v>13635</v>
      </c>
      <c r="O55" s="124"/>
      <c r="P55" s="124" t="s">
        <v>2249</v>
      </c>
    </row>
    <row r="56" spans="1:16" ht="30" customHeight="1" x14ac:dyDescent="0.3">
      <c r="A56" s="121" t="s">
        <v>207</v>
      </c>
      <c r="B56" s="121" t="s">
        <v>1686</v>
      </c>
      <c r="C56" s="122" t="s">
        <v>14</v>
      </c>
      <c r="D56" s="134">
        <v>18640</v>
      </c>
      <c r="E56" s="124" t="s">
        <v>5</v>
      </c>
      <c r="F56" s="126">
        <v>23963</v>
      </c>
      <c r="G56" s="124" t="s">
        <v>741</v>
      </c>
      <c r="H56" s="126">
        <v>24487</v>
      </c>
      <c r="I56" s="124" t="s">
        <v>735</v>
      </c>
      <c r="J56" s="126">
        <v>30513</v>
      </c>
      <c r="K56" s="124" t="s">
        <v>2200</v>
      </c>
      <c r="L56" s="126">
        <v>24923</v>
      </c>
      <c r="M56" s="124" t="s">
        <v>1600</v>
      </c>
      <c r="N56" s="144">
        <f t="shared" si="0"/>
        <v>18640</v>
      </c>
      <c r="O56" s="124"/>
      <c r="P56" s="124" t="s">
        <v>2249</v>
      </c>
    </row>
    <row r="57" spans="1:16" ht="30" customHeight="1" x14ac:dyDescent="0.3">
      <c r="A57" s="121" t="s">
        <v>207</v>
      </c>
      <c r="B57" s="121" t="s">
        <v>1687</v>
      </c>
      <c r="C57" s="122" t="s">
        <v>14</v>
      </c>
      <c r="D57" s="134">
        <v>25736</v>
      </c>
      <c r="E57" s="124" t="s">
        <v>5</v>
      </c>
      <c r="F57" s="126">
        <v>33146</v>
      </c>
      <c r="G57" s="124" t="s">
        <v>741</v>
      </c>
      <c r="H57" s="126">
        <v>33556</v>
      </c>
      <c r="I57" s="124" t="s">
        <v>735</v>
      </c>
      <c r="J57" s="126">
        <v>38495</v>
      </c>
      <c r="K57" s="124" t="s">
        <v>2200</v>
      </c>
      <c r="L57" s="126">
        <v>34475</v>
      </c>
      <c r="M57" s="124" t="s">
        <v>1600</v>
      </c>
      <c r="N57" s="144">
        <f t="shared" si="0"/>
        <v>25736</v>
      </c>
      <c r="O57" s="124"/>
      <c r="P57" s="124" t="s">
        <v>2249</v>
      </c>
    </row>
    <row r="58" spans="1:16" ht="30" customHeight="1" x14ac:dyDescent="0.3">
      <c r="A58" s="121" t="s">
        <v>207</v>
      </c>
      <c r="B58" s="121" t="s">
        <v>1688</v>
      </c>
      <c r="C58" s="122" t="s">
        <v>14</v>
      </c>
      <c r="D58" s="134">
        <v>36375</v>
      </c>
      <c r="E58" s="124" t="s">
        <v>5</v>
      </c>
      <c r="F58" s="126">
        <v>42122</v>
      </c>
      <c r="G58" s="124" t="s">
        <v>741</v>
      </c>
      <c r="H58" s="126">
        <v>47196</v>
      </c>
      <c r="I58" s="124" t="s">
        <v>735</v>
      </c>
      <c r="J58" s="126">
        <v>52359</v>
      </c>
      <c r="K58" s="124" t="s">
        <v>2200</v>
      </c>
      <c r="L58" s="126">
        <v>48155</v>
      </c>
      <c r="M58" s="124" t="s">
        <v>1600</v>
      </c>
      <c r="N58" s="144">
        <f t="shared" si="0"/>
        <v>36375</v>
      </c>
      <c r="O58" s="124"/>
      <c r="P58" s="124" t="s">
        <v>2249</v>
      </c>
    </row>
    <row r="59" spans="1:16" ht="30" customHeight="1" x14ac:dyDescent="0.3">
      <c r="A59" s="121" t="s">
        <v>207</v>
      </c>
      <c r="B59" s="121" t="s">
        <v>1689</v>
      </c>
      <c r="C59" s="122" t="s">
        <v>14</v>
      </c>
      <c r="D59" s="134">
        <v>45043</v>
      </c>
      <c r="E59" s="124" t="s">
        <v>5</v>
      </c>
      <c r="F59" s="126">
        <v>52158</v>
      </c>
      <c r="G59" s="124" t="s">
        <v>741</v>
      </c>
      <c r="H59" s="126">
        <v>59012</v>
      </c>
      <c r="I59" s="124" t="s">
        <v>735</v>
      </c>
      <c r="J59" s="126">
        <v>65406</v>
      </c>
      <c r="K59" s="124" t="s">
        <v>2200</v>
      </c>
      <c r="L59" s="126">
        <v>59629</v>
      </c>
      <c r="M59" s="124" t="s">
        <v>1600</v>
      </c>
      <c r="N59" s="144">
        <f t="shared" si="0"/>
        <v>45043</v>
      </c>
      <c r="O59" s="124"/>
      <c r="P59" s="124" t="s">
        <v>2249</v>
      </c>
    </row>
    <row r="60" spans="1:16" ht="30" customHeight="1" x14ac:dyDescent="0.3">
      <c r="A60" s="121" t="s">
        <v>207</v>
      </c>
      <c r="B60" s="121" t="s">
        <v>1690</v>
      </c>
      <c r="C60" s="122" t="s">
        <v>14</v>
      </c>
      <c r="D60" s="134">
        <v>55318</v>
      </c>
      <c r="E60" s="124" t="s">
        <v>5</v>
      </c>
      <c r="F60" s="126">
        <v>64057</v>
      </c>
      <c r="G60" s="124" t="s">
        <v>741</v>
      </c>
      <c r="H60" s="126">
        <v>71684</v>
      </c>
      <c r="I60" s="124" t="s">
        <v>735</v>
      </c>
      <c r="J60" s="126">
        <v>81242</v>
      </c>
      <c r="K60" s="124" t="s">
        <v>2200</v>
      </c>
      <c r="L60" s="126">
        <v>73232</v>
      </c>
      <c r="M60" s="124" t="s">
        <v>1600</v>
      </c>
      <c r="N60" s="144">
        <f t="shared" si="0"/>
        <v>55318</v>
      </c>
      <c r="O60" s="124"/>
      <c r="P60" s="124" t="s">
        <v>2249</v>
      </c>
    </row>
    <row r="61" spans="1:16" ht="30" customHeight="1" x14ac:dyDescent="0.3">
      <c r="A61" s="121" t="s">
        <v>207</v>
      </c>
      <c r="B61" s="121" t="s">
        <v>1691</v>
      </c>
      <c r="C61" s="122" t="s">
        <v>14</v>
      </c>
      <c r="D61" s="134">
        <v>68614</v>
      </c>
      <c r="E61" s="124" t="s">
        <v>5</v>
      </c>
      <c r="F61" s="126">
        <v>79453</v>
      </c>
      <c r="G61" s="124" t="s">
        <v>741</v>
      </c>
      <c r="H61" s="126">
        <v>88498</v>
      </c>
      <c r="I61" s="124" t="s">
        <v>735</v>
      </c>
      <c r="J61" s="126">
        <v>100719</v>
      </c>
      <c r="K61" s="124" t="s">
        <v>2200</v>
      </c>
      <c r="L61" s="126">
        <v>90834</v>
      </c>
      <c r="M61" s="124" t="s">
        <v>1600</v>
      </c>
      <c r="N61" s="144">
        <f t="shared" si="0"/>
        <v>68614</v>
      </c>
      <c r="O61" s="124"/>
      <c r="P61" s="124" t="s">
        <v>2249</v>
      </c>
    </row>
    <row r="62" spans="1:16" ht="30" customHeight="1" x14ac:dyDescent="0.3">
      <c r="A62" s="121" t="s">
        <v>207</v>
      </c>
      <c r="B62" s="121" t="s">
        <v>1692</v>
      </c>
      <c r="C62" s="122" t="s">
        <v>14</v>
      </c>
      <c r="D62" s="134">
        <v>88378</v>
      </c>
      <c r="E62" s="124" t="s">
        <v>5</v>
      </c>
      <c r="F62" s="126">
        <v>102339</v>
      </c>
      <c r="G62" s="124" t="s">
        <v>741</v>
      </c>
      <c r="H62" s="126">
        <v>113517</v>
      </c>
      <c r="I62" s="124" t="s">
        <v>735</v>
      </c>
      <c r="J62" s="126">
        <v>130950</v>
      </c>
      <c r="K62" s="124" t="s">
        <v>2200</v>
      </c>
      <c r="L62" s="126">
        <v>116998</v>
      </c>
      <c r="M62" s="124" t="s">
        <v>1600</v>
      </c>
      <c r="N62" s="144">
        <f t="shared" si="0"/>
        <v>88378</v>
      </c>
      <c r="O62" s="124"/>
      <c r="P62" s="124" t="s">
        <v>2249</v>
      </c>
    </row>
    <row r="63" spans="1:16" ht="30" customHeight="1" x14ac:dyDescent="0.3">
      <c r="A63" s="121" t="s">
        <v>207</v>
      </c>
      <c r="B63" s="121" t="s">
        <v>1693</v>
      </c>
      <c r="C63" s="122" t="s">
        <v>14</v>
      </c>
      <c r="D63" s="134">
        <v>111583</v>
      </c>
      <c r="E63" s="124" t="s">
        <v>5</v>
      </c>
      <c r="F63" s="126">
        <v>129211</v>
      </c>
      <c r="G63" s="124" t="s">
        <v>741</v>
      </c>
      <c r="H63" s="126">
        <v>143201</v>
      </c>
      <c r="I63" s="124" t="s">
        <v>735</v>
      </c>
      <c r="J63" s="126">
        <v>164780</v>
      </c>
      <c r="K63" s="124" t="s">
        <v>2200</v>
      </c>
      <c r="L63" s="126">
        <v>147718</v>
      </c>
      <c r="M63" s="124" t="s">
        <v>1600</v>
      </c>
      <c r="N63" s="144">
        <f t="shared" si="0"/>
        <v>111583</v>
      </c>
      <c r="O63" s="124"/>
      <c r="P63" s="124" t="s">
        <v>2249</v>
      </c>
    </row>
    <row r="64" spans="1:16" ht="30" customHeight="1" x14ac:dyDescent="0.3">
      <c r="A64" s="121" t="s">
        <v>207</v>
      </c>
      <c r="B64" s="121" t="s">
        <v>1694</v>
      </c>
      <c r="C64" s="122" t="s">
        <v>14</v>
      </c>
      <c r="D64" s="134">
        <v>1472</v>
      </c>
      <c r="E64" s="124" t="s">
        <v>5</v>
      </c>
      <c r="F64" s="126">
        <v>1962</v>
      </c>
      <c r="G64" s="124" t="s">
        <v>741</v>
      </c>
      <c r="H64" s="126">
        <v>1905</v>
      </c>
      <c r="I64" s="124" t="s">
        <v>735</v>
      </c>
      <c r="J64" s="126">
        <v>2289</v>
      </c>
      <c r="K64" s="124" t="s">
        <v>2200</v>
      </c>
      <c r="L64" s="126">
        <v>1949</v>
      </c>
      <c r="M64" s="124" t="s">
        <v>1600</v>
      </c>
      <c r="N64" s="144">
        <f t="shared" si="0"/>
        <v>1472</v>
      </c>
      <c r="O64" s="124"/>
      <c r="P64" s="124" t="s">
        <v>2249</v>
      </c>
    </row>
    <row r="65" spans="1:16" ht="30" customHeight="1" x14ac:dyDescent="0.3">
      <c r="A65" s="121" t="s">
        <v>207</v>
      </c>
      <c r="B65" s="121" t="s">
        <v>1695</v>
      </c>
      <c r="C65" s="122" t="s">
        <v>14</v>
      </c>
      <c r="D65" s="134">
        <v>1953</v>
      </c>
      <c r="E65" s="124" t="s">
        <v>5</v>
      </c>
      <c r="F65" s="126">
        <v>2603</v>
      </c>
      <c r="G65" s="124" t="s">
        <v>741</v>
      </c>
      <c r="H65" s="126">
        <v>2514</v>
      </c>
      <c r="I65" s="124" t="s">
        <v>735</v>
      </c>
      <c r="J65" s="126">
        <v>3218</v>
      </c>
      <c r="K65" s="124" t="s">
        <v>2200</v>
      </c>
      <c r="L65" s="126">
        <v>2586</v>
      </c>
      <c r="M65" s="124" t="s">
        <v>1600</v>
      </c>
      <c r="N65" s="144">
        <f t="shared" si="0"/>
        <v>1953</v>
      </c>
      <c r="O65" s="124"/>
      <c r="P65" s="124" t="s">
        <v>2249</v>
      </c>
    </row>
    <row r="66" spans="1:16" ht="30" customHeight="1" x14ac:dyDescent="0.3">
      <c r="A66" s="121" t="s">
        <v>207</v>
      </c>
      <c r="B66" s="121" t="s">
        <v>1696</v>
      </c>
      <c r="C66" s="122" t="s">
        <v>14</v>
      </c>
      <c r="D66" s="134">
        <v>2763</v>
      </c>
      <c r="E66" s="124" t="s">
        <v>5</v>
      </c>
      <c r="F66" s="126">
        <v>3684</v>
      </c>
      <c r="G66" s="124" t="s">
        <v>741</v>
      </c>
      <c r="H66" s="126">
        <v>3546</v>
      </c>
      <c r="I66" s="124" t="s">
        <v>735</v>
      </c>
      <c r="J66" s="126">
        <v>4352</v>
      </c>
      <c r="K66" s="124" t="s">
        <v>2200</v>
      </c>
      <c r="L66" s="126">
        <v>3659</v>
      </c>
      <c r="M66" s="124" t="s">
        <v>1600</v>
      </c>
      <c r="N66" s="144">
        <f t="shared" si="0"/>
        <v>2763</v>
      </c>
      <c r="O66" s="124"/>
      <c r="P66" s="124" t="s">
        <v>2249</v>
      </c>
    </row>
    <row r="67" spans="1:16" ht="30" customHeight="1" x14ac:dyDescent="0.3">
      <c r="A67" s="121" t="s">
        <v>207</v>
      </c>
      <c r="B67" s="121" t="s">
        <v>1697</v>
      </c>
      <c r="C67" s="122" t="s">
        <v>14</v>
      </c>
      <c r="D67" s="134">
        <v>3816</v>
      </c>
      <c r="E67" s="124" t="s">
        <v>5</v>
      </c>
      <c r="F67" s="126">
        <v>5086</v>
      </c>
      <c r="G67" s="124" t="s">
        <v>741</v>
      </c>
      <c r="H67" s="126">
        <v>4884</v>
      </c>
      <c r="I67" s="124" t="s">
        <v>735</v>
      </c>
      <c r="J67" s="126">
        <v>5924</v>
      </c>
      <c r="K67" s="124" t="s">
        <v>2200</v>
      </c>
      <c r="L67" s="126">
        <v>5051</v>
      </c>
      <c r="M67" s="124" t="s">
        <v>1600</v>
      </c>
      <c r="N67" s="144">
        <f t="shared" si="0"/>
        <v>3816</v>
      </c>
      <c r="O67" s="124"/>
      <c r="P67" s="124" t="s">
        <v>2249</v>
      </c>
    </row>
    <row r="68" spans="1:16" ht="30" customHeight="1" x14ac:dyDescent="0.3">
      <c r="A68" s="121" t="s">
        <v>207</v>
      </c>
      <c r="B68" s="121" t="s">
        <v>1698</v>
      </c>
      <c r="C68" s="122" t="s">
        <v>14</v>
      </c>
      <c r="D68" s="134">
        <v>6068</v>
      </c>
      <c r="E68" s="124" t="s">
        <v>5</v>
      </c>
      <c r="F68" s="126">
        <v>8089</v>
      </c>
      <c r="G68" s="124" t="s">
        <v>741</v>
      </c>
      <c r="H68" s="126">
        <v>7936</v>
      </c>
      <c r="I68" s="124" t="s">
        <v>735</v>
      </c>
      <c r="J68" s="126">
        <v>9365</v>
      </c>
      <c r="K68" s="124" t="s">
        <v>2200</v>
      </c>
      <c r="L68" s="126">
        <v>8034</v>
      </c>
      <c r="M68" s="124" t="s">
        <v>1600</v>
      </c>
      <c r="N68" s="144">
        <f t="shared" si="0"/>
        <v>6068</v>
      </c>
      <c r="O68" s="124"/>
      <c r="P68" s="124" t="s">
        <v>2249</v>
      </c>
    </row>
    <row r="69" spans="1:16" ht="30" customHeight="1" x14ac:dyDescent="0.3">
      <c r="A69" s="121" t="s">
        <v>207</v>
      </c>
      <c r="B69" s="121" t="s">
        <v>1699</v>
      </c>
      <c r="C69" s="122" t="s">
        <v>14</v>
      </c>
      <c r="D69" s="134">
        <v>9470</v>
      </c>
      <c r="E69" s="124" t="s">
        <v>5</v>
      </c>
      <c r="F69" s="126">
        <v>12053</v>
      </c>
      <c r="G69" s="124" t="s">
        <v>741</v>
      </c>
      <c r="H69" s="126">
        <v>12043</v>
      </c>
      <c r="I69" s="124" t="s">
        <v>735</v>
      </c>
      <c r="J69" s="126">
        <v>13789</v>
      </c>
      <c r="K69" s="124" t="s">
        <v>2200</v>
      </c>
      <c r="L69" s="126">
        <v>12537</v>
      </c>
      <c r="M69" s="124" t="s">
        <v>1600</v>
      </c>
      <c r="N69" s="144">
        <f t="shared" si="0"/>
        <v>9470</v>
      </c>
      <c r="O69" s="124"/>
      <c r="P69" s="124" t="s">
        <v>2249</v>
      </c>
    </row>
    <row r="70" spans="1:16" ht="30" customHeight="1" x14ac:dyDescent="0.3">
      <c r="A70" s="121" t="s">
        <v>207</v>
      </c>
      <c r="B70" s="121" t="s">
        <v>1700</v>
      </c>
      <c r="C70" s="122" t="s">
        <v>14</v>
      </c>
      <c r="D70" s="134">
        <v>14531</v>
      </c>
      <c r="E70" s="124" t="s">
        <v>5</v>
      </c>
      <c r="F70" s="126">
        <v>18736</v>
      </c>
      <c r="G70" s="124" t="s">
        <v>741</v>
      </c>
      <c r="H70" s="126">
        <v>18709</v>
      </c>
      <c r="I70" s="124" t="s">
        <v>735</v>
      </c>
      <c r="J70" s="126">
        <v>21612</v>
      </c>
      <c r="K70" s="124" t="s">
        <v>2200</v>
      </c>
      <c r="L70" s="126">
        <v>19487</v>
      </c>
      <c r="M70" s="124" t="s">
        <v>1600</v>
      </c>
      <c r="N70" s="144">
        <f t="shared" ref="N70:N133" si="2">SMALL(D70:L70,COUNTIF(D70:L70,0)+1)</f>
        <v>14531</v>
      </c>
      <c r="O70" s="124"/>
      <c r="P70" s="124" t="s">
        <v>2249</v>
      </c>
    </row>
    <row r="71" spans="1:16" ht="30" customHeight="1" x14ac:dyDescent="0.3">
      <c r="A71" s="121" t="s">
        <v>207</v>
      </c>
      <c r="B71" s="121" t="s">
        <v>1701</v>
      </c>
      <c r="C71" s="122" t="s">
        <v>14</v>
      </c>
      <c r="D71" s="134">
        <v>19446</v>
      </c>
      <c r="E71" s="124" t="s">
        <v>5</v>
      </c>
      <c r="F71" s="126">
        <v>24916</v>
      </c>
      <c r="G71" s="124" t="s">
        <v>741</v>
      </c>
      <c r="H71" s="126">
        <v>25813</v>
      </c>
      <c r="I71" s="124" t="s">
        <v>735</v>
      </c>
      <c r="J71" s="126">
        <v>29519</v>
      </c>
      <c r="K71" s="124" t="s">
        <v>2200</v>
      </c>
      <c r="L71" s="126">
        <v>25916</v>
      </c>
      <c r="M71" s="124" t="s">
        <v>1600</v>
      </c>
      <c r="N71" s="144">
        <f t="shared" si="2"/>
        <v>19446</v>
      </c>
      <c r="O71" s="124"/>
      <c r="P71" s="124" t="s">
        <v>2249</v>
      </c>
    </row>
    <row r="72" spans="1:16" ht="30" customHeight="1" x14ac:dyDescent="0.3">
      <c r="A72" s="121" t="s">
        <v>207</v>
      </c>
      <c r="B72" s="121" t="s">
        <v>1702</v>
      </c>
      <c r="C72" s="122" t="s">
        <v>14</v>
      </c>
      <c r="D72" s="134">
        <v>26638</v>
      </c>
      <c r="E72" s="124" t="s">
        <v>5</v>
      </c>
      <c r="F72" s="126">
        <v>33904</v>
      </c>
      <c r="G72" s="124" t="s">
        <v>741</v>
      </c>
      <c r="H72" s="126">
        <v>34823</v>
      </c>
      <c r="I72" s="124" t="s">
        <v>735</v>
      </c>
      <c r="J72" s="126">
        <v>39562</v>
      </c>
      <c r="K72" s="124" t="s">
        <v>2200</v>
      </c>
      <c r="L72" s="126">
        <v>35264</v>
      </c>
      <c r="M72" s="124" t="s">
        <v>1600</v>
      </c>
      <c r="N72" s="144">
        <f t="shared" si="2"/>
        <v>26638</v>
      </c>
      <c r="O72" s="124"/>
      <c r="P72" s="124" t="s">
        <v>2249</v>
      </c>
    </row>
    <row r="73" spans="1:16" ht="30" customHeight="1" x14ac:dyDescent="0.3">
      <c r="A73" s="121" t="s">
        <v>207</v>
      </c>
      <c r="B73" s="121" t="s">
        <v>1703</v>
      </c>
      <c r="C73" s="122" t="s">
        <v>14</v>
      </c>
      <c r="D73" s="134">
        <v>37766</v>
      </c>
      <c r="E73" s="124" t="s">
        <v>5</v>
      </c>
      <c r="F73" s="126">
        <v>48069</v>
      </c>
      <c r="G73" s="124" t="s">
        <v>741</v>
      </c>
      <c r="H73" s="126">
        <v>48649</v>
      </c>
      <c r="I73" s="124" t="s">
        <v>735</v>
      </c>
      <c r="J73" s="126">
        <v>56416</v>
      </c>
      <c r="K73" s="124" t="s">
        <v>2200</v>
      </c>
      <c r="L73" s="126">
        <v>49997</v>
      </c>
      <c r="M73" s="124" t="s">
        <v>1600</v>
      </c>
      <c r="N73" s="144">
        <f t="shared" si="2"/>
        <v>37766</v>
      </c>
      <c r="O73" s="124"/>
      <c r="P73" s="124" t="s">
        <v>2249</v>
      </c>
    </row>
    <row r="74" spans="1:16" ht="30" customHeight="1" x14ac:dyDescent="0.3">
      <c r="A74" s="121" t="s">
        <v>207</v>
      </c>
      <c r="B74" s="121" t="s">
        <v>1704</v>
      </c>
      <c r="C74" s="122" t="s">
        <v>14</v>
      </c>
      <c r="D74" s="134">
        <v>52215</v>
      </c>
      <c r="E74" s="124" t="s">
        <v>5</v>
      </c>
      <c r="F74" s="126">
        <v>60464</v>
      </c>
      <c r="G74" s="124" t="s">
        <v>741</v>
      </c>
      <c r="H74" s="126">
        <v>67831</v>
      </c>
      <c r="I74" s="124" t="s">
        <v>735</v>
      </c>
      <c r="J74" s="126">
        <v>76399</v>
      </c>
      <c r="K74" s="124" t="s">
        <v>2200</v>
      </c>
      <c r="L74" s="126">
        <v>69125</v>
      </c>
      <c r="M74" s="124" t="s">
        <v>1600</v>
      </c>
      <c r="N74" s="144">
        <f t="shared" si="2"/>
        <v>52215</v>
      </c>
      <c r="O74" s="124"/>
      <c r="P74" s="124" t="s">
        <v>2249</v>
      </c>
    </row>
    <row r="75" spans="1:16" ht="30" customHeight="1" x14ac:dyDescent="0.3">
      <c r="A75" s="121" t="s">
        <v>207</v>
      </c>
      <c r="B75" s="121" t="s">
        <v>1705</v>
      </c>
      <c r="C75" s="122" t="s">
        <v>14</v>
      </c>
      <c r="D75" s="134">
        <v>64577</v>
      </c>
      <c r="E75" s="124" t="s">
        <v>5</v>
      </c>
      <c r="F75" s="126">
        <v>74777</v>
      </c>
      <c r="G75" s="124" t="s">
        <v>741</v>
      </c>
      <c r="H75" s="126">
        <v>84799</v>
      </c>
      <c r="I75" s="124" t="s">
        <v>735</v>
      </c>
      <c r="J75" s="126">
        <v>95596</v>
      </c>
      <c r="K75" s="124" t="s">
        <v>2200</v>
      </c>
      <c r="L75" s="126">
        <v>85489</v>
      </c>
      <c r="M75" s="124" t="s">
        <v>1600</v>
      </c>
      <c r="N75" s="144">
        <f t="shared" si="2"/>
        <v>64577</v>
      </c>
      <c r="O75" s="124"/>
      <c r="P75" s="124" t="s">
        <v>2249</v>
      </c>
    </row>
    <row r="76" spans="1:16" ht="30" customHeight="1" x14ac:dyDescent="0.3">
      <c r="A76" s="121" t="s">
        <v>207</v>
      </c>
      <c r="B76" s="121" t="s">
        <v>1706</v>
      </c>
      <c r="C76" s="122" t="s">
        <v>14</v>
      </c>
      <c r="D76" s="134">
        <v>79858</v>
      </c>
      <c r="E76" s="124" t="s">
        <v>5</v>
      </c>
      <c r="F76" s="126">
        <v>92474</v>
      </c>
      <c r="G76" s="124" t="s">
        <v>741</v>
      </c>
      <c r="H76" s="126">
        <v>103022</v>
      </c>
      <c r="I76" s="124" t="s">
        <v>735</v>
      </c>
      <c r="J76" s="126">
        <v>119189</v>
      </c>
      <c r="K76" s="124" t="s">
        <v>2200</v>
      </c>
      <c r="L76" s="126">
        <v>105720</v>
      </c>
      <c r="M76" s="124" t="s">
        <v>1600</v>
      </c>
      <c r="N76" s="144">
        <f t="shared" si="2"/>
        <v>79858</v>
      </c>
      <c r="O76" s="124"/>
      <c r="P76" s="124" t="s">
        <v>2249</v>
      </c>
    </row>
    <row r="77" spans="1:16" ht="30" customHeight="1" x14ac:dyDescent="0.3">
      <c r="A77" s="121" t="s">
        <v>207</v>
      </c>
      <c r="B77" s="121" t="s">
        <v>1707</v>
      </c>
      <c r="C77" s="122" t="s">
        <v>14</v>
      </c>
      <c r="D77" s="134">
        <v>98940</v>
      </c>
      <c r="E77" s="124" t="s">
        <v>5</v>
      </c>
      <c r="F77" s="126">
        <v>114571</v>
      </c>
      <c r="G77" s="124" t="s">
        <v>741</v>
      </c>
      <c r="H77" s="126">
        <v>127161</v>
      </c>
      <c r="I77" s="124" t="s">
        <v>735</v>
      </c>
      <c r="J77" s="126">
        <v>147360</v>
      </c>
      <c r="K77" s="124" t="s">
        <v>2200</v>
      </c>
      <c r="L77" s="126">
        <v>130981</v>
      </c>
      <c r="M77" s="124" t="s">
        <v>1600</v>
      </c>
      <c r="N77" s="144">
        <f t="shared" si="2"/>
        <v>98940</v>
      </c>
      <c r="O77" s="124"/>
      <c r="P77" s="124" t="s">
        <v>2249</v>
      </c>
    </row>
    <row r="78" spans="1:16" ht="30" customHeight="1" x14ac:dyDescent="0.3">
      <c r="A78" s="121" t="s">
        <v>207</v>
      </c>
      <c r="B78" s="121" t="s">
        <v>1708</v>
      </c>
      <c r="C78" s="122" t="s">
        <v>14</v>
      </c>
      <c r="D78" s="134">
        <v>127101</v>
      </c>
      <c r="E78" s="124" t="s">
        <v>5</v>
      </c>
      <c r="F78" s="126">
        <v>147179</v>
      </c>
      <c r="G78" s="124" t="s">
        <v>741</v>
      </c>
      <c r="H78" s="126">
        <v>163126</v>
      </c>
      <c r="I78" s="124" t="s">
        <v>735</v>
      </c>
      <c r="J78" s="126">
        <v>193439</v>
      </c>
      <c r="K78" s="124" t="s">
        <v>2200</v>
      </c>
      <c r="L78" s="126">
        <v>168261</v>
      </c>
      <c r="M78" s="124" t="s">
        <v>1600</v>
      </c>
      <c r="N78" s="144">
        <f t="shared" si="2"/>
        <v>127101</v>
      </c>
      <c r="O78" s="124"/>
      <c r="P78" s="124" t="s">
        <v>2249</v>
      </c>
    </row>
    <row r="79" spans="1:16" ht="30" customHeight="1" x14ac:dyDescent="0.3">
      <c r="A79" s="121" t="s">
        <v>207</v>
      </c>
      <c r="B79" s="121" t="s">
        <v>1709</v>
      </c>
      <c r="C79" s="122" t="s">
        <v>14</v>
      </c>
      <c r="D79" s="134">
        <v>161227</v>
      </c>
      <c r="E79" s="124" t="s">
        <v>5</v>
      </c>
      <c r="F79" s="126">
        <v>186697</v>
      </c>
      <c r="G79" s="124" t="s">
        <v>741</v>
      </c>
      <c r="H79" s="126">
        <v>205805</v>
      </c>
      <c r="I79" s="124" t="s">
        <v>735</v>
      </c>
      <c r="J79" s="126">
        <v>241563</v>
      </c>
      <c r="K79" s="124" t="s">
        <v>2200</v>
      </c>
      <c r="L79" s="126">
        <v>213439</v>
      </c>
      <c r="M79" s="124" t="s">
        <v>1600</v>
      </c>
      <c r="N79" s="144">
        <f t="shared" si="2"/>
        <v>161227</v>
      </c>
      <c r="O79" s="124"/>
      <c r="P79" s="124" t="s">
        <v>2249</v>
      </c>
    </row>
    <row r="80" spans="1:16" ht="30" customHeight="1" x14ac:dyDescent="0.3">
      <c r="A80" s="121" t="s">
        <v>207</v>
      </c>
      <c r="B80" s="121" t="s">
        <v>1710</v>
      </c>
      <c r="C80" s="122" t="s">
        <v>14</v>
      </c>
      <c r="D80" s="134">
        <v>1789</v>
      </c>
      <c r="E80" s="124" t="s">
        <v>5</v>
      </c>
      <c r="F80" s="126">
        <v>2403</v>
      </c>
      <c r="G80" s="124" t="s">
        <v>741</v>
      </c>
      <c r="H80" s="126">
        <v>2343</v>
      </c>
      <c r="I80" s="124" t="s">
        <v>735</v>
      </c>
      <c r="J80" s="126">
        <v>2901</v>
      </c>
      <c r="K80" s="124" t="s">
        <v>2200</v>
      </c>
      <c r="L80" s="126">
        <v>2386</v>
      </c>
      <c r="M80" s="124" t="s">
        <v>1600</v>
      </c>
      <c r="N80" s="144">
        <f t="shared" si="2"/>
        <v>1789</v>
      </c>
      <c r="O80" s="124"/>
      <c r="P80" s="124" t="s">
        <v>2249</v>
      </c>
    </row>
    <row r="81" spans="1:16" ht="30" customHeight="1" x14ac:dyDescent="0.3">
      <c r="A81" s="121" t="s">
        <v>207</v>
      </c>
      <c r="B81" s="121" t="s">
        <v>1711</v>
      </c>
      <c r="C81" s="122" t="s">
        <v>14</v>
      </c>
      <c r="D81" s="134">
        <v>2423</v>
      </c>
      <c r="E81" s="124" t="s">
        <v>5</v>
      </c>
      <c r="F81" s="126">
        <v>3254</v>
      </c>
      <c r="G81" s="124" t="s">
        <v>741</v>
      </c>
      <c r="H81" s="126">
        <v>3141</v>
      </c>
      <c r="I81" s="124" t="s">
        <v>735</v>
      </c>
      <c r="J81" s="126">
        <v>3889</v>
      </c>
      <c r="K81" s="124" t="s">
        <v>2200</v>
      </c>
      <c r="L81" s="126">
        <v>3231</v>
      </c>
      <c r="M81" s="124" t="s">
        <v>1600</v>
      </c>
      <c r="N81" s="144">
        <f t="shared" si="2"/>
        <v>2423</v>
      </c>
      <c r="O81" s="124"/>
      <c r="P81" s="124" t="s">
        <v>2249</v>
      </c>
    </row>
    <row r="82" spans="1:16" ht="30" customHeight="1" x14ac:dyDescent="0.3">
      <c r="A82" s="121" t="s">
        <v>207</v>
      </c>
      <c r="B82" s="121" t="s">
        <v>1712</v>
      </c>
      <c r="C82" s="122" t="s">
        <v>14</v>
      </c>
      <c r="D82" s="134">
        <v>3416</v>
      </c>
      <c r="E82" s="124" t="s">
        <v>5</v>
      </c>
      <c r="F82" s="126">
        <v>4665</v>
      </c>
      <c r="G82" s="124" t="s">
        <v>741</v>
      </c>
      <c r="H82" s="126">
        <v>4506</v>
      </c>
      <c r="I82" s="124" t="s">
        <v>735</v>
      </c>
      <c r="J82" s="126">
        <v>5594</v>
      </c>
      <c r="K82" s="124" t="s">
        <v>2200</v>
      </c>
      <c r="L82" s="126">
        <v>4633</v>
      </c>
      <c r="M82" s="124" t="s">
        <v>1600</v>
      </c>
      <c r="N82" s="144">
        <f t="shared" si="2"/>
        <v>3416</v>
      </c>
      <c r="O82" s="124"/>
      <c r="P82" s="124" t="s">
        <v>2249</v>
      </c>
    </row>
    <row r="83" spans="1:16" ht="30" customHeight="1" x14ac:dyDescent="0.3">
      <c r="A83" s="121" t="s">
        <v>207</v>
      </c>
      <c r="B83" s="121" t="s">
        <v>1713</v>
      </c>
      <c r="C83" s="122" t="s">
        <v>14</v>
      </c>
      <c r="D83" s="134">
        <v>4878</v>
      </c>
      <c r="E83" s="124" t="s">
        <v>5</v>
      </c>
      <c r="F83" s="126">
        <v>6548</v>
      </c>
      <c r="G83" s="124" t="s">
        <v>741</v>
      </c>
      <c r="H83" s="126">
        <v>6346</v>
      </c>
      <c r="I83" s="124" t="s">
        <v>735</v>
      </c>
      <c r="J83" s="126">
        <v>7674</v>
      </c>
      <c r="K83" s="124" t="s">
        <v>2200</v>
      </c>
      <c r="L83" s="126">
        <v>6503</v>
      </c>
      <c r="M83" s="124" t="s">
        <v>1600</v>
      </c>
      <c r="N83" s="144">
        <f t="shared" si="2"/>
        <v>4878</v>
      </c>
      <c r="O83" s="124"/>
      <c r="P83" s="124" t="s">
        <v>2249</v>
      </c>
    </row>
    <row r="84" spans="1:16" ht="30" customHeight="1" x14ac:dyDescent="0.3">
      <c r="A84" s="121" t="s">
        <v>207</v>
      </c>
      <c r="B84" s="121" t="s">
        <v>1714</v>
      </c>
      <c r="C84" s="122" t="s">
        <v>14</v>
      </c>
      <c r="D84" s="134">
        <v>7740</v>
      </c>
      <c r="E84" s="124" t="s">
        <v>5</v>
      </c>
      <c r="F84" s="126">
        <v>10392</v>
      </c>
      <c r="G84" s="124" t="s">
        <v>741</v>
      </c>
      <c r="H84" s="126">
        <v>10071</v>
      </c>
      <c r="I84" s="124" t="s">
        <v>735</v>
      </c>
      <c r="J84" s="126">
        <v>12368</v>
      </c>
      <c r="K84" s="124" t="s">
        <v>2200</v>
      </c>
      <c r="L84" s="126">
        <v>10320</v>
      </c>
      <c r="M84" s="124" t="s">
        <v>1600</v>
      </c>
      <c r="N84" s="144">
        <f t="shared" si="2"/>
        <v>7740</v>
      </c>
      <c r="O84" s="124"/>
      <c r="P84" s="124" t="s">
        <v>2249</v>
      </c>
    </row>
    <row r="85" spans="1:16" ht="30" customHeight="1" x14ac:dyDescent="0.3">
      <c r="A85" s="121" t="s">
        <v>207</v>
      </c>
      <c r="B85" s="121" t="s">
        <v>1715</v>
      </c>
      <c r="C85" s="122" t="s">
        <v>14</v>
      </c>
      <c r="D85" s="134">
        <v>12452</v>
      </c>
      <c r="E85" s="124" t="s">
        <v>5</v>
      </c>
      <c r="F85" s="126">
        <v>15960</v>
      </c>
      <c r="G85" s="124" t="s">
        <v>741</v>
      </c>
      <c r="H85" s="126">
        <v>15923</v>
      </c>
      <c r="I85" s="124" t="s">
        <v>735</v>
      </c>
      <c r="J85" s="126">
        <v>18085</v>
      </c>
      <c r="K85" s="124" t="s">
        <v>2200</v>
      </c>
      <c r="L85" s="126">
        <v>16600</v>
      </c>
      <c r="M85" s="124" t="s">
        <v>1600</v>
      </c>
      <c r="N85" s="144">
        <f t="shared" si="2"/>
        <v>12452</v>
      </c>
      <c r="O85" s="124"/>
      <c r="P85" s="124" t="s">
        <v>2249</v>
      </c>
    </row>
    <row r="86" spans="1:16" ht="30" customHeight="1" x14ac:dyDescent="0.3">
      <c r="A86" s="121" t="s">
        <v>207</v>
      </c>
      <c r="B86" s="121" t="s">
        <v>1716</v>
      </c>
      <c r="C86" s="122" t="s">
        <v>14</v>
      </c>
      <c r="D86" s="134">
        <v>19225</v>
      </c>
      <c r="E86" s="124" t="s">
        <v>5</v>
      </c>
      <c r="F86" s="126">
        <v>24639</v>
      </c>
      <c r="G86" s="124" t="s">
        <v>741</v>
      </c>
      <c r="H86" s="126">
        <v>24717</v>
      </c>
      <c r="I86" s="124" t="s">
        <v>735</v>
      </c>
      <c r="J86" s="126">
        <v>28497</v>
      </c>
      <c r="K86" s="124" t="s">
        <v>2200</v>
      </c>
      <c r="L86" s="126">
        <v>25627</v>
      </c>
      <c r="M86" s="124" t="s">
        <v>1600</v>
      </c>
      <c r="N86" s="144">
        <f t="shared" si="2"/>
        <v>19225</v>
      </c>
      <c r="O86" s="124"/>
      <c r="P86" s="124" t="s">
        <v>2249</v>
      </c>
    </row>
    <row r="87" spans="1:16" ht="30" customHeight="1" x14ac:dyDescent="0.3">
      <c r="A87" s="121" t="s">
        <v>207</v>
      </c>
      <c r="B87" s="121" t="s">
        <v>1717</v>
      </c>
      <c r="C87" s="122" t="s">
        <v>14</v>
      </c>
      <c r="D87" s="134">
        <v>25670</v>
      </c>
      <c r="E87" s="124" t="s">
        <v>5</v>
      </c>
      <c r="F87" s="126">
        <v>32900</v>
      </c>
      <c r="G87" s="124" t="s">
        <v>741</v>
      </c>
      <c r="H87" s="126">
        <v>34125</v>
      </c>
      <c r="I87" s="124" t="s">
        <v>735</v>
      </c>
      <c r="J87" s="126">
        <v>38748</v>
      </c>
      <c r="K87" s="124" t="s">
        <v>2200</v>
      </c>
      <c r="L87" s="126">
        <v>34220</v>
      </c>
      <c r="M87" s="124" t="s">
        <v>1600</v>
      </c>
      <c r="N87" s="144">
        <f t="shared" si="2"/>
        <v>25670</v>
      </c>
      <c r="O87" s="124"/>
      <c r="P87" s="124" t="s">
        <v>2249</v>
      </c>
    </row>
    <row r="88" spans="1:16" ht="30" customHeight="1" x14ac:dyDescent="0.3">
      <c r="A88" s="121" t="s">
        <v>207</v>
      </c>
      <c r="B88" s="121" t="s">
        <v>1718</v>
      </c>
      <c r="C88" s="122" t="s">
        <v>14</v>
      </c>
      <c r="D88" s="134">
        <v>35346</v>
      </c>
      <c r="E88" s="124" t="s">
        <v>5</v>
      </c>
      <c r="F88" s="126">
        <v>45301</v>
      </c>
      <c r="G88" s="124" t="s">
        <v>741</v>
      </c>
      <c r="H88" s="126">
        <v>46039</v>
      </c>
      <c r="I88" s="124" t="s">
        <v>735</v>
      </c>
      <c r="J88" s="126">
        <v>52092</v>
      </c>
      <c r="K88" s="124" t="s">
        <v>2200</v>
      </c>
      <c r="L88" s="126">
        <v>47119</v>
      </c>
      <c r="M88" s="124" t="s">
        <v>1600</v>
      </c>
      <c r="N88" s="144">
        <f t="shared" si="2"/>
        <v>35346</v>
      </c>
      <c r="O88" s="124"/>
      <c r="P88" s="124" t="s">
        <v>2249</v>
      </c>
    </row>
    <row r="89" spans="1:16" ht="30" customHeight="1" x14ac:dyDescent="0.3">
      <c r="A89" s="121" t="s">
        <v>207</v>
      </c>
      <c r="B89" s="121" t="s">
        <v>1719</v>
      </c>
      <c r="C89" s="122" t="s">
        <v>14</v>
      </c>
      <c r="D89" s="134">
        <v>49662</v>
      </c>
      <c r="E89" s="124" t="s">
        <v>5</v>
      </c>
      <c r="F89" s="126">
        <v>63648</v>
      </c>
      <c r="G89" s="124" t="s">
        <v>741</v>
      </c>
      <c r="H89" s="126">
        <v>64332</v>
      </c>
      <c r="I89" s="124" t="s">
        <v>735</v>
      </c>
      <c r="J89" s="126">
        <v>74635</v>
      </c>
      <c r="K89" s="124" t="s">
        <v>2200</v>
      </c>
      <c r="L89" s="126">
        <v>66201</v>
      </c>
      <c r="M89" s="124" t="s">
        <v>1600</v>
      </c>
      <c r="N89" s="144">
        <f t="shared" si="2"/>
        <v>49662</v>
      </c>
      <c r="O89" s="124"/>
      <c r="P89" s="124" t="s">
        <v>2249</v>
      </c>
    </row>
    <row r="90" spans="1:16" ht="30" customHeight="1" x14ac:dyDescent="0.3">
      <c r="A90" s="121" t="s">
        <v>207</v>
      </c>
      <c r="B90" s="121" t="s">
        <v>1720</v>
      </c>
      <c r="C90" s="122" t="s">
        <v>14</v>
      </c>
      <c r="D90" s="134">
        <v>69022</v>
      </c>
      <c r="E90" s="124" t="s">
        <v>5</v>
      </c>
      <c r="F90" s="126">
        <v>80480</v>
      </c>
      <c r="G90" s="124" t="s">
        <v>741</v>
      </c>
      <c r="H90" s="126">
        <v>90770</v>
      </c>
      <c r="I90" s="124" t="s">
        <v>735</v>
      </c>
      <c r="J90" s="126">
        <v>101014</v>
      </c>
      <c r="K90" s="124" t="s">
        <v>2200</v>
      </c>
      <c r="L90" s="126">
        <v>92008</v>
      </c>
      <c r="M90" s="124" t="s">
        <v>1600</v>
      </c>
      <c r="N90" s="144">
        <f t="shared" si="2"/>
        <v>69022</v>
      </c>
      <c r="O90" s="124"/>
      <c r="P90" s="124" t="s">
        <v>2249</v>
      </c>
    </row>
    <row r="91" spans="1:16" ht="30" customHeight="1" x14ac:dyDescent="0.3">
      <c r="A91" s="121" t="s">
        <v>207</v>
      </c>
      <c r="B91" s="121" t="s">
        <v>1721</v>
      </c>
      <c r="C91" s="122" t="s">
        <v>14</v>
      </c>
      <c r="D91" s="134">
        <v>85828</v>
      </c>
      <c r="E91" s="124" t="s">
        <v>5</v>
      </c>
      <c r="F91" s="126">
        <v>100077</v>
      </c>
      <c r="G91" s="124" t="s">
        <v>741</v>
      </c>
      <c r="H91" s="126">
        <v>113454</v>
      </c>
      <c r="I91" s="124" t="s">
        <v>735</v>
      </c>
      <c r="J91" s="126">
        <v>126860</v>
      </c>
      <c r="K91" s="124" t="s">
        <v>2200</v>
      </c>
      <c r="L91" s="126">
        <v>114413</v>
      </c>
      <c r="M91" s="124" t="s">
        <v>1600</v>
      </c>
      <c r="N91" s="144">
        <f t="shared" si="2"/>
        <v>85828</v>
      </c>
      <c r="O91" s="124"/>
      <c r="P91" s="124" t="s">
        <v>2249</v>
      </c>
    </row>
    <row r="92" spans="1:16" ht="30" customHeight="1" x14ac:dyDescent="0.3">
      <c r="A92" s="121" t="s">
        <v>207</v>
      </c>
      <c r="B92" s="121" t="s">
        <v>1722</v>
      </c>
      <c r="C92" s="122" t="s">
        <v>14</v>
      </c>
      <c r="D92" s="134">
        <v>105765</v>
      </c>
      <c r="E92" s="124" t="s">
        <v>5</v>
      </c>
      <c r="F92" s="126">
        <v>123324</v>
      </c>
      <c r="G92" s="124" t="s">
        <v>741</v>
      </c>
      <c r="H92" s="126">
        <v>137855</v>
      </c>
      <c r="I92" s="124" t="s">
        <v>735</v>
      </c>
      <c r="J92" s="126">
        <v>157596</v>
      </c>
      <c r="K92" s="124" t="s">
        <v>2200</v>
      </c>
      <c r="L92" s="126">
        <v>140988</v>
      </c>
      <c r="M92" s="124" t="s">
        <v>1600</v>
      </c>
      <c r="N92" s="144">
        <f t="shared" si="2"/>
        <v>105765</v>
      </c>
      <c r="O92" s="124"/>
      <c r="P92" s="124" t="s">
        <v>2249</v>
      </c>
    </row>
    <row r="93" spans="1:16" ht="30" customHeight="1" x14ac:dyDescent="0.3">
      <c r="A93" s="121" t="s">
        <v>207</v>
      </c>
      <c r="B93" s="121" t="s">
        <v>1723</v>
      </c>
      <c r="C93" s="122" t="s">
        <v>14</v>
      </c>
      <c r="D93" s="134">
        <v>131375</v>
      </c>
      <c r="E93" s="124" t="s">
        <v>5</v>
      </c>
      <c r="F93" s="126">
        <v>153185</v>
      </c>
      <c r="G93" s="124" t="s">
        <v>741</v>
      </c>
      <c r="H93" s="126">
        <v>170164</v>
      </c>
      <c r="I93" s="124" t="s">
        <v>735</v>
      </c>
      <c r="J93" s="126">
        <v>196001</v>
      </c>
      <c r="K93" s="124" t="s">
        <v>2200</v>
      </c>
      <c r="L93" s="126">
        <v>175127</v>
      </c>
      <c r="M93" s="124" t="s">
        <v>1600</v>
      </c>
      <c r="N93" s="144">
        <f t="shared" si="2"/>
        <v>131375</v>
      </c>
      <c r="O93" s="124"/>
      <c r="P93" s="124" t="s">
        <v>2249</v>
      </c>
    </row>
    <row r="94" spans="1:16" ht="30" customHeight="1" x14ac:dyDescent="0.3">
      <c r="A94" s="121" t="s">
        <v>207</v>
      </c>
      <c r="B94" s="121" t="s">
        <v>1724</v>
      </c>
      <c r="C94" s="122" t="s">
        <v>14</v>
      </c>
      <c r="D94" s="134">
        <v>168722</v>
      </c>
      <c r="E94" s="124" t="s">
        <v>5</v>
      </c>
      <c r="F94" s="126">
        <v>196733</v>
      </c>
      <c r="G94" s="124" t="s">
        <v>741</v>
      </c>
      <c r="H94" s="126">
        <v>218282</v>
      </c>
      <c r="I94" s="124" t="s">
        <v>735</v>
      </c>
      <c r="J94" s="126">
        <v>257693</v>
      </c>
      <c r="K94" s="124" t="s">
        <v>2200</v>
      </c>
      <c r="L94" s="126">
        <v>224912</v>
      </c>
      <c r="M94" s="124" t="s">
        <v>1600</v>
      </c>
      <c r="N94" s="144">
        <f t="shared" si="2"/>
        <v>168722</v>
      </c>
      <c r="O94" s="124"/>
      <c r="P94" s="124" t="s">
        <v>2249</v>
      </c>
    </row>
    <row r="95" spans="1:16" ht="30" customHeight="1" x14ac:dyDescent="0.3">
      <c r="A95" s="121" t="s">
        <v>207</v>
      </c>
      <c r="B95" s="121" t="s">
        <v>1725</v>
      </c>
      <c r="C95" s="122" t="s">
        <v>14</v>
      </c>
      <c r="D95" s="134">
        <v>215834</v>
      </c>
      <c r="E95" s="124" t="s">
        <v>5</v>
      </c>
      <c r="F95" s="126">
        <v>251666</v>
      </c>
      <c r="G95" s="124" t="s">
        <v>741</v>
      </c>
      <c r="H95" s="126">
        <v>275370</v>
      </c>
      <c r="I95" s="124" t="s">
        <v>735</v>
      </c>
      <c r="J95" s="126">
        <v>320183</v>
      </c>
      <c r="K95" s="124" t="s">
        <v>2200</v>
      </c>
      <c r="L95" s="126">
        <v>287714</v>
      </c>
      <c r="M95" s="124" t="s">
        <v>1600</v>
      </c>
      <c r="N95" s="144">
        <f t="shared" si="2"/>
        <v>215834</v>
      </c>
      <c r="O95" s="124"/>
      <c r="P95" s="124" t="s">
        <v>2249</v>
      </c>
    </row>
    <row r="96" spans="1:16" ht="30" customHeight="1" x14ac:dyDescent="0.3">
      <c r="A96" s="121" t="s">
        <v>208</v>
      </c>
      <c r="B96" s="121" t="s">
        <v>209</v>
      </c>
      <c r="C96" s="122" t="s">
        <v>14</v>
      </c>
      <c r="D96" s="134">
        <v>699</v>
      </c>
      <c r="E96" s="124" t="s">
        <v>5</v>
      </c>
      <c r="F96" s="126">
        <v>1012</v>
      </c>
      <c r="G96" s="124" t="s">
        <v>731</v>
      </c>
      <c r="H96" s="126">
        <v>1046</v>
      </c>
      <c r="I96" s="124" t="s">
        <v>732</v>
      </c>
      <c r="J96" s="126">
        <v>1195</v>
      </c>
      <c r="K96" s="124" t="s">
        <v>2200</v>
      </c>
      <c r="L96" s="126">
        <v>1122</v>
      </c>
      <c r="M96" s="124" t="s">
        <v>2209</v>
      </c>
      <c r="N96" s="144">
        <f t="shared" si="2"/>
        <v>699</v>
      </c>
      <c r="O96" s="124"/>
      <c r="P96" s="124" t="s">
        <v>2249</v>
      </c>
    </row>
    <row r="97" spans="1:16" ht="30" customHeight="1" x14ac:dyDescent="0.3">
      <c r="A97" s="121" t="s">
        <v>208</v>
      </c>
      <c r="B97" s="121" t="s">
        <v>210</v>
      </c>
      <c r="C97" s="122" t="s">
        <v>14</v>
      </c>
      <c r="D97" s="134">
        <v>972</v>
      </c>
      <c r="E97" s="124" t="s">
        <v>5</v>
      </c>
      <c r="F97" s="126">
        <v>1278</v>
      </c>
      <c r="G97" s="124" t="s">
        <v>731</v>
      </c>
      <c r="H97" s="126">
        <v>1463</v>
      </c>
      <c r="I97" s="124" t="s">
        <v>732</v>
      </c>
      <c r="J97" s="126">
        <v>1550</v>
      </c>
      <c r="K97" s="124" t="s">
        <v>2200</v>
      </c>
      <c r="L97" s="126">
        <v>1558</v>
      </c>
      <c r="M97" s="124" t="s">
        <v>2209</v>
      </c>
      <c r="N97" s="144">
        <f t="shared" si="2"/>
        <v>972</v>
      </c>
      <c r="O97" s="124"/>
      <c r="P97" s="124" t="s">
        <v>2249</v>
      </c>
    </row>
    <row r="98" spans="1:16" ht="30" customHeight="1" x14ac:dyDescent="0.3">
      <c r="A98" s="121" t="s">
        <v>208</v>
      </c>
      <c r="B98" s="121" t="s">
        <v>211</v>
      </c>
      <c r="C98" s="122" t="s">
        <v>14</v>
      </c>
      <c r="D98" s="134">
        <v>1106</v>
      </c>
      <c r="E98" s="124" t="s">
        <v>5</v>
      </c>
      <c r="F98" s="126">
        <v>1658</v>
      </c>
      <c r="G98" s="124" t="s">
        <v>731</v>
      </c>
      <c r="H98" s="126">
        <v>1681</v>
      </c>
      <c r="I98" s="124" t="s">
        <v>732</v>
      </c>
      <c r="J98" s="126">
        <v>2031</v>
      </c>
      <c r="K98" s="124" t="s">
        <v>2200</v>
      </c>
      <c r="L98" s="126">
        <v>1774</v>
      </c>
      <c r="M98" s="124" t="s">
        <v>2209</v>
      </c>
      <c r="N98" s="144">
        <f t="shared" si="2"/>
        <v>1106</v>
      </c>
      <c r="O98" s="124"/>
      <c r="P98" s="124" t="s">
        <v>2249</v>
      </c>
    </row>
    <row r="99" spans="1:16" ht="30" customHeight="1" x14ac:dyDescent="0.3">
      <c r="A99" s="121" t="s">
        <v>208</v>
      </c>
      <c r="B99" s="121" t="s">
        <v>212</v>
      </c>
      <c r="C99" s="122" t="s">
        <v>14</v>
      </c>
      <c r="D99" s="134">
        <v>1909</v>
      </c>
      <c r="E99" s="124" t="s">
        <v>5</v>
      </c>
      <c r="F99" s="126">
        <v>2398</v>
      </c>
      <c r="G99" s="124" t="s">
        <v>731</v>
      </c>
      <c r="H99" s="126">
        <v>2829</v>
      </c>
      <c r="I99" s="124" t="s">
        <v>732</v>
      </c>
      <c r="J99" s="126">
        <v>3082</v>
      </c>
      <c r="K99" s="124" t="s">
        <v>2200</v>
      </c>
      <c r="L99" s="126">
        <v>2990</v>
      </c>
      <c r="M99" s="124" t="s">
        <v>2209</v>
      </c>
      <c r="N99" s="144">
        <f t="shared" si="2"/>
        <v>1909</v>
      </c>
      <c r="O99" s="124"/>
      <c r="P99" s="124" t="s">
        <v>2249</v>
      </c>
    </row>
    <row r="100" spans="1:16" ht="30" customHeight="1" x14ac:dyDescent="0.3">
      <c r="A100" s="121" t="s">
        <v>208</v>
      </c>
      <c r="B100" s="121" t="s">
        <v>213</v>
      </c>
      <c r="C100" s="122" t="s">
        <v>14</v>
      </c>
      <c r="D100" s="134">
        <v>2545</v>
      </c>
      <c r="E100" s="124" t="s">
        <v>5</v>
      </c>
      <c r="F100" s="126">
        <v>3579</v>
      </c>
      <c r="G100" s="124" t="s">
        <v>731</v>
      </c>
      <c r="H100" s="126">
        <v>3864</v>
      </c>
      <c r="I100" s="124" t="s">
        <v>732</v>
      </c>
      <c r="J100" s="126">
        <v>4330</v>
      </c>
      <c r="K100" s="124" t="s">
        <v>2200</v>
      </c>
      <c r="L100" s="126">
        <v>4082</v>
      </c>
      <c r="M100" s="124" t="s">
        <v>2209</v>
      </c>
      <c r="N100" s="144">
        <f t="shared" si="2"/>
        <v>2545</v>
      </c>
      <c r="O100" s="124"/>
      <c r="P100" s="124" t="s">
        <v>2249</v>
      </c>
    </row>
    <row r="101" spans="1:16" ht="30" customHeight="1" x14ac:dyDescent="0.3">
      <c r="A101" s="121" t="s">
        <v>208</v>
      </c>
      <c r="B101" s="121" t="s">
        <v>214</v>
      </c>
      <c r="C101" s="122" t="s">
        <v>14</v>
      </c>
      <c r="D101" s="134">
        <v>3910</v>
      </c>
      <c r="E101" s="124" t="s">
        <v>5</v>
      </c>
      <c r="F101" s="126">
        <v>5167</v>
      </c>
      <c r="G101" s="124" t="s">
        <v>731</v>
      </c>
      <c r="H101" s="126">
        <v>5951</v>
      </c>
      <c r="I101" s="124" t="s">
        <v>732</v>
      </c>
      <c r="J101" s="126">
        <v>6716</v>
      </c>
      <c r="K101" s="124" t="s">
        <v>2200</v>
      </c>
      <c r="L101" s="126">
        <v>6269</v>
      </c>
      <c r="M101" s="124" t="s">
        <v>2209</v>
      </c>
      <c r="N101" s="144">
        <f t="shared" si="2"/>
        <v>3910</v>
      </c>
      <c r="O101" s="124"/>
      <c r="P101" s="124" t="s">
        <v>2249</v>
      </c>
    </row>
    <row r="102" spans="1:16" ht="30" customHeight="1" x14ac:dyDescent="0.3">
      <c r="A102" s="121" t="s">
        <v>208</v>
      </c>
      <c r="B102" s="121" t="s">
        <v>215</v>
      </c>
      <c r="C102" s="122" t="s">
        <v>14</v>
      </c>
      <c r="D102" s="134">
        <v>5522</v>
      </c>
      <c r="E102" s="124" t="s">
        <v>5</v>
      </c>
      <c r="F102" s="126">
        <v>7104</v>
      </c>
      <c r="G102" s="124" t="s">
        <v>731</v>
      </c>
      <c r="H102" s="126">
        <v>8404</v>
      </c>
      <c r="I102" s="124" t="s">
        <v>732</v>
      </c>
      <c r="J102" s="126">
        <v>9132</v>
      </c>
      <c r="K102" s="124" t="s">
        <v>2200</v>
      </c>
      <c r="L102" s="126">
        <v>8854</v>
      </c>
      <c r="M102" s="124" t="s">
        <v>2209</v>
      </c>
      <c r="N102" s="144">
        <f t="shared" si="2"/>
        <v>5522</v>
      </c>
      <c r="O102" s="124"/>
      <c r="P102" s="124" t="s">
        <v>2249</v>
      </c>
    </row>
    <row r="103" spans="1:16" ht="30" customHeight="1" x14ac:dyDescent="0.3">
      <c r="A103" s="121" t="s">
        <v>208</v>
      </c>
      <c r="B103" s="121" t="s">
        <v>216</v>
      </c>
      <c r="C103" s="122" t="s">
        <v>14</v>
      </c>
      <c r="D103" s="134">
        <v>7507</v>
      </c>
      <c r="E103" s="124" t="s">
        <v>5</v>
      </c>
      <c r="F103" s="126">
        <v>9981</v>
      </c>
      <c r="G103" s="124" t="s">
        <v>731</v>
      </c>
      <c r="H103" s="126">
        <v>11440</v>
      </c>
      <c r="I103" s="124" t="s">
        <v>732</v>
      </c>
      <c r="J103" s="126">
        <v>12309</v>
      </c>
      <c r="K103" s="124" t="s">
        <v>2200</v>
      </c>
      <c r="L103" s="126">
        <v>12036</v>
      </c>
      <c r="M103" s="124" t="s">
        <v>2209</v>
      </c>
      <c r="N103" s="144">
        <f t="shared" si="2"/>
        <v>7507</v>
      </c>
      <c r="O103" s="124"/>
      <c r="P103" s="124" t="s">
        <v>2249</v>
      </c>
    </row>
    <row r="104" spans="1:16" ht="30" customHeight="1" x14ac:dyDescent="0.3">
      <c r="A104" s="121" t="s">
        <v>208</v>
      </c>
      <c r="B104" s="121" t="s">
        <v>217</v>
      </c>
      <c r="C104" s="122" t="s">
        <v>14</v>
      </c>
      <c r="D104" s="134">
        <v>10572</v>
      </c>
      <c r="E104" s="124" t="s">
        <v>5</v>
      </c>
      <c r="F104" s="126">
        <v>13938</v>
      </c>
      <c r="G104" s="124" t="s">
        <v>731</v>
      </c>
      <c r="H104" s="126">
        <v>16106</v>
      </c>
      <c r="I104" s="124" t="s">
        <v>732</v>
      </c>
      <c r="J104" s="126">
        <v>17428</v>
      </c>
      <c r="K104" s="124" t="s">
        <v>2200</v>
      </c>
      <c r="L104" s="126">
        <v>16950</v>
      </c>
      <c r="M104" s="124" t="s">
        <v>2209</v>
      </c>
      <c r="N104" s="144">
        <f t="shared" si="2"/>
        <v>10572</v>
      </c>
      <c r="O104" s="124"/>
      <c r="P104" s="124" t="s">
        <v>2249</v>
      </c>
    </row>
    <row r="105" spans="1:16" ht="30" customHeight="1" x14ac:dyDescent="0.3">
      <c r="A105" s="121" t="s">
        <v>208</v>
      </c>
      <c r="B105" s="121" t="s">
        <v>218</v>
      </c>
      <c r="C105" s="122" t="s">
        <v>14</v>
      </c>
      <c r="D105" s="134">
        <v>14231</v>
      </c>
      <c r="E105" s="124" t="s">
        <v>5</v>
      </c>
      <c r="F105" s="126">
        <v>18835</v>
      </c>
      <c r="G105" s="124" t="s">
        <v>731</v>
      </c>
      <c r="H105" s="126">
        <v>21684</v>
      </c>
      <c r="I105" s="124" t="s">
        <v>732</v>
      </c>
      <c r="J105" s="126">
        <v>23843</v>
      </c>
      <c r="K105" s="124" t="s">
        <v>2200</v>
      </c>
      <c r="L105" s="126">
        <v>27900</v>
      </c>
      <c r="M105" s="124" t="s">
        <v>2209</v>
      </c>
      <c r="N105" s="144">
        <f t="shared" si="2"/>
        <v>14231</v>
      </c>
      <c r="O105" s="124"/>
      <c r="P105" s="124" t="s">
        <v>2249</v>
      </c>
    </row>
    <row r="106" spans="1:16" ht="30" customHeight="1" x14ac:dyDescent="0.3">
      <c r="A106" s="121" t="s">
        <v>208</v>
      </c>
      <c r="B106" s="121" t="s">
        <v>219</v>
      </c>
      <c r="C106" s="122" t="s">
        <v>14</v>
      </c>
      <c r="D106" s="134">
        <v>17402</v>
      </c>
      <c r="E106" s="124" t="s">
        <v>5</v>
      </c>
      <c r="F106" s="126">
        <v>22415</v>
      </c>
      <c r="G106" s="124" t="s">
        <v>731</v>
      </c>
      <c r="H106" s="126">
        <v>26536</v>
      </c>
      <c r="I106" s="124" t="s">
        <v>732</v>
      </c>
      <c r="J106" s="126">
        <v>30023</v>
      </c>
      <c r="K106" s="124" t="s">
        <v>2200</v>
      </c>
      <c r="L106" s="126">
        <v>33924</v>
      </c>
      <c r="M106" s="124" t="s">
        <v>2209</v>
      </c>
      <c r="N106" s="144">
        <f t="shared" si="2"/>
        <v>17402</v>
      </c>
      <c r="O106" s="124"/>
      <c r="P106" s="124" t="s">
        <v>2249</v>
      </c>
    </row>
    <row r="107" spans="1:16" ht="30" customHeight="1" x14ac:dyDescent="0.3">
      <c r="A107" s="121" t="s">
        <v>208</v>
      </c>
      <c r="B107" s="121" t="s">
        <v>220</v>
      </c>
      <c r="C107" s="122" t="s">
        <v>14</v>
      </c>
      <c r="D107" s="134">
        <v>21159</v>
      </c>
      <c r="E107" s="124" t="s">
        <v>5</v>
      </c>
      <c r="F107" s="126">
        <v>28247</v>
      </c>
      <c r="G107" s="124" t="s">
        <v>731</v>
      </c>
      <c r="H107" s="126">
        <v>32278</v>
      </c>
      <c r="I107" s="124" t="s">
        <v>732</v>
      </c>
      <c r="J107" s="126">
        <v>36523</v>
      </c>
      <c r="K107" s="124" t="s">
        <v>2200</v>
      </c>
      <c r="L107" s="126">
        <v>41786</v>
      </c>
      <c r="M107" s="124" t="s">
        <v>2209</v>
      </c>
      <c r="N107" s="144">
        <f t="shared" si="2"/>
        <v>21159</v>
      </c>
      <c r="O107" s="124"/>
      <c r="P107" s="124" t="s">
        <v>2249</v>
      </c>
    </row>
    <row r="108" spans="1:16" ht="30" customHeight="1" x14ac:dyDescent="0.3">
      <c r="A108" s="121" t="s">
        <v>208</v>
      </c>
      <c r="B108" s="121" t="s">
        <v>221</v>
      </c>
      <c r="C108" s="122" t="s">
        <v>14</v>
      </c>
      <c r="D108" s="134">
        <v>26063</v>
      </c>
      <c r="E108" s="124" t="s">
        <v>5</v>
      </c>
      <c r="F108" s="126">
        <v>34786</v>
      </c>
      <c r="G108" s="124" t="s">
        <v>731</v>
      </c>
      <c r="H108" s="126">
        <v>39757</v>
      </c>
      <c r="I108" s="124" t="s">
        <v>732</v>
      </c>
      <c r="J108" s="126">
        <v>45577</v>
      </c>
      <c r="K108" s="124" t="s">
        <v>2200</v>
      </c>
      <c r="L108" s="126">
        <v>54811</v>
      </c>
      <c r="M108" s="124" t="s">
        <v>2209</v>
      </c>
      <c r="N108" s="144">
        <f t="shared" si="2"/>
        <v>26063</v>
      </c>
      <c r="O108" s="124"/>
      <c r="P108" s="124" t="s">
        <v>2249</v>
      </c>
    </row>
    <row r="109" spans="1:16" ht="30" customHeight="1" x14ac:dyDescent="0.3">
      <c r="A109" s="121" t="s">
        <v>208</v>
      </c>
      <c r="B109" s="121" t="s">
        <v>222</v>
      </c>
      <c r="C109" s="122" t="s">
        <v>14</v>
      </c>
      <c r="D109" s="134">
        <v>34462</v>
      </c>
      <c r="E109" s="124" t="s">
        <v>5</v>
      </c>
      <c r="F109" s="126">
        <v>44474</v>
      </c>
      <c r="G109" s="124" t="s">
        <v>731</v>
      </c>
      <c r="H109" s="126">
        <v>52157</v>
      </c>
      <c r="I109" s="124" t="s">
        <v>732</v>
      </c>
      <c r="J109" s="126">
        <v>59454</v>
      </c>
      <c r="K109" s="124" t="s">
        <v>2200</v>
      </c>
      <c r="L109" s="126">
        <v>67865</v>
      </c>
      <c r="M109" s="124" t="s">
        <v>2209</v>
      </c>
      <c r="N109" s="144">
        <f t="shared" si="2"/>
        <v>34462</v>
      </c>
      <c r="O109" s="124"/>
      <c r="P109" s="124" t="s">
        <v>2249</v>
      </c>
    </row>
    <row r="110" spans="1:16" ht="30" customHeight="1" x14ac:dyDescent="0.3">
      <c r="A110" s="121" t="s">
        <v>208</v>
      </c>
      <c r="B110" s="121" t="s">
        <v>223</v>
      </c>
      <c r="C110" s="122" t="s">
        <v>14</v>
      </c>
      <c r="D110" s="134">
        <v>42329</v>
      </c>
      <c r="E110" s="124" t="s">
        <v>5</v>
      </c>
      <c r="F110" s="126">
        <v>55565</v>
      </c>
      <c r="G110" s="124" t="s">
        <v>731</v>
      </c>
      <c r="H110" s="126">
        <v>64599</v>
      </c>
      <c r="I110" s="124" t="s">
        <v>732</v>
      </c>
      <c r="J110" s="126">
        <v>74385</v>
      </c>
      <c r="K110" s="124" t="s">
        <v>2200</v>
      </c>
      <c r="L110" s="127">
        <v>0</v>
      </c>
      <c r="M110" s="124" t="s">
        <v>5</v>
      </c>
      <c r="N110" s="144">
        <f t="shared" si="2"/>
        <v>42329</v>
      </c>
      <c r="O110" s="124"/>
      <c r="P110" s="131" t="s">
        <v>5</v>
      </c>
    </row>
    <row r="111" spans="1:16" ht="30" customHeight="1" x14ac:dyDescent="0.3">
      <c r="A111" s="121" t="s">
        <v>208</v>
      </c>
      <c r="B111" s="121" t="s">
        <v>224</v>
      </c>
      <c r="C111" s="122" t="s">
        <v>14</v>
      </c>
      <c r="D111" s="123">
        <v>0</v>
      </c>
      <c r="E111" s="124" t="s">
        <v>5</v>
      </c>
      <c r="F111" s="126">
        <v>78940</v>
      </c>
      <c r="G111" s="124" t="s">
        <v>731</v>
      </c>
      <c r="H111" s="127">
        <v>0</v>
      </c>
      <c r="I111" s="124" t="s">
        <v>732</v>
      </c>
      <c r="J111" s="126">
        <v>105357</v>
      </c>
      <c r="K111" s="124" t="s">
        <v>2200</v>
      </c>
      <c r="L111" s="127">
        <v>0</v>
      </c>
      <c r="M111" s="124" t="s">
        <v>5</v>
      </c>
      <c r="N111" s="144">
        <f t="shared" si="2"/>
        <v>78940</v>
      </c>
      <c r="O111" s="124"/>
      <c r="P111" s="131" t="s">
        <v>5</v>
      </c>
    </row>
    <row r="112" spans="1:16" ht="30" customHeight="1" x14ac:dyDescent="0.3">
      <c r="A112" s="131" t="s">
        <v>225</v>
      </c>
      <c r="B112" s="131" t="s">
        <v>226</v>
      </c>
      <c r="C112" s="132" t="s">
        <v>14</v>
      </c>
      <c r="D112" s="145">
        <v>192</v>
      </c>
      <c r="E112" s="128" t="s">
        <v>5</v>
      </c>
      <c r="F112" s="127">
        <v>327</v>
      </c>
      <c r="G112" s="128" t="s">
        <v>731</v>
      </c>
      <c r="H112" s="127">
        <v>452</v>
      </c>
      <c r="I112" s="128" t="s">
        <v>733</v>
      </c>
      <c r="J112" s="127">
        <v>397</v>
      </c>
      <c r="K112" s="124" t="s">
        <v>2200</v>
      </c>
      <c r="L112" s="127">
        <v>478</v>
      </c>
      <c r="M112" s="124" t="s">
        <v>2210</v>
      </c>
      <c r="N112" s="144">
        <f t="shared" si="2"/>
        <v>192</v>
      </c>
      <c r="O112" s="124"/>
      <c r="P112" s="130"/>
    </row>
    <row r="113" spans="1:16" ht="30" customHeight="1" x14ac:dyDescent="0.3">
      <c r="A113" s="131" t="s">
        <v>225</v>
      </c>
      <c r="B113" s="131" t="s">
        <v>227</v>
      </c>
      <c r="C113" s="132" t="s">
        <v>14</v>
      </c>
      <c r="D113" s="145">
        <v>333</v>
      </c>
      <c r="E113" s="128" t="s">
        <v>5</v>
      </c>
      <c r="F113" s="127">
        <v>524</v>
      </c>
      <c r="G113" s="128" t="s">
        <v>731</v>
      </c>
      <c r="H113" s="127">
        <v>739</v>
      </c>
      <c r="I113" s="128" t="s">
        <v>733</v>
      </c>
      <c r="J113" s="127">
        <v>644</v>
      </c>
      <c r="K113" s="124" t="s">
        <v>2200</v>
      </c>
      <c r="L113" s="127">
        <v>765</v>
      </c>
      <c r="M113" s="124" t="s">
        <v>2210</v>
      </c>
      <c r="N113" s="144">
        <f t="shared" si="2"/>
        <v>333</v>
      </c>
      <c r="O113" s="124"/>
      <c r="P113" s="130"/>
    </row>
    <row r="114" spans="1:16" ht="30" customHeight="1" x14ac:dyDescent="0.3">
      <c r="A114" s="131" t="s">
        <v>225</v>
      </c>
      <c r="B114" s="131" t="s">
        <v>228</v>
      </c>
      <c r="C114" s="132" t="s">
        <v>14</v>
      </c>
      <c r="D114" s="145">
        <v>535</v>
      </c>
      <c r="E114" s="128" t="s">
        <v>5</v>
      </c>
      <c r="F114" s="127">
        <v>810</v>
      </c>
      <c r="G114" s="128" t="s">
        <v>731</v>
      </c>
      <c r="H114" s="127">
        <v>1168</v>
      </c>
      <c r="I114" s="128" t="s">
        <v>733</v>
      </c>
      <c r="J114" s="127">
        <v>1008</v>
      </c>
      <c r="K114" s="124" t="s">
        <v>2200</v>
      </c>
      <c r="L114" s="127">
        <v>1183</v>
      </c>
      <c r="M114" s="124" t="s">
        <v>2210</v>
      </c>
      <c r="N114" s="144">
        <f t="shared" si="2"/>
        <v>535</v>
      </c>
      <c r="O114" s="124"/>
      <c r="P114" s="130"/>
    </row>
    <row r="115" spans="1:16" ht="30" customHeight="1" x14ac:dyDescent="0.3">
      <c r="A115" s="131" t="s">
        <v>225</v>
      </c>
      <c r="B115" s="131" t="s">
        <v>229</v>
      </c>
      <c r="C115" s="132" t="s">
        <v>14</v>
      </c>
      <c r="D115" s="145">
        <v>799</v>
      </c>
      <c r="E115" s="128" t="s">
        <v>5</v>
      </c>
      <c r="F115" s="127">
        <v>1208</v>
      </c>
      <c r="G115" s="128" t="s">
        <v>731</v>
      </c>
      <c r="H115" s="127">
        <v>1727</v>
      </c>
      <c r="I115" s="128" t="s">
        <v>733</v>
      </c>
      <c r="J115" s="127">
        <v>1488</v>
      </c>
      <c r="K115" s="124" t="s">
        <v>2200</v>
      </c>
      <c r="L115" s="127">
        <v>1753</v>
      </c>
      <c r="M115" s="124" t="s">
        <v>2210</v>
      </c>
      <c r="N115" s="144">
        <f t="shared" si="2"/>
        <v>799</v>
      </c>
      <c r="O115" s="124"/>
      <c r="P115" s="130"/>
    </row>
    <row r="116" spans="1:16" ht="30" customHeight="1" x14ac:dyDescent="0.3">
      <c r="A116" s="131" t="s">
        <v>225</v>
      </c>
      <c r="B116" s="131" t="s">
        <v>230</v>
      </c>
      <c r="C116" s="132" t="s">
        <v>14</v>
      </c>
      <c r="D116" s="145">
        <v>1351</v>
      </c>
      <c r="E116" s="128" t="s">
        <v>5</v>
      </c>
      <c r="F116" s="127">
        <v>2051</v>
      </c>
      <c r="G116" s="128" t="s">
        <v>731</v>
      </c>
      <c r="H116" s="127">
        <v>2932</v>
      </c>
      <c r="I116" s="128" t="s">
        <v>733</v>
      </c>
      <c r="J116" s="127">
        <v>2614</v>
      </c>
      <c r="K116" s="124" t="s">
        <v>2200</v>
      </c>
      <c r="L116" s="127">
        <v>2964</v>
      </c>
      <c r="M116" s="124" t="s">
        <v>2210</v>
      </c>
      <c r="N116" s="144">
        <f t="shared" si="2"/>
        <v>1351</v>
      </c>
      <c r="O116" s="124"/>
      <c r="P116" s="130"/>
    </row>
    <row r="117" spans="1:16" ht="30" customHeight="1" x14ac:dyDescent="0.3">
      <c r="A117" s="131" t="s">
        <v>225</v>
      </c>
      <c r="B117" s="131" t="s">
        <v>231</v>
      </c>
      <c r="C117" s="132" t="s">
        <v>14</v>
      </c>
      <c r="D117" s="145">
        <v>2121</v>
      </c>
      <c r="E117" s="128" t="s">
        <v>5</v>
      </c>
      <c r="F117" s="127">
        <v>3206</v>
      </c>
      <c r="G117" s="128" t="s">
        <v>731</v>
      </c>
      <c r="H117" s="127">
        <v>4586</v>
      </c>
      <c r="I117" s="128" t="s">
        <v>733</v>
      </c>
      <c r="J117" s="127">
        <v>4128</v>
      </c>
      <c r="K117" s="124" t="s">
        <v>2200</v>
      </c>
      <c r="L117" s="127">
        <v>4611</v>
      </c>
      <c r="M117" s="124" t="s">
        <v>2210</v>
      </c>
      <c r="N117" s="144">
        <f t="shared" si="2"/>
        <v>2121</v>
      </c>
      <c r="O117" s="124"/>
      <c r="P117" s="130"/>
    </row>
    <row r="118" spans="1:16" ht="30" customHeight="1" x14ac:dyDescent="0.3">
      <c r="A118" s="131" t="s">
        <v>225</v>
      </c>
      <c r="B118" s="131" t="s">
        <v>232</v>
      </c>
      <c r="C118" s="132" t="s">
        <v>14</v>
      </c>
      <c r="D118" s="145">
        <v>3232</v>
      </c>
      <c r="E118" s="128" t="s">
        <v>5</v>
      </c>
      <c r="F118" s="127">
        <v>5528</v>
      </c>
      <c r="G118" s="128" t="s">
        <v>731</v>
      </c>
      <c r="H118" s="127">
        <v>7129</v>
      </c>
      <c r="I118" s="128" t="s">
        <v>733</v>
      </c>
      <c r="J118" s="127">
        <v>6374</v>
      </c>
      <c r="K118" s="124" t="s">
        <v>2200</v>
      </c>
      <c r="L118" s="127">
        <v>7170</v>
      </c>
      <c r="M118" s="124" t="s">
        <v>2210</v>
      </c>
      <c r="N118" s="144">
        <f t="shared" si="2"/>
        <v>3232</v>
      </c>
      <c r="O118" s="124"/>
      <c r="P118" s="130"/>
    </row>
    <row r="119" spans="1:16" ht="30" customHeight="1" x14ac:dyDescent="0.3">
      <c r="A119" s="131" t="s">
        <v>225</v>
      </c>
      <c r="B119" s="131" t="s">
        <v>233</v>
      </c>
      <c r="C119" s="132" t="s">
        <v>14</v>
      </c>
      <c r="D119" s="145">
        <v>4631</v>
      </c>
      <c r="E119" s="128" t="s">
        <v>5</v>
      </c>
      <c r="F119" s="127">
        <v>6983</v>
      </c>
      <c r="G119" s="128" t="s">
        <v>731</v>
      </c>
      <c r="H119" s="127">
        <v>10008</v>
      </c>
      <c r="I119" s="128" t="s">
        <v>733</v>
      </c>
      <c r="J119" s="127">
        <v>8948</v>
      </c>
      <c r="K119" s="124" t="s">
        <v>2200</v>
      </c>
      <c r="L119" s="127">
        <v>10043</v>
      </c>
      <c r="M119" s="124" t="s">
        <v>2210</v>
      </c>
      <c r="N119" s="144">
        <f t="shared" si="2"/>
        <v>4631</v>
      </c>
      <c r="O119" s="124"/>
      <c r="P119" s="130"/>
    </row>
    <row r="120" spans="1:16" ht="30" customHeight="1" x14ac:dyDescent="0.3">
      <c r="A120" s="131" t="s">
        <v>225</v>
      </c>
      <c r="B120" s="131" t="s">
        <v>234</v>
      </c>
      <c r="C120" s="132" t="s">
        <v>14</v>
      </c>
      <c r="D120" s="145">
        <v>6558</v>
      </c>
      <c r="E120" s="128" t="s">
        <v>5</v>
      </c>
      <c r="F120" s="127">
        <v>9936</v>
      </c>
      <c r="G120" s="128" t="s">
        <v>731</v>
      </c>
      <c r="H120" s="127">
        <v>14989</v>
      </c>
      <c r="I120" s="128" t="s">
        <v>733</v>
      </c>
      <c r="J120" s="127">
        <v>13205</v>
      </c>
      <c r="K120" s="124" t="s">
        <v>2200</v>
      </c>
      <c r="L120" s="127">
        <v>14267</v>
      </c>
      <c r="M120" s="124" t="s">
        <v>2210</v>
      </c>
      <c r="N120" s="144">
        <f t="shared" si="2"/>
        <v>6558</v>
      </c>
      <c r="O120" s="124"/>
      <c r="P120" s="130"/>
    </row>
    <row r="121" spans="1:16" ht="30" customHeight="1" x14ac:dyDescent="0.3">
      <c r="A121" s="131" t="s">
        <v>225</v>
      </c>
      <c r="B121" s="131" t="s">
        <v>235</v>
      </c>
      <c r="C121" s="132" t="s">
        <v>14</v>
      </c>
      <c r="D121" s="145">
        <v>9009</v>
      </c>
      <c r="E121" s="128" t="s">
        <v>5</v>
      </c>
      <c r="F121" s="127">
        <v>13874</v>
      </c>
      <c r="G121" s="128" t="s">
        <v>731</v>
      </c>
      <c r="H121" s="127">
        <v>20924</v>
      </c>
      <c r="I121" s="128" t="s">
        <v>733</v>
      </c>
      <c r="J121" s="127">
        <v>18938</v>
      </c>
      <c r="K121" s="124" t="s">
        <v>2200</v>
      </c>
      <c r="L121" s="127">
        <v>19892</v>
      </c>
      <c r="M121" s="124" t="s">
        <v>2210</v>
      </c>
      <c r="N121" s="144">
        <f t="shared" si="2"/>
        <v>9009</v>
      </c>
      <c r="O121" s="124"/>
      <c r="P121" s="130"/>
    </row>
    <row r="122" spans="1:16" ht="30" customHeight="1" x14ac:dyDescent="0.3">
      <c r="A122" s="131" t="s">
        <v>225</v>
      </c>
      <c r="B122" s="131" t="s">
        <v>236</v>
      </c>
      <c r="C122" s="132" t="s">
        <v>14</v>
      </c>
      <c r="D122" s="145">
        <v>12399</v>
      </c>
      <c r="E122" s="128" t="s">
        <v>5</v>
      </c>
      <c r="F122" s="127">
        <v>19874</v>
      </c>
      <c r="G122" s="128" t="s">
        <v>731</v>
      </c>
      <c r="H122" s="127">
        <v>30014</v>
      </c>
      <c r="I122" s="128" t="s">
        <v>733</v>
      </c>
      <c r="J122" s="127">
        <v>25147</v>
      </c>
      <c r="K122" s="124" t="s">
        <v>2200</v>
      </c>
      <c r="L122" s="127">
        <v>28727</v>
      </c>
      <c r="M122" s="124" t="s">
        <v>2210</v>
      </c>
      <c r="N122" s="144">
        <f t="shared" si="2"/>
        <v>12399</v>
      </c>
      <c r="O122" s="124"/>
      <c r="P122" s="130"/>
    </row>
    <row r="123" spans="1:16" ht="30" customHeight="1" x14ac:dyDescent="0.3">
      <c r="A123" s="131" t="s">
        <v>225</v>
      </c>
      <c r="B123" s="131" t="s">
        <v>237</v>
      </c>
      <c r="C123" s="132" t="s">
        <v>14</v>
      </c>
      <c r="D123" s="145">
        <v>16748</v>
      </c>
      <c r="E123" s="128" t="s">
        <v>5</v>
      </c>
      <c r="F123" s="127">
        <v>26419</v>
      </c>
      <c r="G123" s="128" t="s">
        <v>731</v>
      </c>
      <c r="H123" s="127">
        <v>38111</v>
      </c>
      <c r="I123" s="128" t="s">
        <v>733</v>
      </c>
      <c r="J123" s="127">
        <v>33913</v>
      </c>
      <c r="K123" s="124" t="s">
        <v>2200</v>
      </c>
      <c r="L123" s="127">
        <v>36452</v>
      </c>
      <c r="M123" s="124" t="s">
        <v>2210</v>
      </c>
      <c r="N123" s="144">
        <f t="shared" si="2"/>
        <v>16748</v>
      </c>
      <c r="O123" s="124"/>
      <c r="P123" s="130"/>
    </row>
    <row r="124" spans="1:16" ht="30" customHeight="1" x14ac:dyDescent="0.3">
      <c r="A124" s="131" t="s">
        <v>225</v>
      </c>
      <c r="B124" s="131" t="s">
        <v>238</v>
      </c>
      <c r="C124" s="132" t="s">
        <v>14</v>
      </c>
      <c r="D124" s="145">
        <v>20905</v>
      </c>
      <c r="E124" s="128" t="s">
        <v>5</v>
      </c>
      <c r="F124" s="127">
        <v>31373</v>
      </c>
      <c r="G124" s="128" t="s">
        <v>731</v>
      </c>
      <c r="H124" s="127">
        <v>47917</v>
      </c>
      <c r="I124" s="128" t="s">
        <v>733</v>
      </c>
      <c r="J124" s="127">
        <v>41062</v>
      </c>
      <c r="K124" s="124" t="s">
        <v>2200</v>
      </c>
      <c r="L124" s="127">
        <v>45626</v>
      </c>
      <c r="M124" s="124" t="s">
        <v>2210</v>
      </c>
      <c r="N124" s="144">
        <f t="shared" si="2"/>
        <v>20905</v>
      </c>
      <c r="O124" s="124"/>
      <c r="P124" s="130"/>
    </row>
    <row r="125" spans="1:16" ht="30" customHeight="1" x14ac:dyDescent="0.3">
      <c r="A125" s="131" t="s">
        <v>225</v>
      </c>
      <c r="B125" s="131" t="s">
        <v>239</v>
      </c>
      <c r="C125" s="132" t="s">
        <v>14</v>
      </c>
      <c r="D125" s="145">
        <v>26022</v>
      </c>
      <c r="E125" s="128" t="s">
        <v>5</v>
      </c>
      <c r="F125" s="127">
        <v>40412</v>
      </c>
      <c r="G125" s="128" t="s">
        <v>731</v>
      </c>
      <c r="H125" s="127">
        <v>63894</v>
      </c>
      <c r="I125" s="128" t="s">
        <v>733</v>
      </c>
      <c r="J125" s="127">
        <v>51298</v>
      </c>
      <c r="K125" s="124" t="s">
        <v>2200</v>
      </c>
      <c r="L125" s="127">
        <v>60835</v>
      </c>
      <c r="M125" s="124" t="s">
        <v>2210</v>
      </c>
      <c r="N125" s="144">
        <f t="shared" si="2"/>
        <v>26022</v>
      </c>
      <c r="O125" s="124"/>
      <c r="P125" s="130"/>
    </row>
    <row r="126" spans="1:16" ht="30" customHeight="1" x14ac:dyDescent="0.3">
      <c r="A126" s="131" t="s">
        <v>225</v>
      </c>
      <c r="B126" s="131" t="s">
        <v>240</v>
      </c>
      <c r="C126" s="132" t="s">
        <v>14</v>
      </c>
      <c r="D126" s="145">
        <v>34531</v>
      </c>
      <c r="E126" s="128" t="s">
        <v>5</v>
      </c>
      <c r="F126" s="127">
        <v>52224</v>
      </c>
      <c r="G126" s="128" t="s">
        <v>731</v>
      </c>
      <c r="H126" s="127">
        <v>77829</v>
      </c>
      <c r="I126" s="128" t="s">
        <v>733</v>
      </c>
      <c r="J126" s="127">
        <v>67823</v>
      </c>
      <c r="K126" s="124" t="s">
        <v>2200</v>
      </c>
      <c r="L126" s="127">
        <v>74112</v>
      </c>
      <c r="M126" s="124" t="s">
        <v>2210</v>
      </c>
      <c r="N126" s="144">
        <f t="shared" si="2"/>
        <v>34531</v>
      </c>
      <c r="O126" s="124"/>
      <c r="P126" s="130"/>
    </row>
    <row r="127" spans="1:16" ht="30" customHeight="1" x14ac:dyDescent="0.3">
      <c r="A127" s="131" t="s">
        <v>241</v>
      </c>
      <c r="B127" s="131" t="s">
        <v>1974</v>
      </c>
      <c r="C127" s="122" t="s">
        <v>14</v>
      </c>
      <c r="D127" s="123">
        <v>0</v>
      </c>
      <c r="E127" s="124" t="s">
        <v>5</v>
      </c>
      <c r="F127" s="126">
        <v>983</v>
      </c>
      <c r="G127" s="124" t="s">
        <v>731</v>
      </c>
      <c r="H127" s="126">
        <v>1161</v>
      </c>
      <c r="I127" s="124" t="s">
        <v>733</v>
      </c>
      <c r="J127" s="127">
        <v>0</v>
      </c>
      <c r="K127" s="124" t="s">
        <v>5</v>
      </c>
      <c r="L127" s="126">
        <v>994</v>
      </c>
      <c r="M127" s="124" t="s">
        <v>2215</v>
      </c>
      <c r="N127" s="144">
        <f t="shared" si="2"/>
        <v>983</v>
      </c>
      <c r="O127" s="124"/>
      <c r="P127" s="131" t="s">
        <v>5</v>
      </c>
    </row>
    <row r="128" spans="1:16" ht="30" customHeight="1" x14ac:dyDescent="0.3">
      <c r="A128" s="131" t="s">
        <v>241</v>
      </c>
      <c r="B128" s="131" t="s">
        <v>1975</v>
      </c>
      <c r="C128" s="122" t="s">
        <v>14</v>
      </c>
      <c r="D128" s="123">
        <v>0</v>
      </c>
      <c r="E128" s="124" t="s">
        <v>5</v>
      </c>
      <c r="F128" s="126">
        <v>1246</v>
      </c>
      <c r="G128" s="124" t="s">
        <v>731</v>
      </c>
      <c r="H128" s="126">
        <v>1470</v>
      </c>
      <c r="I128" s="124" t="s">
        <v>733</v>
      </c>
      <c r="J128" s="127">
        <v>0</v>
      </c>
      <c r="K128" s="124" t="s">
        <v>5</v>
      </c>
      <c r="L128" s="126">
        <v>1332</v>
      </c>
      <c r="M128" s="124" t="s">
        <v>2215</v>
      </c>
      <c r="N128" s="144">
        <f t="shared" si="2"/>
        <v>1246</v>
      </c>
      <c r="O128" s="124"/>
      <c r="P128" s="131" t="s">
        <v>5</v>
      </c>
    </row>
    <row r="129" spans="1:16" ht="30" customHeight="1" x14ac:dyDescent="0.3">
      <c r="A129" s="131" t="s">
        <v>241</v>
      </c>
      <c r="B129" s="131" t="s">
        <v>1976</v>
      </c>
      <c r="C129" s="122" t="s">
        <v>14</v>
      </c>
      <c r="D129" s="123">
        <v>0</v>
      </c>
      <c r="E129" s="124" t="s">
        <v>5</v>
      </c>
      <c r="F129" s="126">
        <v>1825</v>
      </c>
      <c r="G129" s="124" t="s">
        <v>731</v>
      </c>
      <c r="H129" s="126">
        <v>2154</v>
      </c>
      <c r="I129" s="124" t="s">
        <v>733</v>
      </c>
      <c r="J129" s="127">
        <v>0</v>
      </c>
      <c r="K129" s="124" t="s">
        <v>5</v>
      </c>
      <c r="L129" s="126">
        <v>1928</v>
      </c>
      <c r="M129" s="124" t="s">
        <v>2215</v>
      </c>
      <c r="N129" s="144">
        <f t="shared" si="2"/>
        <v>1825</v>
      </c>
      <c r="O129" s="124"/>
      <c r="P129" s="131" t="s">
        <v>5</v>
      </c>
    </row>
    <row r="130" spans="1:16" ht="30" customHeight="1" x14ac:dyDescent="0.3">
      <c r="A130" s="131" t="s">
        <v>241</v>
      </c>
      <c r="B130" s="131" t="s">
        <v>1977</v>
      </c>
      <c r="C130" s="122" t="s">
        <v>14</v>
      </c>
      <c r="D130" s="123">
        <v>0</v>
      </c>
      <c r="E130" s="124" t="s">
        <v>5</v>
      </c>
      <c r="F130" s="126">
        <v>2665</v>
      </c>
      <c r="G130" s="124" t="s">
        <v>731</v>
      </c>
      <c r="H130" s="126">
        <v>3147</v>
      </c>
      <c r="I130" s="124" t="s">
        <v>733</v>
      </c>
      <c r="J130" s="127">
        <v>0</v>
      </c>
      <c r="K130" s="124" t="s">
        <v>5</v>
      </c>
      <c r="L130" s="126">
        <v>3206</v>
      </c>
      <c r="M130" s="124" t="s">
        <v>2215</v>
      </c>
      <c r="N130" s="144">
        <f t="shared" si="2"/>
        <v>2665</v>
      </c>
      <c r="O130" s="124"/>
      <c r="P130" s="131" t="s">
        <v>5</v>
      </c>
    </row>
    <row r="131" spans="1:16" ht="30" customHeight="1" x14ac:dyDescent="0.3">
      <c r="A131" s="131" t="s">
        <v>241</v>
      </c>
      <c r="B131" s="131" t="s">
        <v>1978</v>
      </c>
      <c r="C131" s="122" t="s">
        <v>14</v>
      </c>
      <c r="D131" s="123">
        <v>0</v>
      </c>
      <c r="E131" s="124" t="s">
        <v>5</v>
      </c>
      <c r="F131" s="126">
        <v>1262</v>
      </c>
      <c r="G131" s="124" t="s">
        <v>731</v>
      </c>
      <c r="H131" s="126">
        <v>1492</v>
      </c>
      <c r="I131" s="124" t="s">
        <v>733</v>
      </c>
      <c r="J131" s="127">
        <v>0</v>
      </c>
      <c r="K131" s="124" t="s">
        <v>5</v>
      </c>
      <c r="L131" s="126">
        <v>1304</v>
      </c>
      <c r="M131" s="124" t="s">
        <v>2215</v>
      </c>
      <c r="N131" s="144">
        <f t="shared" si="2"/>
        <v>1262</v>
      </c>
      <c r="O131" s="124"/>
      <c r="P131" s="131" t="s">
        <v>5</v>
      </c>
    </row>
    <row r="132" spans="1:16" ht="30" customHeight="1" x14ac:dyDescent="0.3">
      <c r="A132" s="131" t="s">
        <v>241</v>
      </c>
      <c r="B132" s="131" t="s">
        <v>1979</v>
      </c>
      <c r="C132" s="122" t="s">
        <v>14</v>
      </c>
      <c r="D132" s="123">
        <v>0</v>
      </c>
      <c r="E132" s="124" t="s">
        <v>5</v>
      </c>
      <c r="F132" s="126">
        <v>1613</v>
      </c>
      <c r="G132" s="124" t="s">
        <v>731</v>
      </c>
      <c r="H132" s="126">
        <v>1906</v>
      </c>
      <c r="I132" s="124" t="s">
        <v>733</v>
      </c>
      <c r="J132" s="127">
        <v>0</v>
      </c>
      <c r="K132" s="124" t="s">
        <v>5</v>
      </c>
      <c r="L132" s="126">
        <v>1779</v>
      </c>
      <c r="M132" s="124" t="s">
        <v>2215</v>
      </c>
      <c r="N132" s="144">
        <f t="shared" si="2"/>
        <v>1613</v>
      </c>
      <c r="O132" s="124"/>
      <c r="P132" s="131" t="s">
        <v>5</v>
      </c>
    </row>
    <row r="133" spans="1:16" ht="30" customHeight="1" x14ac:dyDescent="0.3">
      <c r="A133" s="131" t="s">
        <v>241</v>
      </c>
      <c r="B133" s="131" t="s">
        <v>1980</v>
      </c>
      <c r="C133" s="122" t="s">
        <v>14</v>
      </c>
      <c r="D133" s="123">
        <v>0</v>
      </c>
      <c r="E133" s="124" t="s">
        <v>5</v>
      </c>
      <c r="F133" s="126">
        <v>2474</v>
      </c>
      <c r="G133" s="124" t="s">
        <v>731</v>
      </c>
      <c r="H133" s="126">
        <v>2922</v>
      </c>
      <c r="I133" s="124" t="s">
        <v>733</v>
      </c>
      <c r="J133" s="127">
        <v>0</v>
      </c>
      <c r="K133" s="124" t="s">
        <v>5</v>
      </c>
      <c r="L133" s="126">
        <v>2671</v>
      </c>
      <c r="M133" s="124" t="s">
        <v>2215</v>
      </c>
      <c r="N133" s="144">
        <f t="shared" si="2"/>
        <v>2474</v>
      </c>
      <c r="O133" s="124"/>
      <c r="P133" s="131" t="s">
        <v>5</v>
      </c>
    </row>
    <row r="134" spans="1:16" ht="30" customHeight="1" x14ac:dyDescent="0.3">
      <c r="A134" s="131" t="s">
        <v>241</v>
      </c>
      <c r="B134" s="131" t="s">
        <v>1981</v>
      </c>
      <c r="C134" s="122" t="s">
        <v>14</v>
      </c>
      <c r="D134" s="123">
        <v>0</v>
      </c>
      <c r="E134" s="124" t="s">
        <v>5</v>
      </c>
      <c r="F134" s="126">
        <v>3665</v>
      </c>
      <c r="G134" s="124" t="s">
        <v>731</v>
      </c>
      <c r="H134" s="126">
        <v>4328</v>
      </c>
      <c r="I134" s="124" t="s">
        <v>733</v>
      </c>
      <c r="J134" s="127">
        <v>0</v>
      </c>
      <c r="K134" s="124" t="s">
        <v>5</v>
      </c>
      <c r="L134" s="126">
        <v>4180</v>
      </c>
      <c r="M134" s="124" t="s">
        <v>2215</v>
      </c>
      <c r="N134" s="144">
        <f t="shared" ref="N134:N198" si="3">SMALL(D134:L134,COUNTIF(D134:L134,0)+1)</f>
        <v>3665</v>
      </c>
      <c r="O134" s="124"/>
      <c r="P134" s="131" t="s">
        <v>5</v>
      </c>
    </row>
    <row r="135" spans="1:16" ht="30" customHeight="1" x14ac:dyDescent="0.3">
      <c r="A135" s="131" t="s">
        <v>241</v>
      </c>
      <c r="B135" s="131" t="s">
        <v>1982</v>
      </c>
      <c r="C135" s="122" t="s">
        <v>14</v>
      </c>
      <c r="D135" s="123">
        <v>0</v>
      </c>
      <c r="E135" s="124" t="s">
        <v>5</v>
      </c>
      <c r="F135" s="126">
        <v>1595</v>
      </c>
      <c r="G135" s="124" t="s">
        <v>731</v>
      </c>
      <c r="H135" s="126">
        <v>1885</v>
      </c>
      <c r="I135" s="124" t="s">
        <v>733</v>
      </c>
      <c r="J135" s="127">
        <v>0</v>
      </c>
      <c r="K135" s="124" t="s">
        <v>5</v>
      </c>
      <c r="L135" s="126">
        <v>1646</v>
      </c>
      <c r="M135" s="124" t="s">
        <v>2215</v>
      </c>
      <c r="N135" s="144">
        <f t="shared" si="3"/>
        <v>1595</v>
      </c>
      <c r="O135" s="124"/>
      <c r="P135" s="131" t="s">
        <v>5</v>
      </c>
    </row>
    <row r="136" spans="1:16" ht="30" customHeight="1" x14ac:dyDescent="0.3">
      <c r="A136" s="131" t="s">
        <v>241</v>
      </c>
      <c r="B136" s="131" t="s">
        <v>1983</v>
      </c>
      <c r="C136" s="122" t="s">
        <v>14</v>
      </c>
      <c r="D136" s="123">
        <v>0</v>
      </c>
      <c r="E136" s="124" t="s">
        <v>5</v>
      </c>
      <c r="F136" s="126">
        <v>2052</v>
      </c>
      <c r="G136" s="124" t="s">
        <v>731</v>
      </c>
      <c r="H136" s="126">
        <v>2423</v>
      </c>
      <c r="I136" s="124" t="s">
        <v>733</v>
      </c>
      <c r="J136" s="127">
        <v>0</v>
      </c>
      <c r="K136" s="124" t="s">
        <v>5</v>
      </c>
      <c r="L136" s="126">
        <v>2273</v>
      </c>
      <c r="M136" s="124" t="s">
        <v>2215</v>
      </c>
      <c r="N136" s="144">
        <f t="shared" si="3"/>
        <v>2052</v>
      </c>
      <c r="O136" s="124"/>
      <c r="P136" s="131" t="s">
        <v>5</v>
      </c>
    </row>
    <row r="137" spans="1:16" ht="30" customHeight="1" x14ac:dyDescent="0.3">
      <c r="A137" s="131" t="s">
        <v>241</v>
      </c>
      <c r="B137" s="131" t="s">
        <v>1984</v>
      </c>
      <c r="C137" s="122" t="s">
        <v>14</v>
      </c>
      <c r="D137" s="123">
        <v>0</v>
      </c>
      <c r="E137" s="124" t="s">
        <v>5</v>
      </c>
      <c r="F137" s="126">
        <v>3158</v>
      </c>
      <c r="G137" s="124" t="s">
        <v>731</v>
      </c>
      <c r="H137" s="126">
        <v>3728</v>
      </c>
      <c r="I137" s="124" t="s">
        <v>733</v>
      </c>
      <c r="J137" s="127">
        <v>0</v>
      </c>
      <c r="K137" s="124" t="s">
        <v>5</v>
      </c>
      <c r="L137" s="126">
        <v>3466</v>
      </c>
      <c r="M137" s="124" t="s">
        <v>2215</v>
      </c>
      <c r="N137" s="144">
        <f t="shared" si="3"/>
        <v>3158</v>
      </c>
      <c r="O137" s="124"/>
      <c r="P137" s="131" t="s">
        <v>5</v>
      </c>
    </row>
    <row r="138" spans="1:16" ht="30" customHeight="1" x14ac:dyDescent="0.3">
      <c r="A138" s="131" t="s">
        <v>241</v>
      </c>
      <c r="B138" s="131" t="s">
        <v>1985</v>
      </c>
      <c r="C138" s="122" t="s">
        <v>14</v>
      </c>
      <c r="D138" s="123">
        <v>0</v>
      </c>
      <c r="E138" s="124" t="s">
        <v>5</v>
      </c>
      <c r="F138" s="126">
        <v>4770</v>
      </c>
      <c r="G138" s="124" t="s">
        <v>731</v>
      </c>
      <c r="H138" s="126">
        <v>5634</v>
      </c>
      <c r="I138" s="124" t="s">
        <v>733</v>
      </c>
      <c r="J138" s="127">
        <v>0</v>
      </c>
      <c r="K138" s="124" t="s">
        <v>5</v>
      </c>
      <c r="L138" s="126">
        <v>5418</v>
      </c>
      <c r="M138" s="124" t="s">
        <v>2215</v>
      </c>
      <c r="N138" s="144">
        <f t="shared" si="3"/>
        <v>4770</v>
      </c>
      <c r="O138" s="124"/>
      <c r="P138" s="131" t="s">
        <v>5</v>
      </c>
    </row>
    <row r="139" spans="1:16" ht="30" customHeight="1" x14ac:dyDescent="0.3">
      <c r="A139" s="131" t="s">
        <v>241</v>
      </c>
      <c r="B139" s="131" t="s">
        <v>1986</v>
      </c>
      <c r="C139" s="122" t="s">
        <v>14</v>
      </c>
      <c r="D139" s="123">
        <v>0</v>
      </c>
      <c r="E139" s="124" t="s">
        <v>5</v>
      </c>
      <c r="F139" s="126">
        <v>1858</v>
      </c>
      <c r="G139" s="124" t="s">
        <v>731</v>
      </c>
      <c r="H139" s="126">
        <v>2160</v>
      </c>
      <c r="I139" s="124" t="s">
        <v>733</v>
      </c>
      <c r="J139" s="126">
        <v>1727</v>
      </c>
      <c r="K139" s="124" t="s">
        <v>2207</v>
      </c>
      <c r="L139" s="127">
        <v>0</v>
      </c>
      <c r="M139" s="124" t="s">
        <v>5</v>
      </c>
      <c r="N139" s="144">
        <f t="shared" si="3"/>
        <v>1727</v>
      </c>
      <c r="O139" s="124"/>
      <c r="P139" s="131" t="s">
        <v>5</v>
      </c>
    </row>
    <row r="140" spans="1:16" ht="30" customHeight="1" x14ac:dyDescent="0.3">
      <c r="A140" s="131" t="s">
        <v>241</v>
      </c>
      <c r="B140" s="131" t="s">
        <v>1987</v>
      </c>
      <c r="C140" s="122" t="s">
        <v>14</v>
      </c>
      <c r="D140" s="123">
        <v>0</v>
      </c>
      <c r="E140" s="124" t="s">
        <v>5</v>
      </c>
      <c r="F140" s="126">
        <v>2439</v>
      </c>
      <c r="G140" s="124" t="s">
        <v>731</v>
      </c>
      <c r="H140" s="126">
        <v>2831</v>
      </c>
      <c r="I140" s="124" t="s">
        <v>733</v>
      </c>
      <c r="J140" s="126">
        <v>2271</v>
      </c>
      <c r="K140" s="124" t="s">
        <v>2207</v>
      </c>
      <c r="L140" s="127">
        <v>0</v>
      </c>
      <c r="M140" s="124" t="s">
        <v>5</v>
      </c>
      <c r="N140" s="144">
        <f t="shared" si="3"/>
        <v>2271</v>
      </c>
      <c r="O140" s="124"/>
      <c r="P140" s="131" t="s">
        <v>5</v>
      </c>
    </row>
    <row r="141" spans="1:16" ht="30" customHeight="1" x14ac:dyDescent="0.3">
      <c r="A141" s="131" t="s">
        <v>241</v>
      </c>
      <c r="B141" s="131" t="s">
        <v>2206</v>
      </c>
      <c r="C141" s="122" t="s">
        <v>14</v>
      </c>
      <c r="D141" s="123">
        <v>0</v>
      </c>
      <c r="E141" s="124" t="s">
        <v>5</v>
      </c>
      <c r="F141" s="133">
        <v>3754</v>
      </c>
      <c r="G141" s="124" t="s">
        <v>731</v>
      </c>
      <c r="H141" s="133">
        <v>4299</v>
      </c>
      <c r="I141" s="124" t="s">
        <v>733</v>
      </c>
      <c r="J141" s="126">
        <v>3466</v>
      </c>
      <c r="K141" s="124" t="s">
        <v>2207</v>
      </c>
      <c r="L141" s="127">
        <v>0</v>
      </c>
      <c r="M141" s="124" t="s">
        <v>5</v>
      </c>
      <c r="N141" s="144">
        <f t="shared" ref="N141" si="4">SMALL(D141:L141,COUNTIF(D141:L141,0)+1)</f>
        <v>3466</v>
      </c>
      <c r="O141" s="124"/>
      <c r="P141" s="131" t="s">
        <v>5</v>
      </c>
    </row>
    <row r="142" spans="1:16" ht="30" customHeight="1" x14ac:dyDescent="0.3">
      <c r="A142" s="131" t="s">
        <v>241</v>
      </c>
      <c r="B142" s="131" t="s">
        <v>1988</v>
      </c>
      <c r="C142" s="122" t="s">
        <v>14</v>
      </c>
      <c r="D142" s="123">
        <v>0</v>
      </c>
      <c r="E142" s="124" t="s">
        <v>5</v>
      </c>
      <c r="F142" s="126">
        <v>5858</v>
      </c>
      <c r="G142" s="124" t="s">
        <v>731</v>
      </c>
      <c r="H142" s="126">
        <v>6711</v>
      </c>
      <c r="I142" s="124" t="s">
        <v>733</v>
      </c>
      <c r="J142" s="127">
        <v>0</v>
      </c>
      <c r="K142" s="124" t="s">
        <v>5</v>
      </c>
      <c r="L142" s="127">
        <v>0</v>
      </c>
      <c r="M142" s="124" t="s">
        <v>5</v>
      </c>
      <c r="N142" s="144">
        <f t="shared" si="3"/>
        <v>5858</v>
      </c>
      <c r="O142" s="124"/>
      <c r="P142" s="131" t="s">
        <v>5</v>
      </c>
    </row>
    <row r="143" spans="1:16" ht="30" customHeight="1" x14ac:dyDescent="0.3">
      <c r="A143" s="121" t="s">
        <v>1742</v>
      </c>
      <c r="B143" s="121" t="s">
        <v>1743</v>
      </c>
      <c r="C143" s="122" t="s">
        <v>14</v>
      </c>
      <c r="D143" s="134">
        <v>1041</v>
      </c>
      <c r="E143" s="124" t="s">
        <v>5</v>
      </c>
      <c r="F143" s="126">
        <v>1756</v>
      </c>
      <c r="G143" s="124" t="s">
        <v>742</v>
      </c>
      <c r="H143" s="126">
        <v>1488</v>
      </c>
      <c r="I143" s="124" t="s">
        <v>743</v>
      </c>
      <c r="J143" s="126">
        <v>1974</v>
      </c>
      <c r="K143" s="124" t="s">
        <v>2201</v>
      </c>
      <c r="L143" s="126">
        <v>2106</v>
      </c>
      <c r="M143" s="124" t="s">
        <v>2212</v>
      </c>
      <c r="N143" s="144">
        <f t="shared" si="3"/>
        <v>1041</v>
      </c>
      <c r="O143" s="124"/>
      <c r="P143" s="131" t="s">
        <v>5</v>
      </c>
    </row>
    <row r="144" spans="1:16" ht="30" customHeight="1" x14ac:dyDescent="0.3">
      <c r="A144" s="121" t="s">
        <v>1742</v>
      </c>
      <c r="B144" s="121" t="s">
        <v>1744</v>
      </c>
      <c r="C144" s="122" t="s">
        <v>14</v>
      </c>
      <c r="D144" s="134">
        <v>1212</v>
      </c>
      <c r="E144" s="124" t="s">
        <v>5</v>
      </c>
      <c r="F144" s="126">
        <v>2376</v>
      </c>
      <c r="G144" s="124" t="s">
        <v>742</v>
      </c>
      <c r="H144" s="126">
        <v>1750</v>
      </c>
      <c r="I144" s="124" t="s">
        <v>743</v>
      </c>
      <c r="J144" s="126">
        <v>2704</v>
      </c>
      <c r="K144" s="124" t="s">
        <v>2201</v>
      </c>
      <c r="L144" s="126">
        <v>2897</v>
      </c>
      <c r="M144" s="124" t="s">
        <v>2212</v>
      </c>
      <c r="N144" s="144">
        <f t="shared" si="3"/>
        <v>1212</v>
      </c>
      <c r="O144" s="124"/>
      <c r="P144" s="131" t="s">
        <v>5</v>
      </c>
    </row>
    <row r="145" spans="1:16" ht="30" customHeight="1" x14ac:dyDescent="0.3">
      <c r="A145" s="121" t="s">
        <v>1742</v>
      </c>
      <c r="B145" s="121" t="s">
        <v>1745</v>
      </c>
      <c r="C145" s="122" t="s">
        <v>14</v>
      </c>
      <c r="D145" s="134">
        <v>1545</v>
      </c>
      <c r="E145" s="124" t="s">
        <v>5</v>
      </c>
      <c r="F145" s="126">
        <v>2789</v>
      </c>
      <c r="G145" s="124" t="s">
        <v>742</v>
      </c>
      <c r="H145" s="126">
        <v>2245</v>
      </c>
      <c r="I145" s="124" t="s">
        <v>743</v>
      </c>
      <c r="J145" s="126">
        <v>3150</v>
      </c>
      <c r="K145" s="124" t="s">
        <v>2201</v>
      </c>
      <c r="L145" s="126">
        <v>3365</v>
      </c>
      <c r="M145" s="124" t="s">
        <v>2212</v>
      </c>
      <c r="N145" s="144">
        <f t="shared" si="3"/>
        <v>1545</v>
      </c>
      <c r="O145" s="124"/>
      <c r="P145" s="131" t="s">
        <v>5</v>
      </c>
    </row>
    <row r="146" spans="1:16" ht="30" customHeight="1" x14ac:dyDescent="0.3">
      <c r="A146" s="121" t="s">
        <v>1742</v>
      </c>
      <c r="B146" s="121" t="s">
        <v>1746</v>
      </c>
      <c r="C146" s="122" t="s">
        <v>14</v>
      </c>
      <c r="D146" s="134">
        <v>1794</v>
      </c>
      <c r="E146" s="124" t="s">
        <v>5</v>
      </c>
      <c r="F146" s="126">
        <v>3099</v>
      </c>
      <c r="G146" s="124" t="s">
        <v>742</v>
      </c>
      <c r="H146" s="126">
        <v>2609</v>
      </c>
      <c r="I146" s="124" t="s">
        <v>743</v>
      </c>
      <c r="J146" s="126">
        <v>3505</v>
      </c>
      <c r="K146" s="124" t="s">
        <v>2201</v>
      </c>
      <c r="L146" s="126">
        <v>3743</v>
      </c>
      <c r="M146" s="124" t="s">
        <v>2212</v>
      </c>
      <c r="N146" s="144">
        <f t="shared" si="3"/>
        <v>1794</v>
      </c>
      <c r="O146" s="124"/>
      <c r="P146" s="131" t="s">
        <v>5</v>
      </c>
    </row>
    <row r="147" spans="1:16" ht="30" customHeight="1" x14ac:dyDescent="0.3">
      <c r="A147" s="121" t="s">
        <v>1742</v>
      </c>
      <c r="B147" s="121" t="s">
        <v>1747</v>
      </c>
      <c r="C147" s="122" t="s">
        <v>14</v>
      </c>
      <c r="D147" s="134">
        <v>2708</v>
      </c>
      <c r="E147" s="124" t="s">
        <v>5</v>
      </c>
      <c r="F147" s="126">
        <v>4442</v>
      </c>
      <c r="G147" s="124" t="s">
        <v>742</v>
      </c>
      <c r="H147" s="126">
        <v>3767</v>
      </c>
      <c r="I147" s="124" t="s">
        <v>743</v>
      </c>
      <c r="J147" s="126">
        <v>5085</v>
      </c>
      <c r="K147" s="124" t="s">
        <v>2201</v>
      </c>
      <c r="L147" s="126">
        <v>5453</v>
      </c>
      <c r="M147" s="124" t="s">
        <v>2212</v>
      </c>
      <c r="N147" s="144">
        <f t="shared" si="3"/>
        <v>2708</v>
      </c>
      <c r="O147" s="124"/>
      <c r="P147" s="131" t="s">
        <v>5</v>
      </c>
    </row>
    <row r="148" spans="1:16" ht="30" customHeight="1" x14ac:dyDescent="0.3">
      <c r="A148" s="121" t="s">
        <v>1742</v>
      </c>
      <c r="B148" s="121" t="s">
        <v>1748</v>
      </c>
      <c r="C148" s="122" t="s">
        <v>14</v>
      </c>
      <c r="D148" s="134">
        <v>3251</v>
      </c>
      <c r="E148" s="124" t="s">
        <v>5</v>
      </c>
      <c r="F148" s="126">
        <v>6301</v>
      </c>
      <c r="G148" s="124" t="s">
        <v>742</v>
      </c>
      <c r="H148" s="126">
        <v>4532</v>
      </c>
      <c r="I148" s="124" t="s">
        <v>743</v>
      </c>
      <c r="J148" s="126">
        <v>6971</v>
      </c>
      <c r="K148" s="124" t="s">
        <v>2201</v>
      </c>
      <c r="L148" s="126">
        <v>7470</v>
      </c>
      <c r="M148" s="124" t="s">
        <v>2212</v>
      </c>
      <c r="N148" s="144">
        <f t="shared" si="3"/>
        <v>3251</v>
      </c>
      <c r="O148" s="124"/>
      <c r="P148" s="131" t="s">
        <v>5</v>
      </c>
    </row>
    <row r="149" spans="1:16" ht="30" customHeight="1" x14ac:dyDescent="0.3">
      <c r="A149" s="121" t="s">
        <v>1742</v>
      </c>
      <c r="B149" s="121" t="s">
        <v>1749</v>
      </c>
      <c r="C149" s="122" t="s">
        <v>14</v>
      </c>
      <c r="D149" s="134">
        <v>4964</v>
      </c>
      <c r="E149" s="124" t="s">
        <v>5</v>
      </c>
      <c r="F149" s="126">
        <v>8987</v>
      </c>
      <c r="G149" s="124" t="s">
        <v>742</v>
      </c>
      <c r="H149" s="126">
        <v>6905</v>
      </c>
      <c r="I149" s="124" t="s">
        <v>743</v>
      </c>
      <c r="J149" s="126">
        <v>10126</v>
      </c>
      <c r="K149" s="124" t="s">
        <v>2201</v>
      </c>
      <c r="L149" s="126">
        <v>10852</v>
      </c>
      <c r="M149" s="124" t="s">
        <v>2212</v>
      </c>
      <c r="N149" s="144">
        <f t="shared" si="3"/>
        <v>4964</v>
      </c>
      <c r="O149" s="124"/>
      <c r="P149" s="131" t="s">
        <v>5</v>
      </c>
    </row>
    <row r="150" spans="1:16" ht="30" customHeight="1" x14ac:dyDescent="0.3">
      <c r="A150" s="121" t="s">
        <v>1742</v>
      </c>
      <c r="B150" s="121" t="s">
        <v>1750</v>
      </c>
      <c r="C150" s="122" t="s">
        <v>14</v>
      </c>
      <c r="D150" s="134">
        <v>6999</v>
      </c>
      <c r="E150" s="124" t="s">
        <v>5</v>
      </c>
      <c r="F150" s="126">
        <v>11776</v>
      </c>
      <c r="G150" s="124" t="s">
        <v>742</v>
      </c>
      <c r="H150" s="126">
        <v>9743</v>
      </c>
      <c r="I150" s="124" t="s">
        <v>743</v>
      </c>
      <c r="J150" s="126">
        <v>13183</v>
      </c>
      <c r="K150" s="124" t="s">
        <v>2201</v>
      </c>
      <c r="L150" s="126">
        <v>14129</v>
      </c>
      <c r="M150" s="124" t="s">
        <v>2212</v>
      </c>
      <c r="N150" s="144">
        <f t="shared" si="3"/>
        <v>6999</v>
      </c>
      <c r="O150" s="124"/>
      <c r="P150" s="131" t="s">
        <v>5</v>
      </c>
    </row>
    <row r="151" spans="1:16" ht="30" customHeight="1" x14ac:dyDescent="0.3">
      <c r="A151" s="121" t="s">
        <v>1742</v>
      </c>
      <c r="B151" s="121" t="s">
        <v>1751</v>
      </c>
      <c r="C151" s="122" t="s">
        <v>14</v>
      </c>
      <c r="D151" s="134">
        <v>9452</v>
      </c>
      <c r="E151" s="124" t="s">
        <v>5</v>
      </c>
      <c r="F151" s="126">
        <v>14565</v>
      </c>
      <c r="G151" s="124" t="s">
        <v>742</v>
      </c>
      <c r="H151" s="126">
        <v>13149</v>
      </c>
      <c r="I151" s="124" t="s">
        <v>743</v>
      </c>
      <c r="J151" s="126">
        <v>16324</v>
      </c>
      <c r="K151" s="124" t="s">
        <v>2201</v>
      </c>
      <c r="L151" s="126">
        <v>17511</v>
      </c>
      <c r="M151" s="124" t="s">
        <v>2212</v>
      </c>
      <c r="N151" s="144">
        <f t="shared" si="3"/>
        <v>9452</v>
      </c>
      <c r="O151" s="124"/>
      <c r="P151" s="131" t="s">
        <v>5</v>
      </c>
    </row>
    <row r="152" spans="1:16" ht="30" customHeight="1" x14ac:dyDescent="0.3">
      <c r="A152" s="121" t="s">
        <v>1742</v>
      </c>
      <c r="B152" s="121" t="s">
        <v>1752</v>
      </c>
      <c r="C152" s="122" t="s">
        <v>14</v>
      </c>
      <c r="D152" s="134">
        <v>13415</v>
      </c>
      <c r="E152" s="124" t="s">
        <v>5</v>
      </c>
      <c r="F152" s="126">
        <v>28858</v>
      </c>
      <c r="G152" s="124" t="s">
        <v>742</v>
      </c>
      <c r="H152" s="126">
        <v>18632</v>
      </c>
      <c r="I152" s="124" t="s">
        <v>743</v>
      </c>
      <c r="J152" s="126">
        <v>22276</v>
      </c>
      <c r="K152" s="124" t="s">
        <v>2201</v>
      </c>
      <c r="L152" s="126">
        <v>23892</v>
      </c>
      <c r="M152" s="124" t="s">
        <v>2212</v>
      </c>
      <c r="N152" s="144">
        <f t="shared" si="3"/>
        <v>13415</v>
      </c>
      <c r="O152" s="124"/>
      <c r="P152" s="131" t="s">
        <v>5</v>
      </c>
    </row>
    <row r="153" spans="1:16" ht="30" customHeight="1" x14ac:dyDescent="0.3">
      <c r="A153" s="121" t="s">
        <v>1742</v>
      </c>
      <c r="B153" s="121" t="s">
        <v>1753</v>
      </c>
      <c r="C153" s="122" t="s">
        <v>14</v>
      </c>
      <c r="D153" s="134">
        <v>17290</v>
      </c>
      <c r="E153" s="124" t="s">
        <v>5</v>
      </c>
      <c r="F153" s="126">
        <v>39078</v>
      </c>
      <c r="G153" s="124" t="s">
        <v>742</v>
      </c>
      <c r="H153" s="126">
        <v>23115</v>
      </c>
      <c r="I153" s="124" t="s">
        <v>743</v>
      </c>
      <c r="J153" s="126">
        <v>30049</v>
      </c>
      <c r="K153" s="124" t="s">
        <v>2201</v>
      </c>
      <c r="L153" s="126">
        <v>32233</v>
      </c>
      <c r="M153" s="124" t="s">
        <v>2212</v>
      </c>
      <c r="N153" s="144">
        <f t="shared" si="3"/>
        <v>17290</v>
      </c>
      <c r="O153" s="124"/>
      <c r="P153" s="131" t="s">
        <v>5</v>
      </c>
    </row>
    <row r="154" spans="1:16" ht="30" customHeight="1" x14ac:dyDescent="0.3">
      <c r="A154" s="121" t="s">
        <v>1742</v>
      </c>
      <c r="B154" s="121" t="s">
        <v>1754</v>
      </c>
      <c r="C154" s="122" t="s">
        <v>14</v>
      </c>
      <c r="D154" s="134">
        <v>20273</v>
      </c>
      <c r="E154" s="124" t="s">
        <v>5</v>
      </c>
      <c r="F154" s="126">
        <v>46593</v>
      </c>
      <c r="G154" s="124" t="s">
        <v>742</v>
      </c>
      <c r="H154" s="126">
        <v>28346</v>
      </c>
      <c r="I154" s="124" t="s">
        <v>743</v>
      </c>
      <c r="J154" s="126">
        <v>36919</v>
      </c>
      <c r="K154" s="124" t="s">
        <v>2201</v>
      </c>
      <c r="L154" s="126">
        <v>39612</v>
      </c>
      <c r="M154" s="124" t="s">
        <v>2212</v>
      </c>
      <c r="N154" s="144">
        <f t="shared" si="3"/>
        <v>20273</v>
      </c>
      <c r="O154" s="124"/>
      <c r="P154" s="131" t="s">
        <v>5</v>
      </c>
    </row>
    <row r="155" spans="1:16" ht="30" customHeight="1" x14ac:dyDescent="0.3">
      <c r="A155" s="121" t="s">
        <v>1742</v>
      </c>
      <c r="B155" s="121" t="s">
        <v>1755</v>
      </c>
      <c r="C155" s="122" t="s">
        <v>14</v>
      </c>
      <c r="D155" s="134">
        <v>24394</v>
      </c>
      <c r="E155" s="124" t="s">
        <v>5</v>
      </c>
      <c r="F155" s="126">
        <v>58617</v>
      </c>
      <c r="G155" s="124" t="s">
        <v>742</v>
      </c>
      <c r="H155" s="126">
        <v>34460</v>
      </c>
      <c r="I155" s="124" t="s">
        <v>743</v>
      </c>
      <c r="J155" s="126">
        <v>45129</v>
      </c>
      <c r="K155" s="124" t="s">
        <v>2201</v>
      </c>
      <c r="L155" s="126">
        <v>48413</v>
      </c>
      <c r="M155" s="124" t="s">
        <v>2212</v>
      </c>
      <c r="N155" s="144">
        <f t="shared" si="3"/>
        <v>24394</v>
      </c>
      <c r="O155" s="124"/>
      <c r="P155" s="131" t="s">
        <v>5</v>
      </c>
    </row>
    <row r="156" spans="1:16" ht="30" customHeight="1" x14ac:dyDescent="0.3">
      <c r="A156" s="121" t="s">
        <v>1742</v>
      </c>
      <c r="B156" s="121" t="s">
        <v>1756</v>
      </c>
      <c r="C156" s="122" t="s">
        <v>14</v>
      </c>
      <c r="D156" s="134">
        <v>29135</v>
      </c>
      <c r="E156" s="124" t="s">
        <v>5</v>
      </c>
      <c r="F156" s="126">
        <v>72144</v>
      </c>
      <c r="G156" s="124" t="s">
        <v>742</v>
      </c>
      <c r="H156" s="126">
        <v>40767</v>
      </c>
      <c r="I156" s="124" t="s">
        <v>743</v>
      </c>
      <c r="J156" s="126">
        <v>55491</v>
      </c>
      <c r="K156" s="124" t="s">
        <v>2201</v>
      </c>
      <c r="L156" s="126">
        <v>59534</v>
      </c>
      <c r="M156" s="124" t="s">
        <v>2212</v>
      </c>
      <c r="N156" s="144">
        <f t="shared" si="3"/>
        <v>29135</v>
      </c>
      <c r="O156" s="124"/>
      <c r="P156" s="131" t="s">
        <v>5</v>
      </c>
    </row>
    <row r="157" spans="1:16" ht="30" customHeight="1" x14ac:dyDescent="0.3">
      <c r="A157" s="121" t="s">
        <v>1742</v>
      </c>
      <c r="B157" s="121" t="s">
        <v>1757</v>
      </c>
      <c r="C157" s="122" t="s">
        <v>14</v>
      </c>
      <c r="D157" s="134">
        <v>38141</v>
      </c>
      <c r="E157" s="124" t="s">
        <v>5</v>
      </c>
      <c r="F157" s="126">
        <v>91683</v>
      </c>
      <c r="G157" s="124" t="s">
        <v>742</v>
      </c>
      <c r="H157" s="126">
        <v>53370</v>
      </c>
      <c r="I157" s="124" t="s">
        <v>743</v>
      </c>
      <c r="J157" s="126">
        <v>70846</v>
      </c>
      <c r="K157" s="124" t="s">
        <v>2201</v>
      </c>
      <c r="L157" s="126">
        <v>76020</v>
      </c>
      <c r="M157" s="124" t="s">
        <v>2212</v>
      </c>
      <c r="N157" s="144">
        <f t="shared" si="3"/>
        <v>38141</v>
      </c>
      <c r="O157" s="124"/>
      <c r="P157" s="131" t="s">
        <v>5</v>
      </c>
    </row>
    <row r="158" spans="1:16" ht="30" customHeight="1" x14ac:dyDescent="0.3">
      <c r="A158" s="121" t="s">
        <v>1742</v>
      </c>
      <c r="B158" s="121" t="s">
        <v>1758</v>
      </c>
      <c r="C158" s="122" t="s">
        <v>14</v>
      </c>
      <c r="D158" s="134">
        <v>47628</v>
      </c>
      <c r="E158" s="124" t="s">
        <v>5</v>
      </c>
      <c r="F158" s="126">
        <v>116633</v>
      </c>
      <c r="G158" s="124" t="s">
        <v>742</v>
      </c>
      <c r="H158" s="126">
        <v>66656</v>
      </c>
      <c r="I158" s="124" t="s">
        <v>743</v>
      </c>
      <c r="J158" s="126">
        <v>89737</v>
      </c>
      <c r="K158" s="124" t="s">
        <v>2201</v>
      </c>
      <c r="L158" s="126">
        <v>96285</v>
      </c>
      <c r="M158" s="124" t="s">
        <v>2212</v>
      </c>
      <c r="N158" s="144">
        <f t="shared" si="3"/>
        <v>47628</v>
      </c>
      <c r="O158" s="124"/>
      <c r="P158" s="131" t="s">
        <v>5</v>
      </c>
    </row>
    <row r="159" spans="1:16" ht="30" customHeight="1" x14ac:dyDescent="0.3">
      <c r="A159" s="121" t="s">
        <v>1742</v>
      </c>
      <c r="B159" s="121" t="s">
        <v>1759</v>
      </c>
      <c r="C159" s="122" t="s">
        <v>14</v>
      </c>
      <c r="D159" s="134">
        <v>64354</v>
      </c>
      <c r="E159" s="124" t="s">
        <v>5</v>
      </c>
      <c r="F159" s="126">
        <v>155410</v>
      </c>
      <c r="G159" s="124" t="s">
        <v>742</v>
      </c>
      <c r="H159" s="126">
        <v>90079</v>
      </c>
      <c r="I159" s="124" t="s">
        <v>743</v>
      </c>
      <c r="J159" s="126">
        <v>119478</v>
      </c>
      <c r="K159" s="124" t="s">
        <v>2201</v>
      </c>
      <c r="L159" s="126">
        <v>128212</v>
      </c>
      <c r="M159" s="124" t="s">
        <v>2212</v>
      </c>
      <c r="N159" s="144">
        <f t="shared" si="3"/>
        <v>64354</v>
      </c>
      <c r="O159" s="124"/>
      <c r="P159" s="131" t="s">
        <v>5</v>
      </c>
    </row>
    <row r="160" spans="1:16" ht="30" customHeight="1" x14ac:dyDescent="0.3">
      <c r="A160" s="121" t="s">
        <v>1742</v>
      </c>
      <c r="B160" s="121" t="s">
        <v>1760</v>
      </c>
      <c r="C160" s="122" t="s">
        <v>14</v>
      </c>
      <c r="D160" s="134">
        <v>79874</v>
      </c>
      <c r="E160" s="124" t="s">
        <v>5</v>
      </c>
      <c r="F160" s="126">
        <v>189077</v>
      </c>
      <c r="G160" s="124" t="s">
        <v>742</v>
      </c>
      <c r="H160" s="126">
        <v>111799</v>
      </c>
      <c r="I160" s="124" t="s">
        <v>743</v>
      </c>
      <c r="J160" s="126">
        <v>145349</v>
      </c>
      <c r="K160" s="124" t="s">
        <v>2201</v>
      </c>
      <c r="L160" s="126">
        <v>155964</v>
      </c>
      <c r="M160" s="124" t="s">
        <v>2212</v>
      </c>
      <c r="N160" s="144">
        <f t="shared" si="3"/>
        <v>79874</v>
      </c>
      <c r="O160" s="124"/>
      <c r="P160" s="131" t="s">
        <v>5</v>
      </c>
    </row>
    <row r="161" spans="1:16" ht="30" customHeight="1" x14ac:dyDescent="0.3">
      <c r="A161" s="121" t="s">
        <v>1742</v>
      </c>
      <c r="B161" s="121" t="s">
        <v>1761</v>
      </c>
      <c r="C161" s="122" t="s">
        <v>14</v>
      </c>
      <c r="D161" s="134">
        <v>103452</v>
      </c>
      <c r="E161" s="124" t="s">
        <v>5</v>
      </c>
      <c r="F161" s="126">
        <v>242284</v>
      </c>
      <c r="G161" s="124" t="s">
        <v>742</v>
      </c>
      <c r="H161" s="126">
        <v>144814</v>
      </c>
      <c r="I161" s="124" t="s">
        <v>743</v>
      </c>
      <c r="J161" s="126">
        <v>186241</v>
      </c>
      <c r="K161" s="124" t="s">
        <v>2201</v>
      </c>
      <c r="L161" s="126">
        <v>199860</v>
      </c>
      <c r="M161" s="124" t="s">
        <v>2212</v>
      </c>
      <c r="N161" s="144">
        <f t="shared" si="3"/>
        <v>103452</v>
      </c>
      <c r="O161" s="124"/>
      <c r="P161" s="131" t="s">
        <v>5</v>
      </c>
    </row>
    <row r="162" spans="1:16" ht="30" customHeight="1" x14ac:dyDescent="0.3">
      <c r="A162" s="121" t="s">
        <v>1742</v>
      </c>
      <c r="B162" s="121" t="s">
        <v>1762</v>
      </c>
      <c r="C162" s="122" t="s">
        <v>14</v>
      </c>
      <c r="D162" s="134">
        <v>2249</v>
      </c>
      <c r="E162" s="124" t="s">
        <v>5</v>
      </c>
      <c r="F162" s="126">
        <v>3616</v>
      </c>
      <c r="G162" s="124" t="s">
        <v>742</v>
      </c>
      <c r="H162" s="126">
        <v>3218</v>
      </c>
      <c r="I162" s="124" t="s">
        <v>743</v>
      </c>
      <c r="J162" s="126">
        <v>4112</v>
      </c>
      <c r="K162" s="124" t="s">
        <v>2201</v>
      </c>
      <c r="L162" s="126">
        <v>4410</v>
      </c>
      <c r="M162" s="124" t="s">
        <v>2212</v>
      </c>
      <c r="N162" s="144">
        <f t="shared" si="3"/>
        <v>2249</v>
      </c>
      <c r="O162" s="124"/>
      <c r="P162" s="131" t="s">
        <v>5</v>
      </c>
    </row>
    <row r="163" spans="1:16" ht="30" customHeight="1" x14ac:dyDescent="0.3">
      <c r="A163" s="121" t="s">
        <v>1742</v>
      </c>
      <c r="B163" s="121" t="s">
        <v>1763</v>
      </c>
      <c r="C163" s="122" t="s">
        <v>14</v>
      </c>
      <c r="D163" s="134">
        <v>2635</v>
      </c>
      <c r="E163" s="124" t="s">
        <v>5</v>
      </c>
      <c r="F163" s="126">
        <v>4029</v>
      </c>
      <c r="G163" s="124" t="s">
        <v>742</v>
      </c>
      <c r="H163" s="126">
        <v>3792</v>
      </c>
      <c r="I163" s="124" t="s">
        <v>743</v>
      </c>
      <c r="J163" s="126">
        <v>4526</v>
      </c>
      <c r="K163" s="124" t="s">
        <v>2201</v>
      </c>
      <c r="L163" s="126">
        <v>4838</v>
      </c>
      <c r="M163" s="124" t="s">
        <v>2212</v>
      </c>
      <c r="N163" s="144">
        <f t="shared" si="3"/>
        <v>2635</v>
      </c>
      <c r="O163" s="124"/>
      <c r="P163" s="131" t="s">
        <v>5</v>
      </c>
    </row>
    <row r="164" spans="1:16" ht="30" customHeight="1" x14ac:dyDescent="0.3">
      <c r="A164" s="121" t="s">
        <v>1742</v>
      </c>
      <c r="B164" s="121" t="s">
        <v>1764</v>
      </c>
      <c r="C164" s="122" t="s">
        <v>14</v>
      </c>
      <c r="D164" s="134">
        <v>3369</v>
      </c>
      <c r="E164" s="124" t="s">
        <v>5</v>
      </c>
      <c r="F164" s="126">
        <v>5062</v>
      </c>
      <c r="G164" s="124" t="s">
        <v>742</v>
      </c>
      <c r="H164" s="126">
        <v>4829</v>
      </c>
      <c r="I164" s="124" t="s">
        <v>743</v>
      </c>
      <c r="J164" s="126">
        <v>5713</v>
      </c>
      <c r="K164" s="124" t="s">
        <v>2201</v>
      </c>
      <c r="L164" s="126">
        <v>6119</v>
      </c>
      <c r="M164" s="124" t="s">
        <v>2212</v>
      </c>
      <c r="N164" s="144">
        <f t="shared" si="3"/>
        <v>3369</v>
      </c>
      <c r="O164" s="124"/>
      <c r="P164" s="131" t="s">
        <v>5</v>
      </c>
    </row>
    <row r="165" spans="1:16" ht="30" customHeight="1" x14ac:dyDescent="0.3">
      <c r="A165" s="121" t="s">
        <v>1742</v>
      </c>
      <c r="B165" s="121" t="s">
        <v>1765</v>
      </c>
      <c r="C165" s="122" t="s">
        <v>14</v>
      </c>
      <c r="D165" s="134">
        <v>3888</v>
      </c>
      <c r="E165" s="124" t="s">
        <v>5</v>
      </c>
      <c r="F165" s="126">
        <v>6198</v>
      </c>
      <c r="G165" s="124" t="s">
        <v>742</v>
      </c>
      <c r="H165" s="126">
        <v>5630</v>
      </c>
      <c r="I165" s="124" t="s">
        <v>743</v>
      </c>
      <c r="J165" s="126">
        <v>6959</v>
      </c>
      <c r="K165" s="124" t="s">
        <v>2201</v>
      </c>
      <c r="L165" s="126">
        <v>7433</v>
      </c>
      <c r="M165" s="124" t="s">
        <v>2212</v>
      </c>
      <c r="N165" s="144">
        <f t="shared" si="3"/>
        <v>3888</v>
      </c>
      <c r="O165" s="124"/>
      <c r="P165" s="131" t="s">
        <v>5</v>
      </c>
    </row>
    <row r="166" spans="1:16" ht="30" customHeight="1" x14ac:dyDescent="0.3">
      <c r="A166" s="121" t="s">
        <v>1742</v>
      </c>
      <c r="B166" s="121" t="s">
        <v>1766</v>
      </c>
      <c r="C166" s="122" t="s">
        <v>14</v>
      </c>
      <c r="D166" s="134">
        <v>5786</v>
      </c>
      <c r="E166" s="124" t="s">
        <v>5</v>
      </c>
      <c r="F166" s="126">
        <v>8987</v>
      </c>
      <c r="G166" s="124" t="s">
        <v>742</v>
      </c>
      <c r="H166" s="126">
        <v>8122</v>
      </c>
      <c r="I166" s="124" t="s">
        <v>743</v>
      </c>
      <c r="J166" s="126">
        <v>10065</v>
      </c>
      <c r="K166" s="124" t="s">
        <v>2201</v>
      </c>
      <c r="L166" s="126">
        <v>10762</v>
      </c>
      <c r="M166" s="124" t="s">
        <v>2212</v>
      </c>
      <c r="N166" s="144">
        <f t="shared" si="3"/>
        <v>5786</v>
      </c>
      <c r="O166" s="124"/>
      <c r="P166" s="131" t="s">
        <v>5</v>
      </c>
    </row>
    <row r="167" spans="1:16" ht="30" customHeight="1" x14ac:dyDescent="0.3">
      <c r="A167" s="121" t="s">
        <v>1742</v>
      </c>
      <c r="B167" s="121" t="s">
        <v>1767</v>
      </c>
      <c r="C167" s="122" t="s">
        <v>14</v>
      </c>
      <c r="D167" s="134">
        <v>7000</v>
      </c>
      <c r="E167" s="124" t="s">
        <v>5</v>
      </c>
      <c r="F167" s="126">
        <v>14565</v>
      </c>
      <c r="G167" s="124" t="s">
        <v>742</v>
      </c>
      <c r="H167" s="126">
        <v>9762</v>
      </c>
      <c r="I167" s="124" t="s">
        <v>743</v>
      </c>
      <c r="J167" s="126">
        <v>16300</v>
      </c>
      <c r="K167" s="124" t="s">
        <v>2201</v>
      </c>
      <c r="L167" s="126">
        <v>17457</v>
      </c>
      <c r="M167" s="124" t="s">
        <v>2212</v>
      </c>
      <c r="N167" s="144">
        <f t="shared" si="3"/>
        <v>7000</v>
      </c>
      <c r="O167" s="124"/>
      <c r="P167" s="131" t="s">
        <v>5</v>
      </c>
    </row>
    <row r="168" spans="1:16" ht="30" customHeight="1" x14ac:dyDescent="0.3">
      <c r="A168" s="121" t="s">
        <v>1742</v>
      </c>
      <c r="B168" s="121" t="s">
        <v>1768</v>
      </c>
      <c r="C168" s="122" t="s">
        <v>14</v>
      </c>
      <c r="D168" s="134">
        <v>10693</v>
      </c>
      <c r="E168" s="124" t="s">
        <v>5</v>
      </c>
      <c r="F168" s="126">
        <v>19111</v>
      </c>
      <c r="G168" s="124" t="s">
        <v>742</v>
      </c>
      <c r="H168" s="126">
        <v>14863</v>
      </c>
      <c r="I168" s="124" t="s">
        <v>743</v>
      </c>
      <c r="J168" s="126">
        <v>21470</v>
      </c>
      <c r="K168" s="124" t="s">
        <v>2201</v>
      </c>
      <c r="L168" s="126">
        <v>22947</v>
      </c>
      <c r="M168" s="124" t="s">
        <v>2212</v>
      </c>
      <c r="N168" s="144">
        <f t="shared" si="3"/>
        <v>10693</v>
      </c>
      <c r="O168" s="124"/>
      <c r="P168" s="131" t="s">
        <v>5</v>
      </c>
    </row>
    <row r="169" spans="1:16" ht="30" customHeight="1" x14ac:dyDescent="0.3">
      <c r="A169" s="121" t="s">
        <v>1742</v>
      </c>
      <c r="B169" s="121" t="s">
        <v>1769</v>
      </c>
      <c r="C169" s="122" t="s">
        <v>14</v>
      </c>
      <c r="D169" s="134">
        <v>15074</v>
      </c>
      <c r="E169" s="124" t="s">
        <v>5</v>
      </c>
      <c r="F169" s="126">
        <v>25928</v>
      </c>
      <c r="G169" s="124" t="s">
        <v>742</v>
      </c>
      <c r="H169" s="126">
        <v>20951</v>
      </c>
      <c r="I169" s="124" t="s">
        <v>743</v>
      </c>
      <c r="J169" s="126">
        <v>29057</v>
      </c>
      <c r="K169" s="124" t="s">
        <v>2201</v>
      </c>
      <c r="L169" s="126">
        <v>31135</v>
      </c>
      <c r="M169" s="124" t="s">
        <v>2212</v>
      </c>
      <c r="N169" s="144">
        <f t="shared" si="3"/>
        <v>15074</v>
      </c>
      <c r="O169" s="124"/>
      <c r="P169" s="131" t="s">
        <v>5</v>
      </c>
    </row>
    <row r="170" spans="1:16" ht="30" customHeight="1" x14ac:dyDescent="0.3">
      <c r="A170" s="121" t="s">
        <v>1742</v>
      </c>
      <c r="B170" s="121" t="s">
        <v>1770</v>
      </c>
      <c r="C170" s="122" t="s">
        <v>14</v>
      </c>
      <c r="D170" s="134">
        <v>20354</v>
      </c>
      <c r="E170" s="124" t="s">
        <v>5</v>
      </c>
      <c r="F170" s="126">
        <v>30990</v>
      </c>
      <c r="G170" s="124" t="s">
        <v>742</v>
      </c>
      <c r="H170" s="126">
        <v>28302</v>
      </c>
      <c r="I170" s="124" t="s">
        <v>743</v>
      </c>
      <c r="J170" s="126">
        <v>34802</v>
      </c>
      <c r="K170" s="124" t="s">
        <v>2201</v>
      </c>
      <c r="L170" s="126">
        <v>37329</v>
      </c>
      <c r="M170" s="124" t="s">
        <v>2212</v>
      </c>
      <c r="N170" s="144">
        <f t="shared" si="3"/>
        <v>20354</v>
      </c>
      <c r="O170" s="124"/>
      <c r="P170" s="131" t="s">
        <v>5</v>
      </c>
    </row>
    <row r="171" spans="1:16" ht="30" customHeight="1" x14ac:dyDescent="0.3">
      <c r="A171" s="121" t="s">
        <v>1742</v>
      </c>
      <c r="B171" s="121" t="s">
        <v>1771</v>
      </c>
      <c r="C171" s="122" t="s">
        <v>14</v>
      </c>
      <c r="D171" s="134">
        <v>28827</v>
      </c>
      <c r="E171" s="124" t="s">
        <v>5</v>
      </c>
      <c r="F171" s="126">
        <v>62675</v>
      </c>
      <c r="G171" s="124" t="s">
        <v>742</v>
      </c>
      <c r="H171" s="126">
        <v>40085</v>
      </c>
      <c r="I171" s="124" t="s">
        <v>743</v>
      </c>
      <c r="J171" s="126">
        <v>48253</v>
      </c>
      <c r="K171" s="124" t="s">
        <v>2201</v>
      </c>
      <c r="L171" s="126">
        <v>51652</v>
      </c>
      <c r="M171" s="124" t="s">
        <v>2212</v>
      </c>
      <c r="N171" s="144">
        <f t="shared" si="3"/>
        <v>28827</v>
      </c>
      <c r="O171" s="124"/>
      <c r="P171" s="131" t="s">
        <v>5</v>
      </c>
    </row>
    <row r="172" spans="1:16" ht="30" customHeight="1" x14ac:dyDescent="0.3">
      <c r="A172" s="121" t="s">
        <v>1742</v>
      </c>
      <c r="B172" s="121" t="s">
        <v>1772</v>
      </c>
      <c r="C172" s="122" t="s">
        <v>14</v>
      </c>
      <c r="D172" s="134">
        <v>37171</v>
      </c>
      <c r="E172" s="124" t="s">
        <v>5</v>
      </c>
      <c r="F172" s="126">
        <v>86423</v>
      </c>
      <c r="G172" s="124" t="s">
        <v>742</v>
      </c>
      <c r="H172" s="126">
        <v>49735</v>
      </c>
      <c r="I172" s="124" t="s">
        <v>743</v>
      </c>
      <c r="J172" s="126">
        <v>66526</v>
      </c>
      <c r="K172" s="124" t="s">
        <v>2201</v>
      </c>
      <c r="L172" s="126">
        <v>71251</v>
      </c>
      <c r="M172" s="124" t="s">
        <v>2212</v>
      </c>
      <c r="N172" s="144">
        <f t="shared" si="3"/>
        <v>37171</v>
      </c>
      <c r="O172" s="124"/>
      <c r="P172" s="131" t="s">
        <v>5</v>
      </c>
    </row>
    <row r="173" spans="1:16" ht="30" customHeight="1" x14ac:dyDescent="0.3">
      <c r="A173" s="121" t="s">
        <v>1742</v>
      </c>
      <c r="B173" s="121" t="s">
        <v>1773</v>
      </c>
      <c r="C173" s="122" t="s">
        <v>14</v>
      </c>
      <c r="D173" s="134">
        <v>43575</v>
      </c>
      <c r="E173" s="124" t="s">
        <v>5</v>
      </c>
      <c r="F173" s="126">
        <v>106563</v>
      </c>
      <c r="G173" s="124" t="s">
        <v>742</v>
      </c>
      <c r="H173" s="126">
        <v>60978</v>
      </c>
      <c r="I173" s="124" t="s">
        <v>743</v>
      </c>
      <c r="J173" s="126">
        <v>81962</v>
      </c>
      <c r="K173" s="124" t="s">
        <v>2201</v>
      </c>
      <c r="L173" s="126">
        <v>87385</v>
      </c>
      <c r="M173" s="124" t="s">
        <v>2212</v>
      </c>
      <c r="N173" s="144">
        <f t="shared" si="3"/>
        <v>43575</v>
      </c>
      <c r="O173" s="124"/>
      <c r="P173" s="131" t="s">
        <v>5</v>
      </c>
    </row>
    <row r="174" spans="1:16" ht="30" customHeight="1" x14ac:dyDescent="0.3">
      <c r="A174" s="121" t="s">
        <v>1742</v>
      </c>
      <c r="B174" s="121" t="s">
        <v>1774</v>
      </c>
      <c r="C174" s="122" t="s">
        <v>14</v>
      </c>
      <c r="D174" s="134">
        <v>52971</v>
      </c>
      <c r="E174" s="124" t="s">
        <v>5</v>
      </c>
      <c r="F174" s="126">
        <v>131062</v>
      </c>
      <c r="G174" s="124" t="s">
        <v>742</v>
      </c>
      <c r="H174" s="126">
        <v>74132</v>
      </c>
      <c r="I174" s="124" t="s">
        <v>743</v>
      </c>
      <c r="J174" s="126">
        <v>100748</v>
      </c>
      <c r="K174" s="124" t="s">
        <v>2201</v>
      </c>
      <c r="L174" s="126">
        <v>107990</v>
      </c>
      <c r="M174" s="124" t="s">
        <v>2212</v>
      </c>
      <c r="N174" s="144">
        <f t="shared" si="3"/>
        <v>52971</v>
      </c>
      <c r="O174" s="124"/>
      <c r="P174" s="131" t="s">
        <v>5</v>
      </c>
    </row>
    <row r="175" spans="1:16" ht="30" customHeight="1" x14ac:dyDescent="0.3">
      <c r="A175" s="121" t="s">
        <v>1742</v>
      </c>
      <c r="B175" s="121" t="s">
        <v>1775</v>
      </c>
      <c r="C175" s="122" t="s">
        <v>14</v>
      </c>
      <c r="D175" s="134">
        <v>62645</v>
      </c>
      <c r="E175" s="124" t="s">
        <v>5</v>
      </c>
      <c r="F175" s="126">
        <v>161422</v>
      </c>
      <c r="G175" s="124" t="s">
        <v>742</v>
      </c>
      <c r="H175" s="126">
        <v>87677</v>
      </c>
      <c r="I175" s="124" t="s">
        <v>743</v>
      </c>
      <c r="J175" s="126">
        <v>124063</v>
      </c>
      <c r="K175" s="124" t="s">
        <v>2201</v>
      </c>
      <c r="L175" s="126">
        <v>132918</v>
      </c>
      <c r="M175" s="124" t="s">
        <v>2212</v>
      </c>
      <c r="N175" s="144">
        <f t="shared" si="3"/>
        <v>62645</v>
      </c>
      <c r="O175" s="124"/>
      <c r="P175" s="131" t="s">
        <v>5</v>
      </c>
    </row>
    <row r="176" spans="1:16" ht="30" customHeight="1" x14ac:dyDescent="0.3">
      <c r="A176" s="121" t="s">
        <v>1742</v>
      </c>
      <c r="B176" s="121" t="s">
        <v>1776</v>
      </c>
      <c r="C176" s="122" t="s">
        <v>14</v>
      </c>
      <c r="D176" s="134">
        <v>81999</v>
      </c>
      <c r="E176" s="124" t="s">
        <v>5</v>
      </c>
      <c r="F176" s="126">
        <v>206663</v>
      </c>
      <c r="G176" s="124" t="s">
        <v>742</v>
      </c>
      <c r="H176" s="126">
        <v>114778</v>
      </c>
      <c r="I176" s="124" t="s">
        <v>743</v>
      </c>
      <c r="J176" s="126">
        <v>158902</v>
      </c>
      <c r="K176" s="124" t="s">
        <v>2201</v>
      </c>
      <c r="L176" s="126">
        <v>170165</v>
      </c>
      <c r="M176" s="124" t="s">
        <v>2212</v>
      </c>
      <c r="N176" s="144">
        <f t="shared" si="3"/>
        <v>81999</v>
      </c>
      <c r="O176" s="124"/>
      <c r="P176" s="131" t="s">
        <v>5</v>
      </c>
    </row>
    <row r="177" spans="1:16" ht="30" customHeight="1" x14ac:dyDescent="0.3">
      <c r="A177" s="121" t="s">
        <v>1742</v>
      </c>
      <c r="B177" s="121" t="s">
        <v>1777</v>
      </c>
      <c r="C177" s="122" t="s">
        <v>14</v>
      </c>
      <c r="D177" s="134">
        <v>102392</v>
      </c>
      <c r="E177" s="124" t="s">
        <v>5</v>
      </c>
      <c r="F177" s="126">
        <v>259568</v>
      </c>
      <c r="G177" s="124" t="s">
        <v>742</v>
      </c>
      <c r="H177" s="126">
        <v>143334</v>
      </c>
      <c r="I177" s="124" t="s">
        <v>743</v>
      </c>
      <c r="J177" s="126">
        <v>199541</v>
      </c>
      <c r="K177" s="124" t="s">
        <v>2201</v>
      </c>
      <c r="L177" s="126">
        <v>212366</v>
      </c>
      <c r="M177" s="124" t="s">
        <v>2212</v>
      </c>
      <c r="N177" s="144">
        <f t="shared" si="3"/>
        <v>102392</v>
      </c>
      <c r="O177" s="124"/>
      <c r="P177" s="131" t="s">
        <v>5</v>
      </c>
    </row>
    <row r="178" spans="1:16" ht="30" customHeight="1" x14ac:dyDescent="0.3">
      <c r="A178" s="121" t="s">
        <v>1742</v>
      </c>
      <c r="B178" s="121" t="s">
        <v>1778</v>
      </c>
      <c r="C178" s="122" t="s">
        <v>14</v>
      </c>
      <c r="D178" s="134">
        <v>3296</v>
      </c>
      <c r="E178" s="124" t="s">
        <v>5</v>
      </c>
      <c r="F178" s="126">
        <v>4339</v>
      </c>
      <c r="G178" s="124" t="s">
        <v>742</v>
      </c>
      <c r="H178" s="126">
        <v>4802</v>
      </c>
      <c r="I178" s="124" t="s">
        <v>743</v>
      </c>
      <c r="J178" s="126">
        <v>4902</v>
      </c>
      <c r="K178" s="124" t="s">
        <v>2201</v>
      </c>
      <c r="L178" s="126">
        <v>5256</v>
      </c>
      <c r="M178" s="124" t="s">
        <v>2212</v>
      </c>
      <c r="N178" s="144">
        <f t="shared" si="3"/>
        <v>3296</v>
      </c>
      <c r="O178" s="124"/>
      <c r="P178" s="131" t="s">
        <v>5</v>
      </c>
    </row>
    <row r="179" spans="1:16" ht="30" customHeight="1" x14ac:dyDescent="0.3">
      <c r="A179" s="121" t="s">
        <v>1742</v>
      </c>
      <c r="B179" s="121" t="s">
        <v>1779</v>
      </c>
      <c r="C179" s="122" t="s">
        <v>14</v>
      </c>
      <c r="D179" s="134">
        <v>3914</v>
      </c>
      <c r="E179" s="124" t="s">
        <v>5</v>
      </c>
      <c r="F179" s="126">
        <v>5682</v>
      </c>
      <c r="G179" s="124" t="s">
        <v>742</v>
      </c>
      <c r="H179" s="126">
        <v>5647</v>
      </c>
      <c r="I179" s="124" t="s">
        <v>743</v>
      </c>
      <c r="J179" s="126">
        <v>6368</v>
      </c>
      <c r="K179" s="124" t="s">
        <v>2201</v>
      </c>
      <c r="L179" s="126">
        <v>6802</v>
      </c>
      <c r="M179" s="124" t="s">
        <v>2212</v>
      </c>
      <c r="N179" s="144">
        <f t="shared" si="3"/>
        <v>3914</v>
      </c>
      <c r="O179" s="124"/>
      <c r="P179" s="131" t="s">
        <v>5</v>
      </c>
    </row>
    <row r="180" spans="1:16" ht="30" customHeight="1" x14ac:dyDescent="0.3">
      <c r="A180" s="121" t="s">
        <v>1742</v>
      </c>
      <c r="B180" s="121" t="s">
        <v>1780</v>
      </c>
      <c r="C180" s="122" t="s">
        <v>14</v>
      </c>
      <c r="D180" s="134">
        <v>4941</v>
      </c>
      <c r="E180" s="124" t="s">
        <v>5</v>
      </c>
      <c r="F180" s="126">
        <v>6921</v>
      </c>
      <c r="G180" s="124" t="s">
        <v>742</v>
      </c>
      <c r="H180" s="126">
        <v>7207</v>
      </c>
      <c r="I180" s="124" t="s">
        <v>743</v>
      </c>
      <c r="J180" s="126">
        <v>7747</v>
      </c>
      <c r="K180" s="124" t="s">
        <v>2201</v>
      </c>
      <c r="L180" s="126">
        <v>8279</v>
      </c>
      <c r="M180" s="124" t="s">
        <v>2212</v>
      </c>
      <c r="N180" s="144">
        <f t="shared" si="3"/>
        <v>4941</v>
      </c>
      <c r="O180" s="124"/>
      <c r="P180" s="131" t="s">
        <v>5</v>
      </c>
    </row>
    <row r="181" spans="1:16" ht="30" customHeight="1" x14ac:dyDescent="0.3">
      <c r="A181" s="121" t="s">
        <v>1742</v>
      </c>
      <c r="B181" s="121" t="s">
        <v>1781</v>
      </c>
      <c r="C181" s="122" t="s">
        <v>14</v>
      </c>
      <c r="D181" s="134">
        <v>5745</v>
      </c>
      <c r="E181" s="124" t="s">
        <v>5</v>
      </c>
      <c r="F181" s="126">
        <v>8677</v>
      </c>
      <c r="G181" s="124" t="s">
        <v>742</v>
      </c>
      <c r="H181" s="126">
        <v>8376</v>
      </c>
      <c r="I181" s="124" t="s">
        <v>743</v>
      </c>
      <c r="J181" s="126">
        <v>9772</v>
      </c>
      <c r="K181" s="124" t="s">
        <v>2201</v>
      </c>
      <c r="L181" s="126">
        <v>10438</v>
      </c>
      <c r="M181" s="124" t="s">
        <v>2212</v>
      </c>
      <c r="N181" s="144">
        <f t="shared" si="3"/>
        <v>5745</v>
      </c>
      <c r="O181" s="124"/>
      <c r="P181" s="131" t="s">
        <v>5</v>
      </c>
    </row>
    <row r="182" spans="1:16" ht="30" customHeight="1" x14ac:dyDescent="0.3">
      <c r="A182" s="121" t="s">
        <v>1742</v>
      </c>
      <c r="B182" s="121" t="s">
        <v>1782</v>
      </c>
      <c r="C182" s="122" t="s">
        <v>14</v>
      </c>
      <c r="D182" s="134">
        <v>8277</v>
      </c>
      <c r="E182" s="124" t="s">
        <v>5</v>
      </c>
      <c r="F182" s="126">
        <v>12603</v>
      </c>
      <c r="G182" s="124" t="s">
        <v>742</v>
      </c>
      <c r="H182" s="126">
        <v>12070</v>
      </c>
      <c r="I182" s="124" t="s">
        <v>743</v>
      </c>
      <c r="J182" s="126">
        <v>14178</v>
      </c>
      <c r="K182" s="124" t="s">
        <v>2201</v>
      </c>
      <c r="L182" s="126">
        <v>15154</v>
      </c>
      <c r="M182" s="124" t="s">
        <v>2212</v>
      </c>
      <c r="N182" s="144">
        <f t="shared" si="3"/>
        <v>8277</v>
      </c>
      <c r="O182" s="124"/>
      <c r="P182" s="131" t="s">
        <v>5</v>
      </c>
    </row>
    <row r="183" spans="1:16" ht="30" customHeight="1" x14ac:dyDescent="0.3">
      <c r="A183" s="121" t="s">
        <v>1742</v>
      </c>
      <c r="B183" s="121" t="s">
        <v>1783</v>
      </c>
      <c r="C183" s="122" t="s">
        <v>14</v>
      </c>
      <c r="D183" s="134">
        <v>10468</v>
      </c>
      <c r="E183" s="124" t="s">
        <v>5</v>
      </c>
      <c r="F183" s="126">
        <v>20350</v>
      </c>
      <c r="G183" s="124" t="s">
        <v>742</v>
      </c>
      <c r="H183" s="126">
        <v>14543</v>
      </c>
      <c r="I183" s="124" t="s">
        <v>743</v>
      </c>
      <c r="J183" s="126">
        <v>22792</v>
      </c>
      <c r="K183" s="124" t="s">
        <v>2201</v>
      </c>
      <c r="L183" s="126">
        <v>24422</v>
      </c>
      <c r="M183" s="124" t="s">
        <v>2212</v>
      </c>
      <c r="N183" s="144">
        <f t="shared" si="3"/>
        <v>10468</v>
      </c>
      <c r="O183" s="124"/>
      <c r="P183" s="131" t="s">
        <v>5</v>
      </c>
    </row>
    <row r="184" spans="1:16" ht="30" customHeight="1" x14ac:dyDescent="0.3">
      <c r="A184" s="121" t="s">
        <v>1742</v>
      </c>
      <c r="B184" s="121" t="s">
        <v>1784</v>
      </c>
      <c r="C184" s="122" t="s">
        <v>14</v>
      </c>
      <c r="D184" s="134">
        <v>15929</v>
      </c>
      <c r="E184" s="124" t="s">
        <v>5</v>
      </c>
      <c r="F184" s="126">
        <v>28614</v>
      </c>
      <c r="G184" s="124" t="s">
        <v>742</v>
      </c>
      <c r="H184" s="126">
        <v>22152</v>
      </c>
      <c r="I184" s="124" t="s">
        <v>743</v>
      </c>
      <c r="J184" s="126">
        <v>32009</v>
      </c>
      <c r="K184" s="124" t="s">
        <v>2201</v>
      </c>
      <c r="L184" s="126">
        <v>34303</v>
      </c>
      <c r="M184" s="124" t="s">
        <v>2212</v>
      </c>
      <c r="N184" s="144">
        <f t="shared" si="3"/>
        <v>15929</v>
      </c>
      <c r="O184" s="124"/>
      <c r="P184" s="131" t="s">
        <v>5</v>
      </c>
    </row>
    <row r="185" spans="1:16" ht="30" customHeight="1" x14ac:dyDescent="0.3">
      <c r="A185" s="121" t="s">
        <v>1742</v>
      </c>
      <c r="B185" s="121" t="s">
        <v>1785</v>
      </c>
      <c r="C185" s="122" t="s">
        <v>14</v>
      </c>
      <c r="D185" s="134">
        <v>22443</v>
      </c>
      <c r="E185" s="124" t="s">
        <v>5</v>
      </c>
      <c r="F185" s="126">
        <v>38717</v>
      </c>
      <c r="G185" s="124" t="s">
        <v>742</v>
      </c>
      <c r="H185" s="126">
        <v>31196</v>
      </c>
      <c r="I185" s="124" t="s">
        <v>743</v>
      </c>
      <c r="J185" s="126">
        <v>43297</v>
      </c>
      <c r="K185" s="124" t="s">
        <v>2201</v>
      </c>
      <c r="L185" s="126">
        <v>46433</v>
      </c>
      <c r="M185" s="124" t="s">
        <v>2212</v>
      </c>
      <c r="N185" s="144">
        <f t="shared" si="3"/>
        <v>22443</v>
      </c>
      <c r="O185" s="124"/>
      <c r="P185" s="131" t="s">
        <v>5</v>
      </c>
    </row>
    <row r="186" spans="1:16" ht="30" customHeight="1" x14ac:dyDescent="0.3">
      <c r="A186" s="121" t="s">
        <v>1742</v>
      </c>
      <c r="B186" s="121" t="s">
        <v>1786</v>
      </c>
      <c r="C186" s="122" t="s">
        <v>14</v>
      </c>
      <c r="D186" s="134">
        <v>30316</v>
      </c>
      <c r="E186" s="124" t="s">
        <v>5</v>
      </c>
      <c r="F186" s="126">
        <v>46588</v>
      </c>
      <c r="G186" s="124" t="s">
        <v>742</v>
      </c>
      <c r="H186" s="126">
        <v>42138</v>
      </c>
      <c r="I186" s="124" t="s">
        <v>743</v>
      </c>
      <c r="J186" s="126">
        <v>52180</v>
      </c>
      <c r="K186" s="124" t="s">
        <v>2201</v>
      </c>
      <c r="L186" s="126">
        <v>55971</v>
      </c>
      <c r="M186" s="124" t="s">
        <v>2212</v>
      </c>
      <c r="N186" s="144">
        <f t="shared" si="3"/>
        <v>30316</v>
      </c>
      <c r="O186" s="124"/>
      <c r="P186" s="131" t="s">
        <v>5</v>
      </c>
    </row>
    <row r="187" spans="1:16" ht="30" customHeight="1" x14ac:dyDescent="0.3">
      <c r="A187" s="121" t="s">
        <v>1742</v>
      </c>
      <c r="B187" s="121" t="s">
        <v>1787</v>
      </c>
      <c r="C187" s="122" t="s">
        <v>14</v>
      </c>
      <c r="D187" s="134">
        <v>42943</v>
      </c>
      <c r="E187" s="124" t="s">
        <v>5</v>
      </c>
      <c r="F187" s="126">
        <v>93787</v>
      </c>
      <c r="G187" s="124" t="s">
        <v>742</v>
      </c>
      <c r="H187" s="126">
        <v>59686</v>
      </c>
      <c r="I187" s="124" t="s">
        <v>743</v>
      </c>
      <c r="J187" s="126">
        <v>72104</v>
      </c>
      <c r="K187" s="124" t="s">
        <v>2201</v>
      </c>
      <c r="L187" s="126">
        <v>77191</v>
      </c>
      <c r="M187" s="124" t="s">
        <v>2212</v>
      </c>
      <c r="N187" s="144">
        <f t="shared" si="3"/>
        <v>42943</v>
      </c>
      <c r="O187" s="124"/>
      <c r="P187" s="131" t="s">
        <v>5</v>
      </c>
    </row>
    <row r="188" spans="1:16" ht="30" customHeight="1" x14ac:dyDescent="0.3">
      <c r="A188" s="121" t="s">
        <v>1742</v>
      </c>
      <c r="B188" s="121" t="s">
        <v>1788</v>
      </c>
      <c r="C188" s="122" t="s">
        <v>14</v>
      </c>
      <c r="D188" s="134">
        <v>53496</v>
      </c>
      <c r="E188" s="124" t="s">
        <v>5</v>
      </c>
      <c r="F188" s="126">
        <v>125651</v>
      </c>
      <c r="G188" s="124" t="s">
        <v>742</v>
      </c>
      <c r="H188" s="126">
        <v>74049</v>
      </c>
      <c r="I188" s="124" t="s">
        <v>743</v>
      </c>
      <c r="J188" s="126">
        <v>96660</v>
      </c>
      <c r="K188" s="124" t="s">
        <v>2201</v>
      </c>
      <c r="L188" s="126">
        <v>103664</v>
      </c>
      <c r="M188" s="124" t="s">
        <v>2212</v>
      </c>
      <c r="N188" s="144">
        <f t="shared" si="3"/>
        <v>53496</v>
      </c>
      <c r="O188" s="124"/>
      <c r="P188" s="131" t="s">
        <v>5</v>
      </c>
    </row>
    <row r="189" spans="1:16" ht="30" customHeight="1" x14ac:dyDescent="0.3">
      <c r="A189" s="121" t="s">
        <v>1742</v>
      </c>
      <c r="B189" s="121" t="s">
        <v>1789</v>
      </c>
      <c r="C189" s="122" t="s">
        <v>14</v>
      </c>
      <c r="D189" s="134">
        <v>62678</v>
      </c>
      <c r="E189" s="124" t="s">
        <v>5</v>
      </c>
      <c r="F189" s="126">
        <v>156011</v>
      </c>
      <c r="G189" s="124" t="s">
        <v>742</v>
      </c>
      <c r="H189" s="126">
        <v>90776</v>
      </c>
      <c r="I189" s="124" t="s">
        <v>743</v>
      </c>
      <c r="J189" s="126">
        <v>119917</v>
      </c>
      <c r="K189" s="124" t="s">
        <v>2201</v>
      </c>
      <c r="L189" s="126">
        <v>128591</v>
      </c>
      <c r="M189" s="124" t="s">
        <v>2212</v>
      </c>
      <c r="N189" s="144">
        <f t="shared" si="3"/>
        <v>62678</v>
      </c>
      <c r="O189" s="124"/>
      <c r="P189" s="131" t="s">
        <v>5</v>
      </c>
    </row>
    <row r="190" spans="1:16" ht="30" customHeight="1" x14ac:dyDescent="0.3">
      <c r="A190" s="121" t="s">
        <v>1742</v>
      </c>
      <c r="B190" s="121" t="s">
        <v>1790</v>
      </c>
      <c r="C190" s="122" t="s">
        <v>14</v>
      </c>
      <c r="D190" s="134">
        <v>76185</v>
      </c>
      <c r="E190" s="124" t="s">
        <v>5</v>
      </c>
      <c r="F190" s="126">
        <v>196893</v>
      </c>
      <c r="G190" s="124" t="s">
        <v>742</v>
      </c>
      <c r="H190" s="126">
        <v>110357</v>
      </c>
      <c r="I190" s="124" t="s">
        <v>743</v>
      </c>
      <c r="J190" s="126">
        <v>152180</v>
      </c>
      <c r="K190" s="124" t="s">
        <v>2201</v>
      </c>
      <c r="L190" s="126">
        <v>163272</v>
      </c>
      <c r="M190" s="124" t="s">
        <v>2212</v>
      </c>
      <c r="N190" s="144">
        <f t="shared" si="3"/>
        <v>76185</v>
      </c>
      <c r="O190" s="124"/>
      <c r="P190" s="131" t="s">
        <v>5</v>
      </c>
    </row>
    <row r="191" spans="1:16" ht="30" customHeight="1" x14ac:dyDescent="0.3">
      <c r="A191" s="121" t="s">
        <v>1742</v>
      </c>
      <c r="B191" s="121" t="s">
        <v>1791</v>
      </c>
      <c r="C191" s="122" t="s">
        <v>14</v>
      </c>
      <c r="D191" s="134">
        <v>90113</v>
      </c>
      <c r="E191" s="124" t="s">
        <v>5</v>
      </c>
      <c r="F191" s="126">
        <v>241983</v>
      </c>
      <c r="G191" s="124" t="s">
        <v>742</v>
      </c>
      <c r="H191" s="126">
        <v>130522</v>
      </c>
      <c r="I191" s="124" t="s">
        <v>743</v>
      </c>
      <c r="J191" s="126">
        <v>185976</v>
      </c>
      <c r="K191" s="124" t="s">
        <v>2201</v>
      </c>
      <c r="L191" s="126">
        <v>199409</v>
      </c>
      <c r="M191" s="124" t="s">
        <v>2212</v>
      </c>
      <c r="N191" s="144">
        <f t="shared" si="3"/>
        <v>90113</v>
      </c>
      <c r="O191" s="124"/>
      <c r="P191" s="131" t="s">
        <v>5</v>
      </c>
    </row>
    <row r="192" spans="1:16" ht="30" customHeight="1" x14ac:dyDescent="0.3">
      <c r="A192" s="121" t="s">
        <v>1742</v>
      </c>
      <c r="B192" s="121" t="s">
        <v>1792</v>
      </c>
      <c r="C192" s="122" t="s">
        <v>14</v>
      </c>
      <c r="D192" s="134">
        <v>117932</v>
      </c>
      <c r="E192" s="124" t="s">
        <v>5</v>
      </c>
      <c r="F192" s="126">
        <v>313075</v>
      </c>
      <c r="G192" s="124" t="s">
        <v>742</v>
      </c>
      <c r="H192" s="126">
        <v>170823</v>
      </c>
      <c r="I192" s="124" t="s">
        <v>743</v>
      </c>
      <c r="J192" s="126">
        <v>240672</v>
      </c>
      <c r="K192" s="124" t="s">
        <v>2201</v>
      </c>
      <c r="L192" s="126">
        <v>257900</v>
      </c>
      <c r="M192" s="124" t="s">
        <v>2212</v>
      </c>
      <c r="N192" s="144">
        <f t="shared" si="3"/>
        <v>117932</v>
      </c>
      <c r="O192" s="124"/>
      <c r="P192" s="131" t="s">
        <v>5</v>
      </c>
    </row>
    <row r="193" spans="1:16" ht="30" customHeight="1" x14ac:dyDescent="0.3">
      <c r="A193" s="121" t="s">
        <v>1742</v>
      </c>
      <c r="B193" s="121" t="s">
        <v>1793</v>
      </c>
      <c r="C193" s="122" t="s">
        <v>14</v>
      </c>
      <c r="D193" s="134">
        <v>145897</v>
      </c>
      <c r="E193" s="124" t="s">
        <v>5</v>
      </c>
      <c r="F193" s="126">
        <v>387173</v>
      </c>
      <c r="G193" s="124" t="s">
        <v>742</v>
      </c>
      <c r="H193" s="126">
        <v>213337</v>
      </c>
      <c r="I193" s="124" t="s">
        <v>743</v>
      </c>
      <c r="J193" s="126">
        <v>297597</v>
      </c>
      <c r="K193" s="124" t="s">
        <v>2201</v>
      </c>
      <c r="L193" s="126">
        <v>319271</v>
      </c>
      <c r="M193" s="124" t="s">
        <v>2212</v>
      </c>
      <c r="N193" s="144">
        <f t="shared" si="3"/>
        <v>145897</v>
      </c>
      <c r="O193" s="124"/>
      <c r="P193" s="131" t="s">
        <v>5</v>
      </c>
    </row>
    <row r="194" spans="1:16" ht="30" customHeight="1" x14ac:dyDescent="0.3">
      <c r="A194" s="121" t="s">
        <v>1742</v>
      </c>
      <c r="B194" s="121" t="s">
        <v>1794</v>
      </c>
      <c r="C194" s="122" t="s">
        <v>14</v>
      </c>
      <c r="D194" s="134">
        <v>4446</v>
      </c>
      <c r="E194" s="124" t="s">
        <v>5</v>
      </c>
      <c r="F194" s="126">
        <v>4979</v>
      </c>
      <c r="G194" s="124" t="s">
        <v>742</v>
      </c>
      <c r="H194" s="126">
        <v>6380</v>
      </c>
      <c r="I194" s="124" t="s">
        <v>743</v>
      </c>
      <c r="J194" s="126">
        <v>5578</v>
      </c>
      <c r="K194" s="124" t="s">
        <v>2201</v>
      </c>
      <c r="L194" s="126">
        <v>5976</v>
      </c>
      <c r="M194" s="124" t="s">
        <v>2212</v>
      </c>
      <c r="N194" s="144">
        <f t="shared" si="3"/>
        <v>4446</v>
      </c>
      <c r="O194" s="124"/>
      <c r="P194" s="131" t="s">
        <v>5</v>
      </c>
    </row>
    <row r="195" spans="1:16" ht="30" customHeight="1" x14ac:dyDescent="0.3">
      <c r="A195" s="121" t="s">
        <v>1742</v>
      </c>
      <c r="B195" s="121" t="s">
        <v>1795</v>
      </c>
      <c r="C195" s="122" t="s">
        <v>14</v>
      </c>
      <c r="D195" s="134">
        <v>5145</v>
      </c>
      <c r="E195" s="124" t="s">
        <v>5</v>
      </c>
      <c r="F195" s="126">
        <v>7778</v>
      </c>
      <c r="G195" s="124" t="s">
        <v>742</v>
      </c>
      <c r="H195" s="126">
        <v>7513</v>
      </c>
      <c r="I195" s="124" t="s">
        <v>743</v>
      </c>
      <c r="J195" s="126">
        <v>8698</v>
      </c>
      <c r="K195" s="124" t="s">
        <v>2201</v>
      </c>
      <c r="L195" s="126">
        <v>9322</v>
      </c>
      <c r="M195" s="124" t="s">
        <v>2212</v>
      </c>
      <c r="N195" s="144">
        <f t="shared" si="3"/>
        <v>5145</v>
      </c>
      <c r="O195" s="124"/>
      <c r="P195" s="131" t="s">
        <v>5</v>
      </c>
    </row>
    <row r="196" spans="1:16" ht="30" customHeight="1" x14ac:dyDescent="0.3">
      <c r="A196" s="121" t="s">
        <v>1742</v>
      </c>
      <c r="B196" s="121" t="s">
        <v>1796</v>
      </c>
      <c r="C196" s="122" t="s">
        <v>14</v>
      </c>
      <c r="D196" s="134">
        <v>6561</v>
      </c>
      <c r="E196" s="124" t="s">
        <v>5</v>
      </c>
      <c r="F196" s="126">
        <v>8791</v>
      </c>
      <c r="G196" s="124" t="s">
        <v>742</v>
      </c>
      <c r="H196" s="126">
        <v>9576</v>
      </c>
      <c r="I196" s="124" t="s">
        <v>743</v>
      </c>
      <c r="J196" s="126">
        <v>9836</v>
      </c>
      <c r="K196" s="124" t="s">
        <v>2201</v>
      </c>
      <c r="L196" s="126">
        <v>10510</v>
      </c>
      <c r="M196" s="124" t="s">
        <v>2212</v>
      </c>
      <c r="N196" s="144">
        <f t="shared" si="3"/>
        <v>6561</v>
      </c>
      <c r="O196" s="124"/>
      <c r="P196" s="131" t="s">
        <v>5</v>
      </c>
    </row>
    <row r="197" spans="1:16" ht="30" customHeight="1" x14ac:dyDescent="0.3">
      <c r="A197" s="121" t="s">
        <v>1742</v>
      </c>
      <c r="B197" s="121" t="s">
        <v>1797</v>
      </c>
      <c r="C197" s="122" t="s">
        <v>14</v>
      </c>
      <c r="D197" s="134">
        <v>7720</v>
      </c>
      <c r="E197" s="124" t="s">
        <v>5</v>
      </c>
      <c r="F197" s="126">
        <v>11528</v>
      </c>
      <c r="G197" s="124" t="s">
        <v>742</v>
      </c>
      <c r="H197" s="126">
        <v>11134</v>
      </c>
      <c r="I197" s="124" t="s">
        <v>743</v>
      </c>
      <c r="J197" s="126">
        <v>12897</v>
      </c>
      <c r="K197" s="124" t="s">
        <v>2201</v>
      </c>
      <c r="L197" s="126">
        <v>13821</v>
      </c>
      <c r="M197" s="124" t="s">
        <v>2212</v>
      </c>
      <c r="N197" s="144">
        <f t="shared" si="3"/>
        <v>7720</v>
      </c>
      <c r="O197" s="124"/>
      <c r="P197" s="131" t="s">
        <v>5</v>
      </c>
    </row>
    <row r="198" spans="1:16" ht="30" customHeight="1" x14ac:dyDescent="0.3">
      <c r="A198" s="121" t="s">
        <v>1742</v>
      </c>
      <c r="B198" s="121" t="s">
        <v>1798</v>
      </c>
      <c r="C198" s="122" t="s">
        <v>14</v>
      </c>
      <c r="D198" s="134">
        <v>11607</v>
      </c>
      <c r="E198" s="124" t="s">
        <v>5</v>
      </c>
      <c r="F198" s="126">
        <v>18129</v>
      </c>
      <c r="G198" s="124" t="s">
        <v>742</v>
      </c>
      <c r="H198" s="126">
        <v>16054</v>
      </c>
      <c r="I198" s="124" t="s">
        <v>743</v>
      </c>
      <c r="J198" s="126">
        <v>20281</v>
      </c>
      <c r="K198" s="124" t="s">
        <v>2201</v>
      </c>
      <c r="L198" s="126">
        <v>21740</v>
      </c>
      <c r="M198" s="124" t="s">
        <v>2212</v>
      </c>
      <c r="N198" s="144">
        <f t="shared" si="3"/>
        <v>11607</v>
      </c>
      <c r="O198" s="124"/>
      <c r="P198" s="131" t="s">
        <v>5</v>
      </c>
    </row>
    <row r="199" spans="1:16" ht="30" customHeight="1" x14ac:dyDescent="0.3">
      <c r="A199" s="121" t="s">
        <v>1742</v>
      </c>
      <c r="B199" s="121" t="s">
        <v>1799</v>
      </c>
      <c r="C199" s="122" t="s">
        <v>14</v>
      </c>
      <c r="D199" s="134">
        <v>13909</v>
      </c>
      <c r="E199" s="124" t="s">
        <v>5</v>
      </c>
      <c r="F199" s="126">
        <v>25567</v>
      </c>
      <c r="G199" s="124" t="s">
        <v>742</v>
      </c>
      <c r="H199" s="126">
        <v>19328</v>
      </c>
      <c r="I199" s="124" t="s">
        <v>743</v>
      </c>
      <c r="J199" s="126">
        <v>28591</v>
      </c>
      <c r="K199" s="124" t="s">
        <v>2201</v>
      </c>
      <c r="L199" s="126">
        <v>30649</v>
      </c>
      <c r="M199" s="124" t="s">
        <v>2212</v>
      </c>
      <c r="N199" s="144">
        <f t="shared" ref="N199:N262" si="5">SMALL(D199:L199,COUNTIF(D199:L199,0)+1)</f>
        <v>13909</v>
      </c>
      <c r="O199" s="124"/>
      <c r="P199" s="131" t="s">
        <v>5</v>
      </c>
    </row>
    <row r="200" spans="1:16" ht="30" customHeight="1" x14ac:dyDescent="0.3">
      <c r="A200" s="121" t="s">
        <v>1742</v>
      </c>
      <c r="B200" s="121" t="s">
        <v>1800</v>
      </c>
      <c r="C200" s="122" t="s">
        <v>14</v>
      </c>
      <c r="D200" s="134">
        <v>21170</v>
      </c>
      <c r="E200" s="124" t="s">
        <v>5</v>
      </c>
      <c r="F200" s="126">
        <v>36527</v>
      </c>
      <c r="G200" s="124" t="s">
        <v>742</v>
      </c>
      <c r="H200" s="126">
        <v>29424</v>
      </c>
      <c r="I200" s="124" t="s">
        <v>743</v>
      </c>
      <c r="J200" s="126">
        <v>40847</v>
      </c>
      <c r="K200" s="124" t="s">
        <v>2201</v>
      </c>
      <c r="L200" s="126">
        <v>43805</v>
      </c>
      <c r="M200" s="124" t="s">
        <v>2212</v>
      </c>
      <c r="N200" s="144">
        <f t="shared" si="5"/>
        <v>21170</v>
      </c>
      <c r="O200" s="124"/>
      <c r="P200" s="131" t="s">
        <v>5</v>
      </c>
    </row>
    <row r="201" spans="1:16" ht="30" customHeight="1" x14ac:dyDescent="0.3">
      <c r="A201" s="121" t="s">
        <v>1742</v>
      </c>
      <c r="B201" s="121" t="s">
        <v>1801</v>
      </c>
      <c r="C201" s="122" t="s">
        <v>14</v>
      </c>
      <c r="D201" s="134">
        <v>29815</v>
      </c>
      <c r="E201" s="124" t="s">
        <v>5</v>
      </c>
      <c r="F201" s="126">
        <v>47415</v>
      </c>
      <c r="G201" s="124" t="s">
        <v>742</v>
      </c>
      <c r="H201" s="126">
        <v>41433</v>
      </c>
      <c r="I201" s="124" t="s">
        <v>743</v>
      </c>
      <c r="J201" s="126">
        <v>53029</v>
      </c>
      <c r="K201" s="124" t="s">
        <v>2201</v>
      </c>
      <c r="L201" s="126">
        <v>56854</v>
      </c>
      <c r="M201" s="124" t="s">
        <v>2212</v>
      </c>
      <c r="N201" s="144">
        <f t="shared" si="5"/>
        <v>29815</v>
      </c>
      <c r="O201" s="124"/>
      <c r="P201" s="131" t="s">
        <v>5</v>
      </c>
    </row>
    <row r="202" spans="1:16" ht="30" customHeight="1" x14ac:dyDescent="0.3">
      <c r="A202" s="121" t="s">
        <v>1742</v>
      </c>
      <c r="B202" s="121" t="s">
        <v>1802</v>
      </c>
      <c r="C202" s="122" t="s">
        <v>14</v>
      </c>
      <c r="D202" s="134">
        <v>40254</v>
      </c>
      <c r="E202" s="124" t="s">
        <v>5</v>
      </c>
      <c r="F202" s="126">
        <v>57951</v>
      </c>
      <c r="G202" s="124" t="s">
        <v>742</v>
      </c>
      <c r="H202" s="126">
        <v>55963</v>
      </c>
      <c r="I202" s="124" t="s">
        <v>743</v>
      </c>
      <c r="J202" s="126">
        <v>64866</v>
      </c>
      <c r="K202" s="124" t="s">
        <v>2201</v>
      </c>
      <c r="L202" s="126">
        <v>69469</v>
      </c>
      <c r="M202" s="124" t="s">
        <v>2212</v>
      </c>
      <c r="N202" s="144">
        <f t="shared" si="5"/>
        <v>40254</v>
      </c>
      <c r="O202" s="124"/>
      <c r="P202" s="131" t="s">
        <v>5</v>
      </c>
    </row>
    <row r="203" spans="1:16" ht="30" customHeight="1" x14ac:dyDescent="0.3">
      <c r="A203" s="121" t="s">
        <v>1742</v>
      </c>
      <c r="B203" s="121" t="s">
        <v>1803</v>
      </c>
      <c r="C203" s="122" t="s">
        <v>14</v>
      </c>
      <c r="D203" s="134">
        <v>57045</v>
      </c>
      <c r="E203" s="124" t="s">
        <v>5</v>
      </c>
      <c r="F203" s="126">
        <v>117084</v>
      </c>
      <c r="G203" s="124" t="s">
        <v>742</v>
      </c>
      <c r="H203" s="126">
        <v>79269</v>
      </c>
      <c r="I203" s="124" t="s">
        <v>743</v>
      </c>
      <c r="J203" s="126">
        <v>90060</v>
      </c>
      <c r="K203" s="124" t="s">
        <v>2201</v>
      </c>
      <c r="L203" s="126">
        <v>96448</v>
      </c>
      <c r="M203" s="124" t="s">
        <v>2212</v>
      </c>
      <c r="N203" s="144">
        <f t="shared" si="5"/>
        <v>57045</v>
      </c>
      <c r="O203" s="124"/>
      <c r="P203" s="131" t="s">
        <v>5</v>
      </c>
    </row>
    <row r="204" spans="1:16" ht="30" customHeight="1" x14ac:dyDescent="0.3">
      <c r="A204" s="121" t="s">
        <v>1742</v>
      </c>
      <c r="B204" s="121" t="s">
        <v>1804</v>
      </c>
      <c r="C204" s="122" t="s">
        <v>14</v>
      </c>
      <c r="D204" s="134">
        <v>73513</v>
      </c>
      <c r="E204" s="124" t="s">
        <v>5</v>
      </c>
      <c r="F204" s="126">
        <v>157514</v>
      </c>
      <c r="G204" s="124" t="s">
        <v>742</v>
      </c>
      <c r="H204" s="126">
        <v>98337</v>
      </c>
      <c r="I204" s="124" t="s">
        <v>743</v>
      </c>
      <c r="J204" s="126">
        <v>121173</v>
      </c>
      <c r="K204" s="124" t="s">
        <v>2201</v>
      </c>
      <c r="L204" s="126">
        <v>129851</v>
      </c>
      <c r="M204" s="124" t="s">
        <v>2212</v>
      </c>
      <c r="N204" s="144">
        <f t="shared" si="5"/>
        <v>73513</v>
      </c>
      <c r="O204" s="124"/>
      <c r="P204" s="131" t="s">
        <v>5</v>
      </c>
    </row>
    <row r="205" spans="1:16" ht="30" customHeight="1" x14ac:dyDescent="0.3">
      <c r="A205" s="121" t="s">
        <v>1742</v>
      </c>
      <c r="B205" s="121" t="s">
        <v>1805</v>
      </c>
      <c r="C205" s="122" t="s">
        <v>14</v>
      </c>
      <c r="D205" s="134">
        <v>86133</v>
      </c>
      <c r="E205" s="124" t="s">
        <v>5</v>
      </c>
      <c r="F205" s="126">
        <v>195615</v>
      </c>
      <c r="G205" s="124" t="s">
        <v>742</v>
      </c>
      <c r="H205" s="126">
        <v>120566</v>
      </c>
      <c r="I205" s="124" t="s">
        <v>743</v>
      </c>
      <c r="J205" s="126">
        <v>150328</v>
      </c>
      <c r="K205" s="124" t="s">
        <v>2201</v>
      </c>
      <c r="L205" s="126">
        <v>161255</v>
      </c>
      <c r="M205" s="124" t="s">
        <v>2212</v>
      </c>
      <c r="N205" s="144">
        <f t="shared" si="5"/>
        <v>86133</v>
      </c>
      <c r="O205" s="124"/>
      <c r="P205" s="131" t="s">
        <v>5</v>
      </c>
    </row>
    <row r="206" spans="1:16" ht="30" customHeight="1" x14ac:dyDescent="0.3">
      <c r="A206" s="121" t="s">
        <v>1742</v>
      </c>
      <c r="B206" s="121" t="s">
        <v>1806</v>
      </c>
      <c r="C206" s="122" t="s">
        <v>14</v>
      </c>
      <c r="D206" s="134">
        <v>104701</v>
      </c>
      <c r="E206" s="124" t="s">
        <v>5</v>
      </c>
      <c r="F206" s="126">
        <v>246041</v>
      </c>
      <c r="G206" s="124" t="s">
        <v>742</v>
      </c>
      <c r="H206" s="126">
        <v>146567</v>
      </c>
      <c r="I206" s="124" t="s">
        <v>743</v>
      </c>
      <c r="J206" s="126">
        <v>189076</v>
      </c>
      <c r="K206" s="124" t="s">
        <v>2201</v>
      </c>
      <c r="L206" s="126">
        <v>202560</v>
      </c>
      <c r="M206" s="124" t="s">
        <v>2212</v>
      </c>
      <c r="N206" s="144">
        <f t="shared" si="5"/>
        <v>104701</v>
      </c>
      <c r="O206" s="124"/>
      <c r="P206" s="131" t="s">
        <v>5</v>
      </c>
    </row>
    <row r="207" spans="1:16" ht="30" customHeight="1" x14ac:dyDescent="0.3">
      <c r="A207" s="121" t="s">
        <v>1742</v>
      </c>
      <c r="B207" s="121" t="s">
        <v>1807</v>
      </c>
      <c r="C207" s="122" t="s">
        <v>14</v>
      </c>
      <c r="D207" s="134">
        <v>123840</v>
      </c>
      <c r="E207" s="124" t="s">
        <v>5</v>
      </c>
      <c r="F207" s="126">
        <v>304808</v>
      </c>
      <c r="G207" s="124" t="s">
        <v>742</v>
      </c>
      <c r="H207" s="126">
        <v>173350</v>
      </c>
      <c r="I207" s="124" t="s">
        <v>743</v>
      </c>
      <c r="J207" s="126">
        <v>234349</v>
      </c>
      <c r="K207" s="124" t="s">
        <v>2201</v>
      </c>
      <c r="L207" s="126">
        <v>250160</v>
      </c>
      <c r="M207" s="124" t="s">
        <v>2212</v>
      </c>
      <c r="N207" s="144">
        <f t="shared" si="5"/>
        <v>123840</v>
      </c>
      <c r="O207" s="124"/>
      <c r="P207" s="131" t="s">
        <v>5</v>
      </c>
    </row>
    <row r="208" spans="1:16" ht="30" customHeight="1" x14ac:dyDescent="0.3">
      <c r="A208" s="121" t="s">
        <v>1742</v>
      </c>
      <c r="B208" s="121" t="s">
        <v>1808</v>
      </c>
      <c r="C208" s="122" t="s">
        <v>14</v>
      </c>
      <c r="D208" s="134">
        <v>162077</v>
      </c>
      <c r="E208" s="124" t="s">
        <v>5</v>
      </c>
      <c r="F208" s="126">
        <v>398145</v>
      </c>
      <c r="G208" s="124" t="s">
        <v>742</v>
      </c>
      <c r="H208" s="126">
        <v>226892</v>
      </c>
      <c r="I208" s="124" t="s">
        <v>743</v>
      </c>
      <c r="J208" s="126">
        <v>306058</v>
      </c>
      <c r="K208" s="124" t="s">
        <v>2201</v>
      </c>
      <c r="L208" s="126">
        <v>328149</v>
      </c>
      <c r="M208" s="124" t="s">
        <v>2212</v>
      </c>
      <c r="N208" s="144">
        <f t="shared" si="5"/>
        <v>162077</v>
      </c>
      <c r="O208" s="124"/>
      <c r="P208" s="131" t="s">
        <v>5</v>
      </c>
    </row>
    <row r="209" spans="1:16" ht="30" customHeight="1" x14ac:dyDescent="0.3">
      <c r="A209" s="121" t="s">
        <v>1742</v>
      </c>
      <c r="B209" s="121" t="s">
        <v>1809</v>
      </c>
      <c r="C209" s="122" t="s">
        <v>14</v>
      </c>
      <c r="D209" s="134">
        <v>202397</v>
      </c>
      <c r="E209" s="124" t="s">
        <v>5</v>
      </c>
      <c r="F209" s="126">
        <v>505008</v>
      </c>
      <c r="G209" s="124" t="s">
        <v>742</v>
      </c>
      <c r="H209" s="126">
        <v>283347</v>
      </c>
      <c r="I209" s="124" t="s">
        <v>743</v>
      </c>
      <c r="J209" s="126">
        <v>388128</v>
      </c>
      <c r="K209" s="124" t="s">
        <v>2201</v>
      </c>
      <c r="L209" s="126">
        <v>416135</v>
      </c>
      <c r="M209" s="124" t="s">
        <v>2212</v>
      </c>
      <c r="N209" s="144">
        <f t="shared" si="5"/>
        <v>202397</v>
      </c>
      <c r="O209" s="124"/>
      <c r="P209" s="131" t="s">
        <v>5</v>
      </c>
    </row>
    <row r="210" spans="1:16" ht="30" customHeight="1" x14ac:dyDescent="0.3">
      <c r="A210" s="121" t="s">
        <v>242</v>
      </c>
      <c r="B210" s="121" t="s">
        <v>1810</v>
      </c>
      <c r="C210" s="122" t="s">
        <v>14</v>
      </c>
      <c r="D210" s="134">
        <v>1847</v>
      </c>
      <c r="E210" s="124" t="s">
        <v>5</v>
      </c>
      <c r="F210" s="126">
        <v>2062</v>
      </c>
      <c r="G210" s="124" t="s">
        <v>742</v>
      </c>
      <c r="H210" s="126">
        <v>2722</v>
      </c>
      <c r="I210" s="124" t="s">
        <v>743</v>
      </c>
      <c r="J210" s="126">
        <v>3193</v>
      </c>
      <c r="K210" s="124" t="s">
        <v>2201</v>
      </c>
      <c r="L210" s="126">
        <v>3067</v>
      </c>
      <c r="M210" s="124" t="s">
        <v>2212</v>
      </c>
      <c r="N210" s="144">
        <f t="shared" si="5"/>
        <v>1847</v>
      </c>
      <c r="O210" s="124"/>
      <c r="P210" s="131" t="s">
        <v>5</v>
      </c>
    </row>
    <row r="211" spans="1:16" ht="30" customHeight="1" x14ac:dyDescent="0.3">
      <c r="A211" s="121" t="s">
        <v>242</v>
      </c>
      <c r="B211" s="121" t="s">
        <v>1811</v>
      </c>
      <c r="C211" s="122" t="s">
        <v>14</v>
      </c>
      <c r="D211" s="134">
        <v>2072</v>
      </c>
      <c r="E211" s="124" t="s">
        <v>5</v>
      </c>
      <c r="F211" s="126">
        <v>2373</v>
      </c>
      <c r="G211" s="124" t="s">
        <v>742</v>
      </c>
      <c r="H211" s="126">
        <v>3162</v>
      </c>
      <c r="I211" s="124" t="s">
        <v>743</v>
      </c>
      <c r="J211" s="126">
        <v>3566</v>
      </c>
      <c r="K211" s="124" t="s">
        <v>2201</v>
      </c>
      <c r="L211" s="126">
        <v>3467</v>
      </c>
      <c r="M211" s="124" t="s">
        <v>2212</v>
      </c>
      <c r="N211" s="144">
        <f t="shared" si="5"/>
        <v>2072</v>
      </c>
      <c r="O211" s="124"/>
      <c r="P211" s="131" t="s">
        <v>5</v>
      </c>
    </row>
    <row r="212" spans="1:16" ht="30" customHeight="1" x14ac:dyDescent="0.3">
      <c r="A212" s="121" t="s">
        <v>242</v>
      </c>
      <c r="B212" s="121" t="s">
        <v>1812</v>
      </c>
      <c r="C212" s="122" t="s">
        <v>14</v>
      </c>
      <c r="D212" s="134">
        <v>2099</v>
      </c>
      <c r="E212" s="124" t="s">
        <v>5</v>
      </c>
      <c r="F212" s="126">
        <v>2405</v>
      </c>
      <c r="G212" s="124" t="s">
        <v>742</v>
      </c>
      <c r="H212" s="126">
        <v>3119</v>
      </c>
      <c r="I212" s="124" t="s">
        <v>743</v>
      </c>
      <c r="J212" s="126">
        <v>3543</v>
      </c>
      <c r="K212" s="124" t="s">
        <v>2201</v>
      </c>
      <c r="L212" s="126">
        <v>3567</v>
      </c>
      <c r="M212" s="124" t="s">
        <v>2212</v>
      </c>
      <c r="N212" s="144">
        <f t="shared" si="5"/>
        <v>2099</v>
      </c>
      <c r="O212" s="124"/>
      <c r="P212" s="131" t="s">
        <v>5</v>
      </c>
    </row>
    <row r="213" spans="1:16" ht="30" customHeight="1" x14ac:dyDescent="0.3">
      <c r="A213" s="121" t="s">
        <v>242</v>
      </c>
      <c r="B213" s="121" t="s">
        <v>1813</v>
      </c>
      <c r="C213" s="122" t="s">
        <v>14</v>
      </c>
      <c r="D213" s="134">
        <v>2506</v>
      </c>
      <c r="E213" s="124" t="s">
        <v>5</v>
      </c>
      <c r="F213" s="126">
        <v>2873</v>
      </c>
      <c r="G213" s="124" t="s">
        <v>742</v>
      </c>
      <c r="H213" s="126">
        <v>3743</v>
      </c>
      <c r="I213" s="124" t="s">
        <v>743</v>
      </c>
      <c r="J213" s="126">
        <v>4377</v>
      </c>
      <c r="K213" s="124" t="s">
        <v>2201</v>
      </c>
      <c r="L213" s="126">
        <v>4188</v>
      </c>
      <c r="M213" s="124" t="s">
        <v>2212</v>
      </c>
      <c r="N213" s="144">
        <f t="shared" si="5"/>
        <v>2506</v>
      </c>
      <c r="O213" s="124"/>
      <c r="P213" s="131" t="s">
        <v>5</v>
      </c>
    </row>
    <row r="214" spans="1:16" ht="30" customHeight="1" x14ac:dyDescent="0.3">
      <c r="A214" s="121" t="s">
        <v>242</v>
      </c>
      <c r="B214" s="121" t="s">
        <v>1814</v>
      </c>
      <c r="C214" s="122" t="s">
        <v>14</v>
      </c>
      <c r="D214" s="134">
        <v>2436</v>
      </c>
      <c r="E214" s="124" t="s">
        <v>5</v>
      </c>
      <c r="F214" s="126">
        <v>2790</v>
      </c>
      <c r="G214" s="124" t="s">
        <v>742</v>
      </c>
      <c r="H214" s="126">
        <v>3596</v>
      </c>
      <c r="I214" s="124" t="s">
        <v>743</v>
      </c>
      <c r="J214" s="126">
        <v>4592</v>
      </c>
      <c r="K214" s="124" t="s">
        <v>2201</v>
      </c>
      <c r="L214" s="126">
        <v>4153</v>
      </c>
      <c r="M214" s="124" t="s">
        <v>2212</v>
      </c>
      <c r="N214" s="144">
        <f t="shared" si="5"/>
        <v>2436</v>
      </c>
      <c r="O214" s="124"/>
      <c r="P214" s="131" t="s">
        <v>5</v>
      </c>
    </row>
    <row r="215" spans="1:16" ht="30" customHeight="1" x14ac:dyDescent="0.3">
      <c r="A215" s="121" t="s">
        <v>242</v>
      </c>
      <c r="B215" s="121" t="s">
        <v>1815</v>
      </c>
      <c r="C215" s="122" t="s">
        <v>14</v>
      </c>
      <c r="D215" s="134">
        <v>2992</v>
      </c>
      <c r="E215" s="124" t="s">
        <v>5</v>
      </c>
      <c r="F215" s="126">
        <v>3416</v>
      </c>
      <c r="G215" s="124" t="s">
        <v>742</v>
      </c>
      <c r="H215" s="126">
        <v>4419</v>
      </c>
      <c r="I215" s="124" t="s">
        <v>743</v>
      </c>
      <c r="J215" s="126">
        <v>5196</v>
      </c>
      <c r="K215" s="124" t="s">
        <v>2201</v>
      </c>
      <c r="L215" s="126">
        <v>4973</v>
      </c>
      <c r="M215" s="124" t="s">
        <v>2212</v>
      </c>
      <c r="N215" s="144">
        <f t="shared" si="5"/>
        <v>2992</v>
      </c>
      <c r="O215" s="124"/>
      <c r="P215" s="131" t="s">
        <v>5</v>
      </c>
    </row>
    <row r="216" spans="1:16" ht="30" customHeight="1" x14ac:dyDescent="0.3">
      <c r="A216" s="121" t="s">
        <v>242</v>
      </c>
      <c r="B216" s="121" t="s">
        <v>1816</v>
      </c>
      <c r="C216" s="122" t="s">
        <v>14</v>
      </c>
      <c r="D216" s="134">
        <v>2823</v>
      </c>
      <c r="E216" s="124" t="s">
        <v>5</v>
      </c>
      <c r="F216" s="126">
        <v>3220</v>
      </c>
      <c r="G216" s="124" t="s">
        <v>742</v>
      </c>
      <c r="H216" s="126">
        <v>4091</v>
      </c>
      <c r="I216" s="124" t="s">
        <v>743</v>
      </c>
      <c r="J216" s="126">
        <v>5304</v>
      </c>
      <c r="K216" s="124" t="s">
        <v>2201</v>
      </c>
      <c r="L216" s="126">
        <v>4788</v>
      </c>
      <c r="M216" s="124" t="s">
        <v>2212</v>
      </c>
      <c r="N216" s="144">
        <f t="shared" si="5"/>
        <v>2823</v>
      </c>
      <c r="O216" s="124"/>
      <c r="P216" s="131" t="s">
        <v>5</v>
      </c>
    </row>
    <row r="217" spans="1:16" ht="30" customHeight="1" x14ac:dyDescent="0.3">
      <c r="A217" s="121" t="s">
        <v>242</v>
      </c>
      <c r="B217" s="121" t="s">
        <v>1817</v>
      </c>
      <c r="C217" s="122" t="s">
        <v>14</v>
      </c>
      <c r="D217" s="134">
        <v>3614</v>
      </c>
      <c r="E217" s="124" t="s">
        <v>5</v>
      </c>
      <c r="F217" s="126">
        <v>4124</v>
      </c>
      <c r="G217" s="124" t="s">
        <v>742</v>
      </c>
      <c r="H217" s="126">
        <v>5175</v>
      </c>
      <c r="I217" s="124" t="s">
        <v>743</v>
      </c>
      <c r="J217" s="126">
        <v>5896</v>
      </c>
      <c r="K217" s="124" t="s">
        <v>2201</v>
      </c>
      <c r="L217" s="126">
        <v>6004</v>
      </c>
      <c r="M217" s="124" t="s">
        <v>2212</v>
      </c>
      <c r="N217" s="144">
        <f t="shared" si="5"/>
        <v>3614</v>
      </c>
      <c r="O217" s="124"/>
      <c r="P217" s="131" t="s">
        <v>5</v>
      </c>
    </row>
    <row r="218" spans="1:16" ht="30" customHeight="1" x14ac:dyDescent="0.3">
      <c r="A218" s="121" t="s">
        <v>242</v>
      </c>
      <c r="B218" s="121" t="s">
        <v>1818</v>
      </c>
      <c r="C218" s="122" t="s">
        <v>14</v>
      </c>
      <c r="D218" s="134">
        <v>3174</v>
      </c>
      <c r="E218" s="124" t="s">
        <v>5</v>
      </c>
      <c r="F218" s="126">
        <v>3626</v>
      </c>
      <c r="G218" s="124" t="s">
        <v>742</v>
      </c>
      <c r="H218" s="126">
        <v>4550</v>
      </c>
      <c r="I218" s="124" t="s">
        <v>743</v>
      </c>
      <c r="J218" s="126">
        <v>5855</v>
      </c>
      <c r="K218" s="124" t="s">
        <v>2201</v>
      </c>
      <c r="L218" s="126">
        <v>5392</v>
      </c>
      <c r="M218" s="124" t="s">
        <v>2212</v>
      </c>
      <c r="N218" s="144">
        <f t="shared" si="5"/>
        <v>3174</v>
      </c>
      <c r="O218" s="124"/>
      <c r="P218" s="131" t="s">
        <v>5</v>
      </c>
    </row>
    <row r="219" spans="1:16" ht="30" customHeight="1" x14ac:dyDescent="0.3">
      <c r="A219" s="121" t="s">
        <v>242</v>
      </c>
      <c r="B219" s="121" t="s">
        <v>1819</v>
      </c>
      <c r="C219" s="122" t="s">
        <v>14</v>
      </c>
      <c r="D219" s="134">
        <v>3968</v>
      </c>
      <c r="E219" s="124" t="s">
        <v>5</v>
      </c>
      <c r="F219" s="126">
        <v>4505</v>
      </c>
      <c r="G219" s="124" t="s">
        <v>742</v>
      </c>
      <c r="H219" s="126">
        <v>5888</v>
      </c>
      <c r="I219" s="124" t="s">
        <v>743</v>
      </c>
      <c r="J219" s="126">
        <v>7223</v>
      </c>
      <c r="K219" s="124" t="s">
        <v>2201</v>
      </c>
      <c r="L219" s="126">
        <v>6561</v>
      </c>
      <c r="M219" s="124" t="s">
        <v>2212</v>
      </c>
      <c r="N219" s="144">
        <f t="shared" si="5"/>
        <v>3968</v>
      </c>
      <c r="O219" s="124"/>
      <c r="P219" s="131" t="s">
        <v>5</v>
      </c>
    </row>
    <row r="220" spans="1:16" ht="30" customHeight="1" x14ac:dyDescent="0.3">
      <c r="A220" s="121" t="s">
        <v>242</v>
      </c>
      <c r="B220" s="121" t="s">
        <v>1820</v>
      </c>
      <c r="C220" s="122" t="s">
        <v>14</v>
      </c>
      <c r="D220" s="134">
        <v>3424</v>
      </c>
      <c r="E220" s="124" t="s">
        <v>5</v>
      </c>
      <c r="F220" s="126">
        <v>3906</v>
      </c>
      <c r="G220" s="124" t="s">
        <v>742</v>
      </c>
      <c r="H220" s="126">
        <v>4869</v>
      </c>
      <c r="I220" s="124" t="s">
        <v>743</v>
      </c>
      <c r="J220" s="126">
        <v>6400</v>
      </c>
      <c r="K220" s="124" t="s">
        <v>2201</v>
      </c>
      <c r="L220" s="126">
        <v>5783</v>
      </c>
      <c r="M220" s="124" t="s">
        <v>2212</v>
      </c>
      <c r="N220" s="144">
        <f t="shared" si="5"/>
        <v>3424</v>
      </c>
      <c r="O220" s="124"/>
      <c r="P220" s="131" t="s">
        <v>5</v>
      </c>
    </row>
    <row r="221" spans="1:16" ht="30" customHeight="1" x14ac:dyDescent="0.3">
      <c r="A221" s="121" t="s">
        <v>242</v>
      </c>
      <c r="B221" s="121" t="s">
        <v>1821</v>
      </c>
      <c r="C221" s="122" t="s">
        <v>14</v>
      </c>
      <c r="D221" s="134">
        <v>4226</v>
      </c>
      <c r="E221" s="124" t="s">
        <v>5</v>
      </c>
      <c r="F221" s="126">
        <v>4897</v>
      </c>
      <c r="G221" s="124" t="s">
        <v>742</v>
      </c>
      <c r="H221" s="126">
        <v>6381</v>
      </c>
      <c r="I221" s="124" t="s">
        <v>743</v>
      </c>
      <c r="J221" s="126">
        <v>8165</v>
      </c>
      <c r="K221" s="124" t="s">
        <v>2201</v>
      </c>
      <c r="L221" s="126">
        <v>7141</v>
      </c>
      <c r="M221" s="124" t="s">
        <v>2212</v>
      </c>
      <c r="N221" s="144">
        <f t="shared" si="5"/>
        <v>4226</v>
      </c>
      <c r="O221" s="124"/>
      <c r="P221" s="131" t="s">
        <v>5</v>
      </c>
    </row>
    <row r="222" spans="1:16" ht="30" customHeight="1" x14ac:dyDescent="0.3">
      <c r="A222" s="121" t="s">
        <v>242</v>
      </c>
      <c r="B222" s="121" t="s">
        <v>1822</v>
      </c>
      <c r="C222" s="122" t="s">
        <v>14</v>
      </c>
      <c r="D222" s="134">
        <v>3732</v>
      </c>
      <c r="E222" s="124" t="s">
        <v>5</v>
      </c>
      <c r="F222" s="126">
        <v>4256</v>
      </c>
      <c r="G222" s="124" t="s">
        <v>742</v>
      </c>
      <c r="H222" s="126">
        <v>5367</v>
      </c>
      <c r="I222" s="124" t="s">
        <v>743</v>
      </c>
      <c r="J222" s="126">
        <v>7233</v>
      </c>
      <c r="K222" s="124" t="s">
        <v>2201</v>
      </c>
      <c r="L222" s="126">
        <v>6323</v>
      </c>
      <c r="M222" s="124" t="s">
        <v>2212</v>
      </c>
      <c r="N222" s="144">
        <f t="shared" si="5"/>
        <v>3732</v>
      </c>
      <c r="O222" s="124"/>
      <c r="P222" s="131" t="s">
        <v>5</v>
      </c>
    </row>
    <row r="223" spans="1:16" ht="30" customHeight="1" x14ac:dyDescent="0.3">
      <c r="A223" s="121" t="s">
        <v>242</v>
      </c>
      <c r="B223" s="121" t="s">
        <v>1823</v>
      </c>
      <c r="C223" s="122" t="s">
        <v>14</v>
      </c>
      <c r="D223" s="134">
        <v>4614</v>
      </c>
      <c r="E223" s="124" t="s">
        <v>5</v>
      </c>
      <c r="F223" s="126">
        <v>5477</v>
      </c>
      <c r="G223" s="124" t="s">
        <v>742</v>
      </c>
      <c r="H223" s="126">
        <v>7100</v>
      </c>
      <c r="I223" s="124" t="s">
        <v>743</v>
      </c>
      <c r="J223" s="126">
        <v>8385</v>
      </c>
      <c r="K223" s="124" t="s">
        <v>2201</v>
      </c>
      <c r="L223" s="126">
        <v>7991</v>
      </c>
      <c r="M223" s="124" t="s">
        <v>2212</v>
      </c>
      <c r="N223" s="144">
        <f t="shared" si="5"/>
        <v>4614</v>
      </c>
      <c r="O223" s="124"/>
      <c r="P223" s="131" t="s">
        <v>5</v>
      </c>
    </row>
    <row r="224" spans="1:16" ht="30" customHeight="1" x14ac:dyDescent="0.3">
      <c r="A224" s="121" t="s">
        <v>242</v>
      </c>
      <c r="B224" s="121" t="s">
        <v>1824</v>
      </c>
      <c r="C224" s="122" t="s">
        <v>14</v>
      </c>
      <c r="D224" s="134">
        <v>4487</v>
      </c>
      <c r="E224" s="124" t="s">
        <v>5</v>
      </c>
      <c r="F224" s="126">
        <v>5141</v>
      </c>
      <c r="G224" s="124" t="s">
        <v>742</v>
      </c>
      <c r="H224" s="126">
        <v>6715</v>
      </c>
      <c r="I224" s="124" t="s">
        <v>743</v>
      </c>
      <c r="J224" s="126">
        <v>8916</v>
      </c>
      <c r="K224" s="124" t="s">
        <v>2201</v>
      </c>
      <c r="L224" s="126">
        <v>7925</v>
      </c>
      <c r="M224" s="124" t="s">
        <v>2212</v>
      </c>
      <c r="N224" s="144">
        <f t="shared" si="5"/>
        <v>4487</v>
      </c>
      <c r="O224" s="124"/>
      <c r="P224" s="131" t="s">
        <v>5</v>
      </c>
    </row>
    <row r="225" spans="1:16" ht="30" customHeight="1" x14ac:dyDescent="0.3">
      <c r="A225" s="121" t="s">
        <v>242</v>
      </c>
      <c r="B225" s="121" t="s">
        <v>1825</v>
      </c>
      <c r="C225" s="122" t="s">
        <v>14</v>
      </c>
      <c r="D225" s="134">
        <v>5886</v>
      </c>
      <c r="E225" s="124" t="s">
        <v>5</v>
      </c>
      <c r="F225" s="126">
        <v>6727</v>
      </c>
      <c r="G225" s="124" t="s">
        <v>742</v>
      </c>
      <c r="H225" s="126">
        <v>8906</v>
      </c>
      <c r="I225" s="124" t="s">
        <v>743</v>
      </c>
      <c r="J225" s="126">
        <v>10481</v>
      </c>
      <c r="K225" s="124" t="s">
        <v>2201</v>
      </c>
      <c r="L225" s="126">
        <v>10183</v>
      </c>
      <c r="M225" s="124" t="s">
        <v>2212</v>
      </c>
      <c r="N225" s="144">
        <f t="shared" si="5"/>
        <v>5886</v>
      </c>
      <c r="O225" s="124"/>
      <c r="P225" s="131" t="s">
        <v>5</v>
      </c>
    </row>
    <row r="226" spans="1:16" ht="30" customHeight="1" x14ac:dyDescent="0.3">
      <c r="A226" s="121" t="s">
        <v>242</v>
      </c>
      <c r="B226" s="121" t="s">
        <v>1826</v>
      </c>
      <c r="C226" s="122" t="s">
        <v>14</v>
      </c>
      <c r="D226" s="134">
        <v>4961</v>
      </c>
      <c r="E226" s="124" t="s">
        <v>5</v>
      </c>
      <c r="F226" s="126">
        <v>5833</v>
      </c>
      <c r="G226" s="124" t="s">
        <v>742</v>
      </c>
      <c r="H226" s="126">
        <v>7220</v>
      </c>
      <c r="I226" s="124" t="s">
        <v>743</v>
      </c>
      <c r="J226" s="126">
        <v>10486</v>
      </c>
      <c r="K226" s="124" t="s">
        <v>2201</v>
      </c>
      <c r="L226" s="126">
        <v>8674</v>
      </c>
      <c r="M226" s="124" t="s">
        <v>2212</v>
      </c>
      <c r="N226" s="144">
        <f t="shared" si="5"/>
        <v>4961</v>
      </c>
      <c r="O226" s="124"/>
      <c r="P226" s="131" t="s">
        <v>5</v>
      </c>
    </row>
    <row r="227" spans="1:16" ht="30" customHeight="1" x14ac:dyDescent="0.3">
      <c r="A227" s="121" t="s">
        <v>242</v>
      </c>
      <c r="B227" s="121" t="s">
        <v>1827</v>
      </c>
      <c r="C227" s="122" t="s">
        <v>14</v>
      </c>
      <c r="D227" s="134">
        <v>6395</v>
      </c>
      <c r="E227" s="124" t="s">
        <v>5</v>
      </c>
      <c r="F227" s="126">
        <v>7652</v>
      </c>
      <c r="G227" s="124" t="s">
        <v>742</v>
      </c>
      <c r="H227" s="126">
        <v>9738</v>
      </c>
      <c r="I227" s="124" t="s">
        <v>743</v>
      </c>
      <c r="J227" s="126">
        <v>12730</v>
      </c>
      <c r="K227" s="124" t="s">
        <v>2201</v>
      </c>
      <c r="L227" s="126">
        <v>11163</v>
      </c>
      <c r="M227" s="124" t="s">
        <v>2212</v>
      </c>
      <c r="N227" s="144">
        <f t="shared" si="5"/>
        <v>6395</v>
      </c>
      <c r="O227" s="124"/>
      <c r="P227" s="131" t="s">
        <v>5</v>
      </c>
    </row>
    <row r="228" spans="1:16" ht="30" customHeight="1" x14ac:dyDescent="0.3">
      <c r="A228" s="121" t="s">
        <v>242</v>
      </c>
      <c r="B228" s="121" t="s">
        <v>1828</v>
      </c>
      <c r="C228" s="122" t="s">
        <v>14</v>
      </c>
      <c r="D228" s="134">
        <v>6006</v>
      </c>
      <c r="E228" s="124" t="s">
        <v>5</v>
      </c>
      <c r="F228" s="126">
        <v>6913</v>
      </c>
      <c r="G228" s="124" t="s">
        <v>742</v>
      </c>
      <c r="H228" s="126">
        <v>8461</v>
      </c>
      <c r="I228" s="124" t="s">
        <v>743</v>
      </c>
      <c r="J228" s="126">
        <v>12411</v>
      </c>
      <c r="K228" s="124" t="s">
        <v>2201</v>
      </c>
      <c r="L228" s="126">
        <v>10278</v>
      </c>
      <c r="M228" s="124" t="s">
        <v>2212</v>
      </c>
      <c r="N228" s="144">
        <f t="shared" si="5"/>
        <v>6006</v>
      </c>
      <c r="O228" s="124"/>
      <c r="P228" s="131" t="s">
        <v>5</v>
      </c>
    </row>
    <row r="229" spans="1:16" ht="30" customHeight="1" x14ac:dyDescent="0.3">
      <c r="A229" s="121" t="s">
        <v>242</v>
      </c>
      <c r="B229" s="121" t="s">
        <v>1829</v>
      </c>
      <c r="C229" s="122" t="s">
        <v>14</v>
      </c>
      <c r="D229" s="134">
        <v>7923</v>
      </c>
      <c r="E229" s="124" t="s">
        <v>5</v>
      </c>
      <c r="F229" s="126">
        <v>9095</v>
      </c>
      <c r="G229" s="124" t="s">
        <v>742</v>
      </c>
      <c r="H229" s="126">
        <v>11791</v>
      </c>
      <c r="I229" s="124" t="s">
        <v>743</v>
      </c>
      <c r="J229" s="126">
        <v>14645</v>
      </c>
      <c r="K229" s="124" t="s">
        <v>2201</v>
      </c>
      <c r="L229" s="126">
        <v>13246</v>
      </c>
      <c r="M229" s="124" t="s">
        <v>2212</v>
      </c>
      <c r="N229" s="144">
        <f t="shared" si="5"/>
        <v>7923</v>
      </c>
      <c r="O229" s="124"/>
      <c r="P229" s="131" t="s">
        <v>5</v>
      </c>
    </row>
    <row r="230" spans="1:16" ht="30" customHeight="1" x14ac:dyDescent="0.3">
      <c r="A230" s="121" t="s">
        <v>242</v>
      </c>
      <c r="B230" s="121" t="s">
        <v>1830</v>
      </c>
      <c r="C230" s="122" t="s">
        <v>14</v>
      </c>
      <c r="D230" s="134">
        <v>7476</v>
      </c>
      <c r="E230" s="124" t="s">
        <v>5</v>
      </c>
      <c r="F230" s="126">
        <v>8598</v>
      </c>
      <c r="G230" s="124" t="s">
        <v>742</v>
      </c>
      <c r="H230" s="126">
        <v>10684</v>
      </c>
      <c r="I230" s="124" t="s">
        <v>743</v>
      </c>
      <c r="J230" s="126">
        <v>15793</v>
      </c>
      <c r="K230" s="124" t="s">
        <v>2201</v>
      </c>
      <c r="L230" s="126">
        <v>12784</v>
      </c>
      <c r="M230" s="124" t="s">
        <v>2212</v>
      </c>
      <c r="N230" s="144">
        <f t="shared" si="5"/>
        <v>7476</v>
      </c>
      <c r="O230" s="124"/>
      <c r="P230" s="131" t="s">
        <v>5</v>
      </c>
    </row>
    <row r="231" spans="1:16" ht="30" customHeight="1" x14ac:dyDescent="0.3">
      <c r="A231" s="121" t="s">
        <v>242</v>
      </c>
      <c r="B231" s="121" t="s">
        <v>1831</v>
      </c>
      <c r="C231" s="122" t="s">
        <v>14</v>
      </c>
      <c r="D231" s="134">
        <v>10043</v>
      </c>
      <c r="E231" s="124" t="s">
        <v>5</v>
      </c>
      <c r="F231" s="126">
        <v>11524</v>
      </c>
      <c r="G231" s="124" t="s">
        <v>742</v>
      </c>
      <c r="H231" s="126">
        <v>14884</v>
      </c>
      <c r="I231" s="124" t="s">
        <v>743</v>
      </c>
      <c r="J231" s="126">
        <v>19416</v>
      </c>
      <c r="K231" s="124" t="s">
        <v>2201</v>
      </c>
      <c r="L231" s="126">
        <v>16782</v>
      </c>
      <c r="M231" s="124" t="s">
        <v>2212</v>
      </c>
      <c r="N231" s="144">
        <f t="shared" si="5"/>
        <v>10043</v>
      </c>
      <c r="O231" s="124"/>
      <c r="P231" s="131" t="s">
        <v>5</v>
      </c>
    </row>
    <row r="232" spans="1:16" ht="30" customHeight="1" x14ac:dyDescent="0.3">
      <c r="A232" s="121" t="s">
        <v>242</v>
      </c>
      <c r="B232" s="121" t="s">
        <v>1832</v>
      </c>
      <c r="C232" s="122" t="s">
        <v>14</v>
      </c>
      <c r="D232" s="134">
        <v>9139</v>
      </c>
      <c r="E232" s="124" t="s">
        <v>5</v>
      </c>
      <c r="F232" s="126">
        <v>10465</v>
      </c>
      <c r="G232" s="124" t="s">
        <v>742</v>
      </c>
      <c r="H232" s="126">
        <v>12863</v>
      </c>
      <c r="I232" s="124" t="s">
        <v>743</v>
      </c>
      <c r="J232" s="126">
        <v>18588</v>
      </c>
      <c r="K232" s="124" t="s">
        <v>2201</v>
      </c>
      <c r="L232" s="126">
        <v>15502</v>
      </c>
      <c r="M232" s="124" t="s">
        <v>2212</v>
      </c>
      <c r="N232" s="144">
        <f t="shared" si="5"/>
        <v>9139</v>
      </c>
      <c r="O232" s="124"/>
      <c r="P232" s="131" t="s">
        <v>5</v>
      </c>
    </row>
    <row r="233" spans="1:16" ht="30" customHeight="1" x14ac:dyDescent="0.3">
      <c r="A233" s="121" t="s">
        <v>242</v>
      </c>
      <c r="B233" s="121" t="s">
        <v>1833</v>
      </c>
      <c r="C233" s="122" t="s">
        <v>14</v>
      </c>
      <c r="D233" s="134">
        <v>12344</v>
      </c>
      <c r="E233" s="124" t="s">
        <v>5</v>
      </c>
      <c r="F233" s="126">
        <v>14140</v>
      </c>
      <c r="G233" s="124" t="s">
        <v>742</v>
      </c>
      <c r="H233" s="126">
        <v>18138</v>
      </c>
      <c r="I233" s="124" t="s">
        <v>743</v>
      </c>
      <c r="J233" s="126">
        <v>25253</v>
      </c>
      <c r="K233" s="124" t="s">
        <v>2201</v>
      </c>
      <c r="L233" s="126">
        <v>20608</v>
      </c>
      <c r="M233" s="124" t="s">
        <v>2212</v>
      </c>
      <c r="N233" s="144">
        <f t="shared" si="5"/>
        <v>12344</v>
      </c>
      <c r="O233" s="124"/>
      <c r="P233" s="131" t="s">
        <v>5</v>
      </c>
    </row>
    <row r="234" spans="1:16" ht="30" customHeight="1" x14ac:dyDescent="0.3">
      <c r="A234" s="121" t="s">
        <v>242</v>
      </c>
      <c r="B234" s="121" t="s">
        <v>1834</v>
      </c>
      <c r="C234" s="122" t="s">
        <v>14</v>
      </c>
      <c r="D234" s="134">
        <v>10538</v>
      </c>
      <c r="E234" s="124" t="s">
        <v>5</v>
      </c>
      <c r="F234" s="126">
        <v>12096</v>
      </c>
      <c r="G234" s="124" t="s">
        <v>742</v>
      </c>
      <c r="H234" s="126">
        <v>14831</v>
      </c>
      <c r="I234" s="124" t="s">
        <v>743</v>
      </c>
      <c r="J234" s="126">
        <v>21339</v>
      </c>
      <c r="K234" s="124" t="s">
        <v>2201</v>
      </c>
      <c r="L234" s="126">
        <v>17985</v>
      </c>
      <c r="M234" s="124" t="s">
        <v>2212</v>
      </c>
      <c r="N234" s="144">
        <f t="shared" si="5"/>
        <v>10538</v>
      </c>
      <c r="O234" s="124"/>
      <c r="P234" s="131" t="s">
        <v>5</v>
      </c>
    </row>
    <row r="235" spans="1:16" ht="30" customHeight="1" x14ac:dyDescent="0.3">
      <c r="A235" s="121" t="s">
        <v>242</v>
      </c>
      <c r="B235" s="121" t="s">
        <v>1835</v>
      </c>
      <c r="C235" s="122" t="s">
        <v>14</v>
      </c>
      <c r="D235" s="134">
        <v>14309</v>
      </c>
      <c r="E235" s="124" t="s">
        <v>5</v>
      </c>
      <c r="F235" s="126">
        <v>16420</v>
      </c>
      <c r="G235" s="124" t="s">
        <v>742</v>
      </c>
      <c r="H235" s="126">
        <v>21211</v>
      </c>
      <c r="I235" s="124" t="s">
        <v>743</v>
      </c>
      <c r="J235" s="126">
        <v>29647</v>
      </c>
      <c r="K235" s="124" t="s">
        <v>2201</v>
      </c>
      <c r="L235" s="126">
        <v>23936</v>
      </c>
      <c r="M235" s="124" t="s">
        <v>2212</v>
      </c>
      <c r="N235" s="144">
        <f t="shared" si="5"/>
        <v>14309</v>
      </c>
      <c r="O235" s="124"/>
      <c r="P235" s="131" t="s">
        <v>5</v>
      </c>
    </row>
    <row r="236" spans="1:16" s="180" customFormat="1" ht="30" customHeight="1" x14ac:dyDescent="0.3">
      <c r="A236" s="181" t="s">
        <v>243</v>
      </c>
      <c r="B236" s="181" t="s">
        <v>2580</v>
      </c>
      <c r="C236" s="189" t="s">
        <v>14</v>
      </c>
      <c r="D236" s="183">
        <v>1355</v>
      </c>
      <c r="E236" s="187" t="s">
        <v>5</v>
      </c>
      <c r="F236" s="190">
        <v>1669</v>
      </c>
      <c r="G236" s="187" t="s">
        <v>734</v>
      </c>
      <c r="H236" s="190">
        <v>2301</v>
      </c>
      <c r="I236" s="187" t="s">
        <v>735</v>
      </c>
      <c r="J236" s="190">
        <v>2055</v>
      </c>
      <c r="K236" s="187" t="s">
        <v>2202</v>
      </c>
      <c r="L236" s="185">
        <v>0</v>
      </c>
      <c r="M236" s="187" t="s">
        <v>5</v>
      </c>
      <c r="N236" s="186">
        <f t="shared" si="5"/>
        <v>1355</v>
      </c>
      <c r="O236" s="187"/>
      <c r="P236" s="181" t="s">
        <v>5</v>
      </c>
    </row>
    <row r="237" spans="1:16" s="180" customFormat="1" ht="30" customHeight="1" x14ac:dyDescent="0.3">
      <c r="A237" s="181" t="s">
        <v>243</v>
      </c>
      <c r="B237" s="181" t="s">
        <v>2581</v>
      </c>
      <c r="C237" s="189" t="s">
        <v>14</v>
      </c>
      <c r="D237" s="183">
        <v>1416</v>
      </c>
      <c r="E237" s="187" t="s">
        <v>5</v>
      </c>
      <c r="F237" s="190">
        <v>1925</v>
      </c>
      <c r="G237" s="187" t="s">
        <v>734</v>
      </c>
      <c r="H237" s="190">
        <v>2659</v>
      </c>
      <c r="I237" s="187" t="s">
        <v>735</v>
      </c>
      <c r="J237" s="190">
        <v>2517</v>
      </c>
      <c r="K237" s="187" t="s">
        <v>2202</v>
      </c>
      <c r="L237" s="185">
        <v>0</v>
      </c>
      <c r="M237" s="187" t="s">
        <v>5</v>
      </c>
      <c r="N237" s="186">
        <f t="shared" si="5"/>
        <v>1416</v>
      </c>
      <c r="O237" s="187"/>
      <c r="P237" s="181" t="s">
        <v>5</v>
      </c>
    </row>
    <row r="238" spans="1:16" s="180" customFormat="1" ht="30" customHeight="1" x14ac:dyDescent="0.3">
      <c r="A238" s="181" t="s">
        <v>243</v>
      </c>
      <c r="B238" s="181" t="s">
        <v>2582</v>
      </c>
      <c r="C238" s="189" t="s">
        <v>14</v>
      </c>
      <c r="D238" s="183">
        <v>1447</v>
      </c>
      <c r="E238" s="187" t="s">
        <v>5</v>
      </c>
      <c r="F238" s="190">
        <v>1967</v>
      </c>
      <c r="G238" s="187" t="s">
        <v>734</v>
      </c>
      <c r="H238" s="190">
        <v>2726</v>
      </c>
      <c r="I238" s="187" t="s">
        <v>735</v>
      </c>
      <c r="J238" s="190">
        <v>2568</v>
      </c>
      <c r="K238" s="187" t="s">
        <v>2202</v>
      </c>
      <c r="L238" s="185">
        <v>0</v>
      </c>
      <c r="M238" s="187" t="s">
        <v>5</v>
      </c>
      <c r="N238" s="186">
        <f t="shared" si="5"/>
        <v>1447</v>
      </c>
      <c r="O238" s="187"/>
      <c r="P238" s="181" t="s">
        <v>5</v>
      </c>
    </row>
    <row r="239" spans="1:16" s="180" customFormat="1" ht="30" customHeight="1" x14ac:dyDescent="0.3">
      <c r="A239" s="181" t="s">
        <v>243</v>
      </c>
      <c r="B239" s="181" t="s">
        <v>2583</v>
      </c>
      <c r="C239" s="189" t="s">
        <v>14</v>
      </c>
      <c r="D239" s="183">
        <v>1736</v>
      </c>
      <c r="E239" s="187" t="s">
        <v>5</v>
      </c>
      <c r="F239" s="190">
        <v>2360</v>
      </c>
      <c r="G239" s="187" t="s">
        <v>734</v>
      </c>
      <c r="H239" s="190">
        <v>3254</v>
      </c>
      <c r="I239" s="187" t="s">
        <v>735</v>
      </c>
      <c r="J239" s="190">
        <v>3131</v>
      </c>
      <c r="K239" s="187" t="s">
        <v>2202</v>
      </c>
      <c r="L239" s="185">
        <v>0</v>
      </c>
      <c r="M239" s="187" t="s">
        <v>5</v>
      </c>
      <c r="N239" s="186">
        <f t="shared" si="5"/>
        <v>1736</v>
      </c>
      <c r="O239" s="187"/>
      <c r="P239" s="181" t="s">
        <v>5</v>
      </c>
    </row>
    <row r="240" spans="1:16" s="180" customFormat="1" ht="30" customHeight="1" x14ac:dyDescent="0.3">
      <c r="A240" s="181" t="s">
        <v>243</v>
      </c>
      <c r="B240" s="181" t="s">
        <v>2584</v>
      </c>
      <c r="C240" s="189" t="s">
        <v>14</v>
      </c>
      <c r="D240" s="183">
        <v>1701</v>
      </c>
      <c r="E240" s="187" t="s">
        <v>5</v>
      </c>
      <c r="F240" s="190">
        <v>2312</v>
      </c>
      <c r="G240" s="187" t="s">
        <v>734</v>
      </c>
      <c r="H240" s="190">
        <v>3195</v>
      </c>
      <c r="I240" s="187" t="s">
        <v>735</v>
      </c>
      <c r="J240" s="190">
        <v>2999</v>
      </c>
      <c r="K240" s="187" t="s">
        <v>2202</v>
      </c>
      <c r="L240" s="185">
        <v>0</v>
      </c>
      <c r="M240" s="187" t="s">
        <v>5</v>
      </c>
      <c r="N240" s="186">
        <f t="shared" si="5"/>
        <v>1701</v>
      </c>
      <c r="O240" s="187"/>
      <c r="P240" s="181" t="s">
        <v>5</v>
      </c>
    </row>
    <row r="241" spans="1:16" s="180" customFormat="1" ht="30" customHeight="1" x14ac:dyDescent="0.3">
      <c r="A241" s="181" t="s">
        <v>243</v>
      </c>
      <c r="B241" s="181" t="s">
        <v>2585</v>
      </c>
      <c r="C241" s="189" t="s">
        <v>14</v>
      </c>
      <c r="D241" s="183">
        <v>2087</v>
      </c>
      <c r="E241" s="187" t="s">
        <v>5</v>
      </c>
      <c r="F241" s="190">
        <v>2837</v>
      </c>
      <c r="G241" s="187" t="s">
        <v>734</v>
      </c>
      <c r="H241" s="190">
        <v>3926</v>
      </c>
      <c r="I241" s="187" t="s">
        <v>735</v>
      </c>
      <c r="J241" s="190">
        <v>3735</v>
      </c>
      <c r="K241" s="187" t="s">
        <v>2202</v>
      </c>
      <c r="L241" s="185">
        <v>0</v>
      </c>
      <c r="M241" s="187" t="s">
        <v>5</v>
      </c>
      <c r="N241" s="186">
        <f t="shared" si="5"/>
        <v>2087</v>
      </c>
      <c r="O241" s="187"/>
      <c r="P241" s="181" t="s">
        <v>5</v>
      </c>
    </row>
    <row r="242" spans="1:16" s="180" customFormat="1" ht="30" customHeight="1" x14ac:dyDescent="0.3">
      <c r="A242" s="181" t="s">
        <v>243</v>
      </c>
      <c r="B242" s="181" t="s">
        <v>2586</v>
      </c>
      <c r="C242" s="189" t="s">
        <v>14</v>
      </c>
      <c r="D242" s="183">
        <v>1984</v>
      </c>
      <c r="E242" s="187" t="s">
        <v>5</v>
      </c>
      <c r="F242" s="190">
        <v>2697</v>
      </c>
      <c r="G242" s="187" t="s">
        <v>734</v>
      </c>
      <c r="H242" s="190">
        <v>3728</v>
      </c>
      <c r="I242" s="187" t="s">
        <v>735</v>
      </c>
      <c r="J242" s="190">
        <v>3604</v>
      </c>
      <c r="K242" s="187" t="s">
        <v>2202</v>
      </c>
      <c r="L242" s="185">
        <v>0</v>
      </c>
      <c r="M242" s="187" t="s">
        <v>5</v>
      </c>
      <c r="N242" s="186">
        <f t="shared" si="5"/>
        <v>1984</v>
      </c>
      <c r="O242" s="187"/>
      <c r="P242" s="181" t="s">
        <v>5</v>
      </c>
    </row>
    <row r="243" spans="1:16" s="180" customFormat="1" ht="30" customHeight="1" x14ac:dyDescent="0.3">
      <c r="A243" s="181" t="s">
        <v>243</v>
      </c>
      <c r="B243" s="181" t="s">
        <v>2587</v>
      </c>
      <c r="C243" s="189" t="s">
        <v>14</v>
      </c>
      <c r="D243" s="183">
        <v>2435</v>
      </c>
      <c r="E243" s="187" t="s">
        <v>5</v>
      </c>
      <c r="F243" s="190">
        <v>3309</v>
      </c>
      <c r="G243" s="187" t="s">
        <v>734</v>
      </c>
      <c r="H243" s="190">
        <v>4573</v>
      </c>
      <c r="I243" s="187" t="s">
        <v>735</v>
      </c>
      <c r="J243" s="190">
        <v>4414</v>
      </c>
      <c r="K243" s="187" t="s">
        <v>2202</v>
      </c>
      <c r="L243" s="185">
        <v>0</v>
      </c>
      <c r="M243" s="187" t="s">
        <v>5</v>
      </c>
      <c r="N243" s="186">
        <f t="shared" si="5"/>
        <v>2435</v>
      </c>
      <c r="O243" s="187"/>
      <c r="P243" s="181" t="s">
        <v>5</v>
      </c>
    </row>
    <row r="244" spans="1:16" s="180" customFormat="1" ht="30" customHeight="1" x14ac:dyDescent="0.3">
      <c r="A244" s="181" t="s">
        <v>243</v>
      </c>
      <c r="B244" s="181" t="s">
        <v>2588</v>
      </c>
      <c r="C244" s="189" t="s">
        <v>14</v>
      </c>
      <c r="D244" s="183">
        <v>2242</v>
      </c>
      <c r="E244" s="187" t="s">
        <v>5</v>
      </c>
      <c r="F244" s="190">
        <v>3047</v>
      </c>
      <c r="G244" s="187" t="s">
        <v>734</v>
      </c>
      <c r="H244" s="190">
        <v>4227</v>
      </c>
      <c r="I244" s="187" t="s">
        <v>735</v>
      </c>
      <c r="J244" s="190">
        <v>4154</v>
      </c>
      <c r="K244" s="187" t="s">
        <v>2202</v>
      </c>
      <c r="L244" s="185">
        <v>0</v>
      </c>
      <c r="M244" s="187" t="s">
        <v>5</v>
      </c>
      <c r="N244" s="186">
        <f t="shared" si="5"/>
        <v>2242</v>
      </c>
      <c r="O244" s="187"/>
      <c r="P244" s="181" t="s">
        <v>5</v>
      </c>
    </row>
    <row r="245" spans="1:16" s="180" customFormat="1" ht="30" customHeight="1" x14ac:dyDescent="0.3">
      <c r="A245" s="181" t="s">
        <v>243</v>
      </c>
      <c r="B245" s="181" t="s">
        <v>2589</v>
      </c>
      <c r="C245" s="189" t="s">
        <v>14</v>
      </c>
      <c r="D245" s="183">
        <v>2826</v>
      </c>
      <c r="E245" s="187" t="s">
        <v>5</v>
      </c>
      <c r="F245" s="190">
        <v>3817</v>
      </c>
      <c r="G245" s="187" t="s">
        <v>734</v>
      </c>
      <c r="H245" s="190">
        <v>5296</v>
      </c>
      <c r="I245" s="187" t="s">
        <v>735</v>
      </c>
      <c r="J245" s="190">
        <v>5188</v>
      </c>
      <c r="K245" s="187" t="s">
        <v>2202</v>
      </c>
      <c r="L245" s="185">
        <v>0</v>
      </c>
      <c r="M245" s="187" t="s">
        <v>5</v>
      </c>
      <c r="N245" s="186">
        <f t="shared" si="5"/>
        <v>2826</v>
      </c>
      <c r="O245" s="187"/>
      <c r="P245" s="181" t="s">
        <v>5</v>
      </c>
    </row>
    <row r="246" spans="1:16" s="180" customFormat="1" ht="30" customHeight="1" x14ac:dyDescent="0.3">
      <c r="A246" s="181" t="s">
        <v>243</v>
      </c>
      <c r="B246" s="181" t="s">
        <v>2590</v>
      </c>
      <c r="C246" s="189" t="s">
        <v>14</v>
      </c>
      <c r="D246" s="183">
        <v>2423</v>
      </c>
      <c r="E246" s="187" t="s">
        <v>5</v>
      </c>
      <c r="F246" s="190">
        <v>3293</v>
      </c>
      <c r="G246" s="187" t="s">
        <v>734</v>
      </c>
      <c r="H246" s="190">
        <v>4549</v>
      </c>
      <c r="I246" s="187" t="s">
        <v>735</v>
      </c>
      <c r="J246" s="190">
        <v>4508</v>
      </c>
      <c r="K246" s="187" t="s">
        <v>2202</v>
      </c>
      <c r="L246" s="185">
        <v>0</v>
      </c>
      <c r="M246" s="187" t="s">
        <v>5</v>
      </c>
      <c r="N246" s="186">
        <f t="shared" si="5"/>
        <v>2423</v>
      </c>
      <c r="O246" s="187"/>
      <c r="P246" s="181" t="s">
        <v>5</v>
      </c>
    </row>
    <row r="247" spans="1:16" s="180" customFormat="1" ht="30" customHeight="1" x14ac:dyDescent="0.3">
      <c r="A247" s="181" t="s">
        <v>243</v>
      </c>
      <c r="B247" s="181" t="s">
        <v>2591</v>
      </c>
      <c r="C247" s="189" t="s">
        <v>14</v>
      </c>
      <c r="D247" s="183">
        <v>3097</v>
      </c>
      <c r="E247" s="187" t="s">
        <v>5</v>
      </c>
      <c r="F247" s="190">
        <v>4202</v>
      </c>
      <c r="G247" s="187" t="s">
        <v>734</v>
      </c>
      <c r="H247" s="190">
        <v>5811</v>
      </c>
      <c r="I247" s="187" t="s">
        <v>735</v>
      </c>
      <c r="J247" s="190">
        <v>5858</v>
      </c>
      <c r="K247" s="187" t="s">
        <v>2202</v>
      </c>
      <c r="L247" s="185">
        <v>0</v>
      </c>
      <c r="M247" s="187" t="s">
        <v>5</v>
      </c>
      <c r="N247" s="186">
        <f t="shared" si="5"/>
        <v>3097</v>
      </c>
      <c r="O247" s="187"/>
      <c r="P247" s="181" t="s">
        <v>5</v>
      </c>
    </row>
    <row r="248" spans="1:16" ht="30" customHeight="1" x14ac:dyDescent="0.3">
      <c r="A248" s="131" t="s">
        <v>243</v>
      </c>
      <c r="B248" s="131" t="s">
        <v>2592</v>
      </c>
      <c r="C248" s="122" t="s">
        <v>14</v>
      </c>
      <c r="D248" s="123">
        <v>2660</v>
      </c>
      <c r="E248" s="124" t="s">
        <v>5</v>
      </c>
      <c r="F248" s="126">
        <v>3615</v>
      </c>
      <c r="G248" s="124" t="s">
        <v>734</v>
      </c>
      <c r="H248" s="126">
        <v>4997</v>
      </c>
      <c r="I248" s="124" t="s">
        <v>735</v>
      </c>
      <c r="J248" s="126">
        <v>5036</v>
      </c>
      <c r="K248" s="124" t="s">
        <v>2202</v>
      </c>
      <c r="L248" s="127">
        <v>0</v>
      </c>
      <c r="M248" s="124" t="s">
        <v>5</v>
      </c>
      <c r="N248" s="144">
        <f t="shared" si="5"/>
        <v>2660</v>
      </c>
      <c r="O248" s="124"/>
      <c r="P248" s="131" t="s">
        <v>5</v>
      </c>
    </row>
    <row r="249" spans="1:16" ht="30" customHeight="1" x14ac:dyDescent="0.3">
      <c r="A249" s="131" t="s">
        <v>243</v>
      </c>
      <c r="B249" s="131" t="s">
        <v>2593</v>
      </c>
      <c r="C249" s="122" t="s">
        <v>14</v>
      </c>
      <c r="D249" s="123">
        <v>3471</v>
      </c>
      <c r="E249" s="124" t="s">
        <v>5</v>
      </c>
      <c r="F249" s="126">
        <v>4717</v>
      </c>
      <c r="G249" s="124" t="s">
        <v>734</v>
      </c>
      <c r="H249" s="126">
        <v>6522</v>
      </c>
      <c r="I249" s="124" t="s">
        <v>735</v>
      </c>
      <c r="J249" s="126">
        <v>6633</v>
      </c>
      <c r="K249" s="124" t="s">
        <v>2202</v>
      </c>
      <c r="L249" s="127">
        <v>0</v>
      </c>
      <c r="M249" s="124" t="s">
        <v>5</v>
      </c>
      <c r="N249" s="144">
        <f t="shared" si="5"/>
        <v>3471</v>
      </c>
      <c r="O249" s="124"/>
      <c r="P249" s="131" t="s">
        <v>5</v>
      </c>
    </row>
    <row r="250" spans="1:16" ht="30" customHeight="1" x14ac:dyDescent="0.3">
      <c r="A250" s="131" t="s">
        <v>243</v>
      </c>
      <c r="B250" s="131" t="s">
        <v>2594</v>
      </c>
      <c r="C250" s="122" t="s">
        <v>14</v>
      </c>
      <c r="D250" s="123">
        <v>3392</v>
      </c>
      <c r="E250" s="124" t="s">
        <v>5</v>
      </c>
      <c r="F250" s="126">
        <v>4610</v>
      </c>
      <c r="G250" s="124" t="s">
        <v>734</v>
      </c>
      <c r="H250" s="126">
        <v>6375</v>
      </c>
      <c r="I250" s="124" t="s">
        <v>735</v>
      </c>
      <c r="J250" s="126">
        <v>6277</v>
      </c>
      <c r="K250" s="124" t="s">
        <v>2202</v>
      </c>
      <c r="L250" s="127">
        <v>0</v>
      </c>
      <c r="M250" s="124" t="s">
        <v>5</v>
      </c>
      <c r="N250" s="144">
        <f t="shared" si="5"/>
        <v>3392</v>
      </c>
      <c r="O250" s="124"/>
      <c r="P250" s="131" t="s">
        <v>5</v>
      </c>
    </row>
    <row r="251" spans="1:16" ht="30" customHeight="1" x14ac:dyDescent="0.3">
      <c r="A251" s="131" t="s">
        <v>243</v>
      </c>
      <c r="B251" s="131" t="s">
        <v>2595</v>
      </c>
      <c r="C251" s="122" t="s">
        <v>14</v>
      </c>
      <c r="D251" s="123">
        <v>4461</v>
      </c>
      <c r="E251" s="124" t="s">
        <v>5</v>
      </c>
      <c r="F251" s="126">
        <v>6033</v>
      </c>
      <c r="G251" s="124" t="s">
        <v>734</v>
      </c>
      <c r="H251" s="126">
        <v>8341</v>
      </c>
      <c r="I251" s="124" t="s">
        <v>735</v>
      </c>
      <c r="J251" s="126">
        <v>8227</v>
      </c>
      <c r="K251" s="124" t="s">
        <v>2202</v>
      </c>
      <c r="L251" s="127">
        <v>0</v>
      </c>
      <c r="M251" s="124" t="s">
        <v>5</v>
      </c>
      <c r="N251" s="144">
        <f t="shared" si="5"/>
        <v>4461</v>
      </c>
      <c r="O251" s="124"/>
      <c r="P251" s="131" t="s">
        <v>5</v>
      </c>
    </row>
    <row r="252" spans="1:16" ht="30" customHeight="1" x14ac:dyDescent="0.3">
      <c r="A252" s="131" t="s">
        <v>243</v>
      </c>
      <c r="B252" s="131" t="s">
        <v>2596</v>
      </c>
      <c r="C252" s="122" t="s">
        <v>14</v>
      </c>
      <c r="D252" s="123">
        <v>3867</v>
      </c>
      <c r="E252" s="124" t="s">
        <v>5</v>
      </c>
      <c r="F252" s="126">
        <v>5227</v>
      </c>
      <c r="G252" s="124" t="s">
        <v>734</v>
      </c>
      <c r="H252" s="126">
        <v>7249</v>
      </c>
      <c r="I252" s="124" t="s">
        <v>735</v>
      </c>
      <c r="J252" s="126">
        <v>7295</v>
      </c>
      <c r="K252" s="124" t="s">
        <v>2202</v>
      </c>
      <c r="L252" s="127">
        <v>0</v>
      </c>
      <c r="M252" s="124" t="s">
        <v>5</v>
      </c>
      <c r="N252" s="144">
        <f t="shared" si="5"/>
        <v>3867</v>
      </c>
      <c r="O252" s="124"/>
      <c r="P252" s="131" t="s">
        <v>5</v>
      </c>
    </row>
    <row r="253" spans="1:16" ht="30" customHeight="1" x14ac:dyDescent="0.3">
      <c r="A253" s="131" t="s">
        <v>243</v>
      </c>
      <c r="B253" s="131" t="s">
        <v>2597</v>
      </c>
      <c r="C253" s="122" t="s">
        <v>14</v>
      </c>
      <c r="D253" s="123">
        <v>5219</v>
      </c>
      <c r="E253" s="124" t="s">
        <v>5</v>
      </c>
      <c r="F253" s="126">
        <v>6899</v>
      </c>
      <c r="G253" s="124" t="s">
        <v>734</v>
      </c>
      <c r="H253" s="126">
        <v>9560</v>
      </c>
      <c r="I253" s="124" t="s">
        <v>735</v>
      </c>
      <c r="J253" s="126">
        <v>9639</v>
      </c>
      <c r="K253" s="124" t="s">
        <v>2202</v>
      </c>
      <c r="L253" s="127">
        <v>0</v>
      </c>
      <c r="M253" s="124" t="s">
        <v>5</v>
      </c>
      <c r="N253" s="144">
        <f t="shared" si="5"/>
        <v>5219</v>
      </c>
      <c r="O253" s="124"/>
      <c r="P253" s="131" t="s">
        <v>5</v>
      </c>
    </row>
    <row r="254" spans="1:16" ht="30" customHeight="1" x14ac:dyDescent="0.3">
      <c r="A254" s="131" t="s">
        <v>243</v>
      </c>
      <c r="B254" s="131" t="s">
        <v>2598</v>
      </c>
      <c r="C254" s="122" t="s">
        <v>14</v>
      </c>
      <c r="D254" s="123">
        <v>4601</v>
      </c>
      <c r="E254" s="124" t="s">
        <v>5</v>
      </c>
      <c r="F254" s="126">
        <v>6254</v>
      </c>
      <c r="G254" s="124" t="s">
        <v>734</v>
      </c>
      <c r="H254" s="126">
        <v>8650</v>
      </c>
      <c r="I254" s="124" t="s">
        <v>735</v>
      </c>
      <c r="J254" s="126">
        <v>8833</v>
      </c>
      <c r="K254" s="124" t="s">
        <v>2202</v>
      </c>
      <c r="L254" s="127">
        <v>0</v>
      </c>
      <c r="M254" s="124" t="s">
        <v>5</v>
      </c>
      <c r="N254" s="144">
        <f t="shared" si="5"/>
        <v>4601</v>
      </c>
      <c r="O254" s="124"/>
      <c r="P254" s="131" t="s">
        <v>5</v>
      </c>
    </row>
    <row r="255" spans="1:16" ht="30" customHeight="1" x14ac:dyDescent="0.3">
      <c r="A255" s="131" t="s">
        <v>243</v>
      </c>
      <c r="B255" s="131" t="s">
        <v>2599</v>
      </c>
      <c r="C255" s="122" t="s">
        <v>14</v>
      </c>
      <c r="D255" s="123">
        <v>6226</v>
      </c>
      <c r="E255" s="124" t="s">
        <v>5</v>
      </c>
      <c r="F255" s="126">
        <v>8235</v>
      </c>
      <c r="G255" s="124" t="s">
        <v>734</v>
      </c>
      <c r="H255" s="126">
        <v>11396</v>
      </c>
      <c r="I255" s="124" t="s">
        <v>735</v>
      </c>
      <c r="J255" s="126">
        <v>11720</v>
      </c>
      <c r="K255" s="124" t="s">
        <v>2202</v>
      </c>
      <c r="L255" s="127">
        <v>0</v>
      </c>
      <c r="M255" s="124" t="s">
        <v>5</v>
      </c>
      <c r="N255" s="144">
        <f t="shared" si="5"/>
        <v>6226</v>
      </c>
      <c r="O255" s="124"/>
      <c r="P255" s="131" t="s">
        <v>5</v>
      </c>
    </row>
    <row r="256" spans="1:16" ht="30" customHeight="1" x14ac:dyDescent="0.3">
      <c r="A256" s="131" t="s">
        <v>243</v>
      </c>
      <c r="B256" s="131" t="s">
        <v>2600</v>
      </c>
      <c r="C256" s="122" t="s">
        <v>14</v>
      </c>
      <c r="D256" s="123">
        <v>5869</v>
      </c>
      <c r="E256" s="124" t="s">
        <v>5</v>
      </c>
      <c r="F256" s="126">
        <v>7936</v>
      </c>
      <c r="G256" s="124" t="s">
        <v>734</v>
      </c>
      <c r="H256" s="126">
        <v>10973</v>
      </c>
      <c r="I256" s="124" t="s">
        <v>735</v>
      </c>
      <c r="J256" s="126">
        <v>11469</v>
      </c>
      <c r="K256" s="124" t="s">
        <v>2202</v>
      </c>
      <c r="L256" s="127">
        <v>0</v>
      </c>
      <c r="M256" s="124" t="s">
        <v>5</v>
      </c>
      <c r="N256" s="144">
        <f t="shared" si="5"/>
        <v>5869</v>
      </c>
      <c r="O256" s="124"/>
      <c r="P256" s="131" t="s">
        <v>5</v>
      </c>
    </row>
    <row r="257" spans="1:16" ht="30" customHeight="1" x14ac:dyDescent="0.3">
      <c r="A257" s="131" t="s">
        <v>243</v>
      </c>
      <c r="B257" s="131" t="s">
        <v>2601</v>
      </c>
      <c r="C257" s="122" t="s">
        <v>14</v>
      </c>
      <c r="D257" s="123">
        <v>7700</v>
      </c>
      <c r="E257" s="124" t="s">
        <v>5</v>
      </c>
      <c r="F257" s="126">
        <v>10411</v>
      </c>
      <c r="G257" s="124" t="s">
        <v>734</v>
      </c>
      <c r="H257" s="126">
        <v>14398</v>
      </c>
      <c r="I257" s="124" t="s">
        <v>735</v>
      </c>
      <c r="J257" s="126">
        <v>15213</v>
      </c>
      <c r="K257" s="124" t="s">
        <v>2202</v>
      </c>
      <c r="L257" s="127">
        <v>0</v>
      </c>
      <c r="M257" s="124" t="s">
        <v>5</v>
      </c>
      <c r="N257" s="144">
        <f t="shared" si="5"/>
        <v>7700</v>
      </c>
      <c r="O257" s="124"/>
      <c r="P257" s="131" t="s">
        <v>5</v>
      </c>
    </row>
    <row r="258" spans="1:16" ht="30" customHeight="1" x14ac:dyDescent="0.3">
      <c r="A258" s="131" t="s">
        <v>243</v>
      </c>
      <c r="B258" s="131" t="s">
        <v>2602</v>
      </c>
      <c r="C258" s="122" t="s">
        <v>14</v>
      </c>
      <c r="D258" s="123">
        <v>7128</v>
      </c>
      <c r="E258" s="124" t="s">
        <v>5</v>
      </c>
      <c r="F258" s="126">
        <v>9630</v>
      </c>
      <c r="G258" s="124" t="s">
        <v>734</v>
      </c>
      <c r="H258" s="126">
        <v>13318</v>
      </c>
      <c r="I258" s="124" t="s">
        <v>735</v>
      </c>
      <c r="J258" s="126">
        <v>14166</v>
      </c>
      <c r="K258" s="124" t="s">
        <v>2202</v>
      </c>
      <c r="L258" s="127">
        <v>0</v>
      </c>
      <c r="M258" s="124" t="s">
        <v>5</v>
      </c>
      <c r="N258" s="144">
        <f t="shared" si="5"/>
        <v>7128</v>
      </c>
      <c r="O258" s="124"/>
      <c r="P258" s="131" t="s">
        <v>5</v>
      </c>
    </row>
    <row r="259" spans="1:16" ht="30" customHeight="1" x14ac:dyDescent="0.3">
      <c r="A259" s="131" t="s">
        <v>243</v>
      </c>
      <c r="B259" s="131" t="s">
        <v>2603</v>
      </c>
      <c r="C259" s="122" t="s">
        <v>14</v>
      </c>
      <c r="D259" s="123">
        <v>9427</v>
      </c>
      <c r="E259" s="124" t="s">
        <v>5</v>
      </c>
      <c r="F259" s="126">
        <v>12726</v>
      </c>
      <c r="G259" s="124" t="s">
        <v>734</v>
      </c>
      <c r="H259" s="126">
        <v>17601</v>
      </c>
      <c r="I259" s="124" t="s">
        <v>735</v>
      </c>
      <c r="J259" s="126">
        <v>19370</v>
      </c>
      <c r="K259" s="124" t="s">
        <v>2202</v>
      </c>
      <c r="L259" s="127">
        <v>0</v>
      </c>
      <c r="M259" s="124" t="s">
        <v>5</v>
      </c>
      <c r="N259" s="144">
        <f t="shared" si="5"/>
        <v>9427</v>
      </c>
      <c r="O259" s="124"/>
      <c r="P259" s="131" t="s">
        <v>5</v>
      </c>
    </row>
    <row r="260" spans="1:16" ht="30" customHeight="1" x14ac:dyDescent="0.3">
      <c r="A260" s="131" t="s">
        <v>243</v>
      </c>
      <c r="B260" s="131" t="s">
        <v>2604</v>
      </c>
      <c r="C260" s="122" t="s">
        <v>14</v>
      </c>
      <c r="D260" s="123">
        <v>8363</v>
      </c>
      <c r="E260" s="124" t="s">
        <v>5</v>
      </c>
      <c r="F260" s="126">
        <v>11275</v>
      </c>
      <c r="G260" s="124" t="s">
        <v>734</v>
      </c>
      <c r="H260" s="126">
        <v>15621</v>
      </c>
      <c r="I260" s="124" t="s">
        <v>735</v>
      </c>
      <c r="J260" s="126">
        <v>16701</v>
      </c>
      <c r="K260" s="124" t="s">
        <v>2202</v>
      </c>
      <c r="L260" s="127">
        <v>0</v>
      </c>
      <c r="M260" s="124" t="s">
        <v>5</v>
      </c>
      <c r="N260" s="144">
        <f t="shared" si="5"/>
        <v>8363</v>
      </c>
      <c r="O260" s="124"/>
      <c r="P260" s="131" t="s">
        <v>5</v>
      </c>
    </row>
    <row r="261" spans="1:16" ht="30" customHeight="1" x14ac:dyDescent="0.3">
      <c r="A261" s="131" t="s">
        <v>243</v>
      </c>
      <c r="B261" s="131" t="s">
        <v>2605</v>
      </c>
      <c r="C261" s="122" t="s">
        <v>14</v>
      </c>
      <c r="D261" s="123">
        <v>11194</v>
      </c>
      <c r="E261" s="124" t="s">
        <v>5</v>
      </c>
      <c r="F261" s="126">
        <v>15097</v>
      </c>
      <c r="G261" s="124" t="s">
        <v>734</v>
      </c>
      <c r="H261" s="126">
        <v>20886</v>
      </c>
      <c r="I261" s="124" t="s">
        <v>735</v>
      </c>
      <c r="J261" s="126">
        <v>22473</v>
      </c>
      <c r="K261" s="124" t="s">
        <v>2202</v>
      </c>
      <c r="L261" s="127">
        <v>0</v>
      </c>
      <c r="M261" s="124" t="s">
        <v>5</v>
      </c>
      <c r="N261" s="144">
        <f t="shared" si="5"/>
        <v>11194</v>
      </c>
      <c r="O261" s="124"/>
      <c r="P261" s="131" t="s">
        <v>5</v>
      </c>
    </row>
    <row r="262" spans="1:16" ht="30" customHeight="1" x14ac:dyDescent="0.3">
      <c r="A262" s="131" t="s">
        <v>243</v>
      </c>
      <c r="B262" s="131" t="s">
        <v>2606</v>
      </c>
      <c r="C262" s="122" t="s">
        <v>14</v>
      </c>
      <c r="D262" s="123">
        <v>11993</v>
      </c>
      <c r="E262" s="124" t="s">
        <v>5</v>
      </c>
      <c r="F262" s="126">
        <v>15843</v>
      </c>
      <c r="G262" s="124" t="s">
        <v>734</v>
      </c>
      <c r="H262" s="126">
        <v>21913</v>
      </c>
      <c r="I262" s="124" t="s">
        <v>735</v>
      </c>
      <c r="J262" s="126">
        <v>23066</v>
      </c>
      <c r="K262" s="124" t="s">
        <v>2202</v>
      </c>
      <c r="L262" s="127">
        <v>0</v>
      </c>
      <c r="M262" s="124" t="s">
        <v>5</v>
      </c>
      <c r="N262" s="144">
        <f t="shared" si="5"/>
        <v>11993</v>
      </c>
      <c r="O262" s="124"/>
      <c r="P262" s="131" t="s">
        <v>5</v>
      </c>
    </row>
    <row r="263" spans="1:16" ht="30" customHeight="1" x14ac:dyDescent="0.3">
      <c r="A263" s="131" t="s">
        <v>243</v>
      </c>
      <c r="B263" s="131" t="s">
        <v>2607</v>
      </c>
      <c r="C263" s="122" t="s">
        <v>14</v>
      </c>
      <c r="D263" s="123">
        <v>15724</v>
      </c>
      <c r="E263" s="124" t="s">
        <v>5</v>
      </c>
      <c r="F263" s="126">
        <v>20993</v>
      </c>
      <c r="G263" s="124" t="s">
        <v>734</v>
      </c>
      <c r="H263" s="126">
        <v>29080</v>
      </c>
      <c r="I263" s="124" t="s">
        <v>735</v>
      </c>
      <c r="J263" s="126">
        <v>30733</v>
      </c>
      <c r="K263" s="124" t="s">
        <v>2202</v>
      </c>
      <c r="L263" s="127">
        <v>0</v>
      </c>
      <c r="M263" s="124" t="s">
        <v>5</v>
      </c>
      <c r="N263" s="144">
        <f t="shared" ref="N263:N326" si="6">SMALL(D263:L263,COUNTIF(D263:L263,0)+1)</f>
        <v>15724</v>
      </c>
      <c r="O263" s="124"/>
      <c r="P263" s="131" t="s">
        <v>5</v>
      </c>
    </row>
    <row r="264" spans="1:16" ht="30" customHeight="1" x14ac:dyDescent="0.3">
      <c r="A264" s="131" t="s">
        <v>243</v>
      </c>
      <c r="B264" s="131" t="s">
        <v>2608</v>
      </c>
      <c r="C264" s="122" t="s">
        <v>14</v>
      </c>
      <c r="D264" s="123">
        <v>14246</v>
      </c>
      <c r="E264" s="124" t="s">
        <v>5</v>
      </c>
      <c r="F264" s="126">
        <v>18825</v>
      </c>
      <c r="G264" s="124" t="s">
        <v>734</v>
      </c>
      <c r="H264" s="126">
        <v>26041</v>
      </c>
      <c r="I264" s="124" t="s">
        <v>735</v>
      </c>
      <c r="J264" s="126">
        <v>27241</v>
      </c>
      <c r="K264" s="124" t="s">
        <v>2202</v>
      </c>
      <c r="L264" s="127">
        <v>0</v>
      </c>
      <c r="M264" s="124" t="s">
        <v>5</v>
      </c>
      <c r="N264" s="144">
        <f t="shared" si="6"/>
        <v>14246</v>
      </c>
      <c r="O264" s="124"/>
      <c r="P264" s="131" t="s">
        <v>5</v>
      </c>
    </row>
    <row r="265" spans="1:16" ht="30" customHeight="1" x14ac:dyDescent="0.3">
      <c r="A265" s="131" t="s">
        <v>243</v>
      </c>
      <c r="B265" s="131" t="s">
        <v>2609</v>
      </c>
      <c r="C265" s="122" t="s">
        <v>14</v>
      </c>
      <c r="D265" s="123">
        <v>18690</v>
      </c>
      <c r="E265" s="124" t="s">
        <v>5</v>
      </c>
      <c r="F265" s="126">
        <v>24968</v>
      </c>
      <c r="G265" s="124" t="s">
        <v>734</v>
      </c>
      <c r="H265" s="126">
        <v>34552</v>
      </c>
      <c r="I265" s="124" t="s">
        <v>735</v>
      </c>
      <c r="J265" s="126">
        <v>37132</v>
      </c>
      <c r="K265" s="124" t="s">
        <v>2202</v>
      </c>
      <c r="L265" s="127">
        <v>0</v>
      </c>
      <c r="M265" s="124" t="s">
        <v>5</v>
      </c>
      <c r="N265" s="144">
        <f t="shared" si="6"/>
        <v>18690</v>
      </c>
      <c r="O265" s="124"/>
      <c r="P265" s="131" t="s">
        <v>5</v>
      </c>
    </row>
    <row r="266" spans="1:16" ht="30" customHeight="1" x14ac:dyDescent="0.3">
      <c r="A266" s="131" t="s">
        <v>243</v>
      </c>
      <c r="B266" s="131" t="s">
        <v>2610</v>
      </c>
      <c r="C266" s="122" t="s">
        <v>14</v>
      </c>
      <c r="D266" s="123">
        <v>1499</v>
      </c>
      <c r="E266" s="124" t="s">
        <v>5</v>
      </c>
      <c r="F266" s="126">
        <v>2226</v>
      </c>
      <c r="G266" s="124" t="s">
        <v>734</v>
      </c>
      <c r="H266" s="126">
        <v>2730</v>
      </c>
      <c r="I266" s="124" t="s">
        <v>735</v>
      </c>
      <c r="J266" s="126">
        <v>2474</v>
      </c>
      <c r="K266" s="124" t="s">
        <v>2202</v>
      </c>
      <c r="L266" s="127">
        <v>0</v>
      </c>
      <c r="M266" s="124" t="s">
        <v>5</v>
      </c>
      <c r="N266" s="144">
        <f t="shared" si="6"/>
        <v>1499</v>
      </c>
      <c r="O266" s="124"/>
      <c r="P266" s="131" t="s">
        <v>5</v>
      </c>
    </row>
    <row r="267" spans="1:16" ht="30" customHeight="1" x14ac:dyDescent="0.3">
      <c r="A267" s="131" t="s">
        <v>243</v>
      </c>
      <c r="B267" s="131" t="s">
        <v>2611</v>
      </c>
      <c r="C267" s="122" t="s">
        <v>14</v>
      </c>
      <c r="D267" s="123">
        <v>1776</v>
      </c>
      <c r="E267" s="124" t="s">
        <v>5</v>
      </c>
      <c r="F267" s="126">
        <v>2553</v>
      </c>
      <c r="G267" s="124" t="s">
        <v>734</v>
      </c>
      <c r="H267" s="126">
        <v>3135</v>
      </c>
      <c r="I267" s="124" t="s">
        <v>735</v>
      </c>
      <c r="J267" s="126">
        <v>2944</v>
      </c>
      <c r="K267" s="124" t="s">
        <v>2202</v>
      </c>
      <c r="L267" s="127">
        <v>0</v>
      </c>
      <c r="M267" s="124" t="s">
        <v>5</v>
      </c>
      <c r="N267" s="144">
        <f t="shared" si="6"/>
        <v>1776</v>
      </c>
      <c r="O267" s="124"/>
      <c r="P267" s="131" t="s">
        <v>5</v>
      </c>
    </row>
    <row r="268" spans="1:16" ht="30" customHeight="1" x14ac:dyDescent="0.3">
      <c r="A268" s="131" t="s">
        <v>243</v>
      </c>
      <c r="B268" s="131" t="s">
        <v>2612</v>
      </c>
      <c r="C268" s="122" t="s">
        <v>14</v>
      </c>
      <c r="D268" s="123">
        <v>1842</v>
      </c>
      <c r="E268" s="124" t="s">
        <v>5</v>
      </c>
      <c r="F268" s="126">
        <v>2592</v>
      </c>
      <c r="G268" s="124" t="s">
        <v>734</v>
      </c>
      <c r="H268" s="126">
        <v>3196</v>
      </c>
      <c r="I268" s="124" t="s">
        <v>735</v>
      </c>
      <c r="J268" s="126">
        <v>3152</v>
      </c>
      <c r="K268" s="124" t="s">
        <v>2202</v>
      </c>
      <c r="L268" s="127">
        <v>0</v>
      </c>
      <c r="M268" s="124" t="s">
        <v>5</v>
      </c>
      <c r="N268" s="144">
        <f t="shared" si="6"/>
        <v>1842</v>
      </c>
      <c r="O268" s="124"/>
      <c r="P268" s="131" t="s">
        <v>5</v>
      </c>
    </row>
    <row r="269" spans="1:16" ht="30" customHeight="1" x14ac:dyDescent="0.3">
      <c r="A269" s="131" t="s">
        <v>243</v>
      </c>
      <c r="B269" s="131" t="s">
        <v>2613</v>
      </c>
      <c r="C269" s="122" t="s">
        <v>14</v>
      </c>
      <c r="D269" s="123">
        <v>2206</v>
      </c>
      <c r="E269" s="124" t="s">
        <v>5</v>
      </c>
      <c r="F269" s="126">
        <v>3069</v>
      </c>
      <c r="G269" s="124" t="s">
        <v>734</v>
      </c>
      <c r="H269" s="126">
        <v>3771</v>
      </c>
      <c r="I269" s="124" t="s">
        <v>735</v>
      </c>
      <c r="J269" s="126">
        <v>3670</v>
      </c>
      <c r="K269" s="124" t="s">
        <v>2202</v>
      </c>
      <c r="L269" s="127">
        <v>0</v>
      </c>
      <c r="M269" s="124" t="s">
        <v>5</v>
      </c>
      <c r="N269" s="144">
        <f t="shared" si="6"/>
        <v>2206</v>
      </c>
      <c r="O269" s="124"/>
      <c r="P269" s="131" t="s">
        <v>5</v>
      </c>
    </row>
    <row r="270" spans="1:16" ht="30" customHeight="1" x14ac:dyDescent="0.3">
      <c r="A270" s="131" t="s">
        <v>243</v>
      </c>
      <c r="B270" s="131" t="s">
        <v>2614</v>
      </c>
      <c r="C270" s="122" t="s">
        <v>14</v>
      </c>
      <c r="D270" s="123">
        <v>2153</v>
      </c>
      <c r="E270" s="124" t="s">
        <v>5</v>
      </c>
      <c r="F270" s="126">
        <v>3005</v>
      </c>
      <c r="G270" s="124" t="s">
        <v>734</v>
      </c>
      <c r="H270" s="126">
        <v>3702</v>
      </c>
      <c r="I270" s="124" t="s">
        <v>735</v>
      </c>
      <c r="J270" s="126">
        <v>3666</v>
      </c>
      <c r="K270" s="124" t="s">
        <v>2202</v>
      </c>
      <c r="L270" s="127">
        <v>0</v>
      </c>
      <c r="M270" s="124" t="s">
        <v>5</v>
      </c>
      <c r="N270" s="144">
        <f t="shared" si="6"/>
        <v>2153</v>
      </c>
      <c r="O270" s="124"/>
      <c r="P270" s="131" t="s">
        <v>5</v>
      </c>
    </row>
    <row r="271" spans="1:16" ht="30" customHeight="1" x14ac:dyDescent="0.3">
      <c r="A271" s="131" t="s">
        <v>243</v>
      </c>
      <c r="B271" s="131" t="s">
        <v>2615</v>
      </c>
      <c r="C271" s="122" t="s">
        <v>14</v>
      </c>
      <c r="D271" s="123">
        <v>2653</v>
      </c>
      <c r="E271" s="124" t="s">
        <v>5</v>
      </c>
      <c r="F271" s="126">
        <v>3657</v>
      </c>
      <c r="G271" s="124" t="s">
        <v>734</v>
      </c>
      <c r="H271" s="126">
        <v>4506</v>
      </c>
      <c r="I271" s="124" t="s">
        <v>735</v>
      </c>
      <c r="J271" s="126">
        <v>4629</v>
      </c>
      <c r="K271" s="124" t="s">
        <v>2202</v>
      </c>
      <c r="L271" s="127">
        <v>0</v>
      </c>
      <c r="M271" s="124" t="s">
        <v>5</v>
      </c>
      <c r="N271" s="144">
        <f t="shared" si="6"/>
        <v>2653</v>
      </c>
      <c r="O271" s="124"/>
      <c r="P271" s="131" t="s">
        <v>5</v>
      </c>
    </row>
    <row r="272" spans="1:16" ht="30" customHeight="1" x14ac:dyDescent="0.3">
      <c r="A272" s="131" t="s">
        <v>243</v>
      </c>
      <c r="B272" s="131" t="s">
        <v>2616</v>
      </c>
      <c r="C272" s="122" t="s">
        <v>14</v>
      </c>
      <c r="D272" s="123">
        <v>2493</v>
      </c>
      <c r="E272" s="124" t="s">
        <v>5</v>
      </c>
      <c r="F272" s="126">
        <v>3496</v>
      </c>
      <c r="G272" s="124" t="s">
        <v>734</v>
      </c>
      <c r="H272" s="126">
        <v>4310</v>
      </c>
      <c r="I272" s="124" t="s">
        <v>735</v>
      </c>
      <c r="J272" s="126">
        <v>4132</v>
      </c>
      <c r="K272" s="124" t="s">
        <v>2202</v>
      </c>
      <c r="L272" s="127">
        <v>0</v>
      </c>
      <c r="M272" s="124" t="s">
        <v>5</v>
      </c>
      <c r="N272" s="144">
        <f t="shared" si="6"/>
        <v>2493</v>
      </c>
      <c r="O272" s="124"/>
      <c r="P272" s="131" t="s">
        <v>5</v>
      </c>
    </row>
    <row r="273" spans="1:16" ht="30" customHeight="1" x14ac:dyDescent="0.3">
      <c r="A273" s="131" t="s">
        <v>243</v>
      </c>
      <c r="B273" s="131" t="s">
        <v>2617</v>
      </c>
      <c r="C273" s="122" t="s">
        <v>14</v>
      </c>
      <c r="D273" s="123">
        <v>3085</v>
      </c>
      <c r="E273" s="124" t="s">
        <v>5</v>
      </c>
      <c r="F273" s="126">
        <v>4233</v>
      </c>
      <c r="G273" s="124" t="s">
        <v>734</v>
      </c>
      <c r="H273" s="126">
        <v>5212</v>
      </c>
      <c r="I273" s="124" t="s">
        <v>735</v>
      </c>
      <c r="J273" s="126">
        <v>5010</v>
      </c>
      <c r="K273" s="124" t="s">
        <v>2202</v>
      </c>
      <c r="L273" s="127">
        <v>0</v>
      </c>
      <c r="M273" s="124" t="s">
        <v>5</v>
      </c>
      <c r="N273" s="144">
        <f t="shared" si="6"/>
        <v>3085</v>
      </c>
      <c r="O273" s="124"/>
      <c r="P273" s="131" t="s">
        <v>5</v>
      </c>
    </row>
    <row r="274" spans="1:16" ht="30" customHeight="1" x14ac:dyDescent="0.3">
      <c r="A274" s="131" t="s">
        <v>243</v>
      </c>
      <c r="B274" s="131" t="s">
        <v>2618</v>
      </c>
      <c r="C274" s="122" t="s">
        <v>14</v>
      </c>
      <c r="D274" s="123">
        <v>2792</v>
      </c>
      <c r="E274" s="124" t="s">
        <v>5</v>
      </c>
      <c r="F274" s="126">
        <v>3933</v>
      </c>
      <c r="G274" s="124" t="s">
        <v>734</v>
      </c>
      <c r="H274" s="126">
        <v>4865</v>
      </c>
      <c r="I274" s="124" t="s">
        <v>735</v>
      </c>
      <c r="J274" s="126">
        <v>4762</v>
      </c>
      <c r="K274" s="124" t="s">
        <v>2202</v>
      </c>
      <c r="L274" s="127">
        <v>0</v>
      </c>
      <c r="M274" s="124" t="s">
        <v>5</v>
      </c>
      <c r="N274" s="144">
        <f t="shared" si="6"/>
        <v>2792</v>
      </c>
      <c r="O274" s="124"/>
      <c r="P274" s="131" t="s">
        <v>5</v>
      </c>
    </row>
    <row r="275" spans="1:16" ht="30" customHeight="1" x14ac:dyDescent="0.3">
      <c r="A275" s="131" t="s">
        <v>243</v>
      </c>
      <c r="B275" s="131" t="s">
        <v>2619</v>
      </c>
      <c r="C275" s="122" t="s">
        <v>14</v>
      </c>
      <c r="D275" s="123">
        <v>3555</v>
      </c>
      <c r="E275" s="124" t="s">
        <v>5</v>
      </c>
      <c r="F275" s="126">
        <v>4894</v>
      </c>
      <c r="G275" s="124" t="s">
        <v>734</v>
      </c>
      <c r="H275" s="126">
        <v>6040</v>
      </c>
      <c r="I275" s="124" t="s">
        <v>735</v>
      </c>
      <c r="J275" s="126">
        <v>6301</v>
      </c>
      <c r="K275" s="124" t="s">
        <v>2202</v>
      </c>
      <c r="L275" s="127">
        <v>0</v>
      </c>
      <c r="M275" s="124" t="s">
        <v>5</v>
      </c>
      <c r="N275" s="144">
        <f t="shared" si="6"/>
        <v>3555</v>
      </c>
      <c r="O275" s="124"/>
      <c r="P275" s="131" t="s">
        <v>5</v>
      </c>
    </row>
    <row r="276" spans="1:16" ht="30" customHeight="1" x14ac:dyDescent="0.3">
      <c r="A276" s="131" t="s">
        <v>243</v>
      </c>
      <c r="B276" s="131" t="s">
        <v>2620</v>
      </c>
      <c r="C276" s="122" t="s">
        <v>14</v>
      </c>
      <c r="D276" s="123">
        <v>3003</v>
      </c>
      <c r="E276" s="124" t="s">
        <v>5</v>
      </c>
      <c r="F276" s="126">
        <v>4201</v>
      </c>
      <c r="G276" s="124" t="s">
        <v>734</v>
      </c>
      <c r="H276" s="126">
        <v>5193</v>
      </c>
      <c r="I276" s="124" t="s">
        <v>735</v>
      </c>
      <c r="J276" s="126">
        <v>5199</v>
      </c>
      <c r="K276" s="124" t="s">
        <v>2202</v>
      </c>
      <c r="L276" s="127">
        <v>0</v>
      </c>
      <c r="M276" s="124" t="s">
        <v>5</v>
      </c>
      <c r="N276" s="144">
        <f t="shared" si="6"/>
        <v>3003</v>
      </c>
      <c r="O276" s="124"/>
      <c r="P276" s="131" t="s">
        <v>5</v>
      </c>
    </row>
    <row r="277" spans="1:16" ht="30" customHeight="1" x14ac:dyDescent="0.3">
      <c r="A277" s="131" t="s">
        <v>243</v>
      </c>
      <c r="B277" s="131" t="s">
        <v>2621</v>
      </c>
      <c r="C277" s="122" t="s">
        <v>14</v>
      </c>
      <c r="D277" s="123">
        <v>3846</v>
      </c>
      <c r="E277" s="124" t="s">
        <v>5</v>
      </c>
      <c r="F277" s="126">
        <v>5303</v>
      </c>
      <c r="G277" s="124" t="s">
        <v>734</v>
      </c>
      <c r="H277" s="126">
        <v>6553</v>
      </c>
      <c r="I277" s="124" t="s">
        <v>735</v>
      </c>
      <c r="J277" s="126">
        <v>6739</v>
      </c>
      <c r="K277" s="124" t="s">
        <v>2202</v>
      </c>
      <c r="L277" s="127">
        <v>0</v>
      </c>
      <c r="M277" s="124" t="s">
        <v>5</v>
      </c>
      <c r="N277" s="144">
        <f t="shared" si="6"/>
        <v>3846</v>
      </c>
      <c r="O277" s="124"/>
      <c r="P277" s="131" t="s">
        <v>5</v>
      </c>
    </row>
    <row r="278" spans="1:16" ht="30" customHeight="1" x14ac:dyDescent="0.3">
      <c r="A278" s="131" t="s">
        <v>243</v>
      </c>
      <c r="B278" s="131" t="s">
        <v>2622</v>
      </c>
      <c r="C278" s="122" t="s">
        <v>14</v>
      </c>
      <c r="D278" s="123">
        <v>3313</v>
      </c>
      <c r="E278" s="124" t="s">
        <v>5</v>
      </c>
      <c r="F278" s="126">
        <v>4657</v>
      </c>
      <c r="G278" s="124" t="s">
        <v>734</v>
      </c>
      <c r="H278" s="126">
        <v>5760</v>
      </c>
      <c r="I278" s="124" t="s">
        <v>735</v>
      </c>
      <c r="J278" s="126">
        <v>6114</v>
      </c>
      <c r="K278" s="124" t="s">
        <v>2202</v>
      </c>
      <c r="L278" s="127">
        <v>0</v>
      </c>
      <c r="M278" s="124" t="s">
        <v>5</v>
      </c>
      <c r="N278" s="144">
        <f t="shared" si="6"/>
        <v>3313</v>
      </c>
      <c r="O278" s="124"/>
      <c r="P278" s="131" t="s">
        <v>5</v>
      </c>
    </row>
    <row r="279" spans="1:16" ht="30" customHeight="1" x14ac:dyDescent="0.3">
      <c r="A279" s="131" t="s">
        <v>243</v>
      </c>
      <c r="B279" s="131" t="s">
        <v>2623</v>
      </c>
      <c r="C279" s="122" t="s">
        <v>14</v>
      </c>
      <c r="D279" s="123">
        <v>4284</v>
      </c>
      <c r="E279" s="124" t="s">
        <v>5</v>
      </c>
      <c r="F279" s="126">
        <v>5917</v>
      </c>
      <c r="G279" s="124" t="s">
        <v>734</v>
      </c>
      <c r="H279" s="126">
        <v>7312</v>
      </c>
      <c r="I279" s="124" t="s">
        <v>735</v>
      </c>
      <c r="J279" s="126">
        <v>7610</v>
      </c>
      <c r="K279" s="124" t="s">
        <v>2202</v>
      </c>
      <c r="L279" s="127">
        <v>0</v>
      </c>
      <c r="M279" s="124" t="s">
        <v>5</v>
      </c>
      <c r="N279" s="144">
        <f t="shared" si="6"/>
        <v>4284</v>
      </c>
      <c r="O279" s="124"/>
      <c r="P279" s="131" t="s">
        <v>5</v>
      </c>
    </row>
    <row r="280" spans="1:16" ht="30" customHeight="1" x14ac:dyDescent="0.3">
      <c r="A280" s="131" t="s">
        <v>243</v>
      </c>
      <c r="B280" s="131" t="s">
        <v>2624</v>
      </c>
      <c r="C280" s="122" t="s">
        <v>14</v>
      </c>
      <c r="D280" s="123">
        <v>4139</v>
      </c>
      <c r="E280" s="124" t="s">
        <v>5</v>
      </c>
      <c r="F280" s="126">
        <v>5870</v>
      </c>
      <c r="G280" s="124" t="s">
        <v>734</v>
      </c>
      <c r="H280" s="126">
        <v>7265</v>
      </c>
      <c r="I280" s="124" t="s">
        <v>735</v>
      </c>
      <c r="J280" s="126">
        <v>7054</v>
      </c>
      <c r="K280" s="124" t="s">
        <v>2202</v>
      </c>
      <c r="L280" s="127">
        <v>0</v>
      </c>
      <c r="M280" s="124" t="s">
        <v>5</v>
      </c>
      <c r="N280" s="144">
        <f t="shared" si="6"/>
        <v>4139</v>
      </c>
      <c r="O280" s="124"/>
      <c r="P280" s="131" t="s">
        <v>5</v>
      </c>
    </row>
    <row r="281" spans="1:16" ht="30" customHeight="1" x14ac:dyDescent="0.3">
      <c r="A281" s="131" t="s">
        <v>243</v>
      </c>
      <c r="B281" s="131" t="s">
        <v>2625</v>
      </c>
      <c r="C281" s="122" t="s">
        <v>14</v>
      </c>
      <c r="D281" s="123">
        <v>5400</v>
      </c>
      <c r="E281" s="124" t="s">
        <v>5</v>
      </c>
      <c r="F281" s="126">
        <v>7549</v>
      </c>
      <c r="G281" s="124" t="s">
        <v>734</v>
      </c>
      <c r="H281" s="126">
        <v>9337</v>
      </c>
      <c r="I281" s="124" t="s">
        <v>735</v>
      </c>
      <c r="J281" s="126">
        <v>9378</v>
      </c>
      <c r="K281" s="124" t="s">
        <v>2202</v>
      </c>
      <c r="L281" s="127">
        <v>0</v>
      </c>
      <c r="M281" s="124" t="s">
        <v>5</v>
      </c>
      <c r="N281" s="144">
        <f t="shared" si="6"/>
        <v>5400</v>
      </c>
      <c r="O281" s="124"/>
      <c r="P281" s="131" t="s">
        <v>5</v>
      </c>
    </row>
    <row r="282" spans="1:16" ht="30" customHeight="1" x14ac:dyDescent="0.3">
      <c r="A282" s="131" t="s">
        <v>243</v>
      </c>
      <c r="B282" s="131" t="s">
        <v>2626</v>
      </c>
      <c r="C282" s="122" t="s">
        <v>14</v>
      </c>
      <c r="D282" s="123">
        <v>4587</v>
      </c>
      <c r="E282" s="124" t="s">
        <v>5</v>
      </c>
      <c r="F282" s="126">
        <v>6592</v>
      </c>
      <c r="G282" s="124" t="s">
        <v>734</v>
      </c>
      <c r="H282" s="126">
        <v>8167</v>
      </c>
      <c r="I282" s="124" t="s">
        <v>735</v>
      </c>
      <c r="J282" s="126">
        <v>8231</v>
      </c>
      <c r="K282" s="124" t="s">
        <v>2202</v>
      </c>
      <c r="L282" s="127">
        <v>0</v>
      </c>
      <c r="M282" s="124" t="s">
        <v>5</v>
      </c>
      <c r="N282" s="144">
        <f t="shared" si="6"/>
        <v>4587</v>
      </c>
      <c r="O282" s="124"/>
      <c r="P282" s="131" t="s">
        <v>5</v>
      </c>
    </row>
    <row r="283" spans="1:16" ht="30" customHeight="1" x14ac:dyDescent="0.3">
      <c r="A283" s="131" t="s">
        <v>243</v>
      </c>
      <c r="B283" s="131" t="s">
        <v>2627</v>
      </c>
      <c r="C283" s="122" t="s">
        <v>14</v>
      </c>
      <c r="D283" s="123">
        <v>5941</v>
      </c>
      <c r="E283" s="124" t="s">
        <v>5</v>
      </c>
      <c r="F283" s="126">
        <v>8560</v>
      </c>
      <c r="G283" s="124" t="s">
        <v>734</v>
      </c>
      <c r="H283" s="126">
        <v>10588</v>
      </c>
      <c r="I283" s="124" t="s">
        <v>735</v>
      </c>
      <c r="J283" s="126">
        <v>10879</v>
      </c>
      <c r="K283" s="124" t="s">
        <v>2202</v>
      </c>
      <c r="L283" s="127">
        <v>0</v>
      </c>
      <c r="M283" s="124" t="s">
        <v>5</v>
      </c>
      <c r="N283" s="144">
        <f t="shared" si="6"/>
        <v>5941</v>
      </c>
      <c r="O283" s="124"/>
      <c r="P283" s="131" t="s">
        <v>5</v>
      </c>
    </row>
    <row r="284" spans="1:16" ht="30" customHeight="1" x14ac:dyDescent="0.3">
      <c r="A284" s="131" t="s">
        <v>243</v>
      </c>
      <c r="B284" s="131" t="s">
        <v>2628</v>
      </c>
      <c r="C284" s="122" t="s">
        <v>14</v>
      </c>
      <c r="D284" s="123">
        <v>5462</v>
      </c>
      <c r="E284" s="124" t="s">
        <v>5</v>
      </c>
      <c r="F284" s="126">
        <v>7848</v>
      </c>
      <c r="G284" s="124" t="s">
        <v>734</v>
      </c>
      <c r="H284" s="126">
        <v>9647</v>
      </c>
      <c r="I284" s="124" t="s">
        <v>735</v>
      </c>
      <c r="J284" s="126">
        <v>9854</v>
      </c>
      <c r="K284" s="124" t="s">
        <v>2202</v>
      </c>
      <c r="L284" s="127">
        <v>0</v>
      </c>
      <c r="M284" s="124" t="s">
        <v>5</v>
      </c>
      <c r="N284" s="144">
        <f t="shared" si="6"/>
        <v>5462</v>
      </c>
      <c r="O284" s="124"/>
      <c r="P284" s="131" t="s">
        <v>5</v>
      </c>
    </row>
    <row r="285" spans="1:16" ht="30" customHeight="1" x14ac:dyDescent="0.3">
      <c r="A285" s="131" t="s">
        <v>243</v>
      </c>
      <c r="B285" s="131" t="s">
        <v>2629</v>
      </c>
      <c r="C285" s="122" t="s">
        <v>14</v>
      </c>
      <c r="D285" s="123">
        <v>7013</v>
      </c>
      <c r="E285" s="124" t="s">
        <v>5</v>
      </c>
      <c r="F285" s="126">
        <v>10120</v>
      </c>
      <c r="G285" s="124" t="s">
        <v>734</v>
      </c>
      <c r="H285" s="126">
        <v>12517</v>
      </c>
      <c r="I285" s="124" t="s">
        <v>735</v>
      </c>
      <c r="J285" s="126">
        <v>12562</v>
      </c>
      <c r="K285" s="124" t="s">
        <v>2202</v>
      </c>
      <c r="L285" s="127">
        <v>0</v>
      </c>
      <c r="M285" s="124" t="s">
        <v>5</v>
      </c>
      <c r="N285" s="144">
        <f t="shared" si="6"/>
        <v>7013</v>
      </c>
      <c r="O285" s="124"/>
      <c r="P285" s="131" t="s">
        <v>5</v>
      </c>
    </row>
    <row r="286" spans="1:16" ht="30" customHeight="1" x14ac:dyDescent="0.3">
      <c r="A286" s="131" t="s">
        <v>243</v>
      </c>
      <c r="B286" s="131" t="s">
        <v>2630</v>
      </c>
      <c r="C286" s="122" t="s">
        <v>14</v>
      </c>
      <c r="D286" s="123">
        <v>6773</v>
      </c>
      <c r="E286" s="124" t="s">
        <v>5</v>
      </c>
      <c r="F286" s="126">
        <v>9775</v>
      </c>
      <c r="G286" s="124" t="s">
        <v>734</v>
      </c>
      <c r="H286" s="126">
        <v>12111</v>
      </c>
      <c r="I286" s="124" t="s">
        <v>735</v>
      </c>
      <c r="J286" s="126">
        <v>12325</v>
      </c>
      <c r="K286" s="124" t="s">
        <v>2202</v>
      </c>
      <c r="L286" s="127">
        <v>0</v>
      </c>
      <c r="M286" s="124" t="s">
        <v>5</v>
      </c>
      <c r="N286" s="144">
        <f t="shared" si="6"/>
        <v>6773</v>
      </c>
      <c r="O286" s="124"/>
      <c r="P286" s="131" t="s">
        <v>5</v>
      </c>
    </row>
    <row r="287" spans="1:16" ht="30" customHeight="1" x14ac:dyDescent="0.3">
      <c r="A287" s="131" t="s">
        <v>243</v>
      </c>
      <c r="B287" s="131" t="s">
        <v>2631</v>
      </c>
      <c r="C287" s="122" t="s">
        <v>14</v>
      </c>
      <c r="D287" s="123">
        <v>8909</v>
      </c>
      <c r="E287" s="124" t="s">
        <v>5</v>
      </c>
      <c r="F287" s="126">
        <v>12813</v>
      </c>
      <c r="G287" s="124" t="s">
        <v>734</v>
      </c>
      <c r="H287" s="126">
        <v>15847</v>
      </c>
      <c r="I287" s="124" t="s">
        <v>735</v>
      </c>
      <c r="J287" s="126">
        <v>16720</v>
      </c>
      <c r="K287" s="124" t="s">
        <v>2202</v>
      </c>
      <c r="L287" s="127">
        <v>0</v>
      </c>
      <c r="M287" s="124" t="s">
        <v>5</v>
      </c>
      <c r="N287" s="144">
        <f t="shared" si="6"/>
        <v>8909</v>
      </c>
      <c r="O287" s="124"/>
      <c r="P287" s="131" t="s">
        <v>5</v>
      </c>
    </row>
    <row r="288" spans="1:16" ht="30" customHeight="1" x14ac:dyDescent="0.3">
      <c r="A288" s="131" t="s">
        <v>243</v>
      </c>
      <c r="B288" s="131" t="s">
        <v>2632</v>
      </c>
      <c r="C288" s="122" t="s">
        <v>14</v>
      </c>
      <c r="D288" s="123">
        <v>8181</v>
      </c>
      <c r="E288" s="124" t="s">
        <v>5</v>
      </c>
      <c r="F288" s="126">
        <v>11530</v>
      </c>
      <c r="G288" s="124" t="s">
        <v>734</v>
      </c>
      <c r="H288" s="126">
        <v>14290</v>
      </c>
      <c r="I288" s="124" t="s">
        <v>735</v>
      </c>
      <c r="J288" s="126">
        <v>15961</v>
      </c>
      <c r="K288" s="124" t="s">
        <v>2202</v>
      </c>
      <c r="L288" s="127">
        <v>0</v>
      </c>
      <c r="M288" s="124" t="s">
        <v>5</v>
      </c>
      <c r="N288" s="144">
        <f t="shared" si="6"/>
        <v>8181</v>
      </c>
      <c r="O288" s="124"/>
      <c r="P288" s="131" t="s">
        <v>5</v>
      </c>
    </row>
    <row r="289" spans="1:16" ht="30" customHeight="1" x14ac:dyDescent="0.3">
      <c r="A289" s="131" t="s">
        <v>243</v>
      </c>
      <c r="B289" s="131" t="s">
        <v>2633</v>
      </c>
      <c r="C289" s="122" t="s">
        <v>14</v>
      </c>
      <c r="D289" s="123">
        <v>10955</v>
      </c>
      <c r="E289" s="124" t="s">
        <v>5</v>
      </c>
      <c r="F289" s="126">
        <v>15789</v>
      </c>
      <c r="G289" s="124" t="s">
        <v>734</v>
      </c>
      <c r="H289" s="126">
        <v>19545</v>
      </c>
      <c r="I289" s="124" t="s">
        <v>735</v>
      </c>
      <c r="J289" s="126">
        <v>20940</v>
      </c>
      <c r="K289" s="124" t="s">
        <v>2202</v>
      </c>
      <c r="L289" s="127">
        <v>0</v>
      </c>
      <c r="M289" s="124" t="s">
        <v>5</v>
      </c>
      <c r="N289" s="144">
        <f t="shared" si="6"/>
        <v>10955</v>
      </c>
      <c r="O289" s="124"/>
      <c r="P289" s="131" t="s">
        <v>5</v>
      </c>
    </row>
    <row r="290" spans="1:16" ht="30" customHeight="1" x14ac:dyDescent="0.3">
      <c r="A290" s="131" t="s">
        <v>243</v>
      </c>
      <c r="B290" s="131" t="s">
        <v>2634</v>
      </c>
      <c r="C290" s="122" t="s">
        <v>14</v>
      </c>
      <c r="D290" s="123">
        <v>9755</v>
      </c>
      <c r="E290" s="124" t="s">
        <v>5</v>
      </c>
      <c r="F290" s="126">
        <v>13741</v>
      </c>
      <c r="G290" s="124" t="s">
        <v>734</v>
      </c>
      <c r="H290" s="126">
        <v>17041</v>
      </c>
      <c r="I290" s="124" t="s">
        <v>735</v>
      </c>
      <c r="J290" s="126">
        <v>17647</v>
      </c>
      <c r="K290" s="124" t="s">
        <v>2202</v>
      </c>
      <c r="L290" s="127">
        <v>0</v>
      </c>
      <c r="M290" s="124" t="s">
        <v>5</v>
      </c>
      <c r="N290" s="144">
        <f t="shared" si="6"/>
        <v>9755</v>
      </c>
      <c r="O290" s="124"/>
      <c r="P290" s="131" t="s">
        <v>5</v>
      </c>
    </row>
    <row r="291" spans="1:16" ht="30" customHeight="1" x14ac:dyDescent="0.3">
      <c r="A291" s="131" t="s">
        <v>243</v>
      </c>
      <c r="B291" s="131" t="s">
        <v>2635</v>
      </c>
      <c r="C291" s="122" t="s">
        <v>14</v>
      </c>
      <c r="D291" s="123">
        <v>13020</v>
      </c>
      <c r="E291" s="124" t="s">
        <v>5</v>
      </c>
      <c r="F291" s="126">
        <v>18758</v>
      </c>
      <c r="G291" s="124" t="s">
        <v>734</v>
      </c>
      <c r="H291" s="126">
        <v>23230</v>
      </c>
      <c r="I291" s="124" t="s">
        <v>735</v>
      </c>
      <c r="J291" s="126">
        <v>24778</v>
      </c>
      <c r="K291" s="124" t="s">
        <v>2202</v>
      </c>
      <c r="L291" s="127">
        <v>0</v>
      </c>
      <c r="M291" s="124" t="s">
        <v>5</v>
      </c>
      <c r="N291" s="144">
        <f t="shared" si="6"/>
        <v>13020</v>
      </c>
      <c r="O291" s="124"/>
      <c r="P291" s="131" t="s">
        <v>5</v>
      </c>
    </row>
    <row r="292" spans="1:16" ht="30" customHeight="1" x14ac:dyDescent="0.3">
      <c r="A292" s="131" t="s">
        <v>243</v>
      </c>
      <c r="B292" s="131" t="s">
        <v>2636</v>
      </c>
      <c r="C292" s="122" t="s">
        <v>14</v>
      </c>
      <c r="D292" s="123">
        <v>13878</v>
      </c>
      <c r="E292" s="124" t="s">
        <v>5</v>
      </c>
      <c r="F292" s="126">
        <v>19269</v>
      </c>
      <c r="G292" s="124" t="s">
        <v>734</v>
      </c>
      <c r="H292" s="126">
        <v>23911</v>
      </c>
      <c r="I292" s="124" t="s">
        <v>735</v>
      </c>
      <c r="J292" s="126">
        <v>23461</v>
      </c>
      <c r="K292" s="124" t="s">
        <v>2202</v>
      </c>
      <c r="L292" s="127">
        <v>0</v>
      </c>
      <c r="M292" s="124" t="s">
        <v>5</v>
      </c>
      <c r="N292" s="144">
        <f t="shared" si="6"/>
        <v>13878</v>
      </c>
      <c r="O292" s="124"/>
      <c r="P292" s="131" t="s">
        <v>5</v>
      </c>
    </row>
    <row r="293" spans="1:16" ht="30" customHeight="1" x14ac:dyDescent="0.3">
      <c r="A293" s="131" t="s">
        <v>243</v>
      </c>
      <c r="B293" s="131" t="s">
        <v>2637</v>
      </c>
      <c r="C293" s="122" t="s">
        <v>14</v>
      </c>
      <c r="D293" s="123">
        <v>18145</v>
      </c>
      <c r="E293" s="124" t="s">
        <v>5</v>
      </c>
      <c r="F293" s="126">
        <v>26117</v>
      </c>
      <c r="G293" s="124" t="s">
        <v>734</v>
      </c>
      <c r="H293" s="126">
        <v>32356</v>
      </c>
      <c r="I293" s="124" t="s">
        <v>735</v>
      </c>
      <c r="J293" s="126">
        <v>36881</v>
      </c>
      <c r="K293" s="124" t="s">
        <v>2202</v>
      </c>
      <c r="L293" s="127">
        <v>0</v>
      </c>
      <c r="M293" s="124" t="s">
        <v>5</v>
      </c>
      <c r="N293" s="144">
        <f t="shared" si="6"/>
        <v>18145</v>
      </c>
      <c r="O293" s="124"/>
      <c r="P293" s="131" t="s">
        <v>5</v>
      </c>
    </row>
    <row r="294" spans="1:16" ht="30" customHeight="1" x14ac:dyDescent="0.3">
      <c r="A294" s="131" t="s">
        <v>243</v>
      </c>
      <c r="B294" s="131" t="s">
        <v>2638</v>
      </c>
      <c r="C294" s="122" t="s">
        <v>14</v>
      </c>
      <c r="D294" s="123">
        <v>16292</v>
      </c>
      <c r="E294" s="124" t="s">
        <v>5</v>
      </c>
      <c r="F294" s="126">
        <v>22897</v>
      </c>
      <c r="G294" s="124" t="s">
        <v>734</v>
      </c>
      <c r="H294" s="126">
        <v>28428</v>
      </c>
      <c r="I294" s="124" t="s">
        <v>735</v>
      </c>
      <c r="J294" s="126">
        <v>28966</v>
      </c>
      <c r="K294" s="124" t="s">
        <v>2202</v>
      </c>
      <c r="L294" s="127">
        <v>0</v>
      </c>
      <c r="M294" s="124" t="s">
        <v>5</v>
      </c>
      <c r="N294" s="144">
        <f t="shared" si="6"/>
        <v>16292</v>
      </c>
      <c r="O294" s="124"/>
      <c r="P294" s="131" t="s">
        <v>5</v>
      </c>
    </row>
    <row r="295" spans="1:16" ht="30" customHeight="1" x14ac:dyDescent="0.3">
      <c r="A295" s="131" t="s">
        <v>243</v>
      </c>
      <c r="B295" s="131" t="s">
        <v>2639</v>
      </c>
      <c r="C295" s="122" t="s">
        <v>14</v>
      </c>
      <c r="D295" s="123">
        <v>22349</v>
      </c>
      <c r="E295" s="124" t="s">
        <v>5</v>
      </c>
      <c r="F295" s="126">
        <v>31037</v>
      </c>
      <c r="G295" s="124" t="s">
        <v>734</v>
      </c>
      <c r="H295" s="126">
        <v>38474</v>
      </c>
      <c r="I295" s="124" t="s">
        <v>735</v>
      </c>
      <c r="J295" s="126">
        <v>44772</v>
      </c>
      <c r="K295" s="124" t="s">
        <v>2202</v>
      </c>
      <c r="L295" s="127">
        <v>0</v>
      </c>
      <c r="M295" s="124" t="s">
        <v>5</v>
      </c>
      <c r="N295" s="144">
        <f t="shared" si="6"/>
        <v>22349</v>
      </c>
      <c r="O295" s="124"/>
      <c r="P295" s="131" t="s">
        <v>5</v>
      </c>
    </row>
    <row r="296" spans="1:16" ht="30" customHeight="1" x14ac:dyDescent="0.3">
      <c r="A296" s="131" t="s">
        <v>243</v>
      </c>
      <c r="B296" s="131" t="s">
        <v>2640</v>
      </c>
      <c r="C296" s="122" t="s">
        <v>14</v>
      </c>
      <c r="D296" s="123">
        <v>1693</v>
      </c>
      <c r="E296" s="124" t="s">
        <v>5</v>
      </c>
      <c r="F296" s="126">
        <v>2336</v>
      </c>
      <c r="G296" s="124" t="s">
        <v>734</v>
      </c>
      <c r="H296" s="126">
        <v>3010</v>
      </c>
      <c r="I296" s="124" t="s">
        <v>736</v>
      </c>
      <c r="J296" s="126">
        <v>2794</v>
      </c>
      <c r="K296" s="124" t="s">
        <v>2202</v>
      </c>
      <c r="L296" s="127">
        <v>0</v>
      </c>
      <c r="M296" s="124" t="s">
        <v>5</v>
      </c>
      <c r="N296" s="144">
        <f t="shared" si="6"/>
        <v>1693</v>
      </c>
      <c r="O296" s="124"/>
      <c r="P296" s="131" t="s">
        <v>5</v>
      </c>
    </row>
    <row r="297" spans="1:16" ht="30" customHeight="1" x14ac:dyDescent="0.3">
      <c r="A297" s="131" t="s">
        <v>243</v>
      </c>
      <c r="B297" s="131" t="s">
        <v>2641</v>
      </c>
      <c r="C297" s="122" t="s">
        <v>14</v>
      </c>
      <c r="D297" s="123">
        <v>2024</v>
      </c>
      <c r="E297" s="124" t="s">
        <v>5</v>
      </c>
      <c r="F297" s="126">
        <v>2716</v>
      </c>
      <c r="G297" s="124" t="s">
        <v>734</v>
      </c>
      <c r="H297" s="126">
        <v>3518</v>
      </c>
      <c r="I297" s="124" t="s">
        <v>736</v>
      </c>
      <c r="J297" s="126">
        <v>3320</v>
      </c>
      <c r="K297" s="124" t="s">
        <v>2202</v>
      </c>
      <c r="L297" s="127">
        <v>0</v>
      </c>
      <c r="M297" s="124" t="s">
        <v>5</v>
      </c>
      <c r="N297" s="144">
        <f t="shared" si="6"/>
        <v>2024</v>
      </c>
      <c r="O297" s="124"/>
      <c r="P297" s="131" t="s">
        <v>5</v>
      </c>
    </row>
    <row r="298" spans="1:16" ht="30" customHeight="1" x14ac:dyDescent="0.3">
      <c r="A298" s="131" t="s">
        <v>243</v>
      </c>
      <c r="B298" s="131" t="s">
        <v>2642</v>
      </c>
      <c r="C298" s="122" t="s">
        <v>14</v>
      </c>
      <c r="D298" s="123">
        <v>2035</v>
      </c>
      <c r="E298" s="124" t="s">
        <v>5</v>
      </c>
      <c r="F298" s="126">
        <v>2719</v>
      </c>
      <c r="G298" s="124" t="s">
        <v>734</v>
      </c>
      <c r="H298" s="126">
        <v>3528</v>
      </c>
      <c r="I298" s="124" t="s">
        <v>736</v>
      </c>
      <c r="J298" s="126">
        <v>3379</v>
      </c>
      <c r="K298" s="124" t="s">
        <v>2202</v>
      </c>
      <c r="L298" s="127">
        <v>0</v>
      </c>
      <c r="M298" s="124" t="s">
        <v>5</v>
      </c>
      <c r="N298" s="144">
        <f t="shared" si="6"/>
        <v>2035</v>
      </c>
      <c r="O298" s="124"/>
      <c r="P298" s="131" t="s">
        <v>5</v>
      </c>
    </row>
    <row r="299" spans="1:16" ht="30" customHeight="1" x14ac:dyDescent="0.3">
      <c r="A299" s="131" t="s">
        <v>243</v>
      </c>
      <c r="B299" s="131" t="s">
        <v>2643</v>
      </c>
      <c r="C299" s="122" t="s">
        <v>14</v>
      </c>
      <c r="D299" s="123">
        <v>2446</v>
      </c>
      <c r="E299" s="124" t="s">
        <v>5</v>
      </c>
      <c r="F299" s="126">
        <v>3260</v>
      </c>
      <c r="G299" s="124" t="s">
        <v>734</v>
      </c>
      <c r="H299" s="126">
        <v>4210</v>
      </c>
      <c r="I299" s="124" t="s">
        <v>736</v>
      </c>
      <c r="J299" s="126">
        <v>4120</v>
      </c>
      <c r="K299" s="124" t="s">
        <v>2202</v>
      </c>
      <c r="L299" s="127">
        <v>0</v>
      </c>
      <c r="M299" s="124" t="s">
        <v>5</v>
      </c>
      <c r="N299" s="144">
        <f t="shared" si="6"/>
        <v>2446</v>
      </c>
      <c r="O299" s="124"/>
      <c r="P299" s="131" t="s">
        <v>5</v>
      </c>
    </row>
    <row r="300" spans="1:16" ht="30" customHeight="1" x14ac:dyDescent="0.3">
      <c r="A300" s="131" t="s">
        <v>243</v>
      </c>
      <c r="B300" s="131" t="s">
        <v>2644</v>
      </c>
      <c r="C300" s="122" t="s">
        <v>14</v>
      </c>
      <c r="D300" s="123">
        <v>2275</v>
      </c>
      <c r="E300" s="124" t="s">
        <v>5</v>
      </c>
      <c r="F300" s="126">
        <v>3175</v>
      </c>
      <c r="G300" s="124" t="s">
        <v>734</v>
      </c>
      <c r="H300" s="126">
        <v>4109</v>
      </c>
      <c r="I300" s="124" t="s">
        <v>736</v>
      </c>
      <c r="J300" s="126">
        <v>3756</v>
      </c>
      <c r="K300" s="124" t="s">
        <v>2202</v>
      </c>
      <c r="L300" s="127">
        <v>0</v>
      </c>
      <c r="M300" s="124" t="s">
        <v>5</v>
      </c>
      <c r="N300" s="144">
        <f t="shared" si="6"/>
        <v>2275</v>
      </c>
      <c r="O300" s="124"/>
      <c r="P300" s="131" t="s">
        <v>5</v>
      </c>
    </row>
    <row r="301" spans="1:16" ht="30" customHeight="1" x14ac:dyDescent="0.3">
      <c r="A301" s="131" t="s">
        <v>243</v>
      </c>
      <c r="B301" s="131" t="s">
        <v>2645</v>
      </c>
      <c r="C301" s="122" t="s">
        <v>14</v>
      </c>
      <c r="D301" s="123">
        <v>2834</v>
      </c>
      <c r="E301" s="124" t="s">
        <v>5</v>
      </c>
      <c r="F301" s="126">
        <v>3785</v>
      </c>
      <c r="G301" s="124" t="s">
        <v>734</v>
      </c>
      <c r="H301" s="126">
        <v>4900</v>
      </c>
      <c r="I301" s="124" t="s">
        <v>736</v>
      </c>
      <c r="J301" s="126">
        <v>4700</v>
      </c>
      <c r="K301" s="124" t="s">
        <v>2202</v>
      </c>
      <c r="L301" s="127">
        <v>0</v>
      </c>
      <c r="M301" s="124" t="s">
        <v>5</v>
      </c>
      <c r="N301" s="144">
        <f t="shared" si="6"/>
        <v>2834</v>
      </c>
      <c r="O301" s="124"/>
      <c r="P301" s="131" t="s">
        <v>5</v>
      </c>
    </row>
    <row r="302" spans="1:16" ht="30" customHeight="1" x14ac:dyDescent="0.3">
      <c r="A302" s="131" t="s">
        <v>243</v>
      </c>
      <c r="B302" s="131" t="s">
        <v>2646</v>
      </c>
      <c r="C302" s="122" t="s">
        <v>14</v>
      </c>
      <c r="D302" s="123">
        <v>2663</v>
      </c>
      <c r="E302" s="124" t="s">
        <v>5</v>
      </c>
      <c r="F302" s="126">
        <v>3619</v>
      </c>
      <c r="G302" s="124" t="s">
        <v>734</v>
      </c>
      <c r="H302" s="126">
        <v>4684</v>
      </c>
      <c r="I302" s="124" t="s">
        <v>736</v>
      </c>
      <c r="J302" s="126">
        <v>4431</v>
      </c>
      <c r="K302" s="124" t="s">
        <v>2202</v>
      </c>
      <c r="L302" s="127">
        <v>0</v>
      </c>
      <c r="M302" s="124" t="s">
        <v>5</v>
      </c>
      <c r="N302" s="144">
        <f t="shared" si="6"/>
        <v>2663</v>
      </c>
      <c r="O302" s="124"/>
      <c r="P302" s="131" t="s">
        <v>5</v>
      </c>
    </row>
    <row r="303" spans="1:16" ht="30" customHeight="1" x14ac:dyDescent="0.3">
      <c r="A303" s="131" t="s">
        <v>243</v>
      </c>
      <c r="B303" s="131" t="s">
        <v>2647</v>
      </c>
      <c r="C303" s="122" t="s">
        <v>14</v>
      </c>
      <c r="D303" s="123">
        <v>3344</v>
      </c>
      <c r="E303" s="124" t="s">
        <v>5</v>
      </c>
      <c r="F303" s="126">
        <v>4446</v>
      </c>
      <c r="G303" s="124" t="s">
        <v>734</v>
      </c>
      <c r="H303" s="126">
        <v>5769</v>
      </c>
      <c r="I303" s="124" t="s">
        <v>736</v>
      </c>
      <c r="J303" s="126">
        <v>5528</v>
      </c>
      <c r="K303" s="124" t="s">
        <v>2202</v>
      </c>
      <c r="L303" s="127">
        <v>0</v>
      </c>
      <c r="M303" s="124" t="s">
        <v>5</v>
      </c>
      <c r="N303" s="144">
        <f t="shared" si="6"/>
        <v>3344</v>
      </c>
      <c r="O303" s="124"/>
      <c r="P303" s="131" t="s">
        <v>5</v>
      </c>
    </row>
    <row r="304" spans="1:16" ht="30" customHeight="1" x14ac:dyDescent="0.3">
      <c r="A304" s="131" t="s">
        <v>243</v>
      </c>
      <c r="B304" s="131" t="s">
        <v>2648</v>
      </c>
      <c r="C304" s="122" t="s">
        <v>14</v>
      </c>
      <c r="D304" s="123">
        <v>3008</v>
      </c>
      <c r="E304" s="124" t="s">
        <v>5</v>
      </c>
      <c r="F304" s="126">
        <v>4130</v>
      </c>
      <c r="G304" s="124" t="s">
        <v>734</v>
      </c>
      <c r="H304" s="126">
        <v>5358</v>
      </c>
      <c r="I304" s="124" t="s">
        <v>736</v>
      </c>
      <c r="J304" s="126">
        <v>4964</v>
      </c>
      <c r="K304" s="124" t="s">
        <v>2202</v>
      </c>
      <c r="L304" s="127">
        <v>0</v>
      </c>
      <c r="M304" s="124" t="s">
        <v>5</v>
      </c>
      <c r="N304" s="144">
        <f t="shared" si="6"/>
        <v>3008</v>
      </c>
      <c r="O304" s="124"/>
      <c r="P304" s="131" t="s">
        <v>5</v>
      </c>
    </row>
    <row r="305" spans="1:16" ht="30" customHeight="1" x14ac:dyDescent="0.3">
      <c r="A305" s="131" t="s">
        <v>243</v>
      </c>
      <c r="B305" s="131" t="s">
        <v>2649</v>
      </c>
      <c r="C305" s="122" t="s">
        <v>14</v>
      </c>
      <c r="D305" s="123">
        <v>3841</v>
      </c>
      <c r="E305" s="124" t="s">
        <v>5</v>
      </c>
      <c r="F305" s="126">
        <v>5088</v>
      </c>
      <c r="G305" s="124" t="s">
        <v>734</v>
      </c>
      <c r="H305" s="126">
        <v>6593</v>
      </c>
      <c r="I305" s="124" t="s">
        <v>736</v>
      </c>
      <c r="J305" s="126">
        <v>6356</v>
      </c>
      <c r="K305" s="124" t="s">
        <v>2202</v>
      </c>
      <c r="L305" s="127">
        <v>0</v>
      </c>
      <c r="M305" s="124" t="s">
        <v>5</v>
      </c>
      <c r="N305" s="144">
        <f t="shared" si="6"/>
        <v>3841</v>
      </c>
      <c r="O305" s="124"/>
      <c r="P305" s="131" t="s">
        <v>5</v>
      </c>
    </row>
    <row r="306" spans="1:16" ht="30" customHeight="1" x14ac:dyDescent="0.3">
      <c r="A306" s="131" t="s">
        <v>243</v>
      </c>
      <c r="B306" s="131" t="s">
        <v>2650</v>
      </c>
      <c r="C306" s="122" t="s">
        <v>14</v>
      </c>
      <c r="D306" s="123">
        <v>3240</v>
      </c>
      <c r="E306" s="124" t="s">
        <v>5</v>
      </c>
      <c r="F306" s="126">
        <v>4393</v>
      </c>
      <c r="G306" s="124" t="s">
        <v>734</v>
      </c>
      <c r="H306" s="126">
        <v>5697</v>
      </c>
      <c r="I306" s="124" t="s">
        <v>736</v>
      </c>
      <c r="J306" s="126">
        <v>5429</v>
      </c>
      <c r="K306" s="124" t="s">
        <v>2202</v>
      </c>
      <c r="L306" s="127">
        <v>0</v>
      </c>
      <c r="M306" s="124" t="s">
        <v>5</v>
      </c>
      <c r="N306" s="144">
        <f t="shared" si="6"/>
        <v>3240</v>
      </c>
      <c r="O306" s="124"/>
      <c r="P306" s="131" t="s">
        <v>5</v>
      </c>
    </row>
    <row r="307" spans="1:16" ht="30" customHeight="1" x14ac:dyDescent="0.3">
      <c r="A307" s="131" t="s">
        <v>243</v>
      </c>
      <c r="B307" s="131" t="s">
        <v>2651</v>
      </c>
      <c r="C307" s="122" t="s">
        <v>14</v>
      </c>
      <c r="D307" s="123">
        <v>4187</v>
      </c>
      <c r="E307" s="124" t="s">
        <v>5</v>
      </c>
      <c r="F307" s="126">
        <v>5513</v>
      </c>
      <c r="G307" s="124" t="s">
        <v>734</v>
      </c>
      <c r="H307" s="126">
        <v>7151</v>
      </c>
      <c r="I307" s="124" t="s">
        <v>736</v>
      </c>
      <c r="J307" s="126">
        <v>7068</v>
      </c>
      <c r="K307" s="124" t="s">
        <v>2202</v>
      </c>
      <c r="L307" s="127">
        <v>0</v>
      </c>
      <c r="M307" s="124" t="s">
        <v>5</v>
      </c>
      <c r="N307" s="144">
        <f t="shared" si="6"/>
        <v>4187</v>
      </c>
      <c r="O307" s="124"/>
      <c r="P307" s="131" t="s">
        <v>5</v>
      </c>
    </row>
    <row r="308" spans="1:16" ht="30" customHeight="1" x14ac:dyDescent="0.3">
      <c r="A308" s="131" t="s">
        <v>243</v>
      </c>
      <c r="B308" s="131" t="s">
        <v>2652</v>
      </c>
      <c r="C308" s="122" t="s">
        <v>14</v>
      </c>
      <c r="D308" s="123">
        <v>3613</v>
      </c>
      <c r="E308" s="124" t="s">
        <v>5</v>
      </c>
      <c r="F308" s="126">
        <v>4834</v>
      </c>
      <c r="G308" s="124" t="s">
        <v>734</v>
      </c>
      <c r="H308" s="126">
        <v>6262</v>
      </c>
      <c r="I308" s="124" t="s">
        <v>736</v>
      </c>
      <c r="J308" s="126">
        <v>6033</v>
      </c>
      <c r="K308" s="124" t="s">
        <v>2202</v>
      </c>
      <c r="L308" s="127">
        <v>0</v>
      </c>
      <c r="M308" s="124" t="s">
        <v>5</v>
      </c>
      <c r="N308" s="144">
        <f t="shared" si="6"/>
        <v>3613</v>
      </c>
      <c r="O308" s="124"/>
      <c r="P308" s="131" t="s">
        <v>5</v>
      </c>
    </row>
    <row r="309" spans="1:16" ht="30" customHeight="1" x14ac:dyDescent="0.3">
      <c r="A309" s="131" t="s">
        <v>243</v>
      </c>
      <c r="B309" s="131" t="s">
        <v>2653</v>
      </c>
      <c r="C309" s="122" t="s">
        <v>14</v>
      </c>
      <c r="D309" s="123">
        <v>4676</v>
      </c>
      <c r="E309" s="124" t="s">
        <v>5</v>
      </c>
      <c r="F309" s="126">
        <v>6140</v>
      </c>
      <c r="G309" s="124" t="s">
        <v>734</v>
      </c>
      <c r="H309" s="126">
        <v>7965</v>
      </c>
      <c r="I309" s="124" t="s">
        <v>736</v>
      </c>
      <c r="J309" s="126">
        <v>7958</v>
      </c>
      <c r="K309" s="124" t="s">
        <v>2202</v>
      </c>
      <c r="L309" s="127">
        <v>0</v>
      </c>
      <c r="M309" s="124" t="s">
        <v>5</v>
      </c>
      <c r="N309" s="144">
        <f t="shared" si="6"/>
        <v>4676</v>
      </c>
      <c r="O309" s="124"/>
      <c r="P309" s="131" t="s">
        <v>5</v>
      </c>
    </row>
    <row r="310" spans="1:16" ht="30" customHeight="1" x14ac:dyDescent="0.3">
      <c r="A310" s="131" t="s">
        <v>243</v>
      </c>
      <c r="B310" s="131" t="s">
        <v>2654</v>
      </c>
      <c r="C310" s="122" t="s">
        <v>14</v>
      </c>
      <c r="D310" s="123">
        <v>4389</v>
      </c>
      <c r="E310" s="124" t="s">
        <v>5</v>
      </c>
      <c r="F310" s="126">
        <v>5964</v>
      </c>
      <c r="G310" s="124" t="s">
        <v>734</v>
      </c>
      <c r="H310" s="126">
        <v>7735</v>
      </c>
      <c r="I310" s="124" t="s">
        <v>736</v>
      </c>
      <c r="J310" s="126">
        <v>7255</v>
      </c>
      <c r="K310" s="124" t="s">
        <v>2202</v>
      </c>
      <c r="L310" s="127">
        <v>0</v>
      </c>
      <c r="M310" s="124" t="s">
        <v>5</v>
      </c>
      <c r="N310" s="144">
        <f t="shared" si="6"/>
        <v>4389</v>
      </c>
      <c r="O310" s="124"/>
      <c r="P310" s="131" t="s">
        <v>5</v>
      </c>
    </row>
    <row r="311" spans="1:16" ht="30" customHeight="1" x14ac:dyDescent="0.3">
      <c r="A311" s="131" t="s">
        <v>243</v>
      </c>
      <c r="B311" s="131" t="s">
        <v>2655</v>
      </c>
      <c r="C311" s="122" t="s">
        <v>14</v>
      </c>
      <c r="D311" s="123">
        <v>5939</v>
      </c>
      <c r="E311" s="124" t="s">
        <v>5</v>
      </c>
      <c r="F311" s="126">
        <v>7793</v>
      </c>
      <c r="G311" s="124" t="s">
        <v>734</v>
      </c>
      <c r="H311" s="126">
        <v>10144</v>
      </c>
      <c r="I311" s="124" t="s">
        <v>736</v>
      </c>
      <c r="J311" s="126">
        <v>9810</v>
      </c>
      <c r="K311" s="124" t="s">
        <v>2202</v>
      </c>
      <c r="L311" s="127">
        <v>0</v>
      </c>
      <c r="M311" s="124" t="s">
        <v>5</v>
      </c>
      <c r="N311" s="144">
        <f t="shared" si="6"/>
        <v>5939</v>
      </c>
      <c r="O311" s="124"/>
      <c r="P311" s="131" t="s">
        <v>5</v>
      </c>
    </row>
    <row r="312" spans="1:16" ht="30" customHeight="1" x14ac:dyDescent="0.3">
      <c r="A312" s="131" t="s">
        <v>243</v>
      </c>
      <c r="B312" s="131" t="s">
        <v>2656</v>
      </c>
      <c r="C312" s="122" t="s">
        <v>14</v>
      </c>
      <c r="D312" s="123">
        <v>5172</v>
      </c>
      <c r="E312" s="124" t="s">
        <v>5</v>
      </c>
      <c r="F312" s="126">
        <v>6817</v>
      </c>
      <c r="G312" s="124" t="s">
        <v>734</v>
      </c>
      <c r="H312" s="126">
        <v>8864</v>
      </c>
      <c r="I312" s="124" t="s">
        <v>736</v>
      </c>
      <c r="J312" s="126">
        <v>8403</v>
      </c>
      <c r="K312" s="124" t="s">
        <v>2202</v>
      </c>
      <c r="L312" s="127">
        <v>0</v>
      </c>
      <c r="M312" s="124" t="s">
        <v>5</v>
      </c>
      <c r="N312" s="144">
        <f t="shared" si="6"/>
        <v>5172</v>
      </c>
      <c r="O312" s="124"/>
      <c r="P312" s="131" t="s">
        <v>5</v>
      </c>
    </row>
    <row r="313" spans="1:16" ht="30" customHeight="1" x14ac:dyDescent="0.3">
      <c r="A313" s="131" t="s">
        <v>243</v>
      </c>
      <c r="B313" s="131" t="s">
        <v>2657</v>
      </c>
      <c r="C313" s="122" t="s">
        <v>14</v>
      </c>
      <c r="D313" s="123">
        <v>6861</v>
      </c>
      <c r="E313" s="124" t="s">
        <v>5</v>
      </c>
      <c r="F313" s="126">
        <v>8769</v>
      </c>
      <c r="G313" s="124" t="s">
        <v>734</v>
      </c>
      <c r="H313" s="126">
        <v>11384</v>
      </c>
      <c r="I313" s="124" t="s">
        <v>736</v>
      </c>
      <c r="J313" s="126">
        <v>11898</v>
      </c>
      <c r="K313" s="124" t="s">
        <v>2202</v>
      </c>
      <c r="L313" s="127">
        <v>0</v>
      </c>
      <c r="M313" s="124" t="s">
        <v>5</v>
      </c>
      <c r="N313" s="144">
        <f t="shared" si="6"/>
        <v>6861</v>
      </c>
      <c r="O313" s="124"/>
      <c r="P313" s="131" t="s">
        <v>5</v>
      </c>
    </row>
    <row r="314" spans="1:16" ht="30" customHeight="1" x14ac:dyDescent="0.3">
      <c r="A314" s="131" t="s">
        <v>243</v>
      </c>
      <c r="B314" s="131" t="s">
        <v>2658</v>
      </c>
      <c r="C314" s="122" t="s">
        <v>14</v>
      </c>
      <c r="D314" s="123">
        <v>6093</v>
      </c>
      <c r="E314" s="124" t="s">
        <v>5</v>
      </c>
      <c r="F314" s="126">
        <v>7909</v>
      </c>
      <c r="G314" s="124" t="s">
        <v>734</v>
      </c>
      <c r="H314" s="126">
        <v>10278</v>
      </c>
      <c r="I314" s="124" t="s">
        <v>736</v>
      </c>
      <c r="J314" s="126">
        <v>10068</v>
      </c>
      <c r="K314" s="124" t="s">
        <v>2202</v>
      </c>
      <c r="L314" s="127">
        <v>0</v>
      </c>
      <c r="M314" s="124" t="s">
        <v>5</v>
      </c>
      <c r="N314" s="144">
        <f t="shared" si="6"/>
        <v>6093</v>
      </c>
      <c r="O314" s="124"/>
      <c r="P314" s="131" t="s">
        <v>5</v>
      </c>
    </row>
    <row r="315" spans="1:16" ht="30" customHeight="1" x14ac:dyDescent="0.3">
      <c r="A315" s="131" t="s">
        <v>243</v>
      </c>
      <c r="B315" s="131" t="s">
        <v>2659</v>
      </c>
      <c r="C315" s="122" t="s">
        <v>14</v>
      </c>
      <c r="D315" s="123">
        <v>8191</v>
      </c>
      <c r="E315" s="124" t="s">
        <v>5</v>
      </c>
      <c r="F315" s="126">
        <v>10460</v>
      </c>
      <c r="G315" s="124" t="s">
        <v>734</v>
      </c>
      <c r="H315" s="126">
        <v>13587</v>
      </c>
      <c r="I315" s="124" t="s">
        <v>736</v>
      </c>
      <c r="J315" s="126">
        <v>13777</v>
      </c>
      <c r="K315" s="124" t="s">
        <v>2202</v>
      </c>
      <c r="L315" s="127">
        <v>0</v>
      </c>
      <c r="M315" s="124" t="s">
        <v>5</v>
      </c>
      <c r="N315" s="144">
        <f t="shared" si="6"/>
        <v>8191</v>
      </c>
      <c r="O315" s="124"/>
      <c r="P315" s="131" t="s">
        <v>5</v>
      </c>
    </row>
    <row r="316" spans="1:16" ht="30" customHeight="1" x14ac:dyDescent="0.3">
      <c r="A316" s="131" t="s">
        <v>243</v>
      </c>
      <c r="B316" s="131" t="s">
        <v>2660</v>
      </c>
      <c r="C316" s="122" t="s">
        <v>14</v>
      </c>
      <c r="D316" s="123">
        <v>7669</v>
      </c>
      <c r="E316" s="124" t="s">
        <v>5</v>
      </c>
      <c r="F316" s="126">
        <v>9903</v>
      </c>
      <c r="G316" s="124" t="s">
        <v>734</v>
      </c>
      <c r="H316" s="126">
        <v>12878</v>
      </c>
      <c r="I316" s="124" t="s">
        <v>736</v>
      </c>
      <c r="J316" s="126">
        <v>12887</v>
      </c>
      <c r="K316" s="124" t="s">
        <v>2202</v>
      </c>
      <c r="L316" s="127">
        <v>0</v>
      </c>
      <c r="M316" s="124" t="s">
        <v>5</v>
      </c>
      <c r="N316" s="144">
        <f t="shared" si="6"/>
        <v>7669</v>
      </c>
      <c r="O316" s="124"/>
      <c r="P316" s="131" t="s">
        <v>5</v>
      </c>
    </row>
    <row r="317" spans="1:16" ht="30" customHeight="1" x14ac:dyDescent="0.3">
      <c r="A317" s="131" t="s">
        <v>243</v>
      </c>
      <c r="B317" s="131" t="s">
        <v>2661</v>
      </c>
      <c r="C317" s="122" t="s">
        <v>14</v>
      </c>
      <c r="D317" s="123">
        <v>10258</v>
      </c>
      <c r="E317" s="124" t="s">
        <v>5</v>
      </c>
      <c r="F317" s="126">
        <v>13085</v>
      </c>
      <c r="G317" s="124" t="s">
        <v>734</v>
      </c>
      <c r="H317" s="126">
        <v>16999</v>
      </c>
      <c r="I317" s="124" t="s">
        <v>736</v>
      </c>
      <c r="J317" s="126">
        <v>17705</v>
      </c>
      <c r="K317" s="124" t="s">
        <v>2202</v>
      </c>
      <c r="L317" s="127">
        <v>0</v>
      </c>
      <c r="M317" s="124" t="s">
        <v>5</v>
      </c>
      <c r="N317" s="144">
        <f t="shared" si="6"/>
        <v>10258</v>
      </c>
      <c r="O317" s="124"/>
      <c r="P317" s="131" t="s">
        <v>5</v>
      </c>
    </row>
    <row r="318" spans="1:16" ht="30" customHeight="1" x14ac:dyDescent="0.3">
      <c r="A318" s="131" t="s">
        <v>243</v>
      </c>
      <c r="B318" s="131" t="s">
        <v>2662</v>
      </c>
      <c r="C318" s="122" t="s">
        <v>14</v>
      </c>
      <c r="D318" s="123">
        <v>9520</v>
      </c>
      <c r="E318" s="124" t="s">
        <v>5</v>
      </c>
      <c r="F318" s="126">
        <v>12063</v>
      </c>
      <c r="G318" s="124" t="s">
        <v>734</v>
      </c>
      <c r="H318" s="126">
        <v>15694</v>
      </c>
      <c r="I318" s="124" t="s">
        <v>736</v>
      </c>
      <c r="J318" s="126">
        <v>16025</v>
      </c>
      <c r="K318" s="124" t="s">
        <v>2202</v>
      </c>
      <c r="L318" s="127">
        <v>0</v>
      </c>
      <c r="M318" s="124" t="s">
        <v>5</v>
      </c>
      <c r="N318" s="144">
        <f t="shared" si="6"/>
        <v>9520</v>
      </c>
      <c r="O318" s="124"/>
      <c r="P318" s="131" t="s">
        <v>5</v>
      </c>
    </row>
    <row r="319" spans="1:16" ht="30" customHeight="1" x14ac:dyDescent="0.3">
      <c r="A319" s="131" t="s">
        <v>243</v>
      </c>
      <c r="B319" s="131" t="s">
        <v>2663</v>
      </c>
      <c r="C319" s="122" t="s">
        <v>14</v>
      </c>
      <c r="D319" s="123">
        <v>12633</v>
      </c>
      <c r="E319" s="124" t="s">
        <v>5</v>
      </c>
      <c r="F319" s="126">
        <v>16119</v>
      </c>
      <c r="G319" s="124" t="s">
        <v>734</v>
      </c>
      <c r="H319" s="126">
        <v>20952</v>
      </c>
      <c r="I319" s="124" t="s">
        <v>736</v>
      </c>
      <c r="J319" s="126">
        <v>22281</v>
      </c>
      <c r="K319" s="124" t="s">
        <v>2202</v>
      </c>
      <c r="L319" s="127">
        <v>0</v>
      </c>
      <c r="M319" s="124" t="s">
        <v>5</v>
      </c>
      <c r="N319" s="144">
        <f t="shared" si="6"/>
        <v>12633</v>
      </c>
      <c r="O319" s="124"/>
      <c r="P319" s="131" t="s">
        <v>5</v>
      </c>
    </row>
    <row r="320" spans="1:16" ht="30" customHeight="1" x14ac:dyDescent="0.3">
      <c r="A320" s="131" t="s">
        <v>243</v>
      </c>
      <c r="B320" s="131" t="s">
        <v>2664</v>
      </c>
      <c r="C320" s="122" t="s">
        <v>14</v>
      </c>
      <c r="D320" s="123">
        <v>11034</v>
      </c>
      <c r="E320" s="124" t="s">
        <v>5</v>
      </c>
      <c r="F320" s="126">
        <v>13970</v>
      </c>
      <c r="G320" s="124" t="s">
        <v>734</v>
      </c>
      <c r="H320" s="126">
        <v>18161</v>
      </c>
      <c r="I320" s="124" t="s">
        <v>736</v>
      </c>
      <c r="J320" s="126">
        <v>18568</v>
      </c>
      <c r="K320" s="124" t="s">
        <v>2202</v>
      </c>
      <c r="L320" s="127">
        <v>0</v>
      </c>
      <c r="M320" s="124" t="s">
        <v>5</v>
      </c>
      <c r="N320" s="144">
        <f t="shared" si="6"/>
        <v>11034</v>
      </c>
      <c r="O320" s="124"/>
      <c r="P320" s="131" t="s">
        <v>5</v>
      </c>
    </row>
    <row r="321" spans="1:16" ht="30" customHeight="1" x14ac:dyDescent="0.3">
      <c r="A321" s="131" t="s">
        <v>243</v>
      </c>
      <c r="B321" s="131" t="s">
        <v>2665</v>
      </c>
      <c r="C321" s="122" t="s">
        <v>14</v>
      </c>
      <c r="D321" s="123">
        <v>15283</v>
      </c>
      <c r="E321" s="124" t="s">
        <v>5</v>
      </c>
      <c r="F321" s="126">
        <v>19298</v>
      </c>
      <c r="G321" s="124" t="s">
        <v>734</v>
      </c>
      <c r="H321" s="126">
        <v>25138</v>
      </c>
      <c r="I321" s="124" t="s">
        <v>736</v>
      </c>
      <c r="J321" s="126">
        <v>26040</v>
      </c>
      <c r="K321" s="124" t="s">
        <v>2202</v>
      </c>
      <c r="L321" s="127">
        <v>0</v>
      </c>
      <c r="M321" s="124" t="s">
        <v>5</v>
      </c>
      <c r="N321" s="144">
        <f t="shared" si="6"/>
        <v>15283</v>
      </c>
      <c r="O321" s="124"/>
      <c r="P321" s="131" t="s">
        <v>5</v>
      </c>
    </row>
    <row r="322" spans="1:16" ht="30" customHeight="1" x14ac:dyDescent="0.3">
      <c r="A322" s="131" t="s">
        <v>243</v>
      </c>
      <c r="B322" s="131" t="s">
        <v>2666</v>
      </c>
      <c r="C322" s="122" t="s">
        <v>14</v>
      </c>
      <c r="D322" s="123">
        <v>15542</v>
      </c>
      <c r="E322" s="124" t="s">
        <v>5</v>
      </c>
      <c r="F322" s="126">
        <v>19665</v>
      </c>
      <c r="G322" s="124" t="s">
        <v>734</v>
      </c>
      <c r="H322" s="126">
        <v>25582</v>
      </c>
      <c r="I322" s="124" t="s">
        <v>736</v>
      </c>
      <c r="J322" s="126">
        <v>25573</v>
      </c>
      <c r="K322" s="124" t="s">
        <v>2202</v>
      </c>
      <c r="L322" s="127">
        <v>0</v>
      </c>
      <c r="M322" s="124" t="s">
        <v>5</v>
      </c>
      <c r="N322" s="144">
        <f t="shared" si="6"/>
        <v>15542</v>
      </c>
      <c r="O322" s="124"/>
      <c r="P322" s="131" t="s">
        <v>5</v>
      </c>
    </row>
    <row r="323" spans="1:16" ht="30" customHeight="1" x14ac:dyDescent="0.3">
      <c r="A323" s="131" t="s">
        <v>243</v>
      </c>
      <c r="B323" s="131" t="s">
        <v>2667</v>
      </c>
      <c r="C323" s="122" t="s">
        <v>14</v>
      </c>
      <c r="D323" s="123">
        <v>21329</v>
      </c>
      <c r="E323" s="124" t="s">
        <v>5</v>
      </c>
      <c r="F323" s="126">
        <v>26908</v>
      </c>
      <c r="G323" s="124" t="s">
        <v>734</v>
      </c>
      <c r="H323" s="126">
        <v>35018</v>
      </c>
      <c r="I323" s="124" t="s">
        <v>736</v>
      </c>
      <c r="J323" s="126">
        <v>36889</v>
      </c>
      <c r="K323" s="124" t="s">
        <v>2202</v>
      </c>
      <c r="L323" s="127">
        <v>0</v>
      </c>
      <c r="M323" s="124" t="s">
        <v>5</v>
      </c>
      <c r="N323" s="144">
        <f t="shared" si="6"/>
        <v>21329</v>
      </c>
      <c r="O323" s="124"/>
      <c r="P323" s="131" t="s">
        <v>5</v>
      </c>
    </row>
    <row r="324" spans="1:16" ht="30" customHeight="1" x14ac:dyDescent="0.3">
      <c r="A324" s="131" t="s">
        <v>243</v>
      </c>
      <c r="B324" s="131" t="s">
        <v>2668</v>
      </c>
      <c r="C324" s="122" t="s">
        <v>14</v>
      </c>
      <c r="D324" s="123">
        <v>18465</v>
      </c>
      <c r="E324" s="124" t="s">
        <v>5</v>
      </c>
      <c r="F324" s="126">
        <v>23342</v>
      </c>
      <c r="G324" s="124" t="s">
        <v>734</v>
      </c>
      <c r="H324" s="126">
        <v>30403</v>
      </c>
      <c r="I324" s="124" t="s">
        <v>736</v>
      </c>
      <c r="J324" s="126">
        <v>31287</v>
      </c>
      <c r="K324" s="124" t="s">
        <v>2202</v>
      </c>
      <c r="L324" s="127">
        <v>0</v>
      </c>
      <c r="M324" s="124" t="s">
        <v>5</v>
      </c>
      <c r="N324" s="144">
        <f t="shared" si="6"/>
        <v>18465</v>
      </c>
      <c r="O324" s="124"/>
      <c r="P324" s="131" t="s">
        <v>5</v>
      </c>
    </row>
    <row r="325" spans="1:16" ht="30" customHeight="1" x14ac:dyDescent="0.3">
      <c r="A325" s="131" t="s">
        <v>243</v>
      </c>
      <c r="B325" s="131" t="s">
        <v>2669</v>
      </c>
      <c r="C325" s="122" t="s">
        <v>14</v>
      </c>
      <c r="D325" s="123">
        <v>25336</v>
      </c>
      <c r="E325" s="124" t="s">
        <v>5</v>
      </c>
      <c r="F325" s="126">
        <v>31974</v>
      </c>
      <c r="G325" s="124" t="s">
        <v>734</v>
      </c>
      <c r="H325" s="126">
        <v>41607</v>
      </c>
      <c r="I325" s="124" t="s">
        <v>736</v>
      </c>
      <c r="J325" s="126">
        <v>44497</v>
      </c>
      <c r="K325" s="124" t="s">
        <v>2202</v>
      </c>
      <c r="L325" s="127">
        <v>0</v>
      </c>
      <c r="M325" s="124" t="s">
        <v>5</v>
      </c>
      <c r="N325" s="144">
        <f t="shared" si="6"/>
        <v>25336</v>
      </c>
      <c r="O325" s="124"/>
      <c r="P325" s="131" t="s">
        <v>5</v>
      </c>
    </row>
    <row r="326" spans="1:16" ht="30" customHeight="1" x14ac:dyDescent="0.3">
      <c r="A326" s="121" t="s">
        <v>251</v>
      </c>
      <c r="B326" s="121" t="s">
        <v>1836</v>
      </c>
      <c r="C326" s="122" t="s">
        <v>14</v>
      </c>
      <c r="D326" s="134">
        <v>1375</v>
      </c>
      <c r="E326" s="124" t="s">
        <v>5</v>
      </c>
      <c r="F326" s="126">
        <v>1658</v>
      </c>
      <c r="G326" s="124" t="s">
        <v>744</v>
      </c>
      <c r="H326" s="126">
        <v>1908</v>
      </c>
      <c r="I326" s="124" t="s">
        <v>745</v>
      </c>
      <c r="J326" s="126">
        <v>1860</v>
      </c>
      <c r="K326" s="124" t="s">
        <v>2207</v>
      </c>
      <c r="L326" s="126">
        <v>2259</v>
      </c>
      <c r="M326" s="124" t="s">
        <v>2205</v>
      </c>
      <c r="N326" s="144">
        <f t="shared" si="6"/>
        <v>1375</v>
      </c>
      <c r="O326" s="124"/>
      <c r="P326" s="131" t="s">
        <v>5</v>
      </c>
    </row>
    <row r="327" spans="1:16" ht="30" customHeight="1" x14ac:dyDescent="0.3">
      <c r="A327" s="121" t="s">
        <v>251</v>
      </c>
      <c r="B327" s="121" t="s">
        <v>1837</v>
      </c>
      <c r="C327" s="122" t="s">
        <v>14</v>
      </c>
      <c r="D327" s="134">
        <v>1836</v>
      </c>
      <c r="E327" s="124" t="s">
        <v>5</v>
      </c>
      <c r="F327" s="126">
        <v>2136</v>
      </c>
      <c r="G327" s="124" t="s">
        <v>744</v>
      </c>
      <c r="H327" s="126">
        <v>3187</v>
      </c>
      <c r="I327" s="124" t="s">
        <v>745</v>
      </c>
      <c r="J327" s="126">
        <v>3142</v>
      </c>
      <c r="K327" s="124" t="s">
        <v>2207</v>
      </c>
      <c r="L327" s="126">
        <v>3791</v>
      </c>
      <c r="M327" s="124" t="s">
        <v>2205</v>
      </c>
      <c r="N327" s="144">
        <f t="shared" ref="N327:N387" si="7">SMALL(D327:L327,COUNTIF(D327:L327,0)+1)</f>
        <v>1836</v>
      </c>
      <c r="O327" s="124"/>
      <c r="P327" s="131" t="s">
        <v>5</v>
      </c>
    </row>
    <row r="328" spans="1:16" ht="30" customHeight="1" x14ac:dyDescent="0.3">
      <c r="A328" s="121" t="s">
        <v>251</v>
      </c>
      <c r="B328" s="121" t="s">
        <v>1838</v>
      </c>
      <c r="C328" s="122" t="s">
        <v>14</v>
      </c>
      <c r="D328" s="134">
        <v>2320</v>
      </c>
      <c r="E328" s="124" t="s">
        <v>5</v>
      </c>
      <c r="F328" s="126">
        <v>2699</v>
      </c>
      <c r="G328" s="124" t="s">
        <v>744</v>
      </c>
      <c r="H328" s="126">
        <v>4488</v>
      </c>
      <c r="I328" s="124" t="s">
        <v>745</v>
      </c>
      <c r="J328" s="126">
        <v>4424</v>
      </c>
      <c r="K328" s="124" t="s">
        <v>2207</v>
      </c>
      <c r="L328" s="126">
        <v>5347</v>
      </c>
      <c r="M328" s="124" t="s">
        <v>2205</v>
      </c>
      <c r="N328" s="144">
        <f t="shared" si="7"/>
        <v>2320</v>
      </c>
      <c r="O328" s="124"/>
      <c r="P328" s="131" t="s">
        <v>5</v>
      </c>
    </row>
    <row r="329" spans="1:16" ht="30" customHeight="1" x14ac:dyDescent="0.3">
      <c r="A329" s="121" t="s">
        <v>251</v>
      </c>
      <c r="B329" s="121" t="s">
        <v>1839</v>
      </c>
      <c r="C329" s="122" t="s">
        <v>14</v>
      </c>
      <c r="D329" s="134">
        <v>2747</v>
      </c>
      <c r="E329" s="124" t="s">
        <v>5</v>
      </c>
      <c r="F329" s="126">
        <v>3198</v>
      </c>
      <c r="G329" s="124" t="s">
        <v>744</v>
      </c>
      <c r="H329" s="126">
        <v>5953</v>
      </c>
      <c r="I329" s="124" t="s">
        <v>745</v>
      </c>
      <c r="J329" s="126">
        <v>5845</v>
      </c>
      <c r="K329" s="124" t="s">
        <v>2207</v>
      </c>
      <c r="L329" s="126">
        <v>7104</v>
      </c>
      <c r="M329" s="124" t="s">
        <v>2205</v>
      </c>
      <c r="N329" s="144">
        <f t="shared" si="7"/>
        <v>2747</v>
      </c>
      <c r="O329" s="124"/>
      <c r="P329" s="131" t="s">
        <v>5</v>
      </c>
    </row>
    <row r="330" spans="1:16" ht="30" customHeight="1" x14ac:dyDescent="0.3">
      <c r="A330" s="121" t="s">
        <v>251</v>
      </c>
      <c r="B330" s="121" t="s">
        <v>1840</v>
      </c>
      <c r="C330" s="122" t="s">
        <v>14</v>
      </c>
      <c r="D330" s="134">
        <v>3224</v>
      </c>
      <c r="E330" s="124" t="s">
        <v>5</v>
      </c>
      <c r="F330" s="126">
        <v>3752</v>
      </c>
      <c r="G330" s="124" t="s">
        <v>744</v>
      </c>
      <c r="H330" s="126">
        <v>6403</v>
      </c>
      <c r="I330" s="124" t="s">
        <v>745</v>
      </c>
      <c r="J330" s="126">
        <v>6295</v>
      </c>
      <c r="K330" s="124" t="s">
        <v>2207</v>
      </c>
      <c r="L330" s="126">
        <v>7632</v>
      </c>
      <c r="M330" s="124" t="s">
        <v>2205</v>
      </c>
      <c r="N330" s="144">
        <f t="shared" si="7"/>
        <v>3224</v>
      </c>
      <c r="O330" s="124"/>
      <c r="P330" s="131" t="s">
        <v>5</v>
      </c>
    </row>
    <row r="331" spans="1:16" ht="30" customHeight="1" x14ac:dyDescent="0.3">
      <c r="A331" s="121" t="s">
        <v>251</v>
      </c>
      <c r="B331" s="121" t="s">
        <v>1841</v>
      </c>
      <c r="C331" s="122" t="s">
        <v>14</v>
      </c>
      <c r="D331" s="134">
        <v>3720</v>
      </c>
      <c r="E331" s="124" t="s">
        <v>5</v>
      </c>
      <c r="F331" s="126">
        <v>4327</v>
      </c>
      <c r="G331" s="124" t="s">
        <v>744</v>
      </c>
      <c r="H331" s="126">
        <v>7269</v>
      </c>
      <c r="I331" s="124" t="s">
        <v>745</v>
      </c>
      <c r="J331" s="126">
        <v>7127</v>
      </c>
      <c r="K331" s="124" t="s">
        <v>2207</v>
      </c>
      <c r="L331" s="126">
        <v>8661</v>
      </c>
      <c r="M331" s="124" t="s">
        <v>2205</v>
      </c>
      <c r="N331" s="144">
        <f t="shared" si="7"/>
        <v>3720</v>
      </c>
      <c r="O331" s="124"/>
      <c r="P331" s="131" t="s">
        <v>5</v>
      </c>
    </row>
    <row r="332" spans="1:16" ht="30" customHeight="1" x14ac:dyDescent="0.3">
      <c r="A332" s="121" t="s">
        <v>251</v>
      </c>
      <c r="B332" s="121" t="s">
        <v>1842</v>
      </c>
      <c r="C332" s="122" t="s">
        <v>14</v>
      </c>
      <c r="D332" s="134">
        <v>5321</v>
      </c>
      <c r="E332" s="124" t="s">
        <v>5</v>
      </c>
      <c r="F332" s="126">
        <v>6190</v>
      </c>
      <c r="G332" s="124" t="s">
        <v>744</v>
      </c>
      <c r="H332" s="126">
        <v>11593</v>
      </c>
      <c r="I332" s="124" t="s">
        <v>745</v>
      </c>
      <c r="J332" s="126">
        <v>11400</v>
      </c>
      <c r="K332" s="124" t="s">
        <v>2207</v>
      </c>
      <c r="L332" s="126">
        <v>13832</v>
      </c>
      <c r="M332" s="124" t="s">
        <v>2205</v>
      </c>
      <c r="N332" s="144">
        <f t="shared" si="7"/>
        <v>5321</v>
      </c>
      <c r="O332" s="124"/>
      <c r="P332" s="131" t="s">
        <v>5</v>
      </c>
    </row>
    <row r="333" spans="1:16" ht="30" customHeight="1" x14ac:dyDescent="0.3">
      <c r="A333" s="121" t="s">
        <v>251</v>
      </c>
      <c r="B333" s="121" t="s">
        <v>1843</v>
      </c>
      <c r="C333" s="122" t="s">
        <v>14</v>
      </c>
      <c r="D333" s="134">
        <v>9189</v>
      </c>
      <c r="E333" s="124" t="s">
        <v>5</v>
      </c>
      <c r="F333" s="126">
        <v>10689</v>
      </c>
      <c r="G333" s="124" t="s">
        <v>744</v>
      </c>
      <c r="H333" s="126">
        <v>22483</v>
      </c>
      <c r="I333" s="124" t="s">
        <v>745</v>
      </c>
      <c r="J333" s="126">
        <v>22142</v>
      </c>
      <c r="K333" s="124" t="s">
        <v>2207</v>
      </c>
      <c r="L333" s="126">
        <v>26861</v>
      </c>
      <c r="M333" s="124" t="s">
        <v>2205</v>
      </c>
      <c r="N333" s="144">
        <f t="shared" si="7"/>
        <v>9189</v>
      </c>
      <c r="O333" s="124"/>
      <c r="P333" s="131" t="s">
        <v>5</v>
      </c>
    </row>
    <row r="334" spans="1:16" ht="30" customHeight="1" x14ac:dyDescent="0.3">
      <c r="A334" s="121" t="s">
        <v>251</v>
      </c>
      <c r="B334" s="121" t="s">
        <v>1844</v>
      </c>
      <c r="C334" s="122" t="s">
        <v>14</v>
      </c>
      <c r="D334" s="134">
        <v>13360</v>
      </c>
      <c r="E334" s="124" t="s">
        <v>5</v>
      </c>
      <c r="F334" s="126">
        <v>15541</v>
      </c>
      <c r="G334" s="124" t="s">
        <v>744</v>
      </c>
      <c r="H334" s="126">
        <v>36189</v>
      </c>
      <c r="I334" s="124" t="s">
        <v>745</v>
      </c>
      <c r="J334" s="126">
        <v>35702</v>
      </c>
      <c r="K334" s="124" t="s">
        <v>2207</v>
      </c>
      <c r="L334" s="126">
        <v>43279</v>
      </c>
      <c r="M334" s="124" t="s">
        <v>2205</v>
      </c>
      <c r="N334" s="144">
        <f t="shared" si="7"/>
        <v>13360</v>
      </c>
      <c r="O334" s="124"/>
      <c r="P334" s="131" t="s">
        <v>5</v>
      </c>
    </row>
    <row r="335" spans="1:16" ht="30" customHeight="1" x14ac:dyDescent="0.3">
      <c r="A335" s="121" t="s">
        <v>251</v>
      </c>
      <c r="B335" s="121" t="s">
        <v>1845</v>
      </c>
      <c r="C335" s="122" t="s">
        <v>14</v>
      </c>
      <c r="D335" s="134">
        <v>17055</v>
      </c>
      <c r="E335" s="124" t="s">
        <v>5</v>
      </c>
      <c r="F335" s="126">
        <v>19837</v>
      </c>
      <c r="G335" s="124" t="s">
        <v>744</v>
      </c>
      <c r="H335" s="126">
        <v>44102</v>
      </c>
      <c r="I335" s="124" t="s">
        <v>745</v>
      </c>
      <c r="J335" s="126">
        <v>43486</v>
      </c>
      <c r="K335" s="124" t="s">
        <v>2207</v>
      </c>
      <c r="L335" s="126">
        <v>52718</v>
      </c>
      <c r="M335" s="124" t="s">
        <v>2205</v>
      </c>
      <c r="N335" s="144">
        <f>SMALL(D335:L335,COUNTIF(D335:L335,0)+1)</f>
        <v>17055</v>
      </c>
      <c r="O335" s="124"/>
      <c r="P335" s="131" t="s">
        <v>5</v>
      </c>
    </row>
    <row r="336" spans="1:16" ht="30" customHeight="1" x14ac:dyDescent="0.3">
      <c r="A336" s="131" t="s">
        <v>1852</v>
      </c>
      <c r="B336" s="131" t="s">
        <v>2681</v>
      </c>
      <c r="C336" s="132" t="s">
        <v>14</v>
      </c>
      <c r="D336" s="134" t="s">
        <v>2682</v>
      </c>
      <c r="E336" s="131" t="s">
        <v>5</v>
      </c>
      <c r="F336" s="126">
        <v>2150</v>
      </c>
      <c r="G336" s="124" t="s">
        <v>2684</v>
      </c>
      <c r="H336" s="127" t="s">
        <v>2682</v>
      </c>
      <c r="I336" s="124" t="s">
        <v>2683</v>
      </c>
      <c r="J336" s="127">
        <v>3950</v>
      </c>
      <c r="K336" s="124" t="s">
        <v>2685</v>
      </c>
      <c r="L336" s="127">
        <v>2400</v>
      </c>
      <c r="M336" s="124" t="s">
        <v>2686</v>
      </c>
      <c r="N336" s="144">
        <f>SMALL(D336:L336,COUNTIF(D336:L336,0)+1)</f>
        <v>2150</v>
      </c>
      <c r="O336" s="143"/>
      <c r="P336" s="131" t="s">
        <v>5</v>
      </c>
    </row>
    <row r="337" spans="1:16" ht="30" customHeight="1" x14ac:dyDescent="0.3">
      <c r="A337" s="131" t="s">
        <v>1852</v>
      </c>
      <c r="B337" s="131" t="s">
        <v>1853</v>
      </c>
      <c r="C337" s="132" t="s">
        <v>14</v>
      </c>
      <c r="D337" s="134">
        <v>570</v>
      </c>
      <c r="E337" s="131" t="s">
        <v>5</v>
      </c>
      <c r="F337" s="126">
        <v>670</v>
      </c>
      <c r="G337" s="124" t="s">
        <v>1603</v>
      </c>
      <c r="H337" s="127">
        <v>1120</v>
      </c>
      <c r="I337" s="124" t="s">
        <v>1606</v>
      </c>
      <c r="J337" s="127">
        <v>0</v>
      </c>
      <c r="K337" s="124" t="s">
        <v>5</v>
      </c>
      <c r="L337" s="127">
        <v>0</v>
      </c>
      <c r="M337" s="124" t="s">
        <v>5</v>
      </c>
      <c r="N337" s="144">
        <f t="shared" si="7"/>
        <v>570</v>
      </c>
      <c r="O337" s="143"/>
      <c r="P337" s="131" t="s">
        <v>5</v>
      </c>
    </row>
    <row r="338" spans="1:16" ht="30" customHeight="1" x14ac:dyDescent="0.3">
      <c r="A338" s="131" t="s">
        <v>1852</v>
      </c>
      <c r="B338" s="131" t="s">
        <v>1854</v>
      </c>
      <c r="C338" s="132" t="s">
        <v>14</v>
      </c>
      <c r="D338" s="134"/>
      <c r="E338" s="131" t="s">
        <v>5</v>
      </c>
      <c r="F338" s="126">
        <v>470</v>
      </c>
      <c r="G338" s="124" t="s">
        <v>1603</v>
      </c>
      <c r="H338" s="126">
        <v>790</v>
      </c>
      <c r="I338" s="124" t="s">
        <v>1606</v>
      </c>
      <c r="J338" s="127">
        <v>0</v>
      </c>
      <c r="K338" s="124" t="s">
        <v>5</v>
      </c>
      <c r="L338" s="127">
        <v>0</v>
      </c>
      <c r="M338" s="124" t="s">
        <v>5</v>
      </c>
      <c r="N338" s="144">
        <f t="shared" si="7"/>
        <v>470</v>
      </c>
      <c r="O338" s="143"/>
      <c r="P338" s="131" t="s">
        <v>5</v>
      </c>
    </row>
    <row r="339" spans="1:16" ht="30" customHeight="1" x14ac:dyDescent="0.3">
      <c r="A339" s="131" t="s">
        <v>1852</v>
      </c>
      <c r="B339" s="131" t="s">
        <v>1855</v>
      </c>
      <c r="C339" s="132" t="s">
        <v>14</v>
      </c>
      <c r="D339" s="134">
        <v>2831</v>
      </c>
      <c r="E339" s="131" t="s">
        <v>5</v>
      </c>
      <c r="F339" s="126">
        <v>3330</v>
      </c>
      <c r="G339" s="124" t="s">
        <v>1603</v>
      </c>
      <c r="H339" s="126">
        <v>5550</v>
      </c>
      <c r="I339" s="124" t="s">
        <v>1606</v>
      </c>
      <c r="J339" s="127">
        <v>0</v>
      </c>
      <c r="K339" s="124" t="s">
        <v>5</v>
      </c>
      <c r="L339" s="127">
        <v>0</v>
      </c>
      <c r="M339" s="124" t="s">
        <v>5</v>
      </c>
      <c r="N339" s="144">
        <f t="shared" si="7"/>
        <v>2831</v>
      </c>
      <c r="O339" s="143"/>
      <c r="P339" s="131" t="s">
        <v>5</v>
      </c>
    </row>
    <row r="340" spans="1:16" ht="30" customHeight="1" x14ac:dyDescent="0.3">
      <c r="A340" s="131" t="s">
        <v>1852</v>
      </c>
      <c r="B340" s="131" t="s">
        <v>1969</v>
      </c>
      <c r="C340" s="132" t="s">
        <v>14</v>
      </c>
      <c r="D340" s="134">
        <v>10089</v>
      </c>
      <c r="E340" s="131" t="s">
        <v>5</v>
      </c>
      <c r="F340" s="126"/>
      <c r="G340" s="124"/>
      <c r="H340" s="126">
        <v>11870</v>
      </c>
      <c r="I340" s="124" t="s">
        <v>1606</v>
      </c>
      <c r="J340" s="127">
        <v>0</v>
      </c>
      <c r="K340" s="124" t="s">
        <v>5</v>
      </c>
      <c r="L340" s="127">
        <v>0</v>
      </c>
      <c r="M340" s="124" t="s">
        <v>5</v>
      </c>
      <c r="N340" s="144">
        <f t="shared" si="7"/>
        <v>10089</v>
      </c>
      <c r="O340" s="143"/>
      <c r="P340" s="131" t="s">
        <v>5</v>
      </c>
    </row>
    <row r="341" spans="1:16" ht="30" customHeight="1" x14ac:dyDescent="0.3">
      <c r="A341" s="131" t="s">
        <v>1852</v>
      </c>
      <c r="B341" s="131" t="s">
        <v>1968</v>
      </c>
      <c r="C341" s="132" t="s">
        <v>14</v>
      </c>
      <c r="D341" s="123">
        <v>0</v>
      </c>
      <c r="E341" s="131" t="s">
        <v>5</v>
      </c>
      <c r="F341" s="127">
        <v>0</v>
      </c>
      <c r="G341" s="124" t="s">
        <v>5</v>
      </c>
      <c r="H341" s="127">
        <v>22170</v>
      </c>
      <c r="I341" s="124" t="s">
        <v>1606</v>
      </c>
      <c r="J341" s="127">
        <v>0</v>
      </c>
      <c r="K341" s="128"/>
      <c r="L341" s="127">
        <v>0</v>
      </c>
      <c r="M341" s="128" t="s">
        <v>5</v>
      </c>
      <c r="N341" s="144">
        <f t="shared" si="7"/>
        <v>22170</v>
      </c>
      <c r="O341" s="143"/>
      <c r="P341" s="130"/>
    </row>
    <row r="342" spans="1:16" ht="30" customHeight="1" x14ac:dyDescent="0.3">
      <c r="A342" s="131" t="s">
        <v>244</v>
      </c>
      <c r="B342" s="131" t="s">
        <v>245</v>
      </c>
      <c r="C342" s="132" t="s">
        <v>14</v>
      </c>
      <c r="D342" s="145">
        <v>1016</v>
      </c>
      <c r="E342" s="128" t="s">
        <v>5</v>
      </c>
      <c r="F342" s="127">
        <v>0</v>
      </c>
      <c r="G342" s="128"/>
      <c r="H342" s="127">
        <v>1760</v>
      </c>
      <c r="I342" s="124" t="s">
        <v>2204</v>
      </c>
      <c r="J342" s="133">
        <v>1050</v>
      </c>
      <c r="K342" s="128" t="s">
        <v>2203</v>
      </c>
      <c r="L342" s="127">
        <v>2084</v>
      </c>
      <c r="M342" s="128" t="s">
        <v>2205</v>
      </c>
      <c r="N342" s="144">
        <f t="shared" si="7"/>
        <v>1016</v>
      </c>
      <c r="O342" s="124"/>
      <c r="P342" s="124"/>
    </row>
    <row r="343" spans="1:16" ht="30" customHeight="1" x14ac:dyDescent="0.3">
      <c r="A343" s="131" t="s">
        <v>244</v>
      </c>
      <c r="B343" s="131" t="s">
        <v>246</v>
      </c>
      <c r="C343" s="132" t="s">
        <v>14</v>
      </c>
      <c r="D343" s="145">
        <v>1081</v>
      </c>
      <c r="E343" s="128" t="s">
        <v>5</v>
      </c>
      <c r="F343" s="127">
        <v>0</v>
      </c>
      <c r="G343" s="128"/>
      <c r="H343" s="127">
        <v>1980</v>
      </c>
      <c r="I343" s="124" t="s">
        <v>2204</v>
      </c>
      <c r="J343" s="133">
        <v>1155</v>
      </c>
      <c r="K343" s="128" t="s">
        <v>2203</v>
      </c>
      <c r="L343" s="127">
        <v>2344</v>
      </c>
      <c r="M343" s="128" t="s">
        <v>2205</v>
      </c>
      <c r="N343" s="144">
        <f t="shared" si="7"/>
        <v>1081</v>
      </c>
      <c r="O343" s="124"/>
      <c r="P343" s="124"/>
    </row>
    <row r="344" spans="1:16" ht="30" customHeight="1" x14ac:dyDescent="0.3">
      <c r="A344" s="131" t="s">
        <v>244</v>
      </c>
      <c r="B344" s="131" t="s">
        <v>247</v>
      </c>
      <c r="C344" s="132" t="s">
        <v>14</v>
      </c>
      <c r="D344" s="145">
        <v>1211</v>
      </c>
      <c r="E344" s="128" t="s">
        <v>5</v>
      </c>
      <c r="F344" s="127">
        <v>0</v>
      </c>
      <c r="G344" s="128"/>
      <c r="H344" s="127">
        <v>2640</v>
      </c>
      <c r="I344" s="124" t="s">
        <v>2204</v>
      </c>
      <c r="J344" s="133">
        <v>1260</v>
      </c>
      <c r="K344" s="128" t="s">
        <v>2203</v>
      </c>
      <c r="L344" s="127">
        <v>3126</v>
      </c>
      <c r="M344" s="128" t="s">
        <v>2205</v>
      </c>
      <c r="N344" s="144">
        <f t="shared" si="7"/>
        <v>1211</v>
      </c>
      <c r="O344" s="124"/>
      <c r="P344" s="124"/>
    </row>
    <row r="345" spans="1:16" ht="30" customHeight="1" x14ac:dyDescent="0.3">
      <c r="A345" s="131" t="s">
        <v>244</v>
      </c>
      <c r="B345" s="131" t="s">
        <v>248</v>
      </c>
      <c r="C345" s="132" t="s">
        <v>14</v>
      </c>
      <c r="D345" s="123">
        <v>0</v>
      </c>
      <c r="E345" s="128" t="s">
        <v>5</v>
      </c>
      <c r="F345" s="127">
        <v>0</v>
      </c>
      <c r="G345" s="128" t="s">
        <v>5</v>
      </c>
      <c r="H345" s="127">
        <v>0</v>
      </c>
      <c r="I345" s="128" t="s">
        <v>5</v>
      </c>
      <c r="J345" s="133">
        <v>1470</v>
      </c>
      <c r="K345" s="128" t="s">
        <v>2203</v>
      </c>
      <c r="L345" s="127">
        <v>0</v>
      </c>
      <c r="M345" s="128" t="s">
        <v>5</v>
      </c>
      <c r="N345" s="144">
        <f t="shared" si="7"/>
        <v>1470</v>
      </c>
      <c r="O345" s="124"/>
      <c r="P345" s="124"/>
    </row>
    <row r="346" spans="1:16" ht="30" customHeight="1" x14ac:dyDescent="0.3">
      <c r="A346" s="131" t="s">
        <v>244</v>
      </c>
      <c r="B346" s="131" t="s">
        <v>249</v>
      </c>
      <c r="C346" s="132" t="s">
        <v>14</v>
      </c>
      <c r="D346" s="123">
        <v>0</v>
      </c>
      <c r="E346" s="128" t="s">
        <v>5</v>
      </c>
      <c r="F346" s="127">
        <v>0</v>
      </c>
      <c r="G346" s="128"/>
      <c r="H346" s="127">
        <v>3300</v>
      </c>
      <c r="I346" s="124" t="s">
        <v>2204</v>
      </c>
      <c r="J346" s="133">
        <v>1680</v>
      </c>
      <c r="K346" s="128" t="s">
        <v>2203</v>
      </c>
      <c r="L346" s="127">
        <v>3907</v>
      </c>
      <c r="M346" s="128" t="s">
        <v>2205</v>
      </c>
      <c r="N346" s="144">
        <f t="shared" si="7"/>
        <v>1680</v>
      </c>
      <c r="O346" s="124"/>
      <c r="P346" s="124"/>
    </row>
    <row r="347" spans="1:16" ht="30" customHeight="1" x14ac:dyDescent="0.3">
      <c r="A347" s="131" t="s">
        <v>244</v>
      </c>
      <c r="B347" s="131" t="s">
        <v>1604</v>
      </c>
      <c r="C347" s="132" t="s">
        <v>14</v>
      </c>
      <c r="D347" s="123">
        <v>0</v>
      </c>
      <c r="E347" s="128" t="s">
        <v>5</v>
      </c>
      <c r="F347" s="127">
        <v>0</v>
      </c>
      <c r="G347" s="128"/>
      <c r="H347" s="127">
        <v>0</v>
      </c>
      <c r="I347" s="128" t="s">
        <v>5</v>
      </c>
      <c r="J347" s="133">
        <v>1890</v>
      </c>
      <c r="K347" s="128" t="s">
        <v>2203</v>
      </c>
      <c r="L347" s="127">
        <v>0</v>
      </c>
      <c r="M347" s="128"/>
      <c r="N347" s="144">
        <f t="shared" si="7"/>
        <v>1890</v>
      </c>
      <c r="O347" s="124"/>
      <c r="P347" s="124"/>
    </row>
    <row r="348" spans="1:16" ht="30" customHeight="1" x14ac:dyDescent="0.3">
      <c r="A348" s="131" t="s">
        <v>244</v>
      </c>
      <c r="B348" s="131" t="s">
        <v>1605</v>
      </c>
      <c r="C348" s="132" t="s">
        <v>14</v>
      </c>
      <c r="D348" s="123">
        <v>0</v>
      </c>
      <c r="E348" s="128" t="s">
        <v>5</v>
      </c>
      <c r="F348" s="127">
        <v>0</v>
      </c>
      <c r="G348" s="128"/>
      <c r="H348" s="127">
        <v>0</v>
      </c>
      <c r="I348" s="128" t="s">
        <v>5</v>
      </c>
      <c r="J348" s="133">
        <v>2310</v>
      </c>
      <c r="K348" s="128" t="s">
        <v>2203</v>
      </c>
      <c r="L348" s="127">
        <v>0</v>
      </c>
      <c r="M348" s="128"/>
      <c r="N348" s="144">
        <f t="shared" si="7"/>
        <v>2310</v>
      </c>
      <c r="O348" s="124"/>
      <c r="P348" s="124"/>
    </row>
    <row r="349" spans="1:16" ht="30" customHeight="1" x14ac:dyDescent="0.3">
      <c r="A349" s="121" t="s">
        <v>1858</v>
      </c>
      <c r="B349" s="121" t="s">
        <v>245</v>
      </c>
      <c r="C349" s="122" t="s">
        <v>14</v>
      </c>
      <c r="D349" s="123">
        <v>0</v>
      </c>
      <c r="E349" s="124" t="s">
        <v>5</v>
      </c>
      <c r="F349" s="127">
        <v>0</v>
      </c>
      <c r="G349" s="124" t="s">
        <v>5</v>
      </c>
      <c r="H349" s="126">
        <v>2640</v>
      </c>
      <c r="I349" s="124" t="s">
        <v>2204</v>
      </c>
      <c r="J349" s="125">
        <v>1365</v>
      </c>
      <c r="K349" s="128" t="s">
        <v>2203</v>
      </c>
      <c r="L349" s="126">
        <v>3126</v>
      </c>
      <c r="M349" s="128" t="s">
        <v>2205</v>
      </c>
      <c r="N349" s="144">
        <f t="shared" si="7"/>
        <v>1365</v>
      </c>
      <c r="O349" s="124"/>
      <c r="P349" s="131" t="s">
        <v>5</v>
      </c>
    </row>
    <row r="350" spans="1:16" ht="30" customHeight="1" x14ac:dyDescent="0.3">
      <c r="A350" s="121" t="s">
        <v>1858</v>
      </c>
      <c r="B350" s="121" t="s">
        <v>246</v>
      </c>
      <c r="C350" s="122" t="s">
        <v>14</v>
      </c>
      <c r="D350" s="123">
        <v>0</v>
      </c>
      <c r="E350" s="124" t="s">
        <v>5</v>
      </c>
      <c r="F350" s="127">
        <v>0</v>
      </c>
      <c r="G350" s="124" t="s">
        <v>5</v>
      </c>
      <c r="H350" s="126">
        <v>3960</v>
      </c>
      <c r="I350" s="124" t="s">
        <v>2204</v>
      </c>
      <c r="J350" s="125">
        <v>1680</v>
      </c>
      <c r="K350" s="128" t="s">
        <v>2203</v>
      </c>
      <c r="L350" s="126">
        <v>4689</v>
      </c>
      <c r="M350" s="128" t="s">
        <v>2205</v>
      </c>
      <c r="N350" s="144">
        <f t="shared" si="7"/>
        <v>1680</v>
      </c>
      <c r="O350" s="124"/>
      <c r="P350" s="131" t="s">
        <v>5</v>
      </c>
    </row>
    <row r="351" spans="1:16" ht="30" customHeight="1" x14ac:dyDescent="0.3">
      <c r="A351" s="121" t="s">
        <v>1858</v>
      </c>
      <c r="B351" s="121" t="s">
        <v>247</v>
      </c>
      <c r="C351" s="122" t="s">
        <v>14</v>
      </c>
      <c r="D351" s="134">
        <v>0</v>
      </c>
      <c r="E351" s="124" t="s">
        <v>5</v>
      </c>
      <c r="F351" s="127">
        <v>0</v>
      </c>
      <c r="G351" s="124" t="s">
        <v>5</v>
      </c>
      <c r="H351" s="126">
        <v>5280</v>
      </c>
      <c r="I351" s="124" t="s">
        <v>2204</v>
      </c>
      <c r="J351" s="125">
        <v>2205</v>
      </c>
      <c r="K351" s="128" t="s">
        <v>2203</v>
      </c>
      <c r="L351" s="126">
        <v>6252</v>
      </c>
      <c r="M351" s="128" t="s">
        <v>2205</v>
      </c>
      <c r="N351" s="144">
        <f t="shared" si="7"/>
        <v>2205</v>
      </c>
      <c r="O351" s="124"/>
      <c r="P351" s="131" t="s">
        <v>5</v>
      </c>
    </row>
    <row r="352" spans="1:16" ht="30" customHeight="1" x14ac:dyDescent="0.3">
      <c r="A352" s="131" t="s">
        <v>250</v>
      </c>
      <c r="B352" s="131" t="s">
        <v>248</v>
      </c>
      <c r="C352" s="132" t="s">
        <v>14</v>
      </c>
      <c r="D352" s="123">
        <v>0</v>
      </c>
      <c r="E352" s="128" t="s">
        <v>5</v>
      </c>
      <c r="F352" s="127">
        <v>0</v>
      </c>
      <c r="G352" s="128" t="s">
        <v>5</v>
      </c>
      <c r="H352" s="127">
        <v>0</v>
      </c>
      <c r="I352" s="128" t="s">
        <v>5</v>
      </c>
      <c r="J352" s="133">
        <v>2940</v>
      </c>
      <c r="K352" s="128" t="s">
        <v>2203</v>
      </c>
      <c r="L352" s="127">
        <v>0</v>
      </c>
      <c r="M352" s="128" t="s">
        <v>5</v>
      </c>
      <c r="N352" s="144">
        <f t="shared" si="7"/>
        <v>2940</v>
      </c>
      <c r="O352" s="124"/>
      <c r="P352" s="124"/>
    </row>
    <row r="353" spans="1:16" ht="30" customHeight="1" x14ac:dyDescent="0.3">
      <c r="A353" s="121" t="s">
        <v>1858</v>
      </c>
      <c r="B353" s="121" t="s">
        <v>249</v>
      </c>
      <c r="C353" s="122" t="s">
        <v>14</v>
      </c>
      <c r="D353" s="123">
        <v>0</v>
      </c>
      <c r="E353" s="124" t="s">
        <v>5</v>
      </c>
      <c r="F353" s="126">
        <v>0</v>
      </c>
      <c r="G353" s="124" t="s">
        <v>5</v>
      </c>
      <c r="H353" s="126">
        <v>8799</v>
      </c>
      <c r="I353" s="124" t="s">
        <v>2204</v>
      </c>
      <c r="J353" s="125">
        <v>4935</v>
      </c>
      <c r="K353" s="128" t="s">
        <v>2203</v>
      </c>
      <c r="L353" s="126">
        <v>10420</v>
      </c>
      <c r="M353" s="128" t="s">
        <v>2205</v>
      </c>
      <c r="N353" s="144">
        <f t="shared" si="7"/>
        <v>4935</v>
      </c>
      <c r="O353" s="124"/>
      <c r="P353" s="131" t="s">
        <v>5</v>
      </c>
    </row>
    <row r="354" spans="1:16" ht="30" customHeight="1" x14ac:dyDescent="0.3">
      <c r="A354" s="131" t="s">
        <v>250</v>
      </c>
      <c r="B354" s="131" t="s">
        <v>1604</v>
      </c>
      <c r="C354" s="132" t="s">
        <v>14</v>
      </c>
      <c r="D354" s="123">
        <v>0</v>
      </c>
      <c r="E354" s="128" t="s">
        <v>5</v>
      </c>
      <c r="F354" s="127">
        <v>0</v>
      </c>
      <c r="G354" s="128"/>
      <c r="H354" s="127">
        <v>0</v>
      </c>
      <c r="I354" s="128" t="s">
        <v>5</v>
      </c>
      <c r="J354" s="133">
        <v>5775</v>
      </c>
      <c r="K354" s="128" t="s">
        <v>2203</v>
      </c>
      <c r="L354" s="127">
        <v>0</v>
      </c>
      <c r="M354" s="128"/>
      <c r="N354" s="144">
        <f t="shared" si="7"/>
        <v>5775</v>
      </c>
      <c r="O354" s="124"/>
      <c r="P354" s="124"/>
    </row>
    <row r="355" spans="1:16" ht="30" customHeight="1" x14ac:dyDescent="0.3">
      <c r="A355" s="131" t="s">
        <v>250</v>
      </c>
      <c r="B355" s="131" t="s">
        <v>1605</v>
      </c>
      <c r="C355" s="132" t="s">
        <v>14</v>
      </c>
      <c r="D355" s="123">
        <v>0</v>
      </c>
      <c r="E355" s="128" t="s">
        <v>5</v>
      </c>
      <c r="F355" s="127">
        <v>0</v>
      </c>
      <c r="G355" s="128"/>
      <c r="H355" s="127">
        <v>0</v>
      </c>
      <c r="I355" s="128" t="s">
        <v>5</v>
      </c>
      <c r="J355" s="133">
        <v>6300</v>
      </c>
      <c r="K355" s="128" t="s">
        <v>2203</v>
      </c>
      <c r="L355" s="127">
        <v>0</v>
      </c>
      <c r="M355" s="128"/>
      <c r="N355" s="144">
        <f t="shared" si="7"/>
        <v>6300</v>
      </c>
      <c r="O355" s="124"/>
      <c r="P355" s="124"/>
    </row>
    <row r="356" spans="1:16" ht="30" customHeight="1" x14ac:dyDescent="0.3">
      <c r="A356" s="131" t="s">
        <v>252</v>
      </c>
      <c r="B356" s="131" t="s">
        <v>1856</v>
      </c>
      <c r="C356" s="132" t="s">
        <v>14</v>
      </c>
      <c r="D356" s="123">
        <v>0</v>
      </c>
      <c r="E356" s="131" t="s">
        <v>5</v>
      </c>
      <c r="F356" s="126">
        <v>113</v>
      </c>
      <c r="G356" s="124" t="s">
        <v>738</v>
      </c>
      <c r="H356" s="126">
        <v>278.16000000000003</v>
      </c>
      <c r="I356" s="124" t="s">
        <v>739</v>
      </c>
      <c r="J356" s="127">
        <v>0</v>
      </c>
      <c r="K356" s="124" t="s">
        <v>5</v>
      </c>
      <c r="L356" s="126">
        <v>359</v>
      </c>
      <c r="M356" s="124" t="s">
        <v>2213</v>
      </c>
      <c r="N356" s="144">
        <f t="shared" si="7"/>
        <v>113</v>
      </c>
      <c r="O356" s="124"/>
      <c r="P356" s="131" t="s">
        <v>5</v>
      </c>
    </row>
    <row r="357" spans="1:16" ht="30" customHeight="1" x14ac:dyDescent="0.3">
      <c r="A357" s="131" t="s">
        <v>252</v>
      </c>
      <c r="B357" s="131" t="s">
        <v>1857</v>
      </c>
      <c r="C357" s="132" t="s">
        <v>14</v>
      </c>
      <c r="D357" s="123">
        <v>0</v>
      </c>
      <c r="E357" s="131" t="s">
        <v>5</v>
      </c>
      <c r="F357" s="126">
        <v>149</v>
      </c>
      <c r="G357" s="124" t="s">
        <v>738</v>
      </c>
      <c r="H357" s="126">
        <v>174.46</v>
      </c>
      <c r="I357" s="124" t="s">
        <v>739</v>
      </c>
      <c r="J357" s="127">
        <v>0</v>
      </c>
      <c r="K357" s="124" t="s">
        <v>5</v>
      </c>
      <c r="L357" s="126">
        <v>225</v>
      </c>
      <c r="M357" s="124" t="s">
        <v>2213</v>
      </c>
      <c r="N357" s="144">
        <f t="shared" si="7"/>
        <v>149</v>
      </c>
      <c r="O357" s="124"/>
      <c r="P357" s="131" t="s">
        <v>5</v>
      </c>
    </row>
    <row r="358" spans="1:16" ht="30" customHeight="1" x14ac:dyDescent="0.3">
      <c r="A358" s="131" t="s">
        <v>1592</v>
      </c>
      <c r="B358" s="131" t="s">
        <v>255</v>
      </c>
      <c r="C358" s="132" t="s">
        <v>14</v>
      </c>
      <c r="D358" s="134">
        <v>401</v>
      </c>
      <c r="E358" s="131" t="s">
        <v>5</v>
      </c>
      <c r="F358" s="126">
        <v>456</v>
      </c>
      <c r="G358" s="124" t="s">
        <v>729</v>
      </c>
      <c r="H358" s="126">
        <v>760</v>
      </c>
      <c r="I358" s="124" t="s">
        <v>737</v>
      </c>
      <c r="J358" s="127">
        <v>744</v>
      </c>
      <c r="K358" s="124" t="s">
        <v>2198</v>
      </c>
      <c r="L358" s="127">
        <v>0</v>
      </c>
      <c r="M358" s="128" t="s">
        <v>5</v>
      </c>
      <c r="N358" s="144">
        <f t="shared" si="7"/>
        <v>401</v>
      </c>
      <c r="O358" s="124"/>
      <c r="P358" s="139"/>
    </row>
    <row r="359" spans="1:16" ht="30" customHeight="1" x14ac:dyDescent="0.3">
      <c r="A359" s="131" t="s">
        <v>256</v>
      </c>
      <c r="B359" s="131" t="s">
        <v>257</v>
      </c>
      <c r="C359" s="132" t="s">
        <v>14</v>
      </c>
      <c r="D359" s="134">
        <v>650</v>
      </c>
      <c r="E359" s="131" t="s">
        <v>5</v>
      </c>
      <c r="F359" s="126">
        <v>685</v>
      </c>
      <c r="G359" s="124" t="s">
        <v>729</v>
      </c>
      <c r="H359" s="126">
        <v>1215</v>
      </c>
      <c r="I359" s="124" t="s">
        <v>737</v>
      </c>
      <c r="J359" s="127">
        <v>1172</v>
      </c>
      <c r="K359" s="124" t="s">
        <v>2198</v>
      </c>
      <c r="L359" s="127">
        <v>1219</v>
      </c>
      <c r="M359" s="124" t="s">
        <v>2205</v>
      </c>
      <c r="N359" s="144">
        <f t="shared" si="7"/>
        <v>650</v>
      </c>
      <c r="O359" s="124"/>
      <c r="P359" s="139"/>
    </row>
    <row r="360" spans="1:16" ht="30" customHeight="1" x14ac:dyDescent="0.3">
      <c r="A360" s="131" t="s">
        <v>256</v>
      </c>
      <c r="B360" s="131" t="s">
        <v>258</v>
      </c>
      <c r="C360" s="132" t="s">
        <v>14</v>
      </c>
      <c r="D360" s="134">
        <v>1153</v>
      </c>
      <c r="E360" s="131" t="s">
        <v>5</v>
      </c>
      <c r="F360" s="126">
        <v>1205</v>
      </c>
      <c r="G360" s="124" t="s">
        <v>729</v>
      </c>
      <c r="H360" s="126">
        <v>2376</v>
      </c>
      <c r="I360" s="124" t="s">
        <v>737</v>
      </c>
      <c r="J360" s="127">
        <v>2105</v>
      </c>
      <c r="K360" s="124" t="s">
        <v>2198</v>
      </c>
      <c r="L360" s="127">
        <v>2160</v>
      </c>
      <c r="M360" s="124" t="s">
        <v>2205</v>
      </c>
      <c r="N360" s="144">
        <f t="shared" si="7"/>
        <v>1153</v>
      </c>
      <c r="O360" s="124"/>
      <c r="P360" s="130"/>
    </row>
    <row r="361" spans="1:16" ht="30" customHeight="1" x14ac:dyDescent="0.3">
      <c r="A361" s="131" t="s">
        <v>256</v>
      </c>
      <c r="B361" s="131" t="s">
        <v>259</v>
      </c>
      <c r="C361" s="132" t="s">
        <v>14</v>
      </c>
      <c r="D361" s="134">
        <v>1878</v>
      </c>
      <c r="E361" s="131" t="s">
        <v>5</v>
      </c>
      <c r="F361" s="126">
        <v>1838</v>
      </c>
      <c r="G361" s="124" t="s">
        <v>729</v>
      </c>
      <c r="H361" s="126">
        <v>3889</v>
      </c>
      <c r="I361" s="124" t="s">
        <v>737</v>
      </c>
      <c r="J361" s="127">
        <v>3818</v>
      </c>
      <c r="K361" s="124" t="s">
        <v>2198</v>
      </c>
      <c r="L361" s="127">
        <v>3301</v>
      </c>
      <c r="M361" s="124" t="s">
        <v>2205</v>
      </c>
      <c r="N361" s="144">
        <f t="shared" si="7"/>
        <v>1838</v>
      </c>
      <c r="O361" s="124"/>
      <c r="P361" s="130"/>
    </row>
    <row r="362" spans="1:16" ht="30" customHeight="1" x14ac:dyDescent="0.3">
      <c r="A362" s="121" t="s">
        <v>1846</v>
      </c>
      <c r="B362" s="121" t="s">
        <v>1847</v>
      </c>
      <c r="C362" s="122" t="s">
        <v>14</v>
      </c>
      <c r="D362" s="134">
        <v>507</v>
      </c>
      <c r="E362" s="124" t="s">
        <v>5</v>
      </c>
      <c r="F362" s="126">
        <v>531</v>
      </c>
      <c r="G362" s="124" t="s">
        <v>738</v>
      </c>
      <c r="H362" s="126">
        <v>1089</v>
      </c>
      <c r="I362" s="124" t="s">
        <v>737</v>
      </c>
      <c r="J362" s="127">
        <v>0</v>
      </c>
      <c r="K362" s="124" t="s">
        <v>5</v>
      </c>
      <c r="L362" s="127">
        <v>0</v>
      </c>
      <c r="M362" s="124" t="s">
        <v>5</v>
      </c>
      <c r="N362" s="144">
        <f t="shared" si="7"/>
        <v>507</v>
      </c>
      <c r="O362" s="124"/>
      <c r="P362" s="131" t="s">
        <v>5</v>
      </c>
    </row>
    <row r="363" spans="1:16" ht="30" customHeight="1" x14ac:dyDescent="0.3">
      <c r="A363" s="121" t="s">
        <v>1846</v>
      </c>
      <c r="B363" s="121" t="s">
        <v>1848</v>
      </c>
      <c r="C363" s="122" t="s">
        <v>14</v>
      </c>
      <c r="D363" s="134">
        <v>1097</v>
      </c>
      <c r="E363" s="124" t="s">
        <v>5</v>
      </c>
      <c r="F363" s="126">
        <v>1146</v>
      </c>
      <c r="G363" s="124" t="s">
        <v>738</v>
      </c>
      <c r="H363" s="126">
        <v>2355</v>
      </c>
      <c r="I363" s="124" t="s">
        <v>737</v>
      </c>
      <c r="J363" s="127">
        <v>0</v>
      </c>
      <c r="K363" s="124" t="s">
        <v>5</v>
      </c>
      <c r="L363" s="127">
        <v>0</v>
      </c>
      <c r="M363" s="124" t="s">
        <v>5</v>
      </c>
      <c r="N363" s="144">
        <f t="shared" si="7"/>
        <v>1097</v>
      </c>
      <c r="O363" s="124"/>
      <c r="P363" s="131" t="s">
        <v>5</v>
      </c>
    </row>
    <row r="364" spans="1:16" ht="30" customHeight="1" x14ac:dyDescent="0.3">
      <c r="A364" s="121" t="s">
        <v>1846</v>
      </c>
      <c r="B364" s="121" t="s">
        <v>254</v>
      </c>
      <c r="C364" s="122" t="s">
        <v>14</v>
      </c>
      <c r="D364" s="134">
        <v>1662</v>
      </c>
      <c r="E364" s="124" t="s">
        <v>5</v>
      </c>
      <c r="F364" s="126">
        <v>1737</v>
      </c>
      <c r="G364" s="124" t="s">
        <v>738</v>
      </c>
      <c r="H364" s="126">
        <v>3564</v>
      </c>
      <c r="I364" s="124" t="s">
        <v>737</v>
      </c>
      <c r="J364" s="127">
        <v>0</v>
      </c>
      <c r="K364" s="124" t="s">
        <v>5</v>
      </c>
      <c r="L364" s="127">
        <v>0</v>
      </c>
      <c r="M364" s="124" t="s">
        <v>5</v>
      </c>
      <c r="N364" s="144">
        <f t="shared" si="7"/>
        <v>1662</v>
      </c>
      <c r="O364" s="124"/>
      <c r="P364" s="131" t="s">
        <v>5</v>
      </c>
    </row>
    <row r="365" spans="1:16" ht="30" customHeight="1" x14ac:dyDescent="0.3">
      <c r="A365" s="121" t="s">
        <v>253</v>
      </c>
      <c r="B365" s="121" t="s">
        <v>1849</v>
      </c>
      <c r="C365" s="122" t="s">
        <v>14</v>
      </c>
      <c r="D365" s="134">
        <v>514</v>
      </c>
      <c r="E365" s="124" t="s">
        <v>5</v>
      </c>
      <c r="F365" s="126">
        <v>495</v>
      </c>
      <c r="G365" s="124" t="s">
        <v>738</v>
      </c>
      <c r="H365" s="126">
        <v>1068</v>
      </c>
      <c r="I365" s="124" t="s">
        <v>737</v>
      </c>
      <c r="J365" s="126">
        <v>983</v>
      </c>
      <c r="K365" s="124" t="s">
        <v>2198</v>
      </c>
      <c r="L365" s="126">
        <v>1354</v>
      </c>
      <c r="M365" s="124" t="s">
        <v>2205</v>
      </c>
      <c r="N365" s="144">
        <f t="shared" si="7"/>
        <v>495</v>
      </c>
      <c r="O365" s="124"/>
      <c r="P365" s="131" t="s">
        <v>5</v>
      </c>
    </row>
    <row r="366" spans="1:16" ht="30" customHeight="1" x14ac:dyDescent="0.3">
      <c r="A366" s="121" t="s">
        <v>253</v>
      </c>
      <c r="B366" s="121" t="s">
        <v>1850</v>
      </c>
      <c r="C366" s="122" t="s">
        <v>14</v>
      </c>
      <c r="D366" s="134">
        <v>765</v>
      </c>
      <c r="E366" s="124" t="s">
        <v>5</v>
      </c>
      <c r="F366" s="126">
        <v>919</v>
      </c>
      <c r="G366" s="124" t="s">
        <v>738</v>
      </c>
      <c r="H366" s="126">
        <v>1900</v>
      </c>
      <c r="I366" s="124" t="s">
        <v>737</v>
      </c>
      <c r="J366" s="126">
        <v>1197</v>
      </c>
      <c r="K366" s="124" t="s">
        <v>2198</v>
      </c>
      <c r="L366" s="126">
        <v>2397</v>
      </c>
      <c r="M366" s="124" t="s">
        <v>2205</v>
      </c>
      <c r="N366" s="144">
        <f t="shared" si="7"/>
        <v>765</v>
      </c>
      <c r="O366" s="124"/>
      <c r="P366" s="131" t="s">
        <v>5</v>
      </c>
    </row>
    <row r="367" spans="1:16" ht="30" customHeight="1" x14ac:dyDescent="0.3">
      <c r="A367" s="121" t="s">
        <v>253</v>
      </c>
      <c r="B367" s="121" t="s">
        <v>1851</v>
      </c>
      <c r="C367" s="122" t="s">
        <v>14</v>
      </c>
      <c r="D367" s="134">
        <v>1242</v>
      </c>
      <c r="E367" s="124" t="s">
        <v>5</v>
      </c>
      <c r="F367" s="126">
        <v>1649</v>
      </c>
      <c r="G367" s="124" t="s">
        <v>738</v>
      </c>
      <c r="H367" s="126">
        <v>3389</v>
      </c>
      <c r="I367" s="124" t="s">
        <v>737</v>
      </c>
      <c r="J367" s="126">
        <v>2306</v>
      </c>
      <c r="K367" s="124" t="s">
        <v>2198</v>
      </c>
      <c r="L367" s="126">
        <v>4354</v>
      </c>
      <c r="M367" s="124" t="s">
        <v>2205</v>
      </c>
      <c r="N367" s="144">
        <f t="shared" si="7"/>
        <v>1242</v>
      </c>
      <c r="O367" s="124"/>
      <c r="P367" s="131" t="s">
        <v>5</v>
      </c>
    </row>
    <row r="368" spans="1:16" ht="30" customHeight="1" x14ac:dyDescent="0.3">
      <c r="A368" s="131" t="s">
        <v>253</v>
      </c>
      <c r="B368" s="131" t="s">
        <v>1958</v>
      </c>
      <c r="C368" s="132" t="s">
        <v>14</v>
      </c>
      <c r="D368" s="134">
        <v>432</v>
      </c>
      <c r="E368" s="131" t="s">
        <v>5</v>
      </c>
      <c r="F368" s="126">
        <v>452</v>
      </c>
      <c r="G368" s="124" t="s">
        <v>738</v>
      </c>
      <c r="H368" s="126">
        <v>944</v>
      </c>
      <c r="I368" s="124" t="s">
        <v>1957</v>
      </c>
      <c r="J368" s="127">
        <v>0</v>
      </c>
      <c r="K368" s="124" t="s">
        <v>5</v>
      </c>
      <c r="L368" s="127">
        <v>0</v>
      </c>
      <c r="M368" s="124" t="s">
        <v>5</v>
      </c>
      <c r="N368" s="144">
        <f t="shared" si="7"/>
        <v>432</v>
      </c>
      <c r="O368" s="124"/>
      <c r="P368" s="131" t="s">
        <v>5</v>
      </c>
    </row>
    <row r="369" spans="1:16" ht="30" customHeight="1" x14ac:dyDescent="0.3">
      <c r="A369" s="131" t="s">
        <v>253</v>
      </c>
      <c r="B369" s="131" t="s">
        <v>1959</v>
      </c>
      <c r="C369" s="132" t="s">
        <v>14</v>
      </c>
      <c r="D369" s="134">
        <v>800</v>
      </c>
      <c r="E369" s="131" t="s">
        <v>5</v>
      </c>
      <c r="F369" s="126">
        <v>837</v>
      </c>
      <c r="G369" s="124" t="s">
        <v>738</v>
      </c>
      <c r="H369" s="126">
        <v>1720</v>
      </c>
      <c r="I369" s="124" t="s">
        <v>1957</v>
      </c>
      <c r="J369" s="127">
        <v>0</v>
      </c>
      <c r="K369" s="124" t="s">
        <v>5</v>
      </c>
      <c r="L369" s="127">
        <v>0</v>
      </c>
      <c r="M369" s="124" t="s">
        <v>5</v>
      </c>
      <c r="N369" s="144">
        <f t="shared" si="7"/>
        <v>800</v>
      </c>
      <c r="O369" s="124"/>
      <c r="P369" s="131" t="s">
        <v>5</v>
      </c>
    </row>
    <row r="370" spans="1:16" ht="30" customHeight="1" x14ac:dyDescent="0.3">
      <c r="A370" s="131" t="s">
        <v>253</v>
      </c>
      <c r="B370" s="131" t="s">
        <v>1960</v>
      </c>
      <c r="C370" s="132" t="s">
        <v>14</v>
      </c>
      <c r="D370" s="134">
        <v>1235</v>
      </c>
      <c r="E370" s="131" t="s">
        <v>5</v>
      </c>
      <c r="F370" s="126">
        <v>1291</v>
      </c>
      <c r="G370" s="124" t="s">
        <v>738</v>
      </c>
      <c r="H370" s="126">
        <v>2654</v>
      </c>
      <c r="I370" s="124" t="s">
        <v>1957</v>
      </c>
      <c r="J370" s="127">
        <v>0</v>
      </c>
      <c r="K370" s="124" t="s">
        <v>5</v>
      </c>
      <c r="L370" s="127">
        <v>0</v>
      </c>
      <c r="M370" s="124" t="s">
        <v>5</v>
      </c>
      <c r="N370" s="144">
        <f t="shared" si="7"/>
        <v>1235</v>
      </c>
      <c r="O370" s="124"/>
      <c r="P370" s="131" t="s">
        <v>5</v>
      </c>
    </row>
    <row r="371" spans="1:16" ht="30" customHeight="1" x14ac:dyDescent="0.3">
      <c r="A371" s="131" t="s">
        <v>260</v>
      </c>
      <c r="B371" s="131" t="s">
        <v>261</v>
      </c>
      <c r="C371" s="132" t="s">
        <v>14</v>
      </c>
      <c r="D371" s="123">
        <v>0</v>
      </c>
      <c r="E371" s="128" t="s">
        <v>5</v>
      </c>
      <c r="F371" s="127">
        <v>0</v>
      </c>
      <c r="G371" s="128"/>
      <c r="H371" s="127">
        <v>830</v>
      </c>
      <c r="I371" s="128" t="s">
        <v>2250</v>
      </c>
      <c r="J371" s="127">
        <v>0</v>
      </c>
      <c r="K371" s="128" t="s">
        <v>5</v>
      </c>
      <c r="L371" s="127">
        <v>0</v>
      </c>
      <c r="M371" s="128" t="s">
        <v>5</v>
      </c>
      <c r="N371" s="144">
        <f t="shared" si="7"/>
        <v>830</v>
      </c>
      <c r="O371" s="124"/>
      <c r="P371" s="130"/>
    </row>
    <row r="372" spans="1:16" ht="30" customHeight="1" x14ac:dyDescent="0.3">
      <c r="A372" s="131" t="s">
        <v>260</v>
      </c>
      <c r="B372" s="131" t="s">
        <v>262</v>
      </c>
      <c r="C372" s="132" t="s">
        <v>14</v>
      </c>
      <c r="D372" s="123">
        <v>0</v>
      </c>
      <c r="E372" s="128" t="s">
        <v>5</v>
      </c>
      <c r="F372" s="127">
        <v>0</v>
      </c>
      <c r="G372" s="128"/>
      <c r="H372" s="127">
        <v>1280</v>
      </c>
      <c r="I372" s="128" t="s">
        <v>2250</v>
      </c>
      <c r="J372" s="127">
        <v>0</v>
      </c>
      <c r="K372" s="128" t="s">
        <v>5</v>
      </c>
      <c r="L372" s="127">
        <v>0</v>
      </c>
      <c r="M372" s="128" t="s">
        <v>5</v>
      </c>
      <c r="N372" s="144">
        <f t="shared" si="7"/>
        <v>1280</v>
      </c>
      <c r="O372" s="124"/>
      <c r="P372" s="130"/>
    </row>
    <row r="373" spans="1:16" ht="30" customHeight="1" x14ac:dyDescent="0.3">
      <c r="A373" s="131" t="s">
        <v>267</v>
      </c>
      <c r="B373" s="131" t="s">
        <v>268</v>
      </c>
      <c r="C373" s="132" t="s">
        <v>14</v>
      </c>
      <c r="D373" s="123">
        <v>0</v>
      </c>
      <c r="E373" s="128" t="s">
        <v>5</v>
      </c>
      <c r="F373" s="127">
        <v>0</v>
      </c>
      <c r="G373" s="128"/>
      <c r="H373" s="127">
        <v>1280</v>
      </c>
      <c r="I373" s="128" t="s">
        <v>2250</v>
      </c>
      <c r="J373" s="127">
        <v>0</v>
      </c>
      <c r="K373" s="128" t="s">
        <v>5</v>
      </c>
      <c r="L373" s="127">
        <v>0</v>
      </c>
      <c r="M373" s="128" t="s">
        <v>5</v>
      </c>
      <c r="N373" s="144">
        <f t="shared" si="7"/>
        <v>1280</v>
      </c>
      <c r="O373" s="124"/>
      <c r="P373" s="130"/>
    </row>
    <row r="374" spans="1:16" ht="30" customHeight="1" x14ac:dyDescent="0.3">
      <c r="A374" s="131" t="s">
        <v>267</v>
      </c>
      <c r="B374" s="131" t="s">
        <v>269</v>
      </c>
      <c r="C374" s="132" t="s">
        <v>14</v>
      </c>
      <c r="D374" s="123">
        <v>0</v>
      </c>
      <c r="E374" s="128" t="s">
        <v>5</v>
      </c>
      <c r="F374" s="127">
        <v>0</v>
      </c>
      <c r="G374" s="128"/>
      <c r="H374" s="127">
        <v>1930</v>
      </c>
      <c r="I374" s="128" t="s">
        <v>2250</v>
      </c>
      <c r="J374" s="127">
        <v>0</v>
      </c>
      <c r="K374" s="128" t="s">
        <v>5</v>
      </c>
      <c r="L374" s="127">
        <v>0</v>
      </c>
      <c r="M374" s="128" t="s">
        <v>5</v>
      </c>
      <c r="N374" s="144">
        <f t="shared" si="7"/>
        <v>1930</v>
      </c>
      <c r="O374" s="124"/>
      <c r="P374" s="130"/>
    </row>
    <row r="375" spans="1:16" ht="30" customHeight="1" x14ac:dyDescent="0.3">
      <c r="A375" s="131" t="s">
        <v>263</v>
      </c>
      <c r="B375" s="131" t="s">
        <v>264</v>
      </c>
      <c r="C375" s="132" t="s">
        <v>14</v>
      </c>
      <c r="D375" s="123">
        <v>0</v>
      </c>
      <c r="E375" s="128" t="s">
        <v>5</v>
      </c>
      <c r="F375" s="127">
        <v>0</v>
      </c>
      <c r="G375" s="128"/>
      <c r="H375" s="127">
        <v>5480</v>
      </c>
      <c r="I375" s="128" t="s">
        <v>2250</v>
      </c>
      <c r="J375" s="127">
        <v>0</v>
      </c>
      <c r="K375" s="128" t="s">
        <v>5</v>
      </c>
      <c r="L375" s="127">
        <v>0</v>
      </c>
      <c r="M375" s="128" t="s">
        <v>5</v>
      </c>
      <c r="N375" s="144">
        <f t="shared" si="7"/>
        <v>5480</v>
      </c>
      <c r="O375" s="124"/>
      <c r="P375" s="130"/>
    </row>
    <row r="376" spans="1:16" ht="30" customHeight="1" x14ac:dyDescent="0.3">
      <c r="A376" s="131" t="s">
        <v>263</v>
      </c>
      <c r="B376" s="131" t="s">
        <v>265</v>
      </c>
      <c r="C376" s="132" t="s">
        <v>14</v>
      </c>
      <c r="D376" s="123">
        <v>0</v>
      </c>
      <c r="E376" s="128" t="s">
        <v>5</v>
      </c>
      <c r="F376" s="127">
        <v>0</v>
      </c>
      <c r="G376" s="128"/>
      <c r="H376" s="127">
        <v>8600</v>
      </c>
      <c r="I376" s="128" t="s">
        <v>2250</v>
      </c>
      <c r="J376" s="127">
        <v>0</v>
      </c>
      <c r="K376" s="128" t="s">
        <v>5</v>
      </c>
      <c r="L376" s="127">
        <v>0</v>
      </c>
      <c r="M376" s="128" t="s">
        <v>5</v>
      </c>
      <c r="N376" s="144">
        <f t="shared" si="7"/>
        <v>8600</v>
      </c>
      <c r="O376" s="124"/>
      <c r="P376" s="130"/>
    </row>
    <row r="377" spans="1:16" ht="30" customHeight="1" x14ac:dyDescent="0.3">
      <c r="A377" s="131" t="s">
        <v>263</v>
      </c>
      <c r="B377" s="131" t="s">
        <v>266</v>
      </c>
      <c r="C377" s="132" t="s">
        <v>14</v>
      </c>
      <c r="D377" s="123">
        <v>0</v>
      </c>
      <c r="E377" s="128" t="s">
        <v>5</v>
      </c>
      <c r="F377" s="127">
        <v>0</v>
      </c>
      <c r="G377" s="128"/>
      <c r="H377" s="127">
        <v>12920</v>
      </c>
      <c r="I377" s="128" t="s">
        <v>2250</v>
      </c>
      <c r="J377" s="127">
        <v>0</v>
      </c>
      <c r="K377" s="128" t="s">
        <v>5</v>
      </c>
      <c r="L377" s="127">
        <v>0</v>
      </c>
      <c r="M377" s="128" t="s">
        <v>5</v>
      </c>
      <c r="N377" s="144">
        <f t="shared" si="7"/>
        <v>12920</v>
      </c>
      <c r="O377" s="124"/>
      <c r="P377" s="130"/>
    </row>
    <row r="378" spans="1:16" ht="30" customHeight="1" x14ac:dyDescent="0.3">
      <c r="A378" s="131" t="s">
        <v>270</v>
      </c>
      <c r="B378" s="131" t="s">
        <v>271</v>
      </c>
      <c r="C378" s="132" t="s">
        <v>14</v>
      </c>
      <c r="D378" s="123">
        <v>0</v>
      </c>
      <c r="E378" s="128" t="s">
        <v>5</v>
      </c>
      <c r="F378" s="127">
        <v>0</v>
      </c>
      <c r="G378" s="128"/>
      <c r="H378" s="127">
        <v>1560</v>
      </c>
      <c r="I378" s="128" t="s">
        <v>2250</v>
      </c>
      <c r="J378" s="127">
        <v>0</v>
      </c>
      <c r="K378" s="128" t="s">
        <v>5</v>
      </c>
      <c r="L378" s="127">
        <v>0</v>
      </c>
      <c r="M378" s="128" t="s">
        <v>5</v>
      </c>
      <c r="N378" s="144">
        <f t="shared" si="7"/>
        <v>1560</v>
      </c>
      <c r="O378" s="124"/>
      <c r="P378" s="130"/>
    </row>
    <row r="379" spans="1:16" ht="30" customHeight="1" x14ac:dyDescent="0.3">
      <c r="A379" s="131" t="s">
        <v>270</v>
      </c>
      <c r="B379" s="131" t="s">
        <v>272</v>
      </c>
      <c r="C379" s="132" t="s">
        <v>14</v>
      </c>
      <c r="D379" s="123">
        <v>0</v>
      </c>
      <c r="E379" s="128" t="s">
        <v>5</v>
      </c>
      <c r="F379" s="127">
        <v>0</v>
      </c>
      <c r="G379" s="128"/>
      <c r="H379" s="127">
        <v>2310</v>
      </c>
      <c r="I379" s="128" t="s">
        <v>2250</v>
      </c>
      <c r="J379" s="127">
        <v>0</v>
      </c>
      <c r="K379" s="128" t="s">
        <v>5</v>
      </c>
      <c r="L379" s="127">
        <v>0</v>
      </c>
      <c r="M379" s="128" t="s">
        <v>5</v>
      </c>
      <c r="N379" s="144">
        <f t="shared" si="7"/>
        <v>2310</v>
      </c>
      <c r="O379" s="124"/>
      <c r="P379" s="130"/>
    </row>
    <row r="380" spans="1:16" ht="30" customHeight="1" x14ac:dyDescent="0.3">
      <c r="A380" s="131" t="s">
        <v>270</v>
      </c>
      <c r="B380" s="131" t="s">
        <v>273</v>
      </c>
      <c r="C380" s="132" t="s">
        <v>14</v>
      </c>
      <c r="D380" s="123">
        <v>0</v>
      </c>
      <c r="E380" s="128" t="s">
        <v>5</v>
      </c>
      <c r="F380" s="127">
        <v>0</v>
      </c>
      <c r="G380" s="128"/>
      <c r="H380" s="127">
        <v>3580</v>
      </c>
      <c r="I380" s="128" t="s">
        <v>2250</v>
      </c>
      <c r="J380" s="127">
        <v>0</v>
      </c>
      <c r="K380" s="128" t="s">
        <v>5</v>
      </c>
      <c r="L380" s="127">
        <v>0</v>
      </c>
      <c r="M380" s="128" t="s">
        <v>5</v>
      </c>
      <c r="N380" s="144">
        <f t="shared" si="7"/>
        <v>3580</v>
      </c>
      <c r="O380" s="124"/>
      <c r="P380" s="130"/>
    </row>
    <row r="381" spans="1:16" ht="30" customHeight="1" x14ac:dyDescent="0.3">
      <c r="A381" s="131" t="s">
        <v>274</v>
      </c>
      <c r="B381" s="131" t="s">
        <v>275</v>
      </c>
      <c r="C381" s="132" t="s">
        <v>14</v>
      </c>
      <c r="D381" s="123">
        <v>0</v>
      </c>
      <c r="E381" s="128" t="s">
        <v>5</v>
      </c>
      <c r="F381" s="127">
        <v>0</v>
      </c>
      <c r="G381" s="128"/>
      <c r="H381" s="127">
        <v>14200</v>
      </c>
      <c r="I381" s="128" t="s">
        <v>2250</v>
      </c>
      <c r="J381" s="127">
        <v>0</v>
      </c>
      <c r="K381" s="128" t="s">
        <v>5</v>
      </c>
      <c r="L381" s="127">
        <v>0</v>
      </c>
      <c r="M381" s="128" t="s">
        <v>5</v>
      </c>
      <c r="N381" s="144">
        <f t="shared" si="7"/>
        <v>14200</v>
      </c>
      <c r="O381" s="124"/>
      <c r="P381" s="130"/>
    </row>
    <row r="382" spans="1:16" ht="30" customHeight="1" x14ac:dyDescent="0.3">
      <c r="A382" s="131" t="s">
        <v>276</v>
      </c>
      <c r="B382" s="131" t="s">
        <v>278</v>
      </c>
      <c r="C382" s="132" t="s">
        <v>14</v>
      </c>
      <c r="D382" s="123">
        <v>0</v>
      </c>
      <c r="E382" s="128" t="s">
        <v>5</v>
      </c>
      <c r="F382" s="127">
        <v>0</v>
      </c>
      <c r="G382" s="128"/>
      <c r="H382" s="127">
        <v>8940</v>
      </c>
      <c r="I382" s="128" t="s">
        <v>2250</v>
      </c>
      <c r="J382" s="127">
        <v>0</v>
      </c>
      <c r="K382" s="128" t="s">
        <v>5</v>
      </c>
      <c r="L382" s="127">
        <v>0</v>
      </c>
      <c r="M382" s="128" t="s">
        <v>5</v>
      </c>
      <c r="N382" s="144">
        <f t="shared" si="7"/>
        <v>8940</v>
      </c>
      <c r="O382" s="124"/>
      <c r="P382" s="130"/>
    </row>
    <row r="383" spans="1:16" ht="30" customHeight="1" x14ac:dyDescent="0.3">
      <c r="A383" s="131" t="s">
        <v>276</v>
      </c>
      <c r="B383" s="131" t="s">
        <v>277</v>
      </c>
      <c r="C383" s="132" t="s">
        <v>14</v>
      </c>
      <c r="D383" s="123">
        <v>0</v>
      </c>
      <c r="E383" s="128" t="s">
        <v>5</v>
      </c>
      <c r="F383" s="127">
        <v>0</v>
      </c>
      <c r="G383" s="128"/>
      <c r="H383" s="127">
        <v>16180</v>
      </c>
      <c r="I383" s="128" t="s">
        <v>2250</v>
      </c>
      <c r="J383" s="127">
        <v>0</v>
      </c>
      <c r="K383" s="128" t="s">
        <v>5</v>
      </c>
      <c r="L383" s="127">
        <v>0</v>
      </c>
      <c r="M383" s="128" t="s">
        <v>5</v>
      </c>
      <c r="N383" s="144">
        <f t="shared" si="7"/>
        <v>16180</v>
      </c>
      <c r="O383" s="124"/>
      <c r="P383" s="130"/>
    </row>
    <row r="384" spans="1:16" ht="30" customHeight="1" x14ac:dyDescent="0.3">
      <c r="A384" s="131" t="s">
        <v>284</v>
      </c>
      <c r="B384" s="131" t="s">
        <v>285</v>
      </c>
      <c r="C384" s="132" t="s">
        <v>930</v>
      </c>
      <c r="D384" s="123">
        <v>0</v>
      </c>
      <c r="E384" s="128" t="s">
        <v>5</v>
      </c>
      <c r="F384" s="127">
        <v>0</v>
      </c>
      <c r="G384" s="128"/>
      <c r="H384" s="127">
        <v>34000</v>
      </c>
      <c r="I384" s="128" t="s">
        <v>2250</v>
      </c>
      <c r="J384" s="127">
        <v>0</v>
      </c>
      <c r="K384" s="128" t="s">
        <v>5</v>
      </c>
      <c r="L384" s="127">
        <v>0</v>
      </c>
      <c r="M384" s="128" t="s">
        <v>5</v>
      </c>
      <c r="N384" s="144">
        <f t="shared" si="7"/>
        <v>34000</v>
      </c>
      <c r="O384" s="124"/>
      <c r="P384" s="130"/>
    </row>
    <row r="385" spans="1:16" ht="30" customHeight="1" x14ac:dyDescent="0.3">
      <c r="A385" s="131" t="s">
        <v>284</v>
      </c>
      <c r="B385" s="131" t="s">
        <v>1564</v>
      </c>
      <c r="C385" s="132" t="s">
        <v>930</v>
      </c>
      <c r="D385" s="123">
        <v>0</v>
      </c>
      <c r="E385" s="128" t="s">
        <v>5</v>
      </c>
      <c r="F385" s="127">
        <v>0</v>
      </c>
      <c r="G385" s="128"/>
      <c r="H385" s="127">
        <v>40000</v>
      </c>
      <c r="I385" s="128" t="s">
        <v>2250</v>
      </c>
      <c r="J385" s="127">
        <v>0</v>
      </c>
      <c r="K385" s="128" t="s">
        <v>5</v>
      </c>
      <c r="L385" s="127">
        <v>0</v>
      </c>
      <c r="M385" s="128" t="s">
        <v>5</v>
      </c>
      <c r="N385" s="144">
        <f t="shared" si="7"/>
        <v>40000</v>
      </c>
      <c r="O385" s="124"/>
      <c r="P385" s="130"/>
    </row>
    <row r="386" spans="1:16" ht="30" customHeight="1" x14ac:dyDescent="0.3">
      <c r="A386" s="131" t="s">
        <v>284</v>
      </c>
      <c r="B386" s="131" t="s">
        <v>286</v>
      </c>
      <c r="C386" s="132" t="s">
        <v>930</v>
      </c>
      <c r="D386" s="123">
        <v>0</v>
      </c>
      <c r="E386" s="128" t="s">
        <v>5</v>
      </c>
      <c r="F386" s="127">
        <v>0</v>
      </c>
      <c r="G386" s="128"/>
      <c r="H386" s="127">
        <v>44000</v>
      </c>
      <c r="I386" s="128" t="s">
        <v>2250</v>
      </c>
      <c r="J386" s="127">
        <v>0</v>
      </c>
      <c r="K386" s="128" t="s">
        <v>5</v>
      </c>
      <c r="L386" s="127">
        <v>0</v>
      </c>
      <c r="M386" s="128" t="s">
        <v>5</v>
      </c>
      <c r="N386" s="144">
        <f t="shared" si="7"/>
        <v>44000</v>
      </c>
      <c r="O386" s="124"/>
      <c r="P386" s="130"/>
    </row>
    <row r="387" spans="1:16" ht="30" customHeight="1" x14ac:dyDescent="0.3">
      <c r="A387" s="131" t="s">
        <v>284</v>
      </c>
      <c r="B387" s="131" t="s">
        <v>287</v>
      </c>
      <c r="C387" s="132" t="s">
        <v>930</v>
      </c>
      <c r="D387" s="123">
        <v>0</v>
      </c>
      <c r="E387" s="128" t="s">
        <v>5</v>
      </c>
      <c r="F387" s="127">
        <v>0</v>
      </c>
      <c r="G387" s="128"/>
      <c r="H387" s="127">
        <v>68000</v>
      </c>
      <c r="I387" s="128" t="s">
        <v>2250</v>
      </c>
      <c r="J387" s="127">
        <v>142000</v>
      </c>
      <c r="K387" s="128" t="s">
        <v>1650</v>
      </c>
      <c r="L387" s="127">
        <v>0</v>
      </c>
      <c r="M387" s="128" t="s">
        <v>5</v>
      </c>
      <c r="N387" s="144">
        <f t="shared" si="7"/>
        <v>68000</v>
      </c>
      <c r="O387" s="124"/>
      <c r="P387" s="130"/>
    </row>
    <row r="388" spans="1:16" ht="30" customHeight="1" x14ac:dyDescent="0.3">
      <c r="A388" s="131" t="s">
        <v>284</v>
      </c>
      <c r="B388" s="131" t="s">
        <v>288</v>
      </c>
      <c r="C388" s="132" t="s">
        <v>930</v>
      </c>
      <c r="D388" s="123">
        <v>0</v>
      </c>
      <c r="E388" s="128" t="s">
        <v>5</v>
      </c>
      <c r="F388" s="127">
        <v>0</v>
      </c>
      <c r="G388" s="128"/>
      <c r="H388" s="127">
        <v>142000</v>
      </c>
      <c r="I388" s="128" t="s">
        <v>2250</v>
      </c>
      <c r="J388" s="127">
        <v>0</v>
      </c>
      <c r="K388" s="128" t="s">
        <v>5</v>
      </c>
      <c r="L388" s="127">
        <v>0</v>
      </c>
      <c r="M388" s="128" t="s">
        <v>5</v>
      </c>
      <c r="N388" s="144">
        <f t="shared" ref="N388:N436" si="8">SMALL(D388:L388,COUNTIF(D388:L388,0)+1)</f>
        <v>142000</v>
      </c>
      <c r="O388" s="124"/>
      <c r="P388" s="130"/>
    </row>
    <row r="389" spans="1:16" ht="30" customHeight="1" x14ac:dyDescent="0.3">
      <c r="A389" s="131" t="s">
        <v>284</v>
      </c>
      <c r="B389" s="131" t="s">
        <v>289</v>
      </c>
      <c r="C389" s="132" t="s">
        <v>930</v>
      </c>
      <c r="D389" s="123">
        <v>0</v>
      </c>
      <c r="E389" s="128" t="s">
        <v>5</v>
      </c>
      <c r="F389" s="127">
        <v>0</v>
      </c>
      <c r="G389" s="128"/>
      <c r="H389" s="127">
        <v>208000</v>
      </c>
      <c r="I389" s="128" t="s">
        <v>2250</v>
      </c>
      <c r="J389" s="127">
        <v>304000</v>
      </c>
      <c r="K389" s="128" t="s">
        <v>1650</v>
      </c>
      <c r="L389" s="127">
        <v>0</v>
      </c>
      <c r="M389" s="128" t="s">
        <v>5</v>
      </c>
      <c r="N389" s="144">
        <f t="shared" si="8"/>
        <v>208000</v>
      </c>
      <c r="O389" s="124"/>
      <c r="P389" s="130"/>
    </row>
    <row r="390" spans="1:16" ht="30" customHeight="1" x14ac:dyDescent="0.3">
      <c r="A390" s="131" t="s">
        <v>284</v>
      </c>
      <c r="B390" s="131" t="s">
        <v>290</v>
      </c>
      <c r="C390" s="132" t="s">
        <v>930</v>
      </c>
      <c r="D390" s="123">
        <v>0</v>
      </c>
      <c r="E390" s="128" t="s">
        <v>5</v>
      </c>
      <c r="F390" s="127">
        <v>0</v>
      </c>
      <c r="G390" s="128"/>
      <c r="H390" s="127">
        <v>322000</v>
      </c>
      <c r="I390" s="128" t="s">
        <v>2250</v>
      </c>
      <c r="J390" s="127">
        <v>0</v>
      </c>
      <c r="K390" s="128" t="s">
        <v>5</v>
      </c>
      <c r="L390" s="127">
        <v>0</v>
      </c>
      <c r="M390" s="128" t="s">
        <v>5</v>
      </c>
      <c r="N390" s="144">
        <f t="shared" si="8"/>
        <v>322000</v>
      </c>
      <c r="O390" s="124"/>
      <c r="P390" s="130"/>
    </row>
    <row r="391" spans="1:16" ht="30" customHeight="1" x14ac:dyDescent="0.3">
      <c r="A391" s="131" t="s">
        <v>284</v>
      </c>
      <c r="B391" s="131" t="s">
        <v>291</v>
      </c>
      <c r="C391" s="132" t="s">
        <v>930</v>
      </c>
      <c r="D391" s="123">
        <v>0</v>
      </c>
      <c r="E391" s="128" t="s">
        <v>5</v>
      </c>
      <c r="F391" s="127">
        <v>0</v>
      </c>
      <c r="G391" s="128"/>
      <c r="H391" s="127">
        <v>672000</v>
      </c>
      <c r="I391" s="128" t="s">
        <v>2250</v>
      </c>
      <c r="J391" s="127">
        <v>608000</v>
      </c>
      <c r="K391" s="128" t="s">
        <v>1650</v>
      </c>
      <c r="L391" s="127">
        <v>0</v>
      </c>
      <c r="M391" s="128" t="s">
        <v>5</v>
      </c>
      <c r="N391" s="144">
        <f t="shared" si="8"/>
        <v>608000</v>
      </c>
      <c r="O391" s="124"/>
      <c r="P391" s="130"/>
    </row>
    <row r="392" spans="1:16" ht="30" customHeight="1" x14ac:dyDescent="0.3">
      <c r="A392" s="131" t="s">
        <v>279</v>
      </c>
      <c r="B392" s="131" t="s">
        <v>280</v>
      </c>
      <c r="C392" s="132" t="s">
        <v>14</v>
      </c>
      <c r="D392" s="123">
        <v>0</v>
      </c>
      <c r="E392" s="128" t="s">
        <v>5</v>
      </c>
      <c r="F392" s="127">
        <v>0</v>
      </c>
      <c r="G392" s="128"/>
      <c r="H392" s="127">
        <v>205</v>
      </c>
      <c r="I392" s="128" t="s">
        <v>808</v>
      </c>
      <c r="J392" s="127">
        <v>202</v>
      </c>
      <c r="K392" s="128" t="s">
        <v>2203</v>
      </c>
      <c r="L392" s="127">
        <v>296</v>
      </c>
      <c r="M392" s="128" t="s">
        <v>2213</v>
      </c>
      <c r="N392" s="144">
        <f t="shared" si="8"/>
        <v>202</v>
      </c>
      <c r="O392" s="124"/>
      <c r="P392" s="130"/>
    </row>
    <row r="393" spans="1:16" ht="30" customHeight="1" x14ac:dyDescent="0.3">
      <c r="A393" s="131" t="s">
        <v>279</v>
      </c>
      <c r="B393" s="131" t="s">
        <v>281</v>
      </c>
      <c r="C393" s="132" t="s">
        <v>14</v>
      </c>
      <c r="D393" s="123">
        <v>0</v>
      </c>
      <c r="E393" s="128" t="s">
        <v>5</v>
      </c>
      <c r="F393" s="127">
        <v>0</v>
      </c>
      <c r="G393" s="128"/>
      <c r="H393" s="127">
        <v>287</v>
      </c>
      <c r="I393" s="128" t="s">
        <v>808</v>
      </c>
      <c r="J393" s="127">
        <v>265</v>
      </c>
      <c r="K393" s="128" t="s">
        <v>2203</v>
      </c>
      <c r="L393" s="127">
        <v>376</v>
      </c>
      <c r="M393" s="128" t="s">
        <v>2213</v>
      </c>
      <c r="N393" s="144">
        <f t="shared" si="8"/>
        <v>265</v>
      </c>
      <c r="O393" s="124"/>
      <c r="P393" s="130"/>
    </row>
    <row r="394" spans="1:16" ht="30" customHeight="1" x14ac:dyDescent="0.3">
      <c r="A394" s="131" t="s">
        <v>279</v>
      </c>
      <c r="B394" s="131" t="s">
        <v>282</v>
      </c>
      <c r="C394" s="132" t="s">
        <v>14</v>
      </c>
      <c r="D394" s="123">
        <v>0</v>
      </c>
      <c r="E394" s="128" t="s">
        <v>5</v>
      </c>
      <c r="F394" s="127">
        <v>0</v>
      </c>
      <c r="G394" s="128"/>
      <c r="H394" s="127">
        <v>370</v>
      </c>
      <c r="I394" s="128" t="s">
        <v>808</v>
      </c>
      <c r="J394" s="127">
        <v>353</v>
      </c>
      <c r="K394" s="128" t="s">
        <v>2203</v>
      </c>
      <c r="L394" s="127">
        <v>480</v>
      </c>
      <c r="M394" s="128" t="s">
        <v>2213</v>
      </c>
      <c r="N394" s="144">
        <f t="shared" si="8"/>
        <v>353</v>
      </c>
      <c r="O394" s="124"/>
      <c r="P394" s="130"/>
    </row>
    <row r="395" spans="1:16" ht="30" customHeight="1" x14ac:dyDescent="0.3">
      <c r="A395" s="131" t="s">
        <v>283</v>
      </c>
      <c r="B395" s="131" t="s">
        <v>1591</v>
      </c>
      <c r="C395" s="132" t="s">
        <v>14</v>
      </c>
      <c r="D395" s="123">
        <v>0</v>
      </c>
      <c r="E395" s="128" t="s">
        <v>5</v>
      </c>
      <c r="F395" s="127">
        <v>0</v>
      </c>
      <c r="G395" s="128"/>
      <c r="H395" s="127">
        <v>533</v>
      </c>
      <c r="I395" s="128" t="s">
        <v>808</v>
      </c>
      <c r="J395" s="127">
        <v>479</v>
      </c>
      <c r="K395" s="128" t="s">
        <v>2203</v>
      </c>
      <c r="L395" s="127">
        <v>637</v>
      </c>
      <c r="M395" s="128" t="s">
        <v>2213</v>
      </c>
      <c r="N395" s="144">
        <f t="shared" si="8"/>
        <v>479</v>
      </c>
      <c r="O395" s="124"/>
      <c r="P395" s="130"/>
    </row>
    <row r="396" spans="1:16" ht="30" customHeight="1" x14ac:dyDescent="0.3">
      <c r="A396" s="131" t="s">
        <v>283</v>
      </c>
      <c r="B396" s="131" t="s">
        <v>281</v>
      </c>
      <c r="C396" s="132" t="s">
        <v>14</v>
      </c>
      <c r="D396" s="123">
        <v>0</v>
      </c>
      <c r="E396" s="128" t="s">
        <v>5</v>
      </c>
      <c r="F396" s="127">
        <v>0</v>
      </c>
      <c r="G396" s="128"/>
      <c r="H396" s="127">
        <v>615</v>
      </c>
      <c r="I396" s="128" t="s">
        <v>808</v>
      </c>
      <c r="J396" s="127">
        <v>555</v>
      </c>
      <c r="K396" s="128" t="s">
        <v>2203</v>
      </c>
      <c r="L396" s="127">
        <v>757</v>
      </c>
      <c r="M396" s="128" t="s">
        <v>2213</v>
      </c>
      <c r="N396" s="144">
        <f t="shared" si="8"/>
        <v>555</v>
      </c>
      <c r="O396" s="124"/>
      <c r="P396" s="130"/>
    </row>
    <row r="397" spans="1:16" ht="30" customHeight="1" x14ac:dyDescent="0.3">
      <c r="A397" s="131" t="s">
        <v>283</v>
      </c>
      <c r="B397" s="131" t="s">
        <v>282</v>
      </c>
      <c r="C397" s="132" t="s">
        <v>14</v>
      </c>
      <c r="D397" s="123">
        <v>0</v>
      </c>
      <c r="E397" s="128" t="s">
        <v>5</v>
      </c>
      <c r="F397" s="127">
        <v>0</v>
      </c>
      <c r="G397" s="128"/>
      <c r="H397" s="127">
        <v>698</v>
      </c>
      <c r="I397" s="128" t="s">
        <v>808</v>
      </c>
      <c r="J397" s="127">
        <v>656</v>
      </c>
      <c r="K397" s="128" t="s">
        <v>2203</v>
      </c>
      <c r="L397" s="127">
        <v>899</v>
      </c>
      <c r="M397" s="128" t="s">
        <v>2213</v>
      </c>
      <c r="N397" s="144">
        <f t="shared" si="8"/>
        <v>656</v>
      </c>
      <c r="O397" s="124"/>
      <c r="P397" s="130"/>
    </row>
    <row r="398" spans="1:16" ht="30" customHeight="1" x14ac:dyDescent="0.3">
      <c r="A398" s="131" t="s">
        <v>292</v>
      </c>
      <c r="B398" s="131" t="s">
        <v>293</v>
      </c>
      <c r="C398" s="132" t="s">
        <v>12</v>
      </c>
      <c r="D398" s="145">
        <v>8178</v>
      </c>
      <c r="E398" s="128" t="s">
        <v>5</v>
      </c>
      <c r="F398" s="127">
        <v>0</v>
      </c>
      <c r="G398" s="128"/>
      <c r="H398" s="127">
        <v>0</v>
      </c>
      <c r="I398" s="128" t="s">
        <v>5</v>
      </c>
      <c r="J398" s="127">
        <v>0</v>
      </c>
      <c r="K398" s="128" t="s">
        <v>5</v>
      </c>
      <c r="L398" s="127">
        <v>0</v>
      </c>
      <c r="M398" s="128" t="s">
        <v>5</v>
      </c>
      <c r="N398" s="144">
        <f t="shared" si="8"/>
        <v>8178</v>
      </c>
      <c r="O398" s="124"/>
      <c r="P398" s="130"/>
    </row>
    <row r="399" spans="1:16" ht="30" customHeight="1" x14ac:dyDescent="0.3">
      <c r="A399" s="131" t="s">
        <v>292</v>
      </c>
      <c r="B399" s="131" t="s">
        <v>294</v>
      </c>
      <c r="C399" s="132" t="s">
        <v>12</v>
      </c>
      <c r="D399" s="145">
        <v>8178</v>
      </c>
      <c r="E399" s="128" t="s">
        <v>5</v>
      </c>
      <c r="F399" s="127">
        <v>0</v>
      </c>
      <c r="G399" s="128"/>
      <c r="H399" s="127">
        <v>0</v>
      </c>
      <c r="I399" s="128" t="s">
        <v>5</v>
      </c>
      <c r="J399" s="127">
        <v>0</v>
      </c>
      <c r="K399" s="128" t="s">
        <v>5</v>
      </c>
      <c r="L399" s="127">
        <v>0</v>
      </c>
      <c r="M399" s="128" t="s">
        <v>5</v>
      </c>
      <c r="N399" s="144">
        <f t="shared" si="8"/>
        <v>8178</v>
      </c>
      <c r="O399" s="124"/>
      <c r="P399" s="130"/>
    </row>
    <row r="400" spans="1:16" ht="30" customHeight="1" x14ac:dyDescent="0.3">
      <c r="A400" s="131" t="s">
        <v>292</v>
      </c>
      <c r="B400" s="131" t="s">
        <v>295</v>
      </c>
      <c r="C400" s="132" t="s">
        <v>12</v>
      </c>
      <c r="D400" s="145">
        <v>11932</v>
      </c>
      <c r="E400" s="128" t="s">
        <v>5</v>
      </c>
      <c r="F400" s="127">
        <v>0</v>
      </c>
      <c r="G400" s="128"/>
      <c r="H400" s="127">
        <v>0</v>
      </c>
      <c r="I400" s="128" t="s">
        <v>5</v>
      </c>
      <c r="J400" s="127">
        <v>0</v>
      </c>
      <c r="K400" s="128" t="s">
        <v>5</v>
      </c>
      <c r="L400" s="127">
        <v>0</v>
      </c>
      <c r="M400" s="128" t="s">
        <v>5</v>
      </c>
      <c r="N400" s="144">
        <f t="shared" si="8"/>
        <v>11932</v>
      </c>
      <c r="O400" s="124"/>
      <c r="P400" s="130"/>
    </row>
    <row r="401" spans="1:16" ht="30" customHeight="1" x14ac:dyDescent="0.3">
      <c r="A401" s="131" t="s">
        <v>292</v>
      </c>
      <c r="B401" s="131" t="s">
        <v>296</v>
      </c>
      <c r="C401" s="132" t="s">
        <v>12</v>
      </c>
      <c r="D401" s="145">
        <v>17935</v>
      </c>
      <c r="E401" s="128" t="s">
        <v>5</v>
      </c>
      <c r="F401" s="127">
        <v>0</v>
      </c>
      <c r="G401" s="128"/>
      <c r="H401" s="127">
        <v>0</v>
      </c>
      <c r="I401" s="128" t="s">
        <v>5</v>
      </c>
      <c r="J401" s="127">
        <v>0</v>
      </c>
      <c r="K401" s="128" t="s">
        <v>5</v>
      </c>
      <c r="L401" s="127">
        <v>0</v>
      </c>
      <c r="M401" s="128" t="s">
        <v>5</v>
      </c>
      <c r="N401" s="144">
        <f t="shared" si="8"/>
        <v>17935</v>
      </c>
      <c r="O401" s="124"/>
      <c r="P401" s="130"/>
    </row>
    <row r="402" spans="1:16" ht="30" customHeight="1" x14ac:dyDescent="0.3">
      <c r="A402" s="131" t="s">
        <v>292</v>
      </c>
      <c r="B402" s="131" t="s">
        <v>297</v>
      </c>
      <c r="C402" s="132" t="s">
        <v>12</v>
      </c>
      <c r="D402" s="145">
        <v>17935</v>
      </c>
      <c r="E402" s="128" t="s">
        <v>5</v>
      </c>
      <c r="F402" s="127">
        <v>0</v>
      </c>
      <c r="G402" s="128"/>
      <c r="H402" s="127">
        <v>0</v>
      </c>
      <c r="I402" s="128" t="s">
        <v>5</v>
      </c>
      <c r="J402" s="127">
        <v>0</v>
      </c>
      <c r="K402" s="128" t="s">
        <v>5</v>
      </c>
      <c r="L402" s="127">
        <v>0</v>
      </c>
      <c r="M402" s="128" t="s">
        <v>5</v>
      </c>
      <c r="N402" s="144">
        <f t="shared" si="8"/>
        <v>17935</v>
      </c>
      <c r="O402" s="124"/>
      <c r="P402" s="130"/>
    </row>
    <row r="403" spans="1:16" ht="30" customHeight="1" x14ac:dyDescent="0.3">
      <c r="A403" s="131" t="s">
        <v>292</v>
      </c>
      <c r="B403" s="131" t="s">
        <v>2005</v>
      </c>
      <c r="C403" s="132" t="s">
        <v>12</v>
      </c>
      <c r="D403" s="145">
        <v>21322</v>
      </c>
      <c r="E403" s="128" t="s">
        <v>5</v>
      </c>
      <c r="F403" s="127">
        <v>0</v>
      </c>
      <c r="G403" s="128"/>
      <c r="H403" s="127">
        <v>0</v>
      </c>
      <c r="I403" s="128" t="s">
        <v>5</v>
      </c>
      <c r="J403" s="127">
        <v>0</v>
      </c>
      <c r="K403" s="128" t="s">
        <v>5</v>
      </c>
      <c r="L403" s="127">
        <v>0</v>
      </c>
      <c r="M403" s="128" t="s">
        <v>5</v>
      </c>
      <c r="N403" s="144">
        <f t="shared" ref="N403" si="9">SMALL(D403:L403,COUNTIF(D403:L403,0)+1)</f>
        <v>21322</v>
      </c>
      <c r="O403" s="124"/>
      <c r="P403" s="130"/>
    </row>
    <row r="404" spans="1:16" ht="30" customHeight="1" x14ac:dyDescent="0.3">
      <c r="A404" s="131" t="s">
        <v>292</v>
      </c>
      <c r="B404" s="131" t="s">
        <v>298</v>
      </c>
      <c r="C404" s="132" t="s">
        <v>12</v>
      </c>
      <c r="D404" s="145">
        <v>21322</v>
      </c>
      <c r="E404" s="128" t="s">
        <v>5</v>
      </c>
      <c r="F404" s="127">
        <v>0</v>
      </c>
      <c r="G404" s="128"/>
      <c r="H404" s="127">
        <v>0</v>
      </c>
      <c r="I404" s="128" t="s">
        <v>5</v>
      </c>
      <c r="J404" s="127">
        <v>0</v>
      </c>
      <c r="K404" s="128" t="s">
        <v>5</v>
      </c>
      <c r="L404" s="127">
        <v>0</v>
      </c>
      <c r="M404" s="128" t="s">
        <v>5</v>
      </c>
      <c r="N404" s="144">
        <f t="shared" si="8"/>
        <v>21322</v>
      </c>
      <c r="O404" s="124"/>
      <c r="P404" s="130"/>
    </row>
    <row r="405" spans="1:16" ht="30" customHeight="1" x14ac:dyDescent="0.3">
      <c r="A405" s="131" t="s">
        <v>292</v>
      </c>
      <c r="B405" s="131" t="s">
        <v>299</v>
      </c>
      <c r="C405" s="132" t="s">
        <v>12</v>
      </c>
      <c r="D405" s="145">
        <v>24689</v>
      </c>
      <c r="E405" s="128" t="s">
        <v>5</v>
      </c>
      <c r="F405" s="127">
        <v>0</v>
      </c>
      <c r="G405" s="128"/>
      <c r="H405" s="127">
        <v>0</v>
      </c>
      <c r="I405" s="128" t="s">
        <v>5</v>
      </c>
      <c r="J405" s="127">
        <v>0</v>
      </c>
      <c r="K405" s="128" t="s">
        <v>5</v>
      </c>
      <c r="L405" s="127">
        <v>0</v>
      </c>
      <c r="M405" s="128" t="s">
        <v>5</v>
      </c>
      <c r="N405" s="144">
        <f t="shared" si="8"/>
        <v>24689</v>
      </c>
      <c r="O405" s="124"/>
      <c r="P405" s="130"/>
    </row>
    <row r="406" spans="1:16" ht="30" customHeight="1" x14ac:dyDescent="0.3">
      <c r="A406" s="131" t="s">
        <v>292</v>
      </c>
      <c r="B406" s="131" t="s">
        <v>300</v>
      </c>
      <c r="C406" s="132" t="s">
        <v>12</v>
      </c>
      <c r="D406" s="145">
        <v>29613</v>
      </c>
      <c r="E406" s="128" t="s">
        <v>5</v>
      </c>
      <c r="F406" s="127">
        <v>0</v>
      </c>
      <c r="G406" s="128"/>
      <c r="H406" s="127">
        <v>0</v>
      </c>
      <c r="I406" s="128" t="s">
        <v>5</v>
      </c>
      <c r="J406" s="127">
        <v>0</v>
      </c>
      <c r="K406" s="128" t="s">
        <v>5</v>
      </c>
      <c r="L406" s="127">
        <v>0</v>
      </c>
      <c r="M406" s="128" t="s">
        <v>5</v>
      </c>
      <c r="N406" s="144">
        <f t="shared" si="8"/>
        <v>29613</v>
      </c>
      <c r="O406" s="124"/>
      <c r="P406" s="130"/>
    </row>
    <row r="407" spans="1:16" ht="30" customHeight="1" x14ac:dyDescent="0.3">
      <c r="A407" s="131" t="s">
        <v>292</v>
      </c>
      <c r="B407" s="131" t="s">
        <v>301</v>
      </c>
      <c r="C407" s="132" t="s">
        <v>12</v>
      </c>
      <c r="D407" s="145">
        <v>40736</v>
      </c>
      <c r="E407" s="128" t="s">
        <v>5</v>
      </c>
      <c r="F407" s="127">
        <v>0</v>
      </c>
      <c r="G407" s="128"/>
      <c r="H407" s="127">
        <v>0</v>
      </c>
      <c r="I407" s="128" t="s">
        <v>5</v>
      </c>
      <c r="J407" s="127">
        <v>0</v>
      </c>
      <c r="K407" s="128" t="s">
        <v>5</v>
      </c>
      <c r="L407" s="127">
        <v>0</v>
      </c>
      <c r="M407" s="128" t="s">
        <v>5</v>
      </c>
      <c r="N407" s="144">
        <f t="shared" si="8"/>
        <v>40736</v>
      </c>
      <c r="O407" s="124"/>
      <c r="P407" s="130"/>
    </row>
    <row r="408" spans="1:16" ht="30" customHeight="1" x14ac:dyDescent="0.3">
      <c r="A408" s="131" t="s">
        <v>292</v>
      </c>
      <c r="B408" s="131" t="s">
        <v>302</v>
      </c>
      <c r="C408" s="132" t="s">
        <v>12</v>
      </c>
      <c r="D408" s="145">
        <v>41044</v>
      </c>
      <c r="E408" s="128" t="s">
        <v>5</v>
      </c>
      <c r="F408" s="127">
        <v>0</v>
      </c>
      <c r="G408" s="128"/>
      <c r="H408" s="127">
        <v>0</v>
      </c>
      <c r="I408" s="128" t="s">
        <v>5</v>
      </c>
      <c r="J408" s="127">
        <v>0</v>
      </c>
      <c r="K408" s="128" t="s">
        <v>5</v>
      </c>
      <c r="L408" s="127">
        <v>0</v>
      </c>
      <c r="M408" s="128" t="s">
        <v>5</v>
      </c>
      <c r="N408" s="144">
        <f t="shared" si="8"/>
        <v>41044</v>
      </c>
      <c r="O408" s="124"/>
      <c r="P408" s="130"/>
    </row>
    <row r="409" spans="1:16" ht="30" customHeight="1" x14ac:dyDescent="0.3">
      <c r="A409" s="131" t="s">
        <v>292</v>
      </c>
      <c r="B409" s="131" t="s">
        <v>303</v>
      </c>
      <c r="C409" s="132" t="s">
        <v>12</v>
      </c>
      <c r="D409" s="145">
        <v>42046</v>
      </c>
      <c r="E409" s="128" t="s">
        <v>5</v>
      </c>
      <c r="F409" s="127">
        <v>0</v>
      </c>
      <c r="G409" s="128"/>
      <c r="H409" s="127">
        <v>0</v>
      </c>
      <c r="I409" s="128" t="s">
        <v>5</v>
      </c>
      <c r="J409" s="127">
        <v>0</v>
      </c>
      <c r="K409" s="128" t="s">
        <v>5</v>
      </c>
      <c r="L409" s="127">
        <v>0</v>
      </c>
      <c r="M409" s="128" t="s">
        <v>5</v>
      </c>
      <c r="N409" s="144">
        <f t="shared" si="8"/>
        <v>42046</v>
      </c>
      <c r="O409" s="124"/>
      <c r="P409" s="130"/>
    </row>
    <row r="410" spans="1:16" ht="30" customHeight="1" x14ac:dyDescent="0.3">
      <c r="A410" s="131" t="s">
        <v>292</v>
      </c>
      <c r="B410" s="131" t="s">
        <v>304</v>
      </c>
      <c r="C410" s="132" t="s">
        <v>12</v>
      </c>
      <c r="D410" s="145">
        <v>60072</v>
      </c>
      <c r="E410" s="128" t="s">
        <v>5</v>
      </c>
      <c r="F410" s="127">
        <v>0</v>
      </c>
      <c r="G410" s="128"/>
      <c r="H410" s="127">
        <v>0</v>
      </c>
      <c r="I410" s="128" t="s">
        <v>5</v>
      </c>
      <c r="J410" s="127">
        <v>0</v>
      </c>
      <c r="K410" s="128" t="s">
        <v>5</v>
      </c>
      <c r="L410" s="127">
        <v>0</v>
      </c>
      <c r="M410" s="128" t="s">
        <v>5</v>
      </c>
      <c r="N410" s="144">
        <f t="shared" si="8"/>
        <v>60072</v>
      </c>
      <c r="O410" s="124"/>
      <c r="P410" s="130"/>
    </row>
    <row r="411" spans="1:16" ht="30" customHeight="1" x14ac:dyDescent="0.3">
      <c r="A411" s="131" t="s">
        <v>292</v>
      </c>
      <c r="B411" s="131" t="s">
        <v>305</v>
      </c>
      <c r="C411" s="132" t="s">
        <v>12</v>
      </c>
      <c r="D411" s="145">
        <v>83738</v>
      </c>
      <c r="E411" s="128" t="s">
        <v>5</v>
      </c>
      <c r="F411" s="127">
        <v>0</v>
      </c>
      <c r="G411" s="128"/>
      <c r="H411" s="127">
        <v>0</v>
      </c>
      <c r="I411" s="128" t="s">
        <v>5</v>
      </c>
      <c r="J411" s="127">
        <v>0</v>
      </c>
      <c r="K411" s="128" t="s">
        <v>5</v>
      </c>
      <c r="L411" s="127">
        <v>0</v>
      </c>
      <c r="M411" s="128" t="s">
        <v>5</v>
      </c>
      <c r="N411" s="144">
        <f t="shared" si="8"/>
        <v>83738</v>
      </c>
      <c r="O411" s="124"/>
      <c r="P411" s="130"/>
    </row>
    <row r="412" spans="1:16" ht="30" customHeight="1" x14ac:dyDescent="0.3">
      <c r="A412" s="131" t="s">
        <v>292</v>
      </c>
      <c r="B412" s="131" t="s">
        <v>306</v>
      </c>
      <c r="C412" s="132" t="s">
        <v>12</v>
      </c>
      <c r="D412" s="145">
        <v>118323</v>
      </c>
      <c r="E412" s="128" t="s">
        <v>5</v>
      </c>
      <c r="F412" s="127">
        <v>0</v>
      </c>
      <c r="G412" s="128"/>
      <c r="H412" s="127">
        <v>0</v>
      </c>
      <c r="I412" s="128" t="s">
        <v>5</v>
      </c>
      <c r="J412" s="127">
        <v>0</v>
      </c>
      <c r="K412" s="128" t="s">
        <v>5</v>
      </c>
      <c r="L412" s="127">
        <v>0</v>
      </c>
      <c r="M412" s="128" t="s">
        <v>5</v>
      </c>
      <c r="N412" s="144">
        <f t="shared" si="8"/>
        <v>118323</v>
      </c>
      <c r="O412" s="124"/>
      <c r="P412" s="130"/>
    </row>
    <row r="413" spans="1:16" ht="30" customHeight="1" x14ac:dyDescent="0.3">
      <c r="A413" s="131" t="s">
        <v>307</v>
      </c>
      <c r="B413" s="131" t="s">
        <v>308</v>
      </c>
      <c r="C413" s="132" t="s">
        <v>12</v>
      </c>
      <c r="D413" s="145">
        <v>19</v>
      </c>
      <c r="E413" s="128" t="s">
        <v>5</v>
      </c>
      <c r="F413" s="127">
        <v>26</v>
      </c>
      <c r="G413" s="128" t="s">
        <v>756</v>
      </c>
      <c r="H413" s="127">
        <v>0</v>
      </c>
      <c r="I413" s="128" t="s">
        <v>5</v>
      </c>
      <c r="J413" s="127">
        <v>0</v>
      </c>
      <c r="K413" s="128" t="s">
        <v>5</v>
      </c>
      <c r="L413" s="127">
        <v>0</v>
      </c>
      <c r="M413" s="128" t="s">
        <v>5</v>
      </c>
      <c r="N413" s="144">
        <f t="shared" si="8"/>
        <v>19</v>
      </c>
      <c r="O413" s="124"/>
      <c r="P413" s="130"/>
    </row>
    <row r="414" spans="1:16" ht="30" customHeight="1" x14ac:dyDescent="0.3">
      <c r="A414" s="131" t="s">
        <v>307</v>
      </c>
      <c r="B414" s="131" t="s">
        <v>309</v>
      </c>
      <c r="C414" s="132" t="s">
        <v>12</v>
      </c>
      <c r="D414" s="145">
        <v>19</v>
      </c>
      <c r="E414" s="128" t="s">
        <v>5</v>
      </c>
      <c r="F414" s="127">
        <v>27</v>
      </c>
      <c r="G414" s="128" t="s">
        <v>756</v>
      </c>
      <c r="H414" s="127">
        <v>0</v>
      </c>
      <c r="I414" s="128" t="s">
        <v>5</v>
      </c>
      <c r="J414" s="127">
        <v>0</v>
      </c>
      <c r="K414" s="128" t="s">
        <v>5</v>
      </c>
      <c r="L414" s="127">
        <v>0</v>
      </c>
      <c r="M414" s="128" t="s">
        <v>5</v>
      </c>
      <c r="N414" s="144">
        <f t="shared" si="8"/>
        <v>19</v>
      </c>
      <c r="O414" s="124"/>
      <c r="P414" s="130"/>
    </row>
    <row r="415" spans="1:16" ht="30" customHeight="1" x14ac:dyDescent="0.3">
      <c r="A415" s="131" t="s">
        <v>307</v>
      </c>
      <c r="B415" s="131" t="s">
        <v>310</v>
      </c>
      <c r="C415" s="132" t="s">
        <v>12</v>
      </c>
      <c r="D415" s="145">
        <v>51</v>
      </c>
      <c r="E415" s="128" t="s">
        <v>5</v>
      </c>
      <c r="F415" s="127">
        <v>52</v>
      </c>
      <c r="G415" s="128" t="s">
        <v>756</v>
      </c>
      <c r="H415" s="127">
        <v>0</v>
      </c>
      <c r="I415" s="128" t="s">
        <v>5</v>
      </c>
      <c r="J415" s="127">
        <v>0</v>
      </c>
      <c r="K415" s="128" t="s">
        <v>5</v>
      </c>
      <c r="L415" s="127">
        <v>0</v>
      </c>
      <c r="M415" s="128" t="s">
        <v>5</v>
      </c>
      <c r="N415" s="144">
        <f t="shared" si="8"/>
        <v>51</v>
      </c>
      <c r="O415" s="124"/>
      <c r="P415" s="130"/>
    </row>
    <row r="416" spans="1:16" ht="30" customHeight="1" x14ac:dyDescent="0.3">
      <c r="A416" s="131" t="s">
        <v>307</v>
      </c>
      <c r="B416" s="131" t="s">
        <v>311</v>
      </c>
      <c r="C416" s="132" t="s">
        <v>12</v>
      </c>
      <c r="D416" s="145">
        <v>101</v>
      </c>
      <c r="E416" s="128" t="s">
        <v>5</v>
      </c>
      <c r="F416" s="127">
        <v>102</v>
      </c>
      <c r="G416" s="128" t="s">
        <v>756</v>
      </c>
      <c r="H416" s="127">
        <v>0</v>
      </c>
      <c r="I416" s="128" t="s">
        <v>5</v>
      </c>
      <c r="J416" s="127">
        <v>0</v>
      </c>
      <c r="K416" s="128" t="s">
        <v>5</v>
      </c>
      <c r="L416" s="127">
        <v>0</v>
      </c>
      <c r="M416" s="128" t="s">
        <v>5</v>
      </c>
      <c r="N416" s="144">
        <f t="shared" si="8"/>
        <v>101</v>
      </c>
      <c r="O416" s="124"/>
      <c r="P416" s="130"/>
    </row>
    <row r="417" spans="1:16" ht="30" customHeight="1" x14ac:dyDescent="0.3">
      <c r="A417" s="131" t="s">
        <v>307</v>
      </c>
      <c r="B417" s="131" t="s">
        <v>312</v>
      </c>
      <c r="C417" s="132" t="s">
        <v>12</v>
      </c>
      <c r="D417" s="145">
        <v>126</v>
      </c>
      <c r="E417" s="128" t="s">
        <v>5</v>
      </c>
      <c r="F417" s="127">
        <v>150</v>
      </c>
      <c r="G417" s="128" t="s">
        <v>756</v>
      </c>
      <c r="H417" s="127">
        <v>0</v>
      </c>
      <c r="I417" s="128" t="s">
        <v>5</v>
      </c>
      <c r="J417" s="127">
        <v>0</v>
      </c>
      <c r="K417" s="128" t="s">
        <v>5</v>
      </c>
      <c r="L417" s="127">
        <v>0</v>
      </c>
      <c r="M417" s="128" t="s">
        <v>5</v>
      </c>
      <c r="N417" s="144">
        <f t="shared" si="8"/>
        <v>126</v>
      </c>
      <c r="O417" s="124"/>
      <c r="P417" s="130"/>
    </row>
    <row r="418" spans="1:16" ht="30" customHeight="1" x14ac:dyDescent="0.3">
      <c r="A418" s="131" t="s">
        <v>307</v>
      </c>
      <c r="B418" s="131" t="s">
        <v>313</v>
      </c>
      <c r="C418" s="132" t="s">
        <v>12</v>
      </c>
      <c r="D418" s="145">
        <v>186</v>
      </c>
      <c r="E418" s="128" t="s">
        <v>5</v>
      </c>
      <c r="F418" s="127">
        <v>225</v>
      </c>
      <c r="G418" s="128" t="s">
        <v>756</v>
      </c>
      <c r="H418" s="127">
        <v>0</v>
      </c>
      <c r="I418" s="128" t="s">
        <v>5</v>
      </c>
      <c r="J418" s="127">
        <v>0</v>
      </c>
      <c r="K418" s="128" t="s">
        <v>5</v>
      </c>
      <c r="L418" s="127">
        <v>0</v>
      </c>
      <c r="M418" s="128" t="s">
        <v>5</v>
      </c>
      <c r="N418" s="144">
        <f t="shared" si="8"/>
        <v>186</v>
      </c>
      <c r="O418" s="124"/>
      <c r="P418" s="130"/>
    </row>
    <row r="419" spans="1:16" ht="30" customHeight="1" x14ac:dyDescent="0.3">
      <c r="A419" s="131" t="s">
        <v>307</v>
      </c>
      <c r="B419" s="131" t="s">
        <v>314</v>
      </c>
      <c r="C419" s="132" t="s">
        <v>12</v>
      </c>
      <c r="D419" s="145">
        <v>241</v>
      </c>
      <c r="E419" s="128" t="s">
        <v>5</v>
      </c>
      <c r="F419" s="127">
        <v>291</v>
      </c>
      <c r="G419" s="128" t="s">
        <v>756</v>
      </c>
      <c r="H419" s="127">
        <v>0</v>
      </c>
      <c r="I419" s="128" t="s">
        <v>5</v>
      </c>
      <c r="J419" s="127">
        <v>0</v>
      </c>
      <c r="K419" s="128" t="s">
        <v>5</v>
      </c>
      <c r="L419" s="127">
        <v>0</v>
      </c>
      <c r="M419" s="128" t="s">
        <v>5</v>
      </c>
      <c r="N419" s="144">
        <f t="shared" si="8"/>
        <v>241</v>
      </c>
      <c r="O419" s="124"/>
      <c r="P419" s="130"/>
    </row>
    <row r="420" spans="1:16" ht="30" customHeight="1" x14ac:dyDescent="0.3">
      <c r="A420" s="131" t="s">
        <v>307</v>
      </c>
      <c r="B420" s="131" t="s">
        <v>315</v>
      </c>
      <c r="C420" s="132" t="s">
        <v>12</v>
      </c>
      <c r="D420" s="145">
        <v>402</v>
      </c>
      <c r="E420" s="128" t="s">
        <v>5</v>
      </c>
      <c r="F420" s="127">
        <v>474</v>
      </c>
      <c r="G420" s="128" t="s">
        <v>756</v>
      </c>
      <c r="H420" s="127">
        <v>0</v>
      </c>
      <c r="I420" s="128" t="s">
        <v>5</v>
      </c>
      <c r="J420" s="127">
        <v>0</v>
      </c>
      <c r="K420" s="128" t="s">
        <v>5</v>
      </c>
      <c r="L420" s="127">
        <v>0</v>
      </c>
      <c r="M420" s="128" t="s">
        <v>5</v>
      </c>
      <c r="N420" s="144">
        <f t="shared" si="8"/>
        <v>402</v>
      </c>
      <c r="O420" s="124"/>
      <c r="P420" s="130"/>
    </row>
    <row r="421" spans="1:16" ht="30" customHeight="1" x14ac:dyDescent="0.3">
      <c r="A421" s="131" t="s">
        <v>307</v>
      </c>
      <c r="B421" s="131" t="s">
        <v>316</v>
      </c>
      <c r="C421" s="132" t="s">
        <v>12</v>
      </c>
      <c r="D421" s="145">
        <v>636</v>
      </c>
      <c r="E421" s="128" t="s">
        <v>5</v>
      </c>
      <c r="F421" s="127">
        <v>787</v>
      </c>
      <c r="G421" s="128" t="s">
        <v>756</v>
      </c>
      <c r="H421" s="127">
        <v>0</v>
      </c>
      <c r="I421" s="128" t="s">
        <v>5</v>
      </c>
      <c r="J421" s="127">
        <v>0</v>
      </c>
      <c r="K421" s="128" t="s">
        <v>5</v>
      </c>
      <c r="L421" s="127">
        <v>0</v>
      </c>
      <c r="M421" s="128" t="s">
        <v>5</v>
      </c>
      <c r="N421" s="144">
        <f t="shared" si="8"/>
        <v>636</v>
      </c>
      <c r="O421" s="124"/>
      <c r="P421" s="130"/>
    </row>
    <row r="422" spans="1:16" ht="30" customHeight="1" x14ac:dyDescent="0.3">
      <c r="A422" s="131" t="s">
        <v>307</v>
      </c>
      <c r="B422" s="131" t="s">
        <v>317</v>
      </c>
      <c r="C422" s="132" t="s">
        <v>12</v>
      </c>
      <c r="D422" s="145">
        <v>857</v>
      </c>
      <c r="E422" s="128" t="s">
        <v>5</v>
      </c>
      <c r="F422" s="127">
        <v>997</v>
      </c>
      <c r="G422" s="128" t="s">
        <v>756</v>
      </c>
      <c r="H422" s="127">
        <v>0</v>
      </c>
      <c r="I422" s="128" t="s">
        <v>5</v>
      </c>
      <c r="J422" s="127">
        <v>0</v>
      </c>
      <c r="K422" s="128" t="s">
        <v>5</v>
      </c>
      <c r="L422" s="127">
        <v>0</v>
      </c>
      <c r="M422" s="128" t="s">
        <v>5</v>
      </c>
      <c r="N422" s="144">
        <f t="shared" si="8"/>
        <v>857</v>
      </c>
      <c r="O422" s="124"/>
      <c r="P422" s="130"/>
    </row>
    <row r="423" spans="1:16" ht="30" customHeight="1" x14ac:dyDescent="0.3">
      <c r="A423" s="131" t="s">
        <v>307</v>
      </c>
      <c r="B423" s="131" t="s">
        <v>318</v>
      </c>
      <c r="C423" s="132" t="s">
        <v>12</v>
      </c>
      <c r="D423" s="145">
        <v>1270</v>
      </c>
      <c r="E423" s="128" t="s">
        <v>5</v>
      </c>
      <c r="F423" s="127">
        <v>1802</v>
      </c>
      <c r="G423" s="128" t="s">
        <v>756</v>
      </c>
      <c r="H423" s="127">
        <v>0</v>
      </c>
      <c r="I423" s="128" t="s">
        <v>5</v>
      </c>
      <c r="J423" s="127">
        <v>0</v>
      </c>
      <c r="K423" s="128" t="s">
        <v>5</v>
      </c>
      <c r="L423" s="127">
        <v>0</v>
      </c>
      <c r="M423" s="128" t="s">
        <v>5</v>
      </c>
      <c r="N423" s="144">
        <f t="shared" si="8"/>
        <v>1270</v>
      </c>
      <c r="O423" s="124"/>
      <c r="P423" s="130"/>
    </row>
    <row r="424" spans="1:16" ht="30" customHeight="1" x14ac:dyDescent="0.3">
      <c r="A424" s="131" t="s">
        <v>307</v>
      </c>
      <c r="B424" s="131" t="s">
        <v>319</v>
      </c>
      <c r="C424" s="132" t="s">
        <v>12</v>
      </c>
      <c r="D424" s="145">
        <v>2473</v>
      </c>
      <c r="E424" s="128" t="s">
        <v>5</v>
      </c>
      <c r="F424" s="127">
        <v>3172</v>
      </c>
      <c r="G424" s="128" t="s">
        <v>756</v>
      </c>
      <c r="H424" s="127">
        <v>0</v>
      </c>
      <c r="I424" s="128" t="s">
        <v>5</v>
      </c>
      <c r="J424" s="127">
        <v>0</v>
      </c>
      <c r="K424" s="128" t="s">
        <v>5</v>
      </c>
      <c r="L424" s="127">
        <v>0</v>
      </c>
      <c r="M424" s="128" t="s">
        <v>5</v>
      </c>
      <c r="N424" s="144">
        <f t="shared" si="8"/>
        <v>2473</v>
      </c>
      <c r="O424" s="124"/>
      <c r="P424" s="130"/>
    </row>
    <row r="425" spans="1:16" ht="30" customHeight="1" x14ac:dyDescent="0.3">
      <c r="A425" s="131" t="s">
        <v>307</v>
      </c>
      <c r="B425" s="131" t="s">
        <v>320</v>
      </c>
      <c r="C425" s="132" t="s">
        <v>12</v>
      </c>
      <c r="D425" s="145">
        <v>3073</v>
      </c>
      <c r="E425" s="128" t="s">
        <v>5</v>
      </c>
      <c r="F425" s="127">
        <v>4373</v>
      </c>
      <c r="G425" s="128" t="s">
        <v>756</v>
      </c>
      <c r="H425" s="127">
        <v>0</v>
      </c>
      <c r="I425" s="128" t="s">
        <v>5</v>
      </c>
      <c r="J425" s="127">
        <v>0</v>
      </c>
      <c r="K425" s="128" t="s">
        <v>5</v>
      </c>
      <c r="L425" s="127">
        <v>0</v>
      </c>
      <c r="M425" s="128" t="s">
        <v>5</v>
      </c>
      <c r="N425" s="144">
        <f t="shared" si="8"/>
        <v>3073</v>
      </c>
      <c r="O425" s="124"/>
      <c r="P425" s="130"/>
    </row>
    <row r="426" spans="1:16" ht="30" customHeight="1" x14ac:dyDescent="0.3">
      <c r="A426" s="131" t="s">
        <v>2006</v>
      </c>
      <c r="B426" s="131" t="s">
        <v>2007</v>
      </c>
      <c r="C426" s="132" t="s">
        <v>12</v>
      </c>
      <c r="D426" s="123">
        <v>0</v>
      </c>
      <c r="E426" s="128" t="s">
        <v>5</v>
      </c>
      <c r="F426" s="127">
        <v>9</v>
      </c>
      <c r="G426" s="128" t="s">
        <v>756</v>
      </c>
      <c r="H426" s="127">
        <v>0</v>
      </c>
      <c r="I426" s="128" t="s">
        <v>5</v>
      </c>
      <c r="J426" s="127">
        <v>0</v>
      </c>
      <c r="K426" s="128" t="s">
        <v>5</v>
      </c>
      <c r="L426" s="127">
        <v>0</v>
      </c>
      <c r="M426" s="128" t="s">
        <v>5</v>
      </c>
      <c r="N426" s="144">
        <f t="shared" ref="N426:N435" si="10">SMALL(D426:L426,COUNTIF(D426:L426,0)+1)</f>
        <v>9</v>
      </c>
      <c r="O426" s="124"/>
      <c r="P426" s="130"/>
    </row>
    <row r="427" spans="1:16" s="180" customFormat="1" ht="30" customHeight="1" x14ac:dyDescent="0.3">
      <c r="A427" s="181" t="s">
        <v>2006</v>
      </c>
      <c r="B427" s="181" t="s">
        <v>2578</v>
      </c>
      <c r="C427" s="182" t="s">
        <v>12</v>
      </c>
      <c r="D427" s="183">
        <v>0</v>
      </c>
      <c r="E427" s="184" t="s">
        <v>5</v>
      </c>
      <c r="F427" s="185">
        <v>11</v>
      </c>
      <c r="G427" s="184" t="s">
        <v>756</v>
      </c>
      <c r="H427" s="185">
        <v>0</v>
      </c>
      <c r="I427" s="184" t="s">
        <v>5</v>
      </c>
      <c r="J427" s="185">
        <v>0</v>
      </c>
      <c r="K427" s="184" t="s">
        <v>5</v>
      </c>
      <c r="L427" s="185">
        <v>0</v>
      </c>
      <c r="M427" s="184" t="s">
        <v>5</v>
      </c>
      <c r="N427" s="186">
        <f t="shared" si="10"/>
        <v>11</v>
      </c>
      <c r="O427" s="187"/>
      <c r="P427" s="188"/>
    </row>
    <row r="428" spans="1:16" ht="30" customHeight="1" x14ac:dyDescent="0.3">
      <c r="A428" s="131" t="s">
        <v>2006</v>
      </c>
      <c r="B428" s="131" t="s">
        <v>2008</v>
      </c>
      <c r="C428" s="132" t="s">
        <v>12</v>
      </c>
      <c r="D428" s="123">
        <v>0</v>
      </c>
      <c r="E428" s="128" t="s">
        <v>5</v>
      </c>
      <c r="F428" s="127">
        <v>12</v>
      </c>
      <c r="G428" s="128" t="s">
        <v>756</v>
      </c>
      <c r="H428" s="127">
        <v>0</v>
      </c>
      <c r="I428" s="128" t="s">
        <v>5</v>
      </c>
      <c r="J428" s="127">
        <v>0</v>
      </c>
      <c r="K428" s="128" t="s">
        <v>5</v>
      </c>
      <c r="L428" s="127">
        <v>0</v>
      </c>
      <c r="M428" s="128" t="s">
        <v>5</v>
      </c>
      <c r="N428" s="144">
        <f t="shared" si="10"/>
        <v>12</v>
      </c>
      <c r="O428" s="124"/>
      <c r="P428" s="130"/>
    </row>
    <row r="429" spans="1:16" ht="30" customHeight="1" x14ac:dyDescent="0.3">
      <c r="A429" s="131" t="s">
        <v>2006</v>
      </c>
      <c r="B429" s="131" t="s">
        <v>2009</v>
      </c>
      <c r="C429" s="132" t="s">
        <v>12</v>
      </c>
      <c r="D429" s="123">
        <v>0</v>
      </c>
      <c r="E429" s="128" t="s">
        <v>5</v>
      </c>
      <c r="F429" s="127">
        <v>15</v>
      </c>
      <c r="G429" s="128" t="s">
        <v>756</v>
      </c>
      <c r="H429" s="127">
        <v>0</v>
      </c>
      <c r="I429" s="128" t="s">
        <v>5</v>
      </c>
      <c r="J429" s="127">
        <v>0</v>
      </c>
      <c r="K429" s="128" t="s">
        <v>5</v>
      </c>
      <c r="L429" s="127">
        <v>0</v>
      </c>
      <c r="M429" s="128" t="s">
        <v>5</v>
      </c>
      <c r="N429" s="144">
        <f t="shared" si="10"/>
        <v>15</v>
      </c>
      <c r="O429" s="124"/>
      <c r="P429" s="130"/>
    </row>
    <row r="430" spans="1:16" ht="30" customHeight="1" x14ac:dyDescent="0.3">
      <c r="A430" s="131" t="s">
        <v>2006</v>
      </c>
      <c r="B430" s="131" t="s">
        <v>2010</v>
      </c>
      <c r="C430" s="132" t="s">
        <v>12</v>
      </c>
      <c r="D430" s="123">
        <v>0</v>
      </c>
      <c r="E430" s="128" t="s">
        <v>5</v>
      </c>
      <c r="F430" s="127">
        <v>16</v>
      </c>
      <c r="G430" s="128" t="s">
        <v>756</v>
      </c>
      <c r="H430" s="127">
        <v>0</v>
      </c>
      <c r="I430" s="128" t="s">
        <v>5</v>
      </c>
      <c r="J430" s="127">
        <v>0</v>
      </c>
      <c r="K430" s="128" t="s">
        <v>5</v>
      </c>
      <c r="L430" s="127">
        <v>0</v>
      </c>
      <c r="M430" s="128" t="s">
        <v>5</v>
      </c>
      <c r="N430" s="144">
        <f t="shared" si="10"/>
        <v>16</v>
      </c>
      <c r="O430" s="124"/>
      <c r="P430" s="130"/>
    </row>
    <row r="431" spans="1:16" ht="30" customHeight="1" x14ac:dyDescent="0.3">
      <c r="A431" s="131" t="s">
        <v>2006</v>
      </c>
      <c r="B431" s="131" t="s">
        <v>2011</v>
      </c>
      <c r="C431" s="132" t="s">
        <v>12</v>
      </c>
      <c r="D431" s="123">
        <v>0</v>
      </c>
      <c r="E431" s="128" t="s">
        <v>5</v>
      </c>
      <c r="F431" s="127">
        <v>18</v>
      </c>
      <c r="G431" s="128" t="s">
        <v>756</v>
      </c>
      <c r="H431" s="127">
        <v>0</v>
      </c>
      <c r="I431" s="128" t="s">
        <v>5</v>
      </c>
      <c r="J431" s="127">
        <v>0</v>
      </c>
      <c r="K431" s="128" t="s">
        <v>5</v>
      </c>
      <c r="L431" s="127">
        <v>0</v>
      </c>
      <c r="M431" s="128" t="s">
        <v>5</v>
      </c>
      <c r="N431" s="144">
        <f t="shared" si="10"/>
        <v>18</v>
      </c>
      <c r="O431" s="124"/>
      <c r="P431" s="130"/>
    </row>
    <row r="432" spans="1:16" ht="30" customHeight="1" x14ac:dyDescent="0.3">
      <c r="A432" s="131" t="s">
        <v>2006</v>
      </c>
      <c r="B432" s="131" t="s">
        <v>2012</v>
      </c>
      <c r="C432" s="132" t="s">
        <v>12</v>
      </c>
      <c r="D432" s="123">
        <v>0</v>
      </c>
      <c r="E432" s="128" t="s">
        <v>5</v>
      </c>
      <c r="F432" s="127">
        <v>20</v>
      </c>
      <c r="G432" s="128" t="s">
        <v>756</v>
      </c>
      <c r="H432" s="127">
        <v>0</v>
      </c>
      <c r="I432" s="128" t="s">
        <v>5</v>
      </c>
      <c r="J432" s="127">
        <v>0</v>
      </c>
      <c r="K432" s="128" t="s">
        <v>5</v>
      </c>
      <c r="L432" s="127">
        <v>0</v>
      </c>
      <c r="M432" s="128" t="s">
        <v>5</v>
      </c>
      <c r="N432" s="144">
        <f t="shared" si="10"/>
        <v>20</v>
      </c>
      <c r="O432" s="124"/>
      <c r="P432" s="130"/>
    </row>
    <row r="433" spans="1:16" ht="30" customHeight="1" x14ac:dyDescent="0.3">
      <c r="A433" s="131" t="s">
        <v>2006</v>
      </c>
      <c r="B433" s="131" t="s">
        <v>2013</v>
      </c>
      <c r="C433" s="132" t="s">
        <v>12</v>
      </c>
      <c r="D433" s="123">
        <v>0</v>
      </c>
      <c r="E433" s="128" t="s">
        <v>5</v>
      </c>
      <c r="F433" s="127">
        <v>22</v>
      </c>
      <c r="G433" s="128" t="s">
        <v>756</v>
      </c>
      <c r="H433" s="127">
        <v>0</v>
      </c>
      <c r="I433" s="128" t="s">
        <v>5</v>
      </c>
      <c r="J433" s="127">
        <v>0</v>
      </c>
      <c r="K433" s="128" t="s">
        <v>5</v>
      </c>
      <c r="L433" s="127">
        <v>0</v>
      </c>
      <c r="M433" s="128" t="s">
        <v>5</v>
      </c>
      <c r="N433" s="144">
        <f t="shared" si="10"/>
        <v>22</v>
      </c>
      <c r="O433" s="124"/>
      <c r="P433" s="130"/>
    </row>
    <row r="434" spans="1:16" ht="30" customHeight="1" x14ac:dyDescent="0.3">
      <c r="A434" s="131" t="s">
        <v>2006</v>
      </c>
      <c r="B434" s="131" t="s">
        <v>2014</v>
      </c>
      <c r="C434" s="132" t="s">
        <v>12</v>
      </c>
      <c r="D434" s="123">
        <v>0</v>
      </c>
      <c r="E434" s="128" t="s">
        <v>5</v>
      </c>
      <c r="F434" s="127">
        <v>56</v>
      </c>
      <c r="G434" s="128" t="s">
        <v>756</v>
      </c>
      <c r="H434" s="127">
        <v>0</v>
      </c>
      <c r="I434" s="128" t="s">
        <v>5</v>
      </c>
      <c r="J434" s="127">
        <v>0</v>
      </c>
      <c r="K434" s="128" t="s">
        <v>5</v>
      </c>
      <c r="L434" s="127">
        <v>0</v>
      </c>
      <c r="M434" s="128" t="s">
        <v>5</v>
      </c>
      <c r="N434" s="144">
        <f t="shared" si="10"/>
        <v>56</v>
      </c>
      <c r="O434" s="124"/>
      <c r="P434" s="130"/>
    </row>
    <row r="435" spans="1:16" ht="30" customHeight="1" x14ac:dyDescent="0.3">
      <c r="A435" s="131" t="s">
        <v>2006</v>
      </c>
      <c r="B435" s="131" t="s">
        <v>2015</v>
      </c>
      <c r="C435" s="132" t="s">
        <v>12</v>
      </c>
      <c r="D435" s="123">
        <v>0</v>
      </c>
      <c r="E435" s="128" t="s">
        <v>5</v>
      </c>
      <c r="F435" s="127">
        <v>123</v>
      </c>
      <c r="G435" s="128" t="s">
        <v>756</v>
      </c>
      <c r="H435" s="127">
        <v>0</v>
      </c>
      <c r="I435" s="128" t="s">
        <v>5</v>
      </c>
      <c r="J435" s="127">
        <v>0</v>
      </c>
      <c r="K435" s="128" t="s">
        <v>5</v>
      </c>
      <c r="L435" s="127">
        <v>0</v>
      </c>
      <c r="M435" s="128" t="s">
        <v>5</v>
      </c>
      <c r="N435" s="144">
        <f t="shared" si="10"/>
        <v>123</v>
      </c>
      <c r="O435" s="124"/>
      <c r="P435" s="130"/>
    </row>
    <row r="436" spans="1:16" ht="30" customHeight="1" x14ac:dyDescent="0.3">
      <c r="A436" s="131" t="s">
        <v>2032</v>
      </c>
      <c r="B436" s="131" t="s">
        <v>2020</v>
      </c>
      <c r="C436" s="132" t="s">
        <v>12</v>
      </c>
      <c r="D436" s="123">
        <v>10</v>
      </c>
      <c r="E436" s="128" t="s">
        <v>5</v>
      </c>
      <c r="F436" s="127">
        <v>0</v>
      </c>
      <c r="G436" s="128"/>
      <c r="H436" s="127">
        <v>32</v>
      </c>
      <c r="I436" s="128" t="s">
        <v>2028</v>
      </c>
      <c r="J436" s="127">
        <v>0</v>
      </c>
      <c r="K436" s="128"/>
      <c r="L436" s="127">
        <v>0</v>
      </c>
      <c r="M436" s="128" t="s">
        <v>5</v>
      </c>
      <c r="N436" s="144">
        <f t="shared" si="8"/>
        <v>10</v>
      </c>
      <c r="O436" s="124"/>
      <c r="P436" s="130"/>
    </row>
    <row r="437" spans="1:16" ht="30" customHeight="1" x14ac:dyDescent="0.3">
      <c r="A437" s="131" t="s">
        <v>2032</v>
      </c>
      <c r="B437" s="131" t="s">
        <v>2021</v>
      </c>
      <c r="C437" s="132" t="s">
        <v>12</v>
      </c>
      <c r="D437" s="123">
        <v>16</v>
      </c>
      <c r="E437" s="128" t="s">
        <v>5</v>
      </c>
      <c r="F437" s="127">
        <v>0</v>
      </c>
      <c r="G437" s="128"/>
      <c r="H437" s="127">
        <v>33</v>
      </c>
      <c r="I437" s="128" t="s">
        <v>1956</v>
      </c>
      <c r="J437" s="127">
        <v>0</v>
      </c>
      <c r="K437" s="128"/>
      <c r="L437" s="127">
        <v>0</v>
      </c>
      <c r="M437" s="128" t="s">
        <v>5</v>
      </c>
      <c r="N437" s="144">
        <f t="shared" ref="N437:N443" si="11">SMALL(D437:L437,COUNTIF(D437:L437,0)+1)</f>
        <v>16</v>
      </c>
      <c r="O437" s="124"/>
      <c r="P437" s="130"/>
    </row>
    <row r="438" spans="1:16" ht="30" customHeight="1" x14ac:dyDescent="0.3">
      <c r="A438" s="131" t="s">
        <v>2032</v>
      </c>
      <c r="B438" s="131" t="s">
        <v>2022</v>
      </c>
      <c r="C438" s="132" t="s">
        <v>12</v>
      </c>
      <c r="D438" s="123">
        <v>27</v>
      </c>
      <c r="E438" s="128" t="s">
        <v>5</v>
      </c>
      <c r="F438" s="127">
        <v>0</v>
      </c>
      <c r="G438" s="128"/>
      <c r="H438" s="127">
        <v>50</v>
      </c>
      <c r="I438" s="128" t="s">
        <v>1956</v>
      </c>
      <c r="J438" s="127">
        <v>0</v>
      </c>
      <c r="K438" s="128"/>
      <c r="L438" s="127">
        <v>0</v>
      </c>
      <c r="M438" s="128" t="s">
        <v>5</v>
      </c>
      <c r="N438" s="144">
        <f t="shared" si="11"/>
        <v>27</v>
      </c>
      <c r="O438" s="124"/>
      <c r="P438" s="130"/>
    </row>
    <row r="439" spans="1:16" ht="30" customHeight="1" x14ac:dyDescent="0.3">
      <c r="A439" s="131" t="s">
        <v>2032</v>
      </c>
      <c r="B439" s="131" t="s">
        <v>2023</v>
      </c>
      <c r="C439" s="132" t="s">
        <v>12</v>
      </c>
      <c r="D439" s="123">
        <v>33</v>
      </c>
      <c r="E439" s="128" t="s">
        <v>5</v>
      </c>
      <c r="F439" s="127">
        <v>97</v>
      </c>
      <c r="G439" s="128" t="s">
        <v>2027</v>
      </c>
      <c r="H439" s="127">
        <v>71</v>
      </c>
      <c r="I439" s="128" t="s">
        <v>1956</v>
      </c>
      <c r="J439" s="127">
        <v>0</v>
      </c>
      <c r="K439" s="128"/>
      <c r="L439" s="127">
        <v>0</v>
      </c>
      <c r="M439" s="128" t="s">
        <v>5</v>
      </c>
      <c r="N439" s="144">
        <f t="shared" si="11"/>
        <v>33</v>
      </c>
      <c r="O439" s="124"/>
      <c r="P439" s="130"/>
    </row>
    <row r="440" spans="1:16" ht="30" customHeight="1" x14ac:dyDescent="0.3">
      <c r="A440" s="131" t="s">
        <v>2032</v>
      </c>
      <c r="B440" s="131" t="s">
        <v>2024</v>
      </c>
      <c r="C440" s="132" t="s">
        <v>12</v>
      </c>
      <c r="D440" s="123">
        <v>54</v>
      </c>
      <c r="E440" s="128" t="s">
        <v>5</v>
      </c>
      <c r="F440" s="127">
        <v>130</v>
      </c>
      <c r="G440" s="128" t="s">
        <v>2027</v>
      </c>
      <c r="H440" s="127">
        <v>148</v>
      </c>
      <c r="I440" s="128" t="s">
        <v>1956</v>
      </c>
      <c r="J440" s="127">
        <v>0</v>
      </c>
      <c r="K440" s="128"/>
      <c r="L440" s="127">
        <v>0</v>
      </c>
      <c r="M440" s="128" t="s">
        <v>5</v>
      </c>
      <c r="N440" s="144">
        <f t="shared" si="11"/>
        <v>54</v>
      </c>
      <c r="O440" s="124"/>
      <c r="P440" s="130"/>
    </row>
    <row r="441" spans="1:16" ht="30" customHeight="1" x14ac:dyDescent="0.3">
      <c r="A441" s="131" t="s">
        <v>2032</v>
      </c>
      <c r="B441" s="131" t="s">
        <v>2025</v>
      </c>
      <c r="C441" s="132" t="s">
        <v>12</v>
      </c>
      <c r="D441" s="123">
        <v>90</v>
      </c>
      <c r="E441" s="128" t="s">
        <v>5</v>
      </c>
      <c r="F441" s="127">
        <v>183</v>
      </c>
      <c r="G441" s="128" t="s">
        <v>2027</v>
      </c>
      <c r="H441" s="127">
        <v>194</v>
      </c>
      <c r="I441" s="128" t="s">
        <v>1956</v>
      </c>
      <c r="J441" s="127">
        <v>0</v>
      </c>
      <c r="K441" s="128"/>
      <c r="L441" s="127">
        <v>0</v>
      </c>
      <c r="M441" s="128" t="s">
        <v>5</v>
      </c>
      <c r="N441" s="144">
        <f t="shared" si="11"/>
        <v>90</v>
      </c>
      <c r="O441" s="124"/>
      <c r="P441" s="130"/>
    </row>
    <row r="442" spans="1:16" ht="30" customHeight="1" x14ac:dyDescent="0.3">
      <c r="A442" s="131" t="s">
        <v>2032</v>
      </c>
      <c r="B442" s="131" t="s">
        <v>2026</v>
      </c>
      <c r="C442" s="132" t="s">
        <v>12</v>
      </c>
      <c r="D442" s="123">
        <v>119</v>
      </c>
      <c r="E442" s="128" t="s">
        <v>5</v>
      </c>
      <c r="F442" s="127">
        <v>316</v>
      </c>
      <c r="G442" s="128" t="s">
        <v>2027</v>
      </c>
      <c r="H442" s="127">
        <v>304</v>
      </c>
      <c r="I442" s="128" t="s">
        <v>1956</v>
      </c>
      <c r="J442" s="127">
        <v>0</v>
      </c>
      <c r="K442" s="128"/>
      <c r="L442" s="127">
        <v>0</v>
      </c>
      <c r="M442" s="128" t="s">
        <v>5</v>
      </c>
      <c r="N442" s="144">
        <f t="shared" si="11"/>
        <v>119</v>
      </c>
      <c r="O442" s="124"/>
      <c r="P442" s="130"/>
    </row>
    <row r="443" spans="1:16" ht="30" customHeight="1" x14ac:dyDescent="0.3">
      <c r="A443" s="131" t="s">
        <v>2032</v>
      </c>
      <c r="B443" s="131" t="s">
        <v>2029</v>
      </c>
      <c r="C443" s="132" t="s">
        <v>12</v>
      </c>
      <c r="D443" s="123">
        <v>170</v>
      </c>
      <c r="E443" s="128" t="s">
        <v>5</v>
      </c>
      <c r="F443" s="127">
        <v>705</v>
      </c>
      <c r="G443" s="128" t="s">
        <v>2027</v>
      </c>
      <c r="H443" s="127">
        <v>404</v>
      </c>
      <c r="I443" s="128" t="s">
        <v>1956</v>
      </c>
      <c r="J443" s="127">
        <v>0</v>
      </c>
      <c r="K443" s="128"/>
      <c r="L443" s="127">
        <v>0</v>
      </c>
      <c r="M443" s="128" t="s">
        <v>5</v>
      </c>
      <c r="N443" s="144">
        <f t="shared" si="11"/>
        <v>170</v>
      </c>
      <c r="O443" s="124"/>
      <c r="P443" s="130"/>
    </row>
    <row r="444" spans="1:16" ht="30" customHeight="1" x14ac:dyDescent="0.3">
      <c r="A444" s="131" t="s">
        <v>2032</v>
      </c>
      <c r="B444" s="131" t="s">
        <v>2030</v>
      </c>
      <c r="C444" s="132" t="s">
        <v>12</v>
      </c>
      <c r="D444" s="123">
        <v>543</v>
      </c>
      <c r="E444" s="128" t="s">
        <v>5</v>
      </c>
      <c r="F444" s="127">
        <v>1523</v>
      </c>
      <c r="G444" s="128" t="s">
        <v>2027</v>
      </c>
      <c r="H444" s="127">
        <v>1346</v>
      </c>
      <c r="I444" s="128" t="s">
        <v>1956</v>
      </c>
      <c r="J444" s="127">
        <v>0</v>
      </c>
      <c r="K444" s="128"/>
      <c r="L444" s="127">
        <v>0</v>
      </c>
      <c r="M444" s="128" t="s">
        <v>5</v>
      </c>
      <c r="N444" s="144">
        <f t="shared" ref="N444:N445" si="12">SMALL(D444:L444,COUNTIF(D444:L444,0)+1)</f>
        <v>543</v>
      </c>
      <c r="O444" s="124"/>
      <c r="P444" s="130"/>
    </row>
    <row r="445" spans="1:16" ht="30" customHeight="1" x14ac:dyDescent="0.3">
      <c r="A445" s="131" t="s">
        <v>2032</v>
      </c>
      <c r="B445" s="131" t="s">
        <v>2031</v>
      </c>
      <c r="C445" s="132" t="s">
        <v>12</v>
      </c>
      <c r="D445" s="123">
        <v>1480</v>
      </c>
      <c r="E445" s="128" t="s">
        <v>5</v>
      </c>
      <c r="F445" s="127">
        <v>3881</v>
      </c>
      <c r="G445" s="128" t="s">
        <v>2027</v>
      </c>
      <c r="H445" s="127">
        <v>3031</v>
      </c>
      <c r="I445" s="128" t="s">
        <v>1956</v>
      </c>
      <c r="J445" s="127">
        <v>0</v>
      </c>
      <c r="K445" s="128"/>
      <c r="L445" s="127">
        <v>0</v>
      </c>
      <c r="M445" s="128" t="s">
        <v>5</v>
      </c>
      <c r="N445" s="144">
        <f t="shared" si="12"/>
        <v>1480</v>
      </c>
      <c r="O445" s="124"/>
      <c r="P445" s="130"/>
    </row>
    <row r="447" spans="1:16" x14ac:dyDescent="0.3">
      <c r="N447" s="111"/>
    </row>
  </sheetData>
  <mergeCells count="8">
    <mergeCell ref="A1:P1"/>
    <mergeCell ref="A2:P2"/>
    <mergeCell ref="A3:A4"/>
    <mergeCell ref="B3:B4"/>
    <mergeCell ref="C3:C4"/>
    <mergeCell ref="D3:N3"/>
    <mergeCell ref="O3:O4"/>
    <mergeCell ref="P3:P4"/>
  </mergeCells>
  <phoneticPr fontId="1" type="noConversion"/>
  <pageMargins left="0.78740157480314954" right="0" top="0.39370078740157477" bottom="0.39370078740157477" header="0" footer="0"/>
  <pageSetup paperSize="9" scale="6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AC16B-7D7F-43A5-8C0C-AD9BD0BBEC67}">
  <sheetPr>
    <tabColor rgb="FF00FF00"/>
    <pageSetUpPr fitToPage="1"/>
  </sheetPr>
  <dimension ref="A1:P213"/>
  <sheetViews>
    <sheetView view="pageBreakPreview" zoomScale="85" zoomScaleNormal="87" zoomScaleSheetLayoutView="85" workbookViewId="0">
      <pane ySplit="4" topLeftCell="A5" activePane="bottomLeft" state="frozen"/>
      <selection activeCell="A3" sqref="A3:A4"/>
      <selection pane="bottomLeft" activeCell="H205" sqref="H205"/>
    </sheetView>
  </sheetViews>
  <sheetFormatPr defaultRowHeight="16.5" x14ac:dyDescent="0.3"/>
  <cols>
    <col min="1" max="2" width="30.5" style="116" bestFit="1" customWidth="1"/>
    <col min="3" max="3" width="5.5" style="136" customWidth="1"/>
    <col min="4" max="4" width="11.625" style="114" customWidth="1"/>
    <col min="5" max="5" width="6.625" style="137" customWidth="1"/>
    <col min="6" max="6" width="11.625" style="107" customWidth="1"/>
    <col min="7" max="7" width="6.625" style="137" customWidth="1"/>
    <col min="8" max="8" width="14.25" style="107" customWidth="1"/>
    <col min="9" max="9" width="6.625" style="137" customWidth="1"/>
    <col min="10" max="10" width="11.625" style="107" customWidth="1"/>
    <col min="11" max="11" width="6.625" style="137" customWidth="1"/>
    <col min="12" max="12" width="13.875" style="107" customWidth="1"/>
    <col min="13" max="13" width="6.625" style="137" customWidth="1"/>
    <col min="14" max="14" width="13.875" style="110" bestFit="1" customWidth="1"/>
    <col min="15" max="15" width="8.5" style="136" bestFit="1" customWidth="1"/>
    <col min="16" max="16" width="15" style="136" bestFit="1" customWidth="1"/>
    <col min="17" max="16384" width="9" style="116"/>
  </cols>
  <sheetData>
    <row r="1" spans="1:16" ht="30" customHeight="1" x14ac:dyDescent="0.3">
      <c r="A1" s="200" t="s">
        <v>932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</row>
    <row r="2" spans="1:16" ht="30" customHeight="1" x14ac:dyDescent="0.3">
      <c r="A2" s="201" t="s">
        <v>1998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</row>
    <row r="3" spans="1:16" ht="30" customHeight="1" x14ac:dyDescent="0.3">
      <c r="A3" s="202" t="s">
        <v>1566</v>
      </c>
      <c r="B3" s="202" t="s">
        <v>1567</v>
      </c>
      <c r="C3" s="202" t="s">
        <v>1</v>
      </c>
      <c r="D3" s="202" t="s">
        <v>2</v>
      </c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3" t="s">
        <v>728</v>
      </c>
      <c r="P3" s="203" t="s">
        <v>3</v>
      </c>
    </row>
    <row r="4" spans="1:16" ht="30" customHeight="1" x14ac:dyDescent="0.3">
      <c r="A4" s="202"/>
      <c r="B4" s="202"/>
      <c r="C4" s="202"/>
      <c r="D4" s="117" t="s">
        <v>723</v>
      </c>
      <c r="E4" s="118" t="s">
        <v>724</v>
      </c>
      <c r="F4" s="119" t="s">
        <v>2239</v>
      </c>
      <c r="G4" s="118" t="s">
        <v>724</v>
      </c>
      <c r="H4" s="119" t="s">
        <v>2240</v>
      </c>
      <c r="I4" s="118" t="s">
        <v>724</v>
      </c>
      <c r="J4" s="119" t="s">
        <v>2241</v>
      </c>
      <c r="K4" s="118" t="s">
        <v>724</v>
      </c>
      <c r="L4" s="119" t="s">
        <v>2242</v>
      </c>
      <c r="M4" s="118" t="s">
        <v>724</v>
      </c>
      <c r="N4" s="120" t="s">
        <v>725</v>
      </c>
      <c r="O4" s="204"/>
      <c r="P4" s="204"/>
    </row>
    <row r="5" spans="1:16" ht="30" customHeight="1" x14ac:dyDescent="0.3">
      <c r="A5" s="121" t="s">
        <v>321</v>
      </c>
      <c r="B5" s="121" t="s">
        <v>1859</v>
      </c>
      <c r="C5" s="122" t="s">
        <v>14</v>
      </c>
      <c r="D5" s="134">
        <v>2380</v>
      </c>
      <c r="E5" s="124" t="s">
        <v>5</v>
      </c>
      <c r="F5" s="126">
        <v>2830</v>
      </c>
      <c r="G5" s="124" t="s">
        <v>766</v>
      </c>
      <c r="H5" s="126">
        <v>3373</v>
      </c>
      <c r="I5" s="124" t="s">
        <v>767</v>
      </c>
      <c r="J5" s="126">
        <v>2930</v>
      </c>
      <c r="K5" s="124" t="s">
        <v>2168</v>
      </c>
      <c r="L5" s="126">
        <v>3340</v>
      </c>
      <c r="M5" s="124" t="s">
        <v>2179</v>
      </c>
      <c r="N5" s="144">
        <f t="shared" ref="N5:N65" si="0">SMALL(D5:L5,COUNTIF(D5:L5,0)+1)</f>
        <v>2380</v>
      </c>
      <c r="O5" s="146"/>
      <c r="P5" s="124" t="s">
        <v>2249</v>
      </c>
    </row>
    <row r="6" spans="1:16" ht="30" customHeight="1" x14ac:dyDescent="0.3">
      <c r="A6" s="121" t="s">
        <v>321</v>
      </c>
      <c r="B6" s="121" t="s">
        <v>1860</v>
      </c>
      <c r="C6" s="122" t="s">
        <v>14</v>
      </c>
      <c r="D6" s="134">
        <v>3085</v>
      </c>
      <c r="E6" s="124" t="s">
        <v>5</v>
      </c>
      <c r="F6" s="126">
        <v>3660</v>
      </c>
      <c r="G6" s="124" t="s">
        <v>766</v>
      </c>
      <c r="H6" s="126">
        <v>4373</v>
      </c>
      <c r="I6" s="124" t="s">
        <v>767</v>
      </c>
      <c r="J6" s="126">
        <v>3810</v>
      </c>
      <c r="K6" s="124" t="s">
        <v>2168</v>
      </c>
      <c r="L6" s="126">
        <v>4330</v>
      </c>
      <c r="M6" s="124" t="s">
        <v>2179</v>
      </c>
      <c r="N6" s="144">
        <f t="shared" si="0"/>
        <v>3085</v>
      </c>
      <c r="O6" s="146"/>
      <c r="P6" s="124" t="s">
        <v>2249</v>
      </c>
    </row>
    <row r="7" spans="1:16" ht="30" customHeight="1" x14ac:dyDescent="0.3">
      <c r="A7" s="121" t="s">
        <v>321</v>
      </c>
      <c r="B7" s="121" t="s">
        <v>1861</v>
      </c>
      <c r="C7" s="122" t="s">
        <v>14</v>
      </c>
      <c r="D7" s="134">
        <v>4012</v>
      </c>
      <c r="E7" s="124" t="s">
        <v>5</v>
      </c>
      <c r="F7" s="126">
        <v>4770</v>
      </c>
      <c r="G7" s="124" t="s">
        <v>766</v>
      </c>
      <c r="H7" s="126">
        <v>5717</v>
      </c>
      <c r="I7" s="124" t="s">
        <v>767</v>
      </c>
      <c r="J7" s="126">
        <v>4970</v>
      </c>
      <c r="K7" s="124" t="s">
        <v>2168</v>
      </c>
      <c r="L7" s="126">
        <v>5660</v>
      </c>
      <c r="M7" s="124" t="s">
        <v>2179</v>
      </c>
      <c r="N7" s="144">
        <f t="shared" si="0"/>
        <v>4012</v>
      </c>
      <c r="O7" s="146"/>
      <c r="P7" s="124" t="s">
        <v>2249</v>
      </c>
    </row>
    <row r="8" spans="1:16" ht="30" customHeight="1" x14ac:dyDescent="0.3">
      <c r="A8" s="121" t="s">
        <v>321</v>
      </c>
      <c r="B8" s="121" t="s">
        <v>1862</v>
      </c>
      <c r="C8" s="122" t="s">
        <v>14</v>
      </c>
      <c r="D8" s="134">
        <v>5134</v>
      </c>
      <c r="E8" s="124" t="s">
        <v>5</v>
      </c>
      <c r="F8" s="126">
        <v>6100</v>
      </c>
      <c r="G8" s="124" t="s">
        <v>766</v>
      </c>
      <c r="H8" s="126">
        <v>7323</v>
      </c>
      <c r="I8" s="124" t="s">
        <v>767</v>
      </c>
      <c r="J8" s="126">
        <v>6290</v>
      </c>
      <c r="K8" s="124" t="s">
        <v>2168</v>
      </c>
      <c r="L8" s="126">
        <v>7250</v>
      </c>
      <c r="M8" s="124" t="s">
        <v>2179</v>
      </c>
      <c r="N8" s="144">
        <f t="shared" si="0"/>
        <v>5134</v>
      </c>
      <c r="O8" s="146"/>
      <c r="P8" s="124" t="s">
        <v>2249</v>
      </c>
    </row>
    <row r="9" spans="1:16" ht="30" customHeight="1" x14ac:dyDescent="0.3">
      <c r="A9" s="121" t="s">
        <v>321</v>
      </c>
      <c r="B9" s="121" t="s">
        <v>1863</v>
      </c>
      <c r="C9" s="122" t="s">
        <v>14</v>
      </c>
      <c r="D9" s="134">
        <v>5899</v>
      </c>
      <c r="E9" s="124" t="s">
        <v>5</v>
      </c>
      <c r="F9" s="126">
        <v>7010</v>
      </c>
      <c r="G9" s="124" t="s">
        <v>766</v>
      </c>
      <c r="H9" s="126">
        <v>8413</v>
      </c>
      <c r="I9" s="124" t="s">
        <v>767</v>
      </c>
      <c r="J9" s="126">
        <v>7190</v>
      </c>
      <c r="K9" s="124" t="s">
        <v>2168</v>
      </c>
      <c r="L9" s="126">
        <v>8330</v>
      </c>
      <c r="M9" s="124" t="s">
        <v>2179</v>
      </c>
      <c r="N9" s="144">
        <f t="shared" si="0"/>
        <v>5899</v>
      </c>
      <c r="O9" s="146"/>
      <c r="P9" s="124" t="s">
        <v>2249</v>
      </c>
    </row>
    <row r="10" spans="1:16" ht="30" customHeight="1" x14ac:dyDescent="0.3">
      <c r="A10" s="121" t="s">
        <v>321</v>
      </c>
      <c r="B10" s="121" t="s">
        <v>1864</v>
      </c>
      <c r="C10" s="122" t="s">
        <v>14</v>
      </c>
      <c r="D10" s="134">
        <v>8998</v>
      </c>
      <c r="E10" s="124" t="s">
        <v>5</v>
      </c>
      <c r="F10" s="126">
        <v>9850</v>
      </c>
      <c r="G10" s="124" t="s">
        <v>766</v>
      </c>
      <c r="H10" s="126">
        <v>11827</v>
      </c>
      <c r="I10" s="124" t="s">
        <v>767</v>
      </c>
      <c r="J10" s="126">
        <v>10200</v>
      </c>
      <c r="K10" s="124" t="s">
        <v>2168</v>
      </c>
      <c r="L10" s="126">
        <v>11710</v>
      </c>
      <c r="M10" s="124" t="s">
        <v>2179</v>
      </c>
      <c r="N10" s="144">
        <f t="shared" si="0"/>
        <v>8998</v>
      </c>
      <c r="O10" s="146"/>
      <c r="P10" s="124" t="s">
        <v>2249</v>
      </c>
    </row>
    <row r="11" spans="1:16" ht="30" customHeight="1" x14ac:dyDescent="0.3">
      <c r="A11" s="121" t="s">
        <v>321</v>
      </c>
      <c r="B11" s="121" t="s">
        <v>1865</v>
      </c>
      <c r="C11" s="122" t="s">
        <v>14</v>
      </c>
      <c r="D11" s="134">
        <v>10574</v>
      </c>
      <c r="E11" s="124" t="s">
        <v>5</v>
      </c>
      <c r="F11" s="126">
        <v>12440</v>
      </c>
      <c r="G11" s="124" t="s">
        <v>766</v>
      </c>
      <c r="H11" s="126">
        <v>15079</v>
      </c>
      <c r="I11" s="124" t="s">
        <v>767</v>
      </c>
      <c r="J11" s="126">
        <v>12880</v>
      </c>
      <c r="K11" s="124" t="s">
        <v>2168</v>
      </c>
      <c r="L11" s="126">
        <v>14930</v>
      </c>
      <c r="M11" s="124" t="s">
        <v>2179</v>
      </c>
      <c r="N11" s="144">
        <f t="shared" si="0"/>
        <v>10574</v>
      </c>
      <c r="O11" s="146"/>
      <c r="P11" s="124" t="s">
        <v>2249</v>
      </c>
    </row>
    <row r="12" spans="1:16" ht="30" customHeight="1" x14ac:dyDescent="0.3">
      <c r="A12" s="121" t="s">
        <v>321</v>
      </c>
      <c r="B12" s="121" t="s">
        <v>1866</v>
      </c>
      <c r="C12" s="122" t="s">
        <v>14</v>
      </c>
      <c r="D12" s="134">
        <v>12166</v>
      </c>
      <c r="E12" s="124" t="s">
        <v>5</v>
      </c>
      <c r="F12" s="126">
        <v>14450</v>
      </c>
      <c r="G12" s="124" t="s">
        <v>766</v>
      </c>
      <c r="H12" s="126">
        <v>17372</v>
      </c>
      <c r="I12" s="124" t="s">
        <v>767</v>
      </c>
      <c r="J12" s="126">
        <v>14850</v>
      </c>
      <c r="K12" s="124" t="s">
        <v>2168</v>
      </c>
      <c r="L12" s="126">
        <v>17200</v>
      </c>
      <c r="M12" s="124" t="s">
        <v>2179</v>
      </c>
      <c r="N12" s="144">
        <f t="shared" si="0"/>
        <v>12166</v>
      </c>
      <c r="O12" s="146"/>
      <c r="P12" s="124" t="s">
        <v>2249</v>
      </c>
    </row>
    <row r="13" spans="1:16" ht="30" customHeight="1" x14ac:dyDescent="0.3">
      <c r="A13" s="121" t="s">
        <v>321</v>
      </c>
      <c r="B13" s="121" t="s">
        <v>1867</v>
      </c>
      <c r="C13" s="122" t="s">
        <v>14</v>
      </c>
      <c r="D13" s="134">
        <v>19626</v>
      </c>
      <c r="E13" s="124" t="s">
        <v>5</v>
      </c>
      <c r="F13" s="126">
        <v>23320</v>
      </c>
      <c r="G13" s="124" t="s">
        <v>766</v>
      </c>
      <c r="H13" s="126">
        <v>28048</v>
      </c>
      <c r="I13" s="124" t="s">
        <v>767</v>
      </c>
      <c r="J13" s="126">
        <v>24310</v>
      </c>
      <c r="K13" s="124" t="s">
        <v>2168</v>
      </c>
      <c r="L13" s="126">
        <v>27770</v>
      </c>
      <c r="M13" s="124" t="s">
        <v>2179</v>
      </c>
      <c r="N13" s="144">
        <f>SMALL(D13:L13,COUNTIF(D13:L13,0)+1)</f>
        <v>19626</v>
      </c>
      <c r="O13" s="146"/>
      <c r="P13" s="124" t="s">
        <v>2249</v>
      </c>
    </row>
    <row r="14" spans="1:16" ht="30" customHeight="1" x14ac:dyDescent="0.3">
      <c r="A14" s="121" t="s">
        <v>330</v>
      </c>
      <c r="B14" s="121" t="s">
        <v>1868</v>
      </c>
      <c r="C14" s="122" t="s">
        <v>14</v>
      </c>
      <c r="D14" s="134">
        <v>294</v>
      </c>
      <c r="E14" s="124" t="s">
        <v>5</v>
      </c>
      <c r="F14" s="126">
        <v>332</v>
      </c>
      <c r="G14" s="124" t="s">
        <v>768</v>
      </c>
      <c r="H14" s="126">
        <v>440</v>
      </c>
      <c r="I14" s="124" t="s">
        <v>771</v>
      </c>
      <c r="J14" s="126">
        <v>400</v>
      </c>
      <c r="K14" s="124" t="s">
        <v>2169</v>
      </c>
      <c r="L14" s="126">
        <v>440</v>
      </c>
      <c r="M14" s="124" t="s">
        <v>1602</v>
      </c>
      <c r="N14" s="144">
        <f t="shared" si="0"/>
        <v>294</v>
      </c>
      <c r="O14" s="146"/>
      <c r="P14" s="124" t="s">
        <v>2249</v>
      </c>
    </row>
    <row r="15" spans="1:16" ht="30" customHeight="1" x14ac:dyDescent="0.3">
      <c r="A15" s="121" t="s">
        <v>330</v>
      </c>
      <c r="B15" s="121" t="s">
        <v>1869</v>
      </c>
      <c r="C15" s="122" t="s">
        <v>14</v>
      </c>
      <c r="D15" s="134">
        <v>350</v>
      </c>
      <c r="E15" s="124" t="s">
        <v>5</v>
      </c>
      <c r="F15" s="126">
        <v>400</v>
      </c>
      <c r="G15" s="124" t="s">
        <v>768</v>
      </c>
      <c r="H15" s="126">
        <v>528</v>
      </c>
      <c r="I15" s="124" t="s">
        <v>771</v>
      </c>
      <c r="J15" s="126">
        <v>480</v>
      </c>
      <c r="K15" s="124" t="s">
        <v>2169</v>
      </c>
      <c r="L15" s="126">
        <v>528</v>
      </c>
      <c r="M15" s="124" t="s">
        <v>1602</v>
      </c>
      <c r="N15" s="144">
        <f t="shared" si="0"/>
        <v>350</v>
      </c>
      <c r="O15" s="146"/>
      <c r="P15" s="124" t="s">
        <v>2249</v>
      </c>
    </row>
    <row r="16" spans="1:16" ht="30" customHeight="1" x14ac:dyDescent="0.3">
      <c r="A16" s="121" t="s">
        <v>330</v>
      </c>
      <c r="B16" s="121" t="s">
        <v>1870</v>
      </c>
      <c r="C16" s="122" t="s">
        <v>14</v>
      </c>
      <c r="D16" s="134">
        <v>700</v>
      </c>
      <c r="E16" s="124" t="s">
        <v>5</v>
      </c>
      <c r="F16" s="126">
        <v>774</v>
      </c>
      <c r="G16" s="124" t="s">
        <v>768</v>
      </c>
      <c r="H16" s="126">
        <v>1021</v>
      </c>
      <c r="I16" s="124" t="s">
        <v>771</v>
      </c>
      <c r="J16" s="126">
        <v>930</v>
      </c>
      <c r="K16" s="124" t="s">
        <v>2169</v>
      </c>
      <c r="L16" s="126">
        <v>1021</v>
      </c>
      <c r="M16" s="124" t="s">
        <v>1602</v>
      </c>
      <c r="N16" s="144">
        <f t="shared" si="0"/>
        <v>700</v>
      </c>
      <c r="O16" s="146"/>
      <c r="P16" s="124" t="s">
        <v>2249</v>
      </c>
    </row>
    <row r="17" spans="1:16" ht="30" customHeight="1" x14ac:dyDescent="0.3">
      <c r="A17" s="121" t="s">
        <v>330</v>
      </c>
      <c r="B17" s="121" t="s">
        <v>1871</v>
      </c>
      <c r="C17" s="122" t="s">
        <v>14</v>
      </c>
      <c r="D17" s="134">
        <v>1007</v>
      </c>
      <c r="E17" s="124" t="s">
        <v>5</v>
      </c>
      <c r="F17" s="126">
        <v>1121</v>
      </c>
      <c r="G17" s="124" t="s">
        <v>768</v>
      </c>
      <c r="H17" s="126">
        <v>1373</v>
      </c>
      <c r="I17" s="124" t="s">
        <v>771</v>
      </c>
      <c r="J17" s="126">
        <v>1450</v>
      </c>
      <c r="K17" s="124" t="s">
        <v>2169</v>
      </c>
      <c r="L17" s="126">
        <v>1373</v>
      </c>
      <c r="M17" s="124" t="s">
        <v>1602</v>
      </c>
      <c r="N17" s="144">
        <f t="shared" si="0"/>
        <v>1007</v>
      </c>
      <c r="O17" s="146"/>
      <c r="P17" s="124" t="s">
        <v>2249</v>
      </c>
    </row>
    <row r="18" spans="1:16" ht="30" customHeight="1" x14ac:dyDescent="0.3">
      <c r="A18" s="121" t="s">
        <v>330</v>
      </c>
      <c r="B18" s="121" t="s">
        <v>1872</v>
      </c>
      <c r="C18" s="122" t="s">
        <v>14</v>
      </c>
      <c r="D18" s="134">
        <v>1246</v>
      </c>
      <c r="E18" s="124" t="s">
        <v>5</v>
      </c>
      <c r="F18" s="126">
        <v>1466</v>
      </c>
      <c r="G18" s="124" t="s">
        <v>768</v>
      </c>
      <c r="H18" s="126">
        <v>1794</v>
      </c>
      <c r="I18" s="124" t="s">
        <v>771</v>
      </c>
      <c r="J18" s="126">
        <v>1710</v>
      </c>
      <c r="K18" s="124" t="s">
        <v>2169</v>
      </c>
      <c r="L18" s="126">
        <v>1794</v>
      </c>
      <c r="M18" s="124" t="s">
        <v>1602</v>
      </c>
      <c r="N18" s="144">
        <f t="shared" si="0"/>
        <v>1246</v>
      </c>
      <c r="O18" s="146"/>
      <c r="P18" s="124" t="s">
        <v>2249</v>
      </c>
    </row>
    <row r="19" spans="1:16" ht="30" customHeight="1" x14ac:dyDescent="0.3">
      <c r="A19" s="121" t="s">
        <v>330</v>
      </c>
      <c r="B19" s="121" t="s">
        <v>1873</v>
      </c>
      <c r="C19" s="122" t="s">
        <v>14</v>
      </c>
      <c r="D19" s="134">
        <v>1852</v>
      </c>
      <c r="E19" s="124" t="s">
        <v>5</v>
      </c>
      <c r="F19" s="126">
        <v>2081</v>
      </c>
      <c r="G19" s="124" t="s">
        <v>768</v>
      </c>
      <c r="H19" s="126">
        <v>2546</v>
      </c>
      <c r="I19" s="124" t="s">
        <v>771</v>
      </c>
      <c r="J19" s="126">
        <v>2520</v>
      </c>
      <c r="K19" s="124" t="s">
        <v>2169</v>
      </c>
      <c r="L19" s="126">
        <v>2546</v>
      </c>
      <c r="M19" s="124" t="s">
        <v>1602</v>
      </c>
      <c r="N19" s="144">
        <f t="shared" si="0"/>
        <v>1852</v>
      </c>
      <c r="O19" s="146"/>
      <c r="P19" s="124" t="s">
        <v>2249</v>
      </c>
    </row>
    <row r="20" spans="1:16" ht="30" customHeight="1" x14ac:dyDescent="0.3">
      <c r="A20" s="121" t="s">
        <v>330</v>
      </c>
      <c r="B20" s="121" t="s">
        <v>1874</v>
      </c>
      <c r="C20" s="122" t="s">
        <v>14</v>
      </c>
      <c r="D20" s="134">
        <v>2389</v>
      </c>
      <c r="E20" s="124" t="s">
        <v>5</v>
      </c>
      <c r="F20" s="126">
        <v>2680</v>
      </c>
      <c r="G20" s="124" t="s">
        <v>768</v>
      </c>
      <c r="H20" s="126">
        <v>3152</v>
      </c>
      <c r="I20" s="124" t="s">
        <v>771</v>
      </c>
      <c r="J20" s="126">
        <v>3420</v>
      </c>
      <c r="K20" s="124" t="s">
        <v>2169</v>
      </c>
      <c r="L20" s="126">
        <v>3152</v>
      </c>
      <c r="M20" s="124" t="s">
        <v>1602</v>
      </c>
      <c r="N20" s="144">
        <f t="shared" si="0"/>
        <v>2389</v>
      </c>
      <c r="O20" s="146"/>
      <c r="P20" s="124" t="s">
        <v>2249</v>
      </c>
    </row>
    <row r="21" spans="1:16" ht="30" customHeight="1" x14ac:dyDescent="0.3">
      <c r="A21" s="121" t="s">
        <v>330</v>
      </c>
      <c r="B21" s="121" t="s">
        <v>1875</v>
      </c>
      <c r="C21" s="122" t="s">
        <v>14</v>
      </c>
      <c r="D21" s="134">
        <v>3647</v>
      </c>
      <c r="E21" s="124" t="s">
        <v>5</v>
      </c>
      <c r="F21" s="126">
        <v>4084</v>
      </c>
      <c r="G21" s="124" t="s">
        <v>768</v>
      </c>
      <c r="H21" s="126">
        <v>4997</v>
      </c>
      <c r="I21" s="124" t="s">
        <v>771</v>
      </c>
      <c r="J21" s="126">
        <v>4960</v>
      </c>
      <c r="K21" s="124" t="s">
        <v>2169</v>
      </c>
      <c r="L21" s="126">
        <v>4997</v>
      </c>
      <c r="M21" s="124" t="s">
        <v>1602</v>
      </c>
      <c r="N21" s="144">
        <f t="shared" si="0"/>
        <v>3647</v>
      </c>
      <c r="O21" s="146"/>
      <c r="P21" s="124" t="s">
        <v>2249</v>
      </c>
    </row>
    <row r="22" spans="1:16" ht="30" customHeight="1" x14ac:dyDescent="0.3">
      <c r="A22" s="121" t="s">
        <v>330</v>
      </c>
      <c r="B22" s="121" t="s">
        <v>1876</v>
      </c>
      <c r="C22" s="122" t="s">
        <v>14</v>
      </c>
      <c r="D22" s="134">
        <v>4108</v>
      </c>
      <c r="E22" s="124" t="s">
        <v>5</v>
      </c>
      <c r="F22" s="126">
        <v>4834</v>
      </c>
      <c r="G22" s="124" t="s">
        <v>768</v>
      </c>
      <c r="H22" s="126">
        <v>5912</v>
      </c>
      <c r="I22" s="124" t="s">
        <v>771</v>
      </c>
      <c r="J22" s="126">
        <v>6030</v>
      </c>
      <c r="K22" s="124" t="s">
        <v>2169</v>
      </c>
      <c r="L22" s="126">
        <v>5912</v>
      </c>
      <c r="M22" s="124" t="s">
        <v>1602</v>
      </c>
      <c r="N22" s="144">
        <f t="shared" si="0"/>
        <v>4108</v>
      </c>
      <c r="O22" s="146"/>
      <c r="P22" s="124" t="s">
        <v>2249</v>
      </c>
    </row>
    <row r="23" spans="1:16" ht="30" customHeight="1" x14ac:dyDescent="0.3">
      <c r="A23" s="121" t="s">
        <v>2673</v>
      </c>
      <c r="B23" s="121" t="s">
        <v>2670</v>
      </c>
      <c r="C23" s="122" t="s">
        <v>14</v>
      </c>
      <c r="D23" s="134">
        <v>170</v>
      </c>
      <c r="E23" s="124" t="s">
        <v>5</v>
      </c>
      <c r="F23" s="126">
        <v>267</v>
      </c>
      <c r="G23" s="124" t="s">
        <v>770</v>
      </c>
      <c r="H23" s="126">
        <v>267</v>
      </c>
      <c r="I23" s="124">
        <v>860</v>
      </c>
      <c r="J23" s="126">
        <v>160</v>
      </c>
      <c r="K23" s="124" t="s">
        <v>1625</v>
      </c>
      <c r="L23" s="127">
        <v>0</v>
      </c>
      <c r="M23" s="124"/>
      <c r="N23" s="144">
        <f t="shared" si="0"/>
        <v>160</v>
      </c>
      <c r="O23" s="146"/>
      <c r="P23" s="124" t="s">
        <v>2674</v>
      </c>
    </row>
    <row r="24" spans="1:16" ht="30" customHeight="1" x14ac:dyDescent="0.3">
      <c r="A24" s="121" t="s">
        <v>2673</v>
      </c>
      <c r="B24" s="121" t="s">
        <v>2671</v>
      </c>
      <c r="C24" s="122" t="s">
        <v>14</v>
      </c>
      <c r="D24" s="134">
        <v>255</v>
      </c>
      <c r="E24" s="124" t="s">
        <v>5</v>
      </c>
      <c r="F24" s="126">
        <v>373</v>
      </c>
      <c r="G24" s="124" t="s">
        <v>770</v>
      </c>
      <c r="H24" s="126">
        <v>373</v>
      </c>
      <c r="I24" s="124">
        <v>860</v>
      </c>
      <c r="J24" s="126">
        <v>240</v>
      </c>
      <c r="K24" s="124" t="s">
        <v>1625</v>
      </c>
      <c r="L24" s="127">
        <v>0</v>
      </c>
      <c r="M24" s="124"/>
      <c r="N24" s="144">
        <f t="shared" si="0"/>
        <v>240</v>
      </c>
      <c r="O24" s="146"/>
      <c r="P24" s="124" t="s">
        <v>2674</v>
      </c>
    </row>
    <row r="25" spans="1:16" ht="30" customHeight="1" x14ac:dyDescent="0.3">
      <c r="A25" s="121" t="s">
        <v>2673</v>
      </c>
      <c r="B25" s="121" t="s">
        <v>2672</v>
      </c>
      <c r="C25" s="122" t="s">
        <v>14</v>
      </c>
      <c r="D25" s="134">
        <v>348</v>
      </c>
      <c r="E25" s="124" t="s">
        <v>5</v>
      </c>
      <c r="F25" s="126">
        <v>549</v>
      </c>
      <c r="G25" s="124" t="s">
        <v>770</v>
      </c>
      <c r="H25" s="126">
        <v>549</v>
      </c>
      <c r="I25" s="124">
        <v>860</v>
      </c>
      <c r="J25" s="126">
        <v>330</v>
      </c>
      <c r="K25" s="124" t="s">
        <v>1625</v>
      </c>
      <c r="L25" s="127">
        <v>0</v>
      </c>
      <c r="M25" s="124"/>
      <c r="N25" s="144">
        <f t="shared" si="0"/>
        <v>330</v>
      </c>
      <c r="O25" s="146"/>
      <c r="P25" s="124" t="s">
        <v>2674</v>
      </c>
    </row>
    <row r="26" spans="1:16" ht="30" customHeight="1" x14ac:dyDescent="0.3">
      <c r="A26" s="131" t="s">
        <v>322</v>
      </c>
      <c r="B26" s="131" t="s">
        <v>323</v>
      </c>
      <c r="C26" s="122" t="s">
        <v>14</v>
      </c>
      <c r="D26" s="134">
        <v>1870</v>
      </c>
      <c r="E26" s="124" t="s">
        <v>5</v>
      </c>
      <c r="F26" s="126">
        <v>7920</v>
      </c>
      <c r="G26" s="124" t="s">
        <v>766</v>
      </c>
      <c r="H26" s="126">
        <v>2547</v>
      </c>
      <c r="I26" s="124" t="s">
        <v>774</v>
      </c>
      <c r="J26" s="126">
        <v>2547</v>
      </c>
      <c r="K26" s="124" t="s">
        <v>2178</v>
      </c>
      <c r="L26" s="126">
        <v>2547</v>
      </c>
      <c r="M26" s="124" t="s">
        <v>2179</v>
      </c>
      <c r="N26" s="144">
        <f t="shared" si="0"/>
        <v>1870</v>
      </c>
      <c r="O26" s="146"/>
      <c r="P26" s="147" t="s">
        <v>5</v>
      </c>
    </row>
    <row r="27" spans="1:16" ht="30" customHeight="1" x14ac:dyDescent="0.3">
      <c r="A27" s="131" t="s">
        <v>322</v>
      </c>
      <c r="B27" s="131" t="s">
        <v>324</v>
      </c>
      <c r="C27" s="122" t="s">
        <v>14</v>
      </c>
      <c r="D27" s="134">
        <v>2725</v>
      </c>
      <c r="E27" s="124" t="s">
        <v>5</v>
      </c>
      <c r="F27" s="126">
        <v>10330</v>
      </c>
      <c r="G27" s="124" t="s">
        <v>766</v>
      </c>
      <c r="H27" s="126">
        <v>3354</v>
      </c>
      <c r="I27" s="124" t="s">
        <v>774</v>
      </c>
      <c r="J27" s="126">
        <v>3354</v>
      </c>
      <c r="K27" s="124" t="s">
        <v>2178</v>
      </c>
      <c r="L27" s="126">
        <v>3354</v>
      </c>
      <c r="M27" s="124" t="s">
        <v>2179</v>
      </c>
      <c r="N27" s="144">
        <f t="shared" si="0"/>
        <v>2725</v>
      </c>
      <c r="O27" s="146"/>
      <c r="P27" s="147" t="s">
        <v>5</v>
      </c>
    </row>
    <row r="28" spans="1:16" ht="30" customHeight="1" x14ac:dyDescent="0.3">
      <c r="A28" s="131" t="s">
        <v>322</v>
      </c>
      <c r="B28" s="131" t="s">
        <v>325</v>
      </c>
      <c r="C28" s="122" t="s">
        <v>14</v>
      </c>
      <c r="D28" s="134">
        <v>3694</v>
      </c>
      <c r="E28" s="124" t="s">
        <v>5</v>
      </c>
      <c r="F28" s="126">
        <v>14000</v>
      </c>
      <c r="G28" s="124" t="s">
        <v>766</v>
      </c>
      <c r="H28" s="126">
        <v>4696</v>
      </c>
      <c r="I28" s="124" t="s">
        <v>774</v>
      </c>
      <c r="J28" s="126">
        <v>4696</v>
      </c>
      <c r="K28" s="124" t="s">
        <v>2178</v>
      </c>
      <c r="L28" s="126">
        <v>4696</v>
      </c>
      <c r="M28" s="124" t="s">
        <v>2179</v>
      </c>
      <c r="N28" s="144">
        <f t="shared" si="0"/>
        <v>3694</v>
      </c>
      <c r="O28" s="146"/>
      <c r="P28" s="147" t="s">
        <v>5</v>
      </c>
    </row>
    <row r="29" spans="1:16" ht="30" customHeight="1" x14ac:dyDescent="0.3">
      <c r="A29" s="131" t="s">
        <v>322</v>
      </c>
      <c r="B29" s="131" t="s">
        <v>326</v>
      </c>
      <c r="C29" s="122" t="s">
        <v>14</v>
      </c>
      <c r="D29" s="134">
        <v>4390</v>
      </c>
      <c r="E29" s="124" t="s">
        <v>5</v>
      </c>
      <c r="F29" s="126">
        <v>16640</v>
      </c>
      <c r="G29" s="124" t="s">
        <v>766</v>
      </c>
      <c r="H29" s="126">
        <v>5840</v>
      </c>
      <c r="I29" s="124" t="s">
        <v>774</v>
      </c>
      <c r="J29" s="126">
        <v>5840</v>
      </c>
      <c r="K29" s="124" t="s">
        <v>2178</v>
      </c>
      <c r="L29" s="126">
        <v>5840</v>
      </c>
      <c r="M29" s="124" t="s">
        <v>2179</v>
      </c>
      <c r="N29" s="144">
        <f t="shared" si="0"/>
        <v>4390</v>
      </c>
      <c r="O29" s="146"/>
      <c r="P29" s="147" t="s">
        <v>5</v>
      </c>
    </row>
    <row r="30" spans="1:16" ht="30" customHeight="1" x14ac:dyDescent="0.3">
      <c r="A30" s="131" t="s">
        <v>322</v>
      </c>
      <c r="B30" s="131" t="s">
        <v>327</v>
      </c>
      <c r="C30" s="122" t="s">
        <v>14</v>
      </c>
      <c r="D30" s="134">
        <v>5832</v>
      </c>
      <c r="E30" s="124" t="s">
        <v>5</v>
      </c>
      <c r="F30" s="126">
        <v>22100</v>
      </c>
      <c r="G30" s="124" t="s">
        <v>766</v>
      </c>
      <c r="H30" s="126">
        <v>7784</v>
      </c>
      <c r="I30" s="124" t="s">
        <v>774</v>
      </c>
      <c r="J30" s="126">
        <v>7784</v>
      </c>
      <c r="K30" s="124" t="s">
        <v>2178</v>
      </c>
      <c r="L30" s="126">
        <v>7784</v>
      </c>
      <c r="M30" s="124" t="s">
        <v>2179</v>
      </c>
      <c r="N30" s="144">
        <f t="shared" si="0"/>
        <v>5832</v>
      </c>
      <c r="O30" s="146"/>
      <c r="P30" s="147" t="s">
        <v>5</v>
      </c>
    </row>
    <row r="31" spans="1:16" ht="30" customHeight="1" x14ac:dyDescent="0.3">
      <c r="A31" s="131" t="s">
        <v>322</v>
      </c>
      <c r="B31" s="131" t="s">
        <v>328</v>
      </c>
      <c r="C31" s="122" t="s">
        <v>14</v>
      </c>
      <c r="D31" s="134">
        <v>8082</v>
      </c>
      <c r="E31" s="124" t="s">
        <v>5</v>
      </c>
      <c r="F31" s="126">
        <v>30630</v>
      </c>
      <c r="G31" s="124" t="s">
        <v>766</v>
      </c>
      <c r="H31" s="126">
        <v>11138</v>
      </c>
      <c r="I31" s="124" t="s">
        <v>774</v>
      </c>
      <c r="J31" s="126">
        <v>11138</v>
      </c>
      <c r="K31" s="124" t="s">
        <v>2178</v>
      </c>
      <c r="L31" s="126">
        <v>11138</v>
      </c>
      <c r="M31" s="124" t="s">
        <v>2179</v>
      </c>
      <c r="N31" s="144">
        <f t="shared" si="0"/>
        <v>8082</v>
      </c>
      <c r="O31" s="146"/>
      <c r="P31" s="147" t="s">
        <v>5</v>
      </c>
    </row>
    <row r="32" spans="1:16" ht="30" customHeight="1" x14ac:dyDescent="0.3">
      <c r="A32" s="131" t="s">
        <v>322</v>
      </c>
      <c r="B32" s="131" t="s">
        <v>329</v>
      </c>
      <c r="C32" s="122" t="s">
        <v>14</v>
      </c>
      <c r="D32" s="134">
        <v>10708</v>
      </c>
      <c r="E32" s="124" t="s">
        <v>5</v>
      </c>
      <c r="F32" s="126">
        <v>40580</v>
      </c>
      <c r="G32" s="124" t="s">
        <v>766</v>
      </c>
      <c r="H32" s="126">
        <v>14049</v>
      </c>
      <c r="I32" s="124" t="s">
        <v>774</v>
      </c>
      <c r="J32" s="126">
        <v>14049</v>
      </c>
      <c r="K32" s="124" t="s">
        <v>2178</v>
      </c>
      <c r="L32" s="126">
        <v>14049</v>
      </c>
      <c r="M32" s="124" t="s">
        <v>2179</v>
      </c>
      <c r="N32" s="144">
        <f t="shared" si="0"/>
        <v>10708</v>
      </c>
      <c r="O32" s="146"/>
      <c r="P32" s="147" t="s">
        <v>5</v>
      </c>
    </row>
    <row r="33" spans="1:16" ht="30" customHeight="1" x14ac:dyDescent="0.3">
      <c r="A33" s="121" t="s">
        <v>332</v>
      </c>
      <c r="B33" s="121" t="s">
        <v>1877</v>
      </c>
      <c r="C33" s="122" t="s">
        <v>14</v>
      </c>
      <c r="D33" s="134">
        <v>342</v>
      </c>
      <c r="E33" s="124" t="s">
        <v>5</v>
      </c>
      <c r="F33" s="126">
        <v>391</v>
      </c>
      <c r="G33" s="124" t="s">
        <v>770</v>
      </c>
      <c r="H33" s="126">
        <v>480</v>
      </c>
      <c r="I33" s="124" t="s">
        <v>771</v>
      </c>
      <c r="J33" s="126">
        <v>360</v>
      </c>
      <c r="K33" s="124" t="s">
        <v>2170</v>
      </c>
      <c r="L33" s="126">
        <v>482</v>
      </c>
      <c r="M33" s="124" t="s">
        <v>1602</v>
      </c>
      <c r="N33" s="144">
        <f t="shared" si="0"/>
        <v>342</v>
      </c>
      <c r="O33" s="146"/>
      <c r="P33" s="124" t="s">
        <v>2249</v>
      </c>
    </row>
    <row r="34" spans="1:16" ht="30" customHeight="1" x14ac:dyDescent="0.3">
      <c r="A34" s="121" t="s">
        <v>332</v>
      </c>
      <c r="B34" s="121" t="s">
        <v>1878</v>
      </c>
      <c r="C34" s="122" t="s">
        <v>14</v>
      </c>
      <c r="D34" s="134">
        <v>522</v>
      </c>
      <c r="E34" s="124" t="s">
        <v>5</v>
      </c>
      <c r="F34" s="126">
        <v>563</v>
      </c>
      <c r="G34" s="124" t="s">
        <v>770</v>
      </c>
      <c r="H34" s="126">
        <v>607</v>
      </c>
      <c r="I34" s="124" t="s">
        <v>771</v>
      </c>
      <c r="J34" s="126">
        <v>550</v>
      </c>
      <c r="K34" s="124" t="s">
        <v>2170</v>
      </c>
      <c r="L34" s="126">
        <v>610</v>
      </c>
      <c r="M34" s="124" t="s">
        <v>1602</v>
      </c>
      <c r="N34" s="144">
        <f t="shared" si="0"/>
        <v>522</v>
      </c>
      <c r="O34" s="146"/>
      <c r="P34" s="124" t="s">
        <v>2249</v>
      </c>
    </row>
    <row r="35" spans="1:16" ht="30" customHeight="1" x14ac:dyDescent="0.3">
      <c r="A35" s="121" t="s">
        <v>332</v>
      </c>
      <c r="B35" s="121" t="s">
        <v>1879</v>
      </c>
      <c r="C35" s="122" t="s">
        <v>14</v>
      </c>
      <c r="D35" s="134">
        <v>680</v>
      </c>
      <c r="E35" s="124" t="s">
        <v>5</v>
      </c>
      <c r="F35" s="126">
        <v>750</v>
      </c>
      <c r="G35" s="124" t="s">
        <v>770</v>
      </c>
      <c r="H35" s="126">
        <v>860</v>
      </c>
      <c r="I35" s="124" t="s">
        <v>771</v>
      </c>
      <c r="J35" s="126">
        <v>730</v>
      </c>
      <c r="K35" s="124" t="s">
        <v>2170</v>
      </c>
      <c r="L35" s="126">
        <v>864</v>
      </c>
      <c r="M35" s="124" t="s">
        <v>1602</v>
      </c>
      <c r="N35" s="144">
        <f t="shared" si="0"/>
        <v>680</v>
      </c>
      <c r="O35" s="146"/>
      <c r="P35" s="124" t="s">
        <v>2249</v>
      </c>
    </row>
    <row r="36" spans="1:16" ht="30" customHeight="1" x14ac:dyDescent="0.3">
      <c r="A36" s="121" t="s">
        <v>332</v>
      </c>
      <c r="B36" s="121" t="s">
        <v>1880</v>
      </c>
      <c r="C36" s="122" t="s">
        <v>14</v>
      </c>
      <c r="D36" s="134">
        <v>990</v>
      </c>
      <c r="E36" s="124" t="s">
        <v>5</v>
      </c>
      <c r="F36" s="126">
        <v>1250</v>
      </c>
      <c r="G36" s="124" t="s">
        <v>770</v>
      </c>
      <c r="H36" s="126">
        <v>1239</v>
      </c>
      <c r="I36" s="124" t="s">
        <v>771</v>
      </c>
      <c r="J36" s="126">
        <v>1090</v>
      </c>
      <c r="K36" s="124" t="s">
        <v>2170</v>
      </c>
      <c r="L36" s="126">
        <v>1245</v>
      </c>
      <c r="M36" s="124" t="s">
        <v>1602</v>
      </c>
      <c r="N36" s="144">
        <f t="shared" si="0"/>
        <v>990</v>
      </c>
      <c r="O36" s="146"/>
      <c r="P36" s="124" t="s">
        <v>2249</v>
      </c>
    </row>
    <row r="37" spans="1:16" ht="30" customHeight="1" x14ac:dyDescent="0.3">
      <c r="A37" s="121" t="s">
        <v>332</v>
      </c>
      <c r="B37" s="121" t="s">
        <v>1881</v>
      </c>
      <c r="C37" s="122" t="s">
        <v>14</v>
      </c>
      <c r="D37" s="134">
        <v>1357</v>
      </c>
      <c r="E37" s="124" t="s">
        <v>5</v>
      </c>
      <c r="F37" s="126">
        <v>1719</v>
      </c>
      <c r="G37" s="124" t="s">
        <v>770</v>
      </c>
      <c r="H37" s="126">
        <v>1632</v>
      </c>
      <c r="I37" s="124" t="s">
        <v>771</v>
      </c>
      <c r="J37" s="126">
        <v>1450</v>
      </c>
      <c r="K37" s="124" t="s">
        <v>2170</v>
      </c>
      <c r="L37" s="126">
        <v>1640</v>
      </c>
      <c r="M37" s="124" t="s">
        <v>1602</v>
      </c>
      <c r="N37" s="144">
        <f t="shared" si="0"/>
        <v>1357</v>
      </c>
      <c r="O37" s="146"/>
      <c r="P37" s="124" t="s">
        <v>2249</v>
      </c>
    </row>
    <row r="38" spans="1:16" ht="30" customHeight="1" x14ac:dyDescent="0.3">
      <c r="A38" s="121" t="s">
        <v>332</v>
      </c>
      <c r="B38" s="121" t="s">
        <v>1882</v>
      </c>
      <c r="C38" s="122" t="s">
        <v>14</v>
      </c>
      <c r="D38" s="134">
        <v>1784</v>
      </c>
      <c r="E38" s="124" t="s">
        <v>5</v>
      </c>
      <c r="F38" s="126">
        <v>2188</v>
      </c>
      <c r="G38" s="124" t="s">
        <v>770</v>
      </c>
      <c r="H38" s="126">
        <v>2214</v>
      </c>
      <c r="I38" s="124" t="s">
        <v>771</v>
      </c>
      <c r="J38" s="126">
        <v>1980</v>
      </c>
      <c r="K38" s="124" t="s">
        <v>2170</v>
      </c>
      <c r="L38" s="126">
        <v>2225</v>
      </c>
      <c r="M38" s="124" t="s">
        <v>1602</v>
      </c>
      <c r="N38" s="144">
        <f t="shared" si="0"/>
        <v>1784</v>
      </c>
      <c r="O38" s="146"/>
      <c r="P38" s="124" t="s">
        <v>2249</v>
      </c>
    </row>
    <row r="39" spans="1:16" ht="30" customHeight="1" x14ac:dyDescent="0.3">
      <c r="A39" s="121" t="s">
        <v>332</v>
      </c>
      <c r="B39" s="121" t="s">
        <v>1883</v>
      </c>
      <c r="C39" s="122" t="s">
        <v>14</v>
      </c>
      <c r="D39" s="134">
        <v>2796</v>
      </c>
      <c r="E39" s="124" t="s">
        <v>5</v>
      </c>
      <c r="F39" s="126">
        <v>3204</v>
      </c>
      <c r="G39" s="124" t="s">
        <v>770</v>
      </c>
      <c r="H39" s="126">
        <v>3440</v>
      </c>
      <c r="I39" s="124" t="s">
        <v>771</v>
      </c>
      <c r="J39" s="126">
        <v>3040</v>
      </c>
      <c r="K39" s="124" t="s">
        <v>2170</v>
      </c>
      <c r="L39" s="126">
        <v>3457</v>
      </c>
      <c r="M39" s="124" t="s">
        <v>1602</v>
      </c>
      <c r="N39" s="144">
        <f t="shared" si="0"/>
        <v>2796</v>
      </c>
      <c r="O39" s="146"/>
      <c r="P39" s="124" t="s">
        <v>2249</v>
      </c>
    </row>
    <row r="40" spans="1:16" ht="30" customHeight="1" x14ac:dyDescent="0.3">
      <c r="A40" s="121" t="s">
        <v>332</v>
      </c>
      <c r="B40" s="121" t="s">
        <v>1884</v>
      </c>
      <c r="C40" s="122" t="s">
        <v>14</v>
      </c>
      <c r="D40" s="134">
        <v>3699</v>
      </c>
      <c r="E40" s="124" t="s">
        <v>5</v>
      </c>
      <c r="F40" s="126">
        <v>3906</v>
      </c>
      <c r="G40" s="124" t="s">
        <v>770</v>
      </c>
      <c r="H40" s="126">
        <v>4491</v>
      </c>
      <c r="I40" s="124" t="s">
        <v>771</v>
      </c>
      <c r="J40" s="126">
        <v>3940</v>
      </c>
      <c r="K40" s="124" t="s">
        <v>2170</v>
      </c>
      <c r="L40" s="126">
        <v>4513</v>
      </c>
      <c r="M40" s="124" t="s">
        <v>1602</v>
      </c>
      <c r="N40" s="144">
        <f t="shared" si="0"/>
        <v>3699</v>
      </c>
      <c r="O40" s="146"/>
      <c r="P40" s="124" t="s">
        <v>2249</v>
      </c>
    </row>
    <row r="41" spans="1:16" ht="30" customHeight="1" x14ac:dyDescent="0.3">
      <c r="A41" s="121" t="s">
        <v>332</v>
      </c>
      <c r="B41" s="121" t="s">
        <v>1885</v>
      </c>
      <c r="C41" s="122" t="s">
        <v>14</v>
      </c>
      <c r="D41" s="134">
        <v>6375</v>
      </c>
      <c r="E41" s="124" t="s">
        <v>5</v>
      </c>
      <c r="F41" s="126">
        <v>7500</v>
      </c>
      <c r="G41" s="124" t="s">
        <v>770</v>
      </c>
      <c r="H41" s="126">
        <v>7906</v>
      </c>
      <c r="I41" s="124" t="s">
        <v>771</v>
      </c>
      <c r="J41" s="126">
        <v>7510</v>
      </c>
      <c r="K41" s="124" t="s">
        <v>2170</v>
      </c>
      <c r="L41" s="126">
        <v>7946</v>
      </c>
      <c r="M41" s="124" t="s">
        <v>1602</v>
      </c>
      <c r="N41" s="144">
        <f t="shared" si="0"/>
        <v>6375</v>
      </c>
      <c r="O41" s="146"/>
      <c r="P41" s="124" t="s">
        <v>2249</v>
      </c>
    </row>
    <row r="42" spans="1:16" ht="30" customHeight="1" x14ac:dyDescent="0.3">
      <c r="A42" s="121" t="s">
        <v>332</v>
      </c>
      <c r="B42" s="121" t="s">
        <v>1886</v>
      </c>
      <c r="C42" s="122" t="s">
        <v>14</v>
      </c>
      <c r="D42" s="134">
        <v>7081</v>
      </c>
      <c r="E42" s="124" t="s">
        <v>5</v>
      </c>
      <c r="F42" s="126">
        <v>8594</v>
      </c>
      <c r="G42" s="124" t="s">
        <v>770</v>
      </c>
      <c r="H42" s="126">
        <v>8829</v>
      </c>
      <c r="I42" s="124" t="s">
        <v>771</v>
      </c>
      <c r="J42" s="126">
        <v>8030</v>
      </c>
      <c r="K42" s="124" t="s">
        <v>2170</v>
      </c>
      <c r="L42" s="126">
        <v>8873</v>
      </c>
      <c r="M42" s="124" t="s">
        <v>1602</v>
      </c>
      <c r="N42" s="144">
        <f t="shared" si="0"/>
        <v>7081</v>
      </c>
      <c r="O42" s="146"/>
      <c r="P42" s="124" t="s">
        <v>2249</v>
      </c>
    </row>
    <row r="43" spans="1:16" ht="30" customHeight="1" x14ac:dyDescent="0.3">
      <c r="A43" s="121" t="s">
        <v>331</v>
      </c>
      <c r="B43" s="121" t="s">
        <v>1887</v>
      </c>
      <c r="C43" s="122" t="s">
        <v>14</v>
      </c>
      <c r="D43" s="134">
        <v>262</v>
      </c>
      <c r="E43" s="124" t="s">
        <v>5</v>
      </c>
      <c r="F43" s="126">
        <v>344</v>
      </c>
      <c r="G43" s="124" t="s">
        <v>773</v>
      </c>
      <c r="H43" s="126">
        <v>319</v>
      </c>
      <c r="I43" s="124" t="s">
        <v>771</v>
      </c>
      <c r="J43" s="126">
        <v>320</v>
      </c>
      <c r="K43" s="124" t="s">
        <v>2178</v>
      </c>
      <c r="L43" s="126">
        <v>320</v>
      </c>
      <c r="M43" s="124" t="s">
        <v>1628</v>
      </c>
      <c r="N43" s="144">
        <f t="shared" si="0"/>
        <v>262</v>
      </c>
      <c r="O43" s="146"/>
      <c r="P43" s="124" t="s">
        <v>2249</v>
      </c>
    </row>
    <row r="44" spans="1:16" ht="30" customHeight="1" x14ac:dyDescent="0.3">
      <c r="A44" s="121" t="s">
        <v>331</v>
      </c>
      <c r="B44" s="121" t="s">
        <v>1888</v>
      </c>
      <c r="C44" s="122" t="s">
        <v>14</v>
      </c>
      <c r="D44" s="134">
        <v>336</v>
      </c>
      <c r="E44" s="124" t="s">
        <v>5</v>
      </c>
      <c r="F44" s="126">
        <v>454</v>
      </c>
      <c r="G44" s="124" t="s">
        <v>773</v>
      </c>
      <c r="H44" s="126">
        <v>371</v>
      </c>
      <c r="I44" s="124" t="s">
        <v>771</v>
      </c>
      <c r="J44" s="126">
        <v>420</v>
      </c>
      <c r="K44" s="124" t="s">
        <v>2178</v>
      </c>
      <c r="L44" s="126">
        <v>408</v>
      </c>
      <c r="M44" s="124" t="s">
        <v>1628</v>
      </c>
      <c r="N44" s="144">
        <f t="shared" si="0"/>
        <v>336</v>
      </c>
      <c r="O44" s="146"/>
      <c r="P44" s="124" t="s">
        <v>2249</v>
      </c>
    </row>
    <row r="45" spans="1:16" ht="30" customHeight="1" x14ac:dyDescent="0.3">
      <c r="A45" s="121" t="s">
        <v>331</v>
      </c>
      <c r="B45" s="121" t="s">
        <v>1889</v>
      </c>
      <c r="C45" s="122" t="s">
        <v>14</v>
      </c>
      <c r="D45" s="134">
        <v>515</v>
      </c>
      <c r="E45" s="124" t="s">
        <v>5</v>
      </c>
      <c r="F45" s="126">
        <v>661</v>
      </c>
      <c r="G45" s="124" t="s">
        <v>773</v>
      </c>
      <c r="H45" s="126">
        <v>548</v>
      </c>
      <c r="I45" s="124" t="s">
        <v>771</v>
      </c>
      <c r="J45" s="126">
        <v>610</v>
      </c>
      <c r="K45" s="124" t="s">
        <v>2178</v>
      </c>
      <c r="L45" s="126">
        <v>549</v>
      </c>
      <c r="M45" s="124" t="s">
        <v>1628</v>
      </c>
      <c r="N45" s="144">
        <f t="shared" si="0"/>
        <v>515</v>
      </c>
      <c r="O45" s="146"/>
      <c r="P45" s="124" t="s">
        <v>2249</v>
      </c>
    </row>
    <row r="46" spans="1:16" ht="30" customHeight="1" x14ac:dyDescent="0.3">
      <c r="A46" s="121" t="s">
        <v>331</v>
      </c>
      <c r="B46" s="121" t="s">
        <v>1890</v>
      </c>
      <c r="C46" s="122" t="s">
        <v>14</v>
      </c>
      <c r="D46" s="134">
        <v>773</v>
      </c>
      <c r="E46" s="124" t="s">
        <v>5</v>
      </c>
      <c r="F46" s="126">
        <v>985</v>
      </c>
      <c r="G46" s="124" t="s">
        <v>773</v>
      </c>
      <c r="H46" s="126">
        <v>822</v>
      </c>
      <c r="I46" s="124" t="s">
        <v>771</v>
      </c>
      <c r="J46" s="126">
        <v>880</v>
      </c>
      <c r="K46" s="124" t="s">
        <v>2178</v>
      </c>
      <c r="L46" s="126">
        <v>824</v>
      </c>
      <c r="M46" s="124" t="s">
        <v>1628</v>
      </c>
      <c r="N46" s="144">
        <f t="shared" si="0"/>
        <v>773</v>
      </c>
      <c r="O46" s="146"/>
      <c r="P46" s="124" t="s">
        <v>2249</v>
      </c>
    </row>
    <row r="47" spans="1:16" ht="30" customHeight="1" x14ac:dyDescent="0.3">
      <c r="A47" s="121" t="s">
        <v>331</v>
      </c>
      <c r="B47" s="121" t="s">
        <v>1891</v>
      </c>
      <c r="C47" s="122" t="s">
        <v>14</v>
      </c>
      <c r="D47" s="134">
        <v>903</v>
      </c>
      <c r="E47" s="124" t="s">
        <v>5</v>
      </c>
      <c r="F47" s="126">
        <v>1246</v>
      </c>
      <c r="G47" s="124" t="s">
        <v>773</v>
      </c>
      <c r="H47" s="126">
        <v>1112</v>
      </c>
      <c r="I47" s="124" t="s">
        <v>771</v>
      </c>
      <c r="J47" s="126">
        <v>1130</v>
      </c>
      <c r="K47" s="124" t="s">
        <v>2178</v>
      </c>
      <c r="L47" s="126">
        <v>1115</v>
      </c>
      <c r="M47" s="124" t="s">
        <v>1628</v>
      </c>
      <c r="N47" s="144">
        <f t="shared" si="0"/>
        <v>903</v>
      </c>
      <c r="O47" s="146"/>
      <c r="P47" s="124" t="s">
        <v>2249</v>
      </c>
    </row>
    <row r="48" spans="1:16" ht="30" customHeight="1" x14ac:dyDescent="0.3">
      <c r="A48" s="121" t="s">
        <v>331</v>
      </c>
      <c r="B48" s="121" t="s">
        <v>1892</v>
      </c>
      <c r="C48" s="122" t="s">
        <v>14</v>
      </c>
      <c r="D48" s="134">
        <v>1396</v>
      </c>
      <c r="E48" s="124" t="s">
        <v>5</v>
      </c>
      <c r="F48" s="126">
        <v>1808</v>
      </c>
      <c r="G48" s="124" t="s">
        <v>773</v>
      </c>
      <c r="H48" s="126">
        <v>1668</v>
      </c>
      <c r="I48" s="124" t="s">
        <v>771</v>
      </c>
      <c r="J48" s="126">
        <v>1640</v>
      </c>
      <c r="K48" s="124" t="s">
        <v>2178</v>
      </c>
      <c r="L48" s="126">
        <v>1673</v>
      </c>
      <c r="M48" s="124" t="s">
        <v>1628</v>
      </c>
      <c r="N48" s="144">
        <f t="shared" si="0"/>
        <v>1396</v>
      </c>
      <c r="O48" s="146"/>
      <c r="P48" s="124" t="s">
        <v>2249</v>
      </c>
    </row>
    <row r="49" spans="1:16" ht="30" customHeight="1" x14ac:dyDescent="0.3">
      <c r="A49" s="121" t="s">
        <v>331</v>
      </c>
      <c r="B49" s="121" t="s">
        <v>1893</v>
      </c>
      <c r="C49" s="122" t="s">
        <v>14</v>
      </c>
      <c r="D49" s="134">
        <v>2333</v>
      </c>
      <c r="E49" s="124" t="s">
        <v>5</v>
      </c>
      <c r="F49" s="126">
        <v>3544</v>
      </c>
      <c r="G49" s="124" t="s">
        <v>773</v>
      </c>
      <c r="H49" s="126">
        <v>2481</v>
      </c>
      <c r="I49" s="124" t="s">
        <v>771</v>
      </c>
      <c r="J49" s="126">
        <v>2510</v>
      </c>
      <c r="K49" s="124" t="s">
        <v>2178</v>
      </c>
      <c r="L49" s="126">
        <v>2487</v>
      </c>
      <c r="M49" s="124" t="s">
        <v>1628</v>
      </c>
      <c r="N49" s="144">
        <f t="shared" si="0"/>
        <v>2333</v>
      </c>
      <c r="O49" s="146"/>
      <c r="P49" s="124" t="s">
        <v>2249</v>
      </c>
    </row>
    <row r="50" spans="1:16" ht="30" customHeight="1" x14ac:dyDescent="0.3">
      <c r="A50" s="121" t="s">
        <v>331</v>
      </c>
      <c r="B50" s="121" t="s">
        <v>1894</v>
      </c>
      <c r="C50" s="122" t="s">
        <v>14</v>
      </c>
      <c r="D50" s="134">
        <v>3068</v>
      </c>
      <c r="E50" s="124" t="s">
        <v>5</v>
      </c>
      <c r="F50" s="126">
        <v>4082</v>
      </c>
      <c r="G50" s="124" t="s">
        <v>773</v>
      </c>
      <c r="H50" s="126">
        <v>3445</v>
      </c>
      <c r="I50" s="124" t="s">
        <v>771</v>
      </c>
      <c r="J50" s="126">
        <v>3730</v>
      </c>
      <c r="K50" s="124" t="s">
        <v>2178</v>
      </c>
      <c r="L50" s="126">
        <v>3454</v>
      </c>
      <c r="M50" s="124" t="s">
        <v>1628</v>
      </c>
      <c r="N50" s="144">
        <f t="shared" si="0"/>
        <v>3068</v>
      </c>
      <c r="O50" s="146"/>
      <c r="P50" s="124" t="s">
        <v>2249</v>
      </c>
    </row>
    <row r="51" spans="1:16" ht="30" customHeight="1" x14ac:dyDescent="0.3">
      <c r="A51" s="121" t="s">
        <v>331</v>
      </c>
      <c r="B51" s="121" t="s">
        <v>1895</v>
      </c>
      <c r="C51" s="122" t="s">
        <v>14</v>
      </c>
      <c r="D51" s="134">
        <v>4560</v>
      </c>
      <c r="E51" s="124" t="s">
        <v>5</v>
      </c>
      <c r="F51" s="126">
        <v>5615</v>
      </c>
      <c r="G51" s="124" t="s">
        <v>773</v>
      </c>
      <c r="H51" s="126">
        <v>4849</v>
      </c>
      <c r="I51" s="124" t="s">
        <v>771</v>
      </c>
      <c r="J51" s="126">
        <v>5290</v>
      </c>
      <c r="K51" s="124" t="s">
        <v>2178</v>
      </c>
      <c r="L51" s="126">
        <v>4861</v>
      </c>
      <c r="M51" s="124" t="s">
        <v>1628</v>
      </c>
      <c r="N51" s="144">
        <f t="shared" si="0"/>
        <v>4560</v>
      </c>
      <c r="O51" s="146"/>
      <c r="P51" s="124" t="s">
        <v>2249</v>
      </c>
    </row>
    <row r="52" spans="1:16" ht="30" customHeight="1" x14ac:dyDescent="0.3">
      <c r="A52" s="121" t="s">
        <v>1999</v>
      </c>
      <c r="B52" s="121" t="s">
        <v>1896</v>
      </c>
      <c r="C52" s="122" t="s">
        <v>14</v>
      </c>
      <c r="D52" s="134">
        <v>1380</v>
      </c>
      <c r="E52" s="124" t="s">
        <v>5</v>
      </c>
      <c r="F52" s="126">
        <v>1380</v>
      </c>
      <c r="G52" s="124" t="s">
        <v>772</v>
      </c>
      <c r="H52" s="126">
        <v>1380</v>
      </c>
      <c r="I52" s="124" t="s">
        <v>2357</v>
      </c>
      <c r="J52" s="126">
        <v>1380</v>
      </c>
      <c r="K52" s="124" t="s">
        <v>951</v>
      </c>
      <c r="L52" s="126">
        <v>544</v>
      </c>
      <c r="M52" s="124" t="s">
        <v>1628</v>
      </c>
      <c r="N52" s="144">
        <f t="shared" si="0"/>
        <v>544</v>
      </c>
      <c r="O52" s="146"/>
      <c r="P52" s="147" t="s">
        <v>5</v>
      </c>
    </row>
    <row r="53" spans="1:16" ht="30" customHeight="1" x14ac:dyDescent="0.3">
      <c r="A53" s="121" t="s">
        <v>1999</v>
      </c>
      <c r="B53" s="121" t="s">
        <v>1897</v>
      </c>
      <c r="C53" s="122" t="s">
        <v>14</v>
      </c>
      <c r="D53" s="134">
        <v>1740</v>
      </c>
      <c r="E53" s="124" t="s">
        <v>5</v>
      </c>
      <c r="F53" s="126">
        <v>1740</v>
      </c>
      <c r="G53" s="124" t="s">
        <v>772</v>
      </c>
      <c r="H53" s="126">
        <v>1740</v>
      </c>
      <c r="I53" s="124" t="s">
        <v>2357</v>
      </c>
      <c r="J53" s="126">
        <v>1740</v>
      </c>
      <c r="K53" s="124" t="s">
        <v>951</v>
      </c>
      <c r="L53" s="126">
        <v>1042</v>
      </c>
      <c r="M53" s="124" t="s">
        <v>1628</v>
      </c>
      <c r="N53" s="144">
        <f t="shared" si="0"/>
        <v>1042</v>
      </c>
      <c r="O53" s="146"/>
      <c r="P53" s="147" t="s">
        <v>5</v>
      </c>
    </row>
    <row r="54" spans="1:16" ht="30" customHeight="1" x14ac:dyDescent="0.3">
      <c r="A54" s="121" t="s">
        <v>1999</v>
      </c>
      <c r="B54" s="121" t="s">
        <v>1898</v>
      </c>
      <c r="C54" s="122" t="s">
        <v>14</v>
      </c>
      <c r="D54" s="134">
        <v>2180</v>
      </c>
      <c r="E54" s="124" t="s">
        <v>5</v>
      </c>
      <c r="F54" s="126">
        <v>2180</v>
      </c>
      <c r="G54" s="124" t="s">
        <v>772</v>
      </c>
      <c r="H54" s="126">
        <v>2180</v>
      </c>
      <c r="I54" s="124" t="s">
        <v>2357</v>
      </c>
      <c r="J54" s="126">
        <v>2180</v>
      </c>
      <c r="K54" s="124" t="s">
        <v>951</v>
      </c>
      <c r="L54" s="126">
        <v>1595</v>
      </c>
      <c r="M54" s="124" t="s">
        <v>1628</v>
      </c>
      <c r="N54" s="144">
        <f t="shared" si="0"/>
        <v>1595</v>
      </c>
      <c r="O54" s="146"/>
      <c r="P54" s="147" t="s">
        <v>5</v>
      </c>
    </row>
    <row r="55" spans="1:16" ht="30" customHeight="1" x14ac:dyDescent="0.3">
      <c r="A55" s="121" t="s">
        <v>1999</v>
      </c>
      <c r="B55" s="121" t="s">
        <v>1899</v>
      </c>
      <c r="C55" s="122" t="s">
        <v>14</v>
      </c>
      <c r="D55" s="134">
        <v>2870</v>
      </c>
      <c r="E55" s="124" t="s">
        <v>5</v>
      </c>
      <c r="F55" s="126">
        <v>2870</v>
      </c>
      <c r="G55" s="124" t="s">
        <v>772</v>
      </c>
      <c r="H55" s="126">
        <v>2870</v>
      </c>
      <c r="I55" s="124" t="s">
        <v>2357</v>
      </c>
      <c r="J55" s="126">
        <v>2870</v>
      </c>
      <c r="K55" s="124" t="s">
        <v>951</v>
      </c>
      <c r="L55" s="126">
        <v>2420</v>
      </c>
      <c r="M55" s="124" t="s">
        <v>1628</v>
      </c>
      <c r="N55" s="144">
        <f t="shared" si="0"/>
        <v>2420</v>
      </c>
      <c r="O55" s="146"/>
      <c r="P55" s="147" t="s">
        <v>5</v>
      </c>
    </row>
    <row r="56" spans="1:16" ht="30" customHeight="1" x14ac:dyDescent="0.3">
      <c r="A56" s="121" t="s">
        <v>1999</v>
      </c>
      <c r="B56" s="121" t="s">
        <v>1900</v>
      </c>
      <c r="C56" s="122" t="s">
        <v>14</v>
      </c>
      <c r="D56" s="134">
        <v>3780</v>
      </c>
      <c r="E56" s="124" t="s">
        <v>5</v>
      </c>
      <c r="F56" s="126">
        <v>3780</v>
      </c>
      <c r="G56" s="124" t="s">
        <v>772</v>
      </c>
      <c r="H56" s="126">
        <v>3780</v>
      </c>
      <c r="I56" s="124" t="s">
        <v>2357</v>
      </c>
      <c r="J56" s="126">
        <v>3780</v>
      </c>
      <c r="K56" s="124" t="s">
        <v>951</v>
      </c>
      <c r="L56" s="126">
        <v>2915</v>
      </c>
      <c r="M56" s="124" t="s">
        <v>1628</v>
      </c>
      <c r="N56" s="144">
        <f t="shared" si="0"/>
        <v>2915</v>
      </c>
      <c r="O56" s="146"/>
      <c r="P56" s="147" t="s">
        <v>5</v>
      </c>
    </row>
    <row r="57" spans="1:16" ht="30" customHeight="1" x14ac:dyDescent="0.3">
      <c r="A57" s="121" t="s">
        <v>1999</v>
      </c>
      <c r="B57" s="121" t="s">
        <v>1901</v>
      </c>
      <c r="C57" s="122" t="s">
        <v>14</v>
      </c>
      <c r="D57" s="134">
        <v>5100</v>
      </c>
      <c r="E57" s="124" t="s">
        <v>5</v>
      </c>
      <c r="F57" s="126">
        <v>5100</v>
      </c>
      <c r="G57" s="124" t="s">
        <v>772</v>
      </c>
      <c r="H57" s="126">
        <v>5100</v>
      </c>
      <c r="I57" s="124" t="s">
        <v>2357</v>
      </c>
      <c r="J57" s="126">
        <v>5100</v>
      </c>
      <c r="K57" s="124" t="s">
        <v>951</v>
      </c>
      <c r="L57" s="126">
        <v>4125</v>
      </c>
      <c r="M57" s="124" t="s">
        <v>1628</v>
      </c>
      <c r="N57" s="144">
        <f t="shared" si="0"/>
        <v>4125</v>
      </c>
      <c r="O57" s="146"/>
      <c r="P57" s="147" t="s">
        <v>5</v>
      </c>
    </row>
    <row r="58" spans="1:16" ht="30" customHeight="1" x14ac:dyDescent="0.3">
      <c r="A58" s="121" t="s">
        <v>1999</v>
      </c>
      <c r="B58" s="121" t="s">
        <v>1902</v>
      </c>
      <c r="C58" s="122" t="s">
        <v>14</v>
      </c>
      <c r="D58" s="134">
        <v>9590</v>
      </c>
      <c r="E58" s="124" t="s">
        <v>5</v>
      </c>
      <c r="F58" s="126">
        <v>9590</v>
      </c>
      <c r="G58" s="124" t="s">
        <v>772</v>
      </c>
      <c r="H58" s="126">
        <v>9590</v>
      </c>
      <c r="I58" s="124" t="s">
        <v>2357</v>
      </c>
      <c r="J58" s="126">
        <v>9590</v>
      </c>
      <c r="K58" s="124" t="s">
        <v>951</v>
      </c>
      <c r="L58" s="126">
        <v>6578</v>
      </c>
      <c r="M58" s="124" t="s">
        <v>1628</v>
      </c>
      <c r="N58" s="144">
        <f t="shared" si="0"/>
        <v>6578</v>
      </c>
      <c r="O58" s="146"/>
      <c r="P58" s="147" t="s">
        <v>5</v>
      </c>
    </row>
    <row r="59" spans="1:16" ht="30" customHeight="1" x14ac:dyDescent="0.3">
      <c r="A59" s="121" t="s">
        <v>1999</v>
      </c>
      <c r="B59" s="121" t="s">
        <v>1903</v>
      </c>
      <c r="C59" s="122" t="s">
        <v>14</v>
      </c>
      <c r="D59" s="134">
        <v>13200</v>
      </c>
      <c r="E59" s="124" t="s">
        <v>5</v>
      </c>
      <c r="F59" s="126">
        <v>13200</v>
      </c>
      <c r="G59" s="124" t="s">
        <v>772</v>
      </c>
      <c r="H59" s="126">
        <v>13200</v>
      </c>
      <c r="I59" s="124" t="s">
        <v>2357</v>
      </c>
      <c r="J59" s="126">
        <v>13200</v>
      </c>
      <c r="K59" s="124" t="s">
        <v>951</v>
      </c>
      <c r="L59" s="126">
        <v>7095</v>
      </c>
      <c r="M59" s="124" t="s">
        <v>1628</v>
      </c>
      <c r="N59" s="144">
        <f t="shared" si="0"/>
        <v>7095</v>
      </c>
      <c r="O59" s="146"/>
      <c r="P59" s="147" t="s">
        <v>5</v>
      </c>
    </row>
    <row r="60" spans="1:16" ht="30" customHeight="1" x14ac:dyDescent="0.3">
      <c r="A60" s="121" t="s">
        <v>1999</v>
      </c>
      <c r="B60" s="121" t="s">
        <v>1904</v>
      </c>
      <c r="C60" s="122" t="s">
        <v>14</v>
      </c>
      <c r="D60" s="134"/>
      <c r="E60" s="124" t="s">
        <v>5</v>
      </c>
      <c r="F60" s="126"/>
      <c r="G60" s="124"/>
      <c r="H60" s="127">
        <v>0</v>
      </c>
      <c r="I60" s="124"/>
      <c r="J60" s="127">
        <v>0</v>
      </c>
      <c r="K60" s="124" t="s">
        <v>5</v>
      </c>
      <c r="L60" s="126">
        <v>11550</v>
      </c>
      <c r="M60" s="124" t="s">
        <v>1628</v>
      </c>
      <c r="N60" s="144">
        <f t="shared" si="0"/>
        <v>11550</v>
      </c>
      <c r="O60" s="146"/>
      <c r="P60" s="147" t="s">
        <v>5</v>
      </c>
    </row>
    <row r="61" spans="1:16" ht="30" customHeight="1" x14ac:dyDescent="0.3">
      <c r="A61" s="121" t="s">
        <v>1999</v>
      </c>
      <c r="B61" s="121" t="s">
        <v>1905</v>
      </c>
      <c r="C61" s="122" t="s">
        <v>14</v>
      </c>
      <c r="D61" s="134">
        <v>1075</v>
      </c>
      <c r="E61" s="124" t="s">
        <v>5</v>
      </c>
      <c r="F61" s="126">
        <v>2260</v>
      </c>
      <c r="G61" s="124" t="s">
        <v>772</v>
      </c>
      <c r="H61" s="126">
        <v>2260</v>
      </c>
      <c r="I61" s="124" t="s">
        <v>2357</v>
      </c>
      <c r="J61" s="126">
        <v>2260</v>
      </c>
      <c r="K61" s="124" t="s">
        <v>951</v>
      </c>
      <c r="L61" s="126">
        <v>1265</v>
      </c>
      <c r="M61" s="124" t="s">
        <v>1628</v>
      </c>
      <c r="N61" s="144">
        <f t="shared" si="0"/>
        <v>1075</v>
      </c>
      <c r="O61" s="146"/>
      <c r="P61" s="147" t="s">
        <v>5</v>
      </c>
    </row>
    <row r="62" spans="1:16" ht="30" customHeight="1" x14ac:dyDescent="0.3">
      <c r="A62" s="121" t="s">
        <v>1999</v>
      </c>
      <c r="B62" s="121" t="s">
        <v>1906</v>
      </c>
      <c r="C62" s="122" t="s">
        <v>14</v>
      </c>
      <c r="D62" s="134">
        <v>1348</v>
      </c>
      <c r="E62" s="124" t="s">
        <v>5</v>
      </c>
      <c r="F62" s="126">
        <v>2880</v>
      </c>
      <c r="G62" s="124" t="s">
        <v>772</v>
      </c>
      <c r="H62" s="126">
        <v>2880</v>
      </c>
      <c r="I62" s="124" t="s">
        <v>2357</v>
      </c>
      <c r="J62" s="126">
        <v>2880</v>
      </c>
      <c r="K62" s="124" t="s">
        <v>951</v>
      </c>
      <c r="L62" s="126">
        <v>1716</v>
      </c>
      <c r="M62" s="124" t="s">
        <v>1628</v>
      </c>
      <c r="N62" s="144">
        <f t="shared" si="0"/>
        <v>1348</v>
      </c>
      <c r="O62" s="146"/>
      <c r="P62" s="147" t="s">
        <v>5</v>
      </c>
    </row>
    <row r="63" spans="1:16" ht="30" customHeight="1" x14ac:dyDescent="0.3">
      <c r="A63" s="121" t="s">
        <v>1999</v>
      </c>
      <c r="B63" s="121" t="s">
        <v>1907</v>
      </c>
      <c r="C63" s="122" t="s">
        <v>14</v>
      </c>
      <c r="D63" s="134">
        <v>1634</v>
      </c>
      <c r="E63" s="124" t="s">
        <v>5</v>
      </c>
      <c r="F63" s="126">
        <v>3470</v>
      </c>
      <c r="G63" s="124" t="s">
        <v>772</v>
      </c>
      <c r="H63" s="126">
        <v>3470</v>
      </c>
      <c r="I63" s="124" t="s">
        <v>2357</v>
      </c>
      <c r="J63" s="126">
        <v>3470</v>
      </c>
      <c r="K63" s="124" t="s">
        <v>951</v>
      </c>
      <c r="L63" s="126">
        <v>2431</v>
      </c>
      <c r="M63" s="124" t="s">
        <v>1628</v>
      </c>
      <c r="N63" s="144">
        <f t="shared" si="0"/>
        <v>1634</v>
      </c>
      <c r="O63" s="146"/>
      <c r="P63" s="147" t="s">
        <v>5</v>
      </c>
    </row>
    <row r="64" spans="1:16" ht="30" customHeight="1" x14ac:dyDescent="0.3">
      <c r="A64" s="121" t="s">
        <v>1999</v>
      </c>
      <c r="B64" s="121" t="s">
        <v>1908</v>
      </c>
      <c r="C64" s="122" t="s">
        <v>14</v>
      </c>
      <c r="D64" s="134">
        <v>2492</v>
      </c>
      <c r="E64" s="124" t="s">
        <v>5</v>
      </c>
      <c r="F64" s="126">
        <v>5280</v>
      </c>
      <c r="G64" s="124" t="s">
        <v>772</v>
      </c>
      <c r="H64" s="126">
        <v>5280</v>
      </c>
      <c r="I64" s="124" t="s">
        <v>2357</v>
      </c>
      <c r="J64" s="126">
        <v>5280</v>
      </c>
      <c r="K64" s="124" t="s">
        <v>951</v>
      </c>
      <c r="L64" s="126">
        <v>3575</v>
      </c>
      <c r="M64" s="124" t="s">
        <v>1628</v>
      </c>
      <c r="N64" s="144">
        <f t="shared" si="0"/>
        <v>2492</v>
      </c>
      <c r="O64" s="146"/>
      <c r="P64" s="147" t="s">
        <v>5</v>
      </c>
    </row>
    <row r="65" spans="1:16" ht="30" customHeight="1" x14ac:dyDescent="0.3">
      <c r="A65" s="121" t="s">
        <v>1999</v>
      </c>
      <c r="B65" s="121" t="s">
        <v>1909</v>
      </c>
      <c r="C65" s="122" t="s">
        <v>14</v>
      </c>
      <c r="D65" s="134">
        <v>3193</v>
      </c>
      <c r="E65" s="124" t="s">
        <v>5</v>
      </c>
      <c r="F65" s="126">
        <v>6790</v>
      </c>
      <c r="G65" s="124" t="s">
        <v>772</v>
      </c>
      <c r="H65" s="126">
        <v>6790</v>
      </c>
      <c r="I65" s="124" t="s">
        <v>2357</v>
      </c>
      <c r="J65" s="126">
        <v>6790</v>
      </c>
      <c r="K65" s="124" t="s">
        <v>951</v>
      </c>
      <c r="L65" s="126">
        <v>5016</v>
      </c>
      <c r="M65" s="124" t="s">
        <v>1628</v>
      </c>
      <c r="N65" s="144">
        <f t="shared" si="0"/>
        <v>3193</v>
      </c>
      <c r="O65" s="146"/>
      <c r="P65" s="147" t="s">
        <v>5</v>
      </c>
    </row>
    <row r="66" spans="1:16" ht="30" customHeight="1" x14ac:dyDescent="0.3">
      <c r="A66" s="121" t="s">
        <v>1999</v>
      </c>
      <c r="B66" s="121" t="s">
        <v>1910</v>
      </c>
      <c r="C66" s="122" t="s">
        <v>14</v>
      </c>
      <c r="D66" s="134">
        <v>4382</v>
      </c>
      <c r="E66" s="124" t="s">
        <v>5</v>
      </c>
      <c r="F66" s="126">
        <v>9180</v>
      </c>
      <c r="G66" s="124" t="s">
        <v>772</v>
      </c>
      <c r="H66" s="126">
        <v>9180</v>
      </c>
      <c r="I66" s="124" t="s">
        <v>2357</v>
      </c>
      <c r="J66" s="126">
        <v>9180</v>
      </c>
      <c r="K66" s="124" t="s">
        <v>951</v>
      </c>
      <c r="L66" s="126">
        <v>6457</v>
      </c>
      <c r="M66" s="124" t="s">
        <v>1628</v>
      </c>
      <c r="N66" s="144">
        <f t="shared" ref="N66:N129" si="1">SMALL(D66:L66,COUNTIF(D66:L66,0)+1)</f>
        <v>4382</v>
      </c>
      <c r="O66" s="146"/>
      <c r="P66" s="147" t="s">
        <v>5</v>
      </c>
    </row>
    <row r="67" spans="1:16" ht="30" customHeight="1" x14ac:dyDescent="0.3">
      <c r="A67" s="121" t="s">
        <v>1999</v>
      </c>
      <c r="B67" s="121" t="s">
        <v>1911</v>
      </c>
      <c r="C67" s="122" t="s">
        <v>14</v>
      </c>
      <c r="D67" s="134">
        <v>12157</v>
      </c>
      <c r="E67" s="124" t="s">
        <v>5</v>
      </c>
      <c r="F67" s="126">
        <v>17880</v>
      </c>
      <c r="G67" s="124" t="s">
        <v>772</v>
      </c>
      <c r="H67" s="126">
        <v>17880</v>
      </c>
      <c r="I67" s="124" t="s">
        <v>2357</v>
      </c>
      <c r="J67" s="126">
        <v>17880</v>
      </c>
      <c r="K67" s="124" t="s">
        <v>951</v>
      </c>
      <c r="L67" s="126">
        <v>14850</v>
      </c>
      <c r="M67" s="124" t="s">
        <v>1628</v>
      </c>
      <c r="N67" s="144">
        <f t="shared" si="1"/>
        <v>12157</v>
      </c>
      <c r="O67" s="146"/>
      <c r="P67" s="147" t="s">
        <v>5</v>
      </c>
    </row>
    <row r="68" spans="1:16" ht="30" customHeight="1" x14ac:dyDescent="0.3">
      <c r="A68" s="121" t="s">
        <v>1999</v>
      </c>
      <c r="B68" s="121" t="s">
        <v>1912</v>
      </c>
      <c r="C68" s="122" t="s">
        <v>14</v>
      </c>
      <c r="D68" s="134">
        <v>14927</v>
      </c>
      <c r="E68" s="124" t="s">
        <v>5</v>
      </c>
      <c r="F68" s="126">
        <v>20280</v>
      </c>
      <c r="G68" s="124" t="s">
        <v>772</v>
      </c>
      <c r="H68" s="126">
        <v>20280</v>
      </c>
      <c r="I68" s="124" t="s">
        <v>2357</v>
      </c>
      <c r="J68" s="126">
        <v>20280</v>
      </c>
      <c r="K68" s="124" t="s">
        <v>951</v>
      </c>
      <c r="L68" s="126">
        <v>21450</v>
      </c>
      <c r="M68" s="124" t="s">
        <v>1628</v>
      </c>
      <c r="N68" s="144">
        <f t="shared" si="1"/>
        <v>14927</v>
      </c>
      <c r="O68" s="146"/>
      <c r="P68" s="147" t="s">
        <v>5</v>
      </c>
    </row>
    <row r="69" spans="1:16" ht="30" customHeight="1" x14ac:dyDescent="0.3">
      <c r="A69" s="121" t="s">
        <v>1999</v>
      </c>
      <c r="B69" s="121" t="s">
        <v>1913</v>
      </c>
      <c r="C69" s="122" t="s">
        <v>14</v>
      </c>
      <c r="D69" s="134"/>
      <c r="E69" s="124" t="s">
        <v>5</v>
      </c>
      <c r="F69" s="127">
        <v>0</v>
      </c>
      <c r="G69" s="124"/>
      <c r="H69" s="127">
        <v>0</v>
      </c>
      <c r="I69" s="124"/>
      <c r="J69" s="127">
        <v>0</v>
      </c>
      <c r="K69" s="124" t="s">
        <v>5</v>
      </c>
      <c r="L69" s="126">
        <v>26950</v>
      </c>
      <c r="M69" s="124" t="s">
        <v>1628</v>
      </c>
      <c r="N69" s="144">
        <f t="shared" si="1"/>
        <v>26950</v>
      </c>
      <c r="O69" s="146"/>
      <c r="P69" s="147" t="s">
        <v>5</v>
      </c>
    </row>
    <row r="70" spans="1:16" ht="30" customHeight="1" x14ac:dyDescent="0.3">
      <c r="A70" s="121" t="s">
        <v>1914</v>
      </c>
      <c r="B70" s="121" t="s">
        <v>1896</v>
      </c>
      <c r="C70" s="122" t="s">
        <v>12</v>
      </c>
      <c r="D70" s="134">
        <v>690</v>
      </c>
      <c r="E70" s="124" t="s">
        <v>5</v>
      </c>
      <c r="F70" s="126">
        <v>1100</v>
      </c>
      <c r="G70" s="124" t="s">
        <v>772</v>
      </c>
      <c r="H70" s="126">
        <v>720</v>
      </c>
      <c r="I70" s="124" t="s">
        <v>769</v>
      </c>
      <c r="J70" s="127">
        <v>0</v>
      </c>
      <c r="K70" s="124"/>
      <c r="L70" s="127">
        <v>0</v>
      </c>
      <c r="M70" s="124" t="s">
        <v>5</v>
      </c>
      <c r="N70" s="144">
        <f t="shared" si="1"/>
        <v>690</v>
      </c>
      <c r="O70" s="146"/>
      <c r="P70" s="147" t="s">
        <v>5</v>
      </c>
    </row>
    <row r="71" spans="1:16" ht="30" customHeight="1" x14ac:dyDescent="0.3">
      <c r="A71" s="121" t="s">
        <v>1914</v>
      </c>
      <c r="B71" s="121" t="s">
        <v>1897</v>
      </c>
      <c r="C71" s="122" t="s">
        <v>12</v>
      </c>
      <c r="D71" s="134">
        <v>994</v>
      </c>
      <c r="E71" s="124" t="s">
        <v>5</v>
      </c>
      <c r="F71" s="126">
        <v>1390</v>
      </c>
      <c r="G71" s="124" t="s">
        <v>772</v>
      </c>
      <c r="H71" s="126">
        <v>950</v>
      </c>
      <c r="I71" s="124" t="s">
        <v>769</v>
      </c>
      <c r="J71" s="127">
        <v>0</v>
      </c>
      <c r="K71" s="124"/>
      <c r="L71" s="127">
        <v>0</v>
      </c>
      <c r="M71" s="124" t="s">
        <v>5</v>
      </c>
      <c r="N71" s="144">
        <f t="shared" si="1"/>
        <v>950</v>
      </c>
      <c r="O71" s="124"/>
      <c r="P71" s="131" t="s">
        <v>5</v>
      </c>
    </row>
    <row r="72" spans="1:16" ht="30" customHeight="1" x14ac:dyDescent="0.3">
      <c r="A72" s="121" t="s">
        <v>1914</v>
      </c>
      <c r="B72" s="121" t="s">
        <v>1898</v>
      </c>
      <c r="C72" s="122" t="s">
        <v>12</v>
      </c>
      <c r="D72" s="134">
        <v>1028</v>
      </c>
      <c r="E72" s="124" t="s">
        <v>5</v>
      </c>
      <c r="F72" s="126">
        <v>1830</v>
      </c>
      <c r="G72" s="124" t="s">
        <v>772</v>
      </c>
      <c r="H72" s="126">
        <v>1380</v>
      </c>
      <c r="I72" s="124" t="s">
        <v>769</v>
      </c>
      <c r="J72" s="127">
        <v>0</v>
      </c>
      <c r="K72" s="124"/>
      <c r="L72" s="127">
        <v>0</v>
      </c>
      <c r="M72" s="124" t="s">
        <v>5</v>
      </c>
      <c r="N72" s="144">
        <f t="shared" si="1"/>
        <v>1028</v>
      </c>
      <c r="O72" s="124"/>
      <c r="P72" s="131" t="s">
        <v>5</v>
      </c>
    </row>
    <row r="73" spans="1:16" ht="30" customHeight="1" x14ac:dyDescent="0.3">
      <c r="A73" s="121" t="s">
        <v>1914</v>
      </c>
      <c r="B73" s="121" t="s">
        <v>1899</v>
      </c>
      <c r="C73" s="122" t="s">
        <v>12</v>
      </c>
      <c r="D73" s="134">
        <v>2167</v>
      </c>
      <c r="E73" s="124" t="s">
        <v>5</v>
      </c>
      <c r="F73" s="126">
        <v>2650</v>
      </c>
      <c r="G73" s="124" t="s">
        <v>772</v>
      </c>
      <c r="H73" s="126">
        <v>1970</v>
      </c>
      <c r="I73" s="124" t="s">
        <v>769</v>
      </c>
      <c r="J73" s="127">
        <v>0</v>
      </c>
      <c r="K73" s="124"/>
      <c r="L73" s="127">
        <v>0</v>
      </c>
      <c r="M73" s="124" t="s">
        <v>5</v>
      </c>
      <c r="N73" s="144">
        <f t="shared" si="1"/>
        <v>1970</v>
      </c>
      <c r="O73" s="124"/>
      <c r="P73" s="131" t="s">
        <v>5</v>
      </c>
    </row>
    <row r="74" spans="1:16" ht="30" customHeight="1" x14ac:dyDescent="0.3">
      <c r="A74" s="121" t="s">
        <v>1914</v>
      </c>
      <c r="B74" s="121" t="s">
        <v>1900</v>
      </c>
      <c r="C74" s="122" t="s">
        <v>12</v>
      </c>
      <c r="D74" s="134">
        <v>2348</v>
      </c>
      <c r="E74" s="124" t="s">
        <v>5</v>
      </c>
      <c r="F74" s="126">
        <v>3200</v>
      </c>
      <c r="G74" s="124" t="s">
        <v>772</v>
      </c>
      <c r="H74" s="126">
        <v>2400</v>
      </c>
      <c r="I74" s="124" t="s">
        <v>769</v>
      </c>
      <c r="J74" s="127">
        <v>0</v>
      </c>
      <c r="K74" s="124"/>
      <c r="L74" s="127">
        <v>0</v>
      </c>
      <c r="M74" s="124" t="s">
        <v>5</v>
      </c>
      <c r="N74" s="144">
        <f t="shared" si="1"/>
        <v>2348</v>
      </c>
      <c r="O74" s="124"/>
      <c r="P74" s="131" t="s">
        <v>5</v>
      </c>
    </row>
    <row r="75" spans="1:16" ht="30" customHeight="1" x14ac:dyDescent="0.3">
      <c r="A75" s="121" t="s">
        <v>1914</v>
      </c>
      <c r="B75" s="121" t="s">
        <v>1901</v>
      </c>
      <c r="C75" s="122" t="s">
        <v>12</v>
      </c>
      <c r="D75" s="134">
        <v>2783</v>
      </c>
      <c r="E75" s="124" t="s">
        <v>5</v>
      </c>
      <c r="F75" s="126">
        <v>4440</v>
      </c>
      <c r="G75" s="124" t="s">
        <v>772</v>
      </c>
      <c r="H75" s="126">
        <v>3540</v>
      </c>
      <c r="I75" s="124" t="s">
        <v>769</v>
      </c>
      <c r="J75" s="127">
        <v>0</v>
      </c>
      <c r="K75" s="124"/>
      <c r="L75" s="127">
        <v>0</v>
      </c>
      <c r="M75" s="124" t="s">
        <v>5</v>
      </c>
      <c r="N75" s="144">
        <f t="shared" si="1"/>
        <v>2783</v>
      </c>
      <c r="O75" s="146"/>
      <c r="P75" s="147" t="s">
        <v>5</v>
      </c>
    </row>
    <row r="76" spans="1:16" ht="30" customHeight="1" x14ac:dyDescent="0.3">
      <c r="A76" s="121" t="s">
        <v>1914</v>
      </c>
      <c r="B76" s="121" t="s">
        <v>1902</v>
      </c>
      <c r="C76" s="122" t="s">
        <v>12</v>
      </c>
      <c r="D76" s="148">
        <v>5865</v>
      </c>
      <c r="E76" s="124" t="s">
        <v>5</v>
      </c>
      <c r="F76" s="126">
        <v>8400</v>
      </c>
      <c r="G76" s="124" t="s">
        <v>770</v>
      </c>
      <c r="H76" s="126">
        <v>7940</v>
      </c>
      <c r="I76" s="124" t="s">
        <v>769</v>
      </c>
      <c r="J76" s="127">
        <v>0</v>
      </c>
      <c r="K76" s="124"/>
      <c r="L76" s="127">
        <v>0</v>
      </c>
      <c r="M76" s="124" t="s">
        <v>5</v>
      </c>
      <c r="N76" s="144">
        <f t="shared" si="1"/>
        <v>5865</v>
      </c>
      <c r="O76" s="146"/>
      <c r="P76" s="147" t="s">
        <v>5</v>
      </c>
    </row>
    <row r="77" spans="1:16" ht="30" customHeight="1" x14ac:dyDescent="0.3">
      <c r="A77" s="121" t="s">
        <v>1914</v>
      </c>
      <c r="B77" s="121" t="s">
        <v>1903</v>
      </c>
      <c r="C77" s="122" t="s">
        <v>12</v>
      </c>
      <c r="D77" s="148">
        <v>9605</v>
      </c>
      <c r="E77" s="124" t="s">
        <v>5</v>
      </c>
      <c r="F77" s="126">
        <v>15020</v>
      </c>
      <c r="G77" s="124" t="s">
        <v>770</v>
      </c>
      <c r="H77" s="126">
        <v>12770</v>
      </c>
      <c r="I77" s="124" t="s">
        <v>769</v>
      </c>
      <c r="J77" s="127">
        <v>0</v>
      </c>
      <c r="K77" s="124"/>
      <c r="L77" s="127">
        <v>0</v>
      </c>
      <c r="M77" s="124" t="s">
        <v>5</v>
      </c>
      <c r="N77" s="144">
        <f t="shared" si="1"/>
        <v>9605</v>
      </c>
      <c r="O77" s="146"/>
      <c r="P77" s="147" t="s">
        <v>5</v>
      </c>
    </row>
    <row r="78" spans="1:16" ht="30" customHeight="1" x14ac:dyDescent="0.3">
      <c r="A78" s="121" t="s">
        <v>1914</v>
      </c>
      <c r="B78" s="121" t="s">
        <v>1904</v>
      </c>
      <c r="C78" s="122" t="s">
        <v>12</v>
      </c>
      <c r="D78" s="123">
        <v>0</v>
      </c>
      <c r="E78" s="124" t="s">
        <v>5</v>
      </c>
      <c r="F78" s="126">
        <v>26330</v>
      </c>
      <c r="G78" s="124" t="s">
        <v>770</v>
      </c>
      <c r="H78" s="126">
        <v>18300</v>
      </c>
      <c r="I78" s="124" t="s">
        <v>769</v>
      </c>
      <c r="J78" s="127">
        <v>0</v>
      </c>
      <c r="K78" s="124"/>
      <c r="L78" s="127">
        <v>0</v>
      </c>
      <c r="M78" s="124" t="s">
        <v>5</v>
      </c>
      <c r="N78" s="144">
        <f t="shared" si="1"/>
        <v>18300</v>
      </c>
      <c r="O78" s="146"/>
      <c r="P78" s="147" t="s">
        <v>5</v>
      </c>
    </row>
    <row r="79" spans="1:16" ht="30" customHeight="1" x14ac:dyDescent="0.3">
      <c r="A79" s="121" t="s">
        <v>1914</v>
      </c>
      <c r="B79" s="121" t="s">
        <v>1915</v>
      </c>
      <c r="C79" s="122" t="s">
        <v>12</v>
      </c>
      <c r="D79" s="134">
        <v>1532</v>
      </c>
      <c r="E79" s="124" t="s">
        <v>5</v>
      </c>
      <c r="F79" s="126">
        <v>2700</v>
      </c>
      <c r="G79" s="124" t="s">
        <v>772</v>
      </c>
      <c r="H79" s="127">
        <v>0</v>
      </c>
      <c r="I79" s="124"/>
      <c r="J79" s="127">
        <v>0</v>
      </c>
      <c r="K79" s="124"/>
      <c r="L79" s="127">
        <v>0</v>
      </c>
      <c r="M79" s="124" t="s">
        <v>5</v>
      </c>
      <c r="N79" s="144">
        <f t="shared" si="1"/>
        <v>1532</v>
      </c>
      <c r="O79" s="146"/>
      <c r="P79" s="147" t="s">
        <v>5</v>
      </c>
    </row>
    <row r="80" spans="1:16" ht="30" customHeight="1" x14ac:dyDescent="0.3">
      <c r="A80" s="121" t="s">
        <v>1914</v>
      </c>
      <c r="B80" s="121" t="s">
        <v>1916</v>
      </c>
      <c r="C80" s="122" t="s">
        <v>12</v>
      </c>
      <c r="D80" s="134">
        <v>1965</v>
      </c>
      <c r="E80" s="124" t="s">
        <v>5</v>
      </c>
      <c r="F80" s="126">
        <v>3300</v>
      </c>
      <c r="G80" s="124" t="s">
        <v>772</v>
      </c>
      <c r="H80" s="127">
        <v>0</v>
      </c>
      <c r="I80" s="124"/>
      <c r="J80" s="127">
        <v>0</v>
      </c>
      <c r="K80" s="124"/>
      <c r="L80" s="127">
        <v>0</v>
      </c>
      <c r="M80" s="124" t="s">
        <v>5</v>
      </c>
      <c r="N80" s="144">
        <f t="shared" si="1"/>
        <v>1965</v>
      </c>
      <c r="O80" s="146"/>
      <c r="P80" s="147" t="s">
        <v>5</v>
      </c>
    </row>
    <row r="81" spans="1:16" ht="30" customHeight="1" x14ac:dyDescent="0.3">
      <c r="A81" s="121" t="s">
        <v>1914</v>
      </c>
      <c r="B81" s="121" t="s">
        <v>1917</v>
      </c>
      <c r="C81" s="122" t="s">
        <v>12</v>
      </c>
      <c r="D81" s="134">
        <v>2624</v>
      </c>
      <c r="E81" s="124" t="s">
        <v>5</v>
      </c>
      <c r="F81" s="126">
        <v>3980</v>
      </c>
      <c r="G81" s="124" t="s">
        <v>772</v>
      </c>
      <c r="H81" s="127">
        <v>0</v>
      </c>
      <c r="I81" s="124"/>
      <c r="J81" s="127">
        <v>0</v>
      </c>
      <c r="K81" s="124"/>
      <c r="L81" s="127">
        <v>0</v>
      </c>
      <c r="M81" s="124" t="s">
        <v>5</v>
      </c>
      <c r="N81" s="144">
        <f t="shared" si="1"/>
        <v>2624</v>
      </c>
      <c r="O81" s="146"/>
      <c r="P81" s="147" t="s">
        <v>5</v>
      </c>
    </row>
    <row r="82" spans="1:16" ht="30" customHeight="1" x14ac:dyDescent="0.3">
      <c r="A82" s="121" t="s">
        <v>1914</v>
      </c>
      <c r="B82" s="121" t="s">
        <v>1918</v>
      </c>
      <c r="C82" s="122" t="s">
        <v>12</v>
      </c>
      <c r="D82" s="134">
        <v>3821</v>
      </c>
      <c r="E82" s="124" t="s">
        <v>5</v>
      </c>
      <c r="F82" s="126">
        <v>5290</v>
      </c>
      <c r="G82" s="124" t="s">
        <v>772</v>
      </c>
      <c r="H82" s="127">
        <v>0</v>
      </c>
      <c r="I82" s="124"/>
      <c r="J82" s="127">
        <v>0</v>
      </c>
      <c r="K82" s="124"/>
      <c r="L82" s="127">
        <v>0</v>
      </c>
      <c r="M82" s="124" t="s">
        <v>5</v>
      </c>
      <c r="N82" s="144">
        <f t="shared" si="1"/>
        <v>3821</v>
      </c>
      <c r="O82" s="146"/>
      <c r="P82" s="147" t="s">
        <v>5</v>
      </c>
    </row>
    <row r="83" spans="1:16" ht="30" customHeight="1" x14ac:dyDescent="0.3">
      <c r="A83" s="121" t="s">
        <v>1914</v>
      </c>
      <c r="B83" s="121" t="s">
        <v>1919</v>
      </c>
      <c r="C83" s="122" t="s">
        <v>12</v>
      </c>
      <c r="D83" s="134">
        <v>5869</v>
      </c>
      <c r="E83" s="124" t="s">
        <v>5</v>
      </c>
      <c r="F83" s="126">
        <v>6740</v>
      </c>
      <c r="G83" s="124" t="s">
        <v>772</v>
      </c>
      <c r="H83" s="127">
        <v>0</v>
      </c>
      <c r="I83" s="124"/>
      <c r="J83" s="127">
        <v>0</v>
      </c>
      <c r="K83" s="124"/>
      <c r="L83" s="127">
        <v>0</v>
      </c>
      <c r="M83" s="124" t="s">
        <v>5</v>
      </c>
      <c r="N83" s="144">
        <f t="shared" si="1"/>
        <v>5869</v>
      </c>
      <c r="O83" s="146"/>
      <c r="P83" s="147" t="s">
        <v>5</v>
      </c>
    </row>
    <row r="84" spans="1:16" ht="30" customHeight="1" x14ac:dyDescent="0.3">
      <c r="A84" s="121" t="s">
        <v>1914</v>
      </c>
      <c r="B84" s="121" t="s">
        <v>1920</v>
      </c>
      <c r="C84" s="122" t="s">
        <v>12</v>
      </c>
      <c r="D84" s="134">
        <v>6775</v>
      </c>
      <c r="E84" s="124" t="s">
        <v>5</v>
      </c>
      <c r="F84" s="126">
        <v>8690</v>
      </c>
      <c r="G84" s="124" t="s">
        <v>772</v>
      </c>
      <c r="H84" s="127">
        <v>0</v>
      </c>
      <c r="I84" s="124"/>
      <c r="J84" s="127">
        <v>0</v>
      </c>
      <c r="K84" s="124"/>
      <c r="L84" s="127">
        <v>0</v>
      </c>
      <c r="M84" s="124" t="s">
        <v>5</v>
      </c>
      <c r="N84" s="144">
        <f t="shared" si="1"/>
        <v>6775</v>
      </c>
      <c r="O84" s="146"/>
      <c r="P84" s="147" t="s">
        <v>5</v>
      </c>
    </row>
    <row r="85" spans="1:16" ht="30" customHeight="1" x14ac:dyDescent="0.3">
      <c r="A85" s="121" t="s">
        <v>1914</v>
      </c>
      <c r="B85" s="121" t="s">
        <v>1921</v>
      </c>
      <c r="C85" s="122" t="s">
        <v>12</v>
      </c>
      <c r="D85" s="134">
        <v>20640</v>
      </c>
      <c r="E85" s="124" t="s">
        <v>5</v>
      </c>
      <c r="F85" s="126">
        <v>0</v>
      </c>
      <c r="G85" s="124"/>
      <c r="H85" s="127">
        <v>0</v>
      </c>
      <c r="I85" s="124"/>
      <c r="J85" s="127">
        <v>0</v>
      </c>
      <c r="K85" s="124"/>
      <c r="L85" s="127">
        <v>0</v>
      </c>
      <c r="M85" s="124" t="s">
        <v>5</v>
      </c>
      <c r="N85" s="144">
        <f t="shared" si="1"/>
        <v>20640</v>
      </c>
      <c r="O85" s="146"/>
      <c r="P85" s="147" t="s">
        <v>5</v>
      </c>
    </row>
    <row r="86" spans="1:16" ht="30" customHeight="1" x14ac:dyDescent="0.3">
      <c r="A86" s="121" t="s">
        <v>1914</v>
      </c>
      <c r="B86" s="121" t="s">
        <v>1922</v>
      </c>
      <c r="C86" s="122" t="s">
        <v>12</v>
      </c>
      <c r="D86" s="134">
        <v>28608</v>
      </c>
      <c r="E86" s="124" t="s">
        <v>5</v>
      </c>
      <c r="F86" s="126">
        <v>0</v>
      </c>
      <c r="G86" s="124"/>
      <c r="H86" s="127">
        <v>0</v>
      </c>
      <c r="I86" s="124"/>
      <c r="J86" s="127">
        <v>0</v>
      </c>
      <c r="K86" s="124"/>
      <c r="L86" s="127">
        <v>0</v>
      </c>
      <c r="M86" s="124" t="s">
        <v>5</v>
      </c>
      <c r="N86" s="144">
        <f t="shared" si="1"/>
        <v>28608</v>
      </c>
      <c r="O86" s="146"/>
      <c r="P86" s="147" t="s">
        <v>5</v>
      </c>
    </row>
    <row r="87" spans="1:16" ht="30" customHeight="1" x14ac:dyDescent="0.3">
      <c r="A87" s="121" t="s">
        <v>1914</v>
      </c>
      <c r="B87" s="121" t="s">
        <v>1923</v>
      </c>
      <c r="C87" s="122" t="s">
        <v>12</v>
      </c>
      <c r="D87" s="134">
        <v>41088</v>
      </c>
      <c r="E87" s="124" t="s">
        <v>5</v>
      </c>
      <c r="F87" s="126">
        <v>0</v>
      </c>
      <c r="G87" s="124"/>
      <c r="H87" s="127">
        <v>0</v>
      </c>
      <c r="I87" s="124"/>
      <c r="J87" s="127">
        <v>0</v>
      </c>
      <c r="K87" s="124"/>
      <c r="L87" s="127">
        <v>0</v>
      </c>
      <c r="M87" s="124" t="s">
        <v>5</v>
      </c>
      <c r="N87" s="144">
        <f t="shared" si="1"/>
        <v>41088</v>
      </c>
      <c r="O87" s="146"/>
      <c r="P87" s="147" t="s">
        <v>5</v>
      </c>
    </row>
    <row r="88" spans="1:16" ht="30" customHeight="1" x14ac:dyDescent="0.3">
      <c r="A88" s="121" t="s">
        <v>1924</v>
      </c>
      <c r="B88" s="121" t="s">
        <v>1925</v>
      </c>
      <c r="C88" s="122" t="s">
        <v>12</v>
      </c>
      <c r="D88" s="134">
        <v>1992</v>
      </c>
      <c r="E88" s="124" t="s">
        <v>5</v>
      </c>
      <c r="F88" s="127">
        <v>0</v>
      </c>
      <c r="G88" s="124"/>
      <c r="H88" s="127">
        <v>0</v>
      </c>
      <c r="I88" s="124"/>
      <c r="J88" s="126">
        <v>2170</v>
      </c>
      <c r="K88" s="124" t="s">
        <v>2176</v>
      </c>
      <c r="L88" s="126">
        <v>3516</v>
      </c>
      <c r="M88" s="124" t="s">
        <v>2180</v>
      </c>
      <c r="N88" s="144">
        <f t="shared" si="1"/>
        <v>1992</v>
      </c>
      <c r="O88" s="146"/>
      <c r="P88" s="147" t="s">
        <v>5</v>
      </c>
    </row>
    <row r="89" spans="1:16" ht="30" customHeight="1" x14ac:dyDescent="0.3">
      <c r="A89" s="121" t="s">
        <v>1924</v>
      </c>
      <c r="B89" s="121" t="s">
        <v>1926</v>
      </c>
      <c r="C89" s="122" t="s">
        <v>12</v>
      </c>
      <c r="D89" s="134">
        <v>2306</v>
      </c>
      <c r="E89" s="124" t="s">
        <v>5</v>
      </c>
      <c r="F89" s="127">
        <v>0</v>
      </c>
      <c r="G89" s="124"/>
      <c r="H89" s="127">
        <v>0</v>
      </c>
      <c r="I89" s="124"/>
      <c r="J89" s="126">
        <v>2510</v>
      </c>
      <c r="K89" s="124" t="s">
        <v>2176</v>
      </c>
      <c r="L89" s="126">
        <v>4044</v>
      </c>
      <c r="M89" s="124" t="s">
        <v>2180</v>
      </c>
      <c r="N89" s="144">
        <f t="shared" si="1"/>
        <v>2306</v>
      </c>
      <c r="O89" s="146"/>
      <c r="P89" s="147" t="s">
        <v>5</v>
      </c>
    </row>
    <row r="90" spans="1:16" ht="30" customHeight="1" x14ac:dyDescent="0.3">
      <c r="A90" s="121" t="s">
        <v>1924</v>
      </c>
      <c r="B90" s="121" t="s">
        <v>1927</v>
      </c>
      <c r="C90" s="122" t="s">
        <v>12</v>
      </c>
      <c r="D90" s="134">
        <v>2885</v>
      </c>
      <c r="E90" s="124" t="s">
        <v>5</v>
      </c>
      <c r="F90" s="127">
        <v>0</v>
      </c>
      <c r="G90" s="124"/>
      <c r="H90" s="127">
        <v>0</v>
      </c>
      <c r="I90" s="124"/>
      <c r="J90" s="126">
        <v>3140</v>
      </c>
      <c r="K90" s="124" t="s">
        <v>2176</v>
      </c>
      <c r="L90" s="126">
        <v>5088</v>
      </c>
      <c r="M90" s="124" t="s">
        <v>2180</v>
      </c>
      <c r="N90" s="144">
        <f t="shared" si="1"/>
        <v>2885</v>
      </c>
      <c r="O90" s="146"/>
      <c r="P90" s="147" t="s">
        <v>5</v>
      </c>
    </row>
    <row r="91" spans="1:16" ht="30" customHeight="1" x14ac:dyDescent="0.3">
      <c r="A91" s="121" t="s">
        <v>1924</v>
      </c>
      <c r="B91" s="121" t="s">
        <v>1928</v>
      </c>
      <c r="C91" s="122" t="s">
        <v>12</v>
      </c>
      <c r="D91" s="134">
        <v>4392</v>
      </c>
      <c r="E91" s="124" t="s">
        <v>5</v>
      </c>
      <c r="F91" s="127">
        <v>0</v>
      </c>
      <c r="G91" s="124"/>
      <c r="H91" s="127">
        <v>0</v>
      </c>
      <c r="I91" s="124"/>
      <c r="J91" s="126">
        <v>4780</v>
      </c>
      <c r="K91" s="124" t="s">
        <v>2176</v>
      </c>
      <c r="L91" s="126">
        <v>5940</v>
      </c>
      <c r="M91" s="124" t="s">
        <v>2180</v>
      </c>
      <c r="N91" s="144">
        <f t="shared" si="1"/>
        <v>4392</v>
      </c>
      <c r="O91" s="146"/>
      <c r="P91" s="147" t="s">
        <v>5</v>
      </c>
    </row>
    <row r="92" spans="1:16" ht="30" customHeight="1" x14ac:dyDescent="0.3">
      <c r="A92" s="121" t="s">
        <v>1924</v>
      </c>
      <c r="B92" s="121" t="s">
        <v>1929</v>
      </c>
      <c r="C92" s="122" t="s">
        <v>12</v>
      </c>
      <c r="D92" s="134">
        <v>4658</v>
      </c>
      <c r="E92" s="124" t="s">
        <v>5</v>
      </c>
      <c r="F92" s="127">
        <v>0</v>
      </c>
      <c r="G92" s="124"/>
      <c r="H92" s="127">
        <v>0</v>
      </c>
      <c r="I92" s="124"/>
      <c r="J92" s="126">
        <v>5070</v>
      </c>
      <c r="K92" s="124" t="s">
        <v>2176</v>
      </c>
      <c r="L92" s="126">
        <v>6996</v>
      </c>
      <c r="M92" s="124" t="s">
        <v>2180</v>
      </c>
      <c r="N92" s="144">
        <f t="shared" si="1"/>
        <v>4658</v>
      </c>
      <c r="O92" s="146"/>
      <c r="P92" s="147" t="s">
        <v>5</v>
      </c>
    </row>
    <row r="93" spans="1:16" ht="30" customHeight="1" x14ac:dyDescent="0.3">
      <c r="A93" s="121" t="s">
        <v>1924</v>
      </c>
      <c r="B93" s="121" t="s">
        <v>1930</v>
      </c>
      <c r="C93" s="122" t="s">
        <v>12</v>
      </c>
      <c r="D93" s="134">
        <v>6314</v>
      </c>
      <c r="E93" s="124" t="s">
        <v>5</v>
      </c>
      <c r="F93" s="127">
        <v>0</v>
      </c>
      <c r="G93" s="124"/>
      <c r="H93" s="127">
        <v>0</v>
      </c>
      <c r="I93" s="124"/>
      <c r="J93" s="126">
        <v>7300</v>
      </c>
      <c r="K93" s="124" t="s">
        <v>2176</v>
      </c>
      <c r="L93" s="126">
        <v>8244</v>
      </c>
      <c r="M93" s="124" t="s">
        <v>2180</v>
      </c>
      <c r="N93" s="144">
        <f t="shared" si="1"/>
        <v>6314</v>
      </c>
      <c r="O93" s="146"/>
      <c r="P93" s="147" t="s">
        <v>5</v>
      </c>
    </row>
    <row r="94" spans="1:16" ht="30" customHeight="1" x14ac:dyDescent="0.3">
      <c r="A94" s="121" t="s">
        <v>1924</v>
      </c>
      <c r="B94" s="121" t="s">
        <v>1931</v>
      </c>
      <c r="C94" s="122" t="s">
        <v>12</v>
      </c>
      <c r="D94" s="134">
        <v>18755</v>
      </c>
      <c r="E94" s="124" t="s">
        <v>5</v>
      </c>
      <c r="F94" s="127">
        <v>0</v>
      </c>
      <c r="G94" s="124"/>
      <c r="H94" s="127">
        <v>0</v>
      </c>
      <c r="I94" s="124"/>
      <c r="J94" s="126">
        <v>27950</v>
      </c>
      <c r="K94" s="124" t="s">
        <v>2176</v>
      </c>
      <c r="L94" s="126">
        <v>24480</v>
      </c>
      <c r="M94" s="124" t="s">
        <v>2180</v>
      </c>
      <c r="N94" s="144">
        <f t="shared" si="1"/>
        <v>18755</v>
      </c>
      <c r="O94" s="146"/>
      <c r="P94" s="147" t="s">
        <v>5</v>
      </c>
    </row>
    <row r="95" spans="1:16" ht="30" customHeight="1" x14ac:dyDescent="0.3">
      <c r="A95" s="121" t="s">
        <v>1924</v>
      </c>
      <c r="B95" s="121" t="s">
        <v>1932</v>
      </c>
      <c r="C95" s="122" t="s">
        <v>12</v>
      </c>
      <c r="D95" s="134">
        <v>22708</v>
      </c>
      <c r="E95" s="124" t="s">
        <v>5</v>
      </c>
      <c r="F95" s="127">
        <v>0</v>
      </c>
      <c r="G95" s="124"/>
      <c r="H95" s="127">
        <v>0</v>
      </c>
      <c r="I95" s="124"/>
      <c r="J95" s="126">
        <v>39120</v>
      </c>
      <c r="K95" s="124" t="s">
        <v>2176</v>
      </c>
      <c r="L95" s="126">
        <v>29640</v>
      </c>
      <c r="M95" s="124" t="s">
        <v>2180</v>
      </c>
      <c r="N95" s="144">
        <f t="shared" si="1"/>
        <v>22708</v>
      </c>
      <c r="O95" s="146"/>
      <c r="P95" s="147" t="s">
        <v>5</v>
      </c>
    </row>
    <row r="96" spans="1:16" ht="30" customHeight="1" x14ac:dyDescent="0.3">
      <c r="A96" s="121" t="s">
        <v>1924</v>
      </c>
      <c r="B96" s="121" t="s">
        <v>1933</v>
      </c>
      <c r="C96" s="122" t="s">
        <v>12</v>
      </c>
      <c r="D96" s="134">
        <v>45509</v>
      </c>
      <c r="E96" s="124" t="s">
        <v>5</v>
      </c>
      <c r="F96" s="127">
        <v>0</v>
      </c>
      <c r="G96" s="124"/>
      <c r="H96" s="127">
        <v>0</v>
      </c>
      <c r="I96" s="124"/>
      <c r="J96" s="126">
        <v>61400</v>
      </c>
      <c r="K96" s="124" t="s">
        <v>2176</v>
      </c>
      <c r="L96" s="126">
        <v>59400</v>
      </c>
      <c r="M96" s="124" t="s">
        <v>2180</v>
      </c>
      <c r="N96" s="144">
        <f t="shared" si="1"/>
        <v>45509</v>
      </c>
      <c r="O96" s="146"/>
      <c r="P96" s="147" t="s">
        <v>5</v>
      </c>
    </row>
    <row r="97" spans="1:16" ht="30" customHeight="1" x14ac:dyDescent="0.3">
      <c r="A97" s="121" t="s">
        <v>1934</v>
      </c>
      <c r="B97" s="121" t="s">
        <v>1861</v>
      </c>
      <c r="C97" s="122" t="s">
        <v>12</v>
      </c>
      <c r="D97" s="134">
        <v>3130</v>
      </c>
      <c r="E97" s="124" t="s">
        <v>5</v>
      </c>
      <c r="F97" s="126">
        <v>3500</v>
      </c>
      <c r="G97" s="124" t="s">
        <v>766</v>
      </c>
      <c r="H97" s="126">
        <v>4031</v>
      </c>
      <c r="I97" s="124" t="s">
        <v>2181</v>
      </c>
      <c r="J97" s="126">
        <v>4500</v>
      </c>
      <c r="K97" s="124" t="s">
        <v>2176</v>
      </c>
      <c r="L97" s="126">
        <v>4031</v>
      </c>
      <c r="M97" s="124" t="s">
        <v>2180</v>
      </c>
      <c r="N97" s="144">
        <f t="shared" si="1"/>
        <v>3130</v>
      </c>
      <c r="O97" s="146"/>
      <c r="P97" s="147" t="s">
        <v>5</v>
      </c>
    </row>
    <row r="98" spans="1:16" ht="30" customHeight="1" x14ac:dyDescent="0.3">
      <c r="A98" s="121" t="s">
        <v>1934</v>
      </c>
      <c r="B98" s="121" t="s">
        <v>1862</v>
      </c>
      <c r="C98" s="122" t="s">
        <v>12</v>
      </c>
      <c r="D98" s="134">
        <v>3765</v>
      </c>
      <c r="E98" s="124" t="s">
        <v>5</v>
      </c>
      <c r="F98" s="126">
        <v>4930</v>
      </c>
      <c r="G98" s="124" t="s">
        <v>766</v>
      </c>
      <c r="H98" s="126">
        <v>5412</v>
      </c>
      <c r="I98" s="124" t="s">
        <v>2181</v>
      </c>
      <c r="J98" s="126">
        <v>5400</v>
      </c>
      <c r="K98" s="124" t="s">
        <v>2176</v>
      </c>
      <c r="L98" s="126">
        <v>5412</v>
      </c>
      <c r="M98" s="124" t="s">
        <v>2180</v>
      </c>
      <c r="N98" s="144">
        <f t="shared" si="1"/>
        <v>3765</v>
      </c>
      <c r="O98" s="146"/>
      <c r="P98" s="147" t="s">
        <v>5</v>
      </c>
    </row>
    <row r="99" spans="1:16" ht="30" customHeight="1" x14ac:dyDescent="0.3">
      <c r="A99" s="121" t="s">
        <v>1934</v>
      </c>
      <c r="B99" s="121" t="s">
        <v>1863</v>
      </c>
      <c r="C99" s="122" t="s">
        <v>12</v>
      </c>
      <c r="D99" s="134">
        <v>5389</v>
      </c>
      <c r="E99" s="124" t="s">
        <v>5</v>
      </c>
      <c r="F99" s="126">
        <v>6030</v>
      </c>
      <c r="G99" s="124" t="s">
        <v>766</v>
      </c>
      <c r="H99" s="126">
        <v>6800</v>
      </c>
      <c r="I99" s="124" t="s">
        <v>2181</v>
      </c>
      <c r="J99" s="126">
        <v>9700</v>
      </c>
      <c r="K99" s="124" t="s">
        <v>2176</v>
      </c>
      <c r="L99" s="126">
        <v>6800</v>
      </c>
      <c r="M99" s="124" t="s">
        <v>2180</v>
      </c>
      <c r="N99" s="144">
        <f t="shared" si="1"/>
        <v>5389</v>
      </c>
      <c r="O99" s="146"/>
      <c r="P99" s="147" t="s">
        <v>5</v>
      </c>
    </row>
    <row r="100" spans="1:16" ht="30" customHeight="1" x14ac:dyDescent="0.3">
      <c r="A100" s="121" t="s">
        <v>1934</v>
      </c>
      <c r="B100" s="121" t="s">
        <v>1864</v>
      </c>
      <c r="C100" s="122" t="s">
        <v>12</v>
      </c>
      <c r="D100" s="134">
        <v>8397</v>
      </c>
      <c r="E100" s="124" t="s">
        <v>5</v>
      </c>
      <c r="F100" s="126">
        <v>9440</v>
      </c>
      <c r="G100" s="124" t="s">
        <v>766</v>
      </c>
      <c r="H100" s="126">
        <v>10696</v>
      </c>
      <c r="I100" s="124" t="s">
        <v>2181</v>
      </c>
      <c r="J100" s="126">
        <v>10700</v>
      </c>
      <c r="K100" s="124" t="s">
        <v>2176</v>
      </c>
      <c r="L100" s="126">
        <v>10696</v>
      </c>
      <c r="M100" s="124" t="s">
        <v>2180</v>
      </c>
      <c r="N100" s="144">
        <f t="shared" si="1"/>
        <v>8397</v>
      </c>
      <c r="O100" s="146"/>
      <c r="P100" s="147" t="s">
        <v>5</v>
      </c>
    </row>
    <row r="101" spans="1:16" ht="30" customHeight="1" x14ac:dyDescent="0.3">
      <c r="A101" s="121" t="s">
        <v>1934</v>
      </c>
      <c r="B101" s="121" t="s">
        <v>1865</v>
      </c>
      <c r="C101" s="122" t="s">
        <v>12</v>
      </c>
      <c r="D101" s="134">
        <v>14226</v>
      </c>
      <c r="E101" s="124" t="s">
        <v>5</v>
      </c>
      <c r="F101" s="126">
        <v>15930</v>
      </c>
      <c r="G101" s="124" t="s">
        <v>766</v>
      </c>
      <c r="H101" s="126">
        <v>17615</v>
      </c>
      <c r="I101" s="124" t="s">
        <v>2181</v>
      </c>
      <c r="J101" s="126">
        <v>16800</v>
      </c>
      <c r="K101" s="124" t="s">
        <v>2176</v>
      </c>
      <c r="L101" s="126">
        <v>17615</v>
      </c>
      <c r="M101" s="124" t="s">
        <v>2180</v>
      </c>
      <c r="N101" s="144">
        <f t="shared" si="1"/>
        <v>14226</v>
      </c>
      <c r="O101" s="146"/>
      <c r="P101" s="147" t="s">
        <v>5</v>
      </c>
    </row>
    <row r="102" spans="1:16" ht="30" customHeight="1" x14ac:dyDescent="0.3">
      <c r="A102" s="121" t="s">
        <v>1934</v>
      </c>
      <c r="B102" s="121" t="s">
        <v>1866</v>
      </c>
      <c r="C102" s="122" t="s">
        <v>12</v>
      </c>
      <c r="D102" s="134">
        <v>18939</v>
      </c>
      <c r="E102" s="124" t="s">
        <v>5</v>
      </c>
      <c r="F102" s="126">
        <v>21210</v>
      </c>
      <c r="G102" s="124" t="s">
        <v>766</v>
      </c>
      <c r="H102" s="126">
        <v>23932</v>
      </c>
      <c r="I102" s="124" t="s">
        <v>2181</v>
      </c>
      <c r="J102" s="126">
        <v>23300</v>
      </c>
      <c r="K102" s="124" t="s">
        <v>2176</v>
      </c>
      <c r="L102" s="126">
        <v>23932</v>
      </c>
      <c r="M102" s="124" t="s">
        <v>2180</v>
      </c>
      <c r="N102" s="144">
        <f t="shared" si="1"/>
        <v>18939</v>
      </c>
      <c r="O102" s="146"/>
      <c r="P102" s="147" t="s">
        <v>5</v>
      </c>
    </row>
    <row r="103" spans="1:16" ht="30" customHeight="1" x14ac:dyDescent="0.3">
      <c r="A103" s="121" t="s">
        <v>1934</v>
      </c>
      <c r="B103" s="121" t="s">
        <v>1867</v>
      </c>
      <c r="C103" s="122" t="s">
        <v>12</v>
      </c>
      <c r="D103" s="134">
        <v>38285</v>
      </c>
      <c r="E103" s="124" t="s">
        <v>5</v>
      </c>
      <c r="F103" s="126">
        <v>42880</v>
      </c>
      <c r="G103" s="124" t="s">
        <v>766</v>
      </c>
      <c r="H103" s="126">
        <v>47880</v>
      </c>
      <c r="I103" s="124" t="s">
        <v>2181</v>
      </c>
      <c r="J103" s="126">
        <v>45500</v>
      </c>
      <c r="K103" s="124" t="s">
        <v>2176</v>
      </c>
      <c r="L103" s="126">
        <v>47880</v>
      </c>
      <c r="M103" s="124" t="s">
        <v>2180</v>
      </c>
      <c r="N103" s="144">
        <f t="shared" si="1"/>
        <v>38285</v>
      </c>
      <c r="O103" s="146"/>
      <c r="P103" s="147" t="s">
        <v>5</v>
      </c>
    </row>
    <row r="104" spans="1:16" ht="30" customHeight="1" x14ac:dyDescent="0.3">
      <c r="A104" s="121" t="s">
        <v>1935</v>
      </c>
      <c r="B104" s="121" t="s">
        <v>1870</v>
      </c>
      <c r="C104" s="122" t="s">
        <v>12</v>
      </c>
      <c r="D104" s="134">
        <v>814</v>
      </c>
      <c r="E104" s="124" t="s">
        <v>5</v>
      </c>
      <c r="F104" s="126">
        <v>1000</v>
      </c>
      <c r="G104" s="124" t="s">
        <v>770</v>
      </c>
      <c r="H104" s="126">
        <v>1193</v>
      </c>
      <c r="I104" s="124" t="s">
        <v>2182</v>
      </c>
      <c r="J104" s="126">
        <v>1150</v>
      </c>
      <c r="K104" s="124" t="s">
        <v>2177</v>
      </c>
      <c r="L104" s="126">
        <v>1452</v>
      </c>
      <c r="M104" s="124" t="s">
        <v>1602</v>
      </c>
      <c r="N104" s="144">
        <f t="shared" si="1"/>
        <v>814</v>
      </c>
      <c r="O104" s="146"/>
      <c r="P104" s="147" t="s">
        <v>5</v>
      </c>
    </row>
    <row r="105" spans="1:16" ht="30" customHeight="1" x14ac:dyDescent="0.3">
      <c r="A105" s="121" t="s">
        <v>1935</v>
      </c>
      <c r="B105" s="121" t="s">
        <v>1871</v>
      </c>
      <c r="C105" s="122" t="s">
        <v>12</v>
      </c>
      <c r="D105" s="134">
        <v>956</v>
      </c>
      <c r="E105" s="124" t="s">
        <v>5</v>
      </c>
      <c r="F105" s="126">
        <v>1200</v>
      </c>
      <c r="G105" s="124" t="s">
        <v>770</v>
      </c>
      <c r="H105" s="126">
        <v>1360</v>
      </c>
      <c r="I105" s="124" t="s">
        <v>2182</v>
      </c>
      <c r="J105" s="126">
        <v>1290</v>
      </c>
      <c r="K105" s="124" t="s">
        <v>2177</v>
      </c>
      <c r="L105" s="126">
        <v>2040</v>
      </c>
      <c r="M105" s="124" t="s">
        <v>1602</v>
      </c>
      <c r="N105" s="144">
        <f t="shared" si="1"/>
        <v>956</v>
      </c>
      <c r="O105" s="146"/>
      <c r="P105" s="147" t="s">
        <v>5</v>
      </c>
    </row>
    <row r="106" spans="1:16" ht="30" customHeight="1" x14ac:dyDescent="0.3">
      <c r="A106" s="121" t="s">
        <v>1935</v>
      </c>
      <c r="B106" s="121" t="s">
        <v>1872</v>
      </c>
      <c r="C106" s="122" t="s">
        <v>12</v>
      </c>
      <c r="D106" s="134">
        <v>1265</v>
      </c>
      <c r="E106" s="124" t="s">
        <v>5</v>
      </c>
      <c r="F106" s="126">
        <v>1400</v>
      </c>
      <c r="G106" s="124" t="s">
        <v>770</v>
      </c>
      <c r="H106" s="126">
        <v>1822</v>
      </c>
      <c r="I106" s="124" t="s">
        <v>2182</v>
      </c>
      <c r="J106" s="126">
        <v>1580</v>
      </c>
      <c r="K106" s="124" t="s">
        <v>2177</v>
      </c>
      <c r="L106" s="126">
        <v>2580</v>
      </c>
      <c r="M106" s="124" t="s">
        <v>1602</v>
      </c>
      <c r="N106" s="144">
        <f t="shared" si="1"/>
        <v>1265</v>
      </c>
      <c r="O106" s="146"/>
      <c r="P106" s="147" t="s">
        <v>5</v>
      </c>
    </row>
    <row r="107" spans="1:16" ht="30" customHeight="1" x14ac:dyDescent="0.3">
      <c r="A107" s="121" t="s">
        <v>1935</v>
      </c>
      <c r="B107" s="121" t="s">
        <v>1873</v>
      </c>
      <c r="C107" s="122" t="s">
        <v>12</v>
      </c>
      <c r="D107" s="134">
        <v>1892</v>
      </c>
      <c r="E107" s="124" t="s">
        <v>5</v>
      </c>
      <c r="F107" s="126">
        <v>2300</v>
      </c>
      <c r="G107" s="124" t="s">
        <v>770</v>
      </c>
      <c r="H107" s="126">
        <v>2732</v>
      </c>
      <c r="I107" s="124" t="s">
        <v>2182</v>
      </c>
      <c r="J107" s="126">
        <v>2580</v>
      </c>
      <c r="K107" s="124" t="s">
        <v>2177</v>
      </c>
      <c r="L107" s="126">
        <v>3840</v>
      </c>
      <c r="M107" s="124" t="s">
        <v>1602</v>
      </c>
      <c r="N107" s="144">
        <f t="shared" si="1"/>
        <v>1892</v>
      </c>
      <c r="O107" s="146"/>
      <c r="P107" s="147" t="s">
        <v>5</v>
      </c>
    </row>
    <row r="108" spans="1:16" ht="30" customHeight="1" x14ac:dyDescent="0.3">
      <c r="A108" s="121" t="s">
        <v>1935</v>
      </c>
      <c r="B108" s="121" t="s">
        <v>1874</v>
      </c>
      <c r="C108" s="122" t="s">
        <v>12</v>
      </c>
      <c r="D108" s="134">
        <v>3700</v>
      </c>
      <c r="E108" s="124" t="s">
        <v>5</v>
      </c>
      <c r="F108" s="126">
        <v>4500</v>
      </c>
      <c r="G108" s="124" t="s">
        <v>770</v>
      </c>
      <c r="H108" s="126">
        <v>6072</v>
      </c>
      <c r="I108" s="124" t="s">
        <v>2182</v>
      </c>
      <c r="J108" s="126">
        <v>5170</v>
      </c>
      <c r="K108" s="124" t="s">
        <v>2177</v>
      </c>
      <c r="L108" s="126">
        <v>7200</v>
      </c>
      <c r="M108" s="124" t="s">
        <v>1602</v>
      </c>
      <c r="N108" s="144">
        <f t="shared" si="1"/>
        <v>3700</v>
      </c>
      <c r="O108" s="146"/>
      <c r="P108" s="147" t="s">
        <v>5</v>
      </c>
    </row>
    <row r="109" spans="1:16" ht="30" customHeight="1" x14ac:dyDescent="0.3">
      <c r="A109" s="121" t="s">
        <v>1935</v>
      </c>
      <c r="B109" s="121" t="s">
        <v>1875</v>
      </c>
      <c r="C109" s="122" t="s">
        <v>12</v>
      </c>
      <c r="D109" s="134">
        <v>4494</v>
      </c>
      <c r="E109" s="124" t="s">
        <v>5</v>
      </c>
      <c r="F109" s="126">
        <v>5000</v>
      </c>
      <c r="G109" s="124" t="s">
        <v>770</v>
      </c>
      <c r="H109" s="126">
        <v>8350</v>
      </c>
      <c r="I109" s="124" t="s">
        <v>2182</v>
      </c>
      <c r="J109" s="126">
        <v>5750</v>
      </c>
      <c r="K109" s="124" t="s">
        <v>2177</v>
      </c>
      <c r="L109" s="126">
        <v>11520</v>
      </c>
      <c r="M109" s="124" t="s">
        <v>1602</v>
      </c>
      <c r="N109" s="144">
        <f t="shared" si="1"/>
        <v>4494</v>
      </c>
      <c r="O109" s="146"/>
      <c r="P109" s="147" t="s">
        <v>5</v>
      </c>
    </row>
    <row r="110" spans="1:16" ht="30" customHeight="1" x14ac:dyDescent="0.3">
      <c r="A110" s="121" t="s">
        <v>1935</v>
      </c>
      <c r="B110" s="121" t="s">
        <v>1936</v>
      </c>
      <c r="C110" s="122" t="s">
        <v>12</v>
      </c>
      <c r="D110" s="134">
        <v>7868</v>
      </c>
      <c r="E110" s="124" t="s">
        <v>5</v>
      </c>
      <c r="F110" s="126">
        <v>8800</v>
      </c>
      <c r="G110" s="124" t="s">
        <v>770</v>
      </c>
      <c r="H110" s="126">
        <v>11386</v>
      </c>
      <c r="I110" s="124" t="s">
        <v>2182</v>
      </c>
      <c r="J110" s="126">
        <v>10060</v>
      </c>
      <c r="K110" s="124" t="s">
        <v>2177</v>
      </c>
      <c r="L110" s="126">
        <v>16200</v>
      </c>
      <c r="M110" s="124" t="s">
        <v>1602</v>
      </c>
      <c r="N110" s="144">
        <f t="shared" si="1"/>
        <v>7868</v>
      </c>
      <c r="O110" s="146"/>
      <c r="P110" s="147" t="s">
        <v>5</v>
      </c>
    </row>
    <row r="111" spans="1:16" ht="30" customHeight="1" x14ac:dyDescent="0.3">
      <c r="A111" s="121" t="s">
        <v>1937</v>
      </c>
      <c r="B111" s="121" t="s">
        <v>1938</v>
      </c>
      <c r="C111" s="122" t="s">
        <v>12</v>
      </c>
      <c r="D111" s="134">
        <v>787</v>
      </c>
      <c r="E111" s="124" t="s">
        <v>5</v>
      </c>
      <c r="F111" s="126">
        <v>1170</v>
      </c>
      <c r="G111" s="124" t="s">
        <v>766</v>
      </c>
      <c r="H111" s="126">
        <v>977</v>
      </c>
      <c r="I111" s="124" t="s">
        <v>774</v>
      </c>
      <c r="J111" s="126">
        <v>977</v>
      </c>
      <c r="K111" s="124" t="s">
        <v>2178</v>
      </c>
      <c r="L111" s="126">
        <v>977</v>
      </c>
      <c r="M111" s="124" t="s">
        <v>2179</v>
      </c>
      <c r="N111" s="144">
        <f t="shared" si="1"/>
        <v>787</v>
      </c>
      <c r="O111" s="146"/>
      <c r="P111" s="147" t="s">
        <v>5</v>
      </c>
    </row>
    <row r="112" spans="1:16" ht="30" customHeight="1" x14ac:dyDescent="0.3">
      <c r="A112" s="121" t="s">
        <v>1937</v>
      </c>
      <c r="B112" s="121" t="s">
        <v>1939</v>
      </c>
      <c r="C112" s="122" t="s">
        <v>12</v>
      </c>
      <c r="D112" s="134">
        <v>961</v>
      </c>
      <c r="E112" s="124" t="s">
        <v>5</v>
      </c>
      <c r="F112" s="126">
        <v>1460</v>
      </c>
      <c r="G112" s="124" t="s">
        <v>766</v>
      </c>
      <c r="H112" s="126">
        <v>1193</v>
      </c>
      <c r="I112" s="124" t="s">
        <v>774</v>
      </c>
      <c r="J112" s="126">
        <v>1193</v>
      </c>
      <c r="K112" s="124" t="s">
        <v>2178</v>
      </c>
      <c r="L112" s="126">
        <v>1193</v>
      </c>
      <c r="M112" s="124" t="s">
        <v>2179</v>
      </c>
      <c r="N112" s="144">
        <f t="shared" si="1"/>
        <v>961</v>
      </c>
      <c r="O112" s="146"/>
      <c r="P112" s="147" t="s">
        <v>5</v>
      </c>
    </row>
    <row r="113" spans="1:16" ht="30" customHeight="1" x14ac:dyDescent="0.3">
      <c r="A113" s="121" t="s">
        <v>1937</v>
      </c>
      <c r="B113" s="121" t="s">
        <v>1940</v>
      </c>
      <c r="C113" s="122" t="s">
        <v>12</v>
      </c>
      <c r="D113" s="134">
        <v>1181</v>
      </c>
      <c r="E113" s="124" t="s">
        <v>5</v>
      </c>
      <c r="F113" s="126">
        <v>1760</v>
      </c>
      <c r="G113" s="124" t="s">
        <v>766</v>
      </c>
      <c r="H113" s="126">
        <v>1467</v>
      </c>
      <c r="I113" s="124" t="s">
        <v>774</v>
      </c>
      <c r="J113" s="126">
        <v>1467</v>
      </c>
      <c r="K113" s="124" t="s">
        <v>2178</v>
      </c>
      <c r="L113" s="126">
        <v>1467</v>
      </c>
      <c r="M113" s="124" t="s">
        <v>2179</v>
      </c>
      <c r="N113" s="144">
        <f t="shared" si="1"/>
        <v>1181</v>
      </c>
      <c r="O113" s="146"/>
      <c r="P113" s="147" t="s">
        <v>5</v>
      </c>
    </row>
    <row r="114" spans="1:16" ht="30" customHeight="1" x14ac:dyDescent="0.3">
      <c r="A114" s="121" t="s">
        <v>1937</v>
      </c>
      <c r="B114" s="121" t="s">
        <v>1941</v>
      </c>
      <c r="C114" s="122" t="s">
        <v>12</v>
      </c>
      <c r="D114" s="134">
        <v>1717</v>
      </c>
      <c r="E114" s="124" t="s">
        <v>5</v>
      </c>
      <c r="F114" s="126">
        <v>2260</v>
      </c>
      <c r="G114" s="124" t="s">
        <v>766</v>
      </c>
      <c r="H114" s="126">
        <v>2131</v>
      </c>
      <c r="I114" s="124" t="s">
        <v>774</v>
      </c>
      <c r="J114" s="126">
        <v>2131</v>
      </c>
      <c r="K114" s="124" t="s">
        <v>2178</v>
      </c>
      <c r="L114" s="126">
        <v>2131</v>
      </c>
      <c r="M114" s="124" t="s">
        <v>2179</v>
      </c>
      <c r="N114" s="144">
        <f t="shared" si="1"/>
        <v>1717</v>
      </c>
      <c r="O114" s="146"/>
      <c r="P114" s="147" t="s">
        <v>5</v>
      </c>
    </row>
    <row r="115" spans="1:16" ht="30" customHeight="1" x14ac:dyDescent="0.3">
      <c r="A115" s="121" t="s">
        <v>1937</v>
      </c>
      <c r="B115" s="121" t="s">
        <v>1942</v>
      </c>
      <c r="C115" s="122" t="s">
        <v>12</v>
      </c>
      <c r="D115" s="134">
        <v>2580</v>
      </c>
      <c r="E115" s="124" t="s">
        <v>5</v>
      </c>
      <c r="F115" s="126">
        <v>3400</v>
      </c>
      <c r="G115" s="124" t="s">
        <v>766</v>
      </c>
      <c r="H115" s="126">
        <v>3203</v>
      </c>
      <c r="I115" s="124" t="s">
        <v>774</v>
      </c>
      <c r="J115" s="126">
        <v>3203</v>
      </c>
      <c r="K115" s="124" t="s">
        <v>2178</v>
      </c>
      <c r="L115" s="126">
        <v>3203</v>
      </c>
      <c r="M115" s="124" t="s">
        <v>2179</v>
      </c>
      <c r="N115" s="144">
        <f t="shared" si="1"/>
        <v>2580</v>
      </c>
      <c r="O115" s="146"/>
      <c r="P115" s="147" t="s">
        <v>5</v>
      </c>
    </row>
    <row r="116" spans="1:16" ht="30" customHeight="1" x14ac:dyDescent="0.3">
      <c r="A116" s="121" t="s">
        <v>1937</v>
      </c>
      <c r="B116" s="121" t="s">
        <v>1943</v>
      </c>
      <c r="C116" s="122" t="s">
        <v>12</v>
      </c>
      <c r="D116" s="134">
        <v>3400</v>
      </c>
      <c r="E116" s="124" t="s">
        <v>5</v>
      </c>
      <c r="F116" s="126">
        <v>4530</v>
      </c>
      <c r="G116" s="124" t="s">
        <v>766</v>
      </c>
      <c r="H116" s="126">
        <v>4220</v>
      </c>
      <c r="I116" s="124" t="s">
        <v>774</v>
      </c>
      <c r="J116" s="126">
        <v>4220</v>
      </c>
      <c r="K116" s="124" t="s">
        <v>2178</v>
      </c>
      <c r="L116" s="126">
        <v>4220</v>
      </c>
      <c r="M116" s="124" t="s">
        <v>2179</v>
      </c>
      <c r="N116" s="144">
        <f t="shared" si="1"/>
        <v>3400</v>
      </c>
      <c r="O116" s="146"/>
      <c r="P116" s="147" t="s">
        <v>5</v>
      </c>
    </row>
    <row r="117" spans="1:16" ht="30" customHeight="1" x14ac:dyDescent="0.3">
      <c r="A117" s="121" t="s">
        <v>1937</v>
      </c>
      <c r="B117" s="121" t="s">
        <v>1944</v>
      </c>
      <c r="C117" s="122" t="s">
        <v>12</v>
      </c>
      <c r="D117" s="134">
        <v>4211</v>
      </c>
      <c r="E117" s="124" t="s">
        <v>5</v>
      </c>
      <c r="F117" s="126">
        <v>5790</v>
      </c>
      <c r="G117" s="124" t="s">
        <v>766</v>
      </c>
      <c r="H117" s="126">
        <v>5227</v>
      </c>
      <c r="I117" s="124" t="s">
        <v>774</v>
      </c>
      <c r="J117" s="126">
        <v>5227</v>
      </c>
      <c r="K117" s="124" t="s">
        <v>2178</v>
      </c>
      <c r="L117" s="126">
        <v>5227</v>
      </c>
      <c r="M117" s="124" t="s">
        <v>2179</v>
      </c>
      <c r="N117" s="144">
        <f t="shared" si="1"/>
        <v>4211</v>
      </c>
      <c r="O117" s="146"/>
      <c r="P117" s="147" t="s">
        <v>5</v>
      </c>
    </row>
    <row r="118" spans="1:16" ht="30" customHeight="1" x14ac:dyDescent="0.3">
      <c r="A118" s="121" t="s">
        <v>1945</v>
      </c>
      <c r="B118" s="121" t="s">
        <v>1938</v>
      </c>
      <c r="C118" s="122" t="s">
        <v>12</v>
      </c>
      <c r="D118" s="134">
        <v>1030</v>
      </c>
      <c r="E118" s="124" t="s">
        <v>5</v>
      </c>
      <c r="F118" s="126">
        <v>1460</v>
      </c>
      <c r="G118" s="124" t="s">
        <v>766</v>
      </c>
      <c r="H118" s="126">
        <v>1279</v>
      </c>
      <c r="I118" s="124" t="s">
        <v>774</v>
      </c>
      <c r="J118" s="126">
        <v>1279</v>
      </c>
      <c r="K118" s="124" t="s">
        <v>2178</v>
      </c>
      <c r="L118" s="126">
        <v>1279</v>
      </c>
      <c r="M118" s="124" t="s">
        <v>2179</v>
      </c>
      <c r="N118" s="144">
        <f t="shared" si="1"/>
        <v>1030</v>
      </c>
      <c r="O118" s="146"/>
      <c r="P118" s="147" t="s">
        <v>5</v>
      </c>
    </row>
    <row r="119" spans="1:16" ht="30" customHeight="1" x14ac:dyDescent="0.3">
      <c r="A119" s="121" t="s">
        <v>1945</v>
      </c>
      <c r="B119" s="121" t="s">
        <v>1939</v>
      </c>
      <c r="C119" s="122" t="s">
        <v>12</v>
      </c>
      <c r="D119" s="134">
        <v>1192</v>
      </c>
      <c r="E119" s="124" t="s">
        <v>5</v>
      </c>
      <c r="F119" s="126">
        <v>1690</v>
      </c>
      <c r="G119" s="124" t="s">
        <v>766</v>
      </c>
      <c r="H119" s="126">
        <v>1480</v>
      </c>
      <c r="I119" s="124" t="s">
        <v>774</v>
      </c>
      <c r="J119" s="126">
        <v>1480</v>
      </c>
      <c r="K119" s="124" t="s">
        <v>2178</v>
      </c>
      <c r="L119" s="126">
        <v>1480</v>
      </c>
      <c r="M119" s="124" t="s">
        <v>2179</v>
      </c>
      <c r="N119" s="144">
        <f t="shared" si="1"/>
        <v>1192</v>
      </c>
      <c r="O119" s="146"/>
      <c r="P119" s="147" t="s">
        <v>5</v>
      </c>
    </row>
    <row r="120" spans="1:16" ht="30" customHeight="1" x14ac:dyDescent="0.3">
      <c r="A120" s="121" t="s">
        <v>1945</v>
      </c>
      <c r="B120" s="121" t="s">
        <v>1940</v>
      </c>
      <c r="C120" s="122" t="s">
        <v>12</v>
      </c>
      <c r="D120" s="134">
        <v>1434</v>
      </c>
      <c r="E120" s="124" t="s">
        <v>5</v>
      </c>
      <c r="F120" s="126">
        <v>2020</v>
      </c>
      <c r="G120" s="124" t="s">
        <v>766</v>
      </c>
      <c r="H120" s="126">
        <v>1781</v>
      </c>
      <c r="I120" s="124" t="s">
        <v>774</v>
      </c>
      <c r="J120" s="126">
        <v>1781</v>
      </c>
      <c r="K120" s="124" t="s">
        <v>2178</v>
      </c>
      <c r="L120" s="126">
        <v>1781</v>
      </c>
      <c r="M120" s="124" t="s">
        <v>2179</v>
      </c>
      <c r="N120" s="144">
        <f t="shared" si="1"/>
        <v>1434</v>
      </c>
      <c r="O120" s="146"/>
      <c r="P120" s="147" t="s">
        <v>5</v>
      </c>
    </row>
    <row r="121" spans="1:16" ht="30" customHeight="1" x14ac:dyDescent="0.3">
      <c r="A121" s="121" t="s">
        <v>1945</v>
      </c>
      <c r="B121" s="121" t="s">
        <v>1941</v>
      </c>
      <c r="C121" s="122" t="s">
        <v>12</v>
      </c>
      <c r="D121" s="134">
        <v>1880</v>
      </c>
      <c r="E121" s="124" t="s">
        <v>5</v>
      </c>
      <c r="F121" s="126">
        <v>2640</v>
      </c>
      <c r="G121" s="124" t="s">
        <v>766</v>
      </c>
      <c r="H121" s="126">
        <v>2334</v>
      </c>
      <c r="I121" s="124" t="s">
        <v>774</v>
      </c>
      <c r="J121" s="126">
        <v>2334</v>
      </c>
      <c r="K121" s="124" t="s">
        <v>2178</v>
      </c>
      <c r="L121" s="126">
        <v>2334</v>
      </c>
      <c r="M121" s="124" t="s">
        <v>2179</v>
      </c>
      <c r="N121" s="144">
        <f t="shared" si="1"/>
        <v>1880</v>
      </c>
      <c r="O121" s="146"/>
      <c r="P121" s="147" t="s">
        <v>5</v>
      </c>
    </row>
    <row r="122" spans="1:16" ht="30" customHeight="1" x14ac:dyDescent="0.3">
      <c r="A122" s="121" t="s">
        <v>1945</v>
      </c>
      <c r="B122" s="121" t="s">
        <v>1942</v>
      </c>
      <c r="C122" s="122" t="s">
        <v>12</v>
      </c>
      <c r="D122" s="134">
        <v>2826</v>
      </c>
      <c r="E122" s="124" t="s">
        <v>5</v>
      </c>
      <c r="F122" s="126">
        <v>3980</v>
      </c>
      <c r="G122" s="124" t="s">
        <v>766</v>
      </c>
      <c r="H122" s="126">
        <v>3508</v>
      </c>
      <c r="I122" s="124" t="s">
        <v>774</v>
      </c>
      <c r="J122" s="126">
        <v>3508</v>
      </c>
      <c r="K122" s="124" t="s">
        <v>2178</v>
      </c>
      <c r="L122" s="126">
        <v>3508</v>
      </c>
      <c r="M122" s="124" t="s">
        <v>2179</v>
      </c>
      <c r="N122" s="144">
        <f t="shared" si="1"/>
        <v>2826</v>
      </c>
      <c r="O122" s="146"/>
      <c r="P122" s="147" t="s">
        <v>5</v>
      </c>
    </row>
    <row r="123" spans="1:16" ht="30" customHeight="1" x14ac:dyDescent="0.3">
      <c r="A123" s="121" t="s">
        <v>1945</v>
      </c>
      <c r="B123" s="121" t="s">
        <v>1943</v>
      </c>
      <c r="C123" s="122" t="s">
        <v>12</v>
      </c>
      <c r="D123" s="134">
        <v>3603</v>
      </c>
      <c r="E123" s="124" t="s">
        <v>5</v>
      </c>
      <c r="F123" s="126">
        <v>5050</v>
      </c>
      <c r="G123" s="124" t="s">
        <v>766</v>
      </c>
      <c r="H123" s="126">
        <v>4471</v>
      </c>
      <c r="I123" s="124" t="s">
        <v>774</v>
      </c>
      <c r="J123" s="126">
        <v>4471</v>
      </c>
      <c r="K123" s="124" t="s">
        <v>2178</v>
      </c>
      <c r="L123" s="126">
        <v>4471</v>
      </c>
      <c r="M123" s="124" t="s">
        <v>2179</v>
      </c>
      <c r="N123" s="144">
        <f t="shared" si="1"/>
        <v>3603</v>
      </c>
      <c r="O123" s="146"/>
      <c r="P123" s="147" t="s">
        <v>5</v>
      </c>
    </row>
    <row r="124" spans="1:16" ht="30" customHeight="1" x14ac:dyDescent="0.3">
      <c r="A124" s="121" t="s">
        <v>1945</v>
      </c>
      <c r="B124" s="121" t="s">
        <v>1944</v>
      </c>
      <c r="C124" s="122" t="s">
        <v>12</v>
      </c>
      <c r="D124" s="134">
        <v>4742</v>
      </c>
      <c r="E124" s="124" t="s">
        <v>5</v>
      </c>
      <c r="F124" s="126">
        <v>6620</v>
      </c>
      <c r="G124" s="124" t="s">
        <v>766</v>
      </c>
      <c r="H124" s="126">
        <v>5885</v>
      </c>
      <c r="I124" s="124" t="s">
        <v>774</v>
      </c>
      <c r="J124" s="126">
        <v>5885</v>
      </c>
      <c r="K124" s="124" t="s">
        <v>2178</v>
      </c>
      <c r="L124" s="126">
        <v>5885</v>
      </c>
      <c r="M124" s="124" t="s">
        <v>2179</v>
      </c>
      <c r="N124" s="144">
        <f t="shared" si="1"/>
        <v>4742</v>
      </c>
      <c r="O124" s="146"/>
      <c r="P124" s="147" t="s">
        <v>5</v>
      </c>
    </row>
    <row r="125" spans="1:16" ht="30" customHeight="1" x14ac:dyDescent="0.3">
      <c r="A125" s="121" t="s">
        <v>1946</v>
      </c>
      <c r="B125" s="121" t="s">
        <v>1938</v>
      </c>
      <c r="C125" s="122" t="s">
        <v>12</v>
      </c>
      <c r="D125" s="134">
        <v>3840</v>
      </c>
      <c r="E125" s="124" t="s">
        <v>5</v>
      </c>
      <c r="F125" s="126">
        <v>5650</v>
      </c>
      <c r="G125" s="124" t="s">
        <v>766</v>
      </c>
      <c r="H125" s="126">
        <v>4950</v>
      </c>
      <c r="I125" s="124" t="s">
        <v>774</v>
      </c>
      <c r="J125" s="126">
        <v>4950</v>
      </c>
      <c r="K125" s="124" t="s">
        <v>2178</v>
      </c>
      <c r="L125" s="126">
        <v>4950</v>
      </c>
      <c r="M125" s="124" t="s">
        <v>2179</v>
      </c>
      <c r="N125" s="144">
        <f t="shared" si="1"/>
        <v>3840</v>
      </c>
      <c r="O125" s="146"/>
      <c r="P125" s="147" t="s">
        <v>5</v>
      </c>
    </row>
    <row r="126" spans="1:16" ht="30" customHeight="1" x14ac:dyDescent="0.3">
      <c r="A126" s="121" t="s">
        <v>1946</v>
      </c>
      <c r="B126" s="121" t="s">
        <v>1939</v>
      </c>
      <c r="C126" s="122" t="s">
        <v>12</v>
      </c>
      <c r="D126" s="134">
        <v>4156</v>
      </c>
      <c r="E126" s="124" t="s">
        <v>5</v>
      </c>
      <c r="F126" s="126">
        <v>6030</v>
      </c>
      <c r="G126" s="124" t="s">
        <v>766</v>
      </c>
      <c r="H126" s="126">
        <v>5295</v>
      </c>
      <c r="I126" s="124" t="s">
        <v>774</v>
      </c>
      <c r="J126" s="126">
        <v>5295</v>
      </c>
      <c r="K126" s="124" t="s">
        <v>2178</v>
      </c>
      <c r="L126" s="126">
        <v>5295</v>
      </c>
      <c r="M126" s="124" t="s">
        <v>2179</v>
      </c>
      <c r="N126" s="144">
        <f t="shared" si="1"/>
        <v>4156</v>
      </c>
      <c r="O126" s="146"/>
      <c r="P126" s="147" t="s">
        <v>5</v>
      </c>
    </row>
    <row r="127" spans="1:16" ht="30" customHeight="1" x14ac:dyDescent="0.3">
      <c r="A127" s="121" t="s">
        <v>1946</v>
      </c>
      <c r="B127" s="121" t="s">
        <v>1940</v>
      </c>
      <c r="C127" s="122" t="s">
        <v>12</v>
      </c>
      <c r="D127" s="134">
        <v>5082</v>
      </c>
      <c r="E127" s="124" t="s">
        <v>5</v>
      </c>
      <c r="F127" s="126">
        <v>7170</v>
      </c>
      <c r="G127" s="124" t="s">
        <v>766</v>
      </c>
      <c r="H127" s="126">
        <v>6307</v>
      </c>
      <c r="I127" s="124" t="s">
        <v>774</v>
      </c>
      <c r="J127" s="126">
        <v>6307</v>
      </c>
      <c r="K127" s="124" t="s">
        <v>2178</v>
      </c>
      <c r="L127" s="126">
        <v>6307</v>
      </c>
      <c r="M127" s="124" t="s">
        <v>2179</v>
      </c>
      <c r="N127" s="144">
        <f t="shared" si="1"/>
        <v>5082</v>
      </c>
      <c r="O127" s="146"/>
      <c r="P127" s="147" t="s">
        <v>5</v>
      </c>
    </row>
    <row r="128" spans="1:16" ht="30" customHeight="1" x14ac:dyDescent="0.3">
      <c r="A128" s="121" t="s">
        <v>1946</v>
      </c>
      <c r="B128" s="121" t="s">
        <v>1941</v>
      </c>
      <c r="C128" s="122" t="s">
        <v>12</v>
      </c>
      <c r="D128" s="134">
        <v>6548</v>
      </c>
      <c r="E128" s="124" t="s">
        <v>5</v>
      </c>
      <c r="F128" s="126">
        <v>7480</v>
      </c>
      <c r="G128" s="124" t="s">
        <v>766</v>
      </c>
      <c r="H128" s="126">
        <v>8126</v>
      </c>
      <c r="I128" s="124" t="s">
        <v>774</v>
      </c>
      <c r="J128" s="126">
        <v>8126</v>
      </c>
      <c r="K128" s="124" t="s">
        <v>2178</v>
      </c>
      <c r="L128" s="126">
        <v>8126</v>
      </c>
      <c r="M128" s="124" t="s">
        <v>2179</v>
      </c>
      <c r="N128" s="144">
        <f t="shared" si="1"/>
        <v>6548</v>
      </c>
      <c r="O128" s="146"/>
      <c r="P128" s="147" t="s">
        <v>5</v>
      </c>
    </row>
    <row r="129" spans="1:16" ht="30" customHeight="1" x14ac:dyDescent="0.3">
      <c r="A129" s="121" t="s">
        <v>1946</v>
      </c>
      <c r="B129" s="121" t="s">
        <v>1942</v>
      </c>
      <c r="C129" s="122" t="s">
        <v>12</v>
      </c>
      <c r="D129" s="134">
        <v>10021</v>
      </c>
      <c r="E129" s="124" t="s">
        <v>5</v>
      </c>
      <c r="F129" s="126">
        <v>13980</v>
      </c>
      <c r="G129" s="124" t="s">
        <v>766</v>
      </c>
      <c r="H129" s="126">
        <v>12435</v>
      </c>
      <c r="I129" s="124" t="s">
        <v>774</v>
      </c>
      <c r="J129" s="126">
        <v>12435</v>
      </c>
      <c r="K129" s="124" t="s">
        <v>2178</v>
      </c>
      <c r="L129" s="126">
        <v>12435</v>
      </c>
      <c r="M129" s="124" t="s">
        <v>2179</v>
      </c>
      <c r="N129" s="144">
        <f t="shared" si="1"/>
        <v>10021</v>
      </c>
      <c r="O129" s="146"/>
      <c r="P129" s="147" t="s">
        <v>5</v>
      </c>
    </row>
    <row r="130" spans="1:16" ht="30" customHeight="1" x14ac:dyDescent="0.3">
      <c r="A130" s="121" t="s">
        <v>1946</v>
      </c>
      <c r="B130" s="121" t="s">
        <v>1943</v>
      </c>
      <c r="C130" s="122" t="s">
        <v>12</v>
      </c>
      <c r="D130" s="134">
        <v>11891</v>
      </c>
      <c r="E130" s="124" t="s">
        <v>5</v>
      </c>
      <c r="F130" s="126">
        <v>16580</v>
      </c>
      <c r="G130" s="124" t="s">
        <v>766</v>
      </c>
      <c r="H130" s="126">
        <v>14756</v>
      </c>
      <c r="I130" s="124" t="s">
        <v>774</v>
      </c>
      <c r="J130" s="126">
        <v>14756</v>
      </c>
      <c r="K130" s="124" t="s">
        <v>2178</v>
      </c>
      <c r="L130" s="126">
        <v>14756</v>
      </c>
      <c r="M130" s="124" t="s">
        <v>2179</v>
      </c>
      <c r="N130" s="144">
        <f t="shared" ref="N130:N193" si="2">SMALL(D130:L130,COUNTIF(D130:L130,0)+1)</f>
        <v>11891</v>
      </c>
      <c r="O130" s="146"/>
      <c r="P130" s="147" t="s">
        <v>5</v>
      </c>
    </row>
    <row r="131" spans="1:16" ht="30" customHeight="1" x14ac:dyDescent="0.3">
      <c r="A131" s="121" t="s">
        <v>1946</v>
      </c>
      <c r="B131" s="121" t="s">
        <v>1944</v>
      </c>
      <c r="C131" s="122" t="s">
        <v>12</v>
      </c>
      <c r="D131" s="134">
        <v>13740</v>
      </c>
      <c r="E131" s="124" t="s">
        <v>5</v>
      </c>
      <c r="F131" s="126">
        <v>19090</v>
      </c>
      <c r="G131" s="124" t="s">
        <v>766</v>
      </c>
      <c r="H131" s="126">
        <v>17049</v>
      </c>
      <c r="I131" s="124" t="s">
        <v>774</v>
      </c>
      <c r="J131" s="126">
        <v>17049</v>
      </c>
      <c r="K131" s="124" t="s">
        <v>2178</v>
      </c>
      <c r="L131" s="126">
        <v>17049</v>
      </c>
      <c r="M131" s="124" t="s">
        <v>2179</v>
      </c>
      <c r="N131" s="144">
        <f t="shared" si="2"/>
        <v>13740</v>
      </c>
      <c r="O131" s="146"/>
      <c r="P131" s="147" t="s">
        <v>5</v>
      </c>
    </row>
    <row r="132" spans="1:16" ht="30" customHeight="1" x14ac:dyDescent="0.3">
      <c r="A132" s="121" t="s">
        <v>1947</v>
      </c>
      <c r="B132" s="121" t="s">
        <v>1938</v>
      </c>
      <c r="C132" s="122" t="s">
        <v>12</v>
      </c>
      <c r="D132" s="134">
        <v>3221</v>
      </c>
      <c r="E132" s="124" t="s">
        <v>5</v>
      </c>
      <c r="F132" s="126">
        <v>4740</v>
      </c>
      <c r="G132" s="124" t="s">
        <v>766</v>
      </c>
      <c r="H132" s="126">
        <v>4095</v>
      </c>
      <c r="I132" s="124" t="s">
        <v>774</v>
      </c>
      <c r="J132" s="126">
        <v>4095</v>
      </c>
      <c r="K132" s="124" t="s">
        <v>2178</v>
      </c>
      <c r="L132" s="126">
        <v>4095</v>
      </c>
      <c r="M132" s="124" t="s">
        <v>2179</v>
      </c>
      <c r="N132" s="144">
        <f t="shared" si="2"/>
        <v>3221</v>
      </c>
      <c r="O132" s="146"/>
      <c r="P132" s="147" t="s">
        <v>5</v>
      </c>
    </row>
    <row r="133" spans="1:16" ht="30" customHeight="1" x14ac:dyDescent="0.3">
      <c r="A133" s="121" t="s">
        <v>1947</v>
      </c>
      <c r="B133" s="121" t="s">
        <v>1939</v>
      </c>
      <c r="C133" s="122" t="s">
        <v>12</v>
      </c>
      <c r="D133" s="134">
        <v>3477</v>
      </c>
      <c r="E133" s="124" t="s">
        <v>5</v>
      </c>
      <c r="F133" s="126">
        <v>5110</v>
      </c>
      <c r="G133" s="124" t="s">
        <v>766</v>
      </c>
      <c r="H133" s="126">
        <v>4432</v>
      </c>
      <c r="I133" s="124" t="s">
        <v>774</v>
      </c>
      <c r="J133" s="126">
        <v>4432</v>
      </c>
      <c r="K133" s="124" t="s">
        <v>2178</v>
      </c>
      <c r="L133" s="126">
        <v>4432</v>
      </c>
      <c r="M133" s="124" t="s">
        <v>2179</v>
      </c>
      <c r="N133" s="144">
        <f t="shared" si="2"/>
        <v>3477</v>
      </c>
      <c r="O133" s="146"/>
      <c r="P133" s="147" t="s">
        <v>5</v>
      </c>
    </row>
    <row r="134" spans="1:16" ht="30" customHeight="1" x14ac:dyDescent="0.3">
      <c r="A134" s="121" t="s">
        <v>1947</v>
      </c>
      <c r="B134" s="121" t="s">
        <v>1940</v>
      </c>
      <c r="C134" s="122" t="s">
        <v>12</v>
      </c>
      <c r="D134" s="134">
        <v>4104</v>
      </c>
      <c r="E134" s="124" t="s">
        <v>5</v>
      </c>
      <c r="F134" s="126">
        <v>6040</v>
      </c>
      <c r="G134" s="124" t="s">
        <v>766</v>
      </c>
      <c r="H134" s="126">
        <v>5240</v>
      </c>
      <c r="I134" s="124" t="s">
        <v>774</v>
      </c>
      <c r="J134" s="126">
        <v>5240</v>
      </c>
      <c r="K134" s="124" t="s">
        <v>2178</v>
      </c>
      <c r="L134" s="126">
        <v>5240</v>
      </c>
      <c r="M134" s="124" t="s">
        <v>2179</v>
      </c>
      <c r="N134" s="144">
        <f t="shared" si="2"/>
        <v>4104</v>
      </c>
      <c r="O134" s="146"/>
      <c r="P134" s="147" t="s">
        <v>5</v>
      </c>
    </row>
    <row r="135" spans="1:16" ht="30" customHeight="1" x14ac:dyDescent="0.3">
      <c r="A135" s="121" t="s">
        <v>1947</v>
      </c>
      <c r="B135" s="121" t="s">
        <v>1941</v>
      </c>
      <c r="C135" s="122" t="s">
        <v>12</v>
      </c>
      <c r="D135" s="134">
        <v>5083</v>
      </c>
      <c r="E135" s="124" t="s">
        <v>5</v>
      </c>
      <c r="F135" s="126">
        <v>7480</v>
      </c>
      <c r="G135" s="124" t="s">
        <v>766</v>
      </c>
      <c r="H135" s="126">
        <v>6528</v>
      </c>
      <c r="I135" s="124" t="s">
        <v>774</v>
      </c>
      <c r="J135" s="126">
        <v>6528</v>
      </c>
      <c r="K135" s="124" t="s">
        <v>2178</v>
      </c>
      <c r="L135" s="126">
        <v>6528</v>
      </c>
      <c r="M135" s="124" t="s">
        <v>2179</v>
      </c>
      <c r="N135" s="144">
        <f t="shared" si="2"/>
        <v>5083</v>
      </c>
      <c r="O135" s="146"/>
      <c r="P135" s="147" t="s">
        <v>5</v>
      </c>
    </row>
    <row r="136" spans="1:16" ht="30" customHeight="1" x14ac:dyDescent="0.3">
      <c r="A136" s="121" t="s">
        <v>1947</v>
      </c>
      <c r="B136" s="121" t="s">
        <v>1942</v>
      </c>
      <c r="C136" s="122" t="s">
        <v>12</v>
      </c>
      <c r="D136" s="134">
        <v>7441</v>
      </c>
      <c r="E136" s="124" t="s">
        <v>5</v>
      </c>
      <c r="F136" s="126">
        <v>10950</v>
      </c>
      <c r="G136" s="124" t="s">
        <v>766</v>
      </c>
      <c r="H136" s="126">
        <v>9605</v>
      </c>
      <c r="I136" s="124" t="s">
        <v>774</v>
      </c>
      <c r="J136" s="126">
        <v>9605</v>
      </c>
      <c r="K136" s="124" t="s">
        <v>2178</v>
      </c>
      <c r="L136" s="126">
        <v>9605</v>
      </c>
      <c r="M136" s="124" t="s">
        <v>2179</v>
      </c>
      <c r="N136" s="144">
        <f t="shared" si="2"/>
        <v>7441</v>
      </c>
      <c r="O136" s="146"/>
      <c r="P136" s="147" t="s">
        <v>5</v>
      </c>
    </row>
    <row r="137" spans="1:16" ht="30" customHeight="1" x14ac:dyDescent="0.3">
      <c r="A137" s="121" t="s">
        <v>1947</v>
      </c>
      <c r="B137" s="121" t="s">
        <v>1943</v>
      </c>
      <c r="C137" s="122" t="s">
        <v>12</v>
      </c>
      <c r="D137" s="134">
        <v>9152</v>
      </c>
      <c r="E137" s="124" t="s">
        <v>5</v>
      </c>
      <c r="F137" s="126">
        <v>13470</v>
      </c>
      <c r="G137" s="124" t="s">
        <v>766</v>
      </c>
      <c r="H137" s="126">
        <v>11820</v>
      </c>
      <c r="I137" s="124" t="s">
        <v>774</v>
      </c>
      <c r="J137" s="126">
        <v>11820</v>
      </c>
      <c r="K137" s="124" t="s">
        <v>2178</v>
      </c>
      <c r="L137" s="126">
        <v>11820</v>
      </c>
      <c r="M137" s="124" t="s">
        <v>2179</v>
      </c>
      <c r="N137" s="144">
        <f t="shared" si="2"/>
        <v>9152</v>
      </c>
      <c r="O137" s="146"/>
      <c r="P137" s="147" t="s">
        <v>5</v>
      </c>
    </row>
    <row r="138" spans="1:16" ht="30" customHeight="1" x14ac:dyDescent="0.3">
      <c r="A138" s="121" t="s">
        <v>1947</v>
      </c>
      <c r="B138" s="121" t="s">
        <v>1944</v>
      </c>
      <c r="C138" s="122" t="s">
        <v>12</v>
      </c>
      <c r="D138" s="134">
        <v>10987</v>
      </c>
      <c r="E138" s="124" t="s">
        <v>5</v>
      </c>
      <c r="F138" s="126">
        <v>16170</v>
      </c>
      <c r="G138" s="124" t="s">
        <v>766</v>
      </c>
      <c r="H138" s="126">
        <v>14196</v>
      </c>
      <c r="I138" s="124" t="s">
        <v>774</v>
      </c>
      <c r="J138" s="126">
        <v>14196</v>
      </c>
      <c r="K138" s="124" t="s">
        <v>2178</v>
      </c>
      <c r="L138" s="126">
        <v>14196</v>
      </c>
      <c r="M138" s="124" t="s">
        <v>2179</v>
      </c>
      <c r="N138" s="144">
        <f t="shared" si="2"/>
        <v>10987</v>
      </c>
      <c r="O138" s="146"/>
      <c r="P138" s="147" t="s">
        <v>5</v>
      </c>
    </row>
    <row r="139" spans="1:16" ht="30" customHeight="1" x14ac:dyDescent="0.3">
      <c r="A139" s="121" t="s">
        <v>1948</v>
      </c>
      <c r="B139" s="121" t="s">
        <v>1938</v>
      </c>
      <c r="C139" s="122" t="s">
        <v>12</v>
      </c>
      <c r="D139" s="123">
        <v>0</v>
      </c>
      <c r="E139" s="124" t="s">
        <v>5</v>
      </c>
      <c r="F139" s="126">
        <v>5550</v>
      </c>
      <c r="G139" s="124" t="s">
        <v>766</v>
      </c>
      <c r="H139" s="126">
        <v>4766</v>
      </c>
      <c r="I139" s="124" t="s">
        <v>774</v>
      </c>
      <c r="J139" s="126">
        <v>4766</v>
      </c>
      <c r="K139" s="124" t="s">
        <v>2178</v>
      </c>
      <c r="L139" s="126">
        <v>4766</v>
      </c>
      <c r="M139" s="124" t="s">
        <v>2179</v>
      </c>
      <c r="N139" s="144">
        <f t="shared" si="2"/>
        <v>4766</v>
      </c>
      <c r="O139" s="146"/>
      <c r="P139" s="147" t="s">
        <v>5</v>
      </c>
    </row>
    <row r="140" spans="1:16" ht="30" customHeight="1" x14ac:dyDescent="0.3">
      <c r="A140" s="121" t="s">
        <v>1948</v>
      </c>
      <c r="B140" s="121" t="s">
        <v>1939</v>
      </c>
      <c r="C140" s="122" t="s">
        <v>12</v>
      </c>
      <c r="D140" s="123">
        <v>0</v>
      </c>
      <c r="E140" s="124" t="s">
        <v>5</v>
      </c>
      <c r="F140" s="126">
        <v>6000</v>
      </c>
      <c r="G140" s="124" t="s">
        <v>766</v>
      </c>
      <c r="H140" s="126">
        <v>5158</v>
      </c>
      <c r="I140" s="124" t="s">
        <v>774</v>
      </c>
      <c r="J140" s="126">
        <v>5158</v>
      </c>
      <c r="K140" s="124" t="s">
        <v>2178</v>
      </c>
      <c r="L140" s="126">
        <v>5158</v>
      </c>
      <c r="M140" s="124" t="s">
        <v>2179</v>
      </c>
      <c r="N140" s="144">
        <f t="shared" si="2"/>
        <v>5158</v>
      </c>
      <c r="O140" s="146"/>
      <c r="P140" s="147" t="s">
        <v>5</v>
      </c>
    </row>
    <row r="141" spans="1:16" ht="30" customHeight="1" x14ac:dyDescent="0.3">
      <c r="A141" s="121" t="s">
        <v>1948</v>
      </c>
      <c r="B141" s="121" t="s">
        <v>1940</v>
      </c>
      <c r="C141" s="122" t="s">
        <v>12</v>
      </c>
      <c r="D141" s="123">
        <v>0</v>
      </c>
      <c r="E141" s="124" t="s">
        <v>5</v>
      </c>
      <c r="F141" s="126">
        <v>7850</v>
      </c>
      <c r="G141" s="124" t="s">
        <v>766</v>
      </c>
      <c r="H141" s="126">
        <v>6759</v>
      </c>
      <c r="I141" s="124" t="s">
        <v>774</v>
      </c>
      <c r="J141" s="126">
        <v>6759</v>
      </c>
      <c r="K141" s="124" t="s">
        <v>2178</v>
      </c>
      <c r="L141" s="126">
        <v>6759</v>
      </c>
      <c r="M141" s="124" t="s">
        <v>2179</v>
      </c>
      <c r="N141" s="144">
        <f t="shared" si="2"/>
        <v>6759</v>
      </c>
      <c r="O141" s="146"/>
      <c r="P141" s="147" t="s">
        <v>5</v>
      </c>
    </row>
    <row r="142" spans="1:16" ht="30" customHeight="1" x14ac:dyDescent="0.3">
      <c r="A142" s="121" t="s">
        <v>1948</v>
      </c>
      <c r="B142" s="121" t="s">
        <v>1941</v>
      </c>
      <c r="C142" s="122" t="s">
        <v>12</v>
      </c>
      <c r="D142" s="123">
        <v>0</v>
      </c>
      <c r="E142" s="124" t="s">
        <v>5</v>
      </c>
      <c r="F142" s="126">
        <v>9510</v>
      </c>
      <c r="G142" s="124" t="s">
        <v>766</v>
      </c>
      <c r="H142" s="126">
        <v>8126</v>
      </c>
      <c r="I142" s="124" t="s">
        <v>774</v>
      </c>
      <c r="J142" s="126">
        <v>8126</v>
      </c>
      <c r="K142" s="124" t="s">
        <v>2178</v>
      </c>
      <c r="L142" s="126">
        <v>8126</v>
      </c>
      <c r="M142" s="124" t="s">
        <v>2179</v>
      </c>
      <c r="N142" s="144">
        <f t="shared" si="2"/>
        <v>8126</v>
      </c>
      <c r="O142" s="146"/>
      <c r="P142" s="147" t="s">
        <v>5</v>
      </c>
    </row>
    <row r="143" spans="1:16" ht="30" customHeight="1" x14ac:dyDescent="0.3">
      <c r="A143" s="121" t="s">
        <v>1948</v>
      </c>
      <c r="B143" s="121" t="s">
        <v>1942</v>
      </c>
      <c r="C143" s="122" t="s">
        <v>12</v>
      </c>
      <c r="D143" s="123">
        <v>0</v>
      </c>
      <c r="E143" s="124" t="s">
        <v>5</v>
      </c>
      <c r="F143" s="126">
        <v>14990</v>
      </c>
      <c r="G143" s="124" t="s">
        <v>766</v>
      </c>
      <c r="H143" s="126">
        <v>12999</v>
      </c>
      <c r="I143" s="124" t="s">
        <v>774</v>
      </c>
      <c r="J143" s="126">
        <v>12999</v>
      </c>
      <c r="K143" s="124" t="s">
        <v>2178</v>
      </c>
      <c r="L143" s="126">
        <v>12999</v>
      </c>
      <c r="M143" s="124" t="s">
        <v>2179</v>
      </c>
      <c r="N143" s="144">
        <f t="shared" si="2"/>
        <v>12999</v>
      </c>
      <c r="O143" s="146"/>
      <c r="P143" s="147" t="s">
        <v>5</v>
      </c>
    </row>
    <row r="144" spans="1:16" ht="30" customHeight="1" x14ac:dyDescent="0.3">
      <c r="A144" s="121" t="s">
        <v>1948</v>
      </c>
      <c r="B144" s="121" t="s">
        <v>1943</v>
      </c>
      <c r="C144" s="122" t="s">
        <v>12</v>
      </c>
      <c r="D144" s="123">
        <v>0</v>
      </c>
      <c r="E144" s="124" t="s">
        <v>5</v>
      </c>
      <c r="F144" s="126">
        <v>18020</v>
      </c>
      <c r="G144" s="124" t="s">
        <v>766</v>
      </c>
      <c r="H144" s="126">
        <v>15653</v>
      </c>
      <c r="I144" s="124" t="s">
        <v>774</v>
      </c>
      <c r="J144" s="126">
        <v>15653</v>
      </c>
      <c r="K144" s="124" t="s">
        <v>2178</v>
      </c>
      <c r="L144" s="126">
        <v>15653</v>
      </c>
      <c r="M144" s="124" t="s">
        <v>2179</v>
      </c>
      <c r="N144" s="144">
        <f t="shared" si="2"/>
        <v>15653</v>
      </c>
      <c r="O144" s="146"/>
      <c r="P144" s="147" t="s">
        <v>5</v>
      </c>
    </row>
    <row r="145" spans="1:16" ht="30" customHeight="1" x14ac:dyDescent="0.3">
      <c r="A145" s="121" t="s">
        <v>1948</v>
      </c>
      <c r="B145" s="121" t="s">
        <v>1944</v>
      </c>
      <c r="C145" s="122" t="s">
        <v>12</v>
      </c>
      <c r="D145" s="123">
        <v>0</v>
      </c>
      <c r="E145" s="124" t="s">
        <v>5</v>
      </c>
      <c r="F145" s="126">
        <v>27700</v>
      </c>
      <c r="G145" s="124" t="s">
        <v>766</v>
      </c>
      <c r="H145" s="126">
        <v>23856</v>
      </c>
      <c r="I145" s="124" t="s">
        <v>774</v>
      </c>
      <c r="J145" s="126">
        <v>23856</v>
      </c>
      <c r="K145" s="124" t="s">
        <v>2178</v>
      </c>
      <c r="L145" s="126">
        <v>23856</v>
      </c>
      <c r="M145" s="124" t="s">
        <v>2179</v>
      </c>
      <c r="N145" s="144">
        <f t="shared" si="2"/>
        <v>23856</v>
      </c>
      <c r="O145" s="146"/>
      <c r="P145" s="147" t="s">
        <v>5</v>
      </c>
    </row>
    <row r="146" spans="1:16" ht="30" customHeight="1" x14ac:dyDescent="0.3">
      <c r="A146" s="121" t="s">
        <v>1949</v>
      </c>
      <c r="B146" s="121" t="s">
        <v>1938</v>
      </c>
      <c r="C146" s="122" t="s">
        <v>12</v>
      </c>
      <c r="D146" s="123">
        <v>0</v>
      </c>
      <c r="E146" s="124" t="s">
        <v>5</v>
      </c>
      <c r="F146" s="126">
        <v>7480</v>
      </c>
      <c r="G146" s="124" t="s">
        <v>766</v>
      </c>
      <c r="H146" s="126">
        <v>6555</v>
      </c>
      <c r="I146" s="124" t="s">
        <v>774</v>
      </c>
      <c r="J146" s="126">
        <v>6555</v>
      </c>
      <c r="K146" s="124" t="s">
        <v>2178</v>
      </c>
      <c r="L146" s="126">
        <v>6555</v>
      </c>
      <c r="M146" s="124" t="s">
        <v>2179</v>
      </c>
      <c r="N146" s="144">
        <f t="shared" si="2"/>
        <v>6555</v>
      </c>
      <c r="O146" s="146"/>
      <c r="P146" s="147" t="s">
        <v>5</v>
      </c>
    </row>
    <row r="147" spans="1:16" ht="30" customHeight="1" x14ac:dyDescent="0.3">
      <c r="A147" s="121" t="s">
        <v>1949</v>
      </c>
      <c r="B147" s="121" t="s">
        <v>1939</v>
      </c>
      <c r="C147" s="122" t="s">
        <v>12</v>
      </c>
      <c r="D147" s="123">
        <v>0</v>
      </c>
      <c r="E147" s="124" t="s">
        <v>5</v>
      </c>
      <c r="F147" s="126">
        <v>8040</v>
      </c>
      <c r="G147" s="124" t="s">
        <v>766</v>
      </c>
      <c r="H147" s="126">
        <v>7050</v>
      </c>
      <c r="I147" s="124" t="s">
        <v>774</v>
      </c>
      <c r="J147" s="126">
        <v>7050</v>
      </c>
      <c r="K147" s="124" t="s">
        <v>2178</v>
      </c>
      <c r="L147" s="126">
        <v>7050</v>
      </c>
      <c r="M147" s="124" t="s">
        <v>2179</v>
      </c>
      <c r="N147" s="144">
        <f t="shared" si="2"/>
        <v>7050</v>
      </c>
      <c r="O147" s="146"/>
      <c r="P147" s="147" t="s">
        <v>5</v>
      </c>
    </row>
    <row r="148" spans="1:16" ht="30" customHeight="1" x14ac:dyDescent="0.3">
      <c r="A148" s="121" t="s">
        <v>1949</v>
      </c>
      <c r="B148" s="121" t="s">
        <v>1940</v>
      </c>
      <c r="C148" s="122" t="s">
        <v>12</v>
      </c>
      <c r="D148" s="123">
        <v>0</v>
      </c>
      <c r="E148" s="124" t="s">
        <v>5</v>
      </c>
      <c r="F148" s="126">
        <v>9670</v>
      </c>
      <c r="G148" s="124" t="s">
        <v>766</v>
      </c>
      <c r="H148" s="126">
        <v>8482</v>
      </c>
      <c r="I148" s="124" t="s">
        <v>774</v>
      </c>
      <c r="J148" s="126">
        <v>8482</v>
      </c>
      <c r="K148" s="124" t="s">
        <v>2178</v>
      </c>
      <c r="L148" s="126">
        <v>8482</v>
      </c>
      <c r="M148" s="124" t="s">
        <v>2179</v>
      </c>
      <c r="N148" s="144">
        <f t="shared" si="2"/>
        <v>8482</v>
      </c>
      <c r="O148" s="146"/>
      <c r="P148" s="147" t="s">
        <v>5</v>
      </c>
    </row>
    <row r="149" spans="1:16" ht="30" customHeight="1" x14ac:dyDescent="0.3">
      <c r="A149" s="121" t="s">
        <v>1949</v>
      </c>
      <c r="B149" s="121" t="s">
        <v>1941</v>
      </c>
      <c r="C149" s="122" t="s">
        <v>12</v>
      </c>
      <c r="D149" s="123">
        <v>0</v>
      </c>
      <c r="E149" s="124" t="s">
        <v>5</v>
      </c>
      <c r="F149" s="126">
        <v>12610</v>
      </c>
      <c r="G149" s="124" t="s">
        <v>766</v>
      </c>
      <c r="H149" s="126">
        <v>11110</v>
      </c>
      <c r="I149" s="124" t="s">
        <v>774</v>
      </c>
      <c r="J149" s="126">
        <v>11110</v>
      </c>
      <c r="K149" s="124" t="s">
        <v>2178</v>
      </c>
      <c r="L149" s="126">
        <v>11110</v>
      </c>
      <c r="M149" s="124" t="s">
        <v>2179</v>
      </c>
      <c r="N149" s="144">
        <f t="shared" si="2"/>
        <v>11110</v>
      </c>
      <c r="O149" s="146"/>
      <c r="P149" s="147" t="s">
        <v>5</v>
      </c>
    </row>
    <row r="150" spans="1:16" ht="30" customHeight="1" x14ac:dyDescent="0.3">
      <c r="A150" s="121" t="s">
        <v>1949</v>
      </c>
      <c r="B150" s="121" t="s">
        <v>1942</v>
      </c>
      <c r="C150" s="122" t="s">
        <v>12</v>
      </c>
      <c r="D150" s="123">
        <v>0</v>
      </c>
      <c r="E150" s="124" t="s">
        <v>5</v>
      </c>
      <c r="F150" s="126">
        <v>17090</v>
      </c>
      <c r="G150" s="124" t="s">
        <v>766</v>
      </c>
      <c r="H150" s="126">
        <v>15118</v>
      </c>
      <c r="I150" s="124" t="s">
        <v>774</v>
      </c>
      <c r="J150" s="126">
        <v>15118</v>
      </c>
      <c r="K150" s="124" t="s">
        <v>2178</v>
      </c>
      <c r="L150" s="126">
        <v>15118</v>
      </c>
      <c r="M150" s="124" t="s">
        <v>2179</v>
      </c>
      <c r="N150" s="144">
        <f t="shared" si="2"/>
        <v>15118</v>
      </c>
      <c r="O150" s="146"/>
      <c r="P150" s="147" t="s">
        <v>5</v>
      </c>
    </row>
    <row r="151" spans="1:16" ht="30" customHeight="1" x14ac:dyDescent="0.3">
      <c r="A151" s="121" t="s">
        <v>1949</v>
      </c>
      <c r="B151" s="121" t="s">
        <v>1943</v>
      </c>
      <c r="C151" s="122" t="s">
        <v>12</v>
      </c>
      <c r="D151" s="123">
        <v>0</v>
      </c>
      <c r="E151" s="124" t="s">
        <v>5</v>
      </c>
      <c r="F151" s="126">
        <v>20800</v>
      </c>
      <c r="G151" s="124" t="s">
        <v>766</v>
      </c>
      <c r="H151" s="126">
        <v>18380</v>
      </c>
      <c r="I151" s="124" t="s">
        <v>774</v>
      </c>
      <c r="J151" s="126">
        <v>18380</v>
      </c>
      <c r="K151" s="124" t="s">
        <v>2178</v>
      </c>
      <c r="L151" s="126">
        <v>18380</v>
      </c>
      <c r="M151" s="124" t="s">
        <v>2179</v>
      </c>
      <c r="N151" s="144">
        <f t="shared" si="2"/>
        <v>18380</v>
      </c>
      <c r="O151" s="146"/>
      <c r="P151" s="147" t="s">
        <v>5</v>
      </c>
    </row>
    <row r="152" spans="1:16" ht="30" customHeight="1" x14ac:dyDescent="0.3">
      <c r="A152" s="121" t="s">
        <v>1949</v>
      </c>
      <c r="B152" s="121" t="s">
        <v>1944</v>
      </c>
      <c r="C152" s="122" t="s">
        <v>12</v>
      </c>
      <c r="D152" s="123">
        <v>0</v>
      </c>
      <c r="E152" s="124" t="s">
        <v>5</v>
      </c>
      <c r="F152" s="126">
        <v>24510</v>
      </c>
      <c r="G152" s="124" t="s">
        <v>766</v>
      </c>
      <c r="H152" s="126">
        <v>21698</v>
      </c>
      <c r="I152" s="124" t="s">
        <v>774</v>
      </c>
      <c r="J152" s="126">
        <v>21698</v>
      </c>
      <c r="K152" s="124" t="s">
        <v>2178</v>
      </c>
      <c r="L152" s="126">
        <v>21698</v>
      </c>
      <c r="M152" s="124" t="s">
        <v>2179</v>
      </c>
      <c r="N152" s="144">
        <f t="shared" si="2"/>
        <v>21698</v>
      </c>
      <c r="O152" s="146"/>
      <c r="P152" s="147" t="s">
        <v>5</v>
      </c>
    </row>
    <row r="153" spans="1:16" ht="30" customHeight="1" x14ac:dyDescent="0.3">
      <c r="A153" s="121" t="s">
        <v>1950</v>
      </c>
      <c r="B153" s="121" t="s">
        <v>1938</v>
      </c>
      <c r="C153" s="122" t="s">
        <v>12</v>
      </c>
      <c r="D153" s="123">
        <v>0</v>
      </c>
      <c r="E153" s="124" t="s">
        <v>5</v>
      </c>
      <c r="F153" s="126">
        <v>5760</v>
      </c>
      <c r="G153" s="124" t="s">
        <v>766</v>
      </c>
      <c r="H153" s="126">
        <v>4983</v>
      </c>
      <c r="I153" s="124" t="s">
        <v>774</v>
      </c>
      <c r="J153" s="126">
        <v>4983</v>
      </c>
      <c r="K153" s="124" t="s">
        <v>2178</v>
      </c>
      <c r="L153" s="126">
        <v>4983</v>
      </c>
      <c r="M153" s="124" t="s">
        <v>2179</v>
      </c>
      <c r="N153" s="144">
        <f t="shared" si="2"/>
        <v>4983</v>
      </c>
      <c r="O153" s="146"/>
      <c r="P153" s="147" t="s">
        <v>5</v>
      </c>
    </row>
    <row r="154" spans="1:16" ht="30" customHeight="1" x14ac:dyDescent="0.3">
      <c r="A154" s="121" t="s">
        <v>1950</v>
      </c>
      <c r="B154" s="121" t="s">
        <v>1939</v>
      </c>
      <c r="C154" s="122" t="s">
        <v>12</v>
      </c>
      <c r="D154" s="123">
        <v>0</v>
      </c>
      <c r="E154" s="124" t="s">
        <v>5</v>
      </c>
      <c r="F154" s="126">
        <v>6410</v>
      </c>
      <c r="G154" s="124" t="s">
        <v>766</v>
      </c>
      <c r="H154" s="126">
        <v>5559</v>
      </c>
      <c r="I154" s="124" t="s">
        <v>774</v>
      </c>
      <c r="J154" s="126">
        <v>5559</v>
      </c>
      <c r="K154" s="124" t="s">
        <v>2178</v>
      </c>
      <c r="L154" s="126">
        <v>5559</v>
      </c>
      <c r="M154" s="124" t="s">
        <v>2179</v>
      </c>
      <c r="N154" s="144">
        <f t="shared" si="2"/>
        <v>5559</v>
      </c>
      <c r="O154" s="146"/>
      <c r="P154" s="147" t="s">
        <v>5</v>
      </c>
    </row>
    <row r="155" spans="1:16" ht="30" customHeight="1" x14ac:dyDescent="0.3">
      <c r="A155" s="121" t="s">
        <v>1950</v>
      </c>
      <c r="B155" s="121" t="s">
        <v>1940</v>
      </c>
      <c r="C155" s="122" t="s">
        <v>12</v>
      </c>
      <c r="D155" s="123">
        <v>0</v>
      </c>
      <c r="E155" s="124" t="s">
        <v>5</v>
      </c>
      <c r="F155" s="126">
        <v>7620</v>
      </c>
      <c r="G155" s="124" t="s">
        <v>766</v>
      </c>
      <c r="H155" s="126">
        <v>6613</v>
      </c>
      <c r="I155" s="124" t="s">
        <v>774</v>
      </c>
      <c r="J155" s="126">
        <v>6613</v>
      </c>
      <c r="K155" s="124" t="s">
        <v>2178</v>
      </c>
      <c r="L155" s="126">
        <v>6613</v>
      </c>
      <c r="M155" s="124" t="s">
        <v>2179</v>
      </c>
      <c r="N155" s="144">
        <f t="shared" si="2"/>
        <v>6613</v>
      </c>
      <c r="O155" s="146"/>
      <c r="P155" s="147" t="s">
        <v>5</v>
      </c>
    </row>
    <row r="156" spans="1:16" ht="30" customHeight="1" x14ac:dyDescent="0.3">
      <c r="A156" s="121" t="s">
        <v>1950</v>
      </c>
      <c r="B156" s="121" t="s">
        <v>1941</v>
      </c>
      <c r="C156" s="122" t="s">
        <v>12</v>
      </c>
      <c r="D156" s="123">
        <v>0</v>
      </c>
      <c r="E156" s="124" t="s">
        <v>5</v>
      </c>
      <c r="F156" s="126">
        <v>9660</v>
      </c>
      <c r="G156" s="124" t="s">
        <v>766</v>
      </c>
      <c r="H156" s="126">
        <v>8412</v>
      </c>
      <c r="I156" s="124" t="s">
        <v>774</v>
      </c>
      <c r="J156" s="126">
        <v>8412</v>
      </c>
      <c r="K156" s="124" t="s">
        <v>2178</v>
      </c>
      <c r="L156" s="126">
        <v>8412</v>
      </c>
      <c r="M156" s="124" t="s">
        <v>2179</v>
      </c>
      <c r="N156" s="144">
        <f t="shared" si="2"/>
        <v>8412</v>
      </c>
      <c r="O156" s="146"/>
      <c r="P156" s="147" t="s">
        <v>5</v>
      </c>
    </row>
    <row r="157" spans="1:16" ht="30" customHeight="1" x14ac:dyDescent="0.3">
      <c r="A157" s="121" t="s">
        <v>1950</v>
      </c>
      <c r="B157" s="121" t="s">
        <v>1942</v>
      </c>
      <c r="C157" s="122" t="s">
        <v>12</v>
      </c>
      <c r="D157" s="123">
        <v>0</v>
      </c>
      <c r="E157" s="124" t="s">
        <v>5</v>
      </c>
      <c r="F157" s="126">
        <v>13540</v>
      </c>
      <c r="G157" s="124" t="s">
        <v>766</v>
      </c>
      <c r="H157" s="126">
        <v>11842</v>
      </c>
      <c r="I157" s="124" t="s">
        <v>774</v>
      </c>
      <c r="J157" s="126">
        <v>11842</v>
      </c>
      <c r="K157" s="124" t="s">
        <v>2178</v>
      </c>
      <c r="L157" s="126">
        <v>11842</v>
      </c>
      <c r="M157" s="124" t="s">
        <v>2179</v>
      </c>
      <c r="N157" s="144">
        <f t="shared" si="2"/>
        <v>11842</v>
      </c>
      <c r="O157" s="146"/>
      <c r="P157" s="147" t="s">
        <v>5</v>
      </c>
    </row>
    <row r="158" spans="1:16" ht="30" customHeight="1" x14ac:dyDescent="0.3">
      <c r="A158" s="121" t="s">
        <v>1950</v>
      </c>
      <c r="B158" s="121" t="s">
        <v>1943</v>
      </c>
      <c r="C158" s="122" t="s">
        <v>12</v>
      </c>
      <c r="D158" s="123">
        <v>0</v>
      </c>
      <c r="E158" s="124" t="s">
        <v>5</v>
      </c>
      <c r="F158" s="126">
        <v>16990</v>
      </c>
      <c r="G158" s="124" t="s">
        <v>766</v>
      </c>
      <c r="H158" s="126">
        <v>14848</v>
      </c>
      <c r="I158" s="124" t="s">
        <v>774</v>
      </c>
      <c r="J158" s="126">
        <v>14848</v>
      </c>
      <c r="K158" s="124" t="s">
        <v>2178</v>
      </c>
      <c r="L158" s="126">
        <v>14848</v>
      </c>
      <c r="M158" s="124" t="s">
        <v>2179</v>
      </c>
      <c r="N158" s="144">
        <f t="shared" si="2"/>
        <v>14848</v>
      </c>
      <c r="O158" s="146"/>
      <c r="P158" s="147" t="s">
        <v>5</v>
      </c>
    </row>
    <row r="159" spans="1:16" ht="30" customHeight="1" x14ac:dyDescent="0.3">
      <c r="A159" s="121" t="s">
        <v>1950</v>
      </c>
      <c r="B159" s="121" t="s">
        <v>1944</v>
      </c>
      <c r="C159" s="122" t="s">
        <v>12</v>
      </c>
      <c r="D159" s="123">
        <v>0</v>
      </c>
      <c r="E159" s="124" t="s">
        <v>5</v>
      </c>
      <c r="F159" s="126">
        <v>20680</v>
      </c>
      <c r="G159" s="124" t="s">
        <v>766</v>
      </c>
      <c r="H159" s="126">
        <v>18076</v>
      </c>
      <c r="I159" s="124" t="s">
        <v>774</v>
      </c>
      <c r="J159" s="126">
        <v>18076</v>
      </c>
      <c r="K159" s="124" t="s">
        <v>2178</v>
      </c>
      <c r="L159" s="126">
        <v>18076</v>
      </c>
      <c r="M159" s="124" t="s">
        <v>2179</v>
      </c>
      <c r="N159" s="144">
        <f t="shared" si="2"/>
        <v>18076</v>
      </c>
      <c r="O159" s="146"/>
      <c r="P159" s="147" t="s">
        <v>5</v>
      </c>
    </row>
    <row r="160" spans="1:16" ht="30" customHeight="1" x14ac:dyDescent="0.3">
      <c r="A160" s="121" t="s">
        <v>1951</v>
      </c>
      <c r="B160" s="121" t="s">
        <v>1938</v>
      </c>
      <c r="C160" s="122" t="s">
        <v>12</v>
      </c>
      <c r="D160" s="123">
        <v>0</v>
      </c>
      <c r="E160" s="124" t="s">
        <v>5</v>
      </c>
      <c r="F160" s="126">
        <v>7710</v>
      </c>
      <c r="G160" s="124" t="s">
        <v>766</v>
      </c>
      <c r="H160" s="126">
        <v>6630</v>
      </c>
      <c r="I160" s="124" t="s">
        <v>774</v>
      </c>
      <c r="J160" s="126">
        <v>6630</v>
      </c>
      <c r="K160" s="124" t="s">
        <v>2178</v>
      </c>
      <c r="L160" s="126">
        <v>6630</v>
      </c>
      <c r="M160" s="124" t="s">
        <v>2179</v>
      </c>
      <c r="N160" s="144">
        <f t="shared" si="2"/>
        <v>6630</v>
      </c>
      <c r="O160" s="146"/>
      <c r="P160" s="147" t="s">
        <v>5</v>
      </c>
    </row>
    <row r="161" spans="1:16" ht="30" customHeight="1" x14ac:dyDescent="0.3">
      <c r="A161" s="121" t="s">
        <v>1951</v>
      </c>
      <c r="B161" s="121" t="s">
        <v>1939</v>
      </c>
      <c r="C161" s="122" t="s">
        <v>12</v>
      </c>
      <c r="D161" s="123">
        <v>0</v>
      </c>
      <c r="E161" s="124" t="s">
        <v>5</v>
      </c>
      <c r="F161" s="126">
        <v>8430</v>
      </c>
      <c r="G161" s="124" t="s">
        <v>766</v>
      </c>
      <c r="H161" s="126">
        <v>7257</v>
      </c>
      <c r="I161" s="124" t="s">
        <v>774</v>
      </c>
      <c r="J161" s="126">
        <v>7257</v>
      </c>
      <c r="K161" s="124" t="s">
        <v>2178</v>
      </c>
      <c r="L161" s="126">
        <v>7257</v>
      </c>
      <c r="M161" s="124" t="s">
        <v>2179</v>
      </c>
      <c r="N161" s="144">
        <f t="shared" si="2"/>
        <v>7257</v>
      </c>
      <c r="O161" s="146"/>
      <c r="P161" s="147" t="s">
        <v>5</v>
      </c>
    </row>
    <row r="162" spans="1:16" ht="30" customHeight="1" x14ac:dyDescent="0.3">
      <c r="A162" s="121" t="s">
        <v>1951</v>
      </c>
      <c r="B162" s="121" t="s">
        <v>1940</v>
      </c>
      <c r="C162" s="122" t="s">
        <v>12</v>
      </c>
      <c r="D162" s="123">
        <v>0</v>
      </c>
      <c r="E162" s="124" t="s">
        <v>5</v>
      </c>
      <c r="F162" s="126">
        <v>10150</v>
      </c>
      <c r="G162" s="124" t="s">
        <v>766</v>
      </c>
      <c r="H162" s="126">
        <v>8745</v>
      </c>
      <c r="I162" s="124" t="s">
        <v>774</v>
      </c>
      <c r="J162" s="126">
        <v>8745</v>
      </c>
      <c r="K162" s="124" t="s">
        <v>2178</v>
      </c>
      <c r="L162" s="126">
        <v>8745</v>
      </c>
      <c r="M162" s="124" t="s">
        <v>2179</v>
      </c>
      <c r="N162" s="144">
        <f t="shared" si="2"/>
        <v>8745</v>
      </c>
      <c r="O162" s="146"/>
      <c r="P162" s="147" t="s">
        <v>5</v>
      </c>
    </row>
    <row r="163" spans="1:16" ht="30" customHeight="1" x14ac:dyDescent="0.3">
      <c r="A163" s="121" t="s">
        <v>1951</v>
      </c>
      <c r="B163" s="121" t="s">
        <v>1941</v>
      </c>
      <c r="C163" s="122" t="s">
        <v>12</v>
      </c>
      <c r="D163" s="123">
        <v>0</v>
      </c>
      <c r="E163" s="124" t="s">
        <v>5</v>
      </c>
      <c r="F163" s="126">
        <v>12680</v>
      </c>
      <c r="G163" s="124" t="s">
        <v>766</v>
      </c>
      <c r="H163" s="126">
        <v>10971</v>
      </c>
      <c r="I163" s="124" t="s">
        <v>774</v>
      </c>
      <c r="J163" s="126">
        <v>10971</v>
      </c>
      <c r="K163" s="124" t="s">
        <v>2178</v>
      </c>
      <c r="L163" s="126">
        <v>10971</v>
      </c>
      <c r="M163" s="124" t="s">
        <v>2179</v>
      </c>
      <c r="N163" s="144">
        <f t="shared" si="2"/>
        <v>10971</v>
      </c>
      <c r="O163" s="146"/>
      <c r="P163" s="147" t="s">
        <v>5</v>
      </c>
    </row>
    <row r="164" spans="1:16" ht="30" customHeight="1" x14ac:dyDescent="0.3">
      <c r="A164" s="121" t="s">
        <v>1951</v>
      </c>
      <c r="B164" s="121" t="s">
        <v>1942</v>
      </c>
      <c r="C164" s="122" t="s">
        <v>12</v>
      </c>
      <c r="D164" s="123">
        <v>0</v>
      </c>
      <c r="E164" s="124" t="s">
        <v>5</v>
      </c>
      <c r="F164" s="126">
        <v>16120</v>
      </c>
      <c r="G164" s="124" t="s">
        <v>766</v>
      </c>
      <c r="H164" s="126">
        <v>13971</v>
      </c>
      <c r="I164" s="124" t="s">
        <v>774</v>
      </c>
      <c r="J164" s="126">
        <v>13971</v>
      </c>
      <c r="K164" s="124" t="s">
        <v>2178</v>
      </c>
      <c r="L164" s="126">
        <v>13971</v>
      </c>
      <c r="M164" s="124" t="s">
        <v>2179</v>
      </c>
      <c r="N164" s="144">
        <f t="shared" si="2"/>
        <v>13971</v>
      </c>
      <c r="O164" s="146"/>
      <c r="P164" s="147" t="s">
        <v>5</v>
      </c>
    </row>
    <row r="165" spans="1:16" ht="30" customHeight="1" x14ac:dyDescent="0.3">
      <c r="A165" s="121" t="s">
        <v>1951</v>
      </c>
      <c r="B165" s="121" t="s">
        <v>1943</v>
      </c>
      <c r="C165" s="122" t="s">
        <v>12</v>
      </c>
      <c r="D165" s="123">
        <v>0</v>
      </c>
      <c r="E165" s="124" t="s">
        <v>5</v>
      </c>
      <c r="F165" s="126">
        <v>19240</v>
      </c>
      <c r="G165" s="124" t="s">
        <v>766</v>
      </c>
      <c r="H165" s="126">
        <v>16692</v>
      </c>
      <c r="I165" s="124" t="s">
        <v>774</v>
      </c>
      <c r="J165" s="126">
        <v>16692</v>
      </c>
      <c r="K165" s="124" t="s">
        <v>2178</v>
      </c>
      <c r="L165" s="126">
        <v>16692</v>
      </c>
      <c r="M165" s="124" t="s">
        <v>2179</v>
      </c>
      <c r="N165" s="144">
        <f t="shared" si="2"/>
        <v>16692</v>
      </c>
      <c r="O165" s="146"/>
      <c r="P165" s="147" t="s">
        <v>5</v>
      </c>
    </row>
    <row r="166" spans="1:16" ht="30" customHeight="1" x14ac:dyDescent="0.3">
      <c r="A166" s="121" t="s">
        <v>1951</v>
      </c>
      <c r="B166" s="121" t="s">
        <v>1944</v>
      </c>
      <c r="C166" s="122" t="s">
        <v>12</v>
      </c>
      <c r="D166" s="123">
        <v>0</v>
      </c>
      <c r="E166" s="124" t="s">
        <v>5</v>
      </c>
      <c r="F166" s="126">
        <v>32170</v>
      </c>
      <c r="G166" s="124" t="s">
        <v>766</v>
      </c>
      <c r="H166" s="126">
        <v>27706</v>
      </c>
      <c r="I166" s="124" t="s">
        <v>774</v>
      </c>
      <c r="J166" s="126">
        <v>27706</v>
      </c>
      <c r="K166" s="124" t="s">
        <v>2178</v>
      </c>
      <c r="L166" s="126">
        <v>27706</v>
      </c>
      <c r="M166" s="124" t="s">
        <v>2179</v>
      </c>
      <c r="N166" s="144">
        <f t="shared" si="2"/>
        <v>27706</v>
      </c>
      <c r="O166" s="146"/>
      <c r="P166" s="147" t="s">
        <v>5</v>
      </c>
    </row>
    <row r="167" spans="1:16" ht="30" customHeight="1" x14ac:dyDescent="0.3">
      <c r="A167" s="121" t="s">
        <v>1952</v>
      </c>
      <c r="B167" s="121" t="s">
        <v>1938</v>
      </c>
      <c r="C167" s="122" t="s">
        <v>12</v>
      </c>
      <c r="D167" s="134">
        <v>1698</v>
      </c>
      <c r="E167" s="124" t="s">
        <v>5</v>
      </c>
      <c r="F167" s="126">
        <v>2450</v>
      </c>
      <c r="G167" s="124" t="s">
        <v>766</v>
      </c>
      <c r="H167" s="126">
        <v>2170</v>
      </c>
      <c r="I167" s="124" t="s">
        <v>774</v>
      </c>
      <c r="J167" s="126">
        <v>2170</v>
      </c>
      <c r="K167" s="124" t="s">
        <v>2178</v>
      </c>
      <c r="L167" s="126">
        <v>2170</v>
      </c>
      <c r="M167" s="124" t="s">
        <v>2179</v>
      </c>
      <c r="N167" s="144">
        <f t="shared" si="2"/>
        <v>1698</v>
      </c>
      <c r="O167" s="146"/>
      <c r="P167" s="147" t="s">
        <v>5</v>
      </c>
    </row>
    <row r="168" spans="1:16" ht="30" customHeight="1" x14ac:dyDescent="0.3">
      <c r="A168" s="121" t="s">
        <v>1952</v>
      </c>
      <c r="B168" s="121" t="s">
        <v>1939</v>
      </c>
      <c r="C168" s="122" t="s">
        <v>12</v>
      </c>
      <c r="D168" s="134">
        <v>2269</v>
      </c>
      <c r="E168" s="124" t="s">
        <v>5</v>
      </c>
      <c r="F168" s="126">
        <v>3260</v>
      </c>
      <c r="G168" s="124" t="s">
        <v>766</v>
      </c>
      <c r="H168" s="126">
        <v>2900</v>
      </c>
      <c r="I168" s="124" t="s">
        <v>774</v>
      </c>
      <c r="J168" s="126">
        <v>2900</v>
      </c>
      <c r="K168" s="124" t="s">
        <v>2178</v>
      </c>
      <c r="L168" s="126">
        <v>2900</v>
      </c>
      <c r="M168" s="124" t="s">
        <v>2179</v>
      </c>
      <c r="N168" s="144">
        <f t="shared" si="2"/>
        <v>2269</v>
      </c>
      <c r="O168" s="146"/>
      <c r="P168" s="147" t="s">
        <v>5</v>
      </c>
    </row>
    <row r="169" spans="1:16" ht="30" customHeight="1" x14ac:dyDescent="0.3">
      <c r="A169" s="121" t="s">
        <v>1952</v>
      </c>
      <c r="B169" s="121" t="s">
        <v>1940</v>
      </c>
      <c r="C169" s="122" t="s">
        <v>12</v>
      </c>
      <c r="D169" s="134">
        <v>3287</v>
      </c>
      <c r="E169" s="124" t="s">
        <v>5</v>
      </c>
      <c r="F169" s="126">
        <v>4590</v>
      </c>
      <c r="G169" s="124" t="s">
        <v>766</v>
      </c>
      <c r="H169" s="126">
        <v>4200</v>
      </c>
      <c r="I169" s="124" t="s">
        <v>774</v>
      </c>
      <c r="J169" s="126">
        <v>4200</v>
      </c>
      <c r="K169" s="124" t="s">
        <v>2178</v>
      </c>
      <c r="L169" s="126">
        <v>4200</v>
      </c>
      <c r="M169" s="124" t="s">
        <v>2179</v>
      </c>
      <c r="N169" s="144">
        <f t="shared" si="2"/>
        <v>3287</v>
      </c>
      <c r="O169" s="146"/>
      <c r="P169" s="147" t="s">
        <v>5</v>
      </c>
    </row>
    <row r="170" spans="1:16" ht="30" customHeight="1" x14ac:dyDescent="0.3">
      <c r="A170" s="121" t="s">
        <v>1952</v>
      </c>
      <c r="B170" s="121" t="s">
        <v>1941</v>
      </c>
      <c r="C170" s="122" t="s">
        <v>12</v>
      </c>
      <c r="D170" s="134">
        <v>4399</v>
      </c>
      <c r="E170" s="124" t="s">
        <v>5</v>
      </c>
      <c r="F170" s="126">
        <v>5870</v>
      </c>
      <c r="G170" s="124" t="s">
        <v>766</v>
      </c>
      <c r="H170" s="126">
        <v>5620</v>
      </c>
      <c r="I170" s="124" t="s">
        <v>774</v>
      </c>
      <c r="J170" s="126">
        <v>5620</v>
      </c>
      <c r="K170" s="124" t="s">
        <v>2178</v>
      </c>
      <c r="L170" s="126">
        <v>5620</v>
      </c>
      <c r="M170" s="124" t="s">
        <v>2179</v>
      </c>
      <c r="N170" s="144">
        <f t="shared" si="2"/>
        <v>4399</v>
      </c>
      <c r="O170" s="146"/>
      <c r="P170" s="147" t="s">
        <v>5</v>
      </c>
    </row>
    <row r="171" spans="1:16" ht="30" customHeight="1" x14ac:dyDescent="0.3">
      <c r="A171" s="121" t="s">
        <v>1952</v>
      </c>
      <c r="B171" s="121" t="s">
        <v>1942</v>
      </c>
      <c r="C171" s="122" t="s">
        <v>12</v>
      </c>
      <c r="D171" s="134">
        <v>6357</v>
      </c>
      <c r="E171" s="124" t="s">
        <v>5</v>
      </c>
      <c r="F171" s="126">
        <v>8350</v>
      </c>
      <c r="G171" s="124" t="s">
        <v>766</v>
      </c>
      <c r="H171" s="126">
        <v>8120</v>
      </c>
      <c r="I171" s="124" t="s">
        <v>774</v>
      </c>
      <c r="J171" s="126">
        <v>8120</v>
      </c>
      <c r="K171" s="124" t="s">
        <v>2178</v>
      </c>
      <c r="L171" s="126">
        <v>8120</v>
      </c>
      <c r="M171" s="124" t="s">
        <v>2179</v>
      </c>
      <c r="N171" s="144">
        <f t="shared" si="2"/>
        <v>6357</v>
      </c>
      <c r="O171" s="146"/>
      <c r="P171" s="147" t="s">
        <v>5</v>
      </c>
    </row>
    <row r="172" spans="1:16" ht="30" customHeight="1" x14ac:dyDescent="0.3">
      <c r="A172" s="121" t="s">
        <v>1952</v>
      </c>
      <c r="B172" s="121" t="s">
        <v>1943</v>
      </c>
      <c r="C172" s="122" t="s">
        <v>12</v>
      </c>
      <c r="D172" s="134">
        <v>9709</v>
      </c>
      <c r="E172" s="124" t="s">
        <v>5</v>
      </c>
      <c r="F172" s="126">
        <v>12660</v>
      </c>
      <c r="G172" s="124" t="s">
        <v>766</v>
      </c>
      <c r="H172" s="126">
        <v>12400</v>
      </c>
      <c r="I172" s="124" t="s">
        <v>774</v>
      </c>
      <c r="J172" s="126">
        <v>12400</v>
      </c>
      <c r="K172" s="124" t="s">
        <v>2178</v>
      </c>
      <c r="L172" s="126">
        <v>12400</v>
      </c>
      <c r="M172" s="124" t="s">
        <v>2179</v>
      </c>
      <c r="N172" s="144">
        <f t="shared" si="2"/>
        <v>9709</v>
      </c>
      <c r="O172" s="146"/>
      <c r="P172" s="147" t="s">
        <v>5</v>
      </c>
    </row>
    <row r="173" spans="1:16" ht="30" customHeight="1" x14ac:dyDescent="0.3">
      <c r="A173" s="121" t="s">
        <v>1952</v>
      </c>
      <c r="B173" s="121" t="s">
        <v>1944</v>
      </c>
      <c r="C173" s="122" t="s">
        <v>12</v>
      </c>
      <c r="D173" s="134">
        <v>16013</v>
      </c>
      <c r="E173" s="124" t="s">
        <v>5</v>
      </c>
      <c r="F173" s="126">
        <v>21540</v>
      </c>
      <c r="G173" s="124" t="s">
        <v>766</v>
      </c>
      <c r="H173" s="126">
        <v>20450</v>
      </c>
      <c r="I173" s="124" t="s">
        <v>774</v>
      </c>
      <c r="J173" s="126">
        <v>20450</v>
      </c>
      <c r="K173" s="124" t="s">
        <v>2178</v>
      </c>
      <c r="L173" s="126">
        <v>20450</v>
      </c>
      <c r="M173" s="124" t="s">
        <v>2179</v>
      </c>
      <c r="N173" s="144">
        <f t="shared" si="2"/>
        <v>16013</v>
      </c>
      <c r="O173" s="146"/>
      <c r="P173" s="147" t="s">
        <v>5</v>
      </c>
    </row>
    <row r="174" spans="1:16" ht="30" customHeight="1" x14ac:dyDescent="0.3">
      <c r="A174" s="121" t="s">
        <v>1953</v>
      </c>
      <c r="B174" s="121" t="s">
        <v>1938</v>
      </c>
      <c r="C174" s="122" t="s">
        <v>12</v>
      </c>
      <c r="D174" s="123">
        <v>0</v>
      </c>
      <c r="E174" s="124" t="s">
        <v>5</v>
      </c>
      <c r="F174" s="126">
        <v>210</v>
      </c>
      <c r="G174" s="124" t="s">
        <v>766</v>
      </c>
      <c r="H174" s="126">
        <v>167</v>
      </c>
      <c r="I174" s="124" t="s">
        <v>774</v>
      </c>
      <c r="J174" s="126">
        <v>167</v>
      </c>
      <c r="K174" s="124" t="s">
        <v>2178</v>
      </c>
      <c r="L174" s="126">
        <v>167</v>
      </c>
      <c r="M174" s="124" t="s">
        <v>2179</v>
      </c>
      <c r="N174" s="144">
        <f t="shared" si="2"/>
        <v>167</v>
      </c>
      <c r="O174" s="146"/>
      <c r="P174" s="147" t="s">
        <v>5</v>
      </c>
    </row>
    <row r="175" spans="1:16" ht="30" customHeight="1" x14ac:dyDescent="0.3">
      <c r="A175" s="121" t="s">
        <v>1953</v>
      </c>
      <c r="B175" s="121" t="s">
        <v>1939</v>
      </c>
      <c r="C175" s="122" t="s">
        <v>12</v>
      </c>
      <c r="D175" s="123">
        <v>0</v>
      </c>
      <c r="E175" s="124" t="s">
        <v>5</v>
      </c>
      <c r="F175" s="126">
        <v>310</v>
      </c>
      <c r="G175" s="124" t="s">
        <v>766</v>
      </c>
      <c r="H175" s="126">
        <v>250</v>
      </c>
      <c r="I175" s="124" t="s">
        <v>774</v>
      </c>
      <c r="J175" s="126">
        <v>250</v>
      </c>
      <c r="K175" s="124" t="s">
        <v>2178</v>
      </c>
      <c r="L175" s="126">
        <v>250</v>
      </c>
      <c r="M175" s="124" t="s">
        <v>2179</v>
      </c>
      <c r="N175" s="144">
        <f t="shared" si="2"/>
        <v>250</v>
      </c>
      <c r="O175" s="146"/>
      <c r="P175" s="147" t="s">
        <v>5</v>
      </c>
    </row>
    <row r="176" spans="1:16" ht="30" customHeight="1" x14ac:dyDescent="0.3">
      <c r="A176" s="121" t="s">
        <v>1953</v>
      </c>
      <c r="B176" s="121" t="s">
        <v>1940</v>
      </c>
      <c r="C176" s="122" t="s">
        <v>12</v>
      </c>
      <c r="D176" s="123">
        <v>0</v>
      </c>
      <c r="E176" s="124" t="s">
        <v>5</v>
      </c>
      <c r="F176" s="126">
        <v>410</v>
      </c>
      <c r="G176" s="124" t="s">
        <v>766</v>
      </c>
      <c r="H176" s="126">
        <v>333</v>
      </c>
      <c r="I176" s="124" t="s">
        <v>774</v>
      </c>
      <c r="J176" s="126">
        <v>333</v>
      </c>
      <c r="K176" s="124" t="s">
        <v>2178</v>
      </c>
      <c r="L176" s="126">
        <v>333</v>
      </c>
      <c r="M176" s="124" t="s">
        <v>2179</v>
      </c>
      <c r="N176" s="144">
        <f t="shared" si="2"/>
        <v>333</v>
      </c>
      <c r="O176" s="146"/>
      <c r="P176" s="147" t="s">
        <v>5</v>
      </c>
    </row>
    <row r="177" spans="1:16" ht="30" customHeight="1" x14ac:dyDescent="0.3">
      <c r="A177" s="121" t="s">
        <v>1953</v>
      </c>
      <c r="B177" s="121" t="s">
        <v>1941</v>
      </c>
      <c r="C177" s="122" t="s">
        <v>12</v>
      </c>
      <c r="D177" s="123">
        <v>0</v>
      </c>
      <c r="E177" s="124" t="s">
        <v>5</v>
      </c>
      <c r="F177" s="126">
        <v>520</v>
      </c>
      <c r="G177" s="124" t="s">
        <v>766</v>
      </c>
      <c r="H177" s="126">
        <v>417</v>
      </c>
      <c r="I177" s="124" t="s">
        <v>774</v>
      </c>
      <c r="J177" s="126">
        <v>417</v>
      </c>
      <c r="K177" s="124" t="s">
        <v>2178</v>
      </c>
      <c r="L177" s="126">
        <v>417</v>
      </c>
      <c r="M177" s="124" t="s">
        <v>2179</v>
      </c>
      <c r="N177" s="144">
        <f t="shared" si="2"/>
        <v>417</v>
      </c>
      <c r="O177" s="146"/>
      <c r="P177" s="147" t="s">
        <v>5</v>
      </c>
    </row>
    <row r="178" spans="1:16" ht="30" customHeight="1" x14ac:dyDescent="0.3">
      <c r="A178" s="121" t="s">
        <v>1953</v>
      </c>
      <c r="B178" s="121" t="s">
        <v>1942</v>
      </c>
      <c r="C178" s="122" t="s">
        <v>12</v>
      </c>
      <c r="D178" s="123">
        <v>0</v>
      </c>
      <c r="E178" s="124" t="s">
        <v>5</v>
      </c>
      <c r="F178" s="126">
        <v>630</v>
      </c>
      <c r="G178" s="124" t="s">
        <v>766</v>
      </c>
      <c r="H178" s="126">
        <v>500</v>
      </c>
      <c r="I178" s="124" t="s">
        <v>774</v>
      </c>
      <c r="J178" s="126">
        <v>500</v>
      </c>
      <c r="K178" s="124" t="s">
        <v>2178</v>
      </c>
      <c r="L178" s="126">
        <v>500</v>
      </c>
      <c r="M178" s="124" t="s">
        <v>2179</v>
      </c>
      <c r="N178" s="144">
        <f t="shared" si="2"/>
        <v>500</v>
      </c>
      <c r="O178" s="146"/>
      <c r="P178" s="147" t="s">
        <v>5</v>
      </c>
    </row>
    <row r="179" spans="1:16" ht="30" customHeight="1" x14ac:dyDescent="0.3">
      <c r="A179" s="121" t="s">
        <v>1953</v>
      </c>
      <c r="B179" s="121" t="s">
        <v>1943</v>
      </c>
      <c r="C179" s="122" t="s">
        <v>12</v>
      </c>
      <c r="D179" s="123">
        <v>0</v>
      </c>
      <c r="E179" s="124" t="s">
        <v>5</v>
      </c>
      <c r="F179" s="126">
        <v>840</v>
      </c>
      <c r="G179" s="124" t="s">
        <v>766</v>
      </c>
      <c r="H179" s="126">
        <v>667</v>
      </c>
      <c r="I179" s="124" t="s">
        <v>774</v>
      </c>
      <c r="J179" s="126">
        <v>667</v>
      </c>
      <c r="K179" s="124" t="s">
        <v>2178</v>
      </c>
      <c r="L179" s="126">
        <v>667</v>
      </c>
      <c r="M179" s="124" t="s">
        <v>2179</v>
      </c>
      <c r="N179" s="144">
        <f t="shared" si="2"/>
        <v>667</v>
      </c>
      <c r="O179" s="146"/>
      <c r="P179" s="147" t="s">
        <v>5</v>
      </c>
    </row>
    <row r="180" spans="1:16" ht="30" customHeight="1" x14ac:dyDescent="0.3">
      <c r="A180" s="121" t="s">
        <v>1953</v>
      </c>
      <c r="B180" s="121" t="s">
        <v>1944</v>
      </c>
      <c r="C180" s="122" t="s">
        <v>12</v>
      </c>
      <c r="D180" s="123">
        <v>0</v>
      </c>
      <c r="E180" s="124" t="s">
        <v>5</v>
      </c>
      <c r="F180" s="126">
        <v>1040</v>
      </c>
      <c r="G180" s="124" t="s">
        <v>766</v>
      </c>
      <c r="H180" s="126">
        <v>833</v>
      </c>
      <c r="I180" s="124" t="s">
        <v>774</v>
      </c>
      <c r="J180" s="126">
        <v>833</v>
      </c>
      <c r="K180" s="124" t="s">
        <v>2178</v>
      </c>
      <c r="L180" s="126">
        <v>833</v>
      </c>
      <c r="M180" s="124" t="s">
        <v>2179</v>
      </c>
      <c r="N180" s="144">
        <f t="shared" si="2"/>
        <v>833</v>
      </c>
      <c r="O180" s="146"/>
      <c r="P180" s="147" t="s">
        <v>5</v>
      </c>
    </row>
    <row r="181" spans="1:16" ht="30" customHeight="1" x14ac:dyDescent="0.3">
      <c r="A181" s="121" t="s">
        <v>1954</v>
      </c>
      <c r="B181" s="121" t="s">
        <v>1938</v>
      </c>
      <c r="C181" s="122" t="s">
        <v>12</v>
      </c>
      <c r="D181" s="123">
        <v>0</v>
      </c>
      <c r="E181" s="124" t="s">
        <v>5</v>
      </c>
      <c r="F181" s="126">
        <v>130</v>
      </c>
      <c r="G181" s="124" t="s">
        <v>766</v>
      </c>
      <c r="H181" s="126">
        <v>139</v>
      </c>
      <c r="I181" s="124" t="s">
        <v>774</v>
      </c>
      <c r="J181" s="126">
        <v>139</v>
      </c>
      <c r="K181" s="124" t="s">
        <v>2178</v>
      </c>
      <c r="L181" s="126">
        <v>139</v>
      </c>
      <c r="M181" s="124" t="s">
        <v>2179</v>
      </c>
      <c r="N181" s="144">
        <f t="shared" si="2"/>
        <v>130</v>
      </c>
      <c r="O181" s="146"/>
      <c r="P181" s="147" t="s">
        <v>5</v>
      </c>
    </row>
    <row r="182" spans="1:16" ht="30" customHeight="1" x14ac:dyDescent="0.3">
      <c r="A182" s="121" t="s">
        <v>1954</v>
      </c>
      <c r="B182" s="121" t="s">
        <v>1939</v>
      </c>
      <c r="C182" s="122" t="s">
        <v>12</v>
      </c>
      <c r="D182" s="123">
        <v>0</v>
      </c>
      <c r="E182" s="124" t="s">
        <v>5</v>
      </c>
      <c r="F182" s="126">
        <v>160</v>
      </c>
      <c r="G182" s="124" t="s">
        <v>766</v>
      </c>
      <c r="H182" s="126">
        <v>164</v>
      </c>
      <c r="I182" s="124" t="s">
        <v>774</v>
      </c>
      <c r="J182" s="126">
        <v>164</v>
      </c>
      <c r="K182" s="124" t="s">
        <v>2178</v>
      </c>
      <c r="L182" s="126">
        <v>164</v>
      </c>
      <c r="M182" s="124" t="s">
        <v>2179</v>
      </c>
      <c r="N182" s="144">
        <f t="shared" si="2"/>
        <v>160</v>
      </c>
      <c r="O182" s="146"/>
      <c r="P182" s="147" t="s">
        <v>5</v>
      </c>
    </row>
    <row r="183" spans="1:16" ht="30" customHeight="1" x14ac:dyDescent="0.3">
      <c r="A183" s="121" t="s">
        <v>1954</v>
      </c>
      <c r="B183" s="121" t="s">
        <v>1940</v>
      </c>
      <c r="C183" s="122" t="s">
        <v>12</v>
      </c>
      <c r="D183" s="123">
        <v>0</v>
      </c>
      <c r="E183" s="124" t="s">
        <v>5</v>
      </c>
      <c r="F183" s="126">
        <v>220</v>
      </c>
      <c r="G183" s="124" t="s">
        <v>766</v>
      </c>
      <c r="H183" s="126">
        <v>223</v>
      </c>
      <c r="I183" s="124" t="s">
        <v>774</v>
      </c>
      <c r="J183" s="126">
        <v>223</v>
      </c>
      <c r="K183" s="124" t="s">
        <v>2178</v>
      </c>
      <c r="L183" s="126">
        <v>223</v>
      </c>
      <c r="M183" s="124" t="s">
        <v>2179</v>
      </c>
      <c r="N183" s="144">
        <f t="shared" si="2"/>
        <v>220</v>
      </c>
      <c r="O183" s="146"/>
      <c r="P183" s="147" t="s">
        <v>5</v>
      </c>
    </row>
    <row r="184" spans="1:16" ht="30" customHeight="1" x14ac:dyDescent="0.3">
      <c r="A184" s="121" t="s">
        <v>1954</v>
      </c>
      <c r="B184" s="121" t="s">
        <v>1941</v>
      </c>
      <c r="C184" s="122" t="s">
        <v>12</v>
      </c>
      <c r="D184" s="123">
        <v>0</v>
      </c>
      <c r="E184" s="124" t="s">
        <v>5</v>
      </c>
      <c r="F184" s="126">
        <v>270</v>
      </c>
      <c r="G184" s="124" t="s">
        <v>766</v>
      </c>
      <c r="H184" s="126">
        <v>278</v>
      </c>
      <c r="I184" s="124" t="s">
        <v>774</v>
      </c>
      <c r="J184" s="126">
        <v>278</v>
      </c>
      <c r="K184" s="124" t="s">
        <v>2178</v>
      </c>
      <c r="L184" s="126">
        <v>278</v>
      </c>
      <c r="M184" s="124" t="s">
        <v>2179</v>
      </c>
      <c r="N184" s="144">
        <f t="shared" si="2"/>
        <v>270</v>
      </c>
      <c r="O184" s="146"/>
      <c r="P184" s="147" t="s">
        <v>5</v>
      </c>
    </row>
    <row r="185" spans="1:16" ht="30" customHeight="1" x14ac:dyDescent="0.3">
      <c r="A185" s="121" t="s">
        <v>1954</v>
      </c>
      <c r="B185" s="121" t="s">
        <v>1942</v>
      </c>
      <c r="C185" s="122" t="s">
        <v>12</v>
      </c>
      <c r="D185" s="123">
        <v>0</v>
      </c>
      <c r="E185" s="124" t="s">
        <v>5</v>
      </c>
      <c r="F185" s="126">
        <v>480</v>
      </c>
      <c r="G185" s="124" t="s">
        <v>766</v>
      </c>
      <c r="H185" s="126">
        <v>494</v>
      </c>
      <c r="I185" s="124" t="s">
        <v>774</v>
      </c>
      <c r="J185" s="126">
        <v>494</v>
      </c>
      <c r="K185" s="124" t="s">
        <v>2178</v>
      </c>
      <c r="L185" s="126">
        <v>494</v>
      </c>
      <c r="M185" s="124" t="s">
        <v>2179</v>
      </c>
      <c r="N185" s="144">
        <f t="shared" si="2"/>
        <v>480</v>
      </c>
      <c r="O185" s="146"/>
      <c r="P185" s="147" t="s">
        <v>5</v>
      </c>
    </row>
    <row r="186" spans="1:16" ht="30" customHeight="1" x14ac:dyDescent="0.3">
      <c r="A186" s="121" t="s">
        <v>1954</v>
      </c>
      <c r="B186" s="121" t="s">
        <v>1943</v>
      </c>
      <c r="C186" s="122" t="s">
        <v>12</v>
      </c>
      <c r="D186" s="123">
        <v>0</v>
      </c>
      <c r="E186" s="124" t="s">
        <v>5</v>
      </c>
      <c r="F186" s="126">
        <v>600</v>
      </c>
      <c r="G186" s="124" t="s">
        <v>766</v>
      </c>
      <c r="H186" s="126">
        <v>608</v>
      </c>
      <c r="I186" s="124" t="s">
        <v>774</v>
      </c>
      <c r="J186" s="126">
        <v>608</v>
      </c>
      <c r="K186" s="124" t="s">
        <v>2178</v>
      </c>
      <c r="L186" s="126">
        <v>608</v>
      </c>
      <c r="M186" s="124" t="s">
        <v>2179</v>
      </c>
      <c r="N186" s="144">
        <f t="shared" si="2"/>
        <v>600</v>
      </c>
      <c r="O186" s="146"/>
      <c r="P186" s="147" t="s">
        <v>5</v>
      </c>
    </row>
    <row r="187" spans="1:16" ht="30" customHeight="1" x14ac:dyDescent="0.3">
      <c r="A187" s="121" t="s">
        <v>1954</v>
      </c>
      <c r="B187" s="121" t="s">
        <v>1944</v>
      </c>
      <c r="C187" s="122" t="s">
        <v>12</v>
      </c>
      <c r="D187" s="123">
        <v>0</v>
      </c>
      <c r="E187" s="124" t="s">
        <v>5</v>
      </c>
      <c r="F187" s="126">
        <v>1240</v>
      </c>
      <c r="G187" s="124" t="s">
        <v>766</v>
      </c>
      <c r="H187" s="126">
        <v>1252</v>
      </c>
      <c r="I187" s="124" t="s">
        <v>774</v>
      </c>
      <c r="J187" s="126">
        <v>1252</v>
      </c>
      <c r="K187" s="124" t="s">
        <v>2178</v>
      </c>
      <c r="L187" s="126">
        <v>1252</v>
      </c>
      <c r="M187" s="124" t="s">
        <v>2179</v>
      </c>
      <c r="N187" s="144">
        <f t="shared" si="2"/>
        <v>1240</v>
      </c>
      <c r="O187" s="146"/>
      <c r="P187" s="147" t="s">
        <v>5</v>
      </c>
    </row>
    <row r="188" spans="1:16" ht="30" customHeight="1" x14ac:dyDescent="0.3">
      <c r="A188" s="121" t="s">
        <v>1955</v>
      </c>
      <c r="B188" s="121" t="s">
        <v>1938</v>
      </c>
      <c r="C188" s="122" t="s">
        <v>12</v>
      </c>
      <c r="D188" s="123">
        <v>0</v>
      </c>
      <c r="E188" s="124" t="s">
        <v>5</v>
      </c>
      <c r="F188" s="126">
        <v>300</v>
      </c>
      <c r="G188" s="124" t="s">
        <v>766</v>
      </c>
      <c r="H188" s="126">
        <v>304</v>
      </c>
      <c r="I188" s="124" t="s">
        <v>774</v>
      </c>
      <c r="J188" s="126">
        <v>304</v>
      </c>
      <c r="K188" s="124" t="s">
        <v>2178</v>
      </c>
      <c r="L188" s="126">
        <v>304</v>
      </c>
      <c r="M188" s="124" t="s">
        <v>2179</v>
      </c>
      <c r="N188" s="144">
        <f t="shared" si="2"/>
        <v>300</v>
      </c>
      <c r="O188" s="146"/>
      <c r="P188" s="147" t="s">
        <v>5</v>
      </c>
    </row>
    <row r="189" spans="1:16" ht="30" customHeight="1" x14ac:dyDescent="0.3">
      <c r="A189" s="121" t="s">
        <v>1955</v>
      </c>
      <c r="B189" s="121" t="s">
        <v>1939</v>
      </c>
      <c r="C189" s="122" t="s">
        <v>12</v>
      </c>
      <c r="D189" s="123">
        <v>0</v>
      </c>
      <c r="E189" s="124" t="s">
        <v>5</v>
      </c>
      <c r="F189" s="126">
        <v>320</v>
      </c>
      <c r="G189" s="124" t="s">
        <v>766</v>
      </c>
      <c r="H189" s="126">
        <v>329</v>
      </c>
      <c r="I189" s="124" t="s">
        <v>774</v>
      </c>
      <c r="J189" s="126">
        <v>329</v>
      </c>
      <c r="K189" s="124" t="s">
        <v>2178</v>
      </c>
      <c r="L189" s="126">
        <v>329</v>
      </c>
      <c r="M189" s="124" t="s">
        <v>2179</v>
      </c>
      <c r="N189" s="144">
        <f t="shared" si="2"/>
        <v>320</v>
      </c>
      <c r="O189" s="146"/>
      <c r="P189" s="147" t="s">
        <v>5</v>
      </c>
    </row>
    <row r="190" spans="1:16" ht="30" customHeight="1" x14ac:dyDescent="0.3">
      <c r="A190" s="121" t="s">
        <v>1955</v>
      </c>
      <c r="B190" s="121" t="s">
        <v>1940</v>
      </c>
      <c r="C190" s="122" t="s">
        <v>12</v>
      </c>
      <c r="D190" s="123">
        <v>0</v>
      </c>
      <c r="E190" s="124" t="s">
        <v>5</v>
      </c>
      <c r="F190" s="126">
        <v>410</v>
      </c>
      <c r="G190" s="124" t="s">
        <v>766</v>
      </c>
      <c r="H190" s="126">
        <v>417</v>
      </c>
      <c r="I190" s="124" t="s">
        <v>774</v>
      </c>
      <c r="J190" s="126">
        <v>417</v>
      </c>
      <c r="K190" s="124" t="s">
        <v>2178</v>
      </c>
      <c r="L190" s="126">
        <v>417</v>
      </c>
      <c r="M190" s="124" t="s">
        <v>2179</v>
      </c>
      <c r="N190" s="144">
        <f t="shared" si="2"/>
        <v>410</v>
      </c>
      <c r="O190" s="146"/>
      <c r="P190" s="147" t="s">
        <v>5</v>
      </c>
    </row>
    <row r="191" spans="1:16" ht="30" customHeight="1" x14ac:dyDescent="0.3">
      <c r="A191" s="121" t="s">
        <v>1955</v>
      </c>
      <c r="B191" s="121" t="s">
        <v>1941</v>
      </c>
      <c r="C191" s="122" t="s">
        <v>12</v>
      </c>
      <c r="D191" s="123">
        <v>0</v>
      </c>
      <c r="E191" s="124" t="s">
        <v>5</v>
      </c>
      <c r="F191" s="126">
        <v>480</v>
      </c>
      <c r="G191" s="124" t="s">
        <v>766</v>
      </c>
      <c r="H191" s="126">
        <v>494</v>
      </c>
      <c r="I191" s="124" t="s">
        <v>774</v>
      </c>
      <c r="J191" s="126">
        <v>494</v>
      </c>
      <c r="K191" s="124" t="s">
        <v>2178</v>
      </c>
      <c r="L191" s="126">
        <v>494</v>
      </c>
      <c r="M191" s="124" t="s">
        <v>2179</v>
      </c>
      <c r="N191" s="144">
        <f t="shared" si="2"/>
        <v>480</v>
      </c>
      <c r="O191" s="146"/>
      <c r="P191" s="147" t="s">
        <v>5</v>
      </c>
    </row>
    <row r="192" spans="1:16" ht="30" customHeight="1" x14ac:dyDescent="0.3">
      <c r="A192" s="121" t="s">
        <v>1955</v>
      </c>
      <c r="B192" s="121" t="s">
        <v>1942</v>
      </c>
      <c r="C192" s="122" t="s">
        <v>12</v>
      </c>
      <c r="D192" s="123">
        <v>0</v>
      </c>
      <c r="E192" s="124" t="s">
        <v>5</v>
      </c>
      <c r="F192" s="126">
        <v>650</v>
      </c>
      <c r="G192" s="124" t="s">
        <v>766</v>
      </c>
      <c r="H192" s="126">
        <v>658</v>
      </c>
      <c r="I192" s="124" t="s">
        <v>774</v>
      </c>
      <c r="J192" s="126">
        <v>658</v>
      </c>
      <c r="K192" s="124" t="s">
        <v>2178</v>
      </c>
      <c r="L192" s="126">
        <v>658</v>
      </c>
      <c r="M192" s="124" t="s">
        <v>2179</v>
      </c>
      <c r="N192" s="144">
        <f t="shared" si="2"/>
        <v>650</v>
      </c>
      <c r="O192" s="146"/>
      <c r="P192" s="147" t="s">
        <v>5</v>
      </c>
    </row>
    <row r="193" spans="1:16" ht="30" customHeight="1" x14ac:dyDescent="0.3">
      <c r="A193" s="121" t="s">
        <v>1955</v>
      </c>
      <c r="B193" s="121" t="s">
        <v>1943</v>
      </c>
      <c r="C193" s="122" t="s">
        <v>12</v>
      </c>
      <c r="D193" s="123">
        <v>0</v>
      </c>
      <c r="E193" s="124" t="s">
        <v>5</v>
      </c>
      <c r="F193" s="126">
        <v>760</v>
      </c>
      <c r="G193" s="124" t="s">
        <v>766</v>
      </c>
      <c r="H193" s="126">
        <v>772</v>
      </c>
      <c r="I193" s="124" t="s">
        <v>774</v>
      </c>
      <c r="J193" s="126">
        <v>772</v>
      </c>
      <c r="K193" s="124" t="s">
        <v>2178</v>
      </c>
      <c r="L193" s="126">
        <v>772</v>
      </c>
      <c r="M193" s="124" t="s">
        <v>2179</v>
      </c>
      <c r="N193" s="144">
        <f t="shared" si="2"/>
        <v>760</v>
      </c>
      <c r="O193" s="146"/>
      <c r="P193" s="147" t="s">
        <v>5</v>
      </c>
    </row>
    <row r="194" spans="1:16" ht="30" customHeight="1" x14ac:dyDescent="0.3">
      <c r="A194" s="121" t="s">
        <v>1955</v>
      </c>
      <c r="B194" s="121" t="s">
        <v>1944</v>
      </c>
      <c r="C194" s="122" t="s">
        <v>12</v>
      </c>
      <c r="D194" s="123">
        <v>0</v>
      </c>
      <c r="E194" s="124" t="s">
        <v>5</v>
      </c>
      <c r="F194" s="126">
        <v>1500</v>
      </c>
      <c r="G194" s="124" t="s">
        <v>766</v>
      </c>
      <c r="H194" s="126">
        <v>1518</v>
      </c>
      <c r="I194" s="124" t="s">
        <v>774</v>
      </c>
      <c r="J194" s="126">
        <v>1518</v>
      </c>
      <c r="K194" s="124" t="s">
        <v>2178</v>
      </c>
      <c r="L194" s="126">
        <v>1518</v>
      </c>
      <c r="M194" s="124" t="s">
        <v>2179</v>
      </c>
      <c r="N194" s="144">
        <f t="shared" ref="N194:N201" si="3">SMALL(D194:L194,COUNTIF(D194:L194,0)+1)</f>
        <v>1500</v>
      </c>
      <c r="O194" s="146"/>
      <c r="P194" s="147" t="s">
        <v>5</v>
      </c>
    </row>
    <row r="195" spans="1:16" ht="30" customHeight="1" x14ac:dyDescent="0.3">
      <c r="A195" s="131" t="s">
        <v>2016</v>
      </c>
      <c r="B195" s="131" t="s">
        <v>2163</v>
      </c>
      <c r="C195" s="132" t="s">
        <v>12</v>
      </c>
      <c r="D195" s="134">
        <v>9647</v>
      </c>
      <c r="E195" s="131" t="s">
        <v>5</v>
      </c>
      <c r="F195" s="127">
        <v>0</v>
      </c>
      <c r="G195" s="128" t="s">
        <v>5</v>
      </c>
      <c r="H195" s="127">
        <v>0</v>
      </c>
      <c r="I195" s="128" t="s">
        <v>5</v>
      </c>
      <c r="J195" s="127">
        <v>0</v>
      </c>
      <c r="K195" s="128"/>
      <c r="L195" s="127">
        <v>0</v>
      </c>
      <c r="M195" s="128"/>
      <c r="N195" s="144">
        <f t="shared" si="3"/>
        <v>9647</v>
      </c>
      <c r="O195" s="124"/>
      <c r="P195" s="130"/>
    </row>
    <row r="196" spans="1:16" ht="30" customHeight="1" x14ac:dyDescent="0.3">
      <c r="A196" s="131" t="s">
        <v>2016</v>
      </c>
      <c r="B196" s="131" t="s">
        <v>2164</v>
      </c>
      <c r="C196" s="132" t="s">
        <v>12</v>
      </c>
      <c r="D196" s="134">
        <v>11745</v>
      </c>
      <c r="E196" s="131" t="s">
        <v>5</v>
      </c>
      <c r="F196" s="127">
        <v>0</v>
      </c>
      <c r="G196" s="128" t="s">
        <v>5</v>
      </c>
      <c r="H196" s="127">
        <v>0</v>
      </c>
      <c r="I196" s="128" t="s">
        <v>5</v>
      </c>
      <c r="J196" s="127">
        <v>0</v>
      </c>
      <c r="K196" s="128"/>
      <c r="L196" s="127">
        <v>0</v>
      </c>
      <c r="M196" s="128"/>
      <c r="N196" s="144">
        <f t="shared" si="3"/>
        <v>11745</v>
      </c>
      <c r="O196" s="124"/>
      <c r="P196" s="130"/>
    </row>
    <row r="197" spans="1:16" ht="30" customHeight="1" x14ac:dyDescent="0.3">
      <c r="A197" s="131" t="s">
        <v>2016</v>
      </c>
      <c r="B197" s="131" t="s">
        <v>2165</v>
      </c>
      <c r="C197" s="132" t="s">
        <v>12</v>
      </c>
      <c r="D197" s="134">
        <v>13381</v>
      </c>
      <c r="E197" s="131" t="s">
        <v>5</v>
      </c>
      <c r="F197" s="127">
        <v>0</v>
      </c>
      <c r="G197" s="128" t="s">
        <v>5</v>
      </c>
      <c r="H197" s="127">
        <v>0</v>
      </c>
      <c r="I197" s="128" t="s">
        <v>5</v>
      </c>
      <c r="J197" s="127">
        <v>0</v>
      </c>
      <c r="K197" s="128"/>
      <c r="L197" s="127">
        <v>0</v>
      </c>
      <c r="M197" s="128"/>
      <c r="N197" s="144">
        <f t="shared" si="3"/>
        <v>13381</v>
      </c>
      <c r="O197" s="124"/>
      <c r="P197" s="130"/>
    </row>
    <row r="198" spans="1:16" ht="30" customHeight="1" x14ac:dyDescent="0.3">
      <c r="A198" s="131" t="s">
        <v>2016</v>
      </c>
      <c r="B198" s="131" t="s">
        <v>2166</v>
      </c>
      <c r="C198" s="132" t="s">
        <v>12</v>
      </c>
      <c r="D198" s="134">
        <v>14619</v>
      </c>
      <c r="E198" s="131" t="s">
        <v>5</v>
      </c>
      <c r="F198" s="127">
        <v>0</v>
      </c>
      <c r="G198" s="128" t="s">
        <v>5</v>
      </c>
      <c r="H198" s="127">
        <v>0</v>
      </c>
      <c r="I198" s="128" t="s">
        <v>5</v>
      </c>
      <c r="J198" s="127">
        <v>0</v>
      </c>
      <c r="K198" s="128"/>
      <c r="L198" s="127">
        <v>0</v>
      </c>
      <c r="M198" s="128"/>
      <c r="N198" s="144">
        <f t="shared" si="3"/>
        <v>14619</v>
      </c>
      <c r="O198" s="124"/>
      <c r="P198" s="130"/>
    </row>
    <row r="199" spans="1:16" ht="30" customHeight="1" x14ac:dyDescent="0.3">
      <c r="A199" s="131" t="s">
        <v>2016</v>
      </c>
      <c r="B199" s="131" t="s">
        <v>2017</v>
      </c>
      <c r="C199" s="132" t="s">
        <v>12</v>
      </c>
      <c r="D199" s="134">
        <v>19488</v>
      </c>
      <c r="E199" s="131" t="s">
        <v>5</v>
      </c>
      <c r="F199" s="127">
        <v>0</v>
      </c>
      <c r="G199" s="128" t="s">
        <v>5</v>
      </c>
      <c r="H199" s="127">
        <v>0</v>
      </c>
      <c r="I199" s="128" t="s">
        <v>5</v>
      </c>
      <c r="J199" s="127">
        <v>0</v>
      </c>
      <c r="K199" s="128"/>
      <c r="L199" s="127">
        <v>0</v>
      </c>
      <c r="M199" s="128"/>
      <c r="N199" s="144">
        <f t="shared" si="3"/>
        <v>19488</v>
      </c>
      <c r="O199" s="124"/>
      <c r="P199" s="130"/>
    </row>
    <row r="200" spans="1:16" ht="30" customHeight="1" x14ac:dyDescent="0.3">
      <c r="A200" s="131" t="s">
        <v>2016</v>
      </c>
      <c r="B200" s="131" t="s">
        <v>2018</v>
      </c>
      <c r="C200" s="132" t="s">
        <v>12</v>
      </c>
      <c r="D200" s="134">
        <v>25049</v>
      </c>
      <c r="E200" s="131" t="s">
        <v>5</v>
      </c>
      <c r="F200" s="127">
        <v>0</v>
      </c>
      <c r="G200" s="128" t="s">
        <v>5</v>
      </c>
      <c r="H200" s="127">
        <v>0</v>
      </c>
      <c r="I200" s="128" t="s">
        <v>5</v>
      </c>
      <c r="J200" s="127">
        <v>0</v>
      </c>
      <c r="K200" s="128"/>
      <c r="L200" s="127">
        <v>0</v>
      </c>
      <c r="M200" s="128"/>
      <c r="N200" s="144">
        <f t="shared" si="3"/>
        <v>25049</v>
      </c>
      <c r="O200" s="124"/>
      <c r="P200" s="130"/>
    </row>
    <row r="201" spans="1:16" ht="30" customHeight="1" x14ac:dyDescent="0.3">
      <c r="A201" s="131" t="s">
        <v>2016</v>
      </c>
      <c r="B201" s="131" t="s">
        <v>2019</v>
      </c>
      <c r="C201" s="132" t="s">
        <v>12</v>
      </c>
      <c r="D201" s="134">
        <v>27081</v>
      </c>
      <c r="E201" s="131" t="s">
        <v>5</v>
      </c>
      <c r="F201" s="127">
        <v>0</v>
      </c>
      <c r="G201" s="128" t="s">
        <v>5</v>
      </c>
      <c r="H201" s="127">
        <v>0</v>
      </c>
      <c r="I201" s="128" t="s">
        <v>5</v>
      </c>
      <c r="J201" s="127">
        <v>0</v>
      </c>
      <c r="K201" s="128"/>
      <c r="L201" s="127">
        <v>0</v>
      </c>
      <c r="M201" s="128"/>
      <c r="N201" s="144">
        <f t="shared" si="3"/>
        <v>27081</v>
      </c>
      <c r="O201" s="124"/>
      <c r="P201" s="130"/>
    </row>
    <row r="202" spans="1:16" ht="30" customHeight="1" x14ac:dyDescent="0.3">
      <c r="A202" s="131" t="s">
        <v>2183</v>
      </c>
      <c r="B202" s="131" t="s">
        <v>2184</v>
      </c>
      <c r="C202" s="132" t="s">
        <v>12</v>
      </c>
      <c r="D202" s="123">
        <v>0</v>
      </c>
      <c r="E202" s="131" t="s">
        <v>5</v>
      </c>
      <c r="F202" s="127">
        <v>0</v>
      </c>
      <c r="G202" s="128" t="s">
        <v>5</v>
      </c>
      <c r="H202" s="127">
        <v>0</v>
      </c>
      <c r="I202" s="128" t="s">
        <v>5</v>
      </c>
      <c r="J202" s="127">
        <v>2250</v>
      </c>
      <c r="K202" s="124" t="s">
        <v>1624</v>
      </c>
      <c r="L202" s="127">
        <v>0</v>
      </c>
      <c r="M202" s="128"/>
      <c r="N202" s="144">
        <f t="shared" ref="N202:N209" si="4">SMALL(D202:L202,COUNTIF(D202:L202,0)+1)</f>
        <v>2250</v>
      </c>
      <c r="O202" s="124"/>
      <c r="P202" s="130"/>
    </row>
    <row r="203" spans="1:16" ht="30" customHeight="1" x14ac:dyDescent="0.3">
      <c r="A203" s="131" t="s">
        <v>2183</v>
      </c>
      <c r="B203" s="131" t="s">
        <v>2193</v>
      </c>
      <c r="C203" s="132" t="s">
        <v>12</v>
      </c>
      <c r="D203" s="123">
        <v>0</v>
      </c>
      <c r="E203" s="131" t="s">
        <v>5</v>
      </c>
      <c r="F203" s="127">
        <v>0</v>
      </c>
      <c r="G203" s="128"/>
      <c r="H203" s="127">
        <v>0</v>
      </c>
      <c r="I203" s="128" t="s">
        <v>5</v>
      </c>
      <c r="J203" s="127">
        <v>2700</v>
      </c>
      <c r="K203" s="124" t="s">
        <v>1624</v>
      </c>
      <c r="L203" s="127">
        <v>0</v>
      </c>
      <c r="M203" s="128"/>
      <c r="N203" s="144">
        <f t="shared" si="4"/>
        <v>2700</v>
      </c>
      <c r="O203" s="124"/>
      <c r="P203" s="130"/>
    </row>
    <row r="204" spans="1:16" ht="30" customHeight="1" x14ac:dyDescent="0.3">
      <c r="A204" s="131" t="s">
        <v>2183</v>
      </c>
      <c r="B204" s="131" t="s">
        <v>2185</v>
      </c>
      <c r="C204" s="132" t="s">
        <v>12</v>
      </c>
      <c r="D204" s="123">
        <v>0</v>
      </c>
      <c r="E204" s="131" t="s">
        <v>5</v>
      </c>
      <c r="F204" s="127">
        <v>0</v>
      </c>
      <c r="G204" s="128"/>
      <c r="H204" s="127">
        <v>0</v>
      </c>
      <c r="I204" s="128" t="s">
        <v>5</v>
      </c>
      <c r="J204" s="127">
        <v>3300</v>
      </c>
      <c r="K204" s="124" t="s">
        <v>1624</v>
      </c>
      <c r="L204" s="127">
        <v>0</v>
      </c>
      <c r="M204" s="128"/>
      <c r="N204" s="144">
        <f t="shared" ref="N204" si="5">SMALL(D204:L204,COUNTIF(D204:L204,0)+1)</f>
        <v>3300</v>
      </c>
      <c r="O204" s="124"/>
      <c r="P204" s="130"/>
    </row>
    <row r="205" spans="1:16" ht="30" customHeight="1" x14ac:dyDescent="0.3">
      <c r="A205" s="131" t="s">
        <v>2183</v>
      </c>
      <c r="B205" s="131" t="s">
        <v>2186</v>
      </c>
      <c r="C205" s="132" t="s">
        <v>12</v>
      </c>
      <c r="D205" s="123">
        <v>0</v>
      </c>
      <c r="E205" s="131" t="s">
        <v>5</v>
      </c>
      <c r="F205" s="127">
        <v>0</v>
      </c>
      <c r="G205" s="128"/>
      <c r="H205" s="127">
        <v>0</v>
      </c>
      <c r="I205" s="128" t="s">
        <v>5</v>
      </c>
      <c r="J205" s="127">
        <v>4950</v>
      </c>
      <c r="K205" s="124" t="s">
        <v>1624</v>
      </c>
      <c r="L205" s="127">
        <v>0</v>
      </c>
      <c r="M205" s="128"/>
      <c r="N205" s="144">
        <f t="shared" si="4"/>
        <v>4950</v>
      </c>
      <c r="O205" s="124"/>
      <c r="P205" s="130"/>
    </row>
    <row r="206" spans="1:16" ht="30" customHeight="1" x14ac:dyDescent="0.3">
      <c r="A206" s="131" t="s">
        <v>2183</v>
      </c>
      <c r="B206" s="131" t="s">
        <v>2187</v>
      </c>
      <c r="C206" s="132" t="s">
        <v>12</v>
      </c>
      <c r="D206" s="123">
        <v>0</v>
      </c>
      <c r="E206" s="131" t="s">
        <v>5</v>
      </c>
      <c r="F206" s="127">
        <v>0</v>
      </c>
      <c r="G206" s="128"/>
      <c r="H206" s="127">
        <v>0</v>
      </c>
      <c r="I206" s="128" t="s">
        <v>5</v>
      </c>
      <c r="J206" s="127">
        <v>5550</v>
      </c>
      <c r="K206" s="124" t="s">
        <v>1624</v>
      </c>
      <c r="L206" s="127">
        <v>0</v>
      </c>
      <c r="M206" s="128"/>
      <c r="N206" s="144">
        <f t="shared" si="4"/>
        <v>5550</v>
      </c>
      <c r="O206" s="124"/>
      <c r="P206" s="130"/>
    </row>
    <row r="207" spans="1:16" ht="30" customHeight="1" x14ac:dyDescent="0.3">
      <c r="A207" s="131" t="s">
        <v>2183</v>
      </c>
      <c r="B207" s="131" t="s">
        <v>2188</v>
      </c>
      <c r="C207" s="132" t="s">
        <v>12</v>
      </c>
      <c r="D207" s="123">
        <v>0</v>
      </c>
      <c r="E207" s="131" t="s">
        <v>5</v>
      </c>
      <c r="F207" s="127">
        <v>0</v>
      </c>
      <c r="G207" s="128" t="s">
        <v>5</v>
      </c>
      <c r="H207" s="127">
        <v>0</v>
      </c>
      <c r="I207" s="128" t="s">
        <v>5</v>
      </c>
      <c r="J207" s="127">
        <v>6300</v>
      </c>
      <c r="K207" s="124" t="s">
        <v>1624</v>
      </c>
      <c r="L207" s="127">
        <v>0</v>
      </c>
      <c r="M207" s="128"/>
      <c r="N207" s="144">
        <f t="shared" si="4"/>
        <v>6300</v>
      </c>
      <c r="O207" s="124"/>
      <c r="P207" s="130"/>
    </row>
    <row r="208" spans="1:16" ht="30" customHeight="1" x14ac:dyDescent="0.3">
      <c r="A208" s="131" t="s">
        <v>2183</v>
      </c>
      <c r="B208" s="131" t="s">
        <v>2190</v>
      </c>
      <c r="C208" s="132" t="s">
        <v>12</v>
      </c>
      <c r="D208" s="123">
        <v>0</v>
      </c>
      <c r="E208" s="131" t="s">
        <v>5</v>
      </c>
      <c r="F208" s="127">
        <v>0</v>
      </c>
      <c r="G208" s="128" t="s">
        <v>5</v>
      </c>
      <c r="H208" s="127">
        <v>0</v>
      </c>
      <c r="I208" s="128" t="s">
        <v>5</v>
      </c>
      <c r="J208" s="127">
        <v>9900</v>
      </c>
      <c r="K208" s="124" t="s">
        <v>1624</v>
      </c>
      <c r="L208" s="127">
        <v>0</v>
      </c>
      <c r="M208" s="128"/>
      <c r="N208" s="144">
        <f t="shared" si="4"/>
        <v>9900</v>
      </c>
      <c r="O208" s="124"/>
      <c r="P208" s="130"/>
    </row>
    <row r="209" spans="1:16" ht="30" customHeight="1" x14ac:dyDescent="0.3">
      <c r="A209" s="131" t="s">
        <v>2183</v>
      </c>
      <c r="B209" s="131" t="s">
        <v>2189</v>
      </c>
      <c r="C209" s="132" t="s">
        <v>12</v>
      </c>
      <c r="D209" s="123">
        <v>0</v>
      </c>
      <c r="E209" s="131" t="s">
        <v>5</v>
      </c>
      <c r="F209" s="127">
        <v>0</v>
      </c>
      <c r="G209" s="128" t="s">
        <v>5</v>
      </c>
      <c r="H209" s="127">
        <v>0</v>
      </c>
      <c r="I209" s="128" t="s">
        <v>5</v>
      </c>
      <c r="J209" s="127">
        <v>13950</v>
      </c>
      <c r="K209" s="124" t="s">
        <v>1624</v>
      </c>
      <c r="L209" s="127">
        <v>0</v>
      </c>
      <c r="M209" s="128"/>
      <c r="N209" s="144">
        <f t="shared" si="4"/>
        <v>13950</v>
      </c>
      <c r="O209" s="124"/>
      <c r="P209" s="130"/>
    </row>
    <row r="210" spans="1:16" ht="30" customHeight="1" x14ac:dyDescent="0.3">
      <c r="A210" s="131" t="s">
        <v>2183</v>
      </c>
      <c r="B210" s="131" t="s">
        <v>2191</v>
      </c>
      <c r="C210" s="132" t="s">
        <v>12</v>
      </c>
      <c r="D210" s="123">
        <v>0</v>
      </c>
      <c r="E210" s="131" t="s">
        <v>5</v>
      </c>
      <c r="F210" s="127">
        <v>0</v>
      </c>
      <c r="G210" s="128" t="s">
        <v>5</v>
      </c>
      <c r="H210" s="127">
        <v>0</v>
      </c>
      <c r="I210" s="128" t="s">
        <v>5</v>
      </c>
      <c r="J210" s="127">
        <v>18450</v>
      </c>
      <c r="K210" s="124" t="s">
        <v>1624</v>
      </c>
      <c r="L210" s="127">
        <v>0</v>
      </c>
      <c r="M210" s="128"/>
      <c r="N210" s="144">
        <f t="shared" ref="N210:N211" si="6">SMALL(D210:L210,COUNTIF(D210:L210,0)+1)</f>
        <v>18450</v>
      </c>
      <c r="O210" s="124"/>
      <c r="P210" s="130"/>
    </row>
    <row r="211" spans="1:16" ht="30" customHeight="1" x14ac:dyDescent="0.3">
      <c r="A211" s="131" t="s">
        <v>2183</v>
      </c>
      <c r="B211" s="131" t="s">
        <v>2192</v>
      </c>
      <c r="C211" s="132" t="s">
        <v>12</v>
      </c>
      <c r="D211" s="123">
        <v>0</v>
      </c>
      <c r="E211" s="131" t="s">
        <v>5</v>
      </c>
      <c r="F211" s="127">
        <v>0</v>
      </c>
      <c r="G211" s="128" t="s">
        <v>5</v>
      </c>
      <c r="H211" s="127">
        <v>0</v>
      </c>
      <c r="I211" s="128" t="s">
        <v>5</v>
      </c>
      <c r="J211" s="127">
        <v>23100</v>
      </c>
      <c r="K211" s="124" t="s">
        <v>1624</v>
      </c>
      <c r="L211" s="127">
        <v>0</v>
      </c>
      <c r="M211" s="128"/>
      <c r="N211" s="144">
        <f t="shared" si="6"/>
        <v>23100</v>
      </c>
      <c r="O211" s="124"/>
      <c r="P211" s="130"/>
    </row>
    <row r="213" spans="1:16" x14ac:dyDescent="0.3">
      <c r="N213" s="111"/>
    </row>
  </sheetData>
  <mergeCells count="8">
    <mergeCell ref="A1:P1"/>
    <mergeCell ref="A2:P2"/>
    <mergeCell ref="A3:A4"/>
    <mergeCell ref="B3:B4"/>
    <mergeCell ref="C3:C4"/>
    <mergeCell ref="D3:N3"/>
    <mergeCell ref="O3:O4"/>
    <mergeCell ref="P3:P4"/>
  </mergeCells>
  <phoneticPr fontId="1" type="noConversion"/>
  <pageMargins left="0.78740157480314954" right="0" top="0.39370078740157477" bottom="0.39370078740157477" header="0" footer="0"/>
  <pageSetup paperSize="9" scale="64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pageSetUpPr fitToPage="1"/>
  </sheetPr>
  <dimension ref="A1:P368"/>
  <sheetViews>
    <sheetView view="pageBreakPreview" zoomScale="85" zoomScaleNormal="87" zoomScaleSheetLayoutView="85" workbookViewId="0">
      <pane ySplit="4" topLeftCell="A218" activePane="bottomLeft" state="frozen"/>
      <selection activeCell="A3" sqref="A3:A4"/>
      <selection pane="bottomLeft" activeCell="A230" sqref="A230"/>
    </sheetView>
  </sheetViews>
  <sheetFormatPr defaultRowHeight="16.5" x14ac:dyDescent="0.3"/>
  <cols>
    <col min="1" max="1" width="30.5" style="116" bestFit="1" customWidth="1"/>
    <col min="2" max="2" width="37.125" style="116" customWidth="1"/>
    <col min="3" max="3" width="5.5" style="136" bestFit="1" customWidth="1"/>
    <col min="4" max="4" width="11.625" style="151" bestFit="1" customWidth="1"/>
    <col min="5" max="5" width="6.625" style="137" bestFit="1" customWidth="1"/>
    <col min="6" max="6" width="11.625" style="107" bestFit="1" customWidth="1"/>
    <col min="7" max="7" width="6.625" style="137" bestFit="1" customWidth="1"/>
    <col min="8" max="8" width="11.625" style="107" bestFit="1" customWidth="1"/>
    <col min="9" max="9" width="6.625" style="137" bestFit="1" customWidth="1"/>
    <col min="10" max="10" width="11.625" style="107" bestFit="1" customWidth="1"/>
    <col min="11" max="11" width="6.625" style="137" bestFit="1" customWidth="1"/>
    <col min="12" max="12" width="13.875" style="107" bestFit="1" customWidth="1"/>
    <col min="13" max="13" width="6.625" style="137" bestFit="1" customWidth="1"/>
    <col min="14" max="14" width="13.875" style="112" bestFit="1" customWidth="1"/>
    <col min="15" max="15" width="8.5" style="136" bestFit="1" customWidth="1"/>
    <col min="16" max="16" width="15" style="136" bestFit="1" customWidth="1"/>
    <col min="17" max="16384" width="9" style="116"/>
  </cols>
  <sheetData>
    <row r="1" spans="1:16" ht="30" customHeight="1" x14ac:dyDescent="0.3">
      <c r="A1" s="200" t="s">
        <v>932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</row>
    <row r="2" spans="1:16" ht="30" customHeight="1" x14ac:dyDescent="0.3">
      <c r="A2" s="201" t="s">
        <v>1998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</row>
    <row r="3" spans="1:16" ht="30" customHeight="1" x14ac:dyDescent="0.3">
      <c r="A3" s="202" t="s">
        <v>1566</v>
      </c>
      <c r="B3" s="202" t="s">
        <v>1567</v>
      </c>
      <c r="C3" s="202" t="s">
        <v>1</v>
      </c>
      <c r="D3" s="202" t="s">
        <v>2</v>
      </c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3" t="s">
        <v>728</v>
      </c>
      <c r="P3" s="203" t="s">
        <v>3</v>
      </c>
    </row>
    <row r="4" spans="1:16" ht="30" customHeight="1" x14ac:dyDescent="0.3">
      <c r="A4" s="202"/>
      <c r="B4" s="202"/>
      <c r="C4" s="202"/>
      <c r="D4" s="117" t="s">
        <v>723</v>
      </c>
      <c r="E4" s="118" t="s">
        <v>724</v>
      </c>
      <c r="F4" s="119" t="s">
        <v>2239</v>
      </c>
      <c r="G4" s="118" t="s">
        <v>724</v>
      </c>
      <c r="H4" s="119" t="s">
        <v>2240</v>
      </c>
      <c r="I4" s="118" t="s">
        <v>724</v>
      </c>
      <c r="J4" s="119" t="s">
        <v>2241</v>
      </c>
      <c r="K4" s="118" t="s">
        <v>724</v>
      </c>
      <c r="L4" s="119" t="s">
        <v>2242</v>
      </c>
      <c r="M4" s="118" t="s">
        <v>724</v>
      </c>
      <c r="N4" s="120" t="s">
        <v>725</v>
      </c>
      <c r="O4" s="204"/>
      <c r="P4" s="204"/>
    </row>
    <row r="5" spans="1:16" ht="30" customHeight="1" x14ac:dyDescent="0.3">
      <c r="A5" s="121" t="s">
        <v>63</v>
      </c>
      <c r="B5" s="121" t="s">
        <v>2043</v>
      </c>
      <c r="C5" s="122" t="s">
        <v>14</v>
      </c>
      <c r="D5" s="123">
        <v>0</v>
      </c>
      <c r="E5" s="124" t="s">
        <v>5</v>
      </c>
      <c r="F5" s="126">
        <v>1100</v>
      </c>
      <c r="G5" s="124" t="s">
        <v>776</v>
      </c>
      <c r="H5" s="127">
        <v>0</v>
      </c>
      <c r="I5" s="124" t="s">
        <v>5</v>
      </c>
      <c r="J5" s="127">
        <v>0</v>
      </c>
      <c r="K5" s="124" t="s">
        <v>5</v>
      </c>
      <c r="L5" s="127">
        <v>0</v>
      </c>
      <c r="M5" s="124" t="s">
        <v>5</v>
      </c>
      <c r="N5" s="129">
        <f t="shared" ref="N5" si="0">SMALL(D5:L5,COUNTIF(D5:L5,0)+1)</f>
        <v>1100</v>
      </c>
      <c r="O5" s="124"/>
      <c r="P5" s="130"/>
    </row>
    <row r="6" spans="1:16" ht="30" customHeight="1" x14ac:dyDescent="0.3">
      <c r="A6" s="121" t="s">
        <v>63</v>
      </c>
      <c r="B6" s="121" t="s">
        <v>64</v>
      </c>
      <c r="C6" s="122" t="s">
        <v>14</v>
      </c>
      <c r="D6" s="149">
        <v>1824</v>
      </c>
      <c r="E6" s="124" t="s">
        <v>5</v>
      </c>
      <c r="F6" s="126">
        <v>3500</v>
      </c>
      <c r="G6" s="124" t="s">
        <v>776</v>
      </c>
      <c r="H6" s="126">
        <v>3500</v>
      </c>
      <c r="I6" s="124" t="s">
        <v>778</v>
      </c>
      <c r="J6" s="127">
        <v>3150</v>
      </c>
      <c r="K6" s="124" t="s">
        <v>2489</v>
      </c>
      <c r="L6" s="127">
        <v>3500</v>
      </c>
      <c r="M6" s="124" t="s">
        <v>2488</v>
      </c>
      <c r="N6" s="129">
        <f t="shared" ref="N6:N26" si="1">SMALL(D6:L6,COUNTIF(D6:L6,0)+1)</f>
        <v>1824</v>
      </c>
      <c r="O6" s="124"/>
      <c r="P6" s="130"/>
    </row>
    <row r="7" spans="1:16" ht="30" customHeight="1" x14ac:dyDescent="0.3">
      <c r="A7" s="121" t="s">
        <v>63</v>
      </c>
      <c r="B7" s="121" t="s">
        <v>65</v>
      </c>
      <c r="C7" s="122" t="s">
        <v>14</v>
      </c>
      <c r="D7" s="149">
        <v>2561</v>
      </c>
      <c r="E7" s="124" t="s">
        <v>5</v>
      </c>
      <c r="F7" s="126">
        <v>5000</v>
      </c>
      <c r="G7" s="124" t="s">
        <v>776</v>
      </c>
      <c r="H7" s="126">
        <v>5000</v>
      </c>
      <c r="I7" s="124" t="s">
        <v>778</v>
      </c>
      <c r="J7" s="127">
        <v>4410</v>
      </c>
      <c r="K7" s="124" t="s">
        <v>2489</v>
      </c>
      <c r="L7" s="127">
        <v>5000</v>
      </c>
      <c r="M7" s="124" t="s">
        <v>2488</v>
      </c>
      <c r="N7" s="129">
        <f t="shared" si="1"/>
        <v>2561</v>
      </c>
      <c r="O7" s="124"/>
      <c r="P7" s="130"/>
    </row>
    <row r="8" spans="1:16" ht="30" customHeight="1" x14ac:dyDescent="0.3">
      <c r="A8" s="121" t="s">
        <v>63</v>
      </c>
      <c r="B8" s="121" t="s">
        <v>66</v>
      </c>
      <c r="C8" s="122" t="s">
        <v>14</v>
      </c>
      <c r="D8" s="149">
        <v>4593</v>
      </c>
      <c r="E8" s="124" t="s">
        <v>5</v>
      </c>
      <c r="F8" s="126">
        <v>9000</v>
      </c>
      <c r="G8" s="124" t="s">
        <v>776</v>
      </c>
      <c r="H8" s="126">
        <v>9000</v>
      </c>
      <c r="I8" s="124" t="s">
        <v>778</v>
      </c>
      <c r="J8" s="127">
        <v>8190</v>
      </c>
      <c r="K8" s="124" t="s">
        <v>2489</v>
      </c>
      <c r="L8" s="127">
        <v>9000</v>
      </c>
      <c r="M8" s="124" t="s">
        <v>2488</v>
      </c>
      <c r="N8" s="129">
        <f t="shared" si="1"/>
        <v>4593</v>
      </c>
      <c r="O8" s="124"/>
      <c r="P8" s="130"/>
    </row>
    <row r="9" spans="1:16" ht="30" customHeight="1" x14ac:dyDescent="0.3">
      <c r="A9" s="131" t="s">
        <v>812</v>
      </c>
      <c r="B9" s="121" t="s">
        <v>2235</v>
      </c>
      <c r="C9" s="122" t="s">
        <v>14</v>
      </c>
      <c r="D9" s="123">
        <v>0</v>
      </c>
      <c r="E9" s="124" t="s">
        <v>5</v>
      </c>
      <c r="F9" s="126">
        <v>1100</v>
      </c>
      <c r="G9" s="124" t="s">
        <v>776</v>
      </c>
      <c r="H9" s="126">
        <v>1100</v>
      </c>
      <c r="I9" s="124" t="s">
        <v>778</v>
      </c>
      <c r="J9" s="127">
        <v>0</v>
      </c>
      <c r="K9" s="124" t="s">
        <v>5</v>
      </c>
      <c r="L9" s="127">
        <v>1100</v>
      </c>
      <c r="M9" s="124" t="s">
        <v>2488</v>
      </c>
      <c r="N9" s="129">
        <f t="shared" si="1"/>
        <v>1100</v>
      </c>
      <c r="O9" s="124"/>
      <c r="P9" s="130"/>
    </row>
    <row r="10" spans="1:16" ht="30" customHeight="1" x14ac:dyDescent="0.3">
      <c r="A10" s="131" t="s">
        <v>812</v>
      </c>
      <c r="B10" s="121" t="s">
        <v>59</v>
      </c>
      <c r="C10" s="122" t="s">
        <v>14</v>
      </c>
      <c r="D10" s="123">
        <v>0</v>
      </c>
      <c r="E10" s="124" t="s">
        <v>5</v>
      </c>
      <c r="F10" s="127">
        <v>0</v>
      </c>
      <c r="G10" s="124"/>
      <c r="H10" s="126">
        <v>1500</v>
      </c>
      <c r="I10" s="124" t="s">
        <v>778</v>
      </c>
      <c r="J10" s="127">
        <v>0</v>
      </c>
      <c r="K10" s="124" t="s">
        <v>5</v>
      </c>
      <c r="L10" s="127">
        <v>1500</v>
      </c>
      <c r="M10" s="124" t="s">
        <v>2488</v>
      </c>
      <c r="N10" s="129">
        <f t="shared" si="1"/>
        <v>1500</v>
      </c>
      <c r="O10" s="124"/>
      <c r="P10" s="130"/>
    </row>
    <row r="11" spans="1:16" ht="30" customHeight="1" x14ac:dyDescent="0.3">
      <c r="A11" s="131" t="s">
        <v>812</v>
      </c>
      <c r="B11" s="121" t="s">
        <v>60</v>
      </c>
      <c r="C11" s="122" t="s">
        <v>14</v>
      </c>
      <c r="D11" s="123">
        <v>0</v>
      </c>
      <c r="E11" s="124" t="s">
        <v>5</v>
      </c>
      <c r="F11" s="127">
        <v>0</v>
      </c>
      <c r="G11" s="124"/>
      <c r="H11" s="126">
        <v>2000</v>
      </c>
      <c r="I11" s="124" t="s">
        <v>778</v>
      </c>
      <c r="J11" s="127">
        <v>0</v>
      </c>
      <c r="K11" s="124" t="s">
        <v>5</v>
      </c>
      <c r="L11" s="127">
        <v>2000</v>
      </c>
      <c r="M11" s="124" t="s">
        <v>2488</v>
      </c>
      <c r="N11" s="129">
        <f t="shared" si="1"/>
        <v>2000</v>
      </c>
      <c r="O11" s="124"/>
      <c r="P11" s="130"/>
    </row>
    <row r="12" spans="1:16" ht="30" customHeight="1" x14ac:dyDescent="0.3">
      <c r="A12" s="131" t="s">
        <v>812</v>
      </c>
      <c r="B12" s="121" t="s">
        <v>61</v>
      </c>
      <c r="C12" s="122" t="s">
        <v>14</v>
      </c>
      <c r="D12" s="123">
        <v>0</v>
      </c>
      <c r="E12" s="124" t="s">
        <v>5</v>
      </c>
      <c r="F12" s="127">
        <v>0</v>
      </c>
      <c r="G12" s="124"/>
      <c r="H12" s="126">
        <v>3000</v>
      </c>
      <c r="I12" s="124" t="s">
        <v>778</v>
      </c>
      <c r="J12" s="127">
        <v>0</v>
      </c>
      <c r="K12" s="124" t="s">
        <v>5</v>
      </c>
      <c r="L12" s="127">
        <v>3000</v>
      </c>
      <c r="M12" s="124" t="s">
        <v>2488</v>
      </c>
      <c r="N12" s="129">
        <f t="shared" si="1"/>
        <v>3000</v>
      </c>
      <c r="O12" s="124"/>
      <c r="P12" s="130"/>
    </row>
    <row r="13" spans="1:16" ht="30" customHeight="1" x14ac:dyDescent="0.3">
      <c r="A13" s="131" t="s">
        <v>812</v>
      </c>
      <c r="B13" s="121" t="s">
        <v>62</v>
      </c>
      <c r="C13" s="122" t="s">
        <v>14</v>
      </c>
      <c r="D13" s="123">
        <v>0</v>
      </c>
      <c r="E13" s="124" t="s">
        <v>5</v>
      </c>
      <c r="F13" s="127">
        <v>0</v>
      </c>
      <c r="G13" s="124"/>
      <c r="H13" s="126">
        <v>4000</v>
      </c>
      <c r="I13" s="124" t="s">
        <v>778</v>
      </c>
      <c r="J13" s="127">
        <v>0</v>
      </c>
      <c r="K13" s="124" t="s">
        <v>5</v>
      </c>
      <c r="L13" s="127">
        <v>4000</v>
      </c>
      <c r="M13" s="124" t="s">
        <v>2488</v>
      </c>
      <c r="N13" s="129">
        <f t="shared" si="1"/>
        <v>4000</v>
      </c>
      <c r="O13" s="124"/>
      <c r="P13" s="130"/>
    </row>
    <row r="14" spans="1:16" ht="30" customHeight="1" x14ac:dyDescent="0.3">
      <c r="A14" s="121" t="s">
        <v>2044</v>
      </c>
      <c r="B14" s="121" t="s">
        <v>67</v>
      </c>
      <c r="C14" s="122" t="s">
        <v>14</v>
      </c>
      <c r="D14" s="123">
        <v>0</v>
      </c>
      <c r="E14" s="124" t="s">
        <v>5</v>
      </c>
      <c r="F14" s="126">
        <v>4000</v>
      </c>
      <c r="G14" s="124" t="s">
        <v>776</v>
      </c>
      <c r="H14" s="126">
        <v>4000</v>
      </c>
      <c r="I14" s="124" t="s">
        <v>777</v>
      </c>
      <c r="J14" s="127">
        <v>0</v>
      </c>
      <c r="K14" s="124" t="s">
        <v>5</v>
      </c>
      <c r="L14" s="126">
        <v>4000</v>
      </c>
      <c r="M14" s="124" t="s">
        <v>2488</v>
      </c>
      <c r="N14" s="129">
        <f t="shared" si="1"/>
        <v>4000</v>
      </c>
      <c r="O14" s="124"/>
      <c r="P14" s="130"/>
    </row>
    <row r="15" spans="1:16" ht="30" customHeight="1" x14ac:dyDescent="0.3">
      <c r="A15" s="121" t="s">
        <v>2044</v>
      </c>
      <c r="B15" s="121" t="s">
        <v>68</v>
      </c>
      <c r="C15" s="122" t="s">
        <v>14</v>
      </c>
      <c r="D15" s="123">
        <v>0</v>
      </c>
      <c r="E15" s="124" t="s">
        <v>5</v>
      </c>
      <c r="F15" s="126">
        <v>6000</v>
      </c>
      <c r="G15" s="124" t="s">
        <v>776</v>
      </c>
      <c r="H15" s="126">
        <v>6000</v>
      </c>
      <c r="I15" s="124" t="s">
        <v>777</v>
      </c>
      <c r="J15" s="127">
        <v>0</v>
      </c>
      <c r="K15" s="124" t="s">
        <v>5</v>
      </c>
      <c r="L15" s="126">
        <v>6000</v>
      </c>
      <c r="M15" s="124" t="s">
        <v>2488</v>
      </c>
      <c r="N15" s="129">
        <f t="shared" si="1"/>
        <v>6000</v>
      </c>
      <c r="O15" s="124"/>
      <c r="P15" s="130"/>
    </row>
    <row r="16" spans="1:16" ht="30" customHeight="1" x14ac:dyDescent="0.3">
      <c r="A16" s="121" t="s">
        <v>2044</v>
      </c>
      <c r="B16" s="121" t="s">
        <v>69</v>
      </c>
      <c r="C16" s="122" t="s">
        <v>14</v>
      </c>
      <c r="D16" s="123">
        <v>0</v>
      </c>
      <c r="E16" s="124" t="s">
        <v>5</v>
      </c>
      <c r="F16" s="126">
        <v>8000</v>
      </c>
      <c r="G16" s="124" t="s">
        <v>776</v>
      </c>
      <c r="H16" s="126">
        <v>8000</v>
      </c>
      <c r="I16" s="124" t="s">
        <v>777</v>
      </c>
      <c r="J16" s="127">
        <v>0</v>
      </c>
      <c r="K16" s="124" t="s">
        <v>5</v>
      </c>
      <c r="L16" s="126">
        <v>8000</v>
      </c>
      <c r="M16" s="124" t="s">
        <v>2488</v>
      </c>
      <c r="N16" s="129">
        <f t="shared" si="1"/>
        <v>8000</v>
      </c>
      <c r="O16" s="124"/>
      <c r="P16" s="130"/>
    </row>
    <row r="17" spans="1:16" ht="30" customHeight="1" x14ac:dyDescent="0.3">
      <c r="A17" s="121" t="s">
        <v>2044</v>
      </c>
      <c r="B17" s="121" t="s">
        <v>70</v>
      </c>
      <c r="C17" s="122" t="s">
        <v>14</v>
      </c>
      <c r="D17" s="123">
        <v>0</v>
      </c>
      <c r="E17" s="124" t="s">
        <v>5</v>
      </c>
      <c r="F17" s="126">
        <v>11000</v>
      </c>
      <c r="G17" s="124" t="s">
        <v>776</v>
      </c>
      <c r="H17" s="126">
        <v>11000</v>
      </c>
      <c r="I17" s="124" t="s">
        <v>777</v>
      </c>
      <c r="J17" s="127">
        <v>0</v>
      </c>
      <c r="K17" s="124" t="s">
        <v>5</v>
      </c>
      <c r="L17" s="126">
        <v>11000</v>
      </c>
      <c r="M17" s="124" t="s">
        <v>2488</v>
      </c>
      <c r="N17" s="129">
        <f t="shared" si="1"/>
        <v>11000</v>
      </c>
      <c r="O17" s="124"/>
      <c r="P17" s="130"/>
    </row>
    <row r="18" spans="1:16" ht="30" customHeight="1" x14ac:dyDescent="0.3">
      <c r="A18" s="121" t="s">
        <v>71</v>
      </c>
      <c r="B18" s="121" t="s">
        <v>72</v>
      </c>
      <c r="C18" s="122" t="s">
        <v>14</v>
      </c>
      <c r="D18" s="149">
        <v>8827</v>
      </c>
      <c r="E18" s="124" t="s">
        <v>5</v>
      </c>
      <c r="F18" s="126">
        <v>15000</v>
      </c>
      <c r="G18" s="124" t="s">
        <v>776</v>
      </c>
      <c r="H18" s="126">
        <v>8000</v>
      </c>
      <c r="I18" s="124" t="s">
        <v>777</v>
      </c>
      <c r="J18" s="127">
        <v>0</v>
      </c>
      <c r="K18" s="124" t="s">
        <v>5</v>
      </c>
      <c r="L18" s="126">
        <v>8000</v>
      </c>
      <c r="M18" s="124" t="s">
        <v>2488</v>
      </c>
      <c r="N18" s="129">
        <f t="shared" si="1"/>
        <v>8000</v>
      </c>
      <c r="O18" s="124"/>
      <c r="P18" s="139"/>
    </row>
    <row r="19" spans="1:16" ht="30" customHeight="1" x14ac:dyDescent="0.3">
      <c r="A19" s="121" t="s">
        <v>71</v>
      </c>
      <c r="B19" s="121" t="s">
        <v>73</v>
      </c>
      <c r="C19" s="122" t="s">
        <v>14</v>
      </c>
      <c r="D19" s="149">
        <v>13241</v>
      </c>
      <c r="E19" s="124" t="s">
        <v>5</v>
      </c>
      <c r="F19" s="126">
        <v>20000</v>
      </c>
      <c r="G19" s="124" t="s">
        <v>776</v>
      </c>
      <c r="H19" s="126">
        <v>12000</v>
      </c>
      <c r="I19" s="124" t="s">
        <v>777</v>
      </c>
      <c r="J19" s="127">
        <v>0</v>
      </c>
      <c r="K19" s="124" t="s">
        <v>5</v>
      </c>
      <c r="L19" s="126">
        <v>12000</v>
      </c>
      <c r="M19" s="124" t="s">
        <v>2488</v>
      </c>
      <c r="N19" s="129">
        <f t="shared" si="1"/>
        <v>12000</v>
      </c>
      <c r="O19" s="124"/>
      <c r="P19" s="139"/>
    </row>
    <row r="20" spans="1:16" ht="30" customHeight="1" x14ac:dyDescent="0.3">
      <c r="A20" s="121" t="s">
        <v>71</v>
      </c>
      <c r="B20" s="121" t="s">
        <v>74</v>
      </c>
      <c r="C20" s="122" t="s">
        <v>14</v>
      </c>
      <c r="D20" s="149">
        <v>13241</v>
      </c>
      <c r="E20" s="124" t="s">
        <v>5</v>
      </c>
      <c r="F20" s="126">
        <v>20000</v>
      </c>
      <c r="G20" s="124" t="s">
        <v>776</v>
      </c>
      <c r="H20" s="126">
        <v>10000</v>
      </c>
      <c r="I20" s="124" t="s">
        <v>777</v>
      </c>
      <c r="J20" s="127">
        <v>0</v>
      </c>
      <c r="K20" s="124" t="s">
        <v>5</v>
      </c>
      <c r="L20" s="126">
        <v>10000</v>
      </c>
      <c r="M20" s="124" t="s">
        <v>2488</v>
      </c>
      <c r="N20" s="129">
        <f t="shared" si="1"/>
        <v>10000</v>
      </c>
      <c r="O20" s="124"/>
      <c r="P20" s="139"/>
    </row>
    <row r="21" spans="1:16" ht="30" customHeight="1" x14ac:dyDescent="0.3">
      <c r="A21" s="121" t="s">
        <v>71</v>
      </c>
      <c r="B21" s="121" t="s">
        <v>75</v>
      </c>
      <c r="C21" s="122" t="s">
        <v>14</v>
      </c>
      <c r="D21" s="149">
        <v>15890</v>
      </c>
      <c r="E21" s="124" t="s">
        <v>5</v>
      </c>
      <c r="F21" s="126">
        <v>25000</v>
      </c>
      <c r="G21" s="124" t="s">
        <v>776</v>
      </c>
      <c r="H21" s="126">
        <v>14000</v>
      </c>
      <c r="I21" s="124" t="s">
        <v>777</v>
      </c>
      <c r="J21" s="127">
        <v>0</v>
      </c>
      <c r="K21" s="124" t="s">
        <v>5</v>
      </c>
      <c r="L21" s="126">
        <v>14000</v>
      </c>
      <c r="M21" s="124" t="s">
        <v>2488</v>
      </c>
      <c r="N21" s="129">
        <f t="shared" si="1"/>
        <v>14000</v>
      </c>
      <c r="O21" s="124"/>
      <c r="P21" s="139"/>
    </row>
    <row r="22" spans="1:16" ht="30" customHeight="1" x14ac:dyDescent="0.3">
      <c r="A22" s="121" t="s">
        <v>71</v>
      </c>
      <c r="B22" s="121" t="s">
        <v>76</v>
      </c>
      <c r="C22" s="122" t="s">
        <v>14</v>
      </c>
      <c r="D22" s="149">
        <v>22069</v>
      </c>
      <c r="E22" s="124" t="s">
        <v>5</v>
      </c>
      <c r="F22" s="126">
        <v>35000</v>
      </c>
      <c r="G22" s="124" t="s">
        <v>776</v>
      </c>
      <c r="H22" s="126">
        <v>20000</v>
      </c>
      <c r="I22" s="124" t="s">
        <v>777</v>
      </c>
      <c r="J22" s="127">
        <v>0</v>
      </c>
      <c r="K22" s="124" t="s">
        <v>5</v>
      </c>
      <c r="L22" s="126">
        <v>20000</v>
      </c>
      <c r="M22" s="124" t="s">
        <v>2488</v>
      </c>
      <c r="N22" s="129">
        <f t="shared" si="1"/>
        <v>20000</v>
      </c>
      <c r="O22" s="124"/>
      <c r="P22" s="139"/>
    </row>
    <row r="23" spans="1:16" ht="30" customHeight="1" x14ac:dyDescent="0.3">
      <c r="A23" s="121" t="s">
        <v>71</v>
      </c>
      <c r="B23" s="121" t="s">
        <v>77</v>
      </c>
      <c r="C23" s="122" t="s">
        <v>14</v>
      </c>
      <c r="D23" s="149">
        <v>30898</v>
      </c>
      <c r="E23" s="124" t="s">
        <v>5</v>
      </c>
      <c r="F23" s="126">
        <v>50000</v>
      </c>
      <c r="G23" s="124" t="s">
        <v>776</v>
      </c>
      <c r="H23" s="126">
        <v>50000</v>
      </c>
      <c r="I23" s="124" t="s">
        <v>777</v>
      </c>
      <c r="J23" s="127">
        <v>0</v>
      </c>
      <c r="K23" s="124" t="s">
        <v>5</v>
      </c>
      <c r="L23" s="126">
        <v>50000</v>
      </c>
      <c r="M23" s="124" t="s">
        <v>2488</v>
      </c>
      <c r="N23" s="129">
        <f t="shared" si="1"/>
        <v>30898</v>
      </c>
      <c r="O23" s="124"/>
      <c r="P23" s="139"/>
    </row>
    <row r="24" spans="1:16" ht="30" customHeight="1" x14ac:dyDescent="0.3">
      <c r="A24" s="131" t="s">
        <v>78</v>
      </c>
      <c r="B24" s="131" t="s">
        <v>79</v>
      </c>
      <c r="C24" s="132" t="s">
        <v>12</v>
      </c>
      <c r="D24" s="149">
        <v>5701</v>
      </c>
      <c r="E24" s="124" t="s">
        <v>5</v>
      </c>
      <c r="F24" s="126">
        <v>12000</v>
      </c>
      <c r="G24" s="124" t="s">
        <v>776</v>
      </c>
      <c r="H24" s="126">
        <v>12000</v>
      </c>
      <c r="I24" s="124" t="s">
        <v>777</v>
      </c>
      <c r="J24" s="127">
        <v>0</v>
      </c>
      <c r="K24" s="124" t="s">
        <v>5</v>
      </c>
      <c r="L24" s="126">
        <v>12000</v>
      </c>
      <c r="M24" s="124" t="s">
        <v>2488</v>
      </c>
      <c r="N24" s="129">
        <f t="shared" si="1"/>
        <v>5701</v>
      </c>
      <c r="O24" s="124"/>
      <c r="P24" s="130"/>
    </row>
    <row r="25" spans="1:16" ht="30" customHeight="1" x14ac:dyDescent="0.3">
      <c r="A25" s="131" t="s">
        <v>78</v>
      </c>
      <c r="B25" s="131" t="s">
        <v>80</v>
      </c>
      <c r="C25" s="132" t="s">
        <v>12</v>
      </c>
      <c r="D25" s="149">
        <v>8449</v>
      </c>
      <c r="E25" s="124" t="s">
        <v>5</v>
      </c>
      <c r="F25" s="126">
        <v>16000</v>
      </c>
      <c r="G25" s="124" t="s">
        <v>776</v>
      </c>
      <c r="H25" s="126">
        <v>16000</v>
      </c>
      <c r="I25" s="124" t="s">
        <v>777</v>
      </c>
      <c r="J25" s="127">
        <v>0</v>
      </c>
      <c r="K25" s="124" t="s">
        <v>5</v>
      </c>
      <c r="L25" s="126">
        <v>16000</v>
      </c>
      <c r="M25" s="124" t="s">
        <v>2488</v>
      </c>
      <c r="N25" s="129">
        <f t="shared" si="1"/>
        <v>8449</v>
      </c>
      <c r="O25" s="124"/>
      <c r="P25" s="130"/>
    </row>
    <row r="26" spans="1:16" ht="30" customHeight="1" x14ac:dyDescent="0.3">
      <c r="A26" s="131" t="s">
        <v>78</v>
      </c>
      <c r="B26" s="131" t="s">
        <v>81</v>
      </c>
      <c r="C26" s="132" t="s">
        <v>12</v>
      </c>
      <c r="D26" s="149">
        <v>10838</v>
      </c>
      <c r="E26" s="124" t="s">
        <v>5</v>
      </c>
      <c r="F26" s="126">
        <v>20000</v>
      </c>
      <c r="G26" s="124" t="s">
        <v>776</v>
      </c>
      <c r="H26" s="126">
        <v>20000</v>
      </c>
      <c r="I26" s="124" t="s">
        <v>777</v>
      </c>
      <c r="J26" s="127">
        <v>0</v>
      </c>
      <c r="K26" s="124" t="s">
        <v>5</v>
      </c>
      <c r="L26" s="126">
        <v>20000</v>
      </c>
      <c r="M26" s="124" t="s">
        <v>2488</v>
      </c>
      <c r="N26" s="129">
        <f t="shared" si="1"/>
        <v>10838</v>
      </c>
      <c r="O26" s="124"/>
      <c r="P26" s="130"/>
    </row>
    <row r="27" spans="1:16" ht="30" customHeight="1" x14ac:dyDescent="0.3">
      <c r="A27" s="131" t="s">
        <v>78</v>
      </c>
      <c r="B27" s="131" t="s">
        <v>82</v>
      </c>
      <c r="C27" s="132" t="s">
        <v>12</v>
      </c>
      <c r="D27" s="148">
        <v>13228</v>
      </c>
      <c r="E27" s="128" t="s">
        <v>5</v>
      </c>
      <c r="F27" s="127">
        <v>25000</v>
      </c>
      <c r="G27" s="128" t="s">
        <v>776</v>
      </c>
      <c r="H27" s="127">
        <v>25000</v>
      </c>
      <c r="I27" s="128" t="s">
        <v>777</v>
      </c>
      <c r="J27" s="127">
        <v>0</v>
      </c>
      <c r="K27" s="128" t="s">
        <v>5</v>
      </c>
      <c r="L27" s="127">
        <v>25000</v>
      </c>
      <c r="M27" s="124" t="s">
        <v>2488</v>
      </c>
      <c r="N27" s="135">
        <f t="shared" ref="N27:N33" si="2">SMALL(D27:L27,COUNTIF(D27:L27,0)+1)</f>
        <v>13228</v>
      </c>
      <c r="O27" s="124"/>
      <c r="P27" s="130"/>
    </row>
    <row r="28" spans="1:16" ht="30" customHeight="1" x14ac:dyDescent="0.3">
      <c r="A28" s="121" t="s">
        <v>2400</v>
      </c>
      <c r="B28" s="121" t="s">
        <v>2401</v>
      </c>
      <c r="C28" s="122" t="s">
        <v>14</v>
      </c>
      <c r="D28" s="123">
        <v>0</v>
      </c>
      <c r="E28" s="124" t="s">
        <v>5</v>
      </c>
      <c r="F28" s="126">
        <v>80000</v>
      </c>
      <c r="G28" s="124" t="s">
        <v>776</v>
      </c>
      <c r="H28" s="127">
        <v>0</v>
      </c>
      <c r="I28" s="124"/>
      <c r="J28" s="127">
        <v>0</v>
      </c>
      <c r="K28" s="124" t="s">
        <v>5</v>
      </c>
      <c r="L28" s="126">
        <v>80000</v>
      </c>
      <c r="M28" s="124" t="s">
        <v>2488</v>
      </c>
      <c r="N28" s="129">
        <f t="shared" si="2"/>
        <v>80000</v>
      </c>
      <c r="O28" s="124"/>
      <c r="P28" s="139"/>
    </row>
    <row r="29" spans="1:16" ht="30" customHeight="1" x14ac:dyDescent="0.3">
      <c r="A29" s="121" t="s">
        <v>2400</v>
      </c>
      <c r="B29" s="121" t="s">
        <v>2402</v>
      </c>
      <c r="C29" s="122" t="s">
        <v>14</v>
      </c>
      <c r="D29" s="123">
        <v>0</v>
      </c>
      <c r="E29" s="124" t="s">
        <v>5</v>
      </c>
      <c r="F29" s="126">
        <v>110000</v>
      </c>
      <c r="G29" s="124" t="s">
        <v>776</v>
      </c>
      <c r="H29" s="127">
        <v>0</v>
      </c>
      <c r="I29" s="124"/>
      <c r="J29" s="127">
        <v>0</v>
      </c>
      <c r="K29" s="124" t="s">
        <v>5</v>
      </c>
      <c r="L29" s="126">
        <v>110000</v>
      </c>
      <c r="M29" s="124" t="s">
        <v>2488</v>
      </c>
      <c r="N29" s="129">
        <f t="shared" ref="N29" si="3">SMALL(D29:L29,COUNTIF(D29:L29,0)+1)</f>
        <v>110000</v>
      </c>
      <c r="O29" s="124"/>
      <c r="P29" s="139"/>
    </row>
    <row r="30" spans="1:16" ht="30" customHeight="1" x14ac:dyDescent="0.3">
      <c r="A30" s="121" t="s">
        <v>2400</v>
      </c>
      <c r="B30" s="121" t="s">
        <v>2403</v>
      </c>
      <c r="C30" s="122" t="s">
        <v>14</v>
      </c>
      <c r="D30" s="123">
        <v>0</v>
      </c>
      <c r="E30" s="124" t="s">
        <v>5</v>
      </c>
      <c r="F30" s="126">
        <v>3000</v>
      </c>
      <c r="G30" s="124" t="s">
        <v>776</v>
      </c>
      <c r="H30" s="127">
        <v>0</v>
      </c>
      <c r="I30" s="124"/>
      <c r="J30" s="127">
        <v>0</v>
      </c>
      <c r="K30" s="124" t="s">
        <v>5</v>
      </c>
      <c r="L30" s="126">
        <v>3000</v>
      </c>
      <c r="M30" s="124" t="s">
        <v>2488</v>
      </c>
      <c r="N30" s="129">
        <f t="shared" ref="N30" si="4">SMALL(D30:L30,COUNTIF(D30:L30,0)+1)</f>
        <v>3000</v>
      </c>
      <c r="O30" s="124"/>
      <c r="P30" s="139"/>
    </row>
    <row r="31" spans="1:16" ht="30" customHeight="1" x14ac:dyDescent="0.3">
      <c r="A31" s="131" t="s">
        <v>96</v>
      </c>
      <c r="B31" s="131" t="s">
        <v>97</v>
      </c>
      <c r="C31" s="132" t="s">
        <v>14</v>
      </c>
      <c r="D31" s="148">
        <v>11498</v>
      </c>
      <c r="E31" s="128" t="s">
        <v>5</v>
      </c>
      <c r="F31" s="127">
        <v>0</v>
      </c>
      <c r="G31" s="128" t="s">
        <v>5</v>
      </c>
      <c r="H31" s="127">
        <v>0</v>
      </c>
      <c r="I31" s="128" t="s">
        <v>5</v>
      </c>
      <c r="J31" s="127">
        <v>0</v>
      </c>
      <c r="K31" s="128" t="s">
        <v>5</v>
      </c>
      <c r="L31" s="127">
        <v>0</v>
      </c>
      <c r="M31" s="128" t="s">
        <v>5</v>
      </c>
      <c r="N31" s="135">
        <f t="shared" si="2"/>
        <v>11498</v>
      </c>
      <c r="O31" s="124"/>
      <c r="P31" s="130"/>
    </row>
    <row r="32" spans="1:16" ht="30" customHeight="1" x14ac:dyDescent="0.3">
      <c r="A32" s="131" t="s">
        <v>96</v>
      </c>
      <c r="B32" s="131" t="s">
        <v>98</v>
      </c>
      <c r="C32" s="132" t="s">
        <v>14</v>
      </c>
      <c r="D32" s="148">
        <v>13189</v>
      </c>
      <c r="E32" s="128" t="s">
        <v>5</v>
      </c>
      <c r="F32" s="127">
        <v>0</v>
      </c>
      <c r="G32" s="128" t="s">
        <v>5</v>
      </c>
      <c r="H32" s="127">
        <v>0</v>
      </c>
      <c r="I32" s="128" t="s">
        <v>5</v>
      </c>
      <c r="J32" s="127">
        <v>0</v>
      </c>
      <c r="K32" s="128" t="s">
        <v>5</v>
      </c>
      <c r="L32" s="127">
        <v>0</v>
      </c>
      <c r="M32" s="128" t="s">
        <v>5</v>
      </c>
      <c r="N32" s="135">
        <f t="shared" si="2"/>
        <v>13189</v>
      </c>
      <c r="O32" s="124"/>
      <c r="P32" s="130"/>
    </row>
    <row r="33" spans="1:16" ht="30" customHeight="1" x14ac:dyDescent="0.3">
      <c r="A33" s="131" t="s">
        <v>96</v>
      </c>
      <c r="B33" s="131" t="s">
        <v>99</v>
      </c>
      <c r="C33" s="132" t="s">
        <v>14</v>
      </c>
      <c r="D33" s="148">
        <v>18265</v>
      </c>
      <c r="E33" s="128" t="s">
        <v>5</v>
      </c>
      <c r="F33" s="127">
        <v>0</v>
      </c>
      <c r="G33" s="128" t="s">
        <v>5</v>
      </c>
      <c r="H33" s="127">
        <v>0</v>
      </c>
      <c r="I33" s="128" t="s">
        <v>5</v>
      </c>
      <c r="J33" s="127">
        <v>0</v>
      </c>
      <c r="K33" s="128" t="s">
        <v>5</v>
      </c>
      <c r="L33" s="127">
        <v>0</v>
      </c>
      <c r="M33" s="128" t="s">
        <v>5</v>
      </c>
      <c r="N33" s="135">
        <f t="shared" si="2"/>
        <v>18265</v>
      </c>
      <c r="O33" s="124"/>
      <c r="P33" s="130"/>
    </row>
    <row r="34" spans="1:16" ht="30" customHeight="1" x14ac:dyDescent="0.3">
      <c r="A34" s="131" t="s">
        <v>96</v>
      </c>
      <c r="B34" s="131" t="s">
        <v>100</v>
      </c>
      <c r="C34" s="132" t="s">
        <v>14</v>
      </c>
      <c r="D34" s="148">
        <v>21648</v>
      </c>
      <c r="E34" s="128" t="s">
        <v>5</v>
      </c>
      <c r="F34" s="127">
        <v>0</v>
      </c>
      <c r="G34" s="128" t="s">
        <v>5</v>
      </c>
      <c r="H34" s="127">
        <v>0</v>
      </c>
      <c r="I34" s="128" t="s">
        <v>5</v>
      </c>
      <c r="J34" s="127">
        <v>0</v>
      </c>
      <c r="K34" s="128" t="s">
        <v>5</v>
      </c>
      <c r="L34" s="127">
        <v>0</v>
      </c>
      <c r="M34" s="128" t="s">
        <v>5</v>
      </c>
      <c r="N34" s="135">
        <f t="shared" ref="N34:N72" si="5">SMALL(D34:L34,COUNTIF(D34:L34,0)+1)</f>
        <v>21648</v>
      </c>
      <c r="O34" s="124"/>
      <c r="P34" s="130"/>
    </row>
    <row r="35" spans="1:16" ht="30" customHeight="1" x14ac:dyDescent="0.3">
      <c r="A35" s="131" t="s">
        <v>96</v>
      </c>
      <c r="B35" s="131" t="s">
        <v>101</v>
      </c>
      <c r="C35" s="132" t="s">
        <v>14</v>
      </c>
      <c r="D35" s="148">
        <v>25905</v>
      </c>
      <c r="E35" s="128" t="s">
        <v>5</v>
      </c>
      <c r="F35" s="127">
        <v>0</v>
      </c>
      <c r="G35" s="128" t="s">
        <v>5</v>
      </c>
      <c r="H35" s="127">
        <v>0</v>
      </c>
      <c r="I35" s="128" t="s">
        <v>5</v>
      </c>
      <c r="J35" s="127">
        <v>0</v>
      </c>
      <c r="K35" s="128" t="s">
        <v>5</v>
      </c>
      <c r="L35" s="127">
        <v>0</v>
      </c>
      <c r="M35" s="128" t="s">
        <v>5</v>
      </c>
      <c r="N35" s="135">
        <f t="shared" si="5"/>
        <v>25905</v>
      </c>
      <c r="O35" s="124"/>
      <c r="P35" s="130"/>
    </row>
    <row r="36" spans="1:16" ht="30" customHeight="1" x14ac:dyDescent="0.3">
      <c r="A36" s="131" t="s">
        <v>96</v>
      </c>
      <c r="B36" s="131" t="s">
        <v>102</v>
      </c>
      <c r="C36" s="132" t="s">
        <v>14</v>
      </c>
      <c r="D36" s="148">
        <v>29028</v>
      </c>
      <c r="E36" s="128" t="s">
        <v>5</v>
      </c>
      <c r="F36" s="127">
        <v>0</v>
      </c>
      <c r="G36" s="128" t="s">
        <v>5</v>
      </c>
      <c r="H36" s="127">
        <v>0</v>
      </c>
      <c r="I36" s="128" t="s">
        <v>5</v>
      </c>
      <c r="J36" s="127">
        <v>0</v>
      </c>
      <c r="K36" s="128" t="s">
        <v>5</v>
      </c>
      <c r="L36" s="127">
        <v>0</v>
      </c>
      <c r="M36" s="128" t="s">
        <v>5</v>
      </c>
      <c r="N36" s="135">
        <f t="shared" si="5"/>
        <v>29028</v>
      </c>
      <c r="O36" s="124"/>
      <c r="P36" s="130"/>
    </row>
    <row r="37" spans="1:16" ht="30" customHeight="1" x14ac:dyDescent="0.3">
      <c r="A37" s="131" t="s">
        <v>96</v>
      </c>
      <c r="B37" s="131" t="s">
        <v>103</v>
      </c>
      <c r="C37" s="132" t="s">
        <v>14</v>
      </c>
      <c r="D37" s="148">
        <v>32403</v>
      </c>
      <c r="E37" s="128" t="s">
        <v>5</v>
      </c>
      <c r="F37" s="127">
        <v>0</v>
      </c>
      <c r="G37" s="128" t="s">
        <v>5</v>
      </c>
      <c r="H37" s="127">
        <v>0</v>
      </c>
      <c r="I37" s="128" t="s">
        <v>5</v>
      </c>
      <c r="J37" s="127">
        <v>0</v>
      </c>
      <c r="K37" s="128" t="s">
        <v>5</v>
      </c>
      <c r="L37" s="127">
        <v>0</v>
      </c>
      <c r="M37" s="128" t="s">
        <v>5</v>
      </c>
      <c r="N37" s="135">
        <f t="shared" si="5"/>
        <v>32403</v>
      </c>
      <c r="O37" s="124"/>
      <c r="P37" s="130"/>
    </row>
    <row r="38" spans="1:16" ht="30" customHeight="1" x14ac:dyDescent="0.3">
      <c r="A38" s="131" t="s">
        <v>96</v>
      </c>
      <c r="B38" s="131" t="s">
        <v>104</v>
      </c>
      <c r="C38" s="132" t="s">
        <v>14</v>
      </c>
      <c r="D38" s="148">
        <v>36344</v>
      </c>
      <c r="E38" s="128" t="s">
        <v>5</v>
      </c>
      <c r="F38" s="127">
        <v>0</v>
      </c>
      <c r="G38" s="128" t="s">
        <v>5</v>
      </c>
      <c r="H38" s="127">
        <v>0</v>
      </c>
      <c r="I38" s="128" t="s">
        <v>5</v>
      </c>
      <c r="J38" s="127">
        <v>0</v>
      </c>
      <c r="K38" s="128" t="s">
        <v>5</v>
      </c>
      <c r="L38" s="127">
        <v>0</v>
      </c>
      <c r="M38" s="128" t="s">
        <v>5</v>
      </c>
      <c r="N38" s="135">
        <f t="shared" si="5"/>
        <v>36344</v>
      </c>
      <c r="O38" s="124"/>
      <c r="P38" s="130"/>
    </row>
    <row r="39" spans="1:16" ht="30" customHeight="1" x14ac:dyDescent="0.3">
      <c r="A39" s="131" t="s">
        <v>96</v>
      </c>
      <c r="B39" s="131" t="s">
        <v>105</v>
      </c>
      <c r="C39" s="132" t="s">
        <v>14</v>
      </c>
      <c r="D39" s="148">
        <v>39132</v>
      </c>
      <c r="E39" s="128" t="s">
        <v>5</v>
      </c>
      <c r="F39" s="127">
        <v>0</v>
      </c>
      <c r="G39" s="128" t="s">
        <v>5</v>
      </c>
      <c r="H39" s="127">
        <v>0</v>
      </c>
      <c r="I39" s="128" t="s">
        <v>5</v>
      </c>
      <c r="J39" s="127">
        <v>0</v>
      </c>
      <c r="K39" s="128" t="s">
        <v>5</v>
      </c>
      <c r="L39" s="127">
        <v>0</v>
      </c>
      <c r="M39" s="128" t="s">
        <v>5</v>
      </c>
      <c r="N39" s="135">
        <f t="shared" si="5"/>
        <v>39132</v>
      </c>
      <c r="O39" s="124"/>
      <c r="P39" s="130"/>
    </row>
    <row r="40" spans="1:16" ht="30" customHeight="1" x14ac:dyDescent="0.3">
      <c r="A40" s="131" t="s">
        <v>96</v>
      </c>
      <c r="B40" s="131" t="s">
        <v>106</v>
      </c>
      <c r="C40" s="132" t="s">
        <v>14</v>
      </c>
      <c r="D40" s="148">
        <v>42999</v>
      </c>
      <c r="E40" s="128" t="s">
        <v>5</v>
      </c>
      <c r="F40" s="127">
        <v>0</v>
      </c>
      <c r="G40" s="128" t="s">
        <v>5</v>
      </c>
      <c r="H40" s="127">
        <v>0</v>
      </c>
      <c r="I40" s="128" t="s">
        <v>5</v>
      </c>
      <c r="J40" s="127">
        <v>0</v>
      </c>
      <c r="K40" s="128" t="s">
        <v>5</v>
      </c>
      <c r="L40" s="127">
        <v>0</v>
      </c>
      <c r="M40" s="128" t="s">
        <v>5</v>
      </c>
      <c r="N40" s="135">
        <f t="shared" si="5"/>
        <v>42999</v>
      </c>
      <c r="O40" s="124"/>
      <c r="P40" s="130"/>
    </row>
    <row r="41" spans="1:16" ht="30" customHeight="1" x14ac:dyDescent="0.3">
      <c r="A41" s="131" t="s">
        <v>107</v>
      </c>
      <c r="B41" s="131" t="s">
        <v>108</v>
      </c>
      <c r="C41" s="132" t="s">
        <v>12</v>
      </c>
      <c r="D41" s="148">
        <v>15095</v>
      </c>
      <c r="E41" s="128" t="s">
        <v>5</v>
      </c>
      <c r="F41" s="127">
        <v>0</v>
      </c>
      <c r="G41" s="128" t="s">
        <v>5</v>
      </c>
      <c r="H41" s="127">
        <v>0</v>
      </c>
      <c r="I41" s="128" t="s">
        <v>5</v>
      </c>
      <c r="J41" s="127">
        <v>0</v>
      </c>
      <c r="K41" s="128" t="s">
        <v>5</v>
      </c>
      <c r="L41" s="127">
        <v>0</v>
      </c>
      <c r="M41" s="128" t="s">
        <v>5</v>
      </c>
      <c r="N41" s="135">
        <f t="shared" si="5"/>
        <v>15095</v>
      </c>
      <c r="O41" s="124"/>
      <c r="P41" s="130"/>
    </row>
    <row r="42" spans="1:16" ht="30" customHeight="1" x14ac:dyDescent="0.3">
      <c r="A42" s="131" t="s">
        <v>107</v>
      </c>
      <c r="B42" s="131" t="s">
        <v>109</v>
      </c>
      <c r="C42" s="132" t="s">
        <v>12</v>
      </c>
      <c r="D42" s="148">
        <v>18097</v>
      </c>
      <c r="E42" s="128" t="s">
        <v>5</v>
      </c>
      <c r="F42" s="127">
        <v>0</v>
      </c>
      <c r="G42" s="128" t="s">
        <v>5</v>
      </c>
      <c r="H42" s="127">
        <v>0</v>
      </c>
      <c r="I42" s="128" t="s">
        <v>5</v>
      </c>
      <c r="J42" s="127">
        <v>0</v>
      </c>
      <c r="K42" s="128" t="s">
        <v>5</v>
      </c>
      <c r="L42" s="127">
        <v>0</v>
      </c>
      <c r="M42" s="128" t="s">
        <v>5</v>
      </c>
      <c r="N42" s="135">
        <f t="shared" si="5"/>
        <v>18097</v>
      </c>
      <c r="O42" s="124"/>
      <c r="P42" s="130"/>
    </row>
    <row r="43" spans="1:16" ht="30" customHeight="1" x14ac:dyDescent="0.3">
      <c r="A43" s="131" t="s">
        <v>107</v>
      </c>
      <c r="B43" s="131" t="s">
        <v>110</v>
      </c>
      <c r="C43" s="132" t="s">
        <v>12</v>
      </c>
      <c r="D43" s="148">
        <v>25524</v>
      </c>
      <c r="E43" s="128" t="s">
        <v>5</v>
      </c>
      <c r="F43" s="127">
        <v>0</v>
      </c>
      <c r="G43" s="128" t="s">
        <v>5</v>
      </c>
      <c r="H43" s="127">
        <v>0</v>
      </c>
      <c r="I43" s="128" t="s">
        <v>5</v>
      </c>
      <c r="J43" s="127">
        <v>0</v>
      </c>
      <c r="K43" s="128" t="s">
        <v>5</v>
      </c>
      <c r="L43" s="127">
        <v>0</v>
      </c>
      <c r="M43" s="128" t="s">
        <v>5</v>
      </c>
      <c r="N43" s="135">
        <f t="shared" si="5"/>
        <v>25524</v>
      </c>
      <c r="O43" s="124"/>
      <c r="P43" s="130"/>
    </row>
    <row r="44" spans="1:16" ht="30" customHeight="1" x14ac:dyDescent="0.3">
      <c r="A44" s="131" t="s">
        <v>107</v>
      </c>
      <c r="B44" s="131" t="s">
        <v>111</v>
      </c>
      <c r="C44" s="132" t="s">
        <v>12</v>
      </c>
      <c r="D44" s="148">
        <v>31836</v>
      </c>
      <c r="E44" s="128" t="s">
        <v>5</v>
      </c>
      <c r="F44" s="127">
        <v>0</v>
      </c>
      <c r="G44" s="128" t="s">
        <v>5</v>
      </c>
      <c r="H44" s="127">
        <v>0</v>
      </c>
      <c r="I44" s="128" t="s">
        <v>5</v>
      </c>
      <c r="J44" s="127">
        <v>0</v>
      </c>
      <c r="K44" s="128" t="s">
        <v>5</v>
      </c>
      <c r="L44" s="127">
        <v>0</v>
      </c>
      <c r="M44" s="128" t="s">
        <v>5</v>
      </c>
      <c r="N44" s="135">
        <f t="shared" si="5"/>
        <v>31836</v>
      </c>
      <c r="O44" s="124"/>
      <c r="P44" s="130"/>
    </row>
    <row r="45" spans="1:16" ht="30" customHeight="1" x14ac:dyDescent="0.3">
      <c r="A45" s="131" t="s">
        <v>107</v>
      </c>
      <c r="B45" s="131" t="s">
        <v>112</v>
      </c>
      <c r="C45" s="132" t="s">
        <v>12</v>
      </c>
      <c r="D45" s="148">
        <v>39365</v>
      </c>
      <c r="E45" s="128" t="s">
        <v>5</v>
      </c>
      <c r="F45" s="127">
        <v>0</v>
      </c>
      <c r="G45" s="128" t="s">
        <v>5</v>
      </c>
      <c r="H45" s="127">
        <v>0</v>
      </c>
      <c r="I45" s="128" t="s">
        <v>5</v>
      </c>
      <c r="J45" s="127">
        <v>0</v>
      </c>
      <c r="K45" s="128" t="s">
        <v>5</v>
      </c>
      <c r="L45" s="127">
        <v>0</v>
      </c>
      <c r="M45" s="128" t="s">
        <v>5</v>
      </c>
      <c r="N45" s="135">
        <f t="shared" si="5"/>
        <v>39365</v>
      </c>
      <c r="O45" s="124"/>
      <c r="P45" s="130"/>
    </row>
    <row r="46" spans="1:16" ht="30" customHeight="1" x14ac:dyDescent="0.3">
      <c r="A46" s="131" t="s">
        <v>107</v>
      </c>
      <c r="B46" s="131" t="s">
        <v>113</v>
      </c>
      <c r="C46" s="132" t="s">
        <v>12</v>
      </c>
      <c r="D46" s="148">
        <v>48279</v>
      </c>
      <c r="E46" s="128" t="s">
        <v>5</v>
      </c>
      <c r="F46" s="127">
        <v>0</v>
      </c>
      <c r="G46" s="128" t="s">
        <v>5</v>
      </c>
      <c r="H46" s="127">
        <v>0</v>
      </c>
      <c r="I46" s="128" t="s">
        <v>5</v>
      </c>
      <c r="J46" s="127">
        <v>0</v>
      </c>
      <c r="K46" s="128" t="s">
        <v>5</v>
      </c>
      <c r="L46" s="127">
        <v>0</v>
      </c>
      <c r="M46" s="128" t="s">
        <v>5</v>
      </c>
      <c r="N46" s="135">
        <f t="shared" si="5"/>
        <v>48279</v>
      </c>
      <c r="O46" s="124"/>
      <c r="P46" s="130"/>
    </row>
    <row r="47" spans="1:16" ht="30" customHeight="1" x14ac:dyDescent="0.3">
      <c r="A47" s="131" t="s">
        <v>107</v>
      </c>
      <c r="B47" s="131" t="s">
        <v>114</v>
      </c>
      <c r="C47" s="132" t="s">
        <v>12</v>
      </c>
      <c r="D47" s="148">
        <v>57862</v>
      </c>
      <c r="E47" s="128" t="s">
        <v>5</v>
      </c>
      <c r="F47" s="127">
        <v>0</v>
      </c>
      <c r="G47" s="128" t="s">
        <v>5</v>
      </c>
      <c r="H47" s="127">
        <v>0</v>
      </c>
      <c r="I47" s="128" t="s">
        <v>5</v>
      </c>
      <c r="J47" s="127">
        <v>0</v>
      </c>
      <c r="K47" s="128" t="s">
        <v>5</v>
      </c>
      <c r="L47" s="127">
        <v>0</v>
      </c>
      <c r="M47" s="128" t="s">
        <v>5</v>
      </c>
      <c r="N47" s="135">
        <f t="shared" si="5"/>
        <v>57862</v>
      </c>
      <c r="O47" s="124"/>
      <c r="P47" s="130"/>
    </row>
    <row r="48" spans="1:16" ht="30" customHeight="1" x14ac:dyDescent="0.3">
      <c r="A48" s="131" t="s">
        <v>107</v>
      </c>
      <c r="B48" s="131" t="s">
        <v>115</v>
      </c>
      <c r="C48" s="132" t="s">
        <v>12</v>
      </c>
      <c r="D48" s="148">
        <v>68115</v>
      </c>
      <c r="E48" s="128" t="s">
        <v>5</v>
      </c>
      <c r="F48" s="127">
        <v>0</v>
      </c>
      <c r="G48" s="128" t="s">
        <v>5</v>
      </c>
      <c r="H48" s="127">
        <v>0</v>
      </c>
      <c r="I48" s="128" t="s">
        <v>5</v>
      </c>
      <c r="J48" s="127">
        <v>0</v>
      </c>
      <c r="K48" s="128" t="s">
        <v>5</v>
      </c>
      <c r="L48" s="127">
        <v>0</v>
      </c>
      <c r="M48" s="128" t="s">
        <v>5</v>
      </c>
      <c r="N48" s="135">
        <f t="shared" si="5"/>
        <v>68115</v>
      </c>
      <c r="O48" s="124"/>
      <c r="P48" s="130"/>
    </row>
    <row r="49" spans="1:16" ht="30" customHeight="1" x14ac:dyDescent="0.3">
      <c r="A49" s="131" t="s">
        <v>107</v>
      </c>
      <c r="B49" s="131" t="s">
        <v>116</v>
      </c>
      <c r="C49" s="132" t="s">
        <v>12</v>
      </c>
      <c r="D49" s="148">
        <v>79845</v>
      </c>
      <c r="E49" s="128" t="s">
        <v>5</v>
      </c>
      <c r="F49" s="127">
        <v>0</v>
      </c>
      <c r="G49" s="128" t="s">
        <v>5</v>
      </c>
      <c r="H49" s="127">
        <v>0</v>
      </c>
      <c r="I49" s="128" t="s">
        <v>5</v>
      </c>
      <c r="J49" s="127">
        <v>0</v>
      </c>
      <c r="K49" s="128" t="s">
        <v>5</v>
      </c>
      <c r="L49" s="127">
        <v>0</v>
      </c>
      <c r="M49" s="128" t="s">
        <v>5</v>
      </c>
      <c r="N49" s="135">
        <f t="shared" si="5"/>
        <v>79845</v>
      </c>
      <c r="O49" s="124"/>
      <c r="P49" s="130"/>
    </row>
    <row r="50" spans="1:16" ht="30" customHeight="1" x14ac:dyDescent="0.3">
      <c r="A50" s="131" t="s">
        <v>107</v>
      </c>
      <c r="B50" s="131" t="s">
        <v>117</v>
      </c>
      <c r="C50" s="132" t="s">
        <v>12</v>
      </c>
      <c r="D50" s="148">
        <v>90944</v>
      </c>
      <c r="E50" s="128" t="s">
        <v>5</v>
      </c>
      <c r="F50" s="127">
        <v>0</v>
      </c>
      <c r="G50" s="128" t="s">
        <v>5</v>
      </c>
      <c r="H50" s="127">
        <v>0</v>
      </c>
      <c r="I50" s="128" t="s">
        <v>5</v>
      </c>
      <c r="J50" s="127">
        <v>0</v>
      </c>
      <c r="K50" s="128" t="s">
        <v>5</v>
      </c>
      <c r="L50" s="127">
        <v>0</v>
      </c>
      <c r="M50" s="128" t="s">
        <v>5</v>
      </c>
      <c r="N50" s="135">
        <f t="shared" si="5"/>
        <v>90944</v>
      </c>
      <c r="O50" s="124"/>
      <c r="P50" s="130"/>
    </row>
    <row r="51" spans="1:16" ht="30" customHeight="1" x14ac:dyDescent="0.3">
      <c r="A51" s="131" t="s">
        <v>107</v>
      </c>
      <c r="B51" s="131" t="s">
        <v>118</v>
      </c>
      <c r="C51" s="132" t="s">
        <v>12</v>
      </c>
      <c r="D51" s="148">
        <v>15095</v>
      </c>
      <c r="E51" s="128" t="s">
        <v>5</v>
      </c>
      <c r="F51" s="127">
        <v>0</v>
      </c>
      <c r="G51" s="128" t="s">
        <v>5</v>
      </c>
      <c r="H51" s="127">
        <v>0</v>
      </c>
      <c r="I51" s="128" t="s">
        <v>5</v>
      </c>
      <c r="J51" s="127">
        <v>0</v>
      </c>
      <c r="K51" s="128" t="s">
        <v>5</v>
      </c>
      <c r="L51" s="127">
        <v>0</v>
      </c>
      <c r="M51" s="128" t="s">
        <v>5</v>
      </c>
      <c r="N51" s="135">
        <f t="shared" si="5"/>
        <v>15095</v>
      </c>
      <c r="O51" s="124"/>
      <c r="P51" s="130"/>
    </row>
    <row r="52" spans="1:16" ht="30" customHeight="1" x14ac:dyDescent="0.3">
      <c r="A52" s="131" t="s">
        <v>107</v>
      </c>
      <c r="B52" s="131" t="s">
        <v>119</v>
      </c>
      <c r="C52" s="132" t="s">
        <v>12</v>
      </c>
      <c r="D52" s="148">
        <v>18097</v>
      </c>
      <c r="E52" s="128" t="s">
        <v>5</v>
      </c>
      <c r="F52" s="127">
        <v>0</v>
      </c>
      <c r="G52" s="128" t="s">
        <v>5</v>
      </c>
      <c r="H52" s="127">
        <v>0</v>
      </c>
      <c r="I52" s="128" t="s">
        <v>5</v>
      </c>
      <c r="J52" s="127">
        <v>0</v>
      </c>
      <c r="K52" s="128" t="s">
        <v>5</v>
      </c>
      <c r="L52" s="127">
        <v>0</v>
      </c>
      <c r="M52" s="128" t="s">
        <v>5</v>
      </c>
      <c r="N52" s="135">
        <f t="shared" si="5"/>
        <v>18097</v>
      </c>
      <c r="O52" s="124"/>
      <c r="P52" s="130"/>
    </row>
    <row r="53" spans="1:16" ht="30" customHeight="1" x14ac:dyDescent="0.3">
      <c r="A53" s="131" t="s">
        <v>107</v>
      </c>
      <c r="B53" s="131" t="s">
        <v>120</v>
      </c>
      <c r="C53" s="132" t="s">
        <v>12</v>
      </c>
      <c r="D53" s="148">
        <v>25524</v>
      </c>
      <c r="E53" s="128" t="s">
        <v>5</v>
      </c>
      <c r="F53" s="127">
        <v>0</v>
      </c>
      <c r="G53" s="128" t="s">
        <v>5</v>
      </c>
      <c r="H53" s="127">
        <v>0</v>
      </c>
      <c r="I53" s="128" t="s">
        <v>5</v>
      </c>
      <c r="J53" s="127">
        <v>0</v>
      </c>
      <c r="K53" s="128" t="s">
        <v>5</v>
      </c>
      <c r="L53" s="127">
        <v>0</v>
      </c>
      <c r="M53" s="128" t="s">
        <v>5</v>
      </c>
      <c r="N53" s="135">
        <f t="shared" si="5"/>
        <v>25524</v>
      </c>
      <c r="O53" s="124"/>
      <c r="P53" s="130"/>
    </row>
    <row r="54" spans="1:16" ht="30" customHeight="1" x14ac:dyDescent="0.3">
      <c r="A54" s="131" t="s">
        <v>107</v>
      </c>
      <c r="B54" s="131" t="s">
        <v>121</v>
      </c>
      <c r="C54" s="132" t="s">
        <v>12</v>
      </c>
      <c r="D54" s="148">
        <v>31836</v>
      </c>
      <c r="E54" s="128" t="s">
        <v>5</v>
      </c>
      <c r="F54" s="127">
        <v>0</v>
      </c>
      <c r="G54" s="128" t="s">
        <v>5</v>
      </c>
      <c r="H54" s="127">
        <v>0</v>
      </c>
      <c r="I54" s="128" t="s">
        <v>5</v>
      </c>
      <c r="J54" s="127">
        <v>0</v>
      </c>
      <c r="K54" s="128" t="s">
        <v>5</v>
      </c>
      <c r="L54" s="127">
        <v>0</v>
      </c>
      <c r="M54" s="128" t="s">
        <v>5</v>
      </c>
      <c r="N54" s="135">
        <f t="shared" si="5"/>
        <v>31836</v>
      </c>
      <c r="O54" s="124"/>
      <c r="P54" s="130"/>
    </row>
    <row r="55" spans="1:16" ht="30" customHeight="1" x14ac:dyDescent="0.3">
      <c r="A55" s="131" t="s">
        <v>107</v>
      </c>
      <c r="B55" s="131" t="s">
        <v>122</v>
      </c>
      <c r="C55" s="132" t="s">
        <v>12</v>
      </c>
      <c r="D55" s="148">
        <v>39365</v>
      </c>
      <c r="E55" s="128" t="s">
        <v>5</v>
      </c>
      <c r="F55" s="127">
        <v>0</v>
      </c>
      <c r="G55" s="128" t="s">
        <v>5</v>
      </c>
      <c r="H55" s="127">
        <v>0</v>
      </c>
      <c r="I55" s="128" t="s">
        <v>5</v>
      </c>
      <c r="J55" s="127">
        <v>0</v>
      </c>
      <c r="K55" s="128" t="s">
        <v>5</v>
      </c>
      <c r="L55" s="127">
        <v>0</v>
      </c>
      <c r="M55" s="128" t="s">
        <v>5</v>
      </c>
      <c r="N55" s="135">
        <f t="shared" si="5"/>
        <v>39365</v>
      </c>
      <c r="O55" s="124"/>
      <c r="P55" s="130"/>
    </row>
    <row r="56" spans="1:16" ht="30" customHeight="1" x14ac:dyDescent="0.3">
      <c r="A56" s="131" t="s">
        <v>107</v>
      </c>
      <c r="B56" s="131" t="s">
        <v>123</v>
      </c>
      <c r="C56" s="132" t="s">
        <v>12</v>
      </c>
      <c r="D56" s="148">
        <v>48279</v>
      </c>
      <c r="E56" s="128" t="s">
        <v>5</v>
      </c>
      <c r="F56" s="127">
        <v>0</v>
      </c>
      <c r="G56" s="128" t="s">
        <v>5</v>
      </c>
      <c r="H56" s="127">
        <v>0</v>
      </c>
      <c r="I56" s="128" t="s">
        <v>5</v>
      </c>
      <c r="J56" s="127">
        <v>0</v>
      </c>
      <c r="K56" s="128" t="s">
        <v>5</v>
      </c>
      <c r="L56" s="127">
        <v>0</v>
      </c>
      <c r="M56" s="128" t="s">
        <v>5</v>
      </c>
      <c r="N56" s="135">
        <f t="shared" si="5"/>
        <v>48279</v>
      </c>
      <c r="O56" s="124"/>
      <c r="P56" s="130"/>
    </row>
    <row r="57" spans="1:16" ht="30" customHeight="1" x14ac:dyDescent="0.3">
      <c r="A57" s="131" t="s">
        <v>107</v>
      </c>
      <c r="B57" s="131" t="s">
        <v>124</v>
      </c>
      <c r="C57" s="132" t="s">
        <v>12</v>
      </c>
      <c r="D57" s="148">
        <v>57862</v>
      </c>
      <c r="E57" s="128" t="s">
        <v>5</v>
      </c>
      <c r="F57" s="127">
        <v>0</v>
      </c>
      <c r="G57" s="128" t="s">
        <v>5</v>
      </c>
      <c r="H57" s="127">
        <v>0</v>
      </c>
      <c r="I57" s="128" t="s">
        <v>5</v>
      </c>
      <c r="J57" s="127">
        <v>0</v>
      </c>
      <c r="K57" s="128" t="s">
        <v>5</v>
      </c>
      <c r="L57" s="127">
        <v>0</v>
      </c>
      <c r="M57" s="128" t="s">
        <v>5</v>
      </c>
      <c r="N57" s="135">
        <f t="shared" si="5"/>
        <v>57862</v>
      </c>
      <c r="O57" s="124"/>
      <c r="P57" s="130"/>
    </row>
    <row r="58" spans="1:16" ht="30" customHeight="1" x14ac:dyDescent="0.3">
      <c r="A58" s="131" t="s">
        <v>107</v>
      </c>
      <c r="B58" s="131" t="s">
        <v>125</v>
      </c>
      <c r="C58" s="132" t="s">
        <v>12</v>
      </c>
      <c r="D58" s="148">
        <v>68115</v>
      </c>
      <c r="E58" s="128" t="s">
        <v>5</v>
      </c>
      <c r="F58" s="127">
        <v>0</v>
      </c>
      <c r="G58" s="128" t="s">
        <v>5</v>
      </c>
      <c r="H58" s="127">
        <v>0</v>
      </c>
      <c r="I58" s="128" t="s">
        <v>5</v>
      </c>
      <c r="J58" s="127">
        <v>0</v>
      </c>
      <c r="K58" s="128" t="s">
        <v>5</v>
      </c>
      <c r="L58" s="127">
        <v>0</v>
      </c>
      <c r="M58" s="128" t="s">
        <v>5</v>
      </c>
      <c r="N58" s="135">
        <f t="shared" si="5"/>
        <v>68115</v>
      </c>
      <c r="O58" s="124"/>
      <c r="P58" s="130"/>
    </row>
    <row r="59" spans="1:16" ht="30" customHeight="1" x14ac:dyDescent="0.3">
      <c r="A59" s="131" t="s">
        <v>107</v>
      </c>
      <c r="B59" s="131" t="s">
        <v>126</v>
      </c>
      <c r="C59" s="132" t="s">
        <v>12</v>
      </c>
      <c r="D59" s="148">
        <v>79845</v>
      </c>
      <c r="E59" s="128" t="s">
        <v>5</v>
      </c>
      <c r="F59" s="127">
        <v>0</v>
      </c>
      <c r="G59" s="128" t="s">
        <v>5</v>
      </c>
      <c r="H59" s="127">
        <v>0</v>
      </c>
      <c r="I59" s="128" t="s">
        <v>5</v>
      </c>
      <c r="J59" s="127">
        <v>0</v>
      </c>
      <c r="K59" s="128" t="s">
        <v>5</v>
      </c>
      <c r="L59" s="127">
        <v>0</v>
      </c>
      <c r="M59" s="128" t="s">
        <v>5</v>
      </c>
      <c r="N59" s="135">
        <f t="shared" si="5"/>
        <v>79845</v>
      </c>
      <c r="O59" s="124"/>
      <c r="P59" s="130"/>
    </row>
    <row r="60" spans="1:16" ht="30" customHeight="1" x14ac:dyDescent="0.3">
      <c r="A60" s="131" t="s">
        <v>107</v>
      </c>
      <c r="B60" s="131" t="s">
        <v>127</v>
      </c>
      <c r="C60" s="132" t="s">
        <v>12</v>
      </c>
      <c r="D60" s="148">
        <v>90944</v>
      </c>
      <c r="E60" s="128" t="s">
        <v>5</v>
      </c>
      <c r="F60" s="127">
        <v>0</v>
      </c>
      <c r="G60" s="128" t="s">
        <v>5</v>
      </c>
      <c r="H60" s="127">
        <v>0</v>
      </c>
      <c r="I60" s="128" t="s">
        <v>5</v>
      </c>
      <c r="J60" s="127">
        <v>0</v>
      </c>
      <c r="K60" s="128" t="s">
        <v>5</v>
      </c>
      <c r="L60" s="127">
        <v>0</v>
      </c>
      <c r="M60" s="128" t="s">
        <v>5</v>
      </c>
      <c r="N60" s="135">
        <f t="shared" si="5"/>
        <v>90944</v>
      </c>
      <c r="O60" s="124"/>
      <c r="P60" s="130"/>
    </row>
    <row r="61" spans="1:16" ht="30" customHeight="1" x14ac:dyDescent="0.3">
      <c r="A61" s="131" t="s">
        <v>107</v>
      </c>
      <c r="B61" s="131" t="s">
        <v>128</v>
      </c>
      <c r="C61" s="132" t="s">
        <v>12</v>
      </c>
      <c r="D61" s="148">
        <v>38324</v>
      </c>
      <c r="E61" s="128" t="s">
        <v>5</v>
      </c>
      <c r="F61" s="127">
        <v>0</v>
      </c>
      <c r="G61" s="128" t="s">
        <v>5</v>
      </c>
      <c r="H61" s="127">
        <v>0</v>
      </c>
      <c r="I61" s="128" t="s">
        <v>5</v>
      </c>
      <c r="J61" s="127">
        <v>0</v>
      </c>
      <c r="K61" s="128" t="s">
        <v>5</v>
      </c>
      <c r="L61" s="127">
        <v>0</v>
      </c>
      <c r="M61" s="128" t="s">
        <v>5</v>
      </c>
      <c r="N61" s="135">
        <f t="shared" si="5"/>
        <v>38324</v>
      </c>
      <c r="O61" s="124"/>
      <c r="P61" s="130"/>
    </row>
    <row r="62" spans="1:16" ht="30" customHeight="1" x14ac:dyDescent="0.3">
      <c r="A62" s="131" t="s">
        <v>107</v>
      </c>
      <c r="B62" s="131" t="s">
        <v>129</v>
      </c>
      <c r="C62" s="132" t="s">
        <v>12</v>
      </c>
      <c r="D62" s="148">
        <v>44951</v>
      </c>
      <c r="E62" s="128" t="s">
        <v>5</v>
      </c>
      <c r="F62" s="127">
        <v>0</v>
      </c>
      <c r="G62" s="128" t="s">
        <v>5</v>
      </c>
      <c r="H62" s="127">
        <v>0</v>
      </c>
      <c r="I62" s="128" t="s">
        <v>5</v>
      </c>
      <c r="J62" s="127">
        <v>0</v>
      </c>
      <c r="K62" s="128" t="s">
        <v>5</v>
      </c>
      <c r="L62" s="127">
        <v>0</v>
      </c>
      <c r="M62" s="128" t="s">
        <v>5</v>
      </c>
      <c r="N62" s="135">
        <f t="shared" si="5"/>
        <v>44951</v>
      </c>
      <c r="O62" s="124"/>
      <c r="P62" s="130"/>
    </row>
    <row r="63" spans="1:16" ht="30" customHeight="1" x14ac:dyDescent="0.3">
      <c r="A63" s="131" t="s">
        <v>107</v>
      </c>
      <c r="B63" s="131" t="s">
        <v>130</v>
      </c>
      <c r="C63" s="132" t="s">
        <v>12</v>
      </c>
      <c r="D63" s="148">
        <v>56617</v>
      </c>
      <c r="E63" s="128" t="s">
        <v>5</v>
      </c>
      <c r="F63" s="127">
        <v>0</v>
      </c>
      <c r="G63" s="128" t="s">
        <v>5</v>
      </c>
      <c r="H63" s="127">
        <v>0</v>
      </c>
      <c r="I63" s="128" t="s">
        <v>5</v>
      </c>
      <c r="J63" s="127">
        <v>0</v>
      </c>
      <c r="K63" s="128" t="s">
        <v>5</v>
      </c>
      <c r="L63" s="127">
        <v>0</v>
      </c>
      <c r="M63" s="128" t="s">
        <v>5</v>
      </c>
      <c r="N63" s="135">
        <f t="shared" si="5"/>
        <v>56617</v>
      </c>
      <c r="O63" s="124"/>
      <c r="P63" s="130"/>
    </row>
    <row r="64" spans="1:16" ht="30" customHeight="1" x14ac:dyDescent="0.3">
      <c r="A64" s="131" t="s">
        <v>107</v>
      </c>
      <c r="B64" s="131" t="s">
        <v>131</v>
      </c>
      <c r="C64" s="132" t="s">
        <v>12</v>
      </c>
      <c r="D64" s="148">
        <v>66906</v>
      </c>
      <c r="E64" s="128" t="s">
        <v>5</v>
      </c>
      <c r="F64" s="127">
        <v>0</v>
      </c>
      <c r="G64" s="128" t="s">
        <v>5</v>
      </c>
      <c r="H64" s="127">
        <v>0</v>
      </c>
      <c r="I64" s="128" t="s">
        <v>5</v>
      </c>
      <c r="J64" s="127">
        <v>0</v>
      </c>
      <c r="K64" s="128" t="s">
        <v>5</v>
      </c>
      <c r="L64" s="127">
        <v>0</v>
      </c>
      <c r="M64" s="128" t="s">
        <v>5</v>
      </c>
      <c r="N64" s="135">
        <f t="shared" si="5"/>
        <v>66906</v>
      </c>
      <c r="O64" s="124"/>
      <c r="P64" s="130"/>
    </row>
    <row r="65" spans="1:16" ht="30" customHeight="1" x14ac:dyDescent="0.3">
      <c r="A65" s="131" t="s">
        <v>107</v>
      </c>
      <c r="B65" s="131" t="s">
        <v>132</v>
      </c>
      <c r="C65" s="132" t="s">
        <v>12</v>
      </c>
      <c r="D65" s="148">
        <v>80013</v>
      </c>
      <c r="E65" s="128" t="s">
        <v>5</v>
      </c>
      <c r="F65" s="127">
        <v>0</v>
      </c>
      <c r="G65" s="128" t="s">
        <v>5</v>
      </c>
      <c r="H65" s="127">
        <v>0</v>
      </c>
      <c r="I65" s="128" t="s">
        <v>5</v>
      </c>
      <c r="J65" s="127">
        <v>0</v>
      </c>
      <c r="K65" s="128" t="s">
        <v>5</v>
      </c>
      <c r="L65" s="127">
        <v>0</v>
      </c>
      <c r="M65" s="128" t="s">
        <v>5</v>
      </c>
      <c r="N65" s="135">
        <f t="shared" si="5"/>
        <v>80013</v>
      </c>
      <c r="O65" s="124"/>
      <c r="P65" s="130"/>
    </row>
    <row r="66" spans="1:16" ht="30" customHeight="1" x14ac:dyDescent="0.3">
      <c r="A66" s="131" t="s">
        <v>107</v>
      </c>
      <c r="B66" s="131" t="s">
        <v>133</v>
      </c>
      <c r="C66" s="132" t="s">
        <v>12</v>
      </c>
      <c r="D66" s="148">
        <v>95062</v>
      </c>
      <c r="E66" s="128" t="s">
        <v>5</v>
      </c>
      <c r="F66" s="127">
        <v>0</v>
      </c>
      <c r="G66" s="128" t="s">
        <v>5</v>
      </c>
      <c r="H66" s="127">
        <v>0</v>
      </c>
      <c r="I66" s="128" t="s">
        <v>5</v>
      </c>
      <c r="J66" s="127">
        <v>0</v>
      </c>
      <c r="K66" s="128" t="s">
        <v>5</v>
      </c>
      <c r="L66" s="127">
        <v>0</v>
      </c>
      <c r="M66" s="128" t="s">
        <v>5</v>
      </c>
      <c r="N66" s="135">
        <f t="shared" si="5"/>
        <v>95062</v>
      </c>
      <c r="O66" s="124"/>
      <c r="P66" s="130"/>
    </row>
    <row r="67" spans="1:16" ht="30" customHeight="1" x14ac:dyDescent="0.3">
      <c r="A67" s="131" t="s">
        <v>107</v>
      </c>
      <c r="B67" s="131" t="s">
        <v>134</v>
      </c>
      <c r="C67" s="132" t="s">
        <v>12</v>
      </c>
      <c r="D67" s="148">
        <v>109097</v>
      </c>
      <c r="E67" s="128" t="s">
        <v>5</v>
      </c>
      <c r="F67" s="127">
        <v>0</v>
      </c>
      <c r="G67" s="128" t="s">
        <v>5</v>
      </c>
      <c r="H67" s="127">
        <v>0</v>
      </c>
      <c r="I67" s="128" t="s">
        <v>5</v>
      </c>
      <c r="J67" s="127">
        <v>0</v>
      </c>
      <c r="K67" s="128" t="s">
        <v>5</v>
      </c>
      <c r="L67" s="127">
        <v>0</v>
      </c>
      <c r="M67" s="128" t="s">
        <v>5</v>
      </c>
      <c r="N67" s="135">
        <f t="shared" si="5"/>
        <v>109097</v>
      </c>
      <c r="O67" s="124"/>
      <c r="P67" s="130"/>
    </row>
    <row r="68" spans="1:16" ht="30" customHeight="1" x14ac:dyDescent="0.3">
      <c r="A68" s="131" t="s">
        <v>107</v>
      </c>
      <c r="B68" s="131" t="s">
        <v>135</v>
      </c>
      <c r="C68" s="132" t="s">
        <v>12</v>
      </c>
      <c r="D68" s="148">
        <v>126451</v>
      </c>
      <c r="E68" s="128" t="s">
        <v>5</v>
      </c>
      <c r="F68" s="127">
        <v>0</v>
      </c>
      <c r="G68" s="128" t="s">
        <v>5</v>
      </c>
      <c r="H68" s="127">
        <v>0</v>
      </c>
      <c r="I68" s="128" t="s">
        <v>5</v>
      </c>
      <c r="J68" s="127">
        <v>0</v>
      </c>
      <c r="K68" s="128" t="s">
        <v>5</v>
      </c>
      <c r="L68" s="127">
        <v>0</v>
      </c>
      <c r="M68" s="128" t="s">
        <v>5</v>
      </c>
      <c r="N68" s="135">
        <f t="shared" si="5"/>
        <v>126451</v>
      </c>
      <c r="O68" s="124"/>
      <c r="P68" s="130"/>
    </row>
    <row r="69" spans="1:16" ht="30" customHeight="1" x14ac:dyDescent="0.3">
      <c r="A69" s="131" t="s">
        <v>107</v>
      </c>
      <c r="B69" s="131" t="s">
        <v>136</v>
      </c>
      <c r="C69" s="132" t="s">
        <v>12</v>
      </c>
      <c r="D69" s="148">
        <v>142541</v>
      </c>
      <c r="E69" s="128" t="s">
        <v>5</v>
      </c>
      <c r="F69" s="127">
        <v>0</v>
      </c>
      <c r="G69" s="128" t="s">
        <v>5</v>
      </c>
      <c r="H69" s="127">
        <v>0</v>
      </c>
      <c r="I69" s="128" t="s">
        <v>5</v>
      </c>
      <c r="J69" s="127">
        <v>0</v>
      </c>
      <c r="K69" s="128" t="s">
        <v>5</v>
      </c>
      <c r="L69" s="127">
        <v>0</v>
      </c>
      <c r="M69" s="128" t="s">
        <v>5</v>
      </c>
      <c r="N69" s="135">
        <f t="shared" si="5"/>
        <v>142541</v>
      </c>
      <c r="O69" s="124"/>
      <c r="P69" s="130"/>
    </row>
    <row r="70" spans="1:16" ht="30" customHeight="1" x14ac:dyDescent="0.3">
      <c r="A70" s="131" t="s">
        <v>107</v>
      </c>
      <c r="B70" s="131" t="s">
        <v>137</v>
      </c>
      <c r="C70" s="132" t="s">
        <v>12</v>
      </c>
      <c r="D70" s="148">
        <v>162480</v>
      </c>
      <c r="E70" s="128" t="s">
        <v>5</v>
      </c>
      <c r="F70" s="127">
        <v>0</v>
      </c>
      <c r="G70" s="128" t="s">
        <v>5</v>
      </c>
      <c r="H70" s="127">
        <v>0</v>
      </c>
      <c r="I70" s="128" t="s">
        <v>5</v>
      </c>
      <c r="J70" s="127">
        <v>0</v>
      </c>
      <c r="K70" s="128" t="s">
        <v>5</v>
      </c>
      <c r="L70" s="127">
        <v>0</v>
      </c>
      <c r="M70" s="128" t="s">
        <v>5</v>
      </c>
      <c r="N70" s="135">
        <f t="shared" si="5"/>
        <v>162480</v>
      </c>
      <c r="O70" s="124"/>
      <c r="P70" s="130"/>
    </row>
    <row r="71" spans="1:16" ht="30" customHeight="1" x14ac:dyDescent="0.3">
      <c r="A71" s="131" t="s">
        <v>107</v>
      </c>
      <c r="B71" s="131" t="s">
        <v>138</v>
      </c>
      <c r="C71" s="132" t="s">
        <v>12</v>
      </c>
      <c r="D71" s="148">
        <v>48269</v>
      </c>
      <c r="E71" s="128" t="s">
        <v>5</v>
      </c>
      <c r="F71" s="127">
        <v>0</v>
      </c>
      <c r="G71" s="128" t="s">
        <v>5</v>
      </c>
      <c r="H71" s="127">
        <v>0</v>
      </c>
      <c r="I71" s="128" t="s">
        <v>5</v>
      </c>
      <c r="J71" s="127">
        <v>0</v>
      </c>
      <c r="K71" s="128" t="s">
        <v>5</v>
      </c>
      <c r="L71" s="127">
        <v>0</v>
      </c>
      <c r="M71" s="128" t="s">
        <v>5</v>
      </c>
      <c r="N71" s="135">
        <f t="shared" si="5"/>
        <v>48269</v>
      </c>
      <c r="O71" s="124"/>
      <c r="P71" s="130"/>
    </row>
    <row r="72" spans="1:16" ht="30" customHeight="1" x14ac:dyDescent="0.3">
      <c r="A72" s="131" t="s">
        <v>107</v>
      </c>
      <c r="B72" s="131" t="s">
        <v>139</v>
      </c>
      <c r="C72" s="132" t="s">
        <v>12</v>
      </c>
      <c r="D72" s="148">
        <v>65354</v>
      </c>
      <c r="E72" s="128" t="s">
        <v>5</v>
      </c>
      <c r="F72" s="127">
        <v>0</v>
      </c>
      <c r="G72" s="128" t="s">
        <v>5</v>
      </c>
      <c r="H72" s="127">
        <v>0</v>
      </c>
      <c r="I72" s="128" t="s">
        <v>5</v>
      </c>
      <c r="J72" s="127">
        <v>0</v>
      </c>
      <c r="K72" s="128" t="s">
        <v>5</v>
      </c>
      <c r="L72" s="127">
        <v>0</v>
      </c>
      <c r="M72" s="128" t="s">
        <v>5</v>
      </c>
      <c r="N72" s="135">
        <f t="shared" si="5"/>
        <v>65354</v>
      </c>
      <c r="O72" s="124"/>
      <c r="P72" s="130"/>
    </row>
    <row r="73" spans="1:16" ht="30" customHeight="1" x14ac:dyDescent="0.3">
      <c r="A73" s="131" t="s">
        <v>107</v>
      </c>
      <c r="B73" s="131" t="s">
        <v>140</v>
      </c>
      <c r="C73" s="132" t="s">
        <v>12</v>
      </c>
      <c r="D73" s="148">
        <v>73292</v>
      </c>
      <c r="E73" s="128" t="s">
        <v>5</v>
      </c>
      <c r="F73" s="127">
        <v>0</v>
      </c>
      <c r="G73" s="128" t="s">
        <v>5</v>
      </c>
      <c r="H73" s="127">
        <v>0</v>
      </c>
      <c r="I73" s="128" t="s">
        <v>5</v>
      </c>
      <c r="J73" s="127">
        <v>0</v>
      </c>
      <c r="K73" s="128" t="s">
        <v>5</v>
      </c>
      <c r="L73" s="127">
        <v>0</v>
      </c>
      <c r="M73" s="128" t="s">
        <v>5</v>
      </c>
      <c r="N73" s="135">
        <f t="shared" ref="N73:N130" si="6">SMALL(D73:L73,COUNTIF(D73:L73,0)+1)</f>
        <v>73292</v>
      </c>
      <c r="O73" s="124"/>
      <c r="P73" s="130"/>
    </row>
    <row r="74" spans="1:16" ht="30" customHeight="1" x14ac:dyDescent="0.3">
      <c r="A74" s="131" t="s">
        <v>107</v>
      </c>
      <c r="B74" s="131" t="s">
        <v>141</v>
      </c>
      <c r="C74" s="132" t="s">
        <v>12</v>
      </c>
      <c r="D74" s="148">
        <v>89531</v>
      </c>
      <c r="E74" s="128" t="s">
        <v>5</v>
      </c>
      <c r="F74" s="127">
        <v>0</v>
      </c>
      <c r="G74" s="128" t="s">
        <v>5</v>
      </c>
      <c r="H74" s="127">
        <v>0</v>
      </c>
      <c r="I74" s="128" t="s">
        <v>5</v>
      </c>
      <c r="J74" s="127">
        <v>0</v>
      </c>
      <c r="K74" s="128" t="s">
        <v>5</v>
      </c>
      <c r="L74" s="127">
        <v>0</v>
      </c>
      <c r="M74" s="128" t="s">
        <v>5</v>
      </c>
      <c r="N74" s="135">
        <f t="shared" si="6"/>
        <v>89531</v>
      </c>
      <c r="O74" s="124"/>
      <c r="P74" s="130"/>
    </row>
    <row r="75" spans="1:16" ht="30" customHeight="1" x14ac:dyDescent="0.3">
      <c r="A75" s="131" t="s">
        <v>107</v>
      </c>
      <c r="B75" s="131" t="s">
        <v>142</v>
      </c>
      <c r="C75" s="132" t="s">
        <v>12</v>
      </c>
      <c r="D75" s="148">
        <v>101986</v>
      </c>
      <c r="E75" s="128" t="s">
        <v>5</v>
      </c>
      <c r="F75" s="127">
        <v>0</v>
      </c>
      <c r="G75" s="128" t="s">
        <v>5</v>
      </c>
      <c r="H75" s="127">
        <v>0</v>
      </c>
      <c r="I75" s="128" t="s">
        <v>5</v>
      </c>
      <c r="J75" s="127">
        <v>0</v>
      </c>
      <c r="K75" s="128" t="s">
        <v>5</v>
      </c>
      <c r="L75" s="127">
        <v>0</v>
      </c>
      <c r="M75" s="128" t="s">
        <v>5</v>
      </c>
      <c r="N75" s="135">
        <f t="shared" si="6"/>
        <v>101986</v>
      </c>
      <c r="O75" s="124"/>
      <c r="P75" s="130"/>
    </row>
    <row r="76" spans="1:16" ht="30" customHeight="1" x14ac:dyDescent="0.3">
      <c r="A76" s="131" t="s">
        <v>107</v>
      </c>
      <c r="B76" s="131" t="s">
        <v>143</v>
      </c>
      <c r="C76" s="132" t="s">
        <v>12</v>
      </c>
      <c r="D76" s="148">
        <v>120038</v>
      </c>
      <c r="E76" s="128" t="s">
        <v>5</v>
      </c>
      <c r="F76" s="127">
        <v>0</v>
      </c>
      <c r="G76" s="128" t="s">
        <v>5</v>
      </c>
      <c r="H76" s="127">
        <v>0</v>
      </c>
      <c r="I76" s="128" t="s">
        <v>5</v>
      </c>
      <c r="J76" s="127">
        <v>0</v>
      </c>
      <c r="K76" s="128" t="s">
        <v>5</v>
      </c>
      <c r="L76" s="127">
        <v>0</v>
      </c>
      <c r="M76" s="128" t="s">
        <v>5</v>
      </c>
      <c r="N76" s="135">
        <f t="shared" si="6"/>
        <v>120038</v>
      </c>
      <c r="O76" s="124"/>
      <c r="P76" s="130"/>
    </row>
    <row r="77" spans="1:16" ht="30" customHeight="1" x14ac:dyDescent="0.3">
      <c r="A77" s="131" t="s">
        <v>107</v>
      </c>
      <c r="B77" s="131" t="s">
        <v>144</v>
      </c>
      <c r="C77" s="132" t="s">
        <v>12</v>
      </c>
      <c r="D77" s="148">
        <v>139455</v>
      </c>
      <c r="E77" s="128" t="s">
        <v>5</v>
      </c>
      <c r="F77" s="127">
        <v>0</v>
      </c>
      <c r="G77" s="128" t="s">
        <v>5</v>
      </c>
      <c r="H77" s="127">
        <v>0</v>
      </c>
      <c r="I77" s="128" t="s">
        <v>5</v>
      </c>
      <c r="J77" s="127">
        <v>0</v>
      </c>
      <c r="K77" s="128" t="s">
        <v>5</v>
      </c>
      <c r="L77" s="127">
        <v>0</v>
      </c>
      <c r="M77" s="128" t="s">
        <v>5</v>
      </c>
      <c r="N77" s="135">
        <f t="shared" si="6"/>
        <v>139455</v>
      </c>
      <c r="O77" s="124"/>
      <c r="P77" s="130"/>
    </row>
    <row r="78" spans="1:16" ht="30" customHeight="1" x14ac:dyDescent="0.3">
      <c r="A78" s="131" t="s">
        <v>107</v>
      </c>
      <c r="B78" s="131" t="s">
        <v>145</v>
      </c>
      <c r="C78" s="132" t="s">
        <v>12</v>
      </c>
      <c r="D78" s="148">
        <v>156902</v>
      </c>
      <c r="E78" s="128" t="s">
        <v>5</v>
      </c>
      <c r="F78" s="127">
        <v>0</v>
      </c>
      <c r="G78" s="128" t="s">
        <v>5</v>
      </c>
      <c r="H78" s="127">
        <v>0</v>
      </c>
      <c r="I78" s="128" t="s">
        <v>5</v>
      </c>
      <c r="J78" s="127">
        <v>0</v>
      </c>
      <c r="K78" s="128" t="s">
        <v>5</v>
      </c>
      <c r="L78" s="127">
        <v>0</v>
      </c>
      <c r="M78" s="128" t="s">
        <v>5</v>
      </c>
      <c r="N78" s="135">
        <f t="shared" si="6"/>
        <v>156902</v>
      </c>
      <c r="O78" s="124"/>
      <c r="P78" s="130"/>
    </row>
    <row r="79" spans="1:16" ht="30" customHeight="1" x14ac:dyDescent="0.3">
      <c r="A79" s="131" t="s">
        <v>107</v>
      </c>
      <c r="B79" s="131" t="s">
        <v>146</v>
      </c>
      <c r="C79" s="132" t="s">
        <v>12</v>
      </c>
      <c r="D79" s="148">
        <v>177529</v>
      </c>
      <c r="E79" s="128" t="s">
        <v>5</v>
      </c>
      <c r="F79" s="127">
        <v>0</v>
      </c>
      <c r="G79" s="128" t="s">
        <v>5</v>
      </c>
      <c r="H79" s="127">
        <v>0</v>
      </c>
      <c r="I79" s="128" t="s">
        <v>5</v>
      </c>
      <c r="J79" s="127">
        <v>0</v>
      </c>
      <c r="K79" s="128" t="s">
        <v>5</v>
      </c>
      <c r="L79" s="127">
        <v>0</v>
      </c>
      <c r="M79" s="128" t="s">
        <v>5</v>
      </c>
      <c r="N79" s="135">
        <f t="shared" si="6"/>
        <v>177529</v>
      </c>
      <c r="O79" s="124"/>
      <c r="P79" s="130"/>
    </row>
    <row r="80" spans="1:16" ht="30" customHeight="1" x14ac:dyDescent="0.3">
      <c r="A80" s="131" t="s">
        <v>107</v>
      </c>
      <c r="B80" s="131" t="s">
        <v>147</v>
      </c>
      <c r="C80" s="132" t="s">
        <v>12</v>
      </c>
      <c r="D80" s="148">
        <v>199995</v>
      </c>
      <c r="E80" s="128" t="s">
        <v>5</v>
      </c>
      <c r="F80" s="127">
        <v>0</v>
      </c>
      <c r="G80" s="128" t="s">
        <v>5</v>
      </c>
      <c r="H80" s="127">
        <v>0</v>
      </c>
      <c r="I80" s="128" t="s">
        <v>5</v>
      </c>
      <c r="J80" s="127">
        <v>0</v>
      </c>
      <c r="K80" s="128" t="s">
        <v>5</v>
      </c>
      <c r="L80" s="127">
        <v>0</v>
      </c>
      <c r="M80" s="128" t="s">
        <v>5</v>
      </c>
      <c r="N80" s="135">
        <f t="shared" si="6"/>
        <v>199995</v>
      </c>
      <c r="O80" s="124"/>
      <c r="P80" s="130"/>
    </row>
    <row r="81" spans="1:16" ht="30" customHeight="1" x14ac:dyDescent="0.3">
      <c r="A81" s="131" t="s">
        <v>107</v>
      </c>
      <c r="B81" s="131" t="s">
        <v>813</v>
      </c>
      <c r="C81" s="132" t="s">
        <v>12</v>
      </c>
      <c r="D81" s="148">
        <v>7036</v>
      </c>
      <c r="E81" s="128" t="s">
        <v>5</v>
      </c>
      <c r="F81" s="127">
        <v>0</v>
      </c>
      <c r="G81" s="128" t="s">
        <v>5</v>
      </c>
      <c r="H81" s="127">
        <v>0</v>
      </c>
      <c r="I81" s="128" t="s">
        <v>5</v>
      </c>
      <c r="J81" s="127">
        <v>0</v>
      </c>
      <c r="K81" s="128" t="s">
        <v>5</v>
      </c>
      <c r="L81" s="127">
        <v>0</v>
      </c>
      <c r="M81" s="128" t="s">
        <v>5</v>
      </c>
      <c r="N81" s="135">
        <f t="shared" si="6"/>
        <v>7036</v>
      </c>
      <c r="O81" s="124"/>
      <c r="P81" s="130"/>
    </row>
    <row r="82" spans="1:16" ht="30" customHeight="1" x14ac:dyDescent="0.3">
      <c r="A82" s="131" t="s">
        <v>107</v>
      </c>
      <c r="B82" s="131" t="s">
        <v>814</v>
      </c>
      <c r="C82" s="132" t="s">
        <v>12</v>
      </c>
      <c r="D82" s="148">
        <v>9332</v>
      </c>
      <c r="E82" s="128" t="s">
        <v>5</v>
      </c>
      <c r="F82" s="127">
        <v>0</v>
      </c>
      <c r="G82" s="128" t="s">
        <v>5</v>
      </c>
      <c r="H82" s="127">
        <v>0</v>
      </c>
      <c r="I82" s="128" t="s">
        <v>5</v>
      </c>
      <c r="J82" s="127">
        <v>0</v>
      </c>
      <c r="K82" s="128" t="s">
        <v>5</v>
      </c>
      <c r="L82" s="127">
        <v>0</v>
      </c>
      <c r="M82" s="128" t="s">
        <v>5</v>
      </c>
      <c r="N82" s="135">
        <f t="shared" si="6"/>
        <v>9332</v>
      </c>
      <c r="O82" s="124"/>
      <c r="P82" s="130"/>
    </row>
    <row r="83" spans="1:16" ht="30" customHeight="1" x14ac:dyDescent="0.3">
      <c r="A83" s="131" t="s">
        <v>107</v>
      </c>
      <c r="B83" s="131" t="s">
        <v>815</v>
      </c>
      <c r="C83" s="132" t="s">
        <v>12</v>
      </c>
      <c r="D83" s="148">
        <v>14779</v>
      </c>
      <c r="E83" s="128" t="s">
        <v>5</v>
      </c>
      <c r="F83" s="127">
        <v>0</v>
      </c>
      <c r="G83" s="128" t="s">
        <v>5</v>
      </c>
      <c r="H83" s="127">
        <v>0</v>
      </c>
      <c r="I83" s="128" t="s">
        <v>5</v>
      </c>
      <c r="J83" s="127">
        <v>0</v>
      </c>
      <c r="K83" s="128" t="s">
        <v>5</v>
      </c>
      <c r="L83" s="127">
        <v>0</v>
      </c>
      <c r="M83" s="128" t="s">
        <v>5</v>
      </c>
      <c r="N83" s="135">
        <f t="shared" si="6"/>
        <v>14779</v>
      </c>
      <c r="O83" s="124"/>
      <c r="P83" s="130"/>
    </row>
    <row r="84" spans="1:16" ht="30" customHeight="1" x14ac:dyDescent="0.3">
      <c r="A84" s="131" t="s">
        <v>107</v>
      </c>
      <c r="B84" s="131" t="s">
        <v>816</v>
      </c>
      <c r="C84" s="132" t="s">
        <v>12</v>
      </c>
      <c r="D84" s="148">
        <v>20663</v>
      </c>
      <c r="E84" s="128" t="s">
        <v>5</v>
      </c>
      <c r="F84" s="127">
        <v>0</v>
      </c>
      <c r="G84" s="128" t="s">
        <v>5</v>
      </c>
      <c r="H84" s="127">
        <v>0</v>
      </c>
      <c r="I84" s="128" t="s">
        <v>5</v>
      </c>
      <c r="J84" s="127">
        <v>0</v>
      </c>
      <c r="K84" s="128" t="s">
        <v>5</v>
      </c>
      <c r="L84" s="127">
        <v>0</v>
      </c>
      <c r="M84" s="128" t="s">
        <v>5</v>
      </c>
      <c r="N84" s="135">
        <f t="shared" si="6"/>
        <v>20663</v>
      </c>
      <c r="O84" s="124"/>
      <c r="P84" s="130"/>
    </row>
    <row r="85" spans="1:16" ht="30" customHeight="1" x14ac:dyDescent="0.3">
      <c r="A85" s="131" t="s">
        <v>107</v>
      </c>
      <c r="B85" s="131" t="s">
        <v>817</v>
      </c>
      <c r="C85" s="132" t="s">
        <v>12</v>
      </c>
      <c r="D85" s="148">
        <v>27904</v>
      </c>
      <c r="E85" s="128" t="s">
        <v>5</v>
      </c>
      <c r="F85" s="127">
        <v>0</v>
      </c>
      <c r="G85" s="128" t="s">
        <v>5</v>
      </c>
      <c r="H85" s="127">
        <v>0</v>
      </c>
      <c r="I85" s="128" t="s">
        <v>5</v>
      </c>
      <c r="J85" s="127">
        <v>0</v>
      </c>
      <c r="K85" s="128" t="s">
        <v>5</v>
      </c>
      <c r="L85" s="127">
        <v>0</v>
      </c>
      <c r="M85" s="128" t="s">
        <v>5</v>
      </c>
      <c r="N85" s="135">
        <f t="shared" si="6"/>
        <v>27904</v>
      </c>
      <c r="O85" s="124"/>
      <c r="P85" s="130"/>
    </row>
    <row r="86" spans="1:16" ht="30" customHeight="1" x14ac:dyDescent="0.3">
      <c r="A86" s="131" t="s">
        <v>107</v>
      </c>
      <c r="B86" s="131" t="s">
        <v>818</v>
      </c>
      <c r="C86" s="132" t="s">
        <v>12</v>
      </c>
      <c r="D86" s="148">
        <v>35619</v>
      </c>
      <c r="E86" s="128" t="s">
        <v>5</v>
      </c>
      <c r="F86" s="127">
        <v>0</v>
      </c>
      <c r="G86" s="128" t="s">
        <v>5</v>
      </c>
      <c r="H86" s="127">
        <v>0</v>
      </c>
      <c r="I86" s="128" t="s">
        <v>5</v>
      </c>
      <c r="J86" s="127">
        <v>0</v>
      </c>
      <c r="K86" s="128" t="s">
        <v>5</v>
      </c>
      <c r="L86" s="127">
        <v>0</v>
      </c>
      <c r="M86" s="128" t="s">
        <v>5</v>
      </c>
      <c r="N86" s="135">
        <f t="shared" si="6"/>
        <v>35619</v>
      </c>
      <c r="O86" s="124"/>
      <c r="P86" s="130"/>
    </row>
    <row r="87" spans="1:16" ht="30" customHeight="1" x14ac:dyDescent="0.3">
      <c r="A87" s="131" t="s">
        <v>107</v>
      </c>
      <c r="B87" s="131" t="s">
        <v>819</v>
      </c>
      <c r="C87" s="132" t="s">
        <v>12</v>
      </c>
      <c r="D87" s="148">
        <v>43798</v>
      </c>
      <c r="E87" s="128" t="s">
        <v>5</v>
      </c>
      <c r="F87" s="127">
        <v>0</v>
      </c>
      <c r="G87" s="128" t="s">
        <v>5</v>
      </c>
      <c r="H87" s="127">
        <v>0</v>
      </c>
      <c r="I87" s="128" t="s">
        <v>5</v>
      </c>
      <c r="J87" s="127">
        <v>0</v>
      </c>
      <c r="K87" s="128" t="s">
        <v>5</v>
      </c>
      <c r="L87" s="127">
        <v>0</v>
      </c>
      <c r="M87" s="128" t="s">
        <v>5</v>
      </c>
      <c r="N87" s="135">
        <f t="shared" si="6"/>
        <v>43798</v>
      </c>
      <c r="O87" s="124"/>
      <c r="P87" s="130"/>
    </row>
    <row r="88" spans="1:16" ht="30" customHeight="1" x14ac:dyDescent="0.3">
      <c r="A88" s="131" t="s">
        <v>107</v>
      </c>
      <c r="B88" s="131" t="s">
        <v>820</v>
      </c>
      <c r="C88" s="132" t="s">
        <v>12</v>
      </c>
      <c r="D88" s="148">
        <v>50826</v>
      </c>
      <c r="E88" s="128" t="s">
        <v>5</v>
      </c>
      <c r="F88" s="127">
        <v>0</v>
      </c>
      <c r="G88" s="128" t="s">
        <v>5</v>
      </c>
      <c r="H88" s="127">
        <v>0</v>
      </c>
      <c r="I88" s="128" t="s">
        <v>5</v>
      </c>
      <c r="J88" s="127">
        <v>0</v>
      </c>
      <c r="K88" s="128" t="s">
        <v>5</v>
      </c>
      <c r="L88" s="127">
        <v>0</v>
      </c>
      <c r="M88" s="128" t="s">
        <v>5</v>
      </c>
      <c r="N88" s="135">
        <f t="shared" si="6"/>
        <v>50826</v>
      </c>
      <c r="O88" s="124"/>
      <c r="P88" s="130"/>
    </row>
    <row r="89" spans="1:16" ht="30" customHeight="1" x14ac:dyDescent="0.3">
      <c r="A89" s="131" t="s">
        <v>107</v>
      </c>
      <c r="B89" s="131" t="s">
        <v>821</v>
      </c>
      <c r="C89" s="132" t="s">
        <v>12</v>
      </c>
      <c r="D89" s="148">
        <v>63346</v>
      </c>
      <c r="E89" s="128" t="s">
        <v>5</v>
      </c>
      <c r="F89" s="127">
        <v>0</v>
      </c>
      <c r="G89" s="128" t="s">
        <v>5</v>
      </c>
      <c r="H89" s="127">
        <v>0</v>
      </c>
      <c r="I89" s="128" t="s">
        <v>5</v>
      </c>
      <c r="J89" s="127">
        <v>0</v>
      </c>
      <c r="K89" s="128" t="s">
        <v>5</v>
      </c>
      <c r="L89" s="127">
        <v>0</v>
      </c>
      <c r="M89" s="128" t="s">
        <v>5</v>
      </c>
      <c r="N89" s="135">
        <f t="shared" si="6"/>
        <v>63346</v>
      </c>
      <c r="O89" s="124"/>
      <c r="P89" s="130"/>
    </row>
    <row r="90" spans="1:16" ht="30" customHeight="1" x14ac:dyDescent="0.3">
      <c r="A90" s="131" t="s">
        <v>107</v>
      </c>
      <c r="B90" s="131" t="s">
        <v>822</v>
      </c>
      <c r="C90" s="132" t="s">
        <v>12</v>
      </c>
      <c r="D90" s="148">
        <v>72948</v>
      </c>
      <c r="E90" s="128" t="s">
        <v>5</v>
      </c>
      <c r="F90" s="127">
        <v>0</v>
      </c>
      <c r="G90" s="128" t="s">
        <v>5</v>
      </c>
      <c r="H90" s="127">
        <v>0</v>
      </c>
      <c r="I90" s="128" t="s">
        <v>5</v>
      </c>
      <c r="J90" s="127">
        <v>0</v>
      </c>
      <c r="K90" s="128" t="s">
        <v>5</v>
      </c>
      <c r="L90" s="127">
        <v>0</v>
      </c>
      <c r="M90" s="128" t="s">
        <v>5</v>
      </c>
      <c r="N90" s="135">
        <f t="shared" si="6"/>
        <v>72948</v>
      </c>
      <c r="O90" s="124"/>
      <c r="P90" s="130"/>
    </row>
    <row r="91" spans="1:16" ht="30" customHeight="1" x14ac:dyDescent="0.3">
      <c r="A91" s="131" t="s">
        <v>107</v>
      </c>
      <c r="B91" s="131" t="s">
        <v>823</v>
      </c>
      <c r="C91" s="132" t="s">
        <v>12</v>
      </c>
      <c r="D91" s="148">
        <v>7036</v>
      </c>
      <c r="E91" s="128" t="s">
        <v>5</v>
      </c>
      <c r="F91" s="127">
        <v>0</v>
      </c>
      <c r="G91" s="128" t="s">
        <v>5</v>
      </c>
      <c r="H91" s="127">
        <v>0</v>
      </c>
      <c r="I91" s="128" t="s">
        <v>5</v>
      </c>
      <c r="J91" s="127">
        <v>0</v>
      </c>
      <c r="K91" s="128" t="s">
        <v>5</v>
      </c>
      <c r="L91" s="127">
        <v>0</v>
      </c>
      <c r="M91" s="128" t="s">
        <v>5</v>
      </c>
      <c r="N91" s="135">
        <f t="shared" si="6"/>
        <v>7036</v>
      </c>
      <c r="O91" s="124"/>
      <c r="P91" s="130"/>
    </row>
    <row r="92" spans="1:16" ht="30" customHeight="1" x14ac:dyDescent="0.3">
      <c r="A92" s="131" t="s">
        <v>107</v>
      </c>
      <c r="B92" s="131" t="s">
        <v>824</v>
      </c>
      <c r="C92" s="132" t="s">
        <v>12</v>
      </c>
      <c r="D92" s="148">
        <v>9332</v>
      </c>
      <c r="E92" s="128" t="s">
        <v>5</v>
      </c>
      <c r="F92" s="127">
        <v>0</v>
      </c>
      <c r="G92" s="128" t="s">
        <v>5</v>
      </c>
      <c r="H92" s="127">
        <v>0</v>
      </c>
      <c r="I92" s="128" t="s">
        <v>5</v>
      </c>
      <c r="J92" s="127">
        <v>0</v>
      </c>
      <c r="K92" s="128" t="s">
        <v>5</v>
      </c>
      <c r="L92" s="127">
        <v>0</v>
      </c>
      <c r="M92" s="128" t="s">
        <v>5</v>
      </c>
      <c r="N92" s="135">
        <f t="shared" si="6"/>
        <v>9332</v>
      </c>
      <c r="O92" s="124"/>
      <c r="P92" s="130"/>
    </row>
    <row r="93" spans="1:16" ht="30" customHeight="1" x14ac:dyDescent="0.3">
      <c r="A93" s="131" t="s">
        <v>107</v>
      </c>
      <c r="B93" s="131" t="s">
        <v>825</v>
      </c>
      <c r="C93" s="132" t="s">
        <v>12</v>
      </c>
      <c r="D93" s="148">
        <v>14779</v>
      </c>
      <c r="E93" s="128" t="s">
        <v>5</v>
      </c>
      <c r="F93" s="127">
        <v>0</v>
      </c>
      <c r="G93" s="128" t="s">
        <v>5</v>
      </c>
      <c r="H93" s="127">
        <v>0</v>
      </c>
      <c r="I93" s="128" t="s">
        <v>5</v>
      </c>
      <c r="J93" s="127">
        <v>0</v>
      </c>
      <c r="K93" s="128" t="s">
        <v>5</v>
      </c>
      <c r="L93" s="127">
        <v>0</v>
      </c>
      <c r="M93" s="128" t="s">
        <v>5</v>
      </c>
      <c r="N93" s="135">
        <f t="shared" si="6"/>
        <v>14779</v>
      </c>
      <c r="O93" s="124"/>
      <c r="P93" s="130"/>
    </row>
    <row r="94" spans="1:16" ht="30" customHeight="1" x14ac:dyDescent="0.3">
      <c r="A94" s="131" t="s">
        <v>107</v>
      </c>
      <c r="B94" s="131" t="s">
        <v>826</v>
      </c>
      <c r="C94" s="132" t="s">
        <v>12</v>
      </c>
      <c r="D94" s="148">
        <v>20663</v>
      </c>
      <c r="E94" s="128" t="s">
        <v>5</v>
      </c>
      <c r="F94" s="127">
        <v>0</v>
      </c>
      <c r="G94" s="128" t="s">
        <v>5</v>
      </c>
      <c r="H94" s="127">
        <v>0</v>
      </c>
      <c r="I94" s="128" t="s">
        <v>5</v>
      </c>
      <c r="J94" s="127">
        <v>0</v>
      </c>
      <c r="K94" s="128" t="s">
        <v>5</v>
      </c>
      <c r="L94" s="127">
        <v>0</v>
      </c>
      <c r="M94" s="128" t="s">
        <v>5</v>
      </c>
      <c r="N94" s="135">
        <f t="shared" si="6"/>
        <v>20663</v>
      </c>
      <c r="O94" s="124"/>
      <c r="P94" s="130"/>
    </row>
    <row r="95" spans="1:16" ht="30" customHeight="1" x14ac:dyDescent="0.3">
      <c r="A95" s="131" t="s">
        <v>107</v>
      </c>
      <c r="B95" s="131" t="s">
        <v>827</v>
      </c>
      <c r="C95" s="132" t="s">
        <v>12</v>
      </c>
      <c r="D95" s="148">
        <v>27904</v>
      </c>
      <c r="E95" s="128" t="s">
        <v>5</v>
      </c>
      <c r="F95" s="127">
        <v>0</v>
      </c>
      <c r="G95" s="128" t="s">
        <v>5</v>
      </c>
      <c r="H95" s="127">
        <v>0</v>
      </c>
      <c r="I95" s="128" t="s">
        <v>5</v>
      </c>
      <c r="J95" s="127">
        <v>0</v>
      </c>
      <c r="K95" s="128" t="s">
        <v>5</v>
      </c>
      <c r="L95" s="127">
        <v>0</v>
      </c>
      <c r="M95" s="128" t="s">
        <v>5</v>
      </c>
      <c r="N95" s="135">
        <f t="shared" si="6"/>
        <v>27904</v>
      </c>
      <c r="O95" s="124"/>
      <c r="P95" s="130"/>
    </row>
    <row r="96" spans="1:16" ht="30" customHeight="1" x14ac:dyDescent="0.3">
      <c r="A96" s="131" t="s">
        <v>107</v>
      </c>
      <c r="B96" s="131" t="s">
        <v>828</v>
      </c>
      <c r="C96" s="132" t="s">
        <v>12</v>
      </c>
      <c r="D96" s="148">
        <v>35619</v>
      </c>
      <c r="E96" s="128" t="s">
        <v>5</v>
      </c>
      <c r="F96" s="127">
        <v>0</v>
      </c>
      <c r="G96" s="128" t="s">
        <v>5</v>
      </c>
      <c r="H96" s="127">
        <v>0</v>
      </c>
      <c r="I96" s="128" t="s">
        <v>5</v>
      </c>
      <c r="J96" s="127">
        <v>0</v>
      </c>
      <c r="K96" s="128" t="s">
        <v>5</v>
      </c>
      <c r="L96" s="127">
        <v>0</v>
      </c>
      <c r="M96" s="128" t="s">
        <v>5</v>
      </c>
      <c r="N96" s="135">
        <f t="shared" si="6"/>
        <v>35619</v>
      </c>
      <c r="O96" s="124"/>
      <c r="P96" s="130"/>
    </row>
    <row r="97" spans="1:16" ht="30" customHeight="1" x14ac:dyDescent="0.3">
      <c r="A97" s="131" t="s">
        <v>107</v>
      </c>
      <c r="B97" s="131" t="s">
        <v>829</v>
      </c>
      <c r="C97" s="132" t="s">
        <v>12</v>
      </c>
      <c r="D97" s="148">
        <v>43798</v>
      </c>
      <c r="E97" s="128" t="s">
        <v>5</v>
      </c>
      <c r="F97" s="127">
        <v>0</v>
      </c>
      <c r="G97" s="128" t="s">
        <v>5</v>
      </c>
      <c r="H97" s="127">
        <v>0</v>
      </c>
      <c r="I97" s="128" t="s">
        <v>5</v>
      </c>
      <c r="J97" s="127">
        <v>0</v>
      </c>
      <c r="K97" s="128" t="s">
        <v>5</v>
      </c>
      <c r="L97" s="127">
        <v>0</v>
      </c>
      <c r="M97" s="128" t="s">
        <v>5</v>
      </c>
      <c r="N97" s="135">
        <f t="shared" si="6"/>
        <v>43798</v>
      </c>
      <c r="O97" s="124"/>
      <c r="P97" s="130"/>
    </row>
    <row r="98" spans="1:16" ht="30" customHeight="1" x14ac:dyDescent="0.3">
      <c r="A98" s="131" t="s">
        <v>107</v>
      </c>
      <c r="B98" s="131" t="s">
        <v>830</v>
      </c>
      <c r="C98" s="132" t="s">
        <v>12</v>
      </c>
      <c r="D98" s="148">
        <v>50826</v>
      </c>
      <c r="E98" s="128" t="s">
        <v>5</v>
      </c>
      <c r="F98" s="127">
        <v>0</v>
      </c>
      <c r="G98" s="128" t="s">
        <v>5</v>
      </c>
      <c r="H98" s="127">
        <v>0</v>
      </c>
      <c r="I98" s="128" t="s">
        <v>5</v>
      </c>
      <c r="J98" s="127">
        <v>0</v>
      </c>
      <c r="K98" s="128" t="s">
        <v>5</v>
      </c>
      <c r="L98" s="127">
        <v>0</v>
      </c>
      <c r="M98" s="128" t="s">
        <v>5</v>
      </c>
      <c r="N98" s="135">
        <f t="shared" si="6"/>
        <v>50826</v>
      </c>
      <c r="O98" s="124"/>
      <c r="P98" s="130"/>
    </row>
    <row r="99" spans="1:16" ht="30" customHeight="1" x14ac:dyDescent="0.3">
      <c r="A99" s="131" t="s">
        <v>107</v>
      </c>
      <c r="B99" s="131" t="s">
        <v>831</v>
      </c>
      <c r="C99" s="132" t="s">
        <v>12</v>
      </c>
      <c r="D99" s="148">
        <v>63346</v>
      </c>
      <c r="E99" s="128" t="s">
        <v>5</v>
      </c>
      <c r="F99" s="127">
        <v>0</v>
      </c>
      <c r="G99" s="128" t="s">
        <v>5</v>
      </c>
      <c r="H99" s="127">
        <v>0</v>
      </c>
      <c r="I99" s="128" t="s">
        <v>5</v>
      </c>
      <c r="J99" s="127">
        <v>0</v>
      </c>
      <c r="K99" s="128" t="s">
        <v>5</v>
      </c>
      <c r="L99" s="127">
        <v>0</v>
      </c>
      <c r="M99" s="128" t="s">
        <v>5</v>
      </c>
      <c r="N99" s="135">
        <f t="shared" si="6"/>
        <v>63346</v>
      </c>
      <c r="O99" s="124"/>
      <c r="P99" s="130"/>
    </row>
    <row r="100" spans="1:16" ht="30" customHeight="1" x14ac:dyDescent="0.3">
      <c r="A100" s="131" t="s">
        <v>107</v>
      </c>
      <c r="B100" s="131" t="s">
        <v>832</v>
      </c>
      <c r="C100" s="132" t="s">
        <v>12</v>
      </c>
      <c r="D100" s="148">
        <v>72948</v>
      </c>
      <c r="E100" s="128" t="s">
        <v>5</v>
      </c>
      <c r="F100" s="127">
        <v>0</v>
      </c>
      <c r="G100" s="128" t="s">
        <v>5</v>
      </c>
      <c r="H100" s="127">
        <v>0</v>
      </c>
      <c r="I100" s="128" t="s">
        <v>5</v>
      </c>
      <c r="J100" s="127">
        <v>0</v>
      </c>
      <c r="K100" s="128" t="s">
        <v>5</v>
      </c>
      <c r="L100" s="127">
        <v>0</v>
      </c>
      <c r="M100" s="128" t="s">
        <v>5</v>
      </c>
      <c r="N100" s="135">
        <f t="shared" si="6"/>
        <v>72948</v>
      </c>
      <c r="O100" s="124"/>
      <c r="P100" s="130"/>
    </row>
    <row r="101" spans="1:16" ht="30" customHeight="1" x14ac:dyDescent="0.3">
      <c r="A101" s="131" t="s">
        <v>107</v>
      </c>
      <c r="B101" s="131" t="s">
        <v>833</v>
      </c>
      <c r="C101" s="132" t="s">
        <v>12</v>
      </c>
      <c r="D101" s="148">
        <v>24548</v>
      </c>
      <c r="E101" s="128" t="s">
        <v>5</v>
      </c>
      <c r="F101" s="127">
        <v>0</v>
      </c>
      <c r="G101" s="128" t="s">
        <v>5</v>
      </c>
      <c r="H101" s="127">
        <v>0</v>
      </c>
      <c r="I101" s="128" t="s">
        <v>5</v>
      </c>
      <c r="J101" s="127">
        <v>0</v>
      </c>
      <c r="K101" s="128" t="s">
        <v>5</v>
      </c>
      <c r="L101" s="127">
        <v>0</v>
      </c>
      <c r="M101" s="128" t="s">
        <v>5</v>
      </c>
      <c r="N101" s="135">
        <f t="shared" si="6"/>
        <v>24548</v>
      </c>
      <c r="O101" s="124"/>
      <c r="P101" s="130"/>
    </row>
    <row r="102" spans="1:16" ht="30" customHeight="1" x14ac:dyDescent="0.3">
      <c r="A102" s="131" t="s">
        <v>107</v>
      </c>
      <c r="B102" s="131" t="s">
        <v>834</v>
      </c>
      <c r="C102" s="132" t="s">
        <v>12</v>
      </c>
      <c r="D102" s="148">
        <v>28192</v>
      </c>
      <c r="E102" s="128" t="s">
        <v>5</v>
      </c>
      <c r="F102" s="127">
        <v>0</v>
      </c>
      <c r="G102" s="128" t="s">
        <v>5</v>
      </c>
      <c r="H102" s="127">
        <v>0</v>
      </c>
      <c r="I102" s="128" t="s">
        <v>5</v>
      </c>
      <c r="J102" s="127">
        <v>0</v>
      </c>
      <c r="K102" s="128" t="s">
        <v>5</v>
      </c>
      <c r="L102" s="127">
        <v>0</v>
      </c>
      <c r="M102" s="128" t="s">
        <v>5</v>
      </c>
      <c r="N102" s="135">
        <f t="shared" si="6"/>
        <v>28192</v>
      </c>
      <c r="O102" s="124"/>
      <c r="P102" s="130"/>
    </row>
    <row r="103" spans="1:16" ht="30" customHeight="1" x14ac:dyDescent="0.3">
      <c r="A103" s="131" t="s">
        <v>107</v>
      </c>
      <c r="B103" s="131" t="s">
        <v>835</v>
      </c>
      <c r="C103" s="132" t="s">
        <v>12</v>
      </c>
      <c r="D103" s="148">
        <v>39430</v>
      </c>
      <c r="E103" s="128" t="s">
        <v>5</v>
      </c>
      <c r="F103" s="127">
        <v>0</v>
      </c>
      <c r="G103" s="128" t="s">
        <v>5</v>
      </c>
      <c r="H103" s="127">
        <v>0</v>
      </c>
      <c r="I103" s="128" t="s">
        <v>5</v>
      </c>
      <c r="J103" s="127">
        <v>0</v>
      </c>
      <c r="K103" s="128" t="s">
        <v>5</v>
      </c>
      <c r="L103" s="127">
        <v>0</v>
      </c>
      <c r="M103" s="128" t="s">
        <v>5</v>
      </c>
      <c r="N103" s="135">
        <f t="shared" si="6"/>
        <v>39430</v>
      </c>
      <c r="O103" s="124"/>
      <c r="P103" s="130"/>
    </row>
    <row r="104" spans="1:16" ht="30" customHeight="1" x14ac:dyDescent="0.3">
      <c r="A104" s="131" t="s">
        <v>107</v>
      </c>
      <c r="B104" s="131" t="s">
        <v>836</v>
      </c>
      <c r="C104" s="132" t="s">
        <v>12</v>
      </c>
      <c r="D104" s="148">
        <v>48725</v>
      </c>
      <c r="E104" s="128" t="s">
        <v>5</v>
      </c>
      <c r="F104" s="127">
        <v>0</v>
      </c>
      <c r="G104" s="128" t="s">
        <v>5</v>
      </c>
      <c r="H104" s="127">
        <v>0</v>
      </c>
      <c r="I104" s="128" t="s">
        <v>5</v>
      </c>
      <c r="J104" s="127">
        <v>0</v>
      </c>
      <c r="K104" s="128" t="s">
        <v>5</v>
      </c>
      <c r="L104" s="127">
        <v>0</v>
      </c>
      <c r="M104" s="128" t="s">
        <v>5</v>
      </c>
      <c r="N104" s="135">
        <f t="shared" si="6"/>
        <v>48725</v>
      </c>
      <c r="O104" s="124"/>
      <c r="P104" s="130"/>
    </row>
    <row r="105" spans="1:16" ht="30" customHeight="1" x14ac:dyDescent="0.3">
      <c r="A105" s="131" t="s">
        <v>107</v>
      </c>
      <c r="B105" s="131" t="s">
        <v>837</v>
      </c>
      <c r="C105" s="132" t="s">
        <v>12</v>
      </c>
      <c r="D105" s="148">
        <v>63495</v>
      </c>
      <c r="E105" s="128" t="s">
        <v>5</v>
      </c>
      <c r="F105" s="127">
        <v>0</v>
      </c>
      <c r="G105" s="128" t="s">
        <v>5</v>
      </c>
      <c r="H105" s="127">
        <v>0</v>
      </c>
      <c r="I105" s="128" t="s">
        <v>5</v>
      </c>
      <c r="J105" s="127">
        <v>0</v>
      </c>
      <c r="K105" s="128" t="s">
        <v>5</v>
      </c>
      <c r="L105" s="127">
        <v>0</v>
      </c>
      <c r="M105" s="128" t="s">
        <v>5</v>
      </c>
      <c r="N105" s="135">
        <f t="shared" si="6"/>
        <v>63495</v>
      </c>
      <c r="O105" s="124"/>
      <c r="P105" s="130"/>
    </row>
    <row r="106" spans="1:16" ht="30" customHeight="1" x14ac:dyDescent="0.3">
      <c r="A106" s="131" t="s">
        <v>107</v>
      </c>
      <c r="B106" s="131" t="s">
        <v>838</v>
      </c>
      <c r="C106" s="132" t="s">
        <v>12</v>
      </c>
      <c r="D106" s="148">
        <v>77215</v>
      </c>
      <c r="E106" s="128" t="s">
        <v>5</v>
      </c>
      <c r="F106" s="127">
        <v>0</v>
      </c>
      <c r="G106" s="128" t="s">
        <v>5</v>
      </c>
      <c r="H106" s="127">
        <v>0</v>
      </c>
      <c r="I106" s="128" t="s">
        <v>5</v>
      </c>
      <c r="J106" s="127">
        <v>0</v>
      </c>
      <c r="K106" s="128" t="s">
        <v>5</v>
      </c>
      <c r="L106" s="127">
        <v>0</v>
      </c>
      <c r="M106" s="128" t="s">
        <v>5</v>
      </c>
      <c r="N106" s="135">
        <f t="shared" si="6"/>
        <v>77215</v>
      </c>
      <c r="O106" s="124"/>
      <c r="P106" s="130"/>
    </row>
    <row r="107" spans="1:16" ht="30" customHeight="1" x14ac:dyDescent="0.3">
      <c r="A107" s="131" t="s">
        <v>107</v>
      </c>
      <c r="B107" s="131" t="s">
        <v>839</v>
      </c>
      <c r="C107" s="132" t="s">
        <v>12</v>
      </c>
      <c r="D107" s="148">
        <v>89568</v>
      </c>
      <c r="E107" s="128" t="s">
        <v>5</v>
      </c>
      <c r="F107" s="127">
        <v>0</v>
      </c>
      <c r="G107" s="128" t="s">
        <v>5</v>
      </c>
      <c r="H107" s="127">
        <v>0</v>
      </c>
      <c r="I107" s="128" t="s">
        <v>5</v>
      </c>
      <c r="J107" s="127">
        <v>0</v>
      </c>
      <c r="K107" s="128" t="s">
        <v>5</v>
      </c>
      <c r="L107" s="127">
        <v>0</v>
      </c>
      <c r="M107" s="128" t="s">
        <v>5</v>
      </c>
      <c r="N107" s="135">
        <f t="shared" si="6"/>
        <v>89568</v>
      </c>
      <c r="O107" s="124"/>
      <c r="P107" s="130"/>
    </row>
    <row r="108" spans="1:16" ht="30" customHeight="1" x14ac:dyDescent="0.3">
      <c r="A108" s="131" t="s">
        <v>107</v>
      </c>
      <c r="B108" s="131" t="s">
        <v>840</v>
      </c>
      <c r="C108" s="132" t="s">
        <v>12</v>
      </c>
      <c r="D108" s="148">
        <v>102507</v>
      </c>
      <c r="E108" s="128" t="s">
        <v>5</v>
      </c>
      <c r="F108" s="127">
        <v>0</v>
      </c>
      <c r="G108" s="128" t="s">
        <v>5</v>
      </c>
      <c r="H108" s="127">
        <v>0</v>
      </c>
      <c r="I108" s="128" t="s">
        <v>5</v>
      </c>
      <c r="J108" s="127">
        <v>0</v>
      </c>
      <c r="K108" s="128" t="s">
        <v>5</v>
      </c>
      <c r="L108" s="127">
        <v>0</v>
      </c>
      <c r="M108" s="128" t="s">
        <v>5</v>
      </c>
      <c r="N108" s="135">
        <f t="shared" si="6"/>
        <v>102507</v>
      </c>
      <c r="O108" s="124"/>
      <c r="P108" s="130"/>
    </row>
    <row r="109" spans="1:16" ht="30" customHeight="1" x14ac:dyDescent="0.3">
      <c r="A109" s="131" t="s">
        <v>107</v>
      </c>
      <c r="B109" s="131" t="s">
        <v>841</v>
      </c>
      <c r="C109" s="132" t="s">
        <v>12</v>
      </c>
      <c r="D109" s="148">
        <v>121850</v>
      </c>
      <c r="E109" s="128" t="s">
        <v>5</v>
      </c>
      <c r="F109" s="127">
        <v>0</v>
      </c>
      <c r="G109" s="128" t="s">
        <v>5</v>
      </c>
      <c r="H109" s="127">
        <v>0</v>
      </c>
      <c r="I109" s="128" t="s">
        <v>5</v>
      </c>
      <c r="J109" s="127">
        <v>0</v>
      </c>
      <c r="K109" s="128" t="s">
        <v>5</v>
      </c>
      <c r="L109" s="127">
        <v>0</v>
      </c>
      <c r="M109" s="128" t="s">
        <v>5</v>
      </c>
      <c r="N109" s="135">
        <f t="shared" si="6"/>
        <v>121850</v>
      </c>
      <c r="O109" s="124"/>
      <c r="P109" s="130"/>
    </row>
    <row r="110" spans="1:16" ht="30" customHeight="1" x14ac:dyDescent="0.3">
      <c r="A110" s="131" t="s">
        <v>107</v>
      </c>
      <c r="B110" s="131" t="s">
        <v>842</v>
      </c>
      <c r="C110" s="132" t="s">
        <v>12</v>
      </c>
      <c r="D110" s="148">
        <v>137568</v>
      </c>
      <c r="E110" s="128" t="s">
        <v>5</v>
      </c>
      <c r="F110" s="127">
        <v>0</v>
      </c>
      <c r="G110" s="128" t="s">
        <v>5</v>
      </c>
      <c r="H110" s="127">
        <v>0</v>
      </c>
      <c r="I110" s="128" t="s">
        <v>5</v>
      </c>
      <c r="J110" s="127">
        <v>0</v>
      </c>
      <c r="K110" s="128" t="s">
        <v>5</v>
      </c>
      <c r="L110" s="127">
        <v>0</v>
      </c>
      <c r="M110" s="128" t="s">
        <v>5</v>
      </c>
      <c r="N110" s="135">
        <f t="shared" si="6"/>
        <v>137568</v>
      </c>
      <c r="O110" s="124"/>
      <c r="P110" s="130"/>
    </row>
    <row r="111" spans="1:16" ht="30" customHeight="1" x14ac:dyDescent="0.3">
      <c r="A111" s="131" t="s">
        <v>107</v>
      </c>
      <c r="B111" s="131" t="s">
        <v>843</v>
      </c>
      <c r="C111" s="132" t="s">
        <v>12</v>
      </c>
      <c r="D111" s="148">
        <v>38491</v>
      </c>
      <c r="E111" s="128" t="s">
        <v>5</v>
      </c>
      <c r="F111" s="127">
        <v>0</v>
      </c>
      <c r="G111" s="128" t="s">
        <v>5</v>
      </c>
      <c r="H111" s="127">
        <v>0</v>
      </c>
      <c r="I111" s="128" t="s">
        <v>5</v>
      </c>
      <c r="J111" s="127">
        <v>0</v>
      </c>
      <c r="K111" s="128" t="s">
        <v>5</v>
      </c>
      <c r="L111" s="127">
        <v>0</v>
      </c>
      <c r="M111" s="128" t="s">
        <v>5</v>
      </c>
      <c r="N111" s="135">
        <f t="shared" si="6"/>
        <v>38491</v>
      </c>
      <c r="O111" s="124"/>
      <c r="P111" s="130"/>
    </row>
    <row r="112" spans="1:16" ht="30" customHeight="1" x14ac:dyDescent="0.3">
      <c r="A112" s="131" t="s">
        <v>107</v>
      </c>
      <c r="B112" s="131" t="s">
        <v>844</v>
      </c>
      <c r="C112" s="132" t="s">
        <v>12</v>
      </c>
      <c r="D112" s="148">
        <v>42637</v>
      </c>
      <c r="E112" s="128" t="s">
        <v>5</v>
      </c>
      <c r="F112" s="127">
        <v>0</v>
      </c>
      <c r="G112" s="128" t="s">
        <v>5</v>
      </c>
      <c r="H112" s="127">
        <v>0</v>
      </c>
      <c r="I112" s="128" t="s">
        <v>5</v>
      </c>
      <c r="J112" s="127">
        <v>0</v>
      </c>
      <c r="K112" s="128" t="s">
        <v>5</v>
      </c>
      <c r="L112" s="127">
        <v>0</v>
      </c>
      <c r="M112" s="128" t="s">
        <v>5</v>
      </c>
      <c r="N112" s="135">
        <f t="shared" si="6"/>
        <v>42637</v>
      </c>
      <c r="O112" s="124"/>
      <c r="P112" s="130"/>
    </row>
    <row r="113" spans="1:16" ht="30" customHeight="1" x14ac:dyDescent="0.3">
      <c r="A113" s="131" t="s">
        <v>107</v>
      </c>
      <c r="B113" s="131" t="s">
        <v>845</v>
      </c>
      <c r="C113" s="132" t="s">
        <v>12</v>
      </c>
      <c r="D113" s="148">
        <v>57323</v>
      </c>
      <c r="E113" s="128" t="s">
        <v>5</v>
      </c>
      <c r="F113" s="127">
        <v>0</v>
      </c>
      <c r="G113" s="128" t="s">
        <v>5</v>
      </c>
      <c r="H113" s="127">
        <v>0</v>
      </c>
      <c r="I113" s="128" t="s">
        <v>5</v>
      </c>
      <c r="J113" s="127">
        <v>0</v>
      </c>
      <c r="K113" s="128" t="s">
        <v>5</v>
      </c>
      <c r="L113" s="127">
        <v>0</v>
      </c>
      <c r="M113" s="128" t="s">
        <v>5</v>
      </c>
      <c r="N113" s="135">
        <f t="shared" si="6"/>
        <v>57323</v>
      </c>
      <c r="O113" s="124"/>
      <c r="P113" s="130"/>
    </row>
    <row r="114" spans="1:16" ht="30" customHeight="1" x14ac:dyDescent="0.3">
      <c r="A114" s="131" t="s">
        <v>107</v>
      </c>
      <c r="B114" s="131" t="s">
        <v>846</v>
      </c>
      <c r="C114" s="132" t="s">
        <v>12</v>
      </c>
      <c r="D114" s="148">
        <v>68245</v>
      </c>
      <c r="E114" s="128" t="s">
        <v>5</v>
      </c>
      <c r="F114" s="127">
        <v>0</v>
      </c>
      <c r="G114" s="128" t="s">
        <v>5</v>
      </c>
      <c r="H114" s="127">
        <v>0</v>
      </c>
      <c r="I114" s="128" t="s">
        <v>5</v>
      </c>
      <c r="J114" s="127">
        <v>0</v>
      </c>
      <c r="K114" s="128" t="s">
        <v>5</v>
      </c>
      <c r="L114" s="127">
        <v>0</v>
      </c>
      <c r="M114" s="128" t="s">
        <v>5</v>
      </c>
      <c r="N114" s="135">
        <f t="shared" si="6"/>
        <v>68245</v>
      </c>
      <c r="O114" s="124"/>
      <c r="P114" s="130"/>
    </row>
    <row r="115" spans="1:16" ht="30" customHeight="1" x14ac:dyDescent="0.3">
      <c r="A115" s="131" t="s">
        <v>107</v>
      </c>
      <c r="B115" s="131" t="s">
        <v>847</v>
      </c>
      <c r="C115" s="132" t="s">
        <v>12</v>
      </c>
      <c r="D115" s="148">
        <v>84577</v>
      </c>
      <c r="E115" s="128" t="s">
        <v>5</v>
      </c>
      <c r="F115" s="127">
        <v>0</v>
      </c>
      <c r="G115" s="128" t="s">
        <v>5</v>
      </c>
      <c r="H115" s="127">
        <v>0</v>
      </c>
      <c r="I115" s="128" t="s">
        <v>5</v>
      </c>
      <c r="J115" s="127">
        <v>0</v>
      </c>
      <c r="K115" s="128" t="s">
        <v>5</v>
      </c>
      <c r="L115" s="127">
        <v>0</v>
      </c>
      <c r="M115" s="128" t="s">
        <v>5</v>
      </c>
      <c r="N115" s="135">
        <f t="shared" si="6"/>
        <v>84577</v>
      </c>
      <c r="O115" s="124"/>
      <c r="P115" s="130"/>
    </row>
    <row r="116" spans="1:16" ht="30" customHeight="1" x14ac:dyDescent="0.3">
      <c r="A116" s="131" t="s">
        <v>107</v>
      </c>
      <c r="B116" s="131" t="s">
        <v>848</v>
      </c>
      <c r="C116" s="132" t="s">
        <v>12</v>
      </c>
      <c r="D116" s="148">
        <v>100100</v>
      </c>
      <c r="E116" s="128" t="s">
        <v>5</v>
      </c>
      <c r="F116" s="127">
        <v>0</v>
      </c>
      <c r="G116" s="128" t="s">
        <v>5</v>
      </c>
      <c r="H116" s="127">
        <v>0</v>
      </c>
      <c r="I116" s="128" t="s">
        <v>5</v>
      </c>
      <c r="J116" s="127">
        <v>0</v>
      </c>
      <c r="K116" s="128" t="s">
        <v>5</v>
      </c>
      <c r="L116" s="127">
        <v>0</v>
      </c>
      <c r="M116" s="128" t="s">
        <v>5</v>
      </c>
      <c r="N116" s="135">
        <f t="shared" si="6"/>
        <v>100100</v>
      </c>
      <c r="O116" s="124"/>
      <c r="P116" s="130"/>
    </row>
    <row r="117" spans="1:16" ht="30" customHeight="1" x14ac:dyDescent="0.3">
      <c r="A117" s="131" t="s">
        <v>107</v>
      </c>
      <c r="B117" s="131" t="s">
        <v>849</v>
      </c>
      <c r="C117" s="132" t="s">
        <v>12</v>
      </c>
      <c r="D117" s="148">
        <v>115130</v>
      </c>
      <c r="E117" s="128" t="s">
        <v>5</v>
      </c>
      <c r="F117" s="127">
        <v>0</v>
      </c>
      <c r="G117" s="128" t="s">
        <v>5</v>
      </c>
      <c r="H117" s="127">
        <v>0</v>
      </c>
      <c r="I117" s="128" t="s">
        <v>5</v>
      </c>
      <c r="J117" s="127">
        <v>0</v>
      </c>
      <c r="K117" s="128" t="s">
        <v>5</v>
      </c>
      <c r="L117" s="127">
        <v>0</v>
      </c>
      <c r="M117" s="128" t="s">
        <v>5</v>
      </c>
      <c r="N117" s="135">
        <f t="shared" si="6"/>
        <v>115130</v>
      </c>
      <c r="O117" s="124"/>
      <c r="P117" s="130"/>
    </row>
    <row r="118" spans="1:16" ht="30" customHeight="1" x14ac:dyDescent="0.3">
      <c r="A118" s="131" t="s">
        <v>107</v>
      </c>
      <c r="B118" s="131" t="s">
        <v>850</v>
      </c>
      <c r="C118" s="132" t="s">
        <v>12</v>
      </c>
      <c r="D118" s="148">
        <v>131359</v>
      </c>
      <c r="E118" s="128" t="s">
        <v>5</v>
      </c>
      <c r="F118" s="127">
        <v>0</v>
      </c>
      <c r="G118" s="128" t="s">
        <v>5</v>
      </c>
      <c r="H118" s="127">
        <v>0</v>
      </c>
      <c r="I118" s="128" t="s">
        <v>5</v>
      </c>
      <c r="J118" s="127">
        <v>0</v>
      </c>
      <c r="K118" s="128" t="s">
        <v>5</v>
      </c>
      <c r="L118" s="127">
        <v>0</v>
      </c>
      <c r="M118" s="128" t="s">
        <v>5</v>
      </c>
      <c r="N118" s="135">
        <f t="shared" si="6"/>
        <v>131359</v>
      </c>
      <c r="O118" s="124"/>
      <c r="P118" s="130"/>
    </row>
    <row r="119" spans="1:16" ht="30" customHeight="1" x14ac:dyDescent="0.3">
      <c r="A119" s="131" t="s">
        <v>107</v>
      </c>
      <c r="B119" s="131" t="s">
        <v>851</v>
      </c>
      <c r="C119" s="132" t="s">
        <v>12</v>
      </c>
      <c r="D119" s="148">
        <v>156791</v>
      </c>
      <c r="E119" s="128" t="s">
        <v>5</v>
      </c>
      <c r="F119" s="127">
        <v>0</v>
      </c>
      <c r="G119" s="128" t="s">
        <v>5</v>
      </c>
      <c r="H119" s="127">
        <v>0</v>
      </c>
      <c r="I119" s="128" t="s">
        <v>5</v>
      </c>
      <c r="J119" s="127">
        <v>0</v>
      </c>
      <c r="K119" s="128" t="s">
        <v>5</v>
      </c>
      <c r="L119" s="127">
        <v>0</v>
      </c>
      <c r="M119" s="128" t="s">
        <v>5</v>
      </c>
      <c r="N119" s="135">
        <f t="shared" si="6"/>
        <v>156791</v>
      </c>
      <c r="O119" s="124"/>
      <c r="P119" s="130"/>
    </row>
    <row r="120" spans="1:16" ht="30" customHeight="1" x14ac:dyDescent="0.3">
      <c r="A120" s="131" t="s">
        <v>107</v>
      </c>
      <c r="B120" s="131" t="s">
        <v>852</v>
      </c>
      <c r="C120" s="132" t="s">
        <v>12</v>
      </c>
      <c r="D120" s="148">
        <v>171617</v>
      </c>
      <c r="E120" s="128" t="s">
        <v>5</v>
      </c>
      <c r="F120" s="127">
        <v>0</v>
      </c>
      <c r="G120" s="128" t="s">
        <v>5</v>
      </c>
      <c r="H120" s="127">
        <v>0</v>
      </c>
      <c r="I120" s="128" t="s">
        <v>5</v>
      </c>
      <c r="J120" s="127">
        <v>0</v>
      </c>
      <c r="K120" s="128" t="s">
        <v>5</v>
      </c>
      <c r="L120" s="127">
        <v>0</v>
      </c>
      <c r="M120" s="128" t="s">
        <v>5</v>
      </c>
      <c r="N120" s="135">
        <f t="shared" si="6"/>
        <v>171617</v>
      </c>
      <c r="O120" s="124"/>
      <c r="P120" s="130"/>
    </row>
    <row r="121" spans="1:16" ht="30" customHeight="1" x14ac:dyDescent="0.3">
      <c r="A121" s="131" t="s">
        <v>107</v>
      </c>
      <c r="B121" s="131" t="s">
        <v>148</v>
      </c>
      <c r="C121" s="132" t="s">
        <v>12</v>
      </c>
      <c r="D121" s="148">
        <v>4647</v>
      </c>
      <c r="E121" s="128" t="s">
        <v>5</v>
      </c>
      <c r="F121" s="127">
        <v>0</v>
      </c>
      <c r="G121" s="128" t="s">
        <v>5</v>
      </c>
      <c r="H121" s="127">
        <v>0</v>
      </c>
      <c r="I121" s="128" t="s">
        <v>5</v>
      </c>
      <c r="J121" s="127">
        <v>0</v>
      </c>
      <c r="K121" s="128" t="s">
        <v>5</v>
      </c>
      <c r="L121" s="127">
        <v>0</v>
      </c>
      <c r="M121" s="128" t="s">
        <v>5</v>
      </c>
      <c r="N121" s="135">
        <f t="shared" si="6"/>
        <v>4647</v>
      </c>
      <c r="O121" s="124"/>
      <c r="P121" s="130"/>
    </row>
    <row r="122" spans="1:16" ht="30" customHeight="1" x14ac:dyDescent="0.3">
      <c r="A122" s="131" t="s">
        <v>107</v>
      </c>
      <c r="B122" s="131" t="s">
        <v>149</v>
      </c>
      <c r="C122" s="132" t="s">
        <v>12</v>
      </c>
      <c r="D122" s="148">
        <v>5112</v>
      </c>
      <c r="E122" s="128" t="s">
        <v>5</v>
      </c>
      <c r="F122" s="127">
        <v>0</v>
      </c>
      <c r="G122" s="128" t="s">
        <v>5</v>
      </c>
      <c r="H122" s="127">
        <v>0</v>
      </c>
      <c r="I122" s="128" t="s">
        <v>5</v>
      </c>
      <c r="J122" s="127">
        <v>0</v>
      </c>
      <c r="K122" s="128" t="s">
        <v>5</v>
      </c>
      <c r="L122" s="127">
        <v>0</v>
      </c>
      <c r="M122" s="128" t="s">
        <v>5</v>
      </c>
      <c r="N122" s="135">
        <f t="shared" si="6"/>
        <v>5112</v>
      </c>
      <c r="O122" s="124"/>
      <c r="P122" s="130"/>
    </row>
    <row r="123" spans="1:16" ht="30" customHeight="1" x14ac:dyDescent="0.3">
      <c r="A123" s="131" t="s">
        <v>107</v>
      </c>
      <c r="B123" s="131" t="s">
        <v>150</v>
      </c>
      <c r="C123" s="132" t="s">
        <v>12</v>
      </c>
      <c r="D123" s="148">
        <v>5577</v>
      </c>
      <c r="E123" s="128" t="s">
        <v>5</v>
      </c>
      <c r="F123" s="127">
        <v>0</v>
      </c>
      <c r="G123" s="128" t="s">
        <v>5</v>
      </c>
      <c r="H123" s="127">
        <v>0</v>
      </c>
      <c r="I123" s="128" t="s">
        <v>5</v>
      </c>
      <c r="J123" s="127">
        <v>0</v>
      </c>
      <c r="K123" s="128" t="s">
        <v>5</v>
      </c>
      <c r="L123" s="127">
        <v>0</v>
      </c>
      <c r="M123" s="128" t="s">
        <v>5</v>
      </c>
      <c r="N123" s="135">
        <f t="shared" si="6"/>
        <v>5577</v>
      </c>
      <c r="O123" s="124"/>
      <c r="P123" s="130"/>
    </row>
    <row r="124" spans="1:16" ht="30" customHeight="1" x14ac:dyDescent="0.3">
      <c r="A124" s="131" t="s">
        <v>107</v>
      </c>
      <c r="B124" s="131" t="s">
        <v>151</v>
      </c>
      <c r="C124" s="132" t="s">
        <v>12</v>
      </c>
      <c r="D124" s="148">
        <v>6041</v>
      </c>
      <c r="E124" s="128" t="s">
        <v>5</v>
      </c>
      <c r="F124" s="127">
        <v>0</v>
      </c>
      <c r="G124" s="128" t="s">
        <v>5</v>
      </c>
      <c r="H124" s="127">
        <v>0</v>
      </c>
      <c r="I124" s="128" t="s">
        <v>5</v>
      </c>
      <c r="J124" s="127">
        <v>0</v>
      </c>
      <c r="K124" s="128" t="s">
        <v>5</v>
      </c>
      <c r="L124" s="127">
        <v>0</v>
      </c>
      <c r="M124" s="128" t="s">
        <v>5</v>
      </c>
      <c r="N124" s="135">
        <f t="shared" si="6"/>
        <v>6041</v>
      </c>
      <c r="O124" s="124"/>
      <c r="P124" s="130"/>
    </row>
    <row r="125" spans="1:16" ht="30" customHeight="1" x14ac:dyDescent="0.3">
      <c r="A125" s="131" t="s">
        <v>107</v>
      </c>
      <c r="B125" s="131" t="s">
        <v>152</v>
      </c>
      <c r="C125" s="132" t="s">
        <v>12</v>
      </c>
      <c r="D125" s="148">
        <v>6971</v>
      </c>
      <c r="E125" s="128" t="s">
        <v>5</v>
      </c>
      <c r="F125" s="127">
        <v>0</v>
      </c>
      <c r="G125" s="128" t="s">
        <v>5</v>
      </c>
      <c r="H125" s="127">
        <v>0</v>
      </c>
      <c r="I125" s="128" t="s">
        <v>5</v>
      </c>
      <c r="J125" s="127">
        <v>0</v>
      </c>
      <c r="K125" s="128" t="s">
        <v>5</v>
      </c>
      <c r="L125" s="127">
        <v>0</v>
      </c>
      <c r="M125" s="128" t="s">
        <v>5</v>
      </c>
      <c r="N125" s="135">
        <f t="shared" si="6"/>
        <v>6971</v>
      </c>
      <c r="O125" s="124"/>
      <c r="P125" s="130"/>
    </row>
    <row r="126" spans="1:16" ht="30" customHeight="1" x14ac:dyDescent="0.3">
      <c r="A126" s="131" t="s">
        <v>107</v>
      </c>
      <c r="B126" s="131" t="s">
        <v>153</v>
      </c>
      <c r="C126" s="132" t="s">
        <v>12</v>
      </c>
      <c r="D126" s="148">
        <v>7436</v>
      </c>
      <c r="E126" s="128" t="s">
        <v>5</v>
      </c>
      <c r="F126" s="127">
        <v>0</v>
      </c>
      <c r="G126" s="128" t="s">
        <v>5</v>
      </c>
      <c r="H126" s="127">
        <v>0</v>
      </c>
      <c r="I126" s="128" t="s">
        <v>5</v>
      </c>
      <c r="J126" s="127">
        <v>0</v>
      </c>
      <c r="K126" s="128" t="s">
        <v>5</v>
      </c>
      <c r="L126" s="127">
        <v>0</v>
      </c>
      <c r="M126" s="128" t="s">
        <v>5</v>
      </c>
      <c r="N126" s="135">
        <f t="shared" si="6"/>
        <v>7436</v>
      </c>
      <c r="O126" s="124"/>
      <c r="P126" s="130"/>
    </row>
    <row r="127" spans="1:16" ht="30" customHeight="1" x14ac:dyDescent="0.3">
      <c r="A127" s="131" t="s">
        <v>107</v>
      </c>
      <c r="B127" s="131" t="s">
        <v>154</v>
      </c>
      <c r="C127" s="132" t="s">
        <v>12</v>
      </c>
      <c r="D127" s="148">
        <v>7900</v>
      </c>
      <c r="E127" s="128" t="s">
        <v>5</v>
      </c>
      <c r="F127" s="127">
        <v>0</v>
      </c>
      <c r="G127" s="128" t="s">
        <v>5</v>
      </c>
      <c r="H127" s="127">
        <v>0</v>
      </c>
      <c r="I127" s="128" t="s">
        <v>5</v>
      </c>
      <c r="J127" s="127">
        <v>0</v>
      </c>
      <c r="K127" s="128" t="s">
        <v>5</v>
      </c>
      <c r="L127" s="127">
        <v>0</v>
      </c>
      <c r="M127" s="128" t="s">
        <v>5</v>
      </c>
      <c r="N127" s="135">
        <f t="shared" si="6"/>
        <v>7900</v>
      </c>
      <c r="O127" s="124"/>
      <c r="P127" s="130"/>
    </row>
    <row r="128" spans="1:16" ht="30" customHeight="1" x14ac:dyDescent="0.3">
      <c r="A128" s="131" t="s">
        <v>107</v>
      </c>
      <c r="B128" s="131" t="s">
        <v>155</v>
      </c>
      <c r="C128" s="132" t="s">
        <v>12</v>
      </c>
      <c r="D128" s="148">
        <v>8365</v>
      </c>
      <c r="E128" s="128" t="s">
        <v>5</v>
      </c>
      <c r="F128" s="127">
        <v>0</v>
      </c>
      <c r="G128" s="128" t="s">
        <v>5</v>
      </c>
      <c r="H128" s="127">
        <v>0</v>
      </c>
      <c r="I128" s="128" t="s">
        <v>5</v>
      </c>
      <c r="J128" s="127">
        <v>0</v>
      </c>
      <c r="K128" s="128" t="s">
        <v>5</v>
      </c>
      <c r="L128" s="127">
        <v>0</v>
      </c>
      <c r="M128" s="128" t="s">
        <v>5</v>
      </c>
      <c r="N128" s="135">
        <f t="shared" si="6"/>
        <v>8365</v>
      </c>
      <c r="O128" s="124"/>
      <c r="P128" s="130"/>
    </row>
    <row r="129" spans="1:16" ht="30" customHeight="1" x14ac:dyDescent="0.3">
      <c r="A129" s="131" t="s">
        <v>107</v>
      </c>
      <c r="B129" s="131" t="s">
        <v>156</v>
      </c>
      <c r="C129" s="132" t="s">
        <v>12</v>
      </c>
      <c r="D129" s="148">
        <v>8830</v>
      </c>
      <c r="E129" s="128" t="s">
        <v>5</v>
      </c>
      <c r="F129" s="127">
        <v>0</v>
      </c>
      <c r="G129" s="128" t="s">
        <v>5</v>
      </c>
      <c r="H129" s="127">
        <v>0</v>
      </c>
      <c r="I129" s="128" t="s">
        <v>5</v>
      </c>
      <c r="J129" s="127">
        <v>0</v>
      </c>
      <c r="K129" s="128" t="s">
        <v>5</v>
      </c>
      <c r="L129" s="127">
        <v>0</v>
      </c>
      <c r="M129" s="128" t="s">
        <v>5</v>
      </c>
      <c r="N129" s="135">
        <f t="shared" si="6"/>
        <v>8830</v>
      </c>
      <c r="O129" s="124"/>
      <c r="P129" s="130"/>
    </row>
    <row r="130" spans="1:16" ht="30" customHeight="1" x14ac:dyDescent="0.3">
      <c r="A130" s="131" t="s">
        <v>107</v>
      </c>
      <c r="B130" s="131" t="s">
        <v>157</v>
      </c>
      <c r="C130" s="132" t="s">
        <v>12</v>
      </c>
      <c r="D130" s="148">
        <v>18590</v>
      </c>
      <c r="E130" s="128" t="s">
        <v>5</v>
      </c>
      <c r="F130" s="127">
        <v>0</v>
      </c>
      <c r="G130" s="128" t="s">
        <v>5</v>
      </c>
      <c r="H130" s="127">
        <v>0</v>
      </c>
      <c r="I130" s="128" t="s">
        <v>5</v>
      </c>
      <c r="J130" s="127">
        <v>0</v>
      </c>
      <c r="K130" s="128" t="s">
        <v>5</v>
      </c>
      <c r="L130" s="127">
        <v>0</v>
      </c>
      <c r="M130" s="128" t="s">
        <v>5</v>
      </c>
      <c r="N130" s="135">
        <f t="shared" si="6"/>
        <v>18590</v>
      </c>
      <c r="O130" s="124"/>
      <c r="P130" s="130"/>
    </row>
    <row r="131" spans="1:16" ht="30" customHeight="1" x14ac:dyDescent="0.3">
      <c r="A131" s="121" t="s">
        <v>158</v>
      </c>
      <c r="B131" s="121" t="s">
        <v>2405</v>
      </c>
      <c r="C131" s="122" t="s">
        <v>14</v>
      </c>
      <c r="D131" s="134">
        <v>9450</v>
      </c>
      <c r="E131" s="124" t="s">
        <v>5</v>
      </c>
      <c r="F131" s="127">
        <v>0</v>
      </c>
      <c r="G131" s="124"/>
      <c r="H131" s="127">
        <v>21920</v>
      </c>
      <c r="I131" s="124" t="s">
        <v>2486</v>
      </c>
      <c r="J131" s="127">
        <v>17850</v>
      </c>
      <c r="K131" s="124" t="s">
        <v>2404</v>
      </c>
      <c r="L131" s="127">
        <v>21920</v>
      </c>
      <c r="M131" s="124" t="s">
        <v>2449</v>
      </c>
      <c r="N131" s="144">
        <f t="shared" ref="N131:N189" si="7">SMALL(D131:L131,COUNTIF(D131:L131,0)+1)</f>
        <v>9450</v>
      </c>
      <c r="O131" s="124"/>
      <c r="P131" s="130"/>
    </row>
    <row r="132" spans="1:16" ht="30" customHeight="1" x14ac:dyDescent="0.3">
      <c r="A132" s="121" t="s">
        <v>158</v>
      </c>
      <c r="B132" s="121" t="s">
        <v>2406</v>
      </c>
      <c r="C132" s="122" t="s">
        <v>14</v>
      </c>
      <c r="D132" s="134">
        <v>11450</v>
      </c>
      <c r="E132" s="124" t="s">
        <v>5</v>
      </c>
      <c r="F132" s="127">
        <v>0</v>
      </c>
      <c r="G132" s="124"/>
      <c r="H132" s="127">
        <v>22820</v>
      </c>
      <c r="I132" s="124" t="s">
        <v>2486</v>
      </c>
      <c r="J132" s="127">
        <v>22550</v>
      </c>
      <c r="K132" s="124" t="s">
        <v>2404</v>
      </c>
      <c r="L132" s="127">
        <v>22820</v>
      </c>
      <c r="M132" s="124" t="s">
        <v>2449</v>
      </c>
      <c r="N132" s="144">
        <f t="shared" si="7"/>
        <v>11450</v>
      </c>
      <c r="O132" s="124"/>
      <c r="P132" s="130"/>
    </row>
    <row r="133" spans="1:16" ht="30" customHeight="1" x14ac:dyDescent="0.3">
      <c r="A133" s="121" t="s">
        <v>158</v>
      </c>
      <c r="B133" s="121" t="s">
        <v>2407</v>
      </c>
      <c r="C133" s="122" t="s">
        <v>14</v>
      </c>
      <c r="D133" s="134">
        <v>12650</v>
      </c>
      <c r="E133" s="124" t="s">
        <v>5</v>
      </c>
      <c r="F133" s="127">
        <v>0</v>
      </c>
      <c r="G133" s="124"/>
      <c r="H133" s="127">
        <v>25030</v>
      </c>
      <c r="I133" s="124" t="s">
        <v>2486</v>
      </c>
      <c r="J133" s="127">
        <v>24580</v>
      </c>
      <c r="K133" s="124" t="s">
        <v>2404</v>
      </c>
      <c r="L133" s="127">
        <v>25030</v>
      </c>
      <c r="M133" s="124" t="s">
        <v>2449</v>
      </c>
      <c r="N133" s="144">
        <f t="shared" si="7"/>
        <v>12650</v>
      </c>
      <c r="O133" s="124"/>
      <c r="P133" s="130"/>
    </row>
    <row r="134" spans="1:16" ht="30" customHeight="1" x14ac:dyDescent="0.3">
      <c r="A134" s="121" t="s">
        <v>158</v>
      </c>
      <c r="B134" s="121" t="s">
        <v>2408</v>
      </c>
      <c r="C134" s="122" t="s">
        <v>14</v>
      </c>
      <c r="D134" s="123">
        <v>0</v>
      </c>
      <c r="E134" s="124" t="s">
        <v>5</v>
      </c>
      <c r="F134" s="127">
        <v>0</v>
      </c>
      <c r="G134" s="124"/>
      <c r="H134" s="127">
        <v>27050</v>
      </c>
      <c r="I134" s="124" t="s">
        <v>2486</v>
      </c>
      <c r="J134" s="127">
        <v>26460</v>
      </c>
      <c r="K134" s="124" t="s">
        <v>2404</v>
      </c>
      <c r="L134" s="127">
        <v>27050</v>
      </c>
      <c r="M134" s="124" t="s">
        <v>2449</v>
      </c>
      <c r="N134" s="144">
        <f t="shared" si="7"/>
        <v>26460</v>
      </c>
      <c r="O134" s="124"/>
      <c r="P134" s="130"/>
    </row>
    <row r="135" spans="1:16" ht="30" customHeight="1" x14ac:dyDescent="0.3">
      <c r="A135" s="121" t="s">
        <v>158</v>
      </c>
      <c r="B135" s="121" t="s">
        <v>2099</v>
      </c>
      <c r="C135" s="122" t="s">
        <v>14</v>
      </c>
      <c r="D135" s="123">
        <v>0</v>
      </c>
      <c r="E135" s="124" t="s">
        <v>5</v>
      </c>
      <c r="F135" s="127">
        <v>0</v>
      </c>
      <c r="G135" s="124"/>
      <c r="H135" s="127">
        <v>28470</v>
      </c>
      <c r="I135" s="124" t="s">
        <v>2486</v>
      </c>
      <c r="J135" s="127">
        <v>27830</v>
      </c>
      <c r="K135" s="124" t="s">
        <v>2404</v>
      </c>
      <c r="L135" s="127">
        <v>28470</v>
      </c>
      <c r="M135" s="124" t="s">
        <v>2449</v>
      </c>
      <c r="N135" s="144">
        <f t="shared" si="7"/>
        <v>27830</v>
      </c>
      <c r="O135" s="124"/>
      <c r="P135" s="130"/>
    </row>
    <row r="136" spans="1:16" ht="30" customHeight="1" x14ac:dyDescent="0.3">
      <c r="A136" s="121" t="s">
        <v>158</v>
      </c>
      <c r="B136" s="121" t="s">
        <v>2100</v>
      </c>
      <c r="C136" s="122" t="s">
        <v>14</v>
      </c>
      <c r="D136" s="123">
        <v>0</v>
      </c>
      <c r="E136" s="124" t="s">
        <v>5</v>
      </c>
      <c r="F136" s="127">
        <v>0</v>
      </c>
      <c r="G136" s="124"/>
      <c r="H136" s="127">
        <v>30750</v>
      </c>
      <c r="I136" s="124" t="s">
        <v>2486</v>
      </c>
      <c r="J136" s="127">
        <v>29970</v>
      </c>
      <c r="K136" s="124" t="s">
        <v>2404</v>
      </c>
      <c r="L136" s="127">
        <v>30750</v>
      </c>
      <c r="M136" s="124" t="s">
        <v>2449</v>
      </c>
      <c r="N136" s="144">
        <f t="shared" si="7"/>
        <v>29970</v>
      </c>
      <c r="O136" s="124"/>
      <c r="P136" s="130"/>
    </row>
    <row r="137" spans="1:16" ht="30" customHeight="1" x14ac:dyDescent="0.3">
      <c r="A137" s="121" t="s">
        <v>158</v>
      </c>
      <c r="B137" s="121" t="s">
        <v>2101</v>
      </c>
      <c r="C137" s="122" t="s">
        <v>14</v>
      </c>
      <c r="D137" s="123">
        <v>0</v>
      </c>
      <c r="E137" s="124" t="s">
        <v>5</v>
      </c>
      <c r="F137" s="127">
        <v>0</v>
      </c>
      <c r="G137" s="124"/>
      <c r="H137" s="127">
        <v>32850</v>
      </c>
      <c r="I137" s="124" t="s">
        <v>2486</v>
      </c>
      <c r="J137" s="127">
        <v>32750</v>
      </c>
      <c r="K137" s="124" t="s">
        <v>2404</v>
      </c>
      <c r="L137" s="127">
        <v>32850</v>
      </c>
      <c r="M137" s="124" t="s">
        <v>2449</v>
      </c>
      <c r="N137" s="144">
        <f t="shared" si="7"/>
        <v>32750</v>
      </c>
      <c r="O137" s="124"/>
      <c r="P137" s="130"/>
    </row>
    <row r="138" spans="1:16" ht="30" customHeight="1" x14ac:dyDescent="0.3">
      <c r="A138" s="121" t="s">
        <v>158</v>
      </c>
      <c r="B138" s="121" t="s">
        <v>2102</v>
      </c>
      <c r="C138" s="122" t="s">
        <v>14</v>
      </c>
      <c r="D138" s="123">
        <v>0</v>
      </c>
      <c r="E138" s="124" t="s">
        <v>5</v>
      </c>
      <c r="F138" s="127">
        <v>0</v>
      </c>
      <c r="G138" s="124"/>
      <c r="H138" s="127">
        <v>35050</v>
      </c>
      <c r="I138" s="124" t="s">
        <v>2486</v>
      </c>
      <c r="J138" s="127">
        <v>35280</v>
      </c>
      <c r="K138" s="124" t="s">
        <v>2404</v>
      </c>
      <c r="L138" s="127">
        <v>35050</v>
      </c>
      <c r="M138" s="124" t="s">
        <v>2449</v>
      </c>
      <c r="N138" s="144">
        <f t="shared" si="7"/>
        <v>35050</v>
      </c>
      <c r="O138" s="124"/>
      <c r="P138" s="130"/>
    </row>
    <row r="139" spans="1:16" ht="30" customHeight="1" x14ac:dyDescent="0.3">
      <c r="A139" s="121" t="s">
        <v>158</v>
      </c>
      <c r="B139" s="121" t="s">
        <v>2103</v>
      </c>
      <c r="C139" s="122" t="s">
        <v>14</v>
      </c>
      <c r="D139" s="123">
        <v>0</v>
      </c>
      <c r="E139" s="124" t="s">
        <v>5</v>
      </c>
      <c r="F139" s="127">
        <v>0</v>
      </c>
      <c r="G139" s="124"/>
      <c r="H139" s="127">
        <v>37020</v>
      </c>
      <c r="I139" s="124" t="s">
        <v>2486</v>
      </c>
      <c r="J139" s="127">
        <v>36750</v>
      </c>
      <c r="K139" s="124" t="s">
        <v>2404</v>
      </c>
      <c r="L139" s="127">
        <v>37020</v>
      </c>
      <c r="M139" s="124" t="s">
        <v>2449</v>
      </c>
      <c r="N139" s="144">
        <f t="shared" si="7"/>
        <v>36750</v>
      </c>
      <c r="O139" s="124"/>
      <c r="P139" s="130"/>
    </row>
    <row r="140" spans="1:16" ht="30" customHeight="1" x14ac:dyDescent="0.3">
      <c r="A140" s="121" t="s">
        <v>158</v>
      </c>
      <c r="B140" s="121" t="s">
        <v>2104</v>
      </c>
      <c r="C140" s="122" t="s">
        <v>14</v>
      </c>
      <c r="D140" s="123">
        <v>0</v>
      </c>
      <c r="E140" s="124" t="s">
        <v>5</v>
      </c>
      <c r="F140" s="127">
        <v>0</v>
      </c>
      <c r="G140" s="124"/>
      <c r="H140" s="127">
        <v>38920</v>
      </c>
      <c r="I140" s="124" t="s">
        <v>2486</v>
      </c>
      <c r="J140" s="127">
        <v>38810</v>
      </c>
      <c r="K140" s="124" t="s">
        <v>2404</v>
      </c>
      <c r="L140" s="127">
        <v>38920</v>
      </c>
      <c r="M140" s="124" t="s">
        <v>2449</v>
      </c>
      <c r="N140" s="144">
        <f t="shared" si="7"/>
        <v>38810</v>
      </c>
      <c r="O140" s="124"/>
      <c r="P140" s="130"/>
    </row>
    <row r="141" spans="1:16" ht="30" customHeight="1" x14ac:dyDescent="0.3">
      <c r="A141" s="121" t="s">
        <v>2105</v>
      </c>
      <c r="B141" s="121" t="s">
        <v>159</v>
      </c>
      <c r="C141" s="122" t="s">
        <v>14</v>
      </c>
      <c r="D141" s="134">
        <v>18061</v>
      </c>
      <c r="E141" s="124" t="s">
        <v>5</v>
      </c>
      <c r="F141" s="127">
        <v>0</v>
      </c>
      <c r="G141" s="124"/>
      <c r="H141" s="127">
        <v>18620</v>
      </c>
      <c r="I141" s="124" t="s">
        <v>2486</v>
      </c>
      <c r="J141" s="126">
        <v>14560</v>
      </c>
      <c r="K141" s="124" t="s">
        <v>2404</v>
      </c>
      <c r="L141" s="127">
        <v>18620</v>
      </c>
      <c r="M141" s="124" t="s">
        <v>2449</v>
      </c>
      <c r="N141" s="144">
        <f t="shared" si="7"/>
        <v>14560</v>
      </c>
      <c r="O141" s="124"/>
      <c r="P141" s="130"/>
    </row>
    <row r="142" spans="1:16" ht="30" customHeight="1" x14ac:dyDescent="0.3">
      <c r="A142" s="121" t="s">
        <v>2105</v>
      </c>
      <c r="B142" s="121" t="s">
        <v>160</v>
      </c>
      <c r="C142" s="122" t="s">
        <v>14</v>
      </c>
      <c r="D142" s="134">
        <v>19160</v>
      </c>
      <c r="E142" s="124" t="s">
        <v>5</v>
      </c>
      <c r="F142" s="127">
        <v>0</v>
      </c>
      <c r="G142" s="124"/>
      <c r="H142" s="127">
        <v>23520</v>
      </c>
      <c r="I142" s="124" t="s">
        <v>2486</v>
      </c>
      <c r="J142" s="126">
        <v>24050</v>
      </c>
      <c r="K142" s="124" t="s">
        <v>2404</v>
      </c>
      <c r="L142" s="127">
        <v>23520</v>
      </c>
      <c r="M142" s="124" t="s">
        <v>2449</v>
      </c>
      <c r="N142" s="144">
        <f t="shared" si="7"/>
        <v>19160</v>
      </c>
      <c r="O142" s="124"/>
      <c r="P142" s="130"/>
    </row>
    <row r="143" spans="1:16" ht="30" customHeight="1" x14ac:dyDescent="0.3">
      <c r="A143" s="121" t="s">
        <v>2105</v>
      </c>
      <c r="B143" s="121" t="s">
        <v>161</v>
      </c>
      <c r="C143" s="122" t="s">
        <v>14</v>
      </c>
      <c r="D143" s="123">
        <v>0</v>
      </c>
      <c r="E143" s="124" t="s">
        <v>5</v>
      </c>
      <c r="F143" s="127">
        <v>0</v>
      </c>
      <c r="G143" s="124"/>
      <c r="H143" s="127">
        <v>33310</v>
      </c>
      <c r="I143" s="124" t="s">
        <v>2486</v>
      </c>
      <c r="J143" s="126">
        <v>34060</v>
      </c>
      <c r="K143" s="124" t="s">
        <v>2404</v>
      </c>
      <c r="L143" s="127">
        <v>33310</v>
      </c>
      <c r="M143" s="124" t="s">
        <v>2449</v>
      </c>
      <c r="N143" s="144">
        <f t="shared" si="7"/>
        <v>33310</v>
      </c>
      <c r="O143" s="124"/>
      <c r="P143" s="130"/>
    </row>
    <row r="144" spans="1:16" ht="30" customHeight="1" x14ac:dyDescent="0.3">
      <c r="A144" s="121" t="s">
        <v>2105</v>
      </c>
      <c r="B144" s="121" t="s">
        <v>162</v>
      </c>
      <c r="C144" s="122" t="s">
        <v>14</v>
      </c>
      <c r="D144" s="123">
        <v>0</v>
      </c>
      <c r="E144" s="124" t="s">
        <v>5</v>
      </c>
      <c r="F144" s="127">
        <v>0</v>
      </c>
      <c r="G144" s="124"/>
      <c r="H144" s="127">
        <v>43100</v>
      </c>
      <c r="I144" s="124" t="s">
        <v>2486</v>
      </c>
      <c r="J144" s="126">
        <v>43530</v>
      </c>
      <c r="K144" s="124" t="s">
        <v>2404</v>
      </c>
      <c r="L144" s="127">
        <v>43100</v>
      </c>
      <c r="M144" s="124" t="s">
        <v>2449</v>
      </c>
      <c r="N144" s="144">
        <f t="shared" si="7"/>
        <v>43100</v>
      </c>
      <c r="O144" s="124"/>
      <c r="P144" s="130"/>
    </row>
    <row r="145" spans="1:16" ht="30" customHeight="1" x14ac:dyDescent="0.3">
      <c r="A145" s="121" t="s">
        <v>2105</v>
      </c>
      <c r="B145" s="121" t="s">
        <v>163</v>
      </c>
      <c r="C145" s="122" t="s">
        <v>14</v>
      </c>
      <c r="D145" s="123">
        <v>0</v>
      </c>
      <c r="E145" s="124" t="s">
        <v>5</v>
      </c>
      <c r="F145" s="127">
        <v>0</v>
      </c>
      <c r="G145" s="124"/>
      <c r="H145" s="127">
        <v>52900</v>
      </c>
      <c r="I145" s="124" t="s">
        <v>2486</v>
      </c>
      <c r="J145" s="126">
        <v>53100</v>
      </c>
      <c r="K145" s="124" t="s">
        <v>2404</v>
      </c>
      <c r="L145" s="127">
        <v>52900</v>
      </c>
      <c r="M145" s="124" t="s">
        <v>2449</v>
      </c>
      <c r="N145" s="144">
        <f t="shared" si="7"/>
        <v>52900</v>
      </c>
      <c r="O145" s="124"/>
      <c r="P145" s="130"/>
    </row>
    <row r="146" spans="1:16" ht="30" customHeight="1" x14ac:dyDescent="0.3">
      <c r="A146" s="121" t="s">
        <v>2105</v>
      </c>
      <c r="B146" s="121" t="s">
        <v>164</v>
      </c>
      <c r="C146" s="122" t="s">
        <v>14</v>
      </c>
      <c r="D146" s="123">
        <v>0</v>
      </c>
      <c r="E146" s="124" t="s">
        <v>5</v>
      </c>
      <c r="F146" s="127">
        <v>0</v>
      </c>
      <c r="G146" s="124"/>
      <c r="H146" s="127">
        <v>62700</v>
      </c>
      <c r="I146" s="124" t="s">
        <v>2486</v>
      </c>
      <c r="J146" s="126">
        <v>62170</v>
      </c>
      <c r="K146" s="124" t="s">
        <v>2404</v>
      </c>
      <c r="L146" s="127">
        <v>62700</v>
      </c>
      <c r="M146" s="124" t="s">
        <v>2449</v>
      </c>
      <c r="N146" s="144">
        <f t="shared" si="7"/>
        <v>62170</v>
      </c>
      <c r="O146" s="124"/>
      <c r="P146" s="130"/>
    </row>
    <row r="147" spans="1:16" ht="30" customHeight="1" x14ac:dyDescent="0.3">
      <c r="A147" s="121" t="s">
        <v>2105</v>
      </c>
      <c r="B147" s="121" t="s">
        <v>165</v>
      </c>
      <c r="C147" s="122" t="s">
        <v>14</v>
      </c>
      <c r="D147" s="123">
        <v>0</v>
      </c>
      <c r="E147" s="124" t="s">
        <v>5</v>
      </c>
      <c r="F147" s="127">
        <v>0</v>
      </c>
      <c r="G147" s="124"/>
      <c r="H147" s="127">
        <v>72500</v>
      </c>
      <c r="I147" s="124" t="s">
        <v>2486</v>
      </c>
      <c r="J147" s="126">
        <v>72720</v>
      </c>
      <c r="K147" s="124" t="s">
        <v>2404</v>
      </c>
      <c r="L147" s="127">
        <v>72500</v>
      </c>
      <c r="M147" s="124" t="s">
        <v>2449</v>
      </c>
      <c r="N147" s="144">
        <f t="shared" si="7"/>
        <v>72500</v>
      </c>
      <c r="O147" s="124"/>
      <c r="P147" s="130"/>
    </row>
    <row r="148" spans="1:16" ht="30" customHeight="1" x14ac:dyDescent="0.3">
      <c r="A148" s="121" t="s">
        <v>2105</v>
      </c>
      <c r="B148" s="121" t="s">
        <v>166</v>
      </c>
      <c r="C148" s="122" t="s">
        <v>14</v>
      </c>
      <c r="D148" s="123">
        <v>0</v>
      </c>
      <c r="E148" s="124" t="s">
        <v>5</v>
      </c>
      <c r="F148" s="127">
        <v>0</v>
      </c>
      <c r="G148" s="124"/>
      <c r="H148" s="127">
        <v>82300</v>
      </c>
      <c r="I148" s="124" t="s">
        <v>2486</v>
      </c>
      <c r="J148" s="126">
        <v>82140</v>
      </c>
      <c r="K148" s="124" t="s">
        <v>2404</v>
      </c>
      <c r="L148" s="127">
        <v>82300</v>
      </c>
      <c r="M148" s="124" t="s">
        <v>2449</v>
      </c>
      <c r="N148" s="144">
        <f t="shared" si="7"/>
        <v>82140</v>
      </c>
      <c r="O148" s="124"/>
      <c r="P148" s="130"/>
    </row>
    <row r="149" spans="1:16" ht="30" customHeight="1" x14ac:dyDescent="0.3">
      <c r="A149" s="121" t="s">
        <v>2105</v>
      </c>
      <c r="B149" s="121" t="s">
        <v>167</v>
      </c>
      <c r="C149" s="122" t="s">
        <v>14</v>
      </c>
      <c r="D149" s="123">
        <v>0</v>
      </c>
      <c r="E149" s="124" t="s">
        <v>5</v>
      </c>
      <c r="F149" s="127">
        <v>0</v>
      </c>
      <c r="G149" s="124"/>
      <c r="H149" s="127">
        <v>92800</v>
      </c>
      <c r="I149" s="124" t="s">
        <v>2486</v>
      </c>
      <c r="J149" s="126">
        <v>99130</v>
      </c>
      <c r="K149" s="124" t="s">
        <v>2404</v>
      </c>
      <c r="L149" s="127">
        <v>92800</v>
      </c>
      <c r="M149" s="124" t="s">
        <v>2449</v>
      </c>
      <c r="N149" s="144">
        <f t="shared" si="7"/>
        <v>92800</v>
      </c>
      <c r="O149" s="124"/>
      <c r="P149" s="130"/>
    </row>
    <row r="150" spans="1:16" ht="30" customHeight="1" x14ac:dyDescent="0.3">
      <c r="A150" s="121" t="s">
        <v>2105</v>
      </c>
      <c r="B150" s="121" t="s">
        <v>2106</v>
      </c>
      <c r="C150" s="122" t="s">
        <v>14</v>
      </c>
      <c r="D150" s="123">
        <v>0</v>
      </c>
      <c r="E150" s="124" t="s">
        <v>5</v>
      </c>
      <c r="F150" s="127">
        <v>0</v>
      </c>
      <c r="G150" s="124"/>
      <c r="H150" s="127">
        <v>101880</v>
      </c>
      <c r="I150" s="124" t="s">
        <v>2486</v>
      </c>
      <c r="J150" s="126">
        <v>102130</v>
      </c>
      <c r="K150" s="124" t="s">
        <v>2404</v>
      </c>
      <c r="L150" s="127">
        <v>101880</v>
      </c>
      <c r="M150" s="124" t="s">
        <v>2449</v>
      </c>
      <c r="N150" s="144">
        <f t="shared" si="7"/>
        <v>101880</v>
      </c>
      <c r="O150" s="124"/>
      <c r="P150" s="130"/>
    </row>
    <row r="151" spans="1:16" ht="30" customHeight="1" x14ac:dyDescent="0.3">
      <c r="A151" s="121" t="s">
        <v>168</v>
      </c>
      <c r="B151" s="121" t="s">
        <v>2419</v>
      </c>
      <c r="C151" s="122" t="s">
        <v>12</v>
      </c>
      <c r="D151" s="123">
        <v>0</v>
      </c>
      <c r="E151" s="124" t="s">
        <v>5</v>
      </c>
      <c r="F151" s="127">
        <v>0</v>
      </c>
      <c r="G151" s="124"/>
      <c r="H151" s="127">
        <v>32880</v>
      </c>
      <c r="I151" s="124" t="s">
        <v>2486</v>
      </c>
      <c r="J151" s="127">
        <v>23900</v>
      </c>
      <c r="K151" s="124" t="s">
        <v>2404</v>
      </c>
      <c r="L151" s="127">
        <v>32880</v>
      </c>
      <c r="M151" s="124" t="s">
        <v>2449</v>
      </c>
      <c r="N151" s="144">
        <f t="shared" ref="N151" si="8">SMALL(D151:L151,COUNTIF(D151:L151,0)+1)</f>
        <v>23900</v>
      </c>
      <c r="O151" s="124"/>
      <c r="P151" s="130"/>
    </row>
    <row r="152" spans="1:16" ht="30" customHeight="1" x14ac:dyDescent="0.3">
      <c r="A152" s="121" t="s">
        <v>168</v>
      </c>
      <c r="B152" s="121" t="s">
        <v>2418</v>
      </c>
      <c r="C152" s="122" t="s">
        <v>12</v>
      </c>
      <c r="D152" s="123">
        <v>0</v>
      </c>
      <c r="E152" s="124" t="s">
        <v>5</v>
      </c>
      <c r="F152" s="127">
        <v>0</v>
      </c>
      <c r="G152" s="124"/>
      <c r="H152" s="127">
        <v>34230</v>
      </c>
      <c r="I152" s="124" t="s">
        <v>2486</v>
      </c>
      <c r="J152" s="127">
        <v>26870</v>
      </c>
      <c r="K152" s="124" t="s">
        <v>2404</v>
      </c>
      <c r="L152" s="127">
        <v>34230</v>
      </c>
      <c r="M152" s="124" t="s">
        <v>2449</v>
      </c>
      <c r="N152" s="144">
        <f t="shared" si="7"/>
        <v>26870</v>
      </c>
      <c r="O152" s="124"/>
      <c r="P152" s="130"/>
    </row>
    <row r="153" spans="1:16" ht="30" customHeight="1" x14ac:dyDescent="0.3">
      <c r="A153" s="121" t="s">
        <v>168</v>
      </c>
      <c r="B153" s="121" t="s">
        <v>2417</v>
      </c>
      <c r="C153" s="122" t="s">
        <v>12</v>
      </c>
      <c r="D153" s="123">
        <v>0</v>
      </c>
      <c r="E153" s="124" t="s">
        <v>5</v>
      </c>
      <c r="F153" s="127">
        <v>0</v>
      </c>
      <c r="G153" s="124"/>
      <c r="H153" s="127">
        <v>37540</v>
      </c>
      <c r="I153" s="124" t="s">
        <v>2486</v>
      </c>
      <c r="J153" s="127">
        <v>36020</v>
      </c>
      <c r="K153" s="124" t="s">
        <v>2404</v>
      </c>
      <c r="L153" s="127">
        <v>37540</v>
      </c>
      <c r="M153" s="124" t="s">
        <v>2449</v>
      </c>
      <c r="N153" s="144">
        <f t="shared" si="7"/>
        <v>36020</v>
      </c>
      <c r="O153" s="124"/>
      <c r="P153" s="130"/>
    </row>
    <row r="154" spans="1:16" ht="30" customHeight="1" x14ac:dyDescent="0.3">
      <c r="A154" s="121" t="s">
        <v>168</v>
      </c>
      <c r="B154" s="121" t="s">
        <v>2415</v>
      </c>
      <c r="C154" s="122" t="s">
        <v>12</v>
      </c>
      <c r="D154" s="123">
        <v>0</v>
      </c>
      <c r="E154" s="124" t="s">
        <v>5</v>
      </c>
      <c r="F154" s="127">
        <v>0</v>
      </c>
      <c r="G154" s="124"/>
      <c r="H154" s="127">
        <v>40580</v>
      </c>
      <c r="I154" s="124" t="s">
        <v>2486</v>
      </c>
      <c r="J154" s="127">
        <v>42390</v>
      </c>
      <c r="K154" s="124" t="s">
        <v>2404</v>
      </c>
      <c r="L154" s="127">
        <v>40580</v>
      </c>
      <c r="M154" s="124" t="s">
        <v>2449</v>
      </c>
      <c r="N154" s="144">
        <f t="shared" si="7"/>
        <v>40580</v>
      </c>
      <c r="O154" s="124"/>
      <c r="P154" s="130"/>
    </row>
    <row r="155" spans="1:16" ht="30" customHeight="1" x14ac:dyDescent="0.3">
      <c r="A155" s="121" t="s">
        <v>168</v>
      </c>
      <c r="B155" s="121" t="s">
        <v>2416</v>
      </c>
      <c r="C155" s="122" t="s">
        <v>12</v>
      </c>
      <c r="D155" s="123">
        <v>0</v>
      </c>
      <c r="E155" s="124" t="s">
        <v>5</v>
      </c>
      <c r="F155" s="127">
        <v>0</v>
      </c>
      <c r="G155" s="124"/>
      <c r="H155" s="127">
        <v>42700</v>
      </c>
      <c r="I155" s="124" t="s">
        <v>2486</v>
      </c>
      <c r="J155" s="127">
        <v>49770</v>
      </c>
      <c r="K155" s="124" t="s">
        <v>2404</v>
      </c>
      <c r="L155" s="127">
        <v>42700</v>
      </c>
      <c r="M155" s="124" t="s">
        <v>2449</v>
      </c>
      <c r="N155" s="144">
        <f t="shared" si="7"/>
        <v>42700</v>
      </c>
      <c r="O155" s="124"/>
      <c r="P155" s="130"/>
    </row>
    <row r="156" spans="1:16" ht="30" customHeight="1" x14ac:dyDescent="0.3">
      <c r="A156" s="121" t="s">
        <v>168</v>
      </c>
      <c r="B156" s="121" t="s">
        <v>2414</v>
      </c>
      <c r="C156" s="122" t="s">
        <v>12</v>
      </c>
      <c r="D156" s="123">
        <v>0</v>
      </c>
      <c r="E156" s="124" t="s">
        <v>5</v>
      </c>
      <c r="F156" s="127">
        <v>0</v>
      </c>
      <c r="G156" s="124"/>
      <c r="H156" s="127">
        <v>49200</v>
      </c>
      <c r="I156" s="124" t="s">
        <v>2486</v>
      </c>
      <c r="J156" s="127">
        <v>56500</v>
      </c>
      <c r="K156" s="124" t="s">
        <v>2404</v>
      </c>
      <c r="L156" s="127">
        <v>49200</v>
      </c>
      <c r="M156" s="124" t="s">
        <v>2449</v>
      </c>
      <c r="N156" s="144">
        <f t="shared" si="7"/>
        <v>49200</v>
      </c>
      <c r="O156" s="124"/>
      <c r="P156" s="130"/>
    </row>
    <row r="157" spans="1:16" ht="30" customHeight="1" x14ac:dyDescent="0.3">
      <c r="A157" s="121" t="s">
        <v>168</v>
      </c>
      <c r="B157" s="121" t="s">
        <v>2413</v>
      </c>
      <c r="C157" s="122" t="s">
        <v>12</v>
      </c>
      <c r="D157" s="123">
        <v>0</v>
      </c>
      <c r="E157" s="124" t="s">
        <v>5</v>
      </c>
      <c r="F157" s="127">
        <v>0</v>
      </c>
      <c r="G157" s="124"/>
      <c r="H157" s="127">
        <v>59130</v>
      </c>
      <c r="I157" s="124" t="s">
        <v>2486</v>
      </c>
      <c r="J157" s="127">
        <v>68260</v>
      </c>
      <c r="K157" s="124" t="s">
        <v>2404</v>
      </c>
      <c r="L157" s="127">
        <v>59130</v>
      </c>
      <c r="M157" s="124" t="s">
        <v>2449</v>
      </c>
      <c r="N157" s="144">
        <f t="shared" si="7"/>
        <v>59130</v>
      </c>
      <c r="O157" s="124"/>
      <c r="P157" s="130"/>
    </row>
    <row r="158" spans="1:16" ht="30" customHeight="1" x14ac:dyDescent="0.3">
      <c r="A158" s="121" t="s">
        <v>168</v>
      </c>
      <c r="B158" s="121" t="s">
        <v>2412</v>
      </c>
      <c r="C158" s="122" t="s">
        <v>12</v>
      </c>
      <c r="D158" s="123">
        <v>0</v>
      </c>
      <c r="E158" s="124" t="s">
        <v>5</v>
      </c>
      <c r="F158" s="127">
        <v>0</v>
      </c>
      <c r="G158" s="124"/>
      <c r="H158" s="127">
        <v>66590</v>
      </c>
      <c r="I158" s="124" t="s">
        <v>2486</v>
      </c>
      <c r="J158" s="127">
        <v>74130</v>
      </c>
      <c r="K158" s="124" t="s">
        <v>2404</v>
      </c>
      <c r="L158" s="127">
        <v>66590</v>
      </c>
      <c r="M158" s="124" t="s">
        <v>2449</v>
      </c>
      <c r="N158" s="144">
        <f t="shared" si="7"/>
        <v>66590</v>
      </c>
      <c r="O158" s="124"/>
      <c r="P158" s="130"/>
    </row>
    <row r="159" spans="1:16" ht="30" customHeight="1" x14ac:dyDescent="0.3">
      <c r="A159" s="121" t="s">
        <v>168</v>
      </c>
      <c r="B159" s="121" t="s">
        <v>2411</v>
      </c>
      <c r="C159" s="122" t="s">
        <v>12</v>
      </c>
      <c r="D159" s="123">
        <v>0</v>
      </c>
      <c r="E159" s="124" t="s">
        <v>5</v>
      </c>
      <c r="F159" s="127">
        <v>0</v>
      </c>
      <c r="G159" s="124"/>
      <c r="H159" s="127">
        <v>76880</v>
      </c>
      <c r="I159" s="124" t="s">
        <v>2486</v>
      </c>
      <c r="J159" s="127">
        <v>82070</v>
      </c>
      <c r="K159" s="124" t="s">
        <v>2404</v>
      </c>
      <c r="L159" s="127">
        <v>76880</v>
      </c>
      <c r="M159" s="124" t="s">
        <v>2449</v>
      </c>
      <c r="N159" s="144">
        <f t="shared" si="7"/>
        <v>76880</v>
      </c>
      <c r="O159" s="124"/>
      <c r="P159" s="139"/>
    </row>
    <row r="160" spans="1:16" ht="30" customHeight="1" x14ac:dyDescent="0.3">
      <c r="A160" s="121" t="s">
        <v>168</v>
      </c>
      <c r="B160" s="121" t="s">
        <v>2409</v>
      </c>
      <c r="C160" s="122" t="s">
        <v>12</v>
      </c>
      <c r="D160" s="123">
        <v>0</v>
      </c>
      <c r="E160" s="124" t="s">
        <v>5</v>
      </c>
      <c r="F160" s="127">
        <v>0</v>
      </c>
      <c r="G160" s="124"/>
      <c r="H160" s="127">
        <v>90630</v>
      </c>
      <c r="I160" s="124" t="s">
        <v>2486</v>
      </c>
      <c r="J160" s="127">
        <v>96610</v>
      </c>
      <c r="K160" s="124" t="s">
        <v>2404</v>
      </c>
      <c r="L160" s="127">
        <v>90630</v>
      </c>
      <c r="M160" s="124" t="s">
        <v>2449</v>
      </c>
      <c r="N160" s="144">
        <f t="shared" ref="N160" si="9">SMALL(D160:L160,COUNTIF(D160:L160,0)+1)</f>
        <v>90630</v>
      </c>
      <c r="O160" s="124"/>
      <c r="P160" s="139"/>
    </row>
    <row r="161" spans="1:16" ht="30" customHeight="1" x14ac:dyDescent="0.3">
      <c r="A161" s="121" t="s">
        <v>168</v>
      </c>
      <c r="B161" s="121" t="s">
        <v>2420</v>
      </c>
      <c r="C161" s="122" t="s">
        <v>12</v>
      </c>
      <c r="D161" s="123">
        <v>0</v>
      </c>
      <c r="E161" s="124" t="s">
        <v>5</v>
      </c>
      <c r="F161" s="127">
        <v>0</v>
      </c>
      <c r="G161" s="124"/>
      <c r="H161" s="127">
        <v>32880</v>
      </c>
      <c r="I161" s="124" t="s">
        <v>2486</v>
      </c>
      <c r="J161" s="127">
        <v>23900</v>
      </c>
      <c r="K161" s="124" t="s">
        <v>2404</v>
      </c>
      <c r="L161" s="127">
        <v>32880</v>
      </c>
      <c r="M161" s="124" t="s">
        <v>2449</v>
      </c>
      <c r="N161" s="144">
        <f t="shared" si="7"/>
        <v>23900</v>
      </c>
      <c r="O161" s="124"/>
      <c r="P161" s="130"/>
    </row>
    <row r="162" spans="1:16" ht="30" customHeight="1" x14ac:dyDescent="0.3">
      <c r="A162" s="121" t="s">
        <v>168</v>
      </c>
      <c r="B162" s="121" t="s">
        <v>2421</v>
      </c>
      <c r="C162" s="122" t="s">
        <v>12</v>
      </c>
      <c r="D162" s="123">
        <v>0</v>
      </c>
      <c r="E162" s="124" t="s">
        <v>5</v>
      </c>
      <c r="F162" s="127">
        <v>0</v>
      </c>
      <c r="G162" s="124"/>
      <c r="H162" s="127">
        <v>34230</v>
      </c>
      <c r="I162" s="124" t="s">
        <v>2486</v>
      </c>
      <c r="J162" s="127">
        <v>26870</v>
      </c>
      <c r="K162" s="124" t="s">
        <v>2404</v>
      </c>
      <c r="L162" s="127">
        <v>34230</v>
      </c>
      <c r="M162" s="124" t="s">
        <v>2449</v>
      </c>
      <c r="N162" s="144">
        <f t="shared" si="7"/>
        <v>26870</v>
      </c>
      <c r="O162" s="124"/>
      <c r="P162" s="130"/>
    </row>
    <row r="163" spans="1:16" ht="30" customHeight="1" x14ac:dyDescent="0.3">
      <c r="A163" s="121" t="s">
        <v>168</v>
      </c>
      <c r="B163" s="121" t="s">
        <v>2422</v>
      </c>
      <c r="C163" s="122" t="s">
        <v>12</v>
      </c>
      <c r="D163" s="123">
        <v>0</v>
      </c>
      <c r="E163" s="124" t="s">
        <v>5</v>
      </c>
      <c r="F163" s="127">
        <v>0</v>
      </c>
      <c r="G163" s="124"/>
      <c r="H163" s="127">
        <v>37540</v>
      </c>
      <c r="I163" s="124" t="s">
        <v>2486</v>
      </c>
      <c r="J163" s="127">
        <v>36020</v>
      </c>
      <c r="K163" s="124" t="s">
        <v>2404</v>
      </c>
      <c r="L163" s="127">
        <v>37540</v>
      </c>
      <c r="M163" s="124" t="s">
        <v>2449</v>
      </c>
      <c r="N163" s="144">
        <f t="shared" si="7"/>
        <v>36020</v>
      </c>
      <c r="O163" s="124"/>
      <c r="P163" s="130"/>
    </row>
    <row r="164" spans="1:16" ht="30" customHeight="1" x14ac:dyDescent="0.3">
      <c r="A164" s="121" t="s">
        <v>168</v>
      </c>
      <c r="B164" s="121" t="s">
        <v>2423</v>
      </c>
      <c r="C164" s="122" t="s">
        <v>12</v>
      </c>
      <c r="D164" s="123">
        <v>0</v>
      </c>
      <c r="E164" s="124" t="s">
        <v>5</v>
      </c>
      <c r="F164" s="127">
        <v>0</v>
      </c>
      <c r="G164" s="124"/>
      <c r="H164" s="127">
        <v>40580</v>
      </c>
      <c r="I164" s="124" t="s">
        <v>2486</v>
      </c>
      <c r="J164" s="127">
        <v>42390</v>
      </c>
      <c r="K164" s="124" t="s">
        <v>2404</v>
      </c>
      <c r="L164" s="127">
        <v>40580</v>
      </c>
      <c r="M164" s="124" t="s">
        <v>2449</v>
      </c>
      <c r="N164" s="144">
        <f t="shared" si="7"/>
        <v>40580</v>
      </c>
      <c r="O164" s="124"/>
      <c r="P164" s="130"/>
    </row>
    <row r="165" spans="1:16" ht="30" customHeight="1" x14ac:dyDescent="0.3">
      <c r="A165" s="121" t="s">
        <v>168</v>
      </c>
      <c r="B165" s="121" t="s">
        <v>2424</v>
      </c>
      <c r="C165" s="122" t="s">
        <v>12</v>
      </c>
      <c r="D165" s="123">
        <v>0</v>
      </c>
      <c r="E165" s="124" t="s">
        <v>5</v>
      </c>
      <c r="F165" s="127">
        <v>0</v>
      </c>
      <c r="G165" s="124"/>
      <c r="H165" s="127">
        <v>42700</v>
      </c>
      <c r="I165" s="124" t="s">
        <v>2486</v>
      </c>
      <c r="J165" s="127">
        <v>49770</v>
      </c>
      <c r="K165" s="124" t="s">
        <v>2404</v>
      </c>
      <c r="L165" s="127">
        <v>42700</v>
      </c>
      <c r="M165" s="124" t="s">
        <v>2449</v>
      </c>
      <c r="N165" s="144">
        <f t="shared" si="7"/>
        <v>42700</v>
      </c>
      <c r="O165" s="124"/>
      <c r="P165" s="130"/>
    </row>
    <row r="166" spans="1:16" ht="30" customHeight="1" x14ac:dyDescent="0.3">
      <c r="A166" s="121" t="s">
        <v>168</v>
      </c>
      <c r="B166" s="121" t="s">
        <v>2425</v>
      </c>
      <c r="C166" s="122" t="s">
        <v>12</v>
      </c>
      <c r="D166" s="123">
        <v>0</v>
      </c>
      <c r="E166" s="124" t="s">
        <v>5</v>
      </c>
      <c r="F166" s="127">
        <v>0</v>
      </c>
      <c r="G166" s="124"/>
      <c r="H166" s="127">
        <v>49200</v>
      </c>
      <c r="I166" s="124" t="s">
        <v>2486</v>
      </c>
      <c r="J166" s="127">
        <v>56500</v>
      </c>
      <c r="K166" s="124" t="s">
        <v>2404</v>
      </c>
      <c r="L166" s="127">
        <v>49200</v>
      </c>
      <c r="M166" s="124" t="s">
        <v>2449</v>
      </c>
      <c r="N166" s="144">
        <f t="shared" si="7"/>
        <v>49200</v>
      </c>
      <c r="O166" s="124"/>
      <c r="P166" s="130"/>
    </row>
    <row r="167" spans="1:16" ht="30" customHeight="1" x14ac:dyDescent="0.3">
      <c r="A167" s="121" t="s">
        <v>168</v>
      </c>
      <c r="B167" s="121" t="s">
        <v>2426</v>
      </c>
      <c r="C167" s="122" t="s">
        <v>12</v>
      </c>
      <c r="D167" s="123">
        <v>0</v>
      </c>
      <c r="E167" s="124" t="s">
        <v>5</v>
      </c>
      <c r="F167" s="127">
        <v>0</v>
      </c>
      <c r="G167" s="124"/>
      <c r="H167" s="127">
        <v>59130</v>
      </c>
      <c r="I167" s="124" t="s">
        <v>2486</v>
      </c>
      <c r="J167" s="127">
        <v>68260</v>
      </c>
      <c r="K167" s="124" t="s">
        <v>2404</v>
      </c>
      <c r="L167" s="127">
        <v>59130</v>
      </c>
      <c r="M167" s="124" t="s">
        <v>2449</v>
      </c>
      <c r="N167" s="144">
        <f t="shared" si="7"/>
        <v>59130</v>
      </c>
      <c r="O167" s="124"/>
      <c r="P167" s="130"/>
    </row>
    <row r="168" spans="1:16" ht="30" customHeight="1" x14ac:dyDescent="0.3">
      <c r="A168" s="121" t="s">
        <v>168</v>
      </c>
      <c r="B168" s="121" t="s">
        <v>2427</v>
      </c>
      <c r="C168" s="122" t="s">
        <v>12</v>
      </c>
      <c r="D168" s="123">
        <v>0</v>
      </c>
      <c r="E168" s="124" t="s">
        <v>5</v>
      </c>
      <c r="F168" s="127">
        <v>0</v>
      </c>
      <c r="G168" s="124"/>
      <c r="H168" s="127">
        <v>66590</v>
      </c>
      <c r="I168" s="124" t="s">
        <v>2486</v>
      </c>
      <c r="J168" s="127">
        <v>74130</v>
      </c>
      <c r="K168" s="124" t="s">
        <v>2404</v>
      </c>
      <c r="L168" s="127">
        <v>66590</v>
      </c>
      <c r="M168" s="124" t="s">
        <v>2449</v>
      </c>
      <c r="N168" s="144">
        <f t="shared" si="7"/>
        <v>66590</v>
      </c>
      <c r="O168" s="124"/>
      <c r="P168" s="130"/>
    </row>
    <row r="169" spans="1:16" ht="30" customHeight="1" x14ac:dyDescent="0.3">
      <c r="A169" s="121" t="s">
        <v>168</v>
      </c>
      <c r="B169" s="121" t="s">
        <v>2428</v>
      </c>
      <c r="C169" s="122" t="s">
        <v>12</v>
      </c>
      <c r="D169" s="123">
        <v>0</v>
      </c>
      <c r="E169" s="124" t="s">
        <v>5</v>
      </c>
      <c r="F169" s="127">
        <v>0</v>
      </c>
      <c r="G169" s="124"/>
      <c r="H169" s="127">
        <v>76880</v>
      </c>
      <c r="I169" s="124" t="s">
        <v>2486</v>
      </c>
      <c r="J169" s="127">
        <v>82070</v>
      </c>
      <c r="K169" s="124" t="s">
        <v>2404</v>
      </c>
      <c r="L169" s="127">
        <v>76880</v>
      </c>
      <c r="M169" s="124" t="s">
        <v>2449</v>
      </c>
      <c r="N169" s="144">
        <f t="shared" si="7"/>
        <v>76880</v>
      </c>
      <c r="O169" s="124"/>
      <c r="P169" s="130"/>
    </row>
    <row r="170" spans="1:16" ht="30" customHeight="1" x14ac:dyDescent="0.3">
      <c r="A170" s="121" t="s">
        <v>168</v>
      </c>
      <c r="B170" s="121" t="s">
        <v>2410</v>
      </c>
      <c r="C170" s="122" t="s">
        <v>12</v>
      </c>
      <c r="D170" s="123">
        <v>0</v>
      </c>
      <c r="E170" s="124" t="s">
        <v>5</v>
      </c>
      <c r="F170" s="127">
        <v>0</v>
      </c>
      <c r="G170" s="124"/>
      <c r="H170" s="127">
        <v>90630</v>
      </c>
      <c r="I170" s="124" t="s">
        <v>2486</v>
      </c>
      <c r="J170" s="127">
        <v>96610</v>
      </c>
      <c r="K170" s="124" t="s">
        <v>2404</v>
      </c>
      <c r="L170" s="127">
        <v>90630</v>
      </c>
      <c r="M170" s="124" t="s">
        <v>2449</v>
      </c>
      <c r="N170" s="144">
        <f t="shared" ref="N170" si="10">SMALL(D170:L170,COUNTIF(D170:L170,0)+1)</f>
        <v>90630</v>
      </c>
      <c r="O170" s="124"/>
      <c r="P170" s="130"/>
    </row>
    <row r="171" spans="1:16" ht="30" customHeight="1" x14ac:dyDescent="0.3">
      <c r="A171" s="121" t="s">
        <v>168</v>
      </c>
      <c r="B171" s="121" t="s">
        <v>2431</v>
      </c>
      <c r="C171" s="122" t="s">
        <v>12</v>
      </c>
      <c r="D171" s="123">
        <v>0</v>
      </c>
      <c r="E171" s="124" t="s">
        <v>5</v>
      </c>
      <c r="F171" s="127">
        <v>0</v>
      </c>
      <c r="G171" s="124"/>
      <c r="H171" s="127">
        <v>54790</v>
      </c>
      <c r="I171" s="124" t="s">
        <v>2486</v>
      </c>
      <c r="J171" s="127">
        <v>41400</v>
      </c>
      <c r="K171" s="124" t="s">
        <v>2404</v>
      </c>
      <c r="L171" s="127">
        <v>54790</v>
      </c>
      <c r="M171" s="124" t="s">
        <v>2449</v>
      </c>
      <c r="N171" s="144">
        <f t="shared" si="7"/>
        <v>41400</v>
      </c>
      <c r="O171" s="124"/>
      <c r="P171" s="130"/>
    </row>
    <row r="172" spans="1:16" ht="30" customHeight="1" x14ac:dyDescent="0.3">
      <c r="A172" s="121" t="s">
        <v>168</v>
      </c>
      <c r="B172" s="121" t="s">
        <v>2432</v>
      </c>
      <c r="C172" s="122" t="s">
        <v>12</v>
      </c>
      <c r="D172" s="123">
        <v>0</v>
      </c>
      <c r="E172" s="124" t="s">
        <v>5</v>
      </c>
      <c r="F172" s="127">
        <v>0</v>
      </c>
      <c r="G172" s="124"/>
      <c r="H172" s="127">
        <v>57040</v>
      </c>
      <c r="I172" s="124" t="s">
        <v>2486</v>
      </c>
      <c r="J172" s="127">
        <v>55720</v>
      </c>
      <c r="K172" s="124" t="s">
        <v>2404</v>
      </c>
      <c r="L172" s="127">
        <v>57040</v>
      </c>
      <c r="M172" s="124" t="s">
        <v>2449</v>
      </c>
      <c r="N172" s="144">
        <f t="shared" si="7"/>
        <v>55720</v>
      </c>
      <c r="O172" s="124"/>
      <c r="P172" s="130"/>
    </row>
    <row r="173" spans="1:16" ht="30" customHeight="1" x14ac:dyDescent="0.3">
      <c r="A173" s="121" t="s">
        <v>168</v>
      </c>
      <c r="B173" s="121" t="s">
        <v>2433</v>
      </c>
      <c r="C173" s="122" t="s">
        <v>12</v>
      </c>
      <c r="D173" s="123">
        <v>0</v>
      </c>
      <c r="E173" s="124" t="s">
        <v>5</v>
      </c>
      <c r="F173" s="127">
        <v>0</v>
      </c>
      <c r="G173" s="124"/>
      <c r="H173" s="127">
        <v>62570</v>
      </c>
      <c r="I173" s="124" t="s">
        <v>2486</v>
      </c>
      <c r="J173" s="127">
        <v>62370</v>
      </c>
      <c r="K173" s="124" t="s">
        <v>2404</v>
      </c>
      <c r="L173" s="127">
        <v>62570</v>
      </c>
      <c r="M173" s="124" t="s">
        <v>2449</v>
      </c>
      <c r="N173" s="144">
        <f t="shared" si="7"/>
        <v>62370</v>
      </c>
      <c r="O173" s="124"/>
      <c r="P173" s="130"/>
    </row>
    <row r="174" spans="1:16" ht="30" customHeight="1" x14ac:dyDescent="0.3">
      <c r="A174" s="121" t="s">
        <v>168</v>
      </c>
      <c r="B174" s="121" t="s">
        <v>2434</v>
      </c>
      <c r="C174" s="122" t="s">
        <v>12</v>
      </c>
      <c r="D174" s="123">
        <v>0</v>
      </c>
      <c r="E174" s="124" t="s">
        <v>5</v>
      </c>
      <c r="F174" s="127">
        <v>0</v>
      </c>
      <c r="G174" s="124"/>
      <c r="H174" s="127">
        <v>67630</v>
      </c>
      <c r="I174" s="124" t="s">
        <v>2486</v>
      </c>
      <c r="J174" s="127">
        <v>73490</v>
      </c>
      <c r="K174" s="124" t="s">
        <v>2404</v>
      </c>
      <c r="L174" s="127">
        <v>67630</v>
      </c>
      <c r="M174" s="124" t="s">
        <v>2449</v>
      </c>
      <c r="N174" s="144">
        <f t="shared" si="7"/>
        <v>67630</v>
      </c>
      <c r="O174" s="124"/>
      <c r="P174" s="130"/>
    </row>
    <row r="175" spans="1:16" ht="30" customHeight="1" x14ac:dyDescent="0.3">
      <c r="A175" s="121" t="s">
        <v>168</v>
      </c>
      <c r="B175" s="121" t="s">
        <v>2435</v>
      </c>
      <c r="C175" s="122" t="s">
        <v>12</v>
      </c>
      <c r="D175" s="123">
        <v>0</v>
      </c>
      <c r="E175" s="124" t="s">
        <v>5</v>
      </c>
      <c r="F175" s="127">
        <v>0</v>
      </c>
      <c r="G175" s="124"/>
      <c r="H175" s="127">
        <v>71170</v>
      </c>
      <c r="I175" s="124" t="s">
        <v>2486</v>
      </c>
      <c r="J175" s="127">
        <v>86230</v>
      </c>
      <c r="K175" s="124" t="s">
        <v>2404</v>
      </c>
      <c r="L175" s="127">
        <v>71170</v>
      </c>
      <c r="M175" s="124" t="s">
        <v>2449</v>
      </c>
      <c r="N175" s="144">
        <f t="shared" si="7"/>
        <v>71170</v>
      </c>
      <c r="O175" s="124"/>
      <c r="P175" s="130"/>
    </row>
    <row r="176" spans="1:16" ht="30" customHeight="1" x14ac:dyDescent="0.3">
      <c r="A176" s="121" t="s">
        <v>168</v>
      </c>
      <c r="B176" s="121" t="s">
        <v>2436</v>
      </c>
      <c r="C176" s="122" t="s">
        <v>12</v>
      </c>
      <c r="D176" s="123">
        <v>0</v>
      </c>
      <c r="E176" s="124" t="s">
        <v>5</v>
      </c>
      <c r="F176" s="127">
        <v>0</v>
      </c>
      <c r="G176" s="124"/>
      <c r="H176" s="127">
        <v>76880</v>
      </c>
      <c r="I176" s="124" t="s">
        <v>2486</v>
      </c>
      <c r="J176" s="127">
        <v>90400</v>
      </c>
      <c r="K176" s="124" t="s">
        <v>2404</v>
      </c>
      <c r="L176" s="127">
        <v>76880</v>
      </c>
      <c r="M176" s="124" t="s">
        <v>2449</v>
      </c>
      <c r="N176" s="144">
        <f t="shared" si="7"/>
        <v>76880</v>
      </c>
      <c r="O176" s="124"/>
      <c r="P176" s="130"/>
    </row>
    <row r="177" spans="1:16" ht="30" customHeight="1" x14ac:dyDescent="0.3">
      <c r="A177" s="121" t="s">
        <v>168</v>
      </c>
      <c r="B177" s="121" t="s">
        <v>2437</v>
      </c>
      <c r="C177" s="122" t="s">
        <v>12</v>
      </c>
      <c r="D177" s="123">
        <v>0</v>
      </c>
      <c r="E177" s="124" t="s">
        <v>5</v>
      </c>
      <c r="F177" s="127">
        <v>0</v>
      </c>
      <c r="G177" s="124"/>
      <c r="H177" s="127">
        <v>89380</v>
      </c>
      <c r="I177" s="124" t="s">
        <v>2486</v>
      </c>
      <c r="J177" s="127">
        <v>108670</v>
      </c>
      <c r="K177" s="124" t="s">
        <v>2404</v>
      </c>
      <c r="L177" s="127">
        <v>89380</v>
      </c>
      <c r="M177" s="124" t="s">
        <v>2449</v>
      </c>
      <c r="N177" s="144">
        <f t="shared" si="7"/>
        <v>89380</v>
      </c>
      <c r="O177" s="124"/>
      <c r="P177" s="130"/>
    </row>
    <row r="178" spans="1:16" ht="30" customHeight="1" x14ac:dyDescent="0.3">
      <c r="A178" s="121" t="s">
        <v>168</v>
      </c>
      <c r="B178" s="121" t="s">
        <v>2438</v>
      </c>
      <c r="C178" s="122" t="s">
        <v>12</v>
      </c>
      <c r="D178" s="123">
        <v>0</v>
      </c>
      <c r="E178" s="124" t="s">
        <v>5</v>
      </c>
      <c r="F178" s="127">
        <v>0</v>
      </c>
      <c r="G178" s="124"/>
      <c r="H178" s="127">
        <v>96880</v>
      </c>
      <c r="I178" s="124" t="s">
        <v>2486</v>
      </c>
      <c r="J178" s="127">
        <v>121310</v>
      </c>
      <c r="K178" s="124" t="s">
        <v>2404</v>
      </c>
      <c r="L178" s="127">
        <v>96880</v>
      </c>
      <c r="M178" s="124" t="s">
        <v>2449</v>
      </c>
      <c r="N178" s="144">
        <f t="shared" si="7"/>
        <v>96880</v>
      </c>
      <c r="O178" s="124"/>
      <c r="P178" s="130"/>
    </row>
    <row r="179" spans="1:16" ht="30" customHeight="1" x14ac:dyDescent="0.3">
      <c r="A179" s="121" t="s">
        <v>168</v>
      </c>
      <c r="B179" s="121" t="s">
        <v>2430</v>
      </c>
      <c r="C179" s="122" t="s">
        <v>12</v>
      </c>
      <c r="D179" s="123">
        <v>0</v>
      </c>
      <c r="E179" s="124" t="s">
        <v>5</v>
      </c>
      <c r="F179" s="127">
        <v>0</v>
      </c>
      <c r="G179" s="124"/>
      <c r="H179" s="127">
        <v>108250</v>
      </c>
      <c r="I179" s="124" t="s">
        <v>2486</v>
      </c>
      <c r="J179" s="127">
        <v>124950</v>
      </c>
      <c r="K179" s="124" t="s">
        <v>2404</v>
      </c>
      <c r="L179" s="127">
        <v>108250</v>
      </c>
      <c r="M179" s="124" t="s">
        <v>2449</v>
      </c>
      <c r="N179" s="144">
        <f t="shared" si="7"/>
        <v>108250</v>
      </c>
      <c r="O179" s="124"/>
      <c r="P179" s="130"/>
    </row>
    <row r="180" spans="1:16" ht="30" customHeight="1" x14ac:dyDescent="0.3">
      <c r="A180" s="121" t="s">
        <v>168</v>
      </c>
      <c r="B180" s="121" t="s">
        <v>2429</v>
      </c>
      <c r="C180" s="122" t="s">
        <v>12</v>
      </c>
      <c r="D180" s="123">
        <v>0</v>
      </c>
      <c r="E180" s="124" t="s">
        <v>5</v>
      </c>
      <c r="F180" s="127">
        <v>0</v>
      </c>
      <c r="G180" s="124"/>
      <c r="H180" s="127">
        <v>114820</v>
      </c>
      <c r="I180" s="124" t="s">
        <v>2486</v>
      </c>
      <c r="J180" s="127">
        <v>142550</v>
      </c>
      <c r="K180" s="124" t="s">
        <v>2404</v>
      </c>
      <c r="L180" s="127">
        <v>114820</v>
      </c>
      <c r="M180" s="124" t="s">
        <v>2449</v>
      </c>
      <c r="N180" s="144">
        <f t="shared" ref="N180" si="11">SMALL(D180:L180,COUNTIF(D180:L180,0)+1)</f>
        <v>114820</v>
      </c>
      <c r="O180" s="124"/>
      <c r="P180" s="130"/>
    </row>
    <row r="181" spans="1:16" ht="30" customHeight="1" x14ac:dyDescent="0.3">
      <c r="A181" s="121" t="s">
        <v>168</v>
      </c>
      <c r="B181" s="121" t="s">
        <v>2439</v>
      </c>
      <c r="C181" s="122" t="s">
        <v>12</v>
      </c>
      <c r="D181" s="123">
        <v>0</v>
      </c>
      <c r="E181" s="124" t="s">
        <v>5</v>
      </c>
      <c r="F181" s="127">
        <v>0</v>
      </c>
      <c r="G181" s="124"/>
      <c r="H181" s="127">
        <v>59180</v>
      </c>
      <c r="I181" s="124" t="s">
        <v>2486</v>
      </c>
      <c r="J181" s="127">
        <v>51170</v>
      </c>
      <c r="K181" s="124" t="s">
        <v>2404</v>
      </c>
      <c r="L181" s="127">
        <v>59180</v>
      </c>
      <c r="M181" s="124" t="s">
        <v>2449</v>
      </c>
      <c r="N181" s="144">
        <f t="shared" si="7"/>
        <v>51170</v>
      </c>
      <c r="O181" s="124"/>
      <c r="P181" s="130"/>
    </row>
    <row r="182" spans="1:16" ht="30" customHeight="1" x14ac:dyDescent="0.3">
      <c r="A182" s="121" t="s">
        <v>168</v>
      </c>
      <c r="B182" s="121" t="s">
        <v>2440</v>
      </c>
      <c r="C182" s="122" t="s">
        <v>12</v>
      </c>
      <c r="D182" s="123">
        <v>0</v>
      </c>
      <c r="E182" s="124" t="s">
        <v>5</v>
      </c>
      <c r="F182" s="127">
        <v>0</v>
      </c>
      <c r="G182" s="124"/>
      <c r="H182" s="127">
        <v>61600</v>
      </c>
      <c r="I182" s="124" t="s">
        <v>2486</v>
      </c>
      <c r="J182" s="127">
        <v>67760</v>
      </c>
      <c r="K182" s="124" t="s">
        <v>2404</v>
      </c>
      <c r="L182" s="127">
        <v>61600</v>
      </c>
      <c r="M182" s="124" t="s">
        <v>2449</v>
      </c>
      <c r="N182" s="144">
        <f t="shared" si="7"/>
        <v>61600</v>
      </c>
      <c r="O182" s="124"/>
      <c r="P182" s="130"/>
    </row>
    <row r="183" spans="1:16" ht="30" customHeight="1" x14ac:dyDescent="0.3">
      <c r="A183" s="121" t="s">
        <v>168</v>
      </c>
      <c r="B183" s="121" t="s">
        <v>2441</v>
      </c>
      <c r="C183" s="122" t="s">
        <v>12</v>
      </c>
      <c r="D183" s="123">
        <v>0</v>
      </c>
      <c r="E183" s="124" t="s">
        <v>5</v>
      </c>
      <c r="F183" s="127">
        <v>0</v>
      </c>
      <c r="G183" s="124"/>
      <c r="H183" s="127">
        <v>57580</v>
      </c>
      <c r="I183" s="124" t="s">
        <v>2486</v>
      </c>
      <c r="J183" s="127">
        <v>78460</v>
      </c>
      <c r="K183" s="124" t="s">
        <v>2404</v>
      </c>
      <c r="L183" s="127">
        <v>57580</v>
      </c>
      <c r="M183" s="124" t="s">
        <v>2449</v>
      </c>
      <c r="N183" s="144">
        <f t="shared" si="7"/>
        <v>57580</v>
      </c>
      <c r="O183" s="124"/>
      <c r="P183" s="130"/>
    </row>
    <row r="184" spans="1:16" ht="30" customHeight="1" x14ac:dyDescent="0.3">
      <c r="A184" s="121" t="s">
        <v>168</v>
      </c>
      <c r="B184" s="121" t="s">
        <v>2442</v>
      </c>
      <c r="C184" s="122" t="s">
        <v>12</v>
      </c>
      <c r="D184" s="123">
        <v>0</v>
      </c>
      <c r="E184" s="124" t="s">
        <v>5</v>
      </c>
      <c r="F184" s="127">
        <v>0</v>
      </c>
      <c r="G184" s="124"/>
      <c r="H184" s="127">
        <v>73040</v>
      </c>
      <c r="I184" s="124" t="s">
        <v>2486</v>
      </c>
      <c r="J184" s="127">
        <v>85470</v>
      </c>
      <c r="K184" s="124" t="s">
        <v>2404</v>
      </c>
      <c r="L184" s="127">
        <v>73040</v>
      </c>
      <c r="M184" s="124" t="s">
        <v>2449</v>
      </c>
      <c r="N184" s="144">
        <f t="shared" si="7"/>
        <v>73040</v>
      </c>
      <c r="O184" s="124"/>
      <c r="P184" s="130"/>
    </row>
    <row r="185" spans="1:16" ht="30" customHeight="1" x14ac:dyDescent="0.3">
      <c r="A185" s="121" t="s">
        <v>168</v>
      </c>
      <c r="B185" s="121" t="s">
        <v>2443</v>
      </c>
      <c r="C185" s="122" t="s">
        <v>12</v>
      </c>
      <c r="D185" s="123">
        <v>0</v>
      </c>
      <c r="E185" s="124" t="s">
        <v>5</v>
      </c>
      <c r="F185" s="127">
        <v>0</v>
      </c>
      <c r="G185" s="124"/>
      <c r="H185" s="127">
        <v>76850</v>
      </c>
      <c r="I185" s="124" t="s">
        <v>2486</v>
      </c>
      <c r="J185" s="127">
        <v>95240</v>
      </c>
      <c r="K185" s="124" t="s">
        <v>2404</v>
      </c>
      <c r="L185" s="127">
        <v>76850</v>
      </c>
      <c r="M185" s="124" t="s">
        <v>2449</v>
      </c>
      <c r="N185" s="144">
        <f t="shared" si="7"/>
        <v>76850</v>
      </c>
      <c r="O185" s="124"/>
      <c r="P185" s="130"/>
    </row>
    <row r="186" spans="1:16" ht="30" customHeight="1" x14ac:dyDescent="0.3">
      <c r="A186" s="121" t="s">
        <v>168</v>
      </c>
      <c r="B186" s="121" t="s">
        <v>2444</v>
      </c>
      <c r="C186" s="122" t="s">
        <v>12</v>
      </c>
      <c r="D186" s="123">
        <v>0</v>
      </c>
      <c r="E186" s="124" t="s">
        <v>5</v>
      </c>
      <c r="F186" s="127">
        <v>0</v>
      </c>
      <c r="G186" s="124"/>
      <c r="H186" s="127">
        <v>83030</v>
      </c>
      <c r="I186" s="124" t="s">
        <v>2486</v>
      </c>
      <c r="J186" s="127">
        <v>114720</v>
      </c>
      <c r="K186" s="124" t="s">
        <v>2404</v>
      </c>
      <c r="L186" s="127">
        <v>83030</v>
      </c>
      <c r="M186" s="124" t="s">
        <v>2449</v>
      </c>
      <c r="N186" s="144">
        <f t="shared" si="7"/>
        <v>83030</v>
      </c>
      <c r="O186" s="124"/>
      <c r="P186" s="130"/>
    </row>
    <row r="187" spans="1:16" ht="30" customHeight="1" x14ac:dyDescent="0.3">
      <c r="A187" s="121" t="s">
        <v>168</v>
      </c>
      <c r="B187" s="121" t="s">
        <v>2445</v>
      </c>
      <c r="C187" s="122" t="s">
        <v>12</v>
      </c>
      <c r="D187" s="123">
        <v>0</v>
      </c>
      <c r="E187" s="124" t="s">
        <v>5</v>
      </c>
      <c r="F187" s="127">
        <v>0</v>
      </c>
      <c r="G187" s="124"/>
      <c r="H187" s="127">
        <v>104190</v>
      </c>
      <c r="I187" s="124" t="s">
        <v>2486</v>
      </c>
      <c r="J187" s="127">
        <v>129670</v>
      </c>
      <c r="K187" s="124" t="s">
        <v>2404</v>
      </c>
      <c r="L187" s="127">
        <v>104190</v>
      </c>
      <c r="M187" s="124" t="s">
        <v>2449</v>
      </c>
      <c r="N187" s="144">
        <f t="shared" si="7"/>
        <v>104190</v>
      </c>
      <c r="O187" s="124"/>
      <c r="P187" s="130"/>
    </row>
    <row r="188" spans="1:16" ht="30" customHeight="1" x14ac:dyDescent="0.3">
      <c r="A188" s="121" t="s">
        <v>168</v>
      </c>
      <c r="B188" s="121" t="s">
        <v>2446</v>
      </c>
      <c r="C188" s="122" t="s">
        <v>12</v>
      </c>
      <c r="D188" s="123">
        <v>0</v>
      </c>
      <c r="E188" s="124" t="s">
        <v>5</v>
      </c>
      <c r="F188" s="127">
        <v>0</v>
      </c>
      <c r="G188" s="124"/>
      <c r="H188" s="127">
        <v>112380</v>
      </c>
      <c r="I188" s="124" t="s">
        <v>2486</v>
      </c>
      <c r="J188" s="127">
        <v>141010</v>
      </c>
      <c r="K188" s="124" t="s">
        <v>2404</v>
      </c>
      <c r="L188" s="127">
        <v>112380</v>
      </c>
      <c r="M188" s="124" t="s">
        <v>2449</v>
      </c>
      <c r="N188" s="144">
        <f t="shared" si="7"/>
        <v>112380</v>
      </c>
      <c r="O188" s="124"/>
      <c r="P188" s="130"/>
    </row>
    <row r="189" spans="1:16" ht="30" customHeight="1" x14ac:dyDescent="0.3">
      <c r="A189" s="121" t="s">
        <v>168</v>
      </c>
      <c r="B189" s="121" t="s">
        <v>2447</v>
      </c>
      <c r="C189" s="122" t="s">
        <v>12</v>
      </c>
      <c r="D189" s="123">
        <v>0</v>
      </c>
      <c r="E189" s="124" t="s">
        <v>5</v>
      </c>
      <c r="F189" s="127">
        <v>0</v>
      </c>
      <c r="G189" s="124"/>
      <c r="H189" s="127">
        <v>124940</v>
      </c>
      <c r="I189" s="124" t="s">
        <v>2486</v>
      </c>
      <c r="J189" s="127">
        <v>155720</v>
      </c>
      <c r="K189" s="124" t="s">
        <v>2404</v>
      </c>
      <c r="L189" s="127">
        <v>124940</v>
      </c>
      <c r="M189" s="124" t="s">
        <v>2449</v>
      </c>
      <c r="N189" s="144">
        <f t="shared" si="7"/>
        <v>124940</v>
      </c>
      <c r="O189" s="124"/>
      <c r="P189" s="130"/>
    </row>
    <row r="190" spans="1:16" ht="30" customHeight="1" x14ac:dyDescent="0.3">
      <c r="A190" s="121" t="s">
        <v>168</v>
      </c>
      <c r="B190" s="121" t="s">
        <v>2448</v>
      </c>
      <c r="C190" s="122" t="s">
        <v>12</v>
      </c>
      <c r="D190" s="123">
        <v>0</v>
      </c>
      <c r="E190" s="124" t="s">
        <v>5</v>
      </c>
      <c r="F190" s="127">
        <v>0</v>
      </c>
      <c r="G190" s="124"/>
      <c r="H190" s="127">
        <v>133320</v>
      </c>
      <c r="I190" s="124" t="s">
        <v>2486</v>
      </c>
      <c r="J190" s="127">
        <v>171320</v>
      </c>
      <c r="K190" s="124" t="s">
        <v>2404</v>
      </c>
      <c r="L190" s="127">
        <v>133320</v>
      </c>
      <c r="M190" s="124" t="s">
        <v>2449</v>
      </c>
      <c r="N190" s="144">
        <f t="shared" ref="N190" si="12">SMALL(D190:L190,COUNTIF(D190:L190,0)+1)</f>
        <v>133320</v>
      </c>
      <c r="O190" s="124"/>
      <c r="P190" s="130"/>
    </row>
    <row r="191" spans="1:16" ht="30" customHeight="1" x14ac:dyDescent="0.3">
      <c r="A191" s="121" t="s">
        <v>168</v>
      </c>
      <c r="B191" s="121" t="s">
        <v>2456</v>
      </c>
      <c r="C191" s="122" t="s">
        <v>12</v>
      </c>
      <c r="D191" s="123">
        <v>0</v>
      </c>
      <c r="E191" s="124" t="s">
        <v>5</v>
      </c>
      <c r="F191" s="127">
        <v>0</v>
      </c>
      <c r="G191" s="124"/>
      <c r="H191" s="127">
        <v>30370</v>
      </c>
      <c r="I191" s="124" t="s">
        <v>2486</v>
      </c>
      <c r="J191" s="127">
        <v>14500</v>
      </c>
      <c r="K191" s="124" t="s">
        <v>2404</v>
      </c>
      <c r="L191" s="127">
        <v>30370</v>
      </c>
      <c r="M191" s="124" t="s">
        <v>2449</v>
      </c>
      <c r="N191" s="144">
        <f t="shared" ref="N191:N200" si="13">SMALL(D191:L191,COUNTIF(D191:L191,0)+1)</f>
        <v>14500</v>
      </c>
      <c r="O191" s="124"/>
      <c r="P191" s="130"/>
    </row>
    <row r="192" spans="1:16" ht="30" customHeight="1" x14ac:dyDescent="0.3">
      <c r="A192" s="121" t="s">
        <v>168</v>
      </c>
      <c r="B192" s="121" t="s">
        <v>2457</v>
      </c>
      <c r="C192" s="122" t="s">
        <v>12</v>
      </c>
      <c r="D192" s="123">
        <v>0</v>
      </c>
      <c r="E192" s="124" t="s">
        <v>5</v>
      </c>
      <c r="F192" s="127">
        <v>0</v>
      </c>
      <c r="G192" s="124"/>
      <c r="H192" s="127">
        <v>38350</v>
      </c>
      <c r="I192" s="124" t="s">
        <v>2486</v>
      </c>
      <c r="J192" s="127">
        <v>19390</v>
      </c>
      <c r="K192" s="124" t="s">
        <v>2404</v>
      </c>
      <c r="L192" s="127">
        <v>38350</v>
      </c>
      <c r="M192" s="124" t="s">
        <v>2449</v>
      </c>
      <c r="N192" s="144">
        <f t="shared" si="13"/>
        <v>19390</v>
      </c>
      <c r="O192" s="124"/>
      <c r="P192" s="130"/>
    </row>
    <row r="193" spans="1:16" ht="30" customHeight="1" x14ac:dyDescent="0.3">
      <c r="A193" s="121" t="s">
        <v>168</v>
      </c>
      <c r="B193" s="121" t="s">
        <v>2458</v>
      </c>
      <c r="C193" s="122" t="s">
        <v>12</v>
      </c>
      <c r="D193" s="123">
        <v>0</v>
      </c>
      <c r="E193" s="124" t="s">
        <v>5</v>
      </c>
      <c r="F193" s="127">
        <v>0</v>
      </c>
      <c r="G193" s="124"/>
      <c r="H193" s="127">
        <v>54330</v>
      </c>
      <c r="I193" s="124" t="s">
        <v>2486</v>
      </c>
      <c r="J193" s="127">
        <v>30860</v>
      </c>
      <c r="K193" s="124" t="s">
        <v>2404</v>
      </c>
      <c r="L193" s="127">
        <v>54330</v>
      </c>
      <c r="M193" s="124" t="s">
        <v>2449</v>
      </c>
      <c r="N193" s="144">
        <f t="shared" si="13"/>
        <v>30860</v>
      </c>
      <c r="O193" s="124"/>
      <c r="P193" s="130"/>
    </row>
    <row r="194" spans="1:16" ht="30" customHeight="1" x14ac:dyDescent="0.3">
      <c r="A194" s="121" t="s">
        <v>168</v>
      </c>
      <c r="B194" s="121" t="s">
        <v>2459</v>
      </c>
      <c r="C194" s="122" t="s">
        <v>12</v>
      </c>
      <c r="D194" s="123">
        <v>0</v>
      </c>
      <c r="E194" s="124" t="s">
        <v>5</v>
      </c>
      <c r="F194" s="127">
        <v>0</v>
      </c>
      <c r="G194" s="124"/>
      <c r="H194" s="127">
        <v>70280</v>
      </c>
      <c r="I194" s="124" t="s">
        <v>2486</v>
      </c>
      <c r="J194" s="127">
        <v>42450</v>
      </c>
      <c r="K194" s="124" t="s">
        <v>2404</v>
      </c>
      <c r="L194" s="127">
        <v>70280</v>
      </c>
      <c r="M194" s="124" t="s">
        <v>2449</v>
      </c>
      <c r="N194" s="144">
        <f t="shared" si="13"/>
        <v>42450</v>
      </c>
      <c r="O194" s="124"/>
      <c r="P194" s="130"/>
    </row>
    <row r="195" spans="1:16" ht="30" customHeight="1" x14ac:dyDescent="0.3">
      <c r="A195" s="121" t="s">
        <v>168</v>
      </c>
      <c r="B195" s="121" t="s">
        <v>2464</v>
      </c>
      <c r="C195" s="122" t="s">
        <v>12</v>
      </c>
      <c r="D195" s="123">
        <v>0</v>
      </c>
      <c r="E195" s="124" t="s">
        <v>5</v>
      </c>
      <c r="F195" s="127">
        <v>0</v>
      </c>
      <c r="G195" s="124"/>
      <c r="H195" s="127">
        <v>86250</v>
      </c>
      <c r="I195" s="124" t="s">
        <v>2486</v>
      </c>
      <c r="J195" s="127">
        <v>56830</v>
      </c>
      <c r="K195" s="124" t="s">
        <v>2404</v>
      </c>
      <c r="L195" s="127">
        <v>86250</v>
      </c>
      <c r="M195" s="124" t="s">
        <v>2449</v>
      </c>
      <c r="N195" s="144">
        <f t="shared" si="13"/>
        <v>56830</v>
      </c>
      <c r="O195" s="124"/>
      <c r="P195" s="130"/>
    </row>
    <row r="196" spans="1:16" ht="30" customHeight="1" x14ac:dyDescent="0.3">
      <c r="A196" s="121" t="s">
        <v>168</v>
      </c>
      <c r="B196" s="121" t="s">
        <v>2463</v>
      </c>
      <c r="C196" s="122" t="s">
        <v>12</v>
      </c>
      <c r="D196" s="123">
        <v>0</v>
      </c>
      <c r="E196" s="124" t="s">
        <v>5</v>
      </c>
      <c r="F196" s="127">
        <v>0</v>
      </c>
      <c r="G196" s="124"/>
      <c r="H196" s="127">
        <v>102230</v>
      </c>
      <c r="I196" s="124" t="s">
        <v>2486</v>
      </c>
      <c r="J196" s="127">
        <v>72800</v>
      </c>
      <c r="K196" s="124" t="s">
        <v>2404</v>
      </c>
      <c r="L196" s="127">
        <v>102230</v>
      </c>
      <c r="M196" s="124" t="s">
        <v>2449</v>
      </c>
      <c r="N196" s="144">
        <f t="shared" si="13"/>
        <v>72800</v>
      </c>
      <c r="O196" s="124"/>
      <c r="P196" s="130"/>
    </row>
    <row r="197" spans="1:16" ht="30" customHeight="1" x14ac:dyDescent="0.3">
      <c r="A197" s="121" t="s">
        <v>168</v>
      </c>
      <c r="B197" s="121" t="s">
        <v>2460</v>
      </c>
      <c r="C197" s="122" t="s">
        <v>12</v>
      </c>
      <c r="D197" s="123">
        <v>0</v>
      </c>
      <c r="E197" s="124" t="s">
        <v>5</v>
      </c>
      <c r="F197" s="127">
        <v>0</v>
      </c>
      <c r="G197" s="124"/>
      <c r="H197" s="127">
        <v>118200</v>
      </c>
      <c r="I197" s="124" t="s">
        <v>2486</v>
      </c>
      <c r="J197" s="127">
        <v>89570</v>
      </c>
      <c r="K197" s="124" t="s">
        <v>2404</v>
      </c>
      <c r="L197" s="127">
        <v>118200</v>
      </c>
      <c r="M197" s="124" t="s">
        <v>2449</v>
      </c>
      <c r="N197" s="144">
        <f t="shared" si="13"/>
        <v>89570</v>
      </c>
      <c r="O197" s="124"/>
      <c r="P197" s="130"/>
    </row>
    <row r="198" spans="1:16" ht="30" customHeight="1" x14ac:dyDescent="0.3">
      <c r="A198" s="121" t="s">
        <v>168</v>
      </c>
      <c r="B198" s="121" t="s">
        <v>2465</v>
      </c>
      <c r="C198" s="122" t="s">
        <v>12</v>
      </c>
      <c r="D198" s="123">
        <v>0</v>
      </c>
      <c r="E198" s="124" t="s">
        <v>5</v>
      </c>
      <c r="F198" s="127">
        <v>0</v>
      </c>
      <c r="G198" s="124"/>
      <c r="H198" s="127">
        <v>134180</v>
      </c>
      <c r="I198" s="124" t="s">
        <v>2486</v>
      </c>
      <c r="J198" s="127">
        <v>103980</v>
      </c>
      <c r="K198" s="124" t="s">
        <v>2404</v>
      </c>
      <c r="L198" s="127">
        <v>134180</v>
      </c>
      <c r="M198" s="124" t="s">
        <v>2449</v>
      </c>
      <c r="N198" s="144">
        <f t="shared" si="13"/>
        <v>103980</v>
      </c>
      <c r="O198" s="124"/>
      <c r="P198" s="130"/>
    </row>
    <row r="199" spans="1:16" ht="30" customHeight="1" x14ac:dyDescent="0.3">
      <c r="A199" s="121" t="s">
        <v>168</v>
      </c>
      <c r="B199" s="121" t="s">
        <v>2461</v>
      </c>
      <c r="C199" s="122" t="s">
        <v>12</v>
      </c>
      <c r="D199" s="123">
        <v>0</v>
      </c>
      <c r="E199" s="124" t="s">
        <v>5</v>
      </c>
      <c r="F199" s="127">
        <v>0</v>
      </c>
      <c r="G199" s="124"/>
      <c r="H199" s="127">
        <v>150140</v>
      </c>
      <c r="I199" s="124" t="s">
        <v>2486</v>
      </c>
      <c r="J199" s="127">
        <v>130030</v>
      </c>
      <c r="K199" s="124" t="s">
        <v>2404</v>
      </c>
      <c r="L199" s="127">
        <v>150140</v>
      </c>
      <c r="M199" s="124" t="s">
        <v>2449</v>
      </c>
      <c r="N199" s="144">
        <f t="shared" si="13"/>
        <v>130030</v>
      </c>
      <c r="O199" s="124"/>
      <c r="P199" s="139"/>
    </row>
    <row r="200" spans="1:16" ht="30" customHeight="1" x14ac:dyDescent="0.3">
      <c r="A200" s="121" t="s">
        <v>168</v>
      </c>
      <c r="B200" s="121" t="s">
        <v>2462</v>
      </c>
      <c r="C200" s="122" t="s">
        <v>12</v>
      </c>
      <c r="D200" s="123">
        <v>0</v>
      </c>
      <c r="E200" s="124" t="s">
        <v>5</v>
      </c>
      <c r="F200" s="127">
        <v>0</v>
      </c>
      <c r="G200" s="124"/>
      <c r="H200" s="127">
        <v>166120</v>
      </c>
      <c r="I200" s="124" t="s">
        <v>2486</v>
      </c>
      <c r="J200" s="127">
        <v>149390</v>
      </c>
      <c r="K200" s="124" t="s">
        <v>2404</v>
      </c>
      <c r="L200" s="127">
        <v>166120</v>
      </c>
      <c r="M200" s="124" t="s">
        <v>2449</v>
      </c>
      <c r="N200" s="144">
        <f t="shared" si="13"/>
        <v>149390</v>
      </c>
      <c r="O200" s="124"/>
      <c r="P200" s="139"/>
    </row>
    <row r="201" spans="1:16" ht="30" customHeight="1" x14ac:dyDescent="0.3">
      <c r="A201" s="121" t="s">
        <v>168</v>
      </c>
      <c r="B201" s="121" t="s">
        <v>2466</v>
      </c>
      <c r="C201" s="122" t="s">
        <v>12</v>
      </c>
      <c r="D201" s="123">
        <v>0</v>
      </c>
      <c r="E201" s="124" t="s">
        <v>5</v>
      </c>
      <c r="F201" s="127">
        <v>0</v>
      </c>
      <c r="G201" s="124"/>
      <c r="H201" s="127">
        <v>48410</v>
      </c>
      <c r="I201" s="124" t="s">
        <v>2486</v>
      </c>
      <c r="J201" s="127">
        <v>41900</v>
      </c>
      <c r="K201" s="124" t="s">
        <v>2404</v>
      </c>
      <c r="L201" s="127">
        <v>48410</v>
      </c>
      <c r="M201" s="124" t="s">
        <v>2449</v>
      </c>
      <c r="N201" s="144">
        <f t="shared" ref="N201:N210" si="14">SMALL(D201:L201,COUNTIF(D201:L201,0)+1)</f>
        <v>41900</v>
      </c>
      <c r="O201" s="124"/>
      <c r="P201" s="130"/>
    </row>
    <row r="202" spans="1:16" ht="30" customHeight="1" x14ac:dyDescent="0.3">
      <c r="A202" s="121" t="s">
        <v>168</v>
      </c>
      <c r="B202" s="121" t="s">
        <v>2467</v>
      </c>
      <c r="C202" s="122" t="s">
        <v>12</v>
      </c>
      <c r="D202" s="123">
        <v>0</v>
      </c>
      <c r="E202" s="124" t="s">
        <v>5</v>
      </c>
      <c r="F202" s="127">
        <v>0</v>
      </c>
      <c r="G202" s="124"/>
      <c r="H202" s="127">
        <v>61350</v>
      </c>
      <c r="I202" s="124" t="s">
        <v>2486</v>
      </c>
      <c r="J202" s="127">
        <v>49380</v>
      </c>
      <c r="K202" s="124" t="s">
        <v>2404</v>
      </c>
      <c r="L202" s="127">
        <v>61350</v>
      </c>
      <c r="M202" s="124" t="s">
        <v>2449</v>
      </c>
      <c r="N202" s="144">
        <f t="shared" si="14"/>
        <v>49380</v>
      </c>
      <c r="O202" s="124"/>
      <c r="P202" s="130"/>
    </row>
    <row r="203" spans="1:16" ht="30" customHeight="1" x14ac:dyDescent="0.3">
      <c r="A203" s="121" t="s">
        <v>168</v>
      </c>
      <c r="B203" s="121" t="s">
        <v>2468</v>
      </c>
      <c r="C203" s="122" t="s">
        <v>12</v>
      </c>
      <c r="D203" s="123">
        <v>0</v>
      </c>
      <c r="E203" s="124" t="s">
        <v>5</v>
      </c>
      <c r="F203" s="127">
        <v>0</v>
      </c>
      <c r="G203" s="124"/>
      <c r="H203" s="127">
        <v>75530</v>
      </c>
      <c r="I203" s="124" t="s">
        <v>2486</v>
      </c>
      <c r="J203" s="127">
        <v>68800</v>
      </c>
      <c r="K203" s="124" t="s">
        <v>2404</v>
      </c>
      <c r="L203" s="127">
        <v>75530</v>
      </c>
      <c r="M203" s="124" t="s">
        <v>2449</v>
      </c>
      <c r="N203" s="144">
        <f t="shared" si="14"/>
        <v>68800</v>
      </c>
      <c r="O203" s="124"/>
      <c r="P203" s="130"/>
    </row>
    <row r="204" spans="1:16" ht="30" customHeight="1" x14ac:dyDescent="0.3">
      <c r="A204" s="121" t="s">
        <v>168</v>
      </c>
      <c r="B204" s="121" t="s">
        <v>2469</v>
      </c>
      <c r="C204" s="122" t="s">
        <v>12</v>
      </c>
      <c r="D204" s="123">
        <v>0</v>
      </c>
      <c r="E204" s="124" t="s">
        <v>5</v>
      </c>
      <c r="F204" s="127">
        <v>0</v>
      </c>
      <c r="G204" s="124"/>
      <c r="H204" s="127">
        <v>89960</v>
      </c>
      <c r="I204" s="124" t="s">
        <v>2486</v>
      </c>
      <c r="J204" s="127">
        <v>85460</v>
      </c>
      <c r="K204" s="124" t="s">
        <v>2404</v>
      </c>
      <c r="L204" s="127">
        <v>89960</v>
      </c>
      <c r="M204" s="124" t="s">
        <v>2449</v>
      </c>
      <c r="N204" s="144">
        <f t="shared" si="14"/>
        <v>85460</v>
      </c>
      <c r="O204" s="124"/>
      <c r="P204" s="130"/>
    </row>
    <row r="205" spans="1:16" ht="30" customHeight="1" x14ac:dyDescent="0.3">
      <c r="A205" s="121" t="s">
        <v>168</v>
      </c>
      <c r="B205" s="121" t="s">
        <v>2470</v>
      </c>
      <c r="C205" s="122" t="s">
        <v>12</v>
      </c>
      <c r="D205" s="123">
        <v>0</v>
      </c>
      <c r="E205" s="124" t="s">
        <v>5</v>
      </c>
      <c r="F205" s="127">
        <v>0</v>
      </c>
      <c r="G205" s="124"/>
      <c r="H205" s="127">
        <v>108400</v>
      </c>
      <c r="I205" s="124" t="s">
        <v>2486</v>
      </c>
      <c r="J205" s="127">
        <v>108670</v>
      </c>
      <c r="K205" s="124" t="s">
        <v>2404</v>
      </c>
      <c r="L205" s="127">
        <v>108400</v>
      </c>
      <c r="M205" s="124" t="s">
        <v>2449</v>
      </c>
      <c r="N205" s="144">
        <f t="shared" si="14"/>
        <v>108400</v>
      </c>
      <c r="O205" s="124"/>
      <c r="P205" s="130"/>
    </row>
    <row r="206" spans="1:16" ht="30" customHeight="1" x14ac:dyDescent="0.3">
      <c r="A206" s="121" t="s">
        <v>168</v>
      </c>
      <c r="B206" s="121" t="s">
        <v>2471</v>
      </c>
      <c r="C206" s="122" t="s">
        <v>12</v>
      </c>
      <c r="D206" s="123">
        <v>0</v>
      </c>
      <c r="E206" s="124" t="s">
        <v>5</v>
      </c>
      <c r="F206" s="127">
        <v>0</v>
      </c>
      <c r="G206" s="124"/>
      <c r="H206" s="127">
        <v>120850</v>
      </c>
      <c r="I206" s="124" t="s">
        <v>2486</v>
      </c>
      <c r="J206" s="127">
        <v>130890</v>
      </c>
      <c r="K206" s="124" t="s">
        <v>2404</v>
      </c>
      <c r="L206" s="127">
        <v>120850</v>
      </c>
      <c r="M206" s="124" t="s">
        <v>2449</v>
      </c>
      <c r="N206" s="144">
        <f t="shared" si="14"/>
        <v>120850</v>
      </c>
      <c r="O206" s="124"/>
      <c r="P206" s="130"/>
    </row>
    <row r="207" spans="1:16" ht="30" customHeight="1" x14ac:dyDescent="0.3">
      <c r="A207" s="121" t="s">
        <v>168</v>
      </c>
      <c r="B207" s="121" t="s">
        <v>2472</v>
      </c>
      <c r="C207" s="122" t="s">
        <v>12</v>
      </c>
      <c r="D207" s="123">
        <v>0</v>
      </c>
      <c r="E207" s="124" t="s">
        <v>5</v>
      </c>
      <c r="F207" s="127">
        <v>0</v>
      </c>
      <c r="G207" s="124"/>
      <c r="H207" s="127">
        <v>141300</v>
      </c>
      <c r="I207" s="124" t="s">
        <v>2486</v>
      </c>
      <c r="J207" s="127">
        <v>157250</v>
      </c>
      <c r="K207" s="124" t="s">
        <v>2404</v>
      </c>
      <c r="L207" s="127">
        <v>141300</v>
      </c>
      <c r="M207" s="124" t="s">
        <v>2449</v>
      </c>
      <c r="N207" s="144">
        <f t="shared" si="14"/>
        <v>141300</v>
      </c>
      <c r="O207" s="124"/>
      <c r="P207" s="130"/>
    </row>
    <row r="208" spans="1:16" ht="30" customHeight="1" x14ac:dyDescent="0.3">
      <c r="A208" s="121" t="s">
        <v>168</v>
      </c>
      <c r="B208" s="121" t="s">
        <v>2473</v>
      </c>
      <c r="C208" s="122" t="s">
        <v>12</v>
      </c>
      <c r="D208" s="123">
        <v>0</v>
      </c>
      <c r="E208" s="124" t="s">
        <v>5</v>
      </c>
      <c r="F208" s="127">
        <v>0</v>
      </c>
      <c r="G208" s="124"/>
      <c r="H208" s="127">
        <v>171750</v>
      </c>
      <c r="I208" s="124" t="s">
        <v>2486</v>
      </c>
      <c r="J208" s="127">
        <v>179030</v>
      </c>
      <c r="K208" s="124" t="s">
        <v>2404</v>
      </c>
      <c r="L208" s="127">
        <v>171750</v>
      </c>
      <c r="M208" s="124" t="s">
        <v>2449</v>
      </c>
      <c r="N208" s="144">
        <f t="shared" si="14"/>
        <v>171750</v>
      </c>
      <c r="O208" s="124"/>
      <c r="P208" s="130"/>
    </row>
    <row r="209" spans="1:16" ht="30" customHeight="1" x14ac:dyDescent="0.3">
      <c r="A209" s="121" t="s">
        <v>168</v>
      </c>
      <c r="B209" s="121" t="s">
        <v>2474</v>
      </c>
      <c r="C209" s="122" t="s">
        <v>12</v>
      </c>
      <c r="D209" s="123">
        <v>0</v>
      </c>
      <c r="E209" s="124" t="s">
        <v>5</v>
      </c>
      <c r="F209" s="127">
        <v>0</v>
      </c>
      <c r="G209" s="124"/>
      <c r="H209" s="127">
        <v>192170</v>
      </c>
      <c r="I209" s="124" t="s">
        <v>2486</v>
      </c>
      <c r="J209" s="127">
        <v>217660</v>
      </c>
      <c r="K209" s="124" t="s">
        <v>2404</v>
      </c>
      <c r="L209" s="127">
        <v>192170</v>
      </c>
      <c r="M209" s="124" t="s">
        <v>2449</v>
      </c>
      <c r="N209" s="144">
        <f t="shared" si="14"/>
        <v>192170</v>
      </c>
      <c r="O209" s="124"/>
      <c r="P209" s="139"/>
    </row>
    <row r="210" spans="1:16" ht="30" customHeight="1" x14ac:dyDescent="0.3">
      <c r="A210" s="121" t="s">
        <v>168</v>
      </c>
      <c r="B210" s="121" t="s">
        <v>2475</v>
      </c>
      <c r="C210" s="122" t="s">
        <v>12</v>
      </c>
      <c r="D210" s="123">
        <v>0</v>
      </c>
      <c r="E210" s="124" t="s">
        <v>5</v>
      </c>
      <c r="F210" s="127">
        <v>0</v>
      </c>
      <c r="G210" s="124"/>
      <c r="H210" s="127">
        <v>212620</v>
      </c>
      <c r="I210" s="124" t="s">
        <v>2486</v>
      </c>
      <c r="J210" s="127">
        <v>243520</v>
      </c>
      <c r="K210" s="124" t="s">
        <v>2404</v>
      </c>
      <c r="L210" s="127">
        <v>212620</v>
      </c>
      <c r="M210" s="124" t="s">
        <v>2449</v>
      </c>
      <c r="N210" s="144">
        <f t="shared" si="14"/>
        <v>212620</v>
      </c>
      <c r="O210" s="124"/>
      <c r="P210" s="139"/>
    </row>
    <row r="211" spans="1:16" ht="30" customHeight="1" x14ac:dyDescent="0.3">
      <c r="A211" s="121" t="s">
        <v>168</v>
      </c>
      <c r="B211" s="121" t="s">
        <v>2476</v>
      </c>
      <c r="C211" s="122" t="s">
        <v>12</v>
      </c>
      <c r="D211" s="123">
        <v>0</v>
      </c>
      <c r="E211" s="124" t="s">
        <v>5</v>
      </c>
      <c r="F211" s="127">
        <v>0</v>
      </c>
      <c r="G211" s="124"/>
      <c r="H211" s="127">
        <v>54650</v>
      </c>
      <c r="I211" s="124" t="s">
        <v>2486</v>
      </c>
      <c r="J211" s="127">
        <v>67240</v>
      </c>
      <c r="K211" s="124" t="s">
        <v>2404</v>
      </c>
      <c r="L211" s="127">
        <v>54650</v>
      </c>
      <c r="M211" s="124" t="s">
        <v>2449</v>
      </c>
      <c r="N211" s="144">
        <f t="shared" ref="N211:N220" si="15">SMALL(D211:L211,COUNTIF(D211:L211,0)+1)</f>
        <v>54650</v>
      </c>
      <c r="O211" s="124"/>
      <c r="P211" s="130"/>
    </row>
    <row r="212" spans="1:16" ht="30" customHeight="1" x14ac:dyDescent="0.3">
      <c r="A212" s="121" t="s">
        <v>168</v>
      </c>
      <c r="B212" s="121" t="s">
        <v>2477</v>
      </c>
      <c r="C212" s="122" t="s">
        <v>12</v>
      </c>
      <c r="D212" s="123">
        <v>0</v>
      </c>
      <c r="E212" s="124" t="s">
        <v>5</v>
      </c>
      <c r="F212" s="127">
        <v>0</v>
      </c>
      <c r="G212" s="124"/>
      <c r="H212" s="127">
        <v>69000</v>
      </c>
      <c r="I212" s="124" t="s">
        <v>2486</v>
      </c>
      <c r="J212" s="127">
        <v>76230</v>
      </c>
      <c r="K212" s="124" t="s">
        <v>2404</v>
      </c>
      <c r="L212" s="127">
        <v>69000</v>
      </c>
      <c r="M212" s="124" t="s">
        <v>2449</v>
      </c>
      <c r="N212" s="144">
        <f t="shared" si="15"/>
        <v>69000</v>
      </c>
      <c r="O212" s="124"/>
      <c r="P212" s="130"/>
    </row>
    <row r="213" spans="1:16" ht="30" customHeight="1" x14ac:dyDescent="0.3">
      <c r="A213" s="121" t="s">
        <v>168</v>
      </c>
      <c r="B213" s="121" t="s">
        <v>2478</v>
      </c>
      <c r="C213" s="122" t="s">
        <v>12</v>
      </c>
      <c r="D213" s="123">
        <v>0</v>
      </c>
      <c r="E213" s="124" t="s">
        <v>5</v>
      </c>
      <c r="F213" s="127">
        <v>0</v>
      </c>
      <c r="G213" s="124"/>
      <c r="H213" s="127">
        <v>97780</v>
      </c>
      <c r="I213" s="124" t="s">
        <v>2486</v>
      </c>
      <c r="J213" s="127">
        <v>99230</v>
      </c>
      <c r="K213" s="124" t="s">
        <v>2404</v>
      </c>
      <c r="L213" s="127">
        <v>97780</v>
      </c>
      <c r="M213" s="124" t="s">
        <v>2449</v>
      </c>
      <c r="N213" s="144">
        <f t="shared" si="15"/>
        <v>97780</v>
      </c>
      <c r="O213" s="124"/>
      <c r="P213" s="130"/>
    </row>
    <row r="214" spans="1:16" ht="30" customHeight="1" x14ac:dyDescent="0.3">
      <c r="A214" s="121" t="s">
        <v>168</v>
      </c>
      <c r="B214" s="121" t="s">
        <v>2479</v>
      </c>
      <c r="C214" s="122" t="s">
        <v>12</v>
      </c>
      <c r="D214" s="123">
        <v>0</v>
      </c>
      <c r="E214" s="124" t="s">
        <v>5</v>
      </c>
      <c r="F214" s="127">
        <v>0</v>
      </c>
      <c r="G214" s="124"/>
      <c r="H214" s="127">
        <v>126500</v>
      </c>
      <c r="I214" s="124" t="s">
        <v>2486</v>
      </c>
      <c r="J214" s="127">
        <v>119360</v>
      </c>
      <c r="K214" s="124" t="s">
        <v>2404</v>
      </c>
      <c r="L214" s="127">
        <v>126500</v>
      </c>
      <c r="M214" s="124" t="s">
        <v>2449</v>
      </c>
      <c r="N214" s="144">
        <f t="shared" si="15"/>
        <v>119360</v>
      </c>
      <c r="O214" s="124"/>
      <c r="P214" s="130"/>
    </row>
    <row r="215" spans="1:16" ht="30" customHeight="1" x14ac:dyDescent="0.3">
      <c r="A215" s="121" t="s">
        <v>168</v>
      </c>
      <c r="B215" s="121" t="s">
        <v>2480</v>
      </c>
      <c r="C215" s="122" t="s">
        <v>12</v>
      </c>
      <c r="D215" s="123">
        <v>0</v>
      </c>
      <c r="E215" s="124" t="s">
        <v>5</v>
      </c>
      <c r="F215" s="127">
        <v>0</v>
      </c>
      <c r="G215" s="124"/>
      <c r="H215" s="127">
        <v>155250</v>
      </c>
      <c r="I215" s="124" t="s">
        <v>2486</v>
      </c>
      <c r="J215" s="127">
        <v>147280</v>
      </c>
      <c r="K215" s="124" t="s">
        <v>2404</v>
      </c>
      <c r="L215" s="127">
        <v>155250</v>
      </c>
      <c r="M215" s="124" t="s">
        <v>2449</v>
      </c>
      <c r="N215" s="144">
        <f t="shared" si="15"/>
        <v>147280</v>
      </c>
      <c r="O215" s="124"/>
      <c r="P215" s="130"/>
    </row>
    <row r="216" spans="1:16" ht="30" customHeight="1" x14ac:dyDescent="0.3">
      <c r="A216" s="121" t="s">
        <v>168</v>
      </c>
      <c r="B216" s="121" t="s">
        <v>2481</v>
      </c>
      <c r="C216" s="122" t="s">
        <v>12</v>
      </c>
      <c r="D216" s="123">
        <v>0</v>
      </c>
      <c r="E216" s="124" t="s">
        <v>5</v>
      </c>
      <c r="F216" s="127">
        <v>0</v>
      </c>
      <c r="G216" s="124"/>
      <c r="H216" s="127">
        <v>184020</v>
      </c>
      <c r="I216" s="124" t="s">
        <v>2486</v>
      </c>
      <c r="J216" s="127">
        <v>173500</v>
      </c>
      <c r="K216" s="124" t="s">
        <v>2404</v>
      </c>
      <c r="L216" s="127">
        <v>184020</v>
      </c>
      <c r="M216" s="124" t="s">
        <v>2449</v>
      </c>
      <c r="N216" s="144">
        <f t="shared" si="15"/>
        <v>173500</v>
      </c>
      <c r="O216" s="124"/>
      <c r="P216" s="130"/>
    </row>
    <row r="217" spans="1:16" ht="30" customHeight="1" x14ac:dyDescent="0.3">
      <c r="A217" s="121" t="s">
        <v>168</v>
      </c>
      <c r="B217" s="121" t="s">
        <v>2482</v>
      </c>
      <c r="C217" s="122" t="s">
        <v>12</v>
      </c>
      <c r="D217" s="123">
        <v>0</v>
      </c>
      <c r="E217" s="124" t="s">
        <v>5</v>
      </c>
      <c r="F217" s="127">
        <v>0</v>
      </c>
      <c r="G217" s="124"/>
      <c r="H217" s="127">
        <v>212770</v>
      </c>
      <c r="I217" s="124" t="s">
        <v>2486</v>
      </c>
      <c r="J217" s="127">
        <v>207550</v>
      </c>
      <c r="K217" s="124" t="s">
        <v>2404</v>
      </c>
      <c r="L217" s="127">
        <v>212770</v>
      </c>
      <c r="M217" s="124" t="s">
        <v>2449</v>
      </c>
      <c r="N217" s="144">
        <f t="shared" si="15"/>
        <v>207550</v>
      </c>
      <c r="O217" s="124"/>
      <c r="P217" s="130"/>
    </row>
    <row r="218" spans="1:16" ht="30" customHeight="1" x14ac:dyDescent="0.3">
      <c r="A218" s="121" t="s">
        <v>168</v>
      </c>
      <c r="B218" s="121" t="s">
        <v>2483</v>
      </c>
      <c r="C218" s="122" t="s">
        <v>12</v>
      </c>
      <c r="D218" s="123">
        <v>0</v>
      </c>
      <c r="E218" s="124" t="s">
        <v>5</v>
      </c>
      <c r="F218" s="127">
        <v>0</v>
      </c>
      <c r="G218" s="124"/>
      <c r="H218" s="127">
        <v>241530</v>
      </c>
      <c r="I218" s="124" t="s">
        <v>2486</v>
      </c>
      <c r="J218" s="127">
        <v>228840</v>
      </c>
      <c r="K218" s="124" t="s">
        <v>2404</v>
      </c>
      <c r="L218" s="127">
        <v>241530</v>
      </c>
      <c r="M218" s="124" t="s">
        <v>2449</v>
      </c>
      <c r="N218" s="144">
        <f t="shared" si="15"/>
        <v>228840</v>
      </c>
      <c r="O218" s="124"/>
      <c r="P218" s="130"/>
    </row>
    <row r="219" spans="1:16" ht="30" customHeight="1" x14ac:dyDescent="0.3">
      <c r="A219" s="121" t="s">
        <v>168</v>
      </c>
      <c r="B219" s="121" t="s">
        <v>2484</v>
      </c>
      <c r="C219" s="122" t="s">
        <v>12</v>
      </c>
      <c r="D219" s="123">
        <v>0</v>
      </c>
      <c r="E219" s="124" t="s">
        <v>5</v>
      </c>
      <c r="F219" s="127">
        <v>0</v>
      </c>
      <c r="G219" s="124"/>
      <c r="H219" s="127">
        <v>270240</v>
      </c>
      <c r="I219" s="124" t="s">
        <v>2486</v>
      </c>
      <c r="J219" s="127">
        <v>270470</v>
      </c>
      <c r="K219" s="124" t="s">
        <v>2404</v>
      </c>
      <c r="L219" s="127">
        <v>270240</v>
      </c>
      <c r="M219" s="124" t="s">
        <v>2449</v>
      </c>
      <c r="N219" s="144">
        <f t="shared" si="15"/>
        <v>270240</v>
      </c>
      <c r="O219" s="124"/>
      <c r="P219" s="139"/>
    </row>
    <row r="220" spans="1:16" ht="30" customHeight="1" x14ac:dyDescent="0.3">
      <c r="A220" s="121" t="s">
        <v>168</v>
      </c>
      <c r="B220" s="121" t="s">
        <v>2485</v>
      </c>
      <c r="C220" s="122" t="s">
        <v>12</v>
      </c>
      <c r="D220" s="123">
        <v>0</v>
      </c>
      <c r="E220" s="124" t="s">
        <v>5</v>
      </c>
      <c r="F220" s="127">
        <v>0</v>
      </c>
      <c r="G220" s="124"/>
      <c r="H220" s="127">
        <v>299000</v>
      </c>
      <c r="I220" s="124" t="s">
        <v>2486</v>
      </c>
      <c r="J220" s="127">
        <v>301170</v>
      </c>
      <c r="K220" s="124" t="s">
        <v>2404</v>
      </c>
      <c r="L220" s="127">
        <v>299000</v>
      </c>
      <c r="M220" s="124" t="s">
        <v>2449</v>
      </c>
      <c r="N220" s="144">
        <f t="shared" si="15"/>
        <v>299000</v>
      </c>
      <c r="O220" s="124"/>
      <c r="P220" s="139"/>
    </row>
    <row r="221" spans="1:16" ht="30" customHeight="1" x14ac:dyDescent="0.3">
      <c r="A221" s="121" t="s">
        <v>2045</v>
      </c>
      <c r="B221" s="121" t="s">
        <v>169</v>
      </c>
      <c r="C221" s="122" t="s">
        <v>12</v>
      </c>
      <c r="D221" s="134">
        <v>1006</v>
      </c>
      <c r="E221" s="124" t="s">
        <v>5</v>
      </c>
      <c r="F221" s="127">
        <v>0</v>
      </c>
      <c r="G221" s="124"/>
      <c r="H221" s="127">
        <v>0</v>
      </c>
      <c r="I221" s="124"/>
      <c r="J221" s="127">
        <v>0</v>
      </c>
      <c r="K221" s="124" t="s">
        <v>5</v>
      </c>
      <c r="L221" s="127">
        <v>0</v>
      </c>
      <c r="M221" s="124" t="s">
        <v>5</v>
      </c>
      <c r="N221" s="144">
        <f t="shared" ref="N221" si="16">SMALL(D221:L221,COUNTIF(D221:L221,0)+1)</f>
        <v>1006</v>
      </c>
      <c r="O221" s="124"/>
      <c r="P221" s="139"/>
    </row>
    <row r="222" spans="1:16" ht="30" customHeight="1" x14ac:dyDescent="0.3">
      <c r="A222" s="131" t="s">
        <v>168</v>
      </c>
      <c r="B222" s="131" t="s">
        <v>1970</v>
      </c>
      <c r="C222" s="132" t="s">
        <v>14</v>
      </c>
      <c r="D222" s="148">
        <v>1392</v>
      </c>
      <c r="E222" s="128" t="s">
        <v>5</v>
      </c>
      <c r="F222" s="127">
        <v>0</v>
      </c>
      <c r="G222" s="128"/>
      <c r="H222" s="127">
        <v>0</v>
      </c>
      <c r="I222" s="128"/>
      <c r="J222" s="127">
        <v>0</v>
      </c>
      <c r="K222" s="128"/>
      <c r="L222" s="127">
        <v>0</v>
      </c>
      <c r="M222" s="128" t="s">
        <v>5</v>
      </c>
      <c r="N222" s="135">
        <f t="shared" ref="N222:N228" si="17">SMALL(D222:L222,COUNTIF(D222:L222,0)+1)</f>
        <v>1392</v>
      </c>
      <c r="O222" s="124"/>
      <c r="P222" s="139"/>
    </row>
    <row r="223" spans="1:16" ht="30" customHeight="1" x14ac:dyDescent="0.3">
      <c r="A223" s="121" t="s">
        <v>2045</v>
      </c>
      <c r="B223" s="121" t="s">
        <v>170</v>
      </c>
      <c r="C223" s="122" t="s">
        <v>12</v>
      </c>
      <c r="D223" s="134">
        <v>77</v>
      </c>
      <c r="E223" s="124" t="s">
        <v>5</v>
      </c>
      <c r="F223" s="127">
        <v>0</v>
      </c>
      <c r="G223" s="124"/>
      <c r="H223" s="127">
        <v>0</v>
      </c>
      <c r="I223" s="124"/>
      <c r="J223" s="127">
        <v>0</v>
      </c>
      <c r="K223" s="124" t="s">
        <v>5</v>
      </c>
      <c r="L223" s="127">
        <v>0</v>
      </c>
      <c r="M223" s="124" t="s">
        <v>5</v>
      </c>
      <c r="N223" s="144">
        <f t="shared" si="17"/>
        <v>77</v>
      </c>
      <c r="O223" s="124"/>
      <c r="P223" s="124"/>
    </row>
    <row r="224" spans="1:16" ht="30" customHeight="1" x14ac:dyDescent="0.3">
      <c r="A224" s="121" t="s">
        <v>2045</v>
      </c>
      <c r="B224" s="121" t="s">
        <v>2046</v>
      </c>
      <c r="C224" s="122" t="s">
        <v>12</v>
      </c>
      <c r="D224" s="134">
        <v>1744</v>
      </c>
      <c r="E224" s="124" t="s">
        <v>5</v>
      </c>
      <c r="F224" s="127">
        <v>0</v>
      </c>
      <c r="G224" s="124"/>
      <c r="H224" s="127">
        <v>0</v>
      </c>
      <c r="I224" s="124"/>
      <c r="J224" s="127">
        <v>0</v>
      </c>
      <c r="K224" s="124" t="s">
        <v>5</v>
      </c>
      <c r="L224" s="127">
        <v>0</v>
      </c>
      <c r="M224" s="124" t="s">
        <v>5</v>
      </c>
      <c r="N224" s="144">
        <f t="shared" si="17"/>
        <v>1744</v>
      </c>
      <c r="O224" s="124"/>
      <c r="P224" s="124"/>
    </row>
    <row r="225" spans="1:16" ht="30" customHeight="1" x14ac:dyDescent="0.3">
      <c r="A225" s="121" t="s">
        <v>2045</v>
      </c>
      <c r="B225" s="121" t="s">
        <v>2047</v>
      </c>
      <c r="C225" s="122" t="s">
        <v>12</v>
      </c>
      <c r="D225" s="134">
        <v>2536</v>
      </c>
      <c r="E225" s="124" t="s">
        <v>5</v>
      </c>
      <c r="F225" s="127">
        <v>0</v>
      </c>
      <c r="G225" s="124"/>
      <c r="H225" s="127">
        <v>0</v>
      </c>
      <c r="I225" s="124"/>
      <c r="J225" s="127">
        <v>0</v>
      </c>
      <c r="K225" s="124" t="s">
        <v>5</v>
      </c>
      <c r="L225" s="127">
        <v>0</v>
      </c>
      <c r="M225" s="124" t="s">
        <v>5</v>
      </c>
      <c r="N225" s="144">
        <f t="shared" si="17"/>
        <v>2536</v>
      </c>
      <c r="O225" s="124"/>
      <c r="P225" s="124"/>
    </row>
    <row r="226" spans="1:16" ht="30" customHeight="1" x14ac:dyDescent="0.3">
      <c r="A226" s="121" t="s">
        <v>2045</v>
      </c>
      <c r="B226" s="121" t="s">
        <v>2048</v>
      </c>
      <c r="C226" s="122" t="s">
        <v>12</v>
      </c>
      <c r="D226" s="134">
        <v>3471</v>
      </c>
      <c r="E226" s="124" t="s">
        <v>5</v>
      </c>
      <c r="F226" s="127">
        <v>0</v>
      </c>
      <c r="G226" s="124"/>
      <c r="H226" s="127">
        <v>0</v>
      </c>
      <c r="I226" s="124"/>
      <c r="J226" s="127">
        <v>0</v>
      </c>
      <c r="K226" s="124" t="s">
        <v>5</v>
      </c>
      <c r="L226" s="127">
        <v>0</v>
      </c>
      <c r="M226" s="124" t="s">
        <v>5</v>
      </c>
      <c r="N226" s="144">
        <f t="shared" si="17"/>
        <v>3471</v>
      </c>
      <c r="O226" s="124"/>
      <c r="P226" s="124"/>
    </row>
    <row r="227" spans="1:16" ht="30" customHeight="1" x14ac:dyDescent="0.3">
      <c r="A227" s="121" t="s">
        <v>2045</v>
      </c>
      <c r="B227" s="121" t="s">
        <v>171</v>
      </c>
      <c r="C227" s="122" t="s">
        <v>12</v>
      </c>
      <c r="D227" s="134">
        <v>755</v>
      </c>
      <c r="E227" s="124" t="s">
        <v>5</v>
      </c>
      <c r="F227" s="127">
        <v>0</v>
      </c>
      <c r="G227" s="124"/>
      <c r="H227" s="127">
        <v>0</v>
      </c>
      <c r="I227" s="124"/>
      <c r="J227" s="127">
        <v>0</v>
      </c>
      <c r="K227" s="124" t="s">
        <v>5</v>
      </c>
      <c r="L227" s="127">
        <v>0</v>
      </c>
      <c r="M227" s="124" t="s">
        <v>5</v>
      </c>
      <c r="N227" s="144">
        <f t="shared" si="17"/>
        <v>755</v>
      </c>
      <c r="O227" s="124"/>
      <c r="P227" s="124"/>
    </row>
    <row r="228" spans="1:16" ht="30" customHeight="1" x14ac:dyDescent="0.3">
      <c r="A228" s="121" t="s">
        <v>2045</v>
      </c>
      <c r="B228" s="121" t="s">
        <v>172</v>
      </c>
      <c r="C228" s="122" t="s">
        <v>14</v>
      </c>
      <c r="D228" s="134">
        <v>6176</v>
      </c>
      <c r="E228" s="124" t="s">
        <v>5</v>
      </c>
      <c r="F228" s="127">
        <v>0</v>
      </c>
      <c r="G228" s="124" t="s">
        <v>5</v>
      </c>
      <c r="H228" s="127">
        <v>0</v>
      </c>
      <c r="I228" s="124" t="s">
        <v>5</v>
      </c>
      <c r="J228" s="127">
        <v>0</v>
      </c>
      <c r="K228" s="124" t="s">
        <v>5</v>
      </c>
      <c r="L228" s="127">
        <v>0</v>
      </c>
      <c r="M228" s="124" t="s">
        <v>5</v>
      </c>
      <c r="N228" s="144">
        <f t="shared" si="17"/>
        <v>6176</v>
      </c>
      <c r="O228" s="124"/>
      <c r="P228" s="124"/>
    </row>
    <row r="229" spans="1:16" ht="30" customHeight="1" x14ac:dyDescent="0.3">
      <c r="A229" s="121" t="s">
        <v>173</v>
      </c>
      <c r="B229" s="121" t="s">
        <v>2049</v>
      </c>
      <c r="C229" s="122" t="s">
        <v>12</v>
      </c>
      <c r="D229" s="123">
        <v>0</v>
      </c>
      <c r="E229" s="124" t="s">
        <v>5</v>
      </c>
      <c r="F229" s="126">
        <v>1450</v>
      </c>
      <c r="G229" s="124" t="s">
        <v>2050</v>
      </c>
      <c r="H229" s="126">
        <v>1160</v>
      </c>
      <c r="I229" s="124" t="s">
        <v>2051</v>
      </c>
      <c r="J229" s="127">
        <v>0</v>
      </c>
      <c r="K229" s="124" t="s">
        <v>5</v>
      </c>
      <c r="L229" s="127">
        <v>0</v>
      </c>
      <c r="M229" s="124" t="s">
        <v>5</v>
      </c>
      <c r="N229" s="144">
        <f t="shared" ref="N229:N237" si="18">SMALL(D229:L229,COUNTIF(D229:L229,0)+1)</f>
        <v>1160</v>
      </c>
      <c r="O229" s="124"/>
      <c r="P229" s="124"/>
    </row>
    <row r="230" spans="1:16" ht="30" customHeight="1" x14ac:dyDescent="0.3">
      <c r="A230" s="121" t="s">
        <v>174</v>
      </c>
      <c r="B230" s="121" t="s">
        <v>175</v>
      </c>
      <c r="C230" s="122" t="s">
        <v>12</v>
      </c>
      <c r="D230" s="123">
        <v>0</v>
      </c>
      <c r="E230" s="124" t="s">
        <v>5</v>
      </c>
      <c r="F230" s="126">
        <v>30</v>
      </c>
      <c r="G230" s="124" t="s">
        <v>2052</v>
      </c>
      <c r="H230" s="126">
        <v>21.3</v>
      </c>
      <c r="I230" s="124" t="s">
        <v>746</v>
      </c>
      <c r="J230" s="127">
        <v>0</v>
      </c>
      <c r="K230" s="124" t="s">
        <v>5</v>
      </c>
      <c r="L230" s="127">
        <v>0</v>
      </c>
      <c r="M230" s="124" t="s">
        <v>5</v>
      </c>
      <c r="N230" s="144">
        <f t="shared" si="18"/>
        <v>21.3</v>
      </c>
      <c r="O230" s="124"/>
      <c r="P230" s="124"/>
    </row>
    <row r="231" spans="1:16" ht="30" customHeight="1" x14ac:dyDescent="0.3">
      <c r="A231" s="121" t="s">
        <v>2053</v>
      </c>
      <c r="B231" s="121" t="s">
        <v>176</v>
      </c>
      <c r="C231" s="122" t="s">
        <v>12</v>
      </c>
      <c r="D231" s="123">
        <v>0</v>
      </c>
      <c r="E231" s="124" t="s">
        <v>5</v>
      </c>
      <c r="F231" s="126">
        <v>33.68</v>
      </c>
      <c r="G231" s="124" t="s">
        <v>928</v>
      </c>
      <c r="H231" s="126">
        <v>84</v>
      </c>
      <c r="I231" s="124" t="s">
        <v>2054</v>
      </c>
      <c r="J231" s="127">
        <v>0</v>
      </c>
      <c r="K231" s="124" t="s">
        <v>5</v>
      </c>
      <c r="L231" s="127">
        <v>0</v>
      </c>
      <c r="M231" s="124" t="s">
        <v>5</v>
      </c>
      <c r="N231" s="144">
        <f t="shared" si="18"/>
        <v>33.68</v>
      </c>
      <c r="O231" s="124"/>
      <c r="P231" s="124"/>
    </row>
    <row r="232" spans="1:16" ht="30" customHeight="1" x14ac:dyDescent="0.3">
      <c r="A232" s="121" t="s">
        <v>177</v>
      </c>
      <c r="B232" s="121" t="s">
        <v>2055</v>
      </c>
      <c r="C232" s="122" t="s">
        <v>12</v>
      </c>
      <c r="D232" s="123">
        <v>0</v>
      </c>
      <c r="E232" s="124" t="s">
        <v>5</v>
      </c>
      <c r="F232" s="126">
        <v>9.6</v>
      </c>
      <c r="G232" s="124" t="s">
        <v>2056</v>
      </c>
      <c r="H232" s="126">
        <v>9.3000000000000007</v>
      </c>
      <c r="I232" s="124" t="s">
        <v>746</v>
      </c>
      <c r="J232" s="127">
        <v>0</v>
      </c>
      <c r="K232" s="124" t="s">
        <v>5</v>
      </c>
      <c r="L232" s="127">
        <v>0</v>
      </c>
      <c r="M232" s="124" t="s">
        <v>5</v>
      </c>
      <c r="N232" s="144">
        <f t="shared" si="18"/>
        <v>9.3000000000000007</v>
      </c>
      <c r="O232" s="124"/>
      <c r="P232" s="124"/>
    </row>
    <row r="233" spans="1:16" ht="30" customHeight="1" x14ac:dyDescent="0.3">
      <c r="A233" s="121" t="s">
        <v>178</v>
      </c>
      <c r="B233" s="121" t="s">
        <v>1279</v>
      </c>
      <c r="C233" s="122" t="s">
        <v>12</v>
      </c>
      <c r="D233" s="123">
        <v>0</v>
      </c>
      <c r="E233" s="124" t="s">
        <v>5</v>
      </c>
      <c r="F233" s="126">
        <v>170</v>
      </c>
      <c r="G233" s="124" t="s">
        <v>2056</v>
      </c>
      <c r="H233" s="126">
        <v>160</v>
      </c>
      <c r="I233" s="124" t="s">
        <v>747</v>
      </c>
      <c r="J233" s="127">
        <v>0</v>
      </c>
      <c r="K233" s="124" t="s">
        <v>5</v>
      </c>
      <c r="L233" s="127">
        <v>0</v>
      </c>
      <c r="M233" s="124" t="s">
        <v>5</v>
      </c>
      <c r="N233" s="144">
        <f t="shared" si="18"/>
        <v>160</v>
      </c>
      <c r="O233" s="124"/>
      <c r="P233" s="124"/>
    </row>
    <row r="234" spans="1:16" ht="30" customHeight="1" x14ac:dyDescent="0.3">
      <c r="A234" s="121" t="s">
        <v>179</v>
      </c>
      <c r="B234" s="121" t="s">
        <v>180</v>
      </c>
      <c r="C234" s="122" t="s">
        <v>12</v>
      </c>
      <c r="D234" s="123">
        <v>0</v>
      </c>
      <c r="E234" s="124" t="s">
        <v>5</v>
      </c>
      <c r="F234" s="127">
        <v>0</v>
      </c>
      <c r="G234" s="124" t="s">
        <v>5</v>
      </c>
      <c r="H234" s="126">
        <v>100</v>
      </c>
      <c r="I234" s="124" t="s">
        <v>748</v>
      </c>
      <c r="J234" s="127">
        <v>0</v>
      </c>
      <c r="K234" s="124" t="s">
        <v>5</v>
      </c>
      <c r="L234" s="127">
        <v>0</v>
      </c>
      <c r="M234" s="124" t="s">
        <v>5</v>
      </c>
      <c r="N234" s="144">
        <f t="shared" si="18"/>
        <v>100</v>
      </c>
      <c r="O234" s="124"/>
      <c r="P234" s="124"/>
    </row>
    <row r="235" spans="1:16" ht="30" customHeight="1" x14ac:dyDescent="0.3">
      <c r="A235" s="121" t="s">
        <v>1108</v>
      </c>
      <c r="B235" s="121" t="s">
        <v>180</v>
      </c>
      <c r="C235" s="122" t="s">
        <v>12</v>
      </c>
      <c r="D235" s="123">
        <v>0</v>
      </c>
      <c r="E235" s="124" t="s">
        <v>5</v>
      </c>
      <c r="F235" s="127">
        <v>0</v>
      </c>
      <c r="G235" s="124" t="s">
        <v>5</v>
      </c>
      <c r="H235" s="126">
        <v>100</v>
      </c>
      <c r="I235" s="124" t="s">
        <v>748</v>
      </c>
      <c r="J235" s="127">
        <v>0</v>
      </c>
      <c r="K235" s="124" t="s">
        <v>5</v>
      </c>
      <c r="L235" s="127">
        <v>0</v>
      </c>
      <c r="M235" s="124" t="s">
        <v>5</v>
      </c>
      <c r="N235" s="144">
        <f t="shared" si="18"/>
        <v>100</v>
      </c>
      <c r="O235" s="124"/>
      <c r="P235" s="124"/>
    </row>
    <row r="236" spans="1:16" ht="30" customHeight="1" x14ac:dyDescent="0.3">
      <c r="A236" s="121" t="s">
        <v>181</v>
      </c>
      <c r="B236" s="121" t="s">
        <v>2057</v>
      </c>
      <c r="C236" s="122" t="s">
        <v>12</v>
      </c>
      <c r="D236" s="123">
        <v>0</v>
      </c>
      <c r="E236" s="124" t="s">
        <v>5</v>
      </c>
      <c r="F236" s="127">
        <v>0</v>
      </c>
      <c r="G236" s="124" t="s">
        <v>5</v>
      </c>
      <c r="H236" s="126">
        <v>500</v>
      </c>
      <c r="I236" s="124" t="s">
        <v>748</v>
      </c>
      <c r="J236" s="127">
        <v>0</v>
      </c>
      <c r="K236" s="124" t="s">
        <v>5</v>
      </c>
      <c r="L236" s="127">
        <v>0</v>
      </c>
      <c r="M236" s="124" t="s">
        <v>5</v>
      </c>
      <c r="N236" s="144">
        <f t="shared" si="18"/>
        <v>500</v>
      </c>
      <c r="O236" s="124"/>
      <c r="P236" s="124"/>
    </row>
    <row r="237" spans="1:16" ht="30" customHeight="1" x14ac:dyDescent="0.3">
      <c r="A237" s="121" t="s">
        <v>181</v>
      </c>
      <c r="B237" s="121" t="s">
        <v>180</v>
      </c>
      <c r="C237" s="122" t="s">
        <v>12</v>
      </c>
      <c r="D237" s="123">
        <v>0</v>
      </c>
      <c r="E237" s="124" t="s">
        <v>5</v>
      </c>
      <c r="F237" s="127">
        <v>0</v>
      </c>
      <c r="G237" s="124" t="s">
        <v>5</v>
      </c>
      <c r="H237" s="126">
        <v>590</v>
      </c>
      <c r="I237" s="124" t="s">
        <v>748</v>
      </c>
      <c r="J237" s="127">
        <v>0</v>
      </c>
      <c r="K237" s="124" t="s">
        <v>5</v>
      </c>
      <c r="L237" s="127">
        <v>0</v>
      </c>
      <c r="M237" s="124" t="s">
        <v>5</v>
      </c>
      <c r="N237" s="144">
        <f t="shared" si="18"/>
        <v>590</v>
      </c>
      <c r="O237" s="124"/>
      <c r="P237" s="124"/>
    </row>
    <row r="238" spans="1:16" ht="30" customHeight="1" x14ac:dyDescent="0.3">
      <c r="A238" s="131" t="s">
        <v>2450</v>
      </c>
      <c r="B238" s="131" t="s">
        <v>2451</v>
      </c>
      <c r="C238" s="132" t="s">
        <v>12</v>
      </c>
      <c r="D238" s="123">
        <v>0</v>
      </c>
      <c r="E238" s="128" t="s">
        <v>5</v>
      </c>
      <c r="F238" s="127">
        <v>0</v>
      </c>
      <c r="G238" s="128"/>
      <c r="H238" s="127">
        <v>0</v>
      </c>
      <c r="I238" s="128"/>
      <c r="J238" s="127">
        <v>0</v>
      </c>
      <c r="K238" s="124" t="s">
        <v>5</v>
      </c>
      <c r="L238" s="127">
        <v>42000</v>
      </c>
      <c r="M238" s="124" t="s">
        <v>2449</v>
      </c>
      <c r="N238" s="135">
        <f t="shared" ref="N238:N241" si="19">SMALL(D238:L238,COUNTIF(D238:L238,0)+1)</f>
        <v>42000</v>
      </c>
      <c r="O238" s="124"/>
      <c r="P238" s="124"/>
    </row>
    <row r="239" spans="1:16" ht="30" customHeight="1" x14ac:dyDescent="0.3">
      <c r="A239" s="131" t="s">
        <v>2450</v>
      </c>
      <c r="B239" s="131" t="s">
        <v>855</v>
      </c>
      <c r="C239" s="132" t="s">
        <v>12</v>
      </c>
      <c r="D239" s="123">
        <v>0</v>
      </c>
      <c r="E239" s="128" t="s">
        <v>5</v>
      </c>
      <c r="F239" s="127">
        <v>0</v>
      </c>
      <c r="G239" s="128"/>
      <c r="H239" s="127">
        <v>0</v>
      </c>
      <c r="I239" s="128"/>
      <c r="J239" s="127">
        <v>0</v>
      </c>
      <c r="K239" s="124" t="s">
        <v>5</v>
      </c>
      <c r="L239" s="127">
        <v>45000</v>
      </c>
      <c r="M239" s="124" t="s">
        <v>2449</v>
      </c>
      <c r="N239" s="135">
        <f t="shared" ref="N239:N240" si="20">SMALL(D239:L239,COUNTIF(D239:L239,0)+1)</f>
        <v>45000</v>
      </c>
      <c r="O239" s="124"/>
      <c r="P239" s="124"/>
    </row>
    <row r="240" spans="1:16" ht="30" customHeight="1" x14ac:dyDescent="0.3">
      <c r="A240" s="131" t="s">
        <v>2450</v>
      </c>
      <c r="B240" s="131" t="s">
        <v>2452</v>
      </c>
      <c r="C240" s="132" t="s">
        <v>12</v>
      </c>
      <c r="D240" s="123">
        <v>0</v>
      </c>
      <c r="E240" s="128" t="s">
        <v>5</v>
      </c>
      <c r="F240" s="127">
        <v>0</v>
      </c>
      <c r="G240" s="128"/>
      <c r="H240" s="127">
        <v>0</v>
      </c>
      <c r="I240" s="128"/>
      <c r="J240" s="127">
        <v>0</v>
      </c>
      <c r="K240" s="124" t="s">
        <v>5</v>
      </c>
      <c r="L240" s="127">
        <v>55000</v>
      </c>
      <c r="M240" s="124" t="s">
        <v>2449</v>
      </c>
      <c r="N240" s="135">
        <f t="shared" si="20"/>
        <v>55000</v>
      </c>
      <c r="O240" s="124"/>
      <c r="P240" s="124"/>
    </row>
    <row r="241" spans="1:16" ht="30" customHeight="1" x14ac:dyDescent="0.3">
      <c r="A241" s="131" t="s">
        <v>2453</v>
      </c>
      <c r="B241" s="131" t="s">
        <v>856</v>
      </c>
      <c r="C241" s="132" t="s">
        <v>12</v>
      </c>
      <c r="D241" s="123">
        <v>0</v>
      </c>
      <c r="E241" s="128" t="s">
        <v>5</v>
      </c>
      <c r="F241" s="127">
        <v>0</v>
      </c>
      <c r="G241" s="128"/>
      <c r="H241" s="127">
        <v>0</v>
      </c>
      <c r="I241" s="128"/>
      <c r="J241" s="127">
        <v>0</v>
      </c>
      <c r="K241" s="128"/>
      <c r="L241" s="127">
        <v>41000</v>
      </c>
      <c r="M241" s="124" t="s">
        <v>2449</v>
      </c>
      <c r="N241" s="135">
        <f t="shared" si="19"/>
        <v>41000</v>
      </c>
      <c r="O241" s="124"/>
      <c r="P241" s="124"/>
    </row>
    <row r="242" spans="1:16" ht="30" customHeight="1" x14ac:dyDescent="0.3">
      <c r="A242" s="131" t="s">
        <v>2453</v>
      </c>
      <c r="B242" s="131" t="s">
        <v>2454</v>
      </c>
      <c r="C242" s="132" t="s">
        <v>12</v>
      </c>
      <c r="D242" s="123">
        <v>0</v>
      </c>
      <c r="E242" s="128" t="s">
        <v>5</v>
      </c>
      <c r="F242" s="127">
        <v>0</v>
      </c>
      <c r="G242" s="128"/>
      <c r="H242" s="127">
        <v>0</v>
      </c>
      <c r="I242" s="128"/>
      <c r="J242" s="127">
        <v>0</v>
      </c>
      <c r="K242" s="128"/>
      <c r="L242" s="127">
        <v>44000</v>
      </c>
      <c r="M242" s="124" t="s">
        <v>2449</v>
      </c>
      <c r="N242" s="135">
        <f t="shared" ref="N242" si="21">SMALL(D242:L242,COUNTIF(D242:L242,0)+1)</f>
        <v>44000</v>
      </c>
      <c r="O242" s="124"/>
      <c r="P242" s="124"/>
    </row>
    <row r="243" spans="1:16" ht="30" customHeight="1" x14ac:dyDescent="0.3">
      <c r="A243" s="131" t="s">
        <v>2455</v>
      </c>
      <c r="B243" s="131" t="s">
        <v>856</v>
      </c>
      <c r="C243" s="132" t="s">
        <v>12</v>
      </c>
      <c r="D243" s="123">
        <v>0</v>
      </c>
      <c r="E243" s="128" t="s">
        <v>5</v>
      </c>
      <c r="F243" s="127">
        <v>0</v>
      </c>
      <c r="G243" s="128"/>
      <c r="H243" s="127">
        <v>0</v>
      </c>
      <c r="I243" s="128"/>
      <c r="J243" s="127">
        <v>0</v>
      </c>
      <c r="K243" s="128"/>
      <c r="L243" s="127">
        <v>42500</v>
      </c>
      <c r="M243" s="124" t="s">
        <v>2449</v>
      </c>
      <c r="N243" s="135">
        <f t="shared" ref="N243" si="22">SMALL(D243:L243,COUNTIF(D243:L243,0)+1)</f>
        <v>42500</v>
      </c>
      <c r="O243" s="124"/>
      <c r="P243" s="124"/>
    </row>
    <row r="244" spans="1:16" ht="30" customHeight="1" x14ac:dyDescent="0.3">
      <c r="A244" s="131" t="s">
        <v>2455</v>
      </c>
      <c r="B244" s="131" t="s">
        <v>2454</v>
      </c>
      <c r="C244" s="132" t="s">
        <v>12</v>
      </c>
      <c r="D244" s="123">
        <v>0</v>
      </c>
      <c r="E244" s="128" t="s">
        <v>5</v>
      </c>
      <c r="F244" s="127">
        <v>0</v>
      </c>
      <c r="G244" s="128"/>
      <c r="H244" s="127">
        <v>0</v>
      </c>
      <c r="I244" s="128"/>
      <c r="J244" s="127">
        <v>0</v>
      </c>
      <c r="K244" s="128"/>
      <c r="L244" s="127">
        <v>45500</v>
      </c>
      <c r="M244" s="124" t="s">
        <v>2449</v>
      </c>
      <c r="N244" s="135">
        <f t="shared" ref="N244" si="23">SMALL(D244:L244,COUNTIF(D244:L244,0)+1)</f>
        <v>45500</v>
      </c>
      <c r="O244" s="124"/>
      <c r="P244" s="124"/>
    </row>
    <row r="245" spans="1:16" ht="30" customHeight="1" x14ac:dyDescent="0.3">
      <c r="A245" s="121" t="s">
        <v>2058</v>
      </c>
      <c r="B245" s="121" t="s">
        <v>2491</v>
      </c>
      <c r="C245" s="122" t="s">
        <v>14</v>
      </c>
      <c r="D245" s="123">
        <v>13536</v>
      </c>
      <c r="E245" s="124" t="s">
        <v>5</v>
      </c>
      <c r="F245" s="127">
        <v>0</v>
      </c>
      <c r="G245" s="124"/>
      <c r="H245" s="126">
        <v>21740</v>
      </c>
      <c r="I245" s="124" t="s">
        <v>2490</v>
      </c>
      <c r="J245" s="127">
        <v>0</v>
      </c>
      <c r="K245" s="124" t="s">
        <v>5</v>
      </c>
      <c r="L245" s="127">
        <v>0</v>
      </c>
      <c r="M245" s="124" t="s">
        <v>5</v>
      </c>
      <c r="N245" s="144">
        <f t="shared" ref="N245:N286" si="24">SMALL(D245:L245,COUNTIF(D245:L245,0)+1)</f>
        <v>13536</v>
      </c>
      <c r="O245" s="124"/>
      <c r="P245" s="124"/>
    </row>
    <row r="246" spans="1:16" ht="30" customHeight="1" x14ac:dyDescent="0.3">
      <c r="A246" s="121" t="s">
        <v>2058</v>
      </c>
      <c r="B246" s="121" t="s">
        <v>2492</v>
      </c>
      <c r="C246" s="122" t="s">
        <v>14</v>
      </c>
      <c r="D246" s="123">
        <v>15640</v>
      </c>
      <c r="E246" s="124" t="s">
        <v>5</v>
      </c>
      <c r="F246" s="127">
        <v>0</v>
      </c>
      <c r="G246" s="124"/>
      <c r="H246" s="126">
        <v>25120</v>
      </c>
      <c r="I246" s="124" t="s">
        <v>2490</v>
      </c>
      <c r="J246" s="127">
        <v>0</v>
      </c>
      <c r="K246" s="124" t="s">
        <v>5</v>
      </c>
      <c r="L246" s="127">
        <v>0</v>
      </c>
      <c r="M246" s="124" t="s">
        <v>5</v>
      </c>
      <c r="N246" s="144">
        <f t="shared" si="24"/>
        <v>15640</v>
      </c>
      <c r="O246" s="124"/>
      <c r="P246" s="124"/>
    </row>
    <row r="247" spans="1:16" ht="30" customHeight="1" x14ac:dyDescent="0.3">
      <c r="A247" s="121" t="s">
        <v>2058</v>
      </c>
      <c r="B247" s="121" t="s">
        <v>2493</v>
      </c>
      <c r="C247" s="122" t="s">
        <v>14</v>
      </c>
      <c r="D247" s="123">
        <v>18041</v>
      </c>
      <c r="E247" s="124" t="s">
        <v>5</v>
      </c>
      <c r="F247" s="127">
        <v>0</v>
      </c>
      <c r="G247" s="124"/>
      <c r="H247" s="126">
        <v>30730</v>
      </c>
      <c r="I247" s="124" t="s">
        <v>2490</v>
      </c>
      <c r="J247" s="127">
        <v>0</v>
      </c>
      <c r="K247" s="124" t="s">
        <v>5</v>
      </c>
      <c r="L247" s="127">
        <v>0</v>
      </c>
      <c r="M247" s="124" t="s">
        <v>5</v>
      </c>
      <c r="N247" s="144">
        <f t="shared" si="24"/>
        <v>18041</v>
      </c>
      <c r="O247" s="124"/>
      <c r="P247" s="124"/>
    </row>
    <row r="248" spans="1:16" ht="30" customHeight="1" x14ac:dyDescent="0.3">
      <c r="A248" s="121" t="s">
        <v>2058</v>
      </c>
      <c r="B248" s="121" t="s">
        <v>2059</v>
      </c>
      <c r="C248" s="122" t="s">
        <v>14</v>
      </c>
      <c r="D248" s="123">
        <v>25521</v>
      </c>
      <c r="E248" s="124" t="s">
        <v>5</v>
      </c>
      <c r="F248" s="127">
        <v>0</v>
      </c>
      <c r="G248" s="124"/>
      <c r="H248" s="127">
        <v>0</v>
      </c>
      <c r="I248" s="124"/>
      <c r="J248" s="127">
        <v>0</v>
      </c>
      <c r="K248" s="124" t="s">
        <v>5</v>
      </c>
      <c r="L248" s="127">
        <v>0</v>
      </c>
      <c r="M248" s="124" t="s">
        <v>5</v>
      </c>
      <c r="N248" s="144">
        <f t="shared" si="24"/>
        <v>25521</v>
      </c>
      <c r="O248" s="124"/>
      <c r="P248" s="124"/>
    </row>
    <row r="249" spans="1:16" ht="30" customHeight="1" x14ac:dyDescent="0.3">
      <c r="A249" s="121" t="s">
        <v>2058</v>
      </c>
      <c r="B249" s="121" t="s">
        <v>2060</v>
      </c>
      <c r="C249" s="122" t="s">
        <v>14</v>
      </c>
      <c r="D249" s="123">
        <v>27108</v>
      </c>
      <c r="E249" s="124" t="s">
        <v>5</v>
      </c>
      <c r="F249" s="127">
        <v>0</v>
      </c>
      <c r="G249" s="124"/>
      <c r="H249" s="127">
        <v>0</v>
      </c>
      <c r="I249" s="124"/>
      <c r="J249" s="127">
        <v>0</v>
      </c>
      <c r="K249" s="124" t="s">
        <v>5</v>
      </c>
      <c r="L249" s="127">
        <v>0</v>
      </c>
      <c r="M249" s="124" t="s">
        <v>5</v>
      </c>
      <c r="N249" s="144">
        <f t="shared" si="24"/>
        <v>27108</v>
      </c>
      <c r="O249" s="124"/>
      <c r="P249" s="124"/>
    </row>
    <row r="250" spans="1:16" ht="30" customHeight="1" x14ac:dyDescent="0.3">
      <c r="A250" s="121" t="s">
        <v>2058</v>
      </c>
      <c r="B250" s="121" t="s">
        <v>2061</v>
      </c>
      <c r="C250" s="122" t="s">
        <v>14</v>
      </c>
      <c r="D250" s="123">
        <v>32827</v>
      </c>
      <c r="E250" s="124" t="s">
        <v>5</v>
      </c>
      <c r="F250" s="127">
        <v>0</v>
      </c>
      <c r="G250" s="124"/>
      <c r="H250" s="127">
        <v>0</v>
      </c>
      <c r="I250" s="124"/>
      <c r="J250" s="127">
        <v>0</v>
      </c>
      <c r="K250" s="124" t="s">
        <v>5</v>
      </c>
      <c r="L250" s="127">
        <v>0</v>
      </c>
      <c r="M250" s="124" t="s">
        <v>5</v>
      </c>
      <c r="N250" s="144">
        <f t="shared" si="24"/>
        <v>32827</v>
      </c>
      <c r="O250" s="124"/>
      <c r="P250" s="124"/>
    </row>
    <row r="251" spans="1:16" ht="30" customHeight="1" x14ac:dyDescent="0.3">
      <c r="A251" s="121" t="s">
        <v>182</v>
      </c>
      <c r="B251" s="121" t="s">
        <v>2062</v>
      </c>
      <c r="C251" s="122" t="s">
        <v>14</v>
      </c>
      <c r="D251" s="134">
        <v>5555</v>
      </c>
      <c r="E251" s="124" t="s">
        <v>5</v>
      </c>
      <c r="F251" s="127">
        <v>0</v>
      </c>
      <c r="G251" s="124"/>
      <c r="H251" s="127">
        <v>12660</v>
      </c>
      <c r="I251" s="124" t="s">
        <v>2490</v>
      </c>
      <c r="J251" s="127">
        <v>0</v>
      </c>
      <c r="K251" s="124" t="s">
        <v>5</v>
      </c>
      <c r="L251" s="127">
        <v>0</v>
      </c>
      <c r="M251" s="124" t="s">
        <v>5</v>
      </c>
      <c r="N251" s="144">
        <f t="shared" si="24"/>
        <v>5555</v>
      </c>
      <c r="O251" s="124"/>
      <c r="P251" s="124"/>
    </row>
    <row r="252" spans="1:16" ht="30" customHeight="1" x14ac:dyDescent="0.3">
      <c r="A252" s="121" t="s">
        <v>182</v>
      </c>
      <c r="B252" s="121" t="s">
        <v>2063</v>
      </c>
      <c r="C252" s="122" t="s">
        <v>14</v>
      </c>
      <c r="D252" s="134">
        <v>7955</v>
      </c>
      <c r="E252" s="124" t="s">
        <v>5</v>
      </c>
      <c r="F252" s="127">
        <v>0</v>
      </c>
      <c r="G252" s="124"/>
      <c r="H252" s="127">
        <v>17230</v>
      </c>
      <c r="I252" s="124" t="s">
        <v>2490</v>
      </c>
      <c r="J252" s="127">
        <v>0</v>
      </c>
      <c r="K252" s="124" t="s">
        <v>5</v>
      </c>
      <c r="L252" s="127">
        <v>0</v>
      </c>
      <c r="M252" s="124" t="s">
        <v>5</v>
      </c>
      <c r="N252" s="144">
        <f t="shared" si="24"/>
        <v>7955</v>
      </c>
      <c r="O252" s="124"/>
      <c r="P252" s="124"/>
    </row>
    <row r="253" spans="1:16" ht="30" customHeight="1" x14ac:dyDescent="0.3">
      <c r="A253" s="121" t="s">
        <v>182</v>
      </c>
      <c r="B253" s="121" t="s">
        <v>2064</v>
      </c>
      <c r="C253" s="122" t="s">
        <v>14</v>
      </c>
      <c r="D253" s="134">
        <v>11156</v>
      </c>
      <c r="E253" s="124" t="s">
        <v>5</v>
      </c>
      <c r="F253" s="127">
        <v>0</v>
      </c>
      <c r="G253" s="124"/>
      <c r="H253" s="127">
        <v>25890</v>
      </c>
      <c r="I253" s="124" t="s">
        <v>2490</v>
      </c>
      <c r="J253" s="127">
        <v>0</v>
      </c>
      <c r="K253" s="124" t="s">
        <v>5</v>
      </c>
      <c r="L253" s="127">
        <v>0</v>
      </c>
      <c r="M253" s="124" t="s">
        <v>5</v>
      </c>
      <c r="N253" s="144">
        <f t="shared" si="24"/>
        <v>11156</v>
      </c>
      <c r="O253" s="124"/>
      <c r="P253" s="124"/>
    </row>
    <row r="254" spans="1:16" ht="30" customHeight="1" x14ac:dyDescent="0.3">
      <c r="A254" s="121" t="s">
        <v>182</v>
      </c>
      <c r="B254" s="121" t="s">
        <v>2065</v>
      </c>
      <c r="C254" s="122" t="s">
        <v>14</v>
      </c>
      <c r="D254" s="134">
        <v>17444</v>
      </c>
      <c r="E254" s="124" t="s">
        <v>5</v>
      </c>
      <c r="F254" s="127">
        <v>0</v>
      </c>
      <c r="G254" s="124"/>
      <c r="H254" s="127">
        <v>36370</v>
      </c>
      <c r="I254" s="124" t="s">
        <v>2490</v>
      </c>
      <c r="J254" s="127">
        <v>0</v>
      </c>
      <c r="K254" s="124" t="s">
        <v>5</v>
      </c>
      <c r="L254" s="127">
        <v>0</v>
      </c>
      <c r="M254" s="124" t="s">
        <v>5</v>
      </c>
      <c r="N254" s="144">
        <f t="shared" si="24"/>
        <v>17444</v>
      </c>
      <c r="O254" s="124"/>
      <c r="P254" s="124"/>
    </row>
    <row r="255" spans="1:16" ht="30" customHeight="1" x14ac:dyDescent="0.3">
      <c r="A255" s="121" t="s">
        <v>182</v>
      </c>
      <c r="B255" s="121" t="s">
        <v>2066</v>
      </c>
      <c r="C255" s="122" t="s">
        <v>14</v>
      </c>
      <c r="D255" s="134">
        <v>20941</v>
      </c>
      <c r="E255" s="124" t="s">
        <v>5</v>
      </c>
      <c r="F255" s="127">
        <v>0</v>
      </c>
      <c r="G255" s="124"/>
      <c r="H255" s="127">
        <v>44070</v>
      </c>
      <c r="I255" s="124" t="s">
        <v>2490</v>
      </c>
      <c r="J255" s="127">
        <v>0</v>
      </c>
      <c r="K255" s="124" t="s">
        <v>5</v>
      </c>
      <c r="L255" s="127">
        <v>0</v>
      </c>
      <c r="M255" s="124" t="s">
        <v>5</v>
      </c>
      <c r="N255" s="144">
        <f t="shared" si="24"/>
        <v>20941</v>
      </c>
      <c r="O255" s="124"/>
      <c r="P255" s="124"/>
    </row>
    <row r="256" spans="1:16" ht="30" customHeight="1" x14ac:dyDescent="0.3">
      <c r="A256" s="121" t="s">
        <v>182</v>
      </c>
      <c r="B256" s="121" t="s">
        <v>2067</v>
      </c>
      <c r="C256" s="122" t="s">
        <v>14</v>
      </c>
      <c r="D256" s="134">
        <v>25542</v>
      </c>
      <c r="E256" s="124" t="s">
        <v>5</v>
      </c>
      <c r="F256" s="127">
        <v>0</v>
      </c>
      <c r="G256" s="124"/>
      <c r="H256" s="127">
        <v>52900</v>
      </c>
      <c r="I256" s="124" t="s">
        <v>2490</v>
      </c>
      <c r="J256" s="127">
        <v>0</v>
      </c>
      <c r="K256" s="124" t="s">
        <v>5</v>
      </c>
      <c r="L256" s="127">
        <v>0</v>
      </c>
      <c r="M256" s="124" t="s">
        <v>5</v>
      </c>
      <c r="N256" s="144">
        <f t="shared" si="24"/>
        <v>25542</v>
      </c>
      <c r="O256" s="124"/>
      <c r="P256" s="124"/>
    </row>
    <row r="257" spans="1:16" ht="30" customHeight="1" x14ac:dyDescent="0.3">
      <c r="A257" s="121" t="s">
        <v>182</v>
      </c>
      <c r="B257" s="121" t="s">
        <v>2068</v>
      </c>
      <c r="C257" s="122" t="s">
        <v>2069</v>
      </c>
      <c r="D257" s="134">
        <v>2516</v>
      </c>
      <c r="E257" s="124" t="s">
        <v>5</v>
      </c>
      <c r="F257" s="127">
        <v>0</v>
      </c>
      <c r="G257" s="124"/>
      <c r="H257" s="127">
        <v>0</v>
      </c>
      <c r="I257" s="124"/>
      <c r="J257" s="127">
        <v>0</v>
      </c>
      <c r="K257" s="124" t="s">
        <v>5</v>
      </c>
      <c r="L257" s="127">
        <v>0</v>
      </c>
      <c r="M257" s="124" t="s">
        <v>5</v>
      </c>
      <c r="N257" s="144">
        <f t="shared" si="24"/>
        <v>2516</v>
      </c>
      <c r="O257" s="124"/>
      <c r="P257" s="130"/>
    </row>
    <row r="258" spans="1:16" ht="30" customHeight="1" x14ac:dyDescent="0.3">
      <c r="A258" s="121" t="s">
        <v>182</v>
      </c>
      <c r="B258" s="121" t="s">
        <v>2070</v>
      </c>
      <c r="C258" s="122" t="s">
        <v>2069</v>
      </c>
      <c r="D258" s="134">
        <v>2684</v>
      </c>
      <c r="E258" s="124" t="s">
        <v>5</v>
      </c>
      <c r="F258" s="127">
        <v>0</v>
      </c>
      <c r="G258" s="124"/>
      <c r="H258" s="127">
        <v>0</v>
      </c>
      <c r="I258" s="124"/>
      <c r="J258" s="127">
        <v>0</v>
      </c>
      <c r="K258" s="124" t="s">
        <v>5</v>
      </c>
      <c r="L258" s="127">
        <v>0</v>
      </c>
      <c r="M258" s="124" t="s">
        <v>5</v>
      </c>
      <c r="N258" s="144">
        <f t="shared" si="24"/>
        <v>2684</v>
      </c>
      <c r="O258" s="124"/>
      <c r="P258" s="130"/>
    </row>
    <row r="259" spans="1:16" ht="30" customHeight="1" x14ac:dyDescent="0.3">
      <c r="A259" s="121" t="s">
        <v>182</v>
      </c>
      <c r="B259" s="121" t="s">
        <v>2071</v>
      </c>
      <c r="C259" s="122" t="s">
        <v>2069</v>
      </c>
      <c r="D259" s="134">
        <v>2885</v>
      </c>
      <c r="E259" s="124" t="s">
        <v>5</v>
      </c>
      <c r="F259" s="127">
        <v>0</v>
      </c>
      <c r="G259" s="124"/>
      <c r="H259" s="127">
        <v>0</v>
      </c>
      <c r="I259" s="124"/>
      <c r="J259" s="127">
        <v>0</v>
      </c>
      <c r="K259" s="124" t="s">
        <v>5</v>
      </c>
      <c r="L259" s="127">
        <v>0</v>
      </c>
      <c r="M259" s="124" t="s">
        <v>5</v>
      </c>
      <c r="N259" s="144">
        <f t="shared" si="24"/>
        <v>2885</v>
      </c>
      <c r="O259" s="124"/>
      <c r="P259" s="139"/>
    </row>
    <row r="260" spans="1:16" ht="30" customHeight="1" x14ac:dyDescent="0.3">
      <c r="A260" s="121" t="s">
        <v>182</v>
      </c>
      <c r="B260" s="121" t="s">
        <v>2072</v>
      </c>
      <c r="C260" s="122" t="s">
        <v>2069</v>
      </c>
      <c r="D260" s="134">
        <v>3601</v>
      </c>
      <c r="E260" s="124" t="s">
        <v>5</v>
      </c>
      <c r="F260" s="127">
        <v>0</v>
      </c>
      <c r="G260" s="124"/>
      <c r="H260" s="127">
        <v>0</v>
      </c>
      <c r="I260" s="124"/>
      <c r="J260" s="127">
        <v>0</v>
      </c>
      <c r="K260" s="124" t="s">
        <v>5</v>
      </c>
      <c r="L260" s="127">
        <v>0</v>
      </c>
      <c r="M260" s="124" t="s">
        <v>5</v>
      </c>
      <c r="N260" s="144">
        <f t="shared" si="24"/>
        <v>3601</v>
      </c>
      <c r="O260" s="124"/>
      <c r="P260" s="130"/>
    </row>
    <row r="261" spans="1:16" ht="30" customHeight="1" x14ac:dyDescent="0.3">
      <c r="A261" s="121" t="s">
        <v>182</v>
      </c>
      <c r="B261" s="121" t="s">
        <v>2073</v>
      </c>
      <c r="C261" s="122" t="s">
        <v>2069</v>
      </c>
      <c r="D261" s="134">
        <v>4657</v>
      </c>
      <c r="E261" s="124" t="s">
        <v>5</v>
      </c>
      <c r="F261" s="127">
        <v>0</v>
      </c>
      <c r="G261" s="124"/>
      <c r="H261" s="127">
        <v>0</v>
      </c>
      <c r="I261" s="124"/>
      <c r="J261" s="127">
        <v>0</v>
      </c>
      <c r="K261" s="124" t="s">
        <v>5</v>
      </c>
      <c r="L261" s="127">
        <v>0</v>
      </c>
      <c r="M261" s="124" t="s">
        <v>5</v>
      </c>
      <c r="N261" s="144">
        <f t="shared" si="24"/>
        <v>4657</v>
      </c>
      <c r="O261" s="124"/>
      <c r="P261" s="130"/>
    </row>
    <row r="262" spans="1:16" ht="30" customHeight="1" x14ac:dyDescent="0.3">
      <c r="A262" s="121" t="s">
        <v>182</v>
      </c>
      <c r="B262" s="121" t="s">
        <v>2074</v>
      </c>
      <c r="C262" s="122" t="s">
        <v>2069</v>
      </c>
      <c r="D262" s="134">
        <v>5117</v>
      </c>
      <c r="E262" s="124" t="s">
        <v>5</v>
      </c>
      <c r="F262" s="127">
        <v>0</v>
      </c>
      <c r="G262" s="124"/>
      <c r="H262" s="127">
        <v>0</v>
      </c>
      <c r="I262" s="124"/>
      <c r="J262" s="127">
        <v>0</v>
      </c>
      <c r="K262" s="124" t="s">
        <v>5</v>
      </c>
      <c r="L262" s="127">
        <v>0</v>
      </c>
      <c r="M262" s="124" t="s">
        <v>5</v>
      </c>
      <c r="N262" s="144">
        <f t="shared" si="24"/>
        <v>5117</v>
      </c>
      <c r="O262" s="124"/>
      <c r="P262" s="130"/>
    </row>
    <row r="263" spans="1:16" ht="30" customHeight="1" x14ac:dyDescent="0.3">
      <c r="A263" s="121" t="s">
        <v>182</v>
      </c>
      <c r="B263" s="121" t="s">
        <v>2075</v>
      </c>
      <c r="C263" s="122" t="s">
        <v>2069</v>
      </c>
      <c r="D263" s="134">
        <v>20900</v>
      </c>
      <c r="E263" s="124" t="s">
        <v>5</v>
      </c>
      <c r="F263" s="127">
        <v>0</v>
      </c>
      <c r="G263" s="124"/>
      <c r="H263" s="127">
        <v>0</v>
      </c>
      <c r="I263" s="124"/>
      <c r="J263" s="127">
        <v>0</v>
      </c>
      <c r="K263" s="124" t="s">
        <v>5</v>
      </c>
      <c r="L263" s="127">
        <v>0</v>
      </c>
      <c r="M263" s="124" t="s">
        <v>5</v>
      </c>
      <c r="N263" s="144">
        <f t="shared" si="24"/>
        <v>20900</v>
      </c>
      <c r="O263" s="124"/>
      <c r="P263" s="130"/>
    </row>
    <row r="264" spans="1:16" ht="30" customHeight="1" x14ac:dyDescent="0.3">
      <c r="A264" s="121" t="s">
        <v>182</v>
      </c>
      <c r="B264" s="121" t="s">
        <v>2076</v>
      </c>
      <c r="C264" s="122" t="s">
        <v>2069</v>
      </c>
      <c r="D264" s="134">
        <v>23046</v>
      </c>
      <c r="E264" s="124" t="s">
        <v>5</v>
      </c>
      <c r="F264" s="127">
        <v>0</v>
      </c>
      <c r="G264" s="124"/>
      <c r="H264" s="127">
        <v>0</v>
      </c>
      <c r="I264" s="124"/>
      <c r="J264" s="127">
        <v>0</v>
      </c>
      <c r="K264" s="124" t="s">
        <v>5</v>
      </c>
      <c r="L264" s="127">
        <v>0</v>
      </c>
      <c r="M264" s="124" t="s">
        <v>5</v>
      </c>
      <c r="N264" s="144">
        <f t="shared" si="24"/>
        <v>23046</v>
      </c>
      <c r="O264" s="124"/>
      <c r="P264" s="130"/>
    </row>
    <row r="265" spans="1:16" ht="30" customHeight="1" x14ac:dyDescent="0.3">
      <c r="A265" s="121" t="s">
        <v>182</v>
      </c>
      <c r="B265" s="121" t="s">
        <v>2077</v>
      </c>
      <c r="C265" s="122" t="s">
        <v>2069</v>
      </c>
      <c r="D265" s="134">
        <v>26029</v>
      </c>
      <c r="E265" s="124" t="s">
        <v>5</v>
      </c>
      <c r="F265" s="127">
        <v>0</v>
      </c>
      <c r="G265" s="124"/>
      <c r="H265" s="127">
        <v>0</v>
      </c>
      <c r="I265" s="124"/>
      <c r="J265" s="127">
        <v>0</v>
      </c>
      <c r="K265" s="124" t="s">
        <v>5</v>
      </c>
      <c r="L265" s="127">
        <v>0</v>
      </c>
      <c r="M265" s="124" t="s">
        <v>5</v>
      </c>
      <c r="N265" s="144">
        <f t="shared" si="24"/>
        <v>26029</v>
      </c>
      <c r="O265" s="124"/>
      <c r="P265" s="130"/>
    </row>
    <row r="266" spans="1:16" ht="30" customHeight="1" x14ac:dyDescent="0.3">
      <c r="A266" s="121" t="s">
        <v>182</v>
      </c>
      <c r="B266" s="121" t="s">
        <v>2078</v>
      </c>
      <c r="C266" s="122" t="s">
        <v>2069</v>
      </c>
      <c r="D266" s="134">
        <v>32251</v>
      </c>
      <c r="E266" s="124" t="s">
        <v>5</v>
      </c>
      <c r="F266" s="127">
        <v>0</v>
      </c>
      <c r="G266" s="124"/>
      <c r="H266" s="127">
        <v>0</v>
      </c>
      <c r="I266" s="124"/>
      <c r="J266" s="127">
        <v>0</v>
      </c>
      <c r="K266" s="124" t="s">
        <v>5</v>
      </c>
      <c r="L266" s="127">
        <v>0</v>
      </c>
      <c r="M266" s="124" t="s">
        <v>5</v>
      </c>
      <c r="N266" s="144">
        <f t="shared" si="24"/>
        <v>32251</v>
      </c>
      <c r="O266" s="124"/>
      <c r="P266" s="130"/>
    </row>
    <row r="267" spans="1:16" ht="30" customHeight="1" x14ac:dyDescent="0.3">
      <c r="A267" s="121" t="s">
        <v>182</v>
      </c>
      <c r="B267" s="121" t="s">
        <v>2079</v>
      </c>
      <c r="C267" s="122" t="s">
        <v>2069</v>
      </c>
      <c r="D267" s="134">
        <v>36532</v>
      </c>
      <c r="E267" s="124" t="s">
        <v>5</v>
      </c>
      <c r="F267" s="127">
        <v>0</v>
      </c>
      <c r="G267" s="124"/>
      <c r="H267" s="127">
        <v>0</v>
      </c>
      <c r="I267" s="124"/>
      <c r="J267" s="127">
        <v>0</v>
      </c>
      <c r="K267" s="124" t="s">
        <v>5</v>
      </c>
      <c r="L267" s="127">
        <v>0</v>
      </c>
      <c r="M267" s="124" t="s">
        <v>5</v>
      </c>
      <c r="N267" s="144">
        <f t="shared" si="24"/>
        <v>36532</v>
      </c>
      <c r="O267" s="124"/>
      <c r="P267" s="130"/>
    </row>
    <row r="268" spans="1:16" ht="30" customHeight="1" x14ac:dyDescent="0.3">
      <c r="A268" s="121" t="s">
        <v>182</v>
      </c>
      <c r="B268" s="121" t="s">
        <v>2080</v>
      </c>
      <c r="C268" s="122" t="s">
        <v>2069</v>
      </c>
      <c r="D268" s="134">
        <v>46432</v>
      </c>
      <c r="E268" s="124" t="s">
        <v>5</v>
      </c>
      <c r="F268" s="127">
        <v>0</v>
      </c>
      <c r="G268" s="124"/>
      <c r="H268" s="127">
        <v>0</v>
      </c>
      <c r="I268" s="124"/>
      <c r="J268" s="127">
        <v>0</v>
      </c>
      <c r="K268" s="124" t="s">
        <v>5</v>
      </c>
      <c r="L268" s="127">
        <v>0</v>
      </c>
      <c r="M268" s="124" t="s">
        <v>5</v>
      </c>
      <c r="N268" s="144">
        <f t="shared" si="24"/>
        <v>46432</v>
      </c>
      <c r="O268" s="124"/>
      <c r="P268" s="130"/>
    </row>
    <row r="269" spans="1:16" ht="30" customHeight="1" x14ac:dyDescent="0.3">
      <c r="A269" s="121" t="s">
        <v>182</v>
      </c>
      <c r="B269" s="121" t="s">
        <v>2081</v>
      </c>
      <c r="C269" s="122" t="s">
        <v>2069</v>
      </c>
      <c r="D269" s="134">
        <v>20900</v>
      </c>
      <c r="E269" s="124" t="s">
        <v>5</v>
      </c>
      <c r="F269" s="127">
        <v>0</v>
      </c>
      <c r="G269" s="124"/>
      <c r="H269" s="127">
        <v>0</v>
      </c>
      <c r="I269" s="124"/>
      <c r="J269" s="127">
        <v>0</v>
      </c>
      <c r="K269" s="124" t="s">
        <v>5</v>
      </c>
      <c r="L269" s="127">
        <v>0</v>
      </c>
      <c r="M269" s="124" t="s">
        <v>5</v>
      </c>
      <c r="N269" s="144">
        <f t="shared" si="24"/>
        <v>20900</v>
      </c>
      <c r="O269" s="124"/>
      <c r="P269" s="130"/>
    </row>
    <row r="270" spans="1:16" ht="30" customHeight="1" x14ac:dyDescent="0.3">
      <c r="A270" s="121" t="s">
        <v>182</v>
      </c>
      <c r="B270" s="121" t="s">
        <v>2082</v>
      </c>
      <c r="C270" s="122" t="s">
        <v>2069</v>
      </c>
      <c r="D270" s="134">
        <v>23046</v>
      </c>
      <c r="E270" s="124" t="s">
        <v>5</v>
      </c>
      <c r="F270" s="127">
        <v>0</v>
      </c>
      <c r="G270" s="124"/>
      <c r="H270" s="127">
        <v>0</v>
      </c>
      <c r="I270" s="124"/>
      <c r="J270" s="127">
        <v>0</v>
      </c>
      <c r="K270" s="124" t="s">
        <v>5</v>
      </c>
      <c r="L270" s="127">
        <v>0</v>
      </c>
      <c r="M270" s="124" t="s">
        <v>5</v>
      </c>
      <c r="N270" s="144">
        <f t="shared" si="24"/>
        <v>23046</v>
      </c>
      <c r="O270" s="124"/>
      <c r="P270" s="130"/>
    </row>
    <row r="271" spans="1:16" ht="30" customHeight="1" x14ac:dyDescent="0.3">
      <c r="A271" s="121" t="s">
        <v>182</v>
      </c>
      <c r="B271" s="121" t="s">
        <v>2083</v>
      </c>
      <c r="C271" s="122" t="s">
        <v>2069</v>
      </c>
      <c r="D271" s="134">
        <v>27175</v>
      </c>
      <c r="E271" s="124" t="s">
        <v>5</v>
      </c>
      <c r="F271" s="127">
        <v>0</v>
      </c>
      <c r="G271" s="124"/>
      <c r="H271" s="127">
        <v>0</v>
      </c>
      <c r="I271" s="124"/>
      <c r="J271" s="127">
        <v>0</v>
      </c>
      <c r="K271" s="124" t="s">
        <v>5</v>
      </c>
      <c r="L271" s="127">
        <v>0</v>
      </c>
      <c r="M271" s="124" t="s">
        <v>5</v>
      </c>
      <c r="N271" s="144">
        <f t="shared" si="24"/>
        <v>27175</v>
      </c>
      <c r="O271" s="124"/>
      <c r="P271" s="130"/>
    </row>
    <row r="272" spans="1:16" ht="30" customHeight="1" x14ac:dyDescent="0.3">
      <c r="A272" s="121" t="s">
        <v>182</v>
      </c>
      <c r="B272" s="121" t="s">
        <v>2084</v>
      </c>
      <c r="C272" s="122" t="s">
        <v>2069</v>
      </c>
      <c r="D272" s="134">
        <v>32251</v>
      </c>
      <c r="E272" s="124" t="s">
        <v>5</v>
      </c>
      <c r="F272" s="127">
        <v>0</v>
      </c>
      <c r="G272" s="124"/>
      <c r="H272" s="127">
        <v>0</v>
      </c>
      <c r="I272" s="124"/>
      <c r="J272" s="127">
        <v>0</v>
      </c>
      <c r="K272" s="124" t="s">
        <v>5</v>
      </c>
      <c r="L272" s="127">
        <v>0</v>
      </c>
      <c r="M272" s="124" t="s">
        <v>5</v>
      </c>
      <c r="N272" s="144">
        <f t="shared" si="24"/>
        <v>32251</v>
      </c>
      <c r="O272" s="124"/>
      <c r="P272" s="130"/>
    </row>
    <row r="273" spans="1:16" ht="30" customHeight="1" x14ac:dyDescent="0.3">
      <c r="A273" s="121" t="s">
        <v>182</v>
      </c>
      <c r="B273" s="121" t="s">
        <v>2085</v>
      </c>
      <c r="C273" s="122" t="s">
        <v>2069</v>
      </c>
      <c r="D273" s="134">
        <v>36532</v>
      </c>
      <c r="E273" s="124" t="s">
        <v>5</v>
      </c>
      <c r="F273" s="127">
        <v>0</v>
      </c>
      <c r="G273" s="124"/>
      <c r="H273" s="127">
        <v>0</v>
      </c>
      <c r="I273" s="124"/>
      <c r="J273" s="127">
        <v>0</v>
      </c>
      <c r="K273" s="124" t="s">
        <v>5</v>
      </c>
      <c r="L273" s="127">
        <v>0</v>
      </c>
      <c r="M273" s="124" t="s">
        <v>5</v>
      </c>
      <c r="N273" s="144">
        <f t="shared" si="24"/>
        <v>36532</v>
      </c>
      <c r="O273" s="124"/>
      <c r="P273" s="130"/>
    </row>
    <row r="274" spans="1:16" ht="30" customHeight="1" x14ac:dyDescent="0.3">
      <c r="A274" s="121" t="s">
        <v>182</v>
      </c>
      <c r="B274" s="121" t="s">
        <v>2086</v>
      </c>
      <c r="C274" s="122" t="s">
        <v>2069</v>
      </c>
      <c r="D274" s="134">
        <v>43774</v>
      </c>
      <c r="E274" s="124" t="s">
        <v>5</v>
      </c>
      <c r="F274" s="127">
        <v>0</v>
      </c>
      <c r="G274" s="124"/>
      <c r="H274" s="127">
        <v>0</v>
      </c>
      <c r="I274" s="124"/>
      <c r="J274" s="127">
        <v>0</v>
      </c>
      <c r="K274" s="124" t="s">
        <v>5</v>
      </c>
      <c r="L274" s="127">
        <v>0</v>
      </c>
      <c r="M274" s="124" t="s">
        <v>5</v>
      </c>
      <c r="N274" s="144">
        <f t="shared" si="24"/>
        <v>43774</v>
      </c>
      <c r="O274" s="124"/>
      <c r="P274" s="130"/>
    </row>
    <row r="275" spans="1:16" ht="30" customHeight="1" x14ac:dyDescent="0.3">
      <c r="A275" s="121" t="s">
        <v>182</v>
      </c>
      <c r="B275" s="121" t="s">
        <v>2087</v>
      </c>
      <c r="C275" s="122" t="s">
        <v>2069</v>
      </c>
      <c r="D275" s="134">
        <v>26447</v>
      </c>
      <c r="E275" s="124" t="s">
        <v>5</v>
      </c>
      <c r="F275" s="127">
        <v>0</v>
      </c>
      <c r="G275" s="124"/>
      <c r="H275" s="127">
        <v>0</v>
      </c>
      <c r="I275" s="124"/>
      <c r="J275" s="127">
        <v>0</v>
      </c>
      <c r="K275" s="124" t="s">
        <v>5</v>
      </c>
      <c r="L275" s="127">
        <v>0</v>
      </c>
      <c r="M275" s="124" t="s">
        <v>5</v>
      </c>
      <c r="N275" s="144">
        <f t="shared" si="24"/>
        <v>26447</v>
      </c>
      <c r="O275" s="124"/>
      <c r="P275" s="130"/>
    </row>
    <row r="276" spans="1:16" ht="30" customHeight="1" x14ac:dyDescent="0.3">
      <c r="A276" s="121" t="s">
        <v>182</v>
      </c>
      <c r="B276" s="121" t="s">
        <v>2088</v>
      </c>
      <c r="C276" s="122" t="s">
        <v>2069</v>
      </c>
      <c r="D276" s="134">
        <v>28296</v>
      </c>
      <c r="E276" s="124" t="s">
        <v>5</v>
      </c>
      <c r="F276" s="127">
        <v>0</v>
      </c>
      <c r="G276" s="124"/>
      <c r="H276" s="127">
        <v>0</v>
      </c>
      <c r="I276" s="124"/>
      <c r="J276" s="127">
        <v>0</v>
      </c>
      <c r="K276" s="124" t="s">
        <v>5</v>
      </c>
      <c r="L276" s="127">
        <v>0</v>
      </c>
      <c r="M276" s="124" t="s">
        <v>5</v>
      </c>
      <c r="N276" s="144">
        <f t="shared" si="24"/>
        <v>28296</v>
      </c>
      <c r="O276" s="124"/>
      <c r="P276" s="130"/>
    </row>
    <row r="277" spans="1:16" ht="30" customHeight="1" x14ac:dyDescent="0.3">
      <c r="A277" s="121" t="s">
        <v>182</v>
      </c>
      <c r="B277" s="121" t="s">
        <v>2089</v>
      </c>
      <c r="C277" s="122" t="s">
        <v>2069</v>
      </c>
      <c r="D277" s="134">
        <v>33370</v>
      </c>
      <c r="E277" s="124" t="s">
        <v>5</v>
      </c>
      <c r="F277" s="127">
        <v>0</v>
      </c>
      <c r="G277" s="124"/>
      <c r="H277" s="127">
        <v>0</v>
      </c>
      <c r="I277" s="124"/>
      <c r="J277" s="127">
        <v>0</v>
      </c>
      <c r="K277" s="124" t="s">
        <v>5</v>
      </c>
      <c r="L277" s="127">
        <v>0</v>
      </c>
      <c r="M277" s="124" t="s">
        <v>5</v>
      </c>
      <c r="N277" s="144">
        <f t="shared" si="24"/>
        <v>33370</v>
      </c>
      <c r="O277" s="124"/>
      <c r="P277" s="130"/>
    </row>
    <row r="278" spans="1:16" ht="30" customHeight="1" x14ac:dyDescent="0.3">
      <c r="A278" s="121" t="s">
        <v>182</v>
      </c>
      <c r="B278" s="121" t="s">
        <v>2090</v>
      </c>
      <c r="C278" s="122" t="s">
        <v>2069</v>
      </c>
      <c r="D278" s="134">
        <v>42095</v>
      </c>
      <c r="E278" s="124" t="s">
        <v>5</v>
      </c>
      <c r="F278" s="127">
        <v>0</v>
      </c>
      <c r="G278" s="124"/>
      <c r="H278" s="127">
        <v>0</v>
      </c>
      <c r="I278" s="124"/>
      <c r="J278" s="127">
        <v>0</v>
      </c>
      <c r="K278" s="124" t="s">
        <v>5</v>
      </c>
      <c r="L278" s="127">
        <v>0</v>
      </c>
      <c r="M278" s="124" t="s">
        <v>5</v>
      </c>
      <c r="N278" s="144">
        <f t="shared" si="24"/>
        <v>42095</v>
      </c>
      <c r="O278" s="124"/>
      <c r="P278" s="130"/>
    </row>
    <row r="279" spans="1:16" ht="30" customHeight="1" x14ac:dyDescent="0.3">
      <c r="A279" s="121" t="s">
        <v>182</v>
      </c>
      <c r="B279" s="121" t="s">
        <v>2091</v>
      </c>
      <c r="C279" s="122" t="s">
        <v>2069</v>
      </c>
      <c r="D279" s="134">
        <v>48747</v>
      </c>
      <c r="E279" s="124" t="s">
        <v>5</v>
      </c>
      <c r="F279" s="127">
        <v>0</v>
      </c>
      <c r="G279" s="124"/>
      <c r="H279" s="127">
        <v>0</v>
      </c>
      <c r="I279" s="124"/>
      <c r="J279" s="127">
        <v>0</v>
      </c>
      <c r="K279" s="124" t="s">
        <v>5</v>
      </c>
      <c r="L279" s="127">
        <v>0</v>
      </c>
      <c r="M279" s="124" t="s">
        <v>5</v>
      </c>
      <c r="N279" s="144">
        <f t="shared" si="24"/>
        <v>48747</v>
      </c>
      <c r="O279" s="124"/>
      <c r="P279" s="130"/>
    </row>
    <row r="280" spans="1:16" ht="30" customHeight="1" x14ac:dyDescent="0.3">
      <c r="A280" s="121" t="s">
        <v>182</v>
      </c>
      <c r="B280" s="121" t="s">
        <v>2092</v>
      </c>
      <c r="C280" s="122" t="s">
        <v>2069</v>
      </c>
      <c r="D280" s="134">
        <v>54784</v>
      </c>
      <c r="E280" s="124" t="s">
        <v>5</v>
      </c>
      <c r="F280" s="127">
        <v>0</v>
      </c>
      <c r="G280" s="124"/>
      <c r="H280" s="127">
        <v>0</v>
      </c>
      <c r="I280" s="124"/>
      <c r="J280" s="127">
        <v>0</v>
      </c>
      <c r="K280" s="124" t="s">
        <v>5</v>
      </c>
      <c r="L280" s="127">
        <v>0</v>
      </c>
      <c r="M280" s="124" t="s">
        <v>5</v>
      </c>
      <c r="N280" s="144">
        <f t="shared" si="24"/>
        <v>54784</v>
      </c>
      <c r="O280" s="124"/>
      <c r="P280" s="130"/>
    </row>
    <row r="281" spans="1:16" ht="30" customHeight="1" x14ac:dyDescent="0.3">
      <c r="A281" s="121" t="s">
        <v>182</v>
      </c>
      <c r="B281" s="121" t="s">
        <v>2093</v>
      </c>
      <c r="C281" s="122" t="s">
        <v>2069</v>
      </c>
      <c r="D281" s="134">
        <v>28011</v>
      </c>
      <c r="E281" s="124" t="s">
        <v>5</v>
      </c>
      <c r="F281" s="127">
        <v>0</v>
      </c>
      <c r="G281" s="124"/>
      <c r="H281" s="127">
        <v>0</v>
      </c>
      <c r="I281" s="124"/>
      <c r="J281" s="127">
        <v>0</v>
      </c>
      <c r="K281" s="124" t="s">
        <v>5</v>
      </c>
      <c r="L281" s="127">
        <v>0</v>
      </c>
      <c r="M281" s="124" t="s">
        <v>5</v>
      </c>
      <c r="N281" s="144">
        <f t="shared" si="24"/>
        <v>28011</v>
      </c>
      <c r="O281" s="124"/>
      <c r="P281" s="130"/>
    </row>
    <row r="282" spans="1:16" ht="30" customHeight="1" x14ac:dyDescent="0.3">
      <c r="A282" s="121" t="s">
        <v>182</v>
      </c>
      <c r="B282" s="121" t="s">
        <v>2094</v>
      </c>
      <c r="C282" s="122" t="s">
        <v>2069</v>
      </c>
      <c r="D282" s="134">
        <v>31390</v>
      </c>
      <c r="E282" s="124" t="s">
        <v>5</v>
      </c>
      <c r="F282" s="127">
        <v>0</v>
      </c>
      <c r="G282" s="124"/>
      <c r="H282" s="127">
        <v>0</v>
      </c>
      <c r="I282" s="124"/>
      <c r="J282" s="127">
        <v>0</v>
      </c>
      <c r="K282" s="124" t="s">
        <v>5</v>
      </c>
      <c r="L282" s="127">
        <v>0</v>
      </c>
      <c r="M282" s="124" t="s">
        <v>5</v>
      </c>
      <c r="N282" s="144">
        <f t="shared" si="24"/>
        <v>31390</v>
      </c>
      <c r="O282" s="124"/>
      <c r="P282" s="130"/>
    </row>
    <row r="283" spans="1:16" ht="30" customHeight="1" x14ac:dyDescent="0.3">
      <c r="A283" s="121" t="s">
        <v>182</v>
      </c>
      <c r="B283" s="121" t="s">
        <v>2095</v>
      </c>
      <c r="C283" s="122" t="s">
        <v>2069</v>
      </c>
      <c r="D283" s="134">
        <v>36950</v>
      </c>
      <c r="E283" s="124" t="s">
        <v>5</v>
      </c>
      <c r="F283" s="127">
        <v>0</v>
      </c>
      <c r="G283" s="124"/>
      <c r="H283" s="127">
        <v>0</v>
      </c>
      <c r="I283" s="124"/>
      <c r="J283" s="127">
        <v>0</v>
      </c>
      <c r="K283" s="124" t="s">
        <v>5</v>
      </c>
      <c r="L283" s="127">
        <v>0</v>
      </c>
      <c r="M283" s="124" t="s">
        <v>5</v>
      </c>
      <c r="N283" s="144">
        <f t="shared" si="24"/>
        <v>36950</v>
      </c>
      <c r="O283" s="124"/>
      <c r="P283" s="130"/>
    </row>
    <row r="284" spans="1:16" ht="30" customHeight="1" x14ac:dyDescent="0.3">
      <c r="A284" s="121" t="s">
        <v>182</v>
      </c>
      <c r="B284" s="121" t="s">
        <v>2096</v>
      </c>
      <c r="C284" s="122" t="s">
        <v>2069</v>
      </c>
      <c r="D284" s="134">
        <v>43122</v>
      </c>
      <c r="E284" s="124" t="s">
        <v>5</v>
      </c>
      <c r="F284" s="127">
        <v>0</v>
      </c>
      <c r="G284" s="124"/>
      <c r="H284" s="127">
        <v>0</v>
      </c>
      <c r="I284" s="124"/>
      <c r="J284" s="127">
        <v>0</v>
      </c>
      <c r="K284" s="124" t="s">
        <v>5</v>
      </c>
      <c r="L284" s="127">
        <v>0</v>
      </c>
      <c r="M284" s="124" t="s">
        <v>5</v>
      </c>
      <c r="N284" s="144">
        <f t="shared" si="24"/>
        <v>43122</v>
      </c>
      <c r="O284" s="124"/>
      <c r="P284" s="130"/>
    </row>
    <row r="285" spans="1:16" ht="30" customHeight="1" x14ac:dyDescent="0.3">
      <c r="A285" s="121" t="s">
        <v>182</v>
      </c>
      <c r="B285" s="121" t="s">
        <v>2097</v>
      </c>
      <c r="C285" s="122" t="s">
        <v>2069</v>
      </c>
      <c r="D285" s="134">
        <v>52744</v>
      </c>
      <c r="E285" s="124" t="s">
        <v>5</v>
      </c>
      <c r="F285" s="127">
        <v>0</v>
      </c>
      <c r="G285" s="124"/>
      <c r="H285" s="127">
        <v>0</v>
      </c>
      <c r="I285" s="124"/>
      <c r="J285" s="127">
        <v>0</v>
      </c>
      <c r="K285" s="124" t="s">
        <v>5</v>
      </c>
      <c r="L285" s="127">
        <v>0</v>
      </c>
      <c r="M285" s="124" t="s">
        <v>5</v>
      </c>
      <c r="N285" s="144">
        <f t="shared" si="24"/>
        <v>52744</v>
      </c>
      <c r="O285" s="124"/>
      <c r="P285" s="130"/>
    </row>
    <row r="286" spans="1:16" ht="30" customHeight="1" x14ac:dyDescent="0.3">
      <c r="A286" s="121" t="s">
        <v>182</v>
      </c>
      <c r="B286" s="121" t="s">
        <v>2098</v>
      </c>
      <c r="C286" s="122" t="s">
        <v>2069</v>
      </c>
      <c r="D286" s="134">
        <v>58555</v>
      </c>
      <c r="E286" s="124" t="s">
        <v>5</v>
      </c>
      <c r="F286" s="127">
        <v>0</v>
      </c>
      <c r="G286" s="124"/>
      <c r="H286" s="127">
        <v>0</v>
      </c>
      <c r="I286" s="124"/>
      <c r="J286" s="127">
        <v>0</v>
      </c>
      <c r="K286" s="124" t="s">
        <v>5</v>
      </c>
      <c r="L286" s="127">
        <v>0</v>
      </c>
      <c r="M286" s="124" t="s">
        <v>5</v>
      </c>
      <c r="N286" s="144">
        <f t="shared" si="24"/>
        <v>58555</v>
      </c>
      <c r="O286" s="124"/>
      <c r="P286" s="130"/>
    </row>
    <row r="287" spans="1:16" ht="30" customHeight="1" x14ac:dyDescent="0.3">
      <c r="A287" s="131" t="s">
        <v>854</v>
      </c>
      <c r="B287" s="131" t="s">
        <v>853</v>
      </c>
      <c r="C287" s="132" t="s">
        <v>14</v>
      </c>
      <c r="D287" s="148">
        <v>2300</v>
      </c>
      <c r="E287" s="128" t="s">
        <v>5</v>
      </c>
      <c r="F287" s="133">
        <v>2300</v>
      </c>
      <c r="G287" s="128" t="s">
        <v>775</v>
      </c>
      <c r="H287" s="127">
        <v>0</v>
      </c>
      <c r="I287" s="128" t="s">
        <v>5</v>
      </c>
      <c r="J287" s="127">
        <v>3370</v>
      </c>
      <c r="K287" s="124" t="s">
        <v>2317</v>
      </c>
      <c r="L287" s="127">
        <v>5640</v>
      </c>
      <c r="M287" s="124" t="s">
        <v>2316</v>
      </c>
      <c r="N287" s="135">
        <f t="shared" ref="N287:N304" si="25">SMALL(D287:L287,COUNTIF(D287:L287,0)+1)</f>
        <v>2300</v>
      </c>
      <c r="O287" s="124"/>
      <c r="P287" s="130"/>
    </row>
    <row r="288" spans="1:16" ht="30" customHeight="1" x14ac:dyDescent="0.3">
      <c r="A288" s="121" t="s">
        <v>2033</v>
      </c>
      <c r="B288" s="121" t="s">
        <v>2318</v>
      </c>
      <c r="C288" s="122" t="s">
        <v>14</v>
      </c>
      <c r="D288" s="149">
        <v>3198</v>
      </c>
      <c r="E288" s="124" t="s">
        <v>5</v>
      </c>
      <c r="F288" s="125">
        <v>3200</v>
      </c>
      <c r="G288" s="124" t="s">
        <v>775</v>
      </c>
      <c r="H288" s="127">
        <v>0</v>
      </c>
      <c r="I288" s="128" t="s">
        <v>5</v>
      </c>
      <c r="J288" s="127">
        <v>4120</v>
      </c>
      <c r="K288" s="124" t="s">
        <v>2317</v>
      </c>
      <c r="L288" s="127">
        <v>6780</v>
      </c>
      <c r="M288" s="124" t="s">
        <v>2316</v>
      </c>
      <c r="N288" s="129">
        <f t="shared" si="25"/>
        <v>3198</v>
      </c>
      <c r="O288" s="124"/>
      <c r="P288" s="130"/>
    </row>
    <row r="289" spans="1:16" ht="30" customHeight="1" x14ac:dyDescent="0.3">
      <c r="A289" s="121" t="s">
        <v>2033</v>
      </c>
      <c r="B289" s="121" t="s">
        <v>2319</v>
      </c>
      <c r="C289" s="122" t="s">
        <v>14</v>
      </c>
      <c r="D289" s="149">
        <v>4577</v>
      </c>
      <c r="E289" s="124" t="s">
        <v>5</v>
      </c>
      <c r="F289" s="125">
        <v>5000</v>
      </c>
      <c r="G289" s="124" t="s">
        <v>775</v>
      </c>
      <c r="H289" s="127">
        <v>0</v>
      </c>
      <c r="I289" s="128" t="s">
        <v>5</v>
      </c>
      <c r="J289" s="127">
        <v>5620</v>
      </c>
      <c r="K289" s="124" t="s">
        <v>2317</v>
      </c>
      <c r="L289" s="127">
        <v>8980</v>
      </c>
      <c r="M289" s="124" t="s">
        <v>2316</v>
      </c>
      <c r="N289" s="129">
        <f t="shared" si="25"/>
        <v>4577</v>
      </c>
      <c r="O289" s="124"/>
      <c r="P289" s="130"/>
    </row>
    <row r="290" spans="1:16" ht="30" customHeight="1" x14ac:dyDescent="0.3">
      <c r="A290" s="131" t="s">
        <v>183</v>
      </c>
      <c r="B290" s="131" t="s">
        <v>184</v>
      </c>
      <c r="C290" s="132" t="s">
        <v>14</v>
      </c>
      <c r="D290" s="148">
        <v>880</v>
      </c>
      <c r="E290" s="128" t="s">
        <v>5</v>
      </c>
      <c r="F290" s="133">
        <v>1000</v>
      </c>
      <c r="G290" s="128" t="s">
        <v>775</v>
      </c>
      <c r="H290" s="127">
        <v>0</v>
      </c>
      <c r="I290" s="128" t="s">
        <v>5</v>
      </c>
      <c r="J290" s="127">
        <v>1030</v>
      </c>
      <c r="K290" s="124" t="s">
        <v>2317</v>
      </c>
      <c r="L290" s="127">
        <v>1840</v>
      </c>
      <c r="M290" s="124" t="s">
        <v>2316</v>
      </c>
      <c r="N290" s="135">
        <f t="shared" si="25"/>
        <v>880</v>
      </c>
      <c r="O290" s="124"/>
      <c r="P290" s="130"/>
    </row>
    <row r="291" spans="1:16" ht="30" customHeight="1" x14ac:dyDescent="0.3">
      <c r="A291" s="121" t="s">
        <v>183</v>
      </c>
      <c r="B291" s="121" t="s">
        <v>2320</v>
      </c>
      <c r="C291" s="122" t="s">
        <v>14</v>
      </c>
      <c r="D291" s="149">
        <v>1267</v>
      </c>
      <c r="E291" s="124" t="s">
        <v>5</v>
      </c>
      <c r="F291" s="125">
        <v>1300</v>
      </c>
      <c r="G291" s="124" t="s">
        <v>775</v>
      </c>
      <c r="H291" s="127">
        <v>0</v>
      </c>
      <c r="I291" s="128" t="s">
        <v>5</v>
      </c>
      <c r="J291" s="127">
        <v>1590</v>
      </c>
      <c r="K291" s="124" t="s">
        <v>2317</v>
      </c>
      <c r="L291" s="127">
        <v>2760</v>
      </c>
      <c r="M291" s="124" t="s">
        <v>2316</v>
      </c>
      <c r="N291" s="129">
        <f t="shared" si="25"/>
        <v>1267</v>
      </c>
      <c r="O291" s="124"/>
      <c r="P291" s="130"/>
    </row>
    <row r="292" spans="1:16" ht="30" customHeight="1" x14ac:dyDescent="0.3">
      <c r="A292" s="121" t="s">
        <v>183</v>
      </c>
      <c r="B292" s="121" t="s">
        <v>2321</v>
      </c>
      <c r="C292" s="122" t="s">
        <v>14</v>
      </c>
      <c r="D292" s="149">
        <v>1817</v>
      </c>
      <c r="E292" s="124" t="s">
        <v>5</v>
      </c>
      <c r="F292" s="125">
        <v>2000</v>
      </c>
      <c r="G292" s="124" t="s">
        <v>775</v>
      </c>
      <c r="H292" s="127">
        <v>0</v>
      </c>
      <c r="I292" s="128" t="s">
        <v>5</v>
      </c>
      <c r="J292" s="127">
        <v>2430</v>
      </c>
      <c r="K292" s="124" t="s">
        <v>2317</v>
      </c>
      <c r="L292" s="127">
        <v>4260</v>
      </c>
      <c r="M292" s="124" t="s">
        <v>2316</v>
      </c>
      <c r="N292" s="129">
        <f t="shared" si="25"/>
        <v>1817</v>
      </c>
      <c r="O292" s="124"/>
      <c r="P292" s="130"/>
    </row>
    <row r="293" spans="1:16" ht="30" customHeight="1" x14ac:dyDescent="0.3">
      <c r="A293" s="131" t="s">
        <v>185</v>
      </c>
      <c r="B293" s="131" t="s">
        <v>186</v>
      </c>
      <c r="C293" s="132" t="s">
        <v>12</v>
      </c>
      <c r="D293" s="148">
        <v>510</v>
      </c>
      <c r="E293" s="128" t="s">
        <v>5</v>
      </c>
      <c r="F293" s="133">
        <v>680</v>
      </c>
      <c r="G293" s="128" t="s">
        <v>775</v>
      </c>
      <c r="H293" s="127">
        <v>0</v>
      </c>
      <c r="I293" s="128" t="s">
        <v>5</v>
      </c>
      <c r="J293" s="127">
        <v>590</v>
      </c>
      <c r="K293" s="124" t="s">
        <v>2317</v>
      </c>
      <c r="L293" s="127">
        <v>1320</v>
      </c>
      <c r="M293" s="124" t="s">
        <v>2316</v>
      </c>
      <c r="N293" s="135">
        <f t="shared" si="25"/>
        <v>510</v>
      </c>
      <c r="O293" s="124"/>
      <c r="P293" s="130"/>
    </row>
    <row r="294" spans="1:16" ht="30" customHeight="1" x14ac:dyDescent="0.3">
      <c r="A294" s="121" t="s">
        <v>185</v>
      </c>
      <c r="B294" s="121" t="s">
        <v>2322</v>
      </c>
      <c r="C294" s="122" t="s">
        <v>12</v>
      </c>
      <c r="D294" s="149">
        <v>949</v>
      </c>
      <c r="E294" s="124" t="s">
        <v>5</v>
      </c>
      <c r="F294" s="125">
        <v>1050</v>
      </c>
      <c r="G294" s="124" t="s">
        <v>775</v>
      </c>
      <c r="H294" s="127">
        <v>0</v>
      </c>
      <c r="I294" s="128" t="s">
        <v>5</v>
      </c>
      <c r="J294" s="127">
        <v>950</v>
      </c>
      <c r="K294" s="124" t="s">
        <v>2317</v>
      </c>
      <c r="L294" s="127">
        <v>2020</v>
      </c>
      <c r="M294" s="124" t="s">
        <v>2316</v>
      </c>
      <c r="N294" s="129">
        <f t="shared" si="25"/>
        <v>949</v>
      </c>
      <c r="O294" s="124"/>
      <c r="P294" s="130"/>
    </row>
    <row r="295" spans="1:16" ht="30" customHeight="1" x14ac:dyDescent="0.3">
      <c r="A295" s="121" t="s">
        <v>185</v>
      </c>
      <c r="B295" s="121" t="s">
        <v>2323</v>
      </c>
      <c r="C295" s="122" t="s">
        <v>12</v>
      </c>
      <c r="D295" s="149">
        <v>1125</v>
      </c>
      <c r="E295" s="124" t="s">
        <v>5</v>
      </c>
      <c r="F295" s="125">
        <v>2000</v>
      </c>
      <c r="G295" s="124" t="s">
        <v>775</v>
      </c>
      <c r="H295" s="127">
        <v>0</v>
      </c>
      <c r="I295" s="128" t="s">
        <v>5</v>
      </c>
      <c r="J295" s="127">
        <v>1450</v>
      </c>
      <c r="K295" s="124" t="s">
        <v>2317</v>
      </c>
      <c r="L295" s="127">
        <v>2740</v>
      </c>
      <c r="M295" s="124" t="s">
        <v>2316</v>
      </c>
      <c r="N295" s="129">
        <f t="shared" si="25"/>
        <v>1125</v>
      </c>
      <c r="O295" s="124"/>
      <c r="P295" s="130"/>
    </row>
    <row r="296" spans="1:16" ht="30" customHeight="1" x14ac:dyDescent="0.3">
      <c r="A296" s="131" t="s">
        <v>185</v>
      </c>
      <c r="B296" s="131" t="s">
        <v>187</v>
      </c>
      <c r="C296" s="132" t="s">
        <v>12</v>
      </c>
      <c r="D296" s="148">
        <v>386</v>
      </c>
      <c r="E296" s="128" t="s">
        <v>5</v>
      </c>
      <c r="F296" s="133">
        <v>480</v>
      </c>
      <c r="G296" s="128" t="s">
        <v>775</v>
      </c>
      <c r="H296" s="127">
        <v>0</v>
      </c>
      <c r="I296" s="128" t="s">
        <v>5</v>
      </c>
      <c r="J296" s="127">
        <v>600</v>
      </c>
      <c r="K296" s="124" t="s">
        <v>2317</v>
      </c>
      <c r="L296" s="127">
        <v>1180</v>
      </c>
      <c r="M296" s="124" t="s">
        <v>2316</v>
      </c>
      <c r="N296" s="135">
        <f t="shared" si="25"/>
        <v>386</v>
      </c>
      <c r="O296" s="124"/>
      <c r="P296" s="130"/>
    </row>
    <row r="297" spans="1:16" ht="30" customHeight="1" x14ac:dyDescent="0.3">
      <c r="A297" s="121" t="s">
        <v>185</v>
      </c>
      <c r="B297" s="121" t="s">
        <v>2324</v>
      </c>
      <c r="C297" s="122" t="s">
        <v>12</v>
      </c>
      <c r="D297" s="149">
        <v>537</v>
      </c>
      <c r="E297" s="124" t="s">
        <v>5</v>
      </c>
      <c r="F297" s="125">
        <v>750</v>
      </c>
      <c r="G297" s="124" t="s">
        <v>775</v>
      </c>
      <c r="H297" s="127">
        <v>0</v>
      </c>
      <c r="I297" s="128" t="s">
        <v>5</v>
      </c>
      <c r="J297" s="127">
        <v>680</v>
      </c>
      <c r="K297" s="124" t="s">
        <v>2317</v>
      </c>
      <c r="L297" s="127">
        <v>1380</v>
      </c>
      <c r="M297" s="124" t="s">
        <v>2316</v>
      </c>
      <c r="N297" s="129">
        <f t="shared" si="25"/>
        <v>537</v>
      </c>
      <c r="O297" s="124"/>
      <c r="P297" s="130"/>
    </row>
    <row r="298" spans="1:16" ht="30" customHeight="1" x14ac:dyDescent="0.3">
      <c r="A298" s="121" t="s">
        <v>185</v>
      </c>
      <c r="B298" s="121" t="s">
        <v>2325</v>
      </c>
      <c r="C298" s="122" t="s">
        <v>12</v>
      </c>
      <c r="D298" s="149">
        <v>729</v>
      </c>
      <c r="E298" s="124" t="s">
        <v>5</v>
      </c>
      <c r="F298" s="125">
        <v>1050</v>
      </c>
      <c r="G298" s="124" t="s">
        <v>775</v>
      </c>
      <c r="H298" s="127">
        <v>0</v>
      </c>
      <c r="I298" s="128" t="s">
        <v>5</v>
      </c>
      <c r="J298" s="127">
        <v>730</v>
      </c>
      <c r="K298" s="124" t="s">
        <v>2317</v>
      </c>
      <c r="L298" s="127">
        <v>1840</v>
      </c>
      <c r="M298" s="124" t="s">
        <v>2316</v>
      </c>
      <c r="N298" s="129">
        <f t="shared" si="25"/>
        <v>729</v>
      </c>
      <c r="O298" s="124"/>
      <c r="P298" s="130"/>
    </row>
    <row r="299" spans="1:16" ht="30" customHeight="1" x14ac:dyDescent="0.3">
      <c r="A299" s="131" t="s">
        <v>185</v>
      </c>
      <c r="B299" s="131" t="s">
        <v>188</v>
      </c>
      <c r="C299" s="132" t="s">
        <v>12</v>
      </c>
      <c r="D299" s="148">
        <v>1499</v>
      </c>
      <c r="E299" s="128" t="s">
        <v>5</v>
      </c>
      <c r="F299" s="133">
        <v>1500</v>
      </c>
      <c r="G299" s="128" t="s">
        <v>775</v>
      </c>
      <c r="H299" s="127">
        <v>0</v>
      </c>
      <c r="I299" s="128" t="s">
        <v>5</v>
      </c>
      <c r="J299" s="127">
        <v>1870</v>
      </c>
      <c r="K299" s="124" t="s">
        <v>2317</v>
      </c>
      <c r="L299" s="127">
        <v>4580</v>
      </c>
      <c r="M299" s="124" t="s">
        <v>2316</v>
      </c>
      <c r="N299" s="135">
        <f t="shared" si="25"/>
        <v>1499</v>
      </c>
      <c r="O299" s="124"/>
      <c r="P299" s="130"/>
    </row>
    <row r="300" spans="1:16" ht="30" customHeight="1" x14ac:dyDescent="0.3">
      <c r="A300" s="121" t="s">
        <v>185</v>
      </c>
      <c r="B300" s="121" t="s">
        <v>2034</v>
      </c>
      <c r="C300" s="122" t="s">
        <v>12</v>
      </c>
      <c r="D300" s="149">
        <v>2098</v>
      </c>
      <c r="E300" s="124" t="s">
        <v>5</v>
      </c>
      <c r="F300" s="125">
        <v>2100</v>
      </c>
      <c r="G300" s="124" t="s">
        <v>775</v>
      </c>
      <c r="H300" s="127">
        <v>0</v>
      </c>
      <c r="I300" s="128" t="s">
        <v>5</v>
      </c>
      <c r="J300" s="127">
        <v>2380</v>
      </c>
      <c r="K300" s="124" t="s">
        <v>2317</v>
      </c>
      <c r="L300" s="127">
        <v>5760</v>
      </c>
      <c r="M300" s="124" t="s">
        <v>2316</v>
      </c>
      <c r="N300" s="129">
        <f t="shared" si="25"/>
        <v>2098</v>
      </c>
      <c r="O300" s="124"/>
      <c r="P300" s="130"/>
    </row>
    <row r="301" spans="1:16" ht="30" customHeight="1" x14ac:dyDescent="0.3">
      <c r="A301" s="131" t="s">
        <v>185</v>
      </c>
      <c r="B301" s="131" t="s">
        <v>189</v>
      </c>
      <c r="C301" s="132" t="s">
        <v>12</v>
      </c>
      <c r="D301" s="148">
        <v>0</v>
      </c>
      <c r="E301" s="128" t="s">
        <v>5</v>
      </c>
      <c r="F301" s="133">
        <v>5000</v>
      </c>
      <c r="G301" s="128" t="s">
        <v>775</v>
      </c>
      <c r="H301" s="127">
        <v>0</v>
      </c>
      <c r="I301" s="128" t="s">
        <v>5</v>
      </c>
      <c r="J301" s="127">
        <v>4250</v>
      </c>
      <c r="K301" s="124" t="s">
        <v>2317</v>
      </c>
      <c r="L301" s="127">
        <v>9020</v>
      </c>
      <c r="M301" s="124" t="s">
        <v>2316</v>
      </c>
      <c r="N301" s="135">
        <f t="shared" si="25"/>
        <v>4250</v>
      </c>
      <c r="O301" s="124"/>
      <c r="P301" s="130"/>
    </row>
    <row r="302" spans="1:16" ht="30" customHeight="1" x14ac:dyDescent="0.3">
      <c r="A302" s="131" t="s">
        <v>185</v>
      </c>
      <c r="B302" s="131" t="s">
        <v>190</v>
      </c>
      <c r="C302" s="132" t="s">
        <v>12</v>
      </c>
      <c r="D302" s="148">
        <v>359</v>
      </c>
      <c r="E302" s="128" t="s">
        <v>5</v>
      </c>
      <c r="F302" s="133">
        <v>480</v>
      </c>
      <c r="G302" s="128" t="s">
        <v>775</v>
      </c>
      <c r="H302" s="127">
        <v>0</v>
      </c>
      <c r="I302" s="128" t="s">
        <v>5</v>
      </c>
      <c r="J302" s="127">
        <v>360</v>
      </c>
      <c r="K302" s="124" t="s">
        <v>2317</v>
      </c>
      <c r="L302" s="127">
        <v>4580</v>
      </c>
      <c r="M302" s="124" t="s">
        <v>2316</v>
      </c>
      <c r="N302" s="135">
        <f t="shared" si="25"/>
        <v>359</v>
      </c>
      <c r="O302" s="124"/>
      <c r="P302" s="130"/>
    </row>
    <row r="303" spans="1:16" ht="30" customHeight="1" x14ac:dyDescent="0.3">
      <c r="A303" s="121" t="s">
        <v>185</v>
      </c>
      <c r="B303" s="121" t="s">
        <v>2326</v>
      </c>
      <c r="C303" s="122" t="s">
        <v>12</v>
      </c>
      <c r="D303" s="149">
        <v>359</v>
      </c>
      <c r="E303" s="124" t="s">
        <v>5</v>
      </c>
      <c r="F303" s="125">
        <v>480</v>
      </c>
      <c r="G303" s="124" t="s">
        <v>775</v>
      </c>
      <c r="H303" s="127">
        <v>0</v>
      </c>
      <c r="I303" s="128" t="s">
        <v>5</v>
      </c>
      <c r="J303" s="127">
        <v>360</v>
      </c>
      <c r="K303" s="124" t="s">
        <v>2317</v>
      </c>
      <c r="L303" s="127">
        <v>5760</v>
      </c>
      <c r="M303" s="124" t="s">
        <v>2316</v>
      </c>
      <c r="N303" s="129">
        <f t="shared" si="25"/>
        <v>359</v>
      </c>
      <c r="O303" s="124"/>
      <c r="P303" s="130"/>
    </row>
    <row r="304" spans="1:16" ht="30" customHeight="1" x14ac:dyDescent="0.3">
      <c r="A304" s="121" t="s">
        <v>185</v>
      </c>
      <c r="B304" s="121" t="s">
        <v>191</v>
      </c>
      <c r="C304" s="122" t="s">
        <v>12</v>
      </c>
      <c r="D304" s="149">
        <v>359</v>
      </c>
      <c r="E304" s="124" t="s">
        <v>5</v>
      </c>
      <c r="F304" s="125">
        <v>480</v>
      </c>
      <c r="G304" s="124" t="s">
        <v>775</v>
      </c>
      <c r="H304" s="127">
        <v>0</v>
      </c>
      <c r="I304" s="128" t="s">
        <v>5</v>
      </c>
      <c r="J304" s="127">
        <v>360</v>
      </c>
      <c r="K304" s="124" t="s">
        <v>2317</v>
      </c>
      <c r="L304" s="127">
        <v>9020</v>
      </c>
      <c r="M304" s="124" t="s">
        <v>2316</v>
      </c>
      <c r="N304" s="129">
        <f t="shared" si="25"/>
        <v>359</v>
      </c>
      <c r="O304" s="124"/>
      <c r="P304" s="130"/>
    </row>
    <row r="305" spans="1:16" ht="30" customHeight="1" x14ac:dyDescent="0.3">
      <c r="A305" s="131" t="s">
        <v>185</v>
      </c>
      <c r="B305" s="131" t="s">
        <v>192</v>
      </c>
      <c r="C305" s="132" t="s">
        <v>12</v>
      </c>
      <c r="D305" s="148">
        <v>431</v>
      </c>
      <c r="E305" s="128" t="s">
        <v>5</v>
      </c>
      <c r="F305" s="133">
        <v>680</v>
      </c>
      <c r="G305" s="128" t="s">
        <v>775</v>
      </c>
      <c r="H305" s="127">
        <v>0</v>
      </c>
      <c r="I305" s="128" t="s">
        <v>5</v>
      </c>
      <c r="J305" s="127">
        <v>550</v>
      </c>
      <c r="K305" s="124" t="s">
        <v>2317</v>
      </c>
      <c r="L305" s="127">
        <v>1100</v>
      </c>
      <c r="M305" s="124" t="s">
        <v>2316</v>
      </c>
      <c r="N305" s="135">
        <f t="shared" ref="N305:N355" si="26">SMALL(D305:L305,COUNTIF(D305:L305,0)+1)</f>
        <v>431</v>
      </c>
      <c r="O305" s="124"/>
      <c r="P305" s="130"/>
    </row>
    <row r="306" spans="1:16" ht="30" customHeight="1" x14ac:dyDescent="0.3">
      <c r="A306" s="121" t="s">
        <v>185</v>
      </c>
      <c r="B306" s="121" t="s">
        <v>2327</v>
      </c>
      <c r="C306" s="122" t="s">
        <v>12</v>
      </c>
      <c r="D306" s="149">
        <v>663</v>
      </c>
      <c r="E306" s="124" t="s">
        <v>5</v>
      </c>
      <c r="F306" s="125">
        <v>1050</v>
      </c>
      <c r="G306" s="124" t="s">
        <v>775</v>
      </c>
      <c r="H306" s="127">
        <v>0</v>
      </c>
      <c r="I306" s="128" t="s">
        <v>5</v>
      </c>
      <c r="J306" s="127">
        <v>860</v>
      </c>
      <c r="K306" s="124" t="s">
        <v>2317</v>
      </c>
      <c r="L306" s="127">
        <v>1260</v>
      </c>
      <c r="M306" s="124" t="s">
        <v>2316</v>
      </c>
      <c r="N306" s="129">
        <f t="shared" si="26"/>
        <v>663</v>
      </c>
      <c r="O306" s="124"/>
      <c r="P306" s="130"/>
    </row>
    <row r="307" spans="1:16" ht="30" customHeight="1" x14ac:dyDescent="0.3">
      <c r="A307" s="121" t="s">
        <v>185</v>
      </c>
      <c r="B307" s="121" t="s">
        <v>2328</v>
      </c>
      <c r="C307" s="122" t="s">
        <v>12</v>
      </c>
      <c r="D307" s="149">
        <v>795</v>
      </c>
      <c r="E307" s="124" t="s">
        <v>5</v>
      </c>
      <c r="F307" s="125">
        <v>2000</v>
      </c>
      <c r="G307" s="124" t="s">
        <v>775</v>
      </c>
      <c r="H307" s="127">
        <v>0</v>
      </c>
      <c r="I307" s="128" t="s">
        <v>5</v>
      </c>
      <c r="J307" s="127">
        <v>1180</v>
      </c>
      <c r="K307" s="124" t="s">
        <v>2317</v>
      </c>
      <c r="L307" s="127">
        <v>1860</v>
      </c>
      <c r="M307" s="124" t="s">
        <v>2316</v>
      </c>
      <c r="N307" s="129">
        <f t="shared" si="26"/>
        <v>795</v>
      </c>
      <c r="O307" s="124"/>
      <c r="P307" s="130"/>
    </row>
    <row r="308" spans="1:16" ht="30" customHeight="1" x14ac:dyDescent="0.3">
      <c r="A308" s="131" t="s">
        <v>185</v>
      </c>
      <c r="B308" s="131" t="s">
        <v>193</v>
      </c>
      <c r="C308" s="132" t="s">
        <v>12</v>
      </c>
      <c r="D308" s="148">
        <v>1160</v>
      </c>
      <c r="E308" s="128" t="s">
        <v>5</v>
      </c>
      <c r="F308" s="133">
        <v>1700</v>
      </c>
      <c r="G308" s="128" t="s">
        <v>775</v>
      </c>
      <c r="H308" s="127">
        <v>0</v>
      </c>
      <c r="I308" s="128" t="s">
        <v>5</v>
      </c>
      <c r="J308" s="127">
        <v>0</v>
      </c>
      <c r="K308" s="128"/>
      <c r="L308" s="127">
        <v>4600</v>
      </c>
      <c r="M308" s="124" t="s">
        <v>2316</v>
      </c>
      <c r="N308" s="135">
        <f t="shared" si="26"/>
        <v>1160</v>
      </c>
      <c r="O308" s="124"/>
      <c r="P308" s="130"/>
    </row>
    <row r="309" spans="1:16" ht="30" customHeight="1" x14ac:dyDescent="0.3">
      <c r="A309" s="121" t="s">
        <v>185</v>
      </c>
      <c r="B309" s="121" t="s">
        <v>2329</v>
      </c>
      <c r="C309" s="122" t="s">
        <v>12</v>
      </c>
      <c r="D309" s="149">
        <v>1214</v>
      </c>
      <c r="E309" s="124" t="s">
        <v>5</v>
      </c>
      <c r="F309" s="125">
        <v>1700</v>
      </c>
      <c r="G309" s="124" t="s">
        <v>775</v>
      </c>
      <c r="H309" s="127">
        <v>0</v>
      </c>
      <c r="I309" s="128" t="s">
        <v>5</v>
      </c>
      <c r="J309" s="127">
        <v>0</v>
      </c>
      <c r="K309" s="128"/>
      <c r="L309" s="127">
        <v>4600</v>
      </c>
      <c r="M309" s="124" t="s">
        <v>2316</v>
      </c>
      <c r="N309" s="129">
        <f t="shared" si="26"/>
        <v>1214</v>
      </c>
      <c r="O309" s="124"/>
      <c r="P309" s="130"/>
    </row>
    <row r="310" spans="1:16" ht="30" customHeight="1" x14ac:dyDescent="0.3">
      <c r="A310" s="121" t="s">
        <v>185</v>
      </c>
      <c r="B310" s="121" t="s">
        <v>194</v>
      </c>
      <c r="C310" s="122" t="s">
        <v>12</v>
      </c>
      <c r="D310" s="149">
        <v>1236</v>
      </c>
      <c r="E310" s="124" t="s">
        <v>5</v>
      </c>
      <c r="F310" s="125">
        <v>1700</v>
      </c>
      <c r="G310" s="124" t="s">
        <v>775</v>
      </c>
      <c r="H310" s="127">
        <v>0</v>
      </c>
      <c r="I310" s="128" t="s">
        <v>5</v>
      </c>
      <c r="J310" s="127">
        <v>0</v>
      </c>
      <c r="K310" s="128"/>
      <c r="L310" s="127">
        <v>4600</v>
      </c>
      <c r="M310" s="124" t="s">
        <v>2316</v>
      </c>
      <c r="N310" s="129">
        <f t="shared" si="26"/>
        <v>1236</v>
      </c>
      <c r="O310" s="124"/>
      <c r="P310" s="130"/>
    </row>
    <row r="311" spans="1:16" ht="30" customHeight="1" x14ac:dyDescent="0.3">
      <c r="A311" s="131" t="s">
        <v>185</v>
      </c>
      <c r="B311" s="131" t="s">
        <v>2330</v>
      </c>
      <c r="C311" s="132" t="s">
        <v>12</v>
      </c>
      <c r="D311" s="148">
        <v>774</v>
      </c>
      <c r="E311" s="128" t="s">
        <v>5</v>
      </c>
      <c r="F311" s="133">
        <v>950</v>
      </c>
      <c r="G311" s="128" t="s">
        <v>775</v>
      </c>
      <c r="H311" s="127">
        <v>0</v>
      </c>
      <c r="I311" s="128" t="s">
        <v>5</v>
      </c>
      <c r="J311" s="127">
        <v>1020</v>
      </c>
      <c r="K311" s="124" t="s">
        <v>2317</v>
      </c>
      <c r="L311" s="127">
        <v>2200</v>
      </c>
      <c r="M311" s="124" t="s">
        <v>2316</v>
      </c>
      <c r="N311" s="135">
        <f t="shared" si="26"/>
        <v>774</v>
      </c>
      <c r="O311" s="124"/>
      <c r="P311" s="130"/>
    </row>
    <row r="312" spans="1:16" ht="30" customHeight="1" x14ac:dyDescent="0.3">
      <c r="A312" s="121" t="s">
        <v>185</v>
      </c>
      <c r="B312" s="121" t="s">
        <v>2035</v>
      </c>
      <c r="C312" s="122" t="s">
        <v>12</v>
      </c>
      <c r="D312" s="149">
        <v>926</v>
      </c>
      <c r="E312" s="124" t="s">
        <v>5</v>
      </c>
      <c r="F312" s="125">
        <v>1350</v>
      </c>
      <c r="G312" s="124" t="s">
        <v>775</v>
      </c>
      <c r="H312" s="127">
        <v>0</v>
      </c>
      <c r="I312" s="128" t="s">
        <v>5</v>
      </c>
      <c r="J312" s="127">
        <v>1190</v>
      </c>
      <c r="K312" s="124" t="s">
        <v>2317</v>
      </c>
      <c r="L312" s="127">
        <v>2600</v>
      </c>
      <c r="M312" s="124" t="s">
        <v>2316</v>
      </c>
      <c r="N312" s="129">
        <f t="shared" si="26"/>
        <v>926</v>
      </c>
      <c r="O312" s="124"/>
      <c r="P312" s="130"/>
    </row>
    <row r="313" spans="1:16" ht="30" customHeight="1" x14ac:dyDescent="0.3">
      <c r="A313" s="131" t="s">
        <v>185</v>
      </c>
      <c r="B313" s="131" t="s">
        <v>195</v>
      </c>
      <c r="C313" s="132" t="s">
        <v>12</v>
      </c>
      <c r="D313" s="148">
        <v>0</v>
      </c>
      <c r="E313" s="128" t="s">
        <v>5</v>
      </c>
      <c r="F313" s="133">
        <v>1800</v>
      </c>
      <c r="G313" s="128" t="s">
        <v>775</v>
      </c>
      <c r="H313" s="127">
        <v>0</v>
      </c>
      <c r="I313" s="128" t="s">
        <v>5</v>
      </c>
      <c r="J313" s="127">
        <v>1530</v>
      </c>
      <c r="K313" s="124" t="s">
        <v>2317</v>
      </c>
      <c r="L313" s="127">
        <v>3320</v>
      </c>
      <c r="M313" s="124" t="s">
        <v>2316</v>
      </c>
      <c r="N313" s="135">
        <f t="shared" si="26"/>
        <v>1530</v>
      </c>
      <c r="O313" s="124"/>
      <c r="P313" s="130"/>
    </row>
    <row r="314" spans="1:16" ht="30" customHeight="1" x14ac:dyDescent="0.3">
      <c r="A314" s="131" t="s">
        <v>185</v>
      </c>
      <c r="B314" s="131" t="s">
        <v>196</v>
      </c>
      <c r="C314" s="132" t="s">
        <v>12</v>
      </c>
      <c r="D314" s="148">
        <v>979</v>
      </c>
      <c r="E314" s="128" t="s">
        <v>5</v>
      </c>
      <c r="F314" s="133">
        <v>980</v>
      </c>
      <c r="G314" s="128" t="s">
        <v>775</v>
      </c>
      <c r="H314" s="127">
        <v>0</v>
      </c>
      <c r="I314" s="128" t="s">
        <v>5</v>
      </c>
      <c r="J314" s="127">
        <v>1870</v>
      </c>
      <c r="K314" s="124" t="s">
        <v>2317</v>
      </c>
      <c r="L314" s="127">
        <v>3380</v>
      </c>
      <c r="M314" s="124" t="s">
        <v>2316</v>
      </c>
      <c r="N314" s="135">
        <f t="shared" si="26"/>
        <v>979</v>
      </c>
      <c r="O314" s="124"/>
      <c r="P314" s="130"/>
    </row>
    <row r="315" spans="1:16" ht="30" customHeight="1" x14ac:dyDescent="0.3">
      <c r="A315" s="121" t="s">
        <v>185</v>
      </c>
      <c r="B315" s="121" t="s">
        <v>2315</v>
      </c>
      <c r="C315" s="122" t="s">
        <v>12</v>
      </c>
      <c r="D315" s="149">
        <v>1399</v>
      </c>
      <c r="E315" s="124" t="s">
        <v>5</v>
      </c>
      <c r="F315" s="125">
        <v>1400</v>
      </c>
      <c r="G315" s="124" t="s">
        <v>775</v>
      </c>
      <c r="H315" s="127">
        <v>0</v>
      </c>
      <c r="I315" s="128" t="s">
        <v>5</v>
      </c>
      <c r="J315" s="127">
        <v>2040</v>
      </c>
      <c r="K315" s="124" t="s">
        <v>2317</v>
      </c>
      <c r="L315" s="127">
        <v>3560</v>
      </c>
      <c r="M315" s="124" t="s">
        <v>2316</v>
      </c>
      <c r="N315" s="129">
        <f t="shared" si="26"/>
        <v>1399</v>
      </c>
      <c r="O315" s="124"/>
      <c r="P315" s="130"/>
    </row>
    <row r="316" spans="1:16" ht="30" customHeight="1" x14ac:dyDescent="0.3">
      <c r="A316" s="121" t="s">
        <v>185</v>
      </c>
      <c r="B316" s="121" t="s">
        <v>2036</v>
      </c>
      <c r="C316" s="122" t="s">
        <v>12</v>
      </c>
      <c r="D316" s="149">
        <v>2263</v>
      </c>
      <c r="E316" s="124" t="s">
        <v>5</v>
      </c>
      <c r="F316" s="125">
        <v>4000</v>
      </c>
      <c r="G316" s="124" t="s">
        <v>775</v>
      </c>
      <c r="H316" s="127">
        <v>0</v>
      </c>
      <c r="I316" s="128" t="s">
        <v>5</v>
      </c>
      <c r="J316" s="127">
        <v>3400</v>
      </c>
      <c r="K316" s="124" t="s">
        <v>2317</v>
      </c>
      <c r="L316" s="127">
        <v>5020</v>
      </c>
      <c r="M316" s="124" t="s">
        <v>2316</v>
      </c>
      <c r="N316" s="129">
        <f t="shared" si="26"/>
        <v>2263</v>
      </c>
      <c r="O316" s="124"/>
      <c r="P316" s="130"/>
    </row>
    <row r="317" spans="1:16" ht="30" customHeight="1" x14ac:dyDescent="0.3">
      <c r="A317" s="131" t="s">
        <v>185</v>
      </c>
      <c r="B317" s="131" t="s">
        <v>198</v>
      </c>
      <c r="C317" s="132" t="s">
        <v>12</v>
      </c>
      <c r="D317" s="148">
        <v>2332</v>
      </c>
      <c r="E317" s="128" t="s">
        <v>5</v>
      </c>
      <c r="F317" s="133">
        <v>2400</v>
      </c>
      <c r="G317" s="128" t="s">
        <v>775</v>
      </c>
      <c r="H317" s="127">
        <v>0</v>
      </c>
      <c r="I317" s="128" t="s">
        <v>5</v>
      </c>
      <c r="J317" s="127">
        <v>0</v>
      </c>
      <c r="K317" s="128"/>
      <c r="L317" s="127">
        <v>0</v>
      </c>
      <c r="M317" s="128" t="s">
        <v>5</v>
      </c>
      <c r="N317" s="135">
        <f t="shared" si="26"/>
        <v>2332</v>
      </c>
      <c r="O317" s="124"/>
      <c r="P317" s="130"/>
    </row>
    <row r="318" spans="1:16" ht="30" customHeight="1" x14ac:dyDescent="0.3">
      <c r="A318" s="121" t="s">
        <v>185</v>
      </c>
      <c r="B318" s="121" t="s">
        <v>2041</v>
      </c>
      <c r="C318" s="122" t="s">
        <v>12</v>
      </c>
      <c r="D318" s="149">
        <v>2833</v>
      </c>
      <c r="E318" s="124" t="s">
        <v>5</v>
      </c>
      <c r="F318" s="125">
        <v>4070</v>
      </c>
      <c r="G318" s="124" t="s">
        <v>775</v>
      </c>
      <c r="H318" s="127">
        <v>0</v>
      </c>
      <c r="I318" s="128" t="s">
        <v>5</v>
      </c>
      <c r="J318" s="127">
        <v>0</v>
      </c>
      <c r="K318" s="128"/>
      <c r="L318" s="127">
        <v>0</v>
      </c>
      <c r="M318" s="124" t="s">
        <v>5</v>
      </c>
      <c r="N318" s="129">
        <f t="shared" si="26"/>
        <v>2833</v>
      </c>
      <c r="O318" s="124"/>
      <c r="P318" s="130"/>
    </row>
    <row r="319" spans="1:16" ht="30" customHeight="1" x14ac:dyDescent="0.3">
      <c r="A319" s="131" t="s">
        <v>185</v>
      </c>
      <c r="B319" s="131" t="s">
        <v>197</v>
      </c>
      <c r="C319" s="132" t="s">
        <v>12</v>
      </c>
      <c r="D319" s="148">
        <v>2748</v>
      </c>
      <c r="E319" s="128" t="s">
        <v>5</v>
      </c>
      <c r="F319" s="133">
        <v>2750</v>
      </c>
      <c r="G319" s="128" t="s">
        <v>775</v>
      </c>
      <c r="H319" s="127">
        <v>0</v>
      </c>
      <c r="I319" s="128" t="s">
        <v>5</v>
      </c>
      <c r="J319" s="127">
        <v>0</v>
      </c>
      <c r="K319" s="128"/>
      <c r="L319" s="127">
        <v>0</v>
      </c>
      <c r="M319" s="128" t="s">
        <v>5</v>
      </c>
      <c r="N319" s="135">
        <f t="shared" si="26"/>
        <v>2748</v>
      </c>
      <c r="O319" s="124"/>
      <c r="P319" s="130"/>
    </row>
    <row r="320" spans="1:16" ht="30" customHeight="1" x14ac:dyDescent="0.3">
      <c r="A320" s="121" t="s">
        <v>185</v>
      </c>
      <c r="B320" s="121" t="s">
        <v>2037</v>
      </c>
      <c r="C320" s="122" t="s">
        <v>12</v>
      </c>
      <c r="D320" s="149">
        <v>3467</v>
      </c>
      <c r="E320" s="124" t="s">
        <v>5</v>
      </c>
      <c r="F320" s="125">
        <v>4780</v>
      </c>
      <c r="G320" s="124" t="s">
        <v>775</v>
      </c>
      <c r="H320" s="127">
        <v>0</v>
      </c>
      <c r="I320" s="128" t="s">
        <v>5</v>
      </c>
      <c r="J320" s="127">
        <v>0</v>
      </c>
      <c r="K320" s="128"/>
      <c r="L320" s="127">
        <v>0</v>
      </c>
      <c r="M320" s="124" t="s">
        <v>5</v>
      </c>
      <c r="N320" s="129">
        <f t="shared" si="26"/>
        <v>3467</v>
      </c>
      <c r="O320" s="124"/>
      <c r="P320" s="130"/>
    </row>
    <row r="321" spans="1:16" ht="30" customHeight="1" x14ac:dyDescent="0.3">
      <c r="A321" s="131" t="s">
        <v>185</v>
      </c>
      <c r="B321" s="131" t="s">
        <v>199</v>
      </c>
      <c r="C321" s="132" t="s">
        <v>12</v>
      </c>
      <c r="D321" s="148">
        <v>2948</v>
      </c>
      <c r="E321" s="128" t="s">
        <v>5</v>
      </c>
      <c r="F321" s="133">
        <v>2950</v>
      </c>
      <c r="G321" s="128" t="s">
        <v>775</v>
      </c>
      <c r="H321" s="127">
        <v>0</v>
      </c>
      <c r="I321" s="128" t="s">
        <v>5</v>
      </c>
      <c r="J321" s="127">
        <v>0</v>
      </c>
      <c r="K321" s="128"/>
      <c r="L321" s="127">
        <v>0</v>
      </c>
      <c r="M321" s="128" t="s">
        <v>5</v>
      </c>
      <c r="N321" s="135">
        <f t="shared" si="26"/>
        <v>2948</v>
      </c>
      <c r="O321" s="124"/>
      <c r="P321" s="130"/>
    </row>
    <row r="322" spans="1:16" ht="30" customHeight="1" x14ac:dyDescent="0.3">
      <c r="A322" s="121" t="s">
        <v>185</v>
      </c>
      <c r="B322" s="121" t="s">
        <v>2038</v>
      </c>
      <c r="C322" s="122" t="s">
        <v>12</v>
      </c>
      <c r="D322" s="149">
        <v>3910</v>
      </c>
      <c r="E322" s="124" t="s">
        <v>5</v>
      </c>
      <c r="F322" s="125">
        <v>5490</v>
      </c>
      <c r="G322" s="124" t="s">
        <v>775</v>
      </c>
      <c r="H322" s="127">
        <v>0</v>
      </c>
      <c r="I322" s="128" t="s">
        <v>5</v>
      </c>
      <c r="J322" s="127">
        <v>0</v>
      </c>
      <c r="K322" s="128"/>
      <c r="L322" s="127">
        <v>0</v>
      </c>
      <c r="M322" s="124" t="s">
        <v>5</v>
      </c>
      <c r="N322" s="129">
        <f t="shared" si="26"/>
        <v>3910</v>
      </c>
      <c r="O322" s="124"/>
      <c r="P322" s="130"/>
    </row>
    <row r="323" spans="1:16" ht="30" customHeight="1" x14ac:dyDescent="0.3">
      <c r="A323" s="131" t="s">
        <v>185</v>
      </c>
      <c r="B323" s="131" t="s">
        <v>200</v>
      </c>
      <c r="C323" s="132" t="s">
        <v>12</v>
      </c>
      <c r="D323" s="148">
        <v>0</v>
      </c>
      <c r="E323" s="128" t="s">
        <v>5</v>
      </c>
      <c r="F323" s="133">
        <v>1300</v>
      </c>
      <c r="G323" s="128" t="s">
        <v>775</v>
      </c>
      <c r="H323" s="127">
        <v>0</v>
      </c>
      <c r="I323" s="128" t="s">
        <v>5</v>
      </c>
      <c r="J323" s="127">
        <v>0</v>
      </c>
      <c r="K323" s="128"/>
      <c r="L323" s="127">
        <v>0</v>
      </c>
      <c r="M323" s="128" t="s">
        <v>5</v>
      </c>
      <c r="N323" s="135">
        <f t="shared" si="26"/>
        <v>1300</v>
      </c>
      <c r="O323" s="124"/>
      <c r="P323" s="130"/>
    </row>
    <row r="324" spans="1:16" ht="30" customHeight="1" x14ac:dyDescent="0.3">
      <c r="A324" s="121" t="s">
        <v>185</v>
      </c>
      <c r="B324" s="121" t="s">
        <v>2039</v>
      </c>
      <c r="C324" s="122" t="s">
        <v>12</v>
      </c>
      <c r="D324" s="149">
        <v>1292</v>
      </c>
      <c r="E324" s="124" t="s">
        <v>5</v>
      </c>
      <c r="F324" s="125">
        <v>1830</v>
      </c>
      <c r="G324" s="124" t="s">
        <v>775</v>
      </c>
      <c r="H324" s="127">
        <v>0</v>
      </c>
      <c r="I324" s="128" t="s">
        <v>5</v>
      </c>
      <c r="J324" s="127">
        <v>0</v>
      </c>
      <c r="K324" s="128"/>
      <c r="L324" s="127">
        <v>0</v>
      </c>
      <c r="M324" s="124" t="s">
        <v>5</v>
      </c>
      <c r="N324" s="129">
        <f t="shared" si="26"/>
        <v>1292</v>
      </c>
      <c r="O324" s="124"/>
      <c r="P324" s="130"/>
    </row>
    <row r="325" spans="1:16" ht="30" customHeight="1" x14ac:dyDescent="0.3">
      <c r="A325" s="121" t="s">
        <v>185</v>
      </c>
      <c r="B325" s="121" t="s">
        <v>2040</v>
      </c>
      <c r="C325" s="122" t="s">
        <v>12</v>
      </c>
      <c r="D325" s="149">
        <v>2587</v>
      </c>
      <c r="E325" s="124" t="s">
        <v>5</v>
      </c>
      <c r="F325" s="125">
        <v>4000</v>
      </c>
      <c r="G325" s="124" t="s">
        <v>775</v>
      </c>
      <c r="H325" s="127">
        <v>0</v>
      </c>
      <c r="I325" s="128" t="s">
        <v>5</v>
      </c>
      <c r="J325" s="127">
        <v>0</v>
      </c>
      <c r="K325" s="128"/>
      <c r="L325" s="127">
        <v>0</v>
      </c>
      <c r="M325" s="124" t="s">
        <v>5</v>
      </c>
      <c r="N325" s="129">
        <f t="shared" si="26"/>
        <v>2587</v>
      </c>
      <c r="O325" s="124"/>
      <c r="P325" s="130"/>
    </row>
    <row r="326" spans="1:16" ht="30" customHeight="1" x14ac:dyDescent="0.3">
      <c r="A326" s="121" t="s">
        <v>185</v>
      </c>
      <c r="B326" s="121" t="s">
        <v>2042</v>
      </c>
      <c r="C326" s="122" t="s">
        <v>12</v>
      </c>
      <c r="D326" s="123">
        <v>0</v>
      </c>
      <c r="E326" s="124" t="s">
        <v>5</v>
      </c>
      <c r="F326" s="125">
        <v>10500</v>
      </c>
      <c r="G326" s="124" t="s">
        <v>775</v>
      </c>
      <c r="H326" s="127">
        <v>0</v>
      </c>
      <c r="I326" s="128" t="s">
        <v>5</v>
      </c>
      <c r="J326" s="127">
        <v>0</v>
      </c>
      <c r="K326" s="128"/>
      <c r="L326" s="127">
        <v>0</v>
      </c>
      <c r="M326" s="124" t="s">
        <v>5</v>
      </c>
      <c r="N326" s="129">
        <f t="shared" si="26"/>
        <v>10500</v>
      </c>
      <c r="O326" s="124"/>
      <c r="P326" s="130"/>
    </row>
    <row r="327" spans="1:16" ht="30" customHeight="1" x14ac:dyDescent="0.3">
      <c r="A327" s="131" t="s">
        <v>185</v>
      </c>
      <c r="B327" s="131" t="s">
        <v>201</v>
      </c>
      <c r="C327" s="132" t="s">
        <v>12</v>
      </c>
      <c r="D327" s="148">
        <v>0</v>
      </c>
      <c r="E327" s="128" t="s">
        <v>5</v>
      </c>
      <c r="F327" s="133">
        <v>10500</v>
      </c>
      <c r="G327" s="128" t="s">
        <v>775</v>
      </c>
      <c r="H327" s="127">
        <v>0</v>
      </c>
      <c r="I327" s="128" t="s">
        <v>5</v>
      </c>
      <c r="J327" s="127">
        <v>0</v>
      </c>
      <c r="K327" s="128"/>
      <c r="L327" s="127">
        <v>0</v>
      </c>
      <c r="M327" s="128" t="s">
        <v>5</v>
      </c>
      <c r="N327" s="135">
        <f t="shared" si="26"/>
        <v>10500</v>
      </c>
      <c r="O327" s="124"/>
      <c r="P327" s="124"/>
    </row>
    <row r="328" spans="1:16" ht="30" customHeight="1" x14ac:dyDescent="0.3">
      <c r="A328" s="131" t="s">
        <v>936</v>
      </c>
      <c r="B328" s="131" t="s">
        <v>904</v>
      </c>
      <c r="C328" s="132" t="s">
        <v>1586</v>
      </c>
      <c r="D328" s="148">
        <v>0</v>
      </c>
      <c r="E328" s="128" t="s">
        <v>5</v>
      </c>
      <c r="F328" s="127">
        <v>19700</v>
      </c>
      <c r="G328" s="128" t="s">
        <v>927</v>
      </c>
      <c r="H328" s="127">
        <v>0</v>
      </c>
      <c r="I328" s="128" t="s">
        <v>5</v>
      </c>
      <c r="J328" s="127">
        <v>19700</v>
      </c>
      <c r="K328" s="128" t="s">
        <v>2487</v>
      </c>
      <c r="L328" s="127">
        <v>0</v>
      </c>
      <c r="M328" s="128" t="s">
        <v>5</v>
      </c>
      <c r="N328" s="135">
        <f t="shared" si="26"/>
        <v>19700</v>
      </c>
      <c r="O328" s="124"/>
      <c r="P328" s="130"/>
    </row>
    <row r="329" spans="1:16" ht="30" customHeight="1" x14ac:dyDescent="0.3">
      <c r="A329" s="131" t="s">
        <v>936</v>
      </c>
      <c r="B329" s="131" t="s">
        <v>905</v>
      </c>
      <c r="C329" s="132" t="s">
        <v>1586</v>
      </c>
      <c r="D329" s="148">
        <v>0</v>
      </c>
      <c r="E329" s="128" t="s">
        <v>5</v>
      </c>
      <c r="F329" s="127">
        <v>31200</v>
      </c>
      <c r="G329" s="128" t="s">
        <v>927</v>
      </c>
      <c r="H329" s="127">
        <v>0</v>
      </c>
      <c r="I329" s="128" t="s">
        <v>5</v>
      </c>
      <c r="J329" s="127">
        <v>31200</v>
      </c>
      <c r="K329" s="128" t="s">
        <v>2487</v>
      </c>
      <c r="L329" s="127">
        <v>0</v>
      </c>
      <c r="M329" s="128" t="s">
        <v>5</v>
      </c>
      <c r="N329" s="135">
        <f t="shared" si="26"/>
        <v>31200</v>
      </c>
      <c r="O329" s="124"/>
      <c r="P329" s="130"/>
    </row>
    <row r="330" spans="1:16" ht="30" customHeight="1" x14ac:dyDescent="0.3">
      <c r="A330" s="131" t="s">
        <v>936</v>
      </c>
      <c r="B330" s="131" t="s">
        <v>906</v>
      </c>
      <c r="C330" s="132" t="s">
        <v>1586</v>
      </c>
      <c r="D330" s="148">
        <v>0</v>
      </c>
      <c r="E330" s="128" t="s">
        <v>5</v>
      </c>
      <c r="F330" s="127">
        <v>33100</v>
      </c>
      <c r="G330" s="128" t="s">
        <v>927</v>
      </c>
      <c r="H330" s="127">
        <v>0</v>
      </c>
      <c r="I330" s="128" t="s">
        <v>5</v>
      </c>
      <c r="J330" s="127">
        <v>33100</v>
      </c>
      <c r="K330" s="128" t="s">
        <v>2487</v>
      </c>
      <c r="L330" s="127">
        <v>0</v>
      </c>
      <c r="M330" s="128" t="s">
        <v>5</v>
      </c>
      <c r="N330" s="135">
        <f t="shared" si="26"/>
        <v>33100</v>
      </c>
      <c r="O330" s="124"/>
      <c r="P330" s="130"/>
    </row>
    <row r="331" spans="1:16" ht="30" customHeight="1" x14ac:dyDescent="0.3">
      <c r="A331" s="131" t="s">
        <v>937</v>
      </c>
      <c r="B331" s="131" t="s">
        <v>907</v>
      </c>
      <c r="C331" s="132" t="s">
        <v>1586</v>
      </c>
      <c r="D331" s="148">
        <v>0</v>
      </c>
      <c r="E331" s="128" t="s">
        <v>5</v>
      </c>
      <c r="F331" s="127">
        <v>7800</v>
      </c>
      <c r="G331" s="128" t="s">
        <v>927</v>
      </c>
      <c r="H331" s="127">
        <v>0</v>
      </c>
      <c r="I331" s="128" t="s">
        <v>5</v>
      </c>
      <c r="J331" s="127">
        <v>7800</v>
      </c>
      <c r="K331" s="128" t="s">
        <v>2487</v>
      </c>
      <c r="L331" s="127">
        <v>0</v>
      </c>
      <c r="M331" s="128" t="s">
        <v>5</v>
      </c>
      <c r="N331" s="135">
        <f t="shared" si="26"/>
        <v>7800</v>
      </c>
      <c r="O331" s="124"/>
      <c r="P331" s="130"/>
    </row>
    <row r="332" spans="1:16" ht="30" customHeight="1" x14ac:dyDescent="0.3">
      <c r="A332" s="131" t="s">
        <v>937</v>
      </c>
      <c r="B332" s="131" t="s">
        <v>908</v>
      </c>
      <c r="C332" s="132" t="s">
        <v>1586</v>
      </c>
      <c r="D332" s="148">
        <v>0</v>
      </c>
      <c r="E332" s="128" t="s">
        <v>5</v>
      </c>
      <c r="F332" s="127">
        <v>10400</v>
      </c>
      <c r="G332" s="128" t="s">
        <v>927</v>
      </c>
      <c r="H332" s="127">
        <v>0</v>
      </c>
      <c r="I332" s="128" t="s">
        <v>5</v>
      </c>
      <c r="J332" s="127">
        <v>10400</v>
      </c>
      <c r="K332" s="128" t="s">
        <v>2487</v>
      </c>
      <c r="L332" s="127">
        <v>0</v>
      </c>
      <c r="M332" s="128" t="s">
        <v>5</v>
      </c>
      <c r="N332" s="135">
        <f t="shared" si="26"/>
        <v>10400</v>
      </c>
      <c r="O332" s="124"/>
      <c r="P332" s="130"/>
    </row>
    <row r="333" spans="1:16" ht="30" customHeight="1" x14ac:dyDescent="0.3">
      <c r="A333" s="131" t="s">
        <v>937</v>
      </c>
      <c r="B333" s="131" t="s">
        <v>909</v>
      </c>
      <c r="C333" s="132" t="s">
        <v>1586</v>
      </c>
      <c r="D333" s="148">
        <v>0</v>
      </c>
      <c r="E333" s="128" t="s">
        <v>5</v>
      </c>
      <c r="F333" s="127">
        <v>12300</v>
      </c>
      <c r="G333" s="128" t="s">
        <v>927</v>
      </c>
      <c r="H333" s="127">
        <v>0</v>
      </c>
      <c r="I333" s="128" t="s">
        <v>5</v>
      </c>
      <c r="J333" s="127">
        <v>12300</v>
      </c>
      <c r="K333" s="128" t="s">
        <v>2487</v>
      </c>
      <c r="L333" s="127">
        <v>0</v>
      </c>
      <c r="M333" s="128" t="s">
        <v>5</v>
      </c>
      <c r="N333" s="135">
        <f t="shared" si="26"/>
        <v>12300</v>
      </c>
      <c r="O333" s="124"/>
      <c r="P333" s="130"/>
    </row>
    <row r="334" spans="1:16" ht="30" customHeight="1" x14ac:dyDescent="0.3">
      <c r="A334" s="131" t="s">
        <v>938</v>
      </c>
      <c r="B334" s="131" t="s">
        <v>910</v>
      </c>
      <c r="C334" s="132" t="s">
        <v>1586</v>
      </c>
      <c r="D334" s="148">
        <v>0</v>
      </c>
      <c r="E334" s="128" t="s">
        <v>5</v>
      </c>
      <c r="F334" s="127">
        <v>2500</v>
      </c>
      <c r="G334" s="128" t="s">
        <v>927</v>
      </c>
      <c r="H334" s="127">
        <v>0</v>
      </c>
      <c r="I334" s="128" t="s">
        <v>5</v>
      </c>
      <c r="J334" s="127">
        <v>2500</v>
      </c>
      <c r="K334" s="128" t="s">
        <v>2487</v>
      </c>
      <c r="L334" s="127">
        <v>0</v>
      </c>
      <c r="M334" s="128" t="s">
        <v>5</v>
      </c>
      <c r="N334" s="135">
        <f t="shared" si="26"/>
        <v>2500</v>
      </c>
      <c r="O334" s="124"/>
      <c r="P334" s="130"/>
    </row>
    <row r="335" spans="1:16" ht="30" customHeight="1" x14ac:dyDescent="0.3">
      <c r="A335" s="131" t="s">
        <v>938</v>
      </c>
      <c r="B335" s="131" t="s">
        <v>911</v>
      </c>
      <c r="C335" s="132" t="s">
        <v>1586</v>
      </c>
      <c r="D335" s="148">
        <v>0</v>
      </c>
      <c r="E335" s="128" t="s">
        <v>5</v>
      </c>
      <c r="F335" s="127">
        <v>2500</v>
      </c>
      <c r="G335" s="128" t="s">
        <v>927</v>
      </c>
      <c r="H335" s="127">
        <v>0</v>
      </c>
      <c r="I335" s="128" t="s">
        <v>5</v>
      </c>
      <c r="J335" s="127">
        <v>2500</v>
      </c>
      <c r="K335" s="128" t="s">
        <v>2487</v>
      </c>
      <c r="L335" s="127">
        <v>0</v>
      </c>
      <c r="M335" s="128" t="s">
        <v>5</v>
      </c>
      <c r="N335" s="135">
        <f t="shared" si="26"/>
        <v>2500</v>
      </c>
      <c r="O335" s="124"/>
      <c r="P335" s="130"/>
    </row>
    <row r="336" spans="1:16" ht="30" customHeight="1" x14ac:dyDescent="0.3">
      <c r="A336" s="131" t="s">
        <v>938</v>
      </c>
      <c r="B336" s="131" t="s">
        <v>912</v>
      </c>
      <c r="C336" s="132" t="s">
        <v>1586</v>
      </c>
      <c r="D336" s="148">
        <v>0</v>
      </c>
      <c r="E336" s="128" t="s">
        <v>5</v>
      </c>
      <c r="F336" s="127">
        <v>4300</v>
      </c>
      <c r="G336" s="128" t="s">
        <v>927</v>
      </c>
      <c r="H336" s="127">
        <v>0</v>
      </c>
      <c r="I336" s="128" t="s">
        <v>5</v>
      </c>
      <c r="J336" s="127">
        <v>4300</v>
      </c>
      <c r="K336" s="128" t="s">
        <v>2487</v>
      </c>
      <c r="L336" s="127">
        <v>0</v>
      </c>
      <c r="M336" s="128" t="s">
        <v>5</v>
      </c>
      <c r="N336" s="135">
        <f t="shared" si="26"/>
        <v>4300</v>
      </c>
      <c r="O336" s="124"/>
      <c r="P336" s="130"/>
    </row>
    <row r="337" spans="1:16" ht="30" customHeight="1" x14ac:dyDescent="0.3">
      <c r="A337" s="131" t="s">
        <v>939</v>
      </c>
      <c r="B337" s="131" t="s">
        <v>913</v>
      </c>
      <c r="C337" s="132" t="s">
        <v>12</v>
      </c>
      <c r="D337" s="148">
        <v>0</v>
      </c>
      <c r="E337" s="128" t="s">
        <v>5</v>
      </c>
      <c r="F337" s="127">
        <v>19000</v>
      </c>
      <c r="G337" s="128" t="s">
        <v>927</v>
      </c>
      <c r="H337" s="127">
        <v>0</v>
      </c>
      <c r="I337" s="128" t="s">
        <v>5</v>
      </c>
      <c r="J337" s="127">
        <v>19000</v>
      </c>
      <c r="K337" s="128" t="s">
        <v>2487</v>
      </c>
      <c r="L337" s="127">
        <v>0</v>
      </c>
      <c r="M337" s="128" t="s">
        <v>5</v>
      </c>
      <c r="N337" s="135">
        <f t="shared" si="26"/>
        <v>19000</v>
      </c>
      <c r="O337" s="124"/>
      <c r="P337" s="130"/>
    </row>
    <row r="338" spans="1:16" ht="30" customHeight="1" x14ac:dyDescent="0.3">
      <c r="A338" s="131" t="s">
        <v>939</v>
      </c>
      <c r="B338" s="131" t="s">
        <v>914</v>
      </c>
      <c r="C338" s="132" t="s">
        <v>12</v>
      </c>
      <c r="D338" s="148">
        <v>0</v>
      </c>
      <c r="E338" s="128" t="s">
        <v>5</v>
      </c>
      <c r="F338" s="127">
        <v>22100</v>
      </c>
      <c r="G338" s="128" t="s">
        <v>927</v>
      </c>
      <c r="H338" s="127">
        <v>0</v>
      </c>
      <c r="I338" s="128" t="s">
        <v>5</v>
      </c>
      <c r="J338" s="127">
        <v>22100</v>
      </c>
      <c r="K338" s="128" t="s">
        <v>2487</v>
      </c>
      <c r="L338" s="127">
        <v>0</v>
      </c>
      <c r="M338" s="128" t="s">
        <v>5</v>
      </c>
      <c r="N338" s="135">
        <f t="shared" si="26"/>
        <v>22100</v>
      </c>
      <c r="O338" s="124"/>
      <c r="P338" s="130"/>
    </row>
    <row r="339" spans="1:16" ht="30" customHeight="1" x14ac:dyDescent="0.3">
      <c r="A339" s="131" t="s">
        <v>939</v>
      </c>
      <c r="B339" s="131" t="s">
        <v>915</v>
      </c>
      <c r="C339" s="132" t="s">
        <v>12</v>
      </c>
      <c r="D339" s="148">
        <v>0</v>
      </c>
      <c r="E339" s="128" t="s">
        <v>5</v>
      </c>
      <c r="F339" s="127">
        <v>25800</v>
      </c>
      <c r="G339" s="128" t="s">
        <v>927</v>
      </c>
      <c r="H339" s="127">
        <v>0</v>
      </c>
      <c r="I339" s="128" t="s">
        <v>5</v>
      </c>
      <c r="J339" s="127">
        <v>25800</v>
      </c>
      <c r="K339" s="128" t="s">
        <v>2487</v>
      </c>
      <c r="L339" s="127">
        <v>0</v>
      </c>
      <c r="M339" s="128" t="s">
        <v>5</v>
      </c>
      <c r="N339" s="135">
        <f t="shared" si="26"/>
        <v>25800</v>
      </c>
      <c r="O339" s="124"/>
      <c r="P339" s="130"/>
    </row>
    <row r="340" spans="1:16" ht="30" customHeight="1" x14ac:dyDescent="0.3">
      <c r="A340" s="131" t="s">
        <v>940</v>
      </c>
      <c r="B340" s="131" t="s">
        <v>916</v>
      </c>
      <c r="C340" s="132" t="s">
        <v>12</v>
      </c>
      <c r="D340" s="148">
        <v>0</v>
      </c>
      <c r="E340" s="128" t="s">
        <v>5</v>
      </c>
      <c r="F340" s="127">
        <v>19500</v>
      </c>
      <c r="G340" s="128" t="s">
        <v>927</v>
      </c>
      <c r="H340" s="127">
        <v>0</v>
      </c>
      <c r="I340" s="128" t="s">
        <v>5</v>
      </c>
      <c r="J340" s="127">
        <v>19500</v>
      </c>
      <c r="K340" s="128" t="s">
        <v>2487</v>
      </c>
      <c r="L340" s="127">
        <v>0</v>
      </c>
      <c r="M340" s="128" t="s">
        <v>5</v>
      </c>
      <c r="N340" s="135">
        <f t="shared" si="26"/>
        <v>19500</v>
      </c>
      <c r="O340" s="124"/>
      <c r="P340" s="130"/>
    </row>
    <row r="341" spans="1:16" ht="30" customHeight="1" x14ac:dyDescent="0.3">
      <c r="A341" s="131" t="s">
        <v>1565</v>
      </c>
      <c r="B341" s="131" t="s">
        <v>917</v>
      </c>
      <c r="C341" s="132" t="s">
        <v>12</v>
      </c>
      <c r="D341" s="148">
        <v>0</v>
      </c>
      <c r="E341" s="128" t="s">
        <v>5</v>
      </c>
      <c r="F341" s="127">
        <v>15600</v>
      </c>
      <c r="G341" s="128" t="s">
        <v>927</v>
      </c>
      <c r="H341" s="127">
        <v>0</v>
      </c>
      <c r="I341" s="128" t="s">
        <v>5</v>
      </c>
      <c r="J341" s="127">
        <v>15600</v>
      </c>
      <c r="K341" s="128" t="s">
        <v>2487</v>
      </c>
      <c r="L341" s="127">
        <v>0</v>
      </c>
      <c r="M341" s="128" t="s">
        <v>5</v>
      </c>
      <c r="N341" s="135">
        <f t="shared" si="26"/>
        <v>15600</v>
      </c>
      <c r="O341" s="124"/>
      <c r="P341" s="130"/>
    </row>
    <row r="342" spans="1:16" ht="30" customHeight="1" x14ac:dyDescent="0.3">
      <c r="A342" s="131" t="s">
        <v>941</v>
      </c>
      <c r="B342" s="131" t="s">
        <v>918</v>
      </c>
      <c r="C342" s="132" t="s">
        <v>12</v>
      </c>
      <c r="D342" s="148">
        <v>0</v>
      </c>
      <c r="E342" s="128" t="s">
        <v>5</v>
      </c>
      <c r="F342" s="127">
        <v>22200</v>
      </c>
      <c r="G342" s="128" t="s">
        <v>927</v>
      </c>
      <c r="H342" s="127">
        <v>0</v>
      </c>
      <c r="I342" s="128" t="s">
        <v>5</v>
      </c>
      <c r="J342" s="127">
        <v>22200</v>
      </c>
      <c r="K342" s="128" t="s">
        <v>2487</v>
      </c>
      <c r="L342" s="127">
        <v>0</v>
      </c>
      <c r="M342" s="128" t="s">
        <v>5</v>
      </c>
      <c r="N342" s="135">
        <f t="shared" si="26"/>
        <v>22200</v>
      </c>
      <c r="O342" s="124"/>
      <c r="P342" s="130"/>
    </row>
    <row r="343" spans="1:16" ht="30" customHeight="1" x14ac:dyDescent="0.3">
      <c r="A343" s="131" t="s">
        <v>941</v>
      </c>
      <c r="B343" s="131" t="s">
        <v>919</v>
      </c>
      <c r="C343" s="132" t="s">
        <v>12</v>
      </c>
      <c r="D343" s="148">
        <v>0</v>
      </c>
      <c r="E343" s="128" t="s">
        <v>5</v>
      </c>
      <c r="F343" s="127">
        <v>23700</v>
      </c>
      <c r="G343" s="128" t="s">
        <v>927</v>
      </c>
      <c r="H343" s="127">
        <v>0</v>
      </c>
      <c r="I343" s="128" t="s">
        <v>5</v>
      </c>
      <c r="J343" s="127">
        <v>23700</v>
      </c>
      <c r="K343" s="128" t="s">
        <v>2487</v>
      </c>
      <c r="L343" s="127">
        <v>0</v>
      </c>
      <c r="M343" s="128" t="s">
        <v>5</v>
      </c>
      <c r="N343" s="135">
        <f t="shared" si="26"/>
        <v>23700</v>
      </c>
      <c r="O343" s="124"/>
      <c r="P343" s="130"/>
    </row>
    <row r="344" spans="1:16" ht="30" customHeight="1" x14ac:dyDescent="0.3">
      <c r="A344" s="131" t="s">
        <v>942</v>
      </c>
      <c r="B344" s="131" t="s">
        <v>920</v>
      </c>
      <c r="C344" s="132" t="s">
        <v>12</v>
      </c>
      <c r="D344" s="148">
        <v>0</v>
      </c>
      <c r="E344" s="128" t="s">
        <v>5</v>
      </c>
      <c r="F344" s="127">
        <v>18800</v>
      </c>
      <c r="G344" s="128" t="s">
        <v>927</v>
      </c>
      <c r="H344" s="127">
        <v>0</v>
      </c>
      <c r="I344" s="128" t="s">
        <v>5</v>
      </c>
      <c r="J344" s="127">
        <v>18800</v>
      </c>
      <c r="K344" s="128" t="s">
        <v>2487</v>
      </c>
      <c r="L344" s="127">
        <v>0</v>
      </c>
      <c r="M344" s="128" t="s">
        <v>5</v>
      </c>
      <c r="N344" s="135">
        <f t="shared" si="26"/>
        <v>18800</v>
      </c>
      <c r="O344" s="124"/>
      <c r="P344" s="130"/>
    </row>
    <row r="345" spans="1:16" ht="30" customHeight="1" x14ac:dyDescent="0.3">
      <c r="A345" s="131" t="s">
        <v>942</v>
      </c>
      <c r="B345" s="131" t="s">
        <v>921</v>
      </c>
      <c r="C345" s="132" t="s">
        <v>12</v>
      </c>
      <c r="D345" s="148">
        <v>0</v>
      </c>
      <c r="E345" s="128" t="s">
        <v>5</v>
      </c>
      <c r="F345" s="127">
        <v>22300</v>
      </c>
      <c r="G345" s="128" t="s">
        <v>927</v>
      </c>
      <c r="H345" s="127">
        <v>0</v>
      </c>
      <c r="I345" s="128" t="s">
        <v>5</v>
      </c>
      <c r="J345" s="127">
        <v>22300</v>
      </c>
      <c r="K345" s="128" t="s">
        <v>2487</v>
      </c>
      <c r="L345" s="127">
        <v>0</v>
      </c>
      <c r="M345" s="128" t="s">
        <v>5</v>
      </c>
      <c r="N345" s="135">
        <f t="shared" si="26"/>
        <v>22300</v>
      </c>
      <c r="O345" s="124"/>
      <c r="P345" s="130"/>
    </row>
    <row r="346" spans="1:16" ht="30" customHeight="1" x14ac:dyDescent="0.3">
      <c r="A346" s="131" t="s">
        <v>942</v>
      </c>
      <c r="B346" s="131" t="s">
        <v>922</v>
      </c>
      <c r="C346" s="132" t="s">
        <v>12</v>
      </c>
      <c r="D346" s="148">
        <v>0</v>
      </c>
      <c r="E346" s="128" t="s">
        <v>5</v>
      </c>
      <c r="F346" s="127">
        <v>30100</v>
      </c>
      <c r="G346" s="128" t="s">
        <v>927</v>
      </c>
      <c r="H346" s="127">
        <v>0</v>
      </c>
      <c r="I346" s="128" t="s">
        <v>5</v>
      </c>
      <c r="J346" s="127">
        <v>30100</v>
      </c>
      <c r="K346" s="128" t="s">
        <v>2487</v>
      </c>
      <c r="L346" s="127">
        <v>0</v>
      </c>
      <c r="M346" s="128" t="s">
        <v>5</v>
      </c>
      <c r="N346" s="135">
        <f t="shared" si="26"/>
        <v>30100</v>
      </c>
      <c r="O346" s="124"/>
      <c r="P346" s="130"/>
    </row>
    <row r="347" spans="1:16" ht="30" customHeight="1" x14ac:dyDescent="0.3">
      <c r="A347" s="131" t="s">
        <v>943</v>
      </c>
      <c r="B347" s="131" t="s">
        <v>2226</v>
      </c>
      <c r="C347" s="132" t="s">
        <v>12</v>
      </c>
      <c r="D347" s="148">
        <v>0</v>
      </c>
      <c r="E347" s="128" t="s">
        <v>5</v>
      </c>
      <c r="F347" s="127">
        <v>20500</v>
      </c>
      <c r="G347" s="128" t="s">
        <v>927</v>
      </c>
      <c r="H347" s="127">
        <v>0</v>
      </c>
      <c r="I347" s="128" t="s">
        <v>5</v>
      </c>
      <c r="J347" s="127">
        <v>20500</v>
      </c>
      <c r="K347" s="128" t="s">
        <v>2487</v>
      </c>
      <c r="L347" s="127">
        <v>0</v>
      </c>
      <c r="M347" s="128" t="s">
        <v>5</v>
      </c>
      <c r="N347" s="135">
        <f t="shared" si="26"/>
        <v>20500</v>
      </c>
      <c r="O347" s="124"/>
      <c r="P347" s="130"/>
    </row>
    <row r="348" spans="1:16" ht="30" customHeight="1" x14ac:dyDescent="0.3">
      <c r="A348" s="131" t="s">
        <v>943</v>
      </c>
      <c r="B348" s="131" t="s">
        <v>2233</v>
      </c>
      <c r="C348" s="132" t="s">
        <v>12</v>
      </c>
      <c r="D348" s="148">
        <v>0</v>
      </c>
      <c r="E348" s="128" t="s">
        <v>5</v>
      </c>
      <c r="F348" s="127">
        <v>22500</v>
      </c>
      <c r="G348" s="128" t="s">
        <v>927</v>
      </c>
      <c r="H348" s="127">
        <v>0</v>
      </c>
      <c r="I348" s="128" t="s">
        <v>5</v>
      </c>
      <c r="J348" s="127">
        <v>22500</v>
      </c>
      <c r="K348" s="128" t="s">
        <v>2487</v>
      </c>
      <c r="L348" s="127">
        <v>0</v>
      </c>
      <c r="M348" s="128" t="s">
        <v>5</v>
      </c>
      <c r="N348" s="135">
        <f t="shared" si="26"/>
        <v>22500</v>
      </c>
      <c r="O348" s="124"/>
      <c r="P348" s="130"/>
    </row>
    <row r="349" spans="1:16" ht="30" customHeight="1" x14ac:dyDescent="0.3">
      <c r="A349" s="131" t="s">
        <v>943</v>
      </c>
      <c r="B349" s="131" t="s">
        <v>2234</v>
      </c>
      <c r="C349" s="132" t="s">
        <v>12</v>
      </c>
      <c r="D349" s="148">
        <v>0</v>
      </c>
      <c r="E349" s="128" t="s">
        <v>5</v>
      </c>
      <c r="F349" s="127">
        <v>24300</v>
      </c>
      <c r="G349" s="128" t="s">
        <v>927</v>
      </c>
      <c r="H349" s="127">
        <v>0</v>
      </c>
      <c r="I349" s="128" t="s">
        <v>5</v>
      </c>
      <c r="J349" s="127">
        <v>24300</v>
      </c>
      <c r="K349" s="128" t="s">
        <v>2487</v>
      </c>
      <c r="L349" s="127">
        <v>0</v>
      </c>
      <c r="M349" s="128" t="s">
        <v>5</v>
      </c>
      <c r="N349" s="135">
        <f t="shared" si="26"/>
        <v>24300</v>
      </c>
      <c r="O349" s="124"/>
      <c r="P349" s="130"/>
    </row>
    <row r="350" spans="1:16" ht="30" customHeight="1" x14ac:dyDescent="0.3">
      <c r="A350" s="131" t="s">
        <v>944</v>
      </c>
      <c r="B350" s="131" t="s">
        <v>2227</v>
      </c>
      <c r="C350" s="132" t="s">
        <v>12</v>
      </c>
      <c r="D350" s="148">
        <v>0</v>
      </c>
      <c r="E350" s="128" t="s">
        <v>5</v>
      </c>
      <c r="F350" s="127">
        <v>3600</v>
      </c>
      <c r="G350" s="128" t="s">
        <v>927</v>
      </c>
      <c r="H350" s="127">
        <v>0</v>
      </c>
      <c r="I350" s="128" t="s">
        <v>5</v>
      </c>
      <c r="J350" s="127">
        <v>3600</v>
      </c>
      <c r="K350" s="128" t="s">
        <v>2487</v>
      </c>
      <c r="L350" s="127">
        <v>0</v>
      </c>
      <c r="M350" s="128" t="s">
        <v>5</v>
      </c>
      <c r="N350" s="135">
        <f t="shared" si="26"/>
        <v>3600</v>
      </c>
      <c r="O350" s="124"/>
      <c r="P350" s="130"/>
    </row>
    <row r="351" spans="1:16" ht="30" customHeight="1" x14ac:dyDescent="0.3">
      <c r="A351" s="131" t="s">
        <v>945</v>
      </c>
      <c r="B351" s="131" t="s">
        <v>923</v>
      </c>
      <c r="C351" s="132" t="s">
        <v>12</v>
      </c>
      <c r="D351" s="148">
        <v>0</v>
      </c>
      <c r="E351" s="128" t="s">
        <v>5</v>
      </c>
      <c r="F351" s="127">
        <v>600</v>
      </c>
      <c r="G351" s="128" t="s">
        <v>927</v>
      </c>
      <c r="H351" s="127">
        <v>0</v>
      </c>
      <c r="I351" s="128" t="s">
        <v>5</v>
      </c>
      <c r="J351" s="127">
        <v>600</v>
      </c>
      <c r="K351" s="128" t="s">
        <v>2487</v>
      </c>
      <c r="L351" s="127">
        <v>0</v>
      </c>
      <c r="M351" s="128" t="s">
        <v>5</v>
      </c>
      <c r="N351" s="135">
        <f t="shared" si="26"/>
        <v>600</v>
      </c>
      <c r="O351" s="124"/>
      <c r="P351" s="130"/>
    </row>
    <row r="352" spans="1:16" ht="30" customHeight="1" x14ac:dyDescent="0.3">
      <c r="A352" s="131" t="s">
        <v>946</v>
      </c>
      <c r="B352" s="131" t="s">
        <v>924</v>
      </c>
      <c r="C352" s="132" t="s">
        <v>12</v>
      </c>
      <c r="D352" s="148">
        <v>0</v>
      </c>
      <c r="E352" s="128" t="s">
        <v>5</v>
      </c>
      <c r="F352" s="127">
        <v>600</v>
      </c>
      <c r="G352" s="128" t="s">
        <v>927</v>
      </c>
      <c r="H352" s="127">
        <v>0</v>
      </c>
      <c r="I352" s="128" t="s">
        <v>5</v>
      </c>
      <c r="J352" s="127">
        <v>600</v>
      </c>
      <c r="K352" s="128" t="s">
        <v>2487</v>
      </c>
      <c r="L352" s="127">
        <v>0</v>
      </c>
      <c r="M352" s="128" t="s">
        <v>5</v>
      </c>
      <c r="N352" s="135">
        <f t="shared" si="26"/>
        <v>600</v>
      </c>
      <c r="O352" s="124"/>
      <c r="P352" s="130"/>
    </row>
    <row r="353" spans="1:16" ht="30" customHeight="1" x14ac:dyDescent="0.3">
      <c r="A353" s="131" t="s">
        <v>947</v>
      </c>
      <c r="B353" s="131" t="s">
        <v>2228</v>
      </c>
      <c r="C353" s="132" t="s">
        <v>12</v>
      </c>
      <c r="D353" s="148">
        <v>0</v>
      </c>
      <c r="E353" s="128" t="s">
        <v>5</v>
      </c>
      <c r="F353" s="127">
        <v>1800</v>
      </c>
      <c r="G353" s="128" t="s">
        <v>927</v>
      </c>
      <c r="H353" s="127">
        <v>0</v>
      </c>
      <c r="I353" s="128" t="s">
        <v>5</v>
      </c>
      <c r="J353" s="127">
        <v>1800</v>
      </c>
      <c r="K353" s="128" t="s">
        <v>2487</v>
      </c>
      <c r="L353" s="127">
        <v>0</v>
      </c>
      <c r="M353" s="128" t="s">
        <v>5</v>
      </c>
      <c r="N353" s="135">
        <f t="shared" si="26"/>
        <v>1800</v>
      </c>
      <c r="O353" s="124"/>
      <c r="P353" s="130"/>
    </row>
    <row r="354" spans="1:16" ht="30" customHeight="1" x14ac:dyDescent="0.3">
      <c r="A354" s="131" t="s">
        <v>947</v>
      </c>
      <c r="B354" s="131" t="s">
        <v>925</v>
      </c>
      <c r="C354" s="132" t="s">
        <v>12</v>
      </c>
      <c r="D354" s="148">
        <v>0</v>
      </c>
      <c r="E354" s="128" t="s">
        <v>5</v>
      </c>
      <c r="F354" s="127">
        <v>2700</v>
      </c>
      <c r="G354" s="128" t="s">
        <v>927</v>
      </c>
      <c r="H354" s="127">
        <v>0</v>
      </c>
      <c r="I354" s="128" t="s">
        <v>5</v>
      </c>
      <c r="J354" s="127">
        <v>2700</v>
      </c>
      <c r="K354" s="128" t="s">
        <v>2487</v>
      </c>
      <c r="L354" s="127">
        <v>0</v>
      </c>
      <c r="M354" s="128" t="s">
        <v>5</v>
      </c>
      <c r="N354" s="135">
        <f t="shared" si="26"/>
        <v>2700</v>
      </c>
      <c r="O354" s="124"/>
      <c r="P354" s="130"/>
    </row>
    <row r="355" spans="1:16" ht="30" customHeight="1" x14ac:dyDescent="0.3">
      <c r="A355" s="131" t="s">
        <v>947</v>
      </c>
      <c r="B355" s="131" t="s">
        <v>926</v>
      </c>
      <c r="C355" s="132" t="s">
        <v>12</v>
      </c>
      <c r="D355" s="148">
        <v>0</v>
      </c>
      <c r="E355" s="128" t="s">
        <v>5</v>
      </c>
      <c r="F355" s="127">
        <v>2800</v>
      </c>
      <c r="G355" s="128" t="s">
        <v>927</v>
      </c>
      <c r="H355" s="127">
        <v>0</v>
      </c>
      <c r="I355" s="128" t="s">
        <v>5</v>
      </c>
      <c r="J355" s="127">
        <v>2800</v>
      </c>
      <c r="K355" s="128" t="s">
        <v>2487</v>
      </c>
      <c r="L355" s="127">
        <v>0</v>
      </c>
      <c r="M355" s="128" t="s">
        <v>5</v>
      </c>
      <c r="N355" s="135">
        <f t="shared" si="26"/>
        <v>2800</v>
      </c>
      <c r="O355" s="124"/>
      <c r="P355" s="130"/>
    </row>
    <row r="356" spans="1:16" ht="30" customHeight="1" x14ac:dyDescent="0.3">
      <c r="A356" s="131"/>
      <c r="B356" s="131"/>
      <c r="C356" s="132"/>
      <c r="D356" s="148">
        <v>0</v>
      </c>
      <c r="E356" s="128" t="s">
        <v>5</v>
      </c>
      <c r="F356" s="150" t="s">
        <v>933</v>
      </c>
      <c r="G356" s="128" t="s">
        <v>5</v>
      </c>
      <c r="H356" s="150" t="s">
        <v>934</v>
      </c>
      <c r="I356" s="128" t="s">
        <v>5</v>
      </c>
      <c r="J356" s="150" t="s">
        <v>935</v>
      </c>
      <c r="K356" s="128" t="s">
        <v>5</v>
      </c>
      <c r="L356" s="127"/>
      <c r="M356" s="128"/>
      <c r="N356" s="135"/>
      <c r="O356" s="124"/>
      <c r="P356" s="130"/>
    </row>
    <row r="357" spans="1:16" ht="30" customHeight="1" x14ac:dyDescent="0.3">
      <c r="A357" s="131" t="s">
        <v>83</v>
      </c>
      <c r="B357" s="131" t="s">
        <v>84</v>
      </c>
      <c r="C357" s="132" t="s">
        <v>14</v>
      </c>
      <c r="D357" s="148">
        <v>0</v>
      </c>
      <c r="E357" s="128" t="s">
        <v>5</v>
      </c>
      <c r="F357" s="127">
        <v>83300</v>
      </c>
      <c r="G357" s="128" t="s">
        <v>5</v>
      </c>
      <c r="H357" s="127">
        <v>88800</v>
      </c>
      <c r="I357" s="128" t="s">
        <v>5</v>
      </c>
      <c r="J357" s="127">
        <v>90450</v>
      </c>
      <c r="K357" s="128" t="s">
        <v>5</v>
      </c>
      <c r="L357" s="127">
        <v>0</v>
      </c>
      <c r="M357" s="128" t="s">
        <v>5</v>
      </c>
      <c r="N357" s="135">
        <f t="shared" ref="N357:N368" si="27">SMALL(D357:L357,COUNTIF(D357:L357,0)+1)</f>
        <v>83300</v>
      </c>
      <c r="O357" s="124"/>
      <c r="P357" s="130"/>
    </row>
    <row r="358" spans="1:16" ht="30" customHeight="1" x14ac:dyDescent="0.3">
      <c r="A358" s="131" t="s">
        <v>83</v>
      </c>
      <c r="B358" s="131" t="s">
        <v>85</v>
      </c>
      <c r="C358" s="132" t="s">
        <v>14</v>
      </c>
      <c r="D358" s="148">
        <v>0</v>
      </c>
      <c r="E358" s="128" t="s">
        <v>5</v>
      </c>
      <c r="F358" s="127">
        <v>98700</v>
      </c>
      <c r="G358" s="128" t="s">
        <v>5</v>
      </c>
      <c r="H358" s="127">
        <v>104200.00000000001</v>
      </c>
      <c r="I358" s="128" t="s">
        <v>5</v>
      </c>
      <c r="J358" s="127">
        <v>105850.00000000001</v>
      </c>
      <c r="K358" s="128" t="s">
        <v>5</v>
      </c>
      <c r="L358" s="127">
        <v>0</v>
      </c>
      <c r="M358" s="128" t="s">
        <v>5</v>
      </c>
      <c r="N358" s="135">
        <f t="shared" si="27"/>
        <v>98700</v>
      </c>
      <c r="O358" s="124"/>
      <c r="P358" s="130"/>
    </row>
    <row r="359" spans="1:16" ht="30" customHeight="1" x14ac:dyDescent="0.3">
      <c r="A359" s="131" t="s">
        <v>83</v>
      </c>
      <c r="B359" s="131" t="s">
        <v>86</v>
      </c>
      <c r="C359" s="132" t="s">
        <v>14</v>
      </c>
      <c r="D359" s="148">
        <v>0</v>
      </c>
      <c r="E359" s="128" t="s">
        <v>5</v>
      </c>
      <c r="F359" s="127">
        <v>116300</v>
      </c>
      <c r="G359" s="128" t="s">
        <v>5</v>
      </c>
      <c r="H359" s="127">
        <v>121800.00000000001</v>
      </c>
      <c r="I359" s="128" t="s">
        <v>5</v>
      </c>
      <c r="J359" s="127">
        <v>123450.00000000001</v>
      </c>
      <c r="K359" s="128" t="s">
        <v>5</v>
      </c>
      <c r="L359" s="127">
        <v>0</v>
      </c>
      <c r="M359" s="128" t="s">
        <v>5</v>
      </c>
      <c r="N359" s="135">
        <f t="shared" si="27"/>
        <v>116300</v>
      </c>
      <c r="O359" s="124"/>
      <c r="P359" s="130"/>
    </row>
    <row r="360" spans="1:16" ht="30" customHeight="1" x14ac:dyDescent="0.3">
      <c r="A360" s="131" t="s">
        <v>83</v>
      </c>
      <c r="B360" s="131" t="s">
        <v>87</v>
      </c>
      <c r="C360" s="132" t="s">
        <v>14</v>
      </c>
      <c r="D360" s="148">
        <v>0</v>
      </c>
      <c r="E360" s="128" t="s">
        <v>5</v>
      </c>
      <c r="F360" s="127">
        <v>151500</v>
      </c>
      <c r="G360" s="128" t="s">
        <v>5</v>
      </c>
      <c r="H360" s="127">
        <v>157000</v>
      </c>
      <c r="I360" s="128" t="s">
        <v>5</v>
      </c>
      <c r="J360" s="127">
        <v>158650</v>
      </c>
      <c r="K360" s="128" t="s">
        <v>5</v>
      </c>
      <c r="L360" s="127">
        <v>0</v>
      </c>
      <c r="M360" s="128" t="s">
        <v>5</v>
      </c>
      <c r="N360" s="135">
        <f t="shared" si="27"/>
        <v>151500</v>
      </c>
      <c r="O360" s="124"/>
      <c r="P360" s="130"/>
    </row>
    <row r="361" spans="1:16" ht="30" customHeight="1" x14ac:dyDescent="0.3">
      <c r="A361" s="131" t="s">
        <v>83</v>
      </c>
      <c r="B361" s="131" t="s">
        <v>88</v>
      </c>
      <c r="C361" s="132" t="s">
        <v>14</v>
      </c>
      <c r="D361" s="148">
        <v>0</v>
      </c>
      <c r="E361" s="128" t="s">
        <v>5</v>
      </c>
      <c r="F361" s="127">
        <v>202100</v>
      </c>
      <c r="G361" s="128" t="s">
        <v>5</v>
      </c>
      <c r="H361" s="127">
        <v>207600.00000000003</v>
      </c>
      <c r="I361" s="128" t="s">
        <v>5</v>
      </c>
      <c r="J361" s="127">
        <v>209250.00000000003</v>
      </c>
      <c r="K361" s="128" t="s">
        <v>5</v>
      </c>
      <c r="L361" s="127">
        <v>0</v>
      </c>
      <c r="M361" s="128" t="s">
        <v>5</v>
      </c>
      <c r="N361" s="135">
        <f t="shared" si="27"/>
        <v>202100</v>
      </c>
      <c r="O361" s="124"/>
      <c r="P361" s="130"/>
    </row>
    <row r="362" spans="1:16" ht="30" customHeight="1" x14ac:dyDescent="0.3">
      <c r="A362" s="131" t="s">
        <v>83</v>
      </c>
      <c r="B362" s="131" t="s">
        <v>89</v>
      </c>
      <c r="C362" s="132" t="s">
        <v>14</v>
      </c>
      <c r="D362" s="148">
        <v>0</v>
      </c>
      <c r="E362" s="128" t="s">
        <v>5</v>
      </c>
      <c r="F362" s="127">
        <v>468300</v>
      </c>
      <c r="G362" s="128" t="s">
        <v>5</v>
      </c>
      <c r="H362" s="127">
        <v>473800.00000000006</v>
      </c>
      <c r="I362" s="128" t="s">
        <v>5</v>
      </c>
      <c r="J362" s="127">
        <v>475450.00000000006</v>
      </c>
      <c r="K362" s="128" t="s">
        <v>5</v>
      </c>
      <c r="L362" s="127">
        <v>0</v>
      </c>
      <c r="M362" s="128" t="s">
        <v>5</v>
      </c>
      <c r="N362" s="135">
        <f t="shared" si="27"/>
        <v>468300</v>
      </c>
      <c r="O362" s="124"/>
      <c r="P362" s="130"/>
    </row>
    <row r="363" spans="1:16" ht="30" customHeight="1" x14ac:dyDescent="0.3">
      <c r="A363" s="131" t="s">
        <v>83</v>
      </c>
      <c r="B363" s="131" t="s">
        <v>90</v>
      </c>
      <c r="C363" s="132" t="s">
        <v>14</v>
      </c>
      <c r="D363" s="148">
        <v>0</v>
      </c>
      <c r="E363" s="128" t="s">
        <v>5</v>
      </c>
      <c r="F363" s="127">
        <v>538700</v>
      </c>
      <c r="G363" s="128" t="s">
        <v>5</v>
      </c>
      <c r="H363" s="127">
        <v>544200</v>
      </c>
      <c r="I363" s="128" t="s">
        <v>5</v>
      </c>
      <c r="J363" s="127">
        <v>545850</v>
      </c>
      <c r="K363" s="128" t="s">
        <v>5</v>
      </c>
      <c r="L363" s="127">
        <v>0</v>
      </c>
      <c r="M363" s="128" t="s">
        <v>5</v>
      </c>
      <c r="N363" s="135">
        <f t="shared" si="27"/>
        <v>538700</v>
      </c>
      <c r="O363" s="124"/>
      <c r="P363" s="130"/>
    </row>
    <row r="364" spans="1:16" ht="30" customHeight="1" x14ac:dyDescent="0.3">
      <c r="A364" s="131" t="s">
        <v>83</v>
      </c>
      <c r="B364" s="131" t="s">
        <v>91</v>
      </c>
      <c r="C364" s="132" t="s">
        <v>14</v>
      </c>
      <c r="D364" s="148">
        <v>0</v>
      </c>
      <c r="E364" s="128" t="s">
        <v>5</v>
      </c>
      <c r="F364" s="127">
        <v>710300</v>
      </c>
      <c r="G364" s="128" t="s">
        <v>5</v>
      </c>
      <c r="H364" s="127">
        <v>715800</v>
      </c>
      <c r="I364" s="128" t="s">
        <v>5</v>
      </c>
      <c r="J364" s="127">
        <v>717450</v>
      </c>
      <c r="K364" s="128" t="s">
        <v>5</v>
      </c>
      <c r="L364" s="127">
        <v>0</v>
      </c>
      <c r="M364" s="128" t="s">
        <v>5</v>
      </c>
      <c r="N364" s="135">
        <f t="shared" si="27"/>
        <v>710300</v>
      </c>
      <c r="O364" s="124"/>
      <c r="P364" s="130"/>
    </row>
    <row r="365" spans="1:16" ht="30" customHeight="1" x14ac:dyDescent="0.3">
      <c r="A365" s="131" t="s">
        <v>83</v>
      </c>
      <c r="B365" s="131" t="s">
        <v>92</v>
      </c>
      <c r="C365" s="132" t="s">
        <v>14</v>
      </c>
      <c r="D365" s="148">
        <v>0</v>
      </c>
      <c r="E365" s="128" t="s">
        <v>5</v>
      </c>
      <c r="F365" s="127">
        <v>776300</v>
      </c>
      <c r="G365" s="128" t="s">
        <v>5</v>
      </c>
      <c r="H365" s="127">
        <v>781800.00000000012</v>
      </c>
      <c r="I365" s="128" t="s">
        <v>5</v>
      </c>
      <c r="J365" s="127">
        <v>783450.00000000012</v>
      </c>
      <c r="K365" s="128" t="s">
        <v>5</v>
      </c>
      <c r="L365" s="127">
        <v>0</v>
      </c>
      <c r="M365" s="128" t="s">
        <v>5</v>
      </c>
      <c r="N365" s="135">
        <f t="shared" si="27"/>
        <v>776300</v>
      </c>
      <c r="O365" s="124"/>
      <c r="P365" s="130"/>
    </row>
    <row r="366" spans="1:16" ht="30" customHeight="1" x14ac:dyDescent="0.3">
      <c r="A366" s="131" t="s">
        <v>83</v>
      </c>
      <c r="B366" s="131" t="s">
        <v>93</v>
      </c>
      <c r="C366" s="132" t="s">
        <v>14</v>
      </c>
      <c r="D366" s="148">
        <v>0</v>
      </c>
      <c r="E366" s="128" t="s">
        <v>5</v>
      </c>
      <c r="F366" s="127">
        <v>851100</v>
      </c>
      <c r="G366" s="128" t="s">
        <v>5</v>
      </c>
      <c r="H366" s="127">
        <v>856600.00000000012</v>
      </c>
      <c r="I366" s="128" t="s">
        <v>5</v>
      </c>
      <c r="J366" s="127">
        <v>858250.00000000012</v>
      </c>
      <c r="K366" s="128" t="s">
        <v>5</v>
      </c>
      <c r="L366" s="127">
        <v>0</v>
      </c>
      <c r="M366" s="128" t="s">
        <v>5</v>
      </c>
      <c r="N366" s="135">
        <f t="shared" si="27"/>
        <v>851100</v>
      </c>
      <c r="O366" s="124"/>
      <c r="P366" s="130"/>
    </row>
    <row r="367" spans="1:16" ht="30" customHeight="1" x14ac:dyDescent="0.3">
      <c r="A367" s="131" t="s">
        <v>83</v>
      </c>
      <c r="B367" s="131" t="s">
        <v>94</v>
      </c>
      <c r="C367" s="132" t="s">
        <v>14</v>
      </c>
      <c r="D367" s="148">
        <v>0</v>
      </c>
      <c r="E367" s="128" t="s">
        <v>5</v>
      </c>
      <c r="F367" s="127">
        <v>996300</v>
      </c>
      <c r="G367" s="128" t="s">
        <v>5</v>
      </c>
      <c r="H367" s="127">
        <v>1001800.0000000001</v>
      </c>
      <c r="I367" s="128" t="s">
        <v>5</v>
      </c>
      <c r="J367" s="127">
        <v>1003450.0000000001</v>
      </c>
      <c r="K367" s="128" t="s">
        <v>5</v>
      </c>
      <c r="L367" s="127">
        <v>0</v>
      </c>
      <c r="M367" s="128" t="s">
        <v>5</v>
      </c>
      <c r="N367" s="135">
        <f t="shared" si="27"/>
        <v>996300</v>
      </c>
      <c r="O367" s="124"/>
      <c r="P367" s="130"/>
    </row>
    <row r="368" spans="1:16" ht="30" customHeight="1" x14ac:dyDescent="0.3">
      <c r="A368" s="131" t="s">
        <v>83</v>
      </c>
      <c r="B368" s="131" t="s">
        <v>95</v>
      </c>
      <c r="C368" s="132" t="s">
        <v>14</v>
      </c>
      <c r="D368" s="148">
        <v>0</v>
      </c>
      <c r="E368" s="128" t="s">
        <v>5</v>
      </c>
      <c r="F368" s="127">
        <v>1150300</v>
      </c>
      <c r="G368" s="128" t="s">
        <v>5</v>
      </c>
      <c r="H368" s="127">
        <v>1155800</v>
      </c>
      <c r="I368" s="128" t="s">
        <v>5</v>
      </c>
      <c r="J368" s="127">
        <v>1157450</v>
      </c>
      <c r="K368" s="128" t="s">
        <v>5</v>
      </c>
      <c r="L368" s="127">
        <v>0</v>
      </c>
      <c r="M368" s="128" t="s">
        <v>5</v>
      </c>
      <c r="N368" s="135">
        <f t="shared" si="27"/>
        <v>1150300</v>
      </c>
      <c r="O368" s="124"/>
      <c r="P368" s="130"/>
    </row>
  </sheetData>
  <mergeCells count="8">
    <mergeCell ref="A1:P1"/>
    <mergeCell ref="A2:P2"/>
    <mergeCell ref="A3:A4"/>
    <mergeCell ref="B3:B4"/>
    <mergeCell ref="C3:C4"/>
    <mergeCell ref="D3:N3"/>
    <mergeCell ref="O3:O4"/>
    <mergeCell ref="P3:P4"/>
  </mergeCells>
  <phoneticPr fontId="1" type="noConversion"/>
  <pageMargins left="0.78740157480314954" right="0" top="0.39370078740157477" bottom="0.39370078740157477" header="0" footer="0"/>
  <pageSetup paperSize="9" scale="62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C051-2250-458C-8EF4-9F204DDD97A2}">
  <sheetPr>
    <tabColor rgb="FF00FF00"/>
    <pageSetUpPr fitToPage="1"/>
  </sheetPr>
  <dimension ref="A1:P65"/>
  <sheetViews>
    <sheetView view="pageBreakPreview" zoomScale="85" zoomScaleNormal="87" zoomScaleSheetLayoutView="85" workbookViewId="0">
      <pane ySplit="4" topLeftCell="A5" activePane="bottomLeft" state="frozen"/>
      <selection activeCell="A3" sqref="A3:A4"/>
      <selection pane="bottomLeft" activeCell="J63" sqref="J63"/>
    </sheetView>
  </sheetViews>
  <sheetFormatPr defaultRowHeight="16.5" x14ac:dyDescent="0.3"/>
  <cols>
    <col min="1" max="2" width="30.5" style="116" bestFit="1" customWidth="1"/>
    <col min="3" max="3" width="5.5" style="136" bestFit="1" customWidth="1"/>
    <col min="4" max="4" width="11.625" style="115" customWidth="1"/>
    <col min="5" max="5" width="6.625" style="137" customWidth="1"/>
    <col min="6" max="6" width="11.625" style="113" customWidth="1"/>
    <col min="7" max="7" width="6.625" style="137" customWidth="1"/>
    <col min="8" max="8" width="11.625" style="113" customWidth="1"/>
    <col min="9" max="9" width="6.625" style="137" customWidth="1"/>
    <col min="10" max="10" width="11.625" style="113" customWidth="1"/>
    <col min="11" max="11" width="6.625" style="137" customWidth="1"/>
    <col min="12" max="12" width="13.875" style="113" customWidth="1"/>
    <col min="13" max="13" width="6.625" style="137" customWidth="1"/>
    <col min="14" max="14" width="13.875" style="112" bestFit="1" customWidth="1"/>
    <col min="15" max="15" width="8.5" style="136" bestFit="1" customWidth="1"/>
    <col min="16" max="16" width="15" style="138" bestFit="1" customWidth="1"/>
    <col min="17" max="17" width="9" style="116" customWidth="1"/>
    <col min="18" max="16384" width="9" style="116"/>
  </cols>
  <sheetData>
    <row r="1" spans="1:16" ht="30" customHeight="1" x14ac:dyDescent="0.3">
      <c r="A1" s="200" t="s">
        <v>932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</row>
    <row r="2" spans="1:16" ht="30" customHeight="1" x14ac:dyDescent="0.3">
      <c r="A2" s="201" t="s">
        <v>1998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</row>
    <row r="3" spans="1:16" ht="30" customHeight="1" x14ac:dyDescent="0.3">
      <c r="A3" s="202" t="s">
        <v>1566</v>
      </c>
      <c r="B3" s="202" t="s">
        <v>1567</v>
      </c>
      <c r="C3" s="202" t="s">
        <v>1</v>
      </c>
      <c r="D3" s="202" t="s">
        <v>2</v>
      </c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3" t="s">
        <v>728</v>
      </c>
      <c r="P3" s="205" t="s">
        <v>3</v>
      </c>
    </row>
    <row r="4" spans="1:16" ht="30" customHeight="1" x14ac:dyDescent="0.3">
      <c r="A4" s="202"/>
      <c r="B4" s="202"/>
      <c r="C4" s="202"/>
      <c r="D4" s="117" t="s">
        <v>723</v>
      </c>
      <c r="E4" s="118" t="s">
        <v>724</v>
      </c>
      <c r="F4" s="119" t="s">
        <v>2239</v>
      </c>
      <c r="G4" s="118" t="s">
        <v>724</v>
      </c>
      <c r="H4" s="119" t="s">
        <v>2240</v>
      </c>
      <c r="I4" s="118" t="s">
        <v>724</v>
      </c>
      <c r="J4" s="119" t="s">
        <v>2241</v>
      </c>
      <c r="K4" s="118" t="s">
        <v>724</v>
      </c>
      <c r="L4" s="119" t="s">
        <v>2242</v>
      </c>
      <c r="M4" s="118" t="s">
        <v>724</v>
      </c>
      <c r="N4" s="120" t="s">
        <v>725</v>
      </c>
      <c r="O4" s="204"/>
      <c r="P4" s="206"/>
    </row>
    <row r="5" spans="1:16" ht="30" customHeight="1" x14ac:dyDescent="0.3">
      <c r="A5" s="121" t="s">
        <v>2361</v>
      </c>
      <c r="B5" s="121" t="s">
        <v>2359</v>
      </c>
      <c r="C5" s="122" t="s">
        <v>12</v>
      </c>
      <c r="D5" s="123">
        <v>0</v>
      </c>
      <c r="E5" s="124" t="s">
        <v>5</v>
      </c>
      <c r="F5" s="127">
        <v>4000000</v>
      </c>
      <c r="G5" s="128" t="s">
        <v>2198</v>
      </c>
      <c r="H5" s="127">
        <v>0</v>
      </c>
      <c r="I5" s="124"/>
      <c r="J5" s="127">
        <v>0</v>
      </c>
      <c r="K5" s="128"/>
      <c r="L5" s="127">
        <v>0</v>
      </c>
      <c r="M5" s="128"/>
      <c r="N5" s="129">
        <f t="shared" ref="N5" si="0">SMALL(D5:L5,COUNTIF(D5:L5,0)+1)</f>
        <v>4000000</v>
      </c>
      <c r="O5" s="124"/>
      <c r="P5" s="130"/>
    </row>
    <row r="6" spans="1:16" ht="30" customHeight="1" x14ac:dyDescent="0.3">
      <c r="A6" s="121" t="s">
        <v>2361</v>
      </c>
      <c r="B6" s="121" t="s">
        <v>2362</v>
      </c>
      <c r="C6" s="122" t="s">
        <v>12</v>
      </c>
      <c r="D6" s="123">
        <v>0</v>
      </c>
      <c r="E6" s="124" t="s">
        <v>5</v>
      </c>
      <c r="F6" s="127">
        <v>4500000</v>
      </c>
      <c r="G6" s="128" t="s">
        <v>2198</v>
      </c>
      <c r="H6" s="127">
        <v>0</v>
      </c>
      <c r="I6" s="124"/>
      <c r="J6" s="127">
        <v>0</v>
      </c>
      <c r="K6" s="128"/>
      <c r="L6" s="127">
        <v>0</v>
      </c>
      <c r="M6" s="128"/>
      <c r="N6" s="129">
        <f t="shared" ref="N6:N7" si="1">SMALL(D6:L6,COUNTIF(D6:L6,0)+1)</f>
        <v>4500000</v>
      </c>
      <c r="O6" s="124"/>
      <c r="P6" s="130"/>
    </row>
    <row r="7" spans="1:16" ht="30" customHeight="1" x14ac:dyDescent="0.3">
      <c r="A7" s="121" t="s">
        <v>2361</v>
      </c>
      <c r="B7" s="121" t="s">
        <v>2360</v>
      </c>
      <c r="C7" s="122" t="s">
        <v>12</v>
      </c>
      <c r="D7" s="123">
        <v>0</v>
      </c>
      <c r="E7" s="124" t="s">
        <v>5</v>
      </c>
      <c r="F7" s="127">
        <v>6000000</v>
      </c>
      <c r="G7" s="128" t="s">
        <v>2198</v>
      </c>
      <c r="H7" s="127">
        <v>0</v>
      </c>
      <c r="I7" s="124"/>
      <c r="J7" s="127">
        <v>0</v>
      </c>
      <c r="K7" s="128"/>
      <c r="L7" s="127">
        <v>0</v>
      </c>
      <c r="M7" s="128"/>
      <c r="N7" s="129">
        <f t="shared" si="1"/>
        <v>6000000</v>
      </c>
      <c r="O7" s="124"/>
      <c r="P7" s="130"/>
    </row>
    <row r="8" spans="1:16" ht="30" customHeight="1" x14ac:dyDescent="0.3">
      <c r="A8" s="121" t="s">
        <v>58</v>
      </c>
      <c r="B8" s="121" t="s">
        <v>2577</v>
      </c>
      <c r="C8" s="122" t="s">
        <v>12</v>
      </c>
      <c r="D8" s="123">
        <v>0</v>
      </c>
      <c r="E8" s="124" t="s">
        <v>5</v>
      </c>
      <c r="F8" s="127">
        <v>0</v>
      </c>
      <c r="G8" s="124"/>
      <c r="H8" s="126">
        <v>27000</v>
      </c>
      <c r="I8" s="124" t="s">
        <v>754</v>
      </c>
      <c r="J8" s="126">
        <v>42000</v>
      </c>
      <c r="K8" s="128" t="s">
        <v>1590</v>
      </c>
      <c r="L8" s="127">
        <v>45000</v>
      </c>
      <c r="M8" s="128" t="s">
        <v>2287</v>
      </c>
      <c r="N8" s="129">
        <f t="shared" ref="N8" si="2">SMALL(D8:L8,COUNTIF(D8:L8,0)+1)</f>
        <v>27000</v>
      </c>
      <c r="O8" s="124"/>
      <c r="P8" s="130"/>
    </row>
    <row r="9" spans="1:16" ht="30" customHeight="1" x14ac:dyDescent="0.3">
      <c r="A9" s="121" t="s">
        <v>58</v>
      </c>
      <c r="B9" s="121" t="s">
        <v>2363</v>
      </c>
      <c r="C9" s="122" t="s">
        <v>12</v>
      </c>
      <c r="D9" s="123">
        <v>0</v>
      </c>
      <c r="E9" s="124" t="s">
        <v>5</v>
      </c>
      <c r="F9" s="127">
        <v>0</v>
      </c>
      <c r="G9" s="124"/>
      <c r="H9" s="126">
        <v>45000</v>
      </c>
      <c r="I9" s="124" t="s">
        <v>754</v>
      </c>
      <c r="J9" s="126">
        <v>63000</v>
      </c>
      <c r="K9" s="128" t="s">
        <v>1590</v>
      </c>
      <c r="L9" s="127">
        <v>65000</v>
      </c>
      <c r="M9" s="128" t="s">
        <v>2287</v>
      </c>
      <c r="N9" s="129">
        <f t="shared" ref="N9:N13" si="3">SMALL(D9:L9,COUNTIF(D9:L9,0)+1)</f>
        <v>45000</v>
      </c>
      <c r="O9" s="124"/>
      <c r="P9" s="130"/>
    </row>
    <row r="10" spans="1:16" ht="30" customHeight="1" x14ac:dyDescent="0.3">
      <c r="A10" s="121" t="s">
        <v>58</v>
      </c>
      <c r="B10" s="121" t="s">
        <v>2364</v>
      </c>
      <c r="C10" s="122" t="s">
        <v>12</v>
      </c>
      <c r="D10" s="123">
        <v>0</v>
      </c>
      <c r="E10" s="124" t="s">
        <v>5</v>
      </c>
      <c r="F10" s="127">
        <v>0</v>
      </c>
      <c r="G10" s="124"/>
      <c r="H10" s="127">
        <v>0</v>
      </c>
      <c r="I10" s="124"/>
      <c r="J10" s="127">
        <v>0</v>
      </c>
      <c r="K10" s="128"/>
      <c r="L10" s="127">
        <v>120000</v>
      </c>
      <c r="M10" s="128" t="s">
        <v>2287</v>
      </c>
      <c r="N10" s="129">
        <f t="shared" ref="N10" si="4">SMALL(D10:L10,COUNTIF(D10:L10,0)+1)</f>
        <v>120000</v>
      </c>
      <c r="O10" s="124"/>
      <c r="P10" s="130"/>
    </row>
    <row r="11" spans="1:16" ht="30" customHeight="1" x14ac:dyDescent="0.3">
      <c r="A11" s="131" t="s">
        <v>2331</v>
      </c>
      <c r="B11" s="131" t="s">
        <v>1557</v>
      </c>
      <c r="C11" s="132" t="s">
        <v>1611</v>
      </c>
      <c r="D11" s="123">
        <v>184293</v>
      </c>
      <c r="E11" s="128" t="s">
        <v>5</v>
      </c>
      <c r="F11" s="127">
        <v>360000</v>
      </c>
      <c r="G11" s="128" t="s">
        <v>2288</v>
      </c>
      <c r="H11" s="127">
        <v>225000</v>
      </c>
      <c r="I11" s="128" t="s">
        <v>754</v>
      </c>
      <c r="J11" s="127">
        <v>315000</v>
      </c>
      <c r="K11" s="128" t="s">
        <v>1590</v>
      </c>
      <c r="L11" s="127">
        <v>0</v>
      </c>
      <c r="M11" s="128"/>
      <c r="N11" s="135">
        <f t="shared" si="3"/>
        <v>184293</v>
      </c>
      <c r="O11" s="124"/>
      <c r="P11" s="130"/>
    </row>
    <row r="12" spans="1:16" ht="30" customHeight="1" x14ac:dyDescent="0.3">
      <c r="A12" s="131" t="s">
        <v>2331</v>
      </c>
      <c r="B12" s="131" t="s">
        <v>1558</v>
      </c>
      <c r="C12" s="132" t="s">
        <v>1611</v>
      </c>
      <c r="D12" s="123">
        <v>294867</v>
      </c>
      <c r="E12" s="128" t="s">
        <v>5</v>
      </c>
      <c r="F12" s="127">
        <v>580000</v>
      </c>
      <c r="G12" s="128" t="s">
        <v>2288</v>
      </c>
      <c r="H12" s="127">
        <v>360000</v>
      </c>
      <c r="I12" s="128" t="s">
        <v>754</v>
      </c>
      <c r="J12" s="127">
        <v>504000</v>
      </c>
      <c r="K12" s="128" t="s">
        <v>1590</v>
      </c>
      <c r="L12" s="127">
        <v>0</v>
      </c>
      <c r="M12" s="128"/>
      <c r="N12" s="135">
        <f t="shared" si="3"/>
        <v>294867</v>
      </c>
      <c r="O12" s="124"/>
      <c r="P12" s="130"/>
    </row>
    <row r="13" spans="1:16" ht="30" customHeight="1" x14ac:dyDescent="0.3">
      <c r="A13" s="131" t="s">
        <v>2331</v>
      </c>
      <c r="B13" s="131" t="s">
        <v>1559</v>
      </c>
      <c r="C13" s="132" t="s">
        <v>1611</v>
      </c>
      <c r="D13" s="123">
        <v>368586</v>
      </c>
      <c r="E13" s="128" t="s">
        <v>5</v>
      </c>
      <c r="F13" s="127">
        <v>0</v>
      </c>
      <c r="G13" s="128" t="s">
        <v>5</v>
      </c>
      <c r="H13" s="127">
        <v>480000</v>
      </c>
      <c r="I13" s="128" t="s">
        <v>754</v>
      </c>
      <c r="J13" s="127">
        <v>672000</v>
      </c>
      <c r="K13" s="128" t="s">
        <v>1590</v>
      </c>
      <c r="L13" s="127">
        <v>0</v>
      </c>
      <c r="M13" s="128" t="s">
        <v>5</v>
      </c>
      <c r="N13" s="135">
        <f t="shared" si="3"/>
        <v>368586</v>
      </c>
      <c r="O13" s="124"/>
      <c r="P13" s="130"/>
    </row>
    <row r="14" spans="1:16" ht="30" customHeight="1" x14ac:dyDescent="0.3">
      <c r="A14" s="121" t="s">
        <v>2150</v>
      </c>
      <c r="B14" s="121" t="s">
        <v>54</v>
      </c>
      <c r="C14" s="122" t="s">
        <v>12</v>
      </c>
      <c r="D14" s="134">
        <v>3316</v>
      </c>
      <c r="E14" s="124" t="s">
        <v>5</v>
      </c>
      <c r="F14" s="127">
        <v>0</v>
      </c>
      <c r="G14" s="124"/>
      <c r="H14" s="126">
        <v>3900</v>
      </c>
      <c r="I14" s="124" t="s">
        <v>754</v>
      </c>
      <c r="J14" s="126">
        <v>5780</v>
      </c>
      <c r="K14" s="128" t="s">
        <v>1590</v>
      </c>
      <c r="L14" s="127">
        <v>0</v>
      </c>
      <c r="M14" s="124" t="s">
        <v>5</v>
      </c>
      <c r="N14" s="129">
        <f t="shared" ref="N14:N23" si="5">SMALL(D14:L14,COUNTIF(D14:L14,0)+1)</f>
        <v>3316</v>
      </c>
      <c r="O14" s="124"/>
      <c r="P14" s="130"/>
    </row>
    <row r="15" spans="1:16" ht="30" customHeight="1" x14ac:dyDescent="0.3">
      <c r="A15" s="121" t="s">
        <v>2150</v>
      </c>
      <c r="B15" s="121" t="s">
        <v>55</v>
      </c>
      <c r="C15" s="122" t="s">
        <v>12</v>
      </c>
      <c r="D15" s="134">
        <v>5019</v>
      </c>
      <c r="E15" s="124" t="s">
        <v>5</v>
      </c>
      <c r="F15" s="127">
        <v>0</v>
      </c>
      <c r="G15" s="124"/>
      <c r="H15" s="126">
        <v>6900</v>
      </c>
      <c r="I15" s="124" t="s">
        <v>754</v>
      </c>
      <c r="J15" s="126">
        <v>10200</v>
      </c>
      <c r="K15" s="128" t="s">
        <v>1590</v>
      </c>
      <c r="L15" s="127">
        <v>0</v>
      </c>
      <c r="M15" s="124" t="s">
        <v>5</v>
      </c>
      <c r="N15" s="129">
        <f t="shared" si="5"/>
        <v>5019</v>
      </c>
      <c r="O15" s="124"/>
      <c r="P15" s="130"/>
    </row>
    <row r="16" spans="1:16" ht="30" customHeight="1" x14ac:dyDescent="0.3">
      <c r="A16" s="121" t="s">
        <v>2150</v>
      </c>
      <c r="B16" s="121" t="s">
        <v>56</v>
      </c>
      <c r="C16" s="122" t="s">
        <v>12</v>
      </c>
      <c r="D16" s="134">
        <v>8544</v>
      </c>
      <c r="E16" s="124" t="s">
        <v>5</v>
      </c>
      <c r="F16" s="127">
        <v>0</v>
      </c>
      <c r="G16" s="124"/>
      <c r="H16" s="126">
        <v>11500</v>
      </c>
      <c r="I16" s="124" t="s">
        <v>2151</v>
      </c>
      <c r="J16" s="127">
        <v>0</v>
      </c>
      <c r="K16" s="124" t="s">
        <v>5</v>
      </c>
      <c r="L16" s="127">
        <v>0</v>
      </c>
      <c r="M16" s="124" t="s">
        <v>5</v>
      </c>
      <c r="N16" s="129">
        <f t="shared" si="5"/>
        <v>8544</v>
      </c>
      <c r="O16" s="124"/>
      <c r="P16" s="130"/>
    </row>
    <row r="17" spans="1:16" ht="30" customHeight="1" x14ac:dyDescent="0.3">
      <c r="A17" s="121" t="s">
        <v>2150</v>
      </c>
      <c r="B17" s="121" t="s">
        <v>57</v>
      </c>
      <c r="C17" s="122" t="s">
        <v>12</v>
      </c>
      <c r="D17" s="134">
        <v>10054</v>
      </c>
      <c r="E17" s="124" t="s">
        <v>5</v>
      </c>
      <c r="F17" s="127">
        <v>0</v>
      </c>
      <c r="G17" s="124"/>
      <c r="H17" s="126">
        <v>16500</v>
      </c>
      <c r="I17" s="124" t="s">
        <v>754</v>
      </c>
      <c r="J17" s="126">
        <v>24360</v>
      </c>
      <c r="K17" s="128" t="s">
        <v>1590</v>
      </c>
      <c r="L17" s="127">
        <v>0</v>
      </c>
      <c r="M17" s="124" t="s">
        <v>5</v>
      </c>
      <c r="N17" s="129">
        <f>SMALL(D17:L17,COUNTIF(D17:L17,0)+1)</f>
        <v>10054</v>
      </c>
      <c r="O17" s="124"/>
      <c r="P17" s="130"/>
    </row>
    <row r="18" spans="1:16" ht="30" customHeight="1" x14ac:dyDescent="0.3">
      <c r="A18" s="121" t="s">
        <v>2150</v>
      </c>
      <c r="B18" s="121" t="s">
        <v>2358</v>
      </c>
      <c r="C18" s="122" t="s">
        <v>12</v>
      </c>
      <c r="D18" s="134">
        <v>14754</v>
      </c>
      <c r="E18" s="124" t="s">
        <v>5</v>
      </c>
      <c r="F18" s="127">
        <v>0</v>
      </c>
      <c r="G18" s="124"/>
      <c r="H18" s="126">
        <v>20250</v>
      </c>
      <c r="I18" s="124" t="s">
        <v>754</v>
      </c>
      <c r="J18" s="127">
        <v>0</v>
      </c>
      <c r="K18" s="128"/>
      <c r="L18" s="127">
        <v>0</v>
      </c>
      <c r="M18" s="124" t="s">
        <v>5</v>
      </c>
      <c r="N18" s="129">
        <f>SMALL(D18:L18,COUNTIF(D18:L18,0)+1)</f>
        <v>14754</v>
      </c>
      <c r="O18" s="124"/>
      <c r="P18" s="130"/>
    </row>
    <row r="19" spans="1:16" ht="30" customHeight="1" x14ac:dyDescent="0.3">
      <c r="A19" s="121" t="s">
        <v>784</v>
      </c>
      <c r="B19" s="121" t="s">
        <v>2152</v>
      </c>
      <c r="C19" s="122" t="s">
        <v>12</v>
      </c>
      <c r="D19" s="134">
        <v>827</v>
      </c>
      <c r="E19" s="124" t="s">
        <v>5</v>
      </c>
      <c r="F19" s="127">
        <v>0</v>
      </c>
      <c r="G19" s="124" t="s">
        <v>5</v>
      </c>
      <c r="H19" s="126">
        <v>1200</v>
      </c>
      <c r="I19" s="124" t="s">
        <v>754</v>
      </c>
      <c r="J19" s="126">
        <v>1800</v>
      </c>
      <c r="K19" s="128" t="s">
        <v>1590</v>
      </c>
      <c r="L19" s="127">
        <v>0</v>
      </c>
      <c r="M19" s="124" t="s">
        <v>5</v>
      </c>
      <c r="N19" s="129">
        <f t="shared" si="5"/>
        <v>827</v>
      </c>
      <c r="O19" s="124"/>
      <c r="P19" s="130"/>
    </row>
    <row r="20" spans="1:16" ht="30" customHeight="1" x14ac:dyDescent="0.3">
      <c r="A20" s="121" t="s">
        <v>784</v>
      </c>
      <c r="B20" s="121" t="s">
        <v>2153</v>
      </c>
      <c r="C20" s="122" t="s">
        <v>12</v>
      </c>
      <c r="D20" s="134">
        <v>1173</v>
      </c>
      <c r="E20" s="124" t="s">
        <v>5</v>
      </c>
      <c r="F20" s="127">
        <v>0</v>
      </c>
      <c r="G20" s="124" t="s">
        <v>5</v>
      </c>
      <c r="H20" s="126">
        <v>1800</v>
      </c>
      <c r="I20" s="124" t="s">
        <v>754</v>
      </c>
      <c r="J20" s="126">
        <v>2700</v>
      </c>
      <c r="K20" s="128" t="s">
        <v>1590</v>
      </c>
      <c r="L20" s="127">
        <v>0</v>
      </c>
      <c r="M20" s="124" t="s">
        <v>5</v>
      </c>
      <c r="N20" s="129">
        <f t="shared" si="5"/>
        <v>1173</v>
      </c>
      <c r="O20" s="124"/>
      <c r="P20" s="130"/>
    </row>
    <row r="21" spans="1:16" ht="30" customHeight="1" x14ac:dyDescent="0.3">
      <c r="A21" s="131" t="s">
        <v>784</v>
      </c>
      <c r="B21" s="131" t="s">
        <v>1993</v>
      </c>
      <c r="C21" s="132" t="s">
        <v>12</v>
      </c>
      <c r="D21" s="148">
        <v>3246</v>
      </c>
      <c r="E21" s="128" t="s">
        <v>5</v>
      </c>
      <c r="F21" s="127">
        <v>0</v>
      </c>
      <c r="G21" s="128" t="s">
        <v>5</v>
      </c>
      <c r="H21" s="127">
        <v>5250</v>
      </c>
      <c r="I21" s="124" t="s">
        <v>754</v>
      </c>
      <c r="J21" s="127">
        <v>6800</v>
      </c>
      <c r="K21" s="128" t="s">
        <v>1590</v>
      </c>
      <c r="L21" s="127">
        <v>0</v>
      </c>
      <c r="M21" s="128" t="s">
        <v>5</v>
      </c>
      <c r="N21" s="135">
        <f t="shared" si="5"/>
        <v>3246</v>
      </c>
      <c r="O21" s="124"/>
      <c r="P21" s="130"/>
    </row>
    <row r="22" spans="1:16" ht="30" customHeight="1" x14ac:dyDescent="0.3">
      <c r="A22" s="131" t="s">
        <v>784</v>
      </c>
      <c r="B22" s="131" t="s">
        <v>1994</v>
      </c>
      <c r="C22" s="132" t="s">
        <v>12</v>
      </c>
      <c r="D22" s="148">
        <v>3798</v>
      </c>
      <c r="E22" s="128" t="s">
        <v>5</v>
      </c>
      <c r="F22" s="127">
        <v>0</v>
      </c>
      <c r="G22" s="128" t="s">
        <v>5</v>
      </c>
      <c r="H22" s="127">
        <v>5250</v>
      </c>
      <c r="I22" s="124" t="s">
        <v>754</v>
      </c>
      <c r="J22" s="127">
        <v>6800</v>
      </c>
      <c r="K22" s="128" t="s">
        <v>1590</v>
      </c>
      <c r="L22" s="127">
        <v>0</v>
      </c>
      <c r="M22" s="128" t="s">
        <v>5</v>
      </c>
      <c r="N22" s="135">
        <f t="shared" si="5"/>
        <v>3798</v>
      </c>
      <c r="O22" s="124"/>
      <c r="P22" s="130"/>
    </row>
    <row r="23" spans="1:16" ht="30" customHeight="1" x14ac:dyDescent="0.3">
      <c r="A23" s="121" t="s">
        <v>2154</v>
      </c>
      <c r="B23" s="121" t="s">
        <v>2155</v>
      </c>
      <c r="C23" s="122" t="s">
        <v>2156</v>
      </c>
      <c r="D23" s="123">
        <v>0</v>
      </c>
      <c r="E23" s="124" t="s">
        <v>5</v>
      </c>
      <c r="F23" s="127">
        <v>0</v>
      </c>
      <c r="G23" s="124"/>
      <c r="H23" s="126">
        <v>10500</v>
      </c>
      <c r="I23" s="124" t="s">
        <v>2151</v>
      </c>
      <c r="J23" s="126">
        <v>10500</v>
      </c>
      <c r="K23" s="128" t="s">
        <v>1590</v>
      </c>
      <c r="L23" s="127">
        <v>0</v>
      </c>
      <c r="M23" s="124" t="s">
        <v>5</v>
      </c>
      <c r="N23" s="129">
        <f t="shared" si="5"/>
        <v>10500</v>
      </c>
      <c r="O23" s="124"/>
      <c r="P23" s="130"/>
    </row>
    <row r="24" spans="1:16" ht="30" customHeight="1" x14ac:dyDescent="0.3">
      <c r="A24" s="121" t="s">
        <v>2255</v>
      </c>
      <c r="B24" s="121" t="s">
        <v>2257</v>
      </c>
      <c r="C24" s="122" t="s">
        <v>14</v>
      </c>
      <c r="D24" s="123">
        <v>0</v>
      </c>
      <c r="E24" s="124" t="s">
        <v>5</v>
      </c>
      <c r="F24" s="127">
        <v>8000</v>
      </c>
      <c r="G24" s="128" t="s">
        <v>2288</v>
      </c>
      <c r="H24" s="127">
        <v>7410</v>
      </c>
      <c r="I24" s="128" t="s">
        <v>754</v>
      </c>
      <c r="J24" s="127">
        <v>9000</v>
      </c>
      <c r="K24" s="128" t="s">
        <v>2256</v>
      </c>
      <c r="L24" s="127">
        <v>9000</v>
      </c>
      <c r="M24" s="128" t="s">
        <v>2287</v>
      </c>
      <c r="N24" s="129">
        <f t="shared" ref="N24:N47" si="6">SMALL(D24:L24,COUNTIF(D24:L24,0)+1)</f>
        <v>7410</v>
      </c>
      <c r="O24" s="124"/>
      <c r="P24" s="130"/>
    </row>
    <row r="25" spans="1:16" ht="30" customHeight="1" x14ac:dyDescent="0.3">
      <c r="A25" s="121" t="s">
        <v>2255</v>
      </c>
      <c r="B25" s="121" t="s">
        <v>2258</v>
      </c>
      <c r="C25" s="122" t="s">
        <v>14</v>
      </c>
      <c r="D25" s="123">
        <v>0</v>
      </c>
      <c r="E25" s="124" t="s">
        <v>5</v>
      </c>
      <c r="F25" s="127">
        <v>4000</v>
      </c>
      <c r="G25" s="128" t="s">
        <v>2288</v>
      </c>
      <c r="H25" s="127">
        <v>1275</v>
      </c>
      <c r="I25" s="128" t="s">
        <v>754</v>
      </c>
      <c r="J25" s="127">
        <v>3500</v>
      </c>
      <c r="K25" s="128" t="s">
        <v>2256</v>
      </c>
      <c r="L25" s="127">
        <v>3500</v>
      </c>
      <c r="M25" s="128" t="s">
        <v>2287</v>
      </c>
      <c r="N25" s="129">
        <f t="shared" si="6"/>
        <v>1275</v>
      </c>
      <c r="O25" s="124"/>
      <c r="P25" s="130"/>
    </row>
    <row r="26" spans="1:16" ht="30" customHeight="1" x14ac:dyDescent="0.3">
      <c r="A26" s="121" t="s">
        <v>2255</v>
      </c>
      <c r="B26" s="121" t="s">
        <v>2277</v>
      </c>
      <c r="C26" s="122" t="s">
        <v>14</v>
      </c>
      <c r="D26" s="123">
        <v>0</v>
      </c>
      <c r="E26" s="124" t="s">
        <v>5</v>
      </c>
      <c r="F26" s="127">
        <v>0</v>
      </c>
      <c r="G26" s="124"/>
      <c r="H26" s="127">
        <v>3000</v>
      </c>
      <c r="I26" s="128" t="s">
        <v>754</v>
      </c>
      <c r="J26" s="127">
        <v>7000</v>
      </c>
      <c r="K26" s="128" t="s">
        <v>2256</v>
      </c>
      <c r="L26" s="127">
        <v>7000</v>
      </c>
      <c r="M26" s="128" t="s">
        <v>2287</v>
      </c>
      <c r="N26" s="129">
        <f t="shared" si="6"/>
        <v>3000</v>
      </c>
      <c r="O26" s="124"/>
      <c r="P26" s="130"/>
    </row>
    <row r="27" spans="1:16" ht="30" customHeight="1" x14ac:dyDescent="0.3">
      <c r="A27" s="121" t="s">
        <v>2259</v>
      </c>
      <c r="B27" s="121" t="s">
        <v>2262</v>
      </c>
      <c r="C27" s="132" t="s">
        <v>12</v>
      </c>
      <c r="D27" s="123">
        <v>0</v>
      </c>
      <c r="E27" s="124" t="s">
        <v>5</v>
      </c>
      <c r="F27" s="127">
        <v>0</v>
      </c>
      <c r="G27" s="124"/>
      <c r="H27" s="127">
        <v>2550</v>
      </c>
      <c r="I27" s="128" t="s">
        <v>754</v>
      </c>
      <c r="J27" s="127">
        <v>5000</v>
      </c>
      <c r="K27" s="128" t="s">
        <v>2256</v>
      </c>
      <c r="L27" s="127">
        <v>5000</v>
      </c>
      <c r="M27" s="128" t="s">
        <v>2287</v>
      </c>
      <c r="N27" s="129">
        <f t="shared" si="6"/>
        <v>2550</v>
      </c>
      <c r="O27" s="124"/>
      <c r="P27" s="130"/>
    </row>
    <row r="28" spans="1:16" ht="30" customHeight="1" x14ac:dyDescent="0.3">
      <c r="A28" s="121" t="s">
        <v>2259</v>
      </c>
      <c r="B28" s="121" t="s">
        <v>2263</v>
      </c>
      <c r="C28" s="132" t="s">
        <v>12</v>
      </c>
      <c r="D28" s="123">
        <v>0</v>
      </c>
      <c r="E28" s="124" t="s">
        <v>5</v>
      </c>
      <c r="F28" s="127">
        <v>4000</v>
      </c>
      <c r="G28" s="128" t="s">
        <v>2288</v>
      </c>
      <c r="H28" s="127">
        <v>2550</v>
      </c>
      <c r="I28" s="128" t="s">
        <v>754</v>
      </c>
      <c r="J28" s="127">
        <v>6000</v>
      </c>
      <c r="K28" s="128" t="s">
        <v>2256</v>
      </c>
      <c r="L28" s="127">
        <v>6000</v>
      </c>
      <c r="M28" s="128" t="s">
        <v>2287</v>
      </c>
      <c r="N28" s="129">
        <f t="shared" si="6"/>
        <v>2550</v>
      </c>
      <c r="O28" s="124"/>
      <c r="P28" s="130"/>
    </row>
    <row r="29" spans="1:16" ht="30" customHeight="1" x14ac:dyDescent="0.3">
      <c r="A29" s="121" t="s">
        <v>2259</v>
      </c>
      <c r="B29" s="121" t="s">
        <v>2261</v>
      </c>
      <c r="C29" s="132" t="s">
        <v>12</v>
      </c>
      <c r="D29" s="123">
        <v>0</v>
      </c>
      <c r="E29" s="124" t="s">
        <v>5</v>
      </c>
      <c r="F29" s="127">
        <v>0</v>
      </c>
      <c r="G29" s="124"/>
      <c r="H29" s="127">
        <v>2100</v>
      </c>
      <c r="I29" s="128" t="s">
        <v>754</v>
      </c>
      <c r="J29" s="127">
        <v>3000</v>
      </c>
      <c r="K29" s="128" t="s">
        <v>2256</v>
      </c>
      <c r="L29" s="127">
        <v>3000</v>
      </c>
      <c r="M29" s="128" t="s">
        <v>2287</v>
      </c>
      <c r="N29" s="129">
        <f t="shared" si="6"/>
        <v>2100</v>
      </c>
      <c r="O29" s="124"/>
      <c r="P29" s="130"/>
    </row>
    <row r="30" spans="1:16" ht="30" customHeight="1" x14ac:dyDescent="0.3">
      <c r="A30" s="121" t="s">
        <v>2259</v>
      </c>
      <c r="B30" s="121" t="s">
        <v>2260</v>
      </c>
      <c r="C30" s="132" t="s">
        <v>12</v>
      </c>
      <c r="D30" s="123">
        <v>0</v>
      </c>
      <c r="E30" s="124" t="s">
        <v>5</v>
      </c>
      <c r="F30" s="127">
        <v>3200</v>
      </c>
      <c r="G30" s="128" t="s">
        <v>2288</v>
      </c>
      <c r="H30" s="127">
        <v>2700</v>
      </c>
      <c r="I30" s="128" t="s">
        <v>754</v>
      </c>
      <c r="J30" s="127">
        <v>3500</v>
      </c>
      <c r="K30" s="128" t="s">
        <v>2256</v>
      </c>
      <c r="L30" s="127">
        <v>3500</v>
      </c>
      <c r="M30" s="128" t="s">
        <v>2287</v>
      </c>
      <c r="N30" s="129">
        <f t="shared" si="6"/>
        <v>2700</v>
      </c>
      <c r="O30" s="124"/>
      <c r="P30" s="130"/>
    </row>
    <row r="31" spans="1:16" ht="30" customHeight="1" x14ac:dyDescent="0.3">
      <c r="A31" s="121" t="s">
        <v>2259</v>
      </c>
      <c r="B31" s="121" t="s">
        <v>2278</v>
      </c>
      <c r="C31" s="132" t="s">
        <v>12</v>
      </c>
      <c r="D31" s="123">
        <v>0</v>
      </c>
      <c r="E31" s="124" t="s">
        <v>5</v>
      </c>
      <c r="F31" s="127">
        <v>0</v>
      </c>
      <c r="G31" s="124"/>
      <c r="H31" s="127">
        <v>2100</v>
      </c>
      <c r="I31" s="128" t="s">
        <v>754</v>
      </c>
      <c r="J31" s="127">
        <v>3500</v>
      </c>
      <c r="K31" s="128" t="s">
        <v>2256</v>
      </c>
      <c r="L31" s="127">
        <v>3500</v>
      </c>
      <c r="M31" s="128" t="s">
        <v>2287</v>
      </c>
      <c r="N31" s="129">
        <f t="shared" si="6"/>
        <v>2100</v>
      </c>
      <c r="O31" s="124"/>
      <c r="P31" s="130"/>
    </row>
    <row r="32" spans="1:16" ht="30" customHeight="1" x14ac:dyDescent="0.3">
      <c r="A32" s="121" t="s">
        <v>2259</v>
      </c>
      <c r="B32" s="121" t="s">
        <v>2279</v>
      </c>
      <c r="C32" s="132" t="s">
        <v>12</v>
      </c>
      <c r="D32" s="123">
        <v>0</v>
      </c>
      <c r="E32" s="124" t="s">
        <v>5</v>
      </c>
      <c r="F32" s="127">
        <v>0</v>
      </c>
      <c r="G32" s="124"/>
      <c r="H32" s="127">
        <v>2700</v>
      </c>
      <c r="I32" s="128" t="s">
        <v>754</v>
      </c>
      <c r="J32" s="127">
        <v>4500</v>
      </c>
      <c r="K32" s="128" t="s">
        <v>2256</v>
      </c>
      <c r="L32" s="127">
        <v>4500</v>
      </c>
      <c r="M32" s="128" t="s">
        <v>2287</v>
      </c>
      <c r="N32" s="129">
        <f t="shared" si="6"/>
        <v>2700</v>
      </c>
      <c r="O32" s="124"/>
      <c r="P32" s="130"/>
    </row>
    <row r="33" spans="1:16" ht="30" customHeight="1" x14ac:dyDescent="0.3">
      <c r="A33" s="121" t="s">
        <v>2265</v>
      </c>
      <c r="B33" s="121" t="s">
        <v>2266</v>
      </c>
      <c r="C33" s="132" t="s">
        <v>12</v>
      </c>
      <c r="D33" s="123">
        <v>0</v>
      </c>
      <c r="E33" s="124" t="s">
        <v>5</v>
      </c>
      <c r="F33" s="127">
        <v>0</v>
      </c>
      <c r="G33" s="124"/>
      <c r="H33" s="127">
        <v>0</v>
      </c>
      <c r="I33" s="124"/>
      <c r="J33" s="127">
        <v>7000</v>
      </c>
      <c r="K33" s="128" t="s">
        <v>2256</v>
      </c>
      <c r="L33" s="127">
        <v>7000</v>
      </c>
      <c r="M33" s="128" t="s">
        <v>2287</v>
      </c>
      <c r="N33" s="129">
        <f t="shared" si="6"/>
        <v>7000</v>
      </c>
      <c r="O33" s="124"/>
      <c r="P33" s="130"/>
    </row>
    <row r="34" spans="1:16" ht="30" customHeight="1" x14ac:dyDescent="0.3">
      <c r="A34" s="121" t="s">
        <v>2265</v>
      </c>
      <c r="B34" s="121" t="s">
        <v>2267</v>
      </c>
      <c r="C34" s="132" t="s">
        <v>12</v>
      </c>
      <c r="D34" s="123">
        <v>0</v>
      </c>
      <c r="E34" s="124" t="s">
        <v>5</v>
      </c>
      <c r="F34" s="127">
        <v>0</v>
      </c>
      <c r="G34" s="124"/>
      <c r="H34" s="127">
        <v>0</v>
      </c>
      <c r="I34" s="124"/>
      <c r="J34" s="127">
        <v>8000</v>
      </c>
      <c r="K34" s="128" t="s">
        <v>2256</v>
      </c>
      <c r="L34" s="127">
        <v>8000</v>
      </c>
      <c r="M34" s="128" t="s">
        <v>2287</v>
      </c>
      <c r="N34" s="129">
        <f t="shared" si="6"/>
        <v>8000</v>
      </c>
      <c r="O34" s="124"/>
      <c r="P34" s="130"/>
    </row>
    <row r="35" spans="1:16" ht="30" customHeight="1" x14ac:dyDescent="0.3">
      <c r="A35" s="121" t="s">
        <v>2265</v>
      </c>
      <c r="B35" s="121" t="s">
        <v>2280</v>
      </c>
      <c r="C35" s="132" t="s">
        <v>12</v>
      </c>
      <c r="D35" s="123">
        <v>0</v>
      </c>
      <c r="E35" s="124" t="s">
        <v>5</v>
      </c>
      <c r="F35" s="127">
        <v>18000</v>
      </c>
      <c r="G35" s="128" t="s">
        <v>2288</v>
      </c>
      <c r="H35" s="127">
        <v>0</v>
      </c>
      <c r="I35" s="124"/>
      <c r="J35" s="127">
        <v>10000</v>
      </c>
      <c r="K35" s="128" t="s">
        <v>2256</v>
      </c>
      <c r="L35" s="127">
        <v>10000</v>
      </c>
      <c r="M35" s="128" t="s">
        <v>2287</v>
      </c>
      <c r="N35" s="129">
        <f t="shared" si="6"/>
        <v>10000</v>
      </c>
      <c r="O35" s="124"/>
      <c r="P35" s="130"/>
    </row>
    <row r="36" spans="1:16" ht="30" customHeight="1" x14ac:dyDescent="0.3">
      <c r="A36" s="121" t="s">
        <v>2264</v>
      </c>
      <c r="B36" s="121" t="s">
        <v>2268</v>
      </c>
      <c r="C36" s="132" t="s">
        <v>2269</v>
      </c>
      <c r="D36" s="123">
        <v>0</v>
      </c>
      <c r="E36" s="124" t="s">
        <v>5</v>
      </c>
      <c r="F36" s="127">
        <v>0</v>
      </c>
      <c r="G36" s="124"/>
      <c r="H36" s="127">
        <v>0</v>
      </c>
      <c r="I36" s="124"/>
      <c r="J36" s="127">
        <v>10500</v>
      </c>
      <c r="K36" s="128" t="s">
        <v>2256</v>
      </c>
      <c r="L36" s="127">
        <v>10500</v>
      </c>
      <c r="M36" s="128" t="s">
        <v>2287</v>
      </c>
      <c r="N36" s="129">
        <f t="shared" si="6"/>
        <v>10500</v>
      </c>
      <c r="O36" s="124"/>
      <c r="P36" s="130"/>
    </row>
    <row r="37" spans="1:16" ht="30" customHeight="1" x14ac:dyDescent="0.3">
      <c r="A37" s="121" t="s">
        <v>2264</v>
      </c>
      <c r="B37" s="121" t="s">
        <v>2270</v>
      </c>
      <c r="C37" s="132" t="s">
        <v>2269</v>
      </c>
      <c r="D37" s="123">
        <v>0</v>
      </c>
      <c r="E37" s="124" t="s">
        <v>5</v>
      </c>
      <c r="F37" s="127">
        <v>0</v>
      </c>
      <c r="G37" s="124"/>
      <c r="H37" s="127">
        <v>0</v>
      </c>
      <c r="I37" s="124"/>
      <c r="J37" s="127">
        <v>8000</v>
      </c>
      <c r="K37" s="128" t="s">
        <v>2256</v>
      </c>
      <c r="L37" s="127">
        <v>8000</v>
      </c>
      <c r="M37" s="128" t="s">
        <v>2287</v>
      </c>
      <c r="N37" s="129">
        <f t="shared" si="6"/>
        <v>8000</v>
      </c>
      <c r="O37" s="124"/>
      <c r="P37" s="130"/>
    </row>
    <row r="38" spans="1:16" ht="30" customHeight="1" x14ac:dyDescent="0.3">
      <c r="A38" s="121" t="s">
        <v>2264</v>
      </c>
      <c r="B38" s="121" t="s">
        <v>2281</v>
      </c>
      <c r="C38" s="132" t="s">
        <v>2269</v>
      </c>
      <c r="D38" s="123">
        <v>0</v>
      </c>
      <c r="E38" s="124" t="s">
        <v>5</v>
      </c>
      <c r="F38" s="127">
        <v>0</v>
      </c>
      <c r="G38" s="124"/>
      <c r="H38" s="127">
        <v>0</v>
      </c>
      <c r="I38" s="124"/>
      <c r="J38" s="127">
        <v>13000</v>
      </c>
      <c r="K38" s="128" t="s">
        <v>2256</v>
      </c>
      <c r="L38" s="127">
        <v>13000</v>
      </c>
      <c r="M38" s="128" t="s">
        <v>2287</v>
      </c>
      <c r="N38" s="129">
        <f t="shared" si="6"/>
        <v>13000</v>
      </c>
      <c r="O38" s="124"/>
      <c r="P38" s="130"/>
    </row>
    <row r="39" spans="1:16" ht="30" customHeight="1" x14ac:dyDescent="0.3">
      <c r="A39" s="121" t="s">
        <v>2271</v>
      </c>
      <c r="B39" s="121" t="s">
        <v>2272</v>
      </c>
      <c r="C39" s="132" t="s">
        <v>12</v>
      </c>
      <c r="D39" s="123">
        <v>0</v>
      </c>
      <c r="E39" s="124" t="s">
        <v>5</v>
      </c>
      <c r="F39" s="127">
        <v>0</v>
      </c>
      <c r="G39" s="124"/>
      <c r="H39" s="127">
        <v>0</v>
      </c>
      <c r="I39" s="124"/>
      <c r="J39" s="127">
        <v>6000</v>
      </c>
      <c r="K39" s="128" t="s">
        <v>2256</v>
      </c>
      <c r="L39" s="127">
        <v>6000</v>
      </c>
      <c r="M39" s="128" t="s">
        <v>2287</v>
      </c>
      <c r="N39" s="129">
        <f t="shared" si="6"/>
        <v>6000</v>
      </c>
      <c r="O39" s="124"/>
      <c r="P39" s="130"/>
    </row>
    <row r="40" spans="1:16" ht="30" customHeight="1" x14ac:dyDescent="0.3">
      <c r="A40" s="121" t="s">
        <v>2271</v>
      </c>
      <c r="B40" s="121" t="s">
        <v>2273</v>
      </c>
      <c r="C40" s="132" t="s">
        <v>12</v>
      </c>
      <c r="D40" s="123">
        <v>0</v>
      </c>
      <c r="E40" s="124" t="s">
        <v>5</v>
      </c>
      <c r="F40" s="127">
        <v>0</v>
      </c>
      <c r="G40" s="124"/>
      <c r="H40" s="127">
        <v>0</v>
      </c>
      <c r="I40" s="124"/>
      <c r="J40" s="127">
        <v>4000</v>
      </c>
      <c r="K40" s="128" t="s">
        <v>2256</v>
      </c>
      <c r="L40" s="127">
        <v>4000</v>
      </c>
      <c r="M40" s="128" t="s">
        <v>2287</v>
      </c>
      <c r="N40" s="129">
        <f t="shared" si="6"/>
        <v>4000</v>
      </c>
      <c r="O40" s="124"/>
      <c r="P40" s="130"/>
    </row>
    <row r="41" spans="1:16" ht="30" customHeight="1" x14ac:dyDescent="0.3">
      <c r="A41" s="121" t="s">
        <v>2271</v>
      </c>
      <c r="B41" s="121" t="s">
        <v>2274</v>
      </c>
      <c r="C41" s="132" t="s">
        <v>12</v>
      </c>
      <c r="D41" s="123">
        <v>0</v>
      </c>
      <c r="E41" s="124" t="s">
        <v>5</v>
      </c>
      <c r="F41" s="127">
        <v>0</v>
      </c>
      <c r="G41" s="124"/>
      <c r="H41" s="127">
        <v>0</v>
      </c>
      <c r="I41" s="124"/>
      <c r="J41" s="127">
        <v>4000</v>
      </c>
      <c r="K41" s="128" t="s">
        <v>2256</v>
      </c>
      <c r="L41" s="127">
        <v>4000</v>
      </c>
      <c r="M41" s="128" t="s">
        <v>2287</v>
      </c>
      <c r="N41" s="129">
        <f t="shared" si="6"/>
        <v>4000</v>
      </c>
      <c r="O41" s="124"/>
      <c r="P41" s="130"/>
    </row>
    <row r="42" spans="1:16" ht="30" customHeight="1" x14ac:dyDescent="0.3">
      <c r="A42" s="121" t="s">
        <v>2271</v>
      </c>
      <c r="B42" s="121" t="s">
        <v>2282</v>
      </c>
      <c r="C42" s="132" t="s">
        <v>12</v>
      </c>
      <c r="D42" s="123">
        <v>0</v>
      </c>
      <c r="E42" s="124" t="s">
        <v>5</v>
      </c>
      <c r="F42" s="127">
        <v>0</v>
      </c>
      <c r="G42" s="124"/>
      <c r="H42" s="127">
        <v>0</v>
      </c>
      <c r="I42" s="124"/>
      <c r="J42" s="127">
        <v>5000</v>
      </c>
      <c r="K42" s="128" t="s">
        <v>2256</v>
      </c>
      <c r="L42" s="127">
        <v>5000</v>
      </c>
      <c r="M42" s="128" t="s">
        <v>2287</v>
      </c>
      <c r="N42" s="129">
        <f t="shared" si="6"/>
        <v>5000</v>
      </c>
      <c r="O42" s="124"/>
      <c r="P42" s="130"/>
    </row>
    <row r="43" spans="1:16" ht="30" customHeight="1" x14ac:dyDescent="0.3">
      <c r="A43" s="121" t="s">
        <v>2271</v>
      </c>
      <c r="B43" s="121" t="s">
        <v>2283</v>
      </c>
      <c r="C43" s="132" t="s">
        <v>12</v>
      </c>
      <c r="D43" s="123">
        <v>0</v>
      </c>
      <c r="E43" s="124" t="s">
        <v>5</v>
      </c>
      <c r="F43" s="127">
        <v>0</v>
      </c>
      <c r="G43" s="124"/>
      <c r="H43" s="127">
        <v>0</v>
      </c>
      <c r="I43" s="124"/>
      <c r="J43" s="127">
        <v>6000</v>
      </c>
      <c r="K43" s="128" t="s">
        <v>2256</v>
      </c>
      <c r="L43" s="127">
        <v>6000</v>
      </c>
      <c r="M43" s="128" t="s">
        <v>2287</v>
      </c>
      <c r="N43" s="129">
        <f t="shared" si="6"/>
        <v>6000</v>
      </c>
      <c r="O43" s="124"/>
      <c r="P43" s="130"/>
    </row>
    <row r="44" spans="1:16" ht="30" customHeight="1" x14ac:dyDescent="0.3">
      <c r="A44" s="121" t="s">
        <v>2271</v>
      </c>
      <c r="B44" s="121" t="s">
        <v>2275</v>
      </c>
      <c r="C44" s="132" t="s">
        <v>12</v>
      </c>
      <c r="D44" s="123">
        <v>0</v>
      </c>
      <c r="E44" s="124" t="s">
        <v>5</v>
      </c>
      <c r="F44" s="127">
        <v>0</v>
      </c>
      <c r="G44" s="124"/>
      <c r="H44" s="127">
        <v>0</v>
      </c>
      <c r="I44" s="124"/>
      <c r="J44" s="127">
        <v>3000</v>
      </c>
      <c r="K44" s="128" t="s">
        <v>2256</v>
      </c>
      <c r="L44" s="127">
        <v>3000</v>
      </c>
      <c r="M44" s="128" t="s">
        <v>2287</v>
      </c>
      <c r="N44" s="129">
        <f t="shared" si="6"/>
        <v>3000</v>
      </c>
      <c r="O44" s="124"/>
      <c r="P44" s="130"/>
    </row>
    <row r="45" spans="1:16" ht="30" customHeight="1" x14ac:dyDescent="0.3">
      <c r="A45" s="121" t="s">
        <v>2271</v>
      </c>
      <c r="B45" s="121" t="s">
        <v>2276</v>
      </c>
      <c r="C45" s="132" t="s">
        <v>12</v>
      </c>
      <c r="D45" s="123">
        <v>0</v>
      </c>
      <c r="E45" s="124" t="s">
        <v>5</v>
      </c>
      <c r="F45" s="127">
        <v>0</v>
      </c>
      <c r="G45" s="124"/>
      <c r="H45" s="127">
        <v>0</v>
      </c>
      <c r="I45" s="124"/>
      <c r="J45" s="127">
        <v>3000</v>
      </c>
      <c r="K45" s="128" t="s">
        <v>2256</v>
      </c>
      <c r="L45" s="127">
        <v>3000</v>
      </c>
      <c r="M45" s="128" t="s">
        <v>2287</v>
      </c>
      <c r="N45" s="129">
        <f t="shared" si="6"/>
        <v>3000</v>
      </c>
      <c r="O45" s="124"/>
      <c r="P45" s="130"/>
    </row>
    <row r="46" spans="1:16" ht="30" customHeight="1" x14ac:dyDescent="0.3">
      <c r="A46" s="121" t="s">
        <v>2271</v>
      </c>
      <c r="B46" s="121" t="s">
        <v>2284</v>
      </c>
      <c r="C46" s="132" t="s">
        <v>12</v>
      </c>
      <c r="D46" s="123">
        <v>0</v>
      </c>
      <c r="E46" s="124" t="s">
        <v>5</v>
      </c>
      <c r="F46" s="127">
        <v>0</v>
      </c>
      <c r="G46" s="124"/>
      <c r="H46" s="127">
        <v>0</v>
      </c>
      <c r="I46" s="124"/>
      <c r="J46" s="127">
        <v>5000</v>
      </c>
      <c r="K46" s="128" t="s">
        <v>2256</v>
      </c>
      <c r="L46" s="127">
        <v>5000</v>
      </c>
      <c r="M46" s="128" t="s">
        <v>2287</v>
      </c>
      <c r="N46" s="129">
        <f t="shared" si="6"/>
        <v>5000</v>
      </c>
      <c r="O46" s="124"/>
      <c r="P46" s="130"/>
    </row>
    <row r="47" spans="1:16" ht="30" customHeight="1" x14ac:dyDescent="0.3">
      <c r="A47" s="121" t="s">
        <v>2271</v>
      </c>
      <c r="B47" s="121" t="s">
        <v>2285</v>
      </c>
      <c r="C47" s="132" t="s">
        <v>12</v>
      </c>
      <c r="D47" s="123">
        <v>0</v>
      </c>
      <c r="E47" s="124" t="s">
        <v>5</v>
      </c>
      <c r="F47" s="127">
        <v>0</v>
      </c>
      <c r="G47" s="124"/>
      <c r="H47" s="127">
        <v>0</v>
      </c>
      <c r="I47" s="124"/>
      <c r="J47" s="127">
        <v>5000</v>
      </c>
      <c r="K47" s="128" t="s">
        <v>2256</v>
      </c>
      <c r="L47" s="127">
        <v>5000</v>
      </c>
      <c r="M47" s="128" t="s">
        <v>2287</v>
      </c>
      <c r="N47" s="129">
        <f t="shared" si="6"/>
        <v>5000</v>
      </c>
      <c r="O47" s="124"/>
      <c r="P47" s="130"/>
    </row>
    <row r="48" spans="1:16" ht="30" customHeight="1" x14ac:dyDescent="0.3">
      <c r="A48" s="121" t="s">
        <v>2271</v>
      </c>
      <c r="B48" s="121" t="s">
        <v>2286</v>
      </c>
      <c r="C48" s="132" t="s">
        <v>12</v>
      </c>
      <c r="D48" s="123">
        <v>0</v>
      </c>
      <c r="E48" s="124" t="s">
        <v>5</v>
      </c>
      <c r="F48" s="127">
        <v>0</v>
      </c>
      <c r="G48" s="124"/>
      <c r="H48" s="127">
        <v>0</v>
      </c>
      <c r="I48" s="124"/>
      <c r="J48" s="127">
        <v>6000</v>
      </c>
      <c r="K48" s="128" t="s">
        <v>2256</v>
      </c>
      <c r="L48" s="127">
        <v>6000</v>
      </c>
      <c r="M48" s="128" t="s">
        <v>2287</v>
      </c>
      <c r="N48" s="129">
        <f t="shared" ref="N48:N53" si="7">SMALL(D48:L48,COUNTIF(D48:L48,0)+1)</f>
        <v>6000</v>
      </c>
      <c r="O48" s="124"/>
      <c r="P48" s="130"/>
    </row>
    <row r="49" spans="1:16" ht="30" customHeight="1" x14ac:dyDescent="0.3">
      <c r="A49" s="121" t="s">
        <v>2147</v>
      </c>
      <c r="B49" s="121" t="s">
        <v>49</v>
      </c>
      <c r="C49" s="122" t="s">
        <v>12</v>
      </c>
      <c r="D49" s="134">
        <v>37779</v>
      </c>
      <c r="E49" s="124" t="s">
        <v>5</v>
      </c>
      <c r="F49" s="127">
        <v>0</v>
      </c>
      <c r="G49" s="124"/>
      <c r="H49" s="126">
        <v>46500</v>
      </c>
      <c r="I49" s="124" t="s">
        <v>754</v>
      </c>
      <c r="J49" s="126">
        <v>55800</v>
      </c>
      <c r="K49" s="124" t="s">
        <v>1590</v>
      </c>
      <c r="L49" s="127">
        <v>0</v>
      </c>
      <c r="M49" s="124" t="s">
        <v>5</v>
      </c>
      <c r="N49" s="129">
        <f t="shared" si="7"/>
        <v>37779</v>
      </c>
      <c r="O49" s="124"/>
      <c r="P49" s="130"/>
    </row>
    <row r="50" spans="1:16" ht="30" customHeight="1" x14ac:dyDescent="0.3">
      <c r="A50" s="121" t="s">
        <v>2147</v>
      </c>
      <c r="B50" s="121" t="s">
        <v>50</v>
      </c>
      <c r="C50" s="122" t="s">
        <v>12</v>
      </c>
      <c r="D50" s="134">
        <v>69570</v>
      </c>
      <c r="E50" s="124" t="s">
        <v>5</v>
      </c>
      <c r="F50" s="127">
        <v>0</v>
      </c>
      <c r="G50" s="124"/>
      <c r="H50" s="126">
        <v>90000</v>
      </c>
      <c r="I50" s="124" t="s">
        <v>754</v>
      </c>
      <c r="J50" s="126">
        <v>108000</v>
      </c>
      <c r="K50" s="124" t="s">
        <v>1590</v>
      </c>
      <c r="L50" s="127">
        <v>0</v>
      </c>
      <c r="M50" s="124" t="s">
        <v>5</v>
      </c>
      <c r="N50" s="129">
        <f t="shared" si="7"/>
        <v>69570</v>
      </c>
      <c r="O50" s="124"/>
      <c r="P50" s="130"/>
    </row>
    <row r="51" spans="1:16" ht="30" customHeight="1" x14ac:dyDescent="0.3">
      <c r="A51" s="121" t="s">
        <v>2147</v>
      </c>
      <c r="B51" s="121" t="s">
        <v>51</v>
      </c>
      <c r="C51" s="122" t="s">
        <v>12</v>
      </c>
      <c r="D51" s="134">
        <v>85579</v>
      </c>
      <c r="E51" s="124" t="s">
        <v>5</v>
      </c>
      <c r="F51" s="127">
        <v>0</v>
      </c>
      <c r="G51" s="124" t="s">
        <v>5</v>
      </c>
      <c r="H51" s="126">
        <v>108750</v>
      </c>
      <c r="I51" s="124" t="s">
        <v>754</v>
      </c>
      <c r="J51" s="126">
        <v>130000</v>
      </c>
      <c r="K51" s="124" t="s">
        <v>1590</v>
      </c>
      <c r="L51" s="127">
        <v>0</v>
      </c>
      <c r="M51" s="124" t="s">
        <v>5</v>
      </c>
      <c r="N51" s="129">
        <f t="shared" si="7"/>
        <v>85579</v>
      </c>
      <c r="O51" s="124"/>
      <c r="P51" s="130"/>
    </row>
    <row r="52" spans="1:16" ht="30" customHeight="1" x14ac:dyDescent="0.3">
      <c r="A52" s="121" t="s">
        <v>2147</v>
      </c>
      <c r="B52" s="121" t="s">
        <v>52</v>
      </c>
      <c r="C52" s="122" t="s">
        <v>12</v>
      </c>
      <c r="D52" s="134">
        <v>119328</v>
      </c>
      <c r="E52" s="124" t="s">
        <v>5</v>
      </c>
      <c r="F52" s="127">
        <v>0</v>
      </c>
      <c r="G52" s="124" t="s">
        <v>5</v>
      </c>
      <c r="H52" s="126">
        <v>141750</v>
      </c>
      <c r="I52" s="124" t="s">
        <v>754</v>
      </c>
      <c r="J52" s="126">
        <v>170100</v>
      </c>
      <c r="K52" s="124" t="s">
        <v>1590</v>
      </c>
      <c r="L52" s="127">
        <v>0</v>
      </c>
      <c r="M52" s="124" t="s">
        <v>5</v>
      </c>
      <c r="N52" s="129">
        <f t="shared" si="7"/>
        <v>119328</v>
      </c>
      <c r="O52" s="124"/>
      <c r="P52" s="130"/>
    </row>
    <row r="53" spans="1:16" ht="30" customHeight="1" x14ac:dyDescent="0.3">
      <c r="A53" s="121" t="s">
        <v>2147</v>
      </c>
      <c r="B53" s="121" t="s">
        <v>53</v>
      </c>
      <c r="C53" s="122" t="s">
        <v>12</v>
      </c>
      <c r="D53" s="134">
        <v>136835</v>
      </c>
      <c r="E53" s="124" t="s">
        <v>5</v>
      </c>
      <c r="F53" s="127">
        <v>0</v>
      </c>
      <c r="G53" s="124" t="s">
        <v>5</v>
      </c>
      <c r="H53" s="126">
        <v>160500</v>
      </c>
      <c r="I53" s="124" t="s">
        <v>754</v>
      </c>
      <c r="J53" s="126">
        <v>192600</v>
      </c>
      <c r="K53" s="124" t="s">
        <v>1590</v>
      </c>
      <c r="L53" s="127">
        <v>0</v>
      </c>
      <c r="M53" s="124" t="s">
        <v>5</v>
      </c>
      <c r="N53" s="129">
        <f t="shared" si="7"/>
        <v>136835</v>
      </c>
      <c r="O53" s="124"/>
      <c r="P53" s="130"/>
    </row>
    <row r="54" spans="1:16" ht="30" customHeight="1" x14ac:dyDescent="0.3">
      <c r="A54" s="121" t="s">
        <v>2148</v>
      </c>
      <c r="B54" s="121" t="s">
        <v>49</v>
      </c>
      <c r="C54" s="122" t="s">
        <v>12</v>
      </c>
      <c r="D54" s="134">
        <v>82584</v>
      </c>
      <c r="E54" s="124" t="s">
        <v>5</v>
      </c>
      <c r="F54" s="127">
        <v>0</v>
      </c>
      <c r="G54" s="124"/>
      <c r="H54" s="126">
        <v>114000</v>
      </c>
      <c r="I54" s="124" t="s">
        <v>754</v>
      </c>
      <c r="J54" s="126">
        <v>136800</v>
      </c>
      <c r="K54" s="124" t="s">
        <v>1590</v>
      </c>
      <c r="L54" s="126">
        <v>74000</v>
      </c>
      <c r="M54" s="128" t="s">
        <v>2222</v>
      </c>
      <c r="N54" s="129">
        <f>SMALL(D54:L54,COUNTIF(D54:L54,0)+1)</f>
        <v>74000</v>
      </c>
      <c r="O54" s="124"/>
      <c r="P54" s="130"/>
    </row>
    <row r="55" spans="1:16" ht="30" customHeight="1" x14ac:dyDescent="0.3">
      <c r="A55" s="121" t="s">
        <v>2148</v>
      </c>
      <c r="B55" s="121" t="s">
        <v>50</v>
      </c>
      <c r="C55" s="122" t="s">
        <v>12</v>
      </c>
      <c r="D55" s="134">
        <v>139254</v>
      </c>
      <c r="E55" s="124" t="s">
        <v>5</v>
      </c>
      <c r="F55" s="127">
        <v>0</v>
      </c>
      <c r="G55" s="124"/>
      <c r="H55" s="126">
        <v>198750</v>
      </c>
      <c r="I55" s="124" t="s">
        <v>754</v>
      </c>
      <c r="J55" s="126">
        <v>238500</v>
      </c>
      <c r="K55" s="124" t="s">
        <v>1590</v>
      </c>
      <c r="L55" s="127">
        <v>0</v>
      </c>
      <c r="M55" s="124" t="s">
        <v>5</v>
      </c>
      <c r="N55" s="129">
        <f t="shared" ref="N55:N56" si="8">SMALL(D55:L55,COUNTIF(D55:L55,0)+1)</f>
        <v>139254</v>
      </c>
      <c r="O55" s="124"/>
      <c r="P55" s="130"/>
    </row>
    <row r="56" spans="1:16" ht="30" customHeight="1" x14ac:dyDescent="0.3">
      <c r="A56" s="121" t="s">
        <v>2149</v>
      </c>
      <c r="B56" s="121" t="s">
        <v>51</v>
      </c>
      <c r="C56" s="122" t="s">
        <v>12</v>
      </c>
      <c r="D56" s="134">
        <v>157224</v>
      </c>
      <c r="E56" s="124" t="s">
        <v>5</v>
      </c>
      <c r="F56" s="127">
        <v>0</v>
      </c>
      <c r="G56" s="124"/>
      <c r="H56" s="126">
        <v>217500</v>
      </c>
      <c r="I56" s="124" t="s">
        <v>754</v>
      </c>
      <c r="J56" s="126">
        <v>261000</v>
      </c>
      <c r="K56" s="124" t="s">
        <v>1590</v>
      </c>
      <c r="L56" s="126">
        <v>140000</v>
      </c>
      <c r="M56" s="128" t="s">
        <v>2222</v>
      </c>
      <c r="N56" s="129">
        <f t="shared" si="8"/>
        <v>140000</v>
      </c>
      <c r="O56" s="124"/>
      <c r="P56" s="130"/>
    </row>
    <row r="57" spans="1:16" ht="30" customHeight="1" x14ac:dyDescent="0.3">
      <c r="A57" s="121" t="s">
        <v>2149</v>
      </c>
      <c r="B57" s="121" t="s">
        <v>52</v>
      </c>
      <c r="C57" s="122" t="s">
        <v>12</v>
      </c>
      <c r="D57" s="134">
        <v>200188</v>
      </c>
      <c r="E57" s="124" t="s">
        <v>5</v>
      </c>
      <c r="F57" s="127">
        <v>0</v>
      </c>
      <c r="G57" s="124" t="s">
        <v>5</v>
      </c>
      <c r="H57" s="126">
        <v>273000</v>
      </c>
      <c r="I57" s="124" t="s">
        <v>754</v>
      </c>
      <c r="J57" s="126">
        <v>327600</v>
      </c>
      <c r="K57" s="124" t="s">
        <v>1590</v>
      </c>
      <c r="L57" s="127">
        <v>0</v>
      </c>
      <c r="M57" s="124" t="s">
        <v>5</v>
      </c>
      <c r="N57" s="129">
        <f>SMALL(D57:L57,COUNTIF(D57:L57,0)+1)</f>
        <v>200188</v>
      </c>
      <c r="O57" s="124"/>
      <c r="P57" s="130"/>
    </row>
    <row r="58" spans="1:16" ht="30" customHeight="1" x14ac:dyDescent="0.3">
      <c r="A58" s="121" t="s">
        <v>2149</v>
      </c>
      <c r="B58" s="121" t="s">
        <v>53</v>
      </c>
      <c r="C58" s="122" t="s">
        <v>12</v>
      </c>
      <c r="D58" s="134">
        <v>216428</v>
      </c>
      <c r="E58" s="124" t="s">
        <v>5</v>
      </c>
      <c r="F58" s="127">
        <v>0</v>
      </c>
      <c r="G58" s="124" t="s">
        <v>5</v>
      </c>
      <c r="H58" s="126">
        <v>292500</v>
      </c>
      <c r="I58" s="124" t="s">
        <v>754</v>
      </c>
      <c r="J58" s="126">
        <v>351000</v>
      </c>
      <c r="K58" s="124" t="s">
        <v>1590</v>
      </c>
      <c r="L58" s="126">
        <v>250000</v>
      </c>
      <c r="M58" s="128" t="s">
        <v>2222</v>
      </c>
      <c r="N58" s="129">
        <f>SMALL(D58:L58,COUNTIF(D58:L58,0)+1)</f>
        <v>216428</v>
      </c>
      <c r="O58" s="124"/>
      <c r="P58" s="130"/>
    </row>
    <row r="59" spans="1:16" ht="30" customHeight="1" x14ac:dyDescent="0.3">
      <c r="A59" s="131" t="s">
        <v>2221</v>
      </c>
      <c r="B59" s="131" t="s">
        <v>1641</v>
      </c>
      <c r="C59" s="132" t="s">
        <v>12</v>
      </c>
      <c r="D59" s="123">
        <v>0</v>
      </c>
      <c r="E59" s="128" t="s">
        <v>5</v>
      </c>
      <c r="F59" s="127">
        <v>0</v>
      </c>
      <c r="G59" s="128" t="s">
        <v>5</v>
      </c>
      <c r="H59" s="127">
        <v>0</v>
      </c>
      <c r="I59" s="128"/>
      <c r="J59" s="127">
        <v>0</v>
      </c>
      <c r="K59" s="128"/>
      <c r="L59" s="127">
        <v>350000</v>
      </c>
      <c r="M59" s="128" t="s">
        <v>2222</v>
      </c>
      <c r="N59" s="135">
        <f t="shared" ref="N59:N65" si="9">SMALL(D59:L59,COUNTIF(D59:L59,0)+1)</f>
        <v>350000</v>
      </c>
      <c r="O59" s="124"/>
      <c r="P59" s="130"/>
    </row>
    <row r="60" spans="1:16" ht="30" customHeight="1" x14ac:dyDescent="0.3">
      <c r="A60" s="131" t="s">
        <v>2221</v>
      </c>
      <c r="B60" s="131" t="s">
        <v>1642</v>
      </c>
      <c r="C60" s="132" t="s">
        <v>12</v>
      </c>
      <c r="D60" s="123">
        <v>0</v>
      </c>
      <c r="E60" s="128" t="s">
        <v>5</v>
      </c>
      <c r="F60" s="127">
        <v>0</v>
      </c>
      <c r="G60" s="128" t="s">
        <v>5</v>
      </c>
      <c r="H60" s="127">
        <v>0</v>
      </c>
      <c r="I60" s="128"/>
      <c r="J60" s="127">
        <v>0</v>
      </c>
      <c r="K60" s="128"/>
      <c r="L60" s="127">
        <v>500000</v>
      </c>
      <c r="M60" s="128" t="s">
        <v>2222</v>
      </c>
      <c r="N60" s="135">
        <f t="shared" si="9"/>
        <v>500000</v>
      </c>
      <c r="O60" s="124"/>
      <c r="P60" s="130"/>
    </row>
    <row r="61" spans="1:16" ht="30" customHeight="1" x14ac:dyDescent="0.3">
      <c r="A61" s="131" t="s">
        <v>1643</v>
      </c>
      <c r="B61" s="131" t="s">
        <v>1644</v>
      </c>
      <c r="C61" s="132" t="s">
        <v>12</v>
      </c>
      <c r="D61" s="123">
        <v>0</v>
      </c>
      <c r="E61" s="128"/>
      <c r="F61" s="127">
        <v>0</v>
      </c>
      <c r="G61" s="128"/>
      <c r="H61" s="127">
        <v>0</v>
      </c>
      <c r="I61" s="128"/>
      <c r="J61" s="127">
        <v>0</v>
      </c>
      <c r="K61" s="128"/>
      <c r="L61" s="127">
        <v>120000</v>
      </c>
      <c r="M61" s="128" t="s">
        <v>2222</v>
      </c>
      <c r="N61" s="135">
        <f t="shared" si="9"/>
        <v>120000</v>
      </c>
      <c r="O61" s="124"/>
      <c r="P61" s="130"/>
    </row>
    <row r="62" spans="1:16" ht="30" customHeight="1" x14ac:dyDescent="0.3">
      <c r="A62" s="131" t="s">
        <v>1643</v>
      </c>
      <c r="B62" s="131" t="s">
        <v>1645</v>
      </c>
      <c r="C62" s="132" t="s">
        <v>12</v>
      </c>
      <c r="D62" s="123">
        <v>0</v>
      </c>
      <c r="E62" s="128"/>
      <c r="F62" s="127">
        <v>0</v>
      </c>
      <c r="G62" s="128"/>
      <c r="H62" s="127">
        <v>0</v>
      </c>
      <c r="I62" s="128"/>
      <c r="J62" s="127">
        <v>0</v>
      </c>
      <c r="K62" s="128"/>
      <c r="L62" s="127">
        <v>200000</v>
      </c>
      <c r="M62" s="128" t="s">
        <v>2222</v>
      </c>
      <c r="N62" s="135">
        <f t="shared" si="9"/>
        <v>200000</v>
      </c>
      <c r="O62" s="124"/>
      <c r="P62" s="130"/>
    </row>
    <row r="63" spans="1:16" ht="30" customHeight="1" x14ac:dyDescent="0.3">
      <c r="A63" s="131" t="s">
        <v>1643</v>
      </c>
      <c r="B63" s="131" t="s">
        <v>1646</v>
      </c>
      <c r="C63" s="132" t="s">
        <v>12</v>
      </c>
      <c r="D63" s="123">
        <v>0</v>
      </c>
      <c r="E63" s="128"/>
      <c r="F63" s="127">
        <v>0</v>
      </c>
      <c r="G63" s="128"/>
      <c r="H63" s="127">
        <v>0</v>
      </c>
      <c r="I63" s="128"/>
      <c r="J63" s="127">
        <v>0</v>
      </c>
      <c r="K63" s="128"/>
      <c r="L63" s="127">
        <v>380000</v>
      </c>
      <c r="M63" s="128" t="s">
        <v>2222</v>
      </c>
      <c r="N63" s="135">
        <f t="shared" si="9"/>
        <v>380000</v>
      </c>
      <c r="O63" s="124"/>
      <c r="P63" s="130"/>
    </row>
    <row r="64" spans="1:16" ht="30" customHeight="1" x14ac:dyDescent="0.3">
      <c r="A64" s="131" t="s">
        <v>1643</v>
      </c>
      <c r="B64" s="131" t="s">
        <v>1641</v>
      </c>
      <c r="C64" s="132" t="s">
        <v>12</v>
      </c>
      <c r="D64" s="123">
        <v>0</v>
      </c>
      <c r="E64" s="128"/>
      <c r="F64" s="127">
        <v>0</v>
      </c>
      <c r="G64" s="128"/>
      <c r="H64" s="127">
        <v>0</v>
      </c>
      <c r="I64" s="128"/>
      <c r="J64" s="127">
        <v>0</v>
      </c>
      <c r="K64" s="128"/>
      <c r="L64" s="127">
        <v>400000</v>
      </c>
      <c r="M64" s="128" t="s">
        <v>2222</v>
      </c>
      <c r="N64" s="135">
        <f t="shared" si="9"/>
        <v>400000</v>
      </c>
      <c r="O64" s="124"/>
      <c r="P64" s="130"/>
    </row>
    <row r="65" spans="1:16" ht="30" customHeight="1" x14ac:dyDescent="0.3">
      <c r="A65" s="131" t="s">
        <v>1643</v>
      </c>
      <c r="B65" s="131" t="s">
        <v>1642</v>
      </c>
      <c r="C65" s="132" t="s">
        <v>12</v>
      </c>
      <c r="D65" s="123">
        <v>0</v>
      </c>
      <c r="E65" s="128"/>
      <c r="F65" s="127">
        <v>0</v>
      </c>
      <c r="G65" s="128"/>
      <c r="H65" s="127">
        <v>0</v>
      </c>
      <c r="I65" s="128"/>
      <c r="J65" s="127">
        <v>0</v>
      </c>
      <c r="K65" s="128"/>
      <c r="L65" s="127">
        <v>650000</v>
      </c>
      <c r="M65" s="128" t="s">
        <v>2222</v>
      </c>
      <c r="N65" s="135">
        <f t="shared" si="9"/>
        <v>650000</v>
      </c>
      <c r="O65" s="124"/>
      <c r="P65" s="130"/>
    </row>
  </sheetData>
  <mergeCells count="8">
    <mergeCell ref="A1:P1"/>
    <mergeCell ref="A2:P2"/>
    <mergeCell ref="A3:A4"/>
    <mergeCell ref="B3:B4"/>
    <mergeCell ref="C3:C4"/>
    <mergeCell ref="D3:N3"/>
    <mergeCell ref="O3:O4"/>
    <mergeCell ref="P3:P4"/>
  </mergeCells>
  <phoneticPr fontId="1" type="noConversion"/>
  <pageMargins left="0.78740157480314954" right="0" top="0.39370078740157477" bottom="0.39370078740157477" header="0" footer="0"/>
  <pageSetup paperSize="9" scale="64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  <pageSetUpPr fitToPage="1"/>
  </sheetPr>
  <dimension ref="A1:R215"/>
  <sheetViews>
    <sheetView view="pageBreakPreview" zoomScale="85" zoomScaleNormal="87" zoomScaleSheetLayoutView="85" workbookViewId="0">
      <pane ySplit="4" topLeftCell="A5" activePane="bottomLeft" state="frozen"/>
      <selection activeCell="A3" sqref="A3:A5"/>
      <selection pane="bottomLeft" activeCell="B13" sqref="B13"/>
    </sheetView>
  </sheetViews>
  <sheetFormatPr defaultRowHeight="16.5" x14ac:dyDescent="0.3"/>
  <cols>
    <col min="1" max="2" width="30.5" style="116" bestFit="1" customWidth="1"/>
    <col min="3" max="3" width="5.5" style="136" bestFit="1" customWidth="1"/>
    <col min="4" max="4" width="11.625" style="110" customWidth="1"/>
    <col min="5" max="5" width="6.625" style="137" customWidth="1"/>
    <col min="6" max="6" width="11.625" style="107" customWidth="1"/>
    <col min="7" max="7" width="6.625" style="137" customWidth="1"/>
    <col min="8" max="8" width="11.625" style="107" customWidth="1"/>
    <col min="9" max="9" width="6.625" style="137" customWidth="1"/>
    <col min="10" max="10" width="11.625" style="107" customWidth="1"/>
    <col min="11" max="11" width="6.625" style="137" customWidth="1"/>
    <col min="12" max="12" width="13.875" style="107" customWidth="1"/>
    <col min="13" max="13" width="6.625" style="137" customWidth="1"/>
    <col min="14" max="14" width="13.875" style="110" bestFit="1" customWidth="1"/>
    <col min="15" max="15" width="8.5" style="136" bestFit="1" customWidth="1"/>
    <col min="16" max="16" width="15" style="136" bestFit="1" customWidth="1"/>
    <col min="17" max="17" width="9" style="116"/>
    <col min="18" max="18" width="0" style="116" hidden="1" customWidth="1"/>
    <col min="19" max="16384" width="9" style="116"/>
  </cols>
  <sheetData>
    <row r="1" spans="1:18" ht="30" customHeight="1" x14ac:dyDescent="0.3">
      <c r="A1" s="200" t="s">
        <v>932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R1" s="116" t="s">
        <v>1573</v>
      </c>
    </row>
    <row r="2" spans="1:18" ht="30" customHeight="1" x14ac:dyDescent="0.3">
      <c r="A2" s="201" t="s">
        <v>1998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</row>
    <row r="3" spans="1:18" ht="30" customHeight="1" x14ac:dyDescent="0.3">
      <c r="A3" s="202" t="s">
        <v>1566</v>
      </c>
      <c r="B3" s="202" t="s">
        <v>1567</v>
      </c>
      <c r="C3" s="202" t="s">
        <v>1</v>
      </c>
      <c r="D3" s="202" t="s">
        <v>2</v>
      </c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3" t="s">
        <v>728</v>
      </c>
      <c r="P3" s="203" t="s">
        <v>3</v>
      </c>
    </row>
    <row r="4" spans="1:18" ht="30" customHeight="1" x14ac:dyDescent="0.3">
      <c r="A4" s="202"/>
      <c r="B4" s="202"/>
      <c r="C4" s="202"/>
      <c r="D4" s="152" t="s">
        <v>723</v>
      </c>
      <c r="E4" s="118" t="s">
        <v>724</v>
      </c>
      <c r="F4" s="119" t="s">
        <v>2239</v>
      </c>
      <c r="G4" s="118" t="s">
        <v>724</v>
      </c>
      <c r="H4" s="119" t="s">
        <v>2240</v>
      </c>
      <c r="I4" s="118" t="s">
        <v>724</v>
      </c>
      <c r="J4" s="119" t="s">
        <v>2241</v>
      </c>
      <c r="K4" s="118" t="s">
        <v>724</v>
      </c>
      <c r="L4" s="119" t="s">
        <v>2242</v>
      </c>
      <c r="M4" s="118" t="s">
        <v>724</v>
      </c>
      <c r="N4" s="120" t="s">
        <v>725</v>
      </c>
      <c r="O4" s="204"/>
      <c r="P4" s="204"/>
    </row>
    <row r="5" spans="1:18" ht="30" customHeight="1" x14ac:dyDescent="0.3">
      <c r="A5" s="131" t="s">
        <v>2568</v>
      </c>
      <c r="B5" s="131" t="s">
        <v>2576</v>
      </c>
      <c r="C5" s="132" t="s">
        <v>12</v>
      </c>
      <c r="D5" s="153">
        <v>0</v>
      </c>
      <c r="E5" s="128" t="s">
        <v>5</v>
      </c>
      <c r="F5" s="127">
        <v>15800</v>
      </c>
      <c r="G5" s="128" t="s">
        <v>2162</v>
      </c>
      <c r="H5" s="127">
        <v>15800</v>
      </c>
      <c r="I5" s="128" t="s">
        <v>894</v>
      </c>
      <c r="J5" s="127">
        <v>15600</v>
      </c>
      <c r="K5" s="128" t="s">
        <v>1597</v>
      </c>
      <c r="L5" s="127">
        <v>18000</v>
      </c>
      <c r="M5" s="128" t="s">
        <v>2196</v>
      </c>
      <c r="N5" s="153">
        <f t="shared" ref="N5:N32" si="0">SMALL(D5:L5,COUNTIF(D5:L5,0)+1)</f>
        <v>15600</v>
      </c>
      <c r="O5" s="124"/>
      <c r="P5" s="130"/>
    </row>
    <row r="6" spans="1:18" ht="30" customHeight="1" x14ac:dyDescent="0.3">
      <c r="A6" s="131" t="s">
        <v>2568</v>
      </c>
      <c r="B6" s="131" t="s">
        <v>2314</v>
      </c>
      <c r="C6" s="132" t="s">
        <v>12</v>
      </c>
      <c r="D6" s="153">
        <v>0</v>
      </c>
      <c r="E6" s="128" t="s">
        <v>5</v>
      </c>
      <c r="F6" s="127">
        <v>16100</v>
      </c>
      <c r="G6" s="128" t="s">
        <v>2162</v>
      </c>
      <c r="H6" s="127">
        <v>16100</v>
      </c>
      <c r="I6" s="128" t="s">
        <v>894</v>
      </c>
      <c r="J6" s="127">
        <v>16700</v>
      </c>
      <c r="K6" s="128" t="s">
        <v>1597</v>
      </c>
      <c r="L6" s="127">
        <v>16400</v>
      </c>
      <c r="M6" s="128" t="s">
        <v>2196</v>
      </c>
      <c r="N6" s="153">
        <f t="shared" si="0"/>
        <v>16100</v>
      </c>
      <c r="O6" s="124"/>
      <c r="P6" s="130"/>
    </row>
    <row r="7" spans="1:18" ht="30" customHeight="1" x14ac:dyDescent="0.3">
      <c r="A7" s="131" t="s">
        <v>2568</v>
      </c>
      <c r="B7" s="131" t="s">
        <v>2680</v>
      </c>
      <c r="C7" s="132" t="s">
        <v>12</v>
      </c>
      <c r="D7" s="153">
        <v>0</v>
      </c>
      <c r="E7" s="128" t="s">
        <v>5</v>
      </c>
      <c r="F7" s="127">
        <v>43800</v>
      </c>
      <c r="G7" s="128" t="s">
        <v>2162</v>
      </c>
      <c r="H7" s="127">
        <v>47700</v>
      </c>
      <c r="I7" s="128" t="s">
        <v>894</v>
      </c>
      <c r="J7" s="127">
        <v>45500</v>
      </c>
      <c r="K7" s="128" t="s">
        <v>1598</v>
      </c>
      <c r="L7" s="127">
        <v>45500</v>
      </c>
      <c r="M7" s="128" t="s">
        <v>2196</v>
      </c>
      <c r="N7" s="153">
        <f>SMALL(D7:L7,COUNTIF(D7:L7,0)+1)</f>
        <v>43800</v>
      </c>
      <c r="O7" s="124"/>
      <c r="P7" s="130"/>
    </row>
    <row r="8" spans="1:18" ht="30" customHeight="1" x14ac:dyDescent="0.3">
      <c r="A8" s="131" t="s">
        <v>2568</v>
      </c>
      <c r="B8" s="131" t="s">
        <v>2289</v>
      </c>
      <c r="C8" s="132" t="s">
        <v>12</v>
      </c>
      <c r="D8" s="153">
        <v>0</v>
      </c>
      <c r="E8" s="128" t="s">
        <v>5</v>
      </c>
      <c r="F8" s="127">
        <v>47200</v>
      </c>
      <c r="G8" s="128" t="s">
        <v>2162</v>
      </c>
      <c r="H8" s="127">
        <v>51400</v>
      </c>
      <c r="I8" s="128" t="s">
        <v>894</v>
      </c>
      <c r="J8" s="127">
        <v>48900</v>
      </c>
      <c r="K8" s="128" t="s">
        <v>1598</v>
      </c>
      <c r="L8" s="127">
        <v>48900</v>
      </c>
      <c r="M8" s="128" t="s">
        <v>2196</v>
      </c>
      <c r="N8" s="153">
        <f t="shared" si="0"/>
        <v>47200</v>
      </c>
      <c r="O8" s="124"/>
      <c r="P8" s="130"/>
    </row>
    <row r="9" spans="1:18" ht="30" customHeight="1" x14ac:dyDescent="0.3">
      <c r="A9" s="131" t="s">
        <v>2568</v>
      </c>
      <c r="B9" s="131" t="s">
        <v>2290</v>
      </c>
      <c r="C9" s="132" t="s">
        <v>12</v>
      </c>
      <c r="D9" s="153">
        <v>0</v>
      </c>
      <c r="E9" s="128" t="s">
        <v>5</v>
      </c>
      <c r="F9" s="127">
        <v>95800</v>
      </c>
      <c r="G9" s="128" t="s">
        <v>2162</v>
      </c>
      <c r="H9" s="127">
        <v>94300</v>
      </c>
      <c r="I9" s="128" t="s">
        <v>894</v>
      </c>
      <c r="J9" s="127">
        <v>89800</v>
      </c>
      <c r="K9" s="128" t="s">
        <v>1597</v>
      </c>
      <c r="L9" s="127">
        <v>52600</v>
      </c>
      <c r="M9" s="128" t="s">
        <v>2196</v>
      </c>
      <c r="N9" s="153">
        <f t="shared" si="0"/>
        <v>52600</v>
      </c>
      <c r="O9" s="124"/>
      <c r="P9" s="130"/>
    </row>
    <row r="10" spans="1:18" ht="30" customHeight="1" x14ac:dyDescent="0.3">
      <c r="A10" s="131" t="s">
        <v>2568</v>
      </c>
      <c r="B10" s="131" t="s">
        <v>2291</v>
      </c>
      <c r="C10" s="132" t="s">
        <v>12</v>
      </c>
      <c r="D10" s="153">
        <v>0</v>
      </c>
      <c r="E10" s="128" t="s">
        <v>5</v>
      </c>
      <c r="F10" s="127">
        <v>95800</v>
      </c>
      <c r="G10" s="128" t="s">
        <v>2162</v>
      </c>
      <c r="H10" s="127">
        <v>104300</v>
      </c>
      <c r="I10" s="128" t="s">
        <v>894</v>
      </c>
      <c r="J10" s="127">
        <v>86000</v>
      </c>
      <c r="K10" s="128" t="s">
        <v>1597</v>
      </c>
      <c r="L10" s="127">
        <v>99300</v>
      </c>
      <c r="M10" s="128" t="s">
        <v>2196</v>
      </c>
      <c r="N10" s="153">
        <f t="shared" si="0"/>
        <v>86000</v>
      </c>
      <c r="O10" s="124"/>
      <c r="P10" s="130"/>
    </row>
    <row r="11" spans="1:18" ht="30" customHeight="1" x14ac:dyDescent="0.3">
      <c r="A11" s="131" t="s">
        <v>2568</v>
      </c>
      <c r="B11" s="131" t="s">
        <v>2292</v>
      </c>
      <c r="C11" s="132" t="s">
        <v>12</v>
      </c>
      <c r="D11" s="153">
        <v>0</v>
      </c>
      <c r="E11" s="128" t="s">
        <v>5</v>
      </c>
      <c r="F11" s="127">
        <v>101400</v>
      </c>
      <c r="G11" s="128" t="s">
        <v>2162</v>
      </c>
      <c r="H11" s="127">
        <v>110400</v>
      </c>
      <c r="I11" s="128" t="s">
        <v>894</v>
      </c>
      <c r="J11" s="127">
        <v>93000</v>
      </c>
      <c r="K11" s="128" t="s">
        <v>1597</v>
      </c>
      <c r="L11" s="127">
        <v>105200</v>
      </c>
      <c r="M11" s="128" t="s">
        <v>2196</v>
      </c>
      <c r="N11" s="153">
        <f t="shared" si="0"/>
        <v>93000</v>
      </c>
      <c r="O11" s="124"/>
      <c r="P11" s="130"/>
    </row>
    <row r="12" spans="1:18" ht="30" customHeight="1" x14ac:dyDescent="0.3">
      <c r="A12" s="131" t="s">
        <v>2568</v>
      </c>
      <c r="B12" s="131" t="s">
        <v>2293</v>
      </c>
      <c r="C12" s="132" t="s">
        <v>12</v>
      </c>
      <c r="D12" s="153">
        <v>0</v>
      </c>
      <c r="E12" s="128" t="s">
        <v>5</v>
      </c>
      <c r="F12" s="127">
        <v>192300</v>
      </c>
      <c r="G12" s="128" t="s">
        <v>2162</v>
      </c>
      <c r="H12" s="127">
        <v>209400</v>
      </c>
      <c r="I12" s="128" t="s">
        <v>894</v>
      </c>
      <c r="J12" s="127">
        <v>199500</v>
      </c>
      <c r="K12" s="128" t="s">
        <v>1597</v>
      </c>
      <c r="L12" s="127">
        <v>0</v>
      </c>
      <c r="M12" s="128" t="s">
        <v>5</v>
      </c>
      <c r="N12" s="153">
        <f t="shared" si="0"/>
        <v>192300</v>
      </c>
      <c r="O12" s="124"/>
      <c r="P12" s="130"/>
    </row>
    <row r="13" spans="1:18" ht="30" customHeight="1" x14ac:dyDescent="0.3">
      <c r="A13" s="131" t="s">
        <v>2568</v>
      </c>
      <c r="B13" s="131" t="s">
        <v>2294</v>
      </c>
      <c r="C13" s="132" t="s">
        <v>12</v>
      </c>
      <c r="D13" s="153">
        <v>0</v>
      </c>
      <c r="E13" s="128" t="s">
        <v>5</v>
      </c>
      <c r="F13" s="127">
        <v>340100</v>
      </c>
      <c r="G13" s="128" t="s">
        <v>2162</v>
      </c>
      <c r="H13" s="127">
        <v>370300</v>
      </c>
      <c r="I13" s="128" t="s">
        <v>894</v>
      </c>
      <c r="J13" s="127">
        <v>352700</v>
      </c>
      <c r="K13" s="128" t="s">
        <v>1597</v>
      </c>
      <c r="L13" s="127">
        <v>352700</v>
      </c>
      <c r="M13" s="128" t="s">
        <v>2196</v>
      </c>
      <c r="N13" s="153">
        <f t="shared" si="0"/>
        <v>340100</v>
      </c>
      <c r="O13" s="124"/>
      <c r="P13" s="130"/>
    </row>
    <row r="14" spans="1:18" ht="30" customHeight="1" x14ac:dyDescent="0.3">
      <c r="A14" s="131" t="s">
        <v>2568</v>
      </c>
      <c r="B14" s="131" t="s">
        <v>2295</v>
      </c>
      <c r="C14" s="132" t="s">
        <v>12</v>
      </c>
      <c r="D14" s="153">
        <v>0</v>
      </c>
      <c r="E14" s="128" t="s">
        <v>5</v>
      </c>
      <c r="F14" s="127">
        <v>614100</v>
      </c>
      <c r="G14" s="128" t="s">
        <v>2162</v>
      </c>
      <c r="H14" s="127">
        <v>668700</v>
      </c>
      <c r="I14" s="128" t="s">
        <v>894</v>
      </c>
      <c r="J14" s="127">
        <v>636800</v>
      </c>
      <c r="K14" s="128" t="s">
        <v>1597</v>
      </c>
      <c r="L14" s="127">
        <v>636800</v>
      </c>
      <c r="M14" s="128" t="s">
        <v>2196</v>
      </c>
      <c r="N14" s="153">
        <f t="shared" si="0"/>
        <v>614100</v>
      </c>
      <c r="O14" s="124"/>
      <c r="P14" s="130"/>
    </row>
    <row r="15" spans="1:18" ht="30" customHeight="1" x14ac:dyDescent="0.3">
      <c r="A15" s="131" t="s">
        <v>2568</v>
      </c>
      <c r="B15" s="131" t="s">
        <v>2296</v>
      </c>
      <c r="C15" s="132" t="s">
        <v>12</v>
      </c>
      <c r="D15" s="153">
        <v>0</v>
      </c>
      <c r="E15" s="128" t="s">
        <v>5</v>
      </c>
      <c r="F15" s="127">
        <v>1185900</v>
      </c>
      <c r="G15" s="128" t="s">
        <v>2162</v>
      </c>
      <c r="H15" s="127">
        <v>1291400</v>
      </c>
      <c r="I15" s="128" t="s">
        <v>894</v>
      </c>
      <c r="J15" s="127">
        <v>1229900</v>
      </c>
      <c r="K15" s="128" t="s">
        <v>1597</v>
      </c>
      <c r="L15" s="127">
        <v>1229900</v>
      </c>
      <c r="M15" s="128" t="s">
        <v>2196</v>
      </c>
      <c r="N15" s="153">
        <f t="shared" si="0"/>
        <v>1185900</v>
      </c>
      <c r="O15" s="124"/>
      <c r="P15" s="130"/>
    </row>
    <row r="16" spans="1:18" ht="30" customHeight="1" x14ac:dyDescent="0.3">
      <c r="A16" s="131" t="s">
        <v>2568</v>
      </c>
      <c r="B16" s="131" t="s">
        <v>2297</v>
      </c>
      <c r="C16" s="132" t="s">
        <v>12</v>
      </c>
      <c r="D16" s="153">
        <v>0</v>
      </c>
      <c r="E16" s="128" t="s">
        <v>5</v>
      </c>
      <c r="F16" s="127">
        <v>118900</v>
      </c>
      <c r="G16" s="128" t="s">
        <v>2162</v>
      </c>
      <c r="H16" s="127">
        <v>129500</v>
      </c>
      <c r="I16" s="128" t="s">
        <v>894</v>
      </c>
      <c r="J16" s="127">
        <v>123300</v>
      </c>
      <c r="K16" s="128" t="s">
        <v>1597</v>
      </c>
      <c r="L16" s="127">
        <v>123300</v>
      </c>
      <c r="M16" s="128" t="s">
        <v>2196</v>
      </c>
      <c r="N16" s="153">
        <f t="shared" ref="N16" si="1">SMALL(D16:L16,COUNTIF(D16:L16,0)+1)</f>
        <v>118900</v>
      </c>
      <c r="O16" s="124"/>
      <c r="P16" s="130"/>
    </row>
    <row r="17" spans="1:16" ht="30" customHeight="1" x14ac:dyDescent="0.3">
      <c r="A17" s="131" t="s">
        <v>2568</v>
      </c>
      <c r="B17" s="131" t="s">
        <v>2298</v>
      </c>
      <c r="C17" s="132" t="s">
        <v>12</v>
      </c>
      <c r="D17" s="153">
        <v>0</v>
      </c>
      <c r="E17" s="128" t="s">
        <v>5</v>
      </c>
      <c r="F17" s="127">
        <v>154900</v>
      </c>
      <c r="G17" s="128" t="s">
        <v>2162</v>
      </c>
      <c r="H17" s="127">
        <v>168600</v>
      </c>
      <c r="I17" s="128" t="s">
        <v>894</v>
      </c>
      <c r="J17" s="127">
        <v>160660</v>
      </c>
      <c r="K17" s="128" t="s">
        <v>1597</v>
      </c>
      <c r="L17" s="127">
        <v>160600</v>
      </c>
      <c r="M17" s="128" t="s">
        <v>2196</v>
      </c>
      <c r="N17" s="153">
        <f t="shared" si="0"/>
        <v>154900</v>
      </c>
      <c r="O17" s="124"/>
      <c r="P17" s="130"/>
    </row>
    <row r="18" spans="1:16" ht="30" customHeight="1" x14ac:dyDescent="0.3">
      <c r="A18" s="131" t="s">
        <v>2568</v>
      </c>
      <c r="B18" s="131" t="s">
        <v>2299</v>
      </c>
      <c r="C18" s="132" t="s">
        <v>12</v>
      </c>
      <c r="D18" s="153">
        <v>0</v>
      </c>
      <c r="E18" s="128" t="s">
        <v>5</v>
      </c>
      <c r="F18" s="127">
        <v>231000</v>
      </c>
      <c r="G18" s="128" t="s">
        <v>2162</v>
      </c>
      <c r="H18" s="127">
        <v>251500</v>
      </c>
      <c r="I18" s="128" t="s">
        <v>894</v>
      </c>
      <c r="J18" s="127">
        <v>239600</v>
      </c>
      <c r="K18" s="128" t="s">
        <v>1597</v>
      </c>
      <c r="L18" s="127">
        <v>239600</v>
      </c>
      <c r="M18" s="128" t="s">
        <v>2196</v>
      </c>
      <c r="N18" s="153">
        <f t="shared" si="0"/>
        <v>231000</v>
      </c>
      <c r="O18" s="124"/>
      <c r="P18" s="130"/>
    </row>
    <row r="19" spans="1:16" ht="30" customHeight="1" x14ac:dyDescent="0.3">
      <c r="A19" s="131" t="s">
        <v>2568</v>
      </c>
      <c r="B19" s="131" t="s">
        <v>2300</v>
      </c>
      <c r="C19" s="132" t="s">
        <v>12</v>
      </c>
      <c r="D19" s="153">
        <v>0</v>
      </c>
      <c r="E19" s="128" t="s">
        <v>5</v>
      </c>
      <c r="F19" s="127">
        <v>479000</v>
      </c>
      <c r="G19" s="128" t="s">
        <v>2162</v>
      </c>
      <c r="H19" s="127">
        <v>521600</v>
      </c>
      <c r="I19" s="128" t="s">
        <v>894</v>
      </c>
      <c r="J19" s="127">
        <v>496700</v>
      </c>
      <c r="K19" s="128" t="s">
        <v>1597</v>
      </c>
      <c r="L19" s="127">
        <v>496700</v>
      </c>
      <c r="M19" s="128" t="s">
        <v>2196</v>
      </c>
      <c r="N19" s="153">
        <f t="shared" si="0"/>
        <v>479000</v>
      </c>
      <c r="O19" s="124"/>
      <c r="P19" s="130"/>
    </row>
    <row r="20" spans="1:16" ht="30" customHeight="1" x14ac:dyDescent="0.3">
      <c r="A20" s="131" t="s">
        <v>2568</v>
      </c>
      <c r="B20" s="131" t="s">
        <v>2301</v>
      </c>
      <c r="C20" s="132" t="s">
        <v>12</v>
      </c>
      <c r="D20" s="153">
        <v>0</v>
      </c>
      <c r="E20" s="128" t="s">
        <v>5</v>
      </c>
      <c r="F20" s="127">
        <v>822200</v>
      </c>
      <c r="G20" s="128" t="s">
        <v>2162</v>
      </c>
      <c r="H20" s="127">
        <v>1007100</v>
      </c>
      <c r="I20" s="128" t="s">
        <v>894</v>
      </c>
      <c r="J20" s="127">
        <v>841200</v>
      </c>
      <c r="K20" s="128" t="s">
        <v>1597</v>
      </c>
      <c r="L20" s="127">
        <v>841200</v>
      </c>
      <c r="M20" s="128" t="s">
        <v>2196</v>
      </c>
      <c r="N20" s="153">
        <f t="shared" si="0"/>
        <v>822200</v>
      </c>
      <c r="O20" s="124"/>
      <c r="P20" s="130"/>
    </row>
    <row r="21" spans="1:16" ht="30" customHeight="1" x14ac:dyDescent="0.3">
      <c r="A21" s="131" t="s">
        <v>2569</v>
      </c>
      <c r="B21" s="131" t="s">
        <v>2302</v>
      </c>
      <c r="C21" s="132" t="s">
        <v>12</v>
      </c>
      <c r="D21" s="153">
        <v>0</v>
      </c>
      <c r="E21" s="128" t="s">
        <v>5</v>
      </c>
      <c r="F21" s="127">
        <v>33700</v>
      </c>
      <c r="G21" s="128" t="s">
        <v>893</v>
      </c>
      <c r="H21" s="127">
        <v>33700</v>
      </c>
      <c r="I21" s="128" t="s">
        <v>895</v>
      </c>
      <c r="J21" s="127">
        <v>34000</v>
      </c>
      <c r="K21" s="128" t="s">
        <v>2194</v>
      </c>
      <c r="L21" s="127">
        <v>32500</v>
      </c>
      <c r="M21" s="128" t="s">
        <v>2236</v>
      </c>
      <c r="N21" s="153">
        <f t="shared" si="0"/>
        <v>32500</v>
      </c>
      <c r="O21" s="124"/>
      <c r="P21" s="130"/>
    </row>
    <row r="22" spans="1:16" ht="30" customHeight="1" x14ac:dyDescent="0.3">
      <c r="A22" s="131" t="s">
        <v>2569</v>
      </c>
      <c r="B22" s="131" t="s">
        <v>2303</v>
      </c>
      <c r="C22" s="132" t="s">
        <v>12</v>
      </c>
      <c r="D22" s="153">
        <v>0</v>
      </c>
      <c r="E22" s="128" t="s">
        <v>5</v>
      </c>
      <c r="F22" s="127">
        <v>44900</v>
      </c>
      <c r="G22" s="128" t="s">
        <v>893</v>
      </c>
      <c r="H22" s="127">
        <v>44900</v>
      </c>
      <c r="I22" s="128" t="s">
        <v>895</v>
      </c>
      <c r="J22" s="127">
        <v>45000</v>
      </c>
      <c r="K22" s="128" t="s">
        <v>2194</v>
      </c>
      <c r="L22" s="127">
        <v>43300</v>
      </c>
      <c r="M22" s="128" t="s">
        <v>2236</v>
      </c>
      <c r="N22" s="153">
        <f t="shared" si="0"/>
        <v>43300</v>
      </c>
      <c r="O22" s="124"/>
      <c r="P22" s="130"/>
    </row>
    <row r="23" spans="1:16" ht="30" customHeight="1" x14ac:dyDescent="0.3">
      <c r="A23" s="131" t="s">
        <v>2569</v>
      </c>
      <c r="B23" s="131" t="s">
        <v>2304</v>
      </c>
      <c r="C23" s="132" t="s">
        <v>12</v>
      </c>
      <c r="D23" s="153">
        <v>0</v>
      </c>
      <c r="E23" s="128" t="s">
        <v>5</v>
      </c>
      <c r="F23" s="127">
        <v>47700</v>
      </c>
      <c r="G23" s="128" t="s">
        <v>893</v>
      </c>
      <c r="H23" s="127">
        <v>47700</v>
      </c>
      <c r="I23" s="128" t="s">
        <v>895</v>
      </c>
      <c r="J23" s="127">
        <v>48000</v>
      </c>
      <c r="K23" s="128" t="s">
        <v>2194</v>
      </c>
      <c r="L23" s="127">
        <v>46000</v>
      </c>
      <c r="M23" s="128" t="s">
        <v>2236</v>
      </c>
      <c r="N23" s="153">
        <f t="shared" si="0"/>
        <v>46000</v>
      </c>
      <c r="O23" s="124"/>
      <c r="P23" s="130"/>
    </row>
    <row r="24" spans="1:16" ht="30" customHeight="1" x14ac:dyDescent="0.3">
      <c r="A24" s="131" t="s">
        <v>2569</v>
      </c>
      <c r="B24" s="131" t="s">
        <v>2305</v>
      </c>
      <c r="C24" s="132" t="s">
        <v>12</v>
      </c>
      <c r="D24" s="153">
        <v>0</v>
      </c>
      <c r="E24" s="128" t="s">
        <v>5</v>
      </c>
      <c r="F24" s="127">
        <v>91100</v>
      </c>
      <c r="G24" s="128" t="s">
        <v>893</v>
      </c>
      <c r="H24" s="127">
        <v>91100</v>
      </c>
      <c r="I24" s="128" t="s">
        <v>895</v>
      </c>
      <c r="J24" s="127">
        <v>91000</v>
      </c>
      <c r="K24" s="128"/>
      <c r="L24" s="127">
        <v>87800</v>
      </c>
      <c r="M24" s="128" t="s">
        <v>2236</v>
      </c>
      <c r="N24" s="153">
        <f t="shared" si="0"/>
        <v>87800</v>
      </c>
      <c r="O24" s="124"/>
      <c r="P24" s="130"/>
    </row>
    <row r="25" spans="1:16" ht="30" customHeight="1" x14ac:dyDescent="0.3">
      <c r="A25" s="131" t="s">
        <v>2569</v>
      </c>
      <c r="B25" s="131" t="s">
        <v>2290</v>
      </c>
      <c r="C25" s="132" t="s">
        <v>12</v>
      </c>
      <c r="D25" s="153">
        <v>0</v>
      </c>
      <c r="E25" s="128" t="s">
        <v>5</v>
      </c>
      <c r="F25" s="127">
        <v>55200</v>
      </c>
      <c r="G25" s="128" t="s">
        <v>893</v>
      </c>
      <c r="H25" s="127">
        <v>55200</v>
      </c>
      <c r="I25" s="128" t="s">
        <v>895</v>
      </c>
      <c r="J25" s="127">
        <v>55000</v>
      </c>
      <c r="K25" s="128" t="s">
        <v>2194</v>
      </c>
      <c r="L25" s="127">
        <v>53200</v>
      </c>
      <c r="M25" s="128" t="s">
        <v>2236</v>
      </c>
      <c r="N25" s="153">
        <f t="shared" si="0"/>
        <v>53200</v>
      </c>
      <c r="O25" s="124"/>
      <c r="P25" s="130"/>
    </row>
    <row r="26" spans="1:16" ht="30" customHeight="1" x14ac:dyDescent="0.3">
      <c r="A26" s="131" t="s">
        <v>2569</v>
      </c>
      <c r="B26" s="131" t="s">
        <v>2291</v>
      </c>
      <c r="C26" s="132" t="s">
        <v>12</v>
      </c>
      <c r="D26" s="153">
        <v>0</v>
      </c>
      <c r="E26" s="128" t="s">
        <v>5</v>
      </c>
      <c r="F26" s="127">
        <v>60000</v>
      </c>
      <c r="G26" s="128" t="s">
        <v>893</v>
      </c>
      <c r="H26" s="127">
        <v>60000</v>
      </c>
      <c r="I26" s="128" t="s">
        <v>895</v>
      </c>
      <c r="J26" s="127">
        <v>60000</v>
      </c>
      <c r="K26" s="128" t="s">
        <v>2194</v>
      </c>
      <c r="L26" s="127">
        <v>57900</v>
      </c>
      <c r="M26" s="128" t="s">
        <v>2236</v>
      </c>
      <c r="N26" s="153">
        <f t="shared" si="0"/>
        <v>57900</v>
      </c>
      <c r="O26" s="124"/>
      <c r="P26" s="130"/>
    </row>
    <row r="27" spans="1:16" ht="30" customHeight="1" x14ac:dyDescent="0.3">
      <c r="A27" s="131" t="s">
        <v>2569</v>
      </c>
      <c r="B27" s="131" t="s">
        <v>2292</v>
      </c>
      <c r="C27" s="132" t="s">
        <v>12</v>
      </c>
      <c r="D27" s="153">
        <v>0</v>
      </c>
      <c r="E27" s="128" t="s">
        <v>5</v>
      </c>
      <c r="F27" s="127">
        <v>62600</v>
      </c>
      <c r="G27" s="128" t="s">
        <v>893</v>
      </c>
      <c r="H27" s="127">
        <v>62600</v>
      </c>
      <c r="I27" s="128" t="s">
        <v>895</v>
      </c>
      <c r="J27" s="127">
        <v>63000</v>
      </c>
      <c r="K27" s="128" t="s">
        <v>2194</v>
      </c>
      <c r="L27" s="127">
        <v>60400</v>
      </c>
      <c r="M27" s="128" t="s">
        <v>2236</v>
      </c>
      <c r="N27" s="153">
        <f t="shared" si="0"/>
        <v>60400</v>
      </c>
      <c r="O27" s="124"/>
      <c r="P27" s="130"/>
    </row>
    <row r="28" spans="1:16" ht="30" customHeight="1" x14ac:dyDescent="0.3">
      <c r="A28" s="131" t="s">
        <v>2569</v>
      </c>
      <c r="B28" s="131" t="s">
        <v>2306</v>
      </c>
      <c r="C28" s="132" t="s">
        <v>12</v>
      </c>
      <c r="D28" s="153">
        <v>0</v>
      </c>
      <c r="E28" s="128" t="s">
        <v>5</v>
      </c>
      <c r="F28" s="127">
        <v>116900</v>
      </c>
      <c r="G28" s="128" t="s">
        <v>893</v>
      </c>
      <c r="H28" s="127">
        <v>116900</v>
      </c>
      <c r="I28" s="128" t="s">
        <v>895</v>
      </c>
      <c r="J28" s="127">
        <v>117000</v>
      </c>
      <c r="K28" s="128" t="s">
        <v>2194</v>
      </c>
      <c r="L28" s="127">
        <v>112800</v>
      </c>
      <c r="M28" s="128" t="s">
        <v>2236</v>
      </c>
      <c r="N28" s="153">
        <f t="shared" si="0"/>
        <v>112800</v>
      </c>
      <c r="O28" s="124"/>
      <c r="P28" s="130"/>
    </row>
    <row r="29" spans="1:16" ht="30" customHeight="1" x14ac:dyDescent="0.3">
      <c r="A29" s="131" t="s">
        <v>2569</v>
      </c>
      <c r="B29" s="131" t="s">
        <v>2294</v>
      </c>
      <c r="C29" s="132" t="s">
        <v>12</v>
      </c>
      <c r="D29" s="153">
        <v>0</v>
      </c>
      <c r="E29" s="128" t="s">
        <v>5</v>
      </c>
      <c r="F29" s="127">
        <v>281100</v>
      </c>
      <c r="G29" s="128" t="s">
        <v>893</v>
      </c>
      <c r="H29" s="127">
        <v>281100</v>
      </c>
      <c r="I29" s="128" t="s">
        <v>895</v>
      </c>
      <c r="J29" s="127">
        <v>281000</v>
      </c>
      <c r="K29" s="128" t="s">
        <v>2194</v>
      </c>
      <c r="L29" s="127">
        <v>271100</v>
      </c>
      <c r="M29" s="128" t="s">
        <v>2236</v>
      </c>
      <c r="N29" s="153">
        <f t="shared" si="0"/>
        <v>271100</v>
      </c>
      <c r="O29" s="124"/>
      <c r="P29" s="130"/>
    </row>
    <row r="30" spans="1:16" ht="30" customHeight="1" x14ac:dyDescent="0.3">
      <c r="A30" s="131" t="s">
        <v>2569</v>
      </c>
      <c r="B30" s="131" t="s">
        <v>2307</v>
      </c>
      <c r="C30" s="132" t="s">
        <v>12</v>
      </c>
      <c r="D30" s="153">
        <v>0</v>
      </c>
      <c r="E30" s="128" t="s">
        <v>5</v>
      </c>
      <c r="F30" s="127">
        <v>467400</v>
      </c>
      <c r="G30" s="128" t="s">
        <v>893</v>
      </c>
      <c r="H30" s="127">
        <v>467400</v>
      </c>
      <c r="I30" s="128" t="s">
        <v>895</v>
      </c>
      <c r="J30" s="127">
        <v>467000</v>
      </c>
      <c r="K30" s="128" t="s">
        <v>2194</v>
      </c>
      <c r="L30" s="127">
        <v>450700</v>
      </c>
      <c r="M30" s="128" t="s">
        <v>2236</v>
      </c>
      <c r="N30" s="153">
        <f t="shared" si="0"/>
        <v>450700</v>
      </c>
      <c r="O30" s="124"/>
      <c r="P30" s="130"/>
    </row>
    <row r="31" spans="1:16" ht="30" customHeight="1" x14ac:dyDescent="0.3">
      <c r="A31" s="131" t="s">
        <v>2569</v>
      </c>
      <c r="B31" s="131" t="s">
        <v>2308</v>
      </c>
      <c r="C31" s="132" t="s">
        <v>12</v>
      </c>
      <c r="D31" s="153">
        <v>0</v>
      </c>
      <c r="E31" s="128" t="s">
        <v>5</v>
      </c>
      <c r="F31" s="127">
        <v>65600</v>
      </c>
      <c r="G31" s="128" t="s">
        <v>893</v>
      </c>
      <c r="H31" s="127">
        <v>65600</v>
      </c>
      <c r="I31" s="128" t="s">
        <v>895</v>
      </c>
      <c r="J31" s="127">
        <v>66000</v>
      </c>
      <c r="K31" s="128" t="s">
        <v>2194</v>
      </c>
      <c r="L31" s="127">
        <v>63300</v>
      </c>
      <c r="M31" s="128" t="s">
        <v>2236</v>
      </c>
      <c r="N31" s="153">
        <f t="shared" ref="N31" si="2">SMALL(D31:L31,COUNTIF(D31:L31,0)+1)</f>
        <v>63300</v>
      </c>
      <c r="O31" s="124"/>
      <c r="P31" s="130"/>
    </row>
    <row r="32" spans="1:16" ht="30" customHeight="1" x14ac:dyDescent="0.3">
      <c r="A32" s="131" t="s">
        <v>2569</v>
      </c>
      <c r="B32" s="131" t="s">
        <v>2309</v>
      </c>
      <c r="C32" s="132" t="s">
        <v>12</v>
      </c>
      <c r="D32" s="153">
        <v>0</v>
      </c>
      <c r="E32" s="128" t="s">
        <v>5</v>
      </c>
      <c r="F32" s="127">
        <v>74900</v>
      </c>
      <c r="G32" s="128" t="s">
        <v>893</v>
      </c>
      <c r="H32" s="127">
        <v>74900</v>
      </c>
      <c r="I32" s="128" t="s">
        <v>895</v>
      </c>
      <c r="J32" s="127">
        <v>75000</v>
      </c>
      <c r="K32" s="128" t="s">
        <v>2194</v>
      </c>
      <c r="L32" s="127">
        <v>72300</v>
      </c>
      <c r="M32" s="128" t="s">
        <v>2236</v>
      </c>
      <c r="N32" s="153">
        <f t="shared" si="0"/>
        <v>72300</v>
      </c>
      <c r="O32" s="124"/>
      <c r="P32" s="130"/>
    </row>
    <row r="33" spans="1:16" ht="30" customHeight="1" x14ac:dyDescent="0.3">
      <c r="A33" s="131" t="s">
        <v>2569</v>
      </c>
      <c r="B33" s="131" t="s">
        <v>2310</v>
      </c>
      <c r="C33" s="132" t="s">
        <v>12</v>
      </c>
      <c r="D33" s="153">
        <v>0</v>
      </c>
      <c r="E33" s="128" t="s">
        <v>5</v>
      </c>
      <c r="F33" s="127">
        <v>79100</v>
      </c>
      <c r="G33" s="128" t="s">
        <v>893</v>
      </c>
      <c r="H33" s="127">
        <v>79100</v>
      </c>
      <c r="I33" s="128" t="s">
        <v>895</v>
      </c>
      <c r="J33" s="127">
        <v>79000</v>
      </c>
      <c r="K33" s="128" t="s">
        <v>2194</v>
      </c>
      <c r="L33" s="127">
        <v>76200</v>
      </c>
      <c r="M33" s="128" t="s">
        <v>2236</v>
      </c>
      <c r="N33" s="153">
        <f t="shared" ref="N33:N58" si="3">SMALL(D33:L33,COUNTIF(D33:L33,0)+1)</f>
        <v>76200</v>
      </c>
      <c r="O33" s="124"/>
      <c r="P33" s="130"/>
    </row>
    <row r="34" spans="1:16" ht="30" customHeight="1" x14ac:dyDescent="0.3">
      <c r="A34" s="131" t="s">
        <v>2569</v>
      </c>
      <c r="B34" s="131" t="s">
        <v>2299</v>
      </c>
      <c r="C34" s="132" t="s">
        <v>12</v>
      </c>
      <c r="D34" s="153">
        <v>0</v>
      </c>
      <c r="E34" s="128" t="s">
        <v>5</v>
      </c>
      <c r="F34" s="127">
        <v>144800</v>
      </c>
      <c r="G34" s="128" t="s">
        <v>893</v>
      </c>
      <c r="H34" s="127">
        <v>144800</v>
      </c>
      <c r="I34" s="128" t="s">
        <v>895</v>
      </c>
      <c r="J34" s="127">
        <v>145000</v>
      </c>
      <c r="K34" s="128" t="s">
        <v>2194</v>
      </c>
      <c r="L34" s="127">
        <v>139600</v>
      </c>
      <c r="M34" s="128" t="s">
        <v>2236</v>
      </c>
      <c r="N34" s="153">
        <f t="shared" si="3"/>
        <v>139600</v>
      </c>
      <c r="O34" s="124"/>
      <c r="P34" s="130"/>
    </row>
    <row r="35" spans="1:16" ht="30" customHeight="1" x14ac:dyDescent="0.3">
      <c r="A35" s="131" t="s">
        <v>2569</v>
      </c>
      <c r="B35" s="131" t="s">
        <v>2300</v>
      </c>
      <c r="C35" s="132" t="s">
        <v>12</v>
      </c>
      <c r="D35" s="153">
        <v>0</v>
      </c>
      <c r="E35" s="128" t="s">
        <v>5</v>
      </c>
      <c r="F35" s="127">
        <v>322400</v>
      </c>
      <c r="G35" s="128" t="s">
        <v>893</v>
      </c>
      <c r="H35" s="127">
        <v>322400</v>
      </c>
      <c r="I35" s="128" t="s">
        <v>895</v>
      </c>
      <c r="J35" s="133">
        <v>322000</v>
      </c>
      <c r="K35" s="128" t="s">
        <v>2194</v>
      </c>
      <c r="L35" s="127">
        <v>310900</v>
      </c>
      <c r="M35" s="128" t="s">
        <v>2236</v>
      </c>
      <c r="N35" s="153">
        <f t="shared" si="3"/>
        <v>310900</v>
      </c>
      <c r="O35" s="124"/>
      <c r="P35" s="130"/>
    </row>
    <row r="36" spans="1:16" ht="30" customHeight="1" x14ac:dyDescent="0.3">
      <c r="A36" s="131" t="s">
        <v>2569</v>
      </c>
      <c r="B36" s="131" t="s">
        <v>2311</v>
      </c>
      <c r="C36" s="132" t="s">
        <v>12</v>
      </c>
      <c r="D36" s="153">
        <v>0</v>
      </c>
      <c r="E36" s="128" t="s">
        <v>5</v>
      </c>
      <c r="F36" s="127">
        <v>569600</v>
      </c>
      <c r="G36" s="128" t="s">
        <v>893</v>
      </c>
      <c r="H36" s="127">
        <v>569600</v>
      </c>
      <c r="I36" s="128" t="s">
        <v>895</v>
      </c>
      <c r="J36" s="133">
        <v>570000</v>
      </c>
      <c r="K36" s="128" t="s">
        <v>2194</v>
      </c>
      <c r="L36" s="127">
        <v>549300</v>
      </c>
      <c r="M36" s="128" t="s">
        <v>2236</v>
      </c>
      <c r="N36" s="153">
        <f t="shared" si="3"/>
        <v>549300</v>
      </c>
      <c r="O36" s="124"/>
      <c r="P36" s="130"/>
    </row>
    <row r="37" spans="1:16" ht="30" customHeight="1" x14ac:dyDescent="0.3">
      <c r="A37" s="131" t="s">
        <v>2569</v>
      </c>
      <c r="B37" s="131" t="s">
        <v>2312</v>
      </c>
      <c r="C37" s="132" t="s">
        <v>12</v>
      </c>
      <c r="D37" s="153">
        <v>0</v>
      </c>
      <c r="E37" s="128" t="s">
        <v>5</v>
      </c>
      <c r="F37" s="127">
        <v>1241200</v>
      </c>
      <c r="G37" s="128" t="s">
        <v>893</v>
      </c>
      <c r="H37" s="127">
        <v>1241200</v>
      </c>
      <c r="I37" s="128" t="s">
        <v>895</v>
      </c>
      <c r="J37" s="133">
        <v>1241000</v>
      </c>
      <c r="K37" s="128" t="s">
        <v>2194</v>
      </c>
      <c r="L37" s="127">
        <v>1196900</v>
      </c>
      <c r="M37" s="128" t="s">
        <v>2236</v>
      </c>
      <c r="N37" s="153">
        <f t="shared" ref="N37" si="4">SMALL(D37:L37,COUNTIF(D37:L37,0)+1)</f>
        <v>1196900</v>
      </c>
      <c r="O37" s="124"/>
      <c r="P37" s="130"/>
    </row>
    <row r="38" spans="1:16" ht="30" customHeight="1" x14ac:dyDescent="0.3">
      <c r="A38" s="131" t="s">
        <v>2569</v>
      </c>
      <c r="B38" s="131" t="s">
        <v>2313</v>
      </c>
      <c r="C38" s="132" t="s">
        <v>12</v>
      </c>
      <c r="D38" s="153">
        <v>0</v>
      </c>
      <c r="E38" s="128" t="s">
        <v>5</v>
      </c>
      <c r="F38" s="127">
        <v>1543100</v>
      </c>
      <c r="G38" s="128" t="s">
        <v>893</v>
      </c>
      <c r="H38" s="127">
        <v>1543100</v>
      </c>
      <c r="I38" s="128" t="s">
        <v>895</v>
      </c>
      <c r="J38" s="133">
        <v>1543000</v>
      </c>
      <c r="K38" s="128" t="s">
        <v>2194</v>
      </c>
      <c r="L38" s="127">
        <v>1488000</v>
      </c>
      <c r="M38" s="128" t="s">
        <v>2236</v>
      </c>
      <c r="N38" s="153">
        <f t="shared" si="3"/>
        <v>1488000</v>
      </c>
      <c r="O38" s="124"/>
      <c r="P38" s="130"/>
    </row>
    <row r="39" spans="1:16" ht="30" customHeight="1" x14ac:dyDescent="0.3">
      <c r="A39" s="131" t="s">
        <v>2570</v>
      </c>
      <c r="B39" s="131" t="s">
        <v>2571</v>
      </c>
      <c r="C39" s="132" t="s">
        <v>12</v>
      </c>
      <c r="D39" s="153">
        <v>0</v>
      </c>
      <c r="E39" s="128" t="s">
        <v>5</v>
      </c>
      <c r="F39" s="127">
        <v>85100</v>
      </c>
      <c r="G39" s="128" t="s">
        <v>893</v>
      </c>
      <c r="H39" s="127">
        <v>85100</v>
      </c>
      <c r="I39" s="128" t="s">
        <v>895</v>
      </c>
      <c r="J39" s="127">
        <v>85100</v>
      </c>
      <c r="K39" s="128" t="s">
        <v>929</v>
      </c>
      <c r="L39" s="127">
        <v>82100</v>
      </c>
      <c r="M39" s="128" t="s">
        <v>2236</v>
      </c>
      <c r="N39" s="153">
        <f t="shared" si="3"/>
        <v>82100</v>
      </c>
      <c r="O39" s="124"/>
      <c r="P39" s="130"/>
    </row>
    <row r="40" spans="1:16" ht="30" customHeight="1" x14ac:dyDescent="0.3">
      <c r="A40" s="131" t="s">
        <v>2570</v>
      </c>
      <c r="B40" s="131" t="s">
        <v>2572</v>
      </c>
      <c r="C40" s="132" t="s">
        <v>12</v>
      </c>
      <c r="D40" s="153">
        <v>0</v>
      </c>
      <c r="E40" s="128" t="s">
        <v>5</v>
      </c>
      <c r="F40" s="127">
        <v>90600</v>
      </c>
      <c r="G40" s="128" t="s">
        <v>893</v>
      </c>
      <c r="H40" s="127">
        <v>90600</v>
      </c>
      <c r="I40" s="128" t="s">
        <v>895</v>
      </c>
      <c r="J40" s="127">
        <v>90600</v>
      </c>
      <c r="K40" s="128" t="s">
        <v>929</v>
      </c>
      <c r="L40" s="127">
        <v>87400</v>
      </c>
      <c r="M40" s="128" t="s">
        <v>2236</v>
      </c>
      <c r="N40" s="153">
        <f t="shared" si="3"/>
        <v>87400</v>
      </c>
      <c r="O40" s="124"/>
      <c r="P40" s="130"/>
    </row>
    <row r="41" spans="1:16" ht="30" customHeight="1" x14ac:dyDescent="0.3">
      <c r="A41" s="131" t="s">
        <v>2570</v>
      </c>
      <c r="B41" s="131" t="s">
        <v>2573</v>
      </c>
      <c r="C41" s="132" t="s">
        <v>12</v>
      </c>
      <c r="D41" s="153">
        <v>0</v>
      </c>
      <c r="E41" s="128" t="s">
        <v>5</v>
      </c>
      <c r="F41" s="127">
        <v>156700</v>
      </c>
      <c r="G41" s="128" t="s">
        <v>893</v>
      </c>
      <c r="H41" s="127">
        <v>156700</v>
      </c>
      <c r="I41" s="128" t="s">
        <v>895</v>
      </c>
      <c r="J41" s="127">
        <v>156700</v>
      </c>
      <c r="K41" s="128" t="s">
        <v>929</v>
      </c>
      <c r="L41" s="127">
        <v>151100</v>
      </c>
      <c r="M41" s="128" t="s">
        <v>2236</v>
      </c>
      <c r="N41" s="153">
        <f t="shared" si="3"/>
        <v>151100</v>
      </c>
      <c r="O41" s="124"/>
      <c r="P41" s="130"/>
    </row>
    <row r="42" spans="1:16" ht="30" customHeight="1" x14ac:dyDescent="0.3">
      <c r="A42" s="131" t="s">
        <v>2570</v>
      </c>
      <c r="B42" s="131" t="s">
        <v>2574</v>
      </c>
      <c r="C42" s="132" t="s">
        <v>12</v>
      </c>
      <c r="D42" s="153">
        <v>0</v>
      </c>
      <c r="E42" s="128" t="s">
        <v>5</v>
      </c>
      <c r="F42" s="127">
        <v>328400</v>
      </c>
      <c r="G42" s="128" t="s">
        <v>893</v>
      </c>
      <c r="H42" s="127">
        <v>328400</v>
      </c>
      <c r="I42" s="128" t="s">
        <v>895</v>
      </c>
      <c r="J42" s="127">
        <v>328400</v>
      </c>
      <c r="K42" s="128" t="s">
        <v>929</v>
      </c>
      <c r="L42" s="127">
        <v>316700</v>
      </c>
      <c r="M42" s="128" t="s">
        <v>2236</v>
      </c>
      <c r="N42" s="153">
        <f t="shared" si="3"/>
        <v>316700</v>
      </c>
      <c r="O42" s="124"/>
      <c r="P42" s="130"/>
    </row>
    <row r="43" spans="1:16" ht="30" customHeight="1" x14ac:dyDescent="0.3">
      <c r="A43" s="131" t="s">
        <v>2570</v>
      </c>
      <c r="B43" s="131" t="s">
        <v>2575</v>
      </c>
      <c r="C43" s="132" t="s">
        <v>12</v>
      </c>
      <c r="D43" s="153">
        <v>0</v>
      </c>
      <c r="E43" s="128" t="s">
        <v>5</v>
      </c>
      <c r="F43" s="127">
        <v>601700</v>
      </c>
      <c r="G43" s="128" t="s">
        <v>893</v>
      </c>
      <c r="H43" s="127">
        <v>601700</v>
      </c>
      <c r="I43" s="128" t="s">
        <v>895</v>
      </c>
      <c r="J43" s="127">
        <v>601700</v>
      </c>
      <c r="K43" s="128" t="s">
        <v>929</v>
      </c>
      <c r="L43" s="127">
        <v>580200</v>
      </c>
      <c r="M43" s="128" t="s">
        <v>2236</v>
      </c>
      <c r="N43" s="153">
        <f t="shared" si="3"/>
        <v>580200</v>
      </c>
      <c r="O43" s="124"/>
      <c r="P43" s="130"/>
    </row>
    <row r="44" spans="1:16" ht="30" customHeight="1" x14ac:dyDescent="0.3">
      <c r="A44" s="131" t="s">
        <v>461</v>
      </c>
      <c r="B44" s="131" t="s">
        <v>462</v>
      </c>
      <c r="C44" s="132" t="s">
        <v>12</v>
      </c>
      <c r="D44" s="153">
        <v>0</v>
      </c>
      <c r="E44" s="131" t="s">
        <v>5</v>
      </c>
      <c r="F44" s="126">
        <v>6400</v>
      </c>
      <c r="G44" s="124" t="s">
        <v>1593</v>
      </c>
      <c r="H44" s="126">
        <v>7040</v>
      </c>
      <c r="I44" s="124" t="s">
        <v>1594</v>
      </c>
      <c r="J44" s="127">
        <v>4800</v>
      </c>
      <c r="K44" s="128" t="s">
        <v>1595</v>
      </c>
      <c r="L44" s="126">
        <v>7040</v>
      </c>
      <c r="M44" s="128" t="s">
        <v>2197</v>
      </c>
      <c r="N44" s="153">
        <f t="shared" si="3"/>
        <v>4800</v>
      </c>
      <c r="O44" s="124"/>
      <c r="P44" s="130"/>
    </row>
    <row r="45" spans="1:16" ht="30" customHeight="1" x14ac:dyDescent="0.3">
      <c r="A45" s="131" t="s">
        <v>461</v>
      </c>
      <c r="B45" s="131" t="s">
        <v>463</v>
      </c>
      <c r="C45" s="132" t="s">
        <v>12</v>
      </c>
      <c r="D45" s="153">
        <v>0</v>
      </c>
      <c r="E45" s="131" t="s">
        <v>5</v>
      </c>
      <c r="F45" s="126">
        <v>7000</v>
      </c>
      <c r="G45" s="124" t="s">
        <v>1593</v>
      </c>
      <c r="H45" s="126">
        <v>7700</v>
      </c>
      <c r="I45" s="124" t="s">
        <v>1594</v>
      </c>
      <c r="J45" s="127">
        <v>5300</v>
      </c>
      <c r="K45" s="128" t="s">
        <v>1595</v>
      </c>
      <c r="L45" s="126">
        <v>7700</v>
      </c>
      <c r="M45" s="128" t="s">
        <v>2197</v>
      </c>
      <c r="N45" s="153">
        <f t="shared" si="3"/>
        <v>5300</v>
      </c>
      <c r="O45" s="124"/>
      <c r="P45" s="130"/>
    </row>
    <row r="46" spans="1:16" ht="30" customHeight="1" x14ac:dyDescent="0.3">
      <c r="A46" s="131" t="s">
        <v>461</v>
      </c>
      <c r="B46" s="131" t="s">
        <v>464</v>
      </c>
      <c r="C46" s="132" t="s">
        <v>12</v>
      </c>
      <c r="D46" s="153">
        <v>0</v>
      </c>
      <c r="E46" s="131" t="s">
        <v>5</v>
      </c>
      <c r="F46" s="126">
        <v>7800</v>
      </c>
      <c r="G46" s="124" t="s">
        <v>1593</v>
      </c>
      <c r="H46" s="126">
        <v>8580</v>
      </c>
      <c r="I46" s="124" t="s">
        <v>1594</v>
      </c>
      <c r="J46" s="127">
        <v>5800</v>
      </c>
      <c r="K46" s="128" t="s">
        <v>1595</v>
      </c>
      <c r="L46" s="126">
        <v>8580</v>
      </c>
      <c r="M46" s="128" t="s">
        <v>2197</v>
      </c>
      <c r="N46" s="153">
        <f t="shared" si="3"/>
        <v>5800</v>
      </c>
      <c r="O46" s="124"/>
      <c r="P46" s="130"/>
    </row>
    <row r="47" spans="1:16" ht="30" customHeight="1" x14ac:dyDescent="0.3">
      <c r="A47" s="131" t="s">
        <v>461</v>
      </c>
      <c r="B47" s="131" t="s">
        <v>465</v>
      </c>
      <c r="C47" s="132" t="s">
        <v>12</v>
      </c>
      <c r="D47" s="153">
        <v>0</v>
      </c>
      <c r="E47" s="131" t="s">
        <v>5</v>
      </c>
      <c r="F47" s="126">
        <v>9800</v>
      </c>
      <c r="G47" s="124" t="s">
        <v>1593</v>
      </c>
      <c r="H47" s="126">
        <v>10780</v>
      </c>
      <c r="I47" s="124" t="s">
        <v>1594</v>
      </c>
      <c r="J47" s="127">
        <v>7400</v>
      </c>
      <c r="K47" s="128" t="s">
        <v>1595</v>
      </c>
      <c r="L47" s="126">
        <v>10780</v>
      </c>
      <c r="M47" s="128" t="s">
        <v>2197</v>
      </c>
      <c r="N47" s="153">
        <f t="shared" si="3"/>
        <v>7400</v>
      </c>
      <c r="O47" s="124"/>
      <c r="P47" s="130"/>
    </row>
    <row r="48" spans="1:16" ht="30" customHeight="1" x14ac:dyDescent="0.3">
      <c r="A48" s="131" t="s">
        <v>461</v>
      </c>
      <c r="B48" s="131" t="s">
        <v>466</v>
      </c>
      <c r="C48" s="132" t="s">
        <v>12</v>
      </c>
      <c r="D48" s="153">
        <v>0</v>
      </c>
      <c r="E48" s="131" t="s">
        <v>5</v>
      </c>
      <c r="F48" s="126">
        <v>11800</v>
      </c>
      <c r="G48" s="124" t="s">
        <v>1593</v>
      </c>
      <c r="H48" s="126">
        <v>12980</v>
      </c>
      <c r="I48" s="124" t="s">
        <v>1594</v>
      </c>
      <c r="J48" s="127">
        <v>8800</v>
      </c>
      <c r="K48" s="128" t="s">
        <v>1595</v>
      </c>
      <c r="L48" s="126">
        <v>12980</v>
      </c>
      <c r="M48" s="128" t="s">
        <v>2197</v>
      </c>
      <c r="N48" s="153">
        <f t="shared" si="3"/>
        <v>8800</v>
      </c>
      <c r="O48" s="124"/>
      <c r="P48" s="130"/>
    </row>
    <row r="49" spans="1:16" ht="30" customHeight="1" x14ac:dyDescent="0.3">
      <c r="A49" s="131" t="s">
        <v>461</v>
      </c>
      <c r="B49" s="131" t="s">
        <v>467</v>
      </c>
      <c r="C49" s="132" t="s">
        <v>12</v>
      </c>
      <c r="D49" s="153">
        <v>0</v>
      </c>
      <c r="E49" s="131" t="s">
        <v>5</v>
      </c>
      <c r="F49" s="126">
        <v>14200</v>
      </c>
      <c r="G49" s="124" t="s">
        <v>1593</v>
      </c>
      <c r="H49" s="126">
        <v>15620</v>
      </c>
      <c r="I49" s="124" t="s">
        <v>1594</v>
      </c>
      <c r="J49" s="127">
        <v>10600</v>
      </c>
      <c r="K49" s="128" t="s">
        <v>1595</v>
      </c>
      <c r="L49" s="126">
        <v>15620</v>
      </c>
      <c r="M49" s="128" t="s">
        <v>2197</v>
      </c>
      <c r="N49" s="153">
        <f t="shared" si="3"/>
        <v>10600</v>
      </c>
      <c r="O49" s="124"/>
      <c r="P49" s="130"/>
    </row>
    <row r="50" spans="1:16" ht="30" customHeight="1" x14ac:dyDescent="0.3">
      <c r="A50" s="131" t="s">
        <v>461</v>
      </c>
      <c r="B50" s="131" t="s">
        <v>468</v>
      </c>
      <c r="C50" s="132" t="s">
        <v>12</v>
      </c>
      <c r="D50" s="153">
        <v>0</v>
      </c>
      <c r="E50" s="131" t="s">
        <v>5</v>
      </c>
      <c r="F50" s="126">
        <v>20800</v>
      </c>
      <c r="G50" s="124" t="s">
        <v>1593</v>
      </c>
      <c r="H50" s="126">
        <v>22880</v>
      </c>
      <c r="I50" s="124" t="s">
        <v>1594</v>
      </c>
      <c r="J50" s="127">
        <v>15600</v>
      </c>
      <c r="K50" s="128" t="s">
        <v>1595</v>
      </c>
      <c r="L50" s="126">
        <v>22880</v>
      </c>
      <c r="M50" s="128" t="s">
        <v>2197</v>
      </c>
      <c r="N50" s="153">
        <f t="shared" si="3"/>
        <v>15600</v>
      </c>
      <c r="O50" s="124"/>
      <c r="P50" s="130"/>
    </row>
    <row r="51" spans="1:16" ht="30" customHeight="1" x14ac:dyDescent="0.3">
      <c r="A51" s="131" t="s">
        <v>461</v>
      </c>
      <c r="B51" s="131" t="s">
        <v>469</v>
      </c>
      <c r="C51" s="132" t="s">
        <v>12</v>
      </c>
      <c r="D51" s="153">
        <v>0</v>
      </c>
      <c r="E51" s="131" t="s">
        <v>5</v>
      </c>
      <c r="F51" s="126">
        <v>25400</v>
      </c>
      <c r="G51" s="124" t="s">
        <v>1593</v>
      </c>
      <c r="H51" s="126">
        <v>27940</v>
      </c>
      <c r="I51" s="124" t="s">
        <v>1594</v>
      </c>
      <c r="J51" s="127">
        <v>18900</v>
      </c>
      <c r="K51" s="128" t="s">
        <v>1595</v>
      </c>
      <c r="L51" s="126">
        <v>27940</v>
      </c>
      <c r="M51" s="128" t="s">
        <v>2197</v>
      </c>
      <c r="N51" s="153">
        <f t="shared" si="3"/>
        <v>18900</v>
      </c>
      <c r="O51" s="124"/>
      <c r="P51" s="130"/>
    </row>
    <row r="52" spans="1:16" ht="30" customHeight="1" x14ac:dyDescent="0.3">
      <c r="A52" s="131" t="s">
        <v>461</v>
      </c>
      <c r="B52" s="131" t="s">
        <v>470</v>
      </c>
      <c r="C52" s="132" t="s">
        <v>12</v>
      </c>
      <c r="D52" s="153">
        <v>0</v>
      </c>
      <c r="E52" s="131" t="s">
        <v>5</v>
      </c>
      <c r="F52" s="126">
        <v>11400</v>
      </c>
      <c r="G52" s="124" t="s">
        <v>1593</v>
      </c>
      <c r="H52" s="126">
        <v>12540</v>
      </c>
      <c r="I52" s="124" t="s">
        <v>1594</v>
      </c>
      <c r="J52" s="127">
        <v>8600</v>
      </c>
      <c r="K52" s="128" t="s">
        <v>1595</v>
      </c>
      <c r="L52" s="126">
        <v>12540</v>
      </c>
      <c r="M52" s="128" t="s">
        <v>2197</v>
      </c>
      <c r="N52" s="153">
        <f t="shared" si="3"/>
        <v>8600</v>
      </c>
      <c r="O52" s="124"/>
      <c r="P52" s="130"/>
    </row>
    <row r="53" spans="1:16" ht="30" customHeight="1" x14ac:dyDescent="0.3">
      <c r="A53" s="131" t="s">
        <v>461</v>
      </c>
      <c r="B53" s="131" t="s">
        <v>471</v>
      </c>
      <c r="C53" s="132" t="s">
        <v>12</v>
      </c>
      <c r="D53" s="153">
        <v>0</v>
      </c>
      <c r="E53" s="131" t="s">
        <v>5</v>
      </c>
      <c r="F53" s="126">
        <v>16000</v>
      </c>
      <c r="G53" s="124" t="s">
        <v>1593</v>
      </c>
      <c r="H53" s="126">
        <v>17600</v>
      </c>
      <c r="I53" s="124" t="s">
        <v>1594</v>
      </c>
      <c r="J53" s="127">
        <v>12000</v>
      </c>
      <c r="K53" s="128" t="s">
        <v>1595</v>
      </c>
      <c r="L53" s="126">
        <v>17600</v>
      </c>
      <c r="M53" s="128" t="s">
        <v>2197</v>
      </c>
      <c r="N53" s="153">
        <f t="shared" si="3"/>
        <v>12000</v>
      </c>
      <c r="O53" s="124"/>
      <c r="P53" s="130"/>
    </row>
    <row r="54" spans="1:16" ht="30" customHeight="1" x14ac:dyDescent="0.3">
      <c r="A54" s="131" t="s">
        <v>461</v>
      </c>
      <c r="B54" s="131" t="s">
        <v>472</v>
      </c>
      <c r="C54" s="132" t="s">
        <v>12</v>
      </c>
      <c r="D54" s="153">
        <v>0</v>
      </c>
      <c r="E54" s="131" t="s">
        <v>5</v>
      </c>
      <c r="F54" s="126">
        <v>21200</v>
      </c>
      <c r="G54" s="124" t="s">
        <v>1593</v>
      </c>
      <c r="H54" s="126">
        <v>23320</v>
      </c>
      <c r="I54" s="124" t="s">
        <v>1594</v>
      </c>
      <c r="J54" s="127">
        <v>16100</v>
      </c>
      <c r="K54" s="128" t="s">
        <v>1595</v>
      </c>
      <c r="L54" s="126">
        <v>23320</v>
      </c>
      <c r="M54" s="128" t="s">
        <v>2197</v>
      </c>
      <c r="N54" s="153">
        <f t="shared" si="3"/>
        <v>16100</v>
      </c>
      <c r="O54" s="124"/>
      <c r="P54" s="130"/>
    </row>
    <row r="55" spans="1:16" ht="30" customHeight="1" x14ac:dyDescent="0.3">
      <c r="A55" s="131" t="s">
        <v>461</v>
      </c>
      <c r="B55" s="131" t="s">
        <v>897</v>
      </c>
      <c r="C55" s="132" t="s">
        <v>12</v>
      </c>
      <c r="D55" s="153">
        <v>0</v>
      </c>
      <c r="E55" s="131" t="s">
        <v>5</v>
      </c>
      <c r="F55" s="126">
        <v>25000</v>
      </c>
      <c r="G55" s="124" t="s">
        <v>1593</v>
      </c>
      <c r="H55" s="126">
        <v>27500</v>
      </c>
      <c r="I55" s="124" t="s">
        <v>1594</v>
      </c>
      <c r="J55" s="127">
        <v>18900</v>
      </c>
      <c r="K55" s="128" t="s">
        <v>1595</v>
      </c>
      <c r="L55" s="126">
        <v>27500</v>
      </c>
      <c r="M55" s="128" t="s">
        <v>2197</v>
      </c>
      <c r="N55" s="153">
        <f t="shared" si="3"/>
        <v>18900</v>
      </c>
      <c r="O55" s="124"/>
      <c r="P55" s="130"/>
    </row>
    <row r="56" spans="1:16" ht="30" customHeight="1" x14ac:dyDescent="0.3">
      <c r="A56" s="131" t="s">
        <v>461</v>
      </c>
      <c r="B56" s="131" t="s">
        <v>473</v>
      </c>
      <c r="C56" s="132" t="s">
        <v>12</v>
      </c>
      <c r="D56" s="153">
        <v>0</v>
      </c>
      <c r="E56" s="131" t="s">
        <v>5</v>
      </c>
      <c r="F56" s="126">
        <v>30400</v>
      </c>
      <c r="G56" s="124" t="s">
        <v>1593</v>
      </c>
      <c r="H56" s="126">
        <v>33440</v>
      </c>
      <c r="I56" s="124" t="s">
        <v>1594</v>
      </c>
      <c r="J56" s="127">
        <v>23000</v>
      </c>
      <c r="K56" s="128" t="s">
        <v>1595</v>
      </c>
      <c r="L56" s="126">
        <v>33440</v>
      </c>
      <c r="M56" s="128" t="s">
        <v>2197</v>
      </c>
      <c r="N56" s="153">
        <f t="shared" si="3"/>
        <v>23000</v>
      </c>
      <c r="O56" s="124"/>
      <c r="P56" s="130"/>
    </row>
    <row r="57" spans="1:16" ht="30" customHeight="1" x14ac:dyDescent="0.3">
      <c r="A57" s="131" t="s">
        <v>461</v>
      </c>
      <c r="B57" s="131" t="s">
        <v>474</v>
      </c>
      <c r="C57" s="132" t="s">
        <v>12</v>
      </c>
      <c r="D57" s="153">
        <v>0</v>
      </c>
      <c r="E57" s="131" t="s">
        <v>5</v>
      </c>
      <c r="F57" s="126">
        <v>41600</v>
      </c>
      <c r="G57" s="124" t="s">
        <v>1593</v>
      </c>
      <c r="H57" s="126">
        <v>45760</v>
      </c>
      <c r="I57" s="124" t="s">
        <v>1594</v>
      </c>
      <c r="J57" s="127">
        <v>31000</v>
      </c>
      <c r="K57" s="128" t="s">
        <v>1595</v>
      </c>
      <c r="L57" s="126">
        <v>45760</v>
      </c>
      <c r="M57" s="128" t="s">
        <v>2197</v>
      </c>
      <c r="N57" s="153">
        <f t="shared" si="3"/>
        <v>31000</v>
      </c>
      <c r="O57" s="124"/>
      <c r="P57" s="130"/>
    </row>
    <row r="58" spans="1:16" ht="30" customHeight="1" x14ac:dyDescent="0.3">
      <c r="A58" s="131" t="s">
        <v>461</v>
      </c>
      <c r="B58" s="131" t="s">
        <v>475</v>
      </c>
      <c r="C58" s="132" t="s">
        <v>12</v>
      </c>
      <c r="D58" s="153">
        <v>0</v>
      </c>
      <c r="E58" s="131" t="s">
        <v>5</v>
      </c>
      <c r="F58" s="126">
        <v>44400</v>
      </c>
      <c r="G58" s="124" t="s">
        <v>1593</v>
      </c>
      <c r="H58" s="126">
        <v>48840</v>
      </c>
      <c r="I58" s="124" t="s">
        <v>1594</v>
      </c>
      <c r="J58" s="127">
        <v>33300</v>
      </c>
      <c r="K58" s="128" t="s">
        <v>1595</v>
      </c>
      <c r="L58" s="126">
        <v>48840</v>
      </c>
      <c r="M58" s="128" t="s">
        <v>2197</v>
      </c>
      <c r="N58" s="153">
        <f t="shared" si="3"/>
        <v>33300</v>
      </c>
      <c r="O58" s="124"/>
      <c r="P58" s="130"/>
    </row>
    <row r="59" spans="1:16" ht="30" customHeight="1" x14ac:dyDescent="0.3">
      <c r="A59" s="131" t="s">
        <v>461</v>
      </c>
      <c r="B59" s="131" t="s">
        <v>476</v>
      </c>
      <c r="C59" s="132" t="s">
        <v>12</v>
      </c>
      <c r="D59" s="153">
        <v>0</v>
      </c>
      <c r="E59" s="131" t="s">
        <v>5</v>
      </c>
      <c r="F59" s="126">
        <v>60400</v>
      </c>
      <c r="G59" s="124" t="s">
        <v>1593</v>
      </c>
      <c r="H59" s="126">
        <v>66440</v>
      </c>
      <c r="I59" s="124" t="s">
        <v>1594</v>
      </c>
      <c r="J59" s="127">
        <v>45400</v>
      </c>
      <c r="K59" s="128" t="s">
        <v>1595</v>
      </c>
      <c r="L59" s="126">
        <v>66440</v>
      </c>
      <c r="M59" s="128" t="s">
        <v>2197</v>
      </c>
      <c r="N59" s="153">
        <f t="shared" ref="N59:N90" si="5">SMALL(D59:L59,COUNTIF(D59:L59,0)+1)</f>
        <v>45400</v>
      </c>
      <c r="O59" s="124"/>
      <c r="P59" s="130"/>
    </row>
    <row r="60" spans="1:16" ht="30" customHeight="1" x14ac:dyDescent="0.3">
      <c r="A60" s="131" t="s">
        <v>461</v>
      </c>
      <c r="B60" s="131" t="s">
        <v>477</v>
      </c>
      <c r="C60" s="132" t="s">
        <v>12</v>
      </c>
      <c r="D60" s="153">
        <v>0</v>
      </c>
      <c r="E60" s="131" t="s">
        <v>5</v>
      </c>
      <c r="F60" s="126">
        <v>76600</v>
      </c>
      <c r="G60" s="124" t="s">
        <v>1593</v>
      </c>
      <c r="H60" s="126">
        <v>84260</v>
      </c>
      <c r="I60" s="124" t="s">
        <v>1594</v>
      </c>
      <c r="J60" s="127">
        <v>57500</v>
      </c>
      <c r="K60" s="128" t="s">
        <v>1595</v>
      </c>
      <c r="L60" s="126">
        <v>84260</v>
      </c>
      <c r="M60" s="128" t="s">
        <v>2197</v>
      </c>
      <c r="N60" s="153">
        <f t="shared" si="5"/>
        <v>57500</v>
      </c>
      <c r="O60" s="124"/>
      <c r="P60" s="130"/>
    </row>
    <row r="61" spans="1:16" ht="30" customHeight="1" x14ac:dyDescent="0.3">
      <c r="A61" s="131" t="s">
        <v>461</v>
      </c>
      <c r="B61" s="131" t="s">
        <v>478</v>
      </c>
      <c r="C61" s="132" t="s">
        <v>12</v>
      </c>
      <c r="D61" s="153">
        <v>0</v>
      </c>
      <c r="E61" s="131" t="s">
        <v>5</v>
      </c>
      <c r="F61" s="126">
        <v>116600</v>
      </c>
      <c r="G61" s="124" t="s">
        <v>1593</v>
      </c>
      <c r="H61" s="126">
        <v>128260</v>
      </c>
      <c r="I61" s="124" t="s">
        <v>1594</v>
      </c>
      <c r="J61" s="127">
        <v>87400</v>
      </c>
      <c r="K61" s="128" t="s">
        <v>1595</v>
      </c>
      <c r="L61" s="126">
        <v>128260</v>
      </c>
      <c r="M61" s="128" t="s">
        <v>2197</v>
      </c>
      <c r="N61" s="153">
        <f t="shared" si="5"/>
        <v>87400</v>
      </c>
      <c r="O61" s="124"/>
      <c r="P61" s="130"/>
    </row>
    <row r="62" spans="1:16" ht="30" customHeight="1" x14ac:dyDescent="0.3">
      <c r="A62" s="131" t="s">
        <v>461</v>
      </c>
      <c r="B62" s="131" t="s">
        <v>479</v>
      </c>
      <c r="C62" s="132" t="s">
        <v>12</v>
      </c>
      <c r="D62" s="153">
        <v>0</v>
      </c>
      <c r="E62" s="131" t="s">
        <v>5</v>
      </c>
      <c r="F62" s="126">
        <v>123600</v>
      </c>
      <c r="G62" s="124" t="s">
        <v>1593</v>
      </c>
      <c r="H62" s="126">
        <v>135960</v>
      </c>
      <c r="I62" s="124" t="s">
        <v>1594</v>
      </c>
      <c r="J62" s="127">
        <v>0</v>
      </c>
      <c r="K62" s="128"/>
      <c r="L62" s="126">
        <v>135960</v>
      </c>
      <c r="M62" s="128" t="s">
        <v>2197</v>
      </c>
      <c r="N62" s="153">
        <f t="shared" si="5"/>
        <v>123600</v>
      </c>
      <c r="O62" s="124"/>
      <c r="P62" s="130"/>
    </row>
    <row r="63" spans="1:16" ht="30" customHeight="1" x14ac:dyDescent="0.3">
      <c r="A63" s="131" t="s">
        <v>461</v>
      </c>
      <c r="B63" s="131" t="s">
        <v>480</v>
      </c>
      <c r="C63" s="132" t="s">
        <v>12</v>
      </c>
      <c r="D63" s="153">
        <v>0</v>
      </c>
      <c r="E63" s="131" t="s">
        <v>5</v>
      </c>
      <c r="F63" s="126">
        <v>153400</v>
      </c>
      <c r="G63" s="124" t="s">
        <v>1593</v>
      </c>
      <c r="H63" s="126">
        <v>168740</v>
      </c>
      <c r="I63" s="124" t="s">
        <v>1594</v>
      </c>
      <c r="J63" s="127">
        <v>115000</v>
      </c>
      <c r="K63" s="128" t="s">
        <v>1595</v>
      </c>
      <c r="L63" s="126">
        <v>168740</v>
      </c>
      <c r="M63" s="128" t="s">
        <v>2197</v>
      </c>
      <c r="N63" s="153">
        <f t="shared" si="5"/>
        <v>115000</v>
      </c>
      <c r="O63" s="124"/>
      <c r="P63" s="130"/>
    </row>
    <row r="64" spans="1:16" ht="30" customHeight="1" x14ac:dyDescent="0.3">
      <c r="A64" s="131" t="s">
        <v>461</v>
      </c>
      <c r="B64" s="131" t="s">
        <v>481</v>
      </c>
      <c r="C64" s="132" t="s">
        <v>12</v>
      </c>
      <c r="D64" s="153">
        <v>0</v>
      </c>
      <c r="E64" s="131" t="s">
        <v>5</v>
      </c>
      <c r="F64" s="126">
        <v>195400</v>
      </c>
      <c r="G64" s="124" t="s">
        <v>1593</v>
      </c>
      <c r="H64" s="126">
        <v>214940</v>
      </c>
      <c r="I64" s="124" t="s">
        <v>1594</v>
      </c>
      <c r="J64" s="127">
        <v>146000</v>
      </c>
      <c r="K64" s="128" t="s">
        <v>1595</v>
      </c>
      <c r="L64" s="126">
        <v>214940</v>
      </c>
      <c r="M64" s="128" t="s">
        <v>2197</v>
      </c>
      <c r="N64" s="153">
        <f t="shared" si="5"/>
        <v>146000</v>
      </c>
      <c r="O64" s="124"/>
      <c r="P64" s="130"/>
    </row>
    <row r="65" spans="1:16" ht="30" customHeight="1" x14ac:dyDescent="0.3">
      <c r="A65" s="131" t="s">
        <v>461</v>
      </c>
      <c r="B65" s="131" t="s">
        <v>482</v>
      </c>
      <c r="C65" s="132" t="s">
        <v>12</v>
      </c>
      <c r="D65" s="153">
        <v>0</v>
      </c>
      <c r="E65" s="131" t="s">
        <v>5</v>
      </c>
      <c r="F65" s="126">
        <v>224800</v>
      </c>
      <c r="G65" s="124" t="s">
        <v>1593</v>
      </c>
      <c r="H65" s="126">
        <v>247280</v>
      </c>
      <c r="I65" s="124" t="s">
        <v>1594</v>
      </c>
      <c r="J65" s="127">
        <v>167900</v>
      </c>
      <c r="K65" s="128" t="s">
        <v>1595</v>
      </c>
      <c r="L65" s="126">
        <v>247280</v>
      </c>
      <c r="M65" s="128" t="s">
        <v>2197</v>
      </c>
      <c r="N65" s="153">
        <f t="shared" si="5"/>
        <v>167900</v>
      </c>
      <c r="O65" s="124"/>
      <c r="P65" s="130"/>
    </row>
    <row r="66" spans="1:16" ht="30" customHeight="1" x14ac:dyDescent="0.3">
      <c r="A66" s="131" t="s">
        <v>461</v>
      </c>
      <c r="B66" s="131" t="s">
        <v>483</v>
      </c>
      <c r="C66" s="132" t="s">
        <v>12</v>
      </c>
      <c r="D66" s="153">
        <v>0</v>
      </c>
      <c r="E66" s="131" t="s">
        <v>5</v>
      </c>
      <c r="F66" s="126">
        <v>116000</v>
      </c>
      <c r="G66" s="124" t="s">
        <v>1593</v>
      </c>
      <c r="H66" s="126">
        <v>127600</v>
      </c>
      <c r="I66" s="124" t="s">
        <v>1594</v>
      </c>
      <c r="J66" s="127">
        <v>86900</v>
      </c>
      <c r="K66" s="128" t="s">
        <v>1595</v>
      </c>
      <c r="L66" s="126">
        <v>127600</v>
      </c>
      <c r="M66" s="128" t="s">
        <v>2197</v>
      </c>
      <c r="N66" s="153">
        <f t="shared" si="5"/>
        <v>86900</v>
      </c>
      <c r="O66" s="124"/>
      <c r="P66" s="130"/>
    </row>
    <row r="67" spans="1:16" ht="30" customHeight="1" x14ac:dyDescent="0.3">
      <c r="A67" s="131" t="s">
        <v>896</v>
      </c>
      <c r="B67" s="131" t="s">
        <v>484</v>
      </c>
      <c r="C67" s="132" t="s">
        <v>12</v>
      </c>
      <c r="D67" s="153">
        <v>0</v>
      </c>
      <c r="E67" s="131" t="s">
        <v>5</v>
      </c>
      <c r="F67" s="126">
        <v>176000</v>
      </c>
      <c r="G67" s="124" t="s">
        <v>1593</v>
      </c>
      <c r="H67" s="126">
        <v>193600</v>
      </c>
      <c r="I67" s="124" t="s">
        <v>1594</v>
      </c>
      <c r="J67" s="127">
        <v>132200</v>
      </c>
      <c r="K67" s="128" t="s">
        <v>1595</v>
      </c>
      <c r="L67" s="126">
        <v>193600</v>
      </c>
      <c r="M67" s="128" t="s">
        <v>2197</v>
      </c>
      <c r="N67" s="153">
        <f t="shared" si="5"/>
        <v>132200</v>
      </c>
      <c r="O67" s="124"/>
      <c r="P67" s="130"/>
    </row>
    <row r="68" spans="1:16" ht="30" customHeight="1" x14ac:dyDescent="0.3">
      <c r="A68" s="131" t="s">
        <v>461</v>
      </c>
      <c r="B68" s="131" t="s">
        <v>485</v>
      </c>
      <c r="C68" s="132" t="s">
        <v>12</v>
      </c>
      <c r="D68" s="153">
        <v>0</v>
      </c>
      <c r="E68" s="131" t="s">
        <v>5</v>
      </c>
      <c r="F68" s="126">
        <v>236000</v>
      </c>
      <c r="G68" s="124" t="s">
        <v>1593</v>
      </c>
      <c r="H68" s="126">
        <v>259600</v>
      </c>
      <c r="I68" s="124" t="s">
        <v>1594</v>
      </c>
      <c r="J68" s="127">
        <v>177100</v>
      </c>
      <c r="K68" s="128" t="s">
        <v>1595</v>
      </c>
      <c r="L68" s="126">
        <v>259600</v>
      </c>
      <c r="M68" s="128" t="s">
        <v>2197</v>
      </c>
      <c r="N68" s="153">
        <f>SMALL(D68:L68,COUNTIF(D68:L68,0)+1)</f>
        <v>177100</v>
      </c>
      <c r="O68" s="124"/>
      <c r="P68" s="130"/>
    </row>
    <row r="69" spans="1:16" ht="30" customHeight="1" x14ac:dyDescent="0.3">
      <c r="A69" s="131" t="s">
        <v>461</v>
      </c>
      <c r="B69" s="131" t="s">
        <v>486</v>
      </c>
      <c r="C69" s="132" t="s">
        <v>12</v>
      </c>
      <c r="D69" s="153">
        <v>0</v>
      </c>
      <c r="E69" s="131" t="s">
        <v>5</v>
      </c>
      <c r="F69" s="126">
        <v>272000</v>
      </c>
      <c r="G69" s="124" t="s">
        <v>1593</v>
      </c>
      <c r="H69" s="126">
        <v>299200</v>
      </c>
      <c r="I69" s="124" t="s">
        <v>1594</v>
      </c>
      <c r="J69" s="127">
        <v>202400</v>
      </c>
      <c r="K69" s="128" t="s">
        <v>1595</v>
      </c>
      <c r="L69" s="126">
        <v>299200</v>
      </c>
      <c r="M69" s="128" t="s">
        <v>2197</v>
      </c>
      <c r="N69" s="153">
        <f t="shared" si="5"/>
        <v>202400</v>
      </c>
      <c r="O69" s="124"/>
      <c r="P69" s="130"/>
    </row>
    <row r="70" spans="1:16" ht="30" customHeight="1" x14ac:dyDescent="0.3">
      <c r="A70" s="131" t="s">
        <v>461</v>
      </c>
      <c r="B70" s="131" t="s">
        <v>487</v>
      </c>
      <c r="C70" s="132" t="s">
        <v>12</v>
      </c>
      <c r="D70" s="153">
        <v>0</v>
      </c>
      <c r="E70" s="131" t="s">
        <v>5</v>
      </c>
      <c r="F70" s="126">
        <v>330000</v>
      </c>
      <c r="G70" s="124" t="s">
        <v>1593</v>
      </c>
      <c r="H70" s="126">
        <v>363000</v>
      </c>
      <c r="I70" s="124" t="s">
        <v>1594</v>
      </c>
      <c r="J70" s="127">
        <v>246100</v>
      </c>
      <c r="K70" s="128" t="s">
        <v>1595</v>
      </c>
      <c r="L70" s="126">
        <v>363000</v>
      </c>
      <c r="M70" s="128" t="s">
        <v>2197</v>
      </c>
      <c r="N70" s="153">
        <f t="shared" si="5"/>
        <v>246100</v>
      </c>
      <c r="O70" s="124"/>
      <c r="P70" s="130"/>
    </row>
    <row r="71" spans="1:16" ht="30" customHeight="1" x14ac:dyDescent="0.3">
      <c r="A71" s="131" t="s">
        <v>461</v>
      </c>
      <c r="B71" s="131" t="s">
        <v>488</v>
      </c>
      <c r="C71" s="132" t="s">
        <v>12</v>
      </c>
      <c r="D71" s="153">
        <v>0</v>
      </c>
      <c r="E71" s="131" t="s">
        <v>5</v>
      </c>
      <c r="F71" s="126">
        <v>494000</v>
      </c>
      <c r="G71" s="124" t="s">
        <v>1593</v>
      </c>
      <c r="H71" s="126">
        <v>543400</v>
      </c>
      <c r="I71" s="124" t="s">
        <v>1594</v>
      </c>
      <c r="J71" s="127">
        <v>370300</v>
      </c>
      <c r="K71" s="128" t="s">
        <v>1595</v>
      </c>
      <c r="L71" s="126">
        <v>543400</v>
      </c>
      <c r="M71" s="128" t="s">
        <v>2197</v>
      </c>
      <c r="N71" s="153">
        <f t="shared" si="5"/>
        <v>370300</v>
      </c>
      <c r="O71" s="124"/>
      <c r="P71" s="130"/>
    </row>
    <row r="72" spans="1:16" ht="30" customHeight="1" x14ac:dyDescent="0.3">
      <c r="A72" s="131" t="s">
        <v>461</v>
      </c>
      <c r="B72" s="131" t="s">
        <v>489</v>
      </c>
      <c r="C72" s="132" t="s">
        <v>12</v>
      </c>
      <c r="D72" s="153">
        <v>0</v>
      </c>
      <c r="E72" s="131" t="s">
        <v>5</v>
      </c>
      <c r="F72" s="126">
        <v>756000</v>
      </c>
      <c r="G72" s="124" t="s">
        <v>1593</v>
      </c>
      <c r="H72" s="126">
        <v>831600</v>
      </c>
      <c r="I72" s="124" t="s">
        <v>1594</v>
      </c>
      <c r="J72" s="127">
        <v>566900</v>
      </c>
      <c r="K72" s="128" t="s">
        <v>1595</v>
      </c>
      <c r="L72" s="126">
        <v>831600</v>
      </c>
      <c r="M72" s="128" t="s">
        <v>2197</v>
      </c>
      <c r="N72" s="153">
        <f t="shared" si="5"/>
        <v>566900</v>
      </c>
      <c r="O72" s="124"/>
      <c r="P72" s="130"/>
    </row>
    <row r="73" spans="1:16" ht="30" customHeight="1" x14ac:dyDescent="0.3">
      <c r="A73" s="131" t="s">
        <v>461</v>
      </c>
      <c r="B73" s="131" t="s">
        <v>490</v>
      </c>
      <c r="C73" s="132" t="s">
        <v>12</v>
      </c>
      <c r="D73" s="153">
        <v>0</v>
      </c>
      <c r="E73" s="131" t="s">
        <v>5</v>
      </c>
      <c r="F73" s="126">
        <v>950000</v>
      </c>
      <c r="G73" s="124" t="s">
        <v>1593</v>
      </c>
      <c r="H73" s="126">
        <v>1045000</v>
      </c>
      <c r="I73" s="124" t="s">
        <v>1594</v>
      </c>
      <c r="J73" s="127">
        <v>711800</v>
      </c>
      <c r="K73" s="128" t="s">
        <v>1595</v>
      </c>
      <c r="L73" s="126">
        <v>1045000</v>
      </c>
      <c r="M73" s="128" t="s">
        <v>2197</v>
      </c>
      <c r="N73" s="153">
        <f t="shared" si="5"/>
        <v>711800</v>
      </c>
      <c r="O73" s="124"/>
      <c r="P73" s="130"/>
    </row>
    <row r="74" spans="1:16" ht="30" customHeight="1" x14ac:dyDescent="0.3">
      <c r="A74" s="131" t="s">
        <v>898</v>
      </c>
      <c r="B74" s="131" t="s">
        <v>492</v>
      </c>
      <c r="C74" s="132" t="s">
        <v>12</v>
      </c>
      <c r="D74" s="153">
        <v>0</v>
      </c>
      <c r="E74" s="128" t="s">
        <v>5</v>
      </c>
      <c r="F74" s="127">
        <v>0</v>
      </c>
      <c r="G74" s="128" t="s">
        <v>5</v>
      </c>
      <c r="H74" s="127">
        <v>0</v>
      </c>
      <c r="I74" s="128" t="s">
        <v>5</v>
      </c>
      <c r="J74" s="127">
        <v>18640</v>
      </c>
      <c r="K74" s="128" t="s">
        <v>1596</v>
      </c>
      <c r="L74" s="127">
        <v>0</v>
      </c>
      <c r="M74" s="128" t="s">
        <v>5</v>
      </c>
      <c r="N74" s="153">
        <f t="shared" si="5"/>
        <v>18640</v>
      </c>
      <c r="O74" s="124"/>
      <c r="P74" s="130"/>
    </row>
    <row r="75" spans="1:16" ht="30" customHeight="1" x14ac:dyDescent="0.3">
      <c r="A75" s="131" t="s">
        <v>491</v>
      </c>
      <c r="B75" s="131" t="s">
        <v>493</v>
      </c>
      <c r="C75" s="132" t="s">
        <v>12</v>
      </c>
      <c r="D75" s="153">
        <v>0</v>
      </c>
      <c r="E75" s="128" t="s">
        <v>5</v>
      </c>
      <c r="F75" s="127">
        <v>0</v>
      </c>
      <c r="G75" s="128" t="s">
        <v>5</v>
      </c>
      <c r="H75" s="127">
        <v>0</v>
      </c>
      <c r="I75" s="128" t="s">
        <v>5</v>
      </c>
      <c r="J75" s="127">
        <v>33040</v>
      </c>
      <c r="K75" s="128" t="s">
        <v>1596</v>
      </c>
      <c r="L75" s="127">
        <v>0</v>
      </c>
      <c r="M75" s="128" t="s">
        <v>5</v>
      </c>
      <c r="N75" s="153">
        <f t="shared" si="5"/>
        <v>33040</v>
      </c>
      <c r="O75" s="124"/>
      <c r="P75" s="130"/>
    </row>
    <row r="76" spans="1:16" ht="30" customHeight="1" x14ac:dyDescent="0.3">
      <c r="A76" s="131" t="s">
        <v>491</v>
      </c>
      <c r="B76" s="131" t="s">
        <v>494</v>
      </c>
      <c r="C76" s="132" t="s">
        <v>12</v>
      </c>
      <c r="D76" s="153">
        <v>0</v>
      </c>
      <c r="E76" s="128" t="s">
        <v>5</v>
      </c>
      <c r="F76" s="127">
        <v>0</v>
      </c>
      <c r="G76" s="128" t="s">
        <v>5</v>
      </c>
      <c r="H76" s="127">
        <v>0</v>
      </c>
      <c r="I76" s="128" t="s">
        <v>5</v>
      </c>
      <c r="J76" s="127">
        <v>40120</v>
      </c>
      <c r="K76" s="128" t="s">
        <v>1596</v>
      </c>
      <c r="L76" s="127">
        <v>0</v>
      </c>
      <c r="M76" s="128" t="s">
        <v>5</v>
      </c>
      <c r="N76" s="153">
        <f t="shared" si="5"/>
        <v>40120</v>
      </c>
      <c r="O76" s="124"/>
      <c r="P76" s="130"/>
    </row>
    <row r="77" spans="1:16" ht="30" customHeight="1" x14ac:dyDescent="0.3">
      <c r="A77" s="131" t="s">
        <v>491</v>
      </c>
      <c r="B77" s="131" t="s">
        <v>495</v>
      </c>
      <c r="C77" s="132" t="s">
        <v>12</v>
      </c>
      <c r="D77" s="153">
        <v>0</v>
      </c>
      <c r="E77" s="128" t="s">
        <v>5</v>
      </c>
      <c r="F77" s="127">
        <v>0</v>
      </c>
      <c r="G77" s="128" t="s">
        <v>5</v>
      </c>
      <c r="H77" s="127">
        <v>0</v>
      </c>
      <c r="I77" s="128" t="s">
        <v>5</v>
      </c>
      <c r="J77" s="127">
        <v>44840</v>
      </c>
      <c r="K77" s="128" t="s">
        <v>1596</v>
      </c>
      <c r="L77" s="127">
        <v>0</v>
      </c>
      <c r="M77" s="128" t="s">
        <v>5</v>
      </c>
      <c r="N77" s="153">
        <f t="shared" si="5"/>
        <v>44840</v>
      </c>
      <c r="O77" s="124"/>
      <c r="P77" s="130"/>
    </row>
    <row r="78" spans="1:16" ht="30" customHeight="1" x14ac:dyDescent="0.3">
      <c r="A78" s="131" t="s">
        <v>491</v>
      </c>
      <c r="B78" s="131" t="s">
        <v>496</v>
      </c>
      <c r="C78" s="132" t="s">
        <v>12</v>
      </c>
      <c r="D78" s="153">
        <v>0</v>
      </c>
      <c r="E78" s="128" t="s">
        <v>5</v>
      </c>
      <c r="F78" s="127">
        <v>0</v>
      </c>
      <c r="G78" s="128" t="s">
        <v>5</v>
      </c>
      <c r="H78" s="127">
        <v>0</v>
      </c>
      <c r="I78" s="128" t="s">
        <v>5</v>
      </c>
      <c r="J78" s="127">
        <v>49560</v>
      </c>
      <c r="K78" s="128" t="s">
        <v>1596</v>
      </c>
      <c r="L78" s="127">
        <v>0</v>
      </c>
      <c r="M78" s="128" t="s">
        <v>5</v>
      </c>
      <c r="N78" s="153">
        <f t="shared" si="5"/>
        <v>49560</v>
      </c>
      <c r="O78" s="124"/>
      <c r="P78" s="130"/>
    </row>
    <row r="79" spans="1:16" ht="30" customHeight="1" x14ac:dyDescent="0.3">
      <c r="A79" s="131" t="s">
        <v>491</v>
      </c>
      <c r="B79" s="131" t="s">
        <v>497</v>
      </c>
      <c r="C79" s="132" t="s">
        <v>12</v>
      </c>
      <c r="D79" s="153">
        <v>0</v>
      </c>
      <c r="E79" s="128" t="s">
        <v>5</v>
      </c>
      <c r="F79" s="127">
        <v>0</v>
      </c>
      <c r="G79" s="128" t="s">
        <v>5</v>
      </c>
      <c r="H79" s="127">
        <v>0</v>
      </c>
      <c r="I79" s="128" t="s">
        <v>5</v>
      </c>
      <c r="J79" s="127">
        <v>64900</v>
      </c>
      <c r="K79" s="128" t="s">
        <v>1596</v>
      </c>
      <c r="L79" s="127">
        <v>0</v>
      </c>
      <c r="M79" s="128" t="s">
        <v>5</v>
      </c>
      <c r="N79" s="153">
        <f t="shared" si="5"/>
        <v>64900</v>
      </c>
      <c r="O79" s="124"/>
      <c r="P79" s="130"/>
    </row>
    <row r="80" spans="1:16" ht="30" customHeight="1" x14ac:dyDescent="0.3">
      <c r="A80" s="131" t="s">
        <v>491</v>
      </c>
      <c r="B80" s="131" t="s">
        <v>498</v>
      </c>
      <c r="C80" s="132" t="s">
        <v>12</v>
      </c>
      <c r="D80" s="153">
        <v>0</v>
      </c>
      <c r="E80" s="128" t="s">
        <v>5</v>
      </c>
      <c r="F80" s="127">
        <v>0</v>
      </c>
      <c r="G80" s="128" t="s">
        <v>5</v>
      </c>
      <c r="H80" s="127">
        <v>0</v>
      </c>
      <c r="I80" s="128" t="s">
        <v>5</v>
      </c>
      <c r="J80" s="127">
        <v>69620</v>
      </c>
      <c r="K80" s="128" t="s">
        <v>1596</v>
      </c>
      <c r="L80" s="127">
        <v>0</v>
      </c>
      <c r="M80" s="128" t="s">
        <v>5</v>
      </c>
      <c r="N80" s="153">
        <f t="shared" si="5"/>
        <v>69620</v>
      </c>
      <c r="O80" s="124"/>
      <c r="P80" s="130"/>
    </row>
    <row r="81" spans="1:16" ht="30" customHeight="1" x14ac:dyDescent="0.3">
      <c r="A81" s="131" t="s">
        <v>491</v>
      </c>
      <c r="B81" s="131" t="s">
        <v>499</v>
      </c>
      <c r="C81" s="132" t="s">
        <v>12</v>
      </c>
      <c r="D81" s="153">
        <v>0</v>
      </c>
      <c r="E81" s="128" t="s">
        <v>5</v>
      </c>
      <c r="F81" s="127">
        <v>0</v>
      </c>
      <c r="G81" s="128" t="s">
        <v>5</v>
      </c>
      <c r="H81" s="127">
        <v>0</v>
      </c>
      <c r="I81" s="128" t="s">
        <v>5</v>
      </c>
      <c r="J81" s="127">
        <v>75520</v>
      </c>
      <c r="K81" s="128" t="s">
        <v>1596</v>
      </c>
      <c r="L81" s="127">
        <v>0</v>
      </c>
      <c r="M81" s="128" t="s">
        <v>5</v>
      </c>
      <c r="N81" s="153">
        <f t="shared" si="5"/>
        <v>75520</v>
      </c>
      <c r="O81" s="124"/>
      <c r="P81" s="130"/>
    </row>
    <row r="82" spans="1:16" ht="30" customHeight="1" x14ac:dyDescent="0.3">
      <c r="A82" s="131" t="s">
        <v>491</v>
      </c>
      <c r="B82" s="131" t="s">
        <v>500</v>
      </c>
      <c r="C82" s="132" t="s">
        <v>12</v>
      </c>
      <c r="D82" s="153">
        <v>0</v>
      </c>
      <c r="E82" s="128" t="s">
        <v>5</v>
      </c>
      <c r="F82" s="127">
        <v>0</v>
      </c>
      <c r="G82" s="128" t="s">
        <v>5</v>
      </c>
      <c r="H82" s="127">
        <v>0</v>
      </c>
      <c r="I82" s="128" t="s">
        <v>5</v>
      </c>
      <c r="J82" s="127">
        <v>101480</v>
      </c>
      <c r="K82" s="128" t="s">
        <v>1596</v>
      </c>
      <c r="L82" s="127">
        <v>0</v>
      </c>
      <c r="M82" s="128" t="s">
        <v>5</v>
      </c>
      <c r="N82" s="153">
        <f t="shared" si="5"/>
        <v>101480</v>
      </c>
      <c r="O82" s="124"/>
      <c r="P82" s="130"/>
    </row>
    <row r="83" spans="1:16" ht="30" customHeight="1" x14ac:dyDescent="0.3">
      <c r="A83" s="131" t="s">
        <v>491</v>
      </c>
      <c r="B83" s="131" t="s">
        <v>501</v>
      </c>
      <c r="C83" s="132" t="s">
        <v>12</v>
      </c>
      <c r="D83" s="153">
        <v>0</v>
      </c>
      <c r="E83" s="128" t="s">
        <v>5</v>
      </c>
      <c r="F83" s="127">
        <v>0</v>
      </c>
      <c r="G83" s="128" t="s">
        <v>5</v>
      </c>
      <c r="H83" s="127">
        <v>0</v>
      </c>
      <c r="I83" s="128" t="s">
        <v>5</v>
      </c>
      <c r="J83" s="127">
        <v>24780</v>
      </c>
      <c r="K83" s="128" t="s">
        <v>1596</v>
      </c>
      <c r="L83" s="127">
        <v>0</v>
      </c>
      <c r="M83" s="128" t="s">
        <v>5</v>
      </c>
      <c r="N83" s="153">
        <f t="shared" si="5"/>
        <v>24780</v>
      </c>
      <c r="O83" s="124"/>
      <c r="P83" s="130"/>
    </row>
    <row r="84" spans="1:16" ht="30" customHeight="1" x14ac:dyDescent="0.3">
      <c r="A84" s="131" t="s">
        <v>491</v>
      </c>
      <c r="B84" s="131" t="s">
        <v>502</v>
      </c>
      <c r="C84" s="132" t="s">
        <v>12</v>
      </c>
      <c r="D84" s="153">
        <v>0</v>
      </c>
      <c r="E84" s="128" t="s">
        <v>5</v>
      </c>
      <c r="F84" s="127">
        <v>0</v>
      </c>
      <c r="G84" s="128" t="s">
        <v>5</v>
      </c>
      <c r="H84" s="127">
        <v>0</v>
      </c>
      <c r="I84" s="128" t="s">
        <v>5</v>
      </c>
      <c r="J84" s="127">
        <v>33040</v>
      </c>
      <c r="K84" s="128" t="s">
        <v>1596</v>
      </c>
      <c r="L84" s="127">
        <v>0</v>
      </c>
      <c r="M84" s="128" t="s">
        <v>5</v>
      </c>
      <c r="N84" s="153">
        <f t="shared" si="5"/>
        <v>33040</v>
      </c>
      <c r="O84" s="124"/>
      <c r="P84" s="130"/>
    </row>
    <row r="85" spans="1:16" ht="30" customHeight="1" x14ac:dyDescent="0.3">
      <c r="A85" s="131" t="s">
        <v>491</v>
      </c>
      <c r="B85" s="131" t="s">
        <v>503</v>
      </c>
      <c r="C85" s="132" t="s">
        <v>12</v>
      </c>
      <c r="D85" s="153">
        <v>0</v>
      </c>
      <c r="E85" s="128" t="s">
        <v>5</v>
      </c>
      <c r="F85" s="127">
        <v>0</v>
      </c>
      <c r="G85" s="128" t="s">
        <v>5</v>
      </c>
      <c r="H85" s="127">
        <v>0</v>
      </c>
      <c r="I85" s="128" t="s">
        <v>5</v>
      </c>
      <c r="J85" s="127">
        <v>40120</v>
      </c>
      <c r="K85" s="128" t="s">
        <v>1596</v>
      </c>
      <c r="L85" s="127">
        <v>0</v>
      </c>
      <c r="M85" s="128" t="s">
        <v>5</v>
      </c>
      <c r="N85" s="153">
        <f t="shared" si="5"/>
        <v>40120</v>
      </c>
      <c r="O85" s="124"/>
      <c r="P85" s="130"/>
    </row>
    <row r="86" spans="1:16" ht="30" customHeight="1" x14ac:dyDescent="0.3">
      <c r="A86" s="131" t="s">
        <v>491</v>
      </c>
      <c r="B86" s="131" t="s">
        <v>504</v>
      </c>
      <c r="C86" s="132" t="s">
        <v>12</v>
      </c>
      <c r="D86" s="153">
        <v>0</v>
      </c>
      <c r="E86" s="128" t="s">
        <v>5</v>
      </c>
      <c r="F86" s="127">
        <v>0</v>
      </c>
      <c r="G86" s="128" t="s">
        <v>5</v>
      </c>
      <c r="H86" s="127">
        <v>0</v>
      </c>
      <c r="I86" s="128" t="s">
        <v>5</v>
      </c>
      <c r="J86" s="127">
        <v>44840</v>
      </c>
      <c r="K86" s="128" t="s">
        <v>1596</v>
      </c>
      <c r="L86" s="127">
        <v>0</v>
      </c>
      <c r="M86" s="128" t="s">
        <v>5</v>
      </c>
      <c r="N86" s="153">
        <f t="shared" si="5"/>
        <v>44840</v>
      </c>
      <c r="O86" s="124"/>
      <c r="P86" s="130"/>
    </row>
    <row r="87" spans="1:16" ht="30" customHeight="1" x14ac:dyDescent="0.3">
      <c r="A87" s="131" t="s">
        <v>491</v>
      </c>
      <c r="B87" s="131" t="s">
        <v>505</v>
      </c>
      <c r="C87" s="132" t="s">
        <v>12</v>
      </c>
      <c r="D87" s="153">
        <v>0</v>
      </c>
      <c r="E87" s="128" t="s">
        <v>5</v>
      </c>
      <c r="F87" s="127">
        <v>0</v>
      </c>
      <c r="G87" s="128" t="s">
        <v>5</v>
      </c>
      <c r="H87" s="127">
        <v>0</v>
      </c>
      <c r="I87" s="128" t="s">
        <v>5</v>
      </c>
      <c r="J87" s="127">
        <v>49560</v>
      </c>
      <c r="K87" s="128" t="s">
        <v>1596</v>
      </c>
      <c r="L87" s="127">
        <v>0</v>
      </c>
      <c r="M87" s="128" t="s">
        <v>5</v>
      </c>
      <c r="N87" s="153">
        <f t="shared" si="5"/>
        <v>49560</v>
      </c>
      <c r="O87" s="124"/>
      <c r="P87" s="130"/>
    </row>
    <row r="88" spans="1:16" ht="30" customHeight="1" x14ac:dyDescent="0.3">
      <c r="A88" s="131" t="s">
        <v>491</v>
      </c>
      <c r="B88" s="131" t="s">
        <v>506</v>
      </c>
      <c r="C88" s="132" t="s">
        <v>12</v>
      </c>
      <c r="D88" s="153">
        <v>0</v>
      </c>
      <c r="E88" s="128" t="s">
        <v>5</v>
      </c>
      <c r="F88" s="127">
        <v>0</v>
      </c>
      <c r="G88" s="128" t="s">
        <v>5</v>
      </c>
      <c r="H88" s="127">
        <v>0</v>
      </c>
      <c r="I88" s="128" t="s">
        <v>5</v>
      </c>
      <c r="J88" s="127">
        <v>64900</v>
      </c>
      <c r="K88" s="128" t="s">
        <v>1596</v>
      </c>
      <c r="L88" s="127">
        <v>0</v>
      </c>
      <c r="M88" s="128" t="s">
        <v>5</v>
      </c>
      <c r="N88" s="153">
        <f t="shared" si="5"/>
        <v>64900</v>
      </c>
      <c r="O88" s="124"/>
      <c r="P88" s="130"/>
    </row>
    <row r="89" spans="1:16" ht="30" customHeight="1" x14ac:dyDescent="0.3">
      <c r="A89" s="131" t="s">
        <v>491</v>
      </c>
      <c r="B89" s="131" t="s">
        <v>507</v>
      </c>
      <c r="C89" s="132" t="s">
        <v>12</v>
      </c>
      <c r="D89" s="153">
        <v>0</v>
      </c>
      <c r="E89" s="128" t="s">
        <v>5</v>
      </c>
      <c r="F89" s="127">
        <v>0</v>
      </c>
      <c r="G89" s="128" t="s">
        <v>5</v>
      </c>
      <c r="H89" s="127">
        <v>0</v>
      </c>
      <c r="I89" s="128" t="s">
        <v>5</v>
      </c>
      <c r="J89" s="127">
        <v>69620</v>
      </c>
      <c r="K89" s="128" t="s">
        <v>1596</v>
      </c>
      <c r="L89" s="127">
        <v>0</v>
      </c>
      <c r="M89" s="128" t="s">
        <v>5</v>
      </c>
      <c r="N89" s="153">
        <f t="shared" si="5"/>
        <v>69620</v>
      </c>
      <c r="O89" s="124"/>
      <c r="P89" s="130"/>
    </row>
    <row r="90" spans="1:16" ht="30" customHeight="1" x14ac:dyDescent="0.3">
      <c r="A90" s="131" t="s">
        <v>491</v>
      </c>
      <c r="B90" s="131" t="s">
        <v>508</v>
      </c>
      <c r="C90" s="132" t="s">
        <v>12</v>
      </c>
      <c r="D90" s="153">
        <v>0</v>
      </c>
      <c r="E90" s="128" t="s">
        <v>5</v>
      </c>
      <c r="F90" s="127">
        <v>0</v>
      </c>
      <c r="G90" s="128" t="s">
        <v>5</v>
      </c>
      <c r="H90" s="127">
        <v>0</v>
      </c>
      <c r="I90" s="128" t="s">
        <v>5</v>
      </c>
      <c r="J90" s="127">
        <v>75520</v>
      </c>
      <c r="K90" s="128" t="s">
        <v>1596</v>
      </c>
      <c r="L90" s="127">
        <v>0</v>
      </c>
      <c r="M90" s="128" t="s">
        <v>5</v>
      </c>
      <c r="N90" s="153">
        <f t="shared" si="5"/>
        <v>75520</v>
      </c>
      <c r="O90" s="124"/>
      <c r="P90" s="130"/>
    </row>
    <row r="91" spans="1:16" ht="30" customHeight="1" x14ac:dyDescent="0.3">
      <c r="A91" s="131" t="s">
        <v>491</v>
      </c>
      <c r="B91" s="131" t="s">
        <v>509</v>
      </c>
      <c r="C91" s="132" t="s">
        <v>12</v>
      </c>
      <c r="D91" s="153">
        <v>0</v>
      </c>
      <c r="E91" s="128" t="s">
        <v>5</v>
      </c>
      <c r="F91" s="127">
        <v>0</v>
      </c>
      <c r="G91" s="128" t="s">
        <v>5</v>
      </c>
      <c r="H91" s="127">
        <v>0</v>
      </c>
      <c r="I91" s="128" t="s">
        <v>5</v>
      </c>
      <c r="J91" s="127">
        <v>101480</v>
      </c>
      <c r="K91" s="128" t="s">
        <v>1596</v>
      </c>
      <c r="L91" s="127">
        <v>0</v>
      </c>
      <c r="M91" s="128" t="s">
        <v>5</v>
      </c>
      <c r="N91" s="153">
        <f t="shared" ref="N91:N130" si="6">SMALL(D91:L91,COUNTIF(D91:L91,0)+1)</f>
        <v>101480</v>
      </c>
      <c r="O91" s="124"/>
      <c r="P91" s="130"/>
    </row>
    <row r="92" spans="1:16" ht="30" customHeight="1" x14ac:dyDescent="0.3">
      <c r="A92" s="131" t="s">
        <v>491</v>
      </c>
      <c r="B92" s="131" t="s">
        <v>510</v>
      </c>
      <c r="C92" s="132" t="s">
        <v>12</v>
      </c>
      <c r="D92" s="153">
        <v>0</v>
      </c>
      <c r="E92" s="128" t="s">
        <v>5</v>
      </c>
      <c r="F92" s="127">
        <v>0</v>
      </c>
      <c r="G92" s="128" t="s">
        <v>5</v>
      </c>
      <c r="H92" s="127">
        <v>0</v>
      </c>
      <c r="I92" s="128" t="s">
        <v>5</v>
      </c>
      <c r="J92" s="127">
        <v>135700</v>
      </c>
      <c r="K92" s="128" t="s">
        <v>1596</v>
      </c>
      <c r="L92" s="127">
        <v>0</v>
      </c>
      <c r="M92" s="128" t="s">
        <v>5</v>
      </c>
      <c r="N92" s="153">
        <f t="shared" si="6"/>
        <v>135700</v>
      </c>
      <c r="O92" s="124"/>
      <c r="P92" s="130"/>
    </row>
    <row r="93" spans="1:16" ht="30" customHeight="1" x14ac:dyDescent="0.3">
      <c r="A93" s="131" t="s">
        <v>491</v>
      </c>
      <c r="B93" s="131" t="s">
        <v>511</v>
      </c>
      <c r="C93" s="132" t="s">
        <v>12</v>
      </c>
      <c r="D93" s="153">
        <v>0</v>
      </c>
      <c r="E93" s="128" t="s">
        <v>5</v>
      </c>
      <c r="F93" s="127">
        <v>0</v>
      </c>
      <c r="G93" s="128" t="s">
        <v>5</v>
      </c>
      <c r="H93" s="127">
        <v>0</v>
      </c>
      <c r="I93" s="128" t="s">
        <v>5</v>
      </c>
      <c r="J93" s="127">
        <v>159300</v>
      </c>
      <c r="K93" s="128" t="s">
        <v>1596</v>
      </c>
      <c r="L93" s="127">
        <v>0</v>
      </c>
      <c r="M93" s="128" t="s">
        <v>5</v>
      </c>
      <c r="N93" s="153">
        <f t="shared" si="6"/>
        <v>159300</v>
      </c>
      <c r="O93" s="124"/>
      <c r="P93" s="130"/>
    </row>
    <row r="94" spans="1:16" ht="30" customHeight="1" x14ac:dyDescent="0.3">
      <c r="A94" s="131" t="s">
        <v>491</v>
      </c>
      <c r="B94" s="131" t="s">
        <v>512</v>
      </c>
      <c r="C94" s="132" t="s">
        <v>12</v>
      </c>
      <c r="D94" s="153">
        <v>0</v>
      </c>
      <c r="E94" s="128" t="s">
        <v>5</v>
      </c>
      <c r="F94" s="127">
        <v>0</v>
      </c>
      <c r="G94" s="128" t="s">
        <v>5</v>
      </c>
      <c r="H94" s="127">
        <v>0</v>
      </c>
      <c r="I94" s="128" t="s">
        <v>5</v>
      </c>
      <c r="J94" s="127">
        <v>218300</v>
      </c>
      <c r="K94" s="128" t="s">
        <v>1596</v>
      </c>
      <c r="L94" s="127">
        <v>0</v>
      </c>
      <c r="M94" s="128" t="s">
        <v>5</v>
      </c>
      <c r="N94" s="153">
        <f t="shared" si="6"/>
        <v>218300</v>
      </c>
      <c r="O94" s="124"/>
      <c r="P94" s="130"/>
    </row>
    <row r="95" spans="1:16" ht="30" customHeight="1" x14ac:dyDescent="0.3">
      <c r="A95" s="131" t="s">
        <v>491</v>
      </c>
      <c r="B95" s="131" t="s">
        <v>513</v>
      </c>
      <c r="C95" s="132" t="s">
        <v>12</v>
      </c>
      <c r="D95" s="153">
        <v>0</v>
      </c>
      <c r="E95" s="128" t="s">
        <v>5</v>
      </c>
      <c r="F95" s="127">
        <v>0</v>
      </c>
      <c r="G95" s="128" t="s">
        <v>5</v>
      </c>
      <c r="H95" s="127">
        <v>0</v>
      </c>
      <c r="I95" s="128" t="s">
        <v>5</v>
      </c>
      <c r="J95" s="127">
        <v>259600</v>
      </c>
      <c r="K95" s="128" t="s">
        <v>1596</v>
      </c>
      <c r="L95" s="127">
        <v>0</v>
      </c>
      <c r="M95" s="128" t="s">
        <v>5</v>
      </c>
      <c r="N95" s="153">
        <f t="shared" si="6"/>
        <v>259600</v>
      </c>
      <c r="O95" s="124"/>
      <c r="P95" s="130"/>
    </row>
    <row r="96" spans="1:16" ht="30" customHeight="1" x14ac:dyDescent="0.3">
      <c r="A96" s="131" t="s">
        <v>491</v>
      </c>
      <c r="B96" s="131" t="s">
        <v>514</v>
      </c>
      <c r="C96" s="132" t="s">
        <v>12</v>
      </c>
      <c r="D96" s="153">
        <v>0</v>
      </c>
      <c r="E96" s="128" t="s">
        <v>5</v>
      </c>
      <c r="F96" s="127">
        <v>0</v>
      </c>
      <c r="G96" s="128" t="s">
        <v>5</v>
      </c>
      <c r="H96" s="127">
        <v>0</v>
      </c>
      <c r="I96" s="128" t="s">
        <v>5</v>
      </c>
      <c r="J96" s="127">
        <v>710600</v>
      </c>
      <c r="K96" s="128" t="s">
        <v>1596</v>
      </c>
      <c r="L96" s="127">
        <v>0</v>
      </c>
      <c r="M96" s="128" t="s">
        <v>5</v>
      </c>
      <c r="N96" s="153">
        <f t="shared" si="6"/>
        <v>710600</v>
      </c>
      <c r="O96" s="124"/>
      <c r="P96" s="130"/>
    </row>
    <row r="97" spans="1:16" ht="30" customHeight="1" x14ac:dyDescent="0.3">
      <c r="A97" s="131" t="s">
        <v>491</v>
      </c>
      <c r="B97" s="131" t="s">
        <v>515</v>
      </c>
      <c r="C97" s="132" t="s">
        <v>12</v>
      </c>
      <c r="D97" s="153">
        <v>0</v>
      </c>
      <c r="E97" s="128" t="s">
        <v>5</v>
      </c>
      <c r="F97" s="127">
        <v>0</v>
      </c>
      <c r="G97" s="128" t="s">
        <v>5</v>
      </c>
      <c r="H97" s="127">
        <v>0</v>
      </c>
      <c r="I97" s="128" t="s">
        <v>5</v>
      </c>
      <c r="J97" s="127">
        <v>1056000</v>
      </c>
      <c r="K97" s="128" t="s">
        <v>1596</v>
      </c>
      <c r="L97" s="127">
        <v>0</v>
      </c>
      <c r="M97" s="128" t="s">
        <v>5</v>
      </c>
      <c r="N97" s="153">
        <f t="shared" si="6"/>
        <v>1056000</v>
      </c>
      <c r="O97" s="124"/>
      <c r="P97" s="130"/>
    </row>
    <row r="98" spans="1:16" ht="30" customHeight="1" x14ac:dyDescent="0.3">
      <c r="A98" s="131" t="s">
        <v>433</v>
      </c>
      <c r="B98" s="131" t="s">
        <v>434</v>
      </c>
      <c r="C98" s="132" t="s">
        <v>12</v>
      </c>
      <c r="D98" s="153">
        <v>0</v>
      </c>
      <c r="E98" s="128" t="s">
        <v>5</v>
      </c>
      <c r="F98" s="127">
        <v>0</v>
      </c>
      <c r="G98" s="128"/>
      <c r="H98" s="127">
        <v>61000</v>
      </c>
      <c r="I98" s="128" t="s">
        <v>899</v>
      </c>
      <c r="J98" s="127">
        <v>58000</v>
      </c>
      <c r="K98" s="128" t="s">
        <v>1599</v>
      </c>
      <c r="L98" s="127">
        <v>0</v>
      </c>
      <c r="M98" s="128" t="s">
        <v>5</v>
      </c>
      <c r="N98" s="153">
        <f>SMALL(D98:L98,COUNTIF(D98:L98,0)+1)</f>
        <v>58000</v>
      </c>
      <c r="O98" s="124"/>
      <c r="P98" s="124"/>
    </row>
    <row r="99" spans="1:16" ht="30" customHeight="1" x14ac:dyDescent="0.3">
      <c r="A99" s="131" t="s">
        <v>433</v>
      </c>
      <c r="B99" s="131" t="s">
        <v>435</v>
      </c>
      <c r="C99" s="132" t="s">
        <v>12</v>
      </c>
      <c r="D99" s="153">
        <v>0</v>
      </c>
      <c r="E99" s="128" t="s">
        <v>5</v>
      </c>
      <c r="F99" s="127">
        <v>0</v>
      </c>
      <c r="G99" s="128"/>
      <c r="H99" s="127">
        <v>97000</v>
      </c>
      <c r="I99" s="128" t="s">
        <v>899</v>
      </c>
      <c r="J99" s="127">
        <v>92000</v>
      </c>
      <c r="K99" s="128" t="s">
        <v>1599</v>
      </c>
      <c r="L99" s="127">
        <v>0</v>
      </c>
      <c r="M99" s="128" t="s">
        <v>5</v>
      </c>
      <c r="N99" s="153">
        <f t="shared" si="6"/>
        <v>92000</v>
      </c>
      <c r="O99" s="124"/>
      <c r="P99" s="124"/>
    </row>
    <row r="100" spans="1:16" ht="30" customHeight="1" x14ac:dyDescent="0.3">
      <c r="A100" s="131" t="s">
        <v>433</v>
      </c>
      <c r="B100" s="131" t="s">
        <v>436</v>
      </c>
      <c r="C100" s="132" t="s">
        <v>12</v>
      </c>
      <c r="D100" s="153">
        <v>0</v>
      </c>
      <c r="E100" s="128" t="s">
        <v>5</v>
      </c>
      <c r="F100" s="127">
        <v>0</v>
      </c>
      <c r="G100" s="128"/>
      <c r="H100" s="127">
        <v>130000</v>
      </c>
      <c r="I100" s="128" t="s">
        <v>899</v>
      </c>
      <c r="J100" s="127">
        <v>124000</v>
      </c>
      <c r="K100" s="128" t="s">
        <v>1599</v>
      </c>
      <c r="L100" s="127">
        <v>0</v>
      </c>
      <c r="M100" s="128" t="s">
        <v>5</v>
      </c>
      <c r="N100" s="153">
        <f t="shared" si="6"/>
        <v>124000</v>
      </c>
      <c r="O100" s="124"/>
      <c r="P100" s="124"/>
    </row>
    <row r="101" spans="1:16" ht="30" customHeight="1" x14ac:dyDescent="0.3">
      <c r="A101" s="131" t="s">
        <v>433</v>
      </c>
      <c r="B101" s="131" t="s">
        <v>437</v>
      </c>
      <c r="C101" s="132" t="s">
        <v>12</v>
      </c>
      <c r="D101" s="153">
        <v>0</v>
      </c>
      <c r="E101" s="128" t="s">
        <v>5</v>
      </c>
      <c r="F101" s="127">
        <v>0</v>
      </c>
      <c r="G101" s="128"/>
      <c r="H101" s="127">
        <v>189000</v>
      </c>
      <c r="I101" s="128" t="s">
        <v>899</v>
      </c>
      <c r="J101" s="127">
        <v>189000</v>
      </c>
      <c r="K101" s="128" t="s">
        <v>1599</v>
      </c>
      <c r="L101" s="127">
        <v>0</v>
      </c>
      <c r="M101" s="128" t="s">
        <v>5</v>
      </c>
      <c r="N101" s="153">
        <f t="shared" si="6"/>
        <v>189000</v>
      </c>
      <c r="O101" s="124"/>
      <c r="P101" s="124"/>
    </row>
    <row r="102" spans="1:16" ht="30" customHeight="1" x14ac:dyDescent="0.3">
      <c r="A102" s="131" t="s">
        <v>433</v>
      </c>
      <c r="B102" s="131" t="s">
        <v>438</v>
      </c>
      <c r="C102" s="132" t="s">
        <v>12</v>
      </c>
      <c r="D102" s="153">
        <v>0</v>
      </c>
      <c r="E102" s="128" t="s">
        <v>5</v>
      </c>
      <c r="F102" s="127">
        <v>0</v>
      </c>
      <c r="G102" s="128"/>
      <c r="H102" s="127">
        <v>205000</v>
      </c>
      <c r="I102" s="128" t="s">
        <v>899</v>
      </c>
      <c r="J102" s="127">
        <v>195000</v>
      </c>
      <c r="K102" s="128" t="s">
        <v>1599</v>
      </c>
      <c r="L102" s="127">
        <v>0</v>
      </c>
      <c r="M102" s="128" t="s">
        <v>5</v>
      </c>
      <c r="N102" s="153">
        <f t="shared" si="6"/>
        <v>195000</v>
      </c>
      <c r="O102" s="124"/>
      <c r="P102" s="124"/>
    </row>
    <row r="103" spans="1:16" ht="30" customHeight="1" x14ac:dyDescent="0.3">
      <c r="A103" s="131" t="s">
        <v>433</v>
      </c>
      <c r="B103" s="131" t="s">
        <v>439</v>
      </c>
      <c r="C103" s="132" t="s">
        <v>12</v>
      </c>
      <c r="D103" s="153">
        <v>0</v>
      </c>
      <c r="E103" s="128" t="s">
        <v>5</v>
      </c>
      <c r="F103" s="127">
        <v>0</v>
      </c>
      <c r="G103" s="128"/>
      <c r="H103" s="127">
        <v>223000</v>
      </c>
      <c r="I103" s="128" t="s">
        <v>899</v>
      </c>
      <c r="J103" s="127">
        <v>212000</v>
      </c>
      <c r="K103" s="128" t="s">
        <v>1599</v>
      </c>
      <c r="L103" s="127">
        <v>0</v>
      </c>
      <c r="M103" s="128" t="s">
        <v>5</v>
      </c>
      <c r="N103" s="153">
        <f t="shared" si="6"/>
        <v>212000</v>
      </c>
      <c r="O103" s="124"/>
      <c r="P103" s="124"/>
    </row>
    <row r="104" spans="1:16" ht="30" customHeight="1" x14ac:dyDescent="0.3">
      <c r="A104" s="131" t="s">
        <v>460</v>
      </c>
      <c r="B104" s="131" t="s">
        <v>2217</v>
      </c>
      <c r="C104" s="132" t="s">
        <v>12</v>
      </c>
      <c r="D104" s="153">
        <v>0</v>
      </c>
      <c r="E104" s="128" t="s">
        <v>5</v>
      </c>
      <c r="F104" s="127">
        <v>0</v>
      </c>
      <c r="G104" s="128" t="s">
        <v>5</v>
      </c>
      <c r="H104" s="127">
        <v>194400</v>
      </c>
      <c r="I104" s="128" t="s">
        <v>900</v>
      </c>
      <c r="J104" s="127">
        <v>180000</v>
      </c>
      <c r="K104" s="128" t="s">
        <v>1601</v>
      </c>
      <c r="L104" s="127">
        <v>150000</v>
      </c>
      <c r="M104" s="128" t="s">
        <v>1972</v>
      </c>
      <c r="N104" s="153">
        <f t="shared" si="6"/>
        <v>150000</v>
      </c>
      <c r="O104" s="124"/>
      <c r="P104" s="124"/>
    </row>
    <row r="105" spans="1:16" ht="30" customHeight="1" x14ac:dyDescent="0.3">
      <c r="A105" s="131" t="s">
        <v>460</v>
      </c>
      <c r="B105" s="131" t="s">
        <v>2218</v>
      </c>
      <c r="C105" s="132" t="s">
        <v>12</v>
      </c>
      <c r="D105" s="153">
        <v>0</v>
      </c>
      <c r="E105" s="128" t="s">
        <v>5</v>
      </c>
      <c r="F105" s="127">
        <v>0</v>
      </c>
      <c r="G105" s="128" t="s">
        <v>5</v>
      </c>
      <c r="H105" s="127">
        <v>281900</v>
      </c>
      <c r="I105" s="128" t="s">
        <v>900</v>
      </c>
      <c r="J105" s="127">
        <v>261000</v>
      </c>
      <c r="K105" s="128" t="s">
        <v>1601</v>
      </c>
      <c r="L105" s="127">
        <v>300000</v>
      </c>
      <c r="M105" s="128" t="s">
        <v>1972</v>
      </c>
      <c r="N105" s="153">
        <f t="shared" si="6"/>
        <v>261000</v>
      </c>
      <c r="O105" s="124"/>
      <c r="P105" s="124"/>
    </row>
    <row r="106" spans="1:16" ht="30" customHeight="1" x14ac:dyDescent="0.3">
      <c r="A106" s="131" t="s">
        <v>460</v>
      </c>
      <c r="B106" s="131" t="s">
        <v>2219</v>
      </c>
      <c r="C106" s="132" t="s">
        <v>12</v>
      </c>
      <c r="D106" s="153">
        <v>0</v>
      </c>
      <c r="E106" s="128" t="s">
        <v>5</v>
      </c>
      <c r="F106" s="127">
        <v>0</v>
      </c>
      <c r="G106" s="128" t="s">
        <v>5</v>
      </c>
      <c r="H106" s="127">
        <v>259200</v>
      </c>
      <c r="I106" s="128" t="s">
        <v>900</v>
      </c>
      <c r="J106" s="127">
        <v>240000</v>
      </c>
      <c r="K106" s="128" t="s">
        <v>1601</v>
      </c>
      <c r="L106" s="127">
        <v>300000</v>
      </c>
      <c r="M106" s="128" t="s">
        <v>1972</v>
      </c>
      <c r="N106" s="153">
        <f t="shared" si="6"/>
        <v>240000</v>
      </c>
      <c r="O106" s="124"/>
      <c r="P106" s="124"/>
    </row>
    <row r="107" spans="1:16" ht="30" customHeight="1" x14ac:dyDescent="0.3">
      <c r="A107" s="131" t="s">
        <v>460</v>
      </c>
      <c r="B107" s="131" t="s">
        <v>2220</v>
      </c>
      <c r="C107" s="132" t="s">
        <v>12</v>
      </c>
      <c r="D107" s="153">
        <v>0</v>
      </c>
      <c r="E107" s="128" t="s">
        <v>5</v>
      </c>
      <c r="F107" s="127">
        <v>0</v>
      </c>
      <c r="G107" s="128" t="s">
        <v>5</v>
      </c>
      <c r="H107" s="127">
        <v>403400</v>
      </c>
      <c r="I107" s="128" t="s">
        <v>900</v>
      </c>
      <c r="J107" s="127">
        <v>373500</v>
      </c>
      <c r="K107" s="128" t="s">
        <v>1601</v>
      </c>
      <c r="L107" s="127">
        <v>400000</v>
      </c>
      <c r="M107" s="128" t="s">
        <v>1972</v>
      </c>
      <c r="N107" s="153">
        <f t="shared" si="6"/>
        <v>373500</v>
      </c>
      <c r="O107" s="124"/>
      <c r="P107" s="124"/>
    </row>
    <row r="108" spans="1:16" ht="30" customHeight="1" x14ac:dyDescent="0.3">
      <c r="A108" s="131" t="s">
        <v>440</v>
      </c>
      <c r="B108" s="131" t="s">
        <v>441</v>
      </c>
      <c r="C108" s="132" t="s">
        <v>12</v>
      </c>
      <c r="D108" s="153">
        <v>0</v>
      </c>
      <c r="E108" s="128" t="s">
        <v>5</v>
      </c>
      <c r="F108" s="127">
        <v>0</v>
      </c>
      <c r="G108" s="128" t="s">
        <v>5</v>
      </c>
      <c r="H108" s="127">
        <v>0</v>
      </c>
      <c r="I108" s="128" t="s">
        <v>5</v>
      </c>
      <c r="J108" s="127">
        <v>140000</v>
      </c>
      <c r="K108" s="128" t="s">
        <v>2195</v>
      </c>
      <c r="L108" s="127">
        <v>0</v>
      </c>
      <c r="M108" s="128"/>
      <c r="N108" s="153">
        <f t="shared" si="6"/>
        <v>140000</v>
      </c>
      <c r="O108" s="124"/>
      <c r="P108" s="130"/>
    </row>
    <row r="109" spans="1:16" ht="30" customHeight="1" x14ac:dyDescent="0.3">
      <c r="A109" s="131" t="s">
        <v>440</v>
      </c>
      <c r="B109" s="131" t="s">
        <v>442</v>
      </c>
      <c r="C109" s="132" t="s">
        <v>12</v>
      </c>
      <c r="D109" s="153">
        <v>0</v>
      </c>
      <c r="E109" s="128" t="s">
        <v>5</v>
      </c>
      <c r="F109" s="127">
        <v>0</v>
      </c>
      <c r="G109" s="128" t="s">
        <v>5</v>
      </c>
      <c r="H109" s="127">
        <v>0</v>
      </c>
      <c r="I109" s="128" t="s">
        <v>5</v>
      </c>
      <c r="J109" s="127">
        <v>150000</v>
      </c>
      <c r="K109" s="128" t="s">
        <v>2195</v>
      </c>
      <c r="L109" s="127">
        <v>0</v>
      </c>
      <c r="M109" s="128"/>
      <c r="N109" s="153">
        <f t="shared" si="6"/>
        <v>150000</v>
      </c>
      <c r="O109" s="124"/>
      <c r="P109" s="130"/>
    </row>
    <row r="110" spans="1:16" ht="30" customHeight="1" x14ac:dyDescent="0.3">
      <c r="A110" s="131" t="s">
        <v>443</v>
      </c>
      <c r="B110" s="131" t="s">
        <v>444</v>
      </c>
      <c r="C110" s="132" t="s">
        <v>12</v>
      </c>
      <c r="D110" s="153">
        <v>0</v>
      </c>
      <c r="E110" s="128" t="s">
        <v>5</v>
      </c>
      <c r="F110" s="127">
        <v>0</v>
      </c>
      <c r="G110" s="128" t="s">
        <v>5</v>
      </c>
      <c r="H110" s="127">
        <v>0</v>
      </c>
      <c r="I110" s="128" t="s">
        <v>5</v>
      </c>
      <c r="J110" s="127">
        <v>24000</v>
      </c>
      <c r="K110" s="128" t="s">
        <v>2195</v>
      </c>
      <c r="L110" s="127">
        <v>0</v>
      </c>
      <c r="M110" s="128"/>
      <c r="N110" s="153">
        <f t="shared" si="6"/>
        <v>24000</v>
      </c>
      <c r="O110" s="124"/>
      <c r="P110" s="130"/>
    </row>
    <row r="111" spans="1:16" ht="30" customHeight="1" x14ac:dyDescent="0.3">
      <c r="A111" s="131" t="s">
        <v>443</v>
      </c>
      <c r="B111" s="131" t="s">
        <v>901</v>
      </c>
      <c r="C111" s="132" t="s">
        <v>12</v>
      </c>
      <c r="D111" s="153">
        <v>0</v>
      </c>
      <c r="E111" s="128" t="s">
        <v>5</v>
      </c>
      <c r="F111" s="127">
        <v>0</v>
      </c>
      <c r="G111" s="128" t="s">
        <v>5</v>
      </c>
      <c r="H111" s="127">
        <v>0</v>
      </c>
      <c r="I111" s="128" t="s">
        <v>5</v>
      </c>
      <c r="J111" s="127">
        <v>24750</v>
      </c>
      <c r="K111" s="128" t="s">
        <v>2195</v>
      </c>
      <c r="L111" s="127">
        <v>0</v>
      </c>
      <c r="M111" s="128"/>
      <c r="N111" s="153">
        <f t="shared" si="6"/>
        <v>24750</v>
      </c>
      <c r="O111" s="124"/>
      <c r="P111" s="130"/>
    </row>
    <row r="112" spans="1:16" ht="30" customHeight="1" x14ac:dyDescent="0.3">
      <c r="A112" s="131" t="s">
        <v>445</v>
      </c>
      <c r="B112" s="131" t="s">
        <v>446</v>
      </c>
      <c r="C112" s="132" t="s">
        <v>12</v>
      </c>
      <c r="D112" s="153">
        <v>0</v>
      </c>
      <c r="E112" s="128" t="s">
        <v>5</v>
      </c>
      <c r="F112" s="127">
        <v>0</v>
      </c>
      <c r="G112" s="128" t="s">
        <v>5</v>
      </c>
      <c r="H112" s="127">
        <v>0</v>
      </c>
      <c r="I112" s="128" t="s">
        <v>5</v>
      </c>
      <c r="J112" s="127">
        <v>90000</v>
      </c>
      <c r="K112" s="128" t="s">
        <v>2195</v>
      </c>
      <c r="L112" s="127">
        <v>0</v>
      </c>
      <c r="M112" s="128"/>
      <c r="N112" s="153">
        <f t="shared" si="6"/>
        <v>90000</v>
      </c>
      <c r="O112" s="124"/>
      <c r="P112" s="130"/>
    </row>
    <row r="113" spans="1:16" ht="30" customHeight="1" x14ac:dyDescent="0.3">
      <c r="A113" s="131" t="s">
        <v>447</v>
      </c>
      <c r="B113" s="131" t="s">
        <v>448</v>
      </c>
      <c r="C113" s="132" t="s">
        <v>12</v>
      </c>
      <c r="D113" s="153">
        <v>0</v>
      </c>
      <c r="E113" s="128" t="s">
        <v>5</v>
      </c>
      <c r="F113" s="127">
        <v>0</v>
      </c>
      <c r="G113" s="128" t="s">
        <v>5</v>
      </c>
      <c r="H113" s="127">
        <v>0</v>
      </c>
      <c r="I113" s="128" t="s">
        <v>5</v>
      </c>
      <c r="J113" s="127">
        <v>105000</v>
      </c>
      <c r="K113" s="128" t="s">
        <v>2195</v>
      </c>
      <c r="L113" s="127">
        <v>0</v>
      </c>
      <c r="M113" s="128"/>
      <c r="N113" s="153">
        <f t="shared" si="6"/>
        <v>105000</v>
      </c>
      <c r="O113" s="124"/>
      <c r="P113" s="130"/>
    </row>
    <row r="114" spans="1:16" ht="30" customHeight="1" x14ac:dyDescent="0.3">
      <c r="A114" s="131" t="s">
        <v>1636</v>
      </c>
      <c r="B114" s="131" t="s">
        <v>1631</v>
      </c>
      <c r="C114" s="132" t="s">
        <v>12</v>
      </c>
      <c r="D114" s="153">
        <v>0</v>
      </c>
      <c r="E114" s="128" t="s">
        <v>5</v>
      </c>
      <c r="F114" s="127">
        <v>0</v>
      </c>
      <c r="G114" s="128" t="s">
        <v>5</v>
      </c>
      <c r="H114" s="127">
        <v>0</v>
      </c>
      <c r="I114" s="128" t="s">
        <v>5</v>
      </c>
      <c r="J114" s="127">
        <v>126000</v>
      </c>
      <c r="K114" s="128" t="s">
        <v>2179</v>
      </c>
      <c r="L114" s="127">
        <v>0</v>
      </c>
      <c r="M114" s="128"/>
      <c r="N114" s="153">
        <f t="shared" ref="N114:N116" si="7">SMALL(D114:L114,COUNTIF(D114:L114,0)+1)</f>
        <v>126000</v>
      </c>
      <c r="O114" s="124"/>
      <c r="P114" s="130"/>
    </row>
    <row r="115" spans="1:16" ht="30" customHeight="1" x14ac:dyDescent="0.3">
      <c r="A115" s="131" t="s">
        <v>1637</v>
      </c>
      <c r="B115" s="131" t="s">
        <v>1631</v>
      </c>
      <c r="C115" s="132" t="s">
        <v>12</v>
      </c>
      <c r="D115" s="153">
        <v>0</v>
      </c>
      <c r="E115" s="128" t="s">
        <v>5</v>
      </c>
      <c r="F115" s="127">
        <v>0</v>
      </c>
      <c r="G115" s="128" t="s">
        <v>5</v>
      </c>
      <c r="H115" s="127">
        <v>0</v>
      </c>
      <c r="I115" s="128" t="s">
        <v>5</v>
      </c>
      <c r="J115" s="127">
        <v>126000</v>
      </c>
      <c r="K115" s="128" t="s">
        <v>2179</v>
      </c>
      <c r="L115" s="127">
        <v>0</v>
      </c>
      <c r="M115" s="128"/>
      <c r="N115" s="153">
        <f t="shared" si="7"/>
        <v>126000</v>
      </c>
      <c r="O115" s="124"/>
      <c r="P115" s="130"/>
    </row>
    <row r="116" spans="1:16" ht="30" customHeight="1" x14ac:dyDescent="0.3">
      <c r="A116" s="131" t="s">
        <v>1995</v>
      </c>
      <c r="B116" s="131" t="s">
        <v>1631</v>
      </c>
      <c r="C116" s="132" t="s">
        <v>12</v>
      </c>
      <c r="D116" s="153">
        <v>0</v>
      </c>
      <c r="E116" s="128" t="s">
        <v>5</v>
      </c>
      <c r="F116" s="127">
        <v>0</v>
      </c>
      <c r="G116" s="128" t="s">
        <v>5</v>
      </c>
      <c r="H116" s="127">
        <v>0</v>
      </c>
      <c r="I116" s="128" t="s">
        <v>5</v>
      </c>
      <c r="J116" s="127">
        <v>90000</v>
      </c>
      <c r="K116" s="128" t="s">
        <v>2179</v>
      </c>
      <c r="L116" s="127">
        <v>0</v>
      </c>
      <c r="M116" s="128"/>
      <c r="N116" s="153">
        <f t="shared" si="7"/>
        <v>90000</v>
      </c>
      <c r="O116" s="124"/>
      <c r="P116" s="130"/>
    </row>
    <row r="117" spans="1:16" ht="30" customHeight="1" x14ac:dyDescent="0.3">
      <c r="A117" s="131" t="s">
        <v>1633</v>
      </c>
      <c r="B117" s="131" t="s">
        <v>1631</v>
      </c>
      <c r="C117" s="132" t="s">
        <v>12</v>
      </c>
      <c r="D117" s="153">
        <v>0</v>
      </c>
      <c r="E117" s="128" t="s">
        <v>5</v>
      </c>
      <c r="F117" s="127">
        <v>0</v>
      </c>
      <c r="G117" s="128" t="s">
        <v>5</v>
      </c>
      <c r="H117" s="127">
        <v>0</v>
      </c>
      <c r="I117" s="128" t="s">
        <v>5</v>
      </c>
      <c r="J117" s="127">
        <v>90000</v>
      </c>
      <c r="K117" s="128" t="s">
        <v>2179</v>
      </c>
      <c r="L117" s="127">
        <v>0</v>
      </c>
      <c r="M117" s="128"/>
      <c r="N117" s="153">
        <f t="shared" ref="N117" si="8">SMALL(D117:L117,COUNTIF(D117:L117,0)+1)</f>
        <v>90000</v>
      </c>
      <c r="O117" s="124"/>
      <c r="P117" s="130"/>
    </row>
    <row r="118" spans="1:16" ht="30" customHeight="1" x14ac:dyDescent="0.3">
      <c r="A118" s="131" t="s">
        <v>1635</v>
      </c>
      <c r="B118" s="131" t="s">
        <v>1631</v>
      </c>
      <c r="C118" s="132" t="s">
        <v>12</v>
      </c>
      <c r="D118" s="153">
        <v>0</v>
      </c>
      <c r="E118" s="128" t="s">
        <v>5</v>
      </c>
      <c r="F118" s="127">
        <v>0</v>
      </c>
      <c r="G118" s="128" t="s">
        <v>5</v>
      </c>
      <c r="H118" s="127">
        <v>0</v>
      </c>
      <c r="I118" s="128" t="s">
        <v>5</v>
      </c>
      <c r="J118" s="127">
        <v>90000</v>
      </c>
      <c r="K118" s="128" t="s">
        <v>2179</v>
      </c>
      <c r="L118" s="127">
        <v>0</v>
      </c>
      <c r="M118" s="128"/>
      <c r="N118" s="153">
        <f t="shared" ref="N118" si="9">SMALL(D118:L118,COUNTIF(D118:L118,0)+1)</f>
        <v>90000</v>
      </c>
      <c r="O118" s="124"/>
      <c r="P118" s="130"/>
    </row>
    <row r="119" spans="1:16" ht="30" customHeight="1" x14ac:dyDescent="0.3">
      <c r="A119" s="131" t="s">
        <v>1634</v>
      </c>
      <c r="B119" s="131" t="s">
        <v>1631</v>
      </c>
      <c r="C119" s="132" t="s">
        <v>12</v>
      </c>
      <c r="D119" s="153">
        <v>0</v>
      </c>
      <c r="E119" s="128" t="s">
        <v>5</v>
      </c>
      <c r="F119" s="127">
        <v>0</v>
      </c>
      <c r="G119" s="128" t="s">
        <v>5</v>
      </c>
      <c r="H119" s="127">
        <v>0</v>
      </c>
      <c r="I119" s="128" t="s">
        <v>5</v>
      </c>
      <c r="J119" s="127">
        <v>90000</v>
      </c>
      <c r="K119" s="128" t="s">
        <v>2179</v>
      </c>
      <c r="L119" s="127">
        <v>0</v>
      </c>
      <c r="M119" s="128"/>
      <c r="N119" s="153">
        <f t="shared" ref="N119" si="10">SMALL(D119:L119,COUNTIF(D119:L119,0)+1)</f>
        <v>90000</v>
      </c>
      <c r="O119" s="124"/>
      <c r="P119" s="130"/>
    </row>
    <row r="120" spans="1:16" ht="30" customHeight="1" x14ac:dyDescent="0.3">
      <c r="A120" s="131" t="s">
        <v>1632</v>
      </c>
      <c r="B120" s="131" t="s">
        <v>1631</v>
      </c>
      <c r="C120" s="132" t="s">
        <v>12</v>
      </c>
      <c r="D120" s="153">
        <v>0</v>
      </c>
      <c r="E120" s="128" t="s">
        <v>5</v>
      </c>
      <c r="F120" s="127">
        <v>0</v>
      </c>
      <c r="G120" s="128" t="s">
        <v>5</v>
      </c>
      <c r="H120" s="127">
        <v>0</v>
      </c>
      <c r="I120" s="128" t="s">
        <v>5</v>
      </c>
      <c r="J120" s="127">
        <v>495000</v>
      </c>
      <c r="K120" s="128" t="s">
        <v>2179</v>
      </c>
      <c r="L120" s="127">
        <v>0</v>
      </c>
      <c r="M120" s="128"/>
      <c r="N120" s="153">
        <f t="shared" ref="N120" si="11">SMALL(D120:L120,COUNTIF(D120:L120,0)+1)</f>
        <v>495000</v>
      </c>
      <c r="O120" s="124"/>
      <c r="P120" s="130"/>
    </row>
    <row r="121" spans="1:16" ht="30" customHeight="1" x14ac:dyDescent="0.3">
      <c r="A121" s="131" t="s">
        <v>449</v>
      </c>
      <c r="B121" s="131" t="s">
        <v>450</v>
      </c>
      <c r="C121" s="132" t="s">
        <v>12</v>
      </c>
      <c r="D121" s="153">
        <v>0</v>
      </c>
      <c r="E121" s="128" t="s">
        <v>5</v>
      </c>
      <c r="F121" s="127">
        <v>0</v>
      </c>
      <c r="G121" s="128" t="s">
        <v>5</v>
      </c>
      <c r="H121" s="127">
        <v>0</v>
      </c>
      <c r="I121" s="128" t="s">
        <v>5</v>
      </c>
      <c r="J121" s="127">
        <v>48000</v>
      </c>
      <c r="K121" s="128" t="s">
        <v>2179</v>
      </c>
      <c r="L121" s="127">
        <v>0</v>
      </c>
      <c r="M121" s="128"/>
      <c r="N121" s="153">
        <f t="shared" si="6"/>
        <v>48000</v>
      </c>
      <c r="O121" s="124"/>
      <c r="P121" s="130"/>
    </row>
    <row r="122" spans="1:16" ht="30" customHeight="1" x14ac:dyDescent="0.3">
      <c r="A122" s="131" t="s">
        <v>451</v>
      </c>
      <c r="B122" s="131" t="s">
        <v>452</v>
      </c>
      <c r="C122" s="132" t="s">
        <v>12</v>
      </c>
      <c r="D122" s="153">
        <v>0</v>
      </c>
      <c r="E122" s="128" t="s">
        <v>5</v>
      </c>
      <c r="F122" s="127">
        <v>0</v>
      </c>
      <c r="G122" s="128" t="s">
        <v>5</v>
      </c>
      <c r="H122" s="127">
        <v>0</v>
      </c>
      <c r="I122" s="128" t="s">
        <v>5</v>
      </c>
      <c r="J122" s="127">
        <v>48000</v>
      </c>
      <c r="K122" s="128" t="s">
        <v>2179</v>
      </c>
      <c r="L122" s="127">
        <v>0</v>
      </c>
      <c r="M122" s="128"/>
      <c r="N122" s="153">
        <f t="shared" si="6"/>
        <v>48000</v>
      </c>
      <c r="O122" s="124"/>
      <c r="P122" s="130"/>
    </row>
    <row r="123" spans="1:16" ht="30" customHeight="1" x14ac:dyDescent="0.3">
      <c r="A123" s="131" t="s">
        <v>453</v>
      </c>
      <c r="B123" s="131" t="s">
        <v>454</v>
      </c>
      <c r="C123" s="132" t="s">
        <v>12</v>
      </c>
      <c r="D123" s="153">
        <v>0</v>
      </c>
      <c r="E123" s="128" t="s">
        <v>5</v>
      </c>
      <c r="F123" s="127">
        <v>0</v>
      </c>
      <c r="G123" s="128" t="s">
        <v>5</v>
      </c>
      <c r="H123" s="127">
        <v>0</v>
      </c>
      <c r="I123" s="128" t="s">
        <v>5</v>
      </c>
      <c r="J123" s="127">
        <v>135000</v>
      </c>
      <c r="K123" s="128" t="s">
        <v>2179</v>
      </c>
      <c r="L123" s="127">
        <v>0</v>
      </c>
      <c r="M123" s="128"/>
      <c r="N123" s="153">
        <f t="shared" si="6"/>
        <v>135000</v>
      </c>
      <c r="O123" s="124"/>
      <c r="P123" s="130"/>
    </row>
    <row r="124" spans="1:16" ht="30" customHeight="1" x14ac:dyDescent="0.3">
      <c r="A124" s="131" t="s">
        <v>902</v>
      </c>
      <c r="B124" s="131" t="s">
        <v>455</v>
      </c>
      <c r="C124" s="132" t="s">
        <v>12</v>
      </c>
      <c r="D124" s="153">
        <v>0</v>
      </c>
      <c r="E124" s="128" t="s">
        <v>5</v>
      </c>
      <c r="F124" s="127">
        <v>12090</v>
      </c>
      <c r="G124" s="128" t="s">
        <v>1556</v>
      </c>
      <c r="H124" s="127">
        <v>0</v>
      </c>
      <c r="I124" s="128" t="s">
        <v>5</v>
      </c>
      <c r="J124" s="127">
        <v>0</v>
      </c>
      <c r="K124" s="128"/>
      <c r="L124" s="127">
        <v>0</v>
      </c>
      <c r="M124" s="128"/>
      <c r="N124" s="153">
        <f t="shared" ref="N124:N125" si="12">SMALL(D124:L124,COUNTIF(D124:L124,0)+1)</f>
        <v>12090</v>
      </c>
      <c r="O124" s="124"/>
      <c r="P124" s="130"/>
    </row>
    <row r="125" spans="1:16" ht="30" customHeight="1" x14ac:dyDescent="0.3">
      <c r="A125" s="131" t="s">
        <v>456</v>
      </c>
      <c r="B125" s="131" t="s">
        <v>455</v>
      </c>
      <c r="C125" s="132" t="s">
        <v>12</v>
      </c>
      <c r="D125" s="153">
        <v>0</v>
      </c>
      <c r="E125" s="128" t="s">
        <v>5</v>
      </c>
      <c r="F125" s="127">
        <v>12090</v>
      </c>
      <c r="G125" s="128" t="s">
        <v>1556</v>
      </c>
      <c r="H125" s="127">
        <v>0</v>
      </c>
      <c r="I125" s="128" t="s">
        <v>5</v>
      </c>
      <c r="J125" s="127">
        <v>0</v>
      </c>
      <c r="K125" s="128"/>
      <c r="L125" s="127">
        <v>0</v>
      </c>
      <c r="M125" s="128"/>
      <c r="N125" s="153">
        <f t="shared" si="12"/>
        <v>12090</v>
      </c>
      <c r="O125" s="124"/>
      <c r="P125" s="130"/>
    </row>
    <row r="126" spans="1:16" ht="30" customHeight="1" x14ac:dyDescent="0.3">
      <c r="A126" s="131" t="s">
        <v>1554</v>
      </c>
      <c r="B126" s="131" t="s">
        <v>1555</v>
      </c>
      <c r="C126" s="132" t="s">
        <v>12</v>
      </c>
      <c r="D126" s="153">
        <v>0</v>
      </c>
      <c r="E126" s="128" t="s">
        <v>5</v>
      </c>
      <c r="F126" s="127">
        <v>28000</v>
      </c>
      <c r="G126" s="128" t="s">
        <v>809</v>
      </c>
      <c r="H126" s="127">
        <v>0</v>
      </c>
      <c r="I126" s="128" t="s">
        <v>5</v>
      </c>
      <c r="J126" s="127">
        <v>0</v>
      </c>
      <c r="K126" s="128"/>
      <c r="L126" s="127">
        <v>0</v>
      </c>
      <c r="M126" s="128"/>
      <c r="N126" s="153">
        <f t="shared" si="6"/>
        <v>28000</v>
      </c>
      <c r="O126" s="124"/>
      <c r="P126" s="130"/>
    </row>
    <row r="127" spans="1:16" ht="30" customHeight="1" x14ac:dyDescent="0.3">
      <c r="A127" s="131" t="s">
        <v>953</v>
      </c>
      <c r="B127" s="131" t="s">
        <v>954</v>
      </c>
      <c r="C127" s="132" t="s">
        <v>12</v>
      </c>
      <c r="D127" s="153">
        <v>0</v>
      </c>
      <c r="E127" s="128" t="s">
        <v>5</v>
      </c>
      <c r="F127" s="127">
        <v>55700</v>
      </c>
      <c r="G127" s="128" t="s">
        <v>809</v>
      </c>
      <c r="H127" s="127">
        <v>0</v>
      </c>
      <c r="I127" s="128" t="s">
        <v>5</v>
      </c>
      <c r="J127" s="127">
        <v>0</v>
      </c>
      <c r="K127" s="128"/>
      <c r="L127" s="127">
        <v>0</v>
      </c>
      <c r="M127" s="128"/>
      <c r="N127" s="153">
        <f t="shared" si="6"/>
        <v>55700</v>
      </c>
      <c r="O127" s="124"/>
      <c r="P127" s="130"/>
    </row>
    <row r="128" spans="1:16" ht="30" customHeight="1" x14ac:dyDescent="0.3">
      <c r="A128" s="131" t="s">
        <v>459</v>
      </c>
      <c r="B128" s="131" t="s">
        <v>903</v>
      </c>
      <c r="C128" s="132" t="s">
        <v>12</v>
      </c>
      <c r="D128" s="153">
        <v>0</v>
      </c>
      <c r="E128" s="128" t="s">
        <v>5</v>
      </c>
      <c r="F128" s="127">
        <v>3430</v>
      </c>
      <c r="G128" s="128" t="s">
        <v>1556</v>
      </c>
      <c r="H128" s="127">
        <v>0</v>
      </c>
      <c r="I128" s="128" t="s">
        <v>5</v>
      </c>
      <c r="J128" s="127">
        <v>0</v>
      </c>
      <c r="K128" s="128"/>
      <c r="L128" s="127">
        <v>0</v>
      </c>
      <c r="M128" s="128"/>
      <c r="N128" s="153">
        <f t="shared" si="6"/>
        <v>3430</v>
      </c>
      <c r="O128" s="124"/>
      <c r="P128" s="130"/>
    </row>
    <row r="129" spans="1:16" ht="30" customHeight="1" x14ac:dyDescent="0.3">
      <c r="A129" s="131" t="s">
        <v>1584</v>
      </c>
      <c r="B129" s="131" t="s">
        <v>1585</v>
      </c>
      <c r="C129" s="132" t="s">
        <v>12</v>
      </c>
      <c r="D129" s="153">
        <v>0</v>
      </c>
      <c r="E129" s="128" t="s">
        <v>5</v>
      </c>
      <c r="F129" s="127">
        <v>4400</v>
      </c>
      <c r="G129" s="128" t="s">
        <v>1556</v>
      </c>
      <c r="H129" s="127">
        <v>0</v>
      </c>
      <c r="I129" s="128" t="s">
        <v>5</v>
      </c>
      <c r="J129" s="127">
        <v>0</v>
      </c>
      <c r="K129" s="128"/>
      <c r="L129" s="127">
        <v>0</v>
      </c>
      <c r="M129" s="128"/>
      <c r="N129" s="153">
        <f t="shared" ref="N129" si="13">SMALL(D129:L129,COUNTIF(D129:L129,0)+1)</f>
        <v>4400</v>
      </c>
      <c r="O129" s="124"/>
      <c r="P129" s="124"/>
    </row>
    <row r="130" spans="1:16" ht="30" customHeight="1" x14ac:dyDescent="0.3">
      <c r="A130" s="131" t="s">
        <v>457</v>
      </c>
      <c r="B130" s="131" t="s">
        <v>458</v>
      </c>
      <c r="C130" s="132" t="s">
        <v>12</v>
      </c>
      <c r="D130" s="153">
        <v>0</v>
      </c>
      <c r="E130" s="128" t="s">
        <v>5</v>
      </c>
      <c r="F130" s="127">
        <v>10150</v>
      </c>
      <c r="G130" s="128" t="s">
        <v>1556</v>
      </c>
      <c r="H130" s="127">
        <v>0</v>
      </c>
      <c r="I130" s="128" t="s">
        <v>5</v>
      </c>
      <c r="J130" s="127">
        <v>0</v>
      </c>
      <c r="K130" s="128"/>
      <c r="L130" s="127">
        <v>0</v>
      </c>
      <c r="M130" s="128"/>
      <c r="N130" s="153">
        <f t="shared" si="6"/>
        <v>10150</v>
      </c>
      <c r="O130" s="124"/>
      <c r="P130" s="130"/>
    </row>
    <row r="131" spans="1:16" ht="30" customHeight="1" x14ac:dyDescent="0.3">
      <c r="A131" s="131" t="s">
        <v>344</v>
      </c>
      <c r="B131" s="131" t="s">
        <v>859</v>
      </c>
      <c r="C131" s="132" t="s">
        <v>345</v>
      </c>
      <c r="D131" s="153">
        <v>0</v>
      </c>
      <c r="E131" s="128" t="s">
        <v>5</v>
      </c>
      <c r="F131" s="127">
        <v>0</v>
      </c>
      <c r="G131" s="128" t="s">
        <v>5</v>
      </c>
      <c r="H131" s="127">
        <v>73200</v>
      </c>
      <c r="I131" s="128" t="s">
        <v>1655</v>
      </c>
      <c r="J131" s="127">
        <v>82400</v>
      </c>
      <c r="K131" s="128" t="s">
        <v>1600</v>
      </c>
      <c r="L131" s="127">
        <v>0</v>
      </c>
      <c r="M131" s="128" t="s">
        <v>5</v>
      </c>
      <c r="N131" s="153">
        <f t="shared" ref="N131:N140" si="14">SMALL(D131:L131,COUNTIF(D131:L131,0)+1)</f>
        <v>73200</v>
      </c>
      <c r="O131" s="124"/>
      <c r="P131" s="130"/>
    </row>
    <row r="132" spans="1:16" ht="30" customHeight="1" x14ac:dyDescent="0.3">
      <c r="A132" s="131" t="s">
        <v>344</v>
      </c>
      <c r="B132" s="131" t="s">
        <v>860</v>
      </c>
      <c r="C132" s="132" t="s">
        <v>345</v>
      </c>
      <c r="D132" s="153">
        <v>0</v>
      </c>
      <c r="E132" s="128" t="s">
        <v>5</v>
      </c>
      <c r="F132" s="127">
        <v>0</v>
      </c>
      <c r="G132" s="128" t="s">
        <v>5</v>
      </c>
      <c r="H132" s="127">
        <v>80400</v>
      </c>
      <c r="I132" s="128" t="s">
        <v>1655</v>
      </c>
      <c r="J132" s="127">
        <v>90300</v>
      </c>
      <c r="K132" s="128" t="s">
        <v>1600</v>
      </c>
      <c r="L132" s="127">
        <v>0</v>
      </c>
      <c r="M132" s="128" t="s">
        <v>5</v>
      </c>
      <c r="N132" s="153">
        <f t="shared" si="14"/>
        <v>80400</v>
      </c>
      <c r="O132" s="124"/>
      <c r="P132" s="130"/>
    </row>
    <row r="133" spans="1:16" ht="30" customHeight="1" x14ac:dyDescent="0.3">
      <c r="A133" s="131" t="s">
        <v>344</v>
      </c>
      <c r="B133" s="131" t="s">
        <v>1963</v>
      </c>
      <c r="C133" s="132" t="s">
        <v>345</v>
      </c>
      <c r="D133" s="153">
        <v>0</v>
      </c>
      <c r="E133" s="128" t="s">
        <v>5</v>
      </c>
      <c r="F133" s="127">
        <v>0</v>
      </c>
      <c r="G133" s="128" t="s">
        <v>5</v>
      </c>
      <c r="H133" s="127">
        <v>84700</v>
      </c>
      <c r="I133" s="128" t="s">
        <v>1655</v>
      </c>
      <c r="J133" s="127">
        <v>95600</v>
      </c>
      <c r="K133" s="128" t="s">
        <v>1600</v>
      </c>
      <c r="L133" s="127">
        <v>0</v>
      </c>
      <c r="M133" s="128" t="s">
        <v>5</v>
      </c>
      <c r="N133" s="153">
        <f t="shared" si="14"/>
        <v>84700</v>
      </c>
      <c r="O133" s="124"/>
      <c r="P133" s="130"/>
    </row>
    <row r="134" spans="1:16" ht="30" customHeight="1" x14ac:dyDescent="0.3">
      <c r="A134" s="131" t="s">
        <v>344</v>
      </c>
      <c r="B134" s="131" t="s">
        <v>1964</v>
      </c>
      <c r="C134" s="132" t="s">
        <v>345</v>
      </c>
      <c r="D134" s="153">
        <v>0</v>
      </c>
      <c r="E134" s="128" t="s">
        <v>5</v>
      </c>
      <c r="F134" s="127">
        <v>0</v>
      </c>
      <c r="G134" s="128" t="s">
        <v>5</v>
      </c>
      <c r="H134" s="127">
        <v>104200</v>
      </c>
      <c r="I134" s="128" t="s">
        <v>1655</v>
      </c>
      <c r="J134" s="127">
        <v>113600</v>
      </c>
      <c r="K134" s="128" t="s">
        <v>1600</v>
      </c>
      <c r="L134" s="127">
        <v>0</v>
      </c>
      <c r="M134" s="128" t="s">
        <v>5</v>
      </c>
      <c r="N134" s="153">
        <f t="shared" si="14"/>
        <v>104200</v>
      </c>
      <c r="O134" s="124"/>
      <c r="P134" s="130"/>
    </row>
    <row r="135" spans="1:16" ht="30" customHeight="1" x14ac:dyDescent="0.3">
      <c r="A135" s="131" t="s">
        <v>344</v>
      </c>
      <c r="B135" s="131" t="s">
        <v>1965</v>
      </c>
      <c r="C135" s="132" t="s">
        <v>345</v>
      </c>
      <c r="D135" s="153">
        <v>0</v>
      </c>
      <c r="E135" s="128" t="s">
        <v>5</v>
      </c>
      <c r="F135" s="127">
        <v>0</v>
      </c>
      <c r="G135" s="128" t="s">
        <v>5</v>
      </c>
      <c r="H135" s="127">
        <v>141200</v>
      </c>
      <c r="I135" s="128" t="s">
        <v>1655</v>
      </c>
      <c r="J135" s="127">
        <v>154800</v>
      </c>
      <c r="K135" s="128" t="s">
        <v>1600</v>
      </c>
      <c r="L135" s="127">
        <v>0</v>
      </c>
      <c r="M135" s="128" t="s">
        <v>5</v>
      </c>
      <c r="N135" s="153">
        <f t="shared" si="14"/>
        <v>141200</v>
      </c>
      <c r="O135" s="124"/>
      <c r="P135" s="130"/>
    </row>
    <row r="136" spans="1:16" ht="30" customHeight="1" x14ac:dyDescent="0.3">
      <c r="A136" s="131" t="s">
        <v>344</v>
      </c>
      <c r="B136" s="131" t="s">
        <v>1966</v>
      </c>
      <c r="C136" s="132" t="s">
        <v>345</v>
      </c>
      <c r="D136" s="153">
        <v>0</v>
      </c>
      <c r="E136" s="128" t="s">
        <v>5</v>
      </c>
      <c r="F136" s="127">
        <v>0</v>
      </c>
      <c r="G136" s="128" t="s">
        <v>5</v>
      </c>
      <c r="H136" s="127">
        <v>158200</v>
      </c>
      <c r="I136" s="128" t="s">
        <v>1655</v>
      </c>
      <c r="J136" s="127">
        <v>188500</v>
      </c>
      <c r="K136" s="128" t="s">
        <v>1600</v>
      </c>
      <c r="L136" s="127">
        <v>0</v>
      </c>
      <c r="M136" s="128" t="s">
        <v>5</v>
      </c>
      <c r="N136" s="153">
        <f t="shared" si="14"/>
        <v>158200</v>
      </c>
      <c r="O136" s="124"/>
      <c r="P136" s="130"/>
    </row>
    <row r="137" spans="1:16" ht="30" customHeight="1" x14ac:dyDescent="0.3">
      <c r="A137" s="131" t="s">
        <v>344</v>
      </c>
      <c r="B137" s="131" t="s">
        <v>1967</v>
      </c>
      <c r="C137" s="132" t="s">
        <v>345</v>
      </c>
      <c r="D137" s="153">
        <v>0</v>
      </c>
      <c r="E137" s="128" t="s">
        <v>5</v>
      </c>
      <c r="F137" s="127">
        <v>0</v>
      </c>
      <c r="G137" s="128" t="s">
        <v>5</v>
      </c>
      <c r="H137" s="127">
        <v>195100</v>
      </c>
      <c r="I137" s="128" t="s">
        <v>1655</v>
      </c>
      <c r="J137" s="127">
        <v>213500</v>
      </c>
      <c r="K137" s="128" t="s">
        <v>1600</v>
      </c>
      <c r="L137" s="127">
        <v>0</v>
      </c>
      <c r="M137" s="128" t="s">
        <v>5</v>
      </c>
      <c r="N137" s="153">
        <f t="shared" si="14"/>
        <v>195100</v>
      </c>
      <c r="O137" s="124"/>
      <c r="P137" s="130"/>
    </row>
    <row r="138" spans="1:16" ht="30" customHeight="1" x14ac:dyDescent="0.3">
      <c r="A138" s="131" t="s">
        <v>346</v>
      </c>
      <c r="B138" s="131" t="s">
        <v>347</v>
      </c>
      <c r="C138" s="132" t="s">
        <v>12</v>
      </c>
      <c r="D138" s="153">
        <v>0</v>
      </c>
      <c r="E138" s="128" t="s">
        <v>5</v>
      </c>
      <c r="F138" s="127">
        <v>0</v>
      </c>
      <c r="G138" s="128" t="s">
        <v>5</v>
      </c>
      <c r="H138" s="127">
        <v>0</v>
      </c>
      <c r="I138" s="128" t="s">
        <v>5</v>
      </c>
      <c r="J138" s="127">
        <v>0</v>
      </c>
      <c r="K138" s="128" t="s">
        <v>5</v>
      </c>
      <c r="L138" s="127">
        <v>135000</v>
      </c>
      <c r="M138" s="128" t="s">
        <v>1629</v>
      </c>
      <c r="N138" s="153">
        <f t="shared" si="14"/>
        <v>135000</v>
      </c>
      <c r="O138" s="124"/>
      <c r="P138" s="130"/>
    </row>
    <row r="139" spans="1:16" ht="30" customHeight="1" x14ac:dyDescent="0.3">
      <c r="A139" s="131" t="s">
        <v>348</v>
      </c>
      <c r="B139" s="131" t="s">
        <v>36</v>
      </c>
      <c r="C139" s="132" t="s">
        <v>12</v>
      </c>
      <c r="D139" s="153">
        <v>0</v>
      </c>
      <c r="E139" s="128" t="s">
        <v>5</v>
      </c>
      <c r="F139" s="127">
        <v>0</v>
      </c>
      <c r="G139" s="128" t="s">
        <v>5</v>
      </c>
      <c r="H139" s="127">
        <v>0</v>
      </c>
      <c r="I139" s="128" t="s">
        <v>5</v>
      </c>
      <c r="J139" s="127">
        <v>0</v>
      </c>
      <c r="K139" s="128" t="s">
        <v>5</v>
      </c>
      <c r="L139" s="127">
        <v>130000</v>
      </c>
      <c r="M139" s="128" t="s">
        <v>1629</v>
      </c>
      <c r="N139" s="153">
        <f t="shared" si="14"/>
        <v>130000</v>
      </c>
      <c r="O139" s="124"/>
      <c r="P139" s="130"/>
    </row>
    <row r="140" spans="1:16" ht="30" customHeight="1" x14ac:dyDescent="0.3">
      <c r="A140" s="131" t="s">
        <v>348</v>
      </c>
      <c r="B140" s="131" t="s">
        <v>349</v>
      </c>
      <c r="C140" s="132" t="s">
        <v>12</v>
      </c>
      <c r="D140" s="153">
        <v>0</v>
      </c>
      <c r="E140" s="128" t="s">
        <v>5</v>
      </c>
      <c r="F140" s="127">
        <v>0</v>
      </c>
      <c r="G140" s="128" t="s">
        <v>5</v>
      </c>
      <c r="H140" s="127">
        <v>0</v>
      </c>
      <c r="I140" s="128" t="s">
        <v>5</v>
      </c>
      <c r="J140" s="127">
        <v>0</v>
      </c>
      <c r="K140" s="128" t="s">
        <v>5</v>
      </c>
      <c r="L140" s="127">
        <v>190000</v>
      </c>
      <c r="M140" s="128" t="s">
        <v>1629</v>
      </c>
      <c r="N140" s="153">
        <f t="shared" si="14"/>
        <v>190000</v>
      </c>
      <c r="O140" s="124"/>
      <c r="P140" s="130"/>
    </row>
    <row r="141" spans="1:16" ht="30" customHeight="1" x14ac:dyDescent="0.3">
      <c r="A141" s="131"/>
      <c r="B141" s="131"/>
      <c r="C141" s="132"/>
      <c r="D141" s="153"/>
      <c r="E141" s="128"/>
      <c r="F141" s="127"/>
      <c r="G141" s="128"/>
      <c r="H141" s="127"/>
      <c r="I141" s="128"/>
      <c r="J141" s="127"/>
      <c r="K141" s="128"/>
      <c r="L141" s="127"/>
      <c r="M141" s="128"/>
      <c r="N141" s="153"/>
      <c r="O141" s="124"/>
      <c r="P141" s="130"/>
    </row>
    <row r="142" spans="1:16" ht="30" customHeight="1" x14ac:dyDescent="0.3">
      <c r="A142" s="131"/>
      <c r="B142" s="131"/>
      <c r="C142" s="132"/>
      <c r="D142" s="153"/>
      <c r="E142" s="128"/>
      <c r="F142" s="127"/>
      <c r="G142" s="128"/>
      <c r="H142" s="127"/>
      <c r="I142" s="128"/>
      <c r="J142" s="127"/>
      <c r="K142" s="128"/>
      <c r="L142" s="127"/>
      <c r="M142" s="128"/>
      <c r="N142" s="153"/>
      <c r="O142" s="124"/>
      <c r="P142" s="130"/>
    </row>
    <row r="143" spans="1:16" ht="30" customHeight="1" x14ac:dyDescent="0.3">
      <c r="A143" s="131"/>
      <c r="B143" s="131"/>
      <c r="C143" s="132"/>
      <c r="D143" s="153">
        <v>0</v>
      </c>
      <c r="E143" s="128" t="s">
        <v>5</v>
      </c>
      <c r="F143" s="150" t="s">
        <v>933</v>
      </c>
      <c r="G143" s="128" t="s">
        <v>5</v>
      </c>
      <c r="H143" s="150" t="s">
        <v>934</v>
      </c>
      <c r="I143" s="128" t="s">
        <v>5</v>
      </c>
      <c r="J143" s="150" t="s">
        <v>935</v>
      </c>
      <c r="K143" s="128"/>
      <c r="L143" s="127"/>
      <c r="M143" s="128"/>
      <c r="N143" s="153"/>
      <c r="O143" s="124"/>
      <c r="P143" s="130"/>
    </row>
    <row r="144" spans="1:16" ht="30" customHeight="1" x14ac:dyDescent="0.3">
      <c r="A144" s="131" t="s">
        <v>861</v>
      </c>
      <c r="B144" s="131" t="s">
        <v>862</v>
      </c>
      <c r="C144" s="132" t="s">
        <v>388</v>
      </c>
      <c r="D144" s="153">
        <v>0</v>
      </c>
      <c r="E144" s="128" t="s">
        <v>5</v>
      </c>
      <c r="F144" s="127">
        <v>69100</v>
      </c>
      <c r="G144" s="128" t="s">
        <v>5</v>
      </c>
      <c r="H144" s="127">
        <v>74600</v>
      </c>
      <c r="I144" s="128" t="s">
        <v>5</v>
      </c>
      <c r="J144" s="127">
        <v>83400</v>
      </c>
      <c r="K144" s="128" t="s">
        <v>5</v>
      </c>
      <c r="L144" s="127">
        <v>0</v>
      </c>
      <c r="M144" s="128"/>
      <c r="N144" s="153">
        <f t="shared" ref="N144:N207" si="15">SMALL(D144:L144,COUNTIF(D144:L144,0)+1)</f>
        <v>69100</v>
      </c>
      <c r="O144" s="124"/>
      <c r="P144" s="124" t="s">
        <v>892</v>
      </c>
    </row>
    <row r="145" spans="1:16" ht="30" customHeight="1" x14ac:dyDescent="0.3">
      <c r="A145" s="131" t="s">
        <v>861</v>
      </c>
      <c r="B145" s="131" t="s">
        <v>863</v>
      </c>
      <c r="C145" s="132" t="s">
        <v>388</v>
      </c>
      <c r="D145" s="153">
        <v>0</v>
      </c>
      <c r="E145" s="128" t="s">
        <v>5</v>
      </c>
      <c r="F145" s="127">
        <v>120800.00000000001</v>
      </c>
      <c r="G145" s="128" t="s">
        <v>5</v>
      </c>
      <c r="H145" s="127">
        <v>128500.00000000001</v>
      </c>
      <c r="I145" s="128" t="s">
        <v>5</v>
      </c>
      <c r="J145" s="127">
        <v>138400</v>
      </c>
      <c r="K145" s="128" t="s">
        <v>5</v>
      </c>
      <c r="L145" s="127">
        <v>0</v>
      </c>
      <c r="M145" s="128"/>
      <c r="N145" s="153">
        <f t="shared" si="15"/>
        <v>120800.00000000001</v>
      </c>
      <c r="O145" s="124"/>
      <c r="P145" s="124" t="s">
        <v>892</v>
      </c>
    </row>
    <row r="146" spans="1:16" ht="30" customHeight="1" x14ac:dyDescent="0.3">
      <c r="A146" s="131" t="s">
        <v>861</v>
      </c>
      <c r="B146" s="131" t="s">
        <v>864</v>
      </c>
      <c r="C146" s="132" t="s">
        <v>388</v>
      </c>
      <c r="D146" s="153">
        <v>0</v>
      </c>
      <c r="E146" s="128" t="s">
        <v>5</v>
      </c>
      <c r="F146" s="127">
        <v>147200</v>
      </c>
      <c r="G146" s="128" t="s">
        <v>5</v>
      </c>
      <c r="H146" s="127">
        <v>158200</v>
      </c>
      <c r="I146" s="128" t="s">
        <v>5</v>
      </c>
      <c r="J146" s="127">
        <v>160400</v>
      </c>
      <c r="K146" s="128" t="s">
        <v>5</v>
      </c>
      <c r="L146" s="127">
        <v>0</v>
      </c>
      <c r="M146" s="128"/>
      <c r="N146" s="153">
        <f t="shared" si="15"/>
        <v>147200</v>
      </c>
      <c r="O146" s="124"/>
      <c r="P146" s="124" t="s">
        <v>892</v>
      </c>
    </row>
    <row r="147" spans="1:16" ht="30" customHeight="1" x14ac:dyDescent="0.3">
      <c r="A147" s="131" t="s">
        <v>861</v>
      </c>
      <c r="B147" s="131" t="s">
        <v>865</v>
      </c>
      <c r="C147" s="132" t="s">
        <v>388</v>
      </c>
      <c r="D147" s="153">
        <v>0</v>
      </c>
      <c r="E147" s="128" t="s">
        <v>5</v>
      </c>
      <c r="F147" s="127">
        <v>158200</v>
      </c>
      <c r="G147" s="128" t="s">
        <v>5</v>
      </c>
      <c r="H147" s="127">
        <v>170300</v>
      </c>
      <c r="I147" s="128" t="s">
        <v>5</v>
      </c>
      <c r="J147" s="127">
        <v>170300</v>
      </c>
      <c r="K147" s="128" t="s">
        <v>5</v>
      </c>
      <c r="L147" s="127">
        <v>0</v>
      </c>
      <c r="M147" s="128"/>
      <c r="N147" s="153">
        <f t="shared" si="15"/>
        <v>158200</v>
      </c>
      <c r="O147" s="124"/>
      <c r="P147" s="124" t="s">
        <v>892</v>
      </c>
    </row>
    <row r="148" spans="1:16" ht="30" customHeight="1" x14ac:dyDescent="0.3">
      <c r="A148" s="131" t="s">
        <v>861</v>
      </c>
      <c r="B148" s="131" t="s">
        <v>866</v>
      </c>
      <c r="C148" s="132" t="s">
        <v>388</v>
      </c>
      <c r="D148" s="153">
        <v>0</v>
      </c>
      <c r="E148" s="128" t="s">
        <v>5</v>
      </c>
      <c r="F148" s="127">
        <v>179100</v>
      </c>
      <c r="G148" s="128" t="s">
        <v>5</v>
      </c>
      <c r="H148" s="127">
        <v>191200.00000000003</v>
      </c>
      <c r="I148" s="128" t="s">
        <v>5</v>
      </c>
      <c r="J148" s="127">
        <v>200000.00000000003</v>
      </c>
      <c r="K148" s="128" t="s">
        <v>5</v>
      </c>
      <c r="L148" s="127">
        <v>0</v>
      </c>
      <c r="M148" s="128"/>
      <c r="N148" s="153">
        <f t="shared" si="15"/>
        <v>179100</v>
      </c>
      <c r="O148" s="124"/>
      <c r="P148" s="124" t="s">
        <v>892</v>
      </c>
    </row>
    <row r="149" spans="1:16" ht="30" customHeight="1" x14ac:dyDescent="0.3">
      <c r="A149" s="131" t="s">
        <v>861</v>
      </c>
      <c r="B149" s="131" t="s">
        <v>867</v>
      </c>
      <c r="C149" s="132" t="s">
        <v>388</v>
      </c>
      <c r="D149" s="153">
        <v>0</v>
      </c>
      <c r="E149" s="128" t="s">
        <v>5</v>
      </c>
      <c r="F149" s="127">
        <v>182400.00000000003</v>
      </c>
      <c r="G149" s="128" t="s">
        <v>5</v>
      </c>
      <c r="H149" s="127">
        <v>194500.00000000003</v>
      </c>
      <c r="I149" s="128" t="s">
        <v>5</v>
      </c>
      <c r="J149" s="127">
        <v>220900.00000000003</v>
      </c>
      <c r="K149" s="128" t="s">
        <v>5</v>
      </c>
      <c r="L149" s="127">
        <v>0</v>
      </c>
      <c r="M149" s="128"/>
      <c r="N149" s="153">
        <f t="shared" si="15"/>
        <v>182400.00000000003</v>
      </c>
      <c r="O149" s="124"/>
      <c r="P149" s="124" t="s">
        <v>892</v>
      </c>
    </row>
    <row r="150" spans="1:16" ht="30" customHeight="1" x14ac:dyDescent="0.3">
      <c r="A150" s="131" t="s">
        <v>861</v>
      </c>
      <c r="B150" s="131" t="s">
        <v>868</v>
      </c>
      <c r="C150" s="132" t="s">
        <v>388</v>
      </c>
      <c r="D150" s="153">
        <v>0</v>
      </c>
      <c r="E150" s="128" t="s">
        <v>5</v>
      </c>
      <c r="F150" s="127">
        <v>195600.00000000003</v>
      </c>
      <c r="G150" s="128" t="s">
        <v>5</v>
      </c>
      <c r="H150" s="127">
        <v>209900.00000000003</v>
      </c>
      <c r="I150" s="128" t="s">
        <v>5</v>
      </c>
      <c r="J150" s="127">
        <v>222000.00000000003</v>
      </c>
      <c r="K150" s="128" t="s">
        <v>5</v>
      </c>
      <c r="L150" s="127">
        <v>0</v>
      </c>
      <c r="M150" s="128"/>
      <c r="N150" s="153">
        <f t="shared" si="15"/>
        <v>195600.00000000003</v>
      </c>
      <c r="O150" s="124"/>
      <c r="P150" s="124" t="s">
        <v>892</v>
      </c>
    </row>
    <row r="151" spans="1:16" ht="30" customHeight="1" x14ac:dyDescent="0.3">
      <c r="A151" s="131" t="s">
        <v>861</v>
      </c>
      <c r="B151" s="131" t="s">
        <v>869</v>
      </c>
      <c r="C151" s="132" t="s">
        <v>388</v>
      </c>
      <c r="D151" s="153">
        <v>0</v>
      </c>
      <c r="E151" s="128" t="s">
        <v>5</v>
      </c>
      <c r="F151" s="127">
        <v>202200.00000000003</v>
      </c>
      <c r="G151" s="128" t="s">
        <v>5</v>
      </c>
      <c r="H151" s="127">
        <v>216500.00000000003</v>
      </c>
      <c r="I151" s="128" t="s">
        <v>5</v>
      </c>
      <c r="J151" s="127">
        <v>229700.00000000003</v>
      </c>
      <c r="K151" s="128" t="s">
        <v>5</v>
      </c>
      <c r="L151" s="127">
        <v>0</v>
      </c>
      <c r="M151" s="128"/>
      <c r="N151" s="153">
        <f t="shared" si="15"/>
        <v>202200.00000000003</v>
      </c>
      <c r="O151" s="124"/>
      <c r="P151" s="124" t="s">
        <v>892</v>
      </c>
    </row>
    <row r="152" spans="1:16" ht="30" customHeight="1" x14ac:dyDescent="0.3">
      <c r="A152" s="131" t="s">
        <v>861</v>
      </c>
      <c r="B152" s="131" t="s">
        <v>870</v>
      </c>
      <c r="C152" s="132" t="s">
        <v>388</v>
      </c>
      <c r="D152" s="153">
        <v>0</v>
      </c>
      <c r="E152" s="128" t="s">
        <v>5</v>
      </c>
      <c r="F152" s="127">
        <v>216500.00000000003</v>
      </c>
      <c r="G152" s="128" t="s">
        <v>5</v>
      </c>
      <c r="H152" s="127">
        <v>233000.00000000003</v>
      </c>
      <c r="I152" s="128" t="s">
        <v>5</v>
      </c>
      <c r="J152" s="127">
        <v>236300.00000000003</v>
      </c>
      <c r="K152" s="128" t="s">
        <v>5</v>
      </c>
      <c r="L152" s="127">
        <v>0</v>
      </c>
      <c r="M152" s="128"/>
      <c r="N152" s="153">
        <f t="shared" si="15"/>
        <v>216500.00000000003</v>
      </c>
      <c r="O152" s="124"/>
      <c r="P152" s="124" t="s">
        <v>892</v>
      </c>
    </row>
    <row r="153" spans="1:16" ht="30" customHeight="1" x14ac:dyDescent="0.3">
      <c r="A153" s="131" t="s">
        <v>861</v>
      </c>
      <c r="B153" s="131" t="s">
        <v>871</v>
      </c>
      <c r="C153" s="132" t="s">
        <v>388</v>
      </c>
      <c r="D153" s="153">
        <v>0</v>
      </c>
      <c r="E153" s="128" t="s">
        <v>5</v>
      </c>
      <c r="F153" s="127">
        <v>229700.00000000003</v>
      </c>
      <c r="G153" s="128" t="s">
        <v>5</v>
      </c>
      <c r="H153" s="127">
        <v>245100.00000000003</v>
      </c>
      <c r="I153" s="128" t="s">
        <v>5</v>
      </c>
      <c r="J153" s="127">
        <v>246200.00000000003</v>
      </c>
      <c r="K153" s="128" t="s">
        <v>5</v>
      </c>
      <c r="L153" s="127">
        <v>0</v>
      </c>
      <c r="M153" s="128"/>
      <c r="N153" s="153">
        <f t="shared" si="15"/>
        <v>229700.00000000003</v>
      </c>
      <c r="O153" s="124"/>
      <c r="P153" s="124" t="s">
        <v>892</v>
      </c>
    </row>
    <row r="154" spans="1:16" ht="30" customHeight="1" x14ac:dyDescent="0.3">
      <c r="A154" s="131" t="s">
        <v>861</v>
      </c>
      <c r="B154" s="131" t="s">
        <v>872</v>
      </c>
      <c r="C154" s="132" t="s">
        <v>388</v>
      </c>
      <c r="D154" s="153">
        <v>0</v>
      </c>
      <c r="E154" s="128" t="s">
        <v>5</v>
      </c>
      <c r="F154" s="127">
        <v>238500.00000000003</v>
      </c>
      <c r="G154" s="128" t="s">
        <v>5</v>
      </c>
      <c r="H154" s="127">
        <v>255000.00000000003</v>
      </c>
      <c r="I154" s="128" t="s">
        <v>5</v>
      </c>
      <c r="J154" s="127">
        <v>256100.00000000003</v>
      </c>
      <c r="K154" s="128" t="s">
        <v>5</v>
      </c>
      <c r="L154" s="127">
        <v>0</v>
      </c>
      <c r="M154" s="128"/>
      <c r="N154" s="153">
        <f t="shared" si="15"/>
        <v>238500.00000000003</v>
      </c>
      <c r="O154" s="124"/>
      <c r="P154" s="124" t="s">
        <v>892</v>
      </c>
    </row>
    <row r="155" spans="1:16" ht="30" customHeight="1" x14ac:dyDescent="0.3">
      <c r="A155" s="131" t="s">
        <v>861</v>
      </c>
      <c r="B155" s="131" t="s">
        <v>873</v>
      </c>
      <c r="C155" s="132" t="s">
        <v>388</v>
      </c>
      <c r="D155" s="153">
        <v>0</v>
      </c>
      <c r="E155" s="128" t="s">
        <v>5</v>
      </c>
      <c r="F155" s="127">
        <v>238500.00000000003</v>
      </c>
      <c r="G155" s="128" t="s">
        <v>5</v>
      </c>
      <c r="H155" s="127">
        <v>255000.00000000003</v>
      </c>
      <c r="I155" s="128" t="s">
        <v>5</v>
      </c>
      <c r="J155" s="127">
        <v>259400.00000000003</v>
      </c>
      <c r="K155" s="128" t="s">
        <v>5</v>
      </c>
      <c r="L155" s="127">
        <v>0</v>
      </c>
      <c r="M155" s="128"/>
      <c r="N155" s="153">
        <f t="shared" si="15"/>
        <v>238500.00000000003</v>
      </c>
      <c r="O155" s="124"/>
      <c r="P155" s="124" t="s">
        <v>892</v>
      </c>
    </row>
    <row r="156" spans="1:16" ht="30" customHeight="1" x14ac:dyDescent="0.3">
      <c r="A156" s="131" t="s">
        <v>861</v>
      </c>
      <c r="B156" s="131" t="s">
        <v>874</v>
      </c>
      <c r="C156" s="132" t="s">
        <v>388</v>
      </c>
      <c r="D156" s="153">
        <v>0</v>
      </c>
      <c r="E156" s="128" t="s">
        <v>5</v>
      </c>
      <c r="F156" s="127">
        <v>261600.00000000003</v>
      </c>
      <c r="G156" s="128" t="s">
        <v>5</v>
      </c>
      <c r="H156" s="127">
        <v>280300</v>
      </c>
      <c r="I156" s="128" t="s">
        <v>5</v>
      </c>
      <c r="J156" s="127">
        <v>280300</v>
      </c>
      <c r="K156" s="128" t="s">
        <v>5</v>
      </c>
      <c r="L156" s="127">
        <v>0</v>
      </c>
      <c r="M156" s="128"/>
      <c r="N156" s="153">
        <f t="shared" si="15"/>
        <v>261600.00000000003</v>
      </c>
      <c r="O156" s="124"/>
      <c r="P156" s="124" t="s">
        <v>892</v>
      </c>
    </row>
    <row r="157" spans="1:16" ht="30" customHeight="1" x14ac:dyDescent="0.3">
      <c r="A157" s="131" t="s">
        <v>861</v>
      </c>
      <c r="B157" s="131" t="s">
        <v>875</v>
      </c>
      <c r="C157" s="132" t="s">
        <v>388</v>
      </c>
      <c r="D157" s="153">
        <v>0</v>
      </c>
      <c r="E157" s="128" t="s">
        <v>5</v>
      </c>
      <c r="F157" s="127">
        <v>290200</v>
      </c>
      <c r="G157" s="128" t="s">
        <v>5</v>
      </c>
      <c r="H157" s="127">
        <v>311100</v>
      </c>
      <c r="I157" s="128" t="s">
        <v>5</v>
      </c>
      <c r="J157" s="127">
        <v>296800</v>
      </c>
      <c r="K157" s="128" t="s">
        <v>5</v>
      </c>
      <c r="L157" s="127">
        <v>0</v>
      </c>
      <c r="M157" s="128"/>
      <c r="N157" s="153">
        <f t="shared" si="15"/>
        <v>290200</v>
      </c>
      <c r="O157" s="124"/>
      <c r="P157" s="124" t="s">
        <v>892</v>
      </c>
    </row>
    <row r="158" spans="1:16" ht="30" customHeight="1" x14ac:dyDescent="0.3">
      <c r="A158" s="131" t="s">
        <v>861</v>
      </c>
      <c r="B158" s="131" t="s">
        <v>876</v>
      </c>
      <c r="C158" s="132" t="s">
        <v>388</v>
      </c>
      <c r="D158" s="153">
        <v>0</v>
      </c>
      <c r="E158" s="128" t="s">
        <v>5</v>
      </c>
      <c r="F158" s="127">
        <v>258300.00000000003</v>
      </c>
      <c r="G158" s="128" t="s">
        <v>5</v>
      </c>
      <c r="H158" s="127">
        <v>275900</v>
      </c>
      <c r="I158" s="128" t="s">
        <v>5</v>
      </c>
      <c r="J158" s="127">
        <v>332000</v>
      </c>
      <c r="K158" s="128" t="s">
        <v>5</v>
      </c>
      <c r="L158" s="127">
        <v>0</v>
      </c>
      <c r="M158" s="128"/>
      <c r="N158" s="153">
        <f t="shared" si="15"/>
        <v>258300.00000000003</v>
      </c>
      <c r="O158" s="124"/>
      <c r="P158" s="124" t="s">
        <v>892</v>
      </c>
    </row>
    <row r="159" spans="1:16" ht="30" customHeight="1" x14ac:dyDescent="0.3">
      <c r="A159" s="131" t="s">
        <v>861</v>
      </c>
      <c r="B159" s="131" t="s">
        <v>877</v>
      </c>
      <c r="C159" s="132" t="s">
        <v>388</v>
      </c>
      <c r="D159" s="153">
        <v>0</v>
      </c>
      <c r="E159" s="128" t="s">
        <v>5</v>
      </c>
      <c r="F159" s="127">
        <v>292400</v>
      </c>
      <c r="G159" s="128" t="s">
        <v>5</v>
      </c>
      <c r="H159" s="127">
        <v>312200</v>
      </c>
      <c r="I159" s="128" t="s">
        <v>5</v>
      </c>
      <c r="J159" s="127">
        <v>334200</v>
      </c>
      <c r="K159" s="128" t="s">
        <v>5</v>
      </c>
      <c r="L159" s="127">
        <v>0</v>
      </c>
      <c r="M159" s="128"/>
      <c r="N159" s="153">
        <f t="shared" si="15"/>
        <v>292400</v>
      </c>
      <c r="O159" s="124"/>
      <c r="P159" s="124" t="s">
        <v>892</v>
      </c>
    </row>
    <row r="160" spans="1:16" ht="30" customHeight="1" x14ac:dyDescent="0.3">
      <c r="A160" s="131" t="s">
        <v>861</v>
      </c>
      <c r="B160" s="131" t="s">
        <v>878</v>
      </c>
      <c r="C160" s="132" t="s">
        <v>388</v>
      </c>
      <c r="D160" s="153">
        <v>0</v>
      </c>
      <c r="E160" s="128" t="s">
        <v>5</v>
      </c>
      <c r="F160" s="127">
        <v>318800</v>
      </c>
      <c r="G160" s="128" t="s">
        <v>5</v>
      </c>
      <c r="H160" s="127">
        <v>339700</v>
      </c>
      <c r="I160" s="128" t="s">
        <v>5</v>
      </c>
      <c r="J160" s="127">
        <v>340800</v>
      </c>
      <c r="K160" s="128" t="s">
        <v>5</v>
      </c>
      <c r="L160" s="127">
        <v>0</v>
      </c>
      <c r="M160" s="128"/>
      <c r="N160" s="153">
        <f t="shared" si="15"/>
        <v>318800</v>
      </c>
      <c r="O160" s="124"/>
      <c r="P160" s="124" t="s">
        <v>892</v>
      </c>
    </row>
    <row r="161" spans="1:16" ht="30" customHeight="1" x14ac:dyDescent="0.3">
      <c r="A161" s="131" t="s">
        <v>861</v>
      </c>
      <c r="B161" s="131" t="s">
        <v>879</v>
      </c>
      <c r="C161" s="132" t="s">
        <v>388</v>
      </c>
      <c r="D161" s="153">
        <v>0</v>
      </c>
      <c r="E161" s="128" t="s">
        <v>5</v>
      </c>
      <c r="F161" s="127">
        <v>278100</v>
      </c>
      <c r="G161" s="128" t="s">
        <v>5</v>
      </c>
      <c r="H161" s="127">
        <v>296800</v>
      </c>
      <c r="I161" s="128" t="s">
        <v>5</v>
      </c>
      <c r="J161" s="127">
        <v>351800</v>
      </c>
      <c r="K161" s="128" t="s">
        <v>5</v>
      </c>
      <c r="L161" s="127">
        <v>0</v>
      </c>
      <c r="M161" s="128"/>
      <c r="N161" s="153">
        <f t="shared" si="15"/>
        <v>278100</v>
      </c>
      <c r="O161" s="124"/>
      <c r="P161" s="124" t="s">
        <v>892</v>
      </c>
    </row>
    <row r="162" spans="1:16" ht="30" customHeight="1" x14ac:dyDescent="0.3">
      <c r="A162" s="131" t="s">
        <v>861</v>
      </c>
      <c r="B162" s="131" t="s">
        <v>880</v>
      </c>
      <c r="C162" s="132" t="s">
        <v>388</v>
      </c>
      <c r="D162" s="153">
        <v>0</v>
      </c>
      <c r="E162" s="128" t="s">
        <v>5</v>
      </c>
      <c r="F162" s="127">
        <v>315500</v>
      </c>
      <c r="G162" s="128" t="s">
        <v>5</v>
      </c>
      <c r="H162" s="127">
        <v>337500</v>
      </c>
      <c r="I162" s="128" t="s">
        <v>5</v>
      </c>
      <c r="J162" s="127">
        <v>352900</v>
      </c>
      <c r="K162" s="128" t="s">
        <v>5</v>
      </c>
      <c r="L162" s="127">
        <v>0</v>
      </c>
      <c r="M162" s="128"/>
      <c r="N162" s="153">
        <f t="shared" si="15"/>
        <v>315500</v>
      </c>
      <c r="O162" s="124"/>
      <c r="P162" s="124" t="s">
        <v>892</v>
      </c>
    </row>
    <row r="163" spans="1:16" ht="30" customHeight="1" x14ac:dyDescent="0.3">
      <c r="A163" s="131" t="s">
        <v>861</v>
      </c>
      <c r="B163" s="131" t="s">
        <v>881</v>
      </c>
      <c r="C163" s="132" t="s">
        <v>388</v>
      </c>
      <c r="D163" s="153">
        <v>0</v>
      </c>
      <c r="E163" s="128" t="s">
        <v>5</v>
      </c>
      <c r="F163" s="127">
        <v>345200</v>
      </c>
      <c r="G163" s="128" t="s">
        <v>5</v>
      </c>
      <c r="H163" s="127">
        <v>369400.00000000006</v>
      </c>
      <c r="I163" s="128" t="s">
        <v>5</v>
      </c>
      <c r="J163" s="127">
        <v>355100</v>
      </c>
      <c r="K163" s="128" t="s">
        <v>5</v>
      </c>
      <c r="L163" s="127">
        <v>0</v>
      </c>
      <c r="M163" s="128"/>
      <c r="N163" s="153">
        <f t="shared" si="15"/>
        <v>345200</v>
      </c>
      <c r="O163" s="124"/>
      <c r="P163" s="124" t="s">
        <v>892</v>
      </c>
    </row>
    <row r="164" spans="1:16" ht="30" customHeight="1" x14ac:dyDescent="0.3">
      <c r="A164" s="131" t="s">
        <v>861</v>
      </c>
      <c r="B164" s="131" t="s">
        <v>882</v>
      </c>
      <c r="C164" s="132" t="s">
        <v>388</v>
      </c>
      <c r="D164" s="153">
        <v>0</v>
      </c>
      <c r="E164" s="128" t="s">
        <v>5</v>
      </c>
      <c r="F164" s="127">
        <v>308900</v>
      </c>
      <c r="G164" s="128" t="s">
        <v>5</v>
      </c>
      <c r="H164" s="127">
        <v>330900</v>
      </c>
      <c r="I164" s="128" t="s">
        <v>5</v>
      </c>
      <c r="J164" s="127">
        <v>363900.00000000006</v>
      </c>
      <c r="K164" s="128" t="s">
        <v>5</v>
      </c>
      <c r="L164" s="127">
        <v>0</v>
      </c>
      <c r="M164" s="128"/>
      <c r="N164" s="153">
        <f t="shared" si="15"/>
        <v>308900</v>
      </c>
      <c r="O164" s="124"/>
      <c r="P164" s="124" t="s">
        <v>892</v>
      </c>
    </row>
    <row r="165" spans="1:16" ht="30" customHeight="1" x14ac:dyDescent="0.3">
      <c r="A165" s="131" t="s">
        <v>861</v>
      </c>
      <c r="B165" s="131" t="s">
        <v>883</v>
      </c>
      <c r="C165" s="132" t="s">
        <v>388</v>
      </c>
      <c r="D165" s="153">
        <v>0</v>
      </c>
      <c r="E165" s="128" t="s">
        <v>5</v>
      </c>
      <c r="F165" s="127">
        <v>329800</v>
      </c>
      <c r="G165" s="128" t="s">
        <v>5</v>
      </c>
      <c r="H165" s="127">
        <v>354000</v>
      </c>
      <c r="I165" s="128" t="s">
        <v>5</v>
      </c>
      <c r="J165" s="127">
        <v>422200.00000000006</v>
      </c>
      <c r="K165" s="128" t="s">
        <v>5</v>
      </c>
      <c r="L165" s="127">
        <v>0</v>
      </c>
      <c r="M165" s="128"/>
      <c r="N165" s="153">
        <f t="shared" si="15"/>
        <v>329800</v>
      </c>
      <c r="O165" s="124"/>
      <c r="P165" s="124" t="s">
        <v>892</v>
      </c>
    </row>
    <row r="166" spans="1:16" ht="30" customHeight="1" x14ac:dyDescent="0.3">
      <c r="A166" s="131" t="s">
        <v>861</v>
      </c>
      <c r="B166" s="131" t="s">
        <v>884</v>
      </c>
      <c r="C166" s="132" t="s">
        <v>388</v>
      </c>
      <c r="D166" s="153">
        <v>0</v>
      </c>
      <c r="E166" s="128" t="s">
        <v>5</v>
      </c>
      <c r="F166" s="127">
        <v>356200</v>
      </c>
      <c r="G166" s="128" t="s">
        <v>5</v>
      </c>
      <c r="H166" s="127">
        <v>381500.00000000006</v>
      </c>
      <c r="I166" s="128" t="s">
        <v>5</v>
      </c>
      <c r="J166" s="127">
        <v>438700.00000000006</v>
      </c>
      <c r="K166" s="128" t="s">
        <v>5</v>
      </c>
      <c r="L166" s="127">
        <v>0</v>
      </c>
      <c r="M166" s="128"/>
      <c r="N166" s="153">
        <f t="shared" si="15"/>
        <v>356200</v>
      </c>
      <c r="O166" s="124"/>
      <c r="P166" s="124" t="s">
        <v>892</v>
      </c>
    </row>
    <row r="167" spans="1:16" ht="30" customHeight="1" x14ac:dyDescent="0.3">
      <c r="A167" s="131" t="s">
        <v>861</v>
      </c>
      <c r="B167" s="131" t="s">
        <v>885</v>
      </c>
      <c r="C167" s="132" t="s">
        <v>388</v>
      </c>
      <c r="D167" s="153">
        <v>0</v>
      </c>
      <c r="E167" s="128" t="s">
        <v>5</v>
      </c>
      <c r="F167" s="127">
        <v>368300.00000000006</v>
      </c>
      <c r="G167" s="128" t="s">
        <v>5</v>
      </c>
      <c r="H167" s="127">
        <v>393600.00000000006</v>
      </c>
      <c r="I167" s="128" t="s">
        <v>5</v>
      </c>
      <c r="J167" s="127">
        <v>448600.00000000006</v>
      </c>
      <c r="K167" s="128" t="s">
        <v>5</v>
      </c>
      <c r="L167" s="127">
        <v>0</v>
      </c>
      <c r="M167" s="128"/>
      <c r="N167" s="153">
        <f t="shared" si="15"/>
        <v>368300.00000000006</v>
      </c>
      <c r="O167" s="124"/>
      <c r="P167" s="124" t="s">
        <v>892</v>
      </c>
    </row>
    <row r="168" spans="1:16" ht="30" customHeight="1" x14ac:dyDescent="0.3">
      <c r="A168" s="131" t="s">
        <v>861</v>
      </c>
      <c r="B168" s="131" t="s">
        <v>886</v>
      </c>
      <c r="C168" s="132" t="s">
        <v>388</v>
      </c>
      <c r="D168" s="153">
        <v>0</v>
      </c>
      <c r="E168" s="128" t="s">
        <v>5</v>
      </c>
      <c r="F168" s="127">
        <v>374900.00000000006</v>
      </c>
      <c r="G168" s="128" t="s">
        <v>5</v>
      </c>
      <c r="H168" s="127">
        <v>400200.00000000006</v>
      </c>
      <c r="I168" s="128" t="s">
        <v>5</v>
      </c>
      <c r="J168" s="127">
        <v>479400.00000000006</v>
      </c>
      <c r="K168" s="128" t="s">
        <v>5</v>
      </c>
      <c r="L168" s="127">
        <v>0</v>
      </c>
      <c r="M168" s="128"/>
      <c r="N168" s="153">
        <f t="shared" si="15"/>
        <v>374900.00000000006</v>
      </c>
      <c r="O168" s="124"/>
      <c r="P168" s="124" t="s">
        <v>892</v>
      </c>
    </row>
    <row r="169" spans="1:16" ht="30" customHeight="1" x14ac:dyDescent="0.3">
      <c r="A169" s="131" t="s">
        <v>861</v>
      </c>
      <c r="B169" s="131" t="s">
        <v>887</v>
      </c>
      <c r="C169" s="132" t="s">
        <v>388</v>
      </c>
      <c r="D169" s="153">
        <v>0</v>
      </c>
      <c r="E169" s="128" t="s">
        <v>5</v>
      </c>
      <c r="F169" s="127">
        <v>345200</v>
      </c>
      <c r="G169" s="128" t="s">
        <v>5</v>
      </c>
      <c r="H169" s="127">
        <v>369400.00000000006</v>
      </c>
      <c r="I169" s="128" t="s">
        <v>5</v>
      </c>
      <c r="J169" s="127">
        <v>483800.00000000006</v>
      </c>
      <c r="K169" s="128" t="s">
        <v>5</v>
      </c>
      <c r="L169" s="127">
        <v>0</v>
      </c>
      <c r="M169" s="128"/>
      <c r="N169" s="153">
        <f t="shared" si="15"/>
        <v>345200</v>
      </c>
      <c r="O169" s="124"/>
      <c r="P169" s="124" t="s">
        <v>892</v>
      </c>
    </row>
    <row r="170" spans="1:16" ht="30" customHeight="1" x14ac:dyDescent="0.3">
      <c r="A170" s="131" t="s">
        <v>861</v>
      </c>
      <c r="B170" s="131" t="s">
        <v>888</v>
      </c>
      <c r="C170" s="132" t="s">
        <v>388</v>
      </c>
      <c r="D170" s="153">
        <v>0</v>
      </c>
      <c r="E170" s="128" t="s">
        <v>5</v>
      </c>
      <c r="F170" s="127">
        <v>400200.00000000006</v>
      </c>
      <c r="G170" s="128" t="s">
        <v>5</v>
      </c>
      <c r="H170" s="127">
        <v>429900.00000000006</v>
      </c>
      <c r="I170" s="128" t="s">
        <v>5</v>
      </c>
      <c r="J170" s="127">
        <v>505800.00000000006</v>
      </c>
      <c r="K170" s="128" t="s">
        <v>5</v>
      </c>
      <c r="L170" s="127">
        <v>0</v>
      </c>
      <c r="M170" s="128"/>
      <c r="N170" s="153">
        <f t="shared" si="15"/>
        <v>400200.00000000006</v>
      </c>
      <c r="O170" s="124"/>
      <c r="P170" s="124" t="s">
        <v>892</v>
      </c>
    </row>
    <row r="171" spans="1:16" ht="30" customHeight="1" x14ac:dyDescent="0.3">
      <c r="A171" s="131" t="s">
        <v>861</v>
      </c>
      <c r="B171" s="131" t="s">
        <v>889</v>
      </c>
      <c r="C171" s="132" t="s">
        <v>388</v>
      </c>
      <c r="D171" s="153">
        <v>0</v>
      </c>
      <c r="E171" s="128" t="s">
        <v>5</v>
      </c>
      <c r="F171" s="127">
        <v>457400.00000000006</v>
      </c>
      <c r="G171" s="128" t="s">
        <v>5</v>
      </c>
      <c r="H171" s="127">
        <v>490400.00000000006</v>
      </c>
      <c r="I171" s="128" t="s">
        <v>5</v>
      </c>
      <c r="J171" s="127">
        <v>571800</v>
      </c>
      <c r="K171" s="128" t="s">
        <v>5</v>
      </c>
      <c r="L171" s="127">
        <v>0</v>
      </c>
      <c r="M171" s="128"/>
      <c r="N171" s="153">
        <f t="shared" si="15"/>
        <v>457400.00000000006</v>
      </c>
      <c r="O171" s="124"/>
      <c r="P171" s="124" t="s">
        <v>892</v>
      </c>
    </row>
    <row r="172" spans="1:16" ht="30" customHeight="1" x14ac:dyDescent="0.3">
      <c r="A172" s="131" t="s">
        <v>861</v>
      </c>
      <c r="B172" s="131" t="s">
        <v>389</v>
      </c>
      <c r="C172" s="132" t="s">
        <v>388</v>
      </c>
      <c r="D172" s="153">
        <v>0</v>
      </c>
      <c r="E172" s="128" t="s">
        <v>5</v>
      </c>
      <c r="F172" s="127">
        <v>98800.000000000015</v>
      </c>
      <c r="G172" s="128" t="s">
        <v>5</v>
      </c>
      <c r="H172" s="127">
        <v>104300.00000000001</v>
      </c>
      <c r="I172" s="128" t="s">
        <v>5</v>
      </c>
      <c r="J172" s="127">
        <v>109800.00000000001</v>
      </c>
      <c r="K172" s="128" t="s">
        <v>5</v>
      </c>
      <c r="L172" s="127">
        <v>0</v>
      </c>
      <c r="M172" s="128"/>
      <c r="N172" s="153">
        <f t="shared" si="15"/>
        <v>98800.000000000015</v>
      </c>
      <c r="O172" s="124"/>
      <c r="P172" s="124" t="s">
        <v>892</v>
      </c>
    </row>
    <row r="173" spans="1:16" ht="30" customHeight="1" x14ac:dyDescent="0.3">
      <c r="A173" s="131" t="s">
        <v>861</v>
      </c>
      <c r="B173" s="131" t="s">
        <v>390</v>
      </c>
      <c r="C173" s="132" t="s">
        <v>388</v>
      </c>
      <c r="D173" s="153">
        <v>0</v>
      </c>
      <c r="E173" s="128" t="s">
        <v>5</v>
      </c>
      <c r="F173" s="127">
        <v>134000</v>
      </c>
      <c r="G173" s="128" t="s">
        <v>5</v>
      </c>
      <c r="H173" s="127">
        <v>142800</v>
      </c>
      <c r="I173" s="128" t="s">
        <v>5</v>
      </c>
      <c r="J173" s="127">
        <v>158200</v>
      </c>
      <c r="K173" s="128" t="s">
        <v>5</v>
      </c>
      <c r="L173" s="127">
        <v>0</v>
      </c>
      <c r="M173" s="128"/>
      <c r="N173" s="153">
        <f t="shared" si="15"/>
        <v>134000</v>
      </c>
      <c r="O173" s="124"/>
      <c r="P173" s="124" t="s">
        <v>892</v>
      </c>
    </row>
    <row r="174" spans="1:16" ht="30" customHeight="1" x14ac:dyDescent="0.3">
      <c r="A174" s="131" t="s">
        <v>861</v>
      </c>
      <c r="B174" s="131" t="s">
        <v>391</v>
      </c>
      <c r="C174" s="132" t="s">
        <v>388</v>
      </c>
      <c r="D174" s="153">
        <v>0</v>
      </c>
      <c r="E174" s="128" t="s">
        <v>5</v>
      </c>
      <c r="F174" s="127">
        <v>167000</v>
      </c>
      <c r="G174" s="128" t="s">
        <v>5</v>
      </c>
      <c r="H174" s="127">
        <v>178000</v>
      </c>
      <c r="I174" s="128" t="s">
        <v>5</v>
      </c>
      <c r="J174" s="127">
        <v>184600.00000000003</v>
      </c>
      <c r="K174" s="128" t="s">
        <v>5</v>
      </c>
      <c r="L174" s="127">
        <v>0</v>
      </c>
      <c r="M174" s="128"/>
      <c r="N174" s="153">
        <f t="shared" si="15"/>
        <v>167000</v>
      </c>
      <c r="O174" s="124"/>
      <c r="P174" s="124" t="s">
        <v>892</v>
      </c>
    </row>
    <row r="175" spans="1:16" ht="30" customHeight="1" x14ac:dyDescent="0.3">
      <c r="A175" s="131" t="s">
        <v>861</v>
      </c>
      <c r="B175" s="131" t="s">
        <v>392</v>
      </c>
      <c r="C175" s="132" t="s">
        <v>388</v>
      </c>
      <c r="D175" s="153">
        <v>0</v>
      </c>
      <c r="E175" s="128" t="s">
        <v>5</v>
      </c>
      <c r="F175" s="127">
        <v>200000.00000000003</v>
      </c>
      <c r="G175" s="128" t="s">
        <v>5</v>
      </c>
      <c r="H175" s="127">
        <v>212100.00000000003</v>
      </c>
      <c r="I175" s="128" t="s">
        <v>5</v>
      </c>
      <c r="J175" s="127">
        <v>213200.00000000003</v>
      </c>
      <c r="K175" s="128" t="s">
        <v>5</v>
      </c>
      <c r="L175" s="127">
        <v>0</v>
      </c>
      <c r="M175" s="128"/>
      <c r="N175" s="153">
        <f t="shared" si="15"/>
        <v>200000.00000000003</v>
      </c>
      <c r="O175" s="124"/>
      <c r="P175" s="124" t="s">
        <v>892</v>
      </c>
    </row>
    <row r="176" spans="1:16" ht="30" customHeight="1" x14ac:dyDescent="0.3">
      <c r="A176" s="131" t="s">
        <v>861</v>
      </c>
      <c r="B176" s="131" t="s">
        <v>393</v>
      </c>
      <c r="C176" s="132" t="s">
        <v>388</v>
      </c>
      <c r="D176" s="153">
        <v>0</v>
      </c>
      <c r="E176" s="128" t="s">
        <v>5</v>
      </c>
      <c r="F176" s="127">
        <v>208800.00000000003</v>
      </c>
      <c r="G176" s="128" t="s">
        <v>5</v>
      </c>
      <c r="H176" s="127">
        <v>222000.00000000003</v>
      </c>
      <c r="I176" s="128" t="s">
        <v>5</v>
      </c>
      <c r="J176" s="127">
        <v>216500.00000000003</v>
      </c>
      <c r="K176" s="128" t="s">
        <v>5</v>
      </c>
      <c r="L176" s="127">
        <v>0</v>
      </c>
      <c r="M176" s="128"/>
      <c r="N176" s="153">
        <f t="shared" si="15"/>
        <v>208800.00000000003</v>
      </c>
      <c r="O176" s="124"/>
      <c r="P176" s="124" t="s">
        <v>892</v>
      </c>
    </row>
    <row r="177" spans="1:16" ht="30" customHeight="1" x14ac:dyDescent="0.3">
      <c r="A177" s="131" t="s">
        <v>861</v>
      </c>
      <c r="B177" s="131" t="s">
        <v>394</v>
      </c>
      <c r="C177" s="132" t="s">
        <v>388</v>
      </c>
      <c r="D177" s="153">
        <v>0</v>
      </c>
      <c r="E177" s="128" t="s">
        <v>5</v>
      </c>
      <c r="F177" s="127">
        <v>259400.00000000003</v>
      </c>
      <c r="G177" s="128" t="s">
        <v>5</v>
      </c>
      <c r="H177" s="127">
        <v>277000</v>
      </c>
      <c r="I177" s="128" t="s">
        <v>5</v>
      </c>
      <c r="J177" s="127">
        <v>279200</v>
      </c>
      <c r="K177" s="128" t="s">
        <v>5</v>
      </c>
      <c r="L177" s="127">
        <v>0</v>
      </c>
      <c r="M177" s="128"/>
      <c r="N177" s="153">
        <f t="shared" si="15"/>
        <v>259400.00000000003</v>
      </c>
      <c r="O177" s="124"/>
      <c r="P177" s="124" t="s">
        <v>892</v>
      </c>
    </row>
    <row r="178" spans="1:16" ht="30" customHeight="1" x14ac:dyDescent="0.3">
      <c r="A178" s="131" t="s">
        <v>861</v>
      </c>
      <c r="B178" s="131" t="s">
        <v>395</v>
      </c>
      <c r="C178" s="132" t="s">
        <v>388</v>
      </c>
      <c r="D178" s="153">
        <v>0</v>
      </c>
      <c r="E178" s="128" t="s">
        <v>5</v>
      </c>
      <c r="F178" s="127">
        <v>280300</v>
      </c>
      <c r="G178" s="128" t="s">
        <v>5</v>
      </c>
      <c r="H178" s="127">
        <v>299000</v>
      </c>
      <c r="I178" s="128" t="s">
        <v>5</v>
      </c>
      <c r="J178" s="127">
        <v>296800</v>
      </c>
      <c r="K178" s="128" t="s">
        <v>5</v>
      </c>
      <c r="L178" s="127">
        <v>0</v>
      </c>
      <c r="M178" s="128"/>
      <c r="N178" s="153">
        <f t="shared" si="15"/>
        <v>280300</v>
      </c>
      <c r="O178" s="124"/>
      <c r="P178" s="124" t="s">
        <v>892</v>
      </c>
    </row>
    <row r="179" spans="1:16" ht="30" customHeight="1" x14ac:dyDescent="0.3">
      <c r="A179" s="131" t="s">
        <v>861</v>
      </c>
      <c r="B179" s="131" t="s">
        <v>396</v>
      </c>
      <c r="C179" s="132" t="s">
        <v>388</v>
      </c>
      <c r="D179" s="153">
        <v>0</v>
      </c>
      <c r="E179" s="128" t="s">
        <v>5</v>
      </c>
      <c r="F179" s="127">
        <v>286900</v>
      </c>
      <c r="G179" s="128" t="s">
        <v>5</v>
      </c>
      <c r="H179" s="127">
        <v>305600</v>
      </c>
      <c r="I179" s="128" t="s">
        <v>5</v>
      </c>
      <c r="J179" s="127">
        <v>317700</v>
      </c>
      <c r="K179" s="128" t="s">
        <v>5</v>
      </c>
      <c r="L179" s="127">
        <v>0</v>
      </c>
      <c r="M179" s="128"/>
      <c r="N179" s="153">
        <f t="shared" si="15"/>
        <v>286900</v>
      </c>
      <c r="O179" s="124"/>
      <c r="P179" s="124" t="s">
        <v>892</v>
      </c>
    </row>
    <row r="180" spans="1:16" ht="30" customHeight="1" x14ac:dyDescent="0.3">
      <c r="A180" s="131" t="s">
        <v>861</v>
      </c>
      <c r="B180" s="131" t="s">
        <v>397</v>
      </c>
      <c r="C180" s="132" t="s">
        <v>388</v>
      </c>
      <c r="D180" s="153">
        <v>0</v>
      </c>
      <c r="E180" s="128" t="s">
        <v>5</v>
      </c>
      <c r="F180" s="127">
        <v>322100</v>
      </c>
      <c r="G180" s="128" t="s">
        <v>5</v>
      </c>
      <c r="H180" s="127">
        <v>345200</v>
      </c>
      <c r="I180" s="128" t="s">
        <v>5</v>
      </c>
      <c r="J180" s="127">
        <v>337500</v>
      </c>
      <c r="K180" s="128" t="s">
        <v>5</v>
      </c>
      <c r="L180" s="127">
        <v>0</v>
      </c>
      <c r="M180" s="128"/>
      <c r="N180" s="153">
        <f t="shared" si="15"/>
        <v>322100</v>
      </c>
      <c r="O180" s="124"/>
      <c r="P180" s="124" t="s">
        <v>892</v>
      </c>
    </row>
    <row r="181" spans="1:16" ht="30" customHeight="1" x14ac:dyDescent="0.3">
      <c r="A181" s="131" t="s">
        <v>861</v>
      </c>
      <c r="B181" s="131" t="s">
        <v>398</v>
      </c>
      <c r="C181" s="132" t="s">
        <v>388</v>
      </c>
      <c r="D181" s="153">
        <v>0</v>
      </c>
      <c r="E181" s="128" t="s">
        <v>5</v>
      </c>
      <c r="F181" s="127">
        <v>338600</v>
      </c>
      <c r="G181" s="128" t="s">
        <v>5</v>
      </c>
      <c r="H181" s="127">
        <v>362800.00000000006</v>
      </c>
      <c r="I181" s="128" t="s">
        <v>5</v>
      </c>
      <c r="J181" s="127">
        <v>345200</v>
      </c>
      <c r="K181" s="128" t="s">
        <v>5</v>
      </c>
      <c r="L181" s="127">
        <v>0</v>
      </c>
      <c r="M181" s="128"/>
      <c r="N181" s="153">
        <f t="shared" si="15"/>
        <v>338600</v>
      </c>
      <c r="O181" s="124"/>
      <c r="P181" s="124" t="s">
        <v>892</v>
      </c>
    </row>
    <row r="182" spans="1:16" ht="30" customHeight="1" x14ac:dyDescent="0.3">
      <c r="A182" s="131" t="s">
        <v>861</v>
      </c>
      <c r="B182" s="131" t="s">
        <v>399</v>
      </c>
      <c r="C182" s="132" t="s">
        <v>388</v>
      </c>
      <c r="D182" s="153">
        <v>0</v>
      </c>
      <c r="E182" s="128" t="s">
        <v>5</v>
      </c>
      <c r="F182" s="127">
        <v>365000.00000000006</v>
      </c>
      <c r="G182" s="128" t="s">
        <v>5</v>
      </c>
      <c r="H182" s="127">
        <v>390300.00000000006</v>
      </c>
      <c r="I182" s="128" t="s">
        <v>5</v>
      </c>
      <c r="J182" s="127">
        <v>389200.00000000006</v>
      </c>
      <c r="K182" s="128" t="s">
        <v>5</v>
      </c>
      <c r="L182" s="127">
        <v>0</v>
      </c>
      <c r="M182" s="128"/>
      <c r="N182" s="153">
        <f t="shared" si="15"/>
        <v>365000.00000000006</v>
      </c>
      <c r="O182" s="124"/>
      <c r="P182" s="124" t="s">
        <v>892</v>
      </c>
    </row>
    <row r="183" spans="1:16" ht="30" customHeight="1" x14ac:dyDescent="0.3">
      <c r="A183" s="131" t="s">
        <v>861</v>
      </c>
      <c r="B183" s="131" t="s">
        <v>400</v>
      </c>
      <c r="C183" s="132" t="s">
        <v>388</v>
      </c>
      <c r="D183" s="153">
        <v>0</v>
      </c>
      <c r="E183" s="128" t="s">
        <v>5</v>
      </c>
      <c r="F183" s="127">
        <v>354000</v>
      </c>
      <c r="G183" s="128" t="s">
        <v>5</v>
      </c>
      <c r="H183" s="127">
        <v>378200.00000000006</v>
      </c>
      <c r="I183" s="128" t="s">
        <v>5</v>
      </c>
      <c r="J183" s="127">
        <v>395800.00000000006</v>
      </c>
      <c r="K183" s="128" t="s">
        <v>5</v>
      </c>
      <c r="L183" s="127">
        <v>0</v>
      </c>
      <c r="M183" s="128"/>
      <c r="N183" s="153">
        <f t="shared" si="15"/>
        <v>354000</v>
      </c>
      <c r="O183" s="124"/>
      <c r="P183" s="124" t="s">
        <v>892</v>
      </c>
    </row>
    <row r="184" spans="1:16" ht="30" customHeight="1" x14ac:dyDescent="0.3">
      <c r="A184" s="131" t="s">
        <v>861</v>
      </c>
      <c r="B184" s="131" t="s">
        <v>401</v>
      </c>
      <c r="C184" s="132" t="s">
        <v>388</v>
      </c>
      <c r="D184" s="153">
        <v>0</v>
      </c>
      <c r="E184" s="128" t="s">
        <v>5</v>
      </c>
      <c r="F184" s="127">
        <v>399100.00000000006</v>
      </c>
      <c r="G184" s="128" t="s">
        <v>5</v>
      </c>
      <c r="H184" s="127">
        <v>427700.00000000006</v>
      </c>
      <c r="I184" s="128" t="s">
        <v>5</v>
      </c>
      <c r="J184" s="127">
        <v>461800.00000000006</v>
      </c>
      <c r="K184" s="128" t="s">
        <v>5</v>
      </c>
      <c r="L184" s="127">
        <v>0</v>
      </c>
      <c r="M184" s="128"/>
      <c r="N184" s="153">
        <f t="shared" si="15"/>
        <v>399100.00000000006</v>
      </c>
      <c r="O184" s="124"/>
      <c r="P184" s="124" t="s">
        <v>892</v>
      </c>
    </row>
    <row r="185" spans="1:16" ht="30" customHeight="1" x14ac:dyDescent="0.3">
      <c r="A185" s="131" t="s">
        <v>861</v>
      </c>
      <c r="B185" s="131" t="s">
        <v>402</v>
      </c>
      <c r="C185" s="132" t="s">
        <v>388</v>
      </c>
      <c r="D185" s="153">
        <v>0</v>
      </c>
      <c r="E185" s="128" t="s">
        <v>5</v>
      </c>
      <c r="F185" s="127">
        <v>437600.00000000006</v>
      </c>
      <c r="G185" s="128" t="s">
        <v>5</v>
      </c>
      <c r="H185" s="127">
        <v>467300.00000000006</v>
      </c>
      <c r="I185" s="128" t="s">
        <v>5</v>
      </c>
      <c r="J185" s="127">
        <v>482700.00000000006</v>
      </c>
      <c r="K185" s="128" t="s">
        <v>5</v>
      </c>
      <c r="L185" s="127">
        <v>0</v>
      </c>
      <c r="M185" s="128"/>
      <c r="N185" s="153">
        <f t="shared" si="15"/>
        <v>437600.00000000006</v>
      </c>
      <c r="O185" s="124"/>
      <c r="P185" s="124" t="s">
        <v>892</v>
      </c>
    </row>
    <row r="186" spans="1:16" ht="30" customHeight="1" x14ac:dyDescent="0.3">
      <c r="A186" s="131" t="s">
        <v>861</v>
      </c>
      <c r="B186" s="131" t="s">
        <v>403</v>
      </c>
      <c r="C186" s="132" t="s">
        <v>388</v>
      </c>
      <c r="D186" s="153">
        <v>0</v>
      </c>
      <c r="E186" s="128" t="s">
        <v>5</v>
      </c>
      <c r="F186" s="127">
        <v>400200.00000000006</v>
      </c>
      <c r="G186" s="128" t="s">
        <v>5</v>
      </c>
      <c r="H186" s="127">
        <v>428800.00000000006</v>
      </c>
      <c r="I186" s="128" t="s">
        <v>5</v>
      </c>
      <c r="J186" s="127">
        <v>488200.00000000006</v>
      </c>
      <c r="K186" s="128" t="s">
        <v>5</v>
      </c>
      <c r="L186" s="127">
        <v>0</v>
      </c>
      <c r="M186" s="128"/>
      <c r="N186" s="153">
        <f t="shared" si="15"/>
        <v>400200.00000000006</v>
      </c>
      <c r="O186" s="124"/>
      <c r="P186" s="124" t="s">
        <v>892</v>
      </c>
    </row>
    <row r="187" spans="1:16" ht="30" customHeight="1" x14ac:dyDescent="0.3">
      <c r="A187" s="131" t="s">
        <v>861</v>
      </c>
      <c r="B187" s="131" t="s">
        <v>404</v>
      </c>
      <c r="C187" s="132" t="s">
        <v>388</v>
      </c>
      <c r="D187" s="153">
        <v>0</v>
      </c>
      <c r="E187" s="128" t="s">
        <v>5</v>
      </c>
      <c r="F187" s="127">
        <v>464000.00000000006</v>
      </c>
      <c r="G187" s="128" t="s">
        <v>5</v>
      </c>
      <c r="H187" s="127">
        <v>495900.00000000006</v>
      </c>
      <c r="I187" s="128" t="s">
        <v>5</v>
      </c>
      <c r="J187" s="127">
        <v>506900.00000000006</v>
      </c>
      <c r="K187" s="128" t="s">
        <v>5</v>
      </c>
      <c r="L187" s="127">
        <v>0</v>
      </c>
      <c r="M187" s="128"/>
      <c r="N187" s="153">
        <f t="shared" si="15"/>
        <v>464000.00000000006</v>
      </c>
      <c r="O187" s="124"/>
      <c r="P187" s="124" t="s">
        <v>892</v>
      </c>
    </row>
    <row r="188" spans="1:16" ht="30" customHeight="1" x14ac:dyDescent="0.3">
      <c r="A188" s="131" t="s">
        <v>861</v>
      </c>
      <c r="B188" s="131" t="s">
        <v>405</v>
      </c>
      <c r="C188" s="132" t="s">
        <v>388</v>
      </c>
      <c r="D188" s="153">
        <v>0</v>
      </c>
      <c r="E188" s="128" t="s">
        <v>5</v>
      </c>
      <c r="F188" s="127">
        <v>516800.00000000006</v>
      </c>
      <c r="G188" s="128" t="s">
        <v>5</v>
      </c>
      <c r="H188" s="127">
        <v>554200</v>
      </c>
      <c r="I188" s="128" t="s">
        <v>5</v>
      </c>
      <c r="J188" s="127">
        <v>536600</v>
      </c>
      <c r="K188" s="128" t="s">
        <v>5</v>
      </c>
      <c r="L188" s="127">
        <v>0</v>
      </c>
      <c r="M188" s="128"/>
      <c r="N188" s="153">
        <f t="shared" si="15"/>
        <v>516800.00000000006</v>
      </c>
      <c r="O188" s="124"/>
      <c r="P188" s="124" t="s">
        <v>892</v>
      </c>
    </row>
    <row r="189" spans="1:16" ht="30" customHeight="1" x14ac:dyDescent="0.3">
      <c r="A189" s="131" t="s">
        <v>861</v>
      </c>
      <c r="B189" s="131" t="s">
        <v>406</v>
      </c>
      <c r="C189" s="132" t="s">
        <v>388</v>
      </c>
      <c r="D189" s="153">
        <v>0</v>
      </c>
      <c r="E189" s="128" t="s">
        <v>5</v>
      </c>
      <c r="F189" s="127">
        <v>423300.00000000006</v>
      </c>
      <c r="G189" s="128" t="s">
        <v>5</v>
      </c>
      <c r="H189" s="127">
        <v>453000.00000000006</v>
      </c>
      <c r="I189" s="128" t="s">
        <v>5</v>
      </c>
      <c r="J189" s="127">
        <v>555300</v>
      </c>
      <c r="K189" s="128" t="s">
        <v>5</v>
      </c>
      <c r="L189" s="127">
        <v>0</v>
      </c>
      <c r="M189" s="128"/>
      <c r="N189" s="153">
        <f t="shared" si="15"/>
        <v>423300.00000000006</v>
      </c>
      <c r="O189" s="124"/>
      <c r="P189" s="124" t="s">
        <v>892</v>
      </c>
    </row>
    <row r="190" spans="1:16" ht="30" customHeight="1" x14ac:dyDescent="0.3">
      <c r="A190" s="131" t="s">
        <v>861</v>
      </c>
      <c r="B190" s="131" t="s">
        <v>407</v>
      </c>
      <c r="C190" s="132" t="s">
        <v>388</v>
      </c>
      <c r="D190" s="153">
        <v>0</v>
      </c>
      <c r="E190" s="128" t="s">
        <v>5</v>
      </c>
      <c r="F190" s="127">
        <v>487100.00000000006</v>
      </c>
      <c r="G190" s="128" t="s">
        <v>5</v>
      </c>
      <c r="H190" s="127">
        <v>521200.00000000006</v>
      </c>
      <c r="I190" s="128" t="s">
        <v>5</v>
      </c>
      <c r="J190" s="127">
        <v>570700</v>
      </c>
      <c r="K190" s="128" t="s">
        <v>5</v>
      </c>
      <c r="L190" s="127">
        <v>0</v>
      </c>
      <c r="M190" s="128"/>
      <c r="N190" s="153">
        <f t="shared" si="15"/>
        <v>487100.00000000006</v>
      </c>
      <c r="O190" s="124"/>
      <c r="P190" s="124" t="s">
        <v>892</v>
      </c>
    </row>
    <row r="191" spans="1:16" ht="30" customHeight="1" x14ac:dyDescent="0.3">
      <c r="A191" s="131" t="s">
        <v>861</v>
      </c>
      <c r="B191" s="131" t="s">
        <v>408</v>
      </c>
      <c r="C191" s="132" t="s">
        <v>388</v>
      </c>
      <c r="D191" s="153">
        <v>0</v>
      </c>
      <c r="E191" s="128" t="s">
        <v>5</v>
      </c>
      <c r="F191" s="127">
        <v>542100</v>
      </c>
      <c r="G191" s="128" t="s">
        <v>5</v>
      </c>
      <c r="H191" s="127">
        <v>580600</v>
      </c>
      <c r="I191" s="128" t="s">
        <v>5</v>
      </c>
      <c r="J191" s="127">
        <v>585000</v>
      </c>
      <c r="K191" s="128" t="s">
        <v>5</v>
      </c>
      <c r="L191" s="127">
        <v>0</v>
      </c>
      <c r="M191" s="128"/>
      <c r="N191" s="153">
        <f t="shared" si="15"/>
        <v>542100</v>
      </c>
      <c r="O191" s="124"/>
      <c r="P191" s="124" t="s">
        <v>892</v>
      </c>
    </row>
    <row r="192" spans="1:16" ht="30" customHeight="1" x14ac:dyDescent="0.3">
      <c r="A192" s="131" t="s">
        <v>861</v>
      </c>
      <c r="B192" s="131" t="s">
        <v>409</v>
      </c>
      <c r="C192" s="132" t="s">
        <v>388</v>
      </c>
      <c r="D192" s="153">
        <v>0</v>
      </c>
      <c r="E192" s="128" t="s">
        <v>5</v>
      </c>
      <c r="F192" s="127">
        <v>476100.00000000006</v>
      </c>
      <c r="G192" s="128" t="s">
        <v>5</v>
      </c>
      <c r="H192" s="127">
        <v>509100.00000000006</v>
      </c>
      <c r="I192" s="128" t="s">
        <v>5</v>
      </c>
      <c r="J192" s="127">
        <v>622400</v>
      </c>
      <c r="K192" s="128" t="s">
        <v>5</v>
      </c>
      <c r="L192" s="127">
        <v>0</v>
      </c>
      <c r="M192" s="128"/>
      <c r="N192" s="153">
        <f t="shared" si="15"/>
        <v>476100.00000000006</v>
      </c>
      <c r="O192" s="124"/>
      <c r="P192" s="124" t="s">
        <v>892</v>
      </c>
    </row>
    <row r="193" spans="1:16" ht="30" customHeight="1" x14ac:dyDescent="0.3">
      <c r="A193" s="131" t="s">
        <v>861</v>
      </c>
      <c r="B193" s="131" t="s">
        <v>410</v>
      </c>
      <c r="C193" s="132" t="s">
        <v>388</v>
      </c>
      <c r="D193" s="153">
        <v>0</v>
      </c>
      <c r="E193" s="128" t="s">
        <v>5</v>
      </c>
      <c r="F193" s="127">
        <v>511300.00000000006</v>
      </c>
      <c r="G193" s="128" t="s">
        <v>5</v>
      </c>
      <c r="H193" s="127">
        <v>546500</v>
      </c>
      <c r="I193" s="128" t="s">
        <v>5</v>
      </c>
      <c r="J193" s="127">
        <v>631200</v>
      </c>
      <c r="K193" s="128" t="s">
        <v>5</v>
      </c>
      <c r="L193" s="127">
        <v>0</v>
      </c>
      <c r="M193" s="128"/>
      <c r="N193" s="153">
        <f t="shared" si="15"/>
        <v>511300.00000000006</v>
      </c>
      <c r="O193" s="124"/>
      <c r="P193" s="124" t="s">
        <v>892</v>
      </c>
    </row>
    <row r="194" spans="1:16" ht="30" customHeight="1" x14ac:dyDescent="0.3">
      <c r="A194" s="131" t="s">
        <v>861</v>
      </c>
      <c r="B194" s="131" t="s">
        <v>411</v>
      </c>
      <c r="C194" s="132" t="s">
        <v>388</v>
      </c>
      <c r="D194" s="153">
        <v>0</v>
      </c>
      <c r="E194" s="128" t="s">
        <v>5</v>
      </c>
      <c r="F194" s="127">
        <v>541000</v>
      </c>
      <c r="G194" s="128" t="s">
        <v>5</v>
      </c>
      <c r="H194" s="127">
        <v>579500</v>
      </c>
      <c r="I194" s="128" t="s">
        <v>5</v>
      </c>
      <c r="J194" s="127">
        <v>656500</v>
      </c>
      <c r="K194" s="128" t="s">
        <v>5</v>
      </c>
      <c r="L194" s="127">
        <v>0</v>
      </c>
      <c r="M194" s="128"/>
      <c r="N194" s="153">
        <f t="shared" si="15"/>
        <v>541000</v>
      </c>
      <c r="O194" s="124"/>
      <c r="P194" s="124" t="s">
        <v>892</v>
      </c>
    </row>
    <row r="195" spans="1:16" ht="30" customHeight="1" x14ac:dyDescent="0.3">
      <c r="A195" s="131" t="s">
        <v>861</v>
      </c>
      <c r="B195" s="131" t="s">
        <v>412</v>
      </c>
      <c r="C195" s="132" t="s">
        <v>388</v>
      </c>
      <c r="D195" s="153">
        <v>0</v>
      </c>
      <c r="E195" s="128" t="s">
        <v>5</v>
      </c>
      <c r="F195" s="127">
        <v>570700</v>
      </c>
      <c r="G195" s="128" t="s">
        <v>5</v>
      </c>
      <c r="H195" s="127">
        <v>609200</v>
      </c>
      <c r="I195" s="128" t="s">
        <v>5</v>
      </c>
      <c r="J195" s="127">
        <v>667500</v>
      </c>
      <c r="K195" s="128" t="s">
        <v>5</v>
      </c>
      <c r="L195" s="127">
        <v>0</v>
      </c>
      <c r="M195" s="128"/>
      <c r="N195" s="153">
        <f t="shared" si="15"/>
        <v>570700</v>
      </c>
      <c r="O195" s="124"/>
      <c r="P195" s="124" t="s">
        <v>892</v>
      </c>
    </row>
    <row r="196" spans="1:16" ht="30" customHeight="1" x14ac:dyDescent="0.3">
      <c r="A196" s="131" t="s">
        <v>861</v>
      </c>
      <c r="B196" s="131" t="s">
        <v>413</v>
      </c>
      <c r="C196" s="132" t="s">
        <v>388</v>
      </c>
      <c r="D196" s="153">
        <v>0</v>
      </c>
      <c r="E196" s="128" t="s">
        <v>5</v>
      </c>
      <c r="F196" s="127">
        <v>587200</v>
      </c>
      <c r="G196" s="128" t="s">
        <v>5</v>
      </c>
      <c r="H196" s="127">
        <v>626800</v>
      </c>
      <c r="I196" s="128" t="s">
        <v>5</v>
      </c>
      <c r="J196" s="127">
        <v>686200</v>
      </c>
      <c r="K196" s="128" t="s">
        <v>5</v>
      </c>
      <c r="L196" s="127">
        <v>0</v>
      </c>
      <c r="M196" s="128"/>
      <c r="N196" s="153">
        <f t="shared" si="15"/>
        <v>587200</v>
      </c>
      <c r="O196" s="124"/>
      <c r="P196" s="124" t="s">
        <v>892</v>
      </c>
    </row>
    <row r="197" spans="1:16" ht="30" customHeight="1" x14ac:dyDescent="0.3">
      <c r="A197" s="131" t="s">
        <v>861</v>
      </c>
      <c r="B197" s="131" t="s">
        <v>414</v>
      </c>
      <c r="C197" s="132" t="s">
        <v>388</v>
      </c>
      <c r="D197" s="153">
        <v>0</v>
      </c>
      <c r="E197" s="128" t="s">
        <v>5</v>
      </c>
      <c r="F197" s="127">
        <v>592700</v>
      </c>
      <c r="G197" s="128" t="s">
        <v>5</v>
      </c>
      <c r="H197" s="127">
        <v>634500</v>
      </c>
      <c r="I197" s="128" t="s">
        <v>5</v>
      </c>
      <c r="J197" s="127">
        <v>717000</v>
      </c>
      <c r="K197" s="128" t="s">
        <v>5</v>
      </c>
      <c r="L197" s="127">
        <v>0</v>
      </c>
      <c r="M197" s="128"/>
      <c r="N197" s="153">
        <f t="shared" si="15"/>
        <v>592700</v>
      </c>
      <c r="O197" s="124"/>
      <c r="P197" s="124" t="s">
        <v>892</v>
      </c>
    </row>
    <row r="198" spans="1:16" ht="30" customHeight="1" x14ac:dyDescent="0.3">
      <c r="A198" s="131" t="s">
        <v>861</v>
      </c>
      <c r="B198" s="131" t="s">
        <v>415</v>
      </c>
      <c r="C198" s="132" t="s">
        <v>388</v>
      </c>
      <c r="D198" s="153">
        <v>0</v>
      </c>
      <c r="E198" s="128" t="s">
        <v>5</v>
      </c>
      <c r="F198" s="127">
        <v>656500</v>
      </c>
      <c r="G198" s="128" t="s">
        <v>5</v>
      </c>
      <c r="H198" s="127">
        <v>701600</v>
      </c>
      <c r="I198" s="128" t="s">
        <v>5</v>
      </c>
      <c r="J198" s="127">
        <v>768700.00000000012</v>
      </c>
      <c r="K198" s="128" t="s">
        <v>5</v>
      </c>
      <c r="L198" s="127">
        <v>0</v>
      </c>
      <c r="M198" s="128"/>
      <c r="N198" s="153">
        <f t="shared" si="15"/>
        <v>656500</v>
      </c>
      <c r="O198" s="124"/>
      <c r="P198" s="124" t="s">
        <v>892</v>
      </c>
    </row>
    <row r="199" spans="1:16" ht="30" customHeight="1" x14ac:dyDescent="0.3">
      <c r="A199" s="131" t="s">
        <v>861</v>
      </c>
      <c r="B199" s="131" t="s">
        <v>416</v>
      </c>
      <c r="C199" s="132" t="s">
        <v>388</v>
      </c>
      <c r="D199" s="153">
        <v>0</v>
      </c>
      <c r="E199" s="128" t="s">
        <v>5</v>
      </c>
      <c r="F199" s="127">
        <v>702700</v>
      </c>
      <c r="G199" s="128" t="s">
        <v>5</v>
      </c>
      <c r="H199" s="127">
        <v>751100.00000000012</v>
      </c>
      <c r="I199" s="128" t="s">
        <v>5</v>
      </c>
      <c r="J199" s="127">
        <v>810500.00000000012</v>
      </c>
      <c r="K199" s="128" t="s">
        <v>5</v>
      </c>
      <c r="L199" s="127">
        <v>0</v>
      </c>
      <c r="M199" s="128"/>
      <c r="N199" s="153">
        <f t="shared" si="15"/>
        <v>702700</v>
      </c>
      <c r="O199" s="124"/>
      <c r="P199" s="124" t="s">
        <v>892</v>
      </c>
    </row>
    <row r="200" spans="1:16" ht="30" customHeight="1" x14ac:dyDescent="0.3">
      <c r="A200" s="131" t="s">
        <v>890</v>
      </c>
      <c r="B200" s="131" t="s">
        <v>417</v>
      </c>
      <c r="C200" s="132" t="s">
        <v>388</v>
      </c>
      <c r="D200" s="153">
        <v>0</v>
      </c>
      <c r="E200" s="128" t="s">
        <v>5</v>
      </c>
      <c r="F200" s="127">
        <v>571800</v>
      </c>
      <c r="G200" s="128" t="s">
        <v>5</v>
      </c>
      <c r="H200" s="127">
        <v>689500</v>
      </c>
      <c r="I200" s="128" t="s">
        <v>5</v>
      </c>
      <c r="J200" s="127">
        <v>829200.00000000012</v>
      </c>
      <c r="K200" s="128" t="s">
        <v>5</v>
      </c>
      <c r="L200" s="127">
        <v>0</v>
      </c>
      <c r="M200" s="128"/>
      <c r="N200" s="153">
        <f t="shared" si="15"/>
        <v>571800</v>
      </c>
      <c r="O200" s="124"/>
      <c r="P200" s="124" t="s">
        <v>892</v>
      </c>
    </row>
    <row r="201" spans="1:16" ht="30" customHeight="1" x14ac:dyDescent="0.3">
      <c r="A201" s="131" t="s">
        <v>890</v>
      </c>
      <c r="B201" s="131" t="s">
        <v>418</v>
      </c>
      <c r="C201" s="132" t="s">
        <v>388</v>
      </c>
      <c r="D201" s="153">
        <v>0</v>
      </c>
      <c r="E201" s="128" t="s">
        <v>5</v>
      </c>
      <c r="F201" s="127">
        <v>642200</v>
      </c>
      <c r="G201" s="128" t="s">
        <v>5</v>
      </c>
      <c r="H201" s="127">
        <v>688400</v>
      </c>
      <c r="I201" s="128" t="s">
        <v>5</v>
      </c>
      <c r="J201" s="127">
        <v>1027200.0000000001</v>
      </c>
      <c r="K201" s="128" t="s">
        <v>5</v>
      </c>
      <c r="L201" s="127">
        <v>0</v>
      </c>
      <c r="M201" s="128"/>
      <c r="N201" s="153">
        <f t="shared" si="15"/>
        <v>642200</v>
      </c>
      <c r="O201" s="124"/>
      <c r="P201" s="124" t="s">
        <v>892</v>
      </c>
    </row>
    <row r="202" spans="1:16" ht="30" customHeight="1" x14ac:dyDescent="0.3">
      <c r="A202" s="131" t="s">
        <v>890</v>
      </c>
      <c r="B202" s="131" t="s">
        <v>419</v>
      </c>
      <c r="C202" s="132" t="s">
        <v>388</v>
      </c>
      <c r="D202" s="153">
        <v>0</v>
      </c>
      <c r="E202" s="128" t="s">
        <v>5</v>
      </c>
      <c r="F202" s="127">
        <v>695000</v>
      </c>
      <c r="G202" s="128" t="s">
        <v>5</v>
      </c>
      <c r="H202" s="127">
        <v>743400.00000000012</v>
      </c>
      <c r="I202" s="128" t="s">
        <v>5</v>
      </c>
      <c r="J202" s="127">
        <v>1205400</v>
      </c>
      <c r="K202" s="128" t="s">
        <v>5</v>
      </c>
      <c r="L202" s="127">
        <v>0</v>
      </c>
      <c r="M202" s="128"/>
      <c r="N202" s="153">
        <f t="shared" si="15"/>
        <v>695000</v>
      </c>
      <c r="O202" s="124"/>
      <c r="P202" s="124" t="s">
        <v>892</v>
      </c>
    </row>
    <row r="203" spans="1:16" ht="30" customHeight="1" x14ac:dyDescent="0.3">
      <c r="A203" s="131" t="s">
        <v>890</v>
      </c>
      <c r="B203" s="131" t="s">
        <v>420</v>
      </c>
      <c r="C203" s="132" t="s">
        <v>388</v>
      </c>
      <c r="D203" s="153">
        <v>0</v>
      </c>
      <c r="E203" s="128" t="s">
        <v>5</v>
      </c>
      <c r="F203" s="127">
        <v>618000</v>
      </c>
      <c r="G203" s="128" t="s">
        <v>5</v>
      </c>
      <c r="H203" s="127">
        <v>660900</v>
      </c>
      <c r="I203" s="128" t="s">
        <v>5</v>
      </c>
      <c r="J203" s="127">
        <v>913900.00000000012</v>
      </c>
      <c r="K203" s="128" t="s">
        <v>5</v>
      </c>
      <c r="L203" s="127">
        <v>0</v>
      </c>
      <c r="M203" s="128"/>
      <c r="N203" s="153">
        <f t="shared" si="15"/>
        <v>618000</v>
      </c>
      <c r="O203" s="124"/>
      <c r="P203" s="124" t="s">
        <v>892</v>
      </c>
    </row>
    <row r="204" spans="1:16" ht="30" customHeight="1" x14ac:dyDescent="0.3">
      <c r="A204" s="131" t="s">
        <v>890</v>
      </c>
      <c r="B204" s="131" t="s">
        <v>421</v>
      </c>
      <c r="C204" s="132" t="s">
        <v>388</v>
      </c>
      <c r="D204" s="153">
        <v>0</v>
      </c>
      <c r="E204" s="128" t="s">
        <v>5</v>
      </c>
      <c r="F204" s="127">
        <v>697200</v>
      </c>
      <c r="G204" s="128" t="s">
        <v>5</v>
      </c>
      <c r="H204" s="127">
        <v>744500.00000000012</v>
      </c>
      <c r="I204" s="128" t="s">
        <v>5</v>
      </c>
      <c r="J204" s="127">
        <v>1060200</v>
      </c>
      <c r="K204" s="128" t="s">
        <v>5</v>
      </c>
      <c r="L204" s="127">
        <v>0</v>
      </c>
      <c r="M204" s="128"/>
      <c r="N204" s="153">
        <f t="shared" si="15"/>
        <v>697200</v>
      </c>
      <c r="O204" s="124"/>
      <c r="P204" s="124" t="s">
        <v>892</v>
      </c>
    </row>
    <row r="205" spans="1:16" ht="30" customHeight="1" x14ac:dyDescent="0.3">
      <c r="A205" s="131" t="s">
        <v>890</v>
      </c>
      <c r="B205" s="131" t="s">
        <v>422</v>
      </c>
      <c r="C205" s="132" t="s">
        <v>388</v>
      </c>
      <c r="D205" s="153">
        <v>0</v>
      </c>
      <c r="E205" s="128" t="s">
        <v>5</v>
      </c>
      <c r="F205" s="127">
        <v>754400.00000000012</v>
      </c>
      <c r="G205" s="128" t="s">
        <v>5</v>
      </c>
      <c r="H205" s="127">
        <v>807200.00000000012</v>
      </c>
      <c r="I205" s="128" t="s">
        <v>5</v>
      </c>
      <c r="J205" s="127">
        <v>1305500</v>
      </c>
      <c r="K205" s="128" t="s">
        <v>5</v>
      </c>
      <c r="L205" s="127">
        <v>0</v>
      </c>
      <c r="M205" s="128"/>
      <c r="N205" s="153">
        <f t="shared" si="15"/>
        <v>754400.00000000012</v>
      </c>
      <c r="O205" s="124"/>
      <c r="P205" s="124" t="s">
        <v>892</v>
      </c>
    </row>
    <row r="206" spans="1:16" ht="30" customHeight="1" x14ac:dyDescent="0.3">
      <c r="A206" s="131" t="s">
        <v>890</v>
      </c>
      <c r="B206" s="131" t="s">
        <v>423</v>
      </c>
      <c r="C206" s="132" t="s">
        <v>388</v>
      </c>
      <c r="D206" s="153">
        <v>0</v>
      </c>
      <c r="E206" s="128" t="s">
        <v>5</v>
      </c>
      <c r="F206" s="127">
        <v>680700</v>
      </c>
      <c r="G206" s="128" t="s">
        <v>5</v>
      </c>
      <c r="H206" s="127">
        <v>728000.00000000012</v>
      </c>
      <c r="I206" s="128" t="s">
        <v>5</v>
      </c>
      <c r="J206" s="127">
        <v>1087700</v>
      </c>
      <c r="K206" s="128" t="s">
        <v>5</v>
      </c>
      <c r="L206" s="127">
        <v>0</v>
      </c>
      <c r="M206" s="128"/>
      <c r="N206" s="153">
        <f t="shared" si="15"/>
        <v>680700</v>
      </c>
      <c r="O206" s="124"/>
      <c r="P206" s="124" t="s">
        <v>892</v>
      </c>
    </row>
    <row r="207" spans="1:16" ht="30" customHeight="1" x14ac:dyDescent="0.3">
      <c r="A207" s="131" t="s">
        <v>890</v>
      </c>
      <c r="B207" s="131" t="s">
        <v>424</v>
      </c>
      <c r="C207" s="132" t="s">
        <v>388</v>
      </c>
      <c r="D207" s="153">
        <v>0</v>
      </c>
      <c r="E207" s="128" t="s">
        <v>5</v>
      </c>
      <c r="F207" s="127">
        <v>750000.00000000012</v>
      </c>
      <c r="G207" s="128" t="s">
        <v>5</v>
      </c>
      <c r="H207" s="127">
        <v>802800.00000000012</v>
      </c>
      <c r="I207" s="128" t="s">
        <v>5</v>
      </c>
      <c r="J207" s="127">
        <v>1215300</v>
      </c>
      <c r="K207" s="128" t="s">
        <v>5</v>
      </c>
      <c r="L207" s="127">
        <v>0</v>
      </c>
      <c r="M207" s="128"/>
      <c r="N207" s="153">
        <f t="shared" si="15"/>
        <v>750000.00000000012</v>
      </c>
      <c r="O207" s="124"/>
      <c r="P207" s="124" t="s">
        <v>892</v>
      </c>
    </row>
    <row r="208" spans="1:16" ht="30" customHeight="1" x14ac:dyDescent="0.3">
      <c r="A208" s="131" t="s">
        <v>890</v>
      </c>
      <c r="B208" s="131" t="s">
        <v>425</v>
      </c>
      <c r="C208" s="132" t="s">
        <v>388</v>
      </c>
      <c r="D208" s="153">
        <v>0</v>
      </c>
      <c r="E208" s="128" t="s">
        <v>5</v>
      </c>
      <c r="F208" s="127">
        <v>812700.00000000012</v>
      </c>
      <c r="G208" s="128" t="s">
        <v>5</v>
      </c>
      <c r="H208" s="127">
        <v>869900.00000000012</v>
      </c>
      <c r="I208" s="128" t="s">
        <v>5</v>
      </c>
      <c r="J208" s="127">
        <v>1297800</v>
      </c>
      <c r="K208" s="128" t="s">
        <v>5</v>
      </c>
      <c r="L208" s="127">
        <v>0</v>
      </c>
      <c r="M208" s="128"/>
      <c r="N208" s="153">
        <f t="shared" ref="N208:N214" si="16">SMALL(D208:L208,COUNTIF(D208:L208,0)+1)</f>
        <v>812700.00000000012</v>
      </c>
      <c r="O208" s="124"/>
      <c r="P208" s="124" t="s">
        <v>892</v>
      </c>
    </row>
    <row r="209" spans="1:16" ht="30" customHeight="1" x14ac:dyDescent="0.3">
      <c r="A209" s="131" t="s">
        <v>890</v>
      </c>
      <c r="B209" s="131" t="s">
        <v>426</v>
      </c>
      <c r="C209" s="132" t="s">
        <v>388</v>
      </c>
      <c r="D209" s="153">
        <v>0</v>
      </c>
      <c r="E209" s="128" t="s">
        <v>5</v>
      </c>
      <c r="F209" s="127">
        <v>874300.00000000012</v>
      </c>
      <c r="G209" s="128" t="s">
        <v>5</v>
      </c>
      <c r="H209" s="127">
        <v>934800.00000000012</v>
      </c>
      <c r="I209" s="128" t="s">
        <v>5</v>
      </c>
      <c r="J209" s="127">
        <v>1403400</v>
      </c>
      <c r="K209" s="128" t="s">
        <v>5</v>
      </c>
      <c r="L209" s="127">
        <v>0</v>
      </c>
      <c r="M209" s="128"/>
      <c r="N209" s="153">
        <f t="shared" si="16"/>
        <v>874300.00000000012</v>
      </c>
      <c r="O209" s="124"/>
      <c r="P209" s="124" t="s">
        <v>892</v>
      </c>
    </row>
    <row r="210" spans="1:16" ht="30" customHeight="1" x14ac:dyDescent="0.3">
      <c r="A210" s="131" t="s">
        <v>890</v>
      </c>
      <c r="B210" s="131" t="s">
        <v>427</v>
      </c>
      <c r="C210" s="132" t="s">
        <v>388</v>
      </c>
      <c r="D210" s="153">
        <v>0</v>
      </c>
      <c r="E210" s="128" t="s">
        <v>5</v>
      </c>
      <c r="F210" s="127">
        <v>855600.00000000012</v>
      </c>
      <c r="G210" s="128" t="s">
        <v>5</v>
      </c>
      <c r="H210" s="127">
        <v>917200.00000000012</v>
      </c>
      <c r="I210" s="128" t="s">
        <v>5</v>
      </c>
      <c r="J210" s="127">
        <v>1510100.0000000002</v>
      </c>
      <c r="K210" s="128" t="s">
        <v>5</v>
      </c>
      <c r="L210" s="127">
        <v>0</v>
      </c>
      <c r="M210" s="128"/>
      <c r="N210" s="153">
        <f t="shared" si="16"/>
        <v>855600.00000000012</v>
      </c>
      <c r="O210" s="124"/>
      <c r="P210" s="124" t="s">
        <v>892</v>
      </c>
    </row>
    <row r="211" spans="1:16" ht="30" customHeight="1" x14ac:dyDescent="0.3">
      <c r="A211" s="131" t="s">
        <v>890</v>
      </c>
      <c r="B211" s="131" t="s">
        <v>428</v>
      </c>
      <c r="C211" s="132" t="s">
        <v>388</v>
      </c>
      <c r="D211" s="153">
        <v>0</v>
      </c>
      <c r="E211" s="128" t="s">
        <v>5</v>
      </c>
      <c r="F211" s="127">
        <v>855600.00000000012</v>
      </c>
      <c r="G211" s="128" t="s">
        <v>5</v>
      </c>
      <c r="H211" s="127">
        <v>917200.00000000012</v>
      </c>
      <c r="I211" s="128" t="s">
        <v>5</v>
      </c>
      <c r="J211" s="127">
        <v>1477100.0000000002</v>
      </c>
      <c r="K211" s="128" t="s">
        <v>5</v>
      </c>
      <c r="L211" s="127">
        <v>0</v>
      </c>
      <c r="M211" s="128"/>
      <c r="N211" s="153">
        <f t="shared" si="16"/>
        <v>855600.00000000012</v>
      </c>
      <c r="O211" s="124"/>
      <c r="P211" s="124" t="s">
        <v>892</v>
      </c>
    </row>
    <row r="212" spans="1:16" ht="30" customHeight="1" x14ac:dyDescent="0.3">
      <c r="A212" s="131" t="s">
        <v>890</v>
      </c>
      <c r="B212" s="131" t="s">
        <v>429</v>
      </c>
      <c r="C212" s="132" t="s">
        <v>388</v>
      </c>
      <c r="D212" s="153">
        <v>0</v>
      </c>
      <c r="E212" s="128" t="s">
        <v>5</v>
      </c>
      <c r="F212" s="127">
        <v>998600.00000000012</v>
      </c>
      <c r="G212" s="128" t="s">
        <v>5</v>
      </c>
      <c r="H212" s="127">
        <v>1069000</v>
      </c>
      <c r="I212" s="128" t="s">
        <v>5</v>
      </c>
      <c r="J212" s="127">
        <v>1722400.0000000002</v>
      </c>
      <c r="K212" s="128" t="s">
        <v>5</v>
      </c>
      <c r="L212" s="127">
        <v>0</v>
      </c>
      <c r="M212" s="128"/>
      <c r="N212" s="153">
        <f t="shared" si="16"/>
        <v>998600.00000000012</v>
      </c>
      <c r="O212" s="124"/>
      <c r="P212" s="124" t="s">
        <v>892</v>
      </c>
    </row>
    <row r="213" spans="1:16" ht="30" customHeight="1" x14ac:dyDescent="0.3">
      <c r="A213" s="131" t="s">
        <v>890</v>
      </c>
      <c r="B213" s="131" t="s">
        <v>430</v>
      </c>
      <c r="C213" s="132" t="s">
        <v>388</v>
      </c>
      <c r="D213" s="153">
        <v>0</v>
      </c>
      <c r="E213" s="128" t="s">
        <v>5</v>
      </c>
      <c r="F213" s="127">
        <v>1141600</v>
      </c>
      <c r="G213" s="128" t="s">
        <v>5</v>
      </c>
      <c r="H213" s="127">
        <v>1221900</v>
      </c>
      <c r="I213" s="128" t="s">
        <v>5</v>
      </c>
      <c r="J213" s="127">
        <v>1962200.0000000002</v>
      </c>
      <c r="K213" s="128" t="s">
        <v>5</v>
      </c>
      <c r="L213" s="127">
        <v>0</v>
      </c>
      <c r="M213" s="128"/>
      <c r="N213" s="153">
        <f t="shared" si="16"/>
        <v>1141600</v>
      </c>
      <c r="O213" s="124"/>
      <c r="P213" s="124" t="s">
        <v>892</v>
      </c>
    </row>
    <row r="214" spans="1:16" ht="30" customHeight="1" x14ac:dyDescent="0.3">
      <c r="A214" s="131" t="s">
        <v>891</v>
      </c>
      <c r="B214" s="131" t="s">
        <v>431</v>
      </c>
      <c r="C214" s="132" t="s">
        <v>388</v>
      </c>
      <c r="D214" s="153">
        <v>0</v>
      </c>
      <c r="E214" s="128" t="s">
        <v>5</v>
      </c>
      <c r="F214" s="127">
        <v>338600</v>
      </c>
      <c r="G214" s="128" t="s">
        <v>5</v>
      </c>
      <c r="H214" s="127">
        <v>362800.00000000006</v>
      </c>
      <c r="I214" s="128" t="s">
        <v>5</v>
      </c>
      <c r="J214" s="127">
        <v>777500.00000000012</v>
      </c>
      <c r="K214" s="128" t="s">
        <v>5</v>
      </c>
      <c r="L214" s="127">
        <v>0</v>
      </c>
      <c r="M214" s="128"/>
      <c r="N214" s="153">
        <f t="shared" si="16"/>
        <v>338600</v>
      </c>
      <c r="O214" s="124"/>
      <c r="P214" s="124" t="s">
        <v>892</v>
      </c>
    </row>
    <row r="215" spans="1:16" ht="30" customHeight="1" x14ac:dyDescent="0.3">
      <c r="A215" s="131" t="s">
        <v>891</v>
      </c>
      <c r="B215" s="131" t="s">
        <v>432</v>
      </c>
      <c r="C215" s="132" t="s">
        <v>388</v>
      </c>
      <c r="D215" s="153">
        <v>0</v>
      </c>
      <c r="E215" s="128" t="s">
        <v>5</v>
      </c>
      <c r="F215" s="127">
        <v>491500.00000000006</v>
      </c>
      <c r="G215" s="128" t="s">
        <v>5</v>
      </c>
      <c r="H215" s="127">
        <v>525600</v>
      </c>
      <c r="I215" s="128" t="s">
        <v>5</v>
      </c>
      <c r="J215" s="127">
        <v>1115200</v>
      </c>
      <c r="K215" s="128" t="s">
        <v>5</v>
      </c>
      <c r="L215" s="127">
        <v>0</v>
      </c>
      <c r="M215" s="128"/>
      <c r="N215" s="153">
        <f>SMALL(D215:L215,COUNTIF(D215:L215,0)+1)</f>
        <v>491500.00000000006</v>
      </c>
      <c r="O215" s="124"/>
      <c r="P215" s="124" t="s">
        <v>892</v>
      </c>
    </row>
  </sheetData>
  <mergeCells count="8">
    <mergeCell ref="A1:P1"/>
    <mergeCell ref="A2:P2"/>
    <mergeCell ref="A3:A4"/>
    <mergeCell ref="B3:B4"/>
    <mergeCell ref="C3:C4"/>
    <mergeCell ref="D3:N3"/>
    <mergeCell ref="O3:O4"/>
    <mergeCell ref="P3:P4"/>
  </mergeCells>
  <phoneticPr fontId="1" type="noConversion"/>
  <pageMargins left="0.78740157480314954" right="0" top="0.39370078740157477" bottom="0.39370078740157477" header="0" footer="0"/>
  <pageSetup paperSize="9" scale="64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693A4-215E-4BCB-A67B-C788B86F5BF3}">
  <sheetPr>
    <tabColor rgb="FF00FF00"/>
    <pageSetUpPr fitToPage="1"/>
  </sheetPr>
  <dimension ref="A1:H67"/>
  <sheetViews>
    <sheetView view="pageBreakPreview" zoomScale="85" zoomScaleNormal="87" zoomScaleSheetLayoutView="85" workbookViewId="0">
      <pane ySplit="4" topLeftCell="A5" activePane="bottomLeft" state="frozen"/>
      <selection activeCell="A3" sqref="A3:A4"/>
      <selection pane="bottomLeft" activeCell="J18" sqref="J18"/>
    </sheetView>
  </sheetViews>
  <sheetFormatPr defaultRowHeight="16.5" x14ac:dyDescent="0.3"/>
  <cols>
    <col min="1" max="1" width="42.25" style="179" customWidth="1"/>
    <col min="2" max="2" width="27.5" style="116" customWidth="1"/>
    <col min="3" max="3" width="7.375" style="136" customWidth="1"/>
    <col min="4" max="4" width="18.625" style="115" customWidth="1"/>
    <col min="5" max="6" width="18.625" style="113" customWidth="1"/>
    <col min="7" max="7" width="22.5" style="112" customWidth="1"/>
    <col min="8" max="8" width="20" style="138" customWidth="1"/>
    <col min="9" max="16384" width="9" style="116"/>
  </cols>
  <sheetData>
    <row r="1" spans="1:8" ht="30" customHeight="1" x14ac:dyDescent="0.3">
      <c r="A1" s="200" t="s">
        <v>932</v>
      </c>
      <c r="B1" s="200"/>
      <c r="C1" s="200"/>
      <c r="D1" s="200"/>
      <c r="E1" s="200"/>
      <c r="F1" s="200"/>
      <c r="G1" s="200"/>
      <c r="H1" s="200"/>
    </row>
    <row r="2" spans="1:8" ht="30" customHeight="1" x14ac:dyDescent="0.3">
      <c r="A2" s="201" t="s">
        <v>2546</v>
      </c>
      <c r="B2" s="201"/>
      <c r="C2" s="201"/>
      <c r="D2" s="201"/>
      <c r="E2" s="201"/>
      <c r="F2" s="201"/>
      <c r="G2" s="201"/>
      <c r="H2" s="201"/>
    </row>
    <row r="3" spans="1:8" ht="30" customHeight="1" x14ac:dyDescent="0.3">
      <c r="A3" s="203" t="s">
        <v>1566</v>
      </c>
      <c r="B3" s="207" t="s">
        <v>2563</v>
      </c>
      <c r="C3" s="209" t="s">
        <v>1</v>
      </c>
      <c r="D3" s="209" t="s">
        <v>2494</v>
      </c>
      <c r="E3" s="209"/>
      <c r="F3" s="209"/>
      <c r="G3" s="209"/>
      <c r="H3" s="210" t="s">
        <v>2495</v>
      </c>
    </row>
    <row r="4" spans="1:8" ht="30" customHeight="1" x14ac:dyDescent="0.3">
      <c r="A4" s="204"/>
      <c r="B4" s="208"/>
      <c r="C4" s="209"/>
      <c r="D4" s="154" t="s">
        <v>2496</v>
      </c>
      <c r="E4" s="154" t="s">
        <v>2497</v>
      </c>
      <c r="F4" s="154" t="s">
        <v>2498</v>
      </c>
      <c r="G4" s="155" t="s">
        <v>725</v>
      </c>
      <c r="H4" s="211"/>
    </row>
    <row r="5" spans="1:8" ht="30" customHeight="1" x14ac:dyDescent="0.3">
      <c r="A5" s="156" t="s">
        <v>2499</v>
      </c>
      <c r="B5" s="157"/>
      <c r="C5" s="158"/>
      <c r="D5" s="158"/>
      <c r="E5" s="159"/>
      <c r="F5" s="160"/>
      <c r="G5" s="161"/>
      <c r="H5" s="162"/>
    </row>
    <row r="6" spans="1:8" ht="30" customHeight="1" x14ac:dyDescent="0.3">
      <c r="A6" s="163" t="s">
        <v>2500</v>
      </c>
      <c r="B6" s="157" t="s">
        <v>2501</v>
      </c>
      <c r="C6" s="158" t="s">
        <v>2502</v>
      </c>
      <c r="D6" s="159">
        <v>53000</v>
      </c>
      <c r="E6" s="159">
        <v>59000</v>
      </c>
      <c r="F6" s="164">
        <v>61000</v>
      </c>
      <c r="G6" s="162">
        <f t="shared" ref="G6:G33" si="0">SMALL(D6:F6,COUNTIF(D6:F6,0)+1)</f>
        <v>53000</v>
      </c>
      <c r="H6" s="165" t="s">
        <v>2503</v>
      </c>
    </row>
    <row r="7" spans="1:8" ht="30" customHeight="1" x14ac:dyDescent="0.3">
      <c r="A7" s="163" t="s">
        <v>2500</v>
      </c>
      <c r="B7" s="157" t="s">
        <v>2504</v>
      </c>
      <c r="C7" s="158" t="s">
        <v>2502</v>
      </c>
      <c r="D7" s="159">
        <v>53000</v>
      </c>
      <c r="E7" s="159">
        <v>59000</v>
      </c>
      <c r="F7" s="161">
        <v>61000</v>
      </c>
      <c r="G7" s="162">
        <f t="shared" si="0"/>
        <v>53000</v>
      </c>
      <c r="H7" s="165" t="s">
        <v>2503</v>
      </c>
    </row>
    <row r="8" spans="1:8" ht="30" customHeight="1" x14ac:dyDescent="0.3">
      <c r="A8" s="163" t="s">
        <v>2547</v>
      </c>
      <c r="B8" s="157" t="s">
        <v>2501</v>
      </c>
      <c r="C8" s="158" t="s">
        <v>2502</v>
      </c>
      <c r="D8" s="159">
        <v>57000</v>
      </c>
      <c r="E8" s="160">
        <v>62000</v>
      </c>
      <c r="F8" s="164">
        <v>66000</v>
      </c>
      <c r="G8" s="162">
        <f t="shared" si="0"/>
        <v>57000</v>
      </c>
      <c r="H8" s="166"/>
    </row>
    <row r="9" spans="1:8" ht="30" customHeight="1" x14ac:dyDescent="0.3">
      <c r="A9" s="163" t="s">
        <v>2547</v>
      </c>
      <c r="B9" s="157" t="s">
        <v>2504</v>
      </c>
      <c r="C9" s="158" t="s">
        <v>2502</v>
      </c>
      <c r="D9" s="159">
        <v>58000</v>
      </c>
      <c r="E9" s="160">
        <v>62000</v>
      </c>
      <c r="F9" s="164">
        <v>66000</v>
      </c>
      <c r="G9" s="162">
        <f t="shared" si="0"/>
        <v>58000</v>
      </c>
      <c r="H9" s="166"/>
    </row>
    <row r="10" spans="1:8" ht="30" customHeight="1" x14ac:dyDescent="0.3">
      <c r="A10" s="163" t="s">
        <v>2548</v>
      </c>
      <c r="B10" s="157" t="s">
        <v>2505</v>
      </c>
      <c r="C10" s="158" t="s">
        <v>2502</v>
      </c>
      <c r="D10" s="159">
        <v>56000</v>
      </c>
      <c r="E10" s="159">
        <v>66000</v>
      </c>
      <c r="F10" s="161">
        <v>67000</v>
      </c>
      <c r="G10" s="162">
        <f t="shared" si="0"/>
        <v>56000</v>
      </c>
      <c r="H10" s="165"/>
    </row>
    <row r="11" spans="1:8" ht="30" customHeight="1" x14ac:dyDescent="0.3">
      <c r="A11" s="163" t="s">
        <v>2549</v>
      </c>
      <c r="B11" s="157" t="s">
        <v>2501</v>
      </c>
      <c r="C11" s="158" t="s">
        <v>2502</v>
      </c>
      <c r="D11" s="159">
        <v>58000</v>
      </c>
      <c r="E11" s="160">
        <v>62000</v>
      </c>
      <c r="F11" s="161">
        <v>66000</v>
      </c>
      <c r="G11" s="162">
        <f t="shared" si="0"/>
        <v>58000</v>
      </c>
      <c r="H11" s="165" t="s">
        <v>2503</v>
      </c>
    </row>
    <row r="12" spans="1:8" ht="30" customHeight="1" x14ac:dyDescent="0.3">
      <c r="A12" s="163" t="s">
        <v>2549</v>
      </c>
      <c r="B12" s="157" t="s">
        <v>2504</v>
      </c>
      <c r="C12" s="158" t="s">
        <v>2502</v>
      </c>
      <c r="D12" s="159">
        <v>58000</v>
      </c>
      <c r="E12" s="160">
        <v>62000</v>
      </c>
      <c r="F12" s="164">
        <v>66000</v>
      </c>
      <c r="G12" s="162">
        <f t="shared" si="0"/>
        <v>58000</v>
      </c>
      <c r="H12" s="166"/>
    </row>
    <row r="13" spans="1:8" ht="30" customHeight="1" x14ac:dyDescent="0.3">
      <c r="A13" s="163" t="s">
        <v>2550</v>
      </c>
      <c r="B13" s="157" t="s">
        <v>2501</v>
      </c>
      <c r="C13" s="158" t="s">
        <v>2502</v>
      </c>
      <c r="D13" s="159">
        <v>68500</v>
      </c>
      <c r="E13" s="160">
        <v>75000</v>
      </c>
      <c r="F13" s="164">
        <v>78000</v>
      </c>
      <c r="G13" s="162">
        <f t="shared" si="0"/>
        <v>68500</v>
      </c>
      <c r="H13" s="165"/>
    </row>
    <row r="14" spans="1:8" ht="30" customHeight="1" x14ac:dyDescent="0.3">
      <c r="A14" s="163" t="s">
        <v>2551</v>
      </c>
      <c r="B14" s="157" t="s">
        <v>2501</v>
      </c>
      <c r="C14" s="158" t="s">
        <v>2502</v>
      </c>
      <c r="D14" s="159">
        <v>68500</v>
      </c>
      <c r="E14" s="160">
        <v>68700</v>
      </c>
      <c r="F14" s="164">
        <v>69985</v>
      </c>
      <c r="G14" s="162">
        <f t="shared" si="0"/>
        <v>68500</v>
      </c>
      <c r="H14" s="165" t="s">
        <v>2503</v>
      </c>
    </row>
    <row r="15" spans="1:8" ht="30" customHeight="1" x14ac:dyDescent="0.3">
      <c r="A15" s="163" t="s">
        <v>2552</v>
      </c>
      <c r="B15" s="157" t="s">
        <v>2505</v>
      </c>
      <c r="C15" s="158" t="s">
        <v>2502</v>
      </c>
      <c r="D15" s="159">
        <v>63000</v>
      </c>
      <c r="E15" s="159">
        <v>66000</v>
      </c>
      <c r="F15" s="161">
        <v>67000</v>
      </c>
      <c r="G15" s="162">
        <f t="shared" si="0"/>
        <v>63000</v>
      </c>
      <c r="H15" s="165" t="s">
        <v>2503</v>
      </c>
    </row>
    <row r="16" spans="1:8" ht="30" customHeight="1" x14ac:dyDescent="0.3">
      <c r="A16" s="163" t="s">
        <v>2553</v>
      </c>
      <c r="B16" s="157" t="s">
        <v>2511</v>
      </c>
      <c r="C16" s="158" t="s">
        <v>2502</v>
      </c>
      <c r="D16" s="159">
        <v>48000</v>
      </c>
      <c r="E16" s="160">
        <v>55000</v>
      </c>
      <c r="F16" s="164">
        <v>58000</v>
      </c>
      <c r="G16" s="162">
        <f t="shared" si="0"/>
        <v>48000</v>
      </c>
      <c r="H16" s="165" t="s">
        <v>2503</v>
      </c>
    </row>
    <row r="17" spans="1:8" ht="30" customHeight="1" x14ac:dyDescent="0.3">
      <c r="A17" s="163" t="s">
        <v>2507</v>
      </c>
      <c r="B17" s="157" t="s">
        <v>2508</v>
      </c>
      <c r="C17" s="158" t="s">
        <v>2502</v>
      </c>
      <c r="D17" s="159">
        <v>60500</v>
      </c>
      <c r="E17" s="160">
        <v>63000</v>
      </c>
      <c r="F17" s="164">
        <v>65000</v>
      </c>
      <c r="G17" s="162">
        <f t="shared" si="0"/>
        <v>60500</v>
      </c>
      <c r="H17" s="165" t="s">
        <v>2503</v>
      </c>
    </row>
    <row r="18" spans="1:8" ht="30" customHeight="1" x14ac:dyDescent="0.3">
      <c r="A18" s="163" t="s">
        <v>2506</v>
      </c>
      <c r="B18" s="157" t="s">
        <v>2501</v>
      </c>
      <c r="C18" s="158" t="s">
        <v>2502</v>
      </c>
      <c r="D18" s="159">
        <v>80000</v>
      </c>
      <c r="E18" s="160">
        <v>88000</v>
      </c>
      <c r="F18" s="164">
        <v>100000</v>
      </c>
      <c r="G18" s="162">
        <f t="shared" si="0"/>
        <v>80000</v>
      </c>
      <c r="H18" s="166"/>
    </row>
    <row r="19" spans="1:8" ht="30" customHeight="1" x14ac:dyDescent="0.3">
      <c r="A19" s="163" t="s">
        <v>2506</v>
      </c>
      <c r="B19" s="157" t="s">
        <v>2504</v>
      </c>
      <c r="C19" s="158" t="s">
        <v>2502</v>
      </c>
      <c r="D19" s="159">
        <v>72000</v>
      </c>
      <c r="E19" s="160">
        <v>77000</v>
      </c>
      <c r="F19" s="164">
        <v>79000</v>
      </c>
      <c r="G19" s="162">
        <f t="shared" si="0"/>
        <v>72000</v>
      </c>
      <c r="H19" s="166"/>
    </row>
    <row r="20" spans="1:8" ht="30" customHeight="1" x14ac:dyDescent="0.3">
      <c r="A20" s="163" t="s">
        <v>2509</v>
      </c>
      <c r="B20" s="157" t="s">
        <v>2504</v>
      </c>
      <c r="C20" s="158" t="s">
        <v>2502</v>
      </c>
      <c r="D20" s="159">
        <v>61000</v>
      </c>
      <c r="E20" s="160">
        <v>65000</v>
      </c>
      <c r="F20" s="164">
        <v>67000</v>
      </c>
      <c r="G20" s="162">
        <f t="shared" si="0"/>
        <v>61000</v>
      </c>
      <c r="H20" s="165"/>
    </row>
    <row r="21" spans="1:8" ht="30" customHeight="1" x14ac:dyDescent="0.3">
      <c r="A21" s="163" t="s">
        <v>2510</v>
      </c>
      <c r="B21" s="157" t="s">
        <v>2504</v>
      </c>
      <c r="C21" s="158" t="s">
        <v>2502</v>
      </c>
      <c r="D21" s="159">
        <v>57000</v>
      </c>
      <c r="E21" s="160">
        <v>63000</v>
      </c>
      <c r="F21" s="164">
        <v>62000</v>
      </c>
      <c r="G21" s="162">
        <f t="shared" si="0"/>
        <v>57000</v>
      </c>
      <c r="H21" s="165"/>
    </row>
    <row r="22" spans="1:8" ht="30" customHeight="1" x14ac:dyDescent="0.3">
      <c r="A22" s="163" t="s">
        <v>2512</v>
      </c>
      <c r="B22" s="157" t="s">
        <v>2513</v>
      </c>
      <c r="C22" s="158" t="s">
        <v>2502</v>
      </c>
      <c r="D22" s="159">
        <v>28000</v>
      </c>
      <c r="E22" s="160">
        <v>35000</v>
      </c>
      <c r="F22" s="164">
        <v>37000</v>
      </c>
      <c r="G22" s="162">
        <f t="shared" si="0"/>
        <v>28000</v>
      </c>
      <c r="H22" s="165" t="s">
        <v>2503</v>
      </c>
    </row>
    <row r="23" spans="1:8" ht="30" customHeight="1" x14ac:dyDescent="0.3">
      <c r="A23" s="163" t="s">
        <v>2554</v>
      </c>
      <c r="B23" s="157" t="s">
        <v>2514</v>
      </c>
      <c r="C23" s="158" t="s">
        <v>2502</v>
      </c>
      <c r="D23" s="159">
        <v>55000</v>
      </c>
      <c r="E23" s="160">
        <v>57000</v>
      </c>
      <c r="F23" s="164">
        <v>65000</v>
      </c>
      <c r="G23" s="162">
        <f t="shared" si="0"/>
        <v>55000</v>
      </c>
      <c r="H23" s="165" t="s">
        <v>2555</v>
      </c>
    </row>
    <row r="24" spans="1:8" ht="30" customHeight="1" x14ac:dyDescent="0.3">
      <c r="A24" s="163" t="s">
        <v>2515</v>
      </c>
      <c r="B24" s="157" t="s">
        <v>2513</v>
      </c>
      <c r="C24" s="158" t="s">
        <v>2502</v>
      </c>
      <c r="D24" s="159">
        <v>35000</v>
      </c>
      <c r="E24" s="160">
        <v>38000</v>
      </c>
      <c r="F24" s="164">
        <v>40000</v>
      </c>
      <c r="G24" s="162">
        <f t="shared" si="0"/>
        <v>35000</v>
      </c>
      <c r="H24" s="165" t="s">
        <v>2503</v>
      </c>
    </row>
    <row r="25" spans="1:8" ht="30" customHeight="1" x14ac:dyDescent="0.3">
      <c r="A25" s="163" t="s">
        <v>2556</v>
      </c>
      <c r="B25" s="157" t="s">
        <v>2516</v>
      </c>
      <c r="C25" s="158" t="s">
        <v>2502</v>
      </c>
      <c r="D25" s="159">
        <v>47000</v>
      </c>
      <c r="E25" s="160">
        <v>55000</v>
      </c>
      <c r="F25" s="164">
        <v>57000</v>
      </c>
      <c r="G25" s="162">
        <f t="shared" si="0"/>
        <v>47000</v>
      </c>
      <c r="H25" s="165" t="s">
        <v>2503</v>
      </c>
    </row>
    <row r="26" spans="1:8" ht="30" customHeight="1" x14ac:dyDescent="0.3">
      <c r="A26" s="163" t="s">
        <v>2518</v>
      </c>
      <c r="B26" s="157" t="s">
        <v>2501</v>
      </c>
      <c r="C26" s="158" t="s">
        <v>2502</v>
      </c>
      <c r="D26" s="159">
        <v>85000</v>
      </c>
      <c r="E26" s="160">
        <v>88000</v>
      </c>
      <c r="F26" s="164">
        <v>89000</v>
      </c>
      <c r="G26" s="162">
        <f t="shared" si="0"/>
        <v>85000</v>
      </c>
      <c r="H26" s="165" t="s">
        <v>2503</v>
      </c>
    </row>
    <row r="27" spans="1:8" ht="30" customHeight="1" x14ac:dyDescent="0.3">
      <c r="A27" s="163" t="s">
        <v>2518</v>
      </c>
      <c r="B27" s="157" t="s">
        <v>2504</v>
      </c>
      <c r="C27" s="158" t="s">
        <v>2502</v>
      </c>
      <c r="D27" s="159">
        <v>84000</v>
      </c>
      <c r="E27" s="160">
        <v>87000</v>
      </c>
      <c r="F27" s="164">
        <v>88000</v>
      </c>
      <c r="G27" s="162">
        <f t="shared" si="0"/>
        <v>84000</v>
      </c>
      <c r="H27" s="165" t="s">
        <v>2503</v>
      </c>
    </row>
    <row r="28" spans="1:8" ht="30" customHeight="1" x14ac:dyDescent="0.3">
      <c r="A28" s="163" t="s">
        <v>2557</v>
      </c>
      <c r="B28" s="157" t="s">
        <v>2519</v>
      </c>
      <c r="C28" s="158" t="s">
        <v>2502</v>
      </c>
      <c r="D28" s="159">
        <v>350000</v>
      </c>
      <c r="E28" s="160">
        <v>370000</v>
      </c>
      <c r="F28" s="161">
        <v>410000</v>
      </c>
      <c r="G28" s="162">
        <f t="shared" si="0"/>
        <v>350000</v>
      </c>
      <c r="H28" s="165" t="s">
        <v>2503</v>
      </c>
    </row>
    <row r="29" spans="1:8" ht="30" customHeight="1" x14ac:dyDescent="0.3">
      <c r="A29" s="163" t="s">
        <v>2520</v>
      </c>
      <c r="B29" s="157" t="s">
        <v>2521</v>
      </c>
      <c r="C29" s="158" t="s">
        <v>2502</v>
      </c>
      <c r="D29" s="159">
        <v>74000</v>
      </c>
      <c r="E29" s="160">
        <v>81000</v>
      </c>
      <c r="F29" s="161">
        <v>83000</v>
      </c>
      <c r="G29" s="162">
        <f t="shared" si="0"/>
        <v>74000</v>
      </c>
      <c r="H29" s="165" t="s">
        <v>2503</v>
      </c>
    </row>
    <row r="30" spans="1:8" ht="30" customHeight="1" x14ac:dyDescent="0.3">
      <c r="A30" s="163" t="s">
        <v>2522</v>
      </c>
      <c r="B30" s="157" t="s">
        <v>2505</v>
      </c>
      <c r="C30" s="158" t="s">
        <v>2502</v>
      </c>
      <c r="D30" s="159">
        <v>42000</v>
      </c>
      <c r="E30" s="160">
        <v>45000</v>
      </c>
      <c r="F30" s="161">
        <v>47000</v>
      </c>
      <c r="G30" s="162">
        <f t="shared" si="0"/>
        <v>42000</v>
      </c>
      <c r="H30" s="165" t="s">
        <v>2555</v>
      </c>
    </row>
    <row r="31" spans="1:8" ht="30" customHeight="1" x14ac:dyDescent="0.3">
      <c r="A31" s="163" t="s">
        <v>2523</v>
      </c>
      <c r="B31" s="157" t="s">
        <v>2514</v>
      </c>
      <c r="C31" s="158" t="s">
        <v>2502</v>
      </c>
      <c r="D31" s="159">
        <v>33000</v>
      </c>
      <c r="E31" s="160">
        <v>38000</v>
      </c>
      <c r="F31" s="161">
        <v>41000</v>
      </c>
      <c r="G31" s="162">
        <f t="shared" si="0"/>
        <v>33000</v>
      </c>
      <c r="H31" s="165" t="s">
        <v>2555</v>
      </c>
    </row>
    <row r="32" spans="1:8" ht="30" customHeight="1" x14ac:dyDescent="0.3">
      <c r="A32" s="163" t="s">
        <v>2558</v>
      </c>
      <c r="B32" s="157" t="s">
        <v>2513</v>
      </c>
      <c r="C32" s="158" t="s">
        <v>2502</v>
      </c>
      <c r="D32" s="159">
        <v>25000</v>
      </c>
      <c r="E32" s="160">
        <v>26000</v>
      </c>
      <c r="F32" s="161">
        <v>29000</v>
      </c>
      <c r="G32" s="162">
        <f t="shared" si="0"/>
        <v>25000</v>
      </c>
      <c r="H32" s="165" t="s">
        <v>2555</v>
      </c>
    </row>
    <row r="33" spans="1:8" ht="30" customHeight="1" x14ac:dyDescent="0.3">
      <c r="A33" s="163" t="s">
        <v>2559</v>
      </c>
      <c r="B33" s="157" t="s">
        <v>2524</v>
      </c>
      <c r="C33" s="158" t="s">
        <v>2502</v>
      </c>
      <c r="D33" s="159">
        <v>22000</v>
      </c>
      <c r="E33" s="160">
        <v>25000</v>
      </c>
      <c r="F33" s="161">
        <v>28000</v>
      </c>
      <c r="G33" s="162">
        <f t="shared" si="0"/>
        <v>22000</v>
      </c>
      <c r="H33" s="165" t="s">
        <v>2555</v>
      </c>
    </row>
    <row r="34" spans="1:8" ht="30" customHeight="1" x14ac:dyDescent="0.3">
      <c r="A34" s="167" t="s">
        <v>2525</v>
      </c>
      <c r="B34" s="157"/>
      <c r="C34" s="158"/>
      <c r="D34" s="159"/>
      <c r="E34" s="160"/>
      <c r="F34" s="161"/>
      <c r="G34" s="162"/>
      <c r="H34" s="165"/>
    </row>
    <row r="35" spans="1:8" ht="30" customHeight="1" x14ac:dyDescent="0.3">
      <c r="A35" s="163" t="s">
        <v>2526</v>
      </c>
      <c r="B35" s="157" t="s">
        <v>2527</v>
      </c>
      <c r="C35" s="158" t="s">
        <v>2502</v>
      </c>
      <c r="D35" s="159">
        <v>89000</v>
      </c>
      <c r="E35" s="160">
        <v>92000</v>
      </c>
      <c r="F35" s="161">
        <v>110000</v>
      </c>
      <c r="G35" s="162">
        <f t="shared" ref="G35:G44" si="1">SMALL(D35:F35,COUNTIF(D35:F35,0)+1)</f>
        <v>89000</v>
      </c>
      <c r="H35" s="165"/>
    </row>
    <row r="36" spans="1:8" ht="30" customHeight="1" x14ac:dyDescent="0.3">
      <c r="A36" s="163" t="s">
        <v>2560</v>
      </c>
      <c r="B36" s="157" t="s">
        <v>2514</v>
      </c>
      <c r="C36" s="158" t="s">
        <v>2502</v>
      </c>
      <c r="D36" s="159">
        <v>66000</v>
      </c>
      <c r="E36" s="160">
        <v>71000</v>
      </c>
      <c r="F36" s="161">
        <v>77000</v>
      </c>
      <c r="G36" s="162">
        <f t="shared" si="1"/>
        <v>66000</v>
      </c>
      <c r="H36" s="165"/>
    </row>
    <row r="37" spans="1:8" ht="30" customHeight="1" x14ac:dyDescent="0.3">
      <c r="A37" s="163" t="s">
        <v>2528</v>
      </c>
      <c r="B37" s="157" t="s">
        <v>2527</v>
      </c>
      <c r="C37" s="158" t="s">
        <v>2502</v>
      </c>
      <c r="D37" s="159">
        <v>89000</v>
      </c>
      <c r="E37" s="160">
        <v>92000</v>
      </c>
      <c r="F37" s="161">
        <v>110000</v>
      </c>
      <c r="G37" s="162">
        <f t="shared" si="1"/>
        <v>89000</v>
      </c>
      <c r="H37" s="165"/>
    </row>
    <row r="38" spans="1:8" ht="30" customHeight="1" x14ac:dyDescent="0.3">
      <c r="A38" s="163" t="s">
        <v>2561</v>
      </c>
      <c r="B38" s="157" t="s">
        <v>2514</v>
      </c>
      <c r="C38" s="158" t="s">
        <v>2502</v>
      </c>
      <c r="D38" s="159">
        <v>66000</v>
      </c>
      <c r="E38" s="160">
        <v>71000</v>
      </c>
      <c r="F38" s="161">
        <v>77000</v>
      </c>
      <c r="G38" s="162">
        <f t="shared" si="1"/>
        <v>66000</v>
      </c>
      <c r="H38" s="165"/>
    </row>
    <row r="39" spans="1:8" ht="30" customHeight="1" x14ac:dyDescent="0.3">
      <c r="A39" s="167" t="s">
        <v>2529</v>
      </c>
      <c r="B39" s="157"/>
      <c r="C39" s="158"/>
      <c r="D39" s="159"/>
      <c r="E39" s="160"/>
      <c r="F39" s="161"/>
      <c r="G39" s="162"/>
      <c r="H39" s="165"/>
    </row>
    <row r="40" spans="1:8" ht="30" customHeight="1" x14ac:dyDescent="0.3">
      <c r="A40" s="163" t="s">
        <v>2562</v>
      </c>
      <c r="B40" s="157" t="s">
        <v>2517</v>
      </c>
      <c r="C40" s="158" t="s">
        <v>2502</v>
      </c>
      <c r="D40" s="159">
        <v>66000</v>
      </c>
      <c r="E40" s="160">
        <v>69000</v>
      </c>
      <c r="F40" s="161">
        <v>71000</v>
      </c>
      <c r="G40" s="162">
        <f t="shared" si="1"/>
        <v>66000</v>
      </c>
      <c r="H40" s="165" t="s">
        <v>2530</v>
      </c>
    </row>
    <row r="41" spans="1:8" ht="30" customHeight="1" x14ac:dyDescent="0.3">
      <c r="A41" s="168" t="s">
        <v>2564</v>
      </c>
      <c r="B41" s="157" t="s">
        <v>2531</v>
      </c>
      <c r="C41" s="158" t="s">
        <v>2502</v>
      </c>
      <c r="D41" s="159">
        <v>63000</v>
      </c>
      <c r="E41" s="160">
        <v>65000</v>
      </c>
      <c r="F41" s="164">
        <v>68000</v>
      </c>
      <c r="G41" s="162">
        <f t="shared" si="1"/>
        <v>63000</v>
      </c>
      <c r="H41" s="165" t="s">
        <v>2530</v>
      </c>
    </row>
    <row r="42" spans="1:8" ht="30" customHeight="1" x14ac:dyDescent="0.3">
      <c r="A42" s="163" t="s">
        <v>2565</v>
      </c>
      <c r="B42" s="157" t="s">
        <v>2532</v>
      </c>
      <c r="C42" s="158" t="s">
        <v>2502</v>
      </c>
      <c r="D42" s="159">
        <v>68000</v>
      </c>
      <c r="E42" s="160">
        <v>72000</v>
      </c>
      <c r="F42" s="164">
        <v>75000</v>
      </c>
      <c r="G42" s="162">
        <f t="shared" si="1"/>
        <v>68000</v>
      </c>
      <c r="H42" s="165" t="s">
        <v>2530</v>
      </c>
    </row>
    <row r="43" spans="1:8" ht="30" customHeight="1" x14ac:dyDescent="0.3">
      <c r="A43" s="163" t="s">
        <v>2566</v>
      </c>
      <c r="B43" s="157" t="s">
        <v>2532</v>
      </c>
      <c r="C43" s="158" t="s">
        <v>2502</v>
      </c>
      <c r="D43" s="159">
        <v>63000</v>
      </c>
      <c r="E43" s="160">
        <v>65000</v>
      </c>
      <c r="F43" s="164">
        <v>68000</v>
      </c>
      <c r="G43" s="162">
        <f t="shared" si="1"/>
        <v>63000</v>
      </c>
      <c r="H43" s="165" t="s">
        <v>2530</v>
      </c>
    </row>
    <row r="44" spans="1:8" ht="30" customHeight="1" x14ac:dyDescent="0.3">
      <c r="A44" s="163" t="s">
        <v>2567</v>
      </c>
      <c r="B44" s="157" t="s">
        <v>2532</v>
      </c>
      <c r="C44" s="158" t="s">
        <v>2502</v>
      </c>
      <c r="D44" s="159">
        <v>68000</v>
      </c>
      <c r="E44" s="160">
        <v>72000</v>
      </c>
      <c r="F44" s="164">
        <v>75000</v>
      </c>
      <c r="G44" s="162">
        <f t="shared" si="1"/>
        <v>68000</v>
      </c>
      <c r="H44" s="165" t="s">
        <v>2530</v>
      </c>
    </row>
    <row r="45" spans="1:8" ht="30" customHeight="1" x14ac:dyDescent="0.3">
      <c r="A45" s="167" t="s">
        <v>2534</v>
      </c>
      <c r="B45" s="157"/>
      <c r="C45" s="158"/>
      <c r="D45" s="159"/>
      <c r="E45" s="160"/>
      <c r="F45" s="164"/>
      <c r="G45" s="162"/>
      <c r="H45" s="165"/>
    </row>
    <row r="46" spans="1:8" ht="30" customHeight="1" x14ac:dyDescent="0.3">
      <c r="A46" s="163" t="s">
        <v>2535</v>
      </c>
      <c r="B46" s="157" t="s">
        <v>2536</v>
      </c>
      <c r="C46" s="158" t="s">
        <v>2502</v>
      </c>
      <c r="D46" s="159">
        <v>18500</v>
      </c>
      <c r="E46" s="160">
        <v>20000</v>
      </c>
      <c r="F46" s="164">
        <v>24000</v>
      </c>
      <c r="G46" s="162">
        <f t="shared" ref="G46:G58" si="2">SMALL(D46:F46,COUNTIF(D46:F46,0)+1)</f>
        <v>18500</v>
      </c>
      <c r="H46" s="169"/>
    </row>
    <row r="47" spans="1:8" ht="30" customHeight="1" x14ac:dyDescent="0.3">
      <c r="A47" s="163" t="s">
        <v>2535</v>
      </c>
      <c r="B47" s="170" t="s">
        <v>2513</v>
      </c>
      <c r="C47" s="158" t="s">
        <v>2502</v>
      </c>
      <c r="D47" s="159">
        <v>19000</v>
      </c>
      <c r="E47" s="160">
        <v>21000</v>
      </c>
      <c r="F47" s="164">
        <v>24000</v>
      </c>
      <c r="G47" s="162">
        <f t="shared" si="2"/>
        <v>19000</v>
      </c>
      <c r="H47" s="169" t="s">
        <v>2503</v>
      </c>
    </row>
    <row r="48" spans="1:8" ht="30" customHeight="1" x14ac:dyDescent="0.3">
      <c r="A48" s="163" t="s">
        <v>2537</v>
      </c>
      <c r="B48" s="170" t="s">
        <v>2538</v>
      </c>
      <c r="C48" s="158" t="s">
        <v>2502</v>
      </c>
      <c r="D48" s="159">
        <v>37000</v>
      </c>
      <c r="E48" s="160">
        <v>39000</v>
      </c>
      <c r="F48" s="164">
        <v>39000</v>
      </c>
      <c r="G48" s="162">
        <f t="shared" si="2"/>
        <v>37000</v>
      </c>
      <c r="H48" s="169" t="s">
        <v>2503</v>
      </c>
    </row>
    <row r="49" spans="1:8" ht="30" customHeight="1" x14ac:dyDescent="0.3">
      <c r="A49" s="163" t="s">
        <v>2535</v>
      </c>
      <c r="B49" s="170" t="s">
        <v>2514</v>
      </c>
      <c r="C49" s="158" t="s">
        <v>2502</v>
      </c>
      <c r="D49" s="159">
        <v>20000</v>
      </c>
      <c r="E49" s="160">
        <v>22000</v>
      </c>
      <c r="F49" s="161">
        <v>24000</v>
      </c>
      <c r="G49" s="162">
        <f t="shared" si="2"/>
        <v>20000</v>
      </c>
      <c r="H49" s="169" t="s">
        <v>2503</v>
      </c>
    </row>
    <row r="50" spans="1:8" ht="30" customHeight="1" x14ac:dyDescent="0.3">
      <c r="A50" s="163" t="s">
        <v>2535</v>
      </c>
      <c r="B50" s="170" t="s">
        <v>2505</v>
      </c>
      <c r="C50" s="158" t="s">
        <v>2502</v>
      </c>
      <c r="D50" s="159">
        <v>29000</v>
      </c>
      <c r="E50" s="160">
        <v>30000</v>
      </c>
      <c r="F50" s="161">
        <v>35000</v>
      </c>
      <c r="G50" s="162">
        <f t="shared" si="2"/>
        <v>29000</v>
      </c>
      <c r="H50" s="169" t="s">
        <v>2503</v>
      </c>
    </row>
    <row r="51" spans="1:8" ht="30" customHeight="1" x14ac:dyDescent="0.3">
      <c r="A51" s="163" t="s">
        <v>2539</v>
      </c>
      <c r="B51" s="170" t="s">
        <v>2504</v>
      </c>
      <c r="C51" s="158" t="s">
        <v>2502</v>
      </c>
      <c r="D51" s="159">
        <v>79000</v>
      </c>
      <c r="E51" s="160">
        <v>85000</v>
      </c>
      <c r="F51" s="161">
        <v>86000</v>
      </c>
      <c r="G51" s="162">
        <f t="shared" si="2"/>
        <v>79000</v>
      </c>
      <c r="H51" s="169" t="s">
        <v>2503</v>
      </c>
    </row>
    <row r="52" spans="1:8" ht="30" customHeight="1" x14ac:dyDescent="0.3">
      <c r="A52" s="167" t="s">
        <v>2540</v>
      </c>
      <c r="B52" s="170"/>
      <c r="C52" s="158"/>
      <c r="D52" s="159"/>
      <c r="E52" s="160"/>
      <c r="F52" s="161"/>
      <c r="G52" s="162"/>
      <c r="H52" s="169"/>
    </row>
    <row r="53" spans="1:8" ht="30" customHeight="1" x14ac:dyDescent="0.3">
      <c r="A53" s="163" t="s">
        <v>2541</v>
      </c>
      <c r="B53" s="170" t="s">
        <v>2542</v>
      </c>
      <c r="C53" s="158" t="s">
        <v>2502</v>
      </c>
      <c r="D53" s="159">
        <v>110000</v>
      </c>
      <c r="E53" s="160">
        <v>115000</v>
      </c>
      <c r="F53" s="161">
        <v>120000</v>
      </c>
      <c r="G53" s="162">
        <f t="shared" si="2"/>
        <v>110000</v>
      </c>
      <c r="H53" s="165" t="s">
        <v>2503</v>
      </c>
    </row>
    <row r="54" spans="1:8" ht="30" customHeight="1" x14ac:dyDescent="0.3">
      <c r="A54" s="163" t="s">
        <v>2541</v>
      </c>
      <c r="B54" s="170" t="s">
        <v>2501</v>
      </c>
      <c r="C54" s="158" t="s">
        <v>2502</v>
      </c>
      <c r="D54" s="159">
        <v>130000</v>
      </c>
      <c r="E54" s="160">
        <v>140000</v>
      </c>
      <c r="F54" s="161">
        <v>150000</v>
      </c>
      <c r="G54" s="162">
        <f t="shared" si="2"/>
        <v>130000</v>
      </c>
      <c r="H54" s="165" t="s">
        <v>2503</v>
      </c>
    </row>
    <row r="55" spans="1:8" ht="30" customHeight="1" x14ac:dyDescent="0.3">
      <c r="A55" s="163" t="s">
        <v>2543</v>
      </c>
      <c r="B55" s="170" t="s">
        <v>2533</v>
      </c>
      <c r="C55" s="158" t="s">
        <v>2502</v>
      </c>
      <c r="D55" s="159">
        <v>180000</v>
      </c>
      <c r="E55" s="160">
        <v>193000</v>
      </c>
      <c r="F55" s="164">
        <v>200000</v>
      </c>
      <c r="G55" s="162">
        <f t="shared" si="2"/>
        <v>180000</v>
      </c>
      <c r="H55" s="165" t="s">
        <v>2503</v>
      </c>
    </row>
    <row r="56" spans="1:8" ht="30" customHeight="1" x14ac:dyDescent="0.3">
      <c r="A56" s="163" t="s">
        <v>2543</v>
      </c>
      <c r="B56" s="170" t="s">
        <v>2544</v>
      </c>
      <c r="C56" s="158" t="s">
        <v>2502</v>
      </c>
      <c r="D56" s="159">
        <v>180000</v>
      </c>
      <c r="E56" s="160">
        <v>223000</v>
      </c>
      <c r="F56" s="164">
        <v>230000</v>
      </c>
      <c r="G56" s="162">
        <f t="shared" si="2"/>
        <v>180000</v>
      </c>
      <c r="H56" s="165"/>
    </row>
    <row r="57" spans="1:8" ht="30" customHeight="1" x14ac:dyDescent="0.3">
      <c r="A57" s="163" t="s">
        <v>2543</v>
      </c>
      <c r="B57" s="170" t="s">
        <v>2545</v>
      </c>
      <c r="C57" s="158" t="s">
        <v>2502</v>
      </c>
      <c r="D57" s="159">
        <v>200000</v>
      </c>
      <c r="E57" s="160">
        <v>228000</v>
      </c>
      <c r="F57" s="164">
        <v>230000</v>
      </c>
      <c r="G57" s="162">
        <f t="shared" si="2"/>
        <v>200000</v>
      </c>
      <c r="H57" s="165"/>
    </row>
    <row r="58" spans="1:8" ht="30" customHeight="1" x14ac:dyDescent="0.3">
      <c r="A58" s="163" t="s">
        <v>2543</v>
      </c>
      <c r="B58" s="170" t="s">
        <v>2519</v>
      </c>
      <c r="C58" s="158" t="s">
        <v>2502</v>
      </c>
      <c r="D58" s="159">
        <v>215000</v>
      </c>
      <c r="E58" s="160">
        <v>243000</v>
      </c>
      <c r="F58" s="164">
        <v>250000</v>
      </c>
      <c r="G58" s="162">
        <f t="shared" si="2"/>
        <v>215000</v>
      </c>
      <c r="H58" s="165"/>
    </row>
    <row r="59" spans="1:8" ht="30" customHeight="1" x14ac:dyDescent="0.3">
      <c r="A59" s="171"/>
      <c r="B59" s="172"/>
      <c r="C59" s="173"/>
      <c r="D59" s="174"/>
      <c r="E59" s="175"/>
      <c r="F59" s="176"/>
      <c r="G59" s="177"/>
      <c r="H59" s="178"/>
    </row>
    <row r="60" spans="1:8" ht="30" customHeight="1" x14ac:dyDescent="0.3">
      <c r="A60" s="171"/>
      <c r="B60" s="172"/>
      <c r="C60" s="173"/>
      <c r="D60" s="174"/>
      <c r="E60" s="175"/>
      <c r="F60" s="176"/>
      <c r="G60" s="177"/>
      <c r="H60" s="178"/>
    </row>
    <row r="61" spans="1:8" ht="30" customHeight="1" x14ac:dyDescent="0.3">
      <c r="A61" s="171"/>
      <c r="B61" s="172"/>
      <c r="C61" s="173"/>
      <c r="D61" s="174"/>
      <c r="E61" s="175"/>
      <c r="F61" s="176"/>
      <c r="G61" s="177"/>
      <c r="H61" s="178"/>
    </row>
    <row r="62" spans="1:8" ht="30" customHeight="1" x14ac:dyDescent="0.3">
      <c r="A62" s="171"/>
      <c r="B62" s="172"/>
      <c r="C62" s="173"/>
      <c r="D62" s="174"/>
      <c r="E62" s="175"/>
      <c r="F62" s="176"/>
      <c r="G62" s="177"/>
      <c r="H62" s="178"/>
    </row>
    <row r="63" spans="1:8" ht="30" customHeight="1" x14ac:dyDescent="0.3">
      <c r="A63" s="171"/>
      <c r="B63" s="172"/>
      <c r="C63" s="173"/>
      <c r="D63" s="174"/>
      <c r="E63" s="175"/>
      <c r="F63" s="176"/>
      <c r="G63" s="177"/>
      <c r="H63" s="178"/>
    </row>
    <row r="64" spans="1:8" ht="30" customHeight="1" x14ac:dyDescent="0.3">
      <c r="A64" s="171"/>
      <c r="B64" s="172"/>
      <c r="C64" s="173"/>
      <c r="D64" s="174"/>
      <c r="E64" s="175"/>
      <c r="F64" s="176"/>
      <c r="G64" s="177"/>
      <c r="H64" s="178"/>
    </row>
    <row r="65" spans="1:8" ht="30" customHeight="1" x14ac:dyDescent="0.3">
      <c r="A65" s="171"/>
      <c r="B65" s="172"/>
      <c r="C65" s="173"/>
      <c r="D65" s="174"/>
      <c r="E65" s="175"/>
      <c r="F65" s="176"/>
      <c r="G65" s="177"/>
      <c r="H65" s="178"/>
    </row>
    <row r="66" spans="1:8" ht="30" customHeight="1" x14ac:dyDescent="0.3">
      <c r="A66" s="171"/>
      <c r="B66" s="172"/>
      <c r="C66" s="173"/>
      <c r="D66" s="174"/>
      <c r="E66" s="175"/>
      <c r="F66" s="176"/>
      <c r="G66" s="177"/>
      <c r="H66" s="178"/>
    </row>
    <row r="67" spans="1:8" ht="30" customHeight="1" x14ac:dyDescent="0.3">
      <c r="A67" s="171"/>
      <c r="B67" s="172"/>
      <c r="C67" s="173"/>
      <c r="D67" s="174"/>
      <c r="E67" s="175"/>
      <c r="F67" s="176"/>
      <c r="G67" s="177"/>
      <c r="H67" s="178"/>
    </row>
  </sheetData>
  <mergeCells count="7">
    <mergeCell ref="A1:H1"/>
    <mergeCell ref="A3:A4"/>
    <mergeCell ref="B3:B4"/>
    <mergeCell ref="C3:C4"/>
    <mergeCell ref="D3:G3"/>
    <mergeCell ref="H3:H4"/>
    <mergeCell ref="A2:H2"/>
  </mergeCells>
  <phoneticPr fontId="1" type="noConversion"/>
  <pageMargins left="0.78740157480314954" right="0" top="0.39370078740157477" bottom="0.39370078740157477" header="0" footer="0"/>
  <pageSetup paperSize="9" scale="72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FF"/>
    <pageSetUpPr fitToPage="1"/>
  </sheetPr>
  <dimension ref="A1:P41"/>
  <sheetViews>
    <sheetView showZeros="0" view="pageBreakPreview" zoomScale="85" zoomScaleNormal="87" zoomScaleSheetLayoutView="85" workbookViewId="0">
      <selection activeCell="B15" sqref="B15"/>
    </sheetView>
  </sheetViews>
  <sheetFormatPr defaultRowHeight="16.5" x14ac:dyDescent="0.3"/>
  <cols>
    <col min="1" max="2" width="30.625" style="1" customWidth="1"/>
    <col min="3" max="3" width="4.625" style="4" customWidth="1"/>
    <col min="4" max="5" width="13.625" style="7" customWidth="1"/>
    <col min="6" max="6" width="13.625" style="1" customWidth="1"/>
    <col min="7" max="7" width="13.625" style="7" customWidth="1"/>
    <col min="8" max="8" width="8.625" style="4" customWidth="1"/>
    <col min="9" max="9" width="12.625" style="4" customWidth="1"/>
    <col min="10" max="16384" width="9" style="1"/>
  </cols>
  <sheetData>
    <row r="1" spans="1:16" ht="37.5" customHeight="1" x14ac:dyDescent="0.3">
      <c r="A1" s="212" t="s">
        <v>1547</v>
      </c>
      <c r="B1" s="212"/>
      <c r="C1" s="212"/>
      <c r="D1" s="212"/>
      <c r="E1" s="212"/>
      <c r="F1" s="212"/>
      <c r="G1" s="212"/>
      <c r="H1" s="212"/>
      <c r="I1" s="212"/>
    </row>
    <row r="2" spans="1:16" ht="30" customHeight="1" x14ac:dyDescent="0.3">
      <c r="A2" s="201" t="s">
        <v>1998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</row>
    <row r="3" spans="1:16" ht="30" customHeight="1" x14ac:dyDescent="0.3">
      <c r="A3" s="100" t="s">
        <v>0</v>
      </c>
      <c r="B3" s="100" t="s">
        <v>957</v>
      </c>
      <c r="C3" s="100" t="s">
        <v>1</v>
      </c>
      <c r="D3" s="101" t="s">
        <v>1054</v>
      </c>
      <c r="E3" s="101" t="s">
        <v>726</v>
      </c>
      <c r="F3" s="100" t="s">
        <v>727</v>
      </c>
      <c r="G3" s="101" t="s">
        <v>1055</v>
      </c>
      <c r="H3" s="100" t="s">
        <v>728</v>
      </c>
      <c r="I3" s="100" t="s">
        <v>1056</v>
      </c>
    </row>
    <row r="4" spans="1:16" ht="30" customHeight="1" x14ac:dyDescent="0.3">
      <c r="A4" s="3" t="s">
        <v>992</v>
      </c>
      <c r="B4" s="3" t="s">
        <v>248</v>
      </c>
      <c r="C4" s="5" t="s">
        <v>993</v>
      </c>
      <c r="D4" s="6">
        <f>'12.일위대가'!F12</f>
        <v>2378</v>
      </c>
      <c r="E4" s="6">
        <f>'12.일위대가'!H12</f>
        <v>14778</v>
      </c>
      <c r="F4" s="11">
        <f>'12.일위대가'!J12</f>
        <v>0</v>
      </c>
      <c r="G4" s="6">
        <f t="shared" ref="G4:G41" si="0">D4+E4+F4</f>
        <v>17156</v>
      </c>
      <c r="H4" s="5" t="s">
        <v>1058</v>
      </c>
      <c r="I4" s="5"/>
      <c r="J4" s="99"/>
    </row>
    <row r="5" spans="1:16" ht="30" customHeight="1" x14ac:dyDescent="0.3">
      <c r="A5" s="3" t="s">
        <v>992</v>
      </c>
      <c r="B5" s="3" t="s">
        <v>997</v>
      </c>
      <c r="C5" s="5" t="s">
        <v>993</v>
      </c>
      <c r="D5" s="6">
        <f>'12.일위대가'!F22</f>
        <v>2382</v>
      </c>
      <c r="E5" s="6">
        <f>'12.일위대가'!H22</f>
        <v>14778</v>
      </c>
      <c r="F5" s="11">
        <f>'12.일위대가'!J22</f>
        <v>0</v>
      </c>
      <c r="G5" s="6">
        <f t="shared" si="0"/>
        <v>17160</v>
      </c>
      <c r="H5" s="5" t="s">
        <v>1059</v>
      </c>
      <c r="I5" s="5" t="s">
        <v>5</v>
      </c>
    </row>
    <row r="6" spans="1:16" ht="30" customHeight="1" x14ac:dyDescent="0.3">
      <c r="A6" s="3" t="s">
        <v>992</v>
      </c>
      <c r="B6" s="3" t="s">
        <v>999</v>
      </c>
      <c r="C6" s="5" t="s">
        <v>993</v>
      </c>
      <c r="D6" s="6">
        <f>'12.일위대가'!F32</f>
        <v>2403</v>
      </c>
      <c r="E6" s="6">
        <f>'12.일위대가'!H32</f>
        <v>14778</v>
      </c>
      <c r="F6" s="11">
        <f>'12.일위대가'!J32</f>
        <v>0</v>
      </c>
      <c r="G6" s="6">
        <f t="shared" si="0"/>
        <v>17181</v>
      </c>
      <c r="H6" s="5" t="s">
        <v>1060</v>
      </c>
      <c r="I6" s="5" t="s">
        <v>5</v>
      </c>
    </row>
    <row r="7" spans="1:16" ht="30" customHeight="1" x14ac:dyDescent="0.3">
      <c r="A7" s="3" t="s">
        <v>992</v>
      </c>
      <c r="B7" s="3" t="s">
        <v>1001</v>
      </c>
      <c r="C7" s="5" t="s">
        <v>993</v>
      </c>
      <c r="D7" s="6">
        <f>'12.일위대가'!F42</f>
        <v>2426</v>
      </c>
      <c r="E7" s="6">
        <f>'12.일위대가'!H42</f>
        <v>14778</v>
      </c>
      <c r="F7" s="11">
        <f>'12.일위대가'!J42</f>
        <v>0</v>
      </c>
      <c r="G7" s="6">
        <f t="shared" si="0"/>
        <v>17204</v>
      </c>
      <c r="H7" s="5" t="s">
        <v>1061</v>
      </c>
      <c r="I7" s="5" t="s">
        <v>5</v>
      </c>
    </row>
    <row r="8" spans="1:16" ht="30" customHeight="1" x14ac:dyDescent="0.3">
      <c r="A8" s="3" t="s">
        <v>992</v>
      </c>
      <c r="B8" s="3" t="s">
        <v>1003</v>
      </c>
      <c r="C8" s="5" t="s">
        <v>993</v>
      </c>
      <c r="D8" s="6">
        <f>'12.일위대가'!F52</f>
        <v>2461</v>
      </c>
      <c r="E8" s="6">
        <f>'12.일위대가'!H52</f>
        <v>14778</v>
      </c>
      <c r="F8" s="11">
        <f>'12.일위대가'!J52</f>
        <v>0</v>
      </c>
      <c r="G8" s="6">
        <f t="shared" si="0"/>
        <v>17239</v>
      </c>
      <c r="H8" s="5" t="s">
        <v>1062</v>
      </c>
      <c r="I8" s="5" t="s">
        <v>5</v>
      </c>
    </row>
    <row r="9" spans="1:16" ht="30" customHeight="1" x14ac:dyDescent="0.3">
      <c r="A9" s="3" t="s">
        <v>992</v>
      </c>
      <c r="B9" s="3" t="s">
        <v>1005</v>
      </c>
      <c r="C9" s="5" t="s">
        <v>993</v>
      </c>
      <c r="D9" s="6">
        <f>'12.일위대가'!F62</f>
        <v>2645</v>
      </c>
      <c r="E9" s="6">
        <f>'12.일위대가'!H62</f>
        <v>14778</v>
      </c>
      <c r="F9" s="11">
        <f>'12.일위대가'!J62</f>
        <v>0</v>
      </c>
      <c r="G9" s="6">
        <f t="shared" si="0"/>
        <v>17423</v>
      </c>
      <c r="H9" s="5" t="s">
        <v>1063</v>
      </c>
      <c r="I9" s="5" t="s">
        <v>5</v>
      </c>
    </row>
    <row r="10" spans="1:16" ht="30" customHeight="1" x14ac:dyDescent="0.3">
      <c r="A10" s="3" t="s">
        <v>992</v>
      </c>
      <c r="B10" s="3" t="s">
        <v>1007</v>
      </c>
      <c r="C10" s="5" t="s">
        <v>993</v>
      </c>
      <c r="D10" s="6">
        <f>'12.일위대가'!F72</f>
        <v>2693</v>
      </c>
      <c r="E10" s="6">
        <f>'12.일위대가'!H72</f>
        <v>14778</v>
      </c>
      <c r="F10" s="11">
        <f>'12.일위대가'!J72</f>
        <v>0</v>
      </c>
      <c r="G10" s="6">
        <f t="shared" si="0"/>
        <v>17471</v>
      </c>
      <c r="H10" s="5" t="s">
        <v>1064</v>
      </c>
      <c r="I10" s="5" t="s">
        <v>5</v>
      </c>
    </row>
    <row r="11" spans="1:16" ht="30" customHeight="1" x14ac:dyDescent="0.3">
      <c r="A11" s="3" t="s">
        <v>992</v>
      </c>
      <c r="B11" s="3" t="s">
        <v>1009</v>
      </c>
      <c r="C11" s="5" t="s">
        <v>993</v>
      </c>
      <c r="D11" s="6">
        <f>'12.일위대가'!F82</f>
        <v>3148</v>
      </c>
      <c r="E11" s="6">
        <f>'12.일위대가'!H82</f>
        <v>14778</v>
      </c>
      <c r="F11" s="11">
        <f>'12.일위대가'!J82</f>
        <v>0</v>
      </c>
      <c r="G11" s="6">
        <f t="shared" si="0"/>
        <v>17926</v>
      </c>
      <c r="H11" s="5" t="s">
        <v>1065</v>
      </c>
      <c r="I11" s="5" t="s">
        <v>5</v>
      </c>
    </row>
    <row r="12" spans="1:16" ht="30" customHeight="1" x14ac:dyDescent="0.3">
      <c r="A12" s="3" t="s">
        <v>992</v>
      </c>
      <c r="B12" s="3" t="s">
        <v>1011</v>
      </c>
      <c r="C12" s="5" t="s">
        <v>993</v>
      </c>
      <c r="D12" s="6">
        <f>'12.일위대가'!F92</f>
        <v>3337</v>
      </c>
      <c r="E12" s="6">
        <f>'12.일위대가'!H92</f>
        <v>14778</v>
      </c>
      <c r="F12" s="11">
        <f>'12.일위대가'!J92</f>
        <v>0</v>
      </c>
      <c r="G12" s="6">
        <f t="shared" si="0"/>
        <v>18115</v>
      </c>
      <c r="H12" s="5" t="s">
        <v>1066</v>
      </c>
      <c r="I12" s="5" t="s">
        <v>5</v>
      </c>
    </row>
    <row r="13" spans="1:16" ht="30" customHeight="1" x14ac:dyDescent="0.3">
      <c r="A13" s="3" t="s">
        <v>1519</v>
      </c>
      <c r="B13" s="3" t="s">
        <v>1013</v>
      </c>
      <c r="C13" s="5" t="s">
        <v>993</v>
      </c>
      <c r="D13" s="6">
        <f>'12.일위대가'!F102</f>
        <v>5070</v>
      </c>
      <c r="E13" s="6">
        <f>'12.일위대가'!H102</f>
        <v>29557</v>
      </c>
      <c r="F13" s="11">
        <f>'12.일위대가'!J102</f>
        <v>0</v>
      </c>
      <c r="G13" s="6">
        <f t="shared" si="0"/>
        <v>34627</v>
      </c>
      <c r="H13" s="5" t="s">
        <v>1067</v>
      </c>
      <c r="I13" s="5" t="s">
        <v>5</v>
      </c>
    </row>
    <row r="14" spans="1:16" ht="30" customHeight="1" x14ac:dyDescent="0.3">
      <c r="A14" s="3" t="s">
        <v>1519</v>
      </c>
      <c r="B14" s="3" t="s">
        <v>1015</v>
      </c>
      <c r="C14" s="5" t="s">
        <v>993</v>
      </c>
      <c r="D14" s="6">
        <f>'12.일위대가'!F112</f>
        <v>5651</v>
      </c>
      <c r="E14" s="6">
        <f>'12.일위대가'!H112</f>
        <v>29557</v>
      </c>
      <c r="F14" s="11">
        <f>'12.일위대가'!J112</f>
        <v>0</v>
      </c>
      <c r="G14" s="6">
        <f t="shared" si="0"/>
        <v>35208</v>
      </c>
      <c r="H14" s="5" t="s">
        <v>1068</v>
      </c>
      <c r="I14" s="5" t="s">
        <v>5</v>
      </c>
    </row>
    <row r="15" spans="1:16" ht="30" customHeight="1" x14ac:dyDescent="0.3">
      <c r="A15" s="3" t="s">
        <v>1519</v>
      </c>
      <c r="B15" s="3" t="s">
        <v>1017</v>
      </c>
      <c r="C15" s="5" t="s">
        <v>993</v>
      </c>
      <c r="D15" s="6">
        <f>'12.일위대가'!F122</f>
        <v>5960</v>
      </c>
      <c r="E15" s="6">
        <f>'12.일위대가'!H122</f>
        <v>29557</v>
      </c>
      <c r="F15" s="11">
        <f>'12.일위대가'!J122</f>
        <v>0</v>
      </c>
      <c r="G15" s="6">
        <f t="shared" si="0"/>
        <v>35517</v>
      </c>
      <c r="H15" s="5" t="s">
        <v>1069</v>
      </c>
      <c r="I15" s="5" t="s">
        <v>5</v>
      </c>
    </row>
    <row r="16" spans="1:16" ht="30" customHeight="1" x14ac:dyDescent="0.3">
      <c r="A16" s="3" t="s">
        <v>1519</v>
      </c>
      <c r="B16" s="3" t="s">
        <v>1019</v>
      </c>
      <c r="C16" s="5" t="s">
        <v>993</v>
      </c>
      <c r="D16" s="6">
        <f>'12.일위대가'!F132</f>
        <v>6578</v>
      </c>
      <c r="E16" s="6">
        <f>'12.일위대가'!H132</f>
        <v>29557</v>
      </c>
      <c r="F16" s="11">
        <f>'12.일위대가'!J132</f>
        <v>0</v>
      </c>
      <c r="G16" s="6">
        <f t="shared" si="0"/>
        <v>36135</v>
      </c>
      <c r="H16" s="5" t="s">
        <v>1070</v>
      </c>
      <c r="I16" s="5" t="s">
        <v>5</v>
      </c>
    </row>
    <row r="17" spans="1:9" ht="30" customHeight="1" x14ac:dyDescent="0.3">
      <c r="A17" s="3" t="s">
        <v>1519</v>
      </c>
      <c r="B17" s="3" t="s">
        <v>1021</v>
      </c>
      <c r="C17" s="5" t="s">
        <v>993</v>
      </c>
      <c r="D17" s="6">
        <f>'12.일위대가'!F142</f>
        <v>7195</v>
      </c>
      <c r="E17" s="6">
        <f>'12.일위대가'!H142</f>
        <v>29557</v>
      </c>
      <c r="F17" s="11">
        <f>'12.일위대가'!J142</f>
        <v>0</v>
      </c>
      <c r="G17" s="6">
        <f t="shared" si="0"/>
        <v>36752</v>
      </c>
      <c r="H17" s="5" t="s">
        <v>1071</v>
      </c>
      <c r="I17" s="5" t="s">
        <v>5</v>
      </c>
    </row>
    <row r="18" spans="1:9" ht="30" customHeight="1" x14ac:dyDescent="0.3">
      <c r="A18" s="3" t="s">
        <v>1519</v>
      </c>
      <c r="B18" s="3" t="s">
        <v>1023</v>
      </c>
      <c r="C18" s="5" t="s">
        <v>993</v>
      </c>
      <c r="D18" s="6">
        <f>'12.일위대가'!F152</f>
        <v>7813</v>
      </c>
      <c r="E18" s="6">
        <f>'12.일위대가'!H152</f>
        <v>29557</v>
      </c>
      <c r="F18" s="11">
        <f>'12.일위대가'!J152</f>
        <v>0</v>
      </c>
      <c r="G18" s="6">
        <f t="shared" si="0"/>
        <v>37370</v>
      </c>
      <c r="H18" s="5" t="s">
        <v>1072</v>
      </c>
      <c r="I18" s="5" t="s">
        <v>5</v>
      </c>
    </row>
    <row r="19" spans="1:9" ht="30" customHeight="1" x14ac:dyDescent="0.3">
      <c r="A19" s="3" t="s">
        <v>1519</v>
      </c>
      <c r="B19" s="3" t="s">
        <v>1025</v>
      </c>
      <c r="C19" s="5" t="s">
        <v>993</v>
      </c>
      <c r="D19" s="6">
        <f>'12.일위대가'!F162</f>
        <v>8431</v>
      </c>
      <c r="E19" s="6">
        <f>'12.일위대가'!H162</f>
        <v>29557</v>
      </c>
      <c r="F19" s="11">
        <f>'12.일위대가'!J162</f>
        <v>0</v>
      </c>
      <c r="G19" s="6">
        <f t="shared" si="0"/>
        <v>37988</v>
      </c>
      <c r="H19" s="5" t="s">
        <v>1073</v>
      </c>
      <c r="I19" s="5" t="s">
        <v>5</v>
      </c>
    </row>
    <row r="20" spans="1:9" ht="30" customHeight="1" x14ac:dyDescent="0.3">
      <c r="A20" s="3" t="s">
        <v>1519</v>
      </c>
      <c r="B20" s="3" t="s">
        <v>1027</v>
      </c>
      <c r="C20" s="5" t="s">
        <v>993</v>
      </c>
      <c r="D20" s="6">
        <f>'12.일위대가'!F172</f>
        <v>9666</v>
      </c>
      <c r="E20" s="6">
        <f>'12.일위대가'!H172</f>
        <v>29557</v>
      </c>
      <c r="F20" s="11">
        <f>'12.일위대가'!J172</f>
        <v>0</v>
      </c>
      <c r="G20" s="6">
        <f t="shared" si="0"/>
        <v>39223</v>
      </c>
      <c r="H20" s="5" t="s">
        <v>1074</v>
      </c>
      <c r="I20" s="5" t="s">
        <v>5</v>
      </c>
    </row>
    <row r="21" spans="1:9" ht="30" customHeight="1" x14ac:dyDescent="0.3">
      <c r="A21" s="3" t="s">
        <v>1519</v>
      </c>
      <c r="B21" s="3" t="s">
        <v>1029</v>
      </c>
      <c r="C21" s="5" t="s">
        <v>993</v>
      </c>
      <c r="D21" s="6">
        <f>'12.일위대가'!F182</f>
        <v>10283</v>
      </c>
      <c r="E21" s="6">
        <f>'12.일위대가'!H182</f>
        <v>29557</v>
      </c>
      <c r="F21" s="11">
        <f>'12.일위대가'!J182</f>
        <v>0</v>
      </c>
      <c r="G21" s="6">
        <f t="shared" si="0"/>
        <v>39840</v>
      </c>
      <c r="H21" s="5" t="s">
        <v>1075</v>
      </c>
      <c r="I21" s="5" t="s">
        <v>5</v>
      </c>
    </row>
    <row r="22" spans="1:9" ht="30" customHeight="1" x14ac:dyDescent="0.3">
      <c r="A22" s="3" t="s">
        <v>1519</v>
      </c>
      <c r="B22" s="3" t="s">
        <v>1031</v>
      </c>
      <c r="C22" s="5" t="s">
        <v>993</v>
      </c>
      <c r="D22" s="6">
        <f>'12.일위대가'!F192</f>
        <v>10901</v>
      </c>
      <c r="E22" s="6">
        <f>'12.일위대가'!H192</f>
        <v>29557</v>
      </c>
      <c r="F22" s="11">
        <f>'12.일위대가'!J192</f>
        <v>0</v>
      </c>
      <c r="G22" s="6">
        <f t="shared" si="0"/>
        <v>40458</v>
      </c>
      <c r="H22" s="5" t="s">
        <v>1076</v>
      </c>
      <c r="I22" s="5" t="s">
        <v>5</v>
      </c>
    </row>
    <row r="23" spans="1:9" ht="30" customHeight="1" x14ac:dyDescent="0.3">
      <c r="A23" s="3" t="s">
        <v>1520</v>
      </c>
      <c r="B23" s="3" t="s">
        <v>1013</v>
      </c>
      <c r="C23" s="5" t="s">
        <v>993</v>
      </c>
      <c r="D23" s="6">
        <f>'12.일위대가'!F201</f>
        <v>2206</v>
      </c>
      <c r="E23" s="6">
        <f>'12.일위대가'!H201</f>
        <v>19704</v>
      </c>
      <c r="F23" s="11">
        <f>'12.일위대가'!J201</f>
        <v>0</v>
      </c>
      <c r="G23" s="6">
        <f t="shared" si="0"/>
        <v>21910</v>
      </c>
      <c r="H23" s="5" t="s">
        <v>1077</v>
      </c>
      <c r="I23" s="5" t="s">
        <v>5</v>
      </c>
    </row>
    <row r="24" spans="1:9" ht="30" customHeight="1" x14ac:dyDescent="0.3">
      <c r="A24" s="3" t="s">
        <v>1520</v>
      </c>
      <c r="B24" s="3" t="s">
        <v>1015</v>
      </c>
      <c r="C24" s="5" t="s">
        <v>993</v>
      </c>
      <c r="D24" s="6">
        <f>'12.일위대가'!F210</f>
        <v>2515</v>
      </c>
      <c r="E24" s="6">
        <f>'12.일위대가'!H210</f>
        <v>19704</v>
      </c>
      <c r="F24" s="11">
        <f>'12.일위대가'!J210</f>
        <v>0</v>
      </c>
      <c r="G24" s="6">
        <f t="shared" si="0"/>
        <v>22219</v>
      </c>
      <c r="H24" s="5" t="s">
        <v>1078</v>
      </c>
      <c r="I24" s="5" t="s">
        <v>5</v>
      </c>
    </row>
    <row r="25" spans="1:9" ht="30" customHeight="1" x14ac:dyDescent="0.3">
      <c r="A25" s="3" t="s">
        <v>1520</v>
      </c>
      <c r="B25" s="3" t="s">
        <v>1017</v>
      </c>
      <c r="C25" s="5" t="s">
        <v>993</v>
      </c>
      <c r="D25" s="6">
        <f>'12.일위대가'!F219</f>
        <v>2824</v>
      </c>
      <c r="E25" s="6">
        <f>'12.일위대가'!H219</f>
        <v>19704</v>
      </c>
      <c r="F25" s="11">
        <f>'12.일위대가'!J219</f>
        <v>0</v>
      </c>
      <c r="G25" s="6">
        <f t="shared" si="0"/>
        <v>22528</v>
      </c>
      <c r="H25" s="5" t="s">
        <v>1079</v>
      </c>
      <c r="I25" s="5" t="s">
        <v>5</v>
      </c>
    </row>
    <row r="26" spans="1:9" ht="30" customHeight="1" x14ac:dyDescent="0.3">
      <c r="A26" s="3" t="s">
        <v>1520</v>
      </c>
      <c r="B26" s="3" t="s">
        <v>1019</v>
      </c>
      <c r="C26" s="5" t="s">
        <v>993</v>
      </c>
      <c r="D26" s="6">
        <f>'12.일위대가'!F228</f>
        <v>3442</v>
      </c>
      <c r="E26" s="6">
        <f>'12.일위대가'!H228</f>
        <v>19704</v>
      </c>
      <c r="F26" s="11">
        <f>'12.일위대가'!J228</f>
        <v>0</v>
      </c>
      <c r="G26" s="6">
        <f t="shared" si="0"/>
        <v>23146</v>
      </c>
      <c r="H26" s="5" t="s">
        <v>1080</v>
      </c>
      <c r="I26" s="5" t="s">
        <v>5</v>
      </c>
    </row>
    <row r="27" spans="1:9" ht="30" customHeight="1" x14ac:dyDescent="0.3">
      <c r="A27" s="3" t="s">
        <v>1520</v>
      </c>
      <c r="B27" s="3" t="s">
        <v>1021</v>
      </c>
      <c r="C27" s="5" t="s">
        <v>993</v>
      </c>
      <c r="D27" s="6">
        <f>'12.일위대가'!F237</f>
        <v>4059</v>
      </c>
      <c r="E27" s="6">
        <f>'12.일위대가'!H237</f>
        <v>19704</v>
      </c>
      <c r="F27" s="11">
        <f>'12.일위대가'!J237</f>
        <v>0</v>
      </c>
      <c r="G27" s="6">
        <f t="shared" si="0"/>
        <v>23763</v>
      </c>
      <c r="H27" s="5" t="s">
        <v>1081</v>
      </c>
      <c r="I27" s="5" t="s">
        <v>5</v>
      </c>
    </row>
    <row r="28" spans="1:9" ht="30" customHeight="1" x14ac:dyDescent="0.3">
      <c r="A28" s="3" t="s">
        <v>1520</v>
      </c>
      <c r="B28" s="3" t="s">
        <v>1023</v>
      </c>
      <c r="C28" s="5" t="s">
        <v>993</v>
      </c>
      <c r="D28" s="6">
        <f>'12.일위대가'!F246</f>
        <v>4677</v>
      </c>
      <c r="E28" s="6">
        <f>'12.일위대가'!H246</f>
        <v>19704</v>
      </c>
      <c r="F28" s="11">
        <f>'12.일위대가'!J246</f>
        <v>0</v>
      </c>
      <c r="G28" s="6">
        <f t="shared" si="0"/>
        <v>24381</v>
      </c>
      <c r="H28" s="5" t="s">
        <v>1082</v>
      </c>
      <c r="I28" s="5" t="s">
        <v>5</v>
      </c>
    </row>
    <row r="29" spans="1:9" ht="30" customHeight="1" x14ac:dyDescent="0.3">
      <c r="A29" s="3" t="s">
        <v>1520</v>
      </c>
      <c r="B29" s="3" t="s">
        <v>1025</v>
      </c>
      <c r="C29" s="5" t="s">
        <v>993</v>
      </c>
      <c r="D29" s="6">
        <f>'12.일위대가'!F255</f>
        <v>5294</v>
      </c>
      <c r="E29" s="6">
        <f>'12.일위대가'!H255</f>
        <v>19704</v>
      </c>
      <c r="F29" s="11">
        <f>'12.일위대가'!J255</f>
        <v>0</v>
      </c>
      <c r="G29" s="6">
        <f t="shared" si="0"/>
        <v>24998</v>
      </c>
      <c r="H29" s="5" t="s">
        <v>1083</v>
      </c>
      <c r="I29" s="5" t="s">
        <v>5</v>
      </c>
    </row>
    <row r="30" spans="1:9" ht="30" customHeight="1" x14ac:dyDescent="0.3">
      <c r="A30" s="3" t="s">
        <v>1520</v>
      </c>
      <c r="B30" s="3" t="s">
        <v>1027</v>
      </c>
      <c r="C30" s="5" t="s">
        <v>993</v>
      </c>
      <c r="D30" s="6">
        <f>'12.일위대가'!F264</f>
        <v>6530</v>
      </c>
      <c r="E30" s="6">
        <f>'12.일위대가'!H264</f>
        <v>19704</v>
      </c>
      <c r="F30" s="11">
        <f>'12.일위대가'!J264</f>
        <v>0</v>
      </c>
      <c r="G30" s="6">
        <f t="shared" si="0"/>
        <v>26234</v>
      </c>
      <c r="H30" s="5" t="s">
        <v>1084</v>
      </c>
      <c r="I30" s="5" t="s">
        <v>5</v>
      </c>
    </row>
    <row r="31" spans="1:9" ht="30" customHeight="1" x14ac:dyDescent="0.3">
      <c r="A31" s="3" t="s">
        <v>1520</v>
      </c>
      <c r="B31" s="3" t="s">
        <v>1029</v>
      </c>
      <c r="C31" s="5" t="s">
        <v>993</v>
      </c>
      <c r="D31" s="6">
        <f>'12.일위대가'!F273</f>
        <v>7147</v>
      </c>
      <c r="E31" s="6">
        <f>'12.일위대가'!H273</f>
        <v>19704</v>
      </c>
      <c r="F31" s="11">
        <f>'12.일위대가'!J273</f>
        <v>0</v>
      </c>
      <c r="G31" s="6">
        <f t="shared" si="0"/>
        <v>26851</v>
      </c>
      <c r="H31" s="5" t="s">
        <v>1085</v>
      </c>
      <c r="I31" s="5" t="s">
        <v>5</v>
      </c>
    </row>
    <row r="32" spans="1:9" ht="30" customHeight="1" x14ac:dyDescent="0.3">
      <c r="A32" s="3" t="s">
        <v>1520</v>
      </c>
      <c r="B32" s="3" t="s">
        <v>1031</v>
      </c>
      <c r="C32" s="5" t="s">
        <v>993</v>
      </c>
      <c r="D32" s="6">
        <f>'12.일위대가'!F282</f>
        <v>7765</v>
      </c>
      <c r="E32" s="6">
        <f>'12.일위대가'!H282</f>
        <v>19704</v>
      </c>
      <c r="F32" s="11">
        <f>'12.일위대가'!J282</f>
        <v>0</v>
      </c>
      <c r="G32" s="6">
        <f t="shared" si="0"/>
        <v>27469</v>
      </c>
      <c r="H32" s="5" t="s">
        <v>1086</v>
      </c>
      <c r="I32" s="5" t="s">
        <v>5</v>
      </c>
    </row>
    <row r="33" spans="1:9" ht="30" customHeight="1" x14ac:dyDescent="0.3">
      <c r="A33" s="3" t="s">
        <v>1043</v>
      </c>
      <c r="B33" s="3" t="s">
        <v>248</v>
      </c>
      <c r="C33" s="5" t="s">
        <v>993</v>
      </c>
      <c r="D33" s="6">
        <f>'12.일위대가'!F294</f>
        <v>48370</v>
      </c>
      <c r="E33" s="6">
        <f>'12.일위대가'!H294</f>
        <v>251781</v>
      </c>
      <c r="F33" s="11">
        <f>'12.일위대가'!J294</f>
        <v>0</v>
      </c>
      <c r="G33" s="6">
        <f t="shared" si="0"/>
        <v>300151</v>
      </c>
      <c r="H33" s="5" t="s">
        <v>1087</v>
      </c>
      <c r="I33" s="5" t="s">
        <v>5</v>
      </c>
    </row>
    <row r="34" spans="1:9" ht="30" customHeight="1" x14ac:dyDescent="0.3">
      <c r="A34" s="3" t="s">
        <v>1043</v>
      </c>
      <c r="B34" s="3" t="s">
        <v>997</v>
      </c>
      <c r="C34" s="5" t="s">
        <v>993</v>
      </c>
      <c r="D34" s="6">
        <f>'12.일위대가'!F306</f>
        <v>48379</v>
      </c>
      <c r="E34" s="6">
        <f>'12.일위대가'!H306</f>
        <v>251781</v>
      </c>
      <c r="F34" s="11">
        <f>'12.일위대가'!J306</f>
        <v>0</v>
      </c>
      <c r="G34" s="6">
        <f t="shared" si="0"/>
        <v>300160</v>
      </c>
      <c r="H34" s="5" t="s">
        <v>1088</v>
      </c>
      <c r="I34" s="5" t="s">
        <v>5</v>
      </c>
    </row>
    <row r="35" spans="1:9" ht="30" customHeight="1" x14ac:dyDescent="0.3">
      <c r="A35" s="3" t="s">
        <v>1043</v>
      </c>
      <c r="B35" s="3" t="s">
        <v>999</v>
      </c>
      <c r="C35" s="5" t="s">
        <v>993</v>
      </c>
      <c r="D35" s="6">
        <f>'12.일위대가'!F318</f>
        <v>48405</v>
      </c>
      <c r="E35" s="6">
        <f>'12.일위대가'!H318</f>
        <v>251781</v>
      </c>
      <c r="F35" s="11">
        <f>'12.일위대가'!J318</f>
        <v>0</v>
      </c>
      <c r="G35" s="6">
        <f t="shared" si="0"/>
        <v>300186</v>
      </c>
      <c r="H35" s="5" t="s">
        <v>1089</v>
      </c>
      <c r="I35" s="5" t="s">
        <v>5</v>
      </c>
    </row>
    <row r="36" spans="1:9" ht="30" customHeight="1" x14ac:dyDescent="0.3">
      <c r="A36" s="3" t="s">
        <v>1043</v>
      </c>
      <c r="B36" s="3" t="s">
        <v>1001</v>
      </c>
      <c r="C36" s="5" t="s">
        <v>993</v>
      </c>
      <c r="D36" s="6">
        <f>'12.일위대가'!F330</f>
        <v>48451</v>
      </c>
      <c r="E36" s="6">
        <f>'12.일위대가'!H330</f>
        <v>251781</v>
      </c>
      <c r="F36" s="11">
        <f>'12.일위대가'!J330</f>
        <v>0</v>
      </c>
      <c r="G36" s="6">
        <f t="shared" si="0"/>
        <v>300232</v>
      </c>
      <c r="H36" s="5" t="s">
        <v>1090</v>
      </c>
      <c r="I36" s="5" t="s">
        <v>5</v>
      </c>
    </row>
    <row r="37" spans="1:9" ht="30" customHeight="1" x14ac:dyDescent="0.3">
      <c r="A37" s="3" t="s">
        <v>1043</v>
      </c>
      <c r="B37" s="3" t="s">
        <v>1003</v>
      </c>
      <c r="C37" s="5" t="s">
        <v>993</v>
      </c>
      <c r="D37" s="6">
        <f>'12.일위대가'!F342</f>
        <v>48487</v>
      </c>
      <c r="E37" s="6">
        <f>'12.일위대가'!H342</f>
        <v>251781</v>
      </c>
      <c r="F37" s="11">
        <f>'12.일위대가'!J342</f>
        <v>0</v>
      </c>
      <c r="G37" s="6">
        <f t="shared" si="0"/>
        <v>300268</v>
      </c>
      <c r="H37" s="5" t="s">
        <v>1091</v>
      </c>
      <c r="I37" s="5" t="s">
        <v>5</v>
      </c>
    </row>
    <row r="38" spans="1:9" ht="30" customHeight="1" x14ac:dyDescent="0.3">
      <c r="A38" s="3" t="s">
        <v>1043</v>
      </c>
      <c r="B38" s="3" t="s">
        <v>1005</v>
      </c>
      <c r="C38" s="5" t="s">
        <v>993</v>
      </c>
      <c r="D38" s="6">
        <f>'12.일위대가'!F354</f>
        <v>48513</v>
      </c>
      <c r="E38" s="6">
        <f>'12.일위대가'!H354</f>
        <v>251781</v>
      </c>
      <c r="F38" s="11">
        <f>'12.일위대가'!J354</f>
        <v>0</v>
      </c>
      <c r="G38" s="6">
        <f t="shared" si="0"/>
        <v>300294</v>
      </c>
      <c r="H38" s="5" t="s">
        <v>1092</v>
      </c>
      <c r="I38" s="5" t="s">
        <v>5</v>
      </c>
    </row>
    <row r="39" spans="1:9" ht="30" customHeight="1" x14ac:dyDescent="0.3">
      <c r="A39" s="3" t="s">
        <v>1043</v>
      </c>
      <c r="B39" s="3" t="s">
        <v>1007</v>
      </c>
      <c r="C39" s="5" t="s">
        <v>993</v>
      </c>
      <c r="D39" s="6">
        <f>'12.일위대가'!F366</f>
        <v>48584</v>
      </c>
      <c r="E39" s="6">
        <f>'12.일위대가'!H366</f>
        <v>251781</v>
      </c>
      <c r="F39" s="11">
        <f>'12.일위대가'!J366</f>
        <v>0</v>
      </c>
      <c r="G39" s="6">
        <f t="shared" si="0"/>
        <v>300365</v>
      </c>
      <c r="H39" s="5" t="s">
        <v>1093</v>
      </c>
      <c r="I39" s="5" t="s">
        <v>5</v>
      </c>
    </row>
    <row r="40" spans="1:9" ht="30" customHeight="1" x14ac:dyDescent="0.3">
      <c r="A40" s="3" t="s">
        <v>1043</v>
      </c>
      <c r="B40" s="3" t="s">
        <v>1009</v>
      </c>
      <c r="C40" s="5" t="s">
        <v>993</v>
      </c>
      <c r="D40" s="6">
        <f>'12.일위대가'!F378</f>
        <v>48684</v>
      </c>
      <c r="E40" s="6">
        <f>'12.일위대가'!H378</f>
        <v>251781</v>
      </c>
      <c r="F40" s="11">
        <f>'12.일위대가'!J378</f>
        <v>0</v>
      </c>
      <c r="G40" s="6">
        <f t="shared" si="0"/>
        <v>300465</v>
      </c>
      <c r="H40" s="5" t="s">
        <v>1094</v>
      </c>
      <c r="I40" s="5" t="s">
        <v>5</v>
      </c>
    </row>
    <row r="41" spans="1:9" ht="30" customHeight="1" x14ac:dyDescent="0.3">
      <c r="A41" s="3" t="s">
        <v>1043</v>
      </c>
      <c r="B41" s="3" t="s">
        <v>1011</v>
      </c>
      <c r="C41" s="5" t="s">
        <v>993</v>
      </c>
      <c r="D41" s="6">
        <f>'12.일위대가'!F390</f>
        <v>48806</v>
      </c>
      <c r="E41" s="6">
        <f>'12.일위대가'!H390</f>
        <v>251781</v>
      </c>
      <c r="F41" s="11">
        <f>'12.일위대가'!J390</f>
        <v>0</v>
      </c>
      <c r="G41" s="6">
        <f t="shared" si="0"/>
        <v>300587</v>
      </c>
      <c r="H41" s="5" t="s">
        <v>1095</v>
      </c>
      <c r="I41" s="5" t="s">
        <v>5</v>
      </c>
    </row>
  </sheetData>
  <mergeCells count="2">
    <mergeCell ref="A1:I1"/>
    <mergeCell ref="A2:P2"/>
  </mergeCells>
  <phoneticPr fontId="1" type="noConversion"/>
  <pageMargins left="0.78740157480314954" right="0" top="0.39370078740157477" bottom="0.39370078740157477" header="0" footer="0"/>
  <pageSetup paperSize="9" scale="90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FF"/>
    <pageSetUpPr fitToPage="1"/>
  </sheetPr>
  <dimension ref="A1:AY390"/>
  <sheetViews>
    <sheetView showZeros="0" view="pageBreakPreview" zoomScale="85" zoomScaleNormal="87" zoomScaleSheetLayoutView="85" workbookViewId="0">
      <pane ySplit="3" topLeftCell="A187" activePane="bottomLeft" state="frozen"/>
      <selection activeCell="A3" sqref="A3:A4"/>
      <selection pane="bottomLeft" activeCell="B200" sqref="B200"/>
    </sheetView>
  </sheetViews>
  <sheetFormatPr defaultRowHeight="16.5" x14ac:dyDescent="0.3"/>
  <cols>
    <col min="1" max="2" width="30.625" style="1" customWidth="1"/>
    <col min="3" max="3" width="4.625" style="4" customWidth="1"/>
    <col min="4" max="4" width="8.625" style="1" customWidth="1"/>
    <col min="5" max="12" width="13.625" style="1" customWidth="1"/>
    <col min="13" max="13" width="12.625" style="1" customWidth="1"/>
    <col min="14" max="47" width="2.625" style="1" hidden="1" customWidth="1"/>
    <col min="48" max="48" width="1.625" style="1" hidden="1" customWidth="1"/>
    <col min="49" max="49" width="24.625" style="1" hidden="1" customWidth="1"/>
    <col min="50" max="51" width="2.625" style="1" hidden="1" customWidth="1"/>
    <col min="52" max="52" width="0" style="1" hidden="1" customWidth="1"/>
    <col min="53" max="16384" width="9" style="1"/>
  </cols>
  <sheetData>
    <row r="1" spans="1:51" ht="30" customHeight="1" x14ac:dyDescent="0.3">
      <c r="A1" s="201" t="s">
        <v>1998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</row>
    <row r="2" spans="1:51" ht="30" customHeight="1" x14ac:dyDescent="0.3">
      <c r="A2" s="214" t="s">
        <v>0</v>
      </c>
      <c r="B2" s="214" t="s">
        <v>957</v>
      </c>
      <c r="C2" s="214" t="s">
        <v>1</v>
      </c>
      <c r="D2" s="214" t="s">
        <v>958</v>
      </c>
      <c r="E2" s="214" t="s">
        <v>2</v>
      </c>
      <c r="F2" s="214"/>
      <c r="G2" s="214" t="s">
        <v>959</v>
      </c>
      <c r="H2" s="214"/>
      <c r="I2" s="214" t="s">
        <v>960</v>
      </c>
      <c r="J2" s="214"/>
      <c r="K2" s="214" t="s">
        <v>961</v>
      </c>
      <c r="L2" s="214"/>
      <c r="M2" s="214" t="s">
        <v>3</v>
      </c>
      <c r="N2" s="215" t="s">
        <v>1096</v>
      </c>
      <c r="O2" s="213" t="s">
        <v>962</v>
      </c>
      <c r="P2" s="213" t="s">
        <v>964</v>
      </c>
      <c r="Q2" s="213" t="s">
        <v>965</v>
      </c>
      <c r="R2" s="213" t="s">
        <v>966</v>
      </c>
      <c r="S2" s="213" t="s">
        <v>967</v>
      </c>
      <c r="T2" s="213" t="s">
        <v>968</v>
      </c>
      <c r="U2" s="213" t="s">
        <v>969</v>
      </c>
      <c r="V2" s="213" t="s">
        <v>970</v>
      </c>
      <c r="W2" s="213" t="s">
        <v>971</v>
      </c>
      <c r="X2" s="213" t="s">
        <v>972</v>
      </c>
      <c r="Y2" s="213" t="s">
        <v>973</v>
      </c>
      <c r="Z2" s="213" t="s">
        <v>974</v>
      </c>
      <c r="AA2" s="213" t="s">
        <v>975</v>
      </c>
      <c r="AB2" s="213" t="s">
        <v>976</v>
      </c>
      <c r="AC2" s="213" t="s">
        <v>977</v>
      </c>
      <c r="AD2" s="213" t="s">
        <v>978</v>
      </c>
      <c r="AE2" s="213" t="s">
        <v>979</v>
      </c>
      <c r="AF2" s="213" t="s">
        <v>980</v>
      </c>
      <c r="AG2" s="213" t="s">
        <v>981</v>
      </c>
      <c r="AH2" s="213" t="s">
        <v>982</v>
      </c>
      <c r="AI2" s="213" t="s">
        <v>983</v>
      </c>
      <c r="AJ2" s="213" t="s">
        <v>984</v>
      </c>
      <c r="AK2" s="213" t="s">
        <v>985</v>
      </c>
      <c r="AL2" s="213" t="s">
        <v>986</v>
      </c>
      <c r="AM2" s="213" t="s">
        <v>987</v>
      </c>
      <c r="AN2" s="213" t="s">
        <v>988</v>
      </c>
      <c r="AO2" s="213" t="s">
        <v>989</v>
      </c>
      <c r="AP2" s="213" t="s">
        <v>1097</v>
      </c>
      <c r="AQ2" s="213" t="s">
        <v>1098</v>
      </c>
      <c r="AR2" s="213" t="s">
        <v>1099</v>
      </c>
      <c r="AS2" s="213" t="s">
        <v>1100</v>
      </c>
      <c r="AT2" s="213" t="s">
        <v>1101</v>
      </c>
      <c r="AU2" s="213" t="s">
        <v>1102</v>
      </c>
      <c r="AV2" s="213" t="s">
        <v>4</v>
      </c>
      <c r="AW2" s="213" t="s">
        <v>1103</v>
      </c>
      <c r="AX2" s="2" t="s">
        <v>1057</v>
      </c>
      <c r="AY2" s="2" t="s">
        <v>963</v>
      </c>
    </row>
    <row r="3" spans="1:51" ht="30" customHeight="1" x14ac:dyDescent="0.3">
      <c r="A3" s="214"/>
      <c r="B3" s="214"/>
      <c r="C3" s="214"/>
      <c r="D3" s="214"/>
      <c r="E3" s="100" t="s">
        <v>990</v>
      </c>
      <c r="F3" s="100" t="s">
        <v>991</v>
      </c>
      <c r="G3" s="100" t="s">
        <v>990</v>
      </c>
      <c r="H3" s="100" t="s">
        <v>991</v>
      </c>
      <c r="I3" s="100" t="s">
        <v>990</v>
      </c>
      <c r="J3" s="100" t="s">
        <v>991</v>
      </c>
      <c r="K3" s="100" t="s">
        <v>990</v>
      </c>
      <c r="L3" s="100" t="s">
        <v>991</v>
      </c>
      <c r="M3" s="214"/>
      <c r="N3" s="215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3"/>
      <c r="AS3" s="213"/>
      <c r="AT3" s="213"/>
      <c r="AU3" s="213"/>
      <c r="AV3" s="213"/>
      <c r="AW3" s="213"/>
    </row>
    <row r="4" spans="1:51" ht="30" customHeight="1" x14ac:dyDescent="0.3">
      <c r="A4" s="216" t="s">
        <v>1104</v>
      </c>
      <c r="B4" s="216"/>
      <c r="C4" s="216"/>
      <c r="D4" s="216"/>
      <c r="E4" s="217"/>
      <c r="F4" s="218"/>
      <c r="G4" s="217"/>
      <c r="H4" s="218"/>
      <c r="I4" s="217"/>
      <c r="J4" s="218"/>
      <c r="K4" s="217"/>
      <c r="L4" s="218"/>
      <c r="M4" s="216"/>
      <c r="N4" s="2" t="s">
        <v>994</v>
      </c>
    </row>
    <row r="5" spans="1:51" ht="30" customHeight="1" x14ac:dyDescent="0.3">
      <c r="A5" s="3" t="s">
        <v>173</v>
      </c>
      <c r="B5" s="3" t="s">
        <v>1105</v>
      </c>
      <c r="C5" s="5" t="s">
        <v>12</v>
      </c>
      <c r="D5" s="10">
        <v>1</v>
      </c>
      <c r="E5" s="12">
        <v>1450</v>
      </c>
      <c r="F5" s="11">
        <f t="shared" ref="F5:F11" si="0">TRUNC(E5*D5,1)</f>
        <v>1450</v>
      </c>
      <c r="G5" s="12">
        <v>0</v>
      </c>
      <c r="H5" s="11">
        <f t="shared" ref="H5:H11" si="1">TRUNC(G5*D5,1)</f>
        <v>0</v>
      </c>
      <c r="I5" s="12">
        <v>0</v>
      </c>
      <c r="J5" s="11">
        <f t="shared" ref="J5:J11" si="2">TRUNC(I5*D5,1)</f>
        <v>0</v>
      </c>
      <c r="K5" s="12">
        <f t="shared" ref="K5:L11" si="3">TRUNC(E5+G5+I5,1)</f>
        <v>1450</v>
      </c>
      <c r="L5" s="11">
        <f t="shared" si="3"/>
        <v>1450</v>
      </c>
      <c r="M5" s="3" t="s">
        <v>5</v>
      </c>
      <c r="N5" s="2" t="s">
        <v>994</v>
      </c>
      <c r="O5" s="2" t="s">
        <v>1106</v>
      </c>
      <c r="P5" s="2" t="s">
        <v>996</v>
      </c>
      <c r="Q5" s="2" t="s">
        <v>996</v>
      </c>
      <c r="R5" s="2" t="s">
        <v>995</v>
      </c>
      <c r="AV5" s="2" t="s">
        <v>5</v>
      </c>
      <c r="AW5" s="2" t="s">
        <v>1107</v>
      </c>
      <c r="AX5" s="2" t="s">
        <v>5</v>
      </c>
      <c r="AY5" s="2" t="s">
        <v>5</v>
      </c>
    </row>
    <row r="6" spans="1:51" ht="30" customHeight="1" x14ac:dyDescent="0.3">
      <c r="A6" s="3" t="s">
        <v>1108</v>
      </c>
      <c r="B6" s="3" t="s">
        <v>180</v>
      </c>
      <c r="C6" s="5" t="s">
        <v>12</v>
      </c>
      <c r="D6" s="10">
        <v>1</v>
      </c>
      <c r="E6" s="12">
        <v>100</v>
      </c>
      <c r="F6" s="11">
        <f t="shared" si="0"/>
        <v>100</v>
      </c>
      <c r="G6" s="12">
        <v>0</v>
      </c>
      <c r="H6" s="11">
        <f t="shared" si="1"/>
        <v>0</v>
      </c>
      <c r="I6" s="12">
        <v>0</v>
      </c>
      <c r="J6" s="11">
        <f t="shared" si="2"/>
        <v>0</v>
      </c>
      <c r="K6" s="12">
        <f t="shared" si="3"/>
        <v>100</v>
      </c>
      <c r="L6" s="11">
        <f t="shared" si="3"/>
        <v>100</v>
      </c>
      <c r="M6" s="3" t="s">
        <v>5</v>
      </c>
      <c r="N6" s="2" t="s">
        <v>994</v>
      </c>
      <c r="O6" s="2" t="s">
        <v>1109</v>
      </c>
      <c r="P6" s="2" t="s">
        <v>996</v>
      </c>
      <c r="Q6" s="2" t="s">
        <v>996</v>
      </c>
      <c r="R6" s="2" t="s">
        <v>995</v>
      </c>
      <c r="AV6" s="2" t="s">
        <v>5</v>
      </c>
      <c r="AW6" s="2" t="s">
        <v>1110</v>
      </c>
      <c r="AX6" s="2" t="s">
        <v>5</v>
      </c>
      <c r="AY6" s="2" t="s">
        <v>5</v>
      </c>
    </row>
    <row r="7" spans="1:51" ht="30" customHeight="1" x14ac:dyDescent="0.3">
      <c r="A7" s="3" t="s">
        <v>174</v>
      </c>
      <c r="B7" s="3" t="s">
        <v>175</v>
      </c>
      <c r="C7" s="5" t="s">
        <v>12</v>
      </c>
      <c r="D7" s="10">
        <v>2</v>
      </c>
      <c r="E7" s="12">
        <v>21</v>
      </c>
      <c r="F7" s="11">
        <f t="shared" si="0"/>
        <v>42</v>
      </c>
      <c r="G7" s="12">
        <v>0</v>
      </c>
      <c r="H7" s="11">
        <f t="shared" si="1"/>
        <v>0</v>
      </c>
      <c r="I7" s="12">
        <v>0</v>
      </c>
      <c r="J7" s="11">
        <f t="shared" si="2"/>
        <v>0</v>
      </c>
      <c r="K7" s="12">
        <f t="shared" si="3"/>
        <v>21</v>
      </c>
      <c r="L7" s="11">
        <f t="shared" si="3"/>
        <v>42</v>
      </c>
      <c r="M7" s="3" t="s">
        <v>5</v>
      </c>
      <c r="N7" s="2" t="s">
        <v>994</v>
      </c>
      <c r="O7" s="2" t="s">
        <v>1111</v>
      </c>
      <c r="P7" s="2" t="s">
        <v>996</v>
      </c>
      <c r="Q7" s="2" t="s">
        <v>996</v>
      </c>
      <c r="R7" s="2" t="s">
        <v>995</v>
      </c>
      <c r="AV7" s="2" t="s">
        <v>5</v>
      </c>
      <c r="AW7" s="2" t="s">
        <v>1112</v>
      </c>
      <c r="AX7" s="2" t="s">
        <v>5</v>
      </c>
      <c r="AY7" s="2" t="s">
        <v>5</v>
      </c>
    </row>
    <row r="8" spans="1:51" ht="30" customHeight="1" x14ac:dyDescent="0.3">
      <c r="A8" s="3" t="s">
        <v>177</v>
      </c>
      <c r="B8" s="3" t="s">
        <v>1113</v>
      </c>
      <c r="C8" s="5" t="s">
        <v>12</v>
      </c>
      <c r="D8" s="10">
        <v>2</v>
      </c>
      <c r="E8" s="12">
        <v>9.3000000000000007</v>
      </c>
      <c r="F8" s="11">
        <f t="shared" si="0"/>
        <v>18.600000000000001</v>
      </c>
      <c r="G8" s="12">
        <v>0</v>
      </c>
      <c r="H8" s="11">
        <f t="shared" si="1"/>
        <v>0</v>
      </c>
      <c r="I8" s="12">
        <v>0</v>
      </c>
      <c r="J8" s="11">
        <f t="shared" si="2"/>
        <v>0</v>
      </c>
      <c r="K8" s="12">
        <f t="shared" si="3"/>
        <v>9.3000000000000007</v>
      </c>
      <c r="L8" s="11">
        <f t="shared" si="3"/>
        <v>18.600000000000001</v>
      </c>
      <c r="M8" s="3" t="s">
        <v>5</v>
      </c>
      <c r="N8" s="2" t="s">
        <v>994</v>
      </c>
      <c r="O8" s="2" t="s">
        <v>1114</v>
      </c>
      <c r="P8" s="2" t="s">
        <v>996</v>
      </c>
      <c r="Q8" s="2" t="s">
        <v>996</v>
      </c>
      <c r="R8" s="2" t="s">
        <v>995</v>
      </c>
      <c r="AV8" s="2" t="s">
        <v>5</v>
      </c>
      <c r="AW8" s="2" t="s">
        <v>1115</v>
      </c>
      <c r="AX8" s="2" t="s">
        <v>5</v>
      </c>
      <c r="AY8" s="2" t="s">
        <v>5</v>
      </c>
    </row>
    <row r="9" spans="1:51" ht="30" customHeight="1" x14ac:dyDescent="0.3">
      <c r="A9" s="3" t="s">
        <v>333</v>
      </c>
      <c r="B9" s="3" t="s">
        <v>1116</v>
      </c>
      <c r="C9" s="5" t="s">
        <v>12</v>
      </c>
      <c r="D9" s="10">
        <v>1</v>
      </c>
      <c r="E9" s="12">
        <v>325</v>
      </c>
      <c r="F9" s="11">
        <f t="shared" si="0"/>
        <v>325</v>
      </c>
      <c r="G9" s="12">
        <v>0</v>
      </c>
      <c r="H9" s="11">
        <f t="shared" si="1"/>
        <v>0</v>
      </c>
      <c r="I9" s="12">
        <v>0</v>
      </c>
      <c r="J9" s="11">
        <f t="shared" si="2"/>
        <v>0</v>
      </c>
      <c r="K9" s="12">
        <f t="shared" si="3"/>
        <v>325</v>
      </c>
      <c r="L9" s="11">
        <f t="shared" si="3"/>
        <v>325</v>
      </c>
      <c r="M9" s="3" t="s">
        <v>5</v>
      </c>
      <c r="N9" s="2" t="s">
        <v>994</v>
      </c>
      <c r="O9" s="2" t="s">
        <v>1117</v>
      </c>
      <c r="P9" s="2" t="s">
        <v>996</v>
      </c>
      <c r="Q9" s="2" t="s">
        <v>996</v>
      </c>
      <c r="R9" s="2" t="s">
        <v>995</v>
      </c>
      <c r="AV9" s="2" t="s">
        <v>5</v>
      </c>
      <c r="AW9" s="2" t="s">
        <v>1118</v>
      </c>
      <c r="AX9" s="2" t="s">
        <v>5</v>
      </c>
      <c r="AY9" s="2" t="s">
        <v>5</v>
      </c>
    </row>
    <row r="10" spans="1:51" ht="30" customHeight="1" x14ac:dyDescent="0.3">
      <c r="A10" s="3" t="s">
        <v>1119</v>
      </c>
      <c r="B10" s="3" t="s">
        <v>1120</v>
      </c>
      <c r="C10" s="5" t="s">
        <v>1121</v>
      </c>
      <c r="D10" s="10">
        <v>5.3999999999999999E-2</v>
      </c>
      <c r="E10" s="12">
        <v>0</v>
      </c>
      <c r="F10" s="11">
        <f t="shared" si="0"/>
        <v>0</v>
      </c>
      <c r="G10" s="8">
        <v>273676</v>
      </c>
      <c r="H10" s="11">
        <f t="shared" si="1"/>
        <v>14778.5</v>
      </c>
      <c r="I10" s="12">
        <v>0</v>
      </c>
      <c r="J10" s="11">
        <f t="shared" si="2"/>
        <v>0</v>
      </c>
      <c r="K10" s="12">
        <f t="shared" si="3"/>
        <v>273676</v>
      </c>
      <c r="L10" s="11">
        <f t="shared" si="3"/>
        <v>14778.5</v>
      </c>
      <c r="M10" s="3" t="s">
        <v>5</v>
      </c>
      <c r="N10" s="2" t="s">
        <v>994</v>
      </c>
      <c r="O10" s="2" t="s">
        <v>1122</v>
      </c>
      <c r="P10" s="2" t="s">
        <v>996</v>
      </c>
      <c r="Q10" s="2" t="s">
        <v>996</v>
      </c>
      <c r="R10" s="2" t="s">
        <v>995</v>
      </c>
      <c r="V10" s="1">
        <v>1</v>
      </c>
      <c r="AV10" s="2" t="s">
        <v>5</v>
      </c>
      <c r="AW10" s="2" t="s">
        <v>1123</v>
      </c>
      <c r="AX10" s="2" t="s">
        <v>5</v>
      </c>
      <c r="AY10" s="2" t="s">
        <v>5</v>
      </c>
    </row>
    <row r="11" spans="1:51" ht="30" customHeight="1" x14ac:dyDescent="0.3">
      <c r="A11" s="3" t="s">
        <v>1124</v>
      </c>
      <c r="B11" s="3" t="s">
        <v>1125</v>
      </c>
      <c r="C11" s="5" t="s">
        <v>340</v>
      </c>
      <c r="D11" s="10">
        <v>1</v>
      </c>
      <c r="E11" s="12">
        <f>TRUNC(SUMIF(V5:V11, RIGHTB(O11, 1), H5:H11)*U11, 2)</f>
        <v>443.35</v>
      </c>
      <c r="F11" s="11">
        <f t="shared" si="0"/>
        <v>443.3</v>
      </c>
      <c r="G11" s="12">
        <v>0</v>
      </c>
      <c r="H11" s="11">
        <f t="shared" si="1"/>
        <v>0</v>
      </c>
      <c r="I11" s="12">
        <v>0</v>
      </c>
      <c r="J11" s="11">
        <f t="shared" si="2"/>
        <v>0</v>
      </c>
      <c r="K11" s="12">
        <f t="shared" si="3"/>
        <v>443.3</v>
      </c>
      <c r="L11" s="11">
        <f t="shared" si="3"/>
        <v>443.3</v>
      </c>
      <c r="M11" s="3" t="s">
        <v>5</v>
      </c>
      <c r="N11" s="2" t="s">
        <v>994</v>
      </c>
      <c r="O11" s="2" t="s">
        <v>1126</v>
      </c>
      <c r="P11" s="2" t="s">
        <v>996</v>
      </c>
      <c r="Q11" s="2" t="s">
        <v>996</v>
      </c>
      <c r="R11" s="2" t="s">
        <v>996</v>
      </c>
      <c r="S11" s="1">
        <v>1</v>
      </c>
      <c r="T11" s="1">
        <v>0</v>
      </c>
      <c r="U11" s="1">
        <v>0.03</v>
      </c>
      <c r="AV11" s="2" t="s">
        <v>5</v>
      </c>
      <c r="AW11" s="2" t="s">
        <v>1127</v>
      </c>
      <c r="AX11" s="2" t="s">
        <v>5</v>
      </c>
      <c r="AY11" s="2" t="s">
        <v>5</v>
      </c>
    </row>
    <row r="12" spans="1:51" ht="30" customHeight="1" x14ac:dyDescent="0.3">
      <c r="A12" s="3" t="s">
        <v>1128</v>
      </c>
      <c r="B12" s="3" t="s">
        <v>5</v>
      </c>
      <c r="C12" s="5" t="s">
        <v>5</v>
      </c>
      <c r="D12" s="10"/>
      <c r="E12" s="12"/>
      <c r="F12" s="11">
        <f>TRUNC(SUMIF(N5:N11, N4, F5:F11),0)</f>
        <v>2378</v>
      </c>
      <c r="G12" s="12"/>
      <c r="H12" s="11">
        <f>TRUNC(SUMIF(N5:N11, N4, H5:H11),0)</f>
        <v>14778</v>
      </c>
      <c r="I12" s="12"/>
      <c r="J12" s="11">
        <f>TRUNC(SUMIF(N5:N11, N4, J5:J11),0)</f>
        <v>0</v>
      </c>
      <c r="K12" s="12"/>
      <c r="L12" s="11">
        <f>F12+H12+J12</f>
        <v>17156</v>
      </c>
      <c r="M12" s="3" t="s">
        <v>5</v>
      </c>
      <c r="N12" s="2" t="s">
        <v>1053</v>
      </c>
      <c r="O12" s="2" t="s">
        <v>1053</v>
      </c>
      <c r="P12" s="2" t="s">
        <v>5</v>
      </c>
      <c r="Q12" s="2" t="s">
        <v>5</v>
      </c>
      <c r="R12" s="2" t="s">
        <v>5</v>
      </c>
      <c r="AV12" s="2" t="s">
        <v>5</v>
      </c>
      <c r="AW12" s="2" t="s">
        <v>5</v>
      </c>
      <c r="AX12" s="2" t="s">
        <v>5</v>
      </c>
      <c r="AY12" s="2" t="s">
        <v>5</v>
      </c>
    </row>
    <row r="13" spans="1:51" ht="30" customHeight="1" x14ac:dyDescent="0.3">
      <c r="A13" s="10"/>
      <c r="B13" s="10"/>
      <c r="C13" s="9"/>
      <c r="D13" s="10"/>
      <c r="E13" s="12"/>
      <c r="F13" s="11"/>
      <c r="G13" s="12"/>
      <c r="H13" s="11"/>
      <c r="I13" s="12"/>
      <c r="J13" s="11"/>
      <c r="K13" s="12"/>
      <c r="L13" s="11"/>
      <c r="M13" s="10"/>
    </row>
    <row r="14" spans="1:51" ht="30" customHeight="1" x14ac:dyDescent="0.3">
      <c r="A14" s="216" t="s">
        <v>1129</v>
      </c>
      <c r="B14" s="216"/>
      <c r="C14" s="216"/>
      <c r="D14" s="216"/>
      <c r="E14" s="217"/>
      <c r="F14" s="218"/>
      <c r="G14" s="217"/>
      <c r="H14" s="218"/>
      <c r="I14" s="217"/>
      <c r="J14" s="218"/>
      <c r="K14" s="217"/>
      <c r="L14" s="218"/>
      <c r="M14" s="216"/>
      <c r="N14" s="2" t="s">
        <v>998</v>
      </c>
    </row>
    <row r="15" spans="1:51" ht="30" customHeight="1" x14ac:dyDescent="0.3">
      <c r="A15" s="3" t="s">
        <v>173</v>
      </c>
      <c r="B15" s="3" t="s">
        <v>1105</v>
      </c>
      <c r="C15" s="5" t="s">
        <v>12</v>
      </c>
      <c r="D15" s="10">
        <v>1</v>
      </c>
      <c r="E15" s="12">
        <v>1450</v>
      </c>
      <c r="F15" s="11">
        <f t="shared" ref="F15:F21" si="4">TRUNC(E15*D15,1)</f>
        <v>1450</v>
      </c>
      <c r="G15" s="12">
        <v>0</v>
      </c>
      <c r="H15" s="11">
        <f t="shared" ref="H15:H21" si="5">TRUNC(G15*D15,1)</f>
        <v>0</v>
      </c>
      <c r="I15" s="12">
        <v>0</v>
      </c>
      <c r="J15" s="11">
        <f t="shared" ref="J15:J21" si="6">TRUNC(I15*D15,1)</f>
        <v>0</v>
      </c>
      <c r="K15" s="12">
        <f t="shared" ref="K15:L21" si="7">TRUNC(E15+G15+I15,1)</f>
        <v>1450</v>
      </c>
      <c r="L15" s="11">
        <f t="shared" si="7"/>
        <v>1450</v>
      </c>
      <c r="M15" s="3" t="s">
        <v>5</v>
      </c>
      <c r="N15" s="2" t="s">
        <v>998</v>
      </c>
      <c r="O15" s="2" t="s">
        <v>1106</v>
      </c>
      <c r="P15" s="2" t="s">
        <v>996</v>
      </c>
      <c r="Q15" s="2" t="s">
        <v>996</v>
      </c>
      <c r="R15" s="2" t="s">
        <v>995</v>
      </c>
      <c r="AV15" s="2" t="s">
        <v>5</v>
      </c>
      <c r="AW15" s="2" t="s">
        <v>1130</v>
      </c>
      <c r="AX15" s="2" t="s">
        <v>5</v>
      </c>
      <c r="AY15" s="2" t="s">
        <v>5</v>
      </c>
    </row>
    <row r="16" spans="1:51" ht="30" customHeight="1" x14ac:dyDescent="0.3">
      <c r="A16" s="3" t="s">
        <v>1108</v>
      </c>
      <c r="B16" s="3" t="s">
        <v>180</v>
      </c>
      <c r="C16" s="5" t="s">
        <v>12</v>
      </c>
      <c r="D16" s="10">
        <v>1</v>
      </c>
      <c r="E16" s="12">
        <v>100</v>
      </c>
      <c r="F16" s="11">
        <f t="shared" si="4"/>
        <v>100</v>
      </c>
      <c r="G16" s="12">
        <v>0</v>
      </c>
      <c r="H16" s="11">
        <f t="shared" si="5"/>
        <v>0</v>
      </c>
      <c r="I16" s="12">
        <v>0</v>
      </c>
      <c r="J16" s="11">
        <f t="shared" si="6"/>
        <v>0</v>
      </c>
      <c r="K16" s="12">
        <f t="shared" si="7"/>
        <v>100</v>
      </c>
      <c r="L16" s="11">
        <f t="shared" si="7"/>
        <v>100</v>
      </c>
      <c r="M16" s="3" t="s">
        <v>5</v>
      </c>
      <c r="N16" s="2" t="s">
        <v>998</v>
      </c>
      <c r="O16" s="2" t="s">
        <v>1109</v>
      </c>
      <c r="P16" s="2" t="s">
        <v>996</v>
      </c>
      <c r="Q16" s="2" t="s">
        <v>996</v>
      </c>
      <c r="R16" s="2" t="s">
        <v>995</v>
      </c>
      <c r="AV16" s="2" t="s">
        <v>5</v>
      </c>
      <c r="AW16" s="2" t="s">
        <v>1131</v>
      </c>
      <c r="AX16" s="2" t="s">
        <v>5</v>
      </c>
      <c r="AY16" s="2" t="s">
        <v>5</v>
      </c>
    </row>
    <row r="17" spans="1:51" ht="30" customHeight="1" x14ac:dyDescent="0.3">
      <c r="A17" s="3" t="s">
        <v>174</v>
      </c>
      <c r="B17" s="3" t="s">
        <v>175</v>
      </c>
      <c r="C17" s="5" t="s">
        <v>12</v>
      </c>
      <c r="D17" s="10">
        <v>2</v>
      </c>
      <c r="E17" s="199">
        <v>21</v>
      </c>
      <c r="F17" s="11">
        <f t="shared" si="4"/>
        <v>42</v>
      </c>
      <c r="G17" s="12">
        <v>0</v>
      </c>
      <c r="H17" s="11">
        <f t="shared" si="5"/>
        <v>0</v>
      </c>
      <c r="I17" s="12">
        <v>0</v>
      </c>
      <c r="J17" s="11">
        <f t="shared" si="6"/>
        <v>0</v>
      </c>
      <c r="K17" s="12">
        <f t="shared" si="7"/>
        <v>21</v>
      </c>
      <c r="L17" s="11">
        <f t="shared" si="7"/>
        <v>42</v>
      </c>
      <c r="M17" s="3" t="s">
        <v>5</v>
      </c>
      <c r="N17" s="2" t="s">
        <v>998</v>
      </c>
      <c r="O17" s="2" t="s">
        <v>1111</v>
      </c>
      <c r="P17" s="2" t="s">
        <v>996</v>
      </c>
      <c r="Q17" s="2" t="s">
        <v>996</v>
      </c>
      <c r="R17" s="2" t="s">
        <v>995</v>
      </c>
      <c r="AV17" s="2" t="s">
        <v>5</v>
      </c>
      <c r="AW17" s="2" t="s">
        <v>1132</v>
      </c>
      <c r="AX17" s="2" t="s">
        <v>5</v>
      </c>
      <c r="AY17" s="2" t="s">
        <v>5</v>
      </c>
    </row>
    <row r="18" spans="1:51" ht="30" customHeight="1" x14ac:dyDescent="0.3">
      <c r="A18" s="3" t="s">
        <v>177</v>
      </c>
      <c r="B18" s="3" t="s">
        <v>1113</v>
      </c>
      <c r="C18" s="5" t="s">
        <v>12</v>
      </c>
      <c r="D18" s="10">
        <v>2</v>
      </c>
      <c r="E18" s="12">
        <v>9.3000000000000007</v>
      </c>
      <c r="F18" s="11">
        <f t="shared" si="4"/>
        <v>18.600000000000001</v>
      </c>
      <c r="G18" s="12">
        <v>0</v>
      </c>
      <c r="H18" s="11">
        <f t="shared" si="5"/>
        <v>0</v>
      </c>
      <c r="I18" s="12">
        <v>0</v>
      </c>
      <c r="J18" s="11">
        <f t="shared" si="6"/>
        <v>0</v>
      </c>
      <c r="K18" s="12">
        <f t="shared" si="7"/>
        <v>9.3000000000000007</v>
      </c>
      <c r="L18" s="11">
        <f t="shared" si="7"/>
        <v>18.600000000000001</v>
      </c>
      <c r="M18" s="3" t="s">
        <v>5</v>
      </c>
      <c r="N18" s="2" t="s">
        <v>998</v>
      </c>
      <c r="O18" s="2" t="s">
        <v>1114</v>
      </c>
      <c r="P18" s="2" t="s">
        <v>996</v>
      </c>
      <c r="Q18" s="2" t="s">
        <v>996</v>
      </c>
      <c r="R18" s="2" t="s">
        <v>995</v>
      </c>
      <c r="AV18" s="2" t="s">
        <v>5</v>
      </c>
      <c r="AW18" s="2" t="s">
        <v>1133</v>
      </c>
      <c r="AX18" s="2" t="s">
        <v>5</v>
      </c>
      <c r="AY18" s="2" t="s">
        <v>5</v>
      </c>
    </row>
    <row r="19" spans="1:51" ht="30" customHeight="1" x14ac:dyDescent="0.3">
      <c r="A19" s="3" t="s">
        <v>333</v>
      </c>
      <c r="B19" s="3" t="s">
        <v>1971</v>
      </c>
      <c r="C19" s="5" t="s">
        <v>12</v>
      </c>
      <c r="D19" s="10">
        <v>1</v>
      </c>
      <c r="E19" s="12">
        <v>329</v>
      </c>
      <c r="F19" s="11">
        <f t="shared" si="4"/>
        <v>329</v>
      </c>
      <c r="G19" s="12">
        <v>0</v>
      </c>
      <c r="H19" s="11">
        <f t="shared" si="5"/>
        <v>0</v>
      </c>
      <c r="I19" s="12">
        <v>0</v>
      </c>
      <c r="J19" s="11">
        <f t="shared" si="6"/>
        <v>0</v>
      </c>
      <c r="K19" s="12">
        <f t="shared" si="7"/>
        <v>329</v>
      </c>
      <c r="L19" s="11">
        <f t="shared" si="7"/>
        <v>329</v>
      </c>
      <c r="M19" s="3" t="s">
        <v>5</v>
      </c>
      <c r="N19" s="2" t="s">
        <v>998</v>
      </c>
      <c r="O19" s="2" t="s">
        <v>1135</v>
      </c>
      <c r="P19" s="2" t="s">
        <v>996</v>
      </c>
      <c r="Q19" s="2" t="s">
        <v>996</v>
      </c>
      <c r="R19" s="2" t="s">
        <v>995</v>
      </c>
      <c r="AV19" s="2" t="s">
        <v>5</v>
      </c>
      <c r="AW19" s="2" t="s">
        <v>1136</v>
      </c>
      <c r="AX19" s="2" t="s">
        <v>5</v>
      </c>
      <c r="AY19" s="2" t="s">
        <v>5</v>
      </c>
    </row>
    <row r="20" spans="1:51" ht="30" customHeight="1" x14ac:dyDescent="0.3">
      <c r="A20" s="3" t="s">
        <v>1119</v>
      </c>
      <c r="B20" s="3" t="s">
        <v>1120</v>
      </c>
      <c r="C20" s="5" t="s">
        <v>1121</v>
      </c>
      <c r="D20" s="10">
        <v>5.3999999999999999E-2</v>
      </c>
      <c r="E20" s="12">
        <v>0</v>
      </c>
      <c r="F20" s="11">
        <f t="shared" si="4"/>
        <v>0</v>
      </c>
      <c r="G20" s="8">
        <v>273676</v>
      </c>
      <c r="H20" s="11">
        <f t="shared" si="5"/>
        <v>14778.5</v>
      </c>
      <c r="I20" s="12">
        <v>0</v>
      </c>
      <c r="J20" s="11">
        <f t="shared" si="6"/>
        <v>0</v>
      </c>
      <c r="K20" s="12">
        <f t="shared" si="7"/>
        <v>273676</v>
      </c>
      <c r="L20" s="11">
        <f t="shared" si="7"/>
        <v>14778.5</v>
      </c>
      <c r="M20" s="3" t="s">
        <v>5</v>
      </c>
      <c r="N20" s="2" t="s">
        <v>998</v>
      </c>
      <c r="O20" s="2" t="s">
        <v>1122</v>
      </c>
      <c r="P20" s="2" t="s">
        <v>996</v>
      </c>
      <c r="Q20" s="2" t="s">
        <v>996</v>
      </c>
      <c r="R20" s="2" t="s">
        <v>995</v>
      </c>
      <c r="V20" s="1">
        <v>1</v>
      </c>
      <c r="AV20" s="2" t="s">
        <v>5</v>
      </c>
      <c r="AW20" s="2" t="s">
        <v>1137</v>
      </c>
      <c r="AX20" s="2" t="s">
        <v>5</v>
      </c>
      <c r="AY20" s="2" t="s">
        <v>5</v>
      </c>
    </row>
    <row r="21" spans="1:51" ht="30" customHeight="1" x14ac:dyDescent="0.3">
      <c r="A21" s="3" t="s">
        <v>1124</v>
      </c>
      <c r="B21" s="3" t="s">
        <v>1125</v>
      </c>
      <c r="C21" s="5" t="s">
        <v>340</v>
      </c>
      <c r="D21" s="10">
        <v>1</v>
      </c>
      <c r="E21" s="12">
        <f>TRUNC(SUMIF(V15:V21, RIGHTB(O21, 1), H15:H21)*U21, 2)</f>
        <v>443.35</v>
      </c>
      <c r="F21" s="11">
        <f t="shared" si="4"/>
        <v>443.3</v>
      </c>
      <c r="G21" s="12">
        <v>0</v>
      </c>
      <c r="H21" s="11">
        <f t="shared" si="5"/>
        <v>0</v>
      </c>
      <c r="I21" s="12">
        <v>0</v>
      </c>
      <c r="J21" s="11">
        <f t="shared" si="6"/>
        <v>0</v>
      </c>
      <c r="K21" s="12">
        <f t="shared" si="7"/>
        <v>443.3</v>
      </c>
      <c r="L21" s="11">
        <f t="shared" si="7"/>
        <v>443.3</v>
      </c>
      <c r="M21" s="3" t="s">
        <v>5</v>
      </c>
      <c r="N21" s="2" t="s">
        <v>998</v>
      </c>
      <c r="O21" s="2" t="s">
        <v>1126</v>
      </c>
      <c r="P21" s="2" t="s">
        <v>996</v>
      </c>
      <c r="Q21" s="2" t="s">
        <v>996</v>
      </c>
      <c r="R21" s="2" t="s">
        <v>996</v>
      </c>
      <c r="S21" s="1">
        <v>1</v>
      </c>
      <c r="T21" s="1">
        <v>0</v>
      </c>
      <c r="U21" s="1">
        <v>0.03</v>
      </c>
      <c r="AV21" s="2" t="s">
        <v>5</v>
      </c>
      <c r="AW21" s="2" t="s">
        <v>1138</v>
      </c>
      <c r="AX21" s="2" t="s">
        <v>5</v>
      </c>
      <c r="AY21" s="2" t="s">
        <v>5</v>
      </c>
    </row>
    <row r="22" spans="1:51" ht="30" customHeight="1" x14ac:dyDescent="0.3">
      <c r="A22" s="3" t="s">
        <v>1128</v>
      </c>
      <c r="B22" s="3" t="s">
        <v>5</v>
      </c>
      <c r="C22" s="5" t="s">
        <v>5</v>
      </c>
      <c r="D22" s="10"/>
      <c r="E22" s="12"/>
      <c r="F22" s="11">
        <f>TRUNC(SUMIF(N15:N21, N14, F15:F21),0)</f>
        <v>2382</v>
      </c>
      <c r="G22" s="12"/>
      <c r="H22" s="11">
        <f>TRUNC(SUMIF(N15:N21, N14, H15:H21),0)</f>
        <v>14778</v>
      </c>
      <c r="I22" s="12"/>
      <c r="J22" s="11">
        <f>TRUNC(SUMIF(N15:N21, N14, J15:J21),0)</f>
        <v>0</v>
      </c>
      <c r="K22" s="12"/>
      <c r="L22" s="11">
        <f>F22+H22+J22</f>
        <v>17160</v>
      </c>
      <c r="M22" s="3" t="s">
        <v>5</v>
      </c>
      <c r="N22" s="2" t="s">
        <v>1053</v>
      </c>
      <c r="O22" s="2" t="s">
        <v>1053</v>
      </c>
      <c r="P22" s="2" t="s">
        <v>5</v>
      </c>
      <c r="Q22" s="2" t="s">
        <v>5</v>
      </c>
      <c r="R22" s="2" t="s">
        <v>5</v>
      </c>
      <c r="AV22" s="2" t="s">
        <v>5</v>
      </c>
      <c r="AW22" s="2" t="s">
        <v>5</v>
      </c>
      <c r="AX22" s="2" t="s">
        <v>5</v>
      </c>
      <c r="AY22" s="2" t="s">
        <v>5</v>
      </c>
    </row>
    <row r="23" spans="1:51" ht="30" customHeight="1" x14ac:dyDescent="0.3">
      <c r="A23" s="10"/>
      <c r="B23" s="10"/>
      <c r="C23" s="9"/>
      <c r="D23" s="10"/>
      <c r="E23" s="12"/>
      <c r="F23" s="11"/>
      <c r="G23" s="12"/>
      <c r="H23" s="11"/>
      <c r="I23" s="12"/>
      <c r="J23" s="11"/>
      <c r="K23" s="12"/>
      <c r="L23" s="11"/>
      <c r="M23" s="10"/>
    </row>
    <row r="24" spans="1:51" ht="30" customHeight="1" x14ac:dyDescent="0.3">
      <c r="A24" s="216" t="s">
        <v>1139</v>
      </c>
      <c r="B24" s="216"/>
      <c r="C24" s="216"/>
      <c r="D24" s="216"/>
      <c r="E24" s="217"/>
      <c r="F24" s="218"/>
      <c r="G24" s="217"/>
      <c r="H24" s="218"/>
      <c r="I24" s="217"/>
      <c r="J24" s="218"/>
      <c r="K24" s="217"/>
      <c r="L24" s="218"/>
      <c r="M24" s="216"/>
      <c r="N24" s="2" t="s">
        <v>1000</v>
      </c>
    </row>
    <row r="25" spans="1:51" ht="30" customHeight="1" x14ac:dyDescent="0.3">
      <c r="A25" s="3" t="s">
        <v>173</v>
      </c>
      <c r="B25" s="3" t="s">
        <v>1105</v>
      </c>
      <c r="C25" s="5" t="s">
        <v>12</v>
      </c>
      <c r="D25" s="10">
        <v>1</v>
      </c>
      <c r="E25" s="12">
        <v>1450</v>
      </c>
      <c r="F25" s="11">
        <f t="shared" ref="F25:F31" si="8">TRUNC(E25*D25,1)</f>
        <v>1450</v>
      </c>
      <c r="G25" s="12">
        <v>0</v>
      </c>
      <c r="H25" s="11">
        <f t="shared" ref="H25:H31" si="9">TRUNC(G25*D25,1)</f>
        <v>0</v>
      </c>
      <c r="I25" s="12">
        <v>0</v>
      </c>
      <c r="J25" s="11">
        <f t="shared" ref="J25:J31" si="10">TRUNC(I25*D25,1)</f>
        <v>0</v>
      </c>
      <c r="K25" s="12">
        <f t="shared" ref="K25:L31" si="11">TRUNC(E25+G25+I25,1)</f>
        <v>1450</v>
      </c>
      <c r="L25" s="11">
        <f t="shared" si="11"/>
        <v>1450</v>
      </c>
      <c r="M25" s="3" t="s">
        <v>5</v>
      </c>
      <c r="N25" s="2" t="s">
        <v>1000</v>
      </c>
      <c r="O25" s="2" t="s">
        <v>1106</v>
      </c>
      <c r="P25" s="2" t="s">
        <v>996</v>
      </c>
      <c r="Q25" s="2" t="s">
        <v>996</v>
      </c>
      <c r="R25" s="2" t="s">
        <v>995</v>
      </c>
      <c r="AV25" s="2" t="s">
        <v>5</v>
      </c>
      <c r="AW25" s="2" t="s">
        <v>1140</v>
      </c>
      <c r="AX25" s="2" t="s">
        <v>5</v>
      </c>
      <c r="AY25" s="2" t="s">
        <v>5</v>
      </c>
    </row>
    <row r="26" spans="1:51" ht="30" customHeight="1" x14ac:dyDescent="0.3">
      <c r="A26" s="3" t="s">
        <v>1108</v>
      </c>
      <c r="B26" s="3" t="s">
        <v>180</v>
      </c>
      <c r="C26" s="5" t="s">
        <v>12</v>
      </c>
      <c r="D26" s="10">
        <v>1</v>
      </c>
      <c r="E26" s="12">
        <v>100</v>
      </c>
      <c r="F26" s="11">
        <f t="shared" si="8"/>
        <v>100</v>
      </c>
      <c r="G26" s="12">
        <v>0</v>
      </c>
      <c r="H26" s="11">
        <f t="shared" si="9"/>
        <v>0</v>
      </c>
      <c r="I26" s="12">
        <v>0</v>
      </c>
      <c r="J26" s="11">
        <f t="shared" si="10"/>
        <v>0</v>
      </c>
      <c r="K26" s="12">
        <f t="shared" si="11"/>
        <v>100</v>
      </c>
      <c r="L26" s="11">
        <f t="shared" si="11"/>
        <v>100</v>
      </c>
      <c r="M26" s="3" t="s">
        <v>5</v>
      </c>
      <c r="N26" s="2" t="s">
        <v>1000</v>
      </c>
      <c r="O26" s="2" t="s">
        <v>1109</v>
      </c>
      <c r="P26" s="2" t="s">
        <v>996</v>
      </c>
      <c r="Q26" s="2" t="s">
        <v>996</v>
      </c>
      <c r="R26" s="2" t="s">
        <v>995</v>
      </c>
      <c r="AV26" s="2" t="s">
        <v>5</v>
      </c>
      <c r="AW26" s="2" t="s">
        <v>1141</v>
      </c>
      <c r="AX26" s="2" t="s">
        <v>5</v>
      </c>
      <c r="AY26" s="2" t="s">
        <v>5</v>
      </c>
    </row>
    <row r="27" spans="1:51" ht="30" customHeight="1" x14ac:dyDescent="0.3">
      <c r="A27" s="3" t="s">
        <v>174</v>
      </c>
      <c r="B27" s="3" t="s">
        <v>175</v>
      </c>
      <c r="C27" s="5" t="s">
        <v>12</v>
      </c>
      <c r="D27" s="10">
        <v>2</v>
      </c>
      <c r="E27" s="199">
        <v>21</v>
      </c>
      <c r="F27" s="11">
        <f t="shared" si="8"/>
        <v>42</v>
      </c>
      <c r="G27" s="12">
        <v>0</v>
      </c>
      <c r="H27" s="11">
        <f t="shared" si="9"/>
        <v>0</v>
      </c>
      <c r="I27" s="12">
        <v>0</v>
      </c>
      <c r="J27" s="11">
        <f t="shared" si="10"/>
        <v>0</v>
      </c>
      <c r="K27" s="12">
        <f t="shared" si="11"/>
        <v>21</v>
      </c>
      <c r="L27" s="11">
        <f t="shared" si="11"/>
        <v>42</v>
      </c>
      <c r="M27" s="3" t="s">
        <v>5</v>
      </c>
      <c r="N27" s="2" t="s">
        <v>1000</v>
      </c>
      <c r="O27" s="2" t="s">
        <v>1111</v>
      </c>
      <c r="P27" s="2" t="s">
        <v>996</v>
      </c>
      <c r="Q27" s="2" t="s">
        <v>996</v>
      </c>
      <c r="R27" s="2" t="s">
        <v>995</v>
      </c>
      <c r="AV27" s="2" t="s">
        <v>5</v>
      </c>
      <c r="AW27" s="2" t="s">
        <v>1142</v>
      </c>
      <c r="AX27" s="2" t="s">
        <v>5</v>
      </c>
      <c r="AY27" s="2" t="s">
        <v>5</v>
      </c>
    </row>
    <row r="28" spans="1:51" ht="30" customHeight="1" x14ac:dyDescent="0.3">
      <c r="A28" s="3" t="s">
        <v>177</v>
      </c>
      <c r="B28" s="3" t="s">
        <v>1113</v>
      </c>
      <c r="C28" s="5" t="s">
        <v>12</v>
      </c>
      <c r="D28" s="10">
        <v>2</v>
      </c>
      <c r="E28" s="12">
        <v>9.3000000000000007</v>
      </c>
      <c r="F28" s="11">
        <f t="shared" si="8"/>
        <v>18.600000000000001</v>
      </c>
      <c r="G28" s="12">
        <v>0</v>
      </c>
      <c r="H28" s="11">
        <f t="shared" si="9"/>
        <v>0</v>
      </c>
      <c r="I28" s="12">
        <v>0</v>
      </c>
      <c r="J28" s="11">
        <f t="shared" si="10"/>
        <v>0</v>
      </c>
      <c r="K28" s="12">
        <f t="shared" si="11"/>
        <v>9.3000000000000007</v>
      </c>
      <c r="L28" s="11">
        <f t="shared" si="11"/>
        <v>18.600000000000001</v>
      </c>
      <c r="M28" s="3" t="s">
        <v>5</v>
      </c>
      <c r="N28" s="2" t="s">
        <v>1000</v>
      </c>
      <c r="O28" s="2" t="s">
        <v>1114</v>
      </c>
      <c r="P28" s="2" t="s">
        <v>996</v>
      </c>
      <c r="Q28" s="2" t="s">
        <v>996</v>
      </c>
      <c r="R28" s="2" t="s">
        <v>995</v>
      </c>
      <c r="AV28" s="2" t="s">
        <v>5</v>
      </c>
      <c r="AW28" s="2" t="s">
        <v>1143</v>
      </c>
      <c r="AX28" s="2" t="s">
        <v>5</v>
      </c>
      <c r="AY28" s="2" t="s">
        <v>5</v>
      </c>
    </row>
    <row r="29" spans="1:51" ht="30" customHeight="1" x14ac:dyDescent="0.3">
      <c r="A29" s="3" t="s">
        <v>333</v>
      </c>
      <c r="B29" s="3" t="s">
        <v>1134</v>
      </c>
      <c r="C29" s="5" t="s">
        <v>12</v>
      </c>
      <c r="D29" s="10">
        <v>1</v>
      </c>
      <c r="E29" s="12">
        <v>350</v>
      </c>
      <c r="F29" s="11">
        <f t="shared" si="8"/>
        <v>350</v>
      </c>
      <c r="G29" s="12">
        <v>0</v>
      </c>
      <c r="H29" s="11">
        <f t="shared" si="9"/>
        <v>0</v>
      </c>
      <c r="I29" s="12">
        <v>0</v>
      </c>
      <c r="J29" s="11">
        <f t="shared" si="10"/>
        <v>0</v>
      </c>
      <c r="K29" s="12">
        <f t="shared" si="11"/>
        <v>350</v>
      </c>
      <c r="L29" s="11">
        <f t="shared" si="11"/>
        <v>350</v>
      </c>
      <c r="M29" s="3" t="s">
        <v>5</v>
      </c>
      <c r="N29" s="2" t="s">
        <v>1000</v>
      </c>
      <c r="O29" s="2" t="s">
        <v>1135</v>
      </c>
      <c r="P29" s="2" t="s">
        <v>996</v>
      </c>
      <c r="Q29" s="2" t="s">
        <v>996</v>
      </c>
      <c r="R29" s="2" t="s">
        <v>995</v>
      </c>
      <c r="AV29" s="2" t="s">
        <v>5</v>
      </c>
      <c r="AW29" s="2" t="s">
        <v>1144</v>
      </c>
      <c r="AX29" s="2" t="s">
        <v>5</v>
      </c>
      <c r="AY29" s="2" t="s">
        <v>5</v>
      </c>
    </row>
    <row r="30" spans="1:51" ht="30" customHeight="1" x14ac:dyDescent="0.3">
      <c r="A30" s="3" t="s">
        <v>1119</v>
      </c>
      <c r="B30" s="3" t="s">
        <v>1120</v>
      </c>
      <c r="C30" s="5" t="s">
        <v>1121</v>
      </c>
      <c r="D30" s="10">
        <v>5.3999999999999999E-2</v>
      </c>
      <c r="E30" s="12">
        <v>0</v>
      </c>
      <c r="F30" s="11">
        <f t="shared" si="8"/>
        <v>0</v>
      </c>
      <c r="G30" s="8">
        <v>273676</v>
      </c>
      <c r="H30" s="11">
        <f t="shared" si="9"/>
        <v>14778.5</v>
      </c>
      <c r="I30" s="12">
        <v>0</v>
      </c>
      <c r="J30" s="11">
        <f t="shared" si="10"/>
        <v>0</v>
      </c>
      <c r="K30" s="12">
        <f t="shared" si="11"/>
        <v>273676</v>
      </c>
      <c r="L30" s="11">
        <f t="shared" si="11"/>
        <v>14778.5</v>
      </c>
      <c r="M30" s="3" t="s">
        <v>5</v>
      </c>
      <c r="N30" s="2" t="s">
        <v>1000</v>
      </c>
      <c r="O30" s="2" t="s">
        <v>1122</v>
      </c>
      <c r="P30" s="2" t="s">
        <v>996</v>
      </c>
      <c r="Q30" s="2" t="s">
        <v>996</v>
      </c>
      <c r="R30" s="2" t="s">
        <v>995</v>
      </c>
      <c r="V30" s="1">
        <v>1</v>
      </c>
      <c r="AV30" s="2" t="s">
        <v>5</v>
      </c>
      <c r="AW30" s="2" t="s">
        <v>1145</v>
      </c>
      <c r="AX30" s="2" t="s">
        <v>5</v>
      </c>
      <c r="AY30" s="2" t="s">
        <v>5</v>
      </c>
    </row>
    <row r="31" spans="1:51" ht="30" customHeight="1" x14ac:dyDescent="0.3">
      <c r="A31" s="3" t="s">
        <v>1124</v>
      </c>
      <c r="B31" s="3" t="s">
        <v>1125</v>
      </c>
      <c r="C31" s="5" t="s">
        <v>340</v>
      </c>
      <c r="D31" s="10">
        <v>1</v>
      </c>
      <c r="E31" s="12">
        <f>TRUNC(SUMIF(V25:V31, RIGHTB(O31, 1), H25:H31)*U31, 2)</f>
        <v>443.35</v>
      </c>
      <c r="F31" s="11">
        <f t="shared" si="8"/>
        <v>443.3</v>
      </c>
      <c r="G31" s="12">
        <v>0</v>
      </c>
      <c r="H31" s="11">
        <f t="shared" si="9"/>
        <v>0</v>
      </c>
      <c r="I31" s="12">
        <v>0</v>
      </c>
      <c r="J31" s="11">
        <f t="shared" si="10"/>
        <v>0</v>
      </c>
      <c r="K31" s="12">
        <f t="shared" si="11"/>
        <v>443.3</v>
      </c>
      <c r="L31" s="11">
        <f t="shared" si="11"/>
        <v>443.3</v>
      </c>
      <c r="M31" s="3" t="s">
        <v>5</v>
      </c>
      <c r="N31" s="2" t="s">
        <v>1000</v>
      </c>
      <c r="O31" s="2" t="s">
        <v>1126</v>
      </c>
      <c r="P31" s="2" t="s">
        <v>996</v>
      </c>
      <c r="Q31" s="2" t="s">
        <v>996</v>
      </c>
      <c r="R31" s="2" t="s">
        <v>996</v>
      </c>
      <c r="S31" s="1">
        <v>1</v>
      </c>
      <c r="T31" s="1">
        <v>0</v>
      </c>
      <c r="U31" s="1">
        <v>0.03</v>
      </c>
      <c r="AV31" s="2" t="s">
        <v>5</v>
      </c>
      <c r="AW31" s="2" t="s">
        <v>1146</v>
      </c>
      <c r="AX31" s="2" t="s">
        <v>5</v>
      </c>
      <c r="AY31" s="2" t="s">
        <v>5</v>
      </c>
    </row>
    <row r="32" spans="1:51" ht="30" customHeight="1" x14ac:dyDescent="0.3">
      <c r="A32" s="3" t="s">
        <v>1128</v>
      </c>
      <c r="B32" s="3" t="s">
        <v>5</v>
      </c>
      <c r="C32" s="5" t="s">
        <v>5</v>
      </c>
      <c r="D32" s="10"/>
      <c r="E32" s="12"/>
      <c r="F32" s="11">
        <f>TRUNC(SUMIF(N25:N31, N24, F25:F31),0)</f>
        <v>2403</v>
      </c>
      <c r="G32" s="12"/>
      <c r="H32" s="11">
        <f>TRUNC(SUMIF(N25:N31, N24, H25:H31),0)</f>
        <v>14778</v>
      </c>
      <c r="I32" s="12"/>
      <c r="J32" s="11">
        <f>TRUNC(SUMIF(N25:N31, N24, J25:J31),0)</f>
        <v>0</v>
      </c>
      <c r="K32" s="12"/>
      <c r="L32" s="11">
        <f>F32+H32+J32</f>
        <v>17181</v>
      </c>
      <c r="M32" s="3" t="s">
        <v>5</v>
      </c>
      <c r="N32" s="2" t="s">
        <v>1053</v>
      </c>
      <c r="O32" s="2" t="s">
        <v>1053</v>
      </c>
      <c r="P32" s="2" t="s">
        <v>5</v>
      </c>
      <c r="Q32" s="2" t="s">
        <v>5</v>
      </c>
      <c r="R32" s="2" t="s">
        <v>5</v>
      </c>
      <c r="AV32" s="2" t="s">
        <v>5</v>
      </c>
      <c r="AW32" s="2" t="s">
        <v>5</v>
      </c>
      <c r="AX32" s="2" t="s">
        <v>5</v>
      </c>
      <c r="AY32" s="2" t="s">
        <v>5</v>
      </c>
    </row>
    <row r="33" spans="1:51" ht="30" customHeight="1" x14ac:dyDescent="0.3">
      <c r="A33" s="10"/>
      <c r="B33" s="10"/>
      <c r="C33" s="9"/>
      <c r="D33" s="10"/>
      <c r="E33" s="12"/>
      <c r="F33" s="11"/>
      <c r="G33" s="12"/>
      <c r="H33" s="11"/>
      <c r="I33" s="12"/>
      <c r="J33" s="11"/>
      <c r="K33" s="12"/>
      <c r="L33" s="11"/>
      <c r="M33" s="10"/>
    </row>
    <row r="34" spans="1:51" ht="30" customHeight="1" x14ac:dyDescent="0.3">
      <c r="A34" s="216" t="s">
        <v>1147</v>
      </c>
      <c r="B34" s="216"/>
      <c r="C34" s="216"/>
      <c r="D34" s="216"/>
      <c r="E34" s="217"/>
      <c r="F34" s="218"/>
      <c r="G34" s="217"/>
      <c r="H34" s="218"/>
      <c r="I34" s="217"/>
      <c r="J34" s="218"/>
      <c r="K34" s="217"/>
      <c r="L34" s="218"/>
      <c r="M34" s="216"/>
      <c r="N34" s="2" t="s">
        <v>1002</v>
      </c>
    </row>
    <row r="35" spans="1:51" ht="30" customHeight="1" x14ac:dyDescent="0.3">
      <c r="A35" s="3" t="s">
        <v>173</v>
      </c>
      <c r="B35" s="3" t="s">
        <v>1105</v>
      </c>
      <c r="C35" s="5" t="s">
        <v>12</v>
      </c>
      <c r="D35" s="10">
        <v>1</v>
      </c>
      <c r="E35" s="12">
        <v>1450</v>
      </c>
      <c r="F35" s="11">
        <f t="shared" ref="F35:F41" si="12">TRUNC(E35*D35,1)</f>
        <v>1450</v>
      </c>
      <c r="G35" s="12">
        <v>0</v>
      </c>
      <c r="H35" s="11">
        <f t="shared" ref="H35:H41" si="13">TRUNC(G35*D35,1)</f>
        <v>0</v>
      </c>
      <c r="I35" s="12">
        <v>0</v>
      </c>
      <c r="J35" s="11">
        <f t="shared" ref="J35:J41" si="14">TRUNC(I35*D35,1)</f>
        <v>0</v>
      </c>
      <c r="K35" s="12">
        <f t="shared" ref="K35:L41" si="15">TRUNC(E35+G35+I35,1)</f>
        <v>1450</v>
      </c>
      <c r="L35" s="11">
        <f t="shared" si="15"/>
        <v>1450</v>
      </c>
      <c r="M35" s="3" t="s">
        <v>5</v>
      </c>
      <c r="N35" s="2" t="s">
        <v>1002</v>
      </c>
      <c r="O35" s="2" t="s">
        <v>1106</v>
      </c>
      <c r="P35" s="2" t="s">
        <v>996</v>
      </c>
      <c r="Q35" s="2" t="s">
        <v>996</v>
      </c>
      <c r="R35" s="2" t="s">
        <v>995</v>
      </c>
      <c r="AV35" s="2" t="s">
        <v>5</v>
      </c>
      <c r="AW35" s="2" t="s">
        <v>1148</v>
      </c>
      <c r="AX35" s="2" t="s">
        <v>5</v>
      </c>
      <c r="AY35" s="2" t="s">
        <v>5</v>
      </c>
    </row>
    <row r="36" spans="1:51" ht="30" customHeight="1" x14ac:dyDescent="0.3">
      <c r="A36" s="3" t="s">
        <v>1108</v>
      </c>
      <c r="B36" s="3" t="s">
        <v>180</v>
      </c>
      <c r="C36" s="5" t="s">
        <v>12</v>
      </c>
      <c r="D36" s="10">
        <v>1</v>
      </c>
      <c r="E36" s="12">
        <v>100</v>
      </c>
      <c r="F36" s="11">
        <f t="shared" si="12"/>
        <v>100</v>
      </c>
      <c r="G36" s="12">
        <v>0</v>
      </c>
      <c r="H36" s="11">
        <f t="shared" si="13"/>
        <v>0</v>
      </c>
      <c r="I36" s="12">
        <v>0</v>
      </c>
      <c r="J36" s="11">
        <f t="shared" si="14"/>
        <v>0</v>
      </c>
      <c r="K36" s="12">
        <f t="shared" si="15"/>
        <v>100</v>
      </c>
      <c r="L36" s="11">
        <f t="shared" si="15"/>
        <v>100</v>
      </c>
      <c r="M36" s="3" t="s">
        <v>5</v>
      </c>
      <c r="N36" s="2" t="s">
        <v>1002</v>
      </c>
      <c r="O36" s="2" t="s">
        <v>1109</v>
      </c>
      <c r="P36" s="2" t="s">
        <v>996</v>
      </c>
      <c r="Q36" s="2" t="s">
        <v>996</v>
      </c>
      <c r="R36" s="2" t="s">
        <v>995</v>
      </c>
      <c r="AV36" s="2" t="s">
        <v>5</v>
      </c>
      <c r="AW36" s="2" t="s">
        <v>1149</v>
      </c>
      <c r="AX36" s="2" t="s">
        <v>5</v>
      </c>
      <c r="AY36" s="2" t="s">
        <v>5</v>
      </c>
    </row>
    <row r="37" spans="1:51" ht="30" customHeight="1" x14ac:dyDescent="0.3">
      <c r="A37" s="3" t="s">
        <v>174</v>
      </c>
      <c r="B37" s="3" t="s">
        <v>175</v>
      </c>
      <c r="C37" s="5" t="s">
        <v>12</v>
      </c>
      <c r="D37" s="10">
        <v>2</v>
      </c>
      <c r="E37" s="199">
        <v>21</v>
      </c>
      <c r="F37" s="11">
        <f t="shared" si="12"/>
        <v>42</v>
      </c>
      <c r="G37" s="12">
        <v>0</v>
      </c>
      <c r="H37" s="11">
        <f t="shared" si="13"/>
        <v>0</v>
      </c>
      <c r="I37" s="12">
        <v>0</v>
      </c>
      <c r="J37" s="11">
        <f t="shared" si="14"/>
        <v>0</v>
      </c>
      <c r="K37" s="12">
        <f t="shared" si="15"/>
        <v>21</v>
      </c>
      <c r="L37" s="11">
        <f t="shared" si="15"/>
        <v>42</v>
      </c>
      <c r="M37" s="3" t="s">
        <v>5</v>
      </c>
      <c r="N37" s="2" t="s">
        <v>1002</v>
      </c>
      <c r="O37" s="2" t="s">
        <v>1111</v>
      </c>
      <c r="P37" s="2" t="s">
        <v>996</v>
      </c>
      <c r="Q37" s="2" t="s">
        <v>996</v>
      </c>
      <c r="R37" s="2" t="s">
        <v>995</v>
      </c>
      <c r="AV37" s="2" t="s">
        <v>5</v>
      </c>
      <c r="AW37" s="2" t="s">
        <v>1150</v>
      </c>
      <c r="AX37" s="2" t="s">
        <v>5</v>
      </c>
      <c r="AY37" s="2" t="s">
        <v>5</v>
      </c>
    </row>
    <row r="38" spans="1:51" ht="30" customHeight="1" x14ac:dyDescent="0.3">
      <c r="A38" s="3" t="s">
        <v>177</v>
      </c>
      <c r="B38" s="3" t="s">
        <v>1113</v>
      </c>
      <c r="C38" s="5" t="s">
        <v>12</v>
      </c>
      <c r="D38" s="10">
        <v>2</v>
      </c>
      <c r="E38" s="12">
        <v>9.3000000000000007</v>
      </c>
      <c r="F38" s="11">
        <f t="shared" si="12"/>
        <v>18.600000000000001</v>
      </c>
      <c r="G38" s="12">
        <v>0</v>
      </c>
      <c r="H38" s="11">
        <f t="shared" si="13"/>
        <v>0</v>
      </c>
      <c r="I38" s="12">
        <v>0</v>
      </c>
      <c r="J38" s="11">
        <f t="shared" si="14"/>
        <v>0</v>
      </c>
      <c r="K38" s="12">
        <f t="shared" si="15"/>
        <v>9.3000000000000007</v>
      </c>
      <c r="L38" s="11">
        <f t="shared" si="15"/>
        <v>18.600000000000001</v>
      </c>
      <c r="M38" s="3" t="s">
        <v>5</v>
      </c>
      <c r="N38" s="2" t="s">
        <v>1002</v>
      </c>
      <c r="O38" s="2" t="s">
        <v>1114</v>
      </c>
      <c r="P38" s="2" t="s">
        <v>996</v>
      </c>
      <c r="Q38" s="2" t="s">
        <v>996</v>
      </c>
      <c r="R38" s="2" t="s">
        <v>995</v>
      </c>
      <c r="AV38" s="2" t="s">
        <v>5</v>
      </c>
      <c r="AW38" s="2" t="s">
        <v>1151</v>
      </c>
      <c r="AX38" s="2" t="s">
        <v>5</v>
      </c>
      <c r="AY38" s="2" t="s">
        <v>5</v>
      </c>
    </row>
    <row r="39" spans="1:51" ht="30" customHeight="1" x14ac:dyDescent="0.3">
      <c r="A39" s="3" t="s">
        <v>333</v>
      </c>
      <c r="B39" s="3" t="s">
        <v>1152</v>
      </c>
      <c r="C39" s="5" t="s">
        <v>12</v>
      </c>
      <c r="D39" s="10">
        <v>1</v>
      </c>
      <c r="E39" s="12">
        <v>373</v>
      </c>
      <c r="F39" s="11">
        <f t="shared" si="12"/>
        <v>373</v>
      </c>
      <c r="G39" s="12">
        <v>0</v>
      </c>
      <c r="H39" s="11">
        <f t="shared" si="13"/>
        <v>0</v>
      </c>
      <c r="I39" s="12">
        <v>0</v>
      </c>
      <c r="J39" s="11">
        <f t="shared" si="14"/>
        <v>0</v>
      </c>
      <c r="K39" s="12">
        <f t="shared" si="15"/>
        <v>373</v>
      </c>
      <c r="L39" s="11">
        <f t="shared" si="15"/>
        <v>373</v>
      </c>
      <c r="M39" s="3" t="s">
        <v>5</v>
      </c>
      <c r="N39" s="2" t="s">
        <v>1002</v>
      </c>
      <c r="O39" s="2" t="s">
        <v>1153</v>
      </c>
      <c r="P39" s="2" t="s">
        <v>996</v>
      </c>
      <c r="Q39" s="2" t="s">
        <v>996</v>
      </c>
      <c r="R39" s="2" t="s">
        <v>995</v>
      </c>
      <c r="AV39" s="2" t="s">
        <v>5</v>
      </c>
      <c r="AW39" s="2" t="s">
        <v>1154</v>
      </c>
      <c r="AX39" s="2" t="s">
        <v>5</v>
      </c>
      <c r="AY39" s="2" t="s">
        <v>5</v>
      </c>
    </row>
    <row r="40" spans="1:51" ht="30" customHeight="1" x14ac:dyDescent="0.3">
      <c r="A40" s="3" t="s">
        <v>1119</v>
      </c>
      <c r="B40" s="3" t="s">
        <v>1120</v>
      </c>
      <c r="C40" s="5" t="s">
        <v>1121</v>
      </c>
      <c r="D40" s="10">
        <v>5.3999999999999999E-2</v>
      </c>
      <c r="E40" s="12">
        <v>0</v>
      </c>
      <c r="F40" s="11">
        <f t="shared" si="12"/>
        <v>0</v>
      </c>
      <c r="G40" s="8">
        <v>273676</v>
      </c>
      <c r="H40" s="11">
        <f t="shared" si="13"/>
        <v>14778.5</v>
      </c>
      <c r="I40" s="12">
        <v>0</v>
      </c>
      <c r="J40" s="11">
        <f t="shared" si="14"/>
        <v>0</v>
      </c>
      <c r="K40" s="12">
        <f t="shared" si="15"/>
        <v>273676</v>
      </c>
      <c r="L40" s="11">
        <f t="shared" si="15"/>
        <v>14778.5</v>
      </c>
      <c r="M40" s="3" t="s">
        <v>5</v>
      </c>
      <c r="N40" s="2" t="s">
        <v>1002</v>
      </c>
      <c r="O40" s="2" t="s">
        <v>1122</v>
      </c>
      <c r="P40" s="2" t="s">
        <v>996</v>
      </c>
      <c r="Q40" s="2" t="s">
        <v>996</v>
      </c>
      <c r="R40" s="2" t="s">
        <v>995</v>
      </c>
      <c r="V40" s="1">
        <v>1</v>
      </c>
      <c r="AV40" s="2" t="s">
        <v>5</v>
      </c>
      <c r="AW40" s="2" t="s">
        <v>1155</v>
      </c>
      <c r="AX40" s="2" t="s">
        <v>5</v>
      </c>
      <c r="AY40" s="2" t="s">
        <v>5</v>
      </c>
    </row>
    <row r="41" spans="1:51" ht="30" customHeight="1" x14ac:dyDescent="0.3">
      <c r="A41" s="3" t="s">
        <v>1124</v>
      </c>
      <c r="B41" s="3" t="s">
        <v>1125</v>
      </c>
      <c r="C41" s="5" t="s">
        <v>340</v>
      </c>
      <c r="D41" s="10">
        <v>1</v>
      </c>
      <c r="E41" s="12">
        <f>TRUNC(SUMIF(V35:V41, RIGHTB(O41, 1), H35:H41)*U41, 2)</f>
        <v>443.35</v>
      </c>
      <c r="F41" s="11">
        <f t="shared" si="12"/>
        <v>443.3</v>
      </c>
      <c r="G41" s="12">
        <v>0</v>
      </c>
      <c r="H41" s="11">
        <f t="shared" si="13"/>
        <v>0</v>
      </c>
      <c r="I41" s="12">
        <v>0</v>
      </c>
      <c r="J41" s="11">
        <f t="shared" si="14"/>
        <v>0</v>
      </c>
      <c r="K41" s="12">
        <f t="shared" si="15"/>
        <v>443.3</v>
      </c>
      <c r="L41" s="11">
        <f t="shared" si="15"/>
        <v>443.3</v>
      </c>
      <c r="M41" s="3" t="s">
        <v>5</v>
      </c>
      <c r="N41" s="2" t="s">
        <v>1002</v>
      </c>
      <c r="O41" s="2" t="s">
        <v>1126</v>
      </c>
      <c r="P41" s="2" t="s">
        <v>996</v>
      </c>
      <c r="Q41" s="2" t="s">
        <v>996</v>
      </c>
      <c r="R41" s="2" t="s">
        <v>996</v>
      </c>
      <c r="S41" s="1">
        <v>1</v>
      </c>
      <c r="T41" s="1">
        <v>0</v>
      </c>
      <c r="U41" s="1">
        <v>0.03</v>
      </c>
      <c r="AV41" s="2" t="s">
        <v>5</v>
      </c>
      <c r="AW41" s="2" t="s">
        <v>1156</v>
      </c>
      <c r="AX41" s="2" t="s">
        <v>5</v>
      </c>
      <c r="AY41" s="2" t="s">
        <v>5</v>
      </c>
    </row>
    <row r="42" spans="1:51" ht="30" customHeight="1" x14ac:dyDescent="0.3">
      <c r="A42" s="3" t="s">
        <v>1128</v>
      </c>
      <c r="B42" s="3" t="s">
        <v>5</v>
      </c>
      <c r="C42" s="5" t="s">
        <v>5</v>
      </c>
      <c r="D42" s="10"/>
      <c r="E42" s="12"/>
      <c r="F42" s="11">
        <f>TRUNC(SUMIF(N35:N41, N34, F35:F41),0)</f>
        <v>2426</v>
      </c>
      <c r="G42" s="12"/>
      <c r="H42" s="11">
        <f>TRUNC(SUMIF(N35:N41, N34, H35:H41),0)</f>
        <v>14778</v>
      </c>
      <c r="I42" s="12"/>
      <c r="J42" s="11">
        <f>TRUNC(SUMIF(N35:N41, N34, J35:J41),0)</f>
        <v>0</v>
      </c>
      <c r="K42" s="12"/>
      <c r="L42" s="11">
        <f>F42+H42+J42</f>
        <v>17204</v>
      </c>
      <c r="M42" s="3" t="s">
        <v>5</v>
      </c>
      <c r="N42" s="2" t="s">
        <v>1053</v>
      </c>
      <c r="O42" s="2" t="s">
        <v>1053</v>
      </c>
      <c r="P42" s="2" t="s">
        <v>5</v>
      </c>
      <c r="Q42" s="2" t="s">
        <v>5</v>
      </c>
      <c r="R42" s="2" t="s">
        <v>5</v>
      </c>
      <c r="AV42" s="2" t="s">
        <v>5</v>
      </c>
      <c r="AW42" s="2" t="s">
        <v>5</v>
      </c>
      <c r="AX42" s="2" t="s">
        <v>5</v>
      </c>
      <c r="AY42" s="2" t="s">
        <v>5</v>
      </c>
    </row>
    <row r="43" spans="1:51" ht="30" customHeight="1" x14ac:dyDescent="0.3">
      <c r="A43" s="10"/>
      <c r="B43" s="10"/>
      <c r="C43" s="9"/>
      <c r="D43" s="10"/>
      <c r="E43" s="12"/>
      <c r="F43" s="11"/>
      <c r="G43" s="12"/>
      <c r="H43" s="11"/>
      <c r="I43" s="12"/>
      <c r="J43" s="11"/>
      <c r="K43" s="12"/>
      <c r="L43" s="11"/>
      <c r="M43" s="10"/>
    </row>
    <row r="44" spans="1:51" ht="30" customHeight="1" x14ac:dyDescent="0.3">
      <c r="A44" s="216" t="s">
        <v>1157</v>
      </c>
      <c r="B44" s="216"/>
      <c r="C44" s="216"/>
      <c r="D44" s="216"/>
      <c r="E44" s="217"/>
      <c r="F44" s="218"/>
      <c r="G44" s="217"/>
      <c r="H44" s="218"/>
      <c r="I44" s="217"/>
      <c r="J44" s="218"/>
      <c r="K44" s="217"/>
      <c r="L44" s="218"/>
      <c r="M44" s="216"/>
      <c r="N44" s="2" t="s">
        <v>1004</v>
      </c>
    </row>
    <row r="45" spans="1:51" ht="30" customHeight="1" x14ac:dyDescent="0.3">
      <c r="A45" s="3" t="s">
        <v>173</v>
      </c>
      <c r="B45" s="3" t="s">
        <v>1105</v>
      </c>
      <c r="C45" s="5" t="s">
        <v>12</v>
      </c>
      <c r="D45" s="10">
        <v>1</v>
      </c>
      <c r="E45" s="12">
        <v>1450</v>
      </c>
      <c r="F45" s="11">
        <f t="shared" ref="F45:F51" si="16">TRUNC(E45*D45,1)</f>
        <v>1450</v>
      </c>
      <c r="G45" s="12">
        <v>0</v>
      </c>
      <c r="H45" s="11">
        <f t="shared" ref="H45:H51" si="17">TRUNC(G45*D45,1)</f>
        <v>0</v>
      </c>
      <c r="I45" s="12">
        <v>0</v>
      </c>
      <c r="J45" s="11">
        <f t="shared" ref="J45:J51" si="18">TRUNC(I45*D45,1)</f>
        <v>0</v>
      </c>
      <c r="K45" s="12">
        <f t="shared" ref="K45:L51" si="19">TRUNC(E45+G45+I45,1)</f>
        <v>1450</v>
      </c>
      <c r="L45" s="11">
        <f t="shared" si="19"/>
        <v>1450</v>
      </c>
      <c r="M45" s="3" t="s">
        <v>5</v>
      </c>
      <c r="N45" s="2" t="s">
        <v>1004</v>
      </c>
      <c r="O45" s="2" t="s">
        <v>1106</v>
      </c>
      <c r="P45" s="2" t="s">
        <v>996</v>
      </c>
      <c r="Q45" s="2" t="s">
        <v>996</v>
      </c>
      <c r="R45" s="2" t="s">
        <v>995</v>
      </c>
      <c r="AV45" s="2" t="s">
        <v>5</v>
      </c>
      <c r="AW45" s="2" t="s">
        <v>1158</v>
      </c>
      <c r="AX45" s="2" t="s">
        <v>5</v>
      </c>
      <c r="AY45" s="2" t="s">
        <v>5</v>
      </c>
    </row>
    <row r="46" spans="1:51" ht="30" customHeight="1" x14ac:dyDescent="0.3">
      <c r="A46" s="3" t="s">
        <v>1108</v>
      </c>
      <c r="B46" s="3" t="s">
        <v>180</v>
      </c>
      <c r="C46" s="5" t="s">
        <v>12</v>
      </c>
      <c r="D46" s="10">
        <v>1</v>
      </c>
      <c r="E46" s="12">
        <v>100</v>
      </c>
      <c r="F46" s="11">
        <f t="shared" si="16"/>
        <v>100</v>
      </c>
      <c r="G46" s="12">
        <v>0</v>
      </c>
      <c r="H46" s="11">
        <f t="shared" si="17"/>
        <v>0</v>
      </c>
      <c r="I46" s="12">
        <v>0</v>
      </c>
      <c r="J46" s="11">
        <f t="shared" si="18"/>
        <v>0</v>
      </c>
      <c r="K46" s="12">
        <f t="shared" si="19"/>
        <v>100</v>
      </c>
      <c r="L46" s="11">
        <f t="shared" si="19"/>
        <v>100</v>
      </c>
      <c r="M46" s="3" t="s">
        <v>5</v>
      </c>
      <c r="N46" s="2" t="s">
        <v>1004</v>
      </c>
      <c r="O46" s="2" t="s">
        <v>1109</v>
      </c>
      <c r="P46" s="2" t="s">
        <v>996</v>
      </c>
      <c r="Q46" s="2" t="s">
        <v>996</v>
      </c>
      <c r="R46" s="2" t="s">
        <v>995</v>
      </c>
      <c r="AV46" s="2" t="s">
        <v>5</v>
      </c>
      <c r="AW46" s="2" t="s">
        <v>1159</v>
      </c>
      <c r="AX46" s="2" t="s">
        <v>5</v>
      </c>
      <c r="AY46" s="2" t="s">
        <v>5</v>
      </c>
    </row>
    <row r="47" spans="1:51" ht="30" customHeight="1" x14ac:dyDescent="0.3">
      <c r="A47" s="3" t="s">
        <v>174</v>
      </c>
      <c r="B47" s="3" t="s">
        <v>175</v>
      </c>
      <c r="C47" s="5" t="s">
        <v>12</v>
      </c>
      <c r="D47" s="10">
        <v>2</v>
      </c>
      <c r="E47" s="199">
        <v>21</v>
      </c>
      <c r="F47" s="11">
        <f t="shared" si="16"/>
        <v>42</v>
      </c>
      <c r="G47" s="12">
        <v>0</v>
      </c>
      <c r="H47" s="11">
        <f t="shared" si="17"/>
        <v>0</v>
      </c>
      <c r="I47" s="12">
        <v>0</v>
      </c>
      <c r="J47" s="11">
        <f t="shared" si="18"/>
        <v>0</v>
      </c>
      <c r="K47" s="12">
        <f t="shared" si="19"/>
        <v>21</v>
      </c>
      <c r="L47" s="11">
        <f t="shared" si="19"/>
        <v>42</v>
      </c>
      <c r="M47" s="3" t="s">
        <v>5</v>
      </c>
      <c r="N47" s="2" t="s">
        <v>1004</v>
      </c>
      <c r="O47" s="2" t="s">
        <v>1111</v>
      </c>
      <c r="P47" s="2" t="s">
        <v>996</v>
      </c>
      <c r="Q47" s="2" t="s">
        <v>996</v>
      </c>
      <c r="R47" s="2" t="s">
        <v>995</v>
      </c>
      <c r="AV47" s="2" t="s">
        <v>5</v>
      </c>
      <c r="AW47" s="2" t="s">
        <v>1160</v>
      </c>
      <c r="AX47" s="2" t="s">
        <v>5</v>
      </c>
      <c r="AY47" s="2" t="s">
        <v>5</v>
      </c>
    </row>
    <row r="48" spans="1:51" ht="30" customHeight="1" x14ac:dyDescent="0.3">
      <c r="A48" s="3" t="s">
        <v>177</v>
      </c>
      <c r="B48" s="3" t="s">
        <v>1113</v>
      </c>
      <c r="C48" s="5" t="s">
        <v>12</v>
      </c>
      <c r="D48" s="10">
        <v>2</v>
      </c>
      <c r="E48" s="12">
        <v>9.3000000000000007</v>
      </c>
      <c r="F48" s="11">
        <f t="shared" si="16"/>
        <v>18.600000000000001</v>
      </c>
      <c r="G48" s="12">
        <v>0</v>
      </c>
      <c r="H48" s="11">
        <f t="shared" si="17"/>
        <v>0</v>
      </c>
      <c r="I48" s="12">
        <v>0</v>
      </c>
      <c r="J48" s="11">
        <f t="shared" si="18"/>
        <v>0</v>
      </c>
      <c r="K48" s="12">
        <f t="shared" si="19"/>
        <v>9.3000000000000007</v>
      </c>
      <c r="L48" s="11">
        <f t="shared" si="19"/>
        <v>18.600000000000001</v>
      </c>
      <c r="M48" s="3" t="s">
        <v>5</v>
      </c>
      <c r="N48" s="2" t="s">
        <v>1004</v>
      </c>
      <c r="O48" s="2" t="s">
        <v>1114</v>
      </c>
      <c r="P48" s="2" t="s">
        <v>996</v>
      </c>
      <c r="Q48" s="2" t="s">
        <v>996</v>
      </c>
      <c r="R48" s="2" t="s">
        <v>995</v>
      </c>
      <c r="AV48" s="2" t="s">
        <v>5</v>
      </c>
      <c r="AW48" s="2" t="s">
        <v>1161</v>
      </c>
      <c r="AX48" s="2" t="s">
        <v>5</v>
      </c>
      <c r="AY48" s="2" t="s">
        <v>5</v>
      </c>
    </row>
    <row r="49" spans="1:51" ht="30" customHeight="1" x14ac:dyDescent="0.3">
      <c r="A49" s="3" t="s">
        <v>333</v>
      </c>
      <c r="B49" s="3" t="s">
        <v>1162</v>
      </c>
      <c r="C49" s="5" t="s">
        <v>12</v>
      </c>
      <c r="D49" s="10">
        <v>1</v>
      </c>
      <c r="E49" s="12">
        <v>408</v>
      </c>
      <c r="F49" s="11">
        <f t="shared" si="16"/>
        <v>408</v>
      </c>
      <c r="G49" s="12">
        <v>0</v>
      </c>
      <c r="H49" s="11">
        <f t="shared" si="17"/>
        <v>0</v>
      </c>
      <c r="I49" s="12">
        <v>0</v>
      </c>
      <c r="J49" s="11">
        <f t="shared" si="18"/>
        <v>0</v>
      </c>
      <c r="K49" s="12">
        <f t="shared" si="19"/>
        <v>408</v>
      </c>
      <c r="L49" s="11">
        <f t="shared" si="19"/>
        <v>408</v>
      </c>
      <c r="M49" s="3" t="s">
        <v>5</v>
      </c>
      <c r="N49" s="2" t="s">
        <v>1004</v>
      </c>
      <c r="O49" s="2" t="s">
        <v>1163</v>
      </c>
      <c r="P49" s="2" t="s">
        <v>996</v>
      </c>
      <c r="Q49" s="2" t="s">
        <v>996</v>
      </c>
      <c r="R49" s="2" t="s">
        <v>995</v>
      </c>
      <c r="AV49" s="2" t="s">
        <v>5</v>
      </c>
      <c r="AW49" s="2" t="s">
        <v>1164</v>
      </c>
      <c r="AX49" s="2" t="s">
        <v>5</v>
      </c>
      <c r="AY49" s="2" t="s">
        <v>5</v>
      </c>
    </row>
    <row r="50" spans="1:51" ht="30" customHeight="1" x14ac:dyDescent="0.3">
      <c r="A50" s="3" t="s">
        <v>1119</v>
      </c>
      <c r="B50" s="3" t="s">
        <v>1120</v>
      </c>
      <c r="C50" s="5" t="s">
        <v>1121</v>
      </c>
      <c r="D50" s="10">
        <v>5.3999999999999999E-2</v>
      </c>
      <c r="E50" s="12">
        <v>0</v>
      </c>
      <c r="F50" s="11">
        <f t="shared" si="16"/>
        <v>0</v>
      </c>
      <c r="G50" s="8">
        <v>273676</v>
      </c>
      <c r="H50" s="11">
        <f t="shared" si="17"/>
        <v>14778.5</v>
      </c>
      <c r="I50" s="12">
        <v>0</v>
      </c>
      <c r="J50" s="11">
        <f t="shared" si="18"/>
        <v>0</v>
      </c>
      <c r="K50" s="12">
        <f t="shared" si="19"/>
        <v>273676</v>
      </c>
      <c r="L50" s="11">
        <f t="shared" si="19"/>
        <v>14778.5</v>
      </c>
      <c r="M50" s="3" t="s">
        <v>5</v>
      </c>
      <c r="N50" s="2" t="s">
        <v>1004</v>
      </c>
      <c r="O50" s="2" t="s">
        <v>1122</v>
      </c>
      <c r="P50" s="2" t="s">
        <v>996</v>
      </c>
      <c r="Q50" s="2" t="s">
        <v>996</v>
      </c>
      <c r="R50" s="2" t="s">
        <v>995</v>
      </c>
      <c r="V50" s="1">
        <v>1</v>
      </c>
      <c r="AV50" s="2" t="s">
        <v>5</v>
      </c>
      <c r="AW50" s="2" t="s">
        <v>1165</v>
      </c>
      <c r="AX50" s="2" t="s">
        <v>5</v>
      </c>
      <c r="AY50" s="2" t="s">
        <v>5</v>
      </c>
    </row>
    <row r="51" spans="1:51" ht="30" customHeight="1" x14ac:dyDescent="0.3">
      <c r="A51" s="3" t="s">
        <v>1124</v>
      </c>
      <c r="B51" s="3" t="s">
        <v>1125</v>
      </c>
      <c r="C51" s="5" t="s">
        <v>340</v>
      </c>
      <c r="D51" s="10">
        <v>1</v>
      </c>
      <c r="E51" s="12">
        <f>TRUNC(SUMIF(V45:V51, RIGHTB(O51, 1), H45:H51)*U51, 2)</f>
        <v>443.35</v>
      </c>
      <c r="F51" s="11">
        <f t="shared" si="16"/>
        <v>443.3</v>
      </c>
      <c r="G51" s="12">
        <v>0</v>
      </c>
      <c r="H51" s="11">
        <f t="shared" si="17"/>
        <v>0</v>
      </c>
      <c r="I51" s="12">
        <v>0</v>
      </c>
      <c r="J51" s="11">
        <f t="shared" si="18"/>
        <v>0</v>
      </c>
      <c r="K51" s="12">
        <f t="shared" si="19"/>
        <v>443.3</v>
      </c>
      <c r="L51" s="11">
        <f t="shared" si="19"/>
        <v>443.3</v>
      </c>
      <c r="M51" s="3" t="s">
        <v>5</v>
      </c>
      <c r="N51" s="2" t="s">
        <v>1004</v>
      </c>
      <c r="O51" s="2" t="s">
        <v>1126</v>
      </c>
      <c r="P51" s="2" t="s">
        <v>996</v>
      </c>
      <c r="Q51" s="2" t="s">
        <v>996</v>
      </c>
      <c r="R51" s="2" t="s">
        <v>996</v>
      </c>
      <c r="S51" s="1">
        <v>1</v>
      </c>
      <c r="T51" s="1">
        <v>0</v>
      </c>
      <c r="U51" s="1">
        <v>0.03</v>
      </c>
      <c r="AV51" s="2" t="s">
        <v>5</v>
      </c>
      <c r="AW51" s="2" t="s">
        <v>1166</v>
      </c>
      <c r="AX51" s="2" t="s">
        <v>5</v>
      </c>
      <c r="AY51" s="2" t="s">
        <v>5</v>
      </c>
    </row>
    <row r="52" spans="1:51" ht="30" customHeight="1" x14ac:dyDescent="0.3">
      <c r="A52" s="3" t="s">
        <v>1128</v>
      </c>
      <c r="B52" s="3" t="s">
        <v>5</v>
      </c>
      <c r="C52" s="5" t="s">
        <v>5</v>
      </c>
      <c r="D52" s="10"/>
      <c r="E52" s="12"/>
      <c r="F52" s="11">
        <f>TRUNC(SUMIF(N45:N51, N44, F45:F51),0)</f>
        <v>2461</v>
      </c>
      <c r="G52" s="12"/>
      <c r="H52" s="11">
        <f>TRUNC(SUMIF(N45:N51, N44, H45:H51),0)</f>
        <v>14778</v>
      </c>
      <c r="I52" s="12"/>
      <c r="J52" s="11">
        <f>TRUNC(SUMIF(N45:N51, N44, J45:J51),0)</f>
        <v>0</v>
      </c>
      <c r="K52" s="12"/>
      <c r="L52" s="11">
        <f>F52+H52+J52</f>
        <v>17239</v>
      </c>
      <c r="M52" s="3" t="s">
        <v>5</v>
      </c>
      <c r="N52" s="2" t="s">
        <v>1053</v>
      </c>
      <c r="O52" s="2" t="s">
        <v>1053</v>
      </c>
      <c r="P52" s="2" t="s">
        <v>5</v>
      </c>
      <c r="Q52" s="2" t="s">
        <v>5</v>
      </c>
      <c r="R52" s="2" t="s">
        <v>5</v>
      </c>
      <c r="AV52" s="2" t="s">
        <v>5</v>
      </c>
      <c r="AW52" s="2" t="s">
        <v>5</v>
      </c>
      <c r="AX52" s="2" t="s">
        <v>5</v>
      </c>
      <c r="AY52" s="2" t="s">
        <v>5</v>
      </c>
    </row>
    <row r="53" spans="1:51" ht="30" customHeight="1" x14ac:dyDescent="0.3">
      <c r="A53" s="10"/>
      <c r="B53" s="10"/>
      <c r="C53" s="9"/>
      <c r="D53" s="10"/>
      <c r="E53" s="12"/>
      <c r="F53" s="11"/>
      <c r="G53" s="12"/>
      <c r="H53" s="11"/>
      <c r="I53" s="12"/>
      <c r="J53" s="11"/>
      <c r="K53" s="12"/>
      <c r="L53" s="11"/>
      <c r="M53" s="10"/>
    </row>
    <row r="54" spans="1:51" ht="30" customHeight="1" x14ac:dyDescent="0.3">
      <c r="A54" s="216" t="s">
        <v>1167</v>
      </c>
      <c r="B54" s="216"/>
      <c r="C54" s="216"/>
      <c r="D54" s="216"/>
      <c r="E54" s="217"/>
      <c r="F54" s="218"/>
      <c r="G54" s="217"/>
      <c r="H54" s="218"/>
      <c r="I54" s="217"/>
      <c r="J54" s="218"/>
      <c r="K54" s="217"/>
      <c r="L54" s="218"/>
      <c r="M54" s="216"/>
      <c r="N54" s="2" t="s">
        <v>1006</v>
      </c>
    </row>
    <row r="55" spans="1:51" ht="30" customHeight="1" x14ac:dyDescent="0.3">
      <c r="A55" s="3" t="s">
        <v>173</v>
      </c>
      <c r="B55" s="3" t="s">
        <v>1105</v>
      </c>
      <c r="C55" s="5" t="s">
        <v>12</v>
      </c>
      <c r="D55" s="10">
        <v>1</v>
      </c>
      <c r="E55" s="12">
        <v>1450</v>
      </c>
      <c r="F55" s="11">
        <f t="shared" ref="F55:F61" si="20">TRUNC(E55*D55,1)</f>
        <v>1450</v>
      </c>
      <c r="G55" s="12">
        <v>0</v>
      </c>
      <c r="H55" s="11">
        <f t="shared" ref="H55:H61" si="21">TRUNC(G55*D55,1)</f>
        <v>0</v>
      </c>
      <c r="I55" s="12">
        <v>0</v>
      </c>
      <c r="J55" s="11">
        <f t="shared" ref="J55:J61" si="22">TRUNC(I55*D55,1)</f>
        <v>0</v>
      </c>
      <c r="K55" s="12">
        <f t="shared" ref="K55:L61" si="23">TRUNC(E55+G55+I55,1)</f>
        <v>1450</v>
      </c>
      <c r="L55" s="11">
        <f t="shared" si="23"/>
        <v>1450</v>
      </c>
      <c r="M55" s="3" t="s">
        <v>5</v>
      </c>
      <c r="N55" s="2" t="s">
        <v>1006</v>
      </c>
      <c r="O55" s="2" t="s">
        <v>1106</v>
      </c>
      <c r="P55" s="2" t="s">
        <v>996</v>
      </c>
      <c r="Q55" s="2" t="s">
        <v>996</v>
      </c>
      <c r="R55" s="2" t="s">
        <v>995</v>
      </c>
      <c r="AV55" s="2" t="s">
        <v>5</v>
      </c>
      <c r="AW55" s="2" t="s">
        <v>1168</v>
      </c>
      <c r="AX55" s="2" t="s">
        <v>5</v>
      </c>
      <c r="AY55" s="2" t="s">
        <v>5</v>
      </c>
    </row>
    <row r="56" spans="1:51" ht="30" customHeight="1" x14ac:dyDescent="0.3">
      <c r="A56" s="3" t="s">
        <v>1108</v>
      </c>
      <c r="B56" s="3" t="s">
        <v>180</v>
      </c>
      <c r="C56" s="5" t="s">
        <v>12</v>
      </c>
      <c r="D56" s="10">
        <v>1</v>
      </c>
      <c r="E56" s="12">
        <v>100</v>
      </c>
      <c r="F56" s="11">
        <f t="shared" si="20"/>
        <v>100</v>
      </c>
      <c r="G56" s="12">
        <v>0</v>
      </c>
      <c r="H56" s="11">
        <f t="shared" si="21"/>
        <v>0</v>
      </c>
      <c r="I56" s="12">
        <v>0</v>
      </c>
      <c r="J56" s="11">
        <f t="shared" si="22"/>
        <v>0</v>
      </c>
      <c r="K56" s="12">
        <f t="shared" si="23"/>
        <v>100</v>
      </c>
      <c r="L56" s="11">
        <f t="shared" si="23"/>
        <v>100</v>
      </c>
      <c r="M56" s="3" t="s">
        <v>5</v>
      </c>
      <c r="N56" s="2" t="s">
        <v>1006</v>
      </c>
      <c r="O56" s="2" t="s">
        <v>1109</v>
      </c>
      <c r="P56" s="2" t="s">
        <v>996</v>
      </c>
      <c r="Q56" s="2" t="s">
        <v>996</v>
      </c>
      <c r="R56" s="2" t="s">
        <v>995</v>
      </c>
      <c r="AV56" s="2" t="s">
        <v>5</v>
      </c>
      <c r="AW56" s="2" t="s">
        <v>1169</v>
      </c>
      <c r="AX56" s="2" t="s">
        <v>5</v>
      </c>
      <c r="AY56" s="2" t="s">
        <v>5</v>
      </c>
    </row>
    <row r="57" spans="1:51" ht="30" customHeight="1" x14ac:dyDescent="0.3">
      <c r="A57" s="3" t="s">
        <v>174</v>
      </c>
      <c r="B57" s="3" t="s">
        <v>175</v>
      </c>
      <c r="C57" s="5" t="s">
        <v>12</v>
      </c>
      <c r="D57" s="10">
        <v>2</v>
      </c>
      <c r="E57" s="199">
        <v>21</v>
      </c>
      <c r="F57" s="11">
        <f t="shared" si="20"/>
        <v>42</v>
      </c>
      <c r="G57" s="12">
        <v>0</v>
      </c>
      <c r="H57" s="11">
        <f t="shared" si="21"/>
        <v>0</v>
      </c>
      <c r="I57" s="12">
        <v>0</v>
      </c>
      <c r="J57" s="11">
        <f t="shared" si="22"/>
        <v>0</v>
      </c>
      <c r="K57" s="12">
        <f t="shared" si="23"/>
        <v>21</v>
      </c>
      <c r="L57" s="11">
        <f t="shared" si="23"/>
        <v>42</v>
      </c>
      <c r="M57" s="3" t="s">
        <v>5</v>
      </c>
      <c r="N57" s="2" t="s">
        <v>1006</v>
      </c>
      <c r="O57" s="2" t="s">
        <v>1111</v>
      </c>
      <c r="P57" s="2" t="s">
        <v>996</v>
      </c>
      <c r="Q57" s="2" t="s">
        <v>996</v>
      </c>
      <c r="R57" s="2" t="s">
        <v>995</v>
      </c>
      <c r="AV57" s="2" t="s">
        <v>5</v>
      </c>
      <c r="AW57" s="2" t="s">
        <v>1170</v>
      </c>
      <c r="AX57" s="2" t="s">
        <v>5</v>
      </c>
      <c r="AY57" s="2" t="s">
        <v>5</v>
      </c>
    </row>
    <row r="58" spans="1:51" ht="30" customHeight="1" x14ac:dyDescent="0.3">
      <c r="A58" s="3" t="s">
        <v>177</v>
      </c>
      <c r="B58" s="3" t="s">
        <v>1113</v>
      </c>
      <c r="C58" s="5" t="s">
        <v>12</v>
      </c>
      <c r="D58" s="10">
        <v>2</v>
      </c>
      <c r="E58" s="12">
        <v>9.3000000000000007</v>
      </c>
      <c r="F58" s="11">
        <f t="shared" si="20"/>
        <v>18.600000000000001</v>
      </c>
      <c r="G58" s="12">
        <v>0</v>
      </c>
      <c r="H58" s="11">
        <f t="shared" si="21"/>
        <v>0</v>
      </c>
      <c r="I58" s="12">
        <v>0</v>
      </c>
      <c r="J58" s="11">
        <f t="shared" si="22"/>
        <v>0</v>
      </c>
      <c r="K58" s="12">
        <f t="shared" si="23"/>
        <v>9.3000000000000007</v>
      </c>
      <c r="L58" s="11">
        <f t="shared" si="23"/>
        <v>18.600000000000001</v>
      </c>
      <c r="M58" s="3" t="s">
        <v>5</v>
      </c>
      <c r="N58" s="2" t="s">
        <v>1006</v>
      </c>
      <c r="O58" s="2" t="s">
        <v>1114</v>
      </c>
      <c r="P58" s="2" t="s">
        <v>996</v>
      </c>
      <c r="Q58" s="2" t="s">
        <v>996</v>
      </c>
      <c r="R58" s="2" t="s">
        <v>995</v>
      </c>
      <c r="AV58" s="2" t="s">
        <v>5</v>
      </c>
      <c r="AW58" s="2" t="s">
        <v>1171</v>
      </c>
      <c r="AX58" s="2" t="s">
        <v>5</v>
      </c>
      <c r="AY58" s="2" t="s">
        <v>5</v>
      </c>
    </row>
    <row r="59" spans="1:51" ht="30" customHeight="1" x14ac:dyDescent="0.3">
      <c r="A59" s="3" t="s">
        <v>333</v>
      </c>
      <c r="B59" s="3" t="s">
        <v>1172</v>
      </c>
      <c r="C59" s="5" t="s">
        <v>12</v>
      </c>
      <c r="D59" s="10">
        <v>1</v>
      </c>
      <c r="E59" s="12">
        <v>592</v>
      </c>
      <c r="F59" s="11">
        <f t="shared" si="20"/>
        <v>592</v>
      </c>
      <c r="G59" s="12">
        <v>0</v>
      </c>
      <c r="H59" s="11">
        <f t="shared" si="21"/>
        <v>0</v>
      </c>
      <c r="I59" s="12">
        <v>0</v>
      </c>
      <c r="J59" s="11">
        <f t="shared" si="22"/>
        <v>0</v>
      </c>
      <c r="K59" s="12">
        <f t="shared" si="23"/>
        <v>592</v>
      </c>
      <c r="L59" s="11">
        <f t="shared" si="23"/>
        <v>592</v>
      </c>
      <c r="M59" s="3" t="s">
        <v>5</v>
      </c>
      <c r="N59" s="2" t="s">
        <v>1006</v>
      </c>
      <c r="O59" s="2" t="s">
        <v>1173</v>
      </c>
      <c r="P59" s="2" t="s">
        <v>996</v>
      </c>
      <c r="Q59" s="2" t="s">
        <v>996</v>
      </c>
      <c r="R59" s="2" t="s">
        <v>995</v>
      </c>
      <c r="AV59" s="2" t="s">
        <v>5</v>
      </c>
      <c r="AW59" s="2" t="s">
        <v>1174</v>
      </c>
      <c r="AX59" s="2" t="s">
        <v>5</v>
      </c>
      <c r="AY59" s="2" t="s">
        <v>5</v>
      </c>
    </row>
    <row r="60" spans="1:51" ht="30" customHeight="1" x14ac:dyDescent="0.3">
      <c r="A60" s="3" t="s">
        <v>1119</v>
      </c>
      <c r="B60" s="3" t="s">
        <v>1120</v>
      </c>
      <c r="C60" s="5" t="s">
        <v>1121</v>
      </c>
      <c r="D60" s="10">
        <v>5.3999999999999999E-2</v>
      </c>
      <c r="E60" s="12">
        <v>0</v>
      </c>
      <c r="F60" s="11">
        <f t="shared" si="20"/>
        <v>0</v>
      </c>
      <c r="G60" s="8">
        <v>273676</v>
      </c>
      <c r="H60" s="11">
        <f t="shared" si="21"/>
        <v>14778.5</v>
      </c>
      <c r="I60" s="12">
        <v>0</v>
      </c>
      <c r="J60" s="11">
        <f t="shared" si="22"/>
        <v>0</v>
      </c>
      <c r="K60" s="12">
        <f t="shared" si="23"/>
        <v>273676</v>
      </c>
      <c r="L60" s="11">
        <f t="shared" si="23"/>
        <v>14778.5</v>
      </c>
      <c r="M60" s="3" t="s">
        <v>5</v>
      </c>
      <c r="N60" s="2" t="s">
        <v>1006</v>
      </c>
      <c r="O60" s="2" t="s">
        <v>1122</v>
      </c>
      <c r="P60" s="2" t="s">
        <v>996</v>
      </c>
      <c r="Q60" s="2" t="s">
        <v>996</v>
      </c>
      <c r="R60" s="2" t="s">
        <v>995</v>
      </c>
      <c r="V60" s="1">
        <v>1</v>
      </c>
      <c r="AV60" s="2" t="s">
        <v>5</v>
      </c>
      <c r="AW60" s="2" t="s">
        <v>1175</v>
      </c>
      <c r="AX60" s="2" t="s">
        <v>5</v>
      </c>
      <c r="AY60" s="2" t="s">
        <v>5</v>
      </c>
    </row>
    <row r="61" spans="1:51" ht="30" customHeight="1" x14ac:dyDescent="0.3">
      <c r="A61" s="3" t="s">
        <v>1124</v>
      </c>
      <c r="B61" s="3" t="s">
        <v>1125</v>
      </c>
      <c r="C61" s="5" t="s">
        <v>340</v>
      </c>
      <c r="D61" s="10">
        <v>1</v>
      </c>
      <c r="E61" s="12">
        <f>TRUNC(SUMIF(V55:V61, RIGHTB(O61, 1), H55:H61)*U61, 2)</f>
        <v>443.35</v>
      </c>
      <c r="F61" s="11">
        <f t="shared" si="20"/>
        <v>443.3</v>
      </c>
      <c r="G61" s="12">
        <v>0</v>
      </c>
      <c r="H61" s="11">
        <f t="shared" si="21"/>
        <v>0</v>
      </c>
      <c r="I61" s="12">
        <v>0</v>
      </c>
      <c r="J61" s="11">
        <f t="shared" si="22"/>
        <v>0</v>
      </c>
      <c r="K61" s="12">
        <f t="shared" si="23"/>
        <v>443.3</v>
      </c>
      <c r="L61" s="11">
        <f t="shared" si="23"/>
        <v>443.3</v>
      </c>
      <c r="M61" s="3" t="s">
        <v>5</v>
      </c>
      <c r="N61" s="2" t="s">
        <v>1006</v>
      </c>
      <c r="O61" s="2" t="s">
        <v>1126</v>
      </c>
      <c r="P61" s="2" t="s">
        <v>996</v>
      </c>
      <c r="Q61" s="2" t="s">
        <v>996</v>
      </c>
      <c r="R61" s="2" t="s">
        <v>996</v>
      </c>
      <c r="S61" s="1">
        <v>1</v>
      </c>
      <c r="T61" s="1">
        <v>0</v>
      </c>
      <c r="U61" s="1">
        <v>0.03</v>
      </c>
      <c r="AV61" s="2" t="s">
        <v>5</v>
      </c>
      <c r="AW61" s="2" t="s">
        <v>1176</v>
      </c>
      <c r="AX61" s="2" t="s">
        <v>5</v>
      </c>
      <c r="AY61" s="2" t="s">
        <v>5</v>
      </c>
    </row>
    <row r="62" spans="1:51" ht="30" customHeight="1" x14ac:dyDescent="0.3">
      <c r="A62" s="3" t="s">
        <v>1128</v>
      </c>
      <c r="B62" s="3" t="s">
        <v>5</v>
      </c>
      <c r="C62" s="5" t="s">
        <v>5</v>
      </c>
      <c r="D62" s="10"/>
      <c r="E62" s="12"/>
      <c r="F62" s="11">
        <f>TRUNC(SUMIF(N55:N61, N54, F55:F61),0)</f>
        <v>2645</v>
      </c>
      <c r="G62" s="12"/>
      <c r="H62" s="11">
        <f>TRUNC(SUMIF(N55:N61, N54, H55:H61),0)</f>
        <v>14778</v>
      </c>
      <c r="I62" s="12"/>
      <c r="J62" s="11">
        <f>TRUNC(SUMIF(N55:N61, N54, J55:J61),0)</f>
        <v>0</v>
      </c>
      <c r="K62" s="12"/>
      <c r="L62" s="11">
        <f>F62+H62+J62</f>
        <v>17423</v>
      </c>
      <c r="M62" s="3" t="s">
        <v>5</v>
      </c>
      <c r="N62" s="2" t="s">
        <v>1053</v>
      </c>
      <c r="O62" s="2" t="s">
        <v>1053</v>
      </c>
      <c r="P62" s="2" t="s">
        <v>5</v>
      </c>
      <c r="Q62" s="2" t="s">
        <v>5</v>
      </c>
      <c r="R62" s="2" t="s">
        <v>5</v>
      </c>
      <c r="AV62" s="2" t="s">
        <v>5</v>
      </c>
      <c r="AW62" s="2" t="s">
        <v>5</v>
      </c>
      <c r="AX62" s="2" t="s">
        <v>5</v>
      </c>
      <c r="AY62" s="2" t="s">
        <v>5</v>
      </c>
    </row>
    <row r="63" spans="1:51" ht="30" customHeight="1" x14ac:dyDescent="0.3">
      <c r="A63" s="10"/>
      <c r="B63" s="10"/>
      <c r="C63" s="9"/>
      <c r="D63" s="10"/>
      <c r="E63" s="12"/>
      <c r="F63" s="11"/>
      <c r="G63" s="12"/>
      <c r="H63" s="11"/>
      <c r="I63" s="12"/>
      <c r="J63" s="11"/>
      <c r="K63" s="12"/>
      <c r="L63" s="11"/>
      <c r="M63" s="10"/>
    </row>
    <row r="64" spans="1:51" ht="30" customHeight="1" x14ac:dyDescent="0.3">
      <c r="A64" s="216" t="s">
        <v>1177</v>
      </c>
      <c r="B64" s="216"/>
      <c r="C64" s="216"/>
      <c r="D64" s="216"/>
      <c r="E64" s="217"/>
      <c r="F64" s="218"/>
      <c r="G64" s="217"/>
      <c r="H64" s="218"/>
      <c r="I64" s="217"/>
      <c r="J64" s="218"/>
      <c r="K64" s="217"/>
      <c r="L64" s="218"/>
      <c r="M64" s="216"/>
      <c r="N64" s="2" t="s">
        <v>1008</v>
      </c>
    </row>
    <row r="65" spans="1:51" ht="30" customHeight="1" x14ac:dyDescent="0.3">
      <c r="A65" s="3" t="s">
        <v>173</v>
      </c>
      <c r="B65" s="3" t="s">
        <v>1105</v>
      </c>
      <c r="C65" s="5" t="s">
        <v>12</v>
      </c>
      <c r="D65" s="10">
        <v>1</v>
      </c>
      <c r="E65" s="12">
        <v>1450</v>
      </c>
      <c r="F65" s="11">
        <f t="shared" ref="F65:F71" si="24">TRUNC(E65*D65,1)</f>
        <v>1450</v>
      </c>
      <c r="G65" s="12">
        <v>0</v>
      </c>
      <c r="H65" s="11">
        <f t="shared" ref="H65:H71" si="25">TRUNC(G65*D65,1)</f>
        <v>0</v>
      </c>
      <c r="I65" s="12">
        <v>0</v>
      </c>
      <c r="J65" s="11">
        <f t="shared" ref="J65:J71" si="26">TRUNC(I65*D65,1)</f>
        <v>0</v>
      </c>
      <c r="K65" s="12">
        <f t="shared" ref="K65:L71" si="27">TRUNC(E65+G65+I65,1)</f>
        <v>1450</v>
      </c>
      <c r="L65" s="11">
        <f t="shared" si="27"/>
        <v>1450</v>
      </c>
      <c r="M65" s="3" t="s">
        <v>5</v>
      </c>
      <c r="N65" s="2" t="s">
        <v>1008</v>
      </c>
      <c r="O65" s="2" t="s">
        <v>1106</v>
      </c>
      <c r="P65" s="2" t="s">
        <v>996</v>
      </c>
      <c r="Q65" s="2" t="s">
        <v>996</v>
      </c>
      <c r="R65" s="2" t="s">
        <v>995</v>
      </c>
      <c r="AV65" s="2" t="s">
        <v>5</v>
      </c>
      <c r="AW65" s="2" t="s">
        <v>1178</v>
      </c>
      <c r="AX65" s="2" t="s">
        <v>5</v>
      </c>
      <c r="AY65" s="2" t="s">
        <v>5</v>
      </c>
    </row>
    <row r="66" spans="1:51" ht="30" customHeight="1" x14ac:dyDescent="0.3">
      <c r="A66" s="3" t="s">
        <v>1108</v>
      </c>
      <c r="B66" s="3" t="s">
        <v>180</v>
      </c>
      <c r="C66" s="5" t="s">
        <v>12</v>
      </c>
      <c r="D66" s="10">
        <v>1</v>
      </c>
      <c r="E66" s="12">
        <v>100</v>
      </c>
      <c r="F66" s="11">
        <f t="shared" si="24"/>
        <v>100</v>
      </c>
      <c r="G66" s="12">
        <v>0</v>
      </c>
      <c r="H66" s="11">
        <f t="shared" si="25"/>
        <v>0</v>
      </c>
      <c r="I66" s="12">
        <v>0</v>
      </c>
      <c r="J66" s="11">
        <f t="shared" si="26"/>
        <v>0</v>
      </c>
      <c r="K66" s="12">
        <f t="shared" si="27"/>
        <v>100</v>
      </c>
      <c r="L66" s="11">
        <f t="shared" si="27"/>
        <v>100</v>
      </c>
      <c r="M66" s="3" t="s">
        <v>5</v>
      </c>
      <c r="N66" s="2" t="s">
        <v>1008</v>
      </c>
      <c r="O66" s="2" t="s">
        <v>1109</v>
      </c>
      <c r="P66" s="2" t="s">
        <v>996</v>
      </c>
      <c r="Q66" s="2" t="s">
        <v>996</v>
      </c>
      <c r="R66" s="2" t="s">
        <v>995</v>
      </c>
      <c r="AV66" s="2" t="s">
        <v>5</v>
      </c>
      <c r="AW66" s="2" t="s">
        <v>1179</v>
      </c>
      <c r="AX66" s="2" t="s">
        <v>5</v>
      </c>
      <c r="AY66" s="2" t="s">
        <v>5</v>
      </c>
    </row>
    <row r="67" spans="1:51" ht="30" customHeight="1" x14ac:dyDescent="0.3">
      <c r="A67" s="3" t="s">
        <v>174</v>
      </c>
      <c r="B67" s="3" t="s">
        <v>175</v>
      </c>
      <c r="C67" s="5" t="s">
        <v>12</v>
      </c>
      <c r="D67" s="10">
        <v>2</v>
      </c>
      <c r="E67" s="199">
        <v>21</v>
      </c>
      <c r="F67" s="11">
        <f t="shared" si="24"/>
        <v>42</v>
      </c>
      <c r="G67" s="12">
        <v>0</v>
      </c>
      <c r="H67" s="11">
        <f t="shared" si="25"/>
        <v>0</v>
      </c>
      <c r="I67" s="12">
        <v>0</v>
      </c>
      <c r="J67" s="11">
        <f t="shared" si="26"/>
        <v>0</v>
      </c>
      <c r="K67" s="12">
        <f t="shared" si="27"/>
        <v>21</v>
      </c>
      <c r="L67" s="11">
        <f t="shared" si="27"/>
        <v>42</v>
      </c>
      <c r="M67" s="3" t="s">
        <v>5</v>
      </c>
      <c r="N67" s="2" t="s">
        <v>1008</v>
      </c>
      <c r="O67" s="2" t="s">
        <v>1111</v>
      </c>
      <c r="P67" s="2" t="s">
        <v>996</v>
      </c>
      <c r="Q67" s="2" t="s">
        <v>996</v>
      </c>
      <c r="R67" s="2" t="s">
        <v>995</v>
      </c>
      <c r="AV67" s="2" t="s">
        <v>5</v>
      </c>
      <c r="AW67" s="2" t="s">
        <v>1180</v>
      </c>
      <c r="AX67" s="2" t="s">
        <v>5</v>
      </c>
      <c r="AY67" s="2" t="s">
        <v>5</v>
      </c>
    </row>
    <row r="68" spans="1:51" ht="30" customHeight="1" x14ac:dyDescent="0.3">
      <c r="A68" s="3" t="s">
        <v>177</v>
      </c>
      <c r="B68" s="3" t="s">
        <v>1113</v>
      </c>
      <c r="C68" s="5" t="s">
        <v>12</v>
      </c>
      <c r="D68" s="10">
        <v>2</v>
      </c>
      <c r="E68" s="12">
        <v>9.3000000000000007</v>
      </c>
      <c r="F68" s="11">
        <f t="shared" si="24"/>
        <v>18.600000000000001</v>
      </c>
      <c r="G68" s="12">
        <v>0</v>
      </c>
      <c r="H68" s="11">
        <f t="shared" si="25"/>
        <v>0</v>
      </c>
      <c r="I68" s="12">
        <v>0</v>
      </c>
      <c r="J68" s="11">
        <f t="shared" si="26"/>
        <v>0</v>
      </c>
      <c r="K68" s="12">
        <f t="shared" si="27"/>
        <v>9.3000000000000007</v>
      </c>
      <c r="L68" s="11">
        <f t="shared" si="27"/>
        <v>18.600000000000001</v>
      </c>
      <c r="M68" s="3" t="s">
        <v>5</v>
      </c>
      <c r="N68" s="2" t="s">
        <v>1008</v>
      </c>
      <c r="O68" s="2" t="s">
        <v>1114</v>
      </c>
      <c r="P68" s="2" t="s">
        <v>996</v>
      </c>
      <c r="Q68" s="2" t="s">
        <v>996</v>
      </c>
      <c r="R68" s="2" t="s">
        <v>995</v>
      </c>
      <c r="AV68" s="2" t="s">
        <v>5</v>
      </c>
      <c r="AW68" s="2" t="s">
        <v>1181</v>
      </c>
      <c r="AX68" s="2" t="s">
        <v>5</v>
      </c>
      <c r="AY68" s="2" t="s">
        <v>5</v>
      </c>
    </row>
    <row r="69" spans="1:51" ht="30" customHeight="1" x14ac:dyDescent="0.3">
      <c r="A69" s="3" t="s">
        <v>333</v>
      </c>
      <c r="B69" s="3" t="s">
        <v>1182</v>
      </c>
      <c r="C69" s="5" t="s">
        <v>12</v>
      </c>
      <c r="D69" s="10">
        <v>1</v>
      </c>
      <c r="E69" s="12">
        <v>640</v>
      </c>
      <c r="F69" s="11">
        <f t="shared" si="24"/>
        <v>640</v>
      </c>
      <c r="G69" s="12">
        <v>0</v>
      </c>
      <c r="H69" s="11">
        <f t="shared" si="25"/>
        <v>0</v>
      </c>
      <c r="I69" s="12">
        <v>0</v>
      </c>
      <c r="J69" s="11">
        <f t="shared" si="26"/>
        <v>0</v>
      </c>
      <c r="K69" s="12">
        <f t="shared" si="27"/>
        <v>640</v>
      </c>
      <c r="L69" s="11">
        <f t="shared" si="27"/>
        <v>640</v>
      </c>
      <c r="M69" s="3" t="s">
        <v>5</v>
      </c>
      <c r="N69" s="2" t="s">
        <v>1008</v>
      </c>
      <c r="O69" s="2" t="s">
        <v>1183</v>
      </c>
      <c r="P69" s="2" t="s">
        <v>996</v>
      </c>
      <c r="Q69" s="2" t="s">
        <v>996</v>
      </c>
      <c r="R69" s="2" t="s">
        <v>995</v>
      </c>
      <c r="AV69" s="2" t="s">
        <v>5</v>
      </c>
      <c r="AW69" s="2" t="s">
        <v>1184</v>
      </c>
      <c r="AX69" s="2" t="s">
        <v>5</v>
      </c>
      <c r="AY69" s="2" t="s">
        <v>5</v>
      </c>
    </row>
    <row r="70" spans="1:51" ht="30" customHeight="1" x14ac:dyDescent="0.3">
      <c r="A70" s="3" t="s">
        <v>1119</v>
      </c>
      <c r="B70" s="3" t="s">
        <v>1120</v>
      </c>
      <c r="C70" s="5" t="s">
        <v>1121</v>
      </c>
      <c r="D70" s="10">
        <v>5.3999999999999999E-2</v>
      </c>
      <c r="E70" s="12">
        <v>0</v>
      </c>
      <c r="F70" s="11">
        <f t="shared" si="24"/>
        <v>0</v>
      </c>
      <c r="G70" s="8">
        <v>273676</v>
      </c>
      <c r="H70" s="11">
        <f t="shared" si="25"/>
        <v>14778.5</v>
      </c>
      <c r="I70" s="12">
        <v>0</v>
      </c>
      <c r="J70" s="11">
        <f t="shared" si="26"/>
        <v>0</v>
      </c>
      <c r="K70" s="12">
        <f t="shared" si="27"/>
        <v>273676</v>
      </c>
      <c r="L70" s="11">
        <f t="shared" si="27"/>
        <v>14778.5</v>
      </c>
      <c r="M70" s="3" t="s">
        <v>5</v>
      </c>
      <c r="N70" s="2" t="s">
        <v>1008</v>
      </c>
      <c r="O70" s="2" t="s">
        <v>1122</v>
      </c>
      <c r="P70" s="2" t="s">
        <v>996</v>
      </c>
      <c r="Q70" s="2" t="s">
        <v>996</v>
      </c>
      <c r="R70" s="2" t="s">
        <v>995</v>
      </c>
      <c r="V70" s="1">
        <v>1</v>
      </c>
      <c r="AV70" s="2" t="s">
        <v>5</v>
      </c>
      <c r="AW70" s="2" t="s">
        <v>1185</v>
      </c>
      <c r="AX70" s="2" t="s">
        <v>5</v>
      </c>
      <c r="AY70" s="2" t="s">
        <v>5</v>
      </c>
    </row>
    <row r="71" spans="1:51" ht="30" customHeight="1" x14ac:dyDescent="0.3">
      <c r="A71" s="3" t="s">
        <v>1124</v>
      </c>
      <c r="B71" s="3" t="s">
        <v>1125</v>
      </c>
      <c r="C71" s="5" t="s">
        <v>340</v>
      </c>
      <c r="D71" s="10">
        <v>1</v>
      </c>
      <c r="E71" s="12">
        <f>TRUNC(SUMIF(V65:V71, RIGHTB(O71, 1), H65:H71)*U71, 2)</f>
        <v>443.35</v>
      </c>
      <c r="F71" s="11">
        <f t="shared" si="24"/>
        <v>443.3</v>
      </c>
      <c r="G71" s="12">
        <v>0</v>
      </c>
      <c r="H71" s="11">
        <f t="shared" si="25"/>
        <v>0</v>
      </c>
      <c r="I71" s="12">
        <v>0</v>
      </c>
      <c r="J71" s="11">
        <f t="shared" si="26"/>
        <v>0</v>
      </c>
      <c r="K71" s="12">
        <f t="shared" si="27"/>
        <v>443.3</v>
      </c>
      <c r="L71" s="11">
        <f t="shared" si="27"/>
        <v>443.3</v>
      </c>
      <c r="M71" s="3" t="s">
        <v>5</v>
      </c>
      <c r="N71" s="2" t="s">
        <v>1008</v>
      </c>
      <c r="O71" s="2" t="s">
        <v>1126</v>
      </c>
      <c r="P71" s="2" t="s">
        <v>996</v>
      </c>
      <c r="Q71" s="2" t="s">
        <v>996</v>
      </c>
      <c r="R71" s="2" t="s">
        <v>996</v>
      </c>
      <c r="S71" s="1">
        <v>1</v>
      </c>
      <c r="T71" s="1">
        <v>0</v>
      </c>
      <c r="U71" s="1">
        <v>0.03</v>
      </c>
      <c r="AV71" s="2" t="s">
        <v>5</v>
      </c>
      <c r="AW71" s="2" t="s">
        <v>1186</v>
      </c>
      <c r="AX71" s="2" t="s">
        <v>5</v>
      </c>
      <c r="AY71" s="2" t="s">
        <v>5</v>
      </c>
    </row>
    <row r="72" spans="1:51" ht="30" customHeight="1" x14ac:dyDescent="0.3">
      <c r="A72" s="3" t="s">
        <v>1128</v>
      </c>
      <c r="B72" s="3" t="s">
        <v>5</v>
      </c>
      <c r="C72" s="5" t="s">
        <v>5</v>
      </c>
      <c r="D72" s="10"/>
      <c r="E72" s="12"/>
      <c r="F72" s="11">
        <f>TRUNC(SUMIF(N65:N71, N64, F65:F71),0)</f>
        <v>2693</v>
      </c>
      <c r="G72" s="12"/>
      <c r="H72" s="11">
        <f>TRUNC(SUMIF(N65:N71, N64, H65:H71),0)</f>
        <v>14778</v>
      </c>
      <c r="I72" s="12"/>
      <c r="J72" s="11">
        <f>TRUNC(SUMIF(N65:N71, N64, J65:J71),0)</f>
        <v>0</v>
      </c>
      <c r="K72" s="12"/>
      <c r="L72" s="11">
        <f>F72+H72+J72</f>
        <v>17471</v>
      </c>
      <c r="M72" s="3" t="s">
        <v>5</v>
      </c>
      <c r="N72" s="2" t="s">
        <v>1053</v>
      </c>
      <c r="O72" s="2" t="s">
        <v>1053</v>
      </c>
      <c r="P72" s="2" t="s">
        <v>5</v>
      </c>
      <c r="Q72" s="2" t="s">
        <v>5</v>
      </c>
      <c r="R72" s="2" t="s">
        <v>5</v>
      </c>
      <c r="AV72" s="2" t="s">
        <v>5</v>
      </c>
      <c r="AW72" s="2" t="s">
        <v>5</v>
      </c>
      <c r="AX72" s="2" t="s">
        <v>5</v>
      </c>
      <c r="AY72" s="2" t="s">
        <v>5</v>
      </c>
    </row>
    <row r="73" spans="1:51" ht="30" customHeight="1" x14ac:dyDescent="0.3">
      <c r="A73" s="10"/>
      <c r="B73" s="10"/>
      <c r="C73" s="9"/>
      <c r="D73" s="10"/>
      <c r="E73" s="12"/>
      <c r="F73" s="11"/>
      <c r="G73" s="12"/>
      <c r="H73" s="11"/>
      <c r="I73" s="12"/>
      <c r="J73" s="11"/>
      <c r="K73" s="12"/>
      <c r="L73" s="11"/>
      <c r="M73" s="10"/>
    </row>
    <row r="74" spans="1:51" ht="30" customHeight="1" x14ac:dyDescent="0.3">
      <c r="A74" s="216" t="s">
        <v>1187</v>
      </c>
      <c r="B74" s="216"/>
      <c r="C74" s="216"/>
      <c r="D74" s="216"/>
      <c r="E74" s="217"/>
      <c r="F74" s="218"/>
      <c r="G74" s="217"/>
      <c r="H74" s="218"/>
      <c r="I74" s="217"/>
      <c r="J74" s="218"/>
      <c r="K74" s="217"/>
      <c r="L74" s="218"/>
      <c r="M74" s="216"/>
      <c r="N74" s="2" t="s">
        <v>1010</v>
      </c>
    </row>
    <row r="75" spans="1:51" ht="30" customHeight="1" x14ac:dyDescent="0.3">
      <c r="A75" s="3" t="s">
        <v>173</v>
      </c>
      <c r="B75" s="3" t="s">
        <v>1105</v>
      </c>
      <c r="C75" s="5" t="s">
        <v>12</v>
      </c>
      <c r="D75" s="10">
        <v>1</v>
      </c>
      <c r="E75" s="12">
        <v>1450</v>
      </c>
      <c r="F75" s="11">
        <f t="shared" ref="F75:F81" si="28">TRUNC(E75*D75,1)</f>
        <v>1450</v>
      </c>
      <c r="G75" s="12">
        <v>0</v>
      </c>
      <c r="H75" s="11">
        <f t="shared" ref="H75:H81" si="29">TRUNC(G75*D75,1)</f>
        <v>0</v>
      </c>
      <c r="I75" s="12">
        <v>0</v>
      </c>
      <c r="J75" s="11">
        <f t="shared" ref="J75:J81" si="30">TRUNC(I75*D75,1)</f>
        <v>0</v>
      </c>
      <c r="K75" s="12">
        <f t="shared" ref="K75:L81" si="31">TRUNC(E75+G75+I75,1)</f>
        <v>1450</v>
      </c>
      <c r="L75" s="11">
        <f t="shared" si="31"/>
        <v>1450</v>
      </c>
      <c r="M75" s="3" t="s">
        <v>5</v>
      </c>
      <c r="N75" s="2" t="s">
        <v>1010</v>
      </c>
      <c r="O75" s="2" t="s">
        <v>1106</v>
      </c>
      <c r="P75" s="2" t="s">
        <v>996</v>
      </c>
      <c r="Q75" s="2" t="s">
        <v>996</v>
      </c>
      <c r="R75" s="2" t="s">
        <v>995</v>
      </c>
      <c r="AV75" s="2" t="s">
        <v>5</v>
      </c>
      <c r="AW75" s="2" t="s">
        <v>1188</v>
      </c>
      <c r="AX75" s="2" t="s">
        <v>5</v>
      </c>
      <c r="AY75" s="2" t="s">
        <v>5</v>
      </c>
    </row>
    <row r="76" spans="1:51" ht="30" customHeight="1" x14ac:dyDescent="0.3">
      <c r="A76" s="3" t="s">
        <v>1108</v>
      </c>
      <c r="B76" s="3" t="s">
        <v>180</v>
      </c>
      <c r="C76" s="5" t="s">
        <v>12</v>
      </c>
      <c r="D76" s="10">
        <v>1</v>
      </c>
      <c r="E76" s="12">
        <v>100</v>
      </c>
      <c r="F76" s="11">
        <f t="shared" si="28"/>
        <v>100</v>
      </c>
      <c r="G76" s="12">
        <v>0</v>
      </c>
      <c r="H76" s="11">
        <f t="shared" si="29"/>
        <v>0</v>
      </c>
      <c r="I76" s="12">
        <v>0</v>
      </c>
      <c r="J76" s="11">
        <f t="shared" si="30"/>
        <v>0</v>
      </c>
      <c r="K76" s="12">
        <f t="shared" si="31"/>
        <v>100</v>
      </c>
      <c r="L76" s="11">
        <f t="shared" si="31"/>
        <v>100</v>
      </c>
      <c r="M76" s="3" t="s">
        <v>5</v>
      </c>
      <c r="N76" s="2" t="s">
        <v>1010</v>
      </c>
      <c r="O76" s="2" t="s">
        <v>1109</v>
      </c>
      <c r="P76" s="2" t="s">
        <v>996</v>
      </c>
      <c r="Q76" s="2" t="s">
        <v>996</v>
      </c>
      <c r="R76" s="2" t="s">
        <v>995</v>
      </c>
      <c r="AV76" s="2" t="s">
        <v>5</v>
      </c>
      <c r="AW76" s="2" t="s">
        <v>1189</v>
      </c>
      <c r="AX76" s="2" t="s">
        <v>5</v>
      </c>
      <c r="AY76" s="2" t="s">
        <v>5</v>
      </c>
    </row>
    <row r="77" spans="1:51" ht="30" customHeight="1" x14ac:dyDescent="0.3">
      <c r="A77" s="3" t="s">
        <v>174</v>
      </c>
      <c r="B77" s="3" t="s">
        <v>175</v>
      </c>
      <c r="C77" s="5" t="s">
        <v>12</v>
      </c>
      <c r="D77" s="10">
        <v>2</v>
      </c>
      <c r="E77" s="199">
        <v>21</v>
      </c>
      <c r="F77" s="11">
        <f t="shared" si="28"/>
        <v>42</v>
      </c>
      <c r="G77" s="12">
        <v>0</v>
      </c>
      <c r="H77" s="11">
        <f t="shared" si="29"/>
        <v>0</v>
      </c>
      <c r="I77" s="12">
        <v>0</v>
      </c>
      <c r="J77" s="11">
        <f t="shared" si="30"/>
        <v>0</v>
      </c>
      <c r="K77" s="12">
        <f t="shared" si="31"/>
        <v>21</v>
      </c>
      <c r="L77" s="11">
        <f t="shared" si="31"/>
        <v>42</v>
      </c>
      <c r="M77" s="3" t="s">
        <v>5</v>
      </c>
      <c r="N77" s="2" t="s">
        <v>1010</v>
      </c>
      <c r="O77" s="2" t="s">
        <v>1111</v>
      </c>
      <c r="P77" s="2" t="s">
        <v>996</v>
      </c>
      <c r="Q77" s="2" t="s">
        <v>996</v>
      </c>
      <c r="R77" s="2" t="s">
        <v>995</v>
      </c>
      <c r="AV77" s="2" t="s">
        <v>5</v>
      </c>
      <c r="AW77" s="2" t="s">
        <v>1190</v>
      </c>
      <c r="AX77" s="2" t="s">
        <v>5</v>
      </c>
      <c r="AY77" s="2" t="s">
        <v>5</v>
      </c>
    </row>
    <row r="78" spans="1:51" ht="30" customHeight="1" x14ac:dyDescent="0.3">
      <c r="A78" s="3" t="s">
        <v>177</v>
      </c>
      <c r="B78" s="3" t="s">
        <v>1113</v>
      </c>
      <c r="C78" s="5" t="s">
        <v>12</v>
      </c>
      <c r="D78" s="10">
        <v>2</v>
      </c>
      <c r="E78" s="12">
        <v>9.3000000000000007</v>
      </c>
      <c r="F78" s="11">
        <f t="shared" si="28"/>
        <v>18.600000000000001</v>
      </c>
      <c r="G78" s="12">
        <v>0</v>
      </c>
      <c r="H78" s="11">
        <f t="shared" si="29"/>
        <v>0</v>
      </c>
      <c r="I78" s="12">
        <v>0</v>
      </c>
      <c r="J78" s="11">
        <f t="shared" si="30"/>
        <v>0</v>
      </c>
      <c r="K78" s="12">
        <f t="shared" si="31"/>
        <v>9.3000000000000007</v>
      </c>
      <c r="L78" s="11">
        <f t="shared" si="31"/>
        <v>18.600000000000001</v>
      </c>
      <c r="M78" s="3" t="s">
        <v>5</v>
      </c>
      <c r="N78" s="2" t="s">
        <v>1010</v>
      </c>
      <c r="O78" s="2" t="s">
        <v>1114</v>
      </c>
      <c r="P78" s="2" t="s">
        <v>996</v>
      </c>
      <c r="Q78" s="2" t="s">
        <v>996</v>
      </c>
      <c r="R78" s="2" t="s">
        <v>995</v>
      </c>
      <c r="AV78" s="2" t="s">
        <v>5</v>
      </c>
      <c r="AW78" s="2" t="s">
        <v>1191</v>
      </c>
      <c r="AX78" s="2" t="s">
        <v>5</v>
      </c>
      <c r="AY78" s="2" t="s">
        <v>5</v>
      </c>
    </row>
    <row r="79" spans="1:51" ht="30" customHeight="1" x14ac:dyDescent="0.3">
      <c r="A79" s="3" t="s">
        <v>333</v>
      </c>
      <c r="B79" s="3" t="s">
        <v>1192</v>
      </c>
      <c r="C79" s="5" t="s">
        <v>12</v>
      </c>
      <c r="D79" s="10">
        <v>1</v>
      </c>
      <c r="E79" s="12">
        <v>1095</v>
      </c>
      <c r="F79" s="11">
        <f t="shared" si="28"/>
        <v>1095</v>
      </c>
      <c r="G79" s="12">
        <v>0</v>
      </c>
      <c r="H79" s="11">
        <f t="shared" si="29"/>
        <v>0</v>
      </c>
      <c r="I79" s="12">
        <v>0</v>
      </c>
      <c r="J79" s="11">
        <f t="shared" si="30"/>
        <v>0</v>
      </c>
      <c r="K79" s="12">
        <f t="shared" si="31"/>
        <v>1095</v>
      </c>
      <c r="L79" s="11">
        <f t="shared" si="31"/>
        <v>1095</v>
      </c>
      <c r="M79" s="3" t="s">
        <v>5</v>
      </c>
      <c r="N79" s="2" t="s">
        <v>1010</v>
      </c>
      <c r="O79" s="2" t="s">
        <v>1193</v>
      </c>
      <c r="P79" s="2" t="s">
        <v>996</v>
      </c>
      <c r="Q79" s="2" t="s">
        <v>996</v>
      </c>
      <c r="R79" s="2" t="s">
        <v>995</v>
      </c>
      <c r="AV79" s="2" t="s">
        <v>5</v>
      </c>
      <c r="AW79" s="2" t="s">
        <v>1194</v>
      </c>
      <c r="AX79" s="2" t="s">
        <v>5</v>
      </c>
      <c r="AY79" s="2" t="s">
        <v>5</v>
      </c>
    </row>
    <row r="80" spans="1:51" ht="30" customHeight="1" x14ac:dyDescent="0.3">
      <c r="A80" s="3" t="s">
        <v>1119</v>
      </c>
      <c r="B80" s="3" t="s">
        <v>1120</v>
      </c>
      <c r="C80" s="5" t="s">
        <v>1121</v>
      </c>
      <c r="D80" s="10">
        <v>5.3999999999999999E-2</v>
      </c>
      <c r="E80" s="12">
        <v>0</v>
      </c>
      <c r="F80" s="11">
        <f t="shared" si="28"/>
        <v>0</v>
      </c>
      <c r="G80" s="8">
        <v>273676</v>
      </c>
      <c r="H80" s="11">
        <f t="shared" si="29"/>
        <v>14778.5</v>
      </c>
      <c r="I80" s="12">
        <v>0</v>
      </c>
      <c r="J80" s="11">
        <f t="shared" si="30"/>
        <v>0</v>
      </c>
      <c r="K80" s="12">
        <f t="shared" si="31"/>
        <v>273676</v>
      </c>
      <c r="L80" s="11">
        <f t="shared" si="31"/>
        <v>14778.5</v>
      </c>
      <c r="M80" s="3" t="s">
        <v>5</v>
      </c>
      <c r="N80" s="2" t="s">
        <v>1010</v>
      </c>
      <c r="O80" s="2" t="s">
        <v>1122</v>
      </c>
      <c r="P80" s="2" t="s">
        <v>996</v>
      </c>
      <c r="Q80" s="2" t="s">
        <v>996</v>
      </c>
      <c r="R80" s="2" t="s">
        <v>995</v>
      </c>
      <c r="V80" s="1">
        <v>1</v>
      </c>
      <c r="AV80" s="2" t="s">
        <v>5</v>
      </c>
      <c r="AW80" s="2" t="s">
        <v>1195</v>
      </c>
      <c r="AX80" s="2" t="s">
        <v>5</v>
      </c>
      <c r="AY80" s="2" t="s">
        <v>5</v>
      </c>
    </row>
    <row r="81" spans="1:51" ht="30" customHeight="1" x14ac:dyDescent="0.3">
      <c r="A81" s="3" t="s">
        <v>1124</v>
      </c>
      <c r="B81" s="3" t="s">
        <v>1125</v>
      </c>
      <c r="C81" s="5" t="s">
        <v>340</v>
      </c>
      <c r="D81" s="10">
        <v>1</v>
      </c>
      <c r="E81" s="12">
        <f>TRUNC(SUMIF(V75:V81, RIGHTB(O81, 1), H75:H81)*U81, 2)</f>
        <v>443.35</v>
      </c>
      <c r="F81" s="11">
        <f t="shared" si="28"/>
        <v>443.3</v>
      </c>
      <c r="G81" s="12">
        <v>0</v>
      </c>
      <c r="H81" s="11">
        <f t="shared" si="29"/>
        <v>0</v>
      </c>
      <c r="I81" s="12">
        <v>0</v>
      </c>
      <c r="J81" s="11">
        <f t="shared" si="30"/>
        <v>0</v>
      </c>
      <c r="K81" s="12">
        <f t="shared" si="31"/>
        <v>443.3</v>
      </c>
      <c r="L81" s="11">
        <f t="shared" si="31"/>
        <v>443.3</v>
      </c>
      <c r="M81" s="3" t="s">
        <v>5</v>
      </c>
      <c r="N81" s="2" t="s">
        <v>1010</v>
      </c>
      <c r="O81" s="2" t="s">
        <v>1126</v>
      </c>
      <c r="P81" s="2" t="s">
        <v>996</v>
      </c>
      <c r="Q81" s="2" t="s">
        <v>996</v>
      </c>
      <c r="R81" s="2" t="s">
        <v>996</v>
      </c>
      <c r="S81" s="1">
        <v>1</v>
      </c>
      <c r="T81" s="1">
        <v>0</v>
      </c>
      <c r="U81" s="1">
        <v>0.03</v>
      </c>
      <c r="AV81" s="2" t="s">
        <v>5</v>
      </c>
      <c r="AW81" s="2" t="s">
        <v>1196</v>
      </c>
      <c r="AX81" s="2" t="s">
        <v>5</v>
      </c>
      <c r="AY81" s="2" t="s">
        <v>5</v>
      </c>
    </row>
    <row r="82" spans="1:51" ht="30" customHeight="1" x14ac:dyDescent="0.3">
      <c r="A82" s="3" t="s">
        <v>1128</v>
      </c>
      <c r="B82" s="3" t="s">
        <v>5</v>
      </c>
      <c r="C82" s="5" t="s">
        <v>5</v>
      </c>
      <c r="D82" s="10"/>
      <c r="E82" s="12"/>
      <c r="F82" s="11">
        <f>TRUNC(SUMIF(N75:N81, N74, F75:F81),0)</f>
        <v>3148</v>
      </c>
      <c r="G82" s="12"/>
      <c r="H82" s="11">
        <f>TRUNC(SUMIF(N75:N81, N74, H75:H81),0)</f>
        <v>14778</v>
      </c>
      <c r="I82" s="12"/>
      <c r="J82" s="11">
        <f>TRUNC(SUMIF(N75:N81, N74, J75:J81),0)</f>
        <v>0</v>
      </c>
      <c r="K82" s="12"/>
      <c r="L82" s="11">
        <f>F82+H82+J82</f>
        <v>17926</v>
      </c>
      <c r="M82" s="3" t="s">
        <v>5</v>
      </c>
      <c r="N82" s="2" t="s">
        <v>1053</v>
      </c>
      <c r="O82" s="2" t="s">
        <v>1053</v>
      </c>
      <c r="P82" s="2" t="s">
        <v>5</v>
      </c>
      <c r="Q82" s="2" t="s">
        <v>5</v>
      </c>
      <c r="R82" s="2" t="s">
        <v>5</v>
      </c>
      <c r="AV82" s="2" t="s">
        <v>5</v>
      </c>
      <c r="AW82" s="2" t="s">
        <v>5</v>
      </c>
      <c r="AX82" s="2" t="s">
        <v>5</v>
      </c>
      <c r="AY82" s="2" t="s">
        <v>5</v>
      </c>
    </row>
    <row r="83" spans="1:51" ht="30" customHeight="1" x14ac:dyDescent="0.3">
      <c r="A83" s="10"/>
      <c r="B83" s="10"/>
      <c r="C83" s="9"/>
      <c r="D83" s="10"/>
      <c r="E83" s="12"/>
      <c r="F83" s="11"/>
      <c r="G83" s="12"/>
      <c r="H83" s="11"/>
      <c r="I83" s="12"/>
      <c r="J83" s="11"/>
      <c r="K83" s="12"/>
      <c r="L83" s="11"/>
      <c r="M83" s="10"/>
    </row>
    <row r="84" spans="1:51" ht="30" customHeight="1" x14ac:dyDescent="0.3">
      <c r="A84" s="216" t="s">
        <v>1197</v>
      </c>
      <c r="B84" s="216"/>
      <c r="C84" s="216"/>
      <c r="D84" s="216"/>
      <c r="E84" s="217"/>
      <c r="F84" s="218"/>
      <c r="G84" s="217"/>
      <c r="H84" s="218"/>
      <c r="I84" s="217"/>
      <c r="J84" s="218"/>
      <c r="K84" s="217"/>
      <c r="L84" s="218"/>
      <c r="M84" s="216"/>
      <c r="N84" s="2" t="s">
        <v>1012</v>
      </c>
    </row>
    <row r="85" spans="1:51" ht="30" customHeight="1" x14ac:dyDescent="0.3">
      <c r="A85" s="3" t="s">
        <v>173</v>
      </c>
      <c r="B85" s="3" t="s">
        <v>1105</v>
      </c>
      <c r="C85" s="5" t="s">
        <v>12</v>
      </c>
      <c r="D85" s="10">
        <v>1</v>
      </c>
      <c r="E85" s="12">
        <v>1450</v>
      </c>
      <c r="F85" s="11">
        <f t="shared" ref="F85:F91" si="32">TRUNC(E85*D85,1)</f>
        <v>1450</v>
      </c>
      <c r="G85" s="12">
        <v>0</v>
      </c>
      <c r="H85" s="11">
        <f t="shared" ref="H85:H91" si="33">TRUNC(G85*D85,1)</f>
        <v>0</v>
      </c>
      <c r="I85" s="12">
        <v>0</v>
      </c>
      <c r="J85" s="11">
        <f t="shared" ref="J85:J91" si="34">TRUNC(I85*D85,1)</f>
        <v>0</v>
      </c>
      <c r="K85" s="12">
        <f t="shared" ref="K85:L91" si="35">TRUNC(E85+G85+I85,1)</f>
        <v>1450</v>
      </c>
      <c r="L85" s="11">
        <f t="shared" si="35"/>
        <v>1450</v>
      </c>
      <c r="M85" s="3" t="s">
        <v>5</v>
      </c>
      <c r="N85" s="2" t="s">
        <v>1012</v>
      </c>
      <c r="O85" s="2" t="s">
        <v>1106</v>
      </c>
      <c r="P85" s="2" t="s">
        <v>996</v>
      </c>
      <c r="Q85" s="2" t="s">
        <v>996</v>
      </c>
      <c r="R85" s="2" t="s">
        <v>995</v>
      </c>
      <c r="AV85" s="2" t="s">
        <v>5</v>
      </c>
      <c r="AW85" s="2" t="s">
        <v>1198</v>
      </c>
      <c r="AX85" s="2" t="s">
        <v>5</v>
      </c>
      <c r="AY85" s="2" t="s">
        <v>5</v>
      </c>
    </row>
    <row r="86" spans="1:51" ht="30" customHeight="1" x14ac:dyDescent="0.3">
      <c r="A86" s="3" t="s">
        <v>1108</v>
      </c>
      <c r="B86" s="3" t="s">
        <v>180</v>
      </c>
      <c r="C86" s="5" t="s">
        <v>12</v>
      </c>
      <c r="D86" s="10">
        <v>1</v>
      </c>
      <c r="E86" s="12">
        <v>100</v>
      </c>
      <c r="F86" s="11">
        <f t="shared" si="32"/>
        <v>100</v>
      </c>
      <c r="G86" s="12">
        <v>0</v>
      </c>
      <c r="H86" s="11">
        <f t="shared" si="33"/>
        <v>0</v>
      </c>
      <c r="I86" s="12">
        <v>0</v>
      </c>
      <c r="J86" s="11">
        <f t="shared" si="34"/>
        <v>0</v>
      </c>
      <c r="K86" s="12">
        <f t="shared" si="35"/>
        <v>100</v>
      </c>
      <c r="L86" s="11">
        <f t="shared" si="35"/>
        <v>100</v>
      </c>
      <c r="M86" s="3" t="s">
        <v>5</v>
      </c>
      <c r="N86" s="2" t="s">
        <v>1012</v>
      </c>
      <c r="O86" s="2" t="s">
        <v>1109</v>
      </c>
      <c r="P86" s="2" t="s">
        <v>996</v>
      </c>
      <c r="Q86" s="2" t="s">
        <v>996</v>
      </c>
      <c r="R86" s="2" t="s">
        <v>995</v>
      </c>
      <c r="AV86" s="2" t="s">
        <v>5</v>
      </c>
      <c r="AW86" s="2" t="s">
        <v>1199</v>
      </c>
      <c r="AX86" s="2" t="s">
        <v>5</v>
      </c>
      <c r="AY86" s="2" t="s">
        <v>5</v>
      </c>
    </row>
    <row r="87" spans="1:51" ht="30" customHeight="1" x14ac:dyDescent="0.3">
      <c r="A87" s="3" t="s">
        <v>174</v>
      </c>
      <c r="B87" s="3" t="s">
        <v>175</v>
      </c>
      <c r="C87" s="5" t="s">
        <v>12</v>
      </c>
      <c r="D87" s="10">
        <v>2</v>
      </c>
      <c r="E87" s="199">
        <v>21</v>
      </c>
      <c r="F87" s="11">
        <f t="shared" si="32"/>
        <v>42</v>
      </c>
      <c r="G87" s="12">
        <v>0</v>
      </c>
      <c r="H87" s="11">
        <f t="shared" si="33"/>
        <v>0</v>
      </c>
      <c r="I87" s="12">
        <v>0</v>
      </c>
      <c r="J87" s="11">
        <f t="shared" si="34"/>
        <v>0</v>
      </c>
      <c r="K87" s="12">
        <f t="shared" si="35"/>
        <v>21</v>
      </c>
      <c r="L87" s="11">
        <f t="shared" si="35"/>
        <v>42</v>
      </c>
      <c r="M87" s="3" t="s">
        <v>5</v>
      </c>
      <c r="N87" s="2" t="s">
        <v>1012</v>
      </c>
      <c r="O87" s="2" t="s">
        <v>1111</v>
      </c>
      <c r="P87" s="2" t="s">
        <v>996</v>
      </c>
      <c r="Q87" s="2" t="s">
        <v>996</v>
      </c>
      <c r="R87" s="2" t="s">
        <v>995</v>
      </c>
      <c r="AV87" s="2" t="s">
        <v>5</v>
      </c>
      <c r="AW87" s="2" t="s">
        <v>1200</v>
      </c>
      <c r="AX87" s="2" t="s">
        <v>5</v>
      </c>
      <c r="AY87" s="2" t="s">
        <v>5</v>
      </c>
    </row>
    <row r="88" spans="1:51" ht="30" customHeight="1" x14ac:dyDescent="0.3">
      <c r="A88" s="3" t="s">
        <v>177</v>
      </c>
      <c r="B88" s="3" t="s">
        <v>1113</v>
      </c>
      <c r="C88" s="5" t="s">
        <v>12</v>
      </c>
      <c r="D88" s="10">
        <v>2</v>
      </c>
      <c r="E88" s="12">
        <v>9.3000000000000007</v>
      </c>
      <c r="F88" s="11">
        <f t="shared" si="32"/>
        <v>18.600000000000001</v>
      </c>
      <c r="G88" s="12">
        <v>0</v>
      </c>
      <c r="H88" s="11">
        <f t="shared" si="33"/>
        <v>0</v>
      </c>
      <c r="I88" s="12">
        <v>0</v>
      </c>
      <c r="J88" s="11">
        <f t="shared" si="34"/>
        <v>0</v>
      </c>
      <c r="K88" s="12">
        <f t="shared" si="35"/>
        <v>9.3000000000000007</v>
      </c>
      <c r="L88" s="11">
        <f t="shared" si="35"/>
        <v>18.600000000000001</v>
      </c>
      <c r="M88" s="3" t="s">
        <v>5</v>
      </c>
      <c r="N88" s="2" t="s">
        <v>1012</v>
      </c>
      <c r="O88" s="2" t="s">
        <v>1114</v>
      </c>
      <c r="P88" s="2" t="s">
        <v>996</v>
      </c>
      <c r="Q88" s="2" t="s">
        <v>996</v>
      </c>
      <c r="R88" s="2" t="s">
        <v>995</v>
      </c>
      <c r="AV88" s="2" t="s">
        <v>5</v>
      </c>
      <c r="AW88" s="2" t="s">
        <v>1201</v>
      </c>
      <c r="AX88" s="2" t="s">
        <v>5</v>
      </c>
      <c r="AY88" s="2" t="s">
        <v>5</v>
      </c>
    </row>
    <row r="89" spans="1:51" ht="30" customHeight="1" x14ac:dyDescent="0.3">
      <c r="A89" s="3" t="s">
        <v>333</v>
      </c>
      <c r="B89" s="3" t="s">
        <v>1588</v>
      </c>
      <c r="C89" s="5" t="s">
        <v>12</v>
      </c>
      <c r="D89" s="10">
        <v>1</v>
      </c>
      <c r="E89" s="12">
        <v>1284</v>
      </c>
      <c r="F89" s="11">
        <f t="shared" si="32"/>
        <v>1284</v>
      </c>
      <c r="G89" s="12">
        <v>0</v>
      </c>
      <c r="H89" s="11">
        <f t="shared" si="33"/>
        <v>0</v>
      </c>
      <c r="I89" s="12">
        <v>0</v>
      </c>
      <c r="J89" s="11">
        <f t="shared" si="34"/>
        <v>0</v>
      </c>
      <c r="K89" s="12">
        <f t="shared" si="35"/>
        <v>1284</v>
      </c>
      <c r="L89" s="11">
        <f t="shared" si="35"/>
        <v>1284</v>
      </c>
      <c r="M89" s="3" t="s">
        <v>5</v>
      </c>
      <c r="N89" s="2" t="s">
        <v>1012</v>
      </c>
      <c r="O89" s="2" t="s">
        <v>1202</v>
      </c>
      <c r="P89" s="2" t="s">
        <v>996</v>
      </c>
      <c r="Q89" s="2" t="s">
        <v>996</v>
      </c>
      <c r="R89" s="2" t="s">
        <v>995</v>
      </c>
      <c r="AV89" s="2" t="s">
        <v>5</v>
      </c>
      <c r="AW89" s="2" t="s">
        <v>1203</v>
      </c>
      <c r="AX89" s="2" t="s">
        <v>5</v>
      </c>
      <c r="AY89" s="2" t="s">
        <v>5</v>
      </c>
    </row>
    <row r="90" spans="1:51" ht="30" customHeight="1" x14ac:dyDescent="0.3">
      <c r="A90" s="3" t="s">
        <v>1119</v>
      </c>
      <c r="B90" s="3" t="s">
        <v>1587</v>
      </c>
      <c r="C90" s="5" t="s">
        <v>1121</v>
      </c>
      <c r="D90" s="10">
        <v>5.3999999999999999E-2</v>
      </c>
      <c r="E90" s="12">
        <v>0</v>
      </c>
      <c r="F90" s="11">
        <f t="shared" si="32"/>
        <v>0</v>
      </c>
      <c r="G90" s="8">
        <v>273676</v>
      </c>
      <c r="H90" s="11">
        <f t="shared" si="33"/>
        <v>14778.5</v>
      </c>
      <c r="I90" s="12">
        <v>0</v>
      </c>
      <c r="J90" s="11">
        <f t="shared" si="34"/>
        <v>0</v>
      </c>
      <c r="K90" s="12">
        <f t="shared" si="35"/>
        <v>273676</v>
      </c>
      <c r="L90" s="11">
        <f t="shared" si="35"/>
        <v>14778.5</v>
      </c>
      <c r="M90" s="3" t="s">
        <v>5</v>
      </c>
      <c r="N90" s="2" t="s">
        <v>1012</v>
      </c>
      <c r="O90" s="2" t="s">
        <v>1122</v>
      </c>
      <c r="P90" s="2" t="s">
        <v>996</v>
      </c>
      <c r="Q90" s="2" t="s">
        <v>996</v>
      </c>
      <c r="R90" s="2" t="s">
        <v>995</v>
      </c>
      <c r="V90" s="1">
        <v>1</v>
      </c>
      <c r="AV90" s="2" t="s">
        <v>5</v>
      </c>
      <c r="AW90" s="2" t="s">
        <v>1204</v>
      </c>
      <c r="AX90" s="2" t="s">
        <v>5</v>
      </c>
      <c r="AY90" s="2" t="s">
        <v>5</v>
      </c>
    </row>
    <row r="91" spans="1:51" ht="30" customHeight="1" x14ac:dyDescent="0.3">
      <c r="A91" s="3" t="s">
        <v>1124</v>
      </c>
      <c r="B91" s="3" t="s">
        <v>1125</v>
      </c>
      <c r="C91" s="5" t="s">
        <v>340</v>
      </c>
      <c r="D91" s="10">
        <v>1</v>
      </c>
      <c r="E91" s="12">
        <f>TRUNC(SUMIF(V85:V91, RIGHTB(O91, 1), H85:H91)*U91, 2)</f>
        <v>443.35</v>
      </c>
      <c r="F91" s="11">
        <f t="shared" si="32"/>
        <v>443.3</v>
      </c>
      <c r="G91" s="12">
        <v>0</v>
      </c>
      <c r="H91" s="11">
        <f t="shared" si="33"/>
        <v>0</v>
      </c>
      <c r="I91" s="12">
        <v>0</v>
      </c>
      <c r="J91" s="11">
        <f t="shared" si="34"/>
        <v>0</v>
      </c>
      <c r="K91" s="12">
        <f t="shared" si="35"/>
        <v>443.3</v>
      </c>
      <c r="L91" s="11">
        <f t="shared" si="35"/>
        <v>443.3</v>
      </c>
      <c r="M91" s="3" t="s">
        <v>5</v>
      </c>
      <c r="N91" s="2" t="s">
        <v>1012</v>
      </c>
      <c r="O91" s="2" t="s">
        <v>1126</v>
      </c>
      <c r="P91" s="2" t="s">
        <v>996</v>
      </c>
      <c r="Q91" s="2" t="s">
        <v>996</v>
      </c>
      <c r="R91" s="2" t="s">
        <v>996</v>
      </c>
      <c r="S91" s="1">
        <v>1</v>
      </c>
      <c r="T91" s="1">
        <v>0</v>
      </c>
      <c r="U91" s="1">
        <v>0.03</v>
      </c>
      <c r="AV91" s="2" t="s">
        <v>5</v>
      </c>
      <c r="AW91" s="2" t="s">
        <v>1205</v>
      </c>
      <c r="AX91" s="2" t="s">
        <v>5</v>
      </c>
      <c r="AY91" s="2" t="s">
        <v>5</v>
      </c>
    </row>
    <row r="92" spans="1:51" ht="30" customHeight="1" x14ac:dyDescent="0.3">
      <c r="A92" s="3" t="s">
        <v>1128</v>
      </c>
      <c r="B92" s="3" t="s">
        <v>5</v>
      </c>
      <c r="C92" s="5" t="s">
        <v>5</v>
      </c>
      <c r="D92" s="10"/>
      <c r="E92" s="12"/>
      <c r="F92" s="11">
        <f>TRUNC(SUMIF(N85:N91, N84, F85:F91),0)</f>
        <v>3337</v>
      </c>
      <c r="G92" s="12"/>
      <c r="H92" s="11">
        <f>TRUNC(SUMIF(N85:N91, N84, H85:H91),0)</f>
        <v>14778</v>
      </c>
      <c r="I92" s="12"/>
      <c r="J92" s="11">
        <f>TRUNC(SUMIF(N85:N91, N84, J85:J91),0)</f>
        <v>0</v>
      </c>
      <c r="K92" s="12"/>
      <c r="L92" s="11">
        <f>F92+H92+J92</f>
        <v>18115</v>
      </c>
      <c r="M92" s="3" t="s">
        <v>5</v>
      </c>
      <c r="N92" s="2" t="s">
        <v>1053</v>
      </c>
      <c r="O92" s="2" t="s">
        <v>1053</v>
      </c>
      <c r="P92" s="2" t="s">
        <v>5</v>
      </c>
      <c r="Q92" s="2" t="s">
        <v>5</v>
      </c>
      <c r="R92" s="2" t="s">
        <v>5</v>
      </c>
      <c r="AV92" s="2" t="s">
        <v>5</v>
      </c>
      <c r="AW92" s="2" t="s">
        <v>5</v>
      </c>
      <c r="AX92" s="2" t="s">
        <v>5</v>
      </c>
      <c r="AY92" s="2" t="s">
        <v>5</v>
      </c>
    </row>
    <row r="93" spans="1:51" ht="30" customHeight="1" x14ac:dyDescent="0.3">
      <c r="A93" s="10"/>
      <c r="B93" s="10"/>
      <c r="C93" s="9"/>
      <c r="D93" s="10"/>
      <c r="E93" s="12"/>
      <c r="F93" s="11"/>
      <c r="G93" s="12"/>
      <c r="H93" s="11"/>
      <c r="I93" s="12"/>
      <c r="J93" s="11"/>
      <c r="K93" s="12"/>
      <c r="L93" s="11"/>
      <c r="M93" s="10"/>
    </row>
    <row r="94" spans="1:51" ht="30" customHeight="1" x14ac:dyDescent="0.3">
      <c r="A94" s="216" t="s">
        <v>1521</v>
      </c>
      <c r="B94" s="216"/>
      <c r="C94" s="216"/>
      <c r="D94" s="216"/>
      <c r="E94" s="217"/>
      <c r="F94" s="218"/>
      <c r="G94" s="217"/>
      <c r="H94" s="218"/>
      <c r="I94" s="217"/>
      <c r="J94" s="218"/>
      <c r="K94" s="217"/>
      <c r="L94" s="218"/>
      <c r="M94" s="216"/>
      <c r="N94" s="2" t="s">
        <v>1014</v>
      </c>
    </row>
    <row r="95" spans="1:51" ht="30" customHeight="1" x14ac:dyDescent="0.3">
      <c r="A95" s="3" t="s">
        <v>173</v>
      </c>
      <c r="B95" s="3" t="s">
        <v>1105</v>
      </c>
      <c r="C95" s="5" t="s">
        <v>12</v>
      </c>
      <c r="D95" s="10">
        <v>2</v>
      </c>
      <c r="E95" s="12">
        <v>1450</v>
      </c>
      <c r="F95" s="11">
        <f t="shared" ref="F95:F101" si="36">TRUNC(E95*D95,1)</f>
        <v>2900</v>
      </c>
      <c r="G95" s="12">
        <v>0</v>
      </c>
      <c r="H95" s="11">
        <f t="shared" ref="H95:H101" si="37">TRUNC(G95*D95,1)</f>
        <v>0</v>
      </c>
      <c r="I95" s="12">
        <v>0</v>
      </c>
      <c r="J95" s="11">
        <f t="shared" ref="J95:J101" si="38">TRUNC(I95*D95,1)</f>
        <v>0</v>
      </c>
      <c r="K95" s="12">
        <f t="shared" ref="K95:L101" si="39">TRUNC(E95+G95+I95,1)</f>
        <v>1450</v>
      </c>
      <c r="L95" s="11">
        <f t="shared" si="39"/>
        <v>2900</v>
      </c>
      <c r="M95" s="3" t="s">
        <v>5</v>
      </c>
      <c r="N95" s="2" t="s">
        <v>1014</v>
      </c>
      <c r="O95" s="2" t="s">
        <v>1106</v>
      </c>
      <c r="P95" s="2" t="s">
        <v>996</v>
      </c>
      <c r="Q95" s="2" t="s">
        <v>996</v>
      </c>
      <c r="R95" s="2" t="s">
        <v>995</v>
      </c>
      <c r="AV95" s="2" t="s">
        <v>5</v>
      </c>
      <c r="AW95" s="2" t="s">
        <v>1206</v>
      </c>
      <c r="AX95" s="2" t="s">
        <v>5</v>
      </c>
      <c r="AY95" s="2" t="s">
        <v>5</v>
      </c>
    </row>
    <row r="96" spans="1:51" ht="30" customHeight="1" x14ac:dyDescent="0.3">
      <c r="A96" s="3" t="s">
        <v>168</v>
      </c>
      <c r="B96" s="3" t="s">
        <v>1207</v>
      </c>
      <c r="C96" s="5" t="s">
        <v>14</v>
      </c>
      <c r="D96" s="10">
        <v>0.2</v>
      </c>
      <c r="E96" s="12">
        <v>4811</v>
      </c>
      <c r="F96" s="11">
        <f t="shared" si="36"/>
        <v>962.2</v>
      </c>
      <c r="G96" s="12">
        <v>0</v>
      </c>
      <c r="H96" s="11">
        <f t="shared" si="37"/>
        <v>0</v>
      </c>
      <c r="I96" s="12">
        <v>0</v>
      </c>
      <c r="J96" s="11">
        <f t="shared" si="38"/>
        <v>0</v>
      </c>
      <c r="K96" s="12">
        <f t="shared" si="39"/>
        <v>4811</v>
      </c>
      <c r="L96" s="11">
        <f t="shared" si="39"/>
        <v>962.2</v>
      </c>
      <c r="M96" s="3" t="s">
        <v>5</v>
      </c>
      <c r="N96" s="2" t="s">
        <v>1014</v>
      </c>
      <c r="O96" s="2" t="s">
        <v>1208</v>
      </c>
      <c r="P96" s="2" t="s">
        <v>996</v>
      </c>
      <c r="Q96" s="2" t="s">
        <v>996</v>
      </c>
      <c r="R96" s="2" t="s">
        <v>995</v>
      </c>
      <c r="AV96" s="2" t="s">
        <v>5</v>
      </c>
      <c r="AW96" s="2" t="s">
        <v>1209</v>
      </c>
      <c r="AX96" s="2" t="s">
        <v>5</v>
      </c>
      <c r="AY96" s="2" t="s">
        <v>5</v>
      </c>
    </row>
    <row r="97" spans="1:51" ht="30" customHeight="1" x14ac:dyDescent="0.3">
      <c r="A97" s="3" t="s">
        <v>1108</v>
      </c>
      <c r="B97" s="3" t="s">
        <v>180</v>
      </c>
      <c r="C97" s="5" t="s">
        <v>12</v>
      </c>
      <c r="D97" s="10">
        <v>2</v>
      </c>
      <c r="E97" s="12">
        <v>100</v>
      </c>
      <c r="F97" s="11">
        <f t="shared" si="36"/>
        <v>200</v>
      </c>
      <c r="G97" s="12">
        <v>0</v>
      </c>
      <c r="H97" s="11">
        <f t="shared" si="37"/>
        <v>0</v>
      </c>
      <c r="I97" s="12">
        <v>0</v>
      </c>
      <c r="J97" s="11">
        <f t="shared" si="38"/>
        <v>0</v>
      </c>
      <c r="K97" s="12">
        <f t="shared" si="39"/>
        <v>100</v>
      </c>
      <c r="L97" s="11">
        <f t="shared" si="39"/>
        <v>200</v>
      </c>
      <c r="M97" s="3" t="s">
        <v>5</v>
      </c>
      <c r="N97" s="2" t="s">
        <v>1014</v>
      </c>
      <c r="O97" s="2" t="s">
        <v>1109</v>
      </c>
      <c r="P97" s="2" t="s">
        <v>996</v>
      </c>
      <c r="Q97" s="2" t="s">
        <v>996</v>
      </c>
      <c r="R97" s="2" t="s">
        <v>995</v>
      </c>
      <c r="AV97" s="2" t="s">
        <v>5</v>
      </c>
      <c r="AW97" s="2" t="s">
        <v>1210</v>
      </c>
      <c r="AX97" s="2" t="s">
        <v>5</v>
      </c>
      <c r="AY97" s="2" t="s">
        <v>5</v>
      </c>
    </row>
    <row r="98" spans="1:51" ht="30" customHeight="1" x14ac:dyDescent="0.3">
      <c r="A98" s="3" t="s">
        <v>174</v>
      </c>
      <c r="B98" s="3" t="s">
        <v>175</v>
      </c>
      <c r="C98" s="5" t="s">
        <v>12</v>
      </c>
      <c r="D98" s="10">
        <v>4</v>
      </c>
      <c r="E98" s="199">
        <v>21</v>
      </c>
      <c r="F98" s="11">
        <f t="shared" si="36"/>
        <v>84</v>
      </c>
      <c r="G98" s="12">
        <v>0</v>
      </c>
      <c r="H98" s="11">
        <f t="shared" si="37"/>
        <v>0</v>
      </c>
      <c r="I98" s="12">
        <v>0</v>
      </c>
      <c r="J98" s="11">
        <f t="shared" si="38"/>
        <v>0</v>
      </c>
      <c r="K98" s="12">
        <f t="shared" si="39"/>
        <v>21</v>
      </c>
      <c r="L98" s="11">
        <f t="shared" si="39"/>
        <v>84</v>
      </c>
      <c r="M98" s="3" t="s">
        <v>5</v>
      </c>
      <c r="N98" s="2" t="s">
        <v>1014</v>
      </c>
      <c r="O98" s="2" t="s">
        <v>1111</v>
      </c>
      <c r="P98" s="2" t="s">
        <v>996</v>
      </c>
      <c r="Q98" s="2" t="s">
        <v>996</v>
      </c>
      <c r="R98" s="2" t="s">
        <v>995</v>
      </c>
      <c r="AV98" s="2" t="s">
        <v>5</v>
      </c>
      <c r="AW98" s="2" t="s">
        <v>1211</v>
      </c>
      <c r="AX98" s="2" t="s">
        <v>5</v>
      </c>
      <c r="AY98" s="2" t="s">
        <v>5</v>
      </c>
    </row>
    <row r="99" spans="1:51" ht="30" customHeight="1" x14ac:dyDescent="0.3">
      <c r="A99" s="3" t="s">
        <v>177</v>
      </c>
      <c r="B99" s="3" t="s">
        <v>1113</v>
      </c>
      <c r="C99" s="5" t="s">
        <v>12</v>
      </c>
      <c r="D99" s="10">
        <v>4</v>
      </c>
      <c r="E99" s="12">
        <v>9.3000000000000007</v>
      </c>
      <c r="F99" s="11">
        <f t="shared" si="36"/>
        <v>37.200000000000003</v>
      </c>
      <c r="G99" s="12">
        <v>0</v>
      </c>
      <c r="H99" s="11">
        <f t="shared" si="37"/>
        <v>0</v>
      </c>
      <c r="I99" s="12">
        <v>0</v>
      </c>
      <c r="J99" s="11">
        <f t="shared" si="38"/>
        <v>0</v>
      </c>
      <c r="K99" s="12">
        <f t="shared" si="39"/>
        <v>9.3000000000000007</v>
      </c>
      <c r="L99" s="11">
        <f t="shared" si="39"/>
        <v>37.200000000000003</v>
      </c>
      <c r="M99" s="3" t="s">
        <v>5</v>
      </c>
      <c r="N99" s="2" t="s">
        <v>1014</v>
      </c>
      <c r="O99" s="2" t="s">
        <v>1114</v>
      </c>
      <c r="P99" s="2" t="s">
        <v>996</v>
      </c>
      <c r="Q99" s="2" t="s">
        <v>996</v>
      </c>
      <c r="R99" s="2" t="s">
        <v>995</v>
      </c>
      <c r="AV99" s="2" t="s">
        <v>5</v>
      </c>
      <c r="AW99" s="2" t="s">
        <v>1212</v>
      </c>
      <c r="AX99" s="2" t="s">
        <v>5</v>
      </c>
      <c r="AY99" s="2" t="s">
        <v>5</v>
      </c>
    </row>
    <row r="100" spans="1:51" ht="30" customHeight="1" x14ac:dyDescent="0.3">
      <c r="A100" s="3" t="s">
        <v>1119</v>
      </c>
      <c r="B100" s="3" t="s">
        <v>1120</v>
      </c>
      <c r="C100" s="5" t="s">
        <v>1121</v>
      </c>
      <c r="D100" s="10">
        <v>0.108</v>
      </c>
      <c r="E100" s="12">
        <v>0</v>
      </c>
      <c r="F100" s="11">
        <f t="shared" si="36"/>
        <v>0</v>
      </c>
      <c r="G100" s="8">
        <v>273676</v>
      </c>
      <c r="H100" s="11">
        <f t="shared" si="37"/>
        <v>29557</v>
      </c>
      <c r="I100" s="12">
        <v>0</v>
      </c>
      <c r="J100" s="11">
        <f t="shared" si="38"/>
        <v>0</v>
      </c>
      <c r="K100" s="12">
        <f t="shared" si="39"/>
        <v>273676</v>
      </c>
      <c r="L100" s="11">
        <f t="shared" si="39"/>
        <v>29557</v>
      </c>
      <c r="M100" s="3" t="s">
        <v>5</v>
      </c>
      <c r="N100" s="2" t="s">
        <v>1014</v>
      </c>
      <c r="O100" s="2" t="s">
        <v>1122</v>
      </c>
      <c r="P100" s="2" t="s">
        <v>996</v>
      </c>
      <c r="Q100" s="2" t="s">
        <v>996</v>
      </c>
      <c r="R100" s="2" t="s">
        <v>995</v>
      </c>
      <c r="V100" s="1">
        <v>1</v>
      </c>
      <c r="AV100" s="2" t="s">
        <v>5</v>
      </c>
      <c r="AW100" s="2" t="s">
        <v>1213</v>
      </c>
      <c r="AX100" s="2" t="s">
        <v>5</v>
      </c>
      <c r="AY100" s="2" t="s">
        <v>5</v>
      </c>
    </row>
    <row r="101" spans="1:51" ht="30" customHeight="1" x14ac:dyDescent="0.3">
      <c r="A101" s="3" t="s">
        <v>1124</v>
      </c>
      <c r="B101" s="3" t="s">
        <v>1125</v>
      </c>
      <c r="C101" s="5" t="s">
        <v>340</v>
      </c>
      <c r="D101" s="10">
        <v>1</v>
      </c>
      <c r="E101" s="12">
        <f>TRUNC(SUMIF(V95:V101, RIGHTB(O101, 1), H95:H101)*U101, 2)</f>
        <v>886.71</v>
      </c>
      <c r="F101" s="11">
        <f t="shared" si="36"/>
        <v>886.7</v>
      </c>
      <c r="G101" s="12">
        <v>0</v>
      </c>
      <c r="H101" s="11">
        <f t="shared" si="37"/>
        <v>0</v>
      </c>
      <c r="I101" s="12">
        <v>0</v>
      </c>
      <c r="J101" s="11">
        <f t="shared" si="38"/>
        <v>0</v>
      </c>
      <c r="K101" s="12">
        <f t="shared" si="39"/>
        <v>886.7</v>
      </c>
      <c r="L101" s="11">
        <f t="shared" si="39"/>
        <v>886.7</v>
      </c>
      <c r="M101" s="3" t="s">
        <v>5</v>
      </c>
      <c r="N101" s="2" t="s">
        <v>1014</v>
      </c>
      <c r="O101" s="2" t="s">
        <v>1126</v>
      </c>
      <c r="P101" s="2" t="s">
        <v>996</v>
      </c>
      <c r="Q101" s="2" t="s">
        <v>996</v>
      </c>
      <c r="R101" s="2" t="s">
        <v>996</v>
      </c>
      <c r="S101" s="1">
        <v>1</v>
      </c>
      <c r="T101" s="1">
        <v>0</v>
      </c>
      <c r="U101" s="1">
        <v>0.03</v>
      </c>
      <c r="AV101" s="2" t="s">
        <v>5</v>
      </c>
      <c r="AW101" s="2" t="s">
        <v>1214</v>
      </c>
      <c r="AX101" s="2" t="s">
        <v>5</v>
      </c>
      <c r="AY101" s="2" t="s">
        <v>5</v>
      </c>
    </row>
    <row r="102" spans="1:51" ht="30" customHeight="1" x14ac:dyDescent="0.3">
      <c r="A102" s="3" t="s">
        <v>1128</v>
      </c>
      <c r="B102" s="3" t="s">
        <v>5</v>
      </c>
      <c r="C102" s="5" t="s">
        <v>5</v>
      </c>
      <c r="D102" s="10"/>
      <c r="E102" s="12"/>
      <c r="F102" s="11">
        <f>TRUNC(SUMIF(N95:N101, N94, F95:F101),0)</f>
        <v>5070</v>
      </c>
      <c r="G102" s="12"/>
      <c r="H102" s="11">
        <f>TRUNC(SUMIF(N95:N101, N94, H95:H101),0)</f>
        <v>29557</v>
      </c>
      <c r="I102" s="12"/>
      <c r="J102" s="11">
        <f>TRUNC(SUMIF(N95:N101, N94, J95:J101),0)</f>
        <v>0</v>
      </c>
      <c r="K102" s="12"/>
      <c r="L102" s="11">
        <f>F102+H102+J102</f>
        <v>34627</v>
      </c>
      <c r="M102" s="3" t="s">
        <v>5</v>
      </c>
      <c r="N102" s="2" t="s">
        <v>1053</v>
      </c>
      <c r="O102" s="2" t="s">
        <v>1053</v>
      </c>
      <c r="P102" s="2" t="s">
        <v>5</v>
      </c>
      <c r="Q102" s="2" t="s">
        <v>5</v>
      </c>
      <c r="R102" s="2" t="s">
        <v>5</v>
      </c>
      <c r="AV102" s="2" t="s">
        <v>5</v>
      </c>
      <c r="AW102" s="2" t="s">
        <v>5</v>
      </c>
      <c r="AX102" s="2" t="s">
        <v>5</v>
      </c>
      <c r="AY102" s="2" t="s">
        <v>5</v>
      </c>
    </row>
    <row r="103" spans="1:51" ht="30" customHeight="1" x14ac:dyDescent="0.3">
      <c r="A103" s="10"/>
      <c r="B103" s="10"/>
      <c r="C103" s="9"/>
      <c r="D103" s="10"/>
      <c r="E103" s="12"/>
      <c r="F103" s="11"/>
      <c r="G103" s="12"/>
      <c r="H103" s="11"/>
      <c r="I103" s="12"/>
      <c r="J103" s="11"/>
      <c r="K103" s="12"/>
      <c r="L103" s="11"/>
      <c r="M103" s="10"/>
    </row>
    <row r="104" spans="1:51" ht="30" customHeight="1" x14ac:dyDescent="0.3">
      <c r="A104" s="216" t="s">
        <v>1522</v>
      </c>
      <c r="B104" s="216"/>
      <c r="C104" s="216"/>
      <c r="D104" s="216"/>
      <c r="E104" s="217"/>
      <c r="F104" s="218"/>
      <c r="G104" s="217"/>
      <c r="H104" s="218"/>
      <c r="I104" s="217"/>
      <c r="J104" s="218"/>
      <c r="K104" s="217"/>
      <c r="L104" s="218"/>
      <c r="M104" s="216"/>
      <c r="N104" s="2" t="s">
        <v>1016</v>
      </c>
    </row>
    <row r="105" spans="1:51" ht="30" customHeight="1" x14ac:dyDescent="0.3">
      <c r="A105" s="3" t="s">
        <v>173</v>
      </c>
      <c r="B105" s="3" t="s">
        <v>1105</v>
      </c>
      <c r="C105" s="5" t="s">
        <v>12</v>
      </c>
      <c r="D105" s="10">
        <v>2</v>
      </c>
      <c r="E105" s="12">
        <v>1450</v>
      </c>
      <c r="F105" s="11">
        <f t="shared" ref="F105:F111" si="40">TRUNC(E105*D105,1)</f>
        <v>2900</v>
      </c>
      <c r="G105" s="12">
        <v>0</v>
      </c>
      <c r="H105" s="11">
        <f t="shared" ref="H105:H111" si="41">TRUNC(G105*D105,1)</f>
        <v>0</v>
      </c>
      <c r="I105" s="12">
        <v>0</v>
      </c>
      <c r="J105" s="11">
        <f t="shared" ref="J105:J111" si="42">TRUNC(I105*D105,1)</f>
        <v>0</v>
      </c>
      <c r="K105" s="12">
        <f t="shared" ref="K105:L111" si="43">TRUNC(E105+G105+I105,1)</f>
        <v>1450</v>
      </c>
      <c r="L105" s="11">
        <f t="shared" si="43"/>
        <v>2900</v>
      </c>
      <c r="M105" s="3" t="s">
        <v>5</v>
      </c>
      <c r="N105" s="2" t="s">
        <v>1016</v>
      </c>
      <c r="O105" s="2" t="s">
        <v>1106</v>
      </c>
      <c r="P105" s="2" t="s">
        <v>996</v>
      </c>
      <c r="Q105" s="2" t="s">
        <v>996</v>
      </c>
      <c r="R105" s="2" t="s">
        <v>995</v>
      </c>
      <c r="AV105" s="2" t="s">
        <v>5</v>
      </c>
      <c r="AW105" s="2" t="s">
        <v>1215</v>
      </c>
      <c r="AX105" s="2" t="s">
        <v>5</v>
      </c>
      <c r="AY105" s="2" t="s">
        <v>5</v>
      </c>
    </row>
    <row r="106" spans="1:51" ht="30" customHeight="1" x14ac:dyDescent="0.3">
      <c r="A106" s="3" t="s">
        <v>168</v>
      </c>
      <c r="B106" s="3" t="s">
        <v>1207</v>
      </c>
      <c r="C106" s="5" t="s">
        <v>14</v>
      </c>
      <c r="D106" s="10">
        <v>0.25</v>
      </c>
      <c r="E106" s="12">
        <v>6176</v>
      </c>
      <c r="F106" s="11">
        <f t="shared" si="40"/>
        <v>1544</v>
      </c>
      <c r="G106" s="12">
        <v>0</v>
      </c>
      <c r="H106" s="11">
        <f t="shared" si="41"/>
        <v>0</v>
      </c>
      <c r="I106" s="12">
        <v>0</v>
      </c>
      <c r="J106" s="11">
        <f t="shared" si="42"/>
        <v>0</v>
      </c>
      <c r="K106" s="12">
        <f t="shared" si="43"/>
        <v>6176</v>
      </c>
      <c r="L106" s="11">
        <f t="shared" si="43"/>
        <v>1544</v>
      </c>
      <c r="M106" s="3" t="s">
        <v>5</v>
      </c>
      <c r="N106" s="2" t="s">
        <v>1016</v>
      </c>
      <c r="O106" s="2" t="s">
        <v>1208</v>
      </c>
      <c r="P106" s="2" t="s">
        <v>996</v>
      </c>
      <c r="Q106" s="2" t="s">
        <v>996</v>
      </c>
      <c r="R106" s="2" t="s">
        <v>995</v>
      </c>
      <c r="AV106" s="2" t="s">
        <v>5</v>
      </c>
      <c r="AW106" s="2" t="s">
        <v>1216</v>
      </c>
      <c r="AX106" s="2" t="s">
        <v>5</v>
      </c>
      <c r="AY106" s="2" t="s">
        <v>5</v>
      </c>
    </row>
    <row r="107" spans="1:51" ht="30" customHeight="1" x14ac:dyDescent="0.3">
      <c r="A107" s="3" t="s">
        <v>1108</v>
      </c>
      <c r="B107" s="3" t="s">
        <v>180</v>
      </c>
      <c r="C107" s="5" t="s">
        <v>12</v>
      </c>
      <c r="D107" s="10">
        <v>2</v>
      </c>
      <c r="E107" s="12">
        <v>100</v>
      </c>
      <c r="F107" s="11">
        <f t="shared" si="40"/>
        <v>200</v>
      </c>
      <c r="G107" s="12">
        <v>0</v>
      </c>
      <c r="H107" s="11">
        <f t="shared" si="41"/>
        <v>0</v>
      </c>
      <c r="I107" s="12">
        <v>0</v>
      </c>
      <c r="J107" s="11">
        <f t="shared" si="42"/>
        <v>0</v>
      </c>
      <c r="K107" s="12">
        <f t="shared" si="43"/>
        <v>100</v>
      </c>
      <c r="L107" s="11">
        <f t="shared" si="43"/>
        <v>200</v>
      </c>
      <c r="M107" s="3" t="s">
        <v>5</v>
      </c>
      <c r="N107" s="2" t="s">
        <v>1016</v>
      </c>
      <c r="O107" s="2" t="s">
        <v>1109</v>
      </c>
      <c r="P107" s="2" t="s">
        <v>996</v>
      </c>
      <c r="Q107" s="2" t="s">
        <v>996</v>
      </c>
      <c r="R107" s="2" t="s">
        <v>995</v>
      </c>
      <c r="AV107" s="2" t="s">
        <v>5</v>
      </c>
      <c r="AW107" s="2" t="s">
        <v>1217</v>
      </c>
      <c r="AX107" s="2" t="s">
        <v>5</v>
      </c>
      <c r="AY107" s="2" t="s">
        <v>5</v>
      </c>
    </row>
    <row r="108" spans="1:51" ht="30" customHeight="1" x14ac:dyDescent="0.3">
      <c r="A108" s="3" t="s">
        <v>174</v>
      </c>
      <c r="B108" s="3" t="s">
        <v>175</v>
      </c>
      <c r="C108" s="5" t="s">
        <v>12</v>
      </c>
      <c r="D108" s="10">
        <v>4</v>
      </c>
      <c r="E108" s="199">
        <v>21</v>
      </c>
      <c r="F108" s="11">
        <f t="shared" si="40"/>
        <v>84</v>
      </c>
      <c r="G108" s="12">
        <v>0</v>
      </c>
      <c r="H108" s="11">
        <f t="shared" si="41"/>
        <v>0</v>
      </c>
      <c r="I108" s="12">
        <v>0</v>
      </c>
      <c r="J108" s="11">
        <f t="shared" si="42"/>
        <v>0</v>
      </c>
      <c r="K108" s="12">
        <f t="shared" si="43"/>
        <v>21</v>
      </c>
      <c r="L108" s="11">
        <f t="shared" si="43"/>
        <v>84</v>
      </c>
      <c r="M108" s="3" t="s">
        <v>5</v>
      </c>
      <c r="N108" s="2" t="s">
        <v>1016</v>
      </c>
      <c r="O108" s="2" t="s">
        <v>1111</v>
      </c>
      <c r="P108" s="2" t="s">
        <v>996</v>
      </c>
      <c r="Q108" s="2" t="s">
        <v>996</v>
      </c>
      <c r="R108" s="2" t="s">
        <v>995</v>
      </c>
      <c r="AV108" s="2" t="s">
        <v>5</v>
      </c>
      <c r="AW108" s="2" t="s">
        <v>1218</v>
      </c>
      <c r="AX108" s="2" t="s">
        <v>5</v>
      </c>
      <c r="AY108" s="2" t="s">
        <v>5</v>
      </c>
    </row>
    <row r="109" spans="1:51" ht="30" customHeight="1" x14ac:dyDescent="0.3">
      <c r="A109" s="3" t="s">
        <v>177</v>
      </c>
      <c r="B109" s="3" t="s">
        <v>1113</v>
      </c>
      <c r="C109" s="5" t="s">
        <v>12</v>
      </c>
      <c r="D109" s="10">
        <v>4</v>
      </c>
      <c r="E109" s="12">
        <v>9.3000000000000007</v>
      </c>
      <c r="F109" s="11">
        <f t="shared" si="40"/>
        <v>37.200000000000003</v>
      </c>
      <c r="G109" s="12">
        <v>0</v>
      </c>
      <c r="H109" s="11">
        <f t="shared" si="41"/>
        <v>0</v>
      </c>
      <c r="I109" s="12">
        <v>0</v>
      </c>
      <c r="J109" s="11">
        <f t="shared" si="42"/>
        <v>0</v>
      </c>
      <c r="K109" s="12">
        <f t="shared" si="43"/>
        <v>9.3000000000000007</v>
      </c>
      <c r="L109" s="11">
        <f t="shared" si="43"/>
        <v>37.200000000000003</v>
      </c>
      <c r="M109" s="3" t="s">
        <v>5</v>
      </c>
      <c r="N109" s="2" t="s">
        <v>1016</v>
      </c>
      <c r="O109" s="2" t="s">
        <v>1114</v>
      </c>
      <c r="P109" s="2" t="s">
        <v>996</v>
      </c>
      <c r="Q109" s="2" t="s">
        <v>996</v>
      </c>
      <c r="R109" s="2" t="s">
        <v>995</v>
      </c>
      <c r="AV109" s="2" t="s">
        <v>5</v>
      </c>
      <c r="AW109" s="2" t="s">
        <v>1219</v>
      </c>
      <c r="AX109" s="2" t="s">
        <v>5</v>
      </c>
      <c r="AY109" s="2" t="s">
        <v>5</v>
      </c>
    </row>
    <row r="110" spans="1:51" ht="30" customHeight="1" x14ac:dyDescent="0.3">
      <c r="A110" s="3" t="s">
        <v>1119</v>
      </c>
      <c r="B110" s="3" t="s">
        <v>1120</v>
      </c>
      <c r="C110" s="5" t="s">
        <v>1121</v>
      </c>
      <c r="D110" s="10">
        <v>0.108</v>
      </c>
      <c r="E110" s="12">
        <v>0</v>
      </c>
      <c r="F110" s="11">
        <f t="shared" si="40"/>
        <v>0</v>
      </c>
      <c r="G110" s="8">
        <v>273676</v>
      </c>
      <c r="H110" s="11">
        <f t="shared" si="41"/>
        <v>29557</v>
      </c>
      <c r="I110" s="12">
        <v>0</v>
      </c>
      <c r="J110" s="11">
        <f t="shared" si="42"/>
        <v>0</v>
      </c>
      <c r="K110" s="12">
        <f t="shared" si="43"/>
        <v>273676</v>
      </c>
      <c r="L110" s="11">
        <f t="shared" si="43"/>
        <v>29557</v>
      </c>
      <c r="M110" s="3" t="s">
        <v>5</v>
      </c>
      <c r="N110" s="2" t="s">
        <v>1016</v>
      </c>
      <c r="O110" s="2" t="s">
        <v>1122</v>
      </c>
      <c r="P110" s="2" t="s">
        <v>996</v>
      </c>
      <c r="Q110" s="2" t="s">
        <v>996</v>
      </c>
      <c r="R110" s="2" t="s">
        <v>995</v>
      </c>
      <c r="V110" s="1">
        <v>1</v>
      </c>
      <c r="AV110" s="2" t="s">
        <v>5</v>
      </c>
      <c r="AW110" s="2" t="s">
        <v>1220</v>
      </c>
      <c r="AX110" s="2" t="s">
        <v>5</v>
      </c>
      <c r="AY110" s="2" t="s">
        <v>5</v>
      </c>
    </row>
    <row r="111" spans="1:51" ht="30" customHeight="1" x14ac:dyDescent="0.3">
      <c r="A111" s="3" t="s">
        <v>1124</v>
      </c>
      <c r="B111" s="3" t="s">
        <v>1125</v>
      </c>
      <c r="C111" s="5" t="s">
        <v>340</v>
      </c>
      <c r="D111" s="10">
        <v>1</v>
      </c>
      <c r="E111" s="12">
        <f>TRUNC(SUMIF(V105:V111, RIGHTB(O111, 1), H105:H111)*U111, 2)</f>
        <v>886.71</v>
      </c>
      <c r="F111" s="11">
        <f t="shared" si="40"/>
        <v>886.7</v>
      </c>
      <c r="G111" s="12">
        <v>0</v>
      </c>
      <c r="H111" s="11">
        <f t="shared" si="41"/>
        <v>0</v>
      </c>
      <c r="I111" s="12">
        <v>0</v>
      </c>
      <c r="J111" s="11">
        <f t="shared" si="42"/>
        <v>0</v>
      </c>
      <c r="K111" s="12">
        <f t="shared" si="43"/>
        <v>886.7</v>
      </c>
      <c r="L111" s="11">
        <f t="shared" si="43"/>
        <v>886.7</v>
      </c>
      <c r="M111" s="3" t="s">
        <v>5</v>
      </c>
      <c r="N111" s="2" t="s">
        <v>1016</v>
      </c>
      <c r="O111" s="2" t="s">
        <v>1126</v>
      </c>
      <c r="P111" s="2" t="s">
        <v>996</v>
      </c>
      <c r="Q111" s="2" t="s">
        <v>996</v>
      </c>
      <c r="R111" s="2" t="s">
        <v>996</v>
      </c>
      <c r="S111" s="1">
        <v>1</v>
      </c>
      <c r="T111" s="1">
        <v>0</v>
      </c>
      <c r="U111" s="1">
        <v>0.03</v>
      </c>
      <c r="AV111" s="2" t="s">
        <v>5</v>
      </c>
      <c r="AW111" s="2" t="s">
        <v>1221</v>
      </c>
      <c r="AX111" s="2" t="s">
        <v>5</v>
      </c>
      <c r="AY111" s="2" t="s">
        <v>5</v>
      </c>
    </row>
    <row r="112" spans="1:51" ht="30" customHeight="1" x14ac:dyDescent="0.3">
      <c r="A112" s="3" t="s">
        <v>1128</v>
      </c>
      <c r="B112" s="3" t="s">
        <v>5</v>
      </c>
      <c r="C112" s="5" t="s">
        <v>5</v>
      </c>
      <c r="D112" s="10"/>
      <c r="E112" s="12"/>
      <c r="F112" s="11">
        <f>TRUNC(SUMIF(N105:N111, N104, F105:F111),0)</f>
        <v>5651</v>
      </c>
      <c r="G112" s="12"/>
      <c r="H112" s="11">
        <f>TRUNC(SUMIF(N105:N111, N104, H105:H111),0)</f>
        <v>29557</v>
      </c>
      <c r="I112" s="12"/>
      <c r="J112" s="11">
        <f>TRUNC(SUMIF(N105:N111, N104, J105:J111),0)</f>
        <v>0</v>
      </c>
      <c r="K112" s="12"/>
      <c r="L112" s="11">
        <f>F112+H112+J112</f>
        <v>35208</v>
      </c>
      <c r="M112" s="3" t="s">
        <v>5</v>
      </c>
      <c r="N112" s="2" t="s">
        <v>1053</v>
      </c>
      <c r="O112" s="2" t="s">
        <v>1053</v>
      </c>
      <c r="P112" s="2" t="s">
        <v>5</v>
      </c>
      <c r="Q112" s="2" t="s">
        <v>5</v>
      </c>
      <c r="R112" s="2" t="s">
        <v>5</v>
      </c>
      <c r="AV112" s="2" t="s">
        <v>5</v>
      </c>
      <c r="AW112" s="2" t="s">
        <v>5</v>
      </c>
      <c r="AX112" s="2" t="s">
        <v>5</v>
      </c>
      <c r="AY112" s="2" t="s">
        <v>5</v>
      </c>
    </row>
    <row r="113" spans="1:51" ht="30" customHeight="1" x14ac:dyDescent="0.3">
      <c r="A113" s="10"/>
      <c r="B113" s="10"/>
      <c r="C113" s="9"/>
      <c r="D113" s="10"/>
      <c r="E113" s="12"/>
      <c r="F113" s="11"/>
      <c r="G113" s="12"/>
      <c r="H113" s="11"/>
      <c r="I113" s="12"/>
      <c r="J113" s="11"/>
      <c r="K113" s="12"/>
      <c r="L113" s="11"/>
      <c r="M113" s="10"/>
    </row>
    <row r="114" spans="1:51" ht="30" customHeight="1" x14ac:dyDescent="0.3">
      <c r="A114" s="216" t="s">
        <v>1523</v>
      </c>
      <c r="B114" s="216"/>
      <c r="C114" s="216"/>
      <c r="D114" s="216"/>
      <c r="E114" s="217"/>
      <c r="F114" s="218"/>
      <c r="G114" s="217"/>
      <c r="H114" s="218"/>
      <c r="I114" s="217"/>
      <c r="J114" s="218"/>
      <c r="K114" s="217"/>
      <c r="L114" s="218"/>
      <c r="M114" s="216"/>
      <c r="N114" s="2" t="s">
        <v>1018</v>
      </c>
    </row>
    <row r="115" spans="1:51" ht="30" customHeight="1" x14ac:dyDescent="0.3">
      <c r="A115" s="3" t="s">
        <v>173</v>
      </c>
      <c r="B115" s="3" t="s">
        <v>1105</v>
      </c>
      <c r="C115" s="5" t="s">
        <v>12</v>
      </c>
      <c r="D115" s="10">
        <v>2</v>
      </c>
      <c r="E115" s="12">
        <v>1450</v>
      </c>
      <c r="F115" s="11">
        <f t="shared" ref="F115:F121" si="44">TRUNC(E115*D115,1)</f>
        <v>2900</v>
      </c>
      <c r="G115" s="12">
        <v>0</v>
      </c>
      <c r="H115" s="11">
        <f t="shared" ref="H115:H121" si="45">TRUNC(G115*D115,1)</f>
        <v>0</v>
      </c>
      <c r="I115" s="12">
        <v>0</v>
      </c>
      <c r="J115" s="11">
        <f t="shared" ref="J115:J121" si="46">TRUNC(I115*D115,1)</f>
        <v>0</v>
      </c>
      <c r="K115" s="12">
        <f t="shared" ref="K115:L121" si="47">TRUNC(E115+G115+I115,1)</f>
        <v>1450</v>
      </c>
      <c r="L115" s="11">
        <f t="shared" si="47"/>
        <v>2900</v>
      </c>
      <c r="M115" s="3" t="s">
        <v>5</v>
      </c>
      <c r="N115" s="2" t="s">
        <v>1018</v>
      </c>
      <c r="O115" s="2" t="s">
        <v>1106</v>
      </c>
      <c r="P115" s="2" t="s">
        <v>996</v>
      </c>
      <c r="Q115" s="2" t="s">
        <v>996</v>
      </c>
      <c r="R115" s="2" t="s">
        <v>995</v>
      </c>
      <c r="AV115" s="2" t="s">
        <v>5</v>
      </c>
      <c r="AW115" s="2" t="s">
        <v>1222</v>
      </c>
      <c r="AX115" s="2" t="s">
        <v>5</v>
      </c>
      <c r="AY115" s="2" t="s">
        <v>5</v>
      </c>
    </row>
    <row r="116" spans="1:51" ht="30" customHeight="1" x14ac:dyDescent="0.3">
      <c r="A116" s="3" t="s">
        <v>168</v>
      </c>
      <c r="B116" s="3" t="s">
        <v>1207</v>
      </c>
      <c r="C116" s="5" t="s">
        <v>14</v>
      </c>
      <c r="D116" s="10">
        <v>0.3</v>
      </c>
      <c r="E116" s="199">
        <v>6176</v>
      </c>
      <c r="F116" s="11">
        <f t="shared" si="44"/>
        <v>1852.8</v>
      </c>
      <c r="G116" s="12">
        <v>0</v>
      </c>
      <c r="H116" s="11">
        <f t="shared" si="45"/>
        <v>0</v>
      </c>
      <c r="I116" s="12">
        <v>0</v>
      </c>
      <c r="J116" s="11">
        <f t="shared" si="46"/>
        <v>0</v>
      </c>
      <c r="K116" s="12">
        <f t="shared" si="47"/>
        <v>6176</v>
      </c>
      <c r="L116" s="11">
        <f t="shared" si="47"/>
        <v>1852.8</v>
      </c>
      <c r="M116" s="3" t="s">
        <v>5</v>
      </c>
      <c r="N116" s="2" t="s">
        <v>1018</v>
      </c>
      <c r="O116" s="2" t="s">
        <v>1208</v>
      </c>
      <c r="P116" s="2" t="s">
        <v>996</v>
      </c>
      <c r="Q116" s="2" t="s">
        <v>996</v>
      </c>
      <c r="R116" s="2" t="s">
        <v>995</v>
      </c>
      <c r="AV116" s="2" t="s">
        <v>5</v>
      </c>
      <c r="AW116" s="2" t="s">
        <v>1223</v>
      </c>
      <c r="AX116" s="2" t="s">
        <v>5</v>
      </c>
      <c r="AY116" s="2" t="s">
        <v>5</v>
      </c>
    </row>
    <row r="117" spans="1:51" ht="30" customHeight="1" x14ac:dyDescent="0.3">
      <c r="A117" s="3" t="s">
        <v>1108</v>
      </c>
      <c r="B117" s="3" t="s">
        <v>180</v>
      </c>
      <c r="C117" s="5" t="s">
        <v>12</v>
      </c>
      <c r="D117" s="10">
        <v>2</v>
      </c>
      <c r="E117" s="12">
        <v>100</v>
      </c>
      <c r="F117" s="11">
        <f t="shared" si="44"/>
        <v>200</v>
      </c>
      <c r="G117" s="12">
        <v>0</v>
      </c>
      <c r="H117" s="11">
        <f t="shared" si="45"/>
        <v>0</v>
      </c>
      <c r="I117" s="12">
        <v>0</v>
      </c>
      <c r="J117" s="11">
        <f t="shared" si="46"/>
        <v>0</v>
      </c>
      <c r="K117" s="12">
        <f t="shared" si="47"/>
        <v>100</v>
      </c>
      <c r="L117" s="11">
        <f t="shared" si="47"/>
        <v>200</v>
      </c>
      <c r="M117" s="3" t="s">
        <v>5</v>
      </c>
      <c r="N117" s="2" t="s">
        <v>1018</v>
      </c>
      <c r="O117" s="2" t="s">
        <v>1109</v>
      </c>
      <c r="P117" s="2" t="s">
        <v>996</v>
      </c>
      <c r="Q117" s="2" t="s">
        <v>996</v>
      </c>
      <c r="R117" s="2" t="s">
        <v>995</v>
      </c>
      <c r="AV117" s="2" t="s">
        <v>5</v>
      </c>
      <c r="AW117" s="2" t="s">
        <v>1224</v>
      </c>
      <c r="AX117" s="2" t="s">
        <v>5</v>
      </c>
      <c r="AY117" s="2" t="s">
        <v>5</v>
      </c>
    </row>
    <row r="118" spans="1:51" ht="30" customHeight="1" x14ac:dyDescent="0.3">
      <c r="A118" s="3" t="s">
        <v>174</v>
      </c>
      <c r="B118" s="3" t="s">
        <v>175</v>
      </c>
      <c r="C118" s="5" t="s">
        <v>12</v>
      </c>
      <c r="D118" s="10">
        <v>4</v>
      </c>
      <c r="E118" s="199">
        <v>21</v>
      </c>
      <c r="F118" s="11">
        <f t="shared" si="44"/>
        <v>84</v>
      </c>
      <c r="G118" s="12">
        <v>0</v>
      </c>
      <c r="H118" s="11">
        <f t="shared" si="45"/>
        <v>0</v>
      </c>
      <c r="I118" s="12">
        <v>0</v>
      </c>
      <c r="J118" s="11">
        <f t="shared" si="46"/>
        <v>0</v>
      </c>
      <c r="K118" s="12">
        <f t="shared" si="47"/>
        <v>21</v>
      </c>
      <c r="L118" s="11">
        <f t="shared" si="47"/>
        <v>84</v>
      </c>
      <c r="M118" s="3" t="s">
        <v>5</v>
      </c>
      <c r="N118" s="2" t="s">
        <v>1018</v>
      </c>
      <c r="O118" s="2" t="s">
        <v>1111</v>
      </c>
      <c r="P118" s="2" t="s">
        <v>996</v>
      </c>
      <c r="Q118" s="2" t="s">
        <v>996</v>
      </c>
      <c r="R118" s="2" t="s">
        <v>995</v>
      </c>
      <c r="AV118" s="2" t="s">
        <v>5</v>
      </c>
      <c r="AW118" s="2" t="s">
        <v>1225</v>
      </c>
      <c r="AX118" s="2" t="s">
        <v>5</v>
      </c>
      <c r="AY118" s="2" t="s">
        <v>5</v>
      </c>
    </row>
    <row r="119" spans="1:51" ht="30" customHeight="1" x14ac:dyDescent="0.3">
      <c r="A119" s="3" t="s">
        <v>177</v>
      </c>
      <c r="B119" s="3" t="s">
        <v>1113</v>
      </c>
      <c r="C119" s="5" t="s">
        <v>12</v>
      </c>
      <c r="D119" s="10">
        <v>4</v>
      </c>
      <c r="E119" s="12">
        <v>9.3000000000000007</v>
      </c>
      <c r="F119" s="11">
        <f t="shared" si="44"/>
        <v>37.200000000000003</v>
      </c>
      <c r="G119" s="12">
        <v>0</v>
      </c>
      <c r="H119" s="11">
        <f t="shared" si="45"/>
        <v>0</v>
      </c>
      <c r="I119" s="12">
        <v>0</v>
      </c>
      <c r="J119" s="11">
        <f t="shared" si="46"/>
        <v>0</v>
      </c>
      <c r="K119" s="12">
        <f t="shared" si="47"/>
        <v>9.3000000000000007</v>
      </c>
      <c r="L119" s="11">
        <f t="shared" si="47"/>
        <v>37.200000000000003</v>
      </c>
      <c r="M119" s="3" t="s">
        <v>5</v>
      </c>
      <c r="N119" s="2" t="s">
        <v>1018</v>
      </c>
      <c r="O119" s="2" t="s">
        <v>1114</v>
      </c>
      <c r="P119" s="2" t="s">
        <v>996</v>
      </c>
      <c r="Q119" s="2" t="s">
        <v>996</v>
      </c>
      <c r="R119" s="2" t="s">
        <v>995</v>
      </c>
      <c r="AV119" s="2" t="s">
        <v>5</v>
      </c>
      <c r="AW119" s="2" t="s">
        <v>1226</v>
      </c>
      <c r="AX119" s="2" t="s">
        <v>5</v>
      </c>
      <c r="AY119" s="2" t="s">
        <v>5</v>
      </c>
    </row>
    <row r="120" spans="1:51" ht="30" customHeight="1" x14ac:dyDescent="0.3">
      <c r="A120" s="3" t="s">
        <v>1119</v>
      </c>
      <c r="B120" s="3" t="s">
        <v>1120</v>
      </c>
      <c r="C120" s="5" t="s">
        <v>1121</v>
      </c>
      <c r="D120" s="10">
        <v>0.108</v>
      </c>
      <c r="E120" s="12">
        <v>0</v>
      </c>
      <c r="F120" s="11">
        <f t="shared" si="44"/>
        <v>0</v>
      </c>
      <c r="G120" s="8">
        <v>273676</v>
      </c>
      <c r="H120" s="11">
        <f t="shared" si="45"/>
        <v>29557</v>
      </c>
      <c r="I120" s="12">
        <v>0</v>
      </c>
      <c r="J120" s="11">
        <f t="shared" si="46"/>
        <v>0</v>
      </c>
      <c r="K120" s="12">
        <f t="shared" si="47"/>
        <v>273676</v>
      </c>
      <c r="L120" s="11">
        <f t="shared" si="47"/>
        <v>29557</v>
      </c>
      <c r="M120" s="3" t="s">
        <v>5</v>
      </c>
      <c r="N120" s="2" t="s">
        <v>1018</v>
      </c>
      <c r="O120" s="2" t="s">
        <v>1122</v>
      </c>
      <c r="P120" s="2" t="s">
        <v>996</v>
      </c>
      <c r="Q120" s="2" t="s">
        <v>996</v>
      </c>
      <c r="R120" s="2" t="s">
        <v>995</v>
      </c>
      <c r="V120" s="1">
        <v>1</v>
      </c>
      <c r="AV120" s="2" t="s">
        <v>5</v>
      </c>
      <c r="AW120" s="2" t="s">
        <v>1227</v>
      </c>
      <c r="AX120" s="2" t="s">
        <v>5</v>
      </c>
      <c r="AY120" s="2" t="s">
        <v>5</v>
      </c>
    </row>
    <row r="121" spans="1:51" ht="30" customHeight="1" x14ac:dyDescent="0.3">
      <c r="A121" s="3" t="s">
        <v>1124</v>
      </c>
      <c r="B121" s="3" t="s">
        <v>1125</v>
      </c>
      <c r="C121" s="5" t="s">
        <v>340</v>
      </c>
      <c r="D121" s="10">
        <v>1</v>
      </c>
      <c r="E121" s="12">
        <f>TRUNC(SUMIF(V115:V121, RIGHTB(O121, 1), H115:H121)*U121, 2)</f>
        <v>886.71</v>
      </c>
      <c r="F121" s="11">
        <f t="shared" si="44"/>
        <v>886.7</v>
      </c>
      <c r="G121" s="12">
        <v>0</v>
      </c>
      <c r="H121" s="11">
        <f t="shared" si="45"/>
        <v>0</v>
      </c>
      <c r="I121" s="12">
        <v>0</v>
      </c>
      <c r="J121" s="11">
        <f t="shared" si="46"/>
        <v>0</v>
      </c>
      <c r="K121" s="12">
        <f t="shared" si="47"/>
        <v>886.7</v>
      </c>
      <c r="L121" s="11">
        <f t="shared" si="47"/>
        <v>886.7</v>
      </c>
      <c r="M121" s="3" t="s">
        <v>5</v>
      </c>
      <c r="N121" s="2" t="s">
        <v>1018</v>
      </c>
      <c r="O121" s="2" t="s">
        <v>1126</v>
      </c>
      <c r="P121" s="2" t="s">
        <v>996</v>
      </c>
      <c r="Q121" s="2" t="s">
        <v>996</v>
      </c>
      <c r="R121" s="2" t="s">
        <v>996</v>
      </c>
      <c r="S121" s="1">
        <v>1</v>
      </c>
      <c r="T121" s="1">
        <v>0</v>
      </c>
      <c r="U121" s="1">
        <v>0.03</v>
      </c>
      <c r="AV121" s="2" t="s">
        <v>5</v>
      </c>
      <c r="AW121" s="2" t="s">
        <v>1228</v>
      </c>
      <c r="AX121" s="2" t="s">
        <v>5</v>
      </c>
      <c r="AY121" s="2" t="s">
        <v>5</v>
      </c>
    </row>
    <row r="122" spans="1:51" ht="30" customHeight="1" x14ac:dyDescent="0.3">
      <c r="A122" s="3" t="s">
        <v>1128</v>
      </c>
      <c r="B122" s="3" t="s">
        <v>5</v>
      </c>
      <c r="C122" s="5" t="s">
        <v>5</v>
      </c>
      <c r="D122" s="10"/>
      <c r="E122" s="12"/>
      <c r="F122" s="11">
        <f>TRUNC(SUMIF(N115:N121, N114, F115:F121),0)</f>
        <v>5960</v>
      </c>
      <c r="G122" s="12"/>
      <c r="H122" s="11">
        <f>TRUNC(SUMIF(N115:N121, N114, H115:H121),0)</f>
        <v>29557</v>
      </c>
      <c r="I122" s="12"/>
      <c r="J122" s="11">
        <f>TRUNC(SUMIF(N115:N121, N114, J115:J121),0)</f>
        <v>0</v>
      </c>
      <c r="K122" s="12"/>
      <c r="L122" s="11">
        <f>F122+H122+J122</f>
        <v>35517</v>
      </c>
      <c r="M122" s="3" t="s">
        <v>5</v>
      </c>
      <c r="N122" s="2" t="s">
        <v>1053</v>
      </c>
      <c r="O122" s="2" t="s">
        <v>1053</v>
      </c>
      <c r="P122" s="2" t="s">
        <v>5</v>
      </c>
      <c r="Q122" s="2" t="s">
        <v>5</v>
      </c>
      <c r="R122" s="2" t="s">
        <v>5</v>
      </c>
      <c r="AV122" s="2" t="s">
        <v>5</v>
      </c>
      <c r="AW122" s="2" t="s">
        <v>5</v>
      </c>
      <c r="AX122" s="2" t="s">
        <v>5</v>
      </c>
      <c r="AY122" s="2" t="s">
        <v>5</v>
      </c>
    </row>
    <row r="123" spans="1:51" ht="30" customHeight="1" x14ac:dyDescent="0.3">
      <c r="A123" s="10"/>
      <c r="B123" s="10"/>
      <c r="C123" s="9"/>
      <c r="D123" s="10"/>
      <c r="E123" s="12"/>
      <c r="F123" s="11"/>
      <c r="G123" s="12"/>
      <c r="H123" s="11"/>
      <c r="I123" s="12"/>
      <c r="J123" s="11"/>
      <c r="K123" s="12"/>
      <c r="L123" s="11"/>
      <c r="M123" s="10"/>
    </row>
    <row r="124" spans="1:51" ht="30" customHeight="1" x14ac:dyDescent="0.3">
      <c r="A124" s="216" t="s">
        <v>1524</v>
      </c>
      <c r="B124" s="216"/>
      <c r="C124" s="216"/>
      <c r="D124" s="216"/>
      <c r="E124" s="217"/>
      <c r="F124" s="218"/>
      <c r="G124" s="217"/>
      <c r="H124" s="218"/>
      <c r="I124" s="217"/>
      <c r="J124" s="218"/>
      <c r="K124" s="217"/>
      <c r="L124" s="218"/>
      <c r="M124" s="216"/>
      <c r="N124" s="2" t="s">
        <v>1020</v>
      </c>
    </row>
    <row r="125" spans="1:51" ht="30" customHeight="1" x14ac:dyDescent="0.3">
      <c r="A125" s="3" t="s">
        <v>173</v>
      </c>
      <c r="B125" s="3" t="s">
        <v>1105</v>
      </c>
      <c r="C125" s="5" t="s">
        <v>12</v>
      </c>
      <c r="D125" s="10">
        <v>2</v>
      </c>
      <c r="E125" s="12">
        <v>1450</v>
      </c>
      <c r="F125" s="11">
        <f t="shared" ref="F125:F131" si="48">TRUNC(E125*D125,1)</f>
        <v>2900</v>
      </c>
      <c r="G125" s="12">
        <v>0</v>
      </c>
      <c r="H125" s="11">
        <f t="shared" ref="H125:H131" si="49">TRUNC(G125*D125,1)</f>
        <v>0</v>
      </c>
      <c r="I125" s="12">
        <v>0</v>
      </c>
      <c r="J125" s="11">
        <f t="shared" ref="J125:J131" si="50">TRUNC(I125*D125,1)</f>
        <v>0</v>
      </c>
      <c r="K125" s="12">
        <f t="shared" ref="K125:L131" si="51">TRUNC(E125+G125+I125,1)</f>
        <v>1450</v>
      </c>
      <c r="L125" s="11">
        <f t="shared" si="51"/>
        <v>2900</v>
      </c>
      <c r="M125" s="3" t="s">
        <v>5</v>
      </c>
      <c r="N125" s="2" t="s">
        <v>1020</v>
      </c>
      <c r="O125" s="2" t="s">
        <v>1106</v>
      </c>
      <c r="P125" s="2" t="s">
        <v>996</v>
      </c>
      <c r="Q125" s="2" t="s">
        <v>996</v>
      </c>
      <c r="R125" s="2" t="s">
        <v>995</v>
      </c>
      <c r="AV125" s="2" t="s">
        <v>5</v>
      </c>
      <c r="AW125" s="2" t="s">
        <v>1229</v>
      </c>
      <c r="AX125" s="2" t="s">
        <v>5</v>
      </c>
      <c r="AY125" s="2" t="s">
        <v>5</v>
      </c>
    </row>
    <row r="126" spans="1:51" ht="30" customHeight="1" x14ac:dyDescent="0.3">
      <c r="A126" s="3" t="s">
        <v>168</v>
      </c>
      <c r="B126" s="3" t="s">
        <v>1207</v>
      </c>
      <c r="C126" s="5" t="s">
        <v>14</v>
      </c>
      <c r="D126" s="10">
        <v>0.4</v>
      </c>
      <c r="E126" s="199">
        <v>6176</v>
      </c>
      <c r="F126" s="11">
        <f t="shared" si="48"/>
        <v>2470.4</v>
      </c>
      <c r="G126" s="12">
        <v>0</v>
      </c>
      <c r="H126" s="11">
        <f t="shared" si="49"/>
        <v>0</v>
      </c>
      <c r="I126" s="12">
        <v>0</v>
      </c>
      <c r="J126" s="11">
        <f t="shared" si="50"/>
        <v>0</v>
      </c>
      <c r="K126" s="12">
        <f t="shared" si="51"/>
        <v>6176</v>
      </c>
      <c r="L126" s="11">
        <f t="shared" si="51"/>
        <v>2470.4</v>
      </c>
      <c r="M126" s="3" t="s">
        <v>5</v>
      </c>
      <c r="N126" s="2" t="s">
        <v>1020</v>
      </c>
      <c r="O126" s="2" t="s">
        <v>1208</v>
      </c>
      <c r="P126" s="2" t="s">
        <v>996</v>
      </c>
      <c r="Q126" s="2" t="s">
        <v>996</v>
      </c>
      <c r="R126" s="2" t="s">
        <v>995</v>
      </c>
      <c r="AV126" s="2" t="s">
        <v>5</v>
      </c>
      <c r="AW126" s="2" t="s">
        <v>1230</v>
      </c>
      <c r="AX126" s="2" t="s">
        <v>5</v>
      </c>
      <c r="AY126" s="2" t="s">
        <v>5</v>
      </c>
    </row>
    <row r="127" spans="1:51" ht="30" customHeight="1" x14ac:dyDescent="0.3">
      <c r="A127" s="3" t="s">
        <v>1108</v>
      </c>
      <c r="B127" s="3" t="s">
        <v>180</v>
      </c>
      <c r="C127" s="5" t="s">
        <v>12</v>
      </c>
      <c r="D127" s="10">
        <v>2</v>
      </c>
      <c r="E127" s="12">
        <v>100</v>
      </c>
      <c r="F127" s="11">
        <f t="shared" si="48"/>
        <v>200</v>
      </c>
      <c r="G127" s="12">
        <v>0</v>
      </c>
      <c r="H127" s="11">
        <f t="shared" si="49"/>
        <v>0</v>
      </c>
      <c r="I127" s="12">
        <v>0</v>
      </c>
      <c r="J127" s="11">
        <f t="shared" si="50"/>
        <v>0</v>
      </c>
      <c r="K127" s="12">
        <f t="shared" si="51"/>
        <v>100</v>
      </c>
      <c r="L127" s="11">
        <f t="shared" si="51"/>
        <v>200</v>
      </c>
      <c r="M127" s="3" t="s">
        <v>5</v>
      </c>
      <c r="N127" s="2" t="s">
        <v>1020</v>
      </c>
      <c r="O127" s="2" t="s">
        <v>1109</v>
      </c>
      <c r="P127" s="2" t="s">
        <v>996</v>
      </c>
      <c r="Q127" s="2" t="s">
        <v>996</v>
      </c>
      <c r="R127" s="2" t="s">
        <v>995</v>
      </c>
      <c r="AV127" s="2" t="s">
        <v>5</v>
      </c>
      <c r="AW127" s="2" t="s">
        <v>1231</v>
      </c>
      <c r="AX127" s="2" t="s">
        <v>5</v>
      </c>
      <c r="AY127" s="2" t="s">
        <v>5</v>
      </c>
    </row>
    <row r="128" spans="1:51" ht="30" customHeight="1" x14ac:dyDescent="0.3">
      <c r="A128" s="3" t="s">
        <v>174</v>
      </c>
      <c r="B128" s="3" t="s">
        <v>175</v>
      </c>
      <c r="C128" s="5" t="s">
        <v>12</v>
      </c>
      <c r="D128" s="10">
        <v>4</v>
      </c>
      <c r="E128" s="199">
        <v>21</v>
      </c>
      <c r="F128" s="11">
        <f t="shared" si="48"/>
        <v>84</v>
      </c>
      <c r="G128" s="12">
        <v>0</v>
      </c>
      <c r="H128" s="11">
        <f t="shared" si="49"/>
        <v>0</v>
      </c>
      <c r="I128" s="12">
        <v>0</v>
      </c>
      <c r="J128" s="11">
        <f t="shared" si="50"/>
        <v>0</v>
      </c>
      <c r="K128" s="12">
        <f t="shared" si="51"/>
        <v>21</v>
      </c>
      <c r="L128" s="11">
        <f t="shared" si="51"/>
        <v>84</v>
      </c>
      <c r="M128" s="3" t="s">
        <v>5</v>
      </c>
      <c r="N128" s="2" t="s">
        <v>1020</v>
      </c>
      <c r="O128" s="2" t="s">
        <v>1111</v>
      </c>
      <c r="P128" s="2" t="s">
        <v>996</v>
      </c>
      <c r="Q128" s="2" t="s">
        <v>996</v>
      </c>
      <c r="R128" s="2" t="s">
        <v>995</v>
      </c>
      <c r="AV128" s="2" t="s">
        <v>5</v>
      </c>
      <c r="AW128" s="2" t="s">
        <v>1232</v>
      </c>
      <c r="AX128" s="2" t="s">
        <v>5</v>
      </c>
      <c r="AY128" s="2" t="s">
        <v>5</v>
      </c>
    </row>
    <row r="129" spans="1:51" ht="30" customHeight="1" x14ac:dyDescent="0.3">
      <c r="A129" s="3" t="s">
        <v>177</v>
      </c>
      <c r="B129" s="3" t="s">
        <v>1113</v>
      </c>
      <c r="C129" s="5" t="s">
        <v>12</v>
      </c>
      <c r="D129" s="10">
        <v>4</v>
      </c>
      <c r="E129" s="12">
        <v>9.3000000000000007</v>
      </c>
      <c r="F129" s="11">
        <f t="shared" si="48"/>
        <v>37.200000000000003</v>
      </c>
      <c r="G129" s="12">
        <v>0</v>
      </c>
      <c r="H129" s="11">
        <f t="shared" si="49"/>
        <v>0</v>
      </c>
      <c r="I129" s="12">
        <v>0</v>
      </c>
      <c r="J129" s="11">
        <f t="shared" si="50"/>
        <v>0</v>
      </c>
      <c r="K129" s="12">
        <f t="shared" si="51"/>
        <v>9.3000000000000007</v>
      </c>
      <c r="L129" s="11">
        <f t="shared" si="51"/>
        <v>37.200000000000003</v>
      </c>
      <c r="M129" s="3" t="s">
        <v>5</v>
      </c>
      <c r="N129" s="2" t="s">
        <v>1020</v>
      </c>
      <c r="O129" s="2" t="s">
        <v>1114</v>
      </c>
      <c r="P129" s="2" t="s">
        <v>996</v>
      </c>
      <c r="Q129" s="2" t="s">
        <v>996</v>
      </c>
      <c r="R129" s="2" t="s">
        <v>995</v>
      </c>
      <c r="AV129" s="2" t="s">
        <v>5</v>
      </c>
      <c r="AW129" s="2" t="s">
        <v>1233</v>
      </c>
      <c r="AX129" s="2" t="s">
        <v>5</v>
      </c>
      <c r="AY129" s="2" t="s">
        <v>5</v>
      </c>
    </row>
    <row r="130" spans="1:51" ht="30" customHeight="1" x14ac:dyDescent="0.3">
      <c r="A130" s="3" t="s">
        <v>1119</v>
      </c>
      <c r="B130" s="3" t="s">
        <v>1120</v>
      </c>
      <c r="C130" s="5" t="s">
        <v>1121</v>
      </c>
      <c r="D130" s="10">
        <v>0.108</v>
      </c>
      <c r="E130" s="12">
        <v>0</v>
      </c>
      <c r="F130" s="11">
        <f t="shared" si="48"/>
        <v>0</v>
      </c>
      <c r="G130" s="8">
        <v>273676</v>
      </c>
      <c r="H130" s="11">
        <f t="shared" si="49"/>
        <v>29557</v>
      </c>
      <c r="I130" s="12">
        <v>0</v>
      </c>
      <c r="J130" s="11">
        <f t="shared" si="50"/>
        <v>0</v>
      </c>
      <c r="K130" s="12">
        <f t="shared" si="51"/>
        <v>273676</v>
      </c>
      <c r="L130" s="11">
        <f t="shared" si="51"/>
        <v>29557</v>
      </c>
      <c r="M130" s="3" t="s">
        <v>5</v>
      </c>
      <c r="N130" s="2" t="s">
        <v>1020</v>
      </c>
      <c r="O130" s="2" t="s">
        <v>1122</v>
      </c>
      <c r="P130" s="2" t="s">
        <v>996</v>
      </c>
      <c r="Q130" s="2" t="s">
        <v>996</v>
      </c>
      <c r="R130" s="2" t="s">
        <v>995</v>
      </c>
      <c r="V130" s="1">
        <v>1</v>
      </c>
      <c r="AV130" s="2" t="s">
        <v>5</v>
      </c>
      <c r="AW130" s="2" t="s">
        <v>1234</v>
      </c>
      <c r="AX130" s="2" t="s">
        <v>5</v>
      </c>
      <c r="AY130" s="2" t="s">
        <v>5</v>
      </c>
    </row>
    <row r="131" spans="1:51" ht="30" customHeight="1" x14ac:dyDescent="0.3">
      <c r="A131" s="3" t="s">
        <v>1124</v>
      </c>
      <c r="B131" s="3" t="s">
        <v>1125</v>
      </c>
      <c r="C131" s="5" t="s">
        <v>340</v>
      </c>
      <c r="D131" s="10">
        <v>1</v>
      </c>
      <c r="E131" s="12">
        <f>TRUNC(SUMIF(V125:V131, RIGHTB(O131, 1), H125:H131)*U131, 2)</f>
        <v>886.71</v>
      </c>
      <c r="F131" s="11">
        <f t="shared" si="48"/>
        <v>886.7</v>
      </c>
      <c r="G131" s="12">
        <v>0</v>
      </c>
      <c r="H131" s="11">
        <f t="shared" si="49"/>
        <v>0</v>
      </c>
      <c r="I131" s="12">
        <v>0</v>
      </c>
      <c r="J131" s="11">
        <f t="shared" si="50"/>
        <v>0</v>
      </c>
      <c r="K131" s="12">
        <f t="shared" si="51"/>
        <v>886.7</v>
      </c>
      <c r="L131" s="11">
        <f t="shared" si="51"/>
        <v>886.7</v>
      </c>
      <c r="M131" s="3" t="s">
        <v>5</v>
      </c>
      <c r="N131" s="2" t="s">
        <v>1020</v>
      </c>
      <c r="O131" s="2" t="s">
        <v>1126</v>
      </c>
      <c r="P131" s="2" t="s">
        <v>996</v>
      </c>
      <c r="Q131" s="2" t="s">
        <v>996</v>
      </c>
      <c r="R131" s="2" t="s">
        <v>996</v>
      </c>
      <c r="S131" s="1">
        <v>1</v>
      </c>
      <c r="T131" s="1">
        <v>0</v>
      </c>
      <c r="U131" s="1">
        <v>0.03</v>
      </c>
      <c r="AV131" s="2" t="s">
        <v>5</v>
      </c>
      <c r="AW131" s="2" t="s">
        <v>1235</v>
      </c>
      <c r="AX131" s="2" t="s">
        <v>5</v>
      </c>
      <c r="AY131" s="2" t="s">
        <v>5</v>
      </c>
    </row>
    <row r="132" spans="1:51" ht="30" customHeight="1" x14ac:dyDescent="0.3">
      <c r="A132" s="3" t="s">
        <v>1128</v>
      </c>
      <c r="B132" s="3" t="s">
        <v>5</v>
      </c>
      <c r="C132" s="5" t="s">
        <v>5</v>
      </c>
      <c r="D132" s="10"/>
      <c r="E132" s="12"/>
      <c r="F132" s="11">
        <f>TRUNC(SUMIF(N125:N131, N124, F125:F131),0)</f>
        <v>6578</v>
      </c>
      <c r="G132" s="12"/>
      <c r="H132" s="11">
        <f>TRUNC(SUMIF(N125:N131, N124, H125:H131),0)</f>
        <v>29557</v>
      </c>
      <c r="I132" s="12"/>
      <c r="J132" s="11">
        <f>TRUNC(SUMIF(N125:N131, N124, J125:J131),0)</f>
        <v>0</v>
      </c>
      <c r="K132" s="12"/>
      <c r="L132" s="11">
        <f>F132+H132+J132</f>
        <v>36135</v>
      </c>
      <c r="M132" s="3" t="s">
        <v>5</v>
      </c>
      <c r="N132" s="2" t="s">
        <v>1053</v>
      </c>
      <c r="O132" s="2" t="s">
        <v>1053</v>
      </c>
      <c r="P132" s="2" t="s">
        <v>5</v>
      </c>
      <c r="Q132" s="2" t="s">
        <v>5</v>
      </c>
      <c r="R132" s="2" t="s">
        <v>5</v>
      </c>
      <c r="AV132" s="2" t="s">
        <v>5</v>
      </c>
      <c r="AW132" s="2" t="s">
        <v>5</v>
      </c>
      <c r="AX132" s="2" t="s">
        <v>5</v>
      </c>
      <c r="AY132" s="2" t="s">
        <v>5</v>
      </c>
    </row>
    <row r="133" spans="1:51" ht="30" customHeight="1" x14ac:dyDescent="0.3">
      <c r="A133" s="10"/>
      <c r="B133" s="10"/>
      <c r="C133" s="9"/>
      <c r="D133" s="10"/>
      <c r="E133" s="12"/>
      <c r="F133" s="11"/>
      <c r="G133" s="12"/>
      <c r="H133" s="11"/>
      <c r="I133" s="12"/>
      <c r="J133" s="11"/>
      <c r="K133" s="12"/>
      <c r="L133" s="11"/>
      <c r="M133" s="10"/>
    </row>
    <row r="134" spans="1:51" ht="30" customHeight="1" x14ac:dyDescent="0.3">
      <c r="A134" s="216" t="s">
        <v>1525</v>
      </c>
      <c r="B134" s="216"/>
      <c r="C134" s="216"/>
      <c r="D134" s="216"/>
      <c r="E134" s="217"/>
      <c r="F134" s="218"/>
      <c r="G134" s="217"/>
      <c r="H134" s="218"/>
      <c r="I134" s="217"/>
      <c r="J134" s="218"/>
      <c r="K134" s="217"/>
      <c r="L134" s="218"/>
      <c r="M134" s="216"/>
      <c r="N134" s="2" t="s">
        <v>1022</v>
      </c>
    </row>
    <row r="135" spans="1:51" ht="30" customHeight="1" x14ac:dyDescent="0.3">
      <c r="A135" s="3" t="s">
        <v>173</v>
      </c>
      <c r="B135" s="3" t="s">
        <v>1105</v>
      </c>
      <c r="C135" s="5" t="s">
        <v>12</v>
      </c>
      <c r="D135" s="10">
        <v>2</v>
      </c>
      <c r="E135" s="12">
        <v>1450</v>
      </c>
      <c r="F135" s="11">
        <f t="shared" ref="F135:F141" si="52">TRUNC(E135*D135,1)</f>
        <v>2900</v>
      </c>
      <c r="G135" s="12">
        <v>0</v>
      </c>
      <c r="H135" s="11">
        <f t="shared" ref="H135:H141" si="53">TRUNC(G135*D135,1)</f>
        <v>0</v>
      </c>
      <c r="I135" s="12">
        <v>0</v>
      </c>
      <c r="J135" s="11">
        <f t="shared" ref="J135:J141" si="54">TRUNC(I135*D135,1)</f>
        <v>0</v>
      </c>
      <c r="K135" s="12">
        <f t="shared" ref="K135:L141" si="55">TRUNC(E135+G135+I135,1)</f>
        <v>1450</v>
      </c>
      <c r="L135" s="11">
        <f t="shared" si="55"/>
        <v>2900</v>
      </c>
      <c r="M135" s="3" t="s">
        <v>5</v>
      </c>
      <c r="N135" s="2" t="s">
        <v>1022</v>
      </c>
      <c r="O135" s="2" t="s">
        <v>1106</v>
      </c>
      <c r="P135" s="2" t="s">
        <v>996</v>
      </c>
      <c r="Q135" s="2" t="s">
        <v>996</v>
      </c>
      <c r="R135" s="2" t="s">
        <v>995</v>
      </c>
      <c r="AV135" s="2" t="s">
        <v>5</v>
      </c>
      <c r="AW135" s="2" t="s">
        <v>1236</v>
      </c>
      <c r="AX135" s="2" t="s">
        <v>5</v>
      </c>
      <c r="AY135" s="2" t="s">
        <v>5</v>
      </c>
    </row>
    <row r="136" spans="1:51" ht="30" customHeight="1" x14ac:dyDescent="0.3">
      <c r="A136" s="3" t="s">
        <v>168</v>
      </c>
      <c r="B136" s="3" t="s">
        <v>1207</v>
      </c>
      <c r="C136" s="5" t="s">
        <v>14</v>
      </c>
      <c r="D136" s="10">
        <v>0.5</v>
      </c>
      <c r="E136" s="199">
        <v>6176</v>
      </c>
      <c r="F136" s="11">
        <f t="shared" si="52"/>
        <v>3088</v>
      </c>
      <c r="G136" s="12">
        <v>0</v>
      </c>
      <c r="H136" s="11">
        <f t="shared" si="53"/>
        <v>0</v>
      </c>
      <c r="I136" s="12">
        <v>0</v>
      </c>
      <c r="J136" s="11">
        <f t="shared" si="54"/>
        <v>0</v>
      </c>
      <c r="K136" s="12">
        <f t="shared" si="55"/>
        <v>6176</v>
      </c>
      <c r="L136" s="11">
        <f t="shared" si="55"/>
        <v>3088</v>
      </c>
      <c r="M136" s="3" t="s">
        <v>5</v>
      </c>
      <c r="N136" s="2" t="s">
        <v>1022</v>
      </c>
      <c r="O136" s="2" t="s">
        <v>1208</v>
      </c>
      <c r="P136" s="2" t="s">
        <v>996</v>
      </c>
      <c r="Q136" s="2" t="s">
        <v>996</v>
      </c>
      <c r="R136" s="2" t="s">
        <v>995</v>
      </c>
      <c r="AV136" s="2" t="s">
        <v>5</v>
      </c>
      <c r="AW136" s="2" t="s">
        <v>1237</v>
      </c>
      <c r="AX136" s="2" t="s">
        <v>5</v>
      </c>
      <c r="AY136" s="2" t="s">
        <v>5</v>
      </c>
    </row>
    <row r="137" spans="1:51" ht="30" customHeight="1" x14ac:dyDescent="0.3">
      <c r="A137" s="3" t="s">
        <v>1108</v>
      </c>
      <c r="B137" s="3" t="s">
        <v>180</v>
      </c>
      <c r="C137" s="5" t="s">
        <v>12</v>
      </c>
      <c r="D137" s="10">
        <v>2</v>
      </c>
      <c r="E137" s="12">
        <v>100</v>
      </c>
      <c r="F137" s="11">
        <f t="shared" si="52"/>
        <v>200</v>
      </c>
      <c r="G137" s="12">
        <v>0</v>
      </c>
      <c r="H137" s="11">
        <f t="shared" si="53"/>
        <v>0</v>
      </c>
      <c r="I137" s="12">
        <v>0</v>
      </c>
      <c r="J137" s="11">
        <f t="shared" si="54"/>
        <v>0</v>
      </c>
      <c r="K137" s="12">
        <f t="shared" si="55"/>
        <v>100</v>
      </c>
      <c r="L137" s="11">
        <f t="shared" si="55"/>
        <v>200</v>
      </c>
      <c r="M137" s="3" t="s">
        <v>5</v>
      </c>
      <c r="N137" s="2" t="s">
        <v>1022</v>
      </c>
      <c r="O137" s="2" t="s">
        <v>1109</v>
      </c>
      <c r="P137" s="2" t="s">
        <v>996</v>
      </c>
      <c r="Q137" s="2" t="s">
        <v>996</v>
      </c>
      <c r="R137" s="2" t="s">
        <v>995</v>
      </c>
      <c r="AV137" s="2" t="s">
        <v>5</v>
      </c>
      <c r="AW137" s="2" t="s">
        <v>1238</v>
      </c>
      <c r="AX137" s="2" t="s">
        <v>5</v>
      </c>
      <c r="AY137" s="2" t="s">
        <v>5</v>
      </c>
    </row>
    <row r="138" spans="1:51" ht="30" customHeight="1" x14ac:dyDescent="0.3">
      <c r="A138" s="3" t="s">
        <v>174</v>
      </c>
      <c r="B138" s="3" t="s">
        <v>175</v>
      </c>
      <c r="C138" s="5" t="s">
        <v>12</v>
      </c>
      <c r="D138" s="10">
        <v>4</v>
      </c>
      <c r="E138" s="199">
        <v>21</v>
      </c>
      <c r="F138" s="11">
        <f t="shared" si="52"/>
        <v>84</v>
      </c>
      <c r="G138" s="12">
        <v>0</v>
      </c>
      <c r="H138" s="11">
        <f t="shared" si="53"/>
        <v>0</v>
      </c>
      <c r="I138" s="12">
        <v>0</v>
      </c>
      <c r="J138" s="11">
        <f t="shared" si="54"/>
        <v>0</v>
      </c>
      <c r="K138" s="12">
        <f t="shared" si="55"/>
        <v>21</v>
      </c>
      <c r="L138" s="11">
        <f t="shared" si="55"/>
        <v>84</v>
      </c>
      <c r="M138" s="3" t="s">
        <v>5</v>
      </c>
      <c r="N138" s="2" t="s">
        <v>1022</v>
      </c>
      <c r="O138" s="2" t="s">
        <v>1111</v>
      </c>
      <c r="P138" s="2" t="s">
        <v>996</v>
      </c>
      <c r="Q138" s="2" t="s">
        <v>996</v>
      </c>
      <c r="R138" s="2" t="s">
        <v>995</v>
      </c>
      <c r="AV138" s="2" t="s">
        <v>5</v>
      </c>
      <c r="AW138" s="2" t="s">
        <v>1239</v>
      </c>
      <c r="AX138" s="2" t="s">
        <v>5</v>
      </c>
      <c r="AY138" s="2" t="s">
        <v>5</v>
      </c>
    </row>
    <row r="139" spans="1:51" ht="30" customHeight="1" x14ac:dyDescent="0.3">
      <c r="A139" s="3" t="s">
        <v>177</v>
      </c>
      <c r="B139" s="3" t="s">
        <v>1113</v>
      </c>
      <c r="C139" s="5" t="s">
        <v>12</v>
      </c>
      <c r="D139" s="10">
        <v>4</v>
      </c>
      <c r="E139" s="12">
        <v>9.3000000000000007</v>
      </c>
      <c r="F139" s="11">
        <f t="shared" si="52"/>
        <v>37.200000000000003</v>
      </c>
      <c r="G139" s="12">
        <v>0</v>
      </c>
      <c r="H139" s="11">
        <f t="shared" si="53"/>
        <v>0</v>
      </c>
      <c r="I139" s="12">
        <v>0</v>
      </c>
      <c r="J139" s="11">
        <f t="shared" si="54"/>
        <v>0</v>
      </c>
      <c r="K139" s="12">
        <f t="shared" si="55"/>
        <v>9.3000000000000007</v>
      </c>
      <c r="L139" s="11">
        <f t="shared" si="55"/>
        <v>37.200000000000003</v>
      </c>
      <c r="M139" s="3" t="s">
        <v>5</v>
      </c>
      <c r="N139" s="2" t="s">
        <v>1022</v>
      </c>
      <c r="O139" s="2" t="s">
        <v>1114</v>
      </c>
      <c r="P139" s="2" t="s">
        <v>996</v>
      </c>
      <c r="Q139" s="2" t="s">
        <v>996</v>
      </c>
      <c r="R139" s="2" t="s">
        <v>995</v>
      </c>
      <c r="AV139" s="2" t="s">
        <v>5</v>
      </c>
      <c r="AW139" s="2" t="s">
        <v>1240</v>
      </c>
      <c r="AX139" s="2" t="s">
        <v>5</v>
      </c>
      <c r="AY139" s="2" t="s">
        <v>5</v>
      </c>
    </row>
    <row r="140" spans="1:51" ht="30" customHeight="1" x14ac:dyDescent="0.3">
      <c r="A140" s="3" t="s">
        <v>1119</v>
      </c>
      <c r="B140" s="3" t="s">
        <v>1120</v>
      </c>
      <c r="C140" s="5" t="s">
        <v>1121</v>
      </c>
      <c r="D140" s="10">
        <v>0.108</v>
      </c>
      <c r="E140" s="12">
        <v>0</v>
      </c>
      <c r="F140" s="11">
        <f t="shared" si="52"/>
        <v>0</v>
      </c>
      <c r="G140" s="8">
        <v>273676</v>
      </c>
      <c r="H140" s="11">
        <f t="shared" si="53"/>
        <v>29557</v>
      </c>
      <c r="I140" s="12">
        <v>0</v>
      </c>
      <c r="J140" s="11">
        <f t="shared" si="54"/>
        <v>0</v>
      </c>
      <c r="K140" s="12">
        <f t="shared" si="55"/>
        <v>273676</v>
      </c>
      <c r="L140" s="11">
        <f t="shared" si="55"/>
        <v>29557</v>
      </c>
      <c r="M140" s="3" t="s">
        <v>5</v>
      </c>
      <c r="N140" s="2" t="s">
        <v>1022</v>
      </c>
      <c r="O140" s="2" t="s">
        <v>1122</v>
      </c>
      <c r="P140" s="2" t="s">
        <v>996</v>
      </c>
      <c r="Q140" s="2" t="s">
        <v>996</v>
      </c>
      <c r="R140" s="2" t="s">
        <v>995</v>
      </c>
      <c r="V140" s="1">
        <v>1</v>
      </c>
      <c r="AV140" s="2" t="s">
        <v>5</v>
      </c>
      <c r="AW140" s="2" t="s">
        <v>1241</v>
      </c>
      <c r="AX140" s="2" t="s">
        <v>5</v>
      </c>
      <c r="AY140" s="2" t="s">
        <v>5</v>
      </c>
    </row>
    <row r="141" spans="1:51" ht="30" customHeight="1" x14ac:dyDescent="0.3">
      <c r="A141" s="3" t="s">
        <v>1124</v>
      </c>
      <c r="B141" s="3" t="s">
        <v>1125</v>
      </c>
      <c r="C141" s="5" t="s">
        <v>340</v>
      </c>
      <c r="D141" s="10">
        <v>1</v>
      </c>
      <c r="E141" s="12">
        <f>TRUNC(SUMIF(V135:V141, RIGHTB(O141, 1), H135:H141)*U141, 2)</f>
        <v>886.71</v>
      </c>
      <c r="F141" s="11">
        <f t="shared" si="52"/>
        <v>886.7</v>
      </c>
      <c r="G141" s="12">
        <v>0</v>
      </c>
      <c r="H141" s="11">
        <f t="shared" si="53"/>
        <v>0</v>
      </c>
      <c r="I141" s="12">
        <v>0</v>
      </c>
      <c r="J141" s="11">
        <f t="shared" si="54"/>
        <v>0</v>
      </c>
      <c r="K141" s="12">
        <f t="shared" si="55"/>
        <v>886.7</v>
      </c>
      <c r="L141" s="11">
        <f t="shared" si="55"/>
        <v>886.7</v>
      </c>
      <c r="M141" s="3" t="s">
        <v>5</v>
      </c>
      <c r="N141" s="2" t="s">
        <v>1022</v>
      </c>
      <c r="O141" s="2" t="s">
        <v>1126</v>
      </c>
      <c r="P141" s="2" t="s">
        <v>996</v>
      </c>
      <c r="Q141" s="2" t="s">
        <v>996</v>
      </c>
      <c r="R141" s="2" t="s">
        <v>996</v>
      </c>
      <c r="S141" s="1">
        <v>1</v>
      </c>
      <c r="T141" s="1">
        <v>0</v>
      </c>
      <c r="U141" s="1">
        <v>0.03</v>
      </c>
      <c r="AV141" s="2" t="s">
        <v>5</v>
      </c>
      <c r="AW141" s="2" t="s">
        <v>1242</v>
      </c>
      <c r="AX141" s="2" t="s">
        <v>5</v>
      </c>
      <c r="AY141" s="2" t="s">
        <v>5</v>
      </c>
    </row>
    <row r="142" spans="1:51" ht="30" customHeight="1" x14ac:dyDescent="0.3">
      <c r="A142" s="3" t="s">
        <v>1128</v>
      </c>
      <c r="B142" s="3" t="s">
        <v>5</v>
      </c>
      <c r="C142" s="5" t="s">
        <v>5</v>
      </c>
      <c r="D142" s="10"/>
      <c r="E142" s="12"/>
      <c r="F142" s="11">
        <f>TRUNC(SUMIF(N135:N141, N134, F135:F141),0)</f>
        <v>7195</v>
      </c>
      <c r="G142" s="12"/>
      <c r="H142" s="11">
        <f>TRUNC(SUMIF(N135:N141, N134, H135:H141),0)</f>
        <v>29557</v>
      </c>
      <c r="I142" s="12"/>
      <c r="J142" s="11">
        <f>TRUNC(SUMIF(N135:N141, N134, J135:J141),0)</f>
        <v>0</v>
      </c>
      <c r="K142" s="12"/>
      <c r="L142" s="11">
        <f>F142+H142+J142</f>
        <v>36752</v>
      </c>
      <c r="M142" s="3" t="s">
        <v>5</v>
      </c>
      <c r="N142" s="2" t="s">
        <v>1053</v>
      </c>
      <c r="O142" s="2" t="s">
        <v>1053</v>
      </c>
      <c r="P142" s="2" t="s">
        <v>5</v>
      </c>
      <c r="Q142" s="2" t="s">
        <v>5</v>
      </c>
      <c r="R142" s="2" t="s">
        <v>5</v>
      </c>
      <c r="AV142" s="2" t="s">
        <v>5</v>
      </c>
      <c r="AW142" s="2" t="s">
        <v>5</v>
      </c>
      <c r="AX142" s="2" t="s">
        <v>5</v>
      </c>
      <c r="AY142" s="2" t="s">
        <v>5</v>
      </c>
    </row>
    <row r="143" spans="1:51" ht="30" customHeight="1" x14ac:dyDescent="0.3">
      <c r="A143" s="10"/>
      <c r="B143" s="10"/>
      <c r="C143" s="9"/>
      <c r="D143" s="10"/>
      <c r="E143" s="12"/>
      <c r="F143" s="11"/>
      <c r="G143" s="12"/>
      <c r="H143" s="11"/>
      <c r="I143" s="12"/>
      <c r="J143" s="11"/>
      <c r="K143" s="12"/>
      <c r="L143" s="11"/>
      <c r="M143" s="10"/>
    </row>
    <row r="144" spans="1:51" ht="30" customHeight="1" x14ac:dyDescent="0.3">
      <c r="A144" s="216" t="s">
        <v>1526</v>
      </c>
      <c r="B144" s="216"/>
      <c r="C144" s="216"/>
      <c r="D144" s="216"/>
      <c r="E144" s="217"/>
      <c r="F144" s="218"/>
      <c r="G144" s="217"/>
      <c r="H144" s="218"/>
      <c r="I144" s="217"/>
      <c r="J144" s="218"/>
      <c r="K144" s="217"/>
      <c r="L144" s="218"/>
      <c r="M144" s="216"/>
      <c r="N144" s="2" t="s">
        <v>1024</v>
      </c>
    </row>
    <row r="145" spans="1:51" ht="30" customHeight="1" x14ac:dyDescent="0.3">
      <c r="A145" s="3" t="s">
        <v>173</v>
      </c>
      <c r="B145" s="3" t="s">
        <v>1105</v>
      </c>
      <c r="C145" s="5" t="s">
        <v>12</v>
      </c>
      <c r="D145" s="10">
        <v>2</v>
      </c>
      <c r="E145" s="12">
        <v>1450</v>
      </c>
      <c r="F145" s="11">
        <f t="shared" ref="F145:F151" si="56">TRUNC(E145*D145,1)</f>
        <v>2900</v>
      </c>
      <c r="G145" s="12">
        <v>0</v>
      </c>
      <c r="H145" s="11">
        <f t="shared" ref="H145:H151" si="57">TRUNC(G145*D145,1)</f>
        <v>0</v>
      </c>
      <c r="I145" s="12">
        <v>0</v>
      </c>
      <c r="J145" s="11">
        <f t="shared" ref="J145:J151" si="58">TRUNC(I145*D145,1)</f>
        <v>0</v>
      </c>
      <c r="K145" s="12">
        <f t="shared" ref="K145:L151" si="59">TRUNC(E145+G145+I145,1)</f>
        <v>1450</v>
      </c>
      <c r="L145" s="11">
        <f t="shared" si="59"/>
        <v>2900</v>
      </c>
      <c r="M145" s="3" t="s">
        <v>5</v>
      </c>
      <c r="N145" s="2" t="s">
        <v>1024</v>
      </c>
      <c r="O145" s="2" t="s">
        <v>1106</v>
      </c>
      <c r="P145" s="2" t="s">
        <v>996</v>
      </c>
      <c r="Q145" s="2" t="s">
        <v>996</v>
      </c>
      <c r="R145" s="2" t="s">
        <v>995</v>
      </c>
      <c r="AV145" s="2" t="s">
        <v>5</v>
      </c>
      <c r="AW145" s="2" t="s">
        <v>1243</v>
      </c>
      <c r="AX145" s="2" t="s">
        <v>5</v>
      </c>
      <c r="AY145" s="2" t="s">
        <v>5</v>
      </c>
    </row>
    <row r="146" spans="1:51" ht="30" customHeight="1" x14ac:dyDescent="0.3">
      <c r="A146" s="3" t="s">
        <v>168</v>
      </c>
      <c r="B146" s="3" t="s">
        <v>1207</v>
      </c>
      <c r="C146" s="5" t="s">
        <v>14</v>
      </c>
      <c r="D146" s="10">
        <v>0.6</v>
      </c>
      <c r="E146" s="199">
        <v>6176</v>
      </c>
      <c r="F146" s="11">
        <f t="shared" si="56"/>
        <v>3705.6</v>
      </c>
      <c r="G146" s="12">
        <v>0</v>
      </c>
      <c r="H146" s="11">
        <f>TRUNC(G146*D146,1)</f>
        <v>0</v>
      </c>
      <c r="I146" s="12">
        <v>0</v>
      </c>
      <c r="J146" s="11">
        <f t="shared" si="58"/>
        <v>0</v>
      </c>
      <c r="K146" s="12">
        <f t="shared" si="59"/>
        <v>6176</v>
      </c>
      <c r="L146" s="11">
        <f t="shared" si="59"/>
        <v>3705.6</v>
      </c>
      <c r="M146" s="3" t="s">
        <v>5</v>
      </c>
      <c r="N146" s="2" t="s">
        <v>1024</v>
      </c>
      <c r="O146" s="2" t="s">
        <v>1208</v>
      </c>
      <c r="P146" s="2" t="s">
        <v>996</v>
      </c>
      <c r="Q146" s="2" t="s">
        <v>996</v>
      </c>
      <c r="R146" s="2" t="s">
        <v>995</v>
      </c>
      <c r="AV146" s="2" t="s">
        <v>5</v>
      </c>
      <c r="AW146" s="2" t="s">
        <v>1244</v>
      </c>
      <c r="AX146" s="2" t="s">
        <v>5</v>
      </c>
      <c r="AY146" s="2" t="s">
        <v>5</v>
      </c>
    </row>
    <row r="147" spans="1:51" ht="30" customHeight="1" x14ac:dyDescent="0.3">
      <c r="A147" s="3" t="s">
        <v>1108</v>
      </c>
      <c r="B147" s="3" t="s">
        <v>180</v>
      </c>
      <c r="C147" s="5" t="s">
        <v>12</v>
      </c>
      <c r="D147" s="10">
        <v>2</v>
      </c>
      <c r="E147" s="12">
        <v>100</v>
      </c>
      <c r="F147" s="11">
        <f t="shared" si="56"/>
        <v>200</v>
      </c>
      <c r="G147" s="12">
        <v>0</v>
      </c>
      <c r="H147" s="11">
        <f>TRUNC(G147*D147,1)</f>
        <v>0</v>
      </c>
      <c r="I147" s="12">
        <v>0</v>
      </c>
      <c r="J147" s="11">
        <f t="shared" si="58"/>
        <v>0</v>
      </c>
      <c r="K147" s="12">
        <f t="shared" si="59"/>
        <v>100</v>
      </c>
      <c r="L147" s="11">
        <f t="shared" si="59"/>
        <v>200</v>
      </c>
      <c r="M147" s="3" t="s">
        <v>5</v>
      </c>
      <c r="N147" s="2" t="s">
        <v>1024</v>
      </c>
      <c r="O147" s="2" t="s">
        <v>1109</v>
      </c>
      <c r="P147" s="2" t="s">
        <v>996</v>
      </c>
      <c r="Q147" s="2" t="s">
        <v>996</v>
      </c>
      <c r="R147" s="2" t="s">
        <v>995</v>
      </c>
      <c r="AV147" s="2" t="s">
        <v>5</v>
      </c>
      <c r="AW147" s="2" t="s">
        <v>1245</v>
      </c>
      <c r="AX147" s="2" t="s">
        <v>5</v>
      </c>
      <c r="AY147" s="2" t="s">
        <v>5</v>
      </c>
    </row>
    <row r="148" spans="1:51" ht="30" customHeight="1" x14ac:dyDescent="0.3">
      <c r="A148" s="3" t="s">
        <v>174</v>
      </c>
      <c r="B148" s="3" t="s">
        <v>175</v>
      </c>
      <c r="C148" s="5" t="s">
        <v>12</v>
      </c>
      <c r="D148" s="10">
        <v>4</v>
      </c>
      <c r="E148" s="199">
        <v>21</v>
      </c>
      <c r="F148" s="11">
        <f t="shared" si="56"/>
        <v>84</v>
      </c>
      <c r="G148" s="12">
        <v>0</v>
      </c>
      <c r="H148" s="11">
        <f>TRUNC(G148*D148,1)</f>
        <v>0</v>
      </c>
      <c r="I148" s="12">
        <v>0</v>
      </c>
      <c r="J148" s="11">
        <f t="shared" si="58"/>
        <v>0</v>
      </c>
      <c r="K148" s="12">
        <f t="shared" si="59"/>
        <v>21</v>
      </c>
      <c r="L148" s="11">
        <f t="shared" si="59"/>
        <v>84</v>
      </c>
      <c r="M148" s="3" t="s">
        <v>5</v>
      </c>
      <c r="N148" s="2" t="s">
        <v>1024</v>
      </c>
      <c r="O148" s="2" t="s">
        <v>1111</v>
      </c>
      <c r="P148" s="2" t="s">
        <v>996</v>
      </c>
      <c r="Q148" s="2" t="s">
        <v>996</v>
      </c>
      <c r="R148" s="2" t="s">
        <v>995</v>
      </c>
      <c r="AV148" s="2" t="s">
        <v>5</v>
      </c>
      <c r="AW148" s="2" t="s">
        <v>1246</v>
      </c>
      <c r="AX148" s="2" t="s">
        <v>5</v>
      </c>
      <c r="AY148" s="2" t="s">
        <v>5</v>
      </c>
    </row>
    <row r="149" spans="1:51" ht="30" customHeight="1" x14ac:dyDescent="0.3">
      <c r="A149" s="3" t="s">
        <v>177</v>
      </c>
      <c r="B149" s="3" t="s">
        <v>1113</v>
      </c>
      <c r="C149" s="5" t="s">
        <v>12</v>
      </c>
      <c r="D149" s="10">
        <v>4</v>
      </c>
      <c r="E149" s="12">
        <v>9.3000000000000007</v>
      </c>
      <c r="F149" s="11">
        <f t="shared" si="56"/>
        <v>37.200000000000003</v>
      </c>
      <c r="G149" s="12">
        <v>0</v>
      </c>
      <c r="H149" s="11">
        <f>TRUNC(G149*D149,1)</f>
        <v>0</v>
      </c>
      <c r="I149" s="12">
        <v>0</v>
      </c>
      <c r="J149" s="11">
        <f t="shared" si="58"/>
        <v>0</v>
      </c>
      <c r="K149" s="12">
        <f t="shared" si="59"/>
        <v>9.3000000000000007</v>
      </c>
      <c r="L149" s="11">
        <f t="shared" si="59"/>
        <v>37.200000000000003</v>
      </c>
      <c r="M149" s="3" t="s">
        <v>5</v>
      </c>
      <c r="N149" s="2" t="s">
        <v>1024</v>
      </c>
      <c r="O149" s="2" t="s">
        <v>1114</v>
      </c>
      <c r="P149" s="2" t="s">
        <v>996</v>
      </c>
      <c r="Q149" s="2" t="s">
        <v>996</v>
      </c>
      <c r="R149" s="2" t="s">
        <v>995</v>
      </c>
      <c r="AV149" s="2" t="s">
        <v>5</v>
      </c>
      <c r="AW149" s="2" t="s">
        <v>1247</v>
      </c>
      <c r="AX149" s="2" t="s">
        <v>5</v>
      </c>
      <c r="AY149" s="2" t="s">
        <v>5</v>
      </c>
    </row>
    <row r="150" spans="1:51" ht="30" customHeight="1" x14ac:dyDescent="0.3">
      <c r="A150" s="3" t="s">
        <v>1119</v>
      </c>
      <c r="B150" s="3" t="s">
        <v>1120</v>
      </c>
      <c r="C150" s="5" t="s">
        <v>1121</v>
      </c>
      <c r="D150" s="10">
        <v>0.108</v>
      </c>
      <c r="E150" s="12">
        <v>0</v>
      </c>
      <c r="F150" s="11">
        <f t="shared" si="56"/>
        <v>0</v>
      </c>
      <c r="G150" s="8">
        <v>273676</v>
      </c>
      <c r="H150" s="11">
        <f t="shared" si="57"/>
        <v>29557</v>
      </c>
      <c r="I150" s="12">
        <v>0</v>
      </c>
      <c r="J150" s="11">
        <f t="shared" si="58"/>
        <v>0</v>
      </c>
      <c r="K150" s="12">
        <f t="shared" si="59"/>
        <v>273676</v>
      </c>
      <c r="L150" s="11">
        <f t="shared" si="59"/>
        <v>29557</v>
      </c>
      <c r="M150" s="3" t="s">
        <v>5</v>
      </c>
      <c r="N150" s="2" t="s">
        <v>1024</v>
      </c>
      <c r="O150" s="2" t="s">
        <v>1122</v>
      </c>
      <c r="P150" s="2" t="s">
        <v>996</v>
      </c>
      <c r="Q150" s="2" t="s">
        <v>996</v>
      </c>
      <c r="R150" s="2" t="s">
        <v>995</v>
      </c>
      <c r="V150" s="1">
        <v>1</v>
      </c>
      <c r="AV150" s="2" t="s">
        <v>5</v>
      </c>
      <c r="AW150" s="2" t="s">
        <v>1248</v>
      </c>
      <c r="AX150" s="2" t="s">
        <v>5</v>
      </c>
      <c r="AY150" s="2" t="s">
        <v>5</v>
      </c>
    </row>
    <row r="151" spans="1:51" ht="30" customHeight="1" x14ac:dyDescent="0.3">
      <c r="A151" s="3" t="s">
        <v>1124</v>
      </c>
      <c r="B151" s="3" t="s">
        <v>1125</v>
      </c>
      <c r="C151" s="5" t="s">
        <v>340</v>
      </c>
      <c r="D151" s="10">
        <v>1</v>
      </c>
      <c r="E151" s="12">
        <f>TRUNC(SUMIF(V145:V151, RIGHTB(O151, 1), H145:H151)*U151, 2)</f>
        <v>886.71</v>
      </c>
      <c r="F151" s="11">
        <f t="shared" si="56"/>
        <v>886.7</v>
      </c>
      <c r="G151" s="12">
        <v>0</v>
      </c>
      <c r="H151" s="11">
        <f t="shared" si="57"/>
        <v>0</v>
      </c>
      <c r="I151" s="12">
        <v>0</v>
      </c>
      <c r="J151" s="11">
        <f t="shared" si="58"/>
        <v>0</v>
      </c>
      <c r="K151" s="12">
        <f t="shared" si="59"/>
        <v>886.7</v>
      </c>
      <c r="L151" s="11">
        <f t="shared" si="59"/>
        <v>886.7</v>
      </c>
      <c r="M151" s="3" t="s">
        <v>5</v>
      </c>
      <c r="N151" s="2" t="s">
        <v>1024</v>
      </c>
      <c r="O151" s="2" t="s">
        <v>1126</v>
      </c>
      <c r="P151" s="2" t="s">
        <v>996</v>
      </c>
      <c r="Q151" s="2" t="s">
        <v>996</v>
      </c>
      <c r="R151" s="2" t="s">
        <v>996</v>
      </c>
      <c r="S151" s="1">
        <v>1</v>
      </c>
      <c r="T151" s="1">
        <v>0</v>
      </c>
      <c r="U151" s="1">
        <v>0.03</v>
      </c>
      <c r="AV151" s="2" t="s">
        <v>5</v>
      </c>
      <c r="AW151" s="2" t="s">
        <v>1249</v>
      </c>
      <c r="AX151" s="2" t="s">
        <v>5</v>
      </c>
      <c r="AY151" s="2" t="s">
        <v>5</v>
      </c>
    </row>
    <row r="152" spans="1:51" ht="30" customHeight="1" x14ac:dyDescent="0.3">
      <c r="A152" s="3" t="s">
        <v>1128</v>
      </c>
      <c r="B152" s="3" t="s">
        <v>5</v>
      </c>
      <c r="C152" s="5" t="s">
        <v>5</v>
      </c>
      <c r="D152" s="10"/>
      <c r="E152" s="12"/>
      <c r="F152" s="11">
        <f>TRUNC(SUMIF(N145:N151, N144, F145:F151),0)</f>
        <v>7813</v>
      </c>
      <c r="G152" s="12"/>
      <c r="H152" s="11">
        <f>TRUNC(SUMIF(N145:N151, N144, H145:H151),0)</f>
        <v>29557</v>
      </c>
      <c r="I152" s="12"/>
      <c r="J152" s="11">
        <f>TRUNC(SUMIF(N145:N151, N144, J145:J151),0)</f>
        <v>0</v>
      </c>
      <c r="K152" s="12"/>
      <c r="L152" s="11">
        <f>F152+H152+J152</f>
        <v>37370</v>
      </c>
      <c r="M152" s="3" t="s">
        <v>5</v>
      </c>
      <c r="N152" s="2" t="s">
        <v>1053</v>
      </c>
      <c r="O152" s="2" t="s">
        <v>1053</v>
      </c>
      <c r="P152" s="2" t="s">
        <v>5</v>
      </c>
      <c r="Q152" s="2" t="s">
        <v>5</v>
      </c>
      <c r="R152" s="2" t="s">
        <v>5</v>
      </c>
      <c r="AV152" s="2" t="s">
        <v>5</v>
      </c>
      <c r="AW152" s="2" t="s">
        <v>5</v>
      </c>
      <c r="AX152" s="2" t="s">
        <v>5</v>
      </c>
      <c r="AY152" s="2" t="s">
        <v>5</v>
      </c>
    </row>
    <row r="153" spans="1:51" ht="30" customHeight="1" x14ac:dyDescent="0.3">
      <c r="A153" s="10"/>
      <c r="B153" s="10"/>
      <c r="C153" s="9"/>
      <c r="D153" s="10"/>
      <c r="E153" s="12"/>
      <c r="F153" s="11"/>
      <c r="G153" s="12"/>
      <c r="H153" s="11"/>
      <c r="I153" s="12"/>
      <c r="J153" s="11"/>
      <c r="K153" s="12"/>
      <c r="L153" s="11"/>
      <c r="M153" s="10"/>
    </row>
    <row r="154" spans="1:51" ht="30" customHeight="1" x14ac:dyDescent="0.3">
      <c r="A154" s="216" t="s">
        <v>1527</v>
      </c>
      <c r="B154" s="216"/>
      <c r="C154" s="216"/>
      <c r="D154" s="216"/>
      <c r="E154" s="217"/>
      <c r="F154" s="218"/>
      <c r="G154" s="217"/>
      <c r="H154" s="218"/>
      <c r="I154" s="217"/>
      <c r="J154" s="218"/>
      <c r="K154" s="217"/>
      <c r="L154" s="218"/>
      <c r="M154" s="216"/>
      <c r="N154" s="2" t="s">
        <v>1026</v>
      </c>
    </row>
    <row r="155" spans="1:51" ht="30" customHeight="1" x14ac:dyDescent="0.3">
      <c r="A155" s="3" t="s">
        <v>173</v>
      </c>
      <c r="B155" s="3" t="s">
        <v>1105</v>
      </c>
      <c r="C155" s="5" t="s">
        <v>12</v>
      </c>
      <c r="D155" s="10">
        <v>2</v>
      </c>
      <c r="E155" s="12">
        <v>1450</v>
      </c>
      <c r="F155" s="11">
        <f t="shared" ref="F155:F161" si="60">TRUNC(E155*D155,1)</f>
        <v>2900</v>
      </c>
      <c r="G155" s="12">
        <v>0</v>
      </c>
      <c r="H155" s="11">
        <f t="shared" ref="H155:H161" si="61">TRUNC(G155*D155,1)</f>
        <v>0</v>
      </c>
      <c r="I155" s="12">
        <v>0</v>
      </c>
      <c r="J155" s="11">
        <f t="shared" ref="J155:J161" si="62">TRUNC(I155*D155,1)</f>
        <v>0</v>
      </c>
      <c r="K155" s="12">
        <f t="shared" ref="K155:L161" si="63">TRUNC(E155+G155+I155,1)</f>
        <v>1450</v>
      </c>
      <c r="L155" s="11">
        <f t="shared" si="63"/>
        <v>2900</v>
      </c>
      <c r="M155" s="3" t="s">
        <v>5</v>
      </c>
      <c r="N155" s="2" t="s">
        <v>1026</v>
      </c>
      <c r="O155" s="2" t="s">
        <v>1106</v>
      </c>
      <c r="P155" s="2" t="s">
        <v>996</v>
      </c>
      <c r="Q155" s="2" t="s">
        <v>996</v>
      </c>
      <c r="R155" s="2" t="s">
        <v>995</v>
      </c>
      <c r="AV155" s="2" t="s">
        <v>5</v>
      </c>
      <c r="AW155" s="2" t="s">
        <v>1250</v>
      </c>
      <c r="AX155" s="2" t="s">
        <v>5</v>
      </c>
      <c r="AY155" s="2" t="s">
        <v>5</v>
      </c>
    </row>
    <row r="156" spans="1:51" ht="30" customHeight="1" x14ac:dyDescent="0.3">
      <c r="A156" s="3" t="s">
        <v>168</v>
      </c>
      <c r="B156" s="3" t="s">
        <v>1207</v>
      </c>
      <c r="C156" s="5" t="s">
        <v>14</v>
      </c>
      <c r="D156" s="10">
        <v>0.7</v>
      </c>
      <c r="E156" s="199">
        <v>6176</v>
      </c>
      <c r="F156" s="11">
        <f t="shared" si="60"/>
        <v>4323.2</v>
      </c>
      <c r="G156" s="12">
        <v>0</v>
      </c>
      <c r="H156" s="11">
        <f t="shared" si="61"/>
        <v>0</v>
      </c>
      <c r="I156" s="12">
        <v>0</v>
      </c>
      <c r="J156" s="11">
        <f t="shared" si="62"/>
        <v>0</v>
      </c>
      <c r="K156" s="12">
        <f t="shared" si="63"/>
        <v>6176</v>
      </c>
      <c r="L156" s="11">
        <f t="shared" si="63"/>
        <v>4323.2</v>
      </c>
      <c r="M156" s="3" t="s">
        <v>5</v>
      </c>
      <c r="N156" s="2" t="s">
        <v>1026</v>
      </c>
      <c r="O156" s="2" t="s">
        <v>1208</v>
      </c>
      <c r="P156" s="2" t="s">
        <v>996</v>
      </c>
      <c r="Q156" s="2" t="s">
        <v>996</v>
      </c>
      <c r="R156" s="2" t="s">
        <v>995</v>
      </c>
      <c r="AV156" s="2" t="s">
        <v>5</v>
      </c>
      <c r="AW156" s="2" t="s">
        <v>1251</v>
      </c>
      <c r="AX156" s="2" t="s">
        <v>5</v>
      </c>
      <c r="AY156" s="2" t="s">
        <v>5</v>
      </c>
    </row>
    <row r="157" spans="1:51" ht="30" customHeight="1" x14ac:dyDescent="0.3">
      <c r="A157" s="3" t="s">
        <v>1108</v>
      </c>
      <c r="B157" s="3" t="s">
        <v>180</v>
      </c>
      <c r="C157" s="5" t="s">
        <v>12</v>
      </c>
      <c r="D157" s="10">
        <v>2</v>
      </c>
      <c r="E157" s="12">
        <v>100</v>
      </c>
      <c r="F157" s="11">
        <f t="shared" si="60"/>
        <v>200</v>
      </c>
      <c r="G157" s="12">
        <v>0</v>
      </c>
      <c r="H157" s="11">
        <f t="shared" si="61"/>
        <v>0</v>
      </c>
      <c r="I157" s="12">
        <v>0</v>
      </c>
      <c r="J157" s="11">
        <f t="shared" si="62"/>
        <v>0</v>
      </c>
      <c r="K157" s="12">
        <f t="shared" si="63"/>
        <v>100</v>
      </c>
      <c r="L157" s="11">
        <f t="shared" si="63"/>
        <v>200</v>
      </c>
      <c r="M157" s="3" t="s">
        <v>5</v>
      </c>
      <c r="N157" s="2" t="s">
        <v>1026</v>
      </c>
      <c r="O157" s="2" t="s">
        <v>1109</v>
      </c>
      <c r="P157" s="2" t="s">
        <v>996</v>
      </c>
      <c r="Q157" s="2" t="s">
        <v>996</v>
      </c>
      <c r="R157" s="2" t="s">
        <v>995</v>
      </c>
      <c r="AV157" s="2" t="s">
        <v>5</v>
      </c>
      <c r="AW157" s="2" t="s">
        <v>1252</v>
      </c>
      <c r="AX157" s="2" t="s">
        <v>5</v>
      </c>
      <c r="AY157" s="2" t="s">
        <v>5</v>
      </c>
    </row>
    <row r="158" spans="1:51" ht="30" customHeight="1" x14ac:dyDescent="0.3">
      <c r="A158" s="3" t="s">
        <v>174</v>
      </c>
      <c r="B158" s="3" t="s">
        <v>175</v>
      </c>
      <c r="C158" s="5" t="s">
        <v>12</v>
      </c>
      <c r="D158" s="10">
        <v>4</v>
      </c>
      <c r="E158" s="199">
        <v>21</v>
      </c>
      <c r="F158" s="11">
        <f t="shared" si="60"/>
        <v>84</v>
      </c>
      <c r="G158" s="12">
        <v>0</v>
      </c>
      <c r="H158" s="11">
        <f t="shared" si="61"/>
        <v>0</v>
      </c>
      <c r="I158" s="12">
        <v>0</v>
      </c>
      <c r="J158" s="11">
        <f t="shared" si="62"/>
        <v>0</v>
      </c>
      <c r="K158" s="12">
        <f t="shared" si="63"/>
        <v>21</v>
      </c>
      <c r="L158" s="11">
        <f t="shared" si="63"/>
        <v>84</v>
      </c>
      <c r="M158" s="3" t="s">
        <v>5</v>
      </c>
      <c r="N158" s="2" t="s">
        <v>1026</v>
      </c>
      <c r="O158" s="2" t="s">
        <v>1111</v>
      </c>
      <c r="P158" s="2" t="s">
        <v>996</v>
      </c>
      <c r="Q158" s="2" t="s">
        <v>996</v>
      </c>
      <c r="R158" s="2" t="s">
        <v>995</v>
      </c>
      <c r="AV158" s="2" t="s">
        <v>5</v>
      </c>
      <c r="AW158" s="2" t="s">
        <v>1253</v>
      </c>
      <c r="AX158" s="2" t="s">
        <v>5</v>
      </c>
      <c r="AY158" s="2" t="s">
        <v>5</v>
      </c>
    </row>
    <row r="159" spans="1:51" ht="30" customHeight="1" x14ac:dyDescent="0.3">
      <c r="A159" s="3" t="s">
        <v>177</v>
      </c>
      <c r="B159" s="3" t="s">
        <v>1113</v>
      </c>
      <c r="C159" s="5" t="s">
        <v>12</v>
      </c>
      <c r="D159" s="10">
        <v>4</v>
      </c>
      <c r="E159" s="12">
        <v>9.3000000000000007</v>
      </c>
      <c r="F159" s="11">
        <f t="shared" si="60"/>
        <v>37.200000000000003</v>
      </c>
      <c r="G159" s="12">
        <v>0</v>
      </c>
      <c r="H159" s="11">
        <f t="shared" si="61"/>
        <v>0</v>
      </c>
      <c r="I159" s="12">
        <v>0</v>
      </c>
      <c r="J159" s="11">
        <f t="shared" si="62"/>
        <v>0</v>
      </c>
      <c r="K159" s="12">
        <f t="shared" si="63"/>
        <v>9.3000000000000007</v>
      </c>
      <c r="L159" s="11">
        <f t="shared" si="63"/>
        <v>37.200000000000003</v>
      </c>
      <c r="M159" s="3" t="s">
        <v>5</v>
      </c>
      <c r="N159" s="2" t="s">
        <v>1026</v>
      </c>
      <c r="O159" s="2" t="s">
        <v>1114</v>
      </c>
      <c r="P159" s="2" t="s">
        <v>996</v>
      </c>
      <c r="Q159" s="2" t="s">
        <v>996</v>
      </c>
      <c r="R159" s="2" t="s">
        <v>995</v>
      </c>
      <c r="AV159" s="2" t="s">
        <v>5</v>
      </c>
      <c r="AW159" s="2" t="s">
        <v>1254</v>
      </c>
      <c r="AX159" s="2" t="s">
        <v>5</v>
      </c>
      <c r="AY159" s="2" t="s">
        <v>5</v>
      </c>
    </row>
    <row r="160" spans="1:51" ht="30" customHeight="1" x14ac:dyDescent="0.3">
      <c r="A160" s="3" t="s">
        <v>1119</v>
      </c>
      <c r="B160" s="3" t="s">
        <v>1120</v>
      </c>
      <c r="C160" s="5" t="s">
        <v>1121</v>
      </c>
      <c r="D160" s="10">
        <v>0.108</v>
      </c>
      <c r="E160" s="12">
        <v>0</v>
      </c>
      <c r="F160" s="11">
        <f t="shared" si="60"/>
        <v>0</v>
      </c>
      <c r="G160" s="8">
        <v>273676</v>
      </c>
      <c r="H160" s="11">
        <f t="shared" si="61"/>
        <v>29557</v>
      </c>
      <c r="I160" s="12">
        <v>0</v>
      </c>
      <c r="J160" s="11">
        <f t="shared" si="62"/>
        <v>0</v>
      </c>
      <c r="K160" s="12">
        <f t="shared" si="63"/>
        <v>273676</v>
      </c>
      <c r="L160" s="11">
        <f t="shared" si="63"/>
        <v>29557</v>
      </c>
      <c r="M160" s="3" t="s">
        <v>5</v>
      </c>
      <c r="N160" s="2" t="s">
        <v>1026</v>
      </c>
      <c r="O160" s="2" t="s">
        <v>1122</v>
      </c>
      <c r="P160" s="2" t="s">
        <v>996</v>
      </c>
      <c r="Q160" s="2" t="s">
        <v>996</v>
      </c>
      <c r="R160" s="2" t="s">
        <v>995</v>
      </c>
      <c r="V160" s="1">
        <v>1</v>
      </c>
      <c r="AV160" s="2" t="s">
        <v>5</v>
      </c>
      <c r="AW160" s="2" t="s">
        <v>1255</v>
      </c>
      <c r="AX160" s="2" t="s">
        <v>5</v>
      </c>
      <c r="AY160" s="2" t="s">
        <v>5</v>
      </c>
    </row>
    <row r="161" spans="1:51" ht="30" customHeight="1" x14ac:dyDescent="0.3">
      <c r="A161" s="3" t="s">
        <v>1124</v>
      </c>
      <c r="B161" s="3" t="s">
        <v>1125</v>
      </c>
      <c r="C161" s="5" t="s">
        <v>340</v>
      </c>
      <c r="D161" s="10">
        <v>1</v>
      </c>
      <c r="E161" s="12">
        <f>TRUNC(SUMIF(V155:V161, RIGHTB(O161, 1), H155:H161)*U161, 2)</f>
        <v>886.71</v>
      </c>
      <c r="F161" s="11">
        <f t="shared" si="60"/>
        <v>886.7</v>
      </c>
      <c r="G161" s="12">
        <v>0</v>
      </c>
      <c r="H161" s="11">
        <f t="shared" si="61"/>
        <v>0</v>
      </c>
      <c r="I161" s="12">
        <v>0</v>
      </c>
      <c r="J161" s="11">
        <f t="shared" si="62"/>
        <v>0</v>
      </c>
      <c r="K161" s="12">
        <f t="shared" si="63"/>
        <v>886.7</v>
      </c>
      <c r="L161" s="11">
        <f t="shared" si="63"/>
        <v>886.7</v>
      </c>
      <c r="M161" s="3" t="s">
        <v>5</v>
      </c>
      <c r="N161" s="2" t="s">
        <v>1026</v>
      </c>
      <c r="O161" s="2" t="s">
        <v>1126</v>
      </c>
      <c r="P161" s="2" t="s">
        <v>996</v>
      </c>
      <c r="Q161" s="2" t="s">
        <v>996</v>
      </c>
      <c r="R161" s="2" t="s">
        <v>996</v>
      </c>
      <c r="S161" s="1">
        <v>1</v>
      </c>
      <c r="T161" s="1">
        <v>0</v>
      </c>
      <c r="U161" s="1">
        <v>0.03</v>
      </c>
      <c r="AV161" s="2" t="s">
        <v>5</v>
      </c>
      <c r="AW161" s="2" t="s">
        <v>1256</v>
      </c>
      <c r="AX161" s="2" t="s">
        <v>5</v>
      </c>
      <c r="AY161" s="2" t="s">
        <v>5</v>
      </c>
    </row>
    <row r="162" spans="1:51" ht="30" customHeight="1" x14ac:dyDescent="0.3">
      <c r="A162" s="3" t="s">
        <v>1128</v>
      </c>
      <c r="B162" s="3" t="s">
        <v>5</v>
      </c>
      <c r="C162" s="5" t="s">
        <v>5</v>
      </c>
      <c r="D162" s="10"/>
      <c r="E162" s="12"/>
      <c r="F162" s="11">
        <f>TRUNC(SUMIF(N155:N161, N154, F155:F161),0)</f>
        <v>8431</v>
      </c>
      <c r="G162" s="12"/>
      <c r="H162" s="11">
        <f>TRUNC(SUMIF(N155:N161, N154, H155:H161),0)</f>
        <v>29557</v>
      </c>
      <c r="I162" s="12"/>
      <c r="J162" s="11">
        <f>TRUNC(SUMIF(N155:N161, N154, J155:J161),0)</f>
        <v>0</v>
      </c>
      <c r="K162" s="12"/>
      <c r="L162" s="11">
        <f>F162+H162+J162</f>
        <v>37988</v>
      </c>
      <c r="M162" s="3" t="s">
        <v>5</v>
      </c>
      <c r="N162" s="2" t="s">
        <v>1053</v>
      </c>
      <c r="O162" s="2" t="s">
        <v>1053</v>
      </c>
      <c r="P162" s="2" t="s">
        <v>5</v>
      </c>
      <c r="Q162" s="2" t="s">
        <v>5</v>
      </c>
      <c r="R162" s="2" t="s">
        <v>5</v>
      </c>
      <c r="AV162" s="2" t="s">
        <v>5</v>
      </c>
      <c r="AW162" s="2" t="s">
        <v>5</v>
      </c>
      <c r="AX162" s="2" t="s">
        <v>5</v>
      </c>
      <c r="AY162" s="2" t="s">
        <v>5</v>
      </c>
    </row>
    <row r="163" spans="1:51" ht="30" customHeight="1" x14ac:dyDescent="0.3">
      <c r="A163" s="10"/>
      <c r="B163" s="10"/>
      <c r="C163" s="9"/>
      <c r="D163" s="10"/>
      <c r="E163" s="12"/>
      <c r="F163" s="11"/>
      <c r="G163" s="12"/>
      <c r="H163" s="11"/>
      <c r="I163" s="12"/>
      <c r="J163" s="11"/>
      <c r="K163" s="12"/>
      <c r="L163" s="11"/>
      <c r="M163" s="10"/>
    </row>
    <row r="164" spans="1:51" ht="30" customHeight="1" x14ac:dyDescent="0.3">
      <c r="A164" s="216" t="s">
        <v>1528</v>
      </c>
      <c r="B164" s="216"/>
      <c r="C164" s="216"/>
      <c r="D164" s="216"/>
      <c r="E164" s="217"/>
      <c r="F164" s="218"/>
      <c r="G164" s="217"/>
      <c r="H164" s="218"/>
      <c r="I164" s="217"/>
      <c r="J164" s="218"/>
      <c r="K164" s="217"/>
      <c r="L164" s="218"/>
      <c r="M164" s="216"/>
      <c r="N164" s="2" t="s">
        <v>1028</v>
      </c>
    </row>
    <row r="165" spans="1:51" ht="30" customHeight="1" x14ac:dyDescent="0.3">
      <c r="A165" s="3" t="s">
        <v>173</v>
      </c>
      <c r="B165" s="3" t="s">
        <v>1105</v>
      </c>
      <c r="C165" s="5" t="s">
        <v>12</v>
      </c>
      <c r="D165" s="10">
        <v>2</v>
      </c>
      <c r="E165" s="12">
        <v>1450</v>
      </c>
      <c r="F165" s="11">
        <f t="shared" ref="F165:F171" si="64">TRUNC(E165*D165,1)</f>
        <v>2900</v>
      </c>
      <c r="G165" s="12">
        <v>0</v>
      </c>
      <c r="H165" s="11">
        <f t="shared" ref="H165:H171" si="65">TRUNC(G165*D165,1)</f>
        <v>0</v>
      </c>
      <c r="I165" s="12">
        <v>0</v>
      </c>
      <c r="J165" s="11">
        <f t="shared" ref="J165:J171" si="66">TRUNC(I165*D165,1)</f>
        <v>0</v>
      </c>
      <c r="K165" s="12">
        <f t="shared" ref="K165:L171" si="67">TRUNC(E165+G165+I165,1)</f>
        <v>1450</v>
      </c>
      <c r="L165" s="11">
        <f t="shared" si="67"/>
        <v>2900</v>
      </c>
      <c r="M165" s="3" t="s">
        <v>5</v>
      </c>
      <c r="N165" s="2" t="s">
        <v>1028</v>
      </c>
      <c r="O165" s="2" t="s">
        <v>1106</v>
      </c>
      <c r="P165" s="2" t="s">
        <v>996</v>
      </c>
      <c r="Q165" s="2" t="s">
        <v>996</v>
      </c>
      <c r="R165" s="2" t="s">
        <v>995</v>
      </c>
      <c r="AV165" s="2" t="s">
        <v>5</v>
      </c>
      <c r="AW165" s="2" t="s">
        <v>1257</v>
      </c>
      <c r="AX165" s="2" t="s">
        <v>5</v>
      </c>
      <c r="AY165" s="2" t="s">
        <v>5</v>
      </c>
    </row>
    <row r="166" spans="1:51" ht="30" customHeight="1" x14ac:dyDescent="0.3">
      <c r="A166" s="3" t="s">
        <v>168</v>
      </c>
      <c r="B166" s="3" t="s">
        <v>1207</v>
      </c>
      <c r="C166" s="5" t="s">
        <v>14</v>
      </c>
      <c r="D166" s="10">
        <v>0.9</v>
      </c>
      <c r="E166" s="199">
        <v>6176</v>
      </c>
      <c r="F166" s="11">
        <f t="shared" si="64"/>
        <v>5558.4</v>
      </c>
      <c r="G166" s="12">
        <v>0</v>
      </c>
      <c r="H166" s="11">
        <f t="shared" si="65"/>
        <v>0</v>
      </c>
      <c r="I166" s="12">
        <v>0</v>
      </c>
      <c r="J166" s="11">
        <f t="shared" si="66"/>
        <v>0</v>
      </c>
      <c r="K166" s="12">
        <f t="shared" si="67"/>
        <v>6176</v>
      </c>
      <c r="L166" s="11">
        <f t="shared" si="67"/>
        <v>5558.4</v>
      </c>
      <c r="M166" s="3" t="s">
        <v>5</v>
      </c>
      <c r="N166" s="2" t="s">
        <v>1028</v>
      </c>
      <c r="O166" s="2" t="s">
        <v>1208</v>
      </c>
      <c r="P166" s="2" t="s">
        <v>996</v>
      </c>
      <c r="Q166" s="2" t="s">
        <v>996</v>
      </c>
      <c r="R166" s="2" t="s">
        <v>995</v>
      </c>
      <c r="AV166" s="2" t="s">
        <v>5</v>
      </c>
      <c r="AW166" s="2" t="s">
        <v>1258</v>
      </c>
      <c r="AX166" s="2" t="s">
        <v>5</v>
      </c>
      <c r="AY166" s="2" t="s">
        <v>5</v>
      </c>
    </row>
    <row r="167" spans="1:51" ht="30" customHeight="1" x14ac:dyDescent="0.3">
      <c r="A167" s="3" t="s">
        <v>1108</v>
      </c>
      <c r="B167" s="3" t="s">
        <v>180</v>
      </c>
      <c r="C167" s="5" t="s">
        <v>12</v>
      </c>
      <c r="D167" s="10">
        <v>2</v>
      </c>
      <c r="E167" s="12">
        <v>100</v>
      </c>
      <c r="F167" s="11">
        <f t="shared" si="64"/>
        <v>200</v>
      </c>
      <c r="G167" s="12">
        <v>0</v>
      </c>
      <c r="H167" s="11">
        <f t="shared" si="65"/>
        <v>0</v>
      </c>
      <c r="I167" s="12">
        <v>0</v>
      </c>
      <c r="J167" s="11">
        <f t="shared" si="66"/>
        <v>0</v>
      </c>
      <c r="K167" s="12">
        <f t="shared" si="67"/>
        <v>100</v>
      </c>
      <c r="L167" s="11">
        <f t="shared" si="67"/>
        <v>200</v>
      </c>
      <c r="M167" s="3" t="s">
        <v>5</v>
      </c>
      <c r="N167" s="2" t="s">
        <v>1028</v>
      </c>
      <c r="O167" s="2" t="s">
        <v>1109</v>
      </c>
      <c r="P167" s="2" t="s">
        <v>996</v>
      </c>
      <c r="Q167" s="2" t="s">
        <v>996</v>
      </c>
      <c r="R167" s="2" t="s">
        <v>995</v>
      </c>
      <c r="AV167" s="2" t="s">
        <v>5</v>
      </c>
      <c r="AW167" s="2" t="s">
        <v>1259</v>
      </c>
      <c r="AX167" s="2" t="s">
        <v>5</v>
      </c>
      <c r="AY167" s="2" t="s">
        <v>5</v>
      </c>
    </row>
    <row r="168" spans="1:51" ht="30" customHeight="1" x14ac:dyDescent="0.3">
      <c r="A168" s="3" t="s">
        <v>174</v>
      </c>
      <c r="B168" s="3" t="s">
        <v>175</v>
      </c>
      <c r="C168" s="5" t="s">
        <v>12</v>
      </c>
      <c r="D168" s="10">
        <v>4</v>
      </c>
      <c r="E168" s="199">
        <v>21</v>
      </c>
      <c r="F168" s="11">
        <f t="shared" si="64"/>
        <v>84</v>
      </c>
      <c r="G168" s="12">
        <v>0</v>
      </c>
      <c r="H168" s="11">
        <f t="shared" si="65"/>
        <v>0</v>
      </c>
      <c r="I168" s="12">
        <v>0</v>
      </c>
      <c r="J168" s="11">
        <f t="shared" si="66"/>
        <v>0</v>
      </c>
      <c r="K168" s="12">
        <f t="shared" si="67"/>
        <v>21</v>
      </c>
      <c r="L168" s="11">
        <f t="shared" si="67"/>
        <v>84</v>
      </c>
      <c r="M168" s="3" t="s">
        <v>5</v>
      </c>
      <c r="N168" s="2" t="s">
        <v>1028</v>
      </c>
      <c r="O168" s="2" t="s">
        <v>1111</v>
      </c>
      <c r="P168" s="2" t="s">
        <v>996</v>
      </c>
      <c r="Q168" s="2" t="s">
        <v>996</v>
      </c>
      <c r="R168" s="2" t="s">
        <v>995</v>
      </c>
      <c r="AV168" s="2" t="s">
        <v>5</v>
      </c>
      <c r="AW168" s="2" t="s">
        <v>1260</v>
      </c>
      <c r="AX168" s="2" t="s">
        <v>5</v>
      </c>
      <c r="AY168" s="2" t="s">
        <v>5</v>
      </c>
    </row>
    <row r="169" spans="1:51" ht="30" customHeight="1" x14ac:dyDescent="0.3">
      <c r="A169" s="3" t="s">
        <v>177</v>
      </c>
      <c r="B169" s="3" t="s">
        <v>1113</v>
      </c>
      <c r="C169" s="5" t="s">
        <v>12</v>
      </c>
      <c r="D169" s="10">
        <v>4</v>
      </c>
      <c r="E169" s="12">
        <v>9.3000000000000007</v>
      </c>
      <c r="F169" s="11">
        <f t="shared" si="64"/>
        <v>37.200000000000003</v>
      </c>
      <c r="G169" s="12">
        <v>0</v>
      </c>
      <c r="H169" s="11">
        <f t="shared" si="65"/>
        <v>0</v>
      </c>
      <c r="I169" s="12">
        <v>0</v>
      </c>
      <c r="J169" s="11">
        <f t="shared" si="66"/>
        <v>0</v>
      </c>
      <c r="K169" s="12">
        <f t="shared" si="67"/>
        <v>9.3000000000000007</v>
      </c>
      <c r="L169" s="11">
        <f t="shared" si="67"/>
        <v>37.200000000000003</v>
      </c>
      <c r="M169" s="3" t="s">
        <v>5</v>
      </c>
      <c r="N169" s="2" t="s">
        <v>1028</v>
      </c>
      <c r="O169" s="2" t="s">
        <v>1114</v>
      </c>
      <c r="P169" s="2" t="s">
        <v>996</v>
      </c>
      <c r="Q169" s="2" t="s">
        <v>996</v>
      </c>
      <c r="R169" s="2" t="s">
        <v>995</v>
      </c>
      <c r="AV169" s="2" t="s">
        <v>5</v>
      </c>
      <c r="AW169" s="2" t="s">
        <v>1261</v>
      </c>
      <c r="AX169" s="2" t="s">
        <v>5</v>
      </c>
      <c r="AY169" s="2" t="s">
        <v>5</v>
      </c>
    </row>
    <row r="170" spans="1:51" ht="30" customHeight="1" x14ac:dyDescent="0.3">
      <c r="A170" s="3" t="s">
        <v>1119</v>
      </c>
      <c r="B170" s="3" t="s">
        <v>1120</v>
      </c>
      <c r="C170" s="5" t="s">
        <v>1121</v>
      </c>
      <c r="D170" s="10">
        <v>0.108</v>
      </c>
      <c r="E170" s="12">
        <v>0</v>
      </c>
      <c r="F170" s="11">
        <f t="shared" si="64"/>
        <v>0</v>
      </c>
      <c r="G170" s="8">
        <v>273676</v>
      </c>
      <c r="H170" s="11">
        <f t="shared" si="65"/>
        <v>29557</v>
      </c>
      <c r="I170" s="12">
        <v>0</v>
      </c>
      <c r="J170" s="11">
        <f t="shared" si="66"/>
        <v>0</v>
      </c>
      <c r="K170" s="12">
        <f t="shared" si="67"/>
        <v>273676</v>
      </c>
      <c r="L170" s="11">
        <f t="shared" si="67"/>
        <v>29557</v>
      </c>
      <c r="M170" s="3" t="s">
        <v>5</v>
      </c>
      <c r="N170" s="2" t="s">
        <v>1028</v>
      </c>
      <c r="O170" s="2" t="s">
        <v>1122</v>
      </c>
      <c r="P170" s="2" t="s">
        <v>996</v>
      </c>
      <c r="Q170" s="2" t="s">
        <v>996</v>
      </c>
      <c r="R170" s="2" t="s">
        <v>995</v>
      </c>
      <c r="V170" s="1">
        <v>1</v>
      </c>
      <c r="AV170" s="2" t="s">
        <v>5</v>
      </c>
      <c r="AW170" s="2" t="s">
        <v>1262</v>
      </c>
      <c r="AX170" s="2" t="s">
        <v>5</v>
      </c>
      <c r="AY170" s="2" t="s">
        <v>5</v>
      </c>
    </row>
    <row r="171" spans="1:51" ht="30" customHeight="1" x14ac:dyDescent="0.3">
      <c r="A171" s="3" t="s">
        <v>1124</v>
      </c>
      <c r="B171" s="3" t="s">
        <v>1125</v>
      </c>
      <c r="C171" s="5" t="s">
        <v>340</v>
      </c>
      <c r="D171" s="10">
        <v>1</v>
      </c>
      <c r="E171" s="12">
        <f>TRUNC(SUMIF(V165:V171, RIGHTB(O171, 1), H165:H171)*U171, 2)</f>
        <v>886.71</v>
      </c>
      <c r="F171" s="11">
        <f t="shared" si="64"/>
        <v>886.7</v>
      </c>
      <c r="G171" s="12">
        <v>0</v>
      </c>
      <c r="H171" s="11">
        <f t="shared" si="65"/>
        <v>0</v>
      </c>
      <c r="I171" s="12">
        <v>0</v>
      </c>
      <c r="J171" s="11">
        <f t="shared" si="66"/>
        <v>0</v>
      </c>
      <c r="K171" s="12">
        <f t="shared" si="67"/>
        <v>886.7</v>
      </c>
      <c r="L171" s="11">
        <f t="shared" si="67"/>
        <v>886.7</v>
      </c>
      <c r="M171" s="3" t="s">
        <v>5</v>
      </c>
      <c r="N171" s="2" t="s">
        <v>1028</v>
      </c>
      <c r="O171" s="2" t="s">
        <v>1126</v>
      </c>
      <c r="P171" s="2" t="s">
        <v>996</v>
      </c>
      <c r="Q171" s="2" t="s">
        <v>996</v>
      </c>
      <c r="R171" s="2" t="s">
        <v>996</v>
      </c>
      <c r="S171" s="1">
        <v>1</v>
      </c>
      <c r="T171" s="1">
        <v>0</v>
      </c>
      <c r="U171" s="1">
        <v>0.03</v>
      </c>
      <c r="AV171" s="2" t="s">
        <v>5</v>
      </c>
      <c r="AW171" s="2" t="s">
        <v>1263</v>
      </c>
      <c r="AX171" s="2" t="s">
        <v>5</v>
      </c>
      <c r="AY171" s="2" t="s">
        <v>5</v>
      </c>
    </row>
    <row r="172" spans="1:51" ht="30" customHeight="1" x14ac:dyDescent="0.3">
      <c r="A172" s="3" t="s">
        <v>1128</v>
      </c>
      <c r="B172" s="3" t="s">
        <v>5</v>
      </c>
      <c r="C172" s="5" t="s">
        <v>5</v>
      </c>
      <c r="D172" s="10"/>
      <c r="E172" s="12"/>
      <c r="F172" s="11">
        <f>TRUNC(SUMIF(N165:N171, N164, F165:F171),0)</f>
        <v>9666</v>
      </c>
      <c r="G172" s="12"/>
      <c r="H172" s="11">
        <f>TRUNC(SUMIF(N165:N171, N164, H165:H171),0)</f>
        <v>29557</v>
      </c>
      <c r="I172" s="12"/>
      <c r="J172" s="11">
        <f>TRUNC(SUMIF(N165:N171, N164, J165:J171),0)</f>
        <v>0</v>
      </c>
      <c r="K172" s="12"/>
      <c r="L172" s="11">
        <f>F172+H172+J172</f>
        <v>39223</v>
      </c>
      <c r="M172" s="3" t="s">
        <v>5</v>
      </c>
      <c r="N172" s="2" t="s">
        <v>1053</v>
      </c>
      <c r="O172" s="2" t="s">
        <v>1053</v>
      </c>
      <c r="P172" s="2" t="s">
        <v>5</v>
      </c>
      <c r="Q172" s="2" t="s">
        <v>5</v>
      </c>
      <c r="R172" s="2" t="s">
        <v>5</v>
      </c>
      <c r="AV172" s="2" t="s">
        <v>5</v>
      </c>
      <c r="AW172" s="2" t="s">
        <v>5</v>
      </c>
      <c r="AX172" s="2" t="s">
        <v>5</v>
      </c>
      <c r="AY172" s="2" t="s">
        <v>5</v>
      </c>
    </row>
    <row r="173" spans="1:51" ht="30" customHeight="1" x14ac:dyDescent="0.3">
      <c r="A173" s="10"/>
      <c r="B173" s="10"/>
      <c r="C173" s="9"/>
      <c r="D173" s="10"/>
      <c r="E173" s="12"/>
      <c r="F173" s="11"/>
      <c r="G173" s="12"/>
      <c r="H173" s="11"/>
      <c r="I173" s="12"/>
      <c r="J173" s="11"/>
      <c r="K173" s="12"/>
      <c r="L173" s="11"/>
      <c r="M173" s="10"/>
    </row>
    <row r="174" spans="1:51" ht="30" customHeight="1" x14ac:dyDescent="0.3">
      <c r="A174" s="216" t="s">
        <v>1529</v>
      </c>
      <c r="B174" s="216"/>
      <c r="C174" s="216"/>
      <c r="D174" s="216"/>
      <c r="E174" s="217"/>
      <c r="F174" s="218"/>
      <c r="G174" s="217"/>
      <c r="H174" s="218"/>
      <c r="I174" s="217"/>
      <c r="J174" s="218"/>
      <c r="K174" s="217"/>
      <c r="L174" s="218"/>
      <c r="M174" s="216"/>
      <c r="N174" s="2" t="s">
        <v>1030</v>
      </c>
    </row>
    <row r="175" spans="1:51" ht="30" customHeight="1" x14ac:dyDescent="0.3">
      <c r="A175" s="3" t="s">
        <v>173</v>
      </c>
      <c r="B175" s="3" t="s">
        <v>1105</v>
      </c>
      <c r="C175" s="5" t="s">
        <v>12</v>
      </c>
      <c r="D175" s="10">
        <v>2</v>
      </c>
      <c r="E175" s="12">
        <v>1450</v>
      </c>
      <c r="F175" s="11">
        <f t="shared" ref="F175:F181" si="68">TRUNC(E175*D175,1)</f>
        <v>2900</v>
      </c>
      <c r="G175" s="12">
        <v>0</v>
      </c>
      <c r="H175" s="11">
        <f t="shared" ref="H175:H181" si="69">TRUNC(G175*D175,1)</f>
        <v>0</v>
      </c>
      <c r="I175" s="12">
        <v>0</v>
      </c>
      <c r="J175" s="11">
        <f t="shared" ref="J175:J181" si="70">TRUNC(I175*D175,1)</f>
        <v>0</v>
      </c>
      <c r="K175" s="12">
        <f t="shared" ref="K175:L181" si="71">TRUNC(E175+G175+I175,1)</f>
        <v>1450</v>
      </c>
      <c r="L175" s="11">
        <f t="shared" si="71"/>
        <v>2900</v>
      </c>
      <c r="M175" s="3" t="s">
        <v>5</v>
      </c>
      <c r="N175" s="2" t="s">
        <v>1030</v>
      </c>
      <c r="O175" s="2" t="s">
        <v>1106</v>
      </c>
      <c r="P175" s="2" t="s">
        <v>996</v>
      </c>
      <c r="Q175" s="2" t="s">
        <v>996</v>
      </c>
      <c r="R175" s="2" t="s">
        <v>995</v>
      </c>
      <c r="AV175" s="2" t="s">
        <v>5</v>
      </c>
      <c r="AW175" s="2" t="s">
        <v>1264</v>
      </c>
      <c r="AX175" s="2" t="s">
        <v>5</v>
      </c>
      <c r="AY175" s="2" t="s">
        <v>5</v>
      </c>
    </row>
    <row r="176" spans="1:51" ht="30" customHeight="1" x14ac:dyDescent="0.3">
      <c r="A176" s="3" t="s">
        <v>168</v>
      </c>
      <c r="B176" s="3" t="s">
        <v>1207</v>
      </c>
      <c r="C176" s="5" t="s">
        <v>14</v>
      </c>
      <c r="D176" s="10">
        <v>1</v>
      </c>
      <c r="E176" s="199">
        <v>6176</v>
      </c>
      <c r="F176" s="11">
        <f t="shared" si="68"/>
        <v>6176</v>
      </c>
      <c r="G176" s="12">
        <v>0</v>
      </c>
      <c r="H176" s="11">
        <f t="shared" si="69"/>
        <v>0</v>
      </c>
      <c r="I176" s="12">
        <v>0</v>
      </c>
      <c r="J176" s="11">
        <f t="shared" si="70"/>
        <v>0</v>
      </c>
      <c r="K176" s="12">
        <f t="shared" si="71"/>
        <v>6176</v>
      </c>
      <c r="L176" s="11">
        <f t="shared" si="71"/>
        <v>6176</v>
      </c>
      <c r="M176" s="3" t="s">
        <v>5</v>
      </c>
      <c r="N176" s="2" t="s">
        <v>1030</v>
      </c>
      <c r="O176" s="2" t="s">
        <v>1208</v>
      </c>
      <c r="P176" s="2" t="s">
        <v>996</v>
      </c>
      <c r="Q176" s="2" t="s">
        <v>996</v>
      </c>
      <c r="R176" s="2" t="s">
        <v>995</v>
      </c>
      <c r="AV176" s="2" t="s">
        <v>5</v>
      </c>
      <c r="AW176" s="2" t="s">
        <v>1265</v>
      </c>
      <c r="AX176" s="2" t="s">
        <v>5</v>
      </c>
      <c r="AY176" s="2" t="s">
        <v>5</v>
      </c>
    </row>
    <row r="177" spans="1:51" ht="30" customHeight="1" x14ac:dyDescent="0.3">
      <c r="A177" s="3" t="s">
        <v>1108</v>
      </c>
      <c r="B177" s="3" t="s">
        <v>180</v>
      </c>
      <c r="C177" s="5" t="s">
        <v>12</v>
      </c>
      <c r="D177" s="10">
        <v>2</v>
      </c>
      <c r="E177" s="12">
        <v>100</v>
      </c>
      <c r="F177" s="11">
        <f t="shared" si="68"/>
        <v>200</v>
      </c>
      <c r="G177" s="12">
        <v>0</v>
      </c>
      <c r="H177" s="11">
        <f t="shared" si="69"/>
        <v>0</v>
      </c>
      <c r="I177" s="12">
        <v>0</v>
      </c>
      <c r="J177" s="11">
        <f t="shared" si="70"/>
        <v>0</v>
      </c>
      <c r="K177" s="12">
        <f t="shared" si="71"/>
        <v>100</v>
      </c>
      <c r="L177" s="11">
        <f t="shared" si="71"/>
        <v>200</v>
      </c>
      <c r="M177" s="3" t="s">
        <v>5</v>
      </c>
      <c r="N177" s="2" t="s">
        <v>1030</v>
      </c>
      <c r="O177" s="2" t="s">
        <v>1109</v>
      </c>
      <c r="P177" s="2" t="s">
        <v>996</v>
      </c>
      <c r="Q177" s="2" t="s">
        <v>996</v>
      </c>
      <c r="R177" s="2" t="s">
        <v>995</v>
      </c>
      <c r="AV177" s="2" t="s">
        <v>5</v>
      </c>
      <c r="AW177" s="2" t="s">
        <v>1266</v>
      </c>
      <c r="AX177" s="2" t="s">
        <v>5</v>
      </c>
      <c r="AY177" s="2" t="s">
        <v>5</v>
      </c>
    </row>
    <row r="178" spans="1:51" ht="30" customHeight="1" x14ac:dyDescent="0.3">
      <c r="A178" s="3" t="s">
        <v>174</v>
      </c>
      <c r="B178" s="3" t="s">
        <v>175</v>
      </c>
      <c r="C178" s="5" t="s">
        <v>12</v>
      </c>
      <c r="D178" s="10">
        <v>4</v>
      </c>
      <c r="E178" s="199">
        <v>21</v>
      </c>
      <c r="F178" s="11">
        <f t="shared" si="68"/>
        <v>84</v>
      </c>
      <c r="G178" s="12">
        <v>0</v>
      </c>
      <c r="H178" s="11">
        <f t="shared" si="69"/>
        <v>0</v>
      </c>
      <c r="I178" s="12">
        <v>0</v>
      </c>
      <c r="J178" s="11">
        <f t="shared" si="70"/>
        <v>0</v>
      </c>
      <c r="K178" s="12">
        <f t="shared" si="71"/>
        <v>21</v>
      </c>
      <c r="L178" s="11">
        <f t="shared" si="71"/>
        <v>84</v>
      </c>
      <c r="M178" s="3" t="s">
        <v>5</v>
      </c>
      <c r="N178" s="2" t="s">
        <v>1030</v>
      </c>
      <c r="O178" s="2" t="s">
        <v>1111</v>
      </c>
      <c r="P178" s="2" t="s">
        <v>996</v>
      </c>
      <c r="Q178" s="2" t="s">
        <v>996</v>
      </c>
      <c r="R178" s="2" t="s">
        <v>995</v>
      </c>
      <c r="AV178" s="2" t="s">
        <v>5</v>
      </c>
      <c r="AW178" s="2" t="s">
        <v>1267</v>
      </c>
      <c r="AX178" s="2" t="s">
        <v>5</v>
      </c>
      <c r="AY178" s="2" t="s">
        <v>5</v>
      </c>
    </row>
    <row r="179" spans="1:51" ht="30" customHeight="1" x14ac:dyDescent="0.3">
      <c r="A179" s="3" t="s">
        <v>177</v>
      </c>
      <c r="B179" s="3" t="s">
        <v>1113</v>
      </c>
      <c r="C179" s="5" t="s">
        <v>12</v>
      </c>
      <c r="D179" s="10">
        <v>4</v>
      </c>
      <c r="E179" s="12">
        <v>9.3000000000000007</v>
      </c>
      <c r="F179" s="11">
        <f t="shared" si="68"/>
        <v>37.200000000000003</v>
      </c>
      <c r="G179" s="12">
        <v>0</v>
      </c>
      <c r="H179" s="11">
        <f t="shared" si="69"/>
        <v>0</v>
      </c>
      <c r="I179" s="12">
        <v>0</v>
      </c>
      <c r="J179" s="11">
        <f t="shared" si="70"/>
        <v>0</v>
      </c>
      <c r="K179" s="12">
        <f t="shared" si="71"/>
        <v>9.3000000000000007</v>
      </c>
      <c r="L179" s="11">
        <f t="shared" si="71"/>
        <v>37.200000000000003</v>
      </c>
      <c r="M179" s="3" t="s">
        <v>5</v>
      </c>
      <c r="N179" s="2" t="s">
        <v>1030</v>
      </c>
      <c r="O179" s="2" t="s">
        <v>1114</v>
      </c>
      <c r="P179" s="2" t="s">
        <v>996</v>
      </c>
      <c r="Q179" s="2" t="s">
        <v>996</v>
      </c>
      <c r="R179" s="2" t="s">
        <v>995</v>
      </c>
      <c r="AV179" s="2" t="s">
        <v>5</v>
      </c>
      <c r="AW179" s="2" t="s">
        <v>1268</v>
      </c>
      <c r="AX179" s="2" t="s">
        <v>5</v>
      </c>
      <c r="AY179" s="2" t="s">
        <v>5</v>
      </c>
    </row>
    <row r="180" spans="1:51" ht="30" customHeight="1" x14ac:dyDescent="0.3">
      <c r="A180" s="3" t="s">
        <v>1119</v>
      </c>
      <c r="B180" s="3" t="s">
        <v>1120</v>
      </c>
      <c r="C180" s="5" t="s">
        <v>1121</v>
      </c>
      <c r="D180" s="10">
        <v>0.108</v>
      </c>
      <c r="E180" s="12">
        <v>0</v>
      </c>
      <c r="F180" s="11">
        <f t="shared" si="68"/>
        <v>0</v>
      </c>
      <c r="G180" s="8">
        <v>273676</v>
      </c>
      <c r="H180" s="11">
        <f t="shared" si="69"/>
        <v>29557</v>
      </c>
      <c r="I180" s="12">
        <v>0</v>
      </c>
      <c r="J180" s="11">
        <f t="shared" si="70"/>
        <v>0</v>
      </c>
      <c r="K180" s="12">
        <f t="shared" si="71"/>
        <v>273676</v>
      </c>
      <c r="L180" s="11">
        <f t="shared" si="71"/>
        <v>29557</v>
      </c>
      <c r="M180" s="3" t="s">
        <v>5</v>
      </c>
      <c r="N180" s="2" t="s">
        <v>1030</v>
      </c>
      <c r="O180" s="2" t="s">
        <v>1122</v>
      </c>
      <c r="P180" s="2" t="s">
        <v>996</v>
      </c>
      <c r="Q180" s="2" t="s">
        <v>996</v>
      </c>
      <c r="R180" s="2" t="s">
        <v>995</v>
      </c>
      <c r="V180" s="1">
        <v>1</v>
      </c>
      <c r="AV180" s="2" t="s">
        <v>5</v>
      </c>
      <c r="AW180" s="2" t="s">
        <v>1269</v>
      </c>
      <c r="AX180" s="2" t="s">
        <v>5</v>
      </c>
      <c r="AY180" s="2" t="s">
        <v>5</v>
      </c>
    </row>
    <row r="181" spans="1:51" ht="30" customHeight="1" x14ac:dyDescent="0.3">
      <c r="A181" s="3" t="s">
        <v>1124</v>
      </c>
      <c r="B181" s="3" t="s">
        <v>1125</v>
      </c>
      <c r="C181" s="5" t="s">
        <v>340</v>
      </c>
      <c r="D181" s="10">
        <v>1</v>
      </c>
      <c r="E181" s="12">
        <f>TRUNC(SUMIF(V175:V181, RIGHTB(O181, 1), H175:H181)*U181, 2)</f>
        <v>886.71</v>
      </c>
      <c r="F181" s="11">
        <f t="shared" si="68"/>
        <v>886.7</v>
      </c>
      <c r="G181" s="12">
        <v>0</v>
      </c>
      <c r="H181" s="11">
        <f t="shared" si="69"/>
        <v>0</v>
      </c>
      <c r="I181" s="12">
        <v>0</v>
      </c>
      <c r="J181" s="11">
        <f t="shared" si="70"/>
        <v>0</v>
      </c>
      <c r="K181" s="12">
        <f t="shared" si="71"/>
        <v>886.7</v>
      </c>
      <c r="L181" s="11">
        <f t="shared" si="71"/>
        <v>886.7</v>
      </c>
      <c r="M181" s="3" t="s">
        <v>5</v>
      </c>
      <c r="N181" s="2" t="s">
        <v>1030</v>
      </c>
      <c r="O181" s="2" t="s">
        <v>1126</v>
      </c>
      <c r="P181" s="2" t="s">
        <v>996</v>
      </c>
      <c r="Q181" s="2" t="s">
        <v>996</v>
      </c>
      <c r="R181" s="2" t="s">
        <v>996</v>
      </c>
      <c r="S181" s="1">
        <v>1</v>
      </c>
      <c r="T181" s="1">
        <v>0</v>
      </c>
      <c r="U181" s="1">
        <v>0.03</v>
      </c>
      <c r="AV181" s="2" t="s">
        <v>5</v>
      </c>
      <c r="AW181" s="2" t="s">
        <v>1270</v>
      </c>
      <c r="AX181" s="2" t="s">
        <v>5</v>
      </c>
      <c r="AY181" s="2" t="s">
        <v>5</v>
      </c>
    </row>
    <row r="182" spans="1:51" ht="30" customHeight="1" x14ac:dyDescent="0.3">
      <c r="A182" s="3" t="s">
        <v>1128</v>
      </c>
      <c r="B182" s="3" t="s">
        <v>5</v>
      </c>
      <c r="C182" s="5" t="s">
        <v>5</v>
      </c>
      <c r="D182" s="10"/>
      <c r="E182" s="12"/>
      <c r="F182" s="11">
        <f>TRUNC(SUMIF(N175:N181, N174, F175:F181),0)</f>
        <v>10283</v>
      </c>
      <c r="G182" s="12"/>
      <c r="H182" s="11">
        <f>TRUNC(SUMIF(N175:N181, N174, H175:H181),0)</f>
        <v>29557</v>
      </c>
      <c r="I182" s="12"/>
      <c r="J182" s="11">
        <f>TRUNC(SUMIF(N175:N181, N174, J175:J181),0)</f>
        <v>0</v>
      </c>
      <c r="K182" s="12"/>
      <c r="L182" s="11">
        <f>F182+H182+J182</f>
        <v>39840</v>
      </c>
      <c r="M182" s="3" t="s">
        <v>5</v>
      </c>
      <c r="N182" s="2" t="s">
        <v>1053</v>
      </c>
      <c r="O182" s="2" t="s">
        <v>1053</v>
      </c>
      <c r="P182" s="2" t="s">
        <v>5</v>
      </c>
      <c r="Q182" s="2" t="s">
        <v>5</v>
      </c>
      <c r="R182" s="2" t="s">
        <v>5</v>
      </c>
      <c r="AV182" s="2" t="s">
        <v>5</v>
      </c>
      <c r="AW182" s="2" t="s">
        <v>5</v>
      </c>
      <c r="AX182" s="2" t="s">
        <v>5</v>
      </c>
      <c r="AY182" s="2" t="s">
        <v>5</v>
      </c>
    </row>
    <row r="183" spans="1:51" ht="30" customHeight="1" x14ac:dyDescent="0.3">
      <c r="A183" s="10"/>
      <c r="B183" s="10"/>
      <c r="C183" s="9"/>
      <c r="D183" s="10"/>
      <c r="E183" s="12"/>
      <c r="F183" s="11"/>
      <c r="G183" s="12"/>
      <c r="H183" s="11"/>
      <c r="I183" s="12"/>
      <c r="J183" s="11"/>
      <c r="K183" s="12"/>
      <c r="L183" s="11"/>
      <c r="M183" s="10"/>
    </row>
    <row r="184" spans="1:51" ht="30" customHeight="1" x14ac:dyDescent="0.3">
      <c r="A184" s="216" t="s">
        <v>1530</v>
      </c>
      <c r="B184" s="216"/>
      <c r="C184" s="216"/>
      <c r="D184" s="216"/>
      <c r="E184" s="217"/>
      <c r="F184" s="218"/>
      <c r="G184" s="217"/>
      <c r="H184" s="218"/>
      <c r="I184" s="217"/>
      <c r="J184" s="218"/>
      <c r="K184" s="217"/>
      <c r="L184" s="218"/>
      <c r="M184" s="216"/>
      <c r="N184" s="2" t="s">
        <v>1032</v>
      </c>
    </row>
    <row r="185" spans="1:51" ht="30" customHeight="1" x14ac:dyDescent="0.3">
      <c r="A185" s="3" t="s">
        <v>173</v>
      </c>
      <c r="B185" s="3" t="s">
        <v>1105</v>
      </c>
      <c r="C185" s="5" t="s">
        <v>12</v>
      </c>
      <c r="D185" s="10">
        <v>2</v>
      </c>
      <c r="E185" s="12">
        <v>1450</v>
      </c>
      <c r="F185" s="11">
        <f t="shared" ref="F185:F191" si="72">TRUNC(E185*D185,1)</f>
        <v>2900</v>
      </c>
      <c r="G185" s="12">
        <v>0</v>
      </c>
      <c r="H185" s="11">
        <f t="shared" ref="H185:H191" si="73">TRUNC(G185*D185,1)</f>
        <v>0</v>
      </c>
      <c r="I185" s="12">
        <v>0</v>
      </c>
      <c r="J185" s="11">
        <f t="shared" ref="J185:J191" si="74">TRUNC(I185*D185,1)</f>
        <v>0</v>
      </c>
      <c r="K185" s="12">
        <f t="shared" ref="K185:L191" si="75">TRUNC(E185+G185+I185,1)</f>
        <v>1450</v>
      </c>
      <c r="L185" s="11">
        <f t="shared" si="75"/>
        <v>2900</v>
      </c>
      <c r="M185" s="3" t="s">
        <v>5</v>
      </c>
      <c r="N185" s="2" t="s">
        <v>1032</v>
      </c>
      <c r="O185" s="2" t="s">
        <v>1106</v>
      </c>
      <c r="P185" s="2" t="s">
        <v>996</v>
      </c>
      <c r="Q185" s="2" t="s">
        <v>996</v>
      </c>
      <c r="R185" s="2" t="s">
        <v>995</v>
      </c>
      <c r="AV185" s="2" t="s">
        <v>5</v>
      </c>
      <c r="AW185" s="2" t="s">
        <v>1271</v>
      </c>
      <c r="AX185" s="2" t="s">
        <v>5</v>
      </c>
      <c r="AY185" s="2" t="s">
        <v>5</v>
      </c>
    </row>
    <row r="186" spans="1:51" ht="30" customHeight="1" x14ac:dyDescent="0.3">
      <c r="A186" s="3" t="s">
        <v>168</v>
      </c>
      <c r="B186" s="3" t="s">
        <v>1207</v>
      </c>
      <c r="C186" s="5" t="s">
        <v>14</v>
      </c>
      <c r="D186" s="10">
        <v>1.1000000000000001</v>
      </c>
      <c r="E186" s="199">
        <v>6176</v>
      </c>
      <c r="F186" s="11">
        <f t="shared" si="72"/>
        <v>6793.6</v>
      </c>
      <c r="G186" s="12">
        <v>0</v>
      </c>
      <c r="H186" s="11">
        <f t="shared" si="73"/>
        <v>0</v>
      </c>
      <c r="I186" s="12">
        <v>0</v>
      </c>
      <c r="J186" s="11">
        <f t="shared" si="74"/>
        <v>0</v>
      </c>
      <c r="K186" s="12">
        <f t="shared" si="75"/>
        <v>6176</v>
      </c>
      <c r="L186" s="11">
        <f t="shared" si="75"/>
        <v>6793.6</v>
      </c>
      <c r="M186" s="3" t="s">
        <v>5</v>
      </c>
      <c r="N186" s="2" t="s">
        <v>1032</v>
      </c>
      <c r="O186" s="2" t="s">
        <v>1208</v>
      </c>
      <c r="P186" s="2" t="s">
        <v>996</v>
      </c>
      <c r="Q186" s="2" t="s">
        <v>996</v>
      </c>
      <c r="R186" s="2" t="s">
        <v>995</v>
      </c>
      <c r="AV186" s="2" t="s">
        <v>5</v>
      </c>
      <c r="AW186" s="2" t="s">
        <v>1272</v>
      </c>
      <c r="AX186" s="2" t="s">
        <v>5</v>
      </c>
      <c r="AY186" s="2" t="s">
        <v>5</v>
      </c>
    </row>
    <row r="187" spans="1:51" ht="30" customHeight="1" x14ac:dyDescent="0.3">
      <c r="A187" s="3" t="s">
        <v>1108</v>
      </c>
      <c r="B187" s="3" t="s">
        <v>180</v>
      </c>
      <c r="C187" s="5" t="s">
        <v>12</v>
      </c>
      <c r="D187" s="10">
        <v>2</v>
      </c>
      <c r="E187" s="12">
        <v>100</v>
      </c>
      <c r="F187" s="11">
        <f t="shared" si="72"/>
        <v>200</v>
      </c>
      <c r="G187" s="12">
        <v>0</v>
      </c>
      <c r="H187" s="11">
        <f t="shared" si="73"/>
        <v>0</v>
      </c>
      <c r="I187" s="12">
        <v>0</v>
      </c>
      <c r="J187" s="11">
        <f t="shared" si="74"/>
        <v>0</v>
      </c>
      <c r="K187" s="12">
        <f t="shared" si="75"/>
        <v>100</v>
      </c>
      <c r="L187" s="11">
        <f t="shared" si="75"/>
        <v>200</v>
      </c>
      <c r="M187" s="3" t="s">
        <v>5</v>
      </c>
      <c r="N187" s="2" t="s">
        <v>1032</v>
      </c>
      <c r="O187" s="2" t="s">
        <v>1109</v>
      </c>
      <c r="P187" s="2" t="s">
        <v>996</v>
      </c>
      <c r="Q187" s="2" t="s">
        <v>996</v>
      </c>
      <c r="R187" s="2" t="s">
        <v>995</v>
      </c>
      <c r="AV187" s="2" t="s">
        <v>5</v>
      </c>
      <c r="AW187" s="2" t="s">
        <v>1273</v>
      </c>
      <c r="AX187" s="2" t="s">
        <v>5</v>
      </c>
      <c r="AY187" s="2" t="s">
        <v>5</v>
      </c>
    </row>
    <row r="188" spans="1:51" ht="30" customHeight="1" x14ac:dyDescent="0.3">
      <c r="A188" s="3" t="s">
        <v>174</v>
      </c>
      <c r="B188" s="3" t="s">
        <v>175</v>
      </c>
      <c r="C188" s="5" t="s">
        <v>12</v>
      </c>
      <c r="D188" s="10">
        <v>4</v>
      </c>
      <c r="E188" s="199">
        <v>21</v>
      </c>
      <c r="F188" s="11">
        <f t="shared" si="72"/>
        <v>84</v>
      </c>
      <c r="G188" s="12">
        <v>0</v>
      </c>
      <c r="H188" s="11">
        <f t="shared" si="73"/>
        <v>0</v>
      </c>
      <c r="I188" s="12">
        <v>0</v>
      </c>
      <c r="J188" s="11">
        <f t="shared" si="74"/>
        <v>0</v>
      </c>
      <c r="K188" s="12">
        <f t="shared" si="75"/>
        <v>21</v>
      </c>
      <c r="L188" s="11">
        <f t="shared" si="75"/>
        <v>84</v>
      </c>
      <c r="M188" s="3" t="s">
        <v>5</v>
      </c>
      <c r="N188" s="2" t="s">
        <v>1032</v>
      </c>
      <c r="O188" s="2" t="s">
        <v>1111</v>
      </c>
      <c r="P188" s="2" t="s">
        <v>996</v>
      </c>
      <c r="Q188" s="2" t="s">
        <v>996</v>
      </c>
      <c r="R188" s="2" t="s">
        <v>995</v>
      </c>
      <c r="AV188" s="2" t="s">
        <v>5</v>
      </c>
      <c r="AW188" s="2" t="s">
        <v>1274</v>
      </c>
      <c r="AX188" s="2" t="s">
        <v>5</v>
      </c>
      <c r="AY188" s="2" t="s">
        <v>5</v>
      </c>
    </row>
    <row r="189" spans="1:51" ht="30" customHeight="1" x14ac:dyDescent="0.3">
      <c r="A189" s="3" t="s">
        <v>177</v>
      </c>
      <c r="B189" s="3" t="s">
        <v>1113</v>
      </c>
      <c r="C189" s="5" t="s">
        <v>12</v>
      </c>
      <c r="D189" s="10">
        <v>4</v>
      </c>
      <c r="E189" s="12">
        <v>9.3000000000000007</v>
      </c>
      <c r="F189" s="11">
        <f t="shared" si="72"/>
        <v>37.200000000000003</v>
      </c>
      <c r="G189" s="12">
        <v>0</v>
      </c>
      <c r="H189" s="11">
        <f t="shared" si="73"/>
        <v>0</v>
      </c>
      <c r="I189" s="12">
        <v>0</v>
      </c>
      <c r="J189" s="11">
        <f t="shared" si="74"/>
        <v>0</v>
      </c>
      <c r="K189" s="12">
        <f t="shared" si="75"/>
        <v>9.3000000000000007</v>
      </c>
      <c r="L189" s="11">
        <f t="shared" si="75"/>
        <v>37.200000000000003</v>
      </c>
      <c r="M189" s="3" t="s">
        <v>5</v>
      </c>
      <c r="N189" s="2" t="s">
        <v>1032</v>
      </c>
      <c r="O189" s="2" t="s">
        <v>1114</v>
      </c>
      <c r="P189" s="2" t="s">
        <v>996</v>
      </c>
      <c r="Q189" s="2" t="s">
        <v>996</v>
      </c>
      <c r="R189" s="2" t="s">
        <v>995</v>
      </c>
      <c r="AV189" s="2" t="s">
        <v>5</v>
      </c>
      <c r="AW189" s="2" t="s">
        <v>1275</v>
      </c>
      <c r="AX189" s="2" t="s">
        <v>5</v>
      </c>
      <c r="AY189" s="2" t="s">
        <v>5</v>
      </c>
    </row>
    <row r="190" spans="1:51" ht="30" customHeight="1" x14ac:dyDescent="0.3">
      <c r="A190" s="3" t="s">
        <v>1119</v>
      </c>
      <c r="B190" s="3" t="s">
        <v>1120</v>
      </c>
      <c r="C190" s="5" t="s">
        <v>1121</v>
      </c>
      <c r="D190" s="10">
        <v>0.108</v>
      </c>
      <c r="E190" s="12">
        <v>0</v>
      </c>
      <c r="F190" s="11">
        <f t="shared" si="72"/>
        <v>0</v>
      </c>
      <c r="G190" s="8">
        <v>273676</v>
      </c>
      <c r="H190" s="11">
        <f t="shared" si="73"/>
        <v>29557</v>
      </c>
      <c r="I190" s="12">
        <v>0</v>
      </c>
      <c r="J190" s="11">
        <f t="shared" si="74"/>
        <v>0</v>
      </c>
      <c r="K190" s="12">
        <f t="shared" si="75"/>
        <v>273676</v>
      </c>
      <c r="L190" s="11">
        <f t="shared" si="75"/>
        <v>29557</v>
      </c>
      <c r="M190" s="3" t="s">
        <v>5</v>
      </c>
      <c r="N190" s="2" t="s">
        <v>1032</v>
      </c>
      <c r="O190" s="2" t="s">
        <v>1122</v>
      </c>
      <c r="P190" s="2" t="s">
        <v>996</v>
      </c>
      <c r="Q190" s="2" t="s">
        <v>996</v>
      </c>
      <c r="R190" s="2" t="s">
        <v>995</v>
      </c>
      <c r="V190" s="1">
        <v>1</v>
      </c>
      <c r="AV190" s="2" t="s">
        <v>5</v>
      </c>
      <c r="AW190" s="2" t="s">
        <v>1276</v>
      </c>
      <c r="AX190" s="2" t="s">
        <v>5</v>
      </c>
      <c r="AY190" s="2" t="s">
        <v>5</v>
      </c>
    </row>
    <row r="191" spans="1:51" ht="30" customHeight="1" x14ac:dyDescent="0.3">
      <c r="A191" s="3" t="s">
        <v>1124</v>
      </c>
      <c r="B191" s="3" t="s">
        <v>1125</v>
      </c>
      <c r="C191" s="5" t="s">
        <v>340</v>
      </c>
      <c r="D191" s="10">
        <v>1</v>
      </c>
      <c r="E191" s="12">
        <f>TRUNC(SUMIF(V185:V191, RIGHTB(O191, 1), H185:H191)*U191, 2)</f>
        <v>886.71</v>
      </c>
      <c r="F191" s="11">
        <f t="shared" si="72"/>
        <v>886.7</v>
      </c>
      <c r="G191" s="12">
        <v>0</v>
      </c>
      <c r="H191" s="11">
        <f t="shared" si="73"/>
        <v>0</v>
      </c>
      <c r="I191" s="12">
        <v>0</v>
      </c>
      <c r="J191" s="11">
        <f t="shared" si="74"/>
        <v>0</v>
      </c>
      <c r="K191" s="12">
        <f t="shared" si="75"/>
        <v>886.7</v>
      </c>
      <c r="L191" s="11">
        <f t="shared" si="75"/>
        <v>886.7</v>
      </c>
      <c r="M191" s="3" t="s">
        <v>5</v>
      </c>
      <c r="N191" s="2" t="s">
        <v>1032</v>
      </c>
      <c r="O191" s="2" t="s">
        <v>1126</v>
      </c>
      <c r="P191" s="2" t="s">
        <v>996</v>
      </c>
      <c r="Q191" s="2" t="s">
        <v>996</v>
      </c>
      <c r="R191" s="2" t="s">
        <v>996</v>
      </c>
      <c r="S191" s="1">
        <v>1</v>
      </c>
      <c r="T191" s="1">
        <v>0</v>
      </c>
      <c r="U191" s="1">
        <v>0.03</v>
      </c>
      <c r="AV191" s="2" t="s">
        <v>5</v>
      </c>
      <c r="AW191" s="2" t="s">
        <v>1277</v>
      </c>
      <c r="AX191" s="2" t="s">
        <v>5</v>
      </c>
      <c r="AY191" s="2" t="s">
        <v>5</v>
      </c>
    </row>
    <row r="192" spans="1:51" ht="30" customHeight="1" x14ac:dyDescent="0.3">
      <c r="A192" s="3" t="s">
        <v>1128</v>
      </c>
      <c r="B192" s="3" t="s">
        <v>5</v>
      </c>
      <c r="C192" s="5" t="s">
        <v>5</v>
      </c>
      <c r="D192" s="10"/>
      <c r="E192" s="12"/>
      <c r="F192" s="11">
        <f>TRUNC(SUMIF(N185:N191, N184, F185:F191),0)</f>
        <v>10901</v>
      </c>
      <c r="G192" s="12"/>
      <c r="H192" s="11">
        <f>TRUNC(SUMIF(N185:N191, N184, H185:H191),0)</f>
        <v>29557</v>
      </c>
      <c r="I192" s="12"/>
      <c r="J192" s="11">
        <f>TRUNC(SUMIF(N185:N191, N184, J185:J191),0)</f>
        <v>0</v>
      </c>
      <c r="K192" s="12"/>
      <c r="L192" s="11">
        <f>F192+H192+J192</f>
        <v>40458</v>
      </c>
      <c r="M192" s="3" t="s">
        <v>5</v>
      </c>
      <c r="N192" s="2" t="s">
        <v>1053</v>
      </c>
      <c r="O192" s="2" t="s">
        <v>1053</v>
      </c>
      <c r="P192" s="2" t="s">
        <v>5</v>
      </c>
      <c r="Q192" s="2" t="s">
        <v>5</v>
      </c>
      <c r="R192" s="2" t="s">
        <v>5</v>
      </c>
      <c r="AV192" s="2" t="s">
        <v>5</v>
      </c>
      <c r="AW192" s="2" t="s">
        <v>5</v>
      </c>
      <c r="AX192" s="2" t="s">
        <v>5</v>
      </c>
      <c r="AY192" s="2" t="s">
        <v>5</v>
      </c>
    </row>
    <row r="193" spans="1:51" ht="30" customHeight="1" x14ac:dyDescent="0.3">
      <c r="A193" s="10"/>
      <c r="B193" s="10"/>
      <c r="C193" s="9"/>
      <c r="D193" s="10"/>
      <c r="E193" s="12"/>
      <c r="F193" s="11"/>
      <c r="G193" s="12"/>
      <c r="H193" s="11"/>
      <c r="I193" s="12"/>
      <c r="J193" s="11"/>
      <c r="K193" s="12"/>
      <c r="L193" s="11"/>
      <c r="M193" s="10"/>
    </row>
    <row r="194" spans="1:51" ht="30" customHeight="1" x14ac:dyDescent="0.3">
      <c r="A194" s="216" t="s">
        <v>1531</v>
      </c>
      <c r="B194" s="216"/>
      <c r="C194" s="216"/>
      <c r="D194" s="216"/>
      <c r="E194" s="217"/>
      <c r="F194" s="218"/>
      <c r="G194" s="217"/>
      <c r="H194" s="218"/>
      <c r="I194" s="217"/>
      <c r="J194" s="218"/>
      <c r="K194" s="217"/>
      <c r="L194" s="218"/>
      <c r="M194" s="216"/>
      <c r="N194" s="2" t="s">
        <v>1033</v>
      </c>
    </row>
    <row r="195" spans="1:51" ht="30" customHeight="1" x14ac:dyDescent="0.3">
      <c r="A195" s="3" t="s">
        <v>168</v>
      </c>
      <c r="B195" s="3" t="s">
        <v>1207</v>
      </c>
      <c r="C195" s="5" t="s">
        <v>14</v>
      </c>
      <c r="D195" s="10">
        <v>0.2</v>
      </c>
      <c r="E195" s="199">
        <v>6176</v>
      </c>
      <c r="F195" s="11">
        <f t="shared" ref="F195:F200" si="76">TRUNC(E195*D195,1)</f>
        <v>1235.2</v>
      </c>
      <c r="G195" s="12">
        <v>0</v>
      </c>
      <c r="H195" s="11">
        <f t="shared" ref="H195:H200" si="77">TRUNC(G195*D195,1)</f>
        <v>0</v>
      </c>
      <c r="I195" s="12">
        <v>0</v>
      </c>
      <c r="J195" s="11">
        <f t="shared" ref="J195:J200" si="78">TRUNC(I195*D195,1)</f>
        <v>0</v>
      </c>
      <c r="K195" s="12">
        <f t="shared" ref="K195:L200" si="79">TRUNC(E195+G195+I195,1)</f>
        <v>6176</v>
      </c>
      <c r="L195" s="11">
        <f t="shared" si="79"/>
        <v>1235.2</v>
      </c>
      <c r="M195" s="3" t="s">
        <v>5</v>
      </c>
      <c r="N195" s="2" t="s">
        <v>1033</v>
      </c>
      <c r="O195" s="2" t="s">
        <v>1208</v>
      </c>
      <c r="P195" s="2" t="s">
        <v>996</v>
      </c>
      <c r="Q195" s="2" t="s">
        <v>996</v>
      </c>
      <c r="R195" s="2" t="s">
        <v>995</v>
      </c>
      <c r="AV195" s="2" t="s">
        <v>5</v>
      </c>
      <c r="AW195" s="2" t="s">
        <v>1278</v>
      </c>
      <c r="AX195" s="2" t="s">
        <v>5</v>
      </c>
      <c r="AY195" s="2" t="s">
        <v>5</v>
      </c>
    </row>
    <row r="196" spans="1:51" ht="30" customHeight="1" x14ac:dyDescent="0.3">
      <c r="A196" s="3" t="s">
        <v>178</v>
      </c>
      <c r="B196" s="3" t="s">
        <v>1279</v>
      </c>
      <c r="C196" s="5" t="s">
        <v>12</v>
      </c>
      <c r="D196" s="10">
        <v>2</v>
      </c>
      <c r="E196" s="12">
        <v>160</v>
      </c>
      <c r="F196" s="11">
        <f t="shared" si="76"/>
        <v>320</v>
      </c>
      <c r="G196" s="12">
        <v>0</v>
      </c>
      <c r="H196" s="11">
        <f t="shared" si="77"/>
        <v>0</v>
      </c>
      <c r="I196" s="12">
        <v>0</v>
      </c>
      <c r="J196" s="11">
        <f t="shared" si="78"/>
        <v>0</v>
      </c>
      <c r="K196" s="12">
        <f t="shared" si="79"/>
        <v>160</v>
      </c>
      <c r="L196" s="11">
        <f t="shared" si="79"/>
        <v>320</v>
      </c>
      <c r="M196" s="3" t="s">
        <v>5</v>
      </c>
      <c r="N196" s="2" t="s">
        <v>1033</v>
      </c>
      <c r="O196" s="2" t="s">
        <v>1280</v>
      </c>
      <c r="P196" s="2" t="s">
        <v>996</v>
      </c>
      <c r="Q196" s="2" t="s">
        <v>996</v>
      </c>
      <c r="R196" s="2" t="s">
        <v>995</v>
      </c>
      <c r="AV196" s="2" t="s">
        <v>5</v>
      </c>
      <c r="AW196" s="2" t="s">
        <v>1281</v>
      </c>
      <c r="AX196" s="2" t="s">
        <v>5</v>
      </c>
      <c r="AY196" s="2" t="s">
        <v>5</v>
      </c>
    </row>
    <row r="197" spans="1:51" ht="30" customHeight="1" x14ac:dyDescent="0.3">
      <c r="A197" s="3" t="s">
        <v>174</v>
      </c>
      <c r="B197" s="3" t="s">
        <v>175</v>
      </c>
      <c r="C197" s="5" t="s">
        <v>12</v>
      </c>
      <c r="D197" s="10">
        <v>2</v>
      </c>
      <c r="E197" s="199">
        <v>21</v>
      </c>
      <c r="F197" s="11">
        <f t="shared" si="76"/>
        <v>42</v>
      </c>
      <c r="G197" s="12">
        <v>0</v>
      </c>
      <c r="H197" s="11">
        <f t="shared" si="77"/>
        <v>0</v>
      </c>
      <c r="I197" s="12">
        <v>0</v>
      </c>
      <c r="J197" s="11">
        <f t="shared" si="78"/>
        <v>0</v>
      </c>
      <c r="K197" s="12">
        <f t="shared" si="79"/>
        <v>21</v>
      </c>
      <c r="L197" s="11">
        <f t="shared" si="79"/>
        <v>42</v>
      </c>
      <c r="M197" s="3" t="s">
        <v>5</v>
      </c>
      <c r="N197" s="2" t="s">
        <v>1033</v>
      </c>
      <c r="O197" s="2" t="s">
        <v>1111</v>
      </c>
      <c r="P197" s="2" t="s">
        <v>996</v>
      </c>
      <c r="Q197" s="2" t="s">
        <v>996</v>
      </c>
      <c r="R197" s="2" t="s">
        <v>995</v>
      </c>
      <c r="AV197" s="2" t="s">
        <v>5</v>
      </c>
      <c r="AW197" s="2" t="s">
        <v>1282</v>
      </c>
      <c r="AX197" s="2" t="s">
        <v>5</v>
      </c>
      <c r="AY197" s="2" t="s">
        <v>5</v>
      </c>
    </row>
    <row r="198" spans="1:51" ht="30" customHeight="1" x14ac:dyDescent="0.3">
      <c r="A198" s="3" t="s">
        <v>177</v>
      </c>
      <c r="B198" s="3" t="s">
        <v>1113</v>
      </c>
      <c r="C198" s="5" t="s">
        <v>12</v>
      </c>
      <c r="D198" s="10">
        <v>2</v>
      </c>
      <c r="E198" s="12">
        <v>9.3000000000000007</v>
      </c>
      <c r="F198" s="11">
        <f t="shared" si="76"/>
        <v>18.600000000000001</v>
      </c>
      <c r="G198" s="12">
        <v>0</v>
      </c>
      <c r="H198" s="11">
        <f t="shared" si="77"/>
        <v>0</v>
      </c>
      <c r="I198" s="12">
        <v>0</v>
      </c>
      <c r="J198" s="11">
        <f t="shared" si="78"/>
        <v>0</v>
      </c>
      <c r="K198" s="12">
        <f t="shared" si="79"/>
        <v>9.3000000000000007</v>
      </c>
      <c r="L198" s="11">
        <f t="shared" si="79"/>
        <v>18.600000000000001</v>
      </c>
      <c r="M198" s="3" t="s">
        <v>5</v>
      </c>
      <c r="N198" s="2" t="s">
        <v>1033</v>
      </c>
      <c r="O198" s="2" t="s">
        <v>1114</v>
      </c>
      <c r="P198" s="2" t="s">
        <v>996</v>
      </c>
      <c r="Q198" s="2" t="s">
        <v>996</v>
      </c>
      <c r="R198" s="2" t="s">
        <v>995</v>
      </c>
      <c r="AV198" s="2" t="s">
        <v>5</v>
      </c>
      <c r="AW198" s="2" t="s">
        <v>1283</v>
      </c>
      <c r="AX198" s="2" t="s">
        <v>5</v>
      </c>
      <c r="AY198" s="2" t="s">
        <v>5</v>
      </c>
    </row>
    <row r="199" spans="1:51" ht="30" customHeight="1" x14ac:dyDescent="0.3">
      <c r="A199" s="3" t="s">
        <v>1119</v>
      </c>
      <c r="B199" s="3" t="s">
        <v>1120</v>
      </c>
      <c r="C199" s="5" t="s">
        <v>1121</v>
      </c>
      <c r="D199" s="10">
        <v>7.1999999999999995E-2</v>
      </c>
      <c r="E199" s="12">
        <v>0</v>
      </c>
      <c r="F199" s="11">
        <f t="shared" si="76"/>
        <v>0</v>
      </c>
      <c r="G199" s="8">
        <v>273676</v>
      </c>
      <c r="H199" s="11">
        <f t="shared" si="77"/>
        <v>19704.599999999999</v>
      </c>
      <c r="I199" s="12">
        <v>0</v>
      </c>
      <c r="J199" s="11">
        <f t="shared" si="78"/>
        <v>0</v>
      </c>
      <c r="K199" s="12">
        <f t="shared" si="79"/>
        <v>273676</v>
      </c>
      <c r="L199" s="11">
        <f t="shared" si="79"/>
        <v>19704.599999999999</v>
      </c>
      <c r="M199" s="3" t="s">
        <v>5</v>
      </c>
      <c r="N199" s="2" t="s">
        <v>1033</v>
      </c>
      <c r="O199" s="2" t="s">
        <v>1122</v>
      </c>
      <c r="P199" s="2" t="s">
        <v>996</v>
      </c>
      <c r="Q199" s="2" t="s">
        <v>996</v>
      </c>
      <c r="R199" s="2" t="s">
        <v>995</v>
      </c>
      <c r="V199" s="1">
        <v>1</v>
      </c>
      <c r="AV199" s="2" t="s">
        <v>5</v>
      </c>
      <c r="AW199" s="2" t="s">
        <v>1284</v>
      </c>
      <c r="AX199" s="2" t="s">
        <v>5</v>
      </c>
      <c r="AY199" s="2" t="s">
        <v>5</v>
      </c>
    </row>
    <row r="200" spans="1:51" ht="30" customHeight="1" x14ac:dyDescent="0.3">
      <c r="A200" s="3" t="s">
        <v>1124</v>
      </c>
      <c r="B200" s="3" t="s">
        <v>1125</v>
      </c>
      <c r="C200" s="5" t="s">
        <v>340</v>
      </c>
      <c r="D200" s="10">
        <v>1</v>
      </c>
      <c r="E200" s="12">
        <f>TRUNC(SUMIF(V195:V200, RIGHTB(O200, 1), H195:H200)*U200, 2)</f>
        <v>591.13</v>
      </c>
      <c r="F200" s="11">
        <f t="shared" si="76"/>
        <v>591.1</v>
      </c>
      <c r="G200" s="12">
        <v>0</v>
      </c>
      <c r="H200" s="11">
        <f t="shared" si="77"/>
        <v>0</v>
      </c>
      <c r="I200" s="12">
        <v>0</v>
      </c>
      <c r="J200" s="11">
        <f t="shared" si="78"/>
        <v>0</v>
      </c>
      <c r="K200" s="12">
        <f t="shared" si="79"/>
        <v>591.1</v>
      </c>
      <c r="L200" s="11">
        <f t="shared" si="79"/>
        <v>591.1</v>
      </c>
      <c r="M200" s="3" t="s">
        <v>5</v>
      </c>
      <c r="N200" s="2" t="s">
        <v>1033</v>
      </c>
      <c r="O200" s="2" t="s">
        <v>1126</v>
      </c>
      <c r="P200" s="2" t="s">
        <v>996</v>
      </c>
      <c r="Q200" s="2" t="s">
        <v>996</v>
      </c>
      <c r="R200" s="2" t="s">
        <v>996</v>
      </c>
      <c r="S200" s="1">
        <v>1</v>
      </c>
      <c r="T200" s="1">
        <v>0</v>
      </c>
      <c r="U200" s="1">
        <v>0.03</v>
      </c>
      <c r="AV200" s="2" t="s">
        <v>5</v>
      </c>
      <c r="AW200" s="2" t="s">
        <v>1285</v>
      </c>
      <c r="AX200" s="2" t="s">
        <v>5</v>
      </c>
      <c r="AY200" s="2" t="s">
        <v>5</v>
      </c>
    </row>
    <row r="201" spans="1:51" ht="30" customHeight="1" x14ac:dyDescent="0.3">
      <c r="A201" s="3" t="s">
        <v>1128</v>
      </c>
      <c r="B201" s="3" t="s">
        <v>5</v>
      </c>
      <c r="C201" s="5" t="s">
        <v>5</v>
      </c>
      <c r="D201" s="10"/>
      <c r="E201" s="12"/>
      <c r="F201" s="11">
        <f>TRUNC(SUMIF(N195:N200, N194, F195:F200),0)</f>
        <v>2206</v>
      </c>
      <c r="G201" s="12"/>
      <c r="H201" s="11">
        <f>TRUNC(SUMIF(N195:N200, N194, H195:H200),0)</f>
        <v>19704</v>
      </c>
      <c r="I201" s="12"/>
      <c r="J201" s="11">
        <f>TRUNC(SUMIF(N195:N200, N194, J195:J200),0)</f>
        <v>0</v>
      </c>
      <c r="K201" s="12"/>
      <c r="L201" s="11">
        <f>F201+H201+J201</f>
        <v>21910</v>
      </c>
      <c r="M201" s="3" t="s">
        <v>5</v>
      </c>
      <c r="N201" s="2" t="s">
        <v>1053</v>
      </c>
      <c r="O201" s="2" t="s">
        <v>1053</v>
      </c>
      <c r="P201" s="2" t="s">
        <v>5</v>
      </c>
      <c r="Q201" s="2" t="s">
        <v>5</v>
      </c>
      <c r="R201" s="2" t="s">
        <v>5</v>
      </c>
      <c r="AV201" s="2" t="s">
        <v>5</v>
      </c>
      <c r="AW201" s="2" t="s">
        <v>5</v>
      </c>
      <c r="AX201" s="2" t="s">
        <v>5</v>
      </c>
      <c r="AY201" s="2" t="s">
        <v>5</v>
      </c>
    </row>
    <row r="202" spans="1:51" ht="30" customHeight="1" x14ac:dyDescent="0.3">
      <c r="A202" s="10"/>
      <c r="B202" s="10"/>
      <c r="C202" s="9"/>
      <c r="D202" s="10"/>
      <c r="E202" s="12"/>
      <c r="F202" s="11"/>
      <c r="G202" s="12"/>
      <c r="H202" s="11"/>
      <c r="I202" s="12"/>
      <c r="J202" s="11"/>
      <c r="K202" s="12"/>
      <c r="L202" s="11"/>
      <c r="M202" s="10"/>
    </row>
    <row r="203" spans="1:51" ht="30" customHeight="1" x14ac:dyDescent="0.3">
      <c r="A203" s="216" t="s">
        <v>1532</v>
      </c>
      <c r="B203" s="216"/>
      <c r="C203" s="216"/>
      <c r="D203" s="216"/>
      <c r="E203" s="217"/>
      <c r="F203" s="218"/>
      <c r="G203" s="217"/>
      <c r="H203" s="218"/>
      <c r="I203" s="217"/>
      <c r="J203" s="218"/>
      <c r="K203" s="217"/>
      <c r="L203" s="218"/>
      <c r="M203" s="216"/>
      <c r="N203" s="2" t="s">
        <v>1034</v>
      </c>
    </row>
    <row r="204" spans="1:51" ht="30" customHeight="1" x14ac:dyDescent="0.3">
      <c r="A204" s="3" t="s">
        <v>168</v>
      </c>
      <c r="B204" s="3" t="s">
        <v>1207</v>
      </c>
      <c r="C204" s="5" t="s">
        <v>14</v>
      </c>
      <c r="D204" s="10">
        <v>0.25</v>
      </c>
      <c r="E204" s="199">
        <v>6176</v>
      </c>
      <c r="F204" s="11">
        <f t="shared" ref="F204:F209" si="80">TRUNC(E204*D204,1)</f>
        <v>1544</v>
      </c>
      <c r="G204" s="12">
        <v>0</v>
      </c>
      <c r="H204" s="11">
        <f t="shared" ref="H204:H209" si="81">TRUNC(G204*D204,1)</f>
        <v>0</v>
      </c>
      <c r="I204" s="12">
        <v>0</v>
      </c>
      <c r="J204" s="11">
        <f t="shared" ref="J204:J209" si="82">TRUNC(I204*D204,1)</f>
        <v>0</v>
      </c>
      <c r="K204" s="12">
        <f t="shared" ref="K204:L209" si="83">TRUNC(E204+G204+I204,1)</f>
        <v>6176</v>
      </c>
      <c r="L204" s="11">
        <f t="shared" si="83"/>
        <v>1544</v>
      </c>
      <c r="M204" s="3" t="s">
        <v>5</v>
      </c>
      <c r="N204" s="2" t="s">
        <v>1034</v>
      </c>
      <c r="O204" s="2" t="s">
        <v>1208</v>
      </c>
      <c r="P204" s="2" t="s">
        <v>996</v>
      </c>
      <c r="Q204" s="2" t="s">
        <v>996</v>
      </c>
      <c r="R204" s="2" t="s">
        <v>995</v>
      </c>
      <c r="AV204" s="2" t="s">
        <v>5</v>
      </c>
      <c r="AW204" s="2" t="s">
        <v>1286</v>
      </c>
      <c r="AX204" s="2" t="s">
        <v>5</v>
      </c>
      <c r="AY204" s="2" t="s">
        <v>5</v>
      </c>
    </row>
    <row r="205" spans="1:51" ht="30" customHeight="1" x14ac:dyDescent="0.3">
      <c r="A205" s="3" t="s">
        <v>178</v>
      </c>
      <c r="B205" s="3" t="s">
        <v>1279</v>
      </c>
      <c r="C205" s="5" t="s">
        <v>12</v>
      </c>
      <c r="D205" s="10">
        <v>2</v>
      </c>
      <c r="E205" s="12">
        <v>160</v>
      </c>
      <c r="F205" s="11">
        <f t="shared" si="80"/>
        <v>320</v>
      </c>
      <c r="G205" s="12">
        <v>0</v>
      </c>
      <c r="H205" s="11">
        <f t="shared" si="81"/>
        <v>0</v>
      </c>
      <c r="I205" s="12">
        <v>0</v>
      </c>
      <c r="J205" s="11">
        <f t="shared" si="82"/>
        <v>0</v>
      </c>
      <c r="K205" s="12">
        <f t="shared" si="83"/>
        <v>160</v>
      </c>
      <c r="L205" s="11">
        <f t="shared" si="83"/>
        <v>320</v>
      </c>
      <c r="M205" s="3" t="s">
        <v>5</v>
      </c>
      <c r="N205" s="2" t="s">
        <v>1034</v>
      </c>
      <c r="O205" s="2" t="s">
        <v>1280</v>
      </c>
      <c r="P205" s="2" t="s">
        <v>996</v>
      </c>
      <c r="Q205" s="2" t="s">
        <v>996</v>
      </c>
      <c r="R205" s="2" t="s">
        <v>995</v>
      </c>
      <c r="AV205" s="2" t="s">
        <v>5</v>
      </c>
      <c r="AW205" s="2" t="s">
        <v>1287</v>
      </c>
      <c r="AX205" s="2" t="s">
        <v>5</v>
      </c>
      <c r="AY205" s="2" t="s">
        <v>5</v>
      </c>
    </row>
    <row r="206" spans="1:51" ht="30" customHeight="1" x14ac:dyDescent="0.3">
      <c r="A206" s="3" t="s">
        <v>174</v>
      </c>
      <c r="B206" s="3" t="s">
        <v>175</v>
      </c>
      <c r="C206" s="5" t="s">
        <v>12</v>
      </c>
      <c r="D206" s="10">
        <v>2</v>
      </c>
      <c r="E206" s="199">
        <v>21</v>
      </c>
      <c r="F206" s="11">
        <f t="shared" si="80"/>
        <v>42</v>
      </c>
      <c r="G206" s="12">
        <v>0</v>
      </c>
      <c r="H206" s="11">
        <f t="shared" si="81"/>
        <v>0</v>
      </c>
      <c r="I206" s="12">
        <v>0</v>
      </c>
      <c r="J206" s="11">
        <f t="shared" si="82"/>
        <v>0</v>
      </c>
      <c r="K206" s="12">
        <f t="shared" si="83"/>
        <v>21</v>
      </c>
      <c r="L206" s="11">
        <f t="shared" si="83"/>
        <v>42</v>
      </c>
      <c r="M206" s="3" t="s">
        <v>5</v>
      </c>
      <c r="N206" s="2" t="s">
        <v>1034</v>
      </c>
      <c r="O206" s="2" t="s">
        <v>1111</v>
      </c>
      <c r="P206" s="2" t="s">
        <v>996</v>
      </c>
      <c r="Q206" s="2" t="s">
        <v>996</v>
      </c>
      <c r="R206" s="2" t="s">
        <v>995</v>
      </c>
      <c r="AV206" s="2" t="s">
        <v>5</v>
      </c>
      <c r="AW206" s="2" t="s">
        <v>1288</v>
      </c>
      <c r="AX206" s="2" t="s">
        <v>5</v>
      </c>
      <c r="AY206" s="2" t="s">
        <v>5</v>
      </c>
    </row>
    <row r="207" spans="1:51" ht="30" customHeight="1" x14ac:dyDescent="0.3">
      <c r="A207" s="3" t="s">
        <v>177</v>
      </c>
      <c r="B207" s="3" t="s">
        <v>1113</v>
      </c>
      <c r="C207" s="5" t="s">
        <v>12</v>
      </c>
      <c r="D207" s="10">
        <v>2</v>
      </c>
      <c r="E207" s="12">
        <v>9.3000000000000007</v>
      </c>
      <c r="F207" s="11">
        <f t="shared" si="80"/>
        <v>18.600000000000001</v>
      </c>
      <c r="G207" s="12">
        <v>0</v>
      </c>
      <c r="H207" s="11">
        <f t="shared" si="81"/>
        <v>0</v>
      </c>
      <c r="I207" s="12">
        <v>0</v>
      </c>
      <c r="J207" s="11">
        <f t="shared" si="82"/>
        <v>0</v>
      </c>
      <c r="K207" s="12">
        <f t="shared" si="83"/>
        <v>9.3000000000000007</v>
      </c>
      <c r="L207" s="11">
        <f t="shared" si="83"/>
        <v>18.600000000000001</v>
      </c>
      <c r="M207" s="3" t="s">
        <v>5</v>
      </c>
      <c r="N207" s="2" t="s">
        <v>1034</v>
      </c>
      <c r="O207" s="2" t="s">
        <v>1114</v>
      </c>
      <c r="P207" s="2" t="s">
        <v>996</v>
      </c>
      <c r="Q207" s="2" t="s">
        <v>996</v>
      </c>
      <c r="R207" s="2" t="s">
        <v>995</v>
      </c>
      <c r="AV207" s="2" t="s">
        <v>5</v>
      </c>
      <c r="AW207" s="2" t="s">
        <v>1289</v>
      </c>
      <c r="AX207" s="2" t="s">
        <v>5</v>
      </c>
      <c r="AY207" s="2" t="s">
        <v>5</v>
      </c>
    </row>
    <row r="208" spans="1:51" ht="30" customHeight="1" x14ac:dyDescent="0.3">
      <c r="A208" s="3" t="s">
        <v>1119</v>
      </c>
      <c r="B208" s="3" t="s">
        <v>1120</v>
      </c>
      <c r="C208" s="5" t="s">
        <v>1121</v>
      </c>
      <c r="D208" s="10">
        <v>7.1999999999999995E-2</v>
      </c>
      <c r="E208" s="12">
        <v>0</v>
      </c>
      <c r="F208" s="11">
        <f t="shared" si="80"/>
        <v>0</v>
      </c>
      <c r="G208" s="8">
        <v>273676</v>
      </c>
      <c r="H208" s="11">
        <f t="shared" si="81"/>
        <v>19704.599999999999</v>
      </c>
      <c r="I208" s="12">
        <v>0</v>
      </c>
      <c r="J208" s="11">
        <f t="shared" si="82"/>
        <v>0</v>
      </c>
      <c r="K208" s="12">
        <f t="shared" si="83"/>
        <v>273676</v>
      </c>
      <c r="L208" s="11">
        <f t="shared" si="83"/>
        <v>19704.599999999999</v>
      </c>
      <c r="M208" s="3" t="s">
        <v>5</v>
      </c>
      <c r="N208" s="2" t="s">
        <v>1034</v>
      </c>
      <c r="O208" s="2" t="s">
        <v>1122</v>
      </c>
      <c r="P208" s="2" t="s">
        <v>996</v>
      </c>
      <c r="Q208" s="2" t="s">
        <v>996</v>
      </c>
      <c r="R208" s="2" t="s">
        <v>995</v>
      </c>
      <c r="V208" s="1">
        <v>1</v>
      </c>
      <c r="AV208" s="2" t="s">
        <v>5</v>
      </c>
      <c r="AW208" s="2" t="s">
        <v>1290</v>
      </c>
      <c r="AX208" s="2" t="s">
        <v>5</v>
      </c>
      <c r="AY208" s="2" t="s">
        <v>5</v>
      </c>
    </row>
    <row r="209" spans="1:51" ht="30" customHeight="1" x14ac:dyDescent="0.3">
      <c r="A209" s="3" t="s">
        <v>1124</v>
      </c>
      <c r="B209" s="3" t="s">
        <v>1125</v>
      </c>
      <c r="C209" s="5" t="s">
        <v>340</v>
      </c>
      <c r="D209" s="10">
        <v>1</v>
      </c>
      <c r="E209" s="12">
        <f>TRUNC(SUMIF(V204:V209, RIGHTB(O209, 1), H204:H209)*U209, 2)</f>
        <v>591.13</v>
      </c>
      <c r="F209" s="11">
        <f t="shared" si="80"/>
        <v>591.1</v>
      </c>
      <c r="G209" s="12">
        <v>0</v>
      </c>
      <c r="H209" s="11">
        <f t="shared" si="81"/>
        <v>0</v>
      </c>
      <c r="I209" s="12">
        <v>0</v>
      </c>
      <c r="J209" s="11">
        <f t="shared" si="82"/>
        <v>0</v>
      </c>
      <c r="K209" s="12">
        <f t="shared" si="83"/>
        <v>591.1</v>
      </c>
      <c r="L209" s="11">
        <f t="shared" si="83"/>
        <v>591.1</v>
      </c>
      <c r="M209" s="3" t="s">
        <v>5</v>
      </c>
      <c r="N209" s="2" t="s">
        <v>1034</v>
      </c>
      <c r="O209" s="2" t="s">
        <v>1126</v>
      </c>
      <c r="P209" s="2" t="s">
        <v>996</v>
      </c>
      <c r="Q209" s="2" t="s">
        <v>996</v>
      </c>
      <c r="R209" s="2" t="s">
        <v>996</v>
      </c>
      <c r="S209" s="1">
        <v>1</v>
      </c>
      <c r="T209" s="1">
        <v>0</v>
      </c>
      <c r="U209" s="1">
        <v>0.03</v>
      </c>
      <c r="AV209" s="2" t="s">
        <v>5</v>
      </c>
      <c r="AW209" s="2" t="s">
        <v>1291</v>
      </c>
      <c r="AX209" s="2" t="s">
        <v>5</v>
      </c>
      <c r="AY209" s="2" t="s">
        <v>5</v>
      </c>
    </row>
    <row r="210" spans="1:51" ht="30" customHeight="1" x14ac:dyDescent="0.3">
      <c r="A210" s="3" t="s">
        <v>1128</v>
      </c>
      <c r="B210" s="3" t="s">
        <v>5</v>
      </c>
      <c r="C210" s="5" t="s">
        <v>5</v>
      </c>
      <c r="D210" s="10"/>
      <c r="E210" s="12"/>
      <c r="F210" s="11">
        <f>TRUNC(SUMIF(N204:N209, N203, F204:F209),0)</f>
        <v>2515</v>
      </c>
      <c r="G210" s="12"/>
      <c r="H210" s="11">
        <f>TRUNC(SUMIF(N204:N209, N203, H204:H209),0)</f>
        <v>19704</v>
      </c>
      <c r="I210" s="12"/>
      <c r="J210" s="11">
        <f>TRUNC(SUMIF(N204:N209, N203, J204:J209),0)</f>
        <v>0</v>
      </c>
      <c r="K210" s="12"/>
      <c r="L210" s="11">
        <f>F210+H210+J210</f>
        <v>22219</v>
      </c>
      <c r="M210" s="3" t="s">
        <v>5</v>
      </c>
      <c r="N210" s="2" t="s">
        <v>1053</v>
      </c>
      <c r="O210" s="2" t="s">
        <v>1053</v>
      </c>
      <c r="P210" s="2" t="s">
        <v>5</v>
      </c>
      <c r="Q210" s="2" t="s">
        <v>5</v>
      </c>
      <c r="R210" s="2" t="s">
        <v>5</v>
      </c>
      <c r="AV210" s="2" t="s">
        <v>5</v>
      </c>
      <c r="AW210" s="2" t="s">
        <v>5</v>
      </c>
      <c r="AX210" s="2" t="s">
        <v>5</v>
      </c>
      <c r="AY210" s="2" t="s">
        <v>5</v>
      </c>
    </row>
    <row r="211" spans="1:51" ht="30" customHeight="1" x14ac:dyDescent="0.3">
      <c r="A211" s="10"/>
      <c r="B211" s="10"/>
      <c r="C211" s="9"/>
      <c r="D211" s="10"/>
      <c r="E211" s="12"/>
      <c r="F211" s="11"/>
      <c r="G211" s="12"/>
      <c r="H211" s="11"/>
      <c r="I211" s="12"/>
      <c r="J211" s="11"/>
      <c r="K211" s="12"/>
      <c r="L211" s="11"/>
      <c r="M211" s="10"/>
    </row>
    <row r="212" spans="1:51" ht="30" customHeight="1" x14ac:dyDescent="0.3">
      <c r="A212" s="216" t="s">
        <v>1533</v>
      </c>
      <c r="B212" s="216"/>
      <c r="C212" s="216"/>
      <c r="D212" s="216"/>
      <c r="E212" s="217"/>
      <c r="F212" s="218"/>
      <c r="G212" s="217"/>
      <c r="H212" s="218"/>
      <c r="I212" s="217"/>
      <c r="J212" s="218"/>
      <c r="K212" s="217"/>
      <c r="L212" s="218"/>
      <c r="M212" s="216"/>
      <c r="N212" s="2" t="s">
        <v>1035</v>
      </c>
    </row>
    <row r="213" spans="1:51" ht="30" customHeight="1" x14ac:dyDescent="0.3">
      <c r="A213" s="3" t="s">
        <v>168</v>
      </c>
      <c r="B213" s="3" t="s">
        <v>1207</v>
      </c>
      <c r="C213" s="5" t="s">
        <v>14</v>
      </c>
      <c r="D213" s="10">
        <v>0.3</v>
      </c>
      <c r="E213" s="199">
        <v>6176</v>
      </c>
      <c r="F213" s="11">
        <f t="shared" ref="F213:F218" si="84">TRUNC(E213*D213,1)</f>
        <v>1852.8</v>
      </c>
      <c r="G213" s="12">
        <v>0</v>
      </c>
      <c r="H213" s="11">
        <f t="shared" ref="H213:H218" si="85">TRUNC(G213*D213,1)</f>
        <v>0</v>
      </c>
      <c r="I213" s="12">
        <v>0</v>
      </c>
      <c r="J213" s="11">
        <f t="shared" ref="J213:J218" si="86">TRUNC(I213*D213,1)</f>
        <v>0</v>
      </c>
      <c r="K213" s="12">
        <f t="shared" ref="K213:L218" si="87">TRUNC(E213+G213+I213,1)</f>
        <v>6176</v>
      </c>
      <c r="L213" s="11">
        <f t="shared" si="87"/>
        <v>1852.8</v>
      </c>
      <c r="M213" s="3" t="s">
        <v>5</v>
      </c>
      <c r="N213" s="2" t="s">
        <v>1035</v>
      </c>
      <c r="O213" s="2" t="s">
        <v>1208</v>
      </c>
      <c r="P213" s="2" t="s">
        <v>996</v>
      </c>
      <c r="Q213" s="2" t="s">
        <v>996</v>
      </c>
      <c r="R213" s="2" t="s">
        <v>995</v>
      </c>
      <c r="AV213" s="2" t="s">
        <v>5</v>
      </c>
      <c r="AW213" s="2" t="s">
        <v>1292</v>
      </c>
      <c r="AX213" s="2" t="s">
        <v>5</v>
      </c>
      <c r="AY213" s="2" t="s">
        <v>5</v>
      </c>
    </row>
    <row r="214" spans="1:51" ht="30" customHeight="1" x14ac:dyDescent="0.3">
      <c r="A214" s="3" t="s">
        <v>178</v>
      </c>
      <c r="B214" s="3" t="s">
        <v>1279</v>
      </c>
      <c r="C214" s="5" t="s">
        <v>12</v>
      </c>
      <c r="D214" s="10">
        <v>2</v>
      </c>
      <c r="E214" s="12">
        <v>160</v>
      </c>
      <c r="F214" s="11">
        <f t="shared" si="84"/>
        <v>320</v>
      </c>
      <c r="G214" s="12">
        <v>0</v>
      </c>
      <c r="H214" s="11">
        <f t="shared" si="85"/>
        <v>0</v>
      </c>
      <c r="I214" s="12">
        <v>0</v>
      </c>
      <c r="J214" s="11">
        <f t="shared" si="86"/>
        <v>0</v>
      </c>
      <c r="K214" s="12">
        <f t="shared" si="87"/>
        <v>160</v>
      </c>
      <c r="L214" s="11">
        <f t="shared" si="87"/>
        <v>320</v>
      </c>
      <c r="M214" s="3" t="s">
        <v>5</v>
      </c>
      <c r="N214" s="2" t="s">
        <v>1035</v>
      </c>
      <c r="O214" s="2" t="s">
        <v>1280</v>
      </c>
      <c r="P214" s="2" t="s">
        <v>996</v>
      </c>
      <c r="Q214" s="2" t="s">
        <v>996</v>
      </c>
      <c r="R214" s="2" t="s">
        <v>995</v>
      </c>
      <c r="AV214" s="2" t="s">
        <v>5</v>
      </c>
      <c r="AW214" s="2" t="s">
        <v>1293</v>
      </c>
      <c r="AX214" s="2" t="s">
        <v>5</v>
      </c>
      <c r="AY214" s="2" t="s">
        <v>5</v>
      </c>
    </row>
    <row r="215" spans="1:51" ht="30" customHeight="1" x14ac:dyDescent="0.3">
      <c r="A215" s="3" t="s">
        <v>174</v>
      </c>
      <c r="B215" s="3" t="s">
        <v>175</v>
      </c>
      <c r="C215" s="5" t="s">
        <v>12</v>
      </c>
      <c r="D215" s="10">
        <v>2</v>
      </c>
      <c r="E215" s="199">
        <v>21</v>
      </c>
      <c r="F215" s="11">
        <f t="shared" si="84"/>
        <v>42</v>
      </c>
      <c r="G215" s="12">
        <v>0</v>
      </c>
      <c r="H215" s="11">
        <f t="shared" si="85"/>
        <v>0</v>
      </c>
      <c r="I215" s="12">
        <v>0</v>
      </c>
      <c r="J215" s="11">
        <f t="shared" si="86"/>
        <v>0</v>
      </c>
      <c r="K215" s="12">
        <f t="shared" si="87"/>
        <v>21</v>
      </c>
      <c r="L215" s="11">
        <f t="shared" si="87"/>
        <v>42</v>
      </c>
      <c r="M215" s="3" t="s">
        <v>5</v>
      </c>
      <c r="N215" s="2" t="s">
        <v>1035</v>
      </c>
      <c r="O215" s="2" t="s">
        <v>1111</v>
      </c>
      <c r="P215" s="2" t="s">
        <v>996</v>
      </c>
      <c r="Q215" s="2" t="s">
        <v>996</v>
      </c>
      <c r="R215" s="2" t="s">
        <v>995</v>
      </c>
      <c r="AV215" s="2" t="s">
        <v>5</v>
      </c>
      <c r="AW215" s="2" t="s">
        <v>1294</v>
      </c>
      <c r="AX215" s="2" t="s">
        <v>5</v>
      </c>
      <c r="AY215" s="2" t="s">
        <v>5</v>
      </c>
    </row>
    <row r="216" spans="1:51" ht="30" customHeight="1" x14ac:dyDescent="0.3">
      <c r="A216" s="3" t="s">
        <v>177</v>
      </c>
      <c r="B216" s="3" t="s">
        <v>1113</v>
      </c>
      <c r="C216" s="5" t="s">
        <v>12</v>
      </c>
      <c r="D216" s="10">
        <v>2</v>
      </c>
      <c r="E216" s="12">
        <v>9.3000000000000007</v>
      </c>
      <c r="F216" s="11">
        <f t="shared" si="84"/>
        <v>18.600000000000001</v>
      </c>
      <c r="G216" s="12">
        <v>0</v>
      </c>
      <c r="H216" s="11">
        <f t="shared" si="85"/>
        <v>0</v>
      </c>
      <c r="I216" s="12">
        <v>0</v>
      </c>
      <c r="J216" s="11">
        <f t="shared" si="86"/>
        <v>0</v>
      </c>
      <c r="K216" s="12">
        <f t="shared" si="87"/>
        <v>9.3000000000000007</v>
      </c>
      <c r="L216" s="11">
        <f t="shared" si="87"/>
        <v>18.600000000000001</v>
      </c>
      <c r="M216" s="3" t="s">
        <v>5</v>
      </c>
      <c r="N216" s="2" t="s">
        <v>1035</v>
      </c>
      <c r="O216" s="2" t="s">
        <v>1114</v>
      </c>
      <c r="P216" s="2" t="s">
        <v>996</v>
      </c>
      <c r="Q216" s="2" t="s">
        <v>996</v>
      </c>
      <c r="R216" s="2" t="s">
        <v>995</v>
      </c>
      <c r="AV216" s="2" t="s">
        <v>5</v>
      </c>
      <c r="AW216" s="2" t="s">
        <v>1295</v>
      </c>
      <c r="AX216" s="2" t="s">
        <v>5</v>
      </c>
      <c r="AY216" s="2" t="s">
        <v>5</v>
      </c>
    </row>
    <row r="217" spans="1:51" ht="30" customHeight="1" x14ac:dyDescent="0.3">
      <c r="A217" s="3" t="s">
        <v>1119</v>
      </c>
      <c r="B217" s="3" t="s">
        <v>1120</v>
      </c>
      <c r="C217" s="5" t="s">
        <v>1121</v>
      </c>
      <c r="D217" s="10">
        <v>7.1999999999999995E-2</v>
      </c>
      <c r="E217" s="12">
        <v>0</v>
      </c>
      <c r="F217" s="11">
        <f t="shared" si="84"/>
        <v>0</v>
      </c>
      <c r="G217" s="8">
        <v>273676</v>
      </c>
      <c r="H217" s="11">
        <f t="shared" si="85"/>
        <v>19704.599999999999</v>
      </c>
      <c r="I217" s="12">
        <v>0</v>
      </c>
      <c r="J217" s="11">
        <f t="shared" si="86"/>
        <v>0</v>
      </c>
      <c r="K217" s="12">
        <f t="shared" si="87"/>
        <v>273676</v>
      </c>
      <c r="L217" s="11">
        <f t="shared" si="87"/>
        <v>19704.599999999999</v>
      </c>
      <c r="M217" s="3" t="s">
        <v>5</v>
      </c>
      <c r="N217" s="2" t="s">
        <v>1035</v>
      </c>
      <c r="O217" s="2" t="s">
        <v>1122</v>
      </c>
      <c r="P217" s="2" t="s">
        <v>996</v>
      </c>
      <c r="Q217" s="2" t="s">
        <v>996</v>
      </c>
      <c r="R217" s="2" t="s">
        <v>995</v>
      </c>
      <c r="V217" s="1">
        <v>1</v>
      </c>
      <c r="AV217" s="2" t="s">
        <v>5</v>
      </c>
      <c r="AW217" s="2" t="s">
        <v>1296</v>
      </c>
      <c r="AX217" s="2" t="s">
        <v>5</v>
      </c>
      <c r="AY217" s="2" t="s">
        <v>5</v>
      </c>
    </row>
    <row r="218" spans="1:51" ht="30" customHeight="1" x14ac:dyDescent="0.3">
      <c r="A218" s="3" t="s">
        <v>1124</v>
      </c>
      <c r="B218" s="3" t="s">
        <v>1125</v>
      </c>
      <c r="C218" s="5" t="s">
        <v>340</v>
      </c>
      <c r="D218" s="10">
        <v>1</v>
      </c>
      <c r="E218" s="12">
        <f>TRUNC(SUMIF(V213:V218, RIGHTB(O218, 1), H213:H218)*U218, 2)</f>
        <v>591.13</v>
      </c>
      <c r="F218" s="11">
        <f t="shared" si="84"/>
        <v>591.1</v>
      </c>
      <c r="G218" s="12">
        <v>0</v>
      </c>
      <c r="H218" s="11">
        <f t="shared" si="85"/>
        <v>0</v>
      </c>
      <c r="I218" s="12">
        <v>0</v>
      </c>
      <c r="J218" s="11">
        <f t="shared" si="86"/>
        <v>0</v>
      </c>
      <c r="K218" s="12">
        <f t="shared" si="87"/>
        <v>591.1</v>
      </c>
      <c r="L218" s="11">
        <f t="shared" si="87"/>
        <v>591.1</v>
      </c>
      <c r="M218" s="3" t="s">
        <v>5</v>
      </c>
      <c r="N218" s="2" t="s">
        <v>1035</v>
      </c>
      <c r="O218" s="2" t="s">
        <v>1126</v>
      </c>
      <c r="P218" s="2" t="s">
        <v>996</v>
      </c>
      <c r="Q218" s="2" t="s">
        <v>996</v>
      </c>
      <c r="R218" s="2" t="s">
        <v>996</v>
      </c>
      <c r="S218" s="1">
        <v>1</v>
      </c>
      <c r="T218" s="1">
        <v>0</v>
      </c>
      <c r="U218" s="1">
        <v>0.03</v>
      </c>
      <c r="AV218" s="2" t="s">
        <v>5</v>
      </c>
      <c r="AW218" s="2" t="s">
        <v>1297</v>
      </c>
      <c r="AX218" s="2" t="s">
        <v>5</v>
      </c>
      <c r="AY218" s="2" t="s">
        <v>5</v>
      </c>
    </row>
    <row r="219" spans="1:51" ht="30" customHeight="1" x14ac:dyDescent="0.3">
      <c r="A219" s="3" t="s">
        <v>1128</v>
      </c>
      <c r="B219" s="3" t="s">
        <v>5</v>
      </c>
      <c r="C219" s="5" t="s">
        <v>5</v>
      </c>
      <c r="D219" s="10"/>
      <c r="E219" s="12"/>
      <c r="F219" s="11">
        <f>TRUNC(SUMIF(N213:N218, N212, F213:F218),0)</f>
        <v>2824</v>
      </c>
      <c r="G219" s="12"/>
      <c r="H219" s="11">
        <f>TRUNC(SUMIF(N213:N218, N212, H213:H218),0)</f>
        <v>19704</v>
      </c>
      <c r="I219" s="12"/>
      <c r="J219" s="11">
        <f>TRUNC(SUMIF(N213:N218, N212, J213:J218),0)</f>
        <v>0</v>
      </c>
      <c r="K219" s="12"/>
      <c r="L219" s="11">
        <f>F219+H219+J219</f>
        <v>22528</v>
      </c>
      <c r="M219" s="3" t="s">
        <v>5</v>
      </c>
      <c r="N219" s="2" t="s">
        <v>1053</v>
      </c>
      <c r="O219" s="2" t="s">
        <v>1053</v>
      </c>
      <c r="P219" s="2" t="s">
        <v>5</v>
      </c>
      <c r="Q219" s="2" t="s">
        <v>5</v>
      </c>
      <c r="R219" s="2" t="s">
        <v>5</v>
      </c>
      <c r="AV219" s="2" t="s">
        <v>5</v>
      </c>
      <c r="AW219" s="2" t="s">
        <v>5</v>
      </c>
      <c r="AX219" s="2" t="s">
        <v>5</v>
      </c>
      <c r="AY219" s="2" t="s">
        <v>5</v>
      </c>
    </row>
    <row r="220" spans="1:51" ht="30" customHeight="1" x14ac:dyDescent="0.3">
      <c r="A220" s="10"/>
      <c r="B220" s="10"/>
      <c r="C220" s="9"/>
      <c r="D220" s="10"/>
      <c r="E220" s="12"/>
      <c r="F220" s="11"/>
      <c r="G220" s="12"/>
      <c r="H220" s="11"/>
      <c r="I220" s="12"/>
      <c r="J220" s="11"/>
      <c r="K220" s="12"/>
      <c r="L220" s="11"/>
      <c r="M220" s="10"/>
    </row>
    <row r="221" spans="1:51" ht="30" customHeight="1" x14ac:dyDescent="0.3">
      <c r="A221" s="216" t="s">
        <v>1534</v>
      </c>
      <c r="B221" s="216"/>
      <c r="C221" s="216"/>
      <c r="D221" s="216"/>
      <c r="E221" s="217"/>
      <c r="F221" s="218"/>
      <c r="G221" s="217"/>
      <c r="H221" s="218"/>
      <c r="I221" s="217"/>
      <c r="J221" s="218"/>
      <c r="K221" s="217"/>
      <c r="L221" s="218"/>
      <c r="M221" s="216"/>
      <c r="N221" s="2" t="s">
        <v>1036</v>
      </c>
    </row>
    <row r="222" spans="1:51" ht="30" customHeight="1" x14ac:dyDescent="0.3">
      <c r="A222" s="3" t="s">
        <v>168</v>
      </c>
      <c r="B222" s="3" t="s">
        <v>1207</v>
      </c>
      <c r="C222" s="5" t="s">
        <v>14</v>
      </c>
      <c r="D222" s="10">
        <v>0.4</v>
      </c>
      <c r="E222" s="199">
        <v>6176</v>
      </c>
      <c r="F222" s="11">
        <f t="shared" ref="F222:F227" si="88">TRUNC(E222*D222,1)</f>
        <v>2470.4</v>
      </c>
      <c r="G222" s="12">
        <v>0</v>
      </c>
      <c r="H222" s="11">
        <f t="shared" ref="H222:H227" si="89">TRUNC(G222*D222,1)</f>
        <v>0</v>
      </c>
      <c r="I222" s="12">
        <v>0</v>
      </c>
      <c r="J222" s="11">
        <f t="shared" ref="J222:J227" si="90">TRUNC(I222*D222,1)</f>
        <v>0</v>
      </c>
      <c r="K222" s="12">
        <f t="shared" ref="K222:L227" si="91">TRUNC(E222+G222+I222,1)</f>
        <v>6176</v>
      </c>
      <c r="L222" s="11">
        <f t="shared" si="91"/>
        <v>2470.4</v>
      </c>
      <c r="M222" s="3" t="s">
        <v>5</v>
      </c>
      <c r="N222" s="2" t="s">
        <v>1036</v>
      </c>
      <c r="O222" s="2" t="s">
        <v>1208</v>
      </c>
      <c r="P222" s="2" t="s">
        <v>996</v>
      </c>
      <c r="Q222" s="2" t="s">
        <v>996</v>
      </c>
      <c r="R222" s="2" t="s">
        <v>995</v>
      </c>
      <c r="AV222" s="2" t="s">
        <v>5</v>
      </c>
      <c r="AW222" s="2" t="s">
        <v>1298</v>
      </c>
      <c r="AX222" s="2" t="s">
        <v>5</v>
      </c>
      <c r="AY222" s="2" t="s">
        <v>5</v>
      </c>
    </row>
    <row r="223" spans="1:51" ht="30" customHeight="1" x14ac:dyDescent="0.3">
      <c r="A223" s="3" t="s">
        <v>178</v>
      </c>
      <c r="B223" s="3" t="s">
        <v>1279</v>
      </c>
      <c r="C223" s="5" t="s">
        <v>12</v>
      </c>
      <c r="D223" s="10">
        <v>2</v>
      </c>
      <c r="E223" s="12">
        <v>160</v>
      </c>
      <c r="F223" s="11">
        <f t="shared" si="88"/>
        <v>320</v>
      </c>
      <c r="G223" s="12">
        <v>0</v>
      </c>
      <c r="H223" s="11">
        <f t="shared" si="89"/>
        <v>0</v>
      </c>
      <c r="I223" s="12">
        <v>0</v>
      </c>
      <c r="J223" s="11">
        <f t="shared" si="90"/>
        <v>0</v>
      </c>
      <c r="K223" s="12">
        <f t="shared" si="91"/>
        <v>160</v>
      </c>
      <c r="L223" s="11">
        <f t="shared" si="91"/>
        <v>320</v>
      </c>
      <c r="M223" s="3" t="s">
        <v>5</v>
      </c>
      <c r="N223" s="2" t="s">
        <v>1036</v>
      </c>
      <c r="O223" s="2" t="s">
        <v>1280</v>
      </c>
      <c r="P223" s="2" t="s">
        <v>996</v>
      </c>
      <c r="Q223" s="2" t="s">
        <v>996</v>
      </c>
      <c r="R223" s="2" t="s">
        <v>995</v>
      </c>
      <c r="AV223" s="2" t="s">
        <v>5</v>
      </c>
      <c r="AW223" s="2" t="s">
        <v>1299</v>
      </c>
      <c r="AX223" s="2" t="s">
        <v>5</v>
      </c>
      <c r="AY223" s="2" t="s">
        <v>5</v>
      </c>
    </row>
    <row r="224" spans="1:51" ht="30" customHeight="1" x14ac:dyDescent="0.3">
      <c r="A224" s="3" t="s">
        <v>174</v>
      </c>
      <c r="B224" s="3" t="s">
        <v>175</v>
      </c>
      <c r="C224" s="5" t="s">
        <v>12</v>
      </c>
      <c r="D224" s="10">
        <v>2</v>
      </c>
      <c r="E224" s="199">
        <v>21</v>
      </c>
      <c r="F224" s="11">
        <f t="shared" si="88"/>
        <v>42</v>
      </c>
      <c r="G224" s="12">
        <v>0</v>
      </c>
      <c r="H224" s="11">
        <f t="shared" si="89"/>
        <v>0</v>
      </c>
      <c r="I224" s="12">
        <v>0</v>
      </c>
      <c r="J224" s="11">
        <f t="shared" si="90"/>
        <v>0</v>
      </c>
      <c r="K224" s="12">
        <f t="shared" si="91"/>
        <v>21</v>
      </c>
      <c r="L224" s="11">
        <f t="shared" si="91"/>
        <v>42</v>
      </c>
      <c r="M224" s="3" t="s">
        <v>5</v>
      </c>
      <c r="N224" s="2" t="s">
        <v>1036</v>
      </c>
      <c r="O224" s="2" t="s">
        <v>1111</v>
      </c>
      <c r="P224" s="2" t="s">
        <v>996</v>
      </c>
      <c r="Q224" s="2" t="s">
        <v>996</v>
      </c>
      <c r="R224" s="2" t="s">
        <v>995</v>
      </c>
      <c r="AV224" s="2" t="s">
        <v>5</v>
      </c>
      <c r="AW224" s="2" t="s">
        <v>1300</v>
      </c>
      <c r="AX224" s="2" t="s">
        <v>5</v>
      </c>
      <c r="AY224" s="2" t="s">
        <v>5</v>
      </c>
    </row>
    <row r="225" spans="1:51" ht="30" customHeight="1" x14ac:dyDescent="0.3">
      <c r="A225" s="3" t="s">
        <v>177</v>
      </c>
      <c r="B225" s="3" t="s">
        <v>1113</v>
      </c>
      <c r="C225" s="5" t="s">
        <v>12</v>
      </c>
      <c r="D225" s="10">
        <v>2</v>
      </c>
      <c r="E225" s="12">
        <v>9.3000000000000007</v>
      </c>
      <c r="F225" s="11">
        <f t="shared" si="88"/>
        <v>18.600000000000001</v>
      </c>
      <c r="G225" s="12">
        <v>0</v>
      </c>
      <c r="H225" s="11">
        <f t="shared" si="89"/>
        <v>0</v>
      </c>
      <c r="I225" s="12">
        <v>0</v>
      </c>
      <c r="J225" s="11">
        <f t="shared" si="90"/>
        <v>0</v>
      </c>
      <c r="K225" s="12">
        <f t="shared" si="91"/>
        <v>9.3000000000000007</v>
      </c>
      <c r="L225" s="11">
        <f t="shared" si="91"/>
        <v>18.600000000000001</v>
      </c>
      <c r="M225" s="3" t="s">
        <v>5</v>
      </c>
      <c r="N225" s="2" t="s">
        <v>1036</v>
      </c>
      <c r="O225" s="2" t="s">
        <v>1114</v>
      </c>
      <c r="P225" s="2" t="s">
        <v>996</v>
      </c>
      <c r="Q225" s="2" t="s">
        <v>996</v>
      </c>
      <c r="R225" s="2" t="s">
        <v>995</v>
      </c>
      <c r="AV225" s="2" t="s">
        <v>5</v>
      </c>
      <c r="AW225" s="2" t="s">
        <v>1301</v>
      </c>
      <c r="AX225" s="2" t="s">
        <v>5</v>
      </c>
      <c r="AY225" s="2" t="s">
        <v>5</v>
      </c>
    </row>
    <row r="226" spans="1:51" ht="30" customHeight="1" x14ac:dyDescent="0.3">
      <c r="A226" s="3" t="s">
        <v>1119</v>
      </c>
      <c r="B226" s="3" t="s">
        <v>1120</v>
      </c>
      <c r="C226" s="5" t="s">
        <v>1121</v>
      </c>
      <c r="D226" s="10">
        <v>7.1999999999999995E-2</v>
      </c>
      <c r="E226" s="12">
        <v>0</v>
      </c>
      <c r="F226" s="11">
        <f t="shared" si="88"/>
        <v>0</v>
      </c>
      <c r="G226" s="8">
        <v>273676</v>
      </c>
      <c r="H226" s="11">
        <f t="shared" si="89"/>
        <v>19704.599999999999</v>
      </c>
      <c r="I226" s="12">
        <v>0</v>
      </c>
      <c r="J226" s="11">
        <f t="shared" si="90"/>
        <v>0</v>
      </c>
      <c r="K226" s="12">
        <f t="shared" si="91"/>
        <v>273676</v>
      </c>
      <c r="L226" s="11">
        <f t="shared" si="91"/>
        <v>19704.599999999999</v>
      </c>
      <c r="M226" s="3" t="s">
        <v>5</v>
      </c>
      <c r="N226" s="2" t="s">
        <v>1036</v>
      </c>
      <c r="O226" s="2" t="s">
        <v>1122</v>
      </c>
      <c r="P226" s="2" t="s">
        <v>996</v>
      </c>
      <c r="Q226" s="2" t="s">
        <v>996</v>
      </c>
      <c r="R226" s="2" t="s">
        <v>995</v>
      </c>
      <c r="V226" s="1">
        <v>1</v>
      </c>
      <c r="AV226" s="2" t="s">
        <v>5</v>
      </c>
      <c r="AW226" s="2" t="s">
        <v>1302</v>
      </c>
      <c r="AX226" s="2" t="s">
        <v>5</v>
      </c>
      <c r="AY226" s="2" t="s">
        <v>5</v>
      </c>
    </row>
    <row r="227" spans="1:51" ht="30" customHeight="1" x14ac:dyDescent="0.3">
      <c r="A227" s="3" t="s">
        <v>1124</v>
      </c>
      <c r="B227" s="3" t="s">
        <v>1125</v>
      </c>
      <c r="C227" s="5" t="s">
        <v>340</v>
      </c>
      <c r="D227" s="10">
        <v>1</v>
      </c>
      <c r="E227" s="12">
        <f>TRUNC(SUMIF(V222:V227, RIGHTB(O227, 1), H222:H227)*U227, 2)</f>
        <v>591.13</v>
      </c>
      <c r="F227" s="11">
        <f t="shared" si="88"/>
        <v>591.1</v>
      </c>
      <c r="G227" s="12">
        <v>0</v>
      </c>
      <c r="H227" s="11">
        <f t="shared" si="89"/>
        <v>0</v>
      </c>
      <c r="I227" s="12">
        <v>0</v>
      </c>
      <c r="J227" s="11">
        <f t="shared" si="90"/>
        <v>0</v>
      </c>
      <c r="K227" s="12">
        <f t="shared" si="91"/>
        <v>591.1</v>
      </c>
      <c r="L227" s="11">
        <f t="shared" si="91"/>
        <v>591.1</v>
      </c>
      <c r="M227" s="3" t="s">
        <v>5</v>
      </c>
      <c r="N227" s="2" t="s">
        <v>1036</v>
      </c>
      <c r="O227" s="2" t="s">
        <v>1126</v>
      </c>
      <c r="P227" s="2" t="s">
        <v>996</v>
      </c>
      <c r="Q227" s="2" t="s">
        <v>996</v>
      </c>
      <c r="R227" s="2" t="s">
        <v>996</v>
      </c>
      <c r="S227" s="1">
        <v>1</v>
      </c>
      <c r="T227" s="1">
        <v>0</v>
      </c>
      <c r="U227" s="1">
        <v>0.03</v>
      </c>
      <c r="AV227" s="2" t="s">
        <v>5</v>
      </c>
      <c r="AW227" s="2" t="s">
        <v>1303</v>
      </c>
      <c r="AX227" s="2" t="s">
        <v>5</v>
      </c>
      <c r="AY227" s="2" t="s">
        <v>5</v>
      </c>
    </row>
    <row r="228" spans="1:51" ht="30" customHeight="1" x14ac:dyDescent="0.3">
      <c r="A228" s="3" t="s">
        <v>1128</v>
      </c>
      <c r="B228" s="3" t="s">
        <v>5</v>
      </c>
      <c r="C228" s="5" t="s">
        <v>5</v>
      </c>
      <c r="D228" s="10"/>
      <c r="E228" s="12"/>
      <c r="F228" s="11">
        <f>TRUNC(SUMIF(N222:N227, N221, F222:F227),0)</f>
        <v>3442</v>
      </c>
      <c r="G228" s="12"/>
      <c r="H228" s="11">
        <f>TRUNC(SUMIF(N222:N227, N221, H222:H227),0)</f>
        <v>19704</v>
      </c>
      <c r="I228" s="12"/>
      <c r="J228" s="11">
        <f>TRUNC(SUMIF(N222:N227, N221, J222:J227),0)</f>
        <v>0</v>
      </c>
      <c r="K228" s="12"/>
      <c r="L228" s="11">
        <f>F228+H228+J228</f>
        <v>23146</v>
      </c>
      <c r="M228" s="3" t="s">
        <v>5</v>
      </c>
      <c r="N228" s="2" t="s">
        <v>1053</v>
      </c>
      <c r="O228" s="2" t="s">
        <v>1053</v>
      </c>
      <c r="P228" s="2" t="s">
        <v>5</v>
      </c>
      <c r="Q228" s="2" t="s">
        <v>5</v>
      </c>
      <c r="R228" s="2" t="s">
        <v>5</v>
      </c>
      <c r="AV228" s="2" t="s">
        <v>5</v>
      </c>
      <c r="AW228" s="2" t="s">
        <v>5</v>
      </c>
      <c r="AX228" s="2" t="s">
        <v>5</v>
      </c>
      <c r="AY228" s="2" t="s">
        <v>5</v>
      </c>
    </row>
    <row r="229" spans="1:51" ht="30" customHeight="1" x14ac:dyDescent="0.3">
      <c r="A229" s="10"/>
      <c r="B229" s="10"/>
      <c r="C229" s="9"/>
      <c r="D229" s="10"/>
      <c r="E229" s="12"/>
      <c r="F229" s="11"/>
      <c r="G229" s="12"/>
      <c r="H229" s="11"/>
      <c r="I229" s="12"/>
      <c r="J229" s="11"/>
      <c r="K229" s="12"/>
      <c r="L229" s="11"/>
      <c r="M229" s="10"/>
    </row>
    <row r="230" spans="1:51" ht="30" customHeight="1" x14ac:dyDescent="0.3">
      <c r="A230" s="216" t="s">
        <v>1535</v>
      </c>
      <c r="B230" s="216"/>
      <c r="C230" s="216"/>
      <c r="D230" s="216"/>
      <c r="E230" s="217"/>
      <c r="F230" s="218"/>
      <c r="G230" s="217"/>
      <c r="H230" s="218"/>
      <c r="I230" s="217"/>
      <c r="J230" s="218"/>
      <c r="K230" s="217"/>
      <c r="L230" s="218"/>
      <c r="M230" s="216"/>
      <c r="N230" s="2" t="s">
        <v>1037</v>
      </c>
    </row>
    <row r="231" spans="1:51" ht="30" customHeight="1" x14ac:dyDescent="0.3">
      <c r="A231" s="3" t="s">
        <v>168</v>
      </c>
      <c r="B231" s="3" t="s">
        <v>1207</v>
      </c>
      <c r="C231" s="5" t="s">
        <v>14</v>
      </c>
      <c r="D231" s="10">
        <v>0.5</v>
      </c>
      <c r="E231" s="199">
        <v>6176</v>
      </c>
      <c r="F231" s="11">
        <f t="shared" ref="F231:F236" si="92">TRUNC(E231*D231,1)</f>
        <v>3088</v>
      </c>
      <c r="G231" s="12">
        <v>0</v>
      </c>
      <c r="H231" s="11">
        <f t="shared" ref="H231:H236" si="93">TRUNC(G231*D231,1)</f>
        <v>0</v>
      </c>
      <c r="I231" s="12">
        <v>0</v>
      </c>
      <c r="J231" s="11">
        <f t="shared" ref="J231:J236" si="94">TRUNC(I231*D231,1)</f>
        <v>0</v>
      </c>
      <c r="K231" s="12">
        <f t="shared" ref="K231:L236" si="95">TRUNC(E231+G231+I231,1)</f>
        <v>6176</v>
      </c>
      <c r="L231" s="11">
        <f t="shared" si="95"/>
        <v>3088</v>
      </c>
      <c r="M231" s="3" t="s">
        <v>5</v>
      </c>
      <c r="N231" s="2" t="s">
        <v>1037</v>
      </c>
      <c r="O231" s="2" t="s">
        <v>1208</v>
      </c>
      <c r="P231" s="2" t="s">
        <v>996</v>
      </c>
      <c r="Q231" s="2" t="s">
        <v>996</v>
      </c>
      <c r="R231" s="2" t="s">
        <v>995</v>
      </c>
      <c r="AV231" s="2" t="s">
        <v>5</v>
      </c>
      <c r="AW231" s="2" t="s">
        <v>1304</v>
      </c>
      <c r="AX231" s="2" t="s">
        <v>5</v>
      </c>
      <c r="AY231" s="2" t="s">
        <v>5</v>
      </c>
    </row>
    <row r="232" spans="1:51" ht="30" customHeight="1" x14ac:dyDescent="0.3">
      <c r="A232" s="3" t="s">
        <v>178</v>
      </c>
      <c r="B232" s="3" t="s">
        <v>1279</v>
      </c>
      <c r="C232" s="5" t="s">
        <v>12</v>
      </c>
      <c r="D232" s="10">
        <v>2</v>
      </c>
      <c r="E232" s="12">
        <v>160</v>
      </c>
      <c r="F232" s="11">
        <f t="shared" si="92"/>
        <v>320</v>
      </c>
      <c r="G232" s="12">
        <v>0</v>
      </c>
      <c r="H232" s="11">
        <f t="shared" si="93"/>
        <v>0</v>
      </c>
      <c r="I232" s="12">
        <v>0</v>
      </c>
      <c r="J232" s="11">
        <f t="shared" si="94"/>
        <v>0</v>
      </c>
      <c r="K232" s="12">
        <f t="shared" si="95"/>
        <v>160</v>
      </c>
      <c r="L232" s="11">
        <f t="shared" si="95"/>
        <v>320</v>
      </c>
      <c r="M232" s="3" t="s">
        <v>5</v>
      </c>
      <c r="N232" s="2" t="s">
        <v>1037</v>
      </c>
      <c r="O232" s="2" t="s">
        <v>1280</v>
      </c>
      <c r="P232" s="2" t="s">
        <v>996</v>
      </c>
      <c r="Q232" s="2" t="s">
        <v>996</v>
      </c>
      <c r="R232" s="2" t="s">
        <v>995</v>
      </c>
      <c r="AV232" s="2" t="s">
        <v>5</v>
      </c>
      <c r="AW232" s="2" t="s">
        <v>1305</v>
      </c>
      <c r="AX232" s="2" t="s">
        <v>5</v>
      </c>
      <c r="AY232" s="2" t="s">
        <v>5</v>
      </c>
    </row>
    <row r="233" spans="1:51" ht="30" customHeight="1" x14ac:dyDescent="0.3">
      <c r="A233" s="3" t="s">
        <v>174</v>
      </c>
      <c r="B233" s="3" t="s">
        <v>175</v>
      </c>
      <c r="C233" s="5" t="s">
        <v>12</v>
      </c>
      <c r="D233" s="10">
        <v>2</v>
      </c>
      <c r="E233" s="199">
        <v>21</v>
      </c>
      <c r="F233" s="11">
        <f t="shared" si="92"/>
        <v>42</v>
      </c>
      <c r="G233" s="12">
        <v>0</v>
      </c>
      <c r="H233" s="11">
        <f t="shared" si="93"/>
        <v>0</v>
      </c>
      <c r="I233" s="12">
        <v>0</v>
      </c>
      <c r="J233" s="11">
        <f t="shared" si="94"/>
        <v>0</v>
      </c>
      <c r="K233" s="12">
        <f t="shared" si="95"/>
        <v>21</v>
      </c>
      <c r="L233" s="11">
        <f t="shared" si="95"/>
        <v>42</v>
      </c>
      <c r="M233" s="3" t="s">
        <v>5</v>
      </c>
      <c r="N233" s="2" t="s">
        <v>1037</v>
      </c>
      <c r="O233" s="2" t="s">
        <v>1111</v>
      </c>
      <c r="P233" s="2" t="s">
        <v>996</v>
      </c>
      <c r="Q233" s="2" t="s">
        <v>996</v>
      </c>
      <c r="R233" s="2" t="s">
        <v>995</v>
      </c>
      <c r="AV233" s="2" t="s">
        <v>5</v>
      </c>
      <c r="AW233" s="2" t="s">
        <v>1306</v>
      </c>
      <c r="AX233" s="2" t="s">
        <v>5</v>
      </c>
      <c r="AY233" s="2" t="s">
        <v>5</v>
      </c>
    </row>
    <row r="234" spans="1:51" ht="30" customHeight="1" x14ac:dyDescent="0.3">
      <c r="A234" s="3" t="s">
        <v>177</v>
      </c>
      <c r="B234" s="3" t="s">
        <v>1113</v>
      </c>
      <c r="C234" s="5" t="s">
        <v>12</v>
      </c>
      <c r="D234" s="10">
        <v>2</v>
      </c>
      <c r="E234" s="12">
        <v>9.3000000000000007</v>
      </c>
      <c r="F234" s="11">
        <f t="shared" si="92"/>
        <v>18.600000000000001</v>
      </c>
      <c r="G234" s="12">
        <v>0</v>
      </c>
      <c r="H234" s="11">
        <f t="shared" si="93"/>
        <v>0</v>
      </c>
      <c r="I234" s="12">
        <v>0</v>
      </c>
      <c r="J234" s="11">
        <f t="shared" si="94"/>
        <v>0</v>
      </c>
      <c r="K234" s="12">
        <f t="shared" si="95"/>
        <v>9.3000000000000007</v>
      </c>
      <c r="L234" s="11">
        <f t="shared" si="95"/>
        <v>18.600000000000001</v>
      </c>
      <c r="M234" s="3" t="s">
        <v>5</v>
      </c>
      <c r="N234" s="2" t="s">
        <v>1037</v>
      </c>
      <c r="O234" s="2" t="s">
        <v>1114</v>
      </c>
      <c r="P234" s="2" t="s">
        <v>996</v>
      </c>
      <c r="Q234" s="2" t="s">
        <v>996</v>
      </c>
      <c r="R234" s="2" t="s">
        <v>995</v>
      </c>
      <c r="AV234" s="2" t="s">
        <v>5</v>
      </c>
      <c r="AW234" s="2" t="s">
        <v>1307</v>
      </c>
      <c r="AX234" s="2" t="s">
        <v>5</v>
      </c>
      <c r="AY234" s="2" t="s">
        <v>5</v>
      </c>
    </row>
    <row r="235" spans="1:51" ht="30" customHeight="1" x14ac:dyDescent="0.3">
      <c r="A235" s="3" t="s">
        <v>1119</v>
      </c>
      <c r="B235" s="3" t="s">
        <v>1120</v>
      </c>
      <c r="C235" s="5" t="s">
        <v>1121</v>
      </c>
      <c r="D235" s="10">
        <v>7.1999999999999995E-2</v>
      </c>
      <c r="E235" s="12">
        <v>0</v>
      </c>
      <c r="F235" s="11">
        <f t="shared" si="92"/>
        <v>0</v>
      </c>
      <c r="G235" s="8">
        <v>273676</v>
      </c>
      <c r="H235" s="11">
        <f t="shared" si="93"/>
        <v>19704.599999999999</v>
      </c>
      <c r="I235" s="12">
        <v>0</v>
      </c>
      <c r="J235" s="11">
        <f t="shared" si="94"/>
        <v>0</v>
      </c>
      <c r="K235" s="12">
        <f t="shared" si="95"/>
        <v>273676</v>
      </c>
      <c r="L235" s="11">
        <f t="shared" si="95"/>
        <v>19704.599999999999</v>
      </c>
      <c r="M235" s="3" t="s">
        <v>5</v>
      </c>
      <c r="N235" s="2" t="s">
        <v>1037</v>
      </c>
      <c r="O235" s="2" t="s">
        <v>1122</v>
      </c>
      <c r="P235" s="2" t="s">
        <v>996</v>
      </c>
      <c r="Q235" s="2" t="s">
        <v>996</v>
      </c>
      <c r="R235" s="2" t="s">
        <v>995</v>
      </c>
      <c r="V235" s="1">
        <v>1</v>
      </c>
      <c r="AV235" s="2" t="s">
        <v>5</v>
      </c>
      <c r="AW235" s="2" t="s">
        <v>1308</v>
      </c>
      <c r="AX235" s="2" t="s">
        <v>5</v>
      </c>
      <c r="AY235" s="2" t="s">
        <v>5</v>
      </c>
    </row>
    <row r="236" spans="1:51" ht="30" customHeight="1" x14ac:dyDescent="0.3">
      <c r="A236" s="3" t="s">
        <v>1124</v>
      </c>
      <c r="B236" s="3" t="s">
        <v>1125</v>
      </c>
      <c r="C236" s="5" t="s">
        <v>340</v>
      </c>
      <c r="D236" s="10">
        <v>1</v>
      </c>
      <c r="E236" s="12">
        <f>TRUNC(SUMIF(V231:V236, RIGHTB(O236, 1), H231:H236)*U236, 2)</f>
        <v>591.13</v>
      </c>
      <c r="F236" s="11">
        <f t="shared" si="92"/>
        <v>591.1</v>
      </c>
      <c r="G236" s="12">
        <v>0</v>
      </c>
      <c r="H236" s="11">
        <f t="shared" si="93"/>
        <v>0</v>
      </c>
      <c r="I236" s="12">
        <v>0</v>
      </c>
      <c r="J236" s="11">
        <f t="shared" si="94"/>
        <v>0</v>
      </c>
      <c r="K236" s="12">
        <f t="shared" si="95"/>
        <v>591.1</v>
      </c>
      <c r="L236" s="11">
        <f t="shared" si="95"/>
        <v>591.1</v>
      </c>
      <c r="M236" s="3" t="s">
        <v>5</v>
      </c>
      <c r="N236" s="2" t="s">
        <v>1037</v>
      </c>
      <c r="O236" s="2" t="s">
        <v>1126</v>
      </c>
      <c r="P236" s="2" t="s">
        <v>996</v>
      </c>
      <c r="Q236" s="2" t="s">
        <v>996</v>
      </c>
      <c r="R236" s="2" t="s">
        <v>996</v>
      </c>
      <c r="S236" s="1">
        <v>1</v>
      </c>
      <c r="T236" s="1">
        <v>0</v>
      </c>
      <c r="U236" s="1">
        <v>0.03</v>
      </c>
      <c r="AV236" s="2" t="s">
        <v>5</v>
      </c>
      <c r="AW236" s="2" t="s">
        <v>1309</v>
      </c>
      <c r="AX236" s="2" t="s">
        <v>5</v>
      </c>
      <c r="AY236" s="2" t="s">
        <v>5</v>
      </c>
    </row>
    <row r="237" spans="1:51" ht="30" customHeight="1" x14ac:dyDescent="0.3">
      <c r="A237" s="3" t="s">
        <v>1128</v>
      </c>
      <c r="B237" s="3" t="s">
        <v>5</v>
      </c>
      <c r="C237" s="5" t="s">
        <v>5</v>
      </c>
      <c r="D237" s="10"/>
      <c r="E237" s="12"/>
      <c r="F237" s="11">
        <f>TRUNC(SUMIF(N231:N236, N230, F231:F236),0)</f>
        <v>4059</v>
      </c>
      <c r="G237" s="12"/>
      <c r="H237" s="11">
        <f>TRUNC(SUMIF(N231:N236, N230, H231:H236),0)</f>
        <v>19704</v>
      </c>
      <c r="I237" s="12"/>
      <c r="J237" s="11">
        <f>TRUNC(SUMIF(N231:N236, N230, J231:J236),0)</f>
        <v>0</v>
      </c>
      <c r="K237" s="12"/>
      <c r="L237" s="11">
        <f>F237+H237+J237</f>
        <v>23763</v>
      </c>
      <c r="M237" s="3" t="s">
        <v>5</v>
      </c>
      <c r="N237" s="2" t="s">
        <v>1053</v>
      </c>
      <c r="O237" s="2" t="s">
        <v>1053</v>
      </c>
      <c r="P237" s="2" t="s">
        <v>5</v>
      </c>
      <c r="Q237" s="2" t="s">
        <v>5</v>
      </c>
      <c r="R237" s="2" t="s">
        <v>5</v>
      </c>
      <c r="AV237" s="2" t="s">
        <v>5</v>
      </c>
      <c r="AW237" s="2" t="s">
        <v>5</v>
      </c>
      <c r="AX237" s="2" t="s">
        <v>5</v>
      </c>
      <c r="AY237" s="2" t="s">
        <v>5</v>
      </c>
    </row>
    <row r="238" spans="1:51" ht="30" customHeight="1" x14ac:dyDescent="0.3">
      <c r="A238" s="10"/>
      <c r="B238" s="10"/>
      <c r="C238" s="9"/>
      <c r="D238" s="10"/>
      <c r="E238" s="12"/>
      <c r="F238" s="11"/>
      <c r="G238" s="12"/>
      <c r="H238" s="11"/>
      <c r="I238" s="12"/>
      <c r="J238" s="11"/>
      <c r="K238" s="12"/>
      <c r="L238" s="11"/>
      <c r="M238" s="10"/>
    </row>
    <row r="239" spans="1:51" ht="30" customHeight="1" x14ac:dyDescent="0.3">
      <c r="A239" s="216" t="s">
        <v>1536</v>
      </c>
      <c r="B239" s="216"/>
      <c r="C239" s="216"/>
      <c r="D239" s="216"/>
      <c r="E239" s="217"/>
      <c r="F239" s="218"/>
      <c r="G239" s="217"/>
      <c r="H239" s="218"/>
      <c r="I239" s="217"/>
      <c r="J239" s="218"/>
      <c r="K239" s="217"/>
      <c r="L239" s="218"/>
      <c r="M239" s="216"/>
      <c r="N239" s="2" t="s">
        <v>1038</v>
      </c>
    </row>
    <row r="240" spans="1:51" ht="30" customHeight="1" x14ac:dyDescent="0.3">
      <c r="A240" s="3" t="s">
        <v>168</v>
      </c>
      <c r="B240" s="3" t="s">
        <v>1207</v>
      </c>
      <c r="C240" s="5" t="s">
        <v>14</v>
      </c>
      <c r="D240" s="10">
        <v>0.6</v>
      </c>
      <c r="E240" s="199">
        <v>6176</v>
      </c>
      <c r="F240" s="11">
        <f t="shared" ref="F240:F245" si="96">TRUNC(E240*D240,1)</f>
        <v>3705.6</v>
      </c>
      <c r="G240" s="12">
        <v>0</v>
      </c>
      <c r="H240" s="11">
        <f t="shared" ref="H240:H245" si="97">TRUNC(G240*D240,1)</f>
        <v>0</v>
      </c>
      <c r="I240" s="12">
        <v>0</v>
      </c>
      <c r="J240" s="11">
        <f t="shared" ref="J240:J245" si="98">TRUNC(I240*D240,1)</f>
        <v>0</v>
      </c>
      <c r="K240" s="12">
        <f t="shared" ref="K240:L245" si="99">TRUNC(E240+G240+I240,1)</f>
        <v>6176</v>
      </c>
      <c r="L240" s="11">
        <f t="shared" si="99"/>
        <v>3705.6</v>
      </c>
      <c r="M240" s="3" t="s">
        <v>5</v>
      </c>
      <c r="N240" s="2" t="s">
        <v>1038</v>
      </c>
      <c r="O240" s="2" t="s">
        <v>1208</v>
      </c>
      <c r="P240" s="2" t="s">
        <v>996</v>
      </c>
      <c r="Q240" s="2" t="s">
        <v>996</v>
      </c>
      <c r="R240" s="2" t="s">
        <v>995</v>
      </c>
      <c r="AV240" s="2" t="s">
        <v>5</v>
      </c>
      <c r="AW240" s="2" t="s">
        <v>1310</v>
      </c>
      <c r="AX240" s="2" t="s">
        <v>5</v>
      </c>
      <c r="AY240" s="2" t="s">
        <v>5</v>
      </c>
    </row>
    <row r="241" spans="1:51" ht="30" customHeight="1" x14ac:dyDescent="0.3">
      <c r="A241" s="3" t="s">
        <v>178</v>
      </c>
      <c r="B241" s="3" t="s">
        <v>1279</v>
      </c>
      <c r="C241" s="5" t="s">
        <v>12</v>
      </c>
      <c r="D241" s="10">
        <v>2</v>
      </c>
      <c r="E241" s="12">
        <v>160</v>
      </c>
      <c r="F241" s="11">
        <f t="shared" si="96"/>
        <v>320</v>
      </c>
      <c r="G241" s="12">
        <v>0</v>
      </c>
      <c r="H241" s="11">
        <f t="shared" si="97"/>
        <v>0</v>
      </c>
      <c r="I241" s="12">
        <v>0</v>
      </c>
      <c r="J241" s="11">
        <f t="shared" si="98"/>
        <v>0</v>
      </c>
      <c r="K241" s="12">
        <f t="shared" si="99"/>
        <v>160</v>
      </c>
      <c r="L241" s="11">
        <f t="shared" si="99"/>
        <v>320</v>
      </c>
      <c r="M241" s="3" t="s">
        <v>5</v>
      </c>
      <c r="N241" s="2" t="s">
        <v>1038</v>
      </c>
      <c r="O241" s="2" t="s">
        <v>1280</v>
      </c>
      <c r="P241" s="2" t="s">
        <v>996</v>
      </c>
      <c r="Q241" s="2" t="s">
        <v>996</v>
      </c>
      <c r="R241" s="2" t="s">
        <v>995</v>
      </c>
      <c r="AV241" s="2" t="s">
        <v>5</v>
      </c>
      <c r="AW241" s="2" t="s">
        <v>1311</v>
      </c>
      <c r="AX241" s="2" t="s">
        <v>5</v>
      </c>
      <c r="AY241" s="2" t="s">
        <v>5</v>
      </c>
    </row>
    <row r="242" spans="1:51" ht="30" customHeight="1" x14ac:dyDescent="0.3">
      <c r="A242" s="3" t="s">
        <v>174</v>
      </c>
      <c r="B242" s="3" t="s">
        <v>175</v>
      </c>
      <c r="C242" s="5" t="s">
        <v>12</v>
      </c>
      <c r="D242" s="10">
        <v>2</v>
      </c>
      <c r="E242" s="199">
        <v>21</v>
      </c>
      <c r="F242" s="11">
        <f t="shared" si="96"/>
        <v>42</v>
      </c>
      <c r="G242" s="12">
        <v>0</v>
      </c>
      <c r="H242" s="11">
        <f t="shared" si="97"/>
        <v>0</v>
      </c>
      <c r="I242" s="12">
        <v>0</v>
      </c>
      <c r="J242" s="11">
        <f t="shared" si="98"/>
        <v>0</v>
      </c>
      <c r="K242" s="12">
        <f t="shared" si="99"/>
        <v>21</v>
      </c>
      <c r="L242" s="11">
        <f t="shared" si="99"/>
        <v>42</v>
      </c>
      <c r="M242" s="3" t="s">
        <v>5</v>
      </c>
      <c r="N242" s="2" t="s">
        <v>1038</v>
      </c>
      <c r="O242" s="2" t="s">
        <v>1111</v>
      </c>
      <c r="P242" s="2" t="s">
        <v>996</v>
      </c>
      <c r="Q242" s="2" t="s">
        <v>996</v>
      </c>
      <c r="R242" s="2" t="s">
        <v>995</v>
      </c>
      <c r="AV242" s="2" t="s">
        <v>5</v>
      </c>
      <c r="AW242" s="2" t="s">
        <v>1312</v>
      </c>
      <c r="AX242" s="2" t="s">
        <v>5</v>
      </c>
      <c r="AY242" s="2" t="s">
        <v>5</v>
      </c>
    </row>
    <row r="243" spans="1:51" ht="30" customHeight="1" x14ac:dyDescent="0.3">
      <c r="A243" s="3" t="s">
        <v>177</v>
      </c>
      <c r="B243" s="3" t="s">
        <v>1113</v>
      </c>
      <c r="C243" s="5" t="s">
        <v>12</v>
      </c>
      <c r="D243" s="10">
        <v>2</v>
      </c>
      <c r="E243" s="12">
        <v>9.3000000000000007</v>
      </c>
      <c r="F243" s="11">
        <f t="shared" si="96"/>
        <v>18.600000000000001</v>
      </c>
      <c r="G243" s="12">
        <v>0</v>
      </c>
      <c r="H243" s="11">
        <f t="shared" si="97"/>
        <v>0</v>
      </c>
      <c r="I243" s="12">
        <v>0</v>
      </c>
      <c r="J243" s="11">
        <f t="shared" si="98"/>
        <v>0</v>
      </c>
      <c r="K243" s="12">
        <f t="shared" si="99"/>
        <v>9.3000000000000007</v>
      </c>
      <c r="L243" s="11">
        <f t="shared" si="99"/>
        <v>18.600000000000001</v>
      </c>
      <c r="M243" s="3" t="s">
        <v>5</v>
      </c>
      <c r="N243" s="2" t="s">
        <v>1038</v>
      </c>
      <c r="O243" s="2" t="s">
        <v>1114</v>
      </c>
      <c r="P243" s="2" t="s">
        <v>996</v>
      </c>
      <c r="Q243" s="2" t="s">
        <v>996</v>
      </c>
      <c r="R243" s="2" t="s">
        <v>995</v>
      </c>
      <c r="AV243" s="2" t="s">
        <v>5</v>
      </c>
      <c r="AW243" s="2" t="s">
        <v>1313</v>
      </c>
      <c r="AX243" s="2" t="s">
        <v>5</v>
      </c>
      <c r="AY243" s="2" t="s">
        <v>5</v>
      </c>
    </row>
    <row r="244" spans="1:51" ht="30" customHeight="1" x14ac:dyDescent="0.3">
      <c r="A244" s="3" t="s">
        <v>1119</v>
      </c>
      <c r="B244" s="3" t="s">
        <v>1120</v>
      </c>
      <c r="C244" s="5" t="s">
        <v>1121</v>
      </c>
      <c r="D244" s="10">
        <v>7.1999999999999995E-2</v>
      </c>
      <c r="E244" s="12">
        <v>0</v>
      </c>
      <c r="F244" s="11">
        <f t="shared" si="96"/>
        <v>0</v>
      </c>
      <c r="G244" s="8">
        <v>273676</v>
      </c>
      <c r="H244" s="11">
        <f t="shared" si="97"/>
        <v>19704.599999999999</v>
      </c>
      <c r="I244" s="12">
        <v>0</v>
      </c>
      <c r="J244" s="11">
        <f t="shared" si="98"/>
        <v>0</v>
      </c>
      <c r="K244" s="12">
        <f t="shared" si="99"/>
        <v>273676</v>
      </c>
      <c r="L244" s="11">
        <f t="shared" si="99"/>
        <v>19704.599999999999</v>
      </c>
      <c r="M244" s="3" t="s">
        <v>5</v>
      </c>
      <c r="N244" s="2" t="s">
        <v>1038</v>
      </c>
      <c r="O244" s="2" t="s">
        <v>1122</v>
      </c>
      <c r="P244" s="2" t="s">
        <v>996</v>
      </c>
      <c r="Q244" s="2" t="s">
        <v>996</v>
      </c>
      <c r="R244" s="2" t="s">
        <v>995</v>
      </c>
      <c r="V244" s="1">
        <v>1</v>
      </c>
      <c r="AV244" s="2" t="s">
        <v>5</v>
      </c>
      <c r="AW244" s="2" t="s">
        <v>1314</v>
      </c>
      <c r="AX244" s="2" t="s">
        <v>5</v>
      </c>
      <c r="AY244" s="2" t="s">
        <v>5</v>
      </c>
    </row>
    <row r="245" spans="1:51" ht="30" customHeight="1" x14ac:dyDescent="0.3">
      <c r="A245" s="3" t="s">
        <v>1124</v>
      </c>
      <c r="B245" s="3" t="s">
        <v>1125</v>
      </c>
      <c r="C245" s="5" t="s">
        <v>340</v>
      </c>
      <c r="D245" s="10">
        <v>1</v>
      </c>
      <c r="E245" s="12">
        <f>TRUNC(SUMIF(V240:V245, RIGHTB(O245, 1), H240:H245)*U245, 2)</f>
        <v>591.13</v>
      </c>
      <c r="F245" s="11">
        <f t="shared" si="96"/>
        <v>591.1</v>
      </c>
      <c r="G245" s="12">
        <v>0</v>
      </c>
      <c r="H245" s="11">
        <f t="shared" si="97"/>
        <v>0</v>
      </c>
      <c r="I245" s="12">
        <v>0</v>
      </c>
      <c r="J245" s="11">
        <f t="shared" si="98"/>
        <v>0</v>
      </c>
      <c r="K245" s="12">
        <f t="shared" si="99"/>
        <v>591.1</v>
      </c>
      <c r="L245" s="11">
        <f t="shared" si="99"/>
        <v>591.1</v>
      </c>
      <c r="M245" s="3" t="s">
        <v>5</v>
      </c>
      <c r="N245" s="2" t="s">
        <v>1038</v>
      </c>
      <c r="O245" s="2" t="s">
        <v>1126</v>
      </c>
      <c r="P245" s="2" t="s">
        <v>996</v>
      </c>
      <c r="Q245" s="2" t="s">
        <v>996</v>
      </c>
      <c r="R245" s="2" t="s">
        <v>996</v>
      </c>
      <c r="S245" s="1">
        <v>1</v>
      </c>
      <c r="T245" s="1">
        <v>0</v>
      </c>
      <c r="U245" s="1">
        <v>0.03</v>
      </c>
      <c r="AV245" s="2" t="s">
        <v>5</v>
      </c>
      <c r="AW245" s="2" t="s">
        <v>1315</v>
      </c>
      <c r="AX245" s="2" t="s">
        <v>5</v>
      </c>
      <c r="AY245" s="2" t="s">
        <v>5</v>
      </c>
    </row>
    <row r="246" spans="1:51" ht="30" customHeight="1" x14ac:dyDescent="0.3">
      <c r="A246" s="3" t="s">
        <v>1128</v>
      </c>
      <c r="B246" s="3" t="s">
        <v>5</v>
      </c>
      <c r="C246" s="5" t="s">
        <v>5</v>
      </c>
      <c r="D246" s="10"/>
      <c r="E246" s="12"/>
      <c r="F246" s="11">
        <f>TRUNC(SUMIF(N240:N245, N239, F240:F245),0)</f>
        <v>4677</v>
      </c>
      <c r="G246" s="12"/>
      <c r="H246" s="11">
        <f>TRUNC(SUMIF(N240:N245, N239, H240:H245),0)</f>
        <v>19704</v>
      </c>
      <c r="I246" s="12"/>
      <c r="J246" s="11">
        <f>TRUNC(SUMIF(N240:N245, N239, J240:J245),0)</f>
        <v>0</v>
      </c>
      <c r="K246" s="12"/>
      <c r="L246" s="11">
        <f>F246+H246+J246</f>
        <v>24381</v>
      </c>
      <c r="M246" s="3" t="s">
        <v>5</v>
      </c>
      <c r="N246" s="2" t="s">
        <v>1053</v>
      </c>
      <c r="O246" s="2" t="s">
        <v>1053</v>
      </c>
      <c r="P246" s="2" t="s">
        <v>5</v>
      </c>
      <c r="Q246" s="2" t="s">
        <v>5</v>
      </c>
      <c r="R246" s="2" t="s">
        <v>5</v>
      </c>
      <c r="AV246" s="2" t="s">
        <v>5</v>
      </c>
      <c r="AW246" s="2" t="s">
        <v>5</v>
      </c>
      <c r="AX246" s="2" t="s">
        <v>5</v>
      </c>
      <c r="AY246" s="2" t="s">
        <v>5</v>
      </c>
    </row>
    <row r="247" spans="1:51" ht="30" customHeight="1" x14ac:dyDescent="0.3">
      <c r="A247" s="10"/>
      <c r="B247" s="10"/>
      <c r="C247" s="9"/>
      <c r="D247" s="10"/>
      <c r="E247" s="12"/>
      <c r="F247" s="11"/>
      <c r="G247" s="12"/>
      <c r="H247" s="11"/>
      <c r="I247" s="12"/>
      <c r="J247" s="11"/>
      <c r="K247" s="12"/>
      <c r="L247" s="11"/>
      <c r="M247" s="10"/>
    </row>
    <row r="248" spans="1:51" ht="30" customHeight="1" x14ac:dyDescent="0.3">
      <c r="A248" s="216" t="s">
        <v>1537</v>
      </c>
      <c r="B248" s="216"/>
      <c r="C248" s="216"/>
      <c r="D248" s="216"/>
      <c r="E248" s="217"/>
      <c r="F248" s="218"/>
      <c r="G248" s="217"/>
      <c r="H248" s="218"/>
      <c r="I248" s="217"/>
      <c r="J248" s="218"/>
      <c r="K248" s="217"/>
      <c r="L248" s="218"/>
      <c r="M248" s="216"/>
      <c r="N248" s="2" t="s">
        <v>1039</v>
      </c>
    </row>
    <row r="249" spans="1:51" ht="30" customHeight="1" x14ac:dyDescent="0.3">
      <c r="A249" s="3" t="s">
        <v>168</v>
      </c>
      <c r="B249" s="3" t="s">
        <v>1207</v>
      </c>
      <c r="C249" s="5" t="s">
        <v>14</v>
      </c>
      <c r="D249" s="10">
        <v>0.7</v>
      </c>
      <c r="E249" s="199">
        <v>6176</v>
      </c>
      <c r="F249" s="11">
        <f t="shared" ref="F249:F254" si="100">TRUNC(E249*D249,1)</f>
        <v>4323.2</v>
      </c>
      <c r="G249" s="12">
        <v>0</v>
      </c>
      <c r="H249" s="11">
        <f t="shared" ref="H249:H254" si="101">TRUNC(G249*D249,1)</f>
        <v>0</v>
      </c>
      <c r="I249" s="12">
        <v>0</v>
      </c>
      <c r="J249" s="11">
        <f t="shared" ref="J249:J254" si="102">TRUNC(I249*D249,1)</f>
        <v>0</v>
      </c>
      <c r="K249" s="12">
        <f t="shared" ref="K249:L254" si="103">TRUNC(E249+G249+I249,1)</f>
        <v>6176</v>
      </c>
      <c r="L249" s="11">
        <f t="shared" si="103"/>
        <v>4323.2</v>
      </c>
      <c r="M249" s="3" t="s">
        <v>5</v>
      </c>
      <c r="N249" s="2" t="s">
        <v>1039</v>
      </c>
      <c r="O249" s="2" t="s">
        <v>1208</v>
      </c>
      <c r="P249" s="2" t="s">
        <v>996</v>
      </c>
      <c r="Q249" s="2" t="s">
        <v>996</v>
      </c>
      <c r="R249" s="2" t="s">
        <v>995</v>
      </c>
      <c r="AV249" s="2" t="s">
        <v>5</v>
      </c>
      <c r="AW249" s="2" t="s">
        <v>1316</v>
      </c>
      <c r="AX249" s="2" t="s">
        <v>5</v>
      </c>
      <c r="AY249" s="2" t="s">
        <v>5</v>
      </c>
    </row>
    <row r="250" spans="1:51" ht="30" customHeight="1" x14ac:dyDescent="0.3">
      <c r="A250" s="3" t="s">
        <v>178</v>
      </c>
      <c r="B250" s="3" t="s">
        <v>1279</v>
      </c>
      <c r="C250" s="5" t="s">
        <v>12</v>
      </c>
      <c r="D250" s="10">
        <v>2</v>
      </c>
      <c r="E250" s="12">
        <v>160</v>
      </c>
      <c r="F250" s="11">
        <f t="shared" si="100"/>
        <v>320</v>
      </c>
      <c r="G250" s="12">
        <v>0</v>
      </c>
      <c r="H250" s="11">
        <f t="shared" si="101"/>
        <v>0</v>
      </c>
      <c r="I250" s="12">
        <v>0</v>
      </c>
      <c r="J250" s="11">
        <f t="shared" si="102"/>
        <v>0</v>
      </c>
      <c r="K250" s="12">
        <f t="shared" si="103"/>
        <v>160</v>
      </c>
      <c r="L250" s="11">
        <f t="shared" si="103"/>
        <v>320</v>
      </c>
      <c r="M250" s="3" t="s">
        <v>5</v>
      </c>
      <c r="N250" s="2" t="s">
        <v>1039</v>
      </c>
      <c r="O250" s="2" t="s">
        <v>1280</v>
      </c>
      <c r="P250" s="2" t="s">
        <v>996</v>
      </c>
      <c r="Q250" s="2" t="s">
        <v>996</v>
      </c>
      <c r="R250" s="2" t="s">
        <v>995</v>
      </c>
      <c r="AV250" s="2" t="s">
        <v>5</v>
      </c>
      <c r="AW250" s="2" t="s">
        <v>1317</v>
      </c>
      <c r="AX250" s="2" t="s">
        <v>5</v>
      </c>
      <c r="AY250" s="2" t="s">
        <v>5</v>
      </c>
    </row>
    <row r="251" spans="1:51" ht="30" customHeight="1" x14ac:dyDescent="0.3">
      <c r="A251" s="3" t="s">
        <v>174</v>
      </c>
      <c r="B251" s="3" t="s">
        <v>175</v>
      </c>
      <c r="C251" s="5" t="s">
        <v>12</v>
      </c>
      <c r="D251" s="10">
        <v>2</v>
      </c>
      <c r="E251" s="199">
        <v>21</v>
      </c>
      <c r="F251" s="11">
        <f t="shared" si="100"/>
        <v>42</v>
      </c>
      <c r="G251" s="12">
        <v>0</v>
      </c>
      <c r="H251" s="11">
        <f t="shared" si="101"/>
        <v>0</v>
      </c>
      <c r="I251" s="12">
        <v>0</v>
      </c>
      <c r="J251" s="11">
        <f t="shared" si="102"/>
        <v>0</v>
      </c>
      <c r="K251" s="12">
        <f t="shared" si="103"/>
        <v>21</v>
      </c>
      <c r="L251" s="11">
        <f t="shared" si="103"/>
        <v>42</v>
      </c>
      <c r="M251" s="3" t="s">
        <v>5</v>
      </c>
      <c r="N251" s="2" t="s">
        <v>1039</v>
      </c>
      <c r="O251" s="2" t="s">
        <v>1111</v>
      </c>
      <c r="P251" s="2" t="s">
        <v>996</v>
      </c>
      <c r="Q251" s="2" t="s">
        <v>996</v>
      </c>
      <c r="R251" s="2" t="s">
        <v>995</v>
      </c>
      <c r="AV251" s="2" t="s">
        <v>5</v>
      </c>
      <c r="AW251" s="2" t="s">
        <v>1318</v>
      </c>
      <c r="AX251" s="2" t="s">
        <v>5</v>
      </c>
      <c r="AY251" s="2" t="s">
        <v>5</v>
      </c>
    </row>
    <row r="252" spans="1:51" ht="30" customHeight="1" x14ac:dyDescent="0.3">
      <c r="A252" s="3" t="s">
        <v>177</v>
      </c>
      <c r="B252" s="3" t="s">
        <v>1113</v>
      </c>
      <c r="C252" s="5" t="s">
        <v>12</v>
      </c>
      <c r="D252" s="10">
        <v>2</v>
      </c>
      <c r="E252" s="12">
        <v>9.3000000000000007</v>
      </c>
      <c r="F252" s="11">
        <f t="shared" si="100"/>
        <v>18.600000000000001</v>
      </c>
      <c r="G252" s="12">
        <v>0</v>
      </c>
      <c r="H252" s="11">
        <f t="shared" si="101"/>
        <v>0</v>
      </c>
      <c r="I252" s="12">
        <v>0</v>
      </c>
      <c r="J252" s="11">
        <f t="shared" si="102"/>
        <v>0</v>
      </c>
      <c r="K252" s="12">
        <f t="shared" si="103"/>
        <v>9.3000000000000007</v>
      </c>
      <c r="L252" s="11">
        <f t="shared" si="103"/>
        <v>18.600000000000001</v>
      </c>
      <c r="M252" s="3" t="s">
        <v>5</v>
      </c>
      <c r="N252" s="2" t="s">
        <v>1039</v>
      </c>
      <c r="O252" s="2" t="s">
        <v>1114</v>
      </c>
      <c r="P252" s="2" t="s">
        <v>996</v>
      </c>
      <c r="Q252" s="2" t="s">
        <v>996</v>
      </c>
      <c r="R252" s="2" t="s">
        <v>995</v>
      </c>
      <c r="AV252" s="2" t="s">
        <v>5</v>
      </c>
      <c r="AW252" s="2" t="s">
        <v>1319</v>
      </c>
      <c r="AX252" s="2" t="s">
        <v>5</v>
      </c>
      <c r="AY252" s="2" t="s">
        <v>5</v>
      </c>
    </row>
    <row r="253" spans="1:51" ht="30" customHeight="1" x14ac:dyDescent="0.3">
      <c r="A253" s="3" t="s">
        <v>1119</v>
      </c>
      <c r="B253" s="3" t="s">
        <v>1120</v>
      </c>
      <c r="C253" s="5" t="s">
        <v>1121</v>
      </c>
      <c r="D253" s="10">
        <v>7.1999999999999995E-2</v>
      </c>
      <c r="E253" s="12">
        <v>0</v>
      </c>
      <c r="F253" s="11">
        <f t="shared" si="100"/>
        <v>0</v>
      </c>
      <c r="G253" s="8">
        <v>273676</v>
      </c>
      <c r="H253" s="11">
        <f t="shared" si="101"/>
        <v>19704.599999999999</v>
      </c>
      <c r="I253" s="12">
        <v>0</v>
      </c>
      <c r="J253" s="11">
        <f t="shared" si="102"/>
        <v>0</v>
      </c>
      <c r="K253" s="12">
        <f t="shared" si="103"/>
        <v>273676</v>
      </c>
      <c r="L253" s="11">
        <f t="shared" si="103"/>
        <v>19704.599999999999</v>
      </c>
      <c r="M253" s="3" t="s">
        <v>5</v>
      </c>
      <c r="N253" s="2" t="s">
        <v>1039</v>
      </c>
      <c r="O253" s="2" t="s">
        <v>1122</v>
      </c>
      <c r="P253" s="2" t="s">
        <v>996</v>
      </c>
      <c r="Q253" s="2" t="s">
        <v>996</v>
      </c>
      <c r="R253" s="2" t="s">
        <v>995</v>
      </c>
      <c r="V253" s="1">
        <v>1</v>
      </c>
      <c r="AV253" s="2" t="s">
        <v>5</v>
      </c>
      <c r="AW253" s="2" t="s">
        <v>1320</v>
      </c>
      <c r="AX253" s="2" t="s">
        <v>5</v>
      </c>
      <c r="AY253" s="2" t="s">
        <v>5</v>
      </c>
    </row>
    <row r="254" spans="1:51" ht="30" customHeight="1" x14ac:dyDescent="0.3">
      <c r="A254" s="3" t="s">
        <v>1124</v>
      </c>
      <c r="B254" s="3" t="s">
        <v>1125</v>
      </c>
      <c r="C254" s="5" t="s">
        <v>340</v>
      </c>
      <c r="D254" s="10">
        <v>1</v>
      </c>
      <c r="E254" s="12">
        <f>TRUNC(SUMIF(V249:V254, RIGHTB(O254, 1), H249:H254)*U254, 2)</f>
        <v>591.13</v>
      </c>
      <c r="F254" s="11">
        <f t="shared" si="100"/>
        <v>591.1</v>
      </c>
      <c r="G254" s="12">
        <v>0</v>
      </c>
      <c r="H254" s="11">
        <f t="shared" si="101"/>
        <v>0</v>
      </c>
      <c r="I254" s="12">
        <v>0</v>
      </c>
      <c r="J254" s="11">
        <f t="shared" si="102"/>
        <v>0</v>
      </c>
      <c r="K254" s="12">
        <f t="shared" si="103"/>
        <v>591.1</v>
      </c>
      <c r="L254" s="11">
        <f t="shared" si="103"/>
        <v>591.1</v>
      </c>
      <c r="M254" s="3" t="s">
        <v>5</v>
      </c>
      <c r="N254" s="2" t="s">
        <v>1039</v>
      </c>
      <c r="O254" s="2" t="s">
        <v>1126</v>
      </c>
      <c r="P254" s="2" t="s">
        <v>996</v>
      </c>
      <c r="Q254" s="2" t="s">
        <v>996</v>
      </c>
      <c r="R254" s="2" t="s">
        <v>996</v>
      </c>
      <c r="S254" s="1">
        <v>1</v>
      </c>
      <c r="T254" s="1">
        <v>0</v>
      </c>
      <c r="U254" s="1">
        <v>0.03</v>
      </c>
      <c r="AV254" s="2" t="s">
        <v>5</v>
      </c>
      <c r="AW254" s="2" t="s">
        <v>1321</v>
      </c>
      <c r="AX254" s="2" t="s">
        <v>5</v>
      </c>
      <c r="AY254" s="2" t="s">
        <v>5</v>
      </c>
    </row>
    <row r="255" spans="1:51" ht="30" customHeight="1" x14ac:dyDescent="0.3">
      <c r="A255" s="3" t="s">
        <v>1128</v>
      </c>
      <c r="B255" s="3" t="s">
        <v>5</v>
      </c>
      <c r="C255" s="5" t="s">
        <v>5</v>
      </c>
      <c r="D255" s="10"/>
      <c r="E255" s="12"/>
      <c r="F255" s="11">
        <f>TRUNC(SUMIF(N249:N254, N248, F249:F254),0)</f>
        <v>5294</v>
      </c>
      <c r="G255" s="12"/>
      <c r="H255" s="11">
        <f>TRUNC(SUMIF(N249:N254, N248, H249:H254),0)</f>
        <v>19704</v>
      </c>
      <c r="I255" s="12"/>
      <c r="J255" s="11">
        <f>TRUNC(SUMIF(N249:N254, N248, J249:J254),0)</f>
        <v>0</v>
      </c>
      <c r="K255" s="12"/>
      <c r="L255" s="11">
        <f>F255+H255+J255</f>
        <v>24998</v>
      </c>
      <c r="M255" s="3" t="s">
        <v>5</v>
      </c>
      <c r="N255" s="2" t="s">
        <v>1053</v>
      </c>
      <c r="O255" s="2" t="s">
        <v>1053</v>
      </c>
      <c r="P255" s="2" t="s">
        <v>5</v>
      </c>
      <c r="Q255" s="2" t="s">
        <v>5</v>
      </c>
      <c r="R255" s="2" t="s">
        <v>5</v>
      </c>
      <c r="AV255" s="2" t="s">
        <v>5</v>
      </c>
      <c r="AW255" s="2" t="s">
        <v>5</v>
      </c>
      <c r="AX255" s="2" t="s">
        <v>5</v>
      </c>
      <c r="AY255" s="2" t="s">
        <v>5</v>
      </c>
    </row>
    <row r="256" spans="1:51" ht="30" customHeight="1" x14ac:dyDescent="0.3">
      <c r="A256" s="10"/>
      <c r="B256" s="10"/>
      <c r="C256" s="9"/>
      <c r="D256" s="10"/>
      <c r="E256" s="12"/>
      <c r="F256" s="11"/>
      <c r="G256" s="12"/>
      <c r="H256" s="11"/>
      <c r="I256" s="12"/>
      <c r="J256" s="11"/>
      <c r="K256" s="12"/>
      <c r="L256" s="11"/>
      <c r="M256" s="10"/>
    </row>
    <row r="257" spans="1:51" ht="30" customHeight="1" x14ac:dyDescent="0.3">
      <c r="A257" s="216" t="s">
        <v>1538</v>
      </c>
      <c r="B257" s="216"/>
      <c r="C257" s="216"/>
      <c r="D257" s="216"/>
      <c r="E257" s="217"/>
      <c r="F257" s="218"/>
      <c r="G257" s="217"/>
      <c r="H257" s="218"/>
      <c r="I257" s="217"/>
      <c r="J257" s="218"/>
      <c r="K257" s="217"/>
      <c r="L257" s="218"/>
      <c r="M257" s="216"/>
      <c r="N257" s="2" t="s">
        <v>1040</v>
      </c>
    </row>
    <row r="258" spans="1:51" ht="30" customHeight="1" x14ac:dyDescent="0.3">
      <c r="A258" s="3" t="s">
        <v>168</v>
      </c>
      <c r="B258" s="3" t="s">
        <v>1207</v>
      </c>
      <c r="C258" s="5" t="s">
        <v>14</v>
      </c>
      <c r="D258" s="10">
        <v>0.9</v>
      </c>
      <c r="E258" s="199">
        <v>6176</v>
      </c>
      <c r="F258" s="11">
        <f t="shared" ref="F258:F263" si="104">TRUNC(E258*D258,1)</f>
        <v>5558.4</v>
      </c>
      <c r="G258" s="12">
        <v>0</v>
      </c>
      <c r="H258" s="11">
        <f t="shared" ref="H258:H263" si="105">TRUNC(G258*D258,1)</f>
        <v>0</v>
      </c>
      <c r="I258" s="12">
        <v>0</v>
      </c>
      <c r="J258" s="11">
        <f t="shared" ref="J258:J263" si="106">TRUNC(I258*D258,1)</f>
        <v>0</v>
      </c>
      <c r="K258" s="12">
        <f t="shared" ref="K258:L263" si="107">TRUNC(E258+G258+I258,1)</f>
        <v>6176</v>
      </c>
      <c r="L258" s="11">
        <f t="shared" si="107"/>
        <v>5558.4</v>
      </c>
      <c r="M258" s="3" t="s">
        <v>5</v>
      </c>
      <c r="N258" s="2" t="s">
        <v>1040</v>
      </c>
      <c r="O258" s="2" t="s">
        <v>1208</v>
      </c>
      <c r="P258" s="2" t="s">
        <v>996</v>
      </c>
      <c r="Q258" s="2" t="s">
        <v>996</v>
      </c>
      <c r="R258" s="2" t="s">
        <v>995</v>
      </c>
      <c r="AV258" s="2" t="s">
        <v>5</v>
      </c>
      <c r="AW258" s="2" t="s">
        <v>1322</v>
      </c>
      <c r="AX258" s="2" t="s">
        <v>5</v>
      </c>
      <c r="AY258" s="2" t="s">
        <v>5</v>
      </c>
    </row>
    <row r="259" spans="1:51" ht="30" customHeight="1" x14ac:dyDescent="0.3">
      <c r="A259" s="3" t="s">
        <v>178</v>
      </c>
      <c r="B259" s="3" t="s">
        <v>1279</v>
      </c>
      <c r="C259" s="5" t="s">
        <v>12</v>
      </c>
      <c r="D259" s="10">
        <v>2</v>
      </c>
      <c r="E259" s="12">
        <v>160</v>
      </c>
      <c r="F259" s="11">
        <f t="shared" si="104"/>
        <v>320</v>
      </c>
      <c r="G259" s="12">
        <v>0</v>
      </c>
      <c r="H259" s="11">
        <f t="shared" si="105"/>
        <v>0</v>
      </c>
      <c r="I259" s="12">
        <v>0</v>
      </c>
      <c r="J259" s="11">
        <f t="shared" si="106"/>
        <v>0</v>
      </c>
      <c r="K259" s="12">
        <f t="shared" si="107"/>
        <v>160</v>
      </c>
      <c r="L259" s="11">
        <f t="shared" si="107"/>
        <v>320</v>
      </c>
      <c r="M259" s="3" t="s">
        <v>5</v>
      </c>
      <c r="N259" s="2" t="s">
        <v>1040</v>
      </c>
      <c r="O259" s="2" t="s">
        <v>1280</v>
      </c>
      <c r="P259" s="2" t="s">
        <v>996</v>
      </c>
      <c r="Q259" s="2" t="s">
        <v>996</v>
      </c>
      <c r="R259" s="2" t="s">
        <v>995</v>
      </c>
      <c r="AV259" s="2" t="s">
        <v>5</v>
      </c>
      <c r="AW259" s="2" t="s">
        <v>1323</v>
      </c>
      <c r="AX259" s="2" t="s">
        <v>5</v>
      </c>
      <c r="AY259" s="2" t="s">
        <v>5</v>
      </c>
    </row>
    <row r="260" spans="1:51" ht="30" customHeight="1" x14ac:dyDescent="0.3">
      <c r="A260" s="3" t="s">
        <v>174</v>
      </c>
      <c r="B260" s="3" t="s">
        <v>175</v>
      </c>
      <c r="C260" s="5" t="s">
        <v>12</v>
      </c>
      <c r="D260" s="10">
        <v>2</v>
      </c>
      <c r="E260" s="199">
        <v>21</v>
      </c>
      <c r="F260" s="11">
        <f t="shared" si="104"/>
        <v>42</v>
      </c>
      <c r="G260" s="12">
        <v>0</v>
      </c>
      <c r="H260" s="11">
        <f t="shared" si="105"/>
        <v>0</v>
      </c>
      <c r="I260" s="12">
        <v>0</v>
      </c>
      <c r="J260" s="11">
        <f t="shared" si="106"/>
        <v>0</v>
      </c>
      <c r="K260" s="12">
        <f t="shared" si="107"/>
        <v>21</v>
      </c>
      <c r="L260" s="11">
        <f t="shared" si="107"/>
        <v>42</v>
      </c>
      <c r="M260" s="3" t="s">
        <v>5</v>
      </c>
      <c r="N260" s="2" t="s">
        <v>1040</v>
      </c>
      <c r="O260" s="2" t="s">
        <v>1111</v>
      </c>
      <c r="P260" s="2" t="s">
        <v>996</v>
      </c>
      <c r="Q260" s="2" t="s">
        <v>996</v>
      </c>
      <c r="R260" s="2" t="s">
        <v>995</v>
      </c>
      <c r="AV260" s="2" t="s">
        <v>5</v>
      </c>
      <c r="AW260" s="2" t="s">
        <v>1324</v>
      </c>
      <c r="AX260" s="2" t="s">
        <v>5</v>
      </c>
      <c r="AY260" s="2" t="s">
        <v>5</v>
      </c>
    </row>
    <row r="261" spans="1:51" ht="30" customHeight="1" x14ac:dyDescent="0.3">
      <c r="A261" s="3" t="s">
        <v>177</v>
      </c>
      <c r="B261" s="3" t="s">
        <v>1113</v>
      </c>
      <c r="C261" s="5" t="s">
        <v>12</v>
      </c>
      <c r="D261" s="10">
        <v>2</v>
      </c>
      <c r="E261" s="12">
        <v>9.3000000000000007</v>
      </c>
      <c r="F261" s="11">
        <f t="shared" si="104"/>
        <v>18.600000000000001</v>
      </c>
      <c r="G261" s="12">
        <v>0</v>
      </c>
      <c r="H261" s="11">
        <f t="shared" si="105"/>
        <v>0</v>
      </c>
      <c r="I261" s="12">
        <v>0</v>
      </c>
      <c r="J261" s="11">
        <f t="shared" si="106"/>
        <v>0</v>
      </c>
      <c r="K261" s="12">
        <f t="shared" si="107"/>
        <v>9.3000000000000007</v>
      </c>
      <c r="L261" s="11">
        <f t="shared" si="107"/>
        <v>18.600000000000001</v>
      </c>
      <c r="M261" s="3" t="s">
        <v>5</v>
      </c>
      <c r="N261" s="2" t="s">
        <v>1040</v>
      </c>
      <c r="O261" s="2" t="s">
        <v>1114</v>
      </c>
      <c r="P261" s="2" t="s">
        <v>996</v>
      </c>
      <c r="Q261" s="2" t="s">
        <v>996</v>
      </c>
      <c r="R261" s="2" t="s">
        <v>995</v>
      </c>
      <c r="AV261" s="2" t="s">
        <v>5</v>
      </c>
      <c r="AW261" s="2" t="s">
        <v>1325</v>
      </c>
      <c r="AX261" s="2" t="s">
        <v>5</v>
      </c>
      <c r="AY261" s="2" t="s">
        <v>5</v>
      </c>
    </row>
    <row r="262" spans="1:51" ht="30" customHeight="1" x14ac:dyDescent="0.3">
      <c r="A262" s="3" t="s">
        <v>1119</v>
      </c>
      <c r="B262" s="3" t="s">
        <v>1120</v>
      </c>
      <c r="C262" s="5" t="s">
        <v>1121</v>
      </c>
      <c r="D262" s="10">
        <v>7.1999999999999995E-2</v>
      </c>
      <c r="E262" s="12">
        <v>0</v>
      </c>
      <c r="F262" s="11">
        <f t="shared" si="104"/>
        <v>0</v>
      </c>
      <c r="G262" s="8">
        <v>273676</v>
      </c>
      <c r="H262" s="11">
        <f t="shared" si="105"/>
        <v>19704.599999999999</v>
      </c>
      <c r="I262" s="12">
        <v>0</v>
      </c>
      <c r="J262" s="11">
        <f t="shared" si="106"/>
        <v>0</v>
      </c>
      <c r="K262" s="12">
        <f t="shared" si="107"/>
        <v>273676</v>
      </c>
      <c r="L262" s="11">
        <f t="shared" si="107"/>
        <v>19704.599999999999</v>
      </c>
      <c r="M262" s="3" t="s">
        <v>5</v>
      </c>
      <c r="N262" s="2" t="s">
        <v>1040</v>
      </c>
      <c r="O262" s="2" t="s">
        <v>1122</v>
      </c>
      <c r="P262" s="2" t="s">
        <v>996</v>
      </c>
      <c r="Q262" s="2" t="s">
        <v>996</v>
      </c>
      <c r="R262" s="2" t="s">
        <v>995</v>
      </c>
      <c r="V262" s="1">
        <v>1</v>
      </c>
      <c r="AV262" s="2" t="s">
        <v>5</v>
      </c>
      <c r="AW262" s="2" t="s">
        <v>1326</v>
      </c>
      <c r="AX262" s="2" t="s">
        <v>5</v>
      </c>
      <c r="AY262" s="2" t="s">
        <v>5</v>
      </c>
    </row>
    <row r="263" spans="1:51" ht="30" customHeight="1" x14ac:dyDescent="0.3">
      <c r="A263" s="3" t="s">
        <v>1124</v>
      </c>
      <c r="B263" s="3" t="s">
        <v>1125</v>
      </c>
      <c r="C263" s="5" t="s">
        <v>340</v>
      </c>
      <c r="D263" s="10">
        <v>1</v>
      </c>
      <c r="E263" s="12">
        <f>TRUNC(SUMIF(V258:V263, RIGHTB(O263, 1), H258:H263)*U263, 2)</f>
        <v>591.13</v>
      </c>
      <c r="F263" s="11">
        <f t="shared" si="104"/>
        <v>591.1</v>
      </c>
      <c r="G263" s="12">
        <v>0</v>
      </c>
      <c r="H263" s="11">
        <f t="shared" si="105"/>
        <v>0</v>
      </c>
      <c r="I263" s="12">
        <v>0</v>
      </c>
      <c r="J263" s="11">
        <f t="shared" si="106"/>
        <v>0</v>
      </c>
      <c r="K263" s="12">
        <f t="shared" si="107"/>
        <v>591.1</v>
      </c>
      <c r="L263" s="11">
        <f t="shared" si="107"/>
        <v>591.1</v>
      </c>
      <c r="M263" s="3" t="s">
        <v>5</v>
      </c>
      <c r="N263" s="2" t="s">
        <v>1040</v>
      </c>
      <c r="O263" s="2" t="s">
        <v>1126</v>
      </c>
      <c r="P263" s="2" t="s">
        <v>996</v>
      </c>
      <c r="Q263" s="2" t="s">
        <v>996</v>
      </c>
      <c r="R263" s="2" t="s">
        <v>996</v>
      </c>
      <c r="S263" s="1">
        <v>1</v>
      </c>
      <c r="T263" s="1">
        <v>0</v>
      </c>
      <c r="U263" s="1">
        <v>0.03</v>
      </c>
      <c r="AV263" s="2" t="s">
        <v>5</v>
      </c>
      <c r="AW263" s="2" t="s">
        <v>1327</v>
      </c>
      <c r="AX263" s="2" t="s">
        <v>5</v>
      </c>
      <c r="AY263" s="2" t="s">
        <v>5</v>
      </c>
    </row>
    <row r="264" spans="1:51" ht="30" customHeight="1" x14ac:dyDescent="0.3">
      <c r="A264" s="3" t="s">
        <v>1128</v>
      </c>
      <c r="B264" s="3" t="s">
        <v>5</v>
      </c>
      <c r="C264" s="5" t="s">
        <v>5</v>
      </c>
      <c r="D264" s="10"/>
      <c r="E264" s="12"/>
      <c r="F264" s="11">
        <f>TRUNC(SUMIF(N258:N263, N257, F258:F263),0)</f>
        <v>6530</v>
      </c>
      <c r="G264" s="12"/>
      <c r="H264" s="11">
        <f>TRUNC(SUMIF(N258:N263, N257, H258:H263),0)</f>
        <v>19704</v>
      </c>
      <c r="I264" s="12"/>
      <c r="J264" s="11">
        <f>TRUNC(SUMIF(N258:N263, N257, J258:J263),0)</f>
        <v>0</v>
      </c>
      <c r="K264" s="12"/>
      <c r="L264" s="11">
        <f>F264+H264+J264</f>
        <v>26234</v>
      </c>
      <c r="M264" s="3" t="s">
        <v>5</v>
      </c>
      <c r="N264" s="2" t="s">
        <v>1053</v>
      </c>
      <c r="O264" s="2" t="s">
        <v>1053</v>
      </c>
      <c r="P264" s="2" t="s">
        <v>5</v>
      </c>
      <c r="Q264" s="2" t="s">
        <v>5</v>
      </c>
      <c r="R264" s="2" t="s">
        <v>5</v>
      </c>
      <c r="AV264" s="2" t="s">
        <v>5</v>
      </c>
      <c r="AW264" s="2" t="s">
        <v>5</v>
      </c>
      <c r="AX264" s="2" t="s">
        <v>5</v>
      </c>
      <c r="AY264" s="2" t="s">
        <v>5</v>
      </c>
    </row>
    <row r="265" spans="1:51" ht="30" customHeight="1" x14ac:dyDescent="0.3">
      <c r="A265" s="10"/>
      <c r="B265" s="10"/>
      <c r="C265" s="9"/>
      <c r="D265" s="10"/>
      <c r="E265" s="12"/>
      <c r="F265" s="11"/>
      <c r="G265" s="12"/>
      <c r="H265" s="11"/>
      <c r="I265" s="12"/>
      <c r="J265" s="11"/>
      <c r="K265" s="12"/>
      <c r="L265" s="11"/>
      <c r="M265" s="10"/>
    </row>
    <row r="266" spans="1:51" ht="30" customHeight="1" x14ac:dyDescent="0.3">
      <c r="A266" s="216" t="s">
        <v>1539</v>
      </c>
      <c r="B266" s="216"/>
      <c r="C266" s="216"/>
      <c r="D266" s="216"/>
      <c r="E266" s="217"/>
      <c r="F266" s="218"/>
      <c r="G266" s="217"/>
      <c r="H266" s="218"/>
      <c r="I266" s="217"/>
      <c r="J266" s="218"/>
      <c r="K266" s="217"/>
      <c r="L266" s="218"/>
      <c r="M266" s="216"/>
      <c r="N266" s="2" t="s">
        <v>1041</v>
      </c>
    </row>
    <row r="267" spans="1:51" ht="30" customHeight="1" x14ac:dyDescent="0.3">
      <c r="A267" s="3" t="s">
        <v>168</v>
      </c>
      <c r="B267" s="3" t="s">
        <v>1207</v>
      </c>
      <c r="C267" s="5" t="s">
        <v>14</v>
      </c>
      <c r="D267" s="10">
        <v>1</v>
      </c>
      <c r="E267" s="199">
        <v>6176</v>
      </c>
      <c r="F267" s="11">
        <f t="shared" ref="F267:F272" si="108">TRUNC(E267*D267,1)</f>
        <v>6176</v>
      </c>
      <c r="G267" s="12">
        <v>0</v>
      </c>
      <c r="H267" s="11">
        <f t="shared" ref="H267:H272" si="109">TRUNC(G267*D267,1)</f>
        <v>0</v>
      </c>
      <c r="I267" s="12">
        <v>0</v>
      </c>
      <c r="J267" s="11">
        <f t="shared" ref="J267:J272" si="110">TRUNC(I267*D267,1)</f>
        <v>0</v>
      </c>
      <c r="K267" s="12">
        <f t="shared" ref="K267:L272" si="111">TRUNC(E267+G267+I267,1)</f>
        <v>6176</v>
      </c>
      <c r="L267" s="11">
        <f t="shared" si="111"/>
        <v>6176</v>
      </c>
      <c r="M267" s="3" t="s">
        <v>5</v>
      </c>
      <c r="N267" s="2" t="s">
        <v>1041</v>
      </c>
      <c r="O267" s="2" t="s">
        <v>1208</v>
      </c>
      <c r="P267" s="2" t="s">
        <v>996</v>
      </c>
      <c r="Q267" s="2" t="s">
        <v>996</v>
      </c>
      <c r="R267" s="2" t="s">
        <v>995</v>
      </c>
      <c r="AV267" s="2" t="s">
        <v>5</v>
      </c>
      <c r="AW267" s="2" t="s">
        <v>1328</v>
      </c>
      <c r="AX267" s="2" t="s">
        <v>5</v>
      </c>
      <c r="AY267" s="2" t="s">
        <v>5</v>
      </c>
    </row>
    <row r="268" spans="1:51" ht="30" customHeight="1" x14ac:dyDescent="0.3">
      <c r="A268" s="3" t="s">
        <v>178</v>
      </c>
      <c r="B268" s="3" t="s">
        <v>1279</v>
      </c>
      <c r="C268" s="5" t="s">
        <v>12</v>
      </c>
      <c r="D268" s="10">
        <v>2</v>
      </c>
      <c r="E268" s="12">
        <v>160</v>
      </c>
      <c r="F268" s="11">
        <f t="shared" si="108"/>
        <v>320</v>
      </c>
      <c r="G268" s="12">
        <v>0</v>
      </c>
      <c r="H268" s="11">
        <f t="shared" si="109"/>
        <v>0</v>
      </c>
      <c r="I268" s="12">
        <v>0</v>
      </c>
      <c r="J268" s="11">
        <f t="shared" si="110"/>
        <v>0</v>
      </c>
      <c r="K268" s="12">
        <f t="shared" si="111"/>
        <v>160</v>
      </c>
      <c r="L268" s="11">
        <f t="shared" si="111"/>
        <v>320</v>
      </c>
      <c r="M268" s="3" t="s">
        <v>5</v>
      </c>
      <c r="N268" s="2" t="s">
        <v>1041</v>
      </c>
      <c r="O268" s="2" t="s">
        <v>1280</v>
      </c>
      <c r="P268" s="2" t="s">
        <v>996</v>
      </c>
      <c r="Q268" s="2" t="s">
        <v>996</v>
      </c>
      <c r="R268" s="2" t="s">
        <v>995</v>
      </c>
      <c r="AV268" s="2" t="s">
        <v>5</v>
      </c>
      <c r="AW268" s="2" t="s">
        <v>1329</v>
      </c>
      <c r="AX268" s="2" t="s">
        <v>5</v>
      </c>
      <c r="AY268" s="2" t="s">
        <v>5</v>
      </c>
    </row>
    <row r="269" spans="1:51" ht="30" customHeight="1" x14ac:dyDescent="0.3">
      <c r="A269" s="3" t="s">
        <v>174</v>
      </c>
      <c r="B269" s="3" t="s">
        <v>175</v>
      </c>
      <c r="C269" s="5" t="s">
        <v>12</v>
      </c>
      <c r="D269" s="10">
        <v>2</v>
      </c>
      <c r="E269" s="199">
        <v>21</v>
      </c>
      <c r="F269" s="11">
        <f t="shared" si="108"/>
        <v>42</v>
      </c>
      <c r="G269" s="12">
        <v>0</v>
      </c>
      <c r="H269" s="11">
        <f t="shared" si="109"/>
        <v>0</v>
      </c>
      <c r="I269" s="12">
        <v>0</v>
      </c>
      <c r="J269" s="11">
        <f t="shared" si="110"/>
        <v>0</v>
      </c>
      <c r="K269" s="12">
        <f t="shared" si="111"/>
        <v>21</v>
      </c>
      <c r="L269" s="11">
        <f t="shared" si="111"/>
        <v>42</v>
      </c>
      <c r="M269" s="3" t="s">
        <v>5</v>
      </c>
      <c r="N269" s="2" t="s">
        <v>1041</v>
      </c>
      <c r="O269" s="2" t="s">
        <v>1111</v>
      </c>
      <c r="P269" s="2" t="s">
        <v>996</v>
      </c>
      <c r="Q269" s="2" t="s">
        <v>996</v>
      </c>
      <c r="R269" s="2" t="s">
        <v>995</v>
      </c>
      <c r="AV269" s="2" t="s">
        <v>5</v>
      </c>
      <c r="AW269" s="2" t="s">
        <v>1330</v>
      </c>
      <c r="AX269" s="2" t="s">
        <v>5</v>
      </c>
      <c r="AY269" s="2" t="s">
        <v>5</v>
      </c>
    </row>
    <row r="270" spans="1:51" ht="30" customHeight="1" x14ac:dyDescent="0.3">
      <c r="A270" s="3" t="s">
        <v>177</v>
      </c>
      <c r="B270" s="3" t="s">
        <v>1113</v>
      </c>
      <c r="C270" s="5" t="s">
        <v>12</v>
      </c>
      <c r="D270" s="10">
        <v>2</v>
      </c>
      <c r="E270" s="12">
        <v>9.3000000000000007</v>
      </c>
      <c r="F270" s="11">
        <f t="shared" si="108"/>
        <v>18.600000000000001</v>
      </c>
      <c r="G270" s="12">
        <v>0</v>
      </c>
      <c r="H270" s="11">
        <f t="shared" si="109"/>
        <v>0</v>
      </c>
      <c r="I270" s="12">
        <v>0</v>
      </c>
      <c r="J270" s="11">
        <f t="shared" si="110"/>
        <v>0</v>
      </c>
      <c r="K270" s="12">
        <f t="shared" si="111"/>
        <v>9.3000000000000007</v>
      </c>
      <c r="L270" s="11">
        <f t="shared" si="111"/>
        <v>18.600000000000001</v>
      </c>
      <c r="M270" s="3" t="s">
        <v>5</v>
      </c>
      <c r="N270" s="2" t="s">
        <v>1041</v>
      </c>
      <c r="O270" s="2" t="s">
        <v>1114</v>
      </c>
      <c r="P270" s="2" t="s">
        <v>996</v>
      </c>
      <c r="Q270" s="2" t="s">
        <v>996</v>
      </c>
      <c r="R270" s="2" t="s">
        <v>995</v>
      </c>
      <c r="AV270" s="2" t="s">
        <v>5</v>
      </c>
      <c r="AW270" s="2" t="s">
        <v>1331</v>
      </c>
      <c r="AX270" s="2" t="s">
        <v>5</v>
      </c>
      <c r="AY270" s="2" t="s">
        <v>5</v>
      </c>
    </row>
    <row r="271" spans="1:51" ht="30" customHeight="1" x14ac:dyDescent="0.3">
      <c r="A271" s="3" t="s">
        <v>1119</v>
      </c>
      <c r="B271" s="3" t="s">
        <v>1120</v>
      </c>
      <c r="C271" s="5" t="s">
        <v>1121</v>
      </c>
      <c r="D271" s="10">
        <v>7.1999999999999995E-2</v>
      </c>
      <c r="E271" s="12">
        <v>0</v>
      </c>
      <c r="F271" s="11">
        <f t="shared" si="108"/>
        <v>0</v>
      </c>
      <c r="G271" s="8">
        <v>273676</v>
      </c>
      <c r="H271" s="11">
        <f t="shared" si="109"/>
        <v>19704.599999999999</v>
      </c>
      <c r="I271" s="12">
        <v>0</v>
      </c>
      <c r="J271" s="11">
        <f t="shared" si="110"/>
        <v>0</v>
      </c>
      <c r="K271" s="12">
        <f t="shared" si="111"/>
        <v>273676</v>
      </c>
      <c r="L271" s="11">
        <f t="shared" si="111"/>
        <v>19704.599999999999</v>
      </c>
      <c r="M271" s="3" t="s">
        <v>5</v>
      </c>
      <c r="N271" s="2" t="s">
        <v>1041</v>
      </c>
      <c r="O271" s="2" t="s">
        <v>1122</v>
      </c>
      <c r="P271" s="2" t="s">
        <v>996</v>
      </c>
      <c r="Q271" s="2" t="s">
        <v>996</v>
      </c>
      <c r="R271" s="2" t="s">
        <v>995</v>
      </c>
      <c r="V271" s="1">
        <v>1</v>
      </c>
      <c r="AV271" s="2" t="s">
        <v>5</v>
      </c>
      <c r="AW271" s="2" t="s">
        <v>1332</v>
      </c>
      <c r="AX271" s="2" t="s">
        <v>5</v>
      </c>
      <c r="AY271" s="2" t="s">
        <v>5</v>
      </c>
    </row>
    <row r="272" spans="1:51" ht="30" customHeight="1" x14ac:dyDescent="0.3">
      <c r="A272" s="3" t="s">
        <v>1124</v>
      </c>
      <c r="B272" s="3" t="s">
        <v>1125</v>
      </c>
      <c r="C272" s="5" t="s">
        <v>340</v>
      </c>
      <c r="D272" s="10">
        <v>1</v>
      </c>
      <c r="E272" s="12">
        <f>TRUNC(SUMIF(V267:V272, RIGHTB(O272, 1), H267:H272)*U272, 2)</f>
        <v>591.13</v>
      </c>
      <c r="F272" s="11">
        <f t="shared" si="108"/>
        <v>591.1</v>
      </c>
      <c r="G272" s="12">
        <v>0</v>
      </c>
      <c r="H272" s="11">
        <f t="shared" si="109"/>
        <v>0</v>
      </c>
      <c r="I272" s="12">
        <v>0</v>
      </c>
      <c r="J272" s="11">
        <f t="shared" si="110"/>
        <v>0</v>
      </c>
      <c r="K272" s="12">
        <f t="shared" si="111"/>
        <v>591.1</v>
      </c>
      <c r="L272" s="11">
        <f t="shared" si="111"/>
        <v>591.1</v>
      </c>
      <c r="M272" s="3" t="s">
        <v>5</v>
      </c>
      <c r="N272" s="2" t="s">
        <v>1041</v>
      </c>
      <c r="O272" s="2" t="s">
        <v>1126</v>
      </c>
      <c r="P272" s="2" t="s">
        <v>996</v>
      </c>
      <c r="Q272" s="2" t="s">
        <v>996</v>
      </c>
      <c r="R272" s="2" t="s">
        <v>996</v>
      </c>
      <c r="S272" s="1">
        <v>1</v>
      </c>
      <c r="T272" s="1">
        <v>0</v>
      </c>
      <c r="U272" s="1">
        <v>0.03</v>
      </c>
      <c r="AV272" s="2" t="s">
        <v>5</v>
      </c>
      <c r="AW272" s="2" t="s">
        <v>1333</v>
      </c>
      <c r="AX272" s="2" t="s">
        <v>5</v>
      </c>
      <c r="AY272" s="2" t="s">
        <v>5</v>
      </c>
    </row>
    <row r="273" spans="1:51" ht="30" customHeight="1" x14ac:dyDescent="0.3">
      <c r="A273" s="3" t="s">
        <v>1128</v>
      </c>
      <c r="B273" s="3" t="s">
        <v>5</v>
      </c>
      <c r="C273" s="5" t="s">
        <v>5</v>
      </c>
      <c r="D273" s="10"/>
      <c r="E273" s="12"/>
      <c r="F273" s="11">
        <f>TRUNC(SUMIF(N267:N272, N266, F267:F272),0)</f>
        <v>7147</v>
      </c>
      <c r="G273" s="12"/>
      <c r="H273" s="11">
        <f>TRUNC(SUMIF(N267:N272, N266, H267:H272),0)</f>
        <v>19704</v>
      </c>
      <c r="I273" s="12"/>
      <c r="J273" s="11">
        <f>TRUNC(SUMIF(N267:N272, N266, J267:J272),0)</f>
        <v>0</v>
      </c>
      <c r="K273" s="12"/>
      <c r="L273" s="11">
        <f>F273+H273+J273</f>
        <v>26851</v>
      </c>
      <c r="M273" s="3" t="s">
        <v>5</v>
      </c>
      <c r="N273" s="2" t="s">
        <v>1053</v>
      </c>
      <c r="O273" s="2" t="s">
        <v>1053</v>
      </c>
      <c r="P273" s="2" t="s">
        <v>5</v>
      </c>
      <c r="Q273" s="2" t="s">
        <v>5</v>
      </c>
      <c r="R273" s="2" t="s">
        <v>5</v>
      </c>
      <c r="AV273" s="2" t="s">
        <v>5</v>
      </c>
      <c r="AW273" s="2" t="s">
        <v>5</v>
      </c>
      <c r="AX273" s="2" t="s">
        <v>5</v>
      </c>
      <c r="AY273" s="2" t="s">
        <v>5</v>
      </c>
    </row>
    <row r="274" spans="1:51" ht="30" customHeight="1" x14ac:dyDescent="0.3">
      <c r="A274" s="10"/>
      <c r="B274" s="10"/>
      <c r="C274" s="9"/>
      <c r="D274" s="10"/>
      <c r="E274" s="12"/>
      <c r="F274" s="11"/>
      <c r="G274" s="12"/>
      <c r="H274" s="11"/>
      <c r="I274" s="12"/>
      <c r="J274" s="11"/>
      <c r="K274" s="12"/>
      <c r="L274" s="11"/>
      <c r="M274" s="10"/>
    </row>
    <row r="275" spans="1:51" ht="30" customHeight="1" x14ac:dyDescent="0.3">
      <c r="A275" s="216" t="s">
        <v>1540</v>
      </c>
      <c r="B275" s="216"/>
      <c r="C275" s="216"/>
      <c r="D275" s="216"/>
      <c r="E275" s="217"/>
      <c r="F275" s="218"/>
      <c r="G275" s="217"/>
      <c r="H275" s="218"/>
      <c r="I275" s="217"/>
      <c r="J275" s="218"/>
      <c r="K275" s="217"/>
      <c r="L275" s="218"/>
      <c r="M275" s="216"/>
      <c r="N275" s="2" t="s">
        <v>1042</v>
      </c>
    </row>
    <row r="276" spans="1:51" ht="30" customHeight="1" x14ac:dyDescent="0.3">
      <c r="A276" s="3" t="s">
        <v>168</v>
      </c>
      <c r="B276" s="3" t="s">
        <v>1207</v>
      </c>
      <c r="C276" s="5" t="s">
        <v>14</v>
      </c>
      <c r="D276" s="10">
        <v>1.1000000000000001</v>
      </c>
      <c r="E276" s="199">
        <v>6176</v>
      </c>
      <c r="F276" s="11">
        <f t="shared" ref="F276:F281" si="112">TRUNC(E276*D276,1)</f>
        <v>6793.6</v>
      </c>
      <c r="G276" s="12">
        <v>0</v>
      </c>
      <c r="H276" s="11">
        <f t="shared" ref="H276:H281" si="113">TRUNC(G276*D276,1)</f>
        <v>0</v>
      </c>
      <c r="I276" s="12">
        <v>0</v>
      </c>
      <c r="J276" s="11">
        <f t="shared" ref="J276:J281" si="114">TRUNC(I276*D276,1)</f>
        <v>0</v>
      </c>
      <c r="K276" s="12">
        <f t="shared" ref="K276:L281" si="115">TRUNC(E276+G276+I276,1)</f>
        <v>6176</v>
      </c>
      <c r="L276" s="11">
        <f t="shared" si="115"/>
        <v>6793.6</v>
      </c>
      <c r="M276" s="3" t="s">
        <v>5</v>
      </c>
      <c r="N276" s="2" t="s">
        <v>1042</v>
      </c>
      <c r="O276" s="2" t="s">
        <v>1208</v>
      </c>
      <c r="P276" s="2" t="s">
        <v>996</v>
      </c>
      <c r="Q276" s="2" t="s">
        <v>996</v>
      </c>
      <c r="R276" s="2" t="s">
        <v>995</v>
      </c>
      <c r="AV276" s="2" t="s">
        <v>5</v>
      </c>
      <c r="AW276" s="2" t="s">
        <v>1334</v>
      </c>
      <c r="AX276" s="2" t="s">
        <v>5</v>
      </c>
      <c r="AY276" s="2" t="s">
        <v>5</v>
      </c>
    </row>
    <row r="277" spans="1:51" ht="30" customHeight="1" x14ac:dyDescent="0.3">
      <c r="A277" s="3" t="s">
        <v>178</v>
      </c>
      <c r="B277" s="3" t="s">
        <v>1279</v>
      </c>
      <c r="C277" s="5" t="s">
        <v>12</v>
      </c>
      <c r="D277" s="10">
        <v>2</v>
      </c>
      <c r="E277" s="12">
        <v>160</v>
      </c>
      <c r="F277" s="11">
        <f t="shared" si="112"/>
        <v>320</v>
      </c>
      <c r="G277" s="12">
        <v>0</v>
      </c>
      <c r="H277" s="11">
        <f t="shared" si="113"/>
        <v>0</v>
      </c>
      <c r="I277" s="12">
        <v>0</v>
      </c>
      <c r="J277" s="11">
        <f t="shared" si="114"/>
        <v>0</v>
      </c>
      <c r="K277" s="12">
        <f t="shared" si="115"/>
        <v>160</v>
      </c>
      <c r="L277" s="11">
        <f t="shared" si="115"/>
        <v>320</v>
      </c>
      <c r="M277" s="3" t="s">
        <v>5</v>
      </c>
      <c r="N277" s="2" t="s">
        <v>1042</v>
      </c>
      <c r="O277" s="2" t="s">
        <v>1280</v>
      </c>
      <c r="P277" s="2" t="s">
        <v>996</v>
      </c>
      <c r="Q277" s="2" t="s">
        <v>996</v>
      </c>
      <c r="R277" s="2" t="s">
        <v>995</v>
      </c>
      <c r="AV277" s="2" t="s">
        <v>5</v>
      </c>
      <c r="AW277" s="2" t="s">
        <v>1335</v>
      </c>
      <c r="AX277" s="2" t="s">
        <v>5</v>
      </c>
      <c r="AY277" s="2" t="s">
        <v>5</v>
      </c>
    </row>
    <row r="278" spans="1:51" ht="30" customHeight="1" x14ac:dyDescent="0.3">
      <c r="A278" s="3" t="s">
        <v>174</v>
      </c>
      <c r="B278" s="3" t="s">
        <v>175</v>
      </c>
      <c r="C278" s="5" t="s">
        <v>12</v>
      </c>
      <c r="D278" s="10">
        <v>2</v>
      </c>
      <c r="E278" s="199">
        <v>21</v>
      </c>
      <c r="F278" s="11">
        <f t="shared" si="112"/>
        <v>42</v>
      </c>
      <c r="G278" s="12">
        <v>0</v>
      </c>
      <c r="H278" s="11">
        <f t="shared" si="113"/>
        <v>0</v>
      </c>
      <c r="I278" s="12">
        <v>0</v>
      </c>
      <c r="J278" s="11">
        <f t="shared" si="114"/>
        <v>0</v>
      </c>
      <c r="K278" s="12">
        <f t="shared" si="115"/>
        <v>21</v>
      </c>
      <c r="L278" s="11">
        <f t="shared" si="115"/>
        <v>42</v>
      </c>
      <c r="M278" s="3" t="s">
        <v>5</v>
      </c>
      <c r="N278" s="2" t="s">
        <v>1042</v>
      </c>
      <c r="O278" s="2" t="s">
        <v>1111</v>
      </c>
      <c r="P278" s="2" t="s">
        <v>996</v>
      </c>
      <c r="Q278" s="2" t="s">
        <v>996</v>
      </c>
      <c r="R278" s="2" t="s">
        <v>995</v>
      </c>
      <c r="AV278" s="2" t="s">
        <v>5</v>
      </c>
      <c r="AW278" s="2" t="s">
        <v>1336</v>
      </c>
      <c r="AX278" s="2" t="s">
        <v>5</v>
      </c>
      <c r="AY278" s="2" t="s">
        <v>5</v>
      </c>
    </row>
    <row r="279" spans="1:51" ht="30" customHeight="1" x14ac:dyDescent="0.3">
      <c r="A279" s="3" t="s">
        <v>177</v>
      </c>
      <c r="B279" s="3" t="s">
        <v>1113</v>
      </c>
      <c r="C279" s="5" t="s">
        <v>12</v>
      </c>
      <c r="D279" s="10">
        <v>2</v>
      </c>
      <c r="E279" s="12">
        <v>9.3000000000000007</v>
      </c>
      <c r="F279" s="11">
        <f t="shared" si="112"/>
        <v>18.600000000000001</v>
      </c>
      <c r="G279" s="12">
        <v>0</v>
      </c>
      <c r="H279" s="11">
        <f t="shared" si="113"/>
        <v>0</v>
      </c>
      <c r="I279" s="12">
        <v>0</v>
      </c>
      <c r="J279" s="11">
        <f t="shared" si="114"/>
        <v>0</v>
      </c>
      <c r="K279" s="12">
        <f t="shared" si="115"/>
        <v>9.3000000000000007</v>
      </c>
      <c r="L279" s="11">
        <f t="shared" si="115"/>
        <v>18.600000000000001</v>
      </c>
      <c r="M279" s="3" t="s">
        <v>5</v>
      </c>
      <c r="N279" s="2" t="s">
        <v>1042</v>
      </c>
      <c r="O279" s="2" t="s">
        <v>1114</v>
      </c>
      <c r="P279" s="2" t="s">
        <v>996</v>
      </c>
      <c r="Q279" s="2" t="s">
        <v>996</v>
      </c>
      <c r="R279" s="2" t="s">
        <v>995</v>
      </c>
      <c r="AV279" s="2" t="s">
        <v>5</v>
      </c>
      <c r="AW279" s="2" t="s">
        <v>1337</v>
      </c>
      <c r="AX279" s="2" t="s">
        <v>5</v>
      </c>
      <c r="AY279" s="2" t="s">
        <v>5</v>
      </c>
    </row>
    <row r="280" spans="1:51" ht="30" customHeight="1" x14ac:dyDescent="0.3">
      <c r="A280" s="3" t="s">
        <v>1119</v>
      </c>
      <c r="B280" s="3" t="s">
        <v>1120</v>
      </c>
      <c r="C280" s="5" t="s">
        <v>1121</v>
      </c>
      <c r="D280" s="10">
        <v>7.1999999999999995E-2</v>
      </c>
      <c r="E280" s="12">
        <v>0</v>
      </c>
      <c r="F280" s="11">
        <f t="shared" si="112"/>
        <v>0</v>
      </c>
      <c r="G280" s="8">
        <v>273676</v>
      </c>
      <c r="H280" s="11">
        <f t="shared" si="113"/>
        <v>19704.599999999999</v>
      </c>
      <c r="I280" s="12">
        <v>0</v>
      </c>
      <c r="J280" s="11">
        <f t="shared" si="114"/>
        <v>0</v>
      </c>
      <c r="K280" s="12">
        <f t="shared" si="115"/>
        <v>273676</v>
      </c>
      <c r="L280" s="11">
        <f t="shared" si="115"/>
        <v>19704.599999999999</v>
      </c>
      <c r="M280" s="3" t="s">
        <v>5</v>
      </c>
      <c r="N280" s="2" t="s">
        <v>1042</v>
      </c>
      <c r="O280" s="2" t="s">
        <v>1122</v>
      </c>
      <c r="P280" s="2" t="s">
        <v>996</v>
      </c>
      <c r="Q280" s="2" t="s">
        <v>996</v>
      </c>
      <c r="R280" s="2" t="s">
        <v>995</v>
      </c>
      <c r="V280" s="1">
        <v>1</v>
      </c>
      <c r="AV280" s="2" t="s">
        <v>5</v>
      </c>
      <c r="AW280" s="2" t="s">
        <v>1338</v>
      </c>
      <c r="AX280" s="2" t="s">
        <v>5</v>
      </c>
      <c r="AY280" s="2" t="s">
        <v>5</v>
      </c>
    </row>
    <row r="281" spans="1:51" ht="30" customHeight="1" x14ac:dyDescent="0.3">
      <c r="A281" s="3" t="s">
        <v>1124</v>
      </c>
      <c r="B281" s="3" t="s">
        <v>1125</v>
      </c>
      <c r="C281" s="5" t="s">
        <v>340</v>
      </c>
      <c r="D281" s="10">
        <v>1</v>
      </c>
      <c r="E281" s="12">
        <f>TRUNC(SUMIF(V276:V281, RIGHTB(O281, 1), H276:H281)*U281, 2)</f>
        <v>591.13</v>
      </c>
      <c r="F281" s="11">
        <f t="shared" si="112"/>
        <v>591.1</v>
      </c>
      <c r="G281" s="12">
        <v>0</v>
      </c>
      <c r="H281" s="11">
        <f t="shared" si="113"/>
        <v>0</v>
      </c>
      <c r="I281" s="12">
        <v>0</v>
      </c>
      <c r="J281" s="11">
        <f t="shared" si="114"/>
        <v>0</v>
      </c>
      <c r="K281" s="12">
        <f t="shared" si="115"/>
        <v>591.1</v>
      </c>
      <c r="L281" s="11">
        <f t="shared" si="115"/>
        <v>591.1</v>
      </c>
      <c r="M281" s="3" t="s">
        <v>5</v>
      </c>
      <c r="N281" s="2" t="s">
        <v>1042</v>
      </c>
      <c r="O281" s="2" t="s">
        <v>1126</v>
      </c>
      <c r="P281" s="2" t="s">
        <v>996</v>
      </c>
      <c r="Q281" s="2" t="s">
        <v>996</v>
      </c>
      <c r="R281" s="2" t="s">
        <v>996</v>
      </c>
      <c r="S281" s="1">
        <v>1</v>
      </c>
      <c r="T281" s="1">
        <v>0</v>
      </c>
      <c r="U281" s="1">
        <v>0.03</v>
      </c>
      <c r="AV281" s="2" t="s">
        <v>5</v>
      </c>
      <c r="AW281" s="2" t="s">
        <v>1339</v>
      </c>
      <c r="AX281" s="2" t="s">
        <v>5</v>
      </c>
      <c r="AY281" s="2" t="s">
        <v>5</v>
      </c>
    </row>
    <row r="282" spans="1:51" ht="30" customHeight="1" x14ac:dyDescent="0.3">
      <c r="A282" s="3" t="s">
        <v>1128</v>
      </c>
      <c r="B282" s="3" t="s">
        <v>5</v>
      </c>
      <c r="C282" s="5" t="s">
        <v>5</v>
      </c>
      <c r="D282" s="10"/>
      <c r="E282" s="12"/>
      <c r="F282" s="11">
        <f>TRUNC(SUMIF(N276:N281, N275, F276:F281),0)</f>
        <v>7765</v>
      </c>
      <c r="G282" s="12"/>
      <c r="H282" s="11">
        <f>TRUNC(SUMIF(N276:N281, N275, H276:H281),0)</f>
        <v>19704</v>
      </c>
      <c r="I282" s="12"/>
      <c r="J282" s="11">
        <f>TRUNC(SUMIF(N276:N281, N275, J276:J281),0)</f>
        <v>0</v>
      </c>
      <c r="K282" s="12"/>
      <c r="L282" s="11">
        <f>F282+H282+J282</f>
        <v>27469</v>
      </c>
      <c r="M282" s="3" t="s">
        <v>5</v>
      </c>
      <c r="N282" s="2" t="s">
        <v>1053</v>
      </c>
      <c r="O282" s="2" t="s">
        <v>1053</v>
      </c>
      <c r="P282" s="2" t="s">
        <v>5</v>
      </c>
      <c r="Q282" s="2" t="s">
        <v>5</v>
      </c>
      <c r="R282" s="2" t="s">
        <v>5</v>
      </c>
      <c r="AV282" s="2" t="s">
        <v>5</v>
      </c>
      <c r="AW282" s="2" t="s">
        <v>5</v>
      </c>
      <c r="AX282" s="2" t="s">
        <v>5</v>
      </c>
      <c r="AY282" s="2" t="s">
        <v>5</v>
      </c>
    </row>
    <row r="283" spans="1:51" ht="30" customHeight="1" x14ac:dyDescent="0.3">
      <c r="A283" s="10"/>
      <c r="B283" s="10"/>
      <c r="C283" s="9"/>
      <c r="D283" s="10"/>
      <c r="E283" s="12"/>
      <c r="F283" s="11"/>
      <c r="G283" s="12"/>
      <c r="H283" s="11"/>
      <c r="I283" s="12"/>
      <c r="J283" s="11"/>
      <c r="K283" s="12"/>
      <c r="L283" s="11"/>
      <c r="M283" s="10"/>
    </row>
    <row r="284" spans="1:51" ht="30" customHeight="1" x14ac:dyDescent="0.3">
      <c r="A284" s="216" t="s">
        <v>1340</v>
      </c>
      <c r="B284" s="216"/>
      <c r="C284" s="216"/>
      <c r="D284" s="216"/>
      <c r="E284" s="217"/>
      <c r="F284" s="218"/>
      <c r="G284" s="217"/>
      <c r="H284" s="218"/>
      <c r="I284" s="217"/>
      <c r="J284" s="218"/>
      <c r="K284" s="217"/>
      <c r="L284" s="218"/>
      <c r="M284" s="216"/>
      <c r="N284" s="2" t="s">
        <v>1044</v>
      </c>
    </row>
    <row r="285" spans="1:51" ht="30" customHeight="1" x14ac:dyDescent="0.3">
      <c r="A285" s="3" t="s">
        <v>1341</v>
      </c>
      <c r="B285" s="3" t="s">
        <v>1342</v>
      </c>
      <c r="C285" s="5" t="s">
        <v>1343</v>
      </c>
      <c r="D285" s="10">
        <v>1.73</v>
      </c>
      <c r="E285" s="12">
        <v>1159</v>
      </c>
      <c r="F285" s="11">
        <f t="shared" ref="F285:F293" si="116">TRUNC(E285*D285,1)</f>
        <v>2005</v>
      </c>
      <c r="G285" s="12">
        <v>0</v>
      </c>
      <c r="H285" s="11">
        <f t="shared" ref="H285:H293" si="117">TRUNC(G285*D285,1)</f>
        <v>0</v>
      </c>
      <c r="I285" s="12">
        <v>0</v>
      </c>
      <c r="J285" s="11">
        <f t="shared" ref="J285:J293" si="118">TRUNC(I285*D285,1)</f>
        <v>0</v>
      </c>
      <c r="K285" s="12">
        <f t="shared" ref="K285:L293" si="119">TRUNC(E285+G285+I285,1)</f>
        <v>1159</v>
      </c>
      <c r="L285" s="11">
        <f t="shared" si="119"/>
        <v>2005</v>
      </c>
      <c r="M285" s="3" t="s">
        <v>5</v>
      </c>
      <c r="N285" s="2" t="s">
        <v>1044</v>
      </c>
      <c r="O285" s="2" t="s">
        <v>1344</v>
      </c>
      <c r="P285" s="2" t="s">
        <v>996</v>
      </c>
      <c r="Q285" s="2" t="s">
        <v>996</v>
      </c>
      <c r="R285" s="2" t="s">
        <v>995</v>
      </c>
      <c r="AV285" s="2" t="s">
        <v>5</v>
      </c>
      <c r="AW285" s="2" t="s">
        <v>1345</v>
      </c>
      <c r="AX285" s="2" t="s">
        <v>5</v>
      </c>
      <c r="AY285" s="2" t="s">
        <v>5</v>
      </c>
    </row>
    <row r="286" spans="1:51" ht="30" customHeight="1" x14ac:dyDescent="0.3">
      <c r="A286" s="3" t="s">
        <v>168</v>
      </c>
      <c r="B286" s="3" t="s">
        <v>1207</v>
      </c>
      <c r="C286" s="5" t="s">
        <v>14</v>
      </c>
      <c r="D286" s="10">
        <v>3.1110000000000002</v>
      </c>
      <c r="E286" s="199">
        <v>6176</v>
      </c>
      <c r="F286" s="11">
        <f t="shared" si="116"/>
        <v>19213.5</v>
      </c>
      <c r="G286" s="12">
        <v>0</v>
      </c>
      <c r="H286" s="11">
        <f t="shared" si="117"/>
        <v>0</v>
      </c>
      <c r="I286" s="12">
        <v>0</v>
      </c>
      <c r="J286" s="11">
        <f t="shared" si="118"/>
        <v>0</v>
      </c>
      <c r="K286" s="12">
        <f t="shared" si="119"/>
        <v>6176</v>
      </c>
      <c r="L286" s="11">
        <f t="shared" si="119"/>
        <v>19213.5</v>
      </c>
      <c r="M286" s="3" t="s">
        <v>5</v>
      </c>
      <c r="N286" s="2" t="s">
        <v>1044</v>
      </c>
      <c r="O286" s="2" t="s">
        <v>1208</v>
      </c>
      <c r="P286" s="2" t="s">
        <v>996</v>
      </c>
      <c r="Q286" s="2" t="s">
        <v>996</v>
      </c>
      <c r="R286" s="2" t="s">
        <v>995</v>
      </c>
      <c r="AV286" s="2" t="s">
        <v>5</v>
      </c>
      <c r="AW286" s="2" t="s">
        <v>1346</v>
      </c>
      <c r="AX286" s="2" t="s">
        <v>5</v>
      </c>
      <c r="AY286" s="2" t="s">
        <v>5</v>
      </c>
    </row>
    <row r="287" spans="1:51" ht="30" customHeight="1" x14ac:dyDescent="0.3">
      <c r="A287" s="3" t="s">
        <v>1347</v>
      </c>
      <c r="B287" s="3" t="s">
        <v>1348</v>
      </c>
      <c r="C287" s="5" t="s">
        <v>1343</v>
      </c>
      <c r="D287" s="10">
        <v>5</v>
      </c>
      <c r="E287" s="12">
        <v>1111</v>
      </c>
      <c r="F287" s="11">
        <f t="shared" si="116"/>
        <v>5555</v>
      </c>
      <c r="G287" s="12">
        <v>0</v>
      </c>
      <c r="H287" s="11">
        <f t="shared" si="117"/>
        <v>0</v>
      </c>
      <c r="I287" s="12">
        <v>0</v>
      </c>
      <c r="J287" s="11">
        <f t="shared" si="118"/>
        <v>0</v>
      </c>
      <c r="K287" s="12">
        <f t="shared" si="119"/>
        <v>1111</v>
      </c>
      <c r="L287" s="11">
        <f t="shared" si="119"/>
        <v>5555</v>
      </c>
      <c r="M287" s="3" t="s">
        <v>5</v>
      </c>
      <c r="N287" s="2" t="s">
        <v>1044</v>
      </c>
      <c r="O287" s="2" t="s">
        <v>1349</v>
      </c>
      <c r="P287" s="2" t="s">
        <v>996</v>
      </c>
      <c r="Q287" s="2" t="s">
        <v>996</v>
      </c>
      <c r="R287" s="2" t="s">
        <v>995</v>
      </c>
      <c r="AV287" s="2" t="s">
        <v>5</v>
      </c>
      <c r="AW287" s="2" t="s">
        <v>1350</v>
      </c>
      <c r="AX287" s="2" t="s">
        <v>5</v>
      </c>
      <c r="AY287" s="2" t="s">
        <v>5</v>
      </c>
    </row>
    <row r="288" spans="1:51" ht="30" customHeight="1" x14ac:dyDescent="0.3">
      <c r="A288" s="3" t="s">
        <v>178</v>
      </c>
      <c r="B288" s="3" t="s">
        <v>1351</v>
      </c>
      <c r="C288" s="5" t="s">
        <v>12</v>
      </c>
      <c r="D288" s="10">
        <v>4</v>
      </c>
      <c r="E288" s="12">
        <v>3440</v>
      </c>
      <c r="F288" s="11">
        <f t="shared" si="116"/>
        <v>13760</v>
      </c>
      <c r="G288" s="12">
        <v>0</v>
      </c>
      <c r="H288" s="11">
        <f t="shared" si="117"/>
        <v>0</v>
      </c>
      <c r="I288" s="12">
        <v>0</v>
      </c>
      <c r="J288" s="11">
        <f t="shared" si="118"/>
        <v>0</v>
      </c>
      <c r="K288" s="12">
        <f t="shared" si="119"/>
        <v>3440</v>
      </c>
      <c r="L288" s="11">
        <f t="shared" si="119"/>
        <v>13760</v>
      </c>
      <c r="M288" s="3" t="s">
        <v>5</v>
      </c>
      <c r="N288" s="2" t="s">
        <v>1044</v>
      </c>
      <c r="O288" s="2" t="s">
        <v>1352</v>
      </c>
      <c r="P288" s="2" t="s">
        <v>996</v>
      </c>
      <c r="Q288" s="2" t="s">
        <v>996</v>
      </c>
      <c r="R288" s="2" t="s">
        <v>995</v>
      </c>
      <c r="AV288" s="2" t="s">
        <v>5</v>
      </c>
      <c r="AW288" s="2" t="s">
        <v>1353</v>
      </c>
      <c r="AX288" s="2" t="s">
        <v>5</v>
      </c>
      <c r="AY288" s="2" t="s">
        <v>5</v>
      </c>
    </row>
    <row r="289" spans="1:51" ht="30" customHeight="1" x14ac:dyDescent="0.3">
      <c r="A289" s="3" t="s">
        <v>1354</v>
      </c>
      <c r="B289" s="3" t="s">
        <v>1355</v>
      </c>
      <c r="C289" s="5" t="s">
        <v>12</v>
      </c>
      <c r="D289" s="10">
        <v>2</v>
      </c>
      <c r="E289" s="12">
        <v>56</v>
      </c>
      <c r="F289" s="11">
        <f t="shared" si="116"/>
        <v>112</v>
      </c>
      <c r="G289" s="12">
        <v>0</v>
      </c>
      <c r="H289" s="11">
        <f t="shared" si="117"/>
        <v>0</v>
      </c>
      <c r="I289" s="12">
        <v>0</v>
      </c>
      <c r="J289" s="11">
        <f t="shared" si="118"/>
        <v>0</v>
      </c>
      <c r="K289" s="12">
        <f t="shared" si="119"/>
        <v>56</v>
      </c>
      <c r="L289" s="11">
        <f t="shared" si="119"/>
        <v>112</v>
      </c>
      <c r="M289" s="3" t="s">
        <v>5</v>
      </c>
      <c r="N289" s="2" t="s">
        <v>1044</v>
      </c>
      <c r="O289" s="2" t="s">
        <v>1356</v>
      </c>
      <c r="P289" s="2" t="s">
        <v>996</v>
      </c>
      <c r="Q289" s="2" t="s">
        <v>996</v>
      </c>
      <c r="R289" s="2" t="s">
        <v>995</v>
      </c>
      <c r="AV289" s="2" t="s">
        <v>5</v>
      </c>
      <c r="AW289" s="2" t="s">
        <v>1357</v>
      </c>
      <c r="AX289" s="2" t="s">
        <v>5</v>
      </c>
      <c r="AY289" s="2" t="s">
        <v>5</v>
      </c>
    </row>
    <row r="290" spans="1:51" ht="30" customHeight="1" x14ac:dyDescent="0.3">
      <c r="A290" s="3" t="s">
        <v>174</v>
      </c>
      <c r="B290" s="3" t="s">
        <v>175</v>
      </c>
      <c r="C290" s="5" t="s">
        <v>12</v>
      </c>
      <c r="D290" s="10">
        <v>2</v>
      </c>
      <c r="E290" s="199">
        <v>21</v>
      </c>
      <c r="F290" s="11">
        <f t="shared" si="116"/>
        <v>42</v>
      </c>
      <c r="G290" s="12">
        <v>0</v>
      </c>
      <c r="H290" s="11">
        <f t="shared" si="117"/>
        <v>0</v>
      </c>
      <c r="I290" s="12">
        <v>0</v>
      </c>
      <c r="J290" s="11">
        <f t="shared" si="118"/>
        <v>0</v>
      </c>
      <c r="K290" s="12">
        <f t="shared" si="119"/>
        <v>21</v>
      </c>
      <c r="L290" s="11">
        <f t="shared" si="119"/>
        <v>42</v>
      </c>
      <c r="M290" s="3" t="s">
        <v>5</v>
      </c>
      <c r="N290" s="2" t="s">
        <v>1044</v>
      </c>
      <c r="O290" s="2" t="s">
        <v>1111</v>
      </c>
      <c r="P290" s="2" t="s">
        <v>996</v>
      </c>
      <c r="Q290" s="2" t="s">
        <v>996</v>
      </c>
      <c r="R290" s="2" t="s">
        <v>995</v>
      </c>
      <c r="AV290" s="2" t="s">
        <v>5</v>
      </c>
      <c r="AW290" s="2" t="s">
        <v>1358</v>
      </c>
      <c r="AX290" s="2" t="s">
        <v>5</v>
      </c>
      <c r="AY290" s="2" t="s">
        <v>5</v>
      </c>
    </row>
    <row r="291" spans="1:51" ht="30" customHeight="1" x14ac:dyDescent="0.3">
      <c r="A291" s="3" t="s">
        <v>333</v>
      </c>
      <c r="B291" s="3" t="s">
        <v>1359</v>
      </c>
      <c r="C291" s="5" t="s">
        <v>12</v>
      </c>
      <c r="D291" s="10">
        <v>1</v>
      </c>
      <c r="E291" s="12">
        <v>130</v>
      </c>
      <c r="F291" s="11">
        <f t="shared" si="116"/>
        <v>130</v>
      </c>
      <c r="G291" s="12">
        <v>0</v>
      </c>
      <c r="H291" s="11">
        <f t="shared" si="117"/>
        <v>0</v>
      </c>
      <c r="I291" s="12">
        <v>0</v>
      </c>
      <c r="J291" s="11">
        <f t="shared" si="118"/>
        <v>0</v>
      </c>
      <c r="K291" s="12">
        <f t="shared" si="119"/>
        <v>130</v>
      </c>
      <c r="L291" s="11">
        <f t="shared" si="119"/>
        <v>130</v>
      </c>
      <c r="M291" s="3" t="s">
        <v>5</v>
      </c>
      <c r="N291" s="2" t="s">
        <v>1044</v>
      </c>
      <c r="O291" s="2" t="s">
        <v>1360</v>
      </c>
      <c r="P291" s="2" t="s">
        <v>996</v>
      </c>
      <c r="Q291" s="2" t="s">
        <v>996</v>
      </c>
      <c r="R291" s="2" t="s">
        <v>995</v>
      </c>
      <c r="AV291" s="2" t="s">
        <v>5</v>
      </c>
      <c r="AW291" s="2" t="s">
        <v>1361</v>
      </c>
      <c r="AX291" s="2" t="s">
        <v>5</v>
      </c>
      <c r="AY291" s="2" t="s">
        <v>5</v>
      </c>
    </row>
    <row r="292" spans="1:51" ht="30" customHeight="1" x14ac:dyDescent="0.3">
      <c r="A292" s="3" t="s">
        <v>1119</v>
      </c>
      <c r="B292" s="3" t="s">
        <v>1120</v>
      </c>
      <c r="C292" s="5" t="s">
        <v>1121</v>
      </c>
      <c r="D292" s="10">
        <v>0.92</v>
      </c>
      <c r="E292" s="12">
        <v>0</v>
      </c>
      <c r="F292" s="11">
        <f t="shared" si="116"/>
        <v>0</v>
      </c>
      <c r="G292" s="8">
        <v>273676</v>
      </c>
      <c r="H292" s="11">
        <f t="shared" si="117"/>
        <v>251781.9</v>
      </c>
      <c r="I292" s="12">
        <v>0</v>
      </c>
      <c r="J292" s="11">
        <f t="shared" si="118"/>
        <v>0</v>
      </c>
      <c r="K292" s="12">
        <f t="shared" si="119"/>
        <v>273676</v>
      </c>
      <c r="L292" s="11">
        <f t="shared" si="119"/>
        <v>251781.9</v>
      </c>
      <c r="M292" s="3" t="s">
        <v>5</v>
      </c>
      <c r="N292" s="2" t="s">
        <v>1044</v>
      </c>
      <c r="O292" s="2" t="s">
        <v>1122</v>
      </c>
      <c r="P292" s="2" t="s">
        <v>996</v>
      </c>
      <c r="Q292" s="2" t="s">
        <v>996</v>
      </c>
      <c r="R292" s="2" t="s">
        <v>995</v>
      </c>
      <c r="V292" s="1">
        <v>1</v>
      </c>
      <c r="AV292" s="2" t="s">
        <v>5</v>
      </c>
      <c r="AW292" s="2" t="s">
        <v>1362</v>
      </c>
      <c r="AX292" s="2" t="s">
        <v>5</v>
      </c>
      <c r="AY292" s="2" t="s">
        <v>5</v>
      </c>
    </row>
    <row r="293" spans="1:51" ht="30" customHeight="1" x14ac:dyDescent="0.3">
      <c r="A293" s="3" t="s">
        <v>1124</v>
      </c>
      <c r="B293" s="3" t="s">
        <v>1125</v>
      </c>
      <c r="C293" s="5" t="s">
        <v>340</v>
      </c>
      <c r="D293" s="10">
        <v>1</v>
      </c>
      <c r="E293" s="12">
        <f>TRUNC(SUMIF(V285:V293, RIGHTB(O293, 1), H285:H293)*U293, 2)</f>
        <v>7553.45</v>
      </c>
      <c r="F293" s="11">
        <f t="shared" si="116"/>
        <v>7553.4</v>
      </c>
      <c r="G293" s="12">
        <v>0</v>
      </c>
      <c r="H293" s="11">
        <f t="shared" si="117"/>
        <v>0</v>
      </c>
      <c r="I293" s="12">
        <v>0</v>
      </c>
      <c r="J293" s="11">
        <f t="shared" si="118"/>
        <v>0</v>
      </c>
      <c r="K293" s="12">
        <f t="shared" si="119"/>
        <v>7553.4</v>
      </c>
      <c r="L293" s="11">
        <f t="shared" si="119"/>
        <v>7553.4</v>
      </c>
      <c r="M293" s="3" t="s">
        <v>5</v>
      </c>
      <c r="N293" s="2" t="s">
        <v>1044</v>
      </c>
      <c r="O293" s="2" t="s">
        <v>1126</v>
      </c>
      <c r="P293" s="2" t="s">
        <v>996</v>
      </c>
      <c r="Q293" s="2" t="s">
        <v>996</v>
      </c>
      <c r="R293" s="2" t="s">
        <v>996</v>
      </c>
      <c r="S293" s="1">
        <v>1</v>
      </c>
      <c r="T293" s="1">
        <v>0</v>
      </c>
      <c r="U293" s="1">
        <v>0.03</v>
      </c>
      <c r="AV293" s="2" t="s">
        <v>5</v>
      </c>
      <c r="AW293" s="2" t="s">
        <v>1363</v>
      </c>
      <c r="AX293" s="2" t="s">
        <v>5</v>
      </c>
      <c r="AY293" s="2" t="s">
        <v>5</v>
      </c>
    </row>
    <row r="294" spans="1:51" ht="30" customHeight="1" x14ac:dyDescent="0.3">
      <c r="A294" s="3" t="s">
        <v>1128</v>
      </c>
      <c r="B294" s="3" t="s">
        <v>5</v>
      </c>
      <c r="C294" s="5" t="s">
        <v>5</v>
      </c>
      <c r="D294" s="10"/>
      <c r="E294" s="12"/>
      <c r="F294" s="11">
        <f>TRUNC(SUMIF(N285:N293, N284, F285:F293),0)</f>
        <v>48370</v>
      </c>
      <c r="G294" s="12"/>
      <c r="H294" s="11">
        <f>TRUNC(SUMIF(N285:N293, N284, H285:H293),0)</f>
        <v>251781</v>
      </c>
      <c r="I294" s="12"/>
      <c r="J294" s="11">
        <f>TRUNC(SUMIF(N285:N293, N284, J285:J293),0)</f>
        <v>0</v>
      </c>
      <c r="K294" s="12"/>
      <c r="L294" s="11">
        <f>F294+H294+J294</f>
        <v>300151</v>
      </c>
      <c r="M294" s="3" t="s">
        <v>5</v>
      </c>
      <c r="N294" s="2" t="s">
        <v>1053</v>
      </c>
      <c r="O294" s="2" t="s">
        <v>1053</v>
      </c>
      <c r="P294" s="2" t="s">
        <v>5</v>
      </c>
      <c r="Q294" s="2" t="s">
        <v>5</v>
      </c>
      <c r="R294" s="2" t="s">
        <v>5</v>
      </c>
      <c r="AV294" s="2" t="s">
        <v>5</v>
      </c>
      <c r="AW294" s="2" t="s">
        <v>5</v>
      </c>
      <c r="AX294" s="2" t="s">
        <v>5</v>
      </c>
      <c r="AY294" s="2" t="s">
        <v>5</v>
      </c>
    </row>
    <row r="295" spans="1:51" ht="30" customHeight="1" x14ac:dyDescent="0.3">
      <c r="A295" s="10"/>
      <c r="B295" s="10"/>
      <c r="C295" s="9"/>
      <c r="D295" s="10"/>
      <c r="E295" s="12"/>
      <c r="F295" s="11"/>
      <c r="G295" s="12"/>
      <c r="H295" s="11"/>
      <c r="I295" s="12"/>
      <c r="J295" s="11"/>
      <c r="K295" s="12"/>
      <c r="L295" s="11"/>
      <c r="M295" s="10"/>
    </row>
    <row r="296" spans="1:51" ht="30" customHeight="1" x14ac:dyDescent="0.3">
      <c r="A296" s="216" t="s">
        <v>1364</v>
      </c>
      <c r="B296" s="216"/>
      <c r="C296" s="216"/>
      <c r="D296" s="216"/>
      <c r="E296" s="217"/>
      <c r="F296" s="218"/>
      <c r="G296" s="217"/>
      <c r="H296" s="218"/>
      <c r="I296" s="217"/>
      <c r="J296" s="218"/>
      <c r="K296" s="217"/>
      <c r="L296" s="218"/>
      <c r="M296" s="216"/>
      <c r="N296" s="2" t="s">
        <v>1045</v>
      </c>
    </row>
    <row r="297" spans="1:51" ht="30" customHeight="1" x14ac:dyDescent="0.3">
      <c r="A297" s="3" t="s">
        <v>1341</v>
      </c>
      <c r="B297" s="3" t="s">
        <v>1342</v>
      </c>
      <c r="C297" s="5" t="s">
        <v>1343</v>
      </c>
      <c r="D297" s="10">
        <v>1.73</v>
      </c>
      <c r="E297" s="12">
        <v>1159</v>
      </c>
      <c r="F297" s="11">
        <f t="shared" ref="F297:F305" si="120">TRUNC(E297*D297,1)</f>
        <v>2005</v>
      </c>
      <c r="G297" s="12">
        <v>0</v>
      </c>
      <c r="H297" s="11">
        <f t="shared" ref="H297:H305" si="121">TRUNC(G297*D297,1)</f>
        <v>0</v>
      </c>
      <c r="I297" s="12">
        <v>0</v>
      </c>
      <c r="J297" s="11">
        <f t="shared" ref="J297:J305" si="122">TRUNC(I297*D297,1)</f>
        <v>0</v>
      </c>
      <c r="K297" s="12">
        <f t="shared" ref="K297:L305" si="123">TRUNC(E297+G297+I297,1)</f>
        <v>1159</v>
      </c>
      <c r="L297" s="11">
        <f t="shared" si="123"/>
        <v>2005</v>
      </c>
      <c r="M297" s="3" t="s">
        <v>5</v>
      </c>
      <c r="N297" s="2" t="s">
        <v>1045</v>
      </c>
      <c r="O297" s="2" t="s">
        <v>1344</v>
      </c>
      <c r="P297" s="2" t="s">
        <v>996</v>
      </c>
      <c r="Q297" s="2" t="s">
        <v>996</v>
      </c>
      <c r="R297" s="2" t="s">
        <v>995</v>
      </c>
      <c r="AV297" s="2" t="s">
        <v>5</v>
      </c>
      <c r="AW297" s="2" t="s">
        <v>1365</v>
      </c>
      <c r="AX297" s="2" t="s">
        <v>5</v>
      </c>
      <c r="AY297" s="2" t="s">
        <v>5</v>
      </c>
    </row>
    <row r="298" spans="1:51" ht="30" customHeight="1" x14ac:dyDescent="0.3">
      <c r="A298" s="3" t="s">
        <v>168</v>
      </c>
      <c r="B298" s="3" t="s">
        <v>1207</v>
      </c>
      <c r="C298" s="5" t="s">
        <v>14</v>
      </c>
      <c r="D298" s="10">
        <v>3.1110000000000002</v>
      </c>
      <c r="E298" s="199">
        <v>6176</v>
      </c>
      <c r="F298" s="11">
        <f t="shared" si="120"/>
        <v>19213.5</v>
      </c>
      <c r="G298" s="12">
        <v>0</v>
      </c>
      <c r="H298" s="11">
        <f t="shared" si="121"/>
        <v>0</v>
      </c>
      <c r="I298" s="12">
        <v>0</v>
      </c>
      <c r="J298" s="11">
        <f t="shared" si="122"/>
        <v>0</v>
      </c>
      <c r="K298" s="12">
        <f t="shared" si="123"/>
        <v>6176</v>
      </c>
      <c r="L298" s="11">
        <f t="shared" si="123"/>
        <v>19213.5</v>
      </c>
      <c r="M298" s="3" t="s">
        <v>5</v>
      </c>
      <c r="N298" s="2" t="s">
        <v>1045</v>
      </c>
      <c r="O298" s="2" t="s">
        <v>1208</v>
      </c>
      <c r="P298" s="2" t="s">
        <v>996</v>
      </c>
      <c r="Q298" s="2" t="s">
        <v>996</v>
      </c>
      <c r="R298" s="2" t="s">
        <v>995</v>
      </c>
      <c r="AV298" s="2" t="s">
        <v>5</v>
      </c>
      <c r="AW298" s="2" t="s">
        <v>1366</v>
      </c>
      <c r="AX298" s="2" t="s">
        <v>5</v>
      </c>
      <c r="AY298" s="2" t="s">
        <v>5</v>
      </c>
    </row>
    <row r="299" spans="1:51" ht="30" customHeight="1" x14ac:dyDescent="0.3">
      <c r="A299" s="3" t="s">
        <v>1347</v>
      </c>
      <c r="B299" s="3" t="s">
        <v>1348</v>
      </c>
      <c r="C299" s="5" t="s">
        <v>1343</v>
      </c>
      <c r="D299" s="10">
        <v>5</v>
      </c>
      <c r="E299" s="12">
        <v>1111</v>
      </c>
      <c r="F299" s="11">
        <f t="shared" si="120"/>
        <v>5555</v>
      </c>
      <c r="G299" s="12">
        <v>0</v>
      </c>
      <c r="H299" s="11">
        <f t="shared" si="121"/>
        <v>0</v>
      </c>
      <c r="I299" s="12">
        <v>0</v>
      </c>
      <c r="J299" s="11">
        <f t="shared" si="122"/>
        <v>0</v>
      </c>
      <c r="K299" s="12">
        <f t="shared" si="123"/>
        <v>1111</v>
      </c>
      <c r="L299" s="11">
        <f t="shared" si="123"/>
        <v>5555</v>
      </c>
      <c r="M299" s="3" t="s">
        <v>5</v>
      </c>
      <c r="N299" s="2" t="s">
        <v>1045</v>
      </c>
      <c r="O299" s="2" t="s">
        <v>1349</v>
      </c>
      <c r="P299" s="2" t="s">
        <v>996</v>
      </c>
      <c r="Q299" s="2" t="s">
        <v>996</v>
      </c>
      <c r="R299" s="2" t="s">
        <v>995</v>
      </c>
      <c r="AV299" s="2" t="s">
        <v>5</v>
      </c>
      <c r="AW299" s="2" t="s">
        <v>1367</v>
      </c>
      <c r="AX299" s="2" t="s">
        <v>5</v>
      </c>
      <c r="AY299" s="2" t="s">
        <v>5</v>
      </c>
    </row>
    <row r="300" spans="1:51" ht="30" customHeight="1" x14ac:dyDescent="0.3">
      <c r="A300" s="3" t="s">
        <v>178</v>
      </c>
      <c r="B300" s="3" t="s">
        <v>1351</v>
      </c>
      <c r="C300" s="5" t="s">
        <v>12</v>
      </c>
      <c r="D300" s="10">
        <v>4</v>
      </c>
      <c r="E300" s="12">
        <v>3440</v>
      </c>
      <c r="F300" s="11">
        <f t="shared" si="120"/>
        <v>13760</v>
      </c>
      <c r="G300" s="12">
        <v>0</v>
      </c>
      <c r="H300" s="11">
        <f t="shared" si="121"/>
        <v>0</v>
      </c>
      <c r="I300" s="12">
        <v>0</v>
      </c>
      <c r="J300" s="11">
        <f t="shared" si="122"/>
        <v>0</v>
      </c>
      <c r="K300" s="12">
        <f t="shared" si="123"/>
        <v>3440</v>
      </c>
      <c r="L300" s="11">
        <f t="shared" si="123"/>
        <v>13760</v>
      </c>
      <c r="M300" s="3" t="s">
        <v>5</v>
      </c>
      <c r="N300" s="2" t="s">
        <v>1045</v>
      </c>
      <c r="O300" s="2" t="s">
        <v>1352</v>
      </c>
      <c r="P300" s="2" t="s">
        <v>996</v>
      </c>
      <c r="Q300" s="2" t="s">
        <v>996</v>
      </c>
      <c r="R300" s="2" t="s">
        <v>995</v>
      </c>
      <c r="AV300" s="2" t="s">
        <v>5</v>
      </c>
      <c r="AW300" s="2" t="s">
        <v>1368</v>
      </c>
      <c r="AX300" s="2" t="s">
        <v>5</v>
      </c>
      <c r="AY300" s="2" t="s">
        <v>5</v>
      </c>
    </row>
    <row r="301" spans="1:51" ht="30" customHeight="1" x14ac:dyDescent="0.3">
      <c r="A301" s="3" t="s">
        <v>1354</v>
      </c>
      <c r="B301" s="3" t="s">
        <v>1355</v>
      </c>
      <c r="C301" s="5" t="s">
        <v>12</v>
      </c>
      <c r="D301" s="10">
        <v>2</v>
      </c>
      <c r="E301" s="12">
        <v>56</v>
      </c>
      <c r="F301" s="11">
        <f t="shared" si="120"/>
        <v>112</v>
      </c>
      <c r="G301" s="12">
        <v>0</v>
      </c>
      <c r="H301" s="11">
        <f t="shared" si="121"/>
        <v>0</v>
      </c>
      <c r="I301" s="12">
        <v>0</v>
      </c>
      <c r="J301" s="11">
        <f t="shared" si="122"/>
        <v>0</v>
      </c>
      <c r="K301" s="12">
        <f t="shared" si="123"/>
        <v>56</v>
      </c>
      <c r="L301" s="11">
        <f t="shared" si="123"/>
        <v>112</v>
      </c>
      <c r="M301" s="3" t="s">
        <v>5</v>
      </c>
      <c r="N301" s="2" t="s">
        <v>1045</v>
      </c>
      <c r="O301" s="2" t="s">
        <v>1356</v>
      </c>
      <c r="P301" s="2" t="s">
        <v>996</v>
      </c>
      <c r="Q301" s="2" t="s">
        <v>996</v>
      </c>
      <c r="R301" s="2" t="s">
        <v>995</v>
      </c>
      <c r="AV301" s="2" t="s">
        <v>5</v>
      </c>
      <c r="AW301" s="2" t="s">
        <v>1369</v>
      </c>
      <c r="AX301" s="2" t="s">
        <v>5</v>
      </c>
      <c r="AY301" s="2" t="s">
        <v>5</v>
      </c>
    </row>
    <row r="302" spans="1:51" ht="30" customHeight="1" x14ac:dyDescent="0.3">
      <c r="A302" s="3" t="s">
        <v>174</v>
      </c>
      <c r="B302" s="3" t="s">
        <v>175</v>
      </c>
      <c r="C302" s="5" t="s">
        <v>12</v>
      </c>
      <c r="D302" s="10">
        <v>2</v>
      </c>
      <c r="E302" s="199">
        <v>21</v>
      </c>
      <c r="F302" s="11">
        <f t="shared" si="120"/>
        <v>42</v>
      </c>
      <c r="G302" s="12">
        <v>0</v>
      </c>
      <c r="H302" s="11">
        <f t="shared" si="121"/>
        <v>0</v>
      </c>
      <c r="I302" s="12">
        <v>0</v>
      </c>
      <c r="J302" s="11">
        <f t="shared" si="122"/>
        <v>0</v>
      </c>
      <c r="K302" s="12">
        <f t="shared" si="123"/>
        <v>21</v>
      </c>
      <c r="L302" s="11">
        <f t="shared" si="123"/>
        <v>42</v>
      </c>
      <c r="M302" s="3" t="s">
        <v>5</v>
      </c>
      <c r="N302" s="2" t="s">
        <v>1045</v>
      </c>
      <c r="O302" s="2" t="s">
        <v>1111</v>
      </c>
      <c r="P302" s="2" t="s">
        <v>996</v>
      </c>
      <c r="Q302" s="2" t="s">
        <v>996</v>
      </c>
      <c r="R302" s="2" t="s">
        <v>995</v>
      </c>
      <c r="AV302" s="2" t="s">
        <v>5</v>
      </c>
      <c r="AW302" s="2" t="s">
        <v>1370</v>
      </c>
      <c r="AX302" s="2" t="s">
        <v>5</v>
      </c>
      <c r="AY302" s="2" t="s">
        <v>5</v>
      </c>
    </row>
    <row r="303" spans="1:51" ht="30" customHeight="1" x14ac:dyDescent="0.3">
      <c r="A303" s="3" t="s">
        <v>333</v>
      </c>
      <c r="B303" s="3" t="s">
        <v>1371</v>
      </c>
      <c r="C303" s="5" t="s">
        <v>12</v>
      </c>
      <c r="D303" s="10">
        <v>1</v>
      </c>
      <c r="E303" s="12">
        <v>139</v>
      </c>
      <c r="F303" s="11">
        <f t="shared" si="120"/>
        <v>139</v>
      </c>
      <c r="G303" s="12">
        <v>0</v>
      </c>
      <c r="H303" s="11">
        <f t="shared" si="121"/>
        <v>0</v>
      </c>
      <c r="I303" s="12">
        <v>0</v>
      </c>
      <c r="J303" s="11">
        <f t="shared" si="122"/>
        <v>0</v>
      </c>
      <c r="K303" s="12">
        <f t="shared" si="123"/>
        <v>139</v>
      </c>
      <c r="L303" s="11">
        <f t="shared" si="123"/>
        <v>139</v>
      </c>
      <c r="M303" s="3" t="s">
        <v>5</v>
      </c>
      <c r="N303" s="2" t="s">
        <v>1045</v>
      </c>
      <c r="O303" s="2" t="s">
        <v>1372</v>
      </c>
      <c r="P303" s="2" t="s">
        <v>996</v>
      </c>
      <c r="Q303" s="2" t="s">
        <v>996</v>
      </c>
      <c r="R303" s="2" t="s">
        <v>995</v>
      </c>
      <c r="AV303" s="2" t="s">
        <v>5</v>
      </c>
      <c r="AW303" s="2" t="s">
        <v>1373</v>
      </c>
      <c r="AX303" s="2" t="s">
        <v>5</v>
      </c>
      <c r="AY303" s="2" t="s">
        <v>5</v>
      </c>
    </row>
    <row r="304" spans="1:51" ht="30" customHeight="1" x14ac:dyDescent="0.3">
      <c r="A304" s="3" t="s">
        <v>1119</v>
      </c>
      <c r="B304" s="3" t="s">
        <v>1120</v>
      </c>
      <c r="C304" s="5" t="s">
        <v>1121</v>
      </c>
      <c r="D304" s="10">
        <v>0.92</v>
      </c>
      <c r="E304" s="12">
        <v>0</v>
      </c>
      <c r="F304" s="11">
        <f t="shared" si="120"/>
        <v>0</v>
      </c>
      <c r="G304" s="8">
        <v>273676</v>
      </c>
      <c r="H304" s="11">
        <f t="shared" si="121"/>
        <v>251781.9</v>
      </c>
      <c r="I304" s="12">
        <v>0</v>
      </c>
      <c r="J304" s="11">
        <f t="shared" si="122"/>
        <v>0</v>
      </c>
      <c r="K304" s="12">
        <f t="shared" si="123"/>
        <v>273676</v>
      </c>
      <c r="L304" s="11">
        <f t="shared" si="123"/>
        <v>251781.9</v>
      </c>
      <c r="M304" s="3" t="s">
        <v>5</v>
      </c>
      <c r="N304" s="2" t="s">
        <v>1045</v>
      </c>
      <c r="O304" s="2" t="s">
        <v>1122</v>
      </c>
      <c r="P304" s="2" t="s">
        <v>996</v>
      </c>
      <c r="Q304" s="2" t="s">
        <v>996</v>
      </c>
      <c r="R304" s="2" t="s">
        <v>995</v>
      </c>
      <c r="V304" s="1">
        <v>1</v>
      </c>
      <c r="AV304" s="2" t="s">
        <v>5</v>
      </c>
      <c r="AW304" s="2" t="s">
        <v>1374</v>
      </c>
      <c r="AX304" s="2" t="s">
        <v>5</v>
      </c>
      <c r="AY304" s="2" t="s">
        <v>5</v>
      </c>
    </row>
    <row r="305" spans="1:51" ht="30" customHeight="1" x14ac:dyDescent="0.3">
      <c r="A305" s="3" t="s">
        <v>1124</v>
      </c>
      <c r="B305" s="3" t="s">
        <v>1125</v>
      </c>
      <c r="C305" s="5" t="s">
        <v>340</v>
      </c>
      <c r="D305" s="10">
        <v>1</v>
      </c>
      <c r="E305" s="12">
        <f>TRUNC(SUMIF(V297:V305, RIGHTB(O305, 1), H297:H305)*U305, 2)</f>
        <v>7553.45</v>
      </c>
      <c r="F305" s="11">
        <f t="shared" si="120"/>
        <v>7553.4</v>
      </c>
      <c r="G305" s="12">
        <v>0</v>
      </c>
      <c r="H305" s="11">
        <f t="shared" si="121"/>
        <v>0</v>
      </c>
      <c r="I305" s="12">
        <v>0</v>
      </c>
      <c r="J305" s="11">
        <f t="shared" si="122"/>
        <v>0</v>
      </c>
      <c r="K305" s="12">
        <f t="shared" si="123"/>
        <v>7553.4</v>
      </c>
      <c r="L305" s="11">
        <f t="shared" si="123"/>
        <v>7553.4</v>
      </c>
      <c r="M305" s="3" t="s">
        <v>5</v>
      </c>
      <c r="N305" s="2" t="s">
        <v>1045</v>
      </c>
      <c r="O305" s="2" t="s">
        <v>1126</v>
      </c>
      <c r="P305" s="2" t="s">
        <v>996</v>
      </c>
      <c r="Q305" s="2" t="s">
        <v>996</v>
      </c>
      <c r="R305" s="2" t="s">
        <v>996</v>
      </c>
      <c r="S305" s="1">
        <v>1</v>
      </c>
      <c r="T305" s="1">
        <v>0</v>
      </c>
      <c r="U305" s="1">
        <v>0.03</v>
      </c>
      <c r="AV305" s="2" t="s">
        <v>5</v>
      </c>
      <c r="AW305" s="2" t="s">
        <v>1375</v>
      </c>
      <c r="AX305" s="2" t="s">
        <v>5</v>
      </c>
      <c r="AY305" s="2" t="s">
        <v>5</v>
      </c>
    </row>
    <row r="306" spans="1:51" ht="30" customHeight="1" x14ac:dyDescent="0.3">
      <c r="A306" s="3" t="s">
        <v>1128</v>
      </c>
      <c r="B306" s="3" t="s">
        <v>5</v>
      </c>
      <c r="C306" s="5" t="s">
        <v>5</v>
      </c>
      <c r="D306" s="10"/>
      <c r="E306" s="12"/>
      <c r="F306" s="11">
        <f>TRUNC(SUMIF(N297:N305, N296, F297:F305),0)</f>
        <v>48379</v>
      </c>
      <c r="G306" s="12"/>
      <c r="H306" s="11">
        <f>TRUNC(SUMIF(N297:N305, N296, H297:H305),0)</f>
        <v>251781</v>
      </c>
      <c r="I306" s="12"/>
      <c r="J306" s="11">
        <f>TRUNC(SUMIF(N297:N305, N296, J297:J305),0)</f>
        <v>0</v>
      </c>
      <c r="K306" s="12"/>
      <c r="L306" s="11">
        <f>F306+H306+J306</f>
        <v>300160</v>
      </c>
      <c r="M306" s="3" t="s">
        <v>5</v>
      </c>
      <c r="N306" s="2" t="s">
        <v>1053</v>
      </c>
      <c r="O306" s="2" t="s">
        <v>1053</v>
      </c>
      <c r="P306" s="2" t="s">
        <v>5</v>
      </c>
      <c r="Q306" s="2" t="s">
        <v>5</v>
      </c>
      <c r="R306" s="2" t="s">
        <v>5</v>
      </c>
      <c r="AV306" s="2" t="s">
        <v>5</v>
      </c>
      <c r="AW306" s="2" t="s">
        <v>5</v>
      </c>
      <c r="AX306" s="2" t="s">
        <v>5</v>
      </c>
      <c r="AY306" s="2" t="s">
        <v>5</v>
      </c>
    </row>
    <row r="307" spans="1:51" ht="30" customHeight="1" x14ac:dyDescent="0.3">
      <c r="A307" s="10"/>
      <c r="B307" s="10"/>
      <c r="C307" s="9"/>
      <c r="D307" s="10"/>
      <c r="E307" s="12"/>
      <c r="F307" s="11"/>
      <c r="G307" s="12"/>
      <c r="H307" s="11"/>
      <c r="I307" s="12"/>
      <c r="J307" s="11"/>
      <c r="K307" s="12"/>
      <c r="L307" s="11"/>
      <c r="M307" s="10"/>
    </row>
    <row r="308" spans="1:51" ht="30" customHeight="1" x14ac:dyDescent="0.3">
      <c r="A308" s="216" t="s">
        <v>1376</v>
      </c>
      <c r="B308" s="216"/>
      <c r="C308" s="216"/>
      <c r="D308" s="216"/>
      <c r="E308" s="217"/>
      <c r="F308" s="218"/>
      <c r="G308" s="217"/>
      <c r="H308" s="218"/>
      <c r="I308" s="217"/>
      <c r="J308" s="218"/>
      <c r="K308" s="217"/>
      <c r="L308" s="218"/>
      <c r="M308" s="216"/>
      <c r="N308" s="2" t="s">
        <v>1046</v>
      </c>
    </row>
    <row r="309" spans="1:51" ht="30" customHeight="1" x14ac:dyDescent="0.3">
      <c r="A309" s="3" t="s">
        <v>1341</v>
      </c>
      <c r="B309" s="3" t="s">
        <v>1342</v>
      </c>
      <c r="C309" s="5" t="s">
        <v>1343</v>
      </c>
      <c r="D309" s="10">
        <v>1.73</v>
      </c>
      <c r="E309" s="12">
        <v>1159</v>
      </c>
      <c r="F309" s="11">
        <f t="shared" ref="F309:F317" si="124">TRUNC(E309*D309,1)</f>
        <v>2005</v>
      </c>
      <c r="G309" s="12">
        <v>0</v>
      </c>
      <c r="H309" s="11">
        <f t="shared" ref="H309:H317" si="125">TRUNC(G309*D309,1)</f>
        <v>0</v>
      </c>
      <c r="I309" s="12">
        <v>0</v>
      </c>
      <c r="J309" s="11">
        <f t="shared" ref="J309:J317" si="126">TRUNC(I309*D309,1)</f>
        <v>0</v>
      </c>
      <c r="K309" s="12">
        <f t="shared" ref="K309:L317" si="127">TRUNC(E309+G309+I309,1)</f>
        <v>1159</v>
      </c>
      <c r="L309" s="11">
        <f t="shared" si="127"/>
        <v>2005</v>
      </c>
      <c r="M309" s="3" t="s">
        <v>5</v>
      </c>
      <c r="N309" s="2" t="s">
        <v>1046</v>
      </c>
      <c r="O309" s="2" t="s">
        <v>1344</v>
      </c>
      <c r="P309" s="2" t="s">
        <v>996</v>
      </c>
      <c r="Q309" s="2" t="s">
        <v>996</v>
      </c>
      <c r="R309" s="2" t="s">
        <v>995</v>
      </c>
      <c r="AV309" s="2" t="s">
        <v>5</v>
      </c>
      <c r="AW309" s="2" t="s">
        <v>1377</v>
      </c>
      <c r="AX309" s="2" t="s">
        <v>5</v>
      </c>
      <c r="AY309" s="2" t="s">
        <v>5</v>
      </c>
    </row>
    <row r="310" spans="1:51" ht="30" customHeight="1" x14ac:dyDescent="0.3">
      <c r="A310" s="3" t="s">
        <v>168</v>
      </c>
      <c r="B310" s="3" t="s">
        <v>1207</v>
      </c>
      <c r="C310" s="5" t="s">
        <v>14</v>
      </c>
      <c r="D310" s="10">
        <v>3.1110000000000002</v>
      </c>
      <c r="E310" s="199">
        <v>6176</v>
      </c>
      <c r="F310" s="11">
        <f t="shared" si="124"/>
        <v>19213.5</v>
      </c>
      <c r="G310" s="12">
        <v>0</v>
      </c>
      <c r="H310" s="11">
        <f t="shared" si="125"/>
        <v>0</v>
      </c>
      <c r="I310" s="12">
        <v>0</v>
      </c>
      <c r="J310" s="11">
        <f t="shared" si="126"/>
        <v>0</v>
      </c>
      <c r="K310" s="12">
        <f t="shared" si="127"/>
        <v>6176</v>
      </c>
      <c r="L310" s="11">
        <f t="shared" si="127"/>
        <v>19213.5</v>
      </c>
      <c r="M310" s="3" t="s">
        <v>5</v>
      </c>
      <c r="N310" s="2" t="s">
        <v>1046</v>
      </c>
      <c r="O310" s="2" t="s">
        <v>1208</v>
      </c>
      <c r="P310" s="2" t="s">
        <v>996</v>
      </c>
      <c r="Q310" s="2" t="s">
        <v>996</v>
      </c>
      <c r="R310" s="2" t="s">
        <v>995</v>
      </c>
      <c r="AV310" s="2" t="s">
        <v>5</v>
      </c>
      <c r="AW310" s="2" t="s">
        <v>1378</v>
      </c>
      <c r="AX310" s="2" t="s">
        <v>5</v>
      </c>
      <c r="AY310" s="2" t="s">
        <v>5</v>
      </c>
    </row>
    <row r="311" spans="1:51" ht="30" customHeight="1" x14ac:dyDescent="0.3">
      <c r="A311" s="3" t="s">
        <v>1347</v>
      </c>
      <c r="B311" s="3" t="s">
        <v>1348</v>
      </c>
      <c r="C311" s="5" t="s">
        <v>1343</v>
      </c>
      <c r="D311" s="10">
        <v>5</v>
      </c>
      <c r="E311" s="12">
        <v>1111</v>
      </c>
      <c r="F311" s="11">
        <f t="shared" si="124"/>
        <v>5555</v>
      </c>
      <c r="G311" s="12">
        <v>0</v>
      </c>
      <c r="H311" s="11">
        <f t="shared" si="125"/>
        <v>0</v>
      </c>
      <c r="I311" s="12">
        <v>0</v>
      </c>
      <c r="J311" s="11">
        <f t="shared" si="126"/>
        <v>0</v>
      </c>
      <c r="K311" s="12">
        <f t="shared" si="127"/>
        <v>1111</v>
      </c>
      <c r="L311" s="11">
        <f t="shared" si="127"/>
        <v>5555</v>
      </c>
      <c r="M311" s="3" t="s">
        <v>5</v>
      </c>
      <c r="N311" s="2" t="s">
        <v>1046</v>
      </c>
      <c r="O311" s="2" t="s">
        <v>1349</v>
      </c>
      <c r="P311" s="2" t="s">
        <v>996</v>
      </c>
      <c r="Q311" s="2" t="s">
        <v>996</v>
      </c>
      <c r="R311" s="2" t="s">
        <v>995</v>
      </c>
      <c r="AV311" s="2" t="s">
        <v>5</v>
      </c>
      <c r="AW311" s="2" t="s">
        <v>1379</v>
      </c>
      <c r="AX311" s="2" t="s">
        <v>5</v>
      </c>
      <c r="AY311" s="2" t="s">
        <v>5</v>
      </c>
    </row>
    <row r="312" spans="1:51" ht="30" customHeight="1" x14ac:dyDescent="0.3">
      <c r="A312" s="3" t="s">
        <v>178</v>
      </c>
      <c r="B312" s="3" t="s">
        <v>1351</v>
      </c>
      <c r="C312" s="5" t="s">
        <v>12</v>
      </c>
      <c r="D312" s="10">
        <v>4</v>
      </c>
      <c r="E312" s="12">
        <v>3440</v>
      </c>
      <c r="F312" s="11">
        <f t="shared" si="124"/>
        <v>13760</v>
      </c>
      <c r="G312" s="12">
        <v>0</v>
      </c>
      <c r="H312" s="11">
        <f t="shared" si="125"/>
        <v>0</v>
      </c>
      <c r="I312" s="12">
        <v>0</v>
      </c>
      <c r="J312" s="11">
        <f t="shared" si="126"/>
        <v>0</v>
      </c>
      <c r="K312" s="12">
        <f t="shared" si="127"/>
        <v>3440</v>
      </c>
      <c r="L312" s="11">
        <f t="shared" si="127"/>
        <v>13760</v>
      </c>
      <c r="M312" s="3" t="s">
        <v>5</v>
      </c>
      <c r="N312" s="2" t="s">
        <v>1046</v>
      </c>
      <c r="O312" s="2" t="s">
        <v>1352</v>
      </c>
      <c r="P312" s="2" t="s">
        <v>996</v>
      </c>
      <c r="Q312" s="2" t="s">
        <v>996</v>
      </c>
      <c r="R312" s="2" t="s">
        <v>995</v>
      </c>
      <c r="AV312" s="2" t="s">
        <v>5</v>
      </c>
      <c r="AW312" s="2" t="s">
        <v>1380</v>
      </c>
      <c r="AX312" s="2" t="s">
        <v>5</v>
      </c>
      <c r="AY312" s="2" t="s">
        <v>5</v>
      </c>
    </row>
    <row r="313" spans="1:51" ht="30" customHeight="1" x14ac:dyDescent="0.3">
      <c r="A313" s="3" t="s">
        <v>1354</v>
      </c>
      <c r="B313" s="3" t="s">
        <v>1355</v>
      </c>
      <c r="C313" s="5" t="s">
        <v>12</v>
      </c>
      <c r="D313" s="10">
        <v>2</v>
      </c>
      <c r="E313" s="12">
        <v>56</v>
      </c>
      <c r="F313" s="11">
        <f t="shared" si="124"/>
        <v>112</v>
      </c>
      <c r="G313" s="12">
        <v>0</v>
      </c>
      <c r="H313" s="11">
        <f t="shared" si="125"/>
        <v>0</v>
      </c>
      <c r="I313" s="12">
        <v>0</v>
      </c>
      <c r="J313" s="11">
        <f t="shared" si="126"/>
        <v>0</v>
      </c>
      <c r="K313" s="12">
        <f t="shared" si="127"/>
        <v>56</v>
      </c>
      <c r="L313" s="11">
        <f t="shared" si="127"/>
        <v>112</v>
      </c>
      <c r="M313" s="3" t="s">
        <v>5</v>
      </c>
      <c r="N313" s="2" t="s">
        <v>1046</v>
      </c>
      <c r="O313" s="2" t="s">
        <v>1356</v>
      </c>
      <c r="P313" s="2" t="s">
        <v>996</v>
      </c>
      <c r="Q313" s="2" t="s">
        <v>996</v>
      </c>
      <c r="R313" s="2" t="s">
        <v>995</v>
      </c>
      <c r="AV313" s="2" t="s">
        <v>5</v>
      </c>
      <c r="AW313" s="2" t="s">
        <v>1381</v>
      </c>
      <c r="AX313" s="2" t="s">
        <v>5</v>
      </c>
      <c r="AY313" s="2" t="s">
        <v>5</v>
      </c>
    </row>
    <row r="314" spans="1:51" ht="30" customHeight="1" x14ac:dyDescent="0.3">
      <c r="A314" s="3" t="s">
        <v>174</v>
      </c>
      <c r="B314" s="3" t="s">
        <v>175</v>
      </c>
      <c r="C314" s="5" t="s">
        <v>12</v>
      </c>
      <c r="D314" s="10">
        <v>2</v>
      </c>
      <c r="E314" s="199">
        <v>21</v>
      </c>
      <c r="F314" s="11">
        <f t="shared" si="124"/>
        <v>42</v>
      </c>
      <c r="G314" s="12">
        <v>0</v>
      </c>
      <c r="H314" s="11">
        <f t="shared" si="125"/>
        <v>0</v>
      </c>
      <c r="I314" s="12">
        <v>0</v>
      </c>
      <c r="J314" s="11">
        <f t="shared" si="126"/>
        <v>0</v>
      </c>
      <c r="K314" s="12">
        <f t="shared" si="127"/>
        <v>21</v>
      </c>
      <c r="L314" s="11">
        <f t="shared" si="127"/>
        <v>42</v>
      </c>
      <c r="M314" s="3" t="s">
        <v>5</v>
      </c>
      <c r="N314" s="2" t="s">
        <v>1046</v>
      </c>
      <c r="O314" s="2" t="s">
        <v>1111</v>
      </c>
      <c r="P314" s="2" t="s">
        <v>996</v>
      </c>
      <c r="Q314" s="2" t="s">
        <v>996</v>
      </c>
      <c r="R314" s="2" t="s">
        <v>995</v>
      </c>
      <c r="AV314" s="2" t="s">
        <v>5</v>
      </c>
      <c r="AW314" s="2" t="s">
        <v>1382</v>
      </c>
      <c r="AX314" s="2" t="s">
        <v>5</v>
      </c>
      <c r="AY314" s="2" t="s">
        <v>5</v>
      </c>
    </row>
    <row r="315" spans="1:51" ht="30" customHeight="1" x14ac:dyDescent="0.3">
      <c r="A315" s="3" t="s">
        <v>333</v>
      </c>
      <c r="B315" s="3" t="s">
        <v>1383</v>
      </c>
      <c r="C315" s="5" t="s">
        <v>12</v>
      </c>
      <c r="D315" s="10">
        <v>1</v>
      </c>
      <c r="E315" s="12">
        <v>165</v>
      </c>
      <c r="F315" s="11">
        <f t="shared" si="124"/>
        <v>165</v>
      </c>
      <c r="G315" s="12">
        <v>0</v>
      </c>
      <c r="H315" s="11">
        <f t="shared" si="125"/>
        <v>0</v>
      </c>
      <c r="I315" s="12">
        <v>0</v>
      </c>
      <c r="J315" s="11">
        <f t="shared" si="126"/>
        <v>0</v>
      </c>
      <c r="K315" s="12">
        <f t="shared" si="127"/>
        <v>165</v>
      </c>
      <c r="L315" s="11">
        <f t="shared" si="127"/>
        <v>165</v>
      </c>
      <c r="M315" s="3" t="s">
        <v>5</v>
      </c>
      <c r="N315" s="2" t="s">
        <v>1046</v>
      </c>
      <c r="O315" s="2" t="s">
        <v>1384</v>
      </c>
      <c r="P315" s="2" t="s">
        <v>996</v>
      </c>
      <c r="Q315" s="2" t="s">
        <v>996</v>
      </c>
      <c r="R315" s="2" t="s">
        <v>995</v>
      </c>
      <c r="AV315" s="2" t="s">
        <v>5</v>
      </c>
      <c r="AW315" s="2" t="s">
        <v>1385</v>
      </c>
      <c r="AX315" s="2" t="s">
        <v>5</v>
      </c>
      <c r="AY315" s="2" t="s">
        <v>5</v>
      </c>
    </row>
    <row r="316" spans="1:51" ht="30" customHeight="1" x14ac:dyDescent="0.3">
      <c r="A316" s="3" t="s">
        <v>1119</v>
      </c>
      <c r="B316" s="3" t="s">
        <v>1120</v>
      </c>
      <c r="C316" s="5" t="s">
        <v>1121</v>
      </c>
      <c r="D316" s="10">
        <v>0.92</v>
      </c>
      <c r="E316" s="12">
        <v>0</v>
      </c>
      <c r="F316" s="11">
        <f t="shared" si="124"/>
        <v>0</v>
      </c>
      <c r="G316" s="8">
        <v>273676</v>
      </c>
      <c r="H316" s="11">
        <f t="shared" si="125"/>
        <v>251781.9</v>
      </c>
      <c r="I316" s="12">
        <v>0</v>
      </c>
      <c r="J316" s="11">
        <f t="shared" si="126"/>
        <v>0</v>
      </c>
      <c r="K316" s="12">
        <f t="shared" si="127"/>
        <v>273676</v>
      </c>
      <c r="L316" s="11">
        <f t="shared" si="127"/>
        <v>251781.9</v>
      </c>
      <c r="M316" s="3" t="s">
        <v>5</v>
      </c>
      <c r="N316" s="2" t="s">
        <v>1046</v>
      </c>
      <c r="O316" s="2" t="s">
        <v>1122</v>
      </c>
      <c r="P316" s="2" t="s">
        <v>996</v>
      </c>
      <c r="Q316" s="2" t="s">
        <v>996</v>
      </c>
      <c r="R316" s="2" t="s">
        <v>995</v>
      </c>
      <c r="V316" s="1">
        <v>1</v>
      </c>
      <c r="AV316" s="2" t="s">
        <v>5</v>
      </c>
      <c r="AW316" s="2" t="s">
        <v>1386</v>
      </c>
      <c r="AX316" s="2" t="s">
        <v>5</v>
      </c>
      <c r="AY316" s="2" t="s">
        <v>5</v>
      </c>
    </row>
    <row r="317" spans="1:51" ht="30" customHeight="1" x14ac:dyDescent="0.3">
      <c r="A317" s="3" t="s">
        <v>1124</v>
      </c>
      <c r="B317" s="3" t="s">
        <v>1125</v>
      </c>
      <c r="C317" s="5" t="s">
        <v>340</v>
      </c>
      <c r="D317" s="10">
        <v>1</v>
      </c>
      <c r="E317" s="12">
        <f>TRUNC(SUMIF(V309:V317, RIGHTB(O317, 1), H309:H317)*U317, 2)</f>
        <v>7553.45</v>
      </c>
      <c r="F317" s="11">
        <f t="shared" si="124"/>
        <v>7553.4</v>
      </c>
      <c r="G317" s="12">
        <v>0</v>
      </c>
      <c r="H317" s="11">
        <f t="shared" si="125"/>
        <v>0</v>
      </c>
      <c r="I317" s="12">
        <v>0</v>
      </c>
      <c r="J317" s="11">
        <f t="shared" si="126"/>
        <v>0</v>
      </c>
      <c r="K317" s="12">
        <f t="shared" si="127"/>
        <v>7553.4</v>
      </c>
      <c r="L317" s="11">
        <f t="shared" si="127"/>
        <v>7553.4</v>
      </c>
      <c r="M317" s="3" t="s">
        <v>5</v>
      </c>
      <c r="N317" s="2" t="s">
        <v>1046</v>
      </c>
      <c r="O317" s="2" t="s">
        <v>1126</v>
      </c>
      <c r="P317" s="2" t="s">
        <v>996</v>
      </c>
      <c r="Q317" s="2" t="s">
        <v>996</v>
      </c>
      <c r="R317" s="2" t="s">
        <v>996</v>
      </c>
      <c r="S317" s="1">
        <v>1</v>
      </c>
      <c r="T317" s="1">
        <v>0</v>
      </c>
      <c r="U317" s="1">
        <v>0.03</v>
      </c>
      <c r="AV317" s="2" t="s">
        <v>5</v>
      </c>
      <c r="AW317" s="2" t="s">
        <v>1387</v>
      </c>
      <c r="AX317" s="2" t="s">
        <v>5</v>
      </c>
      <c r="AY317" s="2" t="s">
        <v>5</v>
      </c>
    </row>
    <row r="318" spans="1:51" ht="30" customHeight="1" x14ac:dyDescent="0.3">
      <c r="A318" s="3" t="s">
        <v>1128</v>
      </c>
      <c r="B318" s="3" t="s">
        <v>5</v>
      </c>
      <c r="C318" s="5" t="s">
        <v>5</v>
      </c>
      <c r="D318" s="10"/>
      <c r="E318" s="12"/>
      <c r="F318" s="11">
        <f>TRUNC(SUMIF(N309:N317, N308, F309:F317),0)</f>
        <v>48405</v>
      </c>
      <c r="G318" s="12"/>
      <c r="H318" s="11">
        <f>TRUNC(SUMIF(N309:N317, N308, H309:H317),0)</f>
        <v>251781</v>
      </c>
      <c r="I318" s="12"/>
      <c r="J318" s="11">
        <f>TRUNC(SUMIF(N309:N317, N308, J309:J317),0)</f>
        <v>0</v>
      </c>
      <c r="K318" s="12"/>
      <c r="L318" s="11">
        <f>F318+H318+J318</f>
        <v>300186</v>
      </c>
      <c r="M318" s="3" t="s">
        <v>5</v>
      </c>
      <c r="N318" s="2" t="s">
        <v>1053</v>
      </c>
      <c r="O318" s="2" t="s">
        <v>1053</v>
      </c>
      <c r="P318" s="2" t="s">
        <v>5</v>
      </c>
      <c r="Q318" s="2" t="s">
        <v>5</v>
      </c>
      <c r="R318" s="2" t="s">
        <v>5</v>
      </c>
      <c r="AV318" s="2" t="s">
        <v>5</v>
      </c>
      <c r="AW318" s="2" t="s">
        <v>5</v>
      </c>
      <c r="AX318" s="2" t="s">
        <v>5</v>
      </c>
      <c r="AY318" s="2" t="s">
        <v>5</v>
      </c>
    </row>
    <row r="319" spans="1:51" ht="30" customHeight="1" x14ac:dyDescent="0.3">
      <c r="A319" s="10"/>
      <c r="B319" s="10"/>
      <c r="C319" s="9"/>
      <c r="D319" s="10"/>
      <c r="E319" s="12"/>
      <c r="F319" s="11"/>
      <c r="G319" s="12"/>
      <c r="H319" s="11"/>
      <c r="I319" s="12"/>
      <c r="J319" s="11"/>
      <c r="K319" s="12"/>
      <c r="L319" s="11"/>
      <c r="M319" s="10"/>
    </row>
    <row r="320" spans="1:51" ht="30" customHeight="1" x14ac:dyDescent="0.3">
      <c r="A320" s="216" t="s">
        <v>1388</v>
      </c>
      <c r="B320" s="216"/>
      <c r="C320" s="216"/>
      <c r="D320" s="216"/>
      <c r="E320" s="217"/>
      <c r="F320" s="218"/>
      <c r="G320" s="217"/>
      <c r="H320" s="218"/>
      <c r="I320" s="217"/>
      <c r="J320" s="218"/>
      <c r="K320" s="217"/>
      <c r="L320" s="218"/>
      <c r="M320" s="216"/>
      <c r="N320" s="2" t="s">
        <v>1047</v>
      </c>
    </row>
    <row r="321" spans="1:51" ht="30" customHeight="1" x14ac:dyDescent="0.3">
      <c r="A321" s="3" t="s">
        <v>1341</v>
      </c>
      <c r="B321" s="3" t="s">
        <v>1342</v>
      </c>
      <c r="C321" s="5" t="s">
        <v>1343</v>
      </c>
      <c r="D321" s="10">
        <v>1.73</v>
      </c>
      <c r="E321" s="12">
        <v>1159</v>
      </c>
      <c r="F321" s="11">
        <f t="shared" ref="F321:F329" si="128">TRUNC(E321*D321,1)</f>
        <v>2005</v>
      </c>
      <c r="G321" s="12">
        <v>0</v>
      </c>
      <c r="H321" s="11">
        <f t="shared" ref="H321:H329" si="129">TRUNC(G321*D321,1)</f>
        <v>0</v>
      </c>
      <c r="I321" s="12">
        <v>0</v>
      </c>
      <c r="J321" s="11">
        <f t="shared" ref="J321:J329" si="130">TRUNC(I321*D321,1)</f>
        <v>0</v>
      </c>
      <c r="K321" s="12">
        <f t="shared" ref="K321:L329" si="131">TRUNC(E321+G321+I321,1)</f>
        <v>1159</v>
      </c>
      <c r="L321" s="11">
        <f t="shared" si="131"/>
        <v>2005</v>
      </c>
      <c r="M321" s="3" t="s">
        <v>5</v>
      </c>
      <c r="N321" s="2" t="s">
        <v>1047</v>
      </c>
      <c r="O321" s="2" t="s">
        <v>1344</v>
      </c>
      <c r="P321" s="2" t="s">
        <v>996</v>
      </c>
      <c r="Q321" s="2" t="s">
        <v>996</v>
      </c>
      <c r="R321" s="2" t="s">
        <v>995</v>
      </c>
      <c r="AV321" s="2" t="s">
        <v>5</v>
      </c>
      <c r="AW321" s="2" t="s">
        <v>1389</v>
      </c>
      <c r="AX321" s="2" t="s">
        <v>5</v>
      </c>
      <c r="AY321" s="2" t="s">
        <v>5</v>
      </c>
    </row>
    <row r="322" spans="1:51" ht="30" customHeight="1" x14ac:dyDescent="0.3">
      <c r="A322" s="3" t="s">
        <v>168</v>
      </c>
      <c r="B322" s="3" t="s">
        <v>1207</v>
      </c>
      <c r="C322" s="5" t="s">
        <v>14</v>
      </c>
      <c r="D322" s="10">
        <v>3.1110000000000002</v>
      </c>
      <c r="E322" s="199">
        <v>6176</v>
      </c>
      <c r="F322" s="11">
        <f t="shared" si="128"/>
        <v>19213.5</v>
      </c>
      <c r="G322" s="12">
        <v>0</v>
      </c>
      <c r="H322" s="11">
        <f t="shared" si="129"/>
        <v>0</v>
      </c>
      <c r="I322" s="12">
        <v>0</v>
      </c>
      <c r="J322" s="11">
        <f t="shared" si="130"/>
        <v>0</v>
      </c>
      <c r="K322" s="12">
        <f t="shared" si="131"/>
        <v>6176</v>
      </c>
      <c r="L322" s="11">
        <f t="shared" si="131"/>
        <v>19213.5</v>
      </c>
      <c r="M322" s="3" t="s">
        <v>5</v>
      </c>
      <c r="N322" s="2" t="s">
        <v>1047</v>
      </c>
      <c r="O322" s="2" t="s">
        <v>1208</v>
      </c>
      <c r="P322" s="2" t="s">
        <v>996</v>
      </c>
      <c r="Q322" s="2" t="s">
        <v>996</v>
      </c>
      <c r="R322" s="2" t="s">
        <v>995</v>
      </c>
      <c r="AV322" s="2" t="s">
        <v>5</v>
      </c>
      <c r="AW322" s="2" t="s">
        <v>1390</v>
      </c>
      <c r="AX322" s="2" t="s">
        <v>5</v>
      </c>
      <c r="AY322" s="2" t="s">
        <v>5</v>
      </c>
    </row>
    <row r="323" spans="1:51" ht="30" customHeight="1" x14ac:dyDescent="0.3">
      <c r="A323" s="3" t="s">
        <v>1347</v>
      </c>
      <c r="B323" s="3" t="s">
        <v>1348</v>
      </c>
      <c r="C323" s="5" t="s">
        <v>1343</v>
      </c>
      <c r="D323" s="10">
        <v>5</v>
      </c>
      <c r="E323" s="12">
        <v>1111</v>
      </c>
      <c r="F323" s="11">
        <f t="shared" si="128"/>
        <v>5555</v>
      </c>
      <c r="G323" s="12">
        <v>0</v>
      </c>
      <c r="H323" s="11">
        <f t="shared" si="129"/>
        <v>0</v>
      </c>
      <c r="I323" s="12">
        <v>0</v>
      </c>
      <c r="J323" s="11">
        <f t="shared" si="130"/>
        <v>0</v>
      </c>
      <c r="K323" s="12">
        <f t="shared" si="131"/>
        <v>1111</v>
      </c>
      <c r="L323" s="11">
        <f t="shared" si="131"/>
        <v>5555</v>
      </c>
      <c r="M323" s="3" t="s">
        <v>5</v>
      </c>
      <c r="N323" s="2" t="s">
        <v>1047</v>
      </c>
      <c r="O323" s="2" t="s">
        <v>1349</v>
      </c>
      <c r="P323" s="2" t="s">
        <v>996</v>
      </c>
      <c r="Q323" s="2" t="s">
        <v>996</v>
      </c>
      <c r="R323" s="2" t="s">
        <v>995</v>
      </c>
      <c r="AV323" s="2" t="s">
        <v>5</v>
      </c>
      <c r="AW323" s="2" t="s">
        <v>1391</v>
      </c>
      <c r="AX323" s="2" t="s">
        <v>5</v>
      </c>
      <c r="AY323" s="2" t="s">
        <v>5</v>
      </c>
    </row>
    <row r="324" spans="1:51" ht="30" customHeight="1" x14ac:dyDescent="0.3">
      <c r="A324" s="3" t="s">
        <v>178</v>
      </c>
      <c r="B324" s="3" t="s">
        <v>1351</v>
      </c>
      <c r="C324" s="5" t="s">
        <v>12</v>
      </c>
      <c r="D324" s="10">
        <v>4</v>
      </c>
      <c r="E324" s="12">
        <v>3440</v>
      </c>
      <c r="F324" s="11">
        <f t="shared" si="128"/>
        <v>13760</v>
      </c>
      <c r="G324" s="12">
        <v>0</v>
      </c>
      <c r="H324" s="11">
        <f t="shared" si="129"/>
        <v>0</v>
      </c>
      <c r="I324" s="12">
        <v>0</v>
      </c>
      <c r="J324" s="11">
        <f t="shared" si="130"/>
        <v>0</v>
      </c>
      <c r="K324" s="12">
        <f t="shared" si="131"/>
        <v>3440</v>
      </c>
      <c r="L324" s="11">
        <f t="shared" si="131"/>
        <v>13760</v>
      </c>
      <c r="M324" s="3" t="s">
        <v>5</v>
      </c>
      <c r="N324" s="2" t="s">
        <v>1047</v>
      </c>
      <c r="O324" s="2" t="s">
        <v>1352</v>
      </c>
      <c r="P324" s="2" t="s">
        <v>996</v>
      </c>
      <c r="Q324" s="2" t="s">
        <v>996</v>
      </c>
      <c r="R324" s="2" t="s">
        <v>995</v>
      </c>
      <c r="AV324" s="2" t="s">
        <v>5</v>
      </c>
      <c r="AW324" s="2" t="s">
        <v>1392</v>
      </c>
      <c r="AX324" s="2" t="s">
        <v>5</v>
      </c>
      <c r="AY324" s="2" t="s">
        <v>5</v>
      </c>
    </row>
    <row r="325" spans="1:51" ht="30" customHeight="1" x14ac:dyDescent="0.3">
      <c r="A325" s="3" t="s">
        <v>1354</v>
      </c>
      <c r="B325" s="3" t="s">
        <v>1355</v>
      </c>
      <c r="C325" s="5" t="s">
        <v>12</v>
      </c>
      <c r="D325" s="10">
        <v>2</v>
      </c>
      <c r="E325" s="12">
        <v>56</v>
      </c>
      <c r="F325" s="11">
        <f t="shared" si="128"/>
        <v>112</v>
      </c>
      <c r="G325" s="12">
        <v>0</v>
      </c>
      <c r="H325" s="11">
        <f t="shared" si="129"/>
        <v>0</v>
      </c>
      <c r="I325" s="12">
        <v>0</v>
      </c>
      <c r="J325" s="11">
        <f t="shared" si="130"/>
        <v>0</v>
      </c>
      <c r="K325" s="12">
        <f t="shared" si="131"/>
        <v>56</v>
      </c>
      <c r="L325" s="11">
        <f t="shared" si="131"/>
        <v>112</v>
      </c>
      <c r="M325" s="3" t="s">
        <v>5</v>
      </c>
      <c r="N325" s="2" t="s">
        <v>1047</v>
      </c>
      <c r="O325" s="2" t="s">
        <v>1356</v>
      </c>
      <c r="P325" s="2" t="s">
        <v>996</v>
      </c>
      <c r="Q325" s="2" t="s">
        <v>996</v>
      </c>
      <c r="R325" s="2" t="s">
        <v>995</v>
      </c>
      <c r="AV325" s="2" t="s">
        <v>5</v>
      </c>
      <c r="AW325" s="2" t="s">
        <v>1393</v>
      </c>
      <c r="AX325" s="2" t="s">
        <v>5</v>
      </c>
      <c r="AY325" s="2" t="s">
        <v>5</v>
      </c>
    </row>
    <row r="326" spans="1:51" ht="30" customHeight="1" x14ac:dyDescent="0.3">
      <c r="A326" s="3" t="s">
        <v>174</v>
      </c>
      <c r="B326" s="3" t="s">
        <v>175</v>
      </c>
      <c r="C326" s="5" t="s">
        <v>12</v>
      </c>
      <c r="D326" s="10">
        <v>2</v>
      </c>
      <c r="E326" s="199">
        <v>21</v>
      </c>
      <c r="F326" s="11">
        <f t="shared" si="128"/>
        <v>42</v>
      </c>
      <c r="G326" s="12">
        <v>0</v>
      </c>
      <c r="H326" s="11">
        <f t="shared" si="129"/>
        <v>0</v>
      </c>
      <c r="I326" s="12">
        <v>0</v>
      </c>
      <c r="J326" s="11">
        <f t="shared" si="130"/>
        <v>0</v>
      </c>
      <c r="K326" s="12">
        <f t="shared" si="131"/>
        <v>21</v>
      </c>
      <c r="L326" s="11">
        <f t="shared" si="131"/>
        <v>42</v>
      </c>
      <c r="M326" s="3" t="s">
        <v>5</v>
      </c>
      <c r="N326" s="2" t="s">
        <v>1047</v>
      </c>
      <c r="O326" s="2" t="s">
        <v>1111</v>
      </c>
      <c r="P326" s="2" t="s">
        <v>996</v>
      </c>
      <c r="Q326" s="2" t="s">
        <v>996</v>
      </c>
      <c r="R326" s="2" t="s">
        <v>995</v>
      </c>
      <c r="AV326" s="2" t="s">
        <v>5</v>
      </c>
      <c r="AW326" s="2" t="s">
        <v>1394</v>
      </c>
      <c r="AX326" s="2" t="s">
        <v>5</v>
      </c>
      <c r="AY326" s="2" t="s">
        <v>5</v>
      </c>
    </row>
    <row r="327" spans="1:51" ht="30" customHeight="1" x14ac:dyDescent="0.3">
      <c r="A327" s="3" t="s">
        <v>333</v>
      </c>
      <c r="B327" s="3" t="s">
        <v>1395</v>
      </c>
      <c r="C327" s="5" t="s">
        <v>12</v>
      </c>
      <c r="D327" s="10">
        <v>1</v>
      </c>
      <c r="E327" s="12">
        <v>211</v>
      </c>
      <c r="F327" s="11">
        <f t="shared" si="128"/>
        <v>211</v>
      </c>
      <c r="G327" s="12">
        <v>0</v>
      </c>
      <c r="H327" s="11">
        <f t="shared" si="129"/>
        <v>0</v>
      </c>
      <c r="I327" s="12">
        <v>0</v>
      </c>
      <c r="J327" s="11">
        <f t="shared" si="130"/>
        <v>0</v>
      </c>
      <c r="K327" s="12">
        <f t="shared" si="131"/>
        <v>211</v>
      </c>
      <c r="L327" s="11">
        <f t="shared" si="131"/>
        <v>211</v>
      </c>
      <c r="M327" s="3" t="s">
        <v>5</v>
      </c>
      <c r="N327" s="2" t="s">
        <v>1047</v>
      </c>
      <c r="O327" s="2" t="s">
        <v>1396</v>
      </c>
      <c r="P327" s="2" t="s">
        <v>996</v>
      </c>
      <c r="Q327" s="2" t="s">
        <v>996</v>
      </c>
      <c r="R327" s="2" t="s">
        <v>995</v>
      </c>
      <c r="AV327" s="2" t="s">
        <v>5</v>
      </c>
      <c r="AW327" s="2" t="s">
        <v>1397</v>
      </c>
      <c r="AX327" s="2" t="s">
        <v>5</v>
      </c>
      <c r="AY327" s="2" t="s">
        <v>5</v>
      </c>
    </row>
    <row r="328" spans="1:51" ht="30" customHeight="1" x14ac:dyDescent="0.3">
      <c r="A328" s="3" t="s">
        <v>1119</v>
      </c>
      <c r="B328" s="3" t="s">
        <v>1120</v>
      </c>
      <c r="C328" s="5" t="s">
        <v>1121</v>
      </c>
      <c r="D328" s="10">
        <v>0.92</v>
      </c>
      <c r="E328" s="12">
        <v>0</v>
      </c>
      <c r="F328" s="11">
        <f t="shared" si="128"/>
        <v>0</v>
      </c>
      <c r="G328" s="8">
        <v>273676</v>
      </c>
      <c r="H328" s="11">
        <f t="shared" si="129"/>
        <v>251781.9</v>
      </c>
      <c r="I328" s="12">
        <v>0</v>
      </c>
      <c r="J328" s="11">
        <f t="shared" si="130"/>
        <v>0</v>
      </c>
      <c r="K328" s="12">
        <f t="shared" si="131"/>
        <v>273676</v>
      </c>
      <c r="L328" s="11">
        <f t="shared" si="131"/>
        <v>251781.9</v>
      </c>
      <c r="M328" s="3" t="s">
        <v>5</v>
      </c>
      <c r="N328" s="2" t="s">
        <v>1047</v>
      </c>
      <c r="O328" s="2" t="s">
        <v>1122</v>
      </c>
      <c r="P328" s="2" t="s">
        <v>996</v>
      </c>
      <c r="Q328" s="2" t="s">
        <v>996</v>
      </c>
      <c r="R328" s="2" t="s">
        <v>995</v>
      </c>
      <c r="V328" s="1">
        <v>1</v>
      </c>
      <c r="AV328" s="2" t="s">
        <v>5</v>
      </c>
      <c r="AW328" s="2" t="s">
        <v>1398</v>
      </c>
      <c r="AX328" s="2" t="s">
        <v>5</v>
      </c>
      <c r="AY328" s="2" t="s">
        <v>5</v>
      </c>
    </row>
    <row r="329" spans="1:51" ht="30" customHeight="1" x14ac:dyDescent="0.3">
      <c r="A329" s="3" t="s">
        <v>1124</v>
      </c>
      <c r="B329" s="3" t="s">
        <v>1125</v>
      </c>
      <c r="C329" s="5" t="s">
        <v>340</v>
      </c>
      <c r="D329" s="10">
        <v>1</v>
      </c>
      <c r="E329" s="12">
        <f>TRUNC(SUMIF(V321:V329, RIGHTB(O329, 1), H321:H329)*U329, 2)</f>
        <v>7553.45</v>
      </c>
      <c r="F329" s="11">
        <f t="shared" si="128"/>
        <v>7553.4</v>
      </c>
      <c r="G329" s="12">
        <v>0</v>
      </c>
      <c r="H329" s="11">
        <f t="shared" si="129"/>
        <v>0</v>
      </c>
      <c r="I329" s="12">
        <v>0</v>
      </c>
      <c r="J329" s="11">
        <f t="shared" si="130"/>
        <v>0</v>
      </c>
      <c r="K329" s="12">
        <f t="shared" si="131"/>
        <v>7553.4</v>
      </c>
      <c r="L329" s="11">
        <f t="shared" si="131"/>
        <v>7553.4</v>
      </c>
      <c r="M329" s="3" t="s">
        <v>5</v>
      </c>
      <c r="N329" s="2" t="s">
        <v>1047</v>
      </c>
      <c r="O329" s="2" t="s">
        <v>1126</v>
      </c>
      <c r="P329" s="2" t="s">
        <v>996</v>
      </c>
      <c r="Q329" s="2" t="s">
        <v>996</v>
      </c>
      <c r="R329" s="2" t="s">
        <v>996</v>
      </c>
      <c r="S329" s="1">
        <v>1</v>
      </c>
      <c r="T329" s="1">
        <v>0</v>
      </c>
      <c r="U329" s="1">
        <v>0.03</v>
      </c>
      <c r="AV329" s="2" t="s">
        <v>5</v>
      </c>
      <c r="AW329" s="2" t="s">
        <v>1399</v>
      </c>
      <c r="AX329" s="2" t="s">
        <v>5</v>
      </c>
      <c r="AY329" s="2" t="s">
        <v>5</v>
      </c>
    </row>
    <row r="330" spans="1:51" ht="30" customHeight="1" x14ac:dyDescent="0.3">
      <c r="A330" s="3" t="s">
        <v>1128</v>
      </c>
      <c r="B330" s="3" t="s">
        <v>5</v>
      </c>
      <c r="C330" s="5" t="s">
        <v>5</v>
      </c>
      <c r="D330" s="10"/>
      <c r="E330" s="12"/>
      <c r="F330" s="11">
        <f>TRUNC(SUMIF(N321:N329, N320, F321:F329),0)</f>
        <v>48451</v>
      </c>
      <c r="G330" s="12"/>
      <c r="H330" s="11">
        <f>TRUNC(SUMIF(N321:N329, N320, H321:H329),0)</f>
        <v>251781</v>
      </c>
      <c r="I330" s="12"/>
      <c r="J330" s="11">
        <f>TRUNC(SUMIF(N321:N329, N320, J321:J329),0)</f>
        <v>0</v>
      </c>
      <c r="K330" s="12"/>
      <c r="L330" s="11">
        <f>F330+H330+J330</f>
        <v>300232</v>
      </c>
      <c r="M330" s="3" t="s">
        <v>5</v>
      </c>
      <c r="N330" s="2" t="s">
        <v>1053</v>
      </c>
      <c r="O330" s="2" t="s">
        <v>1053</v>
      </c>
      <c r="P330" s="2" t="s">
        <v>5</v>
      </c>
      <c r="Q330" s="2" t="s">
        <v>5</v>
      </c>
      <c r="R330" s="2" t="s">
        <v>5</v>
      </c>
      <c r="AV330" s="2" t="s">
        <v>5</v>
      </c>
      <c r="AW330" s="2" t="s">
        <v>5</v>
      </c>
      <c r="AX330" s="2" t="s">
        <v>5</v>
      </c>
      <c r="AY330" s="2" t="s">
        <v>5</v>
      </c>
    </row>
    <row r="331" spans="1:51" ht="30" customHeight="1" x14ac:dyDescent="0.3">
      <c r="A331" s="10"/>
      <c r="B331" s="10"/>
      <c r="C331" s="9"/>
      <c r="D331" s="10"/>
      <c r="E331" s="12"/>
      <c r="F331" s="11"/>
      <c r="G331" s="12"/>
      <c r="H331" s="11"/>
      <c r="I331" s="12"/>
      <c r="J331" s="11"/>
      <c r="K331" s="12"/>
      <c r="L331" s="11"/>
      <c r="M331" s="10"/>
    </row>
    <row r="332" spans="1:51" ht="30" customHeight="1" x14ac:dyDescent="0.3">
      <c r="A332" s="216" t="s">
        <v>1400</v>
      </c>
      <c r="B332" s="216"/>
      <c r="C332" s="216"/>
      <c r="D332" s="216"/>
      <c r="E332" s="217"/>
      <c r="F332" s="218"/>
      <c r="G332" s="217"/>
      <c r="H332" s="218"/>
      <c r="I332" s="217"/>
      <c r="J332" s="218"/>
      <c r="K332" s="217"/>
      <c r="L332" s="218"/>
      <c r="M332" s="216"/>
      <c r="N332" s="2" t="s">
        <v>1048</v>
      </c>
    </row>
    <row r="333" spans="1:51" ht="30" customHeight="1" x14ac:dyDescent="0.3">
      <c r="A333" s="3" t="s">
        <v>1341</v>
      </c>
      <c r="B333" s="3" t="s">
        <v>1342</v>
      </c>
      <c r="C333" s="5" t="s">
        <v>1343</v>
      </c>
      <c r="D333" s="10">
        <v>1.73</v>
      </c>
      <c r="E333" s="12">
        <v>1159</v>
      </c>
      <c r="F333" s="11">
        <f t="shared" ref="F333:F341" si="132">TRUNC(E333*D333,1)</f>
        <v>2005</v>
      </c>
      <c r="G333" s="12">
        <v>0</v>
      </c>
      <c r="H333" s="11">
        <f t="shared" ref="H333:H341" si="133">TRUNC(G333*D333,1)</f>
        <v>0</v>
      </c>
      <c r="I333" s="12">
        <v>0</v>
      </c>
      <c r="J333" s="11">
        <f t="shared" ref="J333:J341" si="134">TRUNC(I333*D333,1)</f>
        <v>0</v>
      </c>
      <c r="K333" s="12">
        <f t="shared" ref="K333:L341" si="135">TRUNC(E333+G333+I333,1)</f>
        <v>1159</v>
      </c>
      <c r="L333" s="11">
        <f t="shared" si="135"/>
        <v>2005</v>
      </c>
      <c r="M333" s="3" t="s">
        <v>5</v>
      </c>
      <c r="N333" s="2" t="s">
        <v>1048</v>
      </c>
      <c r="O333" s="2" t="s">
        <v>1344</v>
      </c>
      <c r="P333" s="2" t="s">
        <v>996</v>
      </c>
      <c r="Q333" s="2" t="s">
        <v>996</v>
      </c>
      <c r="R333" s="2" t="s">
        <v>995</v>
      </c>
      <c r="AV333" s="2" t="s">
        <v>5</v>
      </c>
      <c r="AW333" s="2" t="s">
        <v>1401</v>
      </c>
      <c r="AX333" s="2" t="s">
        <v>5</v>
      </c>
      <c r="AY333" s="2" t="s">
        <v>5</v>
      </c>
    </row>
    <row r="334" spans="1:51" ht="30" customHeight="1" x14ac:dyDescent="0.3">
      <c r="A334" s="3" t="s">
        <v>168</v>
      </c>
      <c r="B334" s="3" t="s">
        <v>1207</v>
      </c>
      <c r="C334" s="5" t="s">
        <v>14</v>
      </c>
      <c r="D334" s="10">
        <v>3.1110000000000002</v>
      </c>
      <c r="E334" s="199">
        <v>6176</v>
      </c>
      <c r="F334" s="11">
        <f t="shared" si="132"/>
        <v>19213.5</v>
      </c>
      <c r="G334" s="12">
        <v>0</v>
      </c>
      <c r="H334" s="11">
        <f t="shared" si="133"/>
        <v>0</v>
      </c>
      <c r="I334" s="12">
        <v>0</v>
      </c>
      <c r="J334" s="11">
        <f t="shared" si="134"/>
        <v>0</v>
      </c>
      <c r="K334" s="12">
        <f t="shared" si="135"/>
        <v>6176</v>
      </c>
      <c r="L334" s="11">
        <f t="shared" si="135"/>
        <v>19213.5</v>
      </c>
      <c r="M334" s="3" t="s">
        <v>5</v>
      </c>
      <c r="N334" s="2" t="s">
        <v>1048</v>
      </c>
      <c r="O334" s="2" t="s">
        <v>1208</v>
      </c>
      <c r="P334" s="2" t="s">
        <v>996</v>
      </c>
      <c r="Q334" s="2" t="s">
        <v>996</v>
      </c>
      <c r="R334" s="2" t="s">
        <v>995</v>
      </c>
      <c r="AV334" s="2" t="s">
        <v>5</v>
      </c>
      <c r="AW334" s="2" t="s">
        <v>1402</v>
      </c>
      <c r="AX334" s="2" t="s">
        <v>5</v>
      </c>
      <c r="AY334" s="2" t="s">
        <v>5</v>
      </c>
    </row>
    <row r="335" spans="1:51" ht="30" customHeight="1" x14ac:dyDescent="0.3">
      <c r="A335" s="3" t="s">
        <v>1347</v>
      </c>
      <c r="B335" s="3" t="s">
        <v>1348</v>
      </c>
      <c r="C335" s="5" t="s">
        <v>1343</v>
      </c>
      <c r="D335" s="10">
        <v>5</v>
      </c>
      <c r="E335" s="12">
        <v>1111</v>
      </c>
      <c r="F335" s="11">
        <f t="shared" si="132"/>
        <v>5555</v>
      </c>
      <c r="G335" s="12">
        <v>0</v>
      </c>
      <c r="H335" s="11">
        <f t="shared" si="133"/>
        <v>0</v>
      </c>
      <c r="I335" s="12">
        <v>0</v>
      </c>
      <c r="J335" s="11">
        <f t="shared" si="134"/>
        <v>0</v>
      </c>
      <c r="K335" s="12">
        <f t="shared" si="135"/>
        <v>1111</v>
      </c>
      <c r="L335" s="11">
        <f t="shared" si="135"/>
        <v>5555</v>
      </c>
      <c r="M335" s="3" t="s">
        <v>5</v>
      </c>
      <c r="N335" s="2" t="s">
        <v>1048</v>
      </c>
      <c r="O335" s="2" t="s">
        <v>1349</v>
      </c>
      <c r="P335" s="2" t="s">
        <v>996</v>
      </c>
      <c r="Q335" s="2" t="s">
        <v>996</v>
      </c>
      <c r="R335" s="2" t="s">
        <v>995</v>
      </c>
      <c r="AV335" s="2" t="s">
        <v>5</v>
      </c>
      <c r="AW335" s="2" t="s">
        <v>1403</v>
      </c>
      <c r="AX335" s="2" t="s">
        <v>5</v>
      </c>
      <c r="AY335" s="2" t="s">
        <v>5</v>
      </c>
    </row>
    <row r="336" spans="1:51" ht="30" customHeight="1" x14ac:dyDescent="0.3">
      <c r="A336" s="3" t="s">
        <v>178</v>
      </c>
      <c r="B336" s="3" t="s">
        <v>1351</v>
      </c>
      <c r="C336" s="5" t="s">
        <v>12</v>
      </c>
      <c r="D336" s="10">
        <v>4</v>
      </c>
      <c r="E336" s="12">
        <v>3440</v>
      </c>
      <c r="F336" s="11">
        <f t="shared" si="132"/>
        <v>13760</v>
      </c>
      <c r="G336" s="12">
        <v>0</v>
      </c>
      <c r="H336" s="11">
        <f t="shared" si="133"/>
        <v>0</v>
      </c>
      <c r="I336" s="12">
        <v>0</v>
      </c>
      <c r="J336" s="11">
        <f t="shared" si="134"/>
        <v>0</v>
      </c>
      <c r="K336" s="12">
        <f t="shared" si="135"/>
        <v>3440</v>
      </c>
      <c r="L336" s="11">
        <f t="shared" si="135"/>
        <v>13760</v>
      </c>
      <c r="M336" s="3" t="s">
        <v>5</v>
      </c>
      <c r="N336" s="2" t="s">
        <v>1048</v>
      </c>
      <c r="O336" s="2" t="s">
        <v>1352</v>
      </c>
      <c r="P336" s="2" t="s">
        <v>996</v>
      </c>
      <c r="Q336" s="2" t="s">
        <v>996</v>
      </c>
      <c r="R336" s="2" t="s">
        <v>995</v>
      </c>
      <c r="AV336" s="2" t="s">
        <v>5</v>
      </c>
      <c r="AW336" s="2" t="s">
        <v>1404</v>
      </c>
      <c r="AX336" s="2" t="s">
        <v>5</v>
      </c>
      <c r="AY336" s="2" t="s">
        <v>5</v>
      </c>
    </row>
    <row r="337" spans="1:51" ht="30" customHeight="1" x14ac:dyDescent="0.3">
      <c r="A337" s="3" t="s">
        <v>1354</v>
      </c>
      <c r="B337" s="3" t="s">
        <v>1355</v>
      </c>
      <c r="C337" s="5" t="s">
        <v>12</v>
      </c>
      <c r="D337" s="10">
        <v>2</v>
      </c>
      <c r="E337" s="12">
        <v>56</v>
      </c>
      <c r="F337" s="11">
        <f t="shared" si="132"/>
        <v>112</v>
      </c>
      <c r="G337" s="12">
        <v>0</v>
      </c>
      <c r="H337" s="11">
        <f t="shared" si="133"/>
        <v>0</v>
      </c>
      <c r="I337" s="12">
        <v>0</v>
      </c>
      <c r="J337" s="11">
        <f t="shared" si="134"/>
        <v>0</v>
      </c>
      <c r="K337" s="12">
        <f t="shared" si="135"/>
        <v>56</v>
      </c>
      <c r="L337" s="11">
        <f t="shared" si="135"/>
        <v>112</v>
      </c>
      <c r="M337" s="3" t="s">
        <v>5</v>
      </c>
      <c r="N337" s="2" t="s">
        <v>1048</v>
      </c>
      <c r="O337" s="2" t="s">
        <v>1356</v>
      </c>
      <c r="P337" s="2" t="s">
        <v>996</v>
      </c>
      <c r="Q337" s="2" t="s">
        <v>996</v>
      </c>
      <c r="R337" s="2" t="s">
        <v>995</v>
      </c>
      <c r="AV337" s="2" t="s">
        <v>5</v>
      </c>
      <c r="AW337" s="2" t="s">
        <v>1405</v>
      </c>
      <c r="AX337" s="2" t="s">
        <v>5</v>
      </c>
      <c r="AY337" s="2" t="s">
        <v>5</v>
      </c>
    </row>
    <row r="338" spans="1:51" ht="30" customHeight="1" x14ac:dyDescent="0.3">
      <c r="A338" s="3" t="s">
        <v>174</v>
      </c>
      <c r="B338" s="3" t="s">
        <v>175</v>
      </c>
      <c r="C338" s="5" t="s">
        <v>12</v>
      </c>
      <c r="D338" s="10">
        <v>2</v>
      </c>
      <c r="E338" s="199">
        <v>21</v>
      </c>
      <c r="F338" s="11">
        <f t="shared" si="132"/>
        <v>42</v>
      </c>
      <c r="G338" s="12">
        <v>0</v>
      </c>
      <c r="H338" s="11">
        <f t="shared" si="133"/>
        <v>0</v>
      </c>
      <c r="I338" s="12">
        <v>0</v>
      </c>
      <c r="J338" s="11">
        <f t="shared" si="134"/>
        <v>0</v>
      </c>
      <c r="K338" s="12">
        <f t="shared" si="135"/>
        <v>21</v>
      </c>
      <c r="L338" s="11">
        <f t="shared" si="135"/>
        <v>42</v>
      </c>
      <c r="M338" s="3" t="s">
        <v>5</v>
      </c>
      <c r="N338" s="2" t="s">
        <v>1048</v>
      </c>
      <c r="O338" s="2" t="s">
        <v>1111</v>
      </c>
      <c r="P338" s="2" t="s">
        <v>996</v>
      </c>
      <c r="Q338" s="2" t="s">
        <v>996</v>
      </c>
      <c r="R338" s="2" t="s">
        <v>995</v>
      </c>
      <c r="AV338" s="2" t="s">
        <v>5</v>
      </c>
      <c r="AW338" s="2" t="s">
        <v>1406</v>
      </c>
      <c r="AX338" s="2" t="s">
        <v>5</v>
      </c>
      <c r="AY338" s="2" t="s">
        <v>5</v>
      </c>
    </row>
    <row r="339" spans="1:51" ht="30" customHeight="1" x14ac:dyDescent="0.3">
      <c r="A339" s="3" t="s">
        <v>333</v>
      </c>
      <c r="B339" s="3" t="s">
        <v>1407</v>
      </c>
      <c r="C339" s="5" t="s">
        <v>12</v>
      </c>
      <c r="D339" s="10">
        <v>1</v>
      </c>
      <c r="E339" s="12">
        <v>247</v>
      </c>
      <c r="F339" s="11">
        <f t="shared" si="132"/>
        <v>247</v>
      </c>
      <c r="G339" s="12">
        <v>0</v>
      </c>
      <c r="H339" s="11">
        <f t="shared" si="133"/>
        <v>0</v>
      </c>
      <c r="I339" s="12">
        <v>0</v>
      </c>
      <c r="J339" s="11">
        <f t="shared" si="134"/>
        <v>0</v>
      </c>
      <c r="K339" s="12">
        <f t="shared" si="135"/>
        <v>247</v>
      </c>
      <c r="L339" s="11">
        <f t="shared" si="135"/>
        <v>247</v>
      </c>
      <c r="M339" s="3" t="s">
        <v>5</v>
      </c>
      <c r="N339" s="2" t="s">
        <v>1048</v>
      </c>
      <c r="O339" s="2" t="s">
        <v>1408</v>
      </c>
      <c r="P339" s="2" t="s">
        <v>996</v>
      </c>
      <c r="Q339" s="2" t="s">
        <v>996</v>
      </c>
      <c r="R339" s="2" t="s">
        <v>995</v>
      </c>
      <c r="AV339" s="2" t="s">
        <v>5</v>
      </c>
      <c r="AW339" s="2" t="s">
        <v>1409</v>
      </c>
      <c r="AX339" s="2" t="s">
        <v>5</v>
      </c>
      <c r="AY339" s="2" t="s">
        <v>5</v>
      </c>
    </row>
    <row r="340" spans="1:51" ht="30" customHeight="1" x14ac:dyDescent="0.3">
      <c r="A340" s="3" t="s">
        <v>1119</v>
      </c>
      <c r="B340" s="3" t="s">
        <v>1120</v>
      </c>
      <c r="C340" s="5" t="s">
        <v>1121</v>
      </c>
      <c r="D340" s="10">
        <v>0.92</v>
      </c>
      <c r="E340" s="12">
        <v>0</v>
      </c>
      <c r="F340" s="11">
        <f t="shared" si="132"/>
        <v>0</v>
      </c>
      <c r="G340" s="8">
        <v>273676</v>
      </c>
      <c r="H340" s="11">
        <f t="shared" si="133"/>
        <v>251781.9</v>
      </c>
      <c r="I340" s="12">
        <v>0</v>
      </c>
      <c r="J340" s="11">
        <f t="shared" si="134"/>
        <v>0</v>
      </c>
      <c r="K340" s="12">
        <f t="shared" si="135"/>
        <v>273676</v>
      </c>
      <c r="L340" s="11">
        <f t="shared" si="135"/>
        <v>251781.9</v>
      </c>
      <c r="M340" s="3" t="s">
        <v>5</v>
      </c>
      <c r="N340" s="2" t="s">
        <v>1048</v>
      </c>
      <c r="O340" s="2" t="s">
        <v>1122</v>
      </c>
      <c r="P340" s="2" t="s">
        <v>996</v>
      </c>
      <c r="Q340" s="2" t="s">
        <v>996</v>
      </c>
      <c r="R340" s="2" t="s">
        <v>995</v>
      </c>
      <c r="V340" s="1">
        <v>1</v>
      </c>
      <c r="AV340" s="2" t="s">
        <v>5</v>
      </c>
      <c r="AW340" s="2" t="s">
        <v>1410</v>
      </c>
      <c r="AX340" s="2" t="s">
        <v>5</v>
      </c>
      <c r="AY340" s="2" t="s">
        <v>5</v>
      </c>
    </row>
    <row r="341" spans="1:51" ht="30" customHeight="1" x14ac:dyDescent="0.3">
      <c r="A341" s="3" t="s">
        <v>1124</v>
      </c>
      <c r="B341" s="3" t="s">
        <v>1125</v>
      </c>
      <c r="C341" s="5" t="s">
        <v>340</v>
      </c>
      <c r="D341" s="10">
        <v>1</v>
      </c>
      <c r="E341" s="12">
        <f>TRUNC(SUMIF(V333:V341, RIGHTB(O341, 1), H333:H341)*U341, 2)</f>
        <v>7553.45</v>
      </c>
      <c r="F341" s="11">
        <f t="shared" si="132"/>
        <v>7553.4</v>
      </c>
      <c r="G341" s="12">
        <v>0</v>
      </c>
      <c r="H341" s="11">
        <f t="shared" si="133"/>
        <v>0</v>
      </c>
      <c r="I341" s="12">
        <v>0</v>
      </c>
      <c r="J341" s="11">
        <f t="shared" si="134"/>
        <v>0</v>
      </c>
      <c r="K341" s="12">
        <f t="shared" si="135"/>
        <v>7553.4</v>
      </c>
      <c r="L341" s="11">
        <f t="shared" si="135"/>
        <v>7553.4</v>
      </c>
      <c r="M341" s="3" t="s">
        <v>5</v>
      </c>
      <c r="N341" s="2" t="s">
        <v>1048</v>
      </c>
      <c r="O341" s="2" t="s">
        <v>1126</v>
      </c>
      <c r="P341" s="2" t="s">
        <v>996</v>
      </c>
      <c r="Q341" s="2" t="s">
        <v>996</v>
      </c>
      <c r="R341" s="2" t="s">
        <v>996</v>
      </c>
      <c r="S341" s="1">
        <v>1</v>
      </c>
      <c r="T341" s="1">
        <v>0</v>
      </c>
      <c r="U341" s="1">
        <v>0.03</v>
      </c>
      <c r="AV341" s="2" t="s">
        <v>5</v>
      </c>
      <c r="AW341" s="2" t="s">
        <v>1411</v>
      </c>
      <c r="AX341" s="2" t="s">
        <v>5</v>
      </c>
      <c r="AY341" s="2" t="s">
        <v>5</v>
      </c>
    </row>
    <row r="342" spans="1:51" ht="30" customHeight="1" x14ac:dyDescent="0.3">
      <c r="A342" s="3" t="s">
        <v>1128</v>
      </c>
      <c r="B342" s="3" t="s">
        <v>5</v>
      </c>
      <c r="C342" s="5" t="s">
        <v>5</v>
      </c>
      <c r="D342" s="10"/>
      <c r="E342" s="12"/>
      <c r="F342" s="11">
        <f>TRUNC(SUMIF(N333:N341, N332, F333:F341),0)</f>
        <v>48487</v>
      </c>
      <c r="G342" s="12"/>
      <c r="H342" s="11">
        <f>TRUNC(SUMIF(N333:N341, N332, H333:H341),0)</f>
        <v>251781</v>
      </c>
      <c r="I342" s="12"/>
      <c r="J342" s="11">
        <f>TRUNC(SUMIF(N333:N341, N332, J333:J341),0)</f>
        <v>0</v>
      </c>
      <c r="K342" s="12"/>
      <c r="L342" s="11">
        <f>F342+H342+J342</f>
        <v>300268</v>
      </c>
      <c r="M342" s="3" t="s">
        <v>5</v>
      </c>
      <c r="N342" s="2" t="s">
        <v>1053</v>
      </c>
      <c r="O342" s="2" t="s">
        <v>1053</v>
      </c>
      <c r="P342" s="2" t="s">
        <v>5</v>
      </c>
      <c r="Q342" s="2" t="s">
        <v>5</v>
      </c>
      <c r="R342" s="2" t="s">
        <v>5</v>
      </c>
      <c r="AV342" s="2" t="s">
        <v>5</v>
      </c>
      <c r="AW342" s="2" t="s">
        <v>5</v>
      </c>
      <c r="AX342" s="2" t="s">
        <v>5</v>
      </c>
      <c r="AY342" s="2" t="s">
        <v>5</v>
      </c>
    </row>
    <row r="343" spans="1:51" ht="30" customHeight="1" x14ac:dyDescent="0.3">
      <c r="A343" s="10"/>
      <c r="B343" s="10"/>
      <c r="C343" s="9"/>
      <c r="D343" s="10"/>
      <c r="E343" s="12"/>
      <c r="F343" s="11"/>
      <c r="G343" s="12"/>
      <c r="H343" s="11"/>
      <c r="I343" s="12"/>
      <c r="J343" s="11"/>
      <c r="K343" s="12"/>
      <c r="L343" s="11"/>
      <c r="M343" s="10"/>
    </row>
    <row r="344" spans="1:51" ht="30" customHeight="1" x14ac:dyDescent="0.3">
      <c r="A344" s="216" t="s">
        <v>1412</v>
      </c>
      <c r="B344" s="216"/>
      <c r="C344" s="216"/>
      <c r="D344" s="216"/>
      <c r="E344" s="217"/>
      <c r="F344" s="218"/>
      <c r="G344" s="217"/>
      <c r="H344" s="218"/>
      <c r="I344" s="217"/>
      <c r="J344" s="218"/>
      <c r="K344" s="217"/>
      <c r="L344" s="218"/>
      <c r="M344" s="216"/>
      <c r="N344" s="2" t="s">
        <v>1049</v>
      </c>
    </row>
    <row r="345" spans="1:51" ht="30" customHeight="1" x14ac:dyDescent="0.3">
      <c r="A345" s="3" t="s">
        <v>1341</v>
      </c>
      <c r="B345" s="3" t="s">
        <v>1342</v>
      </c>
      <c r="C345" s="5" t="s">
        <v>1343</v>
      </c>
      <c r="D345" s="10">
        <v>1.73</v>
      </c>
      <c r="E345" s="12">
        <v>1159</v>
      </c>
      <c r="F345" s="11">
        <f t="shared" ref="F345:F353" si="136">TRUNC(E345*D345,1)</f>
        <v>2005</v>
      </c>
      <c r="G345" s="12">
        <v>0</v>
      </c>
      <c r="H345" s="11">
        <f t="shared" ref="H345:H353" si="137">TRUNC(G345*D345,1)</f>
        <v>0</v>
      </c>
      <c r="I345" s="12">
        <v>0</v>
      </c>
      <c r="J345" s="11">
        <f t="shared" ref="J345:J353" si="138">TRUNC(I345*D345,1)</f>
        <v>0</v>
      </c>
      <c r="K345" s="12">
        <f t="shared" ref="K345:L353" si="139">TRUNC(E345+G345+I345,1)</f>
        <v>1159</v>
      </c>
      <c r="L345" s="11">
        <f t="shared" si="139"/>
        <v>2005</v>
      </c>
      <c r="M345" s="3" t="s">
        <v>5</v>
      </c>
      <c r="N345" s="2" t="s">
        <v>1049</v>
      </c>
      <c r="O345" s="2" t="s">
        <v>1344</v>
      </c>
      <c r="P345" s="2" t="s">
        <v>996</v>
      </c>
      <c r="Q345" s="2" t="s">
        <v>996</v>
      </c>
      <c r="R345" s="2" t="s">
        <v>995</v>
      </c>
      <c r="AV345" s="2" t="s">
        <v>5</v>
      </c>
      <c r="AW345" s="2" t="s">
        <v>1413</v>
      </c>
      <c r="AX345" s="2" t="s">
        <v>5</v>
      </c>
      <c r="AY345" s="2" t="s">
        <v>5</v>
      </c>
    </row>
    <row r="346" spans="1:51" ht="30" customHeight="1" x14ac:dyDescent="0.3">
      <c r="A346" s="3" t="s">
        <v>168</v>
      </c>
      <c r="B346" s="3" t="s">
        <v>1207</v>
      </c>
      <c r="C346" s="5" t="s">
        <v>14</v>
      </c>
      <c r="D346" s="10">
        <v>3.1110000000000002</v>
      </c>
      <c r="E346" s="199">
        <v>6176</v>
      </c>
      <c r="F346" s="11">
        <f t="shared" si="136"/>
        <v>19213.5</v>
      </c>
      <c r="G346" s="12">
        <v>0</v>
      </c>
      <c r="H346" s="11">
        <f t="shared" si="137"/>
        <v>0</v>
      </c>
      <c r="I346" s="12">
        <v>0</v>
      </c>
      <c r="J346" s="11">
        <f t="shared" si="138"/>
        <v>0</v>
      </c>
      <c r="K346" s="12">
        <f t="shared" si="139"/>
        <v>6176</v>
      </c>
      <c r="L346" s="11">
        <f t="shared" si="139"/>
        <v>19213.5</v>
      </c>
      <c r="M346" s="3" t="s">
        <v>5</v>
      </c>
      <c r="N346" s="2" t="s">
        <v>1049</v>
      </c>
      <c r="O346" s="2" t="s">
        <v>1208</v>
      </c>
      <c r="P346" s="2" t="s">
        <v>996</v>
      </c>
      <c r="Q346" s="2" t="s">
        <v>996</v>
      </c>
      <c r="R346" s="2" t="s">
        <v>995</v>
      </c>
      <c r="AV346" s="2" t="s">
        <v>5</v>
      </c>
      <c r="AW346" s="2" t="s">
        <v>1414</v>
      </c>
      <c r="AX346" s="2" t="s">
        <v>5</v>
      </c>
      <c r="AY346" s="2" t="s">
        <v>5</v>
      </c>
    </row>
    <row r="347" spans="1:51" ht="30" customHeight="1" x14ac:dyDescent="0.3">
      <c r="A347" s="3" t="s">
        <v>1347</v>
      </c>
      <c r="B347" s="3" t="s">
        <v>1348</v>
      </c>
      <c r="C347" s="5" t="s">
        <v>1343</v>
      </c>
      <c r="D347" s="10">
        <v>5</v>
      </c>
      <c r="E347" s="12">
        <v>1111</v>
      </c>
      <c r="F347" s="11">
        <f t="shared" si="136"/>
        <v>5555</v>
      </c>
      <c r="G347" s="12">
        <v>0</v>
      </c>
      <c r="H347" s="11">
        <f t="shared" si="137"/>
        <v>0</v>
      </c>
      <c r="I347" s="12">
        <v>0</v>
      </c>
      <c r="J347" s="11">
        <f t="shared" si="138"/>
        <v>0</v>
      </c>
      <c r="K347" s="12">
        <f t="shared" si="139"/>
        <v>1111</v>
      </c>
      <c r="L347" s="11">
        <f t="shared" si="139"/>
        <v>5555</v>
      </c>
      <c r="M347" s="3" t="s">
        <v>5</v>
      </c>
      <c r="N347" s="2" t="s">
        <v>1049</v>
      </c>
      <c r="O347" s="2" t="s">
        <v>1349</v>
      </c>
      <c r="P347" s="2" t="s">
        <v>996</v>
      </c>
      <c r="Q347" s="2" t="s">
        <v>996</v>
      </c>
      <c r="R347" s="2" t="s">
        <v>995</v>
      </c>
      <c r="AV347" s="2" t="s">
        <v>5</v>
      </c>
      <c r="AW347" s="2" t="s">
        <v>1415</v>
      </c>
      <c r="AX347" s="2" t="s">
        <v>5</v>
      </c>
      <c r="AY347" s="2" t="s">
        <v>5</v>
      </c>
    </row>
    <row r="348" spans="1:51" ht="30" customHeight="1" x14ac:dyDescent="0.3">
      <c r="A348" s="3" t="s">
        <v>178</v>
      </c>
      <c r="B348" s="3" t="s">
        <v>1351</v>
      </c>
      <c r="C348" s="5" t="s">
        <v>12</v>
      </c>
      <c r="D348" s="10">
        <v>4</v>
      </c>
      <c r="E348" s="12">
        <v>3440</v>
      </c>
      <c r="F348" s="11">
        <f t="shared" si="136"/>
        <v>13760</v>
      </c>
      <c r="G348" s="12">
        <v>0</v>
      </c>
      <c r="H348" s="11">
        <f t="shared" si="137"/>
        <v>0</v>
      </c>
      <c r="I348" s="12">
        <v>0</v>
      </c>
      <c r="J348" s="11">
        <f t="shared" si="138"/>
        <v>0</v>
      </c>
      <c r="K348" s="12">
        <f t="shared" si="139"/>
        <v>3440</v>
      </c>
      <c r="L348" s="11">
        <f t="shared" si="139"/>
        <v>13760</v>
      </c>
      <c r="M348" s="3" t="s">
        <v>5</v>
      </c>
      <c r="N348" s="2" t="s">
        <v>1049</v>
      </c>
      <c r="O348" s="2" t="s">
        <v>1352</v>
      </c>
      <c r="P348" s="2" t="s">
        <v>996</v>
      </c>
      <c r="Q348" s="2" t="s">
        <v>996</v>
      </c>
      <c r="R348" s="2" t="s">
        <v>995</v>
      </c>
      <c r="AV348" s="2" t="s">
        <v>5</v>
      </c>
      <c r="AW348" s="2" t="s">
        <v>1416</v>
      </c>
      <c r="AX348" s="2" t="s">
        <v>5</v>
      </c>
      <c r="AY348" s="2" t="s">
        <v>5</v>
      </c>
    </row>
    <row r="349" spans="1:51" ht="30" customHeight="1" x14ac:dyDescent="0.3">
      <c r="A349" s="3" t="s">
        <v>1354</v>
      </c>
      <c r="B349" s="3" t="s">
        <v>1355</v>
      </c>
      <c r="C349" s="5" t="s">
        <v>12</v>
      </c>
      <c r="D349" s="10">
        <v>2</v>
      </c>
      <c r="E349" s="12">
        <v>56</v>
      </c>
      <c r="F349" s="11">
        <f t="shared" si="136"/>
        <v>112</v>
      </c>
      <c r="G349" s="12">
        <v>0</v>
      </c>
      <c r="H349" s="11">
        <f t="shared" si="137"/>
        <v>0</v>
      </c>
      <c r="I349" s="12">
        <v>0</v>
      </c>
      <c r="J349" s="11">
        <f t="shared" si="138"/>
        <v>0</v>
      </c>
      <c r="K349" s="12">
        <f t="shared" si="139"/>
        <v>56</v>
      </c>
      <c r="L349" s="11">
        <f t="shared" si="139"/>
        <v>112</v>
      </c>
      <c r="M349" s="3" t="s">
        <v>5</v>
      </c>
      <c r="N349" s="2" t="s">
        <v>1049</v>
      </c>
      <c r="O349" s="2" t="s">
        <v>1356</v>
      </c>
      <c r="P349" s="2" t="s">
        <v>996</v>
      </c>
      <c r="Q349" s="2" t="s">
        <v>996</v>
      </c>
      <c r="R349" s="2" t="s">
        <v>995</v>
      </c>
      <c r="AV349" s="2" t="s">
        <v>5</v>
      </c>
      <c r="AW349" s="2" t="s">
        <v>1417</v>
      </c>
      <c r="AX349" s="2" t="s">
        <v>5</v>
      </c>
      <c r="AY349" s="2" t="s">
        <v>5</v>
      </c>
    </row>
    <row r="350" spans="1:51" ht="30" customHeight="1" x14ac:dyDescent="0.3">
      <c r="A350" s="3" t="s">
        <v>174</v>
      </c>
      <c r="B350" s="3" t="s">
        <v>175</v>
      </c>
      <c r="C350" s="5" t="s">
        <v>12</v>
      </c>
      <c r="D350" s="10">
        <v>2</v>
      </c>
      <c r="E350" s="199">
        <v>21</v>
      </c>
      <c r="F350" s="11">
        <f t="shared" si="136"/>
        <v>42</v>
      </c>
      <c r="G350" s="12">
        <v>0</v>
      </c>
      <c r="H350" s="11">
        <f t="shared" si="137"/>
        <v>0</v>
      </c>
      <c r="I350" s="12">
        <v>0</v>
      </c>
      <c r="J350" s="11">
        <f t="shared" si="138"/>
        <v>0</v>
      </c>
      <c r="K350" s="12">
        <f t="shared" si="139"/>
        <v>21</v>
      </c>
      <c r="L350" s="11">
        <f t="shared" si="139"/>
        <v>42</v>
      </c>
      <c r="M350" s="3" t="s">
        <v>5</v>
      </c>
      <c r="N350" s="2" t="s">
        <v>1049</v>
      </c>
      <c r="O350" s="2" t="s">
        <v>1111</v>
      </c>
      <c r="P350" s="2" t="s">
        <v>996</v>
      </c>
      <c r="Q350" s="2" t="s">
        <v>996</v>
      </c>
      <c r="R350" s="2" t="s">
        <v>995</v>
      </c>
      <c r="AV350" s="2" t="s">
        <v>5</v>
      </c>
      <c r="AW350" s="2" t="s">
        <v>1418</v>
      </c>
      <c r="AX350" s="2" t="s">
        <v>5</v>
      </c>
      <c r="AY350" s="2" t="s">
        <v>5</v>
      </c>
    </row>
    <row r="351" spans="1:51" ht="30" customHeight="1" x14ac:dyDescent="0.3">
      <c r="A351" s="3" t="s">
        <v>333</v>
      </c>
      <c r="B351" s="3" t="s">
        <v>1419</v>
      </c>
      <c r="C351" s="5" t="s">
        <v>12</v>
      </c>
      <c r="D351" s="10">
        <v>1</v>
      </c>
      <c r="E351" s="12">
        <v>273</v>
      </c>
      <c r="F351" s="11">
        <f t="shared" si="136"/>
        <v>273</v>
      </c>
      <c r="G351" s="12">
        <v>0</v>
      </c>
      <c r="H351" s="11">
        <f t="shared" si="137"/>
        <v>0</v>
      </c>
      <c r="I351" s="12">
        <v>0</v>
      </c>
      <c r="J351" s="11">
        <f t="shared" si="138"/>
        <v>0</v>
      </c>
      <c r="K351" s="12">
        <f t="shared" si="139"/>
        <v>273</v>
      </c>
      <c r="L351" s="11">
        <f t="shared" si="139"/>
        <v>273</v>
      </c>
      <c r="M351" s="3" t="s">
        <v>5</v>
      </c>
      <c r="N351" s="2" t="s">
        <v>1049</v>
      </c>
      <c r="O351" s="2" t="s">
        <v>1420</v>
      </c>
      <c r="P351" s="2" t="s">
        <v>996</v>
      </c>
      <c r="Q351" s="2" t="s">
        <v>996</v>
      </c>
      <c r="R351" s="2" t="s">
        <v>995</v>
      </c>
      <c r="AV351" s="2" t="s">
        <v>5</v>
      </c>
      <c r="AW351" s="2" t="s">
        <v>1421</v>
      </c>
      <c r="AX351" s="2" t="s">
        <v>5</v>
      </c>
      <c r="AY351" s="2" t="s">
        <v>5</v>
      </c>
    </row>
    <row r="352" spans="1:51" ht="30" customHeight="1" x14ac:dyDescent="0.3">
      <c r="A352" s="3" t="s">
        <v>1119</v>
      </c>
      <c r="B352" s="3" t="s">
        <v>1120</v>
      </c>
      <c r="C352" s="5" t="s">
        <v>1121</v>
      </c>
      <c r="D352" s="10">
        <v>0.92</v>
      </c>
      <c r="E352" s="12">
        <v>0</v>
      </c>
      <c r="F352" s="11">
        <f t="shared" si="136"/>
        <v>0</v>
      </c>
      <c r="G352" s="8">
        <v>273676</v>
      </c>
      <c r="H352" s="11">
        <f t="shared" si="137"/>
        <v>251781.9</v>
      </c>
      <c r="I352" s="12">
        <v>0</v>
      </c>
      <c r="J352" s="11">
        <f t="shared" si="138"/>
        <v>0</v>
      </c>
      <c r="K352" s="12">
        <f t="shared" si="139"/>
        <v>273676</v>
      </c>
      <c r="L352" s="11">
        <f t="shared" si="139"/>
        <v>251781.9</v>
      </c>
      <c r="M352" s="3" t="s">
        <v>5</v>
      </c>
      <c r="N352" s="2" t="s">
        <v>1049</v>
      </c>
      <c r="O352" s="2" t="s">
        <v>1122</v>
      </c>
      <c r="P352" s="2" t="s">
        <v>996</v>
      </c>
      <c r="Q352" s="2" t="s">
        <v>996</v>
      </c>
      <c r="R352" s="2" t="s">
        <v>995</v>
      </c>
      <c r="V352" s="1">
        <v>1</v>
      </c>
      <c r="AV352" s="2" t="s">
        <v>5</v>
      </c>
      <c r="AW352" s="2" t="s">
        <v>1422</v>
      </c>
      <c r="AX352" s="2" t="s">
        <v>5</v>
      </c>
      <c r="AY352" s="2" t="s">
        <v>5</v>
      </c>
    </row>
    <row r="353" spans="1:51" ht="30" customHeight="1" x14ac:dyDescent="0.3">
      <c r="A353" s="3" t="s">
        <v>1124</v>
      </c>
      <c r="B353" s="3" t="s">
        <v>1125</v>
      </c>
      <c r="C353" s="5" t="s">
        <v>340</v>
      </c>
      <c r="D353" s="10">
        <v>1</v>
      </c>
      <c r="E353" s="12">
        <f>TRUNC(SUMIF(V345:V353, RIGHTB(O353, 1), H345:H353)*U353, 2)</f>
        <v>7553.45</v>
      </c>
      <c r="F353" s="11">
        <f t="shared" si="136"/>
        <v>7553.4</v>
      </c>
      <c r="G353" s="12">
        <v>0</v>
      </c>
      <c r="H353" s="11">
        <f t="shared" si="137"/>
        <v>0</v>
      </c>
      <c r="I353" s="12">
        <v>0</v>
      </c>
      <c r="J353" s="11">
        <f t="shared" si="138"/>
        <v>0</v>
      </c>
      <c r="K353" s="12">
        <f t="shared" si="139"/>
        <v>7553.4</v>
      </c>
      <c r="L353" s="11">
        <f t="shared" si="139"/>
        <v>7553.4</v>
      </c>
      <c r="M353" s="3" t="s">
        <v>5</v>
      </c>
      <c r="N353" s="2" t="s">
        <v>1049</v>
      </c>
      <c r="O353" s="2" t="s">
        <v>1126</v>
      </c>
      <c r="P353" s="2" t="s">
        <v>996</v>
      </c>
      <c r="Q353" s="2" t="s">
        <v>996</v>
      </c>
      <c r="R353" s="2" t="s">
        <v>996</v>
      </c>
      <c r="S353" s="1">
        <v>1</v>
      </c>
      <c r="T353" s="1">
        <v>0</v>
      </c>
      <c r="U353" s="1">
        <v>0.03</v>
      </c>
      <c r="AV353" s="2" t="s">
        <v>5</v>
      </c>
      <c r="AW353" s="2" t="s">
        <v>1423</v>
      </c>
      <c r="AX353" s="2" t="s">
        <v>5</v>
      </c>
      <c r="AY353" s="2" t="s">
        <v>5</v>
      </c>
    </row>
    <row r="354" spans="1:51" ht="30" customHeight="1" x14ac:dyDescent="0.3">
      <c r="A354" s="3" t="s">
        <v>1128</v>
      </c>
      <c r="B354" s="3" t="s">
        <v>5</v>
      </c>
      <c r="C354" s="5" t="s">
        <v>5</v>
      </c>
      <c r="D354" s="10"/>
      <c r="E354" s="12"/>
      <c r="F354" s="11">
        <f>TRUNC(SUMIF(N345:N353, N344, F345:F353),0)</f>
        <v>48513</v>
      </c>
      <c r="G354" s="12"/>
      <c r="H354" s="11">
        <f>TRUNC(SUMIF(N345:N353, N344, H345:H353),0)</f>
        <v>251781</v>
      </c>
      <c r="I354" s="12"/>
      <c r="J354" s="11">
        <f>TRUNC(SUMIF(N345:N353, N344, J345:J353),0)</f>
        <v>0</v>
      </c>
      <c r="K354" s="12"/>
      <c r="L354" s="11">
        <f>F354+H354+J354</f>
        <v>300294</v>
      </c>
      <c r="M354" s="3" t="s">
        <v>5</v>
      </c>
      <c r="N354" s="2" t="s">
        <v>1053</v>
      </c>
      <c r="O354" s="2" t="s">
        <v>1053</v>
      </c>
      <c r="P354" s="2" t="s">
        <v>5</v>
      </c>
      <c r="Q354" s="2" t="s">
        <v>5</v>
      </c>
      <c r="R354" s="2" t="s">
        <v>5</v>
      </c>
      <c r="AV354" s="2" t="s">
        <v>5</v>
      </c>
      <c r="AW354" s="2" t="s">
        <v>5</v>
      </c>
      <c r="AX354" s="2" t="s">
        <v>5</v>
      </c>
      <c r="AY354" s="2" t="s">
        <v>5</v>
      </c>
    </row>
    <row r="355" spans="1:51" ht="30" customHeight="1" x14ac:dyDescent="0.3">
      <c r="A355" s="10"/>
      <c r="B355" s="10"/>
      <c r="C355" s="9"/>
      <c r="D355" s="10"/>
      <c r="E355" s="12"/>
      <c r="F355" s="11"/>
      <c r="G355" s="12"/>
      <c r="H355" s="11"/>
      <c r="I355" s="12"/>
      <c r="J355" s="11"/>
      <c r="K355" s="12"/>
      <c r="L355" s="11"/>
      <c r="M355" s="10"/>
    </row>
    <row r="356" spans="1:51" ht="30" customHeight="1" x14ac:dyDescent="0.3">
      <c r="A356" s="216" t="s">
        <v>1424</v>
      </c>
      <c r="B356" s="216"/>
      <c r="C356" s="216"/>
      <c r="D356" s="216"/>
      <c r="E356" s="217"/>
      <c r="F356" s="218"/>
      <c r="G356" s="217"/>
      <c r="H356" s="218"/>
      <c r="I356" s="217"/>
      <c r="J356" s="218"/>
      <c r="K356" s="217"/>
      <c r="L356" s="218"/>
      <c r="M356" s="216"/>
      <c r="N356" s="2" t="s">
        <v>1050</v>
      </c>
    </row>
    <row r="357" spans="1:51" ht="30" customHeight="1" x14ac:dyDescent="0.3">
      <c r="A357" s="3" t="s">
        <v>1341</v>
      </c>
      <c r="B357" s="3" t="s">
        <v>1342</v>
      </c>
      <c r="C357" s="5" t="s">
        <v>1343</v>
      </c>
      <c r="D357" s="10">
        <v>1.73</v>
      </c>
      <c r="E357" s="12">
        <v>1159</v>
      </c>
      <c r="F357" s="11">
        <f t="shared" ref="F357:F365" si="140">TRUNC(E357*D357,1)</f>
        <v>2005</v>
      </c>
      <c r="G357" s="12">
        <v>0</v>
      </c>
      <c r="H357" s="11">
        <f t="shared" ref="H357:H365" si="141">TRUNC(G357*D357,1)</f>
        <v>0</v>
      </c>
      <c r="I357" s="12">
        <v>0</v>
      </c>
      <c r="J357" s="11">
        <f t="shared" ref="J357:J365" si="142">TRUNC(I357*D357,1)</f>
        <v>0</v>
      </c>
      <c r="K357" s="12">
        <f t="shared" ref="K357:L365" si="143">TRUNC(E357+G357+I357,1)</f>
        <v>1159</v>
      </c>
      <c r="L357" s="11">
        <f t="shared" si="143"/>
        <v>2005</v>
      </c>
      <c r="M357" s="3" t="s">
        <v>5</v>
      </c>
      <c r="N357" s="2" t="s">
        <v>1050</v>
      </c>
      <c r="O357" s="2" t="s">
        <v>1344</v>
      </c>
      <c r="P357" s="2" t="s">
        <v>996</v>
      </c>
      <c r="Q357" s="2" t="s">
        <v>996</v>
      </c>
      <c r="R357" s="2" t="s">
        <v>995</v>
      </c>
      <c r="AV357" s="2" t="s">
        <v>5</v>
      </c>
      <c r="AW357" s="2" t="s">
        <v>1425</v>
      </c>
      <c r="AX357" s="2" t="s">
        <v>5</v>
      </c>
      <c r="AY357" s="2" t="s">
        <v>5</v>
      </c>
    </row>
    <row r="358" spans="1:51" ht="30" customHeight="1" x14ac:dyDescent="0.3">
      <c r="A358" s="3" t="s">
        <v>168</v>
      </c>
      <c r="B358" s="3" t="s">
        <v>1207</v>
      </c>
      <c r="C358" s="5" t="s">
        <v>14</v>
      </c>
      <c r="D358" s="10">
        <v>3.1110000000000002</v>
      </c>
      <c r="E358" s="199">
        <v>6176</v>
      </c>
      <c r="F358" s="11">
        <f t="shared" si="140"/>
        <v>19213.5</v>
      </c>
      <c r="G358" s="12">
        <v>0</v>
      </c>
      <c r="H358" s="11">
        <f t="shared" si="141"/>
        <v>0</v>
      </c>
      <c r="I358" s="12">
        <v>0</v>
      </c>
      <c r="J358" s="11">
        <f t="shared" si="142"/>
        <v>0</v>
      </c>
      <c r="K358" s="12">
        <f t="shared" si="143"/>
        <v>6176</v>
      </c>
      <c r="L358" s="11">
        <f t="shared" si="143"/>
        <v>19213.5</v>
      </c>
      <c r="M358" s="3" t="s">
        <v>5</v>
      </c>
      <c r="N358" s="2" t="s">
        <v>1050</v>
      </c>
      <c r="O358" s="2" t="s">
        <v>1208</v>
      </c>
      <c r="P358" s="2" t="s">
        <v>996</v>
      </c>
      <c r="Q358" s="2" t="s">
        <v>996</v>
      </c>
      <c r="R358" s="2" t="s">
        <v>995</v>
      </c>
      <c r="AV358" s="2" t="s">
        <v>5</v>
      </c>
      <c r="AW358" s="2" t="s">
        <v>1426</v>
      </c>
      <c r="AX358" s="2" t="s">
        <v>5</v>
      </c>
      <c r="AY358" s="2" t="s">
        <v>5</v>
      </c>
    </row>
    <row r="359" spans="1:51" ht="30" customHeight="1" x14ac:dyDescent="0.3">
      <c r="A359" s="3" t="s">
        <v>1347</v>
      </c>
      <c r="B359" s="3" t="s">
        <v>1348</v>
      </c>
      <c r="C359" s="5" t="s">
        <v>1343</v>
      </c>
      <c r="D359" s="10">
        <v>5</v>
      </c>
      <c r="E359" s="12">
        <v>1111</v>
      </c>
      <c r="F359" s="11">
        <f t="shared" si="140"/>
        <v>5555</v>
      </c>
      <c r="G359" s="12">
        <v>0</v>
      </c>
      <c r="H359" s="11">
        <f t="shared" si="141"/>
        <v>0</v>
      </c>
      <c r="I359" s="12">
        <v>0</v>
      </c>
      <c r="J359" s="11">
        <f t="shared" si="142"/>
        <v>0</v>
      </c>
      <c r="K359" s="12">
        <f t="shared" si="143"/>
        <v>1111</v>
      </c>
      <c r="L359" s="11">
        <f t="shared" si="143"/>
        <v>5555</v>
      </c>
      <c r="M359" s="3" t="s">
        <v>5</v>
      </c>
      <c r="N359" s="2" t="s">
        <v>1050</v>
      </c>
      <c r="O359" s="2" t="s">
        <v>1349</v>
      </c>
      <c r="P359" s="2" t="s">
        <v>996</v>
      </c>
      <c r="Q359" s="2" t="s">
        <v>996</v>
      </c>
      <c r="R359" s="2" t="s">
        <v>995</v>
      </c>
      <c r="AV359" s="2" t="s">
        <v>5</v>
      </c>
      <c r="AW359" s="2" t="s">
        <v>1427</v>
      </c>
      <c r="AX359" s="2" t="s">
        <v>5</v>
      </c>
      <c r="AY359" s="2" t="s">
        <v>5</v>
      </c>
    </row>
    <row r="360" spans="1:51" ht="30" customHeight="1" x14ac:dyDescent="0.3">
      <c r="A360" s="3" t="s">
        <v>178</v>
      </c>
      <c r="B360" s="3" t="s">
        <v>1351</v>
      </c>
      <c r="C360" s="5" t="s">
        <v>12</v>
      </c>
      <c r="D360" s="10">
        <v>4</v>
      </c>
      <c r="E360" s="12">
        <v>3440</v>
      </c>
      <c r="F360" s="11">
        <f t="shared" si="140"/>
        <v>13760</v>
      </c>
      <c r="G360" s="12">
        <v>0</v>
      </c>
      <c r="H360" s="11">
        <f t="shared" si="141"/>
        <v>0</v>
      </c>
      <c r="I360" s="12">
        <v>0</v>
      </c>
      <c r="J360" s="11">
        <f t="shared" si="142"/>
        <v>0</v>
      </c>
      <c r="K360" s="12">
        <f t="shared" si="143"/>
        <v>3440</v>
      </c>
      <c r="L360" s="11">
        <f t="shared" si="143"/>
        <v>13760</v>
      </c>
      <c r="M360" s="3" t="s">
        <v>5</v>
      </c>
      <c r="N360" s="2" t="s">
        <v>1050</v>
      </c>
      <c r="O360" s="2" t="s">
        <v>1352</v>
      </c>
      <c r="P360" s="2" t="s">
        <v>996</v>
      </c>
      <c r="Q360" s="2" t="s">
        <v>996</v>
      </c>
      <c r="R360" s="2" t="s">
        <v>995</v>
      </c>
      <c r="AV360" s="2" t="s">
        <v>5</v>
      </c>
      <c r="AW360" s="2" t="s">
        <v>1428</v>
      </c>
      <c r="AX360" s="2" t="s">
        <v>5</v>
      </c>
      <c r="AY360" s="2" t="s">
        <v>5</v>
      </c>
    </row>
    <row r="361" spans="1:51" ht="30" customHeight="1" x14ac:dyDescent="0.3">
      <c r="A361" s="3" t="s">
        <v>1354</v>
      </c>
      <c r="B361" s="3" t="s">
        <v>1355</v>
      </c>
      <c r="C361" s="5" t="s">
        <v>12</v>
      </c>
      <c r="D361" s="10">
        <v>2</v>
      </c>
      <c r="E361" s="12">
        <v>56</v>
      </c>
      <c r="F361" s="11">
        <f t="shared" si="140"/>
        <v>112</v>
      </c>
      <c r="G361" s="12">
        <v>0</v>
      </c>
      <c r="H361" s="11">
        <f t="shared" si="141"/>
        <v>0</v>
      </c>
      <c r="I361" s="12">
        <v>0</v>
      </c>
      <c r="J361" s="11">
        <f t="shared" si="142"/>
        <v>0</v>
      </c>
      <c r="K361" s="12">
        <f t="shared" si="143"/>
        <v>56</v>
      </c>
      <c r="L361" s="11">
        <f t="shared" si="143"/>
        <v>112</v>
      </c>
      <c r="M361" s="3" t="s">
        <v>5</v>
      </c>
      <c r="N361" s="2" t="s">
        <v>1050</v>
      </c>
      <c r="O361" s="2" t="s">
        <v>1356</v>
      </c>
      <c r="P361" s="2" t="s">
        <v>996</v>
      </c>
      <c r="Q361" s="2" t="s">
        <v>996</v>
      </c>
      <c r="R361" s="2" t="s">
        <v>995</v>
      </c>
      <c r="AV361" s="2" t="s">
        <v>5</v>
      </c>
      <c r="AW361" s="2" t="s">
        <v>1429</v>
      </c>
      <c r="AX361" s="2" t="s">
        <v>5</v>
      </c>
      <c r="AY361" s="2" t="s">
        <v>5</v>
      </c>
    </row>
    <row r="362" spans="1:51" ht="30" customHeight="1" x14ac:dyDescent="0.3">
      <c r="A362" s="3" t="s">
        <v>174</v>
      </c>
      <c r="B362" s="3" t="s">
        <v>175</v>
      </c>
      <c r="C362" s="5" t="s">
        <v>12</v>
      </c>
      <c r="D362" s="10">
        <v>2</v>
      </c>
      <c r="E362" s="199">
        <v>21</v>
      </c>
      <c r="F362" s="11">
        <f t="shared" si="140"/>
        <v>42</v>
      </c>
      <c r="G362" s="12">
        <v>0</v>
      </c>
      <c r="H362" s="11">
        <f t="shared" si="141"/>
        <v>0</v>
      </c>
      <c r="I362" s="12">
        <v>0</v>
      </c>
      <c r="J362" s="11">
        <f t="shared" si="142"/>
        <v>0</v>
      </c>
      <c r="K362" s="12">
        <f t="shared" si="143"/>
        <v>21</v>
      </c>
      <c r="L362" s="11">
        <f t="shared" si="143"/>
        <v>42</v>
      </c>
      <c r="M362" s="3" t="s">
        <v>5</v>
      </c>
      <c r="N362" s="2" t="s">
        <v>1050</v>
      </c>
      <c r="O362" s="2" t="s">
        <v>1111</v>
      </c>
      <c r="P362" s="2" t="s">
        <v>996</v>
      </c>
      <c r="Q362" s="2" t="s">
        <v>996</v>
      </c>
      <c r="R362" s="2" t="s">
        <v>995</v>
      </c>
      <c r="AV362" s="2" t="s">
        <v>5</v>
      </c>
      <c r="AW362" s="2" t="s">
        <v>1430</v>
      </c>
      <c r="AX362" s="2" t="s">
        <v>5</v>
      </c>
      <c r="AY362" s="2" t="s">
        <v>5</v>
      </c>
    </row>
    <row r="363" spans="1:51" ht="30" customHeight="1" x14ac:dyDescent="0.3">
      <c r="A363" s="3" t="s">
        <v>333</v>
      </c>
      <c r="B363" s="3" t="s">
        <v>1431</v>
      </c>
      <c r="C363" s="5" t="s">
        <v>12</v>
      </c>
      <c r="D363" s="10">
        <v>1</v>
      </c>
      <c r="E363" s="12">
        <v>344</v>
      </c>
      <c r="F363" s="11">
        <f t="shared" si="140"/>
        <v>344</v>
      </c>
      <c r="G363" s="12">
        <v>0</v>
      </c>
      <c r="H363" s="11">
        <f t="shared" si="141"/>
        <v>0</v>
      </c>
      <c r="I363" s="12">
        <v>0</v>
      </c>
      <c r="J363" s="11">
        <f t="shared" si="142"/>
        <v>0</v>
      </c>
      <c r="K363" s="12">
        <f t="shared" si="143"/>
        <v>344</v>
      </c>
      <c r="L363" s="11">
        <f t="shared" si="143"/>
        <v>344</v>
      </c>
      <c r="M363" s="3" t="s">
        <v>5</v>
      </c>
      <c r="N363" s="2" t="s">
        <v>1050</v>
      </c>
      <c r="O363" s="2" t="s">
        <v>1432</v>
      </c>
      <c r="P363" s="2" t="s">
        <v>996</v>
      </c>
      <c r="Q363" s="2" t="s">
        <v>996</v>
      </c>
      <c r="R363" s="2" t="s">
        <v>995</v>
      </c>
      <c r="AV363" s="2" t="s">
        <v>5</v>
      </c>
      <c r="AW363" s="2" t="s">
        <v>1433</v>
      </c>
      <c r="AX363" s="2" t="s">
        <v>5</v>
      </c>
      <c r="AY363" s="2" t="s">
        <v>5</v>
      </c>
    </row>
    <row r="364" spans="1:51" ht="30" customHeight="1" x14ac:dyDescent="0.3">
      <c r="A364" s="3" t="s">
        <v>1119</v>
      </c>
      <c r="B364" s="3" t="s">
        <v>1120</v>
      </c>
      <c r="C364" s="5" t="s">
        <v>1121</v>
      </c>
      <c r="D364" s="10">
        <v>0.92</v>
      </c>
      <c r="E364" s="12">
        <v>0</v>
      </c>
      <c r="F364" s="11">
        <f t="shared" si="140"/>
        <v>0</v>
      </c>
      <c r="G364" s="8">
        <v>273676</v>
      </c>
      <c r="H364" s="11">
        <f t="shared" si="141"/>
        <v>251781.9</v>
      </c>
      <c r="I364" s="12">
        <v>0</v>
      </c>
      <c r="J364" s="11">
        <f t="shared" si="142"/>
        <v>0</v>
      </c>
      <c r="K364" s="12">
        <f t="shared" si="143"/>
        <v>273676</v>
      </c>
      <c r="L364" s="11">
        <f t="shared" si="143"/>
        <v>251781.9</v>
      </c>
      <c r="M364" s="3" t="s">
        <v>5</v>
      </c>
      <c r="N364" s="2" t="s">
        <v>1050</v>
      </c>
      <c r="O364" s="2" t="s">
        <v>1122</v>
      </c>
      <c r="P364" s="2" t="s">
        <v>996</v>
      </c>
      <c r="Q364" s="2" t="s">
        <v>996</v>
      </c>
      <c r="R364" s="2" t="s">
        <v>995</v>
      </c>
      <c r="V364" s="1">
        <v>1</v>
      </c>
      <c r="AV364" s="2" t="s">
        <v>5</v>
      </c>
      <c r="AW364" s="2" t="s">
        <v>1434</v>
      </c>
      <c r="AX364" s="2" t="s">
        <v>5</v>
      </c>
      <c r="AY364" s="2" t="s">
        <v>5</v>
      </c>
    </row>
    <row r="365" spans="1:51" ht="30" customHeight="1" x14ac:dyDescent="0.3">
      <c r="A365" s="3" t="s">
        <v>1124</v>
      </c>
      <c r="B365" s="3" t="s">
        <v>1125</v>
      </c>
      <c r="C365" s="5" t="s">
        <v>340</v>
      </c>
      <c r="D365" s="10">
        <v>1</v>
      </c>
      <c r="E365" s="12">
        <f>TRUNC(SUMIF(V357:V365, RIGHTB(O365, 1), H357:H365)*U365, 2)</f>
        <v>7553.45</v>
      </c>
      <c r="F365" s="11">
        <f t="shared" si="140"/>
        <v>7553.4</v>
      </c>
      <c r="G365" s="12">
        <v>0</v>
      </c>
      <c r="H365" s="11">
        <f t="shared" si="141"/>
        <v>0</v>
      </c>
      <c r="I365" s="12">
        <v>0</v>
      </c>
      <c r="J365" s="11">
        <f t="shared" si="142"/>
        <v>0</v>
      </c>
      <c r="K365" s="12">
        <f t="shared" si="143"/>
        <v>7553.4</v>
      </c>
      <c r="L365" s="11">
        <f t="shared" si="143"/>
        <v>7553.4</v>
      </c>
      <c r="M365" s="3" t="s">
        <v>5</v>
      </c>
      <c r="N365" s="2" t="s">
        <v>1050</v>
      </c>
      <c r="O365" s="2" t="s">
        <v>1126</v>
      </c>
      <c r="P365" s="2" t="s">
        <v>996</v>
      </c>
      <c r="Q365" s="2" t="s">
        <v>996</v>
      </c>
      <c r="R365" s="2" t="s">
        <v>996</v>
      </c>
      <c r="S365" s="1">
        <v>1</v>
      </c>
      <c r="T365" s="1">
        <v>0</v>
      </c>
      <c r="U365" s="1">
        <v>0.03</v>
      </c>
      <c r="AV365" s="2" t="s">
        <v>5</v>
      </c>
      <c r="AW365" s="2" t="s">
        <v>1435</v>
      </c>
      <c r="AX365" s="2" t="s">
        <v>5</v>
      </c>
      <c r="AY365" s="2" t="s">
        <v>5</v>
      </c>
    </row>
    <row r="366" spans="1:51" ht="30" customHeight="1" x14ac:dyDescent="0.3">
      <c r="A366" s="3" t="s">
        <v>1128</v>
      </c>
      <c r="B366" s="3" t="s">
        <v>5</v>
      </c>
      <c r="C366" s="5" t="s">
        <v>5</v>
      </c>
      <c r="D366" s="10"/>
      <c r="E366" s="12"/>
      <c r="F366" s="11">
        <f>TRUNC(SUMIF(N357:N365, N356, F357:F365),0)</f>
        <v>48584</v>
      </c>
      <c r="G366" s="12"/>
      <c r="H366" s="11">
        <f>TRUNC(SUMIF(N357:N365, N356, H357:H365),0)</f>
        <v>251781</v>
      </c>
      <c r="I366" s="12"/>
      <c r="J366" s="11">
        <f>TRUNC(SUMIF(N357:N365, N356, J357:J365),0)</f>
        <v>0</v>
      </c>
      <c r="K366" s="12"/>
      <c r="L366" s="11">
        <f>F366+H366+J366</f>
        <v>300365</v>
      </c>
      <c r="M366" s="3" t="s">
        <v>5</v>
      </c>
      <c r="N366" s="2" t="s">
        <v>1053</v>
      </c>
      <c r="O366" s="2" t="s">
        <v>1053</v>
      </c>
      <c r="P366" s="2" t="s">
        <v>5</v>
      </c>
      <c r="Q366" s="2" t="s">
        <v>5</v>
      </c>
      <c r="R366" s="2" t="s">
        <v>5</v>
      </c>
      <c r="AV366" s="2" t="s">
        <v>5</v>
      </c>
      <c r="AW366" s="2" t="s">
        <v>5</v>
      </c>
      <c r="AX366" s="2" t="s">
        <v>5</v>
      </c>
      <c r="AY366" s="2" t="s">
        <v>5</v>
      </c>
    </row>
    <row r="367" spans="1:51" ht="30" customHeight="1" x14ac:dyDescent="0.3">
      <c r="A367" s="10"/>
      <c r="B367" s="10"/>
      <c r="C367" s="9"/>
      <c r="D367" s="10"/>
      <c r="E367" s="12"/>
      <c r="F367" s="11"/>
      <c r="G367" s="12"/>
      <c r="H367" s="11"/>
      <c r="I367" s="12"/>
      <c r="J367" s="11"/>
      <c r="K367" s="12"/>
      <c r="L367" s="11"/>
      <c r="M367" s="10"/>
    </row>
    <row r="368" spans="1:51" ht="30" customHeight="1" x14ac:dyDescent="0.3">
      <c r="A368" s="216" t="s">
        <v>1436</v>
      </c>
      <c r="B368" s="216"/>
      <c r="C368" s="216"/>
      <c r="D368" s="216"/>
      <c r="E368" s="217"/>
      <c r="F368" s="218"/>
      <c r="G368" s="217"/>
      <c r="H368" s="218"/>
      <c r="I368" s="217"/>
      <c r="J368" s="218"/>
      <c r="K368" s="217"/>
      <c r="L368" s="218"/>
      <c r="M368" s="216"/>
      <c r="N368" s="2" t="s">
        <v>1051</v>
      </c>
    </row>
    <row r="369" spans="1:51" ht="30" customHeight="1" x14ac:dyDescent="0.3">
      <c r="A369" s="3" t="s">
        <v>1341</v>
      </c>
      <c r="B369" s="3" t="s">
        <v>1342</v>
      </c>
      <c r="C369" s="5" t="s">
        <v>1343</v>
      </c>
      <c r="D369" s="10">
        <v>1.73</v>
      </c>
      <c r="E369" s="12">
        <v>1159</v>
      </c>
      <c r="F369" s="11">
        <f t="shared" ref="F369:F377" si="144">TRUNC(E369*D369,1)</f>
        <v>2005</v>
      </c>
      <c r="G369" s="12">
        <v>0</v>
      </c>
      <c r="H369" s="11">
        <f t="shared" ref="H369:H377" si="145">TRUNC(G369*D369,1)</f>
        <v>0</v>
      </c>
      <c r="I369" s="12">
        <v>0</v>
      </c>
      <c r="J369" s="11">
        <f t="shared" ref="J369:J377" si="146">TRUNC(I369*D369,1)</f>
        <v>0</v>
      </c>
      <c r="K369" s="12">
        <f t="shared" ref="K369:L377" si="147">TRUNC(E369+G369+I369,1)</f>
        <v>1159</v>
      </c>
      <c r="L369" s="11">
        <f t="shared" si="147"/>
        <v>2005</v>
      </c>
      <c r="M369" s="3" t="s">
        <v>5</v>
      </c>
      <c r="N369" s="2" t="s">
        <v>1051</v>
      </c>
      <c r="O369" s="2" t="s">
        <v>1344</v>
      </c>
      <c r="P369" s="2" t="s">
        <v>996</v>
      </c>
      <c r="Q369" s="2" t="s">
        <v>996</v>
      </c>
      <c r="R369" s="2" t="s">
        <v>995</v>
      </c>
      <c r="AV369" s="2" t="s">
        <v>5</v>
      </c>
      <c r="AW369" s="2" t="s">
        <v>1437</v>
      </c>
      <c r="AX369" s="2" t="s">
        <v>5</v>
      </c>
      <c r="AY369" s="2" t="s">
        <v>5</v>
      </c>
    </row>
    <row r="370" spans="1:51" ht="30" customHeight="1" x14ac:dyDescent="0.3">
      <c r="A370" s="3" t="s">
        <v>168</v>
      </c>
      <c r="B370" s="3" t="s">
        <v>1207</v>
      </c>
      <c r="C370" s="5" t="s">
        <v>14</v>
      </c>
      <c r="D370" s="10">
        <v>3.1110000000000002</v>
      </c>
      <c r="E370" s="199">
        <v>6176</v>
      </c>
      <c r="F370" s="11">
        <f t="shared" si="144"/>
        <v>19213.5</v>
      </c>
      <c r="G370" s="12">
        <v>0</v>
      </c>
      <c r="H370" s="11">
        <f t="shared" si="145"/>
        <v>0</v>
      </c>
      <c r="I370" s="12">
        <v>0</v>
      </c>
      <c r="J370" s="11">
        <f t="shared" si="146"/>
        <v>0</v>
      </c>
      <c r="K370" s="12">
        <f t="shared" si="147"/>
        <v>6176</v>
      </c>
      <c r="L370" s="11">
        <f t="shared" si="147"/>
        <v>19213.5</v>
      </c>
      <c r="M370" s="3" t="s">
        <v>5</v>
      </c>
      <c r="N370" s="2" t="s">
        <v>1051</v>
      </c>
      <c r="O370" s="2" t="s">
        <v>1208</v>
      </c>
      <c r="P370" s="2" t="s">
        <v>996</v>
      </c>
      <c r="Q370" s="2" t="s">
        <v>996</v>
      </c>
      <c r="R370" s="2" t="s">
        <v>995</v>
      </c>
      <c r="AV370" s="2" t="s">
        <v>5</v>
      </c>
      <c r="AW370" s="2" t="s">
        <v>1438</v>
      </c>
      <c r="AX370" s="2" t="s">
        <v>5</v>
      </c>
      <c r="AY370" s="2" t="s">
        <v>5</v>
      </c>
    </row>
    <row r="371" spans="1:51" ht="30" customHeight="1" x14ac:dyDescent="0.3">
      <c r="A371" s="3" t="s">
        <v>1347</v>
      </c>
      <c r="B371" s="3" t="s">
        <v>1348</v>
      </c>
      <c r="C371" s="5" t="s">
        <v>1343</v>
      </c>
      <c r="D371" s="10">
        <v>5</v>
      </c>
      <c r="E371" s="12">
        <v>1111</v>
      </c>
      <c r="F371" s="11">
        <f t="shared" si="144"/>
        <v>5555</v>
      </c>
      <c r="G371" s="12">
        <v>0</v>
      </c>
      <c r="H371" s="11">
        <f t="shared" si="145"/>
        <v>0</v>
      </c>
      <c r="I371" s="12">
        <v>0</v>
      </c>
      <c r="J371" s="11">
        <f t="shared" si="146"/>
        <v>0</v>
      </c>
      <c r="K371" s="12">
        <f t="shared" si="147"/>
        <v>1111</v>
      </c>
      <c r="L371" s="11">
        <f t="shared" si="147"/>
        <v>5555</v>
      </c>
      <c r="M371" s="3" t="s">
        <v>5</v>
      </c>
      <c r="N371" s="2" t="s">
        <v>1051</v>
      </c>
      <c r="O371" s="2" t="s">
        <v>1349</v>
      </c>
      <c r="P371" s="2" t="s">
        <v>996</v>
      </c>
      <c r="Q371" s="2" t="s">
        <v>996</v>
      </c>
      <c r="R371" s="2" t="s">
        <v>995</v>
      </c>
      <c r="AV371" s="2" t="s">
        <v>5</v>
      </c>
      <c r="AW371" s="2" t="s">
        <v>1439</v>
      </c>
      <c r="AX371" s="2" t="s">
        <v>5</v>
      </c>
      <c r="AY371" s="2" t="s">
        <v>5</v>
      </c>
    </row>
    <row r="372" spans="1:51" ht="30" customHeight="1" x14ac:dyDescent="0.3">
      <c r="A372" s="3" t="s">
        <v>178</v>
      </c>
      <c r="B372" s="3" t="s">
        <v>1351</v>
      </c>
      <c r="C372" s="5" t="s">
        <v>12</v>
      </c>
      <c r="D372" s="10">
        <v>4</v>
      </c>
      <c r="E372" s="12">
        <v>3440</v>
      </c>
      <c r="F372" s="11">
        <f t="shared" si="144"/>
        <v>13760</v>
      </c>
      <c r="G372" s="12">
        <v>0</v>
      </c>
      <c r="H372" s="11">
        <f t="shared" si="145"/>
        <v>0</v>
      </c>
      <c r="I372" s="12">
        <v>0</v>
      </c>
      <c r="J372" s="11">
        <f t="shared" si="146"/>
        <v>0</v>
      </c>
      <c r="K372" s="12">
        <f t="shared" si="147"/>
        <v>3440</v>
      </c>
      <c r="L372" s="11">
        <f t="shared" si="147"/>
        <v>13760</v>
      </c>
      <c r="M372" s="3" t="s">
        <v>5</v>
      </c>
      <c r="N372" s="2" t="s">
        <v>1051</v>
      </c>
      <c r="O372" s="2" t="s">
        <v>1352</v>
      </c>
      <c r="P372" s="2" t="s">
        <v>996</v>
      </c>
      <c r="Q372" s="2" t="s">
        <v>996</v>
      </c>
      <c r="R372" s="2" t="s">
        <v>995</v>
      </c>
      <c r="AV372" s="2" t="s">
        <v>5</v>
      </c>
      <c r="AW372" s="2" t="s">
        <v>1440</v>
      </c>
      <c r="AX372" s="2" t="s">
        <v>5</v>
      </c>
      <c r="AY372" s="2" t="s">
        <v>5</v>
      </c>
    </row>
    <row r="373" spans="1:51" ht="30" customHeight="1" x14ac:dyDescent="0.3">
      <c r="A373" s="3" t="s">
        <v>1354</v>
      </c>
      <c r="B373" s="3" t="s">
        <v>1355</v>
      </c>
      <c r="C373" s="5" t="s">
        <v>12</v>
      </c>
      <c r="D373" s="10">
        <v>2</v>
      </c>
      <c r="E373" s="12">
        <v>56</v>
      </c>
      <c r="F373" s="11">
        <f t="shared" si="144"/>
        <v>112</v>
      </c>
      <c r="G373" s="12">
        <v>0</v>
      </c>
      <c r="H373" s="11">
        <f t="shared" si="145"/>
        <v>0</v>
      </c>
      <c r="I373" s="12">
        <v>0</v>
      </c>
      <c r="J373" s="11">
        <f t="shared" si="146"/>
        <v>0</v>
      </c>
      <c r="K373" s="12">
        <f t="shared" si="147"/>
        <v>56</v>
      </c>
      <c r="L373" s="11">
        <f t="shared" si="147"/>
        <v>112</v>
      </c>
      <c r="M373" s="3" t="s">
        <v>5</v>
      </c>
      <c r="N373" s="2" t="s">
        <v>1051</v>
      </c>
      <c r="O373" s="2" t="s">
        <v>1356</v>
      </c>
      <c r="P373" s="2" t="s">
        <v>996</v>
      </c>
      <c r="Q373" s="2" t="s">
        <v>996</v>
      </c>
      <c r="R373" s="2" t="s">
        <v>995</v>
      </c>
      <c r="AV373" s="2" t="s">
        <v>5</v>
      </c>
      <c r="AW373" s="2" t="s">
        <v>1441</v>
      </c>
      <c r="AX373" s="2" t="s">
        <v>5</v>
      </c>
      <c r="AY373" s="2" t="s">
        <v>5</v>
      </c>
    </row>
    <row r="374" spans="1:51" ht="30" customHeight="1" x14ac:dyDescent="0.3">
      <c r="A374" s="3" t="s">
        <v>174</v>
      </c>
      <c r="B374" s="3" t="s">
        <v>175</v>
      </c>
      <c r="C374" s="5" t="s">
        <v>12</v>
      </c>
      <c r="D374" s="10">
        <v>2</v>
      </c>
      <c r="E374" s="199">
        <v>21</v>
      </c>
      <c r="F374" s="11">
        <f t="shared" si="144"/>
        <v>42</v>
      </c>
      <c r="G374" s="12">
        <v>0</v>
      </c>
      <c r="H374" s="11">
        <f t="shared" si="145"/>
        <v>0</v>
      </c>
      <c r="I374" s="12">
        <v>0</v>
      </c>
      <c r="J374" s="11">
        <f t="shared" si="146"/>
        <v>0</v>
      </c>
      <c r="K374" s="12">
        <f t="shared" si="147"/>
        <v>21</v>
      </c>
      <c r="L374" s="11">
        <f t="shared" si="147"/>
        <v>42</v>
      </c>
      <c r="M374" s="3" t="s">
        <v>5</v>
      </c>
      <c r="N374" s="2" t="s">
        <v>1051</v>
      </c>
      <c r="O374" s="2" t="s">
        <v>1111</v>
      </c>
      <c r="P374" s="2" t="s">
        <v>996</v>
      </c>
      <c r="Q374" s="2" t="s">
        <v>996</v>
      </c>
      <c r="R374" s="2" t="s">
        <v>995</v>
      </c>
      <c r="AV374" s="2" t="s">
        <v>5</v>
      </c>
      <c r="AW374" s="2" t="s">
        <v>1442</v>
      </c>
      <c r="AX374" s="2" t="s">
        <v>5</v>
      </c>
      <c r="AY374" s="2" t="s">
        <v>5</v>
      </c>
    </row>
    <row r="375" spans="1:51" ht="30" customHeight="1" x14ac:dyDescent="0.3">
      <c r="A375" s="3" t="s">
        <v>333</v>
      </c>
      <c r="B375" s="3" t="s">
        <v>1443</v>
      </c>
      <c r="C375" s="5" t="s">
        <v>12</v>
      </c>
      <c r="D375" s="10">
        <v>1</v>
      </c>
      <c r="E375" s="12">
        <v>444</v>
      </c>
      <c r="F375" s="11">
        <f t="shared" si="144"/>
        <v>444</v>
      </c>
      <c r="G375" s="12">
        <v>0</v>
      </c>
      <c r="H375" s="11">
        <f t="shared" si="145"/>
        <v>0</v>
      </c>
      <c r="I375" s="12">
        <v>0</v>
      </c>
      <c r="J375" s="11">
        <f t="shared" si="146"/>
        <v>0</v>
      </c>
      <c r="K375" s="12">
        <f t="shared" si="147"/>
        <v>444</v>
      </c>
      <c r="L375" s="11">
        <f t="shared" si="147"/>
        <v>444</v>
      </c>
      <c r="M375" s="3" t="s">
        <v>5</v>
      </c>
      <c r="N375" s="2" t="s">
        <v>1051</v>
      </c>
      <c r="O375" s="2" t="s">
        <v>1444</v>
      </c>
      <c r="P375" s="2" t="s">
        <v>996</v>
      </c>
      <c r="Q375" s="2" t="s">
        <v>996</v>
      </c>
      <c r="R375" s="2" t="s">
        <v>995</v>
      </c>
      <c r="AV375" s="2" t="s">
        <v>5</v>
      </c>
      <c r="AW375" s="2" t="s">
        <v>1445</v>
      </c>
      <c r="AX375" s="2" t="s">
        <v>5</v>
      </c>
      <c r="AY375" s="2" t="s">
        <v>5</v>
      </c>
    </row>
    <row r="376" spans="1:51" ht="30" customHeight="1" x14ac:dyDescent="0.3">
      <c r="A376" s="3" t="s">
        <v>1119</v>
      </c>
      <c r="B376" s="3" t="s">
        <v>1120</v>
      </c>
      <c r="C376" s="5" t="s">
        <v>1121</v>
      </c>
      <c r="D376" s="10">
        <v>0.92</v>
      </c>
      <c r="E376" s="12">
        <v>0</v>
      </c>
      <c r="F376" s="11">
        <f t="shared" si="144"/>
        <v>0</v>
      </c>
      <c r="G376" s="8">
        <v>273676</v>
      </c>
      <c r="H376" s="11">
        <f t="shared" si="145"/>
        <v>251781.9</v>
      </c>
      <c r="I376" s="12">
        <v>0</v>
      </c>
      <c r="J376" s="11">
        <f t="shared" si="146"/>
        <v>0</v>
      </c>
      <c r="K376" s="12">
        <f t="shared" si="147"/>
        <v>273676</v>
      </c>
      <c r="L376" s="11">
        <f t="shared" si="147"/>
        <v>251781.9</v>
      </c>
      <c r="M376" s="3" t="s">
        <v>5</v>
      </c>
      <c r="N376" s="2" t="s">
        <v>1051</v>
      </c>
      <c r="O376" s="2" t="s">
        <v>1122</v>
      </c>
      <c r="P376" s="2" t="s">
        <v>996</v>
      </c>
      <c r="Q376" s="2" t="s">
        <v>996</v>
      </c>
      <c r="R376" s="2" t="s">
        <v>995</v>
      </c>
      <c r="V376" s="1">
        <v>1</v>
      </c>
      <c r="AV376" s="2" t="s">
        <v>5</v>
      </c>
      <c r="AW376" s="2" t="s">
        <v>1446</v>
      </c>
      <c r="AX376" s="2" t="s">
        <v>5</v>
      </c>
      <c r="AY376" s="2" t="s">
        <v>5</v>
      </c>
    </row>
    <row r="377" spans="1:51" ht="30" customHeight="1" x14ac:dyDescent="0.3">
      <c r="A377" s="3" t="s">
        <v>1124</v>
      </c>
      <c r="B377" s="3" t="s">
        <v>1125</v>
      </c>
      <c r="C377" s="5" t="s">
        <v>340</v>
      </c>
      <c r="D377" s="10">
        <v>1</v>
      </c>
      <c r="E377" s="12">
        <f>TRUNC(SUMIF(V369:V377, RIGHTB(O377, 1), H369:H377)*U377, 2)</f>
        <v>7553.45</v>
      </c>
      <c r="F377" s="11">
        <f t="shared" si="144"/>
        <v>7553.4</v>
      </c>
      <c r="G377" s="12">
        <v>0</v>
      </c>
      <c r="H377" s="11">
        <f t="shared" si="145"/>
        <v>0</v>
      </c>
      <c r="I377" s="12">
        <v>0</v>
      </c>
      <c r="J377" s="11">
        <f t="shared" si="146"/>
        <v>0</v>
      </c>
      <c r="K377" s="12">
        <f t="shared" si="147"/>
        <v>7553.4</v>
      </c>
      <c r="L377" s="11">
        <f t="shared" si="147"/>
        <v>7553.4</v>
      </c>
      <c r="M377" s="3" t="s">
        <v>5</v>
      </c>
      <c r="N377" s="2" t="s">
        <v>1051</v>
      </c>
      <c r="O377" s="2" t="s">
        <v>1126</v>
      </c>
      <c r="P377" s="2" t="s">
        <v>996</v>
      </c>
      <c r="Q377" s="2" t="s">
        <v>996</v>
      </c>
      <c r="R377" s="2" t="s">
        <v>996</v>
      </c>
      <c r="S377" s="1">
        <v>1</v>
      </c>
      <c r="T377" s="1">
        <v>0</v>
      </c>
      <c r="U377" s="1">
        <v>0.03</v>
      </c>
      <c r="AV377" s="2" t="s">
        <v>5</v>
      </c>
      <c r="AW377" s="2" t="s">
        <v>1447</v>
      </c>
      <c r="AX377" s="2" t="s">
        <v>5</v>
      </c>
      <c r="AY377" s="2" t="s">
        <v>5</v>
      </c>
    </row>
    <row r="378" spans="1:51" ht="30" customHeight="1" x14ac:dyDescent="0.3">
      <c r="A378" s="3" t="s">
        <v>1128</v>
      </c>
      <c r="B378" s="3" t="s">
        <v>5</v>
      </c>
      <c r="C378" s="5" t="s">
        <v>5</v>
      </c>
      <c r="D378" s="10"/>
      <c r="E378" s="12"/>
      <c r="F378" s="11">
        <f>TRUNC(SUMIF(N369:N377, N368, F369:F377),0)</f>
        <v>48684</v>
      </c>
      <c r="G378" s="12"/>
      <c r="H378" s="11">
        <f>TRUNC(SUMIF(N369:N377, N368, H369:H377),0)</f>
        <v>251781</v>
      </c>
      <c r="I378" s="12"/>
      <c r="J378" s="11">
        <f>TRUNC(SUMIF(N369:N377, N368, J369:J377),0)</f>
        <v>0</v>
      </c>
      <c r="K378" s="12"/>
      <c r="L378" s="11">
        <f>F378+H378+J378</f>
        <v>300465</v>
      </c>
      <c r="M378" s="3" t="s">
        <v>5</v>
      </c>
      <c r="N378" s="2" t="s">
        <v>1053</v>
      </c>
      <c r="O378" s="2" t="s">
        <v>1053</v>
      </c>
      <c r="P378" s="2" t="s">
        <v>5</v>
      </c>
      <c r="Q378" s="2" t="s">
        <v>5</v>
      </c>
      <c r="R378" s="2" t="s">
        <v>5</v>
      </c>
      <c r="AV378" s="2" t="s">
        <v>5</v>
      </c>
      <c r="AW378" s="2" t="s">
        <v>5</v>
      </c>
      <c r="AX378" s="2" t="s">
        <v>5</v>
      </c>
      <c r="AY378" s="2" t="s">
        <v>5</v>
      </c>
    </row>
    <row r="379" spans="1:51" ht="30" customHeight="1" x14ac:dyDescent="0.3">
      <c r="A379" s="10"/>
      <c r="B379" s="10"/>
      <c r="C379" s="9"/>
      <c r="D379" s="10"/>
      <c r="E379" s="12"/>
      <c r="F379" s="11"/>
      <c r="G379" s="12"/>
      <c r="H379" s="11"/>
      <c r="I379" s="12"/>
      <c r="J379" s="11"/>
      <c r="K379" s="12"/>
      <c r="L379" s="11"/>
      <c r="M379" s="10"/>
    </row>
    <row r="380" spans="1:51" ht="30" customHeight="1" x14ac:dyDescent="0.3">
      <c r="A380" s="216" t="s">
        <v>1448</v>
      </c>
      <c r="B380" s="216"/>
      <c r="C380" s="216"/>
      <c r="D380" s="216"/>
      <c r="E380" s="217"/>
      <c r="F380" s="218"/>
      <c r="G380" s="217"/>
      <c r="H380" s="218"/>
      <c r="I380" s="217"/>
      <c r="J380" s="218"/>
      <c r="K380" s="217"/>
      <c r="L380" s="218"/>
      <c r="M380" s="216"/>
      <c r="N380" s="2" t="s">
        <v>1052</v>
      </c>
    </row>
    <row r="381" spans="1:51" ht="30" customHeight="1" x14ac:dyDescent="0.3">
      <c r="A381" s="3" t="s">
        <v>1341</v>
      </c>
      <c r="B381" s="3" t="s">
        <v>1342</v>
      </c>
      <c r="C381" s="5" t="s">
        <v>1343</v>
      </c>
      <c r="D381" s="10">
        <v>1.73</v>
      </c>
      <c r="E381" s="12">
        <v>1159</v>
      </c>
      <c r="F381" s="11">
        <f t="shared" ref="F381:F389" si="148">TRUNC(E381*D381,1)</f>
        <v>2005</v>
      </c>
      <c r="G381" s="12">
        <v>0</v>
      </c>
      <c r="H381" s="11">
        <f t="shared" ref="H381:H389" si="149">TRUNC(G381*D381,1)</f>
        <v>0</v>
      </c>
      <c r="I381" s="12">
        <v>0</v>
      </c>
      <c r="J381" s="11">
        <f t="shared" ref="J381:J389" si="150">TRUNC(I381*D381,1)</f>
        <v>0</v>
      </c>
      <c r="K381" s="12">
        <f t="shared" ref="K381:L389" si="151">TRUNC(E381+G381+I381,1)</f>
        <v>1159</v>
      </c>
      <c r="L381" s="11">
        <f t="shared" si="151"/>
        <v>2005</v>
      </c>
      <c r="M381" s="3" t="s">
        <v>5</v>
      </c>
      <c r="N381" s="2" t="s">
        <v>1052</v>
      </c>
      <c r="O381" s="2" t="s">
        <v>1344</v>
      </c>
      <c r="P381" s="2" t="s">
        <v>996</v>
      </c>
      <c r="Q381" s="2" t="s">
        <v>996</v>
      </c>
      <c r="R381" s="2" t="s">
        <v>995</v>
      </c>
      <c r="AV381" s="2" t="s">
        <v>5</v>
      </c>
      <c r="AW381" s="2" t="s">
        <v>1449</v>
      </c>
      <c r="AX381" s="2" t="s">
        <v>5</v>
      </c>
      <c r="AY381" s="2" t="s">
        <v>5</v>
      </c>
    </row>
    <row r="382" spans="1:51" ht="30" customHeight="1" x14ac:dyDescent="0.3">
      <c r="A382" s="3" t="s">
        <v>168</v>
      </c>
      <c r="B382" s="3" t="s">
        <v>1207</v>
      </c>
      <c r="C382" s="5" t="s">
        <v>14</v>
      </c>
      <c r="D382" s="10">
        <v>3.1110000000000002</v>
      </c>
      <c r="E382" s="199">
        <v>6176</v>
      </c>
      <c r="F382" s="11">
        <f t="shared" si="148"/>
        <v>19213.5</v>
      </c>
      <c r="G382" s="12">
        <v>0</v>
      </c>
      <c r="H382" s="11">
        <f t="shared" si="149"/>
        <v>0</v>
      </c>
      <c r="I382" s="12">
        <v>0</v>
      </c>
      <c r="J382" s="11">
        <f t="shared" si="150"/>
        <v>0</v>
      </c>
      <c r="K382" s="12">
        <f t="shared" si="151"/>
        <v>6176</v>
      </c>
      <c r="L382" s="11">
        <f t="shared" si="151"/>
        <v>19213.5</v>
      </c>
      <c r="M382" s="3" t="s">
        <v>5</v>
      </c>
      <c r="N382" s="2" t="s">
        <v>1052</v>
      </c>
      <c r="O382" s="2" t="s">
        <v>1208</v>
      </c>
      <c r="P382" s="2" t="s">
        <v>996</v>
      </c>
      <c r="Q382" s="2" t="s">
        <v>996</v>
      </c>
      <c r="R382" s="2" t="s">
        <v>995</v>
      </c>
      <c r="AV382" s="2" t="s">
        <v>5</v>
      </c>
      <c r="AW382" s="2" t="s">
        <v>1450</v>
      </c>
      <c r="AX382" s="2" t="s">
        <v>5</v>
      </c>
      <c r="AY382" s="2" t="s">
        <v>5</v>
      </c>
    </row>
    <row r="383" spans="1:51" ht="30" customHeight="1" x14ac:dyDescent="0.3">
      <c r="A383" s="3" t="s">
        <v>1347</v>
      </c>
      <c r="B383" s="3" t="s">
        <v>1348</v>
      </c>
      <c r="C383" s="5" t="s">
        <v>1343</v>
      </c>
      <c r="D383" s="10">
        <v>5</v>
      </c>
      <c r="E383" s="12">
        <v>1111</v>
      </c>
      <c r="F383" s="11">
        <f t="shared" si="148"/>
        <v>5555</v>
      </c>
      <c r="G383" s="12">
        <v>0</v>
      </c>
      <c r="H383" s="11">
        <f t="shared" si="149"/>
        <v>0</v>
      </c>
      <c r="I383" s="12">
        <v>0</v>
      </c>
      <c r="J383" s="11">
        <f t="shared" si="150"/>
        <v>0</v>
      </c>
      <c r="K383" s="12">
        <f t="shared" si="151"/>
        <v>1111</v>
      </c>
      <c r="L383" s="11">
        <f t="shared" si="151"/>
        <v>5555</v>
      </c>
      <c r="M383" s="3" t="s">
        <v>5</v>
      </c>
      <c r="N383" s="2" t="s">
        <v>1052</v>
      </c>
      <c r="O383" s="2" t="s">
        <v>1349</v>
      </c>
      <c r="P383" s="2" t="s">
        <v>996</v>
      </c>
      <c r="Q383" s="2" t="s">
        <v>996</v>
      </c>
      <c r="R383" s="2" t="s">
        <v>995</v>
      </c>
      <c r="AV383" s="2" t="s">
        <v>5</v>
      </c>
      <c r="AW383" s="2" t="s">
        <v>1451</v>
      </c>
      <c r="AX383" s="2" t="s">
        <v>5</v>
      </c>
      <c r="AY383" s="2" t="s">
        <v>5</v>
      </c>
    </row>
    <row r="384" spans="1:51" ht="30" customHeight="1" x14ac:dyDescent="0.3">
      <c r="A384" s="3" t="s">
        <v>178</v>
      </c>
      <c r="B384" s="3" t="s">
        <v>1351</v>
      </c>
      <c r="C384" s="5" t="s">
        <v>12</v>
      </c>
      <c r="D384" s="10">
        <v>4</v>
      </c>
      <c r="E384" s="12">
        <v>3440</v>
      </c>
      <c r="F384" s="11">
        <f t="shared" si="148"/>
        <v>13760</v>
      </c>
      <c r="G384" s="12">
        <v>0</v>
      </c>
      <c r="H384" s="11">
        <f t="shared" si="149"/>
        <v>0</v>
      </c>
      <c r="I384" s="12">
        <v>0</v>
      </c>
      <c r="J384" s="11">
        <f t="shared" si="150"/>
        <v>0</v>
      </c>
      <c r="K384" s="12">
        <f t="shared" si="151"/>
        <v>3440</v>
      </c>
      <c r="L384" s="11">
        <f t="shared" si="151"/>
        <v>13760</v>
      </c>
      <c r="M384" s="3" t="s">
        <v>5</v>
      </c>
      <c r="N384" s="2" t="s">
        <v>1052</v>
      </c>
      <c r="O384" s="2" t="s">
        <v>1352</v>
      </c>
      <c r="P384" s="2" t="s">
        <v>996</v>
      </c>
      <c r="Q384" s="2" t="s">
        <v>996</v>
      </c>
      <c r="R384" s="2" t="s">
        <v>995</v>
      </c>
      <c r="AV384" s="2" t="s">
        <v>5</v>
      </c>
      <c r="AW384" s="2" t="s">
        <v>1452</v>
      </c>
      <c r="AX384" s="2" t="s">
        <v>5</v>
      </c>
      <c r="AY384" s="2" t="s">
        <v>5</v>
      </c>
    </row>
    <row r="385" spans="1:51" ht="30" customHeight="1" x14ac:dyDescent="0.3">
      <c r="A385" s="3" t="s">
        <v>1354</v>
      </c>
      <c r="B385" s="3" t="s">
        <v>1355</v>
      </c>
      <c r="C385" s="5" t="s">
        <v>12</v>
      </c>
      <c r="D385" s="10">
        <v>2</v>
      </c>
      <c r="E385" s="12">
        <v>56</v>
      </c>
      <c r="F385" s="11">
        <f t="shared" si="148"/>
        <v>112</v>
      </c>
      <c r="G385" s="12">
        <v>0</v>
      </c>
      <c r="H385" s="11">
        <f t="shared" si="149"/>
        <v>0</v>
      </c>
      <c r="I385" s="12">
        <v>0</v>
      </c>
      <c r="J385" s="11">
        <f t="shared" si="150"/>
        <v>0</v>
      </c>
      <c r="K385" s="12">
        <f t="shared" si="151"/>
        <v>56</v>
      </c>
      <c r="L385" s="11">
        <f t="shared" si="151"/>
        <v>112</v>
      </c>
      <c r="M385" s="3" t="s">
        <v>5</v>
      </c>
      <c r="N385" s="2" t="s">
        <v>1052</v>
      </c>
      <c r="O385" s="2" t="s">
        <v>1356</v>
      </c>
      <c r="P385" s="2" t="s">
        <v>996</v>
      </c>
      <c r="Q385" s="2" t="s">
        <v>996</v>
      </c>
      <c r="R385" s="2" t="s">
        <v>995</v>
      </c>
      <c r="AV385" s="2" t="s">
        <v>5</v>
      </c>
      <c r="AW385" s="2" t="s">
        <v>1453</v>
      </c>
      <c r="AX385" s="2" t="s">
        <v>5</v>
      </c>
      <c r="AY385" s="2" t="s">
        <v>5</v>
      </c>
    </row>
    <row r="386" spans="1:51" ht="30" customHeight="1" x14ac:dyDescent="0.3">
      <c r="A386" s="3" t="s">
        <v>174</v>
      </c>
      <c r="B386" s="3" t="s">
        <v>175</v>
      </c>
      <c r="C386" s="5" t="s">
        <v>12</v>
      </c>
      <c r="D386" s="10">
        <v>2</v>
      </c>
      <c r="E386" s="199">
        <v>21</v>
      </c>
      <c r="F386" s="11">
        <f t="shared" si="148"/>
        <v>42</v>
      </c>
      <c r="G386" s="12">
        <v>0</v>
      </c>
      <c r="H386" s="11">
        <f t="shared" si="149"/>
        <v>0</v>
      </c>
      <c r="I386" s="12">
        <v>0</v>
      </c>
      <c r="J386" s="11">
        <f t="shared" si="150"/>
        <v>0</v>
      </c>
      <c r="K386" s="12">
        <f t="shared" si="151"/>
        <v>21</v>
      </c>
      <c r="L386" s="11">
        <f t="shared" si="151"/>
        <v>42</v>
      </c>
      <c r="M386" s="3" t="s">
        <v>5</v>
      </c>
      <c r="N386" s="2" t="s">
        <v>1052</v>
      </c>
      <c r="O386" s="2" t="s">
        <v>1111</v>
      </c>
      <c r="P386" s="2" t="s">
        <v>996</v>
      </c>
      <c r="Q386" s="2" t="s">
        <v>996</v>
      </c>
      <c r="R386" s="2" t="s">
        <v>995</v>
      </c>
      <c r="AV386" s="2" t="s">
        <v>5</v>
      </c>
      <c r="AW386" s="2" t="s">
        <v>1454</v>
      </c>
      <c r="AX386" s="2" t="s">
        <v>5</v>
      </c>
      <c r="AY386" s="2" t="s">
        <v>5</v>
      </c>
    </row>
    <row r="387" spans="1:51" ht="30" customHeight="1" x14ac:dyDescent="0.3">
      <c r="A387" s="3" t="s">
        <v>333</v>
      </c>
      <c r="B387" s="3" t="s">
        <v>1455</v>
      </c>
      <c r="C387" s="5" t="s">
        <v>12</v>
      </c>
      <c r="D387" s="10">
        <v>1</v>
      </c>
      <c r="E387" s="12">
        <v>566</v>
      </c>
      <c r="F387" s="11">
        <f t="shared" si="148"/>
        <v>566</v>
      </c>
      <c r="G387" s="12">
        <v>0</v>
      </c>
      <c r="H387" s="11">
        <f t="shared" si="149"/>
        <v>0</v>
      </c>
      <c r="I387" s="12">
        <v>0</v>
      </c>
      <c r="J387" s="11">
        <f t="shared" si="150"/>
        <v>0</v>
      </c>
      <c r="K387" s="12">
        <f t="shared" si="151"/>
        <v>566</v>
      </c>
      <c r="L387" s="11">
        <f t="shared" si="151"/>
        <v>566</v>
      </c>
      <c r="M387" s="3" t="s">
        <v>5</v>
      </c>
      <c r="N387" s="2" t="s">
        <v>1052</v>
      </c>
      <c r="O387" s="2" t="s">
        <v>1456</v>
      </c>
      <c r="P387" s="2" t="s">
        <v>996</v>
      </c>
      <c r="Q387" s="2" t="s">
        <v>996</v>
      </c>
      <c r="R387" s="2" t="s">
        <v>995</v>
      </c>
      <c r="AV387" s="2" t="s">
        <v>5</v>
      </c>
      <c r="AW387" s="2" t="s">
        <v>1457</v>
      </c>
      <c r="AX387" s="2" t="s">
        <v>5</v>
      </c>
      <c r="AY387" s="2" t="s">
        <v>5</v>
      </c>
    </row>
    <row r="388" spans="1:51" ht="30" customHeight="1" x14ac:dyDescent="0.3">
      <c r="A388" s="3" t="s">
        <v>1119</v>
      </c>
      <c r="B388" s="3" t="s">
        <v>1120</v>
      </c>
      <c r="C388" s="5" t="s">
        <v>1121</v>
      </c>
      <c r="D388" s="10">
        <v>0.92</v>
      </c>
      <c r="E388" s="12">
        <v>0</v>
      </c>
      <c r="F388" s="11">
        <f t="shared" si="148"/>
        <v>0</v>
      </c>
      <c r="G388" s="8">
        <v>273676</v>
      </c>
      <c r="H388" s="11">
        <f t="shared" si="149"/>
        <v>251781.9</v>
      </c>
      <c r="I388" s="12">
        <v>0</v>
      </c>
      <c r="J388" s="11">
        <f t="shared" si="150"/>
        <v>0</v>
      </c>
      <c r="K388" s="12">
        <f t="shared" si="151"/>
        <v>273676</v>
      </c>
      <c r="L388" s="11">
        <f t="shared" si="151"/>
        <v>251781.9</v>
      </c>
      <c r="M388" s="3" t="s">
        <v>5</v>
      </c>
      <c r="N388" s="2" t="s">
        <v>1052</v>
      </c>
      <c r="O388" s="2" t="s">
        <v>1122</v>
      </c>
      <c r="P388" s="2" t="s">
        <v>996</v>
      </c>
      <c r="Q388" s="2" t="s">
        <v>996</v>
      </c>
      <c r="R388" s="2" t="s">
        <v>995</v>
      </c>
      <c r="V388" s="1">
        <v>1</v>
      </c>
      <c r="AV388" s="2" t="s">
        <v>5</v>
      </c>
      <c r="AW388" s="2" t="s">
        <v>1458</v>
      </c>
      <c r="AX388" s="2" t="s">
        <v>5</v>
      </c>
      <c r="AY388" s="2" t="s">
        <v>5</v>
      </c>
    </row>
    <row r="389" spans="1:51" ht="30" customHeight="1" x14ac:dyDescent="0.3">
      <c r="A389" s="3" t="s">
        <v>1124</v>
      </c>
      <c r="B389" s="3" t="s">
        <v>1125</v>
      </c>
      <c r="C389" s="5" t="s">
        <v>340</v>
      </c>
      <c r="D389" s="10">
        <v>1</v>
      </c>
      <c r="E389" s="12">
        <f>TRUNC(SUMIF(V381:V389, RIGHTB(O389, 1), H381:H389)*U389, 2)</f>
        <v>7553.45</v>
      </c>
      <c r="F389" s="11">
        <f t="shared" si="148"/>
        <v>7553.4</v>
      </c>
      <c r="G389" s="12">
        <v>0</v>
      </c>
      <c r="H389" s="11">
        <f t="shared" si="149"/>
        <v>0</v>
      </c>
      <c r="I389" s="12">
        <v>0</v>
      </c>
      <c r="J389" s="11">
        <f t="shared" si="150"/>
        <v>0</v>
      </c>
      <c r="K389" s="12">
        <f t="shared" si="151"/>
        <v>7553.4</v>
      </c>
      <c r="L389" s="11">
        <f t="shared" si="151"/>
        <v>7553.4</v>
      </c>
      <c r="M389" s="3" t="s">
        <v>5</v>
      </c>
      <c r="N389" s="2" t="s">
        <v>1052</v>
      </c>
      <c r="O389" s="2" t="s">
        <v>1126</v>
      </c>
      <c r="P389" s="2" t="s">
        <v>996</v>
      </c>
      <c r="Q389" s="2" t="s">
        <v>996</v>
      </c>
      <c r="R389" s="2" t="s">
        <v>996</v>
      </c>
      <c r="S389" s="1">
        <v>1</v>
      </c>
      <c r="T389" s="1">
        <v>0</v>
      </c>
      <c r="U389" s="1">
        <v>0.03</v>
      </c>
      <c r="AV389" s="2" t="s">
        <v>5</v>
      </c>
      <c r="AW389" s="2" t="s">
        <v>1459</v>
      </c>
      <c r="AX389" s="2" t="s">
        <v>5</v>
      </c>
      <c r="AY389" s="2" t="s">
        <v>5</v>
      </c>
    </row>
    <row r="390" spans="1:51" ht="30" customHeight="1" x14ac:dyDescent="0.3">
      <c r="A390" s="3" t="s">
        <v>1128</v>
      </c>
      <c r="B390" s="3" t="s">
        <v>5</v>
      </c>
      <c r="C390" s="5" t="s">
        <v>5</v>
      </c>
      <c r="D390" s="10"/>
      <c r="E390" s="12"/>
      <c r="F390" s="11">
        <f>TRUNC(SUMIF(N381:N389, N380, F381:F389),0)</f>
        <v>48806</v>
      </c>
      <c r="G390" s="12"/>
      <c r="H390" s="11">
        <f>TRUNC(SUMIF(N381:N389, N380, H381:H389),0)</f>
        <v>251781</v>
      </c>
      <c r="I390" s="12"/>
      <c r="J390" s="11">
        <f>TRUNC(SUMIF(N381:N389, N380, J381:J389),0)</f>
        <v>0</v>
      </c>
      <c r="K390" s="12"/>
      <c r="L390" s="11">
        <f>F390+H390+J390</f>
        <v>300587</v>
      </c>
      <c r="M390" s="3" t="s">
        <v>5</v>
      </c>
      <c r="N390" s="2" t="s">
        <v>1053</v>
      </c>
      <c r="O390" s="2" t="s">
        <v>1053</v>
      </c>
      <c r="P390" s="2" t="s">
        <v>5</v>
      </c>
      <c r="Q390" s="2" t="s">
        <v>5</v>
      </c>
      <c r="R390" s="2" t="s">
        <v>5</v>
      </c>
      <c r="AV390" s="2" t="s">
        <v>5</v>
      </c>
      <c r="AW390" s="2" t="s">
        <v>5</v>
      </c>
      <c r="AX390" s="2" t="s">
        <v>5</v>
      </c>
      <c r="AY390" s="2" t="s">
        <v>5</v>
      </c>
    </row>
  </sheetData>
  <mergeCells count="84">
    <mergeCell ref="A1:P1"/>
    <mergeCell ref="A368:M368"/>
    <mergeCell ref="A380:M380"/>
    <mergeCell ref="A296:M296"/>
    <mergeCell ref="A308:M308"/>
    <mergeCell ref="A320:M320"/>
    <mergeCell ref="A332:M332"/>
    <mergeCell ref="A344:M344"/>
    <mergeCell ref="A356:M356"/>
    <mergeCell ref="A284:M284"/>
    <mergeCell ref="A184:M184"/>
    <mergeCell ref="A194:M194"/>
    <mergeCell ref="A203:M203"/>
    <mergeCell ref="A212:M212"/>
    <mergeCell ref="A221:M221"/>
    <mergeCell ref="A230:M230"/>
    <mergeCell ref="A239:M239"/>
    <mergeCell ref="A248:M248"/>
    <mergeCell ref="A257:M257"/>
    <mergeCell ref="A266:M266"/>
    <mergeCell ref="A275:M275"/>
    <mergeCell ref="A174:M174"/>
    <mergeCell ref="A64:M64"/>
    <mergeCell ref="A74:M74"/>
    <mergeCell ref="A84:M84"/>
    <mergeCell ref="A94:M94"/>
    <mergeCell ref="A104:M104"/>
    <mergeCell ref="A114:M114"/>
    <mergeCell ref="A124:M124"/>
    <mergeCell ref="A134:M134"/>
    <mergeCell ref="A144:M144"/>
    <mergeCell ref="A154:M154"/>
    <mergeCell ref="A164:M164"/>
    <mergeCell ref="A54:M54"/>
    <mergeCell ref="A4:M4"/>
    <mergeCell ref="A14:M14"/>
    <mergeCell ref="A24:M24"/>
    <mergeCell ref="A34:M34"/>
    <mergeCell ref="A44:M44"/>
    <mergeCell ref="AV2:AV3"/>
    <mergeCell ref="AW2:AW3"/>
    <mergeCell ref="AL2:AL3"/>
    <mergeCell ref="AM2:AM3"/>
    <mergeCell ref="AN2:AN3"/>
    <mergeCell ref="AO2:AO3"/>
    <mergeCell ref="AP2:AP3"/>
    <mergeCell ref="AQ2:AQ3"/>
    <mergeCell ref="AE2:AE3"/>
    <mergeCell ref="T2:T3"/>
    <mergeCell ref="U2:U3"/>
    <mergeCell ref="V2:V3"/>
    <mergeCell ref="W2:W3"/>
    <mergeCell ref="X2:X3"/>
    <mergeCell ref="Y2:Y3"/>
    <mergeCell ref="AD2:AD3"/>
    <mergeCell ref="AC2:AC3"/>
    <mergeCell ref="AB2:AB3"/>
    <mergeCell ref="AA2:AA3"/>
    <mergeCell ref="Z2:Z3"/>
    <mergeCell ref="S2:S3"/>
    <mergeCell ref="A2:A3"/>
    <mergeCell ref="B2:B3"/>
    <mergeCell ref="C2:C3"/>
    <mergeCell ref="D2:D3"/>
    <mergeCell ref="E2:F2"/>
    <mergeCell ref="G2:H2"/>
    <mergeCell ref="I2:J2"/>
    <mergeCell ref="K2:L2"/>
    <mergeCell ref="M2:M3"/>
    <mergeCell ref="N2:N3"/>
    <mergeCell ref="O2:O3"/>
    <mergeCell ref="P2:P3"/>
    <mergeCell ref="Q2:Q3"/>
    <mergeCell ref="R2:R3"/>
    <mergeCell ref="AF2:AF3"/>
    <mergeCell ref="AU2:AU3"/>
    <mergeCell ref="AT2:AT3"/>
    <mergeCell ref="AS2:AS3"/>
    <mergeCell ref="AR2:AR3"/>
    <mergeCell ref="AK2:AK3"/>
    <mergeCell ref="AJ2:AJ3"/>
    <mergeCell ref="AI2:AI3"/>
    <mergeCell ref="AH2:AH3"/>
    <mergeCell ref="AG2:AG3"/>
  </mergeCells>
  <phoneticPr fontId="1" type="noConversion"/>
  <pageMargins left="0.78740157480314954" right="0" top="0.39370078740157477" bottom="0.39370078740157477" header="0" footer="0"/>
  <pageSetup paperSize="9" scale="65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FF"/>
  </sheetPr>
  <dimension ref="A1:K42"/>
  <sheetViews>
    <sheetView view="pageBreakPreview" topLeftCell="A28" zoomScale="115" zoomScaleNormal="100" zoomScaleSheetLayoutView="115" workbookViewId="0">
      <selection activeCell="H7" sqref="H7"/>
    </sheetView>
  </sheetViews>
  <sheetFormatPr defaultRowHeight="17.25" x14ac:dyDescent="0.3"/>
  <cols>
    <col min="1" max="1" width="15.625" style="42" customWidth="1"/>
    <col min="2" max="7" width="10.625" style="42" customWidth="1"/>
    <col min="8" max="10" width="11.625" style="42" customWidth="1"/>
    <col min="11" max="11" width="10" style="42" customWidth="1"/>
    <col min="12" max="247" width="9" style="42"/>
    <col min="248" max="248" width="15.625" style="42" customWidth="1"/>
    <col min="249" max="254" width="10.625" style="42" customWidth="1"/>
    <col min="255" max="257" width="11.625" style="42" customWidth="1"/>
    <col min="258" max="258" width="10" style="42" customWidth="1"/>
    <col min="259" max="503" width="9" style="42"/>
    <col min="504" max="504" width="15.625" style="42" customWidth="1"/>
    <col min="505" max="510" width="10.625" style="42" customWidth="1"/>
    <col min="511" max="513" width="11.625" style="42" customWidth="1"/>
    <col min="514" max="514" width="10" style="42" customWidth="1"/>
    <col min="515" max="759" width="9" style="42"/>
    <col min="760" max="760" width="15.625" style="42" customWidth="1"/>
    <col min="761" max="766" width="10.625" style="42" customWidth="1"/>
    <col min="767" max="769" width="11.625" style="42" customWidth="1"/>
    <col min="770" max="770" width="10" style="42" customWidth="1"/>
    <col min="771" max="1015" width="9" style="42"/>
    <col min="1016" max="1016" width="15.625" style="42" customWidth="1"/>
    <col min="1017" max="1022" width="10.625" style="42" customWidth="1"/>
    <col min="1023" max="1025" width="11.625" style="42" customWidth="1"/>
    <col min="1026" max="1026" width="10" style="42" customWidth="1"/>
    <col min="1027" max="1271" width="9" style="42"/>
    <col min="1272" max="1272" width="15.625" style="42" customWidth="1"/>
    <col min="1273" max="1278" width="10.625" style="42" customWidth="1"/>
    <col min="1279" max="1281" width="11.625" style="42" customWidth="1"/>
    <col min="1282" max="1282" width="10" style="42" customWidth="1"/>
    <col min="1283" max="1527" width="9" style="42"/>
    <col min="1528" max="1528" width="15.625" style="42" customWidth="1"/>
    <col min="1529" max="1534" width="10.625" style="42" customWidth="1"/>
    <col min="1535" max="1537" width="11.625" style="42" customWidth="1"/>
    <col min="1538" max="1538" width="10" style="42" customWidth="1"/>
    <col min="1539" max="1783" width="9" style="42"/>
    <col min="1784" max="1784" width="15.625" style="42" customWidth="1"/>
    <col min="1785" max="1790" width="10.625" style="42" customWidth="1"/>
    <col min="1791" max="1793" width="11.625" style="42" customWidth="1"/>
    <col min="1794" max="1794" width="10" style="42" customWidth="1"/>
    <col min="1795" max="2039" width="9" style="42"/>
    <col min="2040" max="2040" width="15.625" style="42" customWidth="1"/>
    <col min="2041" max="2046" width="10.625" style="42" customWidth="1"/>
    <col min="2047" max="2049" width="11.625" style="42" customWidth="1"/>
    <col min="2050" max="2050" width="10" style="42" customWidth="1"/>
    <col min="2051" max="2295" width="9" style="42"/>
    <col min="2296" max="2296" width="15.625" style="42" customWidth="1"/>
    <col min="2297" max="2302" width="10.625" style="42" customWidth="1"/>
    <col min="2303" max="2305" width="11.625" style="42" customWidth="1"/>
    <col min="2306" max="2306" width="10" style="42" customWidth="1"/>
    <col min="2307" max="2551" width="9" style="42"/>
    <col min="2552" max="2552" width="15.625" style="42" customWidth="1"/>
    <col min="2553" max="2558" width="10.625" style="42" customWidth="1"/>
    <col min="2559" max="2561" width="11.625" style="42" customWidth="1"/>
    <col min="2562" max="2562" width="10" style="42" customWidth="1"/>
    <col min="2563" max="2807" width="9" style="42"/>
    <col min="2808" max="2808" width="15.625" style="42" customWidth="1"/>
    <col min="2809" max="2814" width="10.625" style="42" customWidth="1"/>
    <col min="2815" max="2817" width="11.625" style="42" customWidth="1"/>
    <col min="2818" max="2818" width="10" style="42" customWidth="1"/>
    <col min="2819" max="3063" width="9" style="42"/>
    <col min="3064" max="3064" width="15.625" style="42" customWidth="1"/>
    <col min="3065" max="3070" width="10.625" style="42" customWidth="1"/>
    <col min="3071" max="3073" width="11.625" style="42" customWidth="1"/>
    <col min="3074" max="3074" width="10" style="42" customWidth="1"/>
    <col min="3075" max="3319" width="9" style="42"/>
    <col min="3320" max="3320" width="15.625" style="42" customWidth="1"/>
    <col min="3321" max="3326" width="10.625" style="42" customWidth="1"/>
    <col min="3327" max="3329" width="11.625" style="42" customWidth="1"/>
    <col min="3330" max="3330" width="10" style="42" customWidth="1"/>
    <col min="3331" max="3575" width="9" style="42"/>
    <col min="3576" max="3576" width="15.625" style="42" customWidth="1"/>
    <col min="3577" max="3582" width="10.625" style="42" customWidth="1"/>
    <col min="3583" max="3585" width="11.625" style="42" customWidth="1"/>
    <col min="3586" max="3586" width="10" style="42" customWidth="1"/>
    <col min="3587" max="3831" width="9" style="42"/>
    <col min="3832" max="3832" width="15.625" style="42" customWidth="1"/>
    <col min="3833" max="3838" width="10.625" style="42" customWidth="1"/>
    <col min="3839" max="3841" width="11.625" style="42" customWidth="1"/>
    <col min="3842" max="3842" width="10" style="42" customWidth="1"/>
    <col min="3843" max="4087" width="9" style="42"/>
    <col min="4088" max="4088" width="15.625" style="42" customWidth="1"/>
    <col min="4089" max="4094" width="10.625" style="42" customWidth="1"/>
    <col min="4095" max="4097" width="11.625" style="42" customWidth="1"/>
    <col min="4098" max="4098" width="10" style="42" customWidth="1"/>
    <col min="4099" max="4343" width="9" style="42"/>
    <col min="4344" max="4344" width="15.625" style="42" customWidth="1"/>
    <col min="4345" max="4350" width="10.625" style="42" customWidth="1"/>
    <col min="4351" max="4353" width="11.625" style="42" customWidth="1"/>
    <col min="4354" max="4354" width="10" style="42" customWidth="1"/>
    <col min="4355" max="4599" width="9" style="42"/>
    <col min="4600" max="4600" width="15.625" style="42" customWidth="1"/>
    <col min="4601" max="4606" width="10.625" style="42" customWidth="1"/>
    <col min="4607" max="4609" width="11.625" style="42" customWidth="1"/>
    <col min="4610" max="4610" width="10" style="42" customWidth="1"/>
    <col min="4611" max="4855" width="9" style="42"/>
    <col min="4856" max="4856" width="15.625" style="42" customWidth="1"/>
    <col min="4857" max="4862" width="10.625" style="42" customWidth="1"/>
    <col min="4863" max="4865" width="11.625" style="42" customWidth="1"/>
    <col min="4866" max="4866" width="10" style="42" customWidth="1"/>
    <col min="4867" max="5111" width="9" style="42"/>
    <col min="5112" max="5112" width="15.625" style="42" customWidth="1"/>
    <col min="5113" max="5118" width="10.625" style="42" customWidth="1"/>
    <col min="5119" max="5121" width="11.625" style="42" customWidth="1"/>
    <col min="5122" max="5122" width="10" style="42" customWidth="1"/>
    <col min="5123" max="5367" width="9" style="42"/>
    <col min="5368" max="5368" width="15.625" style="42" customWidth="1"/>
    <col min="5369" max="5374" width="10.625" style="42" customWidth="1"/>
    <col min="5375" max="5377" width="11.625" style="42" customWidth="1"/>
    <col min="5378" max="5378" width="10" style="42" customWidth="1"/>
    <col min="5379" max="5623" width="9" style="42"/>
    <col min="5624" max="5624" width="15.625" style="42" customWidth="1"/>
    <col min="5625" max="5630" width="10.625" style="42" customWidth="1"/>
    <col min="5631" max="5633" width="11.625" style="42" customWidth="1"/>
    <col min="5634" max="5634" width="10" style="42" customWidth="1"/>
    <col min="5635" max="5879" width="9" style="42"/>
    <col min="5880" max="5880" width="15.625" style="42" customWidth="1"/>
    <col min="5881" max="5886" width="10.625" style="42" customWidth="1"/>
    <col min="5887" max="5889" width="11.625" style="42" customWidth="1"/>
    <col min="5890" max="5890" width="10" style="42" customWidth="1"/>
    <col min="5891" max="6135" width="9" style="42"/>
    <col min="6136" max="6136" width="15.625" style="42" customWidth="1"/>
    <col min="6137" max="6142" width="10.625" style="42" customWidth="1"/>
    <col min="6143" max="6145" width="11.625" style="42" customWidth="1"/>
    <col min="6146" max="6146" width="10" style="42" customWidth="1"/>
    <col min="6147" max="6391" width="9" style="42"/>
    <col min="6392" max="6392" width="15.625" style="42" customWidth="1"/>
    <col min="6393" max="6398" width="10.625" style="42" customWidth="1"/>
    <col min="6399" max="6401" width="11.625" style="42" customWidth="1"/>
    <col min="6402" max="6402" width="10" style="42" customWidth="1"/>
    <col min="6403" max="6647" width="9" style="42"/>
    <col min="6648" max="6648" width="15.625" style="42" customWidth="1"/>
    <col min="6649" max="6654" width="10.625" style="42" customWidth="1"/>
    <col min="6655" max="6657" width="11.625" style="42" customWidth="1"/>
    <col min="6658" max="6658" width="10" style="42" customWidth="1"/>
    <col min="6659" max="6903" width="9" style="42"/>
    <col min="6904" max="6904" width="15.625" style="42" customWidth="1"/>
    <col min="6905" max="6910" width="10.625" style="42" customWidth="1"/>
    <col min="6911" max="6913" width="11.625" style="42" customWidth="1"/>
    <col min="6914" max="6914" width="10" style="42" customWidth="1"/>
    <col min="6915" max="7159" width="9" style="42"/>
    <col min="7160" max="7160" width="15.625" style="42" customWidth="1"/>
    <col min="7161" max="7166" width="10.625" style="42" customWidth="1"/>
    <col min="7167" max="7169" width="11.625" style="42" customWidth="1"/>
    <col min="7170" max="7170" width="10" style="42" customWidth="1"/>
    <col min="7171" max="7415" width="9" style="42"/>
    <col min="7416" max="7416" width="15.625" style="42" customWidth="1"/>
    <col min="7417" max="7422" width="10.625" style="42" customWidth="1"/>
    <col min="7423" max="7425" width="11.625" style="42" customWidth="1"/>
    <col min="7426" max="7426" width="10" style="42" customWidth="1"/>
    <col min="7427" max="7671" width="9" style="42"/>
    <col min="7672" max="7672" width="15.625" style="42" customWidth="1"/>
    <col min="7673" max="7678" width="10.625" style="42" customWidth="1"/>
    <col min="7679" max="7681" width="11.625" style="42" customWidth="1"/>
    <col min="7682" max="7682" width="10" style="42" customWidth="1"/>
    <col min="7683" max="7927" width="9" style="42"/>
    <col min="7928" max="7928" width="15.625" style="42" customWidth="1"/>
    <col min="7929" max="7934" width="10.625" style="42" customWidth="1"/>
    <col min="7935" max="7937" width="11.625" style="42" customWidth="1"/>
    <col min="7938" max="7938" width="10" style="42" customWidth="1"/>
    <col min="7939" max="8183" width="9" style="42"/>
    <col min="8184" max="8184" width="15.625" style="42" customWidth="1"/>
    <col min="8185" max="8190" width="10.625" style="42" customWidth="1"/>
    <col min="8191" max="8193" width="11.625" style="42" customWidth="1"/>
    <col min="8194" max="8194" width="10" style="42" customWidth="1"/>
    <col min="8195" max="8439" width="9" style="42"/>
    <col min="8440" max="8440" width="15.625" style="42" customWidth="1"/>
    <col min="8441" max="8446" width="10.625" style="42" customWidth="1"/>
    <col min="8447" max="8449" width="11.625" style="42" customWidth="1"/>
    <col min="8450" max="8450" width="10" style="42" customWidth="1"/>
    <col min="8451" max="8695" width="9" style="42"/>
    <col min="8696" max="8696" width="15.625" style="42" customWidth="1"/>
    <col min="8697" max="8702" width="10.625" style="42" customWidth="1"/>
    <col min="8703" max="8705" width="11.625" style="42" customWidth="1"/>
    <col min="8706" max="8706" width="10" style="42" customWidth="1"/>
    <col min="8707" max="8951" width="9" style="42"/>
    <col min="8952" max="8952" width="15.625" style="42" customWidth="1"/>
    <col min="8953" max="8958" width="10.625" style="42" customWidth="1"/>
    <col min="8959" max="8961" width="11.625" style="42" customWidth="1"/>
    <col min="8962" max="8962" width="10" style="42" customWidth="1"/>
    <col min="8963" max="9207" width="9" style="42"/>
    <col min="9208" max="9208" width="15.625" style="42" customWidth="1"/>
    <col min="9209" max="9214" width="10.625" style="42" customWidth="1"/>
    <col min="9215" max="9217" width="11.625" style="42" customWidth="1"/>
    <col min="9218" max="9218" width="10" style="42" customWidth="1"/>
    <col min="9219" max="9463" width="9" style="42"/>
    <col min="9464" max="9464" width="15.625" style="42" customWidth="1"/>
    <col min="9465" max="9470" width="10.625" style="42" customWidth="1"/>
    <col min="9471" max="9473" width="11.625" style="42" customWidth="1"/>
    <col min="9474" max="9474" width="10" style="42" customWidth="1"/>
    <col min="9475" max="9719" width="9" style="42"/>
    <col min="9720" max="9720" width="15.625" style="42" customWidth="1"/>
    <col min="9721" max="9726" width="10.625" style="42" customWidth="1"/>
    <col min="9727" max="9729" width="11.625" style="42" customWidth="1"/>
    <col min="9730" max="9730" width="10" style="42" customWidth="1"/>
    <col min="9731" max="9975" width="9" style="42"/>
    <col min="9976" max="9976" width="15.625" style="42" customWidth="1"/>
    <col min="9977" max="9982" width="10.625" style="42" customWidth="1"/>
    <col min="9983" max="9985" width="11.625" style="42" customWidth="1"/>
    <col min="9986" max="9986" width="10" style="42" customWidth="1"/>
    <col min="9987" max="10231" width="9" style="42"/>
    <col min="10232" max="10232" width="15.625" style="42" customWidth="1"/>
    <col min="10233" max="10238" width="10.625" style="42" customWidth="1"/>
    <col min="10239" max="10241" width="11.625" style="42" customWidth="1"/>
    <col min="10242" max="10242" width="10" style="42" customWidth="1"/>
    <col min="10243" max="10487" width="9" style="42"/>
    <col min="10488" max="10488" width="15.625" style="42" customWidth="1"/>
    <col min="10489" max="10494" width="10.625" style="42" customWidth="1"/>
    <col min="10495" max="10497" width="11.625" style="42" customWidth="1"/>
    <col min="10498" max="10498" width="10" style="42" customWidth="1"/>
    <col min="10499" max="10743" width="9" style="42"/>
    <col min="10744" max="10744" width="15.625" style="42" customWidth="1"/>
    <col min="10745" max="10750" width="10.625" style="42" customWidth="1"/>
    <col min="10751" max="10753" width="11.625" style="42" customWidth="1"/>
    <col min="10754" max="10754" width="10" style="42" customWidth="1"/>
    <col min="10755" max="10999" width="9" style="42"/>
    <col min="11000" max="11000" width="15.625" style="42" customWidth="1"/>
    <col min="11001" max="11006" width="10.625" style="42" customWidth="1"/>
    <col min="11007" max="11009" width="11.625" style="42" customWidth="1"/>
    <col min="11010" max="11010" width="10" style="42" customWidth="1"/>
    <col min="11011" max="11255" width="9" style="42"/>
    <col min="11256" max="11256" width="15.625" style="42" customWidth="1"/>
    <col min="11257" max="11262" width="10.625" style="42" customWidth="1"/>
    <col min="11263" max="11265" width="11.625" style="42" customWidth="1"/>
    <col min="11266" max="11266" width="10" style="42" customWidth="1"/>
    <col min="11267" max="11511" width="9" style="42"/>
    <col min="11512" max="11512" width="15.625" style="42" customWidth="1"/>
    <col min="11513" max="11518" width="10.625" style="42" customWidth="1"/>
    <col min="11519" max="11521" width="11.625" style="42" customWidth="1"/>
    <col min="11522" max="11522" width="10" style="42" customWidth="1"/>
    <col min="11523" max="11767" width="9" style="42"/>
    <col min="11768" max="11768" width="15.625" style="42" customWidth="1"/>
    <col min="11769" max="11774" width="10.625" style="42" customWidth="1"/>
    <col min="11775" max="11777" width="11.625" style="42" customWidth="1"/>
    <col min="11778" max="11778" width="10" style="42" customWidth="1"/>
    <col min="11779" max="12023" width="9" style="42"/>
    <col min="12024" max="12024" width="15.625" style="42" customWidth="1"/>
    <col min="12025" max="12030" width="10.625" style="42" customWidth="1"/>
    <col min="12031" max="12033" width="11.625" style="42" customWidth="1"/>
    <col min="12034" max="12034" width="10" style="42" customWidth="1"/>
    <col min="12035" max="12279" width="9" style="42"/>
    <col min="12280" max="12280" width="15.625" style="42" customWidth="1"/>
    <col min="12281" max="12286" width="10.625" style="42" customWidth="1"/>
    <col min="12287" max="12289" width="11.625" style="42" customWidth="1"/>
    <col min="12290" max="12290" width="10" style="42" customWidth="1"/>
    <col min="12291" max="12535" width="9" style="42"/>
    <col min="12536" max="12536" width="15.625" style="42" customWidth="1"/>
    <col min="12537" max="12542" width="10.625" style="42" customWidth="1"/>
    <col min="12543" max="12545" width="11.625" style="42" customWidth="1"/>
    <col min="12546" max="12546" width="10" style="42" customWidth="1"/>
    <col min="12547" max="12791" width="9" style="42"/>
    <col min="12792" max="12792" width="15.625" style="42" customWidth="1"/>
    <col min="12793" max="12798" width="10.625" style="42" customWidth="1"/>
    <col min="12799" max="12801" width="11.625" style="42" customWidth="1"/>
    <col min="12802" max="12802" width="10" style="42" customWidth="1"/>
    <col min="12803" max="13047" width="9" style="42"/>
    <col min="13048" max="13048" width="15.625" style="42" customWidth="1"/>
    <col min="13049" max="13054" width="10.625" style="42" customWidth="1"/>
    <col min="13055" max="13057" width="11.625" style="42" customWidth="1"/>
    <col min="13058" max="13058" width="10" style="42" customWidth="1"/>
    <col min="13059" max="13303" width="9" style="42"/>
    <col min="13304" max="13304" width="15.625" style="42" customWidth="1"/>
    <col min="13305" max="13310" width="10.625" style="42" customWidth="1"/>
    <col min="13311" max="13313" width="11.625" style="42" customWidth="1"/>
    <col min="13314" max="13314" width="10" style="42" customWidth="1"/>
    <col min="13315" max="13559" width="9" style="42"/>
    <col min="13560" max="13560" width="15.625" style="42" customWidth="1"/>
    <col min="13561" max="13566" width="10.625" style="42" customWidth="1"/>
    <col min="13567" max="13569" width="11.625" style="42" customWidth="1"/>
    <col min="13570" max="13570" width="10" style="42" customWidth="1"/>
    <col min="13571" max="13815" width="9" style="42"/>
    <col min="13816" max="13816" width="15.625" style="42" customWidth="1"/>
    <col min="13817" max="13822" width="10.625" style="42" customWidth="1"/>
    <col min="13823" max="13825" width="11.625" style="42" customWidth="1"/>
    <col min="13826" max="13826" width="10" style="42" customWidth="1"/>
    <col min="13827" max="14071" width="9" style="42"/>
    <col min="14072" max="14072" width="15.625" style="42" customWidth="1"/>
    <col min="14073" max="14078" width="10.625" style="42" customWidth="1"/>
    <col min="14079" max="14081" width="11.625" style="42" customWidth="1"/>
    <col min="14082" max="14082" width="10" style="42" customWidth="1"/>
    <col min="14083" max="14327" width="9" style="42"/>
    <col min="14328" max="14328" width="15.625" style="42" customWidth="1"/>
    <col min="14329" max="14334" width="10.625" style="42" customWidth="1"/>
    <col min="14335" max="14337" width="11.625" style="42" customWidth="1"/>
    <col min="14338" max="14338" width="10" style="42" customWidth="1"/>
    <col min="14339" max="14583" width="9" style="42"/>
    <col min="14584" max="14584" width="15.625" style="42" customWidth="1"/>
    <col min="14585" max="14590" width="10.625" style="42" customWidth="1"/>
    <col min="14591" max="14593" width="11.625" style="42" customWidth="1"/>
    <col min="14594" max="14594" width="10" style="42" customWidth="1"/>
    <col min="14595" max="14839" width="9" style="42"/>
    <col min="14840" max="14840" width="15.625" style="42" customWidth="1"/>
    <col min="14841" max="14846" width="10.625" style="42" customWidth="1"/>
    <col min="14847" max="14849" width="11.625" style="42" customWidth="1"/>
    <col min="14850" max="14850" width="10" style="42" customWidth="1"/>
    <col min="14851" max="15095" width="9" style="42"/>
    <col min="15096" max="15096" width="15.625" style="42" customWidth="1"/>
    <col min="15097" max="15102" width="10.625" style="42" customWidth="1"/>
    <col min="15103" max="15105" width="11.625" style="42" customWidth="1"/>
    <col min="15106" max="15106" width="10" style="42" customWidth="1"/>
    <col min="15107" max="15351" width="9" style="42"/>
    <col min="15352" max="15352" width="15.625" style="42" customWidth="1"/>
    <col min="15353" max="15358" width="10.625" style="42" customWidth="1"/>
    <col min="15359" max="15361" width="11.625" style="42" customWidth="1"/>
    <col min="15362" max="15362" width="10" style="42" customWidth="1"/>
    <col min="15363" max="15607" width="9" style="42"/>
    <col min="15608" max="15608" width="15.625" style="42" customWidth="1"/>
    <col min="15609" max="15614" width="10.625" style="42" customWidth="1"/>
    <col min="15615" max="15617" width="11.625" style="42" customWidth="1"/>
    <col min="15618" max="15618" width="10" style="42" customWidth="1"/>
    <col min="15619" max="15863" width="9" style="42"/>
    <col min="15864" max="15864" width="15.625" style="42" customWidth="1"/>
    <col min="15865" max="15870" width="10.625" style="42" customWidth="1"/>
    <col min="15871" max="15873" width="11.625" style="42" customWidth="1"/>
    <col min="15874" max="15874" width="10" style="42" customWidth="1"/>
    <col min="15875" max="16119" width="9" style="42"/>
    <col min="16120" max="16120" width="15.625" style="42" customWidth="1"/>
    <col min="16121" max="16126" width="10.625" style="42" customWidth="1"/>
    <col min="16127" max="16129" width="11.625" style="42" customWidth="1"/>
    <col min="16130" max="16130" width="10" style="42" customWidth="1"/>
    <col min="16131" max="16384" width="9" style="42"/>
  </cols>
  <sheetData>
    <row r="1" spans="1:11" ht="24.95" customHeight="1" x14ac:dyDescent="0.3">
      <c r="A1" s="41" t="s">
        <v>1493</v>
      </c>
    </row>
    <row r="3" spans="1:11" ht="20.100000000000001" customHeight="1" x14ac:dyDescent="0.3">
      <c r="A3" s="43" t="s">
        <v>1494</v>
      </c>
    </row>
    <row r="4" spans="1:11" ht="25.5" customHeight="1" x14ac:dyDescent="0.3">
      <c r="A4" s="219" t="s">
        <v>1549</v>
      </c>
      <c r="B4" s="221" t="s">
        <v>1495</v>
      </c>
      <c r="C4" s="221"/>
      <c r="D4" s="221"/>
      <c r="E4" s="84" t="s">
        <v>1496</v>
      </c>
      <c r="F4" s="44"/>
      <c r="G4" s="85"/>
      <c r="H4" s="75" t="s">
        <v>1497</v>
      </c>
      <c r="I4" s="44"/>
      <c r="J4" s="67"/>
      <c r="K4" s="223" t="s">
        <v>1498</v>
      </c>
    </row>
    <row r="5" spans="1:11" ht="20.100000000000001" customHeight="1" x14ac:dyDescent="0.3">
      <c r="A5" s="220"/>
      <c r="B5" s="222"/>
      <c r="C5" s="222"/>
      <c r="D5" s="222"/>
      <c r="E5" s="86" t="s">
        <v>1499</v>
      </c>
      <c r="F5" s="45"/>
      <c r="G5" s="87"/>
      <c r="H5" s="76" t="s">
        <v>1548</v>
      </c>
      <c r="I5" s="46"/>
      <c r="J5" s="68">
        <v>118695</v>
      </c>
      <c r="K5" s="224"/>
    </row>
    <row r="6" spans="1:11" ht="20.100000000000001" customHeight="1" x14ac:dyDescent="0.3">
      <c r="A6" s="80"/>
      <c r="B6" s="72" t="s">
        <v>1500</v>
      </c>
      <c r="C6" s="49" t="s">
        <v>1501</v>
      </c>
      <c r="D6" s="64" t="s">
        <v>1502</v>
      </c>
      <c r="E6" s="88" t="s">
        <v>1500</v>
      </c>
      <c r="F6" s="49" t="s">
        <v>1501</v>
      </c>
      <c r="G6" s="89" t="s">
        <v>1502</v>
      </c>
      <c r="H6" s="104" t="s">
        <v>1500</v>
      </c>
      <c r="I6" s="105" t="s">
        <v>1501</v>
      </c>
      <c r="J6" s="106" t="s">
        <v>1502</v>
      </c>
      <c r="K6" s="83"/>
    </row>
    <row r="7" spans="1:11" ht="19.5" customHeight="1" x14ac:dyDescent="0.3">
      <c r="A7" s="81" t="s">
        <v>1503</v>
      </c>
      <c r="B7" s="73">
        <v>0.43</v>
      </c>
      <c r="C7" s="60">
        <v>0.54</v>
      </c>
      <c r="D7" s="65">
        <f t="shared" ref="D7:D13" si="0">C7*1.3</f>
        <v>0.70200000000000007</v>
      </c>
      <c r="E7" s="90">
        <f>(B7*0.35)</f>
        <v>0.15049999999999999</v>
      </c>
      <c r="F7" s="61">
        <f t="shared" ref="E7:G13" si="1">(C7*0.35)</f>
        <v>0.189</v>
      </c>
      <c r="G7" s="91">
        <f t="shared" si="1"/>
        <v>0.2457</v>
      </c>
      <c r="H7" s="78">
        <f>TRUNC(E7*J5)</f>
        <v>17863</v>
      </c>
      <c r="I7" s="62">
        <f>TRUNC(F7*J5)</f>
        <v>22433</v>
      </c>
      <c r="J7" s="69">
        <f>TRUNC(G7*J5)</f>
        <v>29163</v>
      </c>
      <c r="K7" s="81"/>
    </row>
    <row r="8" spans="1:11" ht="20.100000000000001" customHeight="1" x14ac:dyDescent="0.3">
      <c r="A8" s="82" t="s">
        <v>1504</v>
      </c>
      <c r="B8" s="74">
        <v>0.57999999999999996</v>
      </c>
      <c r="C8" s="47">
        <v>0.74</v>
      </c>
      <c r="D8" s="66">
        <f t="shared" si="0"/>
        <v>0.96199999999999997</v>
      </c>
      <c r="E8" s="92">
        <f>(B8*0.35)</f>
        <v>0.20299999999999999</v>
      </c>
      <c r="F8" s="48">
        <f t="shared" si="1"/>
        <v>0.25900000000000001</v>
      </c>
      <c r="G8" s="93">
        <f t="shared" si="1"/>
        <v>0.33669999999999994</v>
      </c>
      <c r="H8" s="78">
        <f>TRUNC(E8*J5)</f>
        <v>24095</v>
      </c>
      <c r="I8" s="58">
        <f>TRUNC(F8*J5)</f>
        <v>30742</v>
      </c>
      <c r="J8" s="70">
        <f>TRUNC(G8*J5)</f>
        <v>39964</v>
      </c>
      <c r="K8" s="82"/>
    </row>
    <row r="9" spans="1:11" ht="20.100000000000001" customHeight="1" x14ac:dyDescent="0.3">
      <c r="A9" s="82" t="s">
        <v>1505</v>
      </c>
      <c r="B9" s="74">
        <v>0.74</v>
      </c>
      <c r="C9" s="47">
        <v>1.04</v>
      </c>
      <c r="D9" s="66">
        <f t="shared" si="0"/>
        <v>1.3520000000000001</v>
      </c>
      <c r="E9" s="92">
        <f>(B9*0.35)</f>
        <v>0.25900000000000001</v>
      </c>
      <c r="F9" s="48">
        <f t="shared" si="1"/>
        <v>0.36399999999999999</v>
      </c>
      <c r="G9" s="93">
        <f t="shared" si="1"/>
        <v>0.47320000000000001</v>
      </c>
      <c r="H9" s="78">
        <f>TRUNC(E9*J5)</f>
        <v>30742</v>
      </c>
      <c r="I9" s="58">
        <f>TRUNC(F9*J5)</f>
        <v>43204</v>
      </c>
      <c r="J9" s="70">
        <f>TRUNC(G9*J5)</f>
        <v>56166</v>
      </c>
      <c r="K9" s="82"/>
    </row>
    <row r="10" spans="1:11" ht="20.100000000000001" customHeight="1" x14ac:dyDescent="0.3">
      <c r="A10" s="82" t="s">
        <v>1506</v>
      </c>
      <c r="B10" s="74">
        <v>1.04</v>
      </c>
      <c r="C10" s="47">
        <v>1.35</v>
      </c>
      <c r="D10" s="66">
        <f t="shared" si="0"/>
        <v>1.7550000000000001</v>
      </c>
      <c r="E10" s="92">
        <f>(B10*0.35)</f>
        <v>0.36399999999999999</v>
      </c>
      <c r="F10" s="48">
        <f t="shared" si="1"/>
        <v>0.47249999999999998</v>
      </c>
      <c r="G10" s="93">
        <f t="shared" si="1"/>
        <v>0.61424999999999996</v>
      </c>
      <c r="H10" s="78">
        <f>TRUNC(E10*J5)</f>
        <v>43204</v>
      </c>
      <c r="I10" s="58">
        <f>TRUNC(F10*J5)</f>
        <v>56083</v>
      </c>
      <c r="J10" s="70">
        <f>TRUNC(G10*J5)</f>
        <v>72908</v>
      </c>
      <c r="K10" s="82"/>
    </row>
    <row r="11" spans="1:11" ht="20.100000000000001" customHeight="1" x14ac:dyDescent="0.3">
      <c r="A11" s="82" t="s">
        <v>1507</v>
      </c>
      <c r="B11" s="74">
        <v>1.65</v>
      </c>
      <c r="C11" s="47">
        <v>1.95</v>
      </c>
      <c r="D11" s="66">
        <f t="shared" si="0"/>
        <v>2.5350000000000001</v>
      </c>
      <c r="E11" s="92">
        <f>(B11*0.35)</f>
        <v>0.5774999999999999</v>
      </c>
      <c r="F11" s="48">
        <f t="shared" si="1"/>
        <v>0.6825</v>
      </c>
      <c r="G11" s="93">
        <f t="shared" si="1"/>
        <v>0.88724999999999998</v>
      </c>
      <c r="H11" s="78">
        <f>TRUNC(E11*J5)</f>
        <v>68546</v>
      </c>
      <c r="I11" s="58">
        <f>TRUNC(F11*J5)</f>
        <v>81009</v>
      </c>
      <c r="J11" s="70">
        <f>TRUNC(G11*J5)</f>
        <v>105312</v>
      </c>
      <c r="K11" s="82"/>
    </row>
    <row r="12" spans="1:11" ht="20.100000000000001" customHeight="1" x14ac:dyDescent="0.3">
      <c r="A12" s="82" t="s">
        <v>1508</v>
      </c>
      <c r="B12" s="74">
        <v>1.94</v>
      </c>
      <c r="C12" s="47">
        <v>2.2400000000000002</v>
      </c>
      <c r="D12" s="66">
        <f t="shared" si="0"/>
        <v>2.9120000000000004</v>
      </c>
      <c r="E12" s="92">
        <f t="shared" si="1"/>
        <v>0.67899999999999994</v>
      </c>
      <c r="F12" s="48">
        <f t="shared" si="1"/>
        <v>0.78400000000000003</v>
      </c>
      <c r="G12" s="93">
        <f t="shared" si="1"/>
        <v>1.0192000000000001</v>
      </c>
      <c r="H12" s="78">
        <f>TRUNC(E12*J5)</f>
        <v>80593</v>
      </c>
      <c r="I12" s="58">
        <f>TRUNC(F12*J5)</f>
        <v>93056</v>
      </c>
      <c r="J12" s="70">
        <f>TRUNC(G12*J5)</f>
        <v>120973</v>
      </c>
      <c r="K12" s="82"/>
    </row>
    <row r="13" spans="1:11" ht="20.100000000000001" customHeight="1" x14ac:dyDescent="0.3">
      <c r="A13" s="83" t="s">
        <v>1509</v>
      </c>
      <c r="B13" s="72">
        <v>2.2400000000000002</v>
      </c>
      <c r="C13" s="49">
        <v>2.5499999999999998</v>
      </c>
      <c r="D13" s="64">
        <f t="shared" si="0"/>
        <v>3.3149999999999999</v>
      </c>
      <c r="E13" s="94">
        <f t="shared" si="1"/>
        <v>0.78400000000000003</v>
      </c>
      <c r="F13" s="50">
        <f t="shared" si="1"/>
        <v>0.89249999999999985</v>
      </c>
      <c r="G13" s="95">
        <f t="shared" si="1"/>
        <v>1.16025</v>
      </c>
      <c r="H13" s="79">
        <f>TRUNC(E13*J5)</f>
        <v>93056</v>
      </c>
      <c r="I13" s="59">
        <f>TRUNC(F13*J5)</f>
        <v>105935</v>
      </c>
      <c r="J13" s="71">
        <f>TRUNC(G13*J5)</f>
        <v>137715</v>
      </c>
      <c r="K13" s="83"/>
    </row>
    <row r="14" spans="1:11" s="52" customFormat="1" x14ac:dyDescent="0.3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</row>
    <row r="15" spans="1:11" s="52" customFormat="1" x14ac:dyDescent="0.3"/>
    <row r="16" spans="1:11" s="52" customFormat="1" x14ac:dyDescent="0.3">
      <c r="A16" s="13" t="s">
        <v>1550</v>
      </c>
    </row>
    <row r="17" spans="1:11" s="52" customFormat="1" x14ac:dyDescent="0.3">
      <c r="A17" s="13"/>
    </row>
    <row r="18" spans="1:11" s="52" customFormat="1" x14ac:dyDescent="0.3">
      <c r="A18" s="13" t="s">
        <v>1510</v>
      </c>
    </row>
    <row r="19" spans="1:11" s="52" customFormat="1" x14ac:dyDescent="0.3"/>
    <row r="20" spans="1:11" s="52" customFormat="1" x14ac:dyDescent="0.3"/>
    <row r="21" spans="1:11" s="52" customFormat="1" x14ac:dyDescent="0.3"/>
    <row r="22" spans="1:11" s="52" customFormat="1" x14ac:dyDescent="0.3"/>
    <row r="23" spans="1:11" s="52" customFormat="1" x14ac:dyDescent="0.3"/>
    <row r="24" spans="1:11" s="52" customFormat="1" x14ac:dyDescent="0.3"/>
    <row r="25" spans="1:11" s="52" customFormat="1" x14ac:dyDescent="0.3"/>
    <row r="26" spans="1:11" ht="20.100000000000001" customHeight="1" x14ac:dyDescent="0.3">
      <c r="A26" s="43" t="s">
        <v>1511</v>
      </c>
    </row>
    <row r="27" spans="1:11" ht="24.95" customHeight="1" x14ac:dyDescent="0.3">
      <c r="A27" s="219" t="s">
        <v>1549</v>
      </c>
      <c r="B27" s="221" t="s">
        <v>1495</v>
      </c>
      <c r="C27" s="221"/>
      <c r="D27" s="221"/>
      <c r="E27" s="84" t="s">
        <v>1496</v>
      </c>
      <c r="F27" s="44"/>
      <c r="G27" s="85"/>
      <c r="H27" s="75" t="s">
        <v>1497</v>
      </c>
      <c r="I27" s="44"/>
      <c r="J27" s="67"/>
      <c r="K27" s="223" t="s">
        <v>1498</v>
      </c>
    </row>
    <row r="28" spans="1:11" ht="20.100000000000001" customHeight="1" x14ac:dyDescent="0.3">
      <c r="A28" s="220"/>
      <c r="B28" s="222"/>
      <c r="C28" s="222"/>
      <c r="D28" s="222"/>
      <c r="E28" s="86" t="s">
        <v>1499</v>
      </c>
      <c r="F28" s="45"/>
      <c r="G28" s="87"/>
      <c r="H28" s="76" t="s">
        <v>1548</v>
      </c>
      <c r="I28" s="46"/>
      <c r="J28" s="68">
        <v>118695</v>
      </c>
      <c r="K28" s="224"/>
    </row>
    <row r="29" spans="1:11" ht="20.100000000000001" customHeight="1" x14ac:dyDescent="0.3">
      <c r="A29" s="80"/>
      <c r="B29" s="72" t="s">
        <v>1500</v>
      </c>
      <c r="C29" s="49" t="s">
        <v>1501</v>
      </c>
      <c r="D29" s="64" t="s">
        <v>1502</v>
      </c>
      <c r="E29" s="88" t="s">
        <v>1500</v>
      </c>
      <c r="F29" s="49" t="s">
        <v>1501</v>
      </c>
      <c r="G29" s="89" t="s">
        <v>1502</v>
      </c>
      <c r="H29" s="104" t="s">
        <v>1500</v>
      </c>
      <c r="I29" s="105" t="s">
        <v>1501</v>
      </c>
      <c r="J29" s="106" t="s">
        <v>1502</v>
      </c>
      <c r="K29" s="83"/>
    </row>
    <row r="30" spans="1:11" ht="20.100000000000001" customHeight="1" x14ac:dyDescent="0.3">
      <c r="A30" s="81" t="s">
        <v>1512</v>
      </c>
      <c r="B30" s="96">
        <v>0.48</v>
      </c>
      <c r="C30" s="63">
        <v>0.6</v>
      </c>
      <c r="D30" s="65">
        <f t="shared" ref="D30:D36" si="2">C30*1.3</f>
        <v>0.78</v>
      </c>
      <c r="E30" s="90">
        <f t="shared" ref="E30:G36" si="3">(B30*0.35)</f>
        <v>0.16799999999999998</v>
      </c>
      <c r="F30" s="61">
        <f t="shared" si="3"/>
        <v>0.21</v>
      </c>
      <c r="G30" s="91">
        <f t="shared" si="3"/>
        <v>0.27299999999999996</v>
      </c>
      <c r="H30" s="77">
        <f>TRUNC(E30*J28)</f>
        <v>19940</v>
      </c>
      <c r="I30" s="62">
        <f>TRUNC(F30*J28)</f>
        <v>24925</v>
      </c>
      <c r="J30" s="69">
        <f>TRUNC(G30*J28)</f>
        <v>32403</v>
      </c>
      <c r="K30" s="81"/>
    </row>
    <row r="31" spans="1:11" ht="20.100000000000001" customHeight="1" x14ac:dyDescent="0.3">
      <c r="A31" s="82" t="s">
        <v>1513</v>
      </c>
      <c r="B31" s="97">
        <v>0.65</v>
      </c>
      <c r="C31" s="53">
        <v>0.82</v>
      </c>
      <c r="D31" s="66">
        <f t="shared" si="2"/>
        <v>1.0660000000000001</v>
      </c>
      <c r="E31" s="92">
        <f t="shared" si="3"/>
        <v>0.22749999999999998</v>
      </c>
      <c r="F31" s="48">
        <f t="shared" si="3"/>
        <v>0.28699999999999998</v>
      </c>
      <c r="G31" s="93">
        <f t="shared" si="3"/>
        <v>0.37309999999999999</v>
      </c>
      <c r="H31" s="78">
        <f>TRUNC(E31*J28)</f>
        <v>27003</v>
      </c>
      <c r="I31" s="58">
        <f>TRUNC(F31*J28)</f>
        <v>34065</v>
      </c>
      <c r="J31" s="70">
        <f>TRUNC(G31*J28)</f>
        <v>44285</v>
      </c>
      <c r="K31" s="82"/>
    </row>
    <row r="32" spans="1:11" ht="20.100000000000001" customHeight="1" x14ac:dyDescent="0.3">
      <c r="A32" s="82" t="s">
        <v>1514</v>
      </c>
      <c r="B32" s="97">
        <v>0.93</v>
      </c>
      <c r="C32" s="53">
        <v>1.1599999999999999</v>
      </c>
      <c r="D32" s="66">
        <f t="shared" si="2"/>
        <v>1.508</v>
      </c>
      <c r="E32" s="92">
        <f t="shared" si="3"/>
        <v>0.32550000000000001</v>
      </c>
      <c r="F32" s="48">
        <f t="shared" si="3"/>
        <v>0.40599999999999997</v>
      </c>
      <c r="G32" s="93">
        <f t="shared" si="3"/>
        <v>0.52779999999999994</v>
      </c>
      <c r="H32" s="78">
        <f>TRUNC(E32*J28)</f>
        <v>38635</v>
      </c>
      <c r="I32" s="58">
        <f>TRUNC(F32*J28)</f>
        <v>48190</v>
      </c>
      <c r="J32" s="70">
        <f>TRUNC(G32*J28)</f>
        <v>62647</v>
      </c>
      <c r="K32" s="82"/>
    </row>
    <row r="33" spans="1:11" ht="20.100000000000001" customHeight="1" x14ac:dyDescent="0.3">
      <c r="A33" s="82" t="s">
        <v>1515</v>
      </c>
      <c r="B33" s="97">
        <v>1.2</v>
      </c>
      <c r="C33" s="53">
        <v>1.5</v>
      </c>
      <c r="D33" s="66">
        <f t="shared" si="2"/>
        <v>1.9500000000000002</v>
      </c>
      <c r="E33" s="92">
        <f t="shared" si="3"/>
        <v>0.42</v>
      </c>
      <c r="F33" s="48">
        <f t="shared" si="3"/>
        <v>0.52499999999999991</v>
      </c>
      <c r="G33" s="93">
        <f t="shared" si="3"/>
        <v>0.6825</v>
      </c>
      <c r="H33" s="78">
        <f>TRUNC(E33*J28)</f>
        <v>49851</v>
      </c>
      <c r="I33" s="58">
        <f>TRUNC(F33*J28)</f>
        <v>62314</v>
      </c>
      <c r="J33" s="70">
        <f>TRUNC(G33*J28)</f>
        <v>81009</v>
      </c>
      <c r="K33" s="82"/>
    </row>
    <row r="34" spans="1:11" ht="20.100000000000001" customHeight="1" x14ac:dyDescent="0.3">
      <c r="A34" s="82" t="s">
        <v>1516</v>
      </c>
      <c r="B34" s="97">
        <v>1.47</v>
      </c>
      <c r="C34" s="53">
        <v>1.84</v>
      </c>
      <c r="D34" s="66">
        <f t="shared" si="2"/>
        <v>2.3920000000000003</v>
      </c>
      <c r="E34" s="92">
        <f t="shared" si="3"/>
        <v>0.51449999999999996</v>
      </c>
      <c r="F34" s="48">
        <f t="shared" si="3"/>
        <v>0.64400000000000002</v>
      </c>
      <c r="G34" s="93">
        <f t="shared" si="3"/>
        <v>0.83720000000000006</v>
      </c>
      <c r="H34" s="78">
        <f>TRUNC(E34*J28)</f>
        <v>61068</v>
      </c>
      <c r="I34" s="58">
        <f>TRUNC(F34*J28)</f>
        <v>76439</v>
      </c>
      <c r="J34" s="70">
        <f>TRUNC(G34*J28)</f>
        <v>99371</v>
      </c>
      <c r="K34" s="82"/>
    </row>
    <row r="35" spans="1:11" ht="20.100000000000001" customHeight="1" x14ac:dyDescent="0.3">
      <c r="A35" s="82" t="s">
        <v>1517</v>
      </c>
      <c r="B35" s="97">
        <v>1.74</v>
      </c>
      <c r="C35" s="53">
        <v>2.2000000000000002</v>
      </c>
      <c r="D35" s="66">
        <f t="shared" si="2"/>
        <v>2.8600000000000003</v>
      </c>
      <c r="E35" s="92">
        <f t="shared" si="3"/>
        <v>0.60899999999999999</v>
      </c>
      <c r="F35" s="48">
        <f t="shared" si="3"/>
        <v>0.77</v>
      </c>
      <c r="G35" s="93">
        <f t="shared" si="3"/>
        <v>1.0010000000000001</v>
      </c>
      <c r="H35" s="78">
        <f>TRUNC(E35*J28)</f>
        <v>72285</v>
      </c>
      <c r="I35" s="58">
        <f>TRUNC(F35*J28)</f>
        <v>91395</v>
      </c>
      <c r="J35" s="70">
        <f>TRUNC(G35*J28)</f>
        <v>118813</v>
      </c>
      <c r="K35" s="82"/>
    </row>
    <row r="36" spans="1:11" ht="20.100000000000001" customHeight="1" x14ac:dyDescent="0.3">
      <c r="A36" s="83" t="s">
        <v>1518</v>
      </c>
      <c r="B36" s="98">
        <v>2.4</v>
      </c>
      <c r="C36" s="54">
        <v>2.54</v>
      </c>
      <c r="D36" s="64">
        <f t="shared" si="2"/>
        <v>3.302</v>
      </c>
      <c r="E36" s="94">
        <f t="shared" si="3"/>
        <v>0.84</v>
      </c>
      <c r="F36" s="50">
        <f t="shared" si="3"/>
        <v>0.8889999999999999</v>
      </c>
      <c r="G36" s="95">
        <f t="shared" si="3"/>
        <v>1.1556999999999999</v>
      </c>
      <c r="H36" s="79">
        <f>TRUNC(E36*J28)</f>
        <v>99703</v>
      </c>
      <c r="I36" s="59">
        <f>TRUNC(F36*J28)</f>
        <v>105519</v>
      </c>
      <c r="J36" s="71">
        <f>TRUNC(G36*J28)</f>
        <v>137175</v>
      </c>
      <c r="K36" s="83"/>
    </row>
    <row r="37" spans="1:11" s="52" customFormat="1" x14ac:dyDescent="0.3"/>
    <row r="38" spans="1:11" s="52" customFormat="1" x14ac:dyDescent="0.3">
      <c r="A38" s="13" t="s">
        <v>1550</v>
      </c>
    </row>
    <row r="39" spans="1:11" s="52" customFormat="1" x14ac:dyDescent="0.3">
      <c r="A39" s="13"/>
    </row>
    <row r="40" spans="1:11" s="52" customFormat="1" x14ac:dyDescent="0.3">
      <c r="A40" s="13" t="s">
        <v>1510</v>
      </c>
    </row>
    <row r="41" spans="1:11" s="52" customFormat="1" x14ac:dyDescent="0.3"/>
    <row r="42" spans="1:11" s="52" customFormat="1" x14ac:dyDescent="0.3"/>
  </sheetData>
  <mergeCells count="6">
    <mergeCell ref="A4:A5"/>
    <mergeCell ref="B4:D5"/>
    <mergeCell ref="K4:K5"/>
    <mergeCell ref="A27:A28"/>
    <mergeCell ref="B27:D28"/>
    <mergeCell ref="K27:K28"/>
  </mergeCells>
  <phoneticPr fontId="1" type="noConversion"/>
  <printOptions horizontalCentered="1"/>
  <pageMargins left="0.9055118110236221" right="0.27559055118110237" top="0.98425196850393704" bottom="0.59055118110236227" header="0.51181102362204722" footer="0.11811023622047245"/>
  <pageSetup paperSize="9" scale="99" firstPageNumber="35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FF"/>
  </sheetPr>
  <dimension ref="E1:M33"/>
  <sheetViews>
    <sheetView view="pageBreakPreview" zoomScaleNormal="105" zoomScaleSheetLayoutView="100" workbookViewId="0">
      <pane xSplit="7" ySplit="5" topLeftCell="H15" activePane="bottomRight" state="frozen"/>
      <selection activeCell="A3" sqref="A3:A4"/>
      <selection pane="topRight" activeCell="A3" sqref="A3:A4"/>
      <selection pane="bottomLeft" activeCell="A3" sqref="A3:A4"/>
      <selection pane="bottomRight" activeCell="O20" sqref="O20"/>
    </sheetView>
  </sheetViews>
  <sheetFormatPr defaultColWidth="13.625" defaultRowHeight="16.899999999999999" customHeight="1" x14ac:dyDescent="0.3"/>
  <cols>
    <col min="1" max="4" width="0" style="13" hidden="1" customWidth="1"/>
    <col min="5" max="16384" width="13.625" style="13"/>
  </cols>
  <sheetData>
    <row r="1" spans="5:13" ht="30" customHeight="1" x14ac:dyDescent="0.3">
      <c r="E1" s="225" t="s">
        <v>959</v>
      </c>
      <c r="F1" s="225"/>
      <c r="G1" s="225"/>
      <c r="H1" s="225"/>
      <c r="I1" s="225"/>
      <c r="J1" s="225"/>
      <c r="K1" s="225"/>
      <c r="L1" s="225"/>
      <c r="M1" s="225"/>
    </row>
    <row r="2" spans="5:13" ht="30" customHeight="1" x14ac:dyDescent="0.3">
      <c r="E2" s="14"/>
      <c r="F2" s="14"/>
      <c r="G2" s="15"/>
      <c r="H2" s="15"/>
      <c r="I2" s="15"/>
      <c r="J2" s="15"/>
      <c r="K2" s="15"/>
    </row>
    <row r="3" spans="5:13" ht="30" customHeight="1" thickBot="1" x14ac:dyDescent="0.35">
      <c r="E3" s="13" t="s">
        <v>1460</v>
      </c>
    </row>
    <row r="4" spans="5:13" ht="30" customHeight="1" x14ac:dyDescent="0.3">
      <c r="E4" s="226" t="s">
        <v>1461</v>
      </c>
      <c r="F4" s="228" t="s">
        <v>1462</v>
      </c>
      <c r="G4" s="230" t="s">
        <v>1463</v>
      </c>
      <c r="H4" s="232" t="s">
        <v>1464</v>
      </c>
      <c r="I4" s="233"/>
      <c r="J4" s="233"/>
      <c r="K4" s="233"/>
      <c r="L4" s="228" t="s">
        <v>1465</v>
      </c>
      <c r="M4" s="234" t="s">
        <v>1466</v>
      </c>
    </row>
    <row r="5" spans="5:13" ht="30" customHeight="1" x14ac:dyDescent="0.3">
      <c r="E5" s="227"/>
      <c r="F5" s="229"/>
      <c r="G5" s="231"/>
      <c r="H5" s="102" t="s">
        <v>1997</v>
      </c>
      <c r="I5" s="108" t="s">
        <v>1996</v>
      </c>
      <c r="J5" s="16" t="s">
        <v>1962</v>
      </c>
      <c r="K5" s="16" t="s">
        <v>1656</v>
      </c>
      <c r="L5" s="229"/>
      <c r="M5" s="235"/>
    </row>
    <row r="6" spans="5:13" ht="30" customHeight="1" x14ac:dyDescent="0.3">
      <c r="E6" s="17" t="s">
        <v>1467</v>
      </c>
      <c r="F6" s="18">
        <v>1075</v>
      </c>
      <c r="G6" s="19" t="s">
        <v>1119</v>
      </c>
      <c r="H6" s="103">
        <v>273676</v>
      </c>
      <c r="I6" s="109">
        <v>273539</v>
      </c>
      <c r="J6" s="28">
        <v>268915</v>
      </c>
      <c r="K6" s="28">
        <v>272860</v>
      </c>
      <c r="L6" s="20">
        <f t="shared" ref="L6:L15" si="0">(H6-I6)/I6</f>
        <v>5.0084265863368658E-4</v>
      </c>
      <c r="M6" s="21"/>
    </row>
    <row r="7" spans="5:13" ht="30" customHeight="1" x14ac:dyDescent="0.3">
      <c r="E7" s="17"/>
      <c r="F7" s="18">
        <v>1076</v>
      </c>
      <c r="G7" s="22" t="s">
        <v>1468</v>
      </c>
      <c r="H7" s="103">
        <v>440616</v>
      </c>
      <c r="I7" s="109">
        <v>439248</v>
      </c>
      <c r="J7" s="28">
        <v>436458</v>
      </c>
      <c r="K7" s="28">
        <v>414989</v>
      </c>
      <c r="L7" s="20">
        <f t="shared" si="0"/>
        <v>3.114413725275926E-3</v>
      </c>
      <c r="M7" s="23"/>
    </row>
    <row r="8" spans="5:13" ht="30" customHeight="1" x14ac:dyDescent="0.3">
      <c r="E8" s="24"/>
      <c r="F8" s="18">
        <v>1077</v>
      </c>
      <c r="G8" s="25" t="s">
        <v>1469</v>
      </c>
      <c r="H8" s="103">
        <v>373640</v>
      </c>
      <c r="I8" s="109">
        <v>372997</v>
      </c>
      <c r="J8" s="28">
        <v>370529</v>
      </c>
      <c r="K8" s="28">
        <v>354400</v>
      </c>
      <c r="L8" s="20">
        <f t="shared" si="0"/>
        <v>1.7238744547543278E-3</v>
      </c>
      <c r="M8" s="23"/>
    </row>
    <row r="9" spans="5:13" ht="30" customHeight="1" x14ac:dyDescent="0.3">
      <c r="E9" s="24"/>
      <c r="F9" s="18">
        <v>1078</v>
      </c>
      <c r="G9" s="25" t="s">
        <v>1470</v>
      </c>
      <c r="H9" s="103">
        <v>304156</v>
      </c>
      <c r="I9" s="109">
        <v>303632</v>
      </c>
      <c r="J9" s="28">
        <v>300337</v>
      </c>
      <c r="K9" s="28">
        <v>301374</v>
      </c>
      <c r="L9" s="20">
        <f t="shared" si="0"/>
        <v>1.7257733045265321E-3</v>
      </c>
      <c r="M9" s="23"/>
    </row>
    <row r="10" spans="5:13" ht="30" customHeight="1" x14ac:dyDescent="0.3">
      <c r="E10" s="24"/>
      <c r="F10" s="16">
        <v>1079</v>
      </c>
      <c r="G10" s="25" t="s">
        <v>1471</v>
      </c>
      <c r="H10" s="103">
        <v>638460</v>
      </c>
      <c r="I10" s="109">
        <v>637453</v>
      </c>
      <c r="J10" s="28">
        <v>627960</v>
      </c>
      <c r="K10" s="28">
        <v>621630</v>
      </c>
      <c r="L10" s="20">
        <f t="shared" si="0"/>
        <v>1.5797243090863169E-3</v>
      </c>
      <c r="M10" s="26"/>
    </row>
    <row r="11" spans="5:13" ht="30" customHeight="1" x14ac:dyDescent="0.3">
      <c r="E11" s="24"/>
      <c r="F11" s="18">
        <v>1081</v>
      </c>
      <c r="G11" s="25" t="s">
        <v>1472</v>
      </c>
      <c r="H11" s="103">
        <v>414968</v>
      </c>
      <c r="I11" s="109">
        <v>413173</v>
      </c>
      <c r="J11" s="28">
        <v>408559</v>
      </c>
      <c r="K11" s="28">
        <v>402995</v>
      </c>
      <c r="L11" s="20">
        <f t="shared" si="0"/>
        <v>4.3444271527907198E-3</v>
      </c>
      <c r="M11" s="23"/>
    </row>
    <row r="12" spans="5:13" ht="30" customHeight="1" x14ac:dyDescent="0.3">
      <c r="E12" s="17"/>
      <c r="F12" s="18">
        <v>1082</v>
      </c>
      <c r="G12" s="25" t="s">
        <v>1473</v>
      </c>
      <c r="H12" s="103">
        <v>562439</v>
      </c>
      <c r="I12" s="109">
        <v>560837</v>
      </c>
      <c r="J12" s="28">
        <v>557881</v>
      </c>
      <c r="K12" s="28">
        <v>537271</v>
      </c>
      <c r="L12" s="20">
        <f t="shared" si="0"/>
        <v>2.8564449207167143E-3</v>
      </c>
      <c r="M12" s="23"/>
    </row>
    <row r="13" spans="5:13" ht="30" customHeight="1" x14ac:dyDescent="0.3">
      <c r="E13" s="24"/>
      <c r="F13" s="18">
        <v>1083</v>
      </c>
      <c r="G13" s="25" t="s">
        <v>1474</v>
      </c>
      <c r="H13" s="103">
        <v>269759</v>
      </c>
      <c r="I13" s="109">
        <v>271800</v>
      </c>
      <c r="J13" s="28">
        <v>266062</v>
      </c>
      <c r="K13" s="28">
        <v>262536</v>
      </c>
      <c r="L13" s="20">
        <f t="shared" si="0"/>
        <v>-7.5091979396615157E-3</v>
      </c>
      <c r="M13" s="23"/>
    </row>
    <row r="14" spans="5:13" ht="30" customHeight="1" x14ac:dyDescent="0.3">
      <c r="E14" s="24"/>
      <c r="F14" s="18">
        <v>1084</v>
      </c>
      <c r="G14" s="25" t="s">
        <v>1475</v>
      </c>
      <c r="H14" s="103">
        <v>319449</v>
      </c>
      <c r="I14" s="109">
        <v>318902</v>
      </c>
      <c r="J14" s="28">
        <v>315484</v>
      </c>
      <c r="K14" s="28">
        <v>310890</v>
      </c>
      <c r="L14" s="20">
        <f t="shared" si="0"/>
        <v>1.7152604875478987E-3</v>
      </c>
      <c r="M14" s="23"/>
    </row>
    <row r="15" spans="5:13" ht="30" customHeight="1" x14ac:dyDescent="0.3">
      <c r="E15" s="24"/>
      <c r="F15" s="16">
        <v>5006</v>
      </c>
      <c r="G15" s="27" t="s">
        <v>1476</v>
      </c>
      <c r="H15" s="103">
        <v>485075</v>
      </c>
      <c r="I15" s="109">
        <v>483274</v>
      </c>
      <c r="J15" s="28">
        <v>477832</v>
      </c>
      <c r="K15" s="28">
        <v>474414</v>
      </c>
      <c r="L15" s="20">
        <f t="shared" si="0"/>
        <v>3.7266643767303849E-3</v>
      </c>
      <c r="M15" s="29"/>
    </row>
    <row r="16" spans="5:13" ht="30" customHeight="1" x14ac:dyDescent="0.3">
      <c r="E16" s="30" t="s">
        <v>1477</v>
      </c>
      <c r="F16" s="18"/>
      <c r="G16" s="25" t="str">
        <f>COUNTA(G6:G15)&amp;" 직종"</f>
        <v>10 직종</v>
      </c>
      <c r="H16" s="103"/>
      <c r="I16" s="109"/>
      <c r="J16" s="28"/>
      <c r="K16" s="28"/>
      <c r="L16" s="56">
        <f>AVERAGE(L6:L15)</f>
        <v>1.3778227450400992E-3</v>
      </c>
      <c r="M16" s="23"/>
    </row>
    <row r="17" spans="5:13" ht="30" customHeight="1" x14ac:dyDescent="0.3">
      <c r="E17" s="17" t="s">
        <v>1478</v>
      </c>
      <c r="F17" s="18">
        <v>1086</v>
      </c>
      <c r="G17" s="31" t="s">
        <v>1479</v>
      </c>
      <c r="H17" s="103">
        <v>284880</v>
      </c>
      <c r="I17" s="109">
        <v>283607</v>
      </c>
      <c r="J17" s="28">
        <v>278565</v>
      </c>
      <c r="K17" s="28">
        <v>275107</v>
      </c>
      <c r="L17" s="20">
        <f>(H17-I17)/I17</f>
        <v>4.4886057114246125E-3</v>
      </c>
      <c r="M17" s="23"/>
    </row>
    <row r="18" spans="5:13" ht="30" customHeight="1" x14ac:dyDescent="0.3">
      <c r="E18" s="24"/>
      <c r="F18" s="18">
        <v>1087</v>
      </c>
      <c r="G18" s="31" t="s">
        <v>1480</v>
      </c>
      <c r="H18" s="103">
        <v>315528</v>
      </c>
      <c r="I18" s="109">
        <v>314787</v>
      </c>
      <c r="J18" s="28">
        <v>308930</v>
      </c>
      <c r="K18" s="28">
        <v>305050</v>
      </c>
      <c r="L18" s="20">
        <f>(H18-I18)/I18</f>
        <v>2.3539726862926362E-3</v>
      </c>
      <c r="M18" s="23"/>
    </row>
    <row r="19" spans="5:13" ht="30" customHeight="1" x14ac:dyDescent="0.3">
      <c r="E19" s="24"/>
      <c r="F19" s="16">
        <v>1088</v>
      </c>
      <c r="G19" s="25" t="s">
        <v>1481</v>
      </c>
      <c r="H19" s="103">
        <v>408942</v>
      </c>
      <c r="I19" s="109">
        <v>407342</v>
      </c>
      <c r="J19" s="28">
        <v>405235</v>
      </c>
      <c r="K19" s="28">
        <v>397952</v>
      </c>
      <c r="L19" s="20">
        <f>(H19-I19)/I19</f>
        <v>3.9279033342989426E-3</v>
      </c>
      <c r="M19" s="23"/>
    </row>
    <row r="20" spans="5:13" ht="30" customHeight="1" x14ac:dyDescent="0.3">
      <c r="E20" s="24"/>
      <c r="F20" s="18">
        <v>1089</v>
      </c>
      <c r="G20" s="25" t="s">
        <v>1482</v>
      </c>
      <c r="H20" s="103">
        <v>436224</v>
      </c>
      <c r="I20" s="109">
        <v>354977</v>
      </c>
      <c r="J20" s="28">
        <v>433400</v>
      </c>
      <c r="K20" s="28">
        <v>423830</v>
      </c>
      <c r="L20" s="20">
        <f>(H20-I20)/I20</f>
        <v>0.22887961755268652</v>
      </c>
      <c r="M20" s="23"/>
    </row>
    <row r="21" spans="5:13" ht="30" customHeight="1" x14ac:dyDescent="0.3">
      <c r="E21" s="24"/>
      <c r="F21" s="18">
        <v>1090</v>
      </c>
      <c r="G21" s="25" t="s">
        <v>1483</v>
      </c>
      <c r="H21" s="103">
        <v>356809</v>
      </c>
      <c r="I21" s="109">
        <v>354977</v>
      </c>
      <c r="J21" s="28">
        <v>350908</v>
      </c>
      <c r="K21" s="28">
        <v>347927</v>
      </c>
      <c r="L21" s="20">
        <f>(H21-I21)/I21</f>
        <v>5.1608977483048194E-3</v>
      </c>
      <c r="M21" s="23"/>
    </row>
    <row r="22" spans="5:13" ht="30" customHeight="1" x14ac:dyDescent="0.3">
      <c r="E22" s="30" t="s">
        <v>1477</v>
      </c>
      <c r="F22" s="18"/>
      <c r="G22" s="25" t="str">
        <f>COUNTA(G17:G21)&amp;" 직종"</f>
        <v>5 직종</v>
      </c>
      <c r="H22" s="103"/>
      <c r="I22" s="109"/>
      <c r="J22" s="28"/>
      <c r="K22" s="28"/>
      <c r="L22" s="56">
        <f>AVERAGE(L17:L21)</f>
        <v>4.8962199406601507E-2</v>
      </c>
      <c r="M22" s="23"/>
    </row>
    <row r="23" spans="5:13" ht="30" customHeight="1" x14ac:dyDescent="0.3">
      <c r="E23" s="17" t="s">
        <v>1484</v>
      </c>
      <c r="F23" s="18">
        <v>1002</v>
      </c>
      <c r="G23" s="25" t="s">
        <v>1485</v>
      </c>
      <c r="H23" s="103">
        <v>172068</v>
      </c>
      <c r="I23" s="109">
        <v>171037</v>
      </c>
      <c r="J23" s="28">
        <v>169804</v>
      </c>
      <c r="K23" s="28">
        <v>167081</v>
      </c>
      <c r="L23" s="20">
        <f>(H23-I23)/I23</f>
        <v>6.0279354759496485E-3</v>
      </c>
      <c r="M23" s="23"/>
    </row>
    <row r="24" spans="5:13" ht="30" customHeight="1" x14ac:dyDescent="0.3">
      <c r="E24" s="32" t="s">
        <v>1486</v>
      </c>
      <c r="F24" s="18">
        <v>1003</v>
      </c>
      <c r="G24" s="25" t="s">
        <v>1487</v>
      </c>
      <c r="H24" s="103">
        <v>226122</v>
      </c>
      <c r="I24" s="109">
        <v>224490</v>
      </c>
      <c r="J24" s="28">
        <v>221506</v>
      </c>
      <c r="K24" s="28">
        <v>219321</v>
      </c>
      <c r="L24" s="20">
        <f>(H24-I24)/I24</f>
        <v>7.2698115728985699E-3</v>
      </c>
      <c r="M24" s="23"/>
    </row>
    <row r="25" spans="5:13" ht="30" customHeight="1" x14ac:dyDescent="0.3">
      <c r="E25" s="33"/>
      <c r="F25" s="16">
        <v>1006</v>
      </c>
      <c r="G25" s="25" t="s">
        <v>1488</v>
      </c>
      <c r="H25" s="103">
        <v>281939</v>
      </c>
      <c r="I25" s="109">
        <v>273613</v>
      </c>
      <c r="J25" s="28">
        <v>279433</v>
      </c>
      <c r="K25" s="28">
        <v>282352</v>
      </c>
      <c r="L25" s="20">
        <f>(H25-I25)/I25</f>
        <v>3.0429840687394238E-2</v>
      </c>
      <c r="M25" s="23"/>
    </row>
    <row r="26" spans="5:13" ht="30" customHeight="1" thickBot="1" x14ac:dyDescent="0.35">
      <c r="E26" s="34" t="s">
        <v>1477</v>
      </c>
      <c r="F26" s="35"/>
      <c r="G26" s="36" t="str">
        <f>COUNTA(G23:G25)&amp;" 직종"</f>
        <v>3 직종</v>
      </c>
      <c r="H26" s="36"/>
      <c r="I26" s="36"/>
      <c r="J26" s="36"/>
      <c r="K26" s="37"/>
      <c r="L26" s="57">
        <f>AVERAGE(L23:L25)</f>
        <v>1.4575862578747484E-2</v>
      </c>
      <c r="M26" s="38"/>
    </row>
    <row r="27" spans="5:13" ht="30" customHeight="1" x14ac:dyDescent="0.3">
      <c r="G27" s="39"/>
      <c r="H27" s="39"/>
      <c r="I27" s="39"/>
      <c r="J27" s="39"/>
      <c r="K27" s="39"/>
      <c r="L27" s="40"/>
    </row>
    <row r="28" spans="5:13" ht="30" customHeight="1" x14ac:dyDescent="0.3"/>
    <row r="29" spans="5:13" ht="30" customHeight="1" x14ac:dyDescent="0.3">
      <c r="E29" s="13" t="s">
        <v>1489</v>
      </c>
    </row>
    <row r="30" spans="5:13" ht="30" customHeight="1" x14ac:dyDescent="0.3">
      <c r="E30" s="39" t="s">
        <v>1490</v>
      </c>
      <c r="F30" s="39"/>
      <c r="G30" s="13" t="str">
        <f>G16</f>
        <v>10 직종</v>
      </c>
      <c r="L30" s="55">
        <f>L16</f>
        <v>1.3778227450400992E-3</v>
      </c>
    </row>
    <row r="31" spans="5:13" ht="30" customHeight="1" x14ac:dyDescent="0.3">
      <c r="E31" s="39" t="s">
        <v>1491</v>
      </c>
      <c r="F31" s="39"/>
      <c r="G31" s="13" t="str">
        <f>G22</f>
        <v>5 직종</v>
      </c>
      <c r="L31" s="55">
        <f>L22</f>
        <v>4.8962199406601507E-2</v>
      </c>
    </row>
    <row r="32" spans="5:13" ht="30" customHeight="1" x14ac:dyDescent="0.3">
      <c r="E32" s="39" t="s">
        <v>1492</v>
      </c>
      <c r="F32" s="39"/>
      <c r="G32" s="13" t="str">
        <f>G26</f>
        <v>3 직종</v>
      </c>
      <c r="L32" s="55">
        <f>L26</f>
        <v>1.4575862578747484E-2</v>
      </c>
    </row>
    <row r="33" ht="30" customHeight="1" x14ac:dyDescent="0.3"/>
  </sheetData>
  <mergeCells count="7">
    <mergeCell ref="E1:M1"/>
    <mergeCell ref="E4:E5"/>
    <mergeCell ref="F4:F5"/>
    <mergeCell ref="G4:G5"/>
    <mergeCell ref="H4:K4"/>
    <mergeCell ref="L4:L5"/>
    <mergeCell ref="M4:M5"/>
  </mergeCells>
  <phoneticPr fontId="1" type="noConversion"/>
  <printOptions horizontalCentered="1" gridLinesSet="0"/>
  <pageMargins left="0.74803149606299213" right="0.51181102362204722" top="1.0236220472440944" bottom="0.47244094488188981" header="0.62992125984251968" footer="0.31496062992125984"/>
  <pageSetup paperSize="9" scale="6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26</vt:i4>
      </vt:variant>
    </vt:vector>
  </HeadingPairs>
  <TitlesOfParts>
    <vt:vector size="40" baseType="lpstr">
      <vt:lpstr>1.공통자재</vt:lpstr>
      <vt:lpstr>2.전기자재</vt:lpstr>
      <vt:lpstr>3.통신자재</vt:lpstr>
      <vt:lpstr>4.소방자재</vt:lpstr>
      <vt:lpstr>5.배선</vt:lpstr>
      <vt:lpstr>6.배관</vt:lpstr>
      <vt:lpstr>7.덕트,트레이</vt:lpstr>
      <vt:lpstr>8.접지자재</vt:lpstr>
      <vt:lpstr>9.전기(분전반)</vt:lpstr>
      <vt:lpstr>10.조명기구</vt:lpstr>
      <vt:lpstr>11.일위대가목록</vt:lpstr>
      <vt:lpstr>12.일위대가</vt:lpstr>
      <vt:lpstr>13.분전반조립공량표</vt:lpstr>
      <vt:lpstr>14.노무비</vt:lpstr>
      <vt:lpstr>'1.공통자재'!Print_Area</vt:lpstr>
      <vt:lpstr>'10.조명기구'!Print_Area</vt:lpstr>
      <vt:lpstr>'11.일위대가목록'!Print_Area</vt:lpstr>
      <vt:lpstr>'12.일위대가'!Print_Area</vt:lpstr>
      <vt:lpstr>'13.분전반조립공량표'!Print_Area</vt:lpstr>
      <vt:lpstr>'14.노무비'!Print_Area</vt:lpstr>
      <vt:lpstr>'2.전기자재'!Print_Area</vt:lpstr>
      <vt:lpstr>'3.통신자재'!Print_Area</vt:lpstr>
      <vt:lpstr>'4.소방자재'!Print_Area</vt:lpstr>
      <vt:lpstr>'5.배선'!Print_Area</vt:lpstr>
      <vt:lpstr>'6.배관'!Print_Area</vt:lpstr>
      <vt:lpstr>'7.덕트,트레이'!Print_Area</vt:lpstr>
      <vt:lpstr>'8.접지자재'!Print_Area</vt:lpstr>
      <vt:lpstr>'9.전기(분전반)'!Print_Area</vt:lpstr>
      <vt:lpstr>'1.공통자재'!Print_Titles</vt:lpstr>
      <vt:lpstr>'10.조명기구'!Print_Titles</vt:lpstr>
      <vt:lpstr>'11.일위대가목록'!Print_Titles</vt:lpstr>
      <vt:lpstr>'12.일위대가'!Print_Titles</vt:lpstr>
      <vt:lpstr>'2.전기자재'!Print_Titles</vt:lpstr>
      <vt:lpstr>'3.통신자재'!Print_Titles</vt:lpstr>
      <vt:lpstr>'4.소방자재'!Print_Titles</vt:lpstr>
      <vt:lpstr>'5.배선'!Print_Titles</vt:lpstr>
      <vt:lpstr>'6.배관'!Print_Titles</vt:lpstr>
      <vt:lpstr>'7.덕트,트레이'!Print_Titles</vt:lpstr>
      <vt:lpstr>'8.접지자재'!Print_Titles</vt:lpstr>
      <vt:lpstr>'9.전기(분전반)'!Print_Titles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2025-04-04T04:42:48Z</dcterms:created>
  <dcterms:modified xsi:type="dcterms:W3CDTF">2026-04-01T08:09:16Z</dcterms:modified>
</cp:coreProperties>
</file>