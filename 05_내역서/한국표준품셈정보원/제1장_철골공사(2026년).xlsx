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표준품셈 정리\00.자료정리\적산엑셀\업로드용\3.건축부문(2026년)\"/>
    </mc:Choice>
  </mc:AlternateContent>
  <xr:revisionPtr revIDLastSave="0" documentId="13_ncr:1_{50662C96-EA95-4BD4-80CC-85DD144983B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철골공사(상반기)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1" i="6" l="1"/>
  <c r="G200" i="6"/>
  <c r="G197" i="6"/>
  <c r="G196" i="6"/>
  <c r="G195" i="6"/>
  <c r="G191" i="6"/>
  <c r="M183" i="6"/>
  <c r="G182" i="6"/>
  <c r="G170" i="6"/>
  <c r="G171" i="6" s="1"/>
  <c r="G167" i="6"/>
  <c r="G166" i="6"/>
  <c r="G165" i="6"/>
  <c r="G162" i="6"/>
  <c r="G163" i="6" s="1"/>
  <c r="G153" i="6"/>
  <c r="G152" i="6"/>
  <c r="G151" i="6"/>
  <c r="G140" i="6"/>
  <c r="G139" i="6"/>
  <c r="I128" i="6"/>
  <c r="I129" i="6" s="1"/>
  <c r="I125" i="6"/>
  <c r="G125" i="6"/>
  <c r="I124" i="6"/>
  <c r="G124" i="6"/>
  <c r="I123" i="6"/>
  <c r="I126" i="6" s="1"/>
  <c r="G123" i="6"/>
  <c r="G114" i="6"/>
  <c r="G115" i="6" s="1"/>
  <c r="G111" i="6"/>
  <c r="G112" i="6" s="1"/>
  <c r="G103" i="6"/>
  <c r="G102" i="6"/>
  <c r="K93" i="6"/>
  <c r="G93" i="6"/>
  <c r="G92" i="6"/>
  <c r="G89" i="6" s="1"/>
  <c r="G90" i="6" s="1"/>
  <c r="G81" i="6"/>
  <c r="G78" i="6" s="1"/>
  <c r="G77" i="6"/>
  <c r="G76" i="6"/>
  <c r="G68" i="6"/>
  <c r="G67" i="6"/>
  <c r="G58" i="6"/>
  <c r="G57" i="6"/>
  <c r="G54" i="6" s="1"/>
  <c r="G55" i="6" s="1"/>
  <c r="M46" i="6"/>
  <c r="G45" i="6"/>
  <c r="I44" i="6"/>
  <c r="G33" i="6"/>
  <c r="I32" i="6"/>
  <c r="G31" i="6"/>
  <c r="G25" i="6"/>
  <c r="G24" i="6"/>
  <c r="G23" i="6"/>
  <c r="I14" i="6"/>
  <c r="I15" i="6" s="1"/>
  <c r="I17" i="6" s="1"/>
  <c r="K14" i="6"/>
  <c r="K15" i="6" s="1"/>
  <c r="K17" i="6" s="1"/>
  <c r="K7" i="6"/>
  <c r="K8" i="6" s="1"/>
  <c r="K10" i="6" s="1"/>
  <c r="G7" i="6"/>
  <c r="G8" i="6" s="1"/>
  <c r="G10" i="6" s="1"/>
  <c r="I131" i="6" l="1"/>
  <c r="G104" i="6"/>
  <c r="G106" i="6" s="1"/>
  <c r="G141" i="6"/>
  <c r="G69" i="6"/>
  <c r="G126" i="6"/>
  <c r="K23" i="6"/>
  <c r="K58" i="6"/>
  <c r="G64" i="6"/>
  <c r="G65" i="6" s="1"/>
  <c r="G71" i="6" s="1"/>
  <c r="I31" i="6"/>
  <c r="G202" i="6"/>
  <c r="I46" i="6"/>
  <c r="G128" i="6"/>
  <c r="G129" i="6" s="1"/>
  <c r="G131" i="6" s="1"/>
  <c r="G99" i="6"/>
  <c r="G100" i="6" s="1"/>
  <c r="I182" i="6"/>
  <c r="G26" i="6"/>
  <c r="G28" i="6" s="1"/>
  <c r="G32" i="6"/>
  <c r="G34" i="6" s="1"/>
  <c r="G36" i="6" s="1"/>
  <c r="K46" i="6"/>
  <c r="I57" i="6"/>
  <c r="G59" i="6"/>
  <c r="G61" i="6" s="1"/>
  <c r="I92" i="6"/>
  <c r="G94" i="6"/>
  <c r="G96" i="6" s="1"/>
  <c r="K182" i="6"/>
  <c r="K92" i="6"/>
  <c r="G117" i="6"/>
  <c r="K57" i="6"/>
  <c r="I7" i="6"/>
  <c r="I8" i="6" s="1"/>
  <c r="I10" i="6" s="1"/>
  <c r="G46" i="6"/>
  <c r="K67" i="6"/>
  <c r="K102" i="6"/>
  <c r="G198" i="6"/>
  <c r="G192" i="6"/>
  <c r="G193" i="6" s="1"/>
  <c r="G79" i="6"/>
  <c r="I25" i="6"/>
  <c r="G44" i="6"/>
  <c r="I45" i="6"/>
  <c r="G82" i="6"/>
  <c r="I212" i="6"/>
  <c r="G212" i="6"/>
  <c r="I24" i="6"/>
  <c r="K25" i="6"/>
  <c r="I33" i="6"/>
  <c r="K44" i="6"/>
  <c r="K45" i="6"/>
  <c r="I68" i="6"/>
  <c r="I103" i="6"/>
  <c r="I114" i="6"/>
  <c r="G136" i="6"/>
  <c r="G137" i="6" s="1"/>
  <c r="G168" i="6"/>
  <c r="G173" i="6" s="1"/>
  <c r="K183" i="6"/>
  <c r="I183" i="6"/>
  <c r="G14" i="6"/>
  <c r="G15" i="6" s="1"/>
  <c r="G17" i="6" s="1"/>
  <c r="I23" i="6"/>
  <c r="K24" i="6"/>
  <c r="K26" i="6" s="1"/>
  <c r="K28" i="6" s="1"/>
  <c r="M44" i="6"/>
  <c r="M45" i="6"/>
  <c r="I58" i="6"/>
  <c r="I54" i="6" s="1"/>
  <c r="I55" i="6" s="1"/>
  <c r="I67" i="6"/>
  <c r="K68" i="6"/>
  <c r="I93" i="6"/>
  <c r="I102" i="6"/>
  <c r="K103" i="6"/>
  <c r="K114" i="6"/>
  <c r="G154" i="6"/>
  <c r="G148" i="6"/>
  <c r="G149" i="6" s="1"/>
  <c r="G156" i="6" s="1"/>
  <c r="G183" i="6"/>
  <c r="G184" i="6" s="1"/>
  <c r="M182" i="6"/>
  <c r="I47" i="6" l="1"/>
  <c r="I34" i="6"/>
  <c r="I36" i="6" s="1"/>
  <c r="I94" i="6"/>
  <c r="G143" i="6"/>
  <c r="I41" i="6"/>
  <c r="I42" i="6" s="1"/>
  <c r="I184" i="6"/>
  <c r="K104" i="6"/>
  <c r="K179" i="6"/>
  <c r="K180" i="6" s="1"/>
  <c r="G204" i="6"/>
  <c r="K64" i="6"/>
  <c r="K65" i="6" s="1"/>
  <c r="I49" i="6"/>
  <c r="I59" i="6"/>
  <c r="I61" i="6" s="1"/>
  <c r="K59" i="6"/>
  <c r="K54" i="6"/>
  <c r="K55" i="6" s="1"/>
  <c r="K94" i="6"/>
  <c r="K89" i="6"/>
  <c r="K90" i="6" s="1"/>
  <c r="M184" i="6"/>
  <c r="M179" i="6"/>
  <c r="M180" i="6" s="1"/>
  <c r="I104" i="6"/>
  <c r="I99" i="6"/>
  <c r="I100" i="6" s="1"/>
  <c r="K41" i="6"/>
  <c r="K42" i="6" s="1"/>
  <c r="K47" i="6"/>
  <c r="G179" i="6"/>
  <c r="G180" i="6" s="1"/>
  <c r="G186" i="6" s="1"/>
  <c r="K111" i="6"/>
  <c r="K112" i="6" s="1"/>
  <c r="K115" i="6"/>
  <c r="I89" i="6"/>
  <c r="I90" i="6" s="1"/>
  <c r="I26" i="6"/>
  <c r="I28" i="6" s="1"/>
  <c r="I179" i="6"/>
  <c r="I180" i="6" s="1"/>
  <c r="K69" i="6"/>
  <c r="K99" i="6"/>
  <c r="K100" i="6" s="1"/>
  <c r="I69" i="6"/>
  <c r="I64" i="6"/>
  <c r="I65" i="6" s="1"/>
  <c r="M47" i="6"/>
  <c r="M41" i="6"/>
  <c r="M42" i="6" s="1"/>
  <c r="M49" i="6" s="1"/>
  <c r="I115" i="6"/>
  <c r="I111" i="6"/>
  <c r="I112" i="6" s="1"/>
  <c r="G209" i="6"/>
  <c r="G210" i="6" s="1"/>
  <c r="G213" i="6"/>
  <c r="I209" i="6"/>
  <c r="I210" i="6" s="1"/>
  <c r="I213" i="6"/>
  <c r="K184" i="6"/>
  <c r="G41" i="6"/>
  <c r="G42" i="6" s="1"/>
  <c r="G47" i="6"/>
  <c r="G84" i="6"/>
  <c r="I186" i="6" l="1"/>
  <c r="I96" i="6"/>
  <c r="K186" i="6"/>
  <c r="K71" i="6"/>
  <c r="K61" i="6"/>
  <c r="K106" i="6"/>
  <c r="M186" i="6"/>
  <c r="G49" i="6"/>
  <c r="I117" i="6"/>
  <c r="I71" i="6"/>
  <c r="I106" i="6"/>
  <c r="K96" i="6"/>
  <c r="G215" i="6"/>
  <c r="K49" i="6"/>
  <c r="K117" i="6"/>
  <c r="I215" i="6"/>
</calcChain>
</file>

<file path=xl/sharedStrings.xml><?xml version="1.0" encoding="utf-8"?>
<sst xmlns="http://schemas.openxmlformats.org/spreadsheetml/2006/main" count="418" uniqueCount="112">
  <si>
    <t>그라우팅펌프</t>
  </si>
  <si>
    <t>도장공</t>
  </si>
  <si>
    <t>보통인부</t>
  </si>
  <si>
    <t>비계공</t>
  </si>
  <si>
    <t>크레인(무한궤도)</t>
  </si>
  <si>
    <t>철골공</t>
  </si>
  <si>
    <t>철공</t>
  </si>
  <si>
    <t>그라우팅믹서</t>
  </si>
  <si>
    <t>구분</t>
  </si>
  <si>
    <t>단가</t>
  </si>
  <si>
    <t>수량</t>
  </si>
  <si>
    <t>금액</t>
  </si>
  <si>
    <t>규격</t>
    <phoneticPr fontId="3" type="noConversion"/>
  </si>
  <si>
    <t>단위</t>
    <phoneticPr fontId="3" type="noConversion"/>
  </si>
  <si>
    <t>인</t>
    <phoneticPr fontId="3" type="noConversion"/>
  </si>
  <si>
    <t>재료비</t>
    <phoneticPr fontId="3" type="noConversion"/>
  </si>
  <si>
    <t>노무비</t>
    <phoneticPr fontId="3" type="noConversion"/>
  </si>
  <si>
    <t>경   비</t>
    <phoneticPr fontId="5" type="noConversion"/>
  </si>
  <si>
    <t>합   계</t>
    <phoneticPr fontId="3" type="noConversion"/>
  </si>
  <si>
    <t>식</t>
    <phoneticPr fontId="3" type="noConversion"/>
  </si>
  <si>
    <t>규격</t>
    <phoneticPr fontId="5" type="noConversion"/>
  </si>
  <si>
    <t>hr</t>
  </si>
  <si>
    <t>특별인부</t>
  </si>
  <si>
    <t>인력품의 5%</t>
    <phoneticPr fontId="3" type="noConversion"/>
  </si>
  <si>
    <t>용접공</t>
  </si>
  <si>
    <t>수량</t>
    <phoneticPr fontId="3" type="noConversion"/>
  </si>
  <si>
    <t>금액</t>
    <phoneticPr fontId="3" type="noConversion"/>
  </si>
  <si>
    <t>공구손료</t>
    <phoneticPr fontId="5" type="noConversion"/>
  </si>
  <si>
    <t>인력품의 2%</t>
    <phoneticPr fontId="3" type="noConversion"/>
  </si>
  <si>
    <t>인력품의 3%</t>
    <phoneticPr fontId="3" type="noConversion"/>
  </si>
  <si>
    <t>인력품의 4%</t>
    <phoneticPr fontId="3" type="noConversion"/>
  </si>
  <si>
    <t>1-1-1 기본철골공수</t>
    <phoneticPr fontId="3" type="noConversion"/>
  </si>
  <si>
    <t>(ton당)</t>
    <phoneticPr fontId="3" type="noConversion"/>
  </si>
  <si>
    <r>
      <t>기본철골공수(인</t>
    </r>
    <r>
      <rPr>
        <sz val="9.1"/>
        <rFont val="Yu Gothic"/>
        <family val="3"/>
        <charset val="128"/>
      </rPr>
      <t>･</t>
    </r>
    <r>
      <rPr>
        <sz val="9.1"/>
        <rFont val="맑은 고딕"/>
        <family val="3"/>
        <charset val="129"/>
        <scheme val="minor"/>
      </rPr>
      <t>일/t)</t>
    </r>
    <phoneticPr fontId="3" type="noConversion"/>
  </si>
  <si>
    <t>강재총사용량 60ton 미만</t>
    <phoneticPr fontId="3" type="noConversion"/>
  </si>
  <si>
    <t>강재총사용량 60ton 이상</t>
    <phoneticPr fontId="3" type="noConversion"/>
  </si>
  <si>
    <t>강재총사용량 100ton 이상</t>
    <phoneticPr fontId="3" type="noConversion"/>
  </si>
  <si>
    <t>강재총사용량 300ton 이상</t>
    <phoneticPr fontId="3" type="noConversion"/>
  </si>
  <si>
    <t>강재총사용량 1,000ton 이상</t>
    <phoneticPr fontId="3" type="noConversion"/>
  </si>
  <si>
    <t>강재총사용량 2,000ton 이상</t>
    <phoneticPr fontId="3" type="noConversion"/>
  </si>
  <si>
    <t>1-2 철골 세우기</t>
    <phoneticPr fontId="3" type="noConversion"/>
  </si>
  <si>
    <t>1-2-1 현장 세우기</t>
    <phoneticPr fontId="3" type="noConversion"/>
  </si>
  <si>
    <t>6층 미만</t>
    <phoneticPr fontId="3" type="noConversion"/>
  </si>
  <si>
    <t>20층 미만</t>
    <phoneticPr fontId="3" type="noConversion"/>
  </si>
  <si>
    <t>30층 미만</t>
    <phoneticPr fontId="3" type="noConversion"/>
  </si>
  <si>
    <t>40층 미만</t>
    <phoneticPr fontId="3" type="noConversion"/>
  </si>
  <si>
    <t>40층 이상</t>
    <phoneticPr fontId="3" type="noConversion"/>
  </si>
  <si>
    <t>(강재 ton당)</t>
    <phoneticPr fontId="3" type="noConversion"/>
  </si>
  <si>
    <t>30본/t 미만</t>
    <phoneticPr fontId="3" type="noConversion"/>
  </si>
  <si>
    <t>50본/t 미만</t>
    <phoneticPr fontId="3" type="noConversion"/>
  </si>
  <si>
    <t>70본/t 미만</t>
    <phoneticPr fontId="3" type="noConversion"/>
  </si>
  <si>
    <t>90본/t 미만</t>
    <phoneticPr fontId="3" type="noConversion"/>
  </si>
  <si>
    <t>110본/t 미만</t>
    <phoneticPr fontId="3" type="noConversion"/>
  </si>
  <si>
    <t>110본/t 이상</t>
    <phoneticPr fontId="3" type="noConversion"/>
  </si>
  <si>
    <t>(각장 6㎜ 환산용접 길이 1m당)</t>
  </si>
  <si>
    <t>㎏</t>
    <phoneticPr fontId="3" type="noConversion"/>
  </si>
  <si>
    <t>탄산가스</t>
    <phoneticPr fontId="5" type="noConversion"/>
  </si>
  <si>
    <t>CO₂ 와이어</t>
    <phoneticPr fontId="5" type="noConversion"/>
  </si>
  <si>
    <t>(개당)</t>
    <phoneticPr fontId="3" type="noConversion"/>
  </si>
  <si>
    <t>ø16이하</t>
    <phoneticPr fontId="3" type="noConversion"/>
  </si>
  <si>
    <t>ø20이하</t>
    <phoneticPr fontId="3" type="noConversion"/>
  </si>
  <si>
    <t>ø24이하</t>
    <phoneticPr fontId="3" type="noConversion"/>
  </si>
  <si>
    <t>ø28이하</t>
    <phoneticPr fontId="3" type="noConversion"/>
  </si>
  <si>
    <t>ø32이하</t>
    <phoneticPr fontId="3" type="noConversion"/>
  </si>
  <si>
    <t>ø40이하</t>
    <phoneticPr fontId="3" type="noConversion"/>
  </si>
  <si>
    <t>(대당)</t>
    <phoneticPr fontId="3" type="noConversion"/>
  </si>
  <si>
    <t>가설</t>
    <phoneticPr fontId="3" type="noConversion"/>
  </si>
  <si>
    <t>해체정비</t>
    <phoneticPr fontId="3" type="noConversion"/>
  </si>
  <si>
    <t>수직이동(1회당)</t>
    <phoneticPr fontId="3" type="noConversion"/>
  </si>
  <si>
    <t>1-3 데크플레이트</t>
    <phoneticPr fontId="3" type="noConversion"/>
  </si>
  <si>
    <t>1-3-1 데크플레이트 가스절단</t>
    <phoneticPr fontId="3" type="noConversion"/>
  </si>
  <si>
    <t>(절단길이 10m당)</t>
    <phoneticPr fontId="3" type="noConversion"/>
  </si>
  <si>
    <t>㎥</t>
    <phoneticPr fontId="3" type="noConversion"/>
  </si>
  <si>
    <t>산소</t>
    <phoneticPr fontId="5" type="noConversion"/>
  </si>
  <si>
    <t>아세틸렌</t>
    <phoneticPr fontId="5" type="noConversion"/>
  </si>
  <si>
    <t>L.P.G</t>
    <phoneticPr fontId="5" type="noConversion"/>
  </si>
  <si>
    <t>판두께 1.6㎜</t>
    <phoneticPr fontId="3" type="noConversion"/>
  </si>
  <si>
    <t>판두께 2.3㎜</t>
    <phoneticPr fontId="3" type="noConversion"/>
  </si>
  <si>
    <t>1-3-2 데크플레이트 플라즈마 절단</t>
    <phoneticPr fontId="3" type="noConversion"/>
  </si>
  <si>
    <t>인력품의 10%</t>
    <phoneticPr fontId="3" type="noConversion"/>
  </si>
  <si>
    <t>1-3-3 데크플레이트 설치</t>
    <phoneticPr fontId="3" type="noConversion"/>
  </si>
  <si>
    <t>(㎡당)</t>
    <phoneticPr fontId="3" type="noConversion"/>
  </si>
  <si>
    <t>1-4 부대공사</t>
  </si>
  <si>
    <t>50ton</t>
    <phoneticPr fontId="3" type="noConversion"/>
  </si>
  <si>
    <t>1-4-1 부대철골 설치</t>
    <phoneticPr fontId="3" type="noConversion"/>
  </si>
  <si>
    <t>1-4-2 스터드볼트(Stud bolt) 설치</t>
    <phoneticPr fontId="3" type="noConversion"/>
  </si>
  <si>
    <t>(1,000개당)</t>
    <phoneticPr fontId="3" type="noConversion"/>
  </si>
  <si>
    <t>자동용접</t>
    <phoneticPr fontId="3" type="noConversion"/>
  </si>
  <si>
    <t>수동용접</t>
    <phoneticPr fontId="3" type="noConversion"/>
  </si>
  <si>
    <t>%</t>
    <phoneticPr fontId="3" type="noConversion"/>
  </si>
  <si>
    <t>인력품의 %</t>
    <phoneticPr fontId="3" type="noConversion"/>
  </si>
  <si>
    <t>1-4-3 철골 내화 피복뿜칠</t>
    <phoneticPr fontId="3" type="noConversion"/>
  </si>
  <si>
    <t>(㎜/100㎡당)</t>
    <phoneticPr fontId="3" type="noConversion"/>
  </si>
  <si>
    <t>질석</t>
    <phoneticPr fontId="3" type="noConversion"/>
  </si>
  <si>
    <t>390×2(ℓ)</t>
  </si>
  <si>
    <t>40∼125(ℓ/min)</t>
  </si>
  <si>
    <t>1-4-4 경량형강철골조 조립설치</t>
  </si>
  <si>
    <t>내력식</t>
    <phoneticPr fontId="3" type="noConversion"/>
  </si>
  <si>
    <t>비내력식</t>
    <phoneticPr fontId="3" type="noConversion"/>
  </si>
  <si>
    <t>1-1 철골 가공 조립(공장생산)</t>
  </si>
  <si>
    <t>제 1 장 철골공사</t>
    <phoneticPr fontId="3" type="noConversion"/>
  </si>
  <si>
    <t>1-2-2 탑다운공법 지하 현장 세우기</t>
  </si>
  <si>
    <t>지하4층 미만</t>
    <phoneticPr fontId="3" type="noConversion"/>
  </si>
  <si>
    <t>지하7층 미만</t>
    <phoneticPr fontId="3" type="noConversion"/>
  </si>
  <si>
    <t>지하10층 미만</t>
    <phoneticPr fontId="3" type="noConversion"/>
  </si>
  <si>
    <t>지하10층 이상</t>
    <phoneticPr fontId="3" type="noConversion"/>
  </si>
  <si>
    <t>1-2-4 고장력 볼트 본조임</t>
  </si>
  <si>
    <t>1-2-5 현장용접</t>
  </si>
  <si>
    <t>데크플레이트</t>
    <phoneticPr fontId="3" type="noConversion"/>
  </si>
  <si>
    <t>지하 철골 기둥</t>
    <phoneticPr fontId="3" type="noConversion"/>
  </si>
  <si>
    <t>1-2-6 앵커 볼트 설치</t>
    <phoneticPr fontId="3" type="noConversion"/>
  </si>
  <si>
    <t>1-2-7 철골세우기용 장비의 가설 및 해체이동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</si>
</sst>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_(* #,##0_);_(* \(#,##0\);_(* &quot;-&quot;_);_(@_)"/>
    <numFmt numFmtId="180" formatCode="_-* #,##0.0_-;\-* #,##0.0_-;_-* &quot;-&quot;_-;_-@_-"/>
    <numFmt numFmtId="181" formatCode="_-* #,##0.0_-;\-* #,##0.0_-;_-* &quot;-&quot;??_-;_-@_-"/>
    <numFmt numFmtId="182" formatCode="_-* #,##0.00_-;\-* #,##0.00_-;_-* &quot;-&quot;_-;_-@_-"/>
    <numFmt numFmtId="183" formatCode="_-* #,##0.000_-;\-* #,##0.000_-;_-* &quot;-&quot;_-;_-@_-"/>
    <numFmt numFmtId="185" formatCode="_ * #,##0.0_ ;_ * \-#,##0.0_ ;_ * &quot;-&quot;_ ;_ @_ "/>
    <numFmt numFmtId="186" formatCode="#,##0.00_);[Red]\(#,##0.00\)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b/>
      <sz val="8"/>
      <color indexed="12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10"/>
      <name val="맑은 고딕"/>
      <family val="3"/>
      <charset val="129"/>
      <scheme val="minor"/>
    </font>
    <font>
      <sz val="9"/>
      <color indexed="12"/>
      <name val="맑은 고딕"/>
      <family val="3"/>
      <charset val="129"/>
      <scheme val="minor"/>
    </font>
    <font>
      <sz val="9.1"/>
      <name val="맑은 고딕"/>
      <family val="3"/>
      <charset val="129"/>
      <scheme val="minor"/>
    </font>
    <font>
      <b/>
      <sz val="9.1"/>
      <color indexed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b/>
      <sz val="9.1"/>
      <color rgb="FF0000FF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9"/>
      <color indexed="10"/>
      <name val="맑은 고딕"/>
      <family val="3"/>
      <charset val="129"/>
      <scheme val="minor"/>
    </font>
    <font>
      <sz val="9.1"/>
      <name val="Yu Gothic"/>
      <family val="3"/>
      <charset val="128"/>
    </font>
    <font>
      <b/>
      <sz val="8"/>
      <color indexed="1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4" fillId="0" borderId="0"/>
    <xf numFmtId="41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97">
    <xf numFmtId="0" fontId="0" fillId="0" borderId="0" xfId="0">
      <alignment vertical="center"/>
    </xf>
    <xf numFmtId="0" fontId="8" fillId="0" borderId="0" xfId="0" applyFont="1">
      <alignment vertical="center"/>
    </xf>
    <xf numFmtId="180" fontId="9" fillId="0" borderId="5" xfId="1" applyNumberFormat="1" applyFont="1" applyFill="1" applyBorder="1" applyAlignment="1">
      <alignment horizontal="center" vertical="center"/>
    </xf>
    <xf numFmtId="180" fontId="9" fillId="0" borderId="6" xfId="1" applyNumberFormat="1" applyFont="1" applyFill="1" applyBorder="1" applyAlignment="1">
      <alignment horizontal="center" vertical="center"/>
    </xf>
    <xf numFmtId="0" fontId="14" fillId="0" borderId="0" xfId="6" applyFont="1" applyAlignment="1">
      <alignment vertical="center"/>
    </xf>
    <xf numFmtId="181" fontId="9" fillId="0" borderId="6" xfId="7" applyNumberFormat="1" applyFont="1" applyFill="1" applyBorder="1" applyAlignment="1">
      <alignment vertical="center"/>
    </xf>
    <xf numFmtId="41" fontId="13" fillId="0" borderId="5" xfId="5" applyFont="1" applyFill="1" applyBorder="1" applyAlignment="1">
      <alignment vertical="center"/>
    </xf>
    <xf numFmtId="41" fontId="13" fillId="0" borderId="6" xfId="5" applyFont="1" applyFill="1" applyBorder="1" applyAlignment="1">
      <alignment vertical="center"/>
    </xf>
    <xf numFmtId="41" fontId="13" fillId="0" borderId="8" xfId="5" applyFont="1" applyFill="1" applyBorder="1" applyAlignment="1">
      <alignment vertical="center"/>
    </xf>
    <xf numFmtId="41" fontId="17" fillId="0" borderId="5" xfId="5" applyFont="1" applyFill="1" applyBorder="1" applyAlignment="1">
      <alignment vertical="center"/>
    </xf>
    <xf numFmtId="41" fontId="17" fillId="0" borderId="6" xfId="5" applyFont="1" applyFill="1" applyBorder="1" applyAlignment="1">
      <alignment vertical="center"/>
    </xf>
    <xf numFmtId="41" fontId="16" fillId="0" borderId="6" xfId="7" applyFont="1" applyFill="1" applyBorder="1" applyAlignment="1">
      <alignment vertical="center"/>
    </xf>
    <xf numFmtId="0" fontId="9" fillId="0" borderId="0" xfId="0" applyFont="1">
      <alignment vertical="center"/>
    </xf>
    <xf numFmtId="183" fontId="10" fillId="0" borderId="5" xfId="8" applyNumberFormat="1" applyFont="1" applyFill="1" applyBorder="1" applyAlignment="1">
      <alignment vertical="center"/>
    </xf>
    <xf numFmtId="41" fontId="16" fillId="0" borderId="6" xfId="8" applyFont="1" applyFill="1" applyBorder="1" applyAlignment="1">
      <alignment vertical="center"/>
    </xf>
    <xf numFmtId="41" fontId="11" fillId="0" borderId="10" xfId="1" applyFont="1" applyFill="1" applyBorder="1" applyAlignment="1">
      <alignment vertical="center"/>
    </xf>
    <xf numFmtId="41" fontId="11" fillId="0" borderId="5" xfId="1" applyFont="1" applyFill="1" applyBorder="1" applyAlignment="1">
      <alignment vertical="center"/>
    </xf>
    <xf numFmtId="41" fontId="9" fillId="0" borderId="10" xfId="1" applyFont="1" applyFill="1" applyBorder="1" applyAlignment="1">
      <alignment vertical="center"/>
    </xf>
    <xf numFmtId="41" fontId="10" fillId="0" borderId="5" xfId="1" applyFont="1" applyFill="1" applyBorder="1" applyAlignment="1">
      <alignment vertical="center"/>
    </xf>
    <xf numFmtId="186" fontId="21" fillId="0" borderId="0" xfId="4" applyNumberFormat="1" applyFont="1" applyAlignment="1">
      <alignment vertical="center"/>
    </xf>
    <xf numFmtId="0" fontId="6" fillId="0" borderId="0" xfId="0" applyFont="1" applyAlignment="1"/>
    <xf numFmtId="0" fontId="15" fillId="0" borderId="0" xfId="0" applyFont="1">
      <alignment vertical="center"/>
    </xf>
    <xf numFmtId="0" fontId="8" fillId="0" borderId="0" xfId="0" applyFont="1" applyAlignment="1">
      <alignment vertical="center" shrinkToFit="1"/>
    </xf>
    <xf numFmtId="0" fontId="7" fillId="0" borderId="0" xfId="0" applyFont="1">
      <alignment vertical="center"/>
    </xf>
    <xf numFmtId="0" fontId="8" fillId="0" borderId="0" xfId="0" applyFont="1" applyAlignment="1">
      <alignment horizontal="right" vertical="center"/>
    </xf>
    <xf numFmtId="0" fontId="12" fillId="0" borderId="1" xfId="3" applyFont="1" applyBorder="1" applyAlignment="1">
      <alignment horizontal="center" vertical="center"/>
    </xf>
    <xf numFmtId="0" fontId="12" fillId="0" borderId="3" xfId="3" applyFont="1" applyBorder="1" applyAlignment="1">
      <alignment horizontal="center" vertical="center"/>
    </xf>
    <xf numFmtId="0" fontId="12" fillId="0" borderId="4" xfId="3" applyFont="1" applyBorder="1" applyAlignment="1">
      <alignment vertical="center"/>
    </xf>
    <xf numFmtId="0" fontId="9" fillId="0" borderId="5" xfId="3" applyFont="1" applyBorder="1" applyAlignment="1">
      <alignment vertical="center" shrinkToFit="1"/>
    </xf>
    <xf numFmtId="0" fontId="9" fillId="0" borderId="4" xfId="3" applyFont="1" applyBorder="1" applyAlignment="1">
      <alignment horizontal="center" vertical="center"/>
    </xf>
    <xf numFmtId="41" fontId="11" fillId="0" borderId="5" xfId="0" applyNumberFormat="1" applyFont="1" applyBorder="1">
      <alignment vertical="center"/>
    </xf>
    <xf numFmtId="182" fontId="12" fillId="0" borderId="5" xfId="1" applyNumberFormat="1" applyFont="1" applyFill="1" applyBorder="1" applyAlignment="1">
      <alignment vertical="center"/>
    </xf>
    <xf numFmtId="0" fontId="16" fillId="0" borderId="4" xfId="3" applyFont="1" applyBorder="1" applyAlignment="1">
      <alignment vertical="center"/>
    </xf>
    <xf numFmtId="0" fontId="18" fillId="0" borderId="5" xfId="3" applyFont="1" applyBorder="1" applyAlignment="1">
      <alignment vertical="center" shrinkToFit="1"/>
    </xf>
    <xf numFmtId="0" fontId="18" fillId="0" borderId="4" xfId="3" applyFont="1" applyBorder="1" applyAlignment="1">
      <alignment horizontal="center" vertical="center"/>
    </xf>
    <xf numFmtId="0" fontId="17" fillId="0" borderId="5" xfId="3" applyFont="1" applyBorder="1" applyAlignment="1">
      <alignment vertical="center"/>
    </xf>
    <xf numFmtId="0" fontId="13" fillId="0" borderId="4" xfId="3" applyFont="1" applyBorder="1" applyAlignment="1">
      <alignment vertical="center"/>
    </xf>
    <xf numFmtId="0" fontId="13" fillId="0" borderId="5" xfId="3" applyFont="1" applyBorder="1" applyAlignment="1">
      <alignment vertical="center"/>
    </xf>
    <xf numFmtId="0" fontId="10" fillId="0" borderId="9" xfId="6" applyFont="1" applyBorder="1" applyAlignment="1">
      <alignment horizontal="left" vertical="center"/>
    </xf>
    <xf numFmtId="0" fontId="9" fillId="0" borderId="7" xfId="3" applyFont="1" applyBorder="1" applyAlignment="1">
      <alignment vertical="center" shrinkToFit="1"/>
    </xf>
    <xf numFmtId="0" fontId="9" fillId="0" borderId="9" xfId="3" applyFont="1" applyBorder="1" applyAlignment="1">
      <alignment horizontal="center" vertical="center"/>
    </xf>
    <xf numFmtId="0" fontId="13" fillId="0" borderId="7" xfId="3" applyFont="1" applyBorder="1" applyAlignment="1">
      <alignment vertical="center"/>
    </xf>
    <xf numFmtId="0" fontId="9" fillId="0" borderId="4" xfId="6" applyFont="1" applyBorder="1" applyAlignment="1">
      <alignment vertical="center"/>
    </xf>
    <xf numFmtId="0" fontId="9" fillId="0" borderId="4" xfId="3" applyFont="1" applyBorder="1" applyAlignment="1">
      <alignment vertical="center" shrinkToFit="1"/>
    </xf>
    <xf numFmtId="0" fontId="9" fillId="0" borderId="5" xfId="3" applyFont="1" applyBorder="1" applyAlignment="1">
      <alignment horizontal="center" vertical="center"/>
    </xf>
    <xf numFmtId="0" fontId="9" fillId="0" borderId="5" xfId="6" applyFont="1" applyBorder="1" applyAlignment="1">
      <alignment horizontal="right" vertical="center"/>
    </xf>
    <xf numFmtId="41" fontId="9" fillId="0" borderId="5" xfId="8" applyFont="1" applyFill="1" applyBorder="1" applyAlignment="1">
      <alignment vertical="center"/>
    </xf>
    <xf numFmtId="0" fontId="16" fillId="0" borderId="4" xfId="6" applyFont="1" applyBorder="1" applyAlignment="1">
      <alignment horizontal="left" vertical="center"/>
    </xf>
    <xf numFmtId="0" fontId="18" fillId="0" borderId="4" xfId="6" applyFont="1" applyBorder="1" applyAlignment="1">
      <alignment horizontal="left" vertical="center"/>
    </xf>
    <xf numFmtId="0" fontId="18" fillId="0" borderId="5" xfId="3" applyFont="1" applyBorder="1" applyAlignment="1">
      <alignment horizontal="center" vertical="center"/>
    </xf>
    <xf numFmtId="0" fontId="16" fillId="0" borderId="5" xfId="6" applyFont="1" applyBorder="1" applyAlignment="1">
      <alignment vertical="center"/>
    </xf>
    <xf numFmtId="182" fontId="9" fillId="0" borderId="5" xfId="8" applyNumberFormat="1" applyFont="1" applyFill="1" applyBorder="1" applyAlignment="1">
      <alignment vertical="center"/>
    </xf>
    <xf numFmtId="0" fontId="10" fillId="0" borderId="4" xfId="2" applyFont="1" applyBorder="1" applyAlignment="1">
      <alignment horizontal="left" vertical="center"/>
    </xf>
    <xf numFmtId="0" fontId="19" fillId="0" borderId="4" xfId="2" applyFont="1" applyBorder="1" applyAlignment="1">
      <alignment horizontal="left" vertical="center"/>
    </xf>
    <xf numFmtId="41" fontId="10" fillId="0" borderId="0" xfId="8" applyFont="1" applyFill="1" applyBorder="1" applyAlignment="1">
      <alignment vertical="center"/>
    </xf>
    <xf numFmtId="183" fontId="12" fillId="0" borderId="5" xfId="1" applyNumberFormat="1" applyFont="1" applyFill="1" applyBorder="1" applyAlignment="1">
      <alignment vertical="center"/>
    </xf>
    <xf numFmtId="41" fontId="10" fillId="0" borderId="8" xfId="8" applyFont="1" applyFill="1" applyBorder="1" applyAlignment="1">
      <alignment vertical="center"/>
    </xf>
    <xf numFmtId="0" fontId="9" fillId="0" borderId="0" xfId="2" applyFont="1" applyAlignment="1">
      <alignment horizontal="left" vertical="center"/>
    </xf>
    <xf numFmtId="0" fontId="9" fillId="0" borderId="0" xfId="2" applyFont="1" applyAlignment="1">
      <alignment horizontal="centerContinuous" vertical="center"/>
    </xf>
    <xf numFmtId="0" fontId="9" fillId="0" borderId="0" xfId="2" applyFont="1" applyAlignment="1">
      <alignment vertical="center"/>
    </xf>
    <xf numFmtId="0" fontId="9" fillId="0" borderId="0" xfId="2" applyFont="1" applyAlignment="1">
      <alignment horizontal="right" vertical="center"/>
    </xf>
    <xf numFmtId="0" fontId="12" fillId="0" borderId="0" xfId="3" applyFont="1" applyAlignment="1">
      <alignment horizontal="right" vertical="center"/>
    </xf>
    <xf numFmtId="0" fontId="19" fillId="0" borderId="9" xfId="2" applyFont="1" applyBorder="1" applyAlignment="1">
      <alignment horizontal="left" vertical="center"/>
    </xf>
    <xf numFmtId="0" fontId="10" fillId="0" borderId="7" xfId="2" applyFont="1" applyBorder="1" applyAlignment="1">
      <alignment vertical="center"/>
    </xf>
    <xf numFmtId="41" fontId="9" fillId="0" borderId="5" xfId="1" applyFont="1" applyFill="1" applyBorder="1" applyAlignment="1">
      <alignment horizontal="right" vertical="center"/>
    </xf>
    <xf numFmtId="180" fontId="9" fillId="0" borderId="5" xfId="8" applyNumberFormat="1" applyFont="1" applyFill="1" applyBorder="1" applyAlignment="1">
      <alignment vertical="center"/>
    </xf>
    <xf numFmtId="0" fontId="12" fillId="0" borderId="0" xfId="3" applyFont="1" applyAlignment="1">
      <alignment vertical="center"/>
    </xf>
    <xf numFmtId="0" fontId="9" fillId="0" borderId="4" xfId="2" applyFont="1" applyBorder="1" applyAlignment="1">
      <alignment horizontal="left" vertical="center"/>
    </xf>
    <xf numFmtId="0" fontId="9" fillId="0" borderId="4" xfId="2" applyFont="1" applyBorder="1" applyAlignment="1">
      <alignment horizontal="center" vertical="center"/>
    </xf>
    <xf numFmtId="182" fontId="10" fillId="0" borderId="5" xfId="8" applyNumberFormat="1" applyFont="1" applyFill="1" applyBorder="1" applyAlignment="1">
      <alignment vertical="center"/>
    </xf>
    <xf numFmtId="0" fontId="10" fillId="0" borderId="5" xfId="2" applyFont="1" applyBorder="1" applyAlignment="1">
      <alignment vertical="center"/>
    </xf>
    <xf numFmtId="0" fontId="9" fillId="0" borderId="4" xfId="6" applyFont="1" applyBorder="1" applyAlignment="1">
      <alignment horizontal="left" vertical="center"/>
    </xf>
    <xf numFmtId="41" fontId="9" fillId="0" borderId="5" xfId="2" applyNumberFormat="1" applyFont="1" applyBorder="1" applyAlignment="1">
      <alignment vertical="center"/>
    </xf>
    <xf numFmtId="180" fontId="9" fillId="0" borderId="0" xfId="8" applyNumberFormat="1" applyFont="1" applyFill="1" applyBorder="1" applyAlignment="1">
      <alignment horizontal="center" vertical="center"/>
    </xf>
    <xf numFmtId="185" fontId="9" fillId="0" borderId="6" xfId="1" applyNumberFormat="1" applyFont="1" applyFill="1" applyBorder="1" applyAlignment="1">
      <alignment vertical="center"/>
    </xf>
    <xf numFmtId="183" fontId="9" fillId="0" borderId="5" xfId="8" applyNumberFormat="1" applyFont="1" applyFill="1" applyBorder="1" applyAlignment="1">
      <alignment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/>
    </xf>
    <xf numFmtId="0" fontId="9" fillId="0" borderId="10" xfId="6" applyFont="1" applyBorder="1" applyAlignment="1">
      <alignment horizontal="center" vertical="center"/>
    </xf>
    <xf numFmtId="0" fontId="9" fillId="0" borderId="7" xfId="6" applyFont="1" applyBorder="1" applyAlignment="1">
      <alignment horizontal="center" vertical="center"/>
    </xf>
    <xf numFmtId="0" fontId="12" fillId="0" borderId="3" xfId="3" applyFont="1" applyBorder="1" applyAlignment="1">
      <alignment horizontal="center" vertical="center" shrinkToFit="1"/>
    </xf>
    <xf numFmtId="0" fontId="12" fillId="0" borderId="12" xfId="3" applyFont="1" applyBorder="1" applyAlignment="1">
      <alignment horizontal="center" vertical="center" shrinkToFit="1"/>
    </xf>
    <xf numFmtId="0" fontId="9" fillId="0" borderId="11" xfId="6" applyFont="1" applyBorder="1" applyAlignment="1">
      <alignment horizontal="center" vertical="center"/>
    </xf>
    <xf numFmtId="0" fontId="9" fillId="0" borderId="8" xfId="6" applyFont="1" applyBorder="1" applyAlignment="1">
      <alignment horizontal="center" vertical="center"/>
    </xf>
    <xf numFmtId="0" fontId="9" fillId="0" borderId="13" xfId="6" applyFont="1" applyBorder="1" applyAlignment="1">
      <alignment horizontal="center" vertical="center"/>
    </xf>
    <xf numFmtId="0" fontId="9" fillId="0" borderId="4" xfId="6" applyFont="1" applyBorder="1" applyAlignment="1">
      <alignment horizontal="center" vertical="center"/>
    </xf>
    <xf numFmtId="0" fontId="9" fillId="0" borderId="9" xfId="6" applyFont="1" applyBorder="1" applyAlignment="1">
      <alignment horizontal="center" vertical="center"/>
    </xf>
    <xf numFmtId="0" fontId="9" fillId="0" borderId="5" xfId="6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 wrapText="1" shrinkToFit="1"/>
    </xf>
    <xf numFmtId="0" fontId="12" fillId="0" borderId="2" xfId="3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 shrinkToFit="1"/>
    </xf>
    <xf numFmtId="0" fontId="9" fillId="0" borderId="2" xfId="3" applyFont="1" applyBorder="1" applyAlignment="1">
      <alignment horizontal="center" vertical="center"/>
    </xf>
    <xf numFmtId="0" fontId="12" fillId="0" borderId="3" xfId="3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 shrinkToFit="1"/>
    </xf>
  </cellXfs>
  <cellStyles count="9">
    <cellStyle name="쉼표 [0]" xfId="1" builtinId="6"/>
    <cellStyle name="콤마 [0]_가설공사(1)" xfId="5" xr:uid="{00000000-0005-0000-0000-000002000000}"/>
    <cellStyle name="콤마 [0]_가설공사(2)" xfId="7" xr:uid="{00000000-0005-0000-0000-000003000000}"/>
    <cellStyle name="콤마 [0]_조경공사" xfId="8" xr:uid="{00000000-0005-0000-0000-000004000000}"/>
    <cellStyle name="표준" xfId="0" builtinId="0"/>
    <cellStyle name="표준_Sheet1" xfId="4" xr:uid="{00000000-0005-0000-0000-000006000000}"/>
    <cellStyle name="표준_가설공사(1)" xfId="3" xr:uid="{00000000-0005-0000-0000-000007000000}"/>
    <cellStyle name="표준_가설공사(2)" xfId="6" xr:uid="{00000000-0005-0000-0000-000008000000}"/>
    <cellStyle name="표준_조경공사" xfId="2" xr:uid="{00000000-0005-0000-0000-000009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51118-1942-4AE3-BB53-5F6BCD621BE1}">
  <sheetPr>
    <pageSetUpPr fitToPage="1"/>
  </sheetPr>
  <dimension ref="A1:O308"/>
  <sheetViews>
    <sheetView tabSelected="1" zoomScaleNormal="100" workbookViewId="0">
      <selection activeCell="M22" sqref="M22"/>
    </sheetView>
  </sheetViews>
  <sheetFormatPr defaultColWidth="9" defaultRowHeight="12.95" customHeight="1" x14ac:dyDescent="0.3"/>
  <cols>
    <col min="1" max="1" width="2.625" style="1" customWidth="1"/>
    <col min="2" max="2" width="15.625" style="1" customWidth="1"/>
    <col min="3" max="3" width="15.625" style="22" customWidth="1"/>
    <col min="4" max="4" width="4.625" style="1" customWidth="1"/>
    <col min="5" max="5" width="11.625" style="1" customWidth="1"/>
    <col min="6" max="6" width="8.625" style="1" customWidth="1"/>
    <col min="7" max="7" width="11.625" style="1" customWidth="1"/>
    <col min="8" max="8" width="8.625" style="1" customWidth="1"/>
    <col min="9" max="9" width="11.625" style="1" customWidth="1"/>
    <col min="10" max="10" width="8.625" style="1" customWidth="1"/>
    <col min="11" max="11" width="11.625" style="1" customWidth="1"/>
    <col min="12" max="12" width="8.625" style="1" customWidth="1"/>
    <col min="13" max="13" width="11.625" style="1" customWidth="1"/>
    <col min="14" max="14" width="2.625" style="1" customWidth="1"/>
    <col min="15" max="15" width="11.625" style="1" customWidth="1"/>
    <col min="16" max="16384" width="9" style="1"/>
  </cols>
  <sheetData>
    <row r="1" spans="1:15" ht="12.95" customHeight="1" x14ac:dyDescent="0.3">
      <c r="A1" s="19"/>
      <c r="B1" s="21" t="s">
        <v>100</v>
      </c>
    </row>
    <row r="2" spans="1:15" ht="12.95" customHeight="1" x14ac:dyDescent="0.15">
      <c r="A2" s="20"/>
      <c r="B2" s="23" t="s">
        <v>99</v>
      </c>
    </row>
    <row r="3" spans="1:15" ht="12.95" customHeight="1" x14ac:dyDescent="0.3">
      <c r="B3" s="1" t="s">
        <v>31</v>
      </c>
      <c r="K3" s="24" t="s">
        <v>32</v>
      </c>
    </row>
    <row r="4" spans="1:15" ht="12.95" customHeight="1" x14ac:dyDescent="0.3">
      <c r="B4" s="87" t="s">
        <v>8</v>
      </c>
      <c r="C4" s="87" t="s">
        <v>12</v>
      </c>
      <c r="D4" s="81" t="s">
        <v>13</v>
      </c>
      <c r="E4" s="81" t="s">
        <v>9</v>
      </c>
      <c r="F4" s="83" t="s">
        <v>33</v>
      </c>
      <c r="G4" s="84"/>
      <c r="H4" s="84"/>
      <c r="I4" s="84"/>
      <c r="J4" s="84"/>
      <c r="K4" s="84"/>
    </row>
    <row r="5" spans="1:15" ht="12.95" customHeight="1" x14ac:dyDescent="0.3">
      <c r="B5" s="88"/>
      <c r="C5" s="88"/>
      <c r="D5" s="90"/>
      <c r="E5" s="90"/>
      <c r="F5" s="83" t="s">
        <v>34</v>
      </c>
      <c r="G5" s="84"/>
      <c r="H5" s="83" t="s">
        <v>35</v>
      </c>
      <c r="I5" s="84"/>
      <c r="J5" s="83" t="s">
        <v>36</v>
      </c>
      <c r="K5" s="84"/>
    </row>
    <row r="6" spans="1:15" ht="12.95" customHeight="1" x14ac:dyDescent="0.3">
      <c r="B6" s="89"/>
      <c r="C6" s="89"/>
      <c r="D6" s="82"/>
      <c r="E6" s="82"/>
      <c r="F6" s="25" t="s">
        <v>10</v>
      </c>
      <c r="G6" s="26" t="s">
        <v>11</v>
      </c>
      <c r="H6" s="25" t="s">
        <v>10</v>
      </c>
      <c r="I6" s="26" t="s">
        <v>11</v>
      </c>
      <c r="J6" s="25" t="s">
        <v>10</v>
      </c>
      <c r="K6" s="26" t="s">
        <v>11</v>
      </c>
    </row>
    <row r="7" spans="1:15" ht="12.95" customHeight="1" x14ac:dyDescent="0.3">
      <c r="B7" s="27" t="s">
        <v>5</v>
      </c>
      <c r="C7" s="28"/>
      <c r="D7" s="29" t="s">
        <v>14</v>
      </c>
      <c r="E7" s="30">
        <v>252641</v>
      </c>
      <c r="F7" s="31">
        <v>2.48</v>
      </c>
      <c r="G7" s="2">
        <f t="shared" ref="G7" si="0">TRUNC($E7*F7,1)</f>
        <v>626549.6</v>
      </c>
      <c r="H7" s="31">
        <v>2.31</v>
      </c>
      <c r="I7" s="3">
        <f t="shared" ref="I7" si="1">TRUNC($E7*H7,1)</f>
        <v>583600.69999999995</v>
      </c>
      <c r="J7" s="31">
        <v>2.2000000000000002</v>
      </c>
      <c r="K7" s="3">
        <f t="shared" ref="K7" si="2">TRUNC($E7*J7,1)</f>
        <v>555810.19999999995</v>
      </c>
    </row>
    <row r="8" spans="1:15" ht="12.95" customHeight="1" x14ac:dyDescent="0.3">
      <c r="B8" s="32" t="s">
        <v>16</v>
      </c>
      <c r="C8" s="33"/>
      <c r="D8" s="34"/>
      <c r="E8" s="35"/>
      <c r="F8" s="35"/>
      <c r="G8" s="9">
        <f>TRUNC(SUM(G7:G7))</f>
        <v>626549</v>
      </c>
      <c r="H8" s="35"/>
      <c r="I8" s="10">
        <f>TRUNC(SUM(I7:I7))</f>
        <v>583600</v>
      </c>
      <c r="J8" s="35"/>
      <c r="K8" s="10">
        <f>TRUNC(SUM(K7:K7))</f>
        <v>555810</v>
      </c>
    </row>
    <row r="9" spans="1:15" ht="12.95" customHeight="1" x14ac:dyDescent="0.3">
      <c r="B9" s="36"/>
      <c r="C9" s="28"/>
      <c r="D9" s="29"/>
      <c r="E9" s="37"/>
      <c r="F9" s="37"/>
      <c r="G9" s="6"/>
      <c r="H9" s="37"/>
      <c r="I9" s="7"/>
      <c r="J9" s="37"/>
      <c r="K9" s="7"/>
    </row>
    <row r="10" spans="1:15" ht="12.95" customHeight="1" x14ac:dyDescent="0.3">
      <c r="B10" s="38" t="s">
        <v>18</v>
      </c>
      <c r="C10" s="39"/>
      <c r="D10" s="40"/>
      <c r="E10" s="41"/>
      <c r="F10" s="41"/>
      <c r="G10" s="8">
        <f>SUM(G8)</f>
        <v>626549</v>
      </c>
      <c r="H10" s="41"/>
      <c r="I10" s="8">
        <f>SUM(I8)</f>
        <v>583600</v>
      </c>
      <c r="J10" s="41"/>
      <c r="K10" s="8">
        <f>SUM(K8)</f>
        <v>555810</v>
      </c>
    </row>
    <row r="11" spans="1:15" ht="12.95" customHeight="1" x14ac:dyDescent="0.3">
      <c r="B11" s="87" t="s">
        <v>8</v>
      </c>
      <c r="C11" s="87" t="s">
        <v>12</v>
      </c>
      <c r="D11" s="81" t="s">
        <v>13</v>
      </c>
      <c r="E11" s="81" t="s">
        <v>9</v>
      </c>
      <c r="F11" s="83" t="s">
        <v>33</v>
      </c>
      <c r="G11" s="84"/>
      <c r="H11" s="84"/>
      <c r="I11" s="84"/>
      <c r="J11" s="84"/>
      <c r="K11" s="84"/>
    </row>
    <row r="12" spans="1:15" ht="12.95" customHeight="1" x14ac:dyDescent="0.3">
      <c r="B12" s="88"/>
      <c r="C12" s="88"/>
      <c r="D12" s="90"/>
      <c r="E12" s="90"/>
      <c r="F12" s="83" t="s">
        <v>37</v>
      </c>
      <c r="G12" s="84"/>
      <c r="H12" s="83" t="s">
        <v>38</v>
      </c>
      <c r="I12" s="84"/>
      <c r="J12" s="83" t="s">
        <v>39</v>
      </c>
      <c r="K12" s="84"/>
    </row>
    <row r="13" spans="1:15" ht="12.95" customHeight="1" x14ac:dyDescent="0.3">
      <c r="B13" s="89"/>
      <c r="C13" s="89"/>
      <c r="D13" s="82"/>
      <c r="E13" s="82"/>
      <c r="F13" s="25" t="s">
        <v>10</v>
      </c>
      <c r="G13" s="26" t="s">
        <v>11</v>
      </c>
      <c r="H13" s="25" t="s">
        <v>10</v>
      </c>
      <c r="I13" s="26" t="s">
        <v>11</v>
      </c>
      <c r="J13" s="25" t="s">
        <v>10</v>
      </c>
      <c r="K13" s="26" t="s">
        <v>11</v>
      </c>
      <c r="O13" s="12"/>
    </row>
    <row r="14" spans="1:15" ht="12.95" customHeight="1" x14ac:dyDescent="0.3">
      <c r="B14" s="27" t="s">
        <v>5</v>
      </c>
      <c r="C14" s="28"/>
      <c r="D14" s="29" t="s">
        <v>14</v>
      </c>
      <c r="E14" s="30">
        <v>252641</v>
      </c>
      <c r="F14" s="31">
        <v>1.97</v>
      </c>
      <c r="G14" s="2">
        <f t="shared" ref="G14" si="3">TRUNC($E14*F14,1)</f>
        <v>497702.7</v>
      </c>
      <c r="H14" s="31">
        <v>1.75</v>
      </c>
      <c r="I14" s="3">
        <f t="shared" ref="I14" si="4">TRUNC($E14*H14,1)</f>
        <v>442121.7</v>
      </c>
      <c r="J14" s="31">
        <v>1.63</v>
      </c>
      <c r="K14" s="3">
        <f t="shared" ref="K14" si="5">TRUNC($E14*J14,1)</f>
        <v>411804.8</v>
      </c>
      <c r="N14" s="12"/>
      <c r="O14" s="12"/>
    </row>
    <row r="15" spans="1:15" ht="12.95" customHeight="1" x14ac:dyDescent="0.3">
      <c r="B15" s="32" t="s">
        <v>16</v>
      </c>
      <c r="C15" s="33"/>
      <c r="D15" s="34"/>
      <c r="E15" s="35"/>
      <c r="F15" s="35"/>
      <c r="G15" s="9">
        <f>TRUNC(SUM(G14:G14))</f>
        <v>497702</v>
      </c>
      <c r="H15" s="35"/>
      <c r="I15" s="10">
        <f>TRUNC(SUM(I14:I14))</f>
        <v>442121</v>
      </c>
      <c r="J15" s="35"/>
      <c r="K15" s="10">
        <f>TRUNC(SUM(K14:K14))</f>
        <v>411804</v>
      </c>
      <c r="N15" s="12"/>
      <c r="O15" s="12"/>
    </row>
    <row r="16" spans="1:15" ht="12.95" customHeight="1" x14ac:dyDescent="0.3">
      <c r="B16" s="36"/>
      <c r="C16" s="28"/>
      <c r="D16" s="29"/>
      <c r="E16" s="37"/>
      <c r="F16" s="37"/>
      <c r="G16" s="6"/>
      <c r="H16" s="37"/>
      <c r="I16" s="7"/>
      <c r="J16" s="37"/>
      <c r="K16" s="7"/>
      <c r="N16" s="12"/>
      <c r="O16" s="12"/>
    </row>
    <row r="17" spans="2:15" ht="12.95" customHeight="1" x14ac:dyDescent="0.3">
      <c r="B17" s="38" t="s">
        <v>18</v>
      </c>
      <c r="C17" s="39"/>
      <c r="D17" s="40"/>
      <c r="E17" s="41"/>
      <c r="F17" s="41"/>
      <c r="G17" s="8">
        <f>SUM(G15)</f>
        <v>497702</v>
      </c>
      <c r="H17" s="41"/>
      <c r="I17" s="8">
        <f>SUM(I15)</f>
        <v>442121</v>
      </c>
      <c r="J17" s="41"/>
      <c r="K17" s="8">
        <f>SUM(K15)</f>
        <v>411804</v>
      </c>
      <c r="N17" s="12"/>
      <c r="O17" s="12"/>
    </row>
    <row r="18" spans="2:15" ht="12.95" customHeight="1" x14ac:dyDescent="0.3">
      <c r="N18" s="12"/>
      <c r="O18" s="12"/>
    </row>
    <row r="19" spans="2:15" ht="12.95" customHeight="1" x14ac:dyDescent="0.3">
      <c r="B19" s="23" t="s">
        <v>40</v>
      </c>
      <c r="N19" s="12"/>
      <c r="O19" s="12"/>
    </row>
    <row r="20" spans="2:15" ht="12.95" customHeight="1" x14ac:dyDescent="0.3">
      <c r="B20" s="1" t="s">
        <v>41</v>
      </c>
      <c r="K20" s="24" t="s">
        <v>32</v>
      </c>
      <c r="L20" s="12"/>
      <c r="M20" s="12"/>
    </row>
    <row r="21" spans="2:15" ht="12.95" customHeight="1" x14ac:dyDescent="0.3">
      <c r="B21" s="92" t="s">
        <v>8</v>
      </c>
      <c r="C21" s="93" t="s">
        <v>12</v>
      </c>
      <c r="D21" s="94" t="s">
        <v>13</v>
      </c>
      <c r="E21" s="95" t="s">
        <v>9</v>
      </c>
      <c r="F21" s="96" t="s">
        <v>42</v>
      </c>
      <c r="G21" s="83"/>
      <c r="H21" s="96" t="s">
        <v>43</v>
      </c>
      <c r="I21" s="83"/>
      <c r="J21" s="96" t="s">
        <v>44</v>
      </c>
      <c r="K21" s="83"/>
      <c r="L21" s="12"/>
      <c r="M21" s="12"/>
    </row>
    <row r="22" spans="2:15" ht="12.95" customHeight="1" x14ac:dyDescent="0.3">
      <c r="B22" s="92"/>
      <c r="C22" s="93"/>
      <c r="D22" s="94"/>
      <c r="E22" s="95"/>
      <c r="F22" s="25" t="s">
        <v>10</v>
      </c>
      <c r="G22" s="26" t="s">
        <v>11</v>
      </c>
      <c r="H22" s="25" t="s">
        <v>10</v>
      </c>
      <c r="I22" s="26" t="s">
        <v>11</v>
      </c>
      <c r="J22" s="25" t="s">
        <v>10</v>
      </c>
      <c r="K22" s="26" t="s">
        <v>11</v>
      </c>
      <c r="L22" s="12"/>
      <c r="M22" s="12"/>
    </row>
    <row r="23" spans="2:15" ht="12.95" customHeight="1" x14ac:dyDescent="0.3">
      <c r="B23" s="27" t="s">
        <v>5</v>
      </c>
      <c r="C23" s="28"/>
      <c r="D23" s="29" t="s">
        <v>14</v>
      </c>
      <c r="E23" s="30">
        <v>252641</v>
      </c>
      <c r="F23" s="31">
        <v>0.33</v>
      </c>
      <c r="G23" s="3">
        <f t="shared" ref="G23:G25" si="6">TRUNC($E23*F23,1)</f>
        <v>83371.5</v>
      </c>
      <c r="H23" s="31">
        <v>0.44</v>
      </c>
      <c r="I23" s="3">
        <f t="shared" ref="I23:I25" si="7">TRUNC($E23*H23,1)</f>
        <v>111162</v>
      </c>
      <c r="J23" s="31">
        <v>0.52</v>
      </c>
      <c r="K23" s="3">
        <f t="shared" ref="K23:K25" si="8">TRUNC($E23*J23,1)</f>
        <v>131373.29999999999</v>
      </c>
      <c r="L23" s="12"/>
      <c r="M23" s="12"/>
    </row>
    <row r="24" spans="2:15" ht="12.95" customHeight="1" x14ac:dyDescent="0.3">
      <c r="B24" s="27" t="s">
        <v>3</v>
      </c>
      <c r="C24" s="28"/>
      <c r="D24" s="29" t="s">
        <v>14</v>
      </c>
      <c r="E24" s="30">
        <v>281939</v>
      </c>
      <c r="F24" s="31">
        <v>0.14000000000000001</v>
      </c>
      <c r="G24" s="3">
        <f t="shared" si="6"/>
        <v>39471.4</v>
      </c>
      <c r="H24" s="31">
        <v>0.18</v>
      </c>
      <c r="I24" s="3">
        <f t="shared" si="7"/>
        <v>50749</v>
      </c>
      <c r="J24" s="31">
        <v>0.22</v>
      </c>
      <c r="K24" s="3">
        <f t="shared" si="8"/>
        <v>62026.5</v>
      </c>
    </row>
    <row r="25" spans="2:15" ht="12.95" customHeight="1" x14ac:dyDescent="0.3">
      <c r="B25" s="27" t="s">
        <v>22</v>
      </c>
      <c r="C25" s="28"/>
      <c r="D25" s="29" t="s">
        <v>14</v>
      </c>
      <c r="E25" s="30">
        <v>226122</v>
      </c>
      <c r="F25" s="31">
        <v>7.0000000000000007E-2</v>
      </c>
      <c r="G25" s="3">
        <f t="shared" si="6"/>
        <v>15828.5</v>
      </c>
      <c r="H25" s="31">
        <v>0.09</v>
      </c>
      <c r="I25" s="3">
        <f t="shared" si="7"/>
        <v>20350.900000000001</v>
      </c>
      <c r="J25" s="31">
        <v>0.11</v>
      </c>
      <c r="K25" s="3">
        <f t="shared" si="8"/>
        <v>24873.4</v>
      </c>
    </row>
    <row r="26" spans="2:15" ht="12.95" customHeight="1" x14ac:dyDescent="0.3">
      <c r="B26" s="32" t="s">
        <v>16</v>
      </c>
      <c r="C26" s="33"/>
      <c r="D26" s="34"/>
      <c r="E26" s="35"/>
      <c r="F26" s="35"/>
      <c r="G26" s="10">
        <f>TRUNC(SUM(G23:G25))</f>
        <v>138671</v>
      </c>
      <c r="H26" s="35"/>
      <c r="I26" s="10">
        <f>TRUNC(SUM(I23:I25))</f>
        <v>182261</v>
      </c>
      <c r="J26" s="35"/>
      <c r="K26" s="10">
        <f>TRUNC(SUM(K23:K25))</f>
        <v>218273</v>
      </c>
    </row>
    <row r="27" spans="2:15" ht="12.95" customHeight="1" x14ac:dyDescent="0.3">
      <c r="B27" s="36"/>
      <c r="C27" s="28"/>
      <c r="D27" s="29"/>
      <c r="E27" s="37"/>
      <c r="F27" s="37"/>
      <c r="G27" s="7"/>
      <c r="H27" s="37"/>
      <c r="I27" s="7"/>
      <c r="J27" s="37"/>
      <c r="K27" s="7"/>
    </row>
    <row r="28" spans="2:15" ht="12.95" customHeight="1" x14ac:dyDescent="0.3">
      <c r="B28" s="38" t="s">
        <v>18</v>
      </c>
      <c r="C28" s="39"/>
      <c r="D28" s="40"/>
      <c r="E28" s="41"/>
      <c r="F28" s="41"/>
      <c r="G28" s="8">
        <f>SUM(G26)</f>
        <v>138671</v>
      </c>
      <c r="H28" s="41"/>
      <c r="I28" s="8">
        <f>SUM(I26)</f>
        <v>182261</v>
      </c>
      <c r="J28" s="41"/>
      <c r="K28" s="8">
        <f>SUM(K26)</f>
        <v>218273</v>
      </c>
    </row>
    <row r="29" spans="2:15" ht="12.95" customHeight="1" x14ac:dyDescent="0.3">
      <c r="B29" s="92" t="s">
        <v>8</v>
      </c>
      <c r="C29" s="93" t="s">
        <v>12</v>
      </c>
      <c r="D29" s="94" t="s">
        <v>13</v>
      </c>
      <c r="E29" s="95" t="s">
        <v>9</v>
      </c>
      <c r="F29" s="96" t="s">
        <v>45</v>
      </c>
      <c r="G29" s="83"/>
      <c r="H29" s="96" t="s">
        <v>46</v>
      </c>
      <c r="I29" s="83"/>
      <c r="J29" s="12"/>
      <c r="K29" s="12"/>
    </row>
    <row r="30" spans="2:15" ht="12.95" customHeight="1" x14ac:dyDescent="0.3">
      <c r="B30" s="92"/>
      <c r="C30" s="93"/>
      <c r="D30" s="94"/>
      <c r="E30" s="95"/>
      <c r="F30" s="25" t="s">
        <v>10</v>
      </c>
      <c r="G30" s="26" t="s">
        <v>11</v>
      </c>
      <c r="H30" s="25" t="s">
        <v>10</v>
      </c>
      <c r="I30" s="26" t="s">
        <v>11</v>
      </c>
      <c r="J30" s="12"/>
      <c r="K30" s="12"/>
    </row>
    <row r="31" spans="2:15" ht="12.95" customHeight="1" x14ac:dyDescent="0.3">
      <c r="B31" s="27" t="s">
        <v>5</v>
      </c>
      <c r="C31" s="28"/>
      <c r="D31" s="29" t="s">
        <v>14</v>
      </c>
      <c r="E31" s="30">
        <v>252641</v>
      </c>
      <c r="F31" s="31">
        <v>0.59</v>
      </c>
      <c r="G31" s="3">
        <f t="shared" ref="G31:G33" si="9">TRUNC($E31*F31,1)</f>
        <v>149058.1</v>
      </c>
      <c r="H31" s="31">
        <v>0.65</v>
      </c>
      <c r="I31" s="3">
        <f t="shared" ref="I31:I33" si="10">TRUNC($E31*H31,1)</f>
        <v>164216.6</v>
      </c>
      <c r="J31" s="12"/>
      <c r="K31" s="12"/>
    </row>
    <row r="32" spans="2:15" ht="12.95" customHeight="1" x14ac:dyDescent="0.3">
      <c r="B32" s="27" t="s">
        <v>3</v>
      </c>
      <c r="C32" s="28"/>
      <c r="D32" s="29" t="s">
        <v>14</v>
      </c>
      <c r="E32" s="30">
        <v>281939</v>
      </c>
      <c r="F32" s="31">
        <v>0.24</v>
      </c>
      <c r="G32" s="3">
        <f t="shared" si="9"/>
        <v>67665.3</v>
      </c>
      <c r="H32" s="31">
        <v>0.27</v>
      </c>
      <c r="I32" s="3">
        <f t="shared" si="10"/>
        <v>76123.5</v>
      </c>
    </row>
    <row r="33" spans="2:13" ht="12.95" customHeight="1" x14ac:dyDescent="0.3">
      <c r="B33" s="27" t="s">
        <v>22</v>
      </c>
      <c r="C33" s="28"/>
      <c r="D33" s="29" t="s">
        <v>14</v>
      </c>
      <c r="E33" s="30">
        <v>226122</v>
      </c>
      <c r="F33" s="31">
        <v>0.12</v>
      </c>
      <c r="G33" s="3">
        <f t="shared" si="9"/>
        <v>27134.6</v>
      </c>
      <c r="H33" s="31">
        <v>0.14000000000000001</v>
      </c>
      <c r="I33" s="3">
        <f t="shared" si="10"/>
        <v>31657</v>
      </c>
    </row>
    <row r="34" spans="2:13" ht="12.95" customHeight="1" x14ac:dyDescent="0.3">
      <c r="B34" s="32" t="s">
        <v>16</v>
      </c>
      <c r="C34" s="33"/>
      <c r="D34" s="34"/>
      <c r="E34" s="35"/>
      <c r="F34" s="35"/>
      <c r="G34" s="10">
        <f>TRUNC(SUM(G31:G33))</f>
        <v>243858</v>
      </c>
      <c r="H34" s="35"/>
      <c r="I34" s="10">
        <f>TRUNC(SUM(I31:I33))</f>
        <v>271997</v>
      </c>
    </row>
    <row r="35" spans="2:13" ht="12.95" customHeight="1" x14ac:dyDescent="0.3">
      <c r="B35" s="36"/>
      <c r="C35" s="28"/>
      <c r="D35" s="29"/>
      <c r="E35" s="37"/>
      <c r="F35" s="37"/>
      <c r="G35" s="7"/>
      <c r="H35" s="37"/>
      <c r="I35" s="7"/>
    </row>
    <row r="36" spans="2:13" ht="12.95" customHeight="1" x14ac:dyDescent="0.3">
      <c r="B36" s="38" t="s">
        <v>18</v>
      </c>
      <c r="C36" s="39"/>
      <c r="D36" s="40"/>
      <c r="E36" s="41"/>
      <c r="F36" s="41"/>
      <c r="G36" s="8">
        <f>SUM(G34)</f>
        <v>243858</v>
      </c>
      <c r="H36" s="41"/>
      <c r="I36" s="8">
        <f>SUM(I34)</f>
        <v>271997</v>
      </c>
    </row>
    <row r="38" spans="2:13" ht="12.95" customHeight="1" x14ac:dyDescent="0.3">
      <c r="B38" s="1" t="s">
        <v>101</v>
      </c>
      <c r="M38" s="24" t="s">
        <v>32</v>
      </c>
    </row>
    <row r="39" spans="2:13" ht="12.95" customHeight="1" x14ac:dyDescent="0.3">
      <c r="B39" s="92" t="s">
        <v>8</v>
      </c>
      <c r="C39" s="93" t="s">
        <v>12</v>
      </c>
      <c r="D39" s="94" t="s">
        <v>13</v>
      </c>
      <c r="E39" s="95" t="s">
        <v>9</v>
      </c>
      <c r="F39" s="96" t="s">
        <v>102</v>
      </c>
      <c r="G39" s="83"/>
      <c r="H39" s="96" t="s">
        <v>103</v>
      </c>
      <c r="I39" s="83"/>
      <c r="J39" s="91" t="s">
        <v>104</v>
      </c>
      <c r="K39" s="83"/>
      <c r="L39" s="91" t="s">
        <v>105</v>
      </c>
      <c r="M39" s="83"/>
    </row>
    <row r="40" spans="2:13" ht="12.95" customHeight="1" x14ac:dyDescent="0.3">
      <c r="B40" s="92"/>
      <c r="C40" s="93"/>
      <c r="D40" s="94"/>
      <c r="E40" s="95"/>
      <c r="F40" s="25" t="s">
        <v>10</v>
      </c>
      <c r="G40" s="26" t="s">
        <v>11</v>
      </c>
      <c r="H40" s="25" t="s">
        <v>10</v>
      </c>
      <c r="I40" s="26" t="s">
        <v>11</v>
      </c>
      <c r="J40" s="25" t="s">
        <v>10</v>
      </c>
      <c r="K40" s="26" t="s">
        <v>11</v>
      </c>
      <c r="L40" s="25" t="s">
        <v>10</v>
      </c>
      <c r="M40" s="26" t="s">
        <v>11</v>
      </c>
    </row>
    <row r="41" spans="2:13" ht="12.95" customHeight="1" x14ac:dyDescent="0.3">
      <c r="B41" s="42" t="s">
        <v>27</v>
      </c>
      <c r="C41" s="43" t="s">
        <v>28</v>
      </c>
      <c r="D41" s="44" t="s">
        <v>19</v>
      </c>
      <c r="E41" s="45"/>
      <c r="F41" s="46">
        <v>1</v>
      </c>
      <c r="G41" s="5">
        <f>TRUNC(SUM(G44:G46)*0.02,1)</f>
        <v>7034.7</v>
      </c>
      <c r="H41" s="46">
        <v>1</v>
      </c>
      <c r="I41" s="5">
        <f>TRUNC(SUM(I44:I46)*0.02,1)</f>
        <v>7320.8</v>
      </c>
      <c r="J41" s="46">
        <v>1</v>
      </c>
      <c r="K41" s="5">
        <f>TRUNC(SUM(K44:K46)*0.02,1)</f>
        <v>7507.5</v>
      </c>
      <c r="L41" s="46">
        <v>1</v>
      </c>
      <c r="M41" s="5">
        <f>TRUNC(SUM(M44:M46)*0.02,1)</f>
        <v>7694.1</v>
      </c>
    </row>
    <row r="42" spans="2:13" ht="12.95" customHeight="1" x14ac:dyDescent="0.3">
      <c r="B42" s="47" t="s">
        <v>15</v>
      </c>
      <c r="C42" s="48"/>
      <c r="D42" s="49"/>
      <c r="E42" s="50"/>
      <c r="F42" s="51"/>
      <c r="G42" s="11">
        <f>TRUNC(SUM(G41))</f>
        <v>7034</v>
      </c>
      <c r="H42" s="51"/>
      <c r="I42" s="11">
        <f>TRUNC(SUM(I41))</f>
        <v>7320</v>
      </c>
      <c r="J42" s="51"/>
      <c r="K42" s="11">
        <f>TRUNC(SUM(K41))</f>
        <v>7507</v>
      </c>
      <c r="L42" s="51"/>
      <c r="M42" s="11">
        <f>TRUNC(SUM(M41))</f>
        <v>7694</v>
      </c>
    </row>
    <row r="43" spans="2:13" ht="12.95" customHeight="1" x14ac:dyDescent="0.3">
      <c r="B43" s="52"/>
      <c r="C43" s="53"/>
      <c r="D43" s="53"/>
      <c r="E43" s="18"/>
      <c r="F43" s="13"/>
      <c r="G43" s="54"/>
      <c r="H43" s="13"/>
      <c r="I43" s="54"/>
      <c r="J43" s="13"/>
      <c r="K43" s="54"/>
      <c r="L43" s="13"/>
      <c r="M43" s="54"/>
    </row>
    <row r="44" spans="2:13" ht="12.95" customHeight="1" x14ac:dyDescent="0.3">
      <c r="B44" s="27" t="s">
        <v>5</v>
      </c>
      <c r="C44" s="28"/>
      <c r="D44" s="29" t="s">
        <v>14</v>
      </c>
      <c r="E44" s="30">
        <v>252641</v>
      </c>
      <c r="F44" s="55">
        <v>0.81200000000000006</v>
      </c>
      <c r="G44" s="3">
        <f t="shared" ref="G44:G46" si="11">TRUNC($E44*F44,1)</f>
        <v>205144.4</v>
      </c>
      <c r="H44" s="55">
        <v>0.878</v>
      </c>
      <c r="I44" s="3">
        <f t="shared" ref="I44:I46" si="12">TRUNC($E44*H44,1)</f>
        <v>221818.7</v>
      </c>
      <c r="J44" s="55">
        <v>0.92700000000000005</v>
      </c>
      <c r="K44" s="3">
        <f t="shared" ref="K44:K46" si="13">TRUNC($E44*J44,1)</f>
        <v>234198.2</v>
      </c>
      <c r="L44" s="55">
        <v>0.97599999999999998</v>
      </c>
      <c r="M44" s="3">
        <f t="shared" ref="M44:M46" si="14">TRUNC($E44*L44,1)</f>
        <v>246577.6</v>
      </c>
    </row>
    <row r="45" spans="2:13" ht="12.95" customHeight="1" x14ac:dyDescent="0.3">
      <c r="B45" s="27" t="s">
        <v>24</v>
      </c>
      <c r="C45" s="28"/>
      <c r="D45" s="29" t="s">
        <v>14</v>
      </c>
      <c r="E45" s="30">
        <v>282536</v>
      </c>
      <c r="F45" s="55">
        <v>0.38200000000000001</v>
      </c>
      <c r="G45" s="3">
        <f t="shared" si="11"/>
        <v>107928.7</v>
      </c>
      <c r="H45" s="55">
        <v>0.34399999999999997</v>
      </c>
      <c r="I45" s="3">
        <f t="shared" si="12"/>
        <v>97192.3</v>
      </c>
      <c r="J45" s="55">
        <v>0.30599999999999999</v>
      </c>
      <c r="K45" s="3">
        <f t="shared" si="13"/>
        <v>86456</v>
      </c>
      <c r="L45" s="55">
        <v>0.26800000000000002</v>
      </c>
      <c r="M45" s="3">
        <f t="shared" si="14"/>
        <v>75719.600000000006</v>
      </c>
    </row>
    <row r="46" spans="2:13" ht="12.95" customHeight="1" x14ac:dyDescent="0.3">
      <c r="B46" s="27" t="s">
        <v>22</v>
      </c>
      <c r="C46" s="28"/>
      <c r="D46" s="29" t="s">
        <v>14</v>
      </c>
      <c r="E46" s="30">
        <v>226122</v>
      </c>
      <c r="F46" s="55">
        <v>0.17100000000000001</v>
      </c>
      <c r="G46" s="3">
        <f t="shared" si="11"/>
        <v>38666.800000000003</v>
      </c>
      <c r="H46" s="55">
        <v>0.20799999999999999</v>
      </c>
      <c r="I46" s="3">
        <f t="shared" si="12"/>
        <v>47033.3</v>
      </c>
      <c r="J46" s="55">
        <v>0.24199999999999999</v>
      </c>
      <c r="K46" s="3">
        <f t="shared" si="13"/>
        <v>54721.5</v>
      </c>
      <c r="L46" s="55">
        <v>0.27600000000000002</v>
      </c>
      <c r="M46" s="3">
        <f t="shared" si="14"/>
        <v>62409.599999999999</v>
      </c>
    </row>
    <row r="47" spans="2:13" ht="12.95" customHeight="1" x14ac:dyDescent="0.3">
      <c r="B47" s="32" t="s">
        <v>16</v>
      </c>
      <c r="C47" s="33"/>
      <c r="D47" s="34"/>
      <c r="E47" s="35"/>
      <c r="F47" s="35"/>
      <c r="G47" s="10">
        <f>TRUNC(SUM(G44:G46))</f>
        <v>351739</v>
      </c>
      <c r="H47" s="35"/>
      <c r="I47" s="10">
        <f>TRUNC(SUM(I44:I46))</f>
        <v>366044</v>
      </c>
      <c r="J47" s="35"/>
      <c r="K47" s="10">
        <f>TRUNC(SUM(K44:K46))</f>
        <v>375375</v>
      </c>
      <c r="L47" s="35"/>
      <c r="M47" s="10">
        <f>TRUNC(SUM(M44:M46))</f>
        <v>384706</v>
      </c>
    </row>
    <row r="48" spans="2:13" ht="12.95" customHeight="1" x14ac:dyDescent="0.3">
      <c r="B48" s="36"/>
      <c r="C48" s="28"/>
      <c r="D48" s="29"/>
      <c r="E48" s="37"/>
      <c r="F48" s="37"/>
      <c r="G48" s="7"/>
      <c r="H48" s="37"/>
      <c r="I48" s="7"/>
      <c r="J48" s="37"/>
      <c r="K48" s="7"/>
      <c r="L48" s="37"/>
      <c r="M48" s="7"/>
    </row>
    <row r="49" spans="2:13" ht="12.95" customHeight="1" x14ac:dyDescent="0.3">
      <c r="B49" s="38" t="s">
        <v>18</v>
      </c>
      <c r="C49" s="39"/>
      <c r="D49" s="40"/>
      <c r="E49" s="41"/>
      <c r="F49" s="41"/>
      <c r="G49" s="56">
        <f>SUM(G42+G47)</f>
        <v>358773</v>
      </c>
      <c r="H49" s="41"/>
      <c r="I49" s="56">
        <f>SUM(I42+I47)</f>
        <v>373364</v>
      </c>
      <c r="J49" s="41"/>
      <c r="K49" s="56">
        <f>SUM(K42+K47)</f>
        <v>382882</v>
      </c>
      <c r="L49" s="41"/>
      <c r="M49" s="56">
        <f>SUM(M42+M47)</f>
        <v>392400</v>
      </c>
    </row>
    <row r="51" spans="2:13" ht="12.95" customHeight="1" x14ac:dyDescent="0.3">
      <c r="B51" s="57" t="s">
        <v>106</v>
      </c>
      <c r="C51" s="58"/>
      <c r="D51" s="59"/>
      <c r="E51" s="60"/>
      <c r="F51" s="59"/>
      <c r="G51" s="59"/>
      <c r="K51" s="61" t="s">
        <v>47</v>
      </c>
    </row>
    <row r="52" spans="2:13" ht="12.95" customHeight="1" x14ac:dyDescent="0.3">
      <c r="B52" s="76" t="s">
        <v>8</v>
      </c>
      <c r="C52" s="78" t="s">
        <v>20</v>
      </c>
      <c r="D52" s="80" t="s">
        <v>13</v>
      </c>
      <c r="E52" s="81" t="s">
        <v>9</v>
      </c>
      <c r="F52" s="83" t="s">
        <v>48</v>
      </c>
      <c r="G52" s="84"/>
      <c r="H52" s="83" t="s">
        <v>49</v>
      </c>
      <c r="I52" s="84"/>
      <c r="J52" s="83" t="s">
        <v>50</v>
      </c>
      <c r="K52" s="84"/>
    </row>
    <row r="53" spans="2:13" ht="12.95" customHeight="1" x14ac:dyDescent="0.3">
      <c r="B53" s="77"/>
      <c r="C53" s="79"/>
      <c r="D53" s="80"/>
      <c r="E53" s="82"/>
      <c r="F53" s="25" t="s">
        <v>10</v>
      </c>
      <c r="G53" s="26" t="s">
        <v>11</v>
      </c>
      <c r="H53" s="25" t="s">
        <v>10</v>
      </c>
      <c r="I53" s="26" t="s">
        <v>11</v>
      </c>
      <c r="J53" s="25" t="s">
        <v>10</v>
      </c>
      <c r="K53" s="26" t="s">
        <v>11</v>
      </c>
    </row>
    <row r="54" spans="2:13" ht="12.95" customHeight="1" x14ac:dyDescent="0.3">
      <c r="B54" s="42" t="s">
        <v>27</v>
      </c>
      <c r="C54" s="43" t="s">
        <v>29</v>
      </c>
      <c r="D54" s="44" t="s">
        <v>19</v>
      </c>
      <c r="E54" s="45"/>
      <c r="F54" s="46">
        <v>1</v>
      </c>
      <c r="G54" s="5">
        <f>TRUNC(SUM(G57:G58)*0.03,1)</f>
        <v>4073.1</v>
      </c>
      <c r="H54" s="46">
        <v>1</v>
      </c>
      <c r="I54" s="5">
        <f>TRUNC(SUM(I57:I58)*0.03,1)</f>
        <v>4890.8999999999996</v>
      </c>
      <c r="J54" s="46">
        <v>1</v>
      </c>
      <c r="K54" s="5">
        <f>TRUNC(SUM(K57:K58)*0.03,1)</f>
        <v>5557.1</v>
      </c>
    </row>
    <row r="55" spans="2:13" ht="12.95" customHeight="1" x14ac:dyDescent="0.3">
      <c r="B55" s="47" t="s">
        <v>15</v>
      </c>
      <c r="C55" s="48"/>
      <c r="D55" s="49"/>
      <c r="E55" s="50"/>
      <c r="F55" s="51"/>
      <c r="G55" s="11">
        <f>TRUNC(SUM(G54))</f>
        <v>4073</v>
      </c>
      <c r="H55" s="51"/>
      <c r="I55" s="11">
        <f>TRUNC(SUM(I54))</f>
        <v>4890</v>
      </c>
      <c r="J55" s="51"/>
      <c r="K55" s="11">
        <f>TRUNC(SUM(K54))</f>
        <v>5557</v>
      </c>
    </row>
    <row r="56" spans="2:13" ht="12.95" customHeight="1" x14ac:dyDescent="0.3">
      <c r="B56" s="52"/>
      <c r="C56" s="53"/>
      <c r="D56" s="53"/>
      <c r="E56" s="18"/>
      <c r="F56" s="13"/>
      <c r="G56" s="54"/>
      <c r="H56" s="13"/>
      <c r="I56" s="54"/>
      <c r="J56" s="13"/>
      <c r="K56" s="54"/>
    </row>
    <row r="57" spans="2:13" ht="12.95" customHeight="1" x14ac:dyDescent="0.3">
      <c r="B57" s="27" t="s">
        <v>5</v>
      </c>
      <c r="C57" s="28"/>
      <c r="D57" s="29" t="s">
        <v>14</v>
      </c>
      <c r="E57" s="30">
        <v>252641</v>
      </c>
      <c r="F57" s="51">
        <v>0.43</v>
      </c>
      <c r="G57" s="3">
        <f t="shared" ref="G57:G58" si="15">TRUNC($E57*F57,1)</f>
        <v>108635.6</v>
      </c>
      <c r="H57" s="51">
        <v>0.52</v>
      </c>
      <c r="I57" s="3">
        <f t="shared" ref="I57:I58" si="16">TRUNC($E57*H57,1)</f>
        <v>131373.29999999999</v>
      </c>
      <c r="J57" s="51">
        <v>0.59</v>
      </c>
      <c r="K57" s="3">
        <f t="shared" ref="K57:K58" si="17">TRUNC($E57*J57,1)</f>
        <v>149058.1</v>
      </c>
    </row>
    <row r="58" spans="2:13" ht="12.95" customHeight="1" x14ac:dyDescent="0.3">
      <c r="B58" s="27" t="s">
        <v>22</v>
      </c>
      <c r="C58" s="28"/>
      <c r="D58" s="29" t="s">
        <v>14</v>
      </c>
      <c r="E58" s="30">
        <v>226122</v>
      </c>
      <c r="F58" s="51">
        <v>0.12</v>
      </c>
      <c r="G58" s="3">
        <f t="shared" si="15"/>
        <v>27134.6</v>
      </c>
      <c r="H58" s="51">
        <v>0.14000000000000001</v>
      </c>
      <c r="I58" s="3">
        <f t="shared" si="16"/>
        <v>31657</v>
      </c>
      <c r="J58" s="51">
        <v>0.16</v>
      </c>
      <c r="K58" s="3">
        <f t="shared" si="17"/>
        <v>36179.5</v>
      </c>
    </row>
    <row r="59" spans="2:13" ht="12.95" customHeight="1" x14ac:dyDescent="0.3">
      <c r="B59" s="32" t="s">
        <v>16</v>
      </c>
      <c r="C59" s="53"/>
      <c r="D59" s="53"/>
      <c r="E59" s="18"/>
      <c r="F59" s="13"/>
      <c r="G59" s="14">
        <f>TRUNC(SUM(G57:G58))</f>
        <v>135770</v>
      </c>
      <c r="H59" s="13"/>
      <c r="I59" s="14">
        <f>TRUNC(SUM(I57:I58))</f>
        <v>163030</v>
      </c>
      <c r="J59" s="13"/>
      <c r="K59" s="14">
        <f>TRUNC(SUM(K57:K58))</f>
        <v>185237</v>
      </c>
    </row>
    <row r="60" spans="2:13" ht="12.95" customHeight="1" x14ac:dyDescent="0.3">
      <c r="B60" s="52"/>
      <c r="C60" s="53"/>
      <c r="D60" s="53"/>
      <c r="E60" s="18"/>
      <c r="F60" s="13"/>
      <c r="G60" s="54"/>
      <c r="H60" s="13"/>
      <c r="I60" s="54"/>
      <c r="J60" s="13"/>
      <c r="K60" s="54"/>
    </row>
    <row r="61" spans="2:13" ht="12.95" customHeight="1" x14ac:dyDescent="0.3">
      <c r="B61" s="38" t="s">
        <v>18</v>
      </c>
      <c r="C61" s="62"/>
      <c r="D61" s="62"/>
      <c r="E61" s="63"/>
      <c r="F61" s="63"/>
      <c r="G61" s="56">
        <f>SUM(G55+G59)</f>
        <v>139843</v>
      </c>
      <c r="H61" s="63"/>
      <c r="I61" s="56">
        <f>SUM(I55+I59)</f>
        <v>167920</v>
      </c>
      <c r="J61" s="63"/>
      <c r="K61" s="56">
        <f>SUM(K55+K59)</f>
        <v>190794</v>
      </c>
    </row>
    <row r="62" spans="2:13" ht="12.95" customHeight="1" x14ac:dyDescent="0.3">
      <c r="B62" s="76" t="s">
        <v>8</v>
      </c>
      <c r="C62" s="78" t="s">
        <v>20</v>
      </c>
      <c r="D62" s="80" t="s">
        <v>13</v>
      </c>
      <c r="E62" s="81" t="s">
        <v>9</v>
      </c>
      <c r="F62" s="83" t="s">
        <v>51</v>
      </c>
      <c r="G62" s="84"/>
      <c r="H62" s="83" t="s">
        <v>52</v>
      </c>
      <c r="I62" s="84"/>
      <c r="J62" s="83" t="s">
        <v>53</v>
      </c>
      <c r="K62" s="84"/>
    </row>
    <row r="63" spans="2:13" ht="12.95" customHeight="1" x14ac:dyDescent="0.3">
      <c r="B63" s="77"/>
      <c r="C63" s="79"/>
      <c r="D63" s="80"/>
      <c r="E63" s="82"/>
      <c r="F63" s="25" t="s">
        <v>10</v>
      </c>
      <c r="G63" s="26" t="s">
        <v>11</v>
      </c>
      <c r="H63" s="25" t="s">
        <v>10</v>
      </c>
      <c r="I63" s="26" t="s">
        <v>11</v>
      </c>
      <c r="J63" s="25" t="s">
        <v>10</v>
      </c>
      <c r="K63" s="26" t="s">
        <v>11</v>
      </c>
    </row>
    <row r="64" spans="2:13" ht="12.95" customHeight="1" x14ac:dyDescent="0.3">
      <c r="B64" s="42" t="s">
        <v>27</v>
      </c>
      <c r="C64" s="43" t="s">
        <v>29</v>
      </c>
      <c r="D64" s="44" t="s">
        <v>19</v>
      </c>
      <c r="E64" s="45"/>
      <c r="F64" s="46">
        <v>1</v>
      </c>
      <c r="G64" s="5">
        <f>TRUNC(SUM(G67:G68)*0.03,1)</f>
        <v>6223.3</v>
      </c>
      <c r="H64" s="46">
        <v>1</v>
      </c>
      <c r="I64" s="5">
        <f>TRUNC(SUM(I67:I68)*0.03,1)</f>
        <v>6813.7</v>
      </c>
      <c r="J64" s="46">
        <v>1</v>
      </c>
      <c r="K64" s="5">
        <f>TRUNC(SUM(K67:K68)*0.03,1)</f>
        <v>6965.3</v>
      </c>
    </row>
    <row r="65" spans="2:11" ht="12.95" customHeight="1" x14ac:dyDescent="0.3">
      <c r="B65" s="47" t="s">
        <v>15</v>
      </c>
      <c r="C65" s="48"/>
      <c r="D65" s="49"/>
      <c r="E65" s="50"/>
      <c r="F65" s="51"/>
      <c r="G65" s="11">
        <f>TRUNC(SUM(G64))</f>
        <v>6223</v>
      </c>
      <c r="H65" s="51"/>
      <c r="I65" s="11">
        <f>TRUNC(SUM(I64))</f>
        <v>6813</v>
      </c>
      <c r="J65" s="51"/>
      <c r="K65" s="11">
        <f>TRUNC(SUM(K64))</f>
        <v>6965</v>
      </c>
    </row>
    <row r="66" spans="2:11" ht="12.95" customHeight="1" x14ac:dyDescent="0.3">
      <c r="B66" s="52"/>
      <c r="C66" s="53"/>
      <c r="D66" s="53"/>
      <c r="E66" s="18"/>
      <c r="F66" s="13"/>
      <c r="G66" s="54"/>
      <c r="H66" s="13"/>
      <c r="I66" s="54"/>
      <c r="J66" s="13"/>
      <c r="K66" s="54"/>
    </row>
    <row r="67" spans="2:11" ht="12.95" customHeight="1" x14ac:dyDescent="0.3">
      <c r="B67" s="27" t="s">
        <v>5</v>
      </c>
      <c r="C67" s="28"/>
      <c r="D67" s="29" t="s">
        <v>14</v>
      </c>
      <c r="E67" s="30">
        <v>252641</v>
      </c>
      <c r="F67" s="51">
        <v>0.66</v>
      </c>
      <c r="G67" s="3">
        <f t="shared" ref="G67:G68" si="18">TRUNC($E67*F67,1)</f>
        <v>166743</v>
      </c>
      <c r="H67" s="51">
        <v>0.72</v>
      </c>
      <c r="I67" s="3">
        <f t="shared" ref="I67:I68" si="19">TRUNC($E67*H67,1)</f>
        <v>181901.5</v>
      </c>
      <c r="J67" s="51">
        <v>0.74</v>
      </c>
      <c r="K67" s="3">
        <f t="shared" ref="K67:K68" si="20">TRUNC($E67*J67,1)</f>
        <v>186954.3</v>
      </c>
    </row>
    <row r="68" spans="2:11" ht="12.95" customHeight="1" x14ac:dyDescent="0.3">
      <c r="B68" s="27" t="s">
        <v>22</v>
      </c>
      <c r="C68" s="28"/>
      <c r="D68" s="29" t="s">
        <v>14</v>
      </c>
      <c r="E68" s="30">
        <v>226122</v>
      </c>
      <c r="F68" s="51">
        <v>0.18</v>
      </c>
      <c r="G68" s="3">
        <f t="shared" si="18"/>
        <v>40701.9</v>
      </c>
      <c r="H68" s="51">
        <v>0.2</v>
      </c>
      <c r="I68" s="3">
        <f t="shared" si="19"/>
        <v>45224.4</v>
      </c>
      <c r="J68" s="51">
        <v>0.2</v>
      </c>
      <c r="K68" s="3">
        <f t="shared" si="20"/>
        <v>45224.4</v>
      </c>
    </row>
    <row r="69" spans="2:11" ht="12.95" customHeight="1" x14ac:dyDescent="0.3">
      <c r="B69" s="32" t="s">
        <v>16</v>
      </c>
      <c r="C69" s="53"/>
      <c r="D69" s="53"/>
      <c r="E69" s="18"/>
      <c r="F69" s="13"/>
      <c r="G69" s="14">
        <f>TRUNC(SUM(G67:G68))</f>
        <v>207444</v>
      </c>
      <c r="H69" s="13"/>
      <c r="I69" s="14">
        <f>TRUNC(SUM(I67:I68))</f>
        <v>227125</v>
      </c>
      <c r="J69" s="13"/>
      <c r="K69" s="14">
        <f>TRUNC(SUM(K67:K68))</f>
        <v>232178</v>
      </c>
    </row>
    <row r="70" spans="2:11" ht="12.95" customHeight="1" x14ac:dyDescent="0.3">
      <c r="B70" s="52"/>
      <c r="C70" s="53"/>
      <c r="D70" s="53"/>
      <c r="E70" s="18"/>
      <c r="F70" s="13"/>
      <c r="G70" s="54"/>
      <c r="H70" s="13"/>
      <c r="I70" s="54"/>
      <c r="J70" s="13"/>
      <c r="K70" s="54"/>
    </row>
    <row r="71" spans="2:11" ht="12.95" customHeight="1" x14ac:dyDescent="0.3">
      <c r="B71" s="38" t="s">
        <v>18</v>
      </c>
      <c r="C71" s="62"/>
      <c r="D71" s="62"/>
      <c r="E71" s="63"/>
      <c r="F71" s="63"/>
      <c r="G71" s="56">
        <f>SUM(G65+G69)</f>
        <v>213667</v>
      </c>
      <c r="H71" s="63"/>
      <c r="I71" s="56">
        <f>SUM(I65+I69)</f>
        <v>233938</v>
      </c>
      <c r="J71" s="63"/>
      <c r="K71" s="56">
        <f>SUM(K65+K69)</f>
        <v>239143</v>
      </c>
    </row>
    <row r="73" spans="2:11" ht="12.95" customHeight="1" x14ac:dyDescent="0.3">
      <c r="B73" s="57" t="s">
        <v>107</v>
      </c>
      <c r="C73" s="58"/>
      <c r="D73" s="59"/>
      <c r="E73" s="60"/>
      <c r="F73" s="59"/>
      <c r="G73" s="60" t="s">
        <v>54</v>
      </c>
    </row>
    <row r="74" spans="2:11" ht="12.95" customHeight="1" x14ac:dyDescent="0.3">
      <c r="B74" s="76" t="s">
        <v>8</v>
      </c>
      <c r="C74" s="78" t="s">
        <v>20</v>
      </c>
      <c r="D74" s="80" t="s">
        <v>13</v>
      </c>
      <c r="E74" s="81" t="s">
        <v>9</v>
      </c>
      <c r="F74" s="80" t="s">
        <v>25</v>
      </c>
      <c r="G74" s="85" t="s">
        <v>26</v>
      </c>
    </row>
    <row r="75" spans="2:11" ht="12.95" customHeight="1" x14ac:dyDescent="0.3">
      <c r="B75" s="77"/>
      <c r="C75" s="79"/>
      <c r="D75" s="80"/>
      <c r="E75" s="82"/>
      <c r="F75" s="80"/>
      <c r="G75" s="86"/>
    </row>
    <row r="76" spans="2:11" ht="12.95" customHeight="1" x14ac:dyDescent="0.3">
      <c r="B76" s="42" t="s">
        <v>57</v>
      </c>
      <c r="C76" s="43"/>
      <c r="D76" s="44" t="s">
        <v>55</v>
      </c>
      <c r="E76" s="64">
        <v>0</v>
      </c>
      <c r="F76" s="51">
        <v>0.28000000000000003</v>
      </c>
      <c r="G76" s="3">
        <f t="shared" ref="G76:G77" si="21">TRUNC($E76*F76,1)</f>
        <v>0</v>
      </c>
    </row>
    <row r="77" spans="2:11" ht="12.95" customHeight="1" x14ac:dyDescent="0.3">
      <c r="B77" s="42" t="s">
        <v>56</v>
      </c>
      <c r="C77" s="43"/>
      <c r="D77" s="44" t="s">
        <v>55</v>
      </c>
      <c r="E77" s="64">
        <v>0</v>
      </c>
      <c r="F77" s="51">
        <v>0.14000000000000001</v>
      </c>
      <c r="G77" s="3">
        <f t="shared" si="21"/>
        <v>0</v>
      </c>
    </row>
    <row r="78" spans="2:11" ht="12.95" customHeight="1" x14ac:dyDescent="0.3">
      <c r="B78" s="42" t="s">
        <v>27</v>
      </c>
      <c r="C78" s="43" t="s">
        <v>30</v>
      </c>
      <c r="D78" s="44" t="s">
        <v>19</v>
      </c>
      <c r="E78" s="45"/>
      <c r="F78" s="46">
        <v>1</v>
      </c>
      <c r="G78" s="5">
        <f>TRUNC(SUM(G81:G81)*0.04,1)</f>
        <v>452</v>
      </c>
    </row>
    <row r="79" spans="2:11" ht="12.95" customHeight="1" x14ac:dyDescent="0.3">
      <c r="B79" s="47" t="s">
        <v>15</v>
      </c>
      <c r="C79" s="48"/>
      <c r="D79" s="49"/>
      <c r="E79" s="50"/>
      <c r="F79" s="51"/>
      <c r="G79" s="11">
        <f>TRUNC(SUM(G76:G78))</f>
        <v>452</v>
      </c>
    </row>
    <row r="80" spans="2:11" ht="12.95" customHeight="1" x14ac:dyDescent="0.3">
      <c r="B80" s="52"/>
      <c r="C80" s="53"/>
      <c r="D80" s="53"/>
      <c r="E80" s="18"/>
      <c r="F80" s="13"/>
      <c r="G80" s="54"/>
    </row>
    <row r="81" spans="2:11" ht="12.95" customHeight="1" x14ac:dyDescent="0.3">
      <c r="B81" s="27" t="s">
        <v>24</v>
      </c>
      <c r="C81" s="28"/>
      <c r="D81" s="29" t="s">
        <v>14</v>
      </c>
      <c r="E81" s="30">
        <v>282536</v>
      </c>
      <c r="F81" s="51">
        <v>0.04</v>
      </c>
      <c r="G81" s="3">
        <f t="shared" ref="G81" si="22">TRUNC($E81*F81,1)</f>
        <v>11301.4</v>
      </c>
    </row>
    <row r="82" spans="2:11" ht="12.95" customHeight="1" x14ac:dyDescent="0.3">
      <c r="B82" s="32" t="s">
        <v>16</v>
      </c>
      <c r="C82" s="53"/>
      <c r="D82" s="53"/>
      <c r="E82" s="18"/>
      <c r="F82" s="13"/>
      <c r="G82" s="14">
        <f>TRUNC(SUM(G81:G81))</f>
        <v>11301</v>
      </c>
    </row>
    <row r="83" spans="2:11" ht="12.95" customHeight="1" x14ac:dyDescent="0.3">
      <c r="B83" s="52"/>
      <c r="C83" s="53"/>
      <c r="D83" s="53"/>
      <c r="E83" s="18"/>
      <c r="F83" s="13"/>
      <c r="G83" s="54"/>
    </row>
    <row r="84" spans="2:11" ht="12.95" customHeight="1" x14ac:dyDescent="0.3">
      <c r="B84" s="38" t="s">
        <v>18</v>
      </c>
      <c r="C84" s="62"/>
      <c r="D84" s="62"/>
      <c r="E84" s="63"/>
      <c r="F84" s="63"/>
      <c r="G84" s="56">
        <f>SUM(G79+G82)</f>
        <v>11753</v>
      </c>
    </row>
    <row r="86" spans="2:11" ht="12.95" customHeight="1" x14ac:dyDescent="0.3">
      <c r="B86" s="57" t="s">
        <v>110</v>
      </c>
      <c r="C86" s="58"/>
      <c r="D86" s="59"/>
      <c r="E86" s="60"/>
      <c r="F86" s="59"/>
      <c r="G86" s="59"/>
      <c r="K86" s="61" t="s">
        <v>58</v>
      </c>
    </row>
    <row r="87" spans="2:11" ht="12.95" customHeight="1" x14ac:dyDescent="0.3">
      <c r="B87" s="76" t="s">
        <v>8</v>
      </c>
      <c r="C87" s="78" t="s">
        <v>20</v>
      </c>
      <c r="D87" s="80" t="s">
        <v>13</v>
      </c>
      <c r="E87" s="81" t="s">
        <v>9</v>
      </c>
      <c r="F87" s="83" t="s">
        <v>59</v>
      </c>
      <c r="G87" s="84"/>
      <c r="H87" s="83" t="s">
        <v>60</v>
      </c>
      <c r="I87" s="84"/>
      <c r="J87" s="83" t="s">
        <v>61</v>
      </c>
      <c r="K87" s="84"/>
    </row>
    <row r="88" spans="2:11" ht="12.95" customHeight="1" x14ac:dyDescent="0.3">
      <c r="B88" s="77"/>
      <c r="C88" s="79"/>
      <c r="D88" s="80"/>
      <c r="E88" s="82"/>
      <c r="F88" s="25" t="s">
        <v>10</v>
      </c>
      <c r="G88" s="26" t="s">
        <v>11</v>
      </c>
      <c r="H88" s="25" t="s">
        <v>10</v>
      </c>
      <c r="I88" s="26" t="s">
        <v>11</v>
      </c>
      <c r="J88" s="25" t="s">
        <v>10</v>
      </c>
      <c r="K88" s="26" t="s">
        <v>11</v>
      </c>
    </row>
    <row r="89" spans="2:11" ht="12.95" customHeight="1" x14ac:dyDescent="0.3">
      <c r="B89" s="42" t="s">
        <v>27</v>
      </c>
      <c r="C89" s="43" t="s">
        <v>28</v>
      </c>
      <c r="D89" s="44" t="s">
        <v>19</v>
      </c>
      <c r="E89" s="45"/>
      <c r="F89" s="46">
        <v>1</v>
      </c>
      <c r="G89" s="5">
        <f>TRUNC(SUM(G92:G93)*0.02,1)</f>
        <v>343</v>
      </c>
      <c r="H89" s="46">
        <v>1</v>
      </c>
      <c r="I89" s="5">
        <f>TRUNC(SUM(I92:I93)*0.02,1)</f>
        <v>539.79999999999995</v>
      </c>
      <c r="J89" s="46">
        <v>1</v>
      </c>
      <c r="K89" s="5">
        <f>TRUNC(SUM(K92:K93)*0.02,1)</f>
        <v>832.4</v>
      </c>
    </row>
    <row r="90" spans="2:11" ht="12.95" customHeight="1" x14ac:dyDescent="0.3">
      <c r="B90" s="47" t="s">
        <v>15</v>
      </c>
      <c r="C90" s="48"/>
      <c r="D90" s="49"/>
      <c r="E90" s="50"/>
      <c r="F90" s="51"/>
      <c r="G90" s="11">
        <f>TRUNC(SUM(G89))</f>
        <v>343</v>
      </c>
      <c r="H90" s="51"/>
      <c r="I90" s="11">
        <f>TRUNC(SUM(I89))</f>
        <v>539</v>
      </c>
      <c r="J90" s="51"/>
      <c r="K90" s="11">
        <f>TRUNC(SUM(K89))</f>
        <v>832</v>
      </c>
    </row>
    <row r="91" spans="2:11" ht="12.95" customHeight="1" x14ac:dyDescent="0.3">
      <c r="B91" s="52"/>
      <c r="C91" s="53"/>
      <c r="D91" s="53"/>
      <c r="E91" s="18"/>
      <c r="F91" s="13"/>
      <c r="G91" s="54"/>
      <c r="H91" s="13"/>
      <c r="I91" s="54"/>
      <c r="J91" s="13"/>
      <c r="K91" s="54"/>
    </row>
    <row r="92" spans="2:11" ht="12.95" customHeight="1" x14ac:dyDescent="0.3">
      <c r="B92" s="27" t="s">
        <v>5</v>
      </c>
      <c r="C92" s="28"/>
      <c r="D92" s="29" t="s">
        <v>14</v>
      </c>
      <c r="E92" s="30">
        <v>252641</v>
      </c>
      <c r="F92" s="51">
        <v>0.05</v>
      </c>
      <c r="G92" s="3">
        <f t="shared" ref="G92:G93" si="23">TRUNC($E92*F92,1)</f>
        <v>12632</v>
      </c>
      <c r="H92" s="51">
        <v>0.08</v>
      </c>
      <c r="I92" s="3">
        <f t="shared" ref="I92:I93" si="24">TRUNC($E92*H92,1)</f>
        <v>20211.2</v>
      </c>
      <c r="J92" s="51">
        <v>0.12</v>
      </c>
      <c r="K92" s="3">
        <f t="shared" ref="K92:K93" si="25">TRUNC($E92*J92,1)</f>
        <v>30316.9</v>
      </c>
    </row>
    <row r="93" spans="2:11" ht="12.95" customHeight="1" x14ac:dyDescent="0.3">
      <c r="B93" s="27" t="s">
        <v>22</v>
      </c>
      <c r="C93" s="28"/>
      <c r="D93" s="29" t="s">
        <v>14</v>
      </c>
      <c r="E93" s="30">
        <v>226122</v>
      </c>
      <c r="F93" s="51">
        <v>0.02</v>
      </c>
      <c r="G93" s="3">
        <f t="shared" si="23"/>
        <v>4522.3999999999996</v>
      </c>
      <c r="H93" s="51">
        <v>0.03</v>
      </c>
      <c r="I93" s="3">
        <f t="shared" si="24"/>
        <v>6783.6</v>
      </c>
      <c r="J93" s="51">
        <v>0.05</v>
      </c>
      <c r="K93" s="3">
        <f t="shared" si="25"/>
        <v>11306.1</v>
      </c>
    </row>
    <row r="94" spans="2:11" ht="12.95" customHeight="1" x14ac:dyDescent="0.3">
      <c r="B94" s="32" t="s">
        <v>16</v>
      </c>
      <c r="C94" s="53"/>
      <c r="D94" s="53"/>
      <c r="E94" s="18"/>
      <c r="F94" s="13"/>
      <c r="G94" s="14">
        <f>TRUNC(SUM(G92:G93))</f>
        <v>17154</v>
      </c>
      <c r="H94" s="13"/>
      <c r="I94" s="14">
        <f>TRUNC(SUM(I92:I93))</f>
        <v>26994</v>
      </c>
      <c r="J94" s="13"/>
      <c r="K94" s="14">
        <f>TRUNC(SUM(K92:K93))</f>
        <v>41623</v>
      </c>
    </row>
    <row r="95" spans="2:11" ht="12.95" customHeight="1" x14ac:dyDescent="0.3">
      <c r="B95" s="52"/>
      <c r="C95" s="53"/>
      <c r="D95" s="53"/>
      <c r="E95" s="18"/>
      <c r="F95" s="13"/>
      <c r="G95" s="54"/>
      <c r="H95" s="13"/>
      <c r="I95" s="54"/>
      <c r="J95" s="13"/>
      <c r="K95" s="54"/>
    </row>
    <row r="96" spans="2:11" ht="12.95" customHeight="1" x14ac:dyDescent="0.3">
      <c r="B96" s="38" t="s">
        <v>18</v>
      </c>
      <c r="C96" s="62"/>
      <c r="D96" s="62"/>
      <c r="E96" s="63"/>
      <c r="F96" s="63"/>
      <c r="G96" s="56">
        <f>SUM(G90+G94)</f>
        <v>17497</v>
      </c>
      <c r="H96" s="63"/>
      <c r="I96" s="56">
        <f>SUM(I90+I94)</f>
        <v>27533</v>
      </c>
      <c r="J96" s="63"/>
      <c r="K96" s="56">
        <f>SUM(K90+K94)</f>
        <v>42455</v>
      </c>
    </row>
    <row r="97" spans="2:11" ht="12.95" customHeight="1" x14ac:dyDescent="0.3">
      <c r="B97" s="76" t="s">
        <v>8</v>
      </c>
      <c r="C97" s="78" t="s">
        <v>20</v>
      </c>
      <c r="D97" s="80" t="s">
        <v>13</v>
      </c>
      <c r="E97" s="81" t="s">
        <v>9</v>
      </c>
      <c r="F97" s="83" t="s">
        <v>62</v>
      </c>
      <c r="G97" s="84"/>
      <c r="H97" s="83" t="s">
        <v>63</v>
      </c>
      <c r="I97" s="84"/>
      <c r="J97" s="83" t="s">
        <v>64</v>
      </c>
      <c r="K97" s="84"/>
    </row>
    <row r="98" spans="2:11" ht="12.95" customHeight="1" x14ac:dyDescent="0.3">
      <c r="B98" s="77"/>
      <c r="C98" s="79"/>
      <c r="D98" s="80"/>
      <c r="E98" s="82"/>
      <c r="F98" s="25" t="s">
        <v>10</v>
      </c>
      <c r="G98" s="26" t="s">
        <v>11</v>
      </c>
      <c r="H98" s="25" t="s">
        <v>10</v>
      </c>
      <c r="I98" s="26" t="s">
        <v>11</v>
      </c>
      <c r="J98" s="25" t="s">
        <v>10</v>
      </c>
      <c r="K98" s="26" t="s">
        <v>11</v>
      </c>
    </row>
    <row r="99" spans="2:11" ht="12.95" customHeight="1" x14ac:dyDescent="0.3">
      <c r="B99" s="42" t="s">
        <v>27</v>
      </c>
      <c r="C99" s="43" t="s">
        <v>29</v>
      </c>
      <c r="D99" s="44" t="s">
        <v>19</v>
      </c>
      <c r="E99" s="45"/>
      <c r="F99" s="46">
        <v>1</v>
      </c>
      <c r="G99" s="5">
        <f>TRUNC(SUM(G102:G103)*0.02,1)</f>
        <v>1079.7</v>
      </c>
      <c r="H99" s="46">
        <v>1</v>
      </c>
      <c r="I99" s="5">
        <f>TRUNC(SUM(I102:I103)*0.02,1)</f>
        <v>1327.1</v>
      </c>
      <c r="J99" s="46">
        <v>1</v>
      </c>
      <c r="K99" s="5">
        <f>TRUNC(SUM(K102:K103)*0.02,1)</f>
        <v>1569.1</v>
      </c>
    </row>
    <row r="100" spans="2:11" ht="12.95" customHeight="1" x14ac:dyDescent="0.3">
      <c r="B100" s="47" t="s">
        <v>15</v>
      </c>
      <c r="C100" s="48"/>
      <c r="D100" s="49"/>
      <c r="E100" s="50"/>
      <c r="F100" s="51"/>
      <c r="G100" s="11">
        <f>TRUNC(SUM(G99))</f>
        <v>1079</v>
      </c>
      <c r="H100" s="51"/>
      <c r="I100" s="11">
        <f>TRUNC(SUM(I99))</f>
        <v>1327</v>
      </c>
      <c r="J100" s="51"/>
      <c r="K100" s="11">
        <f>TRUNC(SUM(K99))</f>
        <v>1569</v>
      </c>
    </row>
    <row r="101" spans="2:11" ht="12.95" customHeight="1" x14ac:dyDescent="0.3">
      <c r="B101" s="52"/>
      <c r="C101" s="53"/>
      <c r="D101" s="53"/>
      <c r="E101" s="18"/>
      <c r="F101" s="13"/>
      <c r="G101" s="54"/>
      <c r="H101" s="13"/>
      <c r="I101" s="54"/>
      <c r="J101" s="13"/>
      <c r="K101" s="54"/>
    </row>
    <row r="102" spans="2:11" ht="12.95" customHeight="1" x14ac:dyDescent="0.3">
      <c r="B102" s="27" t="s">
        <v>5</v>
      </c>
      <c r="C102" s="28"/>
      <c r="D102" s="29" t="s">
        <v>14</v>
      </c>
      <c r="E102" s="30">
        <v>252641</v>
      </c>
      <c r="F102" s="51">
        <v>0.16</v>
      </c>
      <c r="G102" s="3">
        <f t="shared" ref="G102:G103" si="26">TRUNC($E102*F102,1)</f>
        <v>40422.5</v>
      </c>
      <c r="H102" s="51">
        <v>0.2</v>
      </c>
      <c r="I102" s="3">
        <f t="shared" ref="I102:I103" si="27">TRUNC($E102*H102,1)</f>
        <v>50528.2</v>
      </c>
      <c r="J102" s="51">
        <v>0.23</v>
      </c>
      <c r="K102" s="3">
        <f t="shared" ref="K102:K103" si="28">TRUNC($E102*J102,1)</f>
        <v>58107.4</v>
      </c>
    </row>
    <row r="103" spans="2:11" ht="12.95" customHeight="1" x14ac:dyDescent="0.3">
      <c r="B103" s="27" t="s">
        <v>22</v>
      </c>
      <c r="C103" s="28"/>
      <c r="D103" s="29" t="s">
        <v>14</v>
      </c>
      <c r="E103" s="30">
        <v>226122</v>
      </c>
      <c r="F103" s="51">
        <v>0.06</v>
      </c>
      <c r="G103" s="3">
        <f t="shared" si="26"/>
        <v>13567.3</v>
      </c>
      <c r="H103" s="51">
        <v>7.0000000000000007E-2</v>
      </c>
      <c r="I103" s="3">
        <f t="shared" si="27"/>
        <v>15828.5</v>
      </c>
      <c r="J103" s="51">
        <v>0.09</v>
      </c>
      <c r="K103" s="3">
        <f t="shared" si="28"/>
        <v>20350.900000000001</v>
      </c>
    </row>
    <row r="104" spans="2:11" ht="12.95" customHeight="1" x14ac:dyDescent="0.3">
      <c r="B104" s="32" t="s">
        <v>16</v>
      </c>
      <c r="C104" s="53"/>
      <c r="D104" s="53"/>
      <c r="E104" s="18"/>
      <c r="F104" s="13"/>
      <c r="G104" s="14">
        <f>TRUNC(SUM(G102:G103))</f>
        <v>53989</v>
      </c>
      <c r="H104" s="13"/>
      <c r="I104" s="14">
        <f>TRUNC(SUM(I102:I103))</f>
        <v>66356</v>
      </c>
      <c r="J104" s="13"/>
      <c r="K104" s="14">
        <f>TRUNC(SUM(K102:K103))</f>
        <v>78458</v>
      </c>
    </row>
    <row r="105" spans="2:11" ht="12.95" customHeight="1" x14ac:dyDescent="0.3">
      <c r="B105" s="52"/>
      <c r="C105" s="53"/>
      <c r="D105" s="53"/>
      <c r="E105" s="18"/>
      <c r="F105" s="13"/>
      <c r="G105" s="54"/>
      <c r="H105" s="13"/>
      <c r="I105" s="54"/>
      <c r="J105" s="13"/>
      <c r="K105" s="54"/>
    </row>
    <row r="106" spans="2:11" ht="12.95" customHeight="1" x14ac:dyDescent="0.3">
      <c r="B106" s="38" t="s">
        <v>18</v>
      </c>
      <c r="C106" s="62"/>
      <c r="D106" s="62"/>
      <c r="E106" s="63"/>
      <c r="F106" s="63"/>
      <c r="G106" s="56">
        <f>SUM(G100+G104)</f>
        <v>55068</v>
      </c>
      <c r="H106" s="63"/>
      <c r="I106" s="56">
        <f>SUM(I100+I104)</f>
        <v>67683</v>
      </c>
      <c r="J106" s="63"/>
      <c r="K106" s="56">
        <f>SUM(K100+K104)</f>
        <v>80027</v>
      </c>
    </row>
    <row r="108" spans="2:11" ht="12.95" customHeight="1" x14ac:dyDescent="0.3">
      <c r="B108" s="57" t="s">
        <v>111</v>
      </c>
      <c r="C108" s="58"/>
      <c r="D108" s="59"/>
      <c r="E108" s="60"/>
      <c r="F108" s="59"/>
      <c r="G108" s="59"/>
      <c r="K108" s="61" t="s">
        <v>65</v>
      </c>
    </row>
    <row r="109" spans="2:11" ht="12.95" customHeight="1" x14ac:dyDescent="0.3">
      <c r="B109" s="76" t="s">
        <v>8</v>
      </c>
      <c r="C109" s="78" t="s">
        <v>20</v>
      </c>
      <c r="D109" s="80" t="s">
        <v>13</v>
      </c>
      <c r="E109" s="81" t="s">
        <v>9</v>
      </c>
      <c r="F109" s="83" t="s">
        <v>66</v>
      </c>
      <c r="G109" s="84"/>
      <c r="H109" s="83" t="s">
        <v>67</v>
      </c>
      <c r="I109" s="84"/>
      <c r="J109" s="83" t="s">
        <v>68</v>
      </c>
      <c r="K109" s="84"/>
    </row>
    <row r="110" spans="2:11" ht="12.95" customHeight="1" x14ac:dyDescent="0.3">
      <c r="B110" s="77"/>
      <c r="C110" s="79"/>
      <c r="D110" s="80"/>
      <c r="E110" s="82"/>
      <c r="F110" s="25" t="s">
        <v>10</v>
      </c>
      <c r="G110" s="26" t="s">
        <v>11</v>
      </c>
      <c r="H110" s="25" t="s">
        <v>10</v>
      </c>
      <c r="I110" s="26" t="s">
        <v>11</v>
      </c>
      <c r="J110" s="25" t="s">
        <v>10</v>
      </c>
      <c r="K110" s="26" t="s">
        <v>11</v>
      </c>
    </row>
    <row r="111" spans="2:11" ht="12.95" customHeight="1" x14ac:dyDescent="0.3">
      <c r="B111" s="42" t="s">
        <v>27</v>
      </c>
      <c r="C111" s="43" t="s">
        <v>29</v>
      </c>
      <c r="D111" s="44" t="s">
        <v>19</v>
      </c>
      <c r="E111" s="45"/>
      <c r="F111" s="46">
        <v>1</v>
      </c>
      <c r="G111" s="5">
        <f>TRUNC(SUM(G114:G114)*0.03,1)</f>
        <v>355243.1</v>
      </c>
      <c r="H111" s="46">
        <v>1</v>
      </c>
      <c r="I111" s="5">
        <f>TRUNC(SUM(I114:I114)*0.03,1)</f>
        <v>355243.1</v>
      </c>
      <c r="J111" s="46">
        <v>1</v>
      </c>
      <c r="K111" s="5">
        <f>TRUNC(SUM(K114:K114)*0.03,1)</f>
        <v>50749</v>
      </c>
    </row>
    <row r="112" spans="2:11" ht="12.95" customHeight="1" x14ac:dyDescent="0.3">
      <c r="B112" s="47" t="s">
        <v>15</v>
      </c>
      <c r="C112" s="48"/>
      <c r="D112" s="49"/>
      <c r="E112" s="50"/>
      <c r="F112" s="51"/>
      <c r="G112" s="11">
        <f>TRUNC(SUM(G111))</f>
        <v>355243</v>
      </c>
      <c r="H112" s="51"/>
      <c r="I112" s="11">
        <f>TRUNC(SUM(I111))</f>
        <v>355243</v>
      </c>
      <c r="J112" s="51"/>
      <c r="K112" s="11">
        <f>TRUNC(SUM(K111))</f>
        <v>50749</v>
      </c>
    </row>
    <row r="113" spans="2:11" ht="12.95" customHeight="1" x14ac:dyDescent="0.3">
      <c r="B113" s="52"/>
      <c r="C113" s="53"/>
      <c r="D113" s="53"/>
      <c r="E113" s="18"/>
      <c r="F113" s="13"/>
      <c r="G113" s="54"/>
      <c r="H113" s="13"/>
      <c r="I113" s="54"/>
      <c r="J113" s="13"/>
      <c r="K113" s="54"/>
    </row>
    <row r="114" spans="2:11" ht="12.95" customHeight="1" x14ac:dyDescent="0.3">
      <c r="B114" s="27" t="s">
        <v>3</v>
      </c>
      <c r="C114" s="28"/>
      <c r="D114" s="29" t="s">
        <v>14</v>
      </c>
      <c r="E114" s="30">
        <v>281939</v>
      </c>
      <c r="F114" s="65">
        <v>42</v>
      </c>
      <c r="G114" s="3">
        <f t="shared" ref="G114" si="29">TRUNC($E114*F114,1)</f>
        <v>11841438</v>
      </c>
      <c r="H114" s="65">
        <v>42</v>
      </c>
      <c r="I114" s="3">
        <f t="shared" ref="I114" si="30">TRUNC($E114*H114,1)</f>
        <v>11841438</v>
      </c>
      <c r="J114" s="65">
        <v>6</v>
      </c>
      <c r="K114" s="3">
        <f t="shared" ref="K114" si="31">TRUNC($E114*J114,1)</f>
        <v>1691634</v>
      </c>
    </row>
    <row r="115" spans="2:11" ht="12.95" customHeight="1" x14ac:dyDescent="0.3">
      <c r="B115" s="32" t="s">
        <v>16</v>
      </c>
      <c r="C115" s="53"/>
      <c r="D115" s="53"/>
      <c r="E115" s="18"/>
      <c r="F115" s="13"/>
      <c r="G115" s="14">
        <f>TRUNC(SUM(G114:G114))</f>
        <v>11841438</v>
      </c>
      <c r="H115" s="13"/>
      <c r="I115" s="14">
        <f>TRUNC(SUM(I114:I114))</f>
        <v>11841438</v>
      </c>
      <c r="J115" s="13"/>
      <c r="K115" s="14">
        <f>TRUNC(SUM(K114:K114))</f>
        <v>1691634</v>
      </c>
    </row>
    <row r="116" spans="2:11" ht="12.95" customHeight="1" x14ac:dyDescent="0.3">
      <c r="B116" s="52"/>
      <c r="C116" s="53"/>
      <c r="D116" s="53"/>
      <c r="E116" s="18"/>
      <c r="F116" s="13"/>
      <c r="G116" s="54"/>
      <c r="H116" s="13"/>
      <c r="I116" s="54"/>
      <c r="J116" s="13"/>
      <c r="K116" s="54"/>
    </row>
    <row r="117" spans="2:11" ht="12.95" customHeight="1" x14ac:dyDescent="0.3">
      <c r="B117" s="38" t="s">
        <v>18</v>
      </c>
      <c r="C117" s="62"/>
      <c r="D117" s="62"/>
      <c r="E117" s="63"/>
      <c r="F117" s="63"/>
      <c r="G117" s="56">
        <f>SUM(G112+G115)</f>
        <v>12196681</v>
      </c>
      <c r="H117" s="63"/>
      <c r="I117" s="56">
        <f>SUM(I112+I115)</f>
        <v>12196681</v>
      </c>
      <c r="J117" s="63"/>
      <c r="K117" s="56">
        <f>SUM(K112+K115)</f>
        <v>1742383</v>
      </c>
    </row>
    <row r="119" spans="2:11" ht="12.95" customHeight="1" x14ac:dyDescent="0.3">
      <c r="B119" s="23" t="s">
        <v>69</v>
      </c>
    </row>
    <row r="120" spans="2:11" ht="12.95" customHeight="1" x14ac:dyDescent="0.3">
      <c r="B120" s="57" t="s">
        <v>70</v>
      </c>
      <c r="C120" s="58"/>
      <c r="D120" s="59"/>
      <c r="E120" s="60"/>
      <c r="F120" s="59"/>
      <c r="I120" s="60" t="s">
        <v>71</v>
      </c>
    </row>
    <row r="121" spans="2:11" ht="12.95" customHeight="1" x14ac:dyDescent="0.3">
      <c r="B121" s="76" t="s">
        <v>8</v>
      </c>
      <c r="C121" s="78" t="s">
        <v>20</v>
      </c>
      <c r="D121" s="80" t="s">
        <v>13</v>
      </c>
      <c r="E121" s="81" t="s">
        <v>9</v>
      </c>
      <c r="F121" s="83" t="s">
        <v>76</v>
      </c>
      <c r="G121" s="84"/>
      <c r="H121" s="83" t="s">
        <v>77</v>
      </c>
      <c r="I121" s="84"/>
    </row>
    <row r="122" spans="2:11" ht="12.95" customHeight="1" x14ac:dyDescent="0.3">
      <c r="B122" s="77"/>
      <c r="C122" s="79"/>
      <c r="D122" s="80"/>
      <c r="E122" s="82"/>
      <c r="F122" s="25" t="s">
        <v>10</v>
      </c>
      <c r="G122" s="26" t="s">
        <v>11</v>
      </c>
      <c r="H122" s="25" t="s">
        <v>10</v>
      </c>
      <c r="I122" s="26" t="s">
        <v>11</v>
      </c>
    </row>
    <row r="123" spans="2:11" ht="12.95" customHeight="1" x14ac:dyDescent="0.3">
      <c r="B123" s="42" t="s">
        <v>73</v>
      </c>
      <c r="C123" s="43"/>
      <c r="D123" s="44" t="s">
        <v>72</v>
      </c>
      <c r="E123" s="64">
        <v>0</v>
      </c>
      <c r="F123" s="51">
        <v>0.37</v>
      </c>
      <c r="G123" s="3">
        <f t="shared" ref="G123:G125" si="32">TRUNC($E123*F123,1)</f>
        <v>0</v>
      </c>
      <c r="H123" s="51">
        <v>0.42</v>
      </c>
      <c r="I123" s="3">
        <f t="shared" ref="I123:I125" si="33">TRUNC($E123*H123,1)</f>
        <v>0</v>
      </c>
    </row>
    <row r="124" spans="2:11" ht="12.95" customHeight="1" x14ac:dyDescent="0.3">
      <c r="B124" s="42" t="s">
        <v>74</v>
      </c>
      <c r="C124" s="43"/>
      <c r="D124" s="44" t="s">
        <v>55</v>
      </c>
      <c r="E124" s="64">
        <v>0</v>
      </c>
      <c r="F124" s="51">
        <v>0.15</v>
      </c>
      <c r="G124" s="3">
        <f t="shared" si="32"/>
        <v>0</v>
      </c>
      <c r="H124" s="51">
        <v>0.16</v>
      </c>
      <c r="I124" s="3">
        <f t="shared" si="33"/>
        <v>0</v>
      </c>
    </row>
    <row r="125" spans="2:11" ht="12.95" customHeight="1" x14ac:dyDescent="0.3">
      <c r="B125" s="42" t="s">
        <v>75</v>
      </c>
      <c r="C125" s="43"/>
      <c r="D125" s="44" t="s">
        <v>55</v>
      </c>
      <c r="E125" s="64">
        <v>0</v>
      </c>
      <c r="F125" s="51">
        <v>0.12</v>
      </c>
      <c r="G125" s="3">
        <f t="shared" si="32"/>
        <v>0</v>
      </c>
      <c r="H125" s="51">
        <v>0.14000000000000001</v>
      </c>
      <c r="I125" s="3">
        <f t="shared" si="33"/>
        <v>0</v>
      </c>
    </row>
    <row r="126" spans="2:11" ht="12.95" customHeight="1" x14ac:dyDescent="0.3">
      <c r="B126" s="47" t="s">
        <v>15</v>
      </c>
      <c r="C126" s="48"/>
      <c r="D126" s="49"/>
      <c r="E126" s="50"/>
      <c r="F126" s="51"/>
      <c r="G126" s="11">
        <f>TRUNC(SUM(G123:G125))</f>
        <v>0</v>
      </c>
      <c r="H126" s="51"/>
      <c r="I126" s="11">
        <f>TRUNC(SUM(I123:I125))</f>
        <v>0</v>
      </c>
    </row>
    <row r="127" spans="2:11" ht="12.95" customHeight="1" x14ac:dyDescent="0.3">
      <c r="B127" s="52"/>
      <c r="C127" s="53"/>
      <c r="D127" s="53"/>
      <c r="E127" s="18"/>
      <c r="F127" s="13"/>
      <c r="G127" s="54"/>
      <c r="H127" s="13"/>
      <c r="I127" s="54"/>
    </row>
    <row r="128" spans="2:11" ht="12.95" customHeight="1" x14ac:dyDescent="0.3">
      <c r="B128" s="27" t="s">
        <v>24</v>
      </c>
      <c r="C128" s="28"/>
      <c r="D128" s="29" t="s">
        <v>14</v>
      </c>
      <c r="E128" s="30">
        <v>282536</v>
      </c>
      <c r="F128" s="51">
        <v>0.17</v>
      </c>
      <c r="G128" s="3">
        <f t="shared" ref="G128" si="34">TRUNC($E128*F128,1)</f>
        <v>48031.1</v>
      </c>
      <c r="H128" s="51">
        <v>0.23</v>
      </c>
      <c r="I128" s="3">
        <f t="shared" ref="I128" si="35">TRUNC($E128*H128,1)</f>
        <v>64983.199999999997</v>
      </c>
    </row>
    <row r="129" spans="2:9" ht="12.95" customHeight="1" x14ac:dyDescent="0.3">
      <c r="B129" s="32" t="s">
        <v>16</v>
      </c>
      <c r="C129" s="53"/>
      <c r="D129" s="53"/>
      <c r="E129" s="18"/>
      <c r="F129" s="13"/>
      <c r="G129" s="14">
        <f>TRUNC(SUM(G128:G128))</f>
        <v>48031</v>
      </c>
      <c r="H129" s="13"/>
      <c r="I129" s="14">
        <f>TRUNC(SUM(I128:I128))</f>
        <v>64983</v>
      </c>
    </row>
    <row r="130" spans="2:9" ht="12.95" customHeight="1" x14ac:dyDescent="0.3">
      <c r="B130" s="52"/>
      <c r="C130" s="53"/>
      <c r="D130" s="53"/>
      <c r="E130" s="18"/>
      <c r="F130" s="13"/>
      <c r="G130" s="54"/>
      <c r="H130" s="13"/>
      <c r="I130" s="54"/>
    </row>
    <row r="131" spans="2:9" ht="12.95" customHeight="1" x14ac:dyDescent="0.3">
      <c r="B131" s="38" t="s">
        <v>18</v>
      </c>
      <c r="C131" s="62"/>
      <c r="D131" s="62"/>
      <c r="E131" s="63"/>
      <c r="F131" s="63"/>
      <c r="G131" s="56">
        <f>SUM(G126+G129)</f>
        <v>48031</v>
      </c>
      <c r="H131" s="63"/>
      <c r="I131" s="56">
        <f>SUM(I126+I129)</f>
        <v>64983</v>
      </c>
    </row>
    <row r="133" spans="2:9" ht="12.95" customHeight="1" x14ac:dyDescent="0.3">
      <c r="B133" s="57" t="s">
        <v>78</v>
      </c>
      <c r="C133" s="58"/>
      <c r="D133" s="59"/>
      <c r="E133" s="60"/>
      <c r="F133" s="59"/>
      <c r="G133" s="60" t="s">
        <v>71</v>
      </c>
    </row>
    <row r="134" spans="2:9" ht="12.95" customHeight="1" x14ac:dyDescent="0.3">
      <c r="B134" s="76" t="s">
        <v>8</v>
      </c>
      <c r="C134" s="78" t="s">
        <v>20</v>
      </c>
      <c r="D134" s="80" t="s">
        <v>13</v>
      </c>
      <c r="E134" s="81" t="s">
        <v>9</v>
      </c>
      <c r="F134" s="80" t="s">
        <v>25</v>
      </c>
      <c r="G134" s="85" t="s">
        <v>26</v>
      </c>
    </row>
    <row r="135" spans="2:9" ht="12.95" customHeight="1" x14ac:dyDescent="0.3">
      <c r="B135" s="77"/>
      <c r="C135" s="79"/>
      <c r="D135" s="80"/>
      <c r="E135" s="82"/>
      <c r="F135" s="80"/>
      <c r="G135" s="86"/>
    </row>
    <row r="136" spans="2:9" ht="12.95" customHeight="1" x14ac:dyDescent="0.3">
      <c r="B136" s="42" t="s">
        <v>27</v>
      </c>
      <c r="C136" s="43" t="s">
        <v>79</v>
      </c>
      <c r="D136" s="44" t="s">
        <v>19</v>
      </c>
      <c r="E136" s="45"/>
      <c r="F136" s="46">
        <v>1</v>
      </c>
      <c r="G136" s="5">
        <f>TRUNC(SUM(G139:G140)*0.1,1)</f>
        <v>1715.4</v>
      </c>
    </row>
    <row r="137" spans="2:9" ht="12.95" customHeight="1" x14ac:dyDescent="0.3">
      <c r="B137" s="47" t="s">
        <v>15</v>
      </c>
      <c r="C137" s="48"/>
      <c r="D137" s="49"/>
      <c r="E137" s="50"/>
      <c r="F137" s="51"/>
      <c r="G137" s="11">
        <f>TRUNC(SUM(G136))</f>
        <v>1715</v>
      </c>
    </row>
    <row r="138" spans="2:9" ht="12.95" customHeight="1" x14ac:dyDescent="0.3">
      <c r="B138" s="52"/>
      <c r="C138" s="53"/>
      <c r="D138" s="53"/>
      <c r="E138" s="18"/>
      <c r="F138" s="13"/>
      <c r="G138" s="54"/>
    </row>
    <row r="139" spans="2:9" ht="12.95" customHeight="1" x14ac:dyDescent="0.3">
      <c r="B139" s="27" t="s">
        <v>5</v>
      </c>
      <c r="C139" s="28"/>
      <c r="D139" s="29" t="s">
        <v>14</v>
      </c>
      <c r="E139" s="30">
        <v>252641</v>
      </c>
      <c r="F139" s="51">
        <v>0.05</v>
      </c>
      <c r="G139" s="3">
        <f t="shared" ref="G139:G140" si="36">TRUNC($E139*F139,1)</f>
        <v>12632</v>
      </c>
    </row>
    <row r="140" spans="2:9" ht="12.95" customHeight="1" x14ac:dyDescent="0.3">
      <c r="B140" s="27" t="s">
        <v>22</v>
      </c>
      <c r="C140" s="28"/>
      <c r="D140" s="29" t="s">
        <v>14</v>
      </c>
      <c r="E140" s="30">
        <v>226122</v>
      </c>
      <c r="F140" s="51">
        <v>0.02</v>
      </c>
      <c r="G140" s="3">
        <f t="shared" si="36"/>
        <v>4522.3999999999996</v>
      </c>
    </row>
    <row r="141" spans="2:9" ht="12.95" customHeight="1" x14ac:dyDescent="0.3">
      <c r="B141" s="32" t="s">
        <v>16</v>
      </c>
      <c r="C141" s="53"/>
      <c r="D141" s="53"/>
      <c r="E141" s="18"/>
      <c r="F141" s="13"/>
      <c r="G141" s="14">
        <f>TRUNC(SUM(G139:G140))</f>
        <v>17154</v>
      </c>
    </row>
    <row r="142" spans="2:9" ht="12.95" customHeight="1" x14ac:dyDescent="0.3">
      <c r="B142" s="52"/>
      <c r="C142" s="53"/>
      <c r="D142" s="53"/>
      <c r="E142" s="18"/>
      <c r="F142" s="13"/>
      <c r="G142" s="54"/>
    </row>
    <row r="143" spans="2:9" ht="12.95" customHeight="1" x14ac:dyDescent="0.3">
      <c r="B143" s="38" t="s">
        <v>18</v>
      </c>
      <c r="C143" s="62"/>
      <c r="D143" s="62"/>
      <c r="E143" s="63"/>
      <c r="F143" s="63"/>
      <c r="G143" s="56">
        <f>SUM(G137+G141)</f>
        <v>18869</v>
      </c>
    </row>
    <row r="145" spans="2:7" ht="12.95" customHeight="1" x14ac:dyDescent="0.3">
      <c r="B145" s="57" t="s">
        <v>80</v>
      </c>
      <c r="C145" s="58"/>
      <c r="D145" s="59"/>
      <c r="E145" s="60"/>
      <c r="F145" s="59"/>
      <c r="G145" s="60" t="s">
        <v>81</v>
      </c>
    </row>
    <row r="146" spans="2:7" ht="12.95" customHeight="1" x14ac:dyDescent="0.3">
      <c r="B146" s="76" t="s">
        <v>8</v>
      </c>
      <c r="C146" s="78" t="s">
        <v>20</v>
      </c>
      <c r="D146" s="80" t="s">
        <v>13</v>
      </c>
      <c r="E146" s="81" t="s">
        <v>9</v>
      </c>
      <c r="F146" s="80" t="s">
        <v>25</v>
      </c>
      <c r="G146" s="85" t="s">
        <v>26</v>
      </c>
    </row>
    <row r="147" spans="2:7" ht="12.95" customHeight="1" x14ac:dyDescent="0.3">
      <c r="B147" s="77"/>
      <c r="C147" s="79"/>
      <c r="D147" s="80"/>
      <c r="E147" s="82"/>
      <c r="F147" s="80"/>
      <c r="G147" s="86"/>
    </row>
    <row r="148" spans="2:7" ht="12.95" customHeight="1" x14ac:dyDescent="0.3">
      <c r="B148" s="42" t="s">
        <v>27</v>
      </c>
      <c r="C148" s="43" t="s">
        <v>23</v>
      </c>
      <c r="D148" s="44" t="s">
        <v>19</v>
      </c>
      <c r="E148" s="45"/>
      <c r="F148" s="46">
        <v>1</v>
      </c>
      <c r="G148" s="5">
        <f>TRUNC(SUM(G151:G153)*0.05,1)</f>
        <v>633.20000000000005</v>
      </c>
    </row>
    <row r="149" spans="2:7" ht="12.95" customHeight="1" x14ac:dyDescent="0.3">
      <c r="B149" s="47" t="s">
        <v>15</v>
      </c>
      <c r="C149" s="48"/>
      <c r="D149" s="49"/>
      <c r="E149" s="50"/>
      <c r="F149" s="51"/>
      <c r="G149" s="11">
        <f>TRUNC(SUM(G148))</f>
        <v>633</v>
      </c>
    </row>
    <row r="150" spans="2:7" ht="12.95" customHeight="1" x14ac:dyDescent="0.3">
      <c r="B150" s="52"/>
      <c r="C150" s="53"/>
      <c r="D150" s="53"/>
      <c r="E150" s="18"/>
      <c r="F150" s="13"/>
      <c r="G150" s="54"/>
    </row>
    <row r="151" spans="2:7" ht="12.95" customHeight="1" x14ac:dyDescent="0.3">
      <c r="B151" s="27" t="s">
        <v>5</v>
      </c>
      <c r="C151" s="28"/>
      <c r="D151" s="29" t="s">
        <v>14</v>
      </c>
      <c r="E151" s="30">
        <v>252641</v>
      </c>
      <c r="F151" s="51">
        <v>0.03</v>
      </c>
      <c r="G151" s="3">
        <f t="shared" ref="G151:G153" si="37">TRUNC($E151*F151,1)</f>
        <v>7579.2</v>
      </c>
    </row>
    <row r="152" spans="2:7" ht="12.95" customHeight="1" x14ac:dyDescent="0.3">
      <c r="B152" s="27" t="s">
        <v>24</v>
      </c>
      <c r="C152" s="28"/>
      <c r="D152" s="29" t="s">
        <v>14</v>
      </c>
      <c r="E152" s="30">
        <v>282536</v>
      </c>
      <c r="F152" s="51">
        <v>0.01</v>
      </c>
      <c r="G152" s="3">
        <f t="shared" si="37"/>
        <v>2825.3</v>
      </c>
    </row>
    <row r="153" spans="2:7" ht="12.95" customHeight="1" x14ac:dyDescent="0.3">
      <c r="B153" s="27" t="s">
        <v>22</v>
      </c>
      <c r="C153" s="28"/>
      <c r="D153" s="29" t="s">
        <v>14</v>
      </c>
      <c r="E153" s="30">
        <v>226122</v>
      </c>
      <c r="F153" s="51">
        <v>0.01</v>
      </c>
      <c r="G153" s="3">
        <f t="shared" si="37"/>
        <v>2261.1999999999998</v>
      </c>
    </row>
    <row r="154" spans="2:7" ht="12.95" customHeight="1" x14ac:dyDescent="0.3">
      <c r="B154" s="32" t="s">
        <v>16</v>
      </c>
      <c r="C154" s="53"/>
      <c r="D154" s="53"/>
      <c r="E154" s="18"/>
      <c r="F154" s="13"/>
      <c r="G154" s="14">
        <f>TRUNC(SUM(G151:G153))</f>
        <v>12665</v>
      </c>
    </row>
    <row r="155" spans="2:7" ht="12.95" customHeight="1" x14ac:dyDescent="0.3">
      <c r="B155" s="52"/>
      <c r="C155" s="53"/>
      <c r="D155" s="53"/>
      <c r="E155" s="18"/>
      <c r="F155" s="13"/>
      <c r="G155" s="54"/>
    </row>
    <row r="156" spans="2:7" ht="12.95" customHeight="1" x14ac:dyDescent="0.3">
      <c r="B156" s="38" t="s">
        <v>18</v>
      </c>
      <c r="C156" s="62"/>
      <c r="D156" s="62"/>
      <c r="E156" s="63"/>
      <c r="F156" s="63"/>
      <c r="G156" s="56">
        <f>SUM(G149+G154)</f>
        <v>13298</v>
      </c>
    </row>
    <row r="158" spans="2:7" ht="12.95" customHeight="1" x14ac:dyDescent="0.3">
      <c r="B158" s="23" t="s">
        <v>82</v>
      </c>
    </row>
    <row r="159" spans="2:7" ht="12.95" customHeight="1" x14ac:dyDescent="0.3">
      <c r="B159" s="1" t="s">
        <v>84</v>
      </c>
      <c r="C159" s="66"/>
      <c r="D159" s="66"/>
      <c r="E159" s="66"/>
      <c r="F159" s="66"/>
      <c r="G159" s="61" t="s">
        <v>32</v>
      </c>
    </row>
    <row r="160" spans="2:7" ht="12.95" customHeight="1" x14ac:dyDescent="0.3">
      <c r="B160" s="76" t="s">
        <v>8</v>
      </c>
      <c r="C160" s="78" t="s">
        <v>20</v>
      </c>
      <c r="D160" s="80" t="s">
        <v>13</v>
      </c>
      <c r="E160" s="81" t="s">
        <v>9</v>
      </c>
      <c r="F160" s="80" t="s">
        <v>25</v>
      </c>
      <c r="G160" s="85" t="s">
        <v>26</v>
      </c>
    </row>
    <row r="161" spans="2:13" ht="12.95" customHeight="1" x14ac:dyDescent="0.3">
      <c r="B161" s="77"/>
      <c r="C161" s="79"/>
      <c r="D161" s="80"/>
      <c r="E161" s="82"/>
      <c r="F161" s="80"/>
      <c r="G161" s="86"/>
    </row>
    <row r="162" spans="2:13" ht="12.95" customHeight="1" x14ac:dyDescent="0.3">
      <c r="B162" s="67" t="s">
        <v>4</v>
      </c>
      <c r="C162" s="67" t="s">
        <v>83</v>
      </c>
      <c r="D162" s="68" t="s">
        <v>21</v>
      </c>
      <c r="E162" s="15">
        <v>21678</v>
      </c>
      <c r="F162" s="51">
        <v>2.5</v>
      </c>
      <c r="G162" s="3">
        <f t="shared" ref="G162" si="38">TRUNC($E162*F162,1)</f>
        <v>54195</v>
      </c>
    </row>
    <row r="163" spans="2:13" ht="12.95" customHeight="1" x14ac:dyDescent="0.3">
      <c r="B163" s="47" t="s">
        <v>15</v>
      </c>
      <c r="C163" s="53"/>
      <c r="D163" s="53"/>
      <c r="E163" s="18"/>
      <c r="F163" s="69"/>
      <c r="G163" s="14">
        <f>TRUNC(SUM(G162:G162))</f>
        <v>54195</v>
      </c>
    </row>
    <row r="164" spans="2:13" ht="12.95" customHeight="1" x14ac:dyDescent="0.3">
      <c r="B164" s="52"/>
      <c r="C164" s="53"/>
      <c r="D164" s="53"/>
      <c r="E164" s="18"/>
      <c r="F164" s="69"/>
      <c r="G164" s="54"/>
    </row>
    <row r="165" spans="2:13" ht="12.95" customHeight="1" x14ac:dyDescent="0.3">
      <c r="B165" s="27" t="s">
        <v>5</v>
      </c>
      <c r="C165" s="28"/>
      <c r="D165" s="29" t="s">
        <v>14</v>
      </c>
      <c r="E165" s="30">
        <v>252641</v>
      </c>
      <c r="F165" s="51">
        <v>1.67</v>
      </c>
      <c r="G165" s="3">
        <f t="shared" ref="G165:G167" si="39">TRUNC($E165*F165,1)</f>
        <v>421910.4</v>
      </c>
    </row>
    <row r="166" spans="2:13" ht="12.95" customHeight="1" x14ac:dyDescent="0.3">
      <c r="B166" s="27" t="s">
        <v>22</v>
      </c>
      <c r="C166" s="28"/>
      <c r="D166" s="29" t="s">
        <v>14</v>
      </c>
      <c r="E166" s="30">
        <v>226122</v>
      </c>
      <c r="F166" s="51">
        <v>0.42</v>
      </c>
      <c r="G166" s="3">
        <f t="shared" si="39"/>
        <v>94971.199999999997</v>
      </c>
    </row>
    <row r="167" spans="2:13" ht="12.95" customHeight="1" x14ac:dyDescent="0.3">
      <c r="B167" s="67" t="s">
        <v>4</v>
      </c>
      <c r="C167" s="67" t="s">
        <v>83</v>
      </c>
      <c r="D167" s="68" t="s">
        <v>21</v>
      </c>
      <c r="E167" s="16">
        <v>58925</v>
      </c>
      <c r="F167" s="51">
        <v>2.5</v>
      </c>
      <c r="G167" s="3">
        <f t="shared" si="39"/>
        <v>147312.5</v>
      </c>
    </row>
    <row r="168" spans="2:13" ht="12.95" customHeight="1" x14ac:dyDescent="0.3">
      <c r="B168" s="32" t="s">
        <v>16</v>
      </c>
      <c r="C168" s="53"/>
      <c r="D168" s="53"/>
      <c r="E168" s="18"/>
      <c r="F168" s="69"/>
      <c r="G168" s="14">
        <f>TRUNC(SUM(G165:G167))</f>
        <v>664194</v>
      </c>
    </row>
    <row r="169" spans="2:13" ht="12.95" customHeight="1" x14ac:dyDescent="0.3">
      <c r="B169" s="52"/>
      <c r="C169" s="53"/>
      <c r="D169" s="53"/>
      <c r="E169" s="18"/>
      <c r="F169" s="69"/>
      <c r="G169" s="54"/>
    </row>
    <row r="170" spans="2:13" ht="12.95" customHeight="1" x14ac:dyDescent="0.3">
      <c r="B170" s="67" t="s">
        <v>4</v>
      </c>
      <c r="C170" s="67" t="s">
        <v>83</v>
      </c>
      <c r="D170" s="68" t="s">
        <v>21</v>
      </c>
      <c r="E170" s="16">
        <v>73019</v>
      </c>
      <c r="F170" s="51">
        <v>2.5</v>
      </c>
      <c r="G170" s="3">
        <f t="shared" ref="G170" si="40">TRUNC($E170*F170,1)</f>
        <v>182547.5</v>
      </c>
    </row>
    <row r="171" spans="2:13" ht="12.95" customHeight="1" x14ac:dyDescent="0.3">
      <c r="B171" s="47" t="s">
        <v>17</v>
      </c>
      <c r="C171" s="53"/>
      <c r="D171" s="53"/>
      <c r="E171" s="70"/>
      <c r="F171" s="13"/>
      <c r="G171" s="14">
        <f>TRUNC(SUM(G170:G170))</f>
        <v>182547</v>
      </c>
    </row>
    <row r="172" spans="2:13" ht="12.95" customHeight="1" x14ac:dyDescent="0.3">
      <c r="B172" s="71"/>
      <c r="C172" s="67"/>
      <c r="D172" s="67"/>
      <c r="E172" s="72"/>
      <c r="F172" s="51"/>
      <c r="G172" s="73"/>
    </row>
    <row r="173" spans="2:13" ht="12.95" customHeight="1" x14ac:dyDescent="0.3">
      <c r="B173" s="38" t="s">
        <v>18</v>
      </c>
      <c r="C173" s="62"/>
      <c r="D173" s="62"/>
      <c r="E173" s="63"/>
      <c r="F173" s="63"/>
      <c r="G173" s="56">
        <f>SUM(G163+G168+G171)</f>
        <v>900936</v>
      </c>
    </row>
    <row r="175" spans="2:13" ht="12.95" customHeight="1" x14ac:dyDescent="0.3">
      <c r="B175" s="57" t="s">
        <v>85</v>
      </c>
      <c r="C175" s="58"/>
      <c r="D175" s="59"/>
      <c r="E175" s="60"/>
      <c r="F175" s="59"/>
      <c r="G175" s="60"/>
      <c r="H175" s="59"/>
      <c r="M175" s="60" t="s">
        <v>86</v>
      </c>
    </row>
    <row r="176" spans="2:13" ht="12.95" customHeight="1" x14ac:dyDescent="0.3">
      <c r="B176" s="87" t="s">
        <v>8</v>
      </c>
      <c r="C176" s="87" t="s">
        <v>12</v>
      </c>
      <c r="D176" s="81" t="s">
        <v>13</v>
      </c>
      <c r="E176" s="81" t="s">
        <v>9</v>
      </c>
      <c r="F176" s="83" t="s">
        <v>108</v>
      </c>
      <c r="G176" s="84"/>
      <c r="H176" s="84"/>
      <c r="I176" s="84"/>
      <c r="J176" s="83" t="s">
        <v>109</v>
      </c>
      <c r="K176" s="84"/>
      <c r="L176" s="84"/>
      <c r="M176" s="84"/>
    </row>
    <row r="177" spans="2:13" ht="12.95" customHeight="1" x14ac:dyDescent="0.3">
      <c r="B177" s="88"/>
      <c r="C177" s="88"/>
      <c r="D177" s="90"/>
      <c r="E177" s="90"/>
      <c r="F177" s="83" t="s">
        <v>87</v>
      </c>
      <c r="G177" s="84"/>
      <c r="H177" s="83" t="s">
        <v>88</v>
      </c>
      <c r="I177" s="84"/>
      <c r="J177" s="83" t="s">
        <v>87</v>
      </c>
      <c r="K177" s="84"/>
      <c r="L177" s="83" t="s">
        <v>88</v>
      </c>
      <c r="M177" s="84"/>
    </row>
    <row r="178" spans="2:13" ht="12.95" customHeight="1" x14ac:dyDescent="0.3">
      <c r="B178" s="89"/>
      <c r="C178" s="89"/>
      <c r="D178" s="82"/>
      <c r="E178" s="82"/>
      <c r="F178" s="25" t="s">
        <v>10</v>
      </c>
      <c r="G178" s="26" t="s">
        <v>11</v>
      </c>
      <c r="H178" s="25" t="s">
        <v>10</v>
      </c>
      <c r="I178" s="26" t="s">
        <v>11</v>
      </c>
      <c r="J178" s="25" t="s">
        <v>10</v>
      </c>
      <c r="K178" s="26" t="s">
        <v>11</v>
      </c>
      <c r="L178" s="25" t="s">
        <v>10</v>
      </c>
      <c r="M178" s="26" t="s">
        <v>11</v>
      </c>
    </row>
    <row r="179" spans="2:13" ht="12.95" customHeight="1" x14ac:dyDescent="0.3">
      <c r="B179" s="42" t="s">
        <v>27</v>
      </c>
      <c r="C179" s="43" t="s">
        <v>90</v>
      </c>
      <c r="D179" s="44" t="s">
        <v>89</v>
      </c>
      <c r="E179" s="45"/>
      <c r="F179" s="46">
        <v>22</v>
      </c>
      <c r="G179" s="74">
        <f>TRUNC(SUM(G182:G183)*F179*0.01,1)</f>
        <v>139252.1</v>
      </c>
      <c r="H179" s="46">
        <v>18</v>
      </c>
      <c r="I179" s="74">
        <f>TRUNC(SUM(I182:I183)*H179*0.01,1)</f>
        <v>200095.8</v>
      </c>
      <c r="J179" s="46">
        <v>22</v>
      </c>
      <c r="K179" s="74">
        <f>TRUNC(SUM(K182:K183)*J179*0.01,1)</f>
        <v>89768.9</v>
      </c>
      <c r="L179" s="46">
        <v>18</v>
      </c>
      <c r="M179" s="74">
        <f>TRUNC(SUM(M182:M183)*L179*0.01,1)</f>
        <v>129092.3</v>
      </c>
    </row>
    <row r="180" spans="2:13" ht="12.95" customHeight="1" x14ac:dyDescent="0.3">
      <c r="B180" s="47" t="s">
        <v>15</v>
      </c>
      <c r="C180" s="48"/>
      <c r="D180" s="49"/>
      <c r="E180" s="50"/>
      <c r="F180" s="51"/>
      <c r="G180" s="11">
        <f>TRUNC(SUM(G179))</f>
        <v>139252</v>
      </c>
      <c r="H180" s="51"/>
      <c r="I180" s="11">
        <f>TRUNC(SUM(I179))</f>
        <v>200095</v>
      </c>
      <c r="J180" s="51"/>
      <c r="K180" s="11">
        <f>TRUNC(SUM(K179))</f>
        <v>89768</v>
      </c>
      <c r="L180" s="51"/>
      <c r="M180" s="11">
        <f>TRUNC(SUM(M179))</f>
        <v>129092</v>
      </c>
    </row>
    <row r="181" spans="2:13" ht="12.95" customHeight="1" x14ac:dyDescent="0.3">
      <c r="B181" s="52"/>
      <c r="C181" s="53"/>
      <c r="D181" s="53"/>
      <c r="E181" s="18"/>
      <c r="F181" s="13"/>
      <c r="G181" s="54"/>
      <c r="H181" s="13"/>
      <c r="I181" s="54"/>
      <c r="J181" s="13"/>
      <c r="K181" s="54"/>
      <c r="L181" s="13"/>
      <c r="M181" s="54"/>
    </row>
    <row r="182" spans="2:13" ht="12.95" customHeight="1" x14ac:dyDescent="0.3">
      <c r="B182" s="27" t="s">
        <v>24</v>
      </c>
      <c r="C182" s="28"/>
      <c r="D182" s="29" t="s">
        <v>14</v>
      </c>
      <c r="E182" s="30">
        <v>282536</v>
      </c>
      <c r="F182" s="51">
        <v>1.52</v>
      </c>
      <c r="G182" s="3">
        <f t="shared" ref="G182:G183" si="41">TRUNC($E182*F182,1)</f>
        <v>429454.7</v>
      </c>
      <c r="H182" s="51">
        <v>2.67</v>
      </c>
      <c r="I182" s="3">
        <f t="shared" ref="I182:I183" si="42">TRUNC($E182*H182,1)</f>
        <v>754371.1</v>
      </c>
      <c r="J182" s="51">
        <v>0.94</v>
      </c>
      <c r="K182" s="3">
        <f t="shared" ref="K182:K183" si="43">TRUNC($E182*J182,1)</f>
        <v>265583.8</v>
      </c>
      <c r="L182" s="51">
        <v>1.65</v>
      </c>
      <c r="M182" s="3">
        <f t="shared" ref="M182:M183" si="44">TRUNC($E182*L182,1)</f>
        <v>466184.4</v>
      </c>
    </row>
    <row r="183" spans="2:13" ht="12.95" customHeight="1" x14ac:dyDescent="0.3">
      <c r="B183" s="27" t="s">
        <v>22</v>
      </c>
      <c r="C183" s="28"/>
      <c r="D183" s="29" t="s">
        <v>14</v>
      </c>
      <c r="E183" s="30">
        <v>226122</v>
      </c>
      <c r="F183" s="51">
        <v>0.9</v>
      </c>
      <c r="G183" s="3">
        <f t="shared" si="41"/>
        <v>203509.8</v>
      </c>
      <c r="H183" s="51">
        <v>1.58</v>
      </c>
      <c r="I183" s="3">
        <f t="shared" si="42"/>
        <v>357272.7</v>
      </c>
      <c r="J183" s="51">
        <v>0.63</v>
      </c>
      <c r="K183" s="3">
        <f t="shared" si="43"/>
        <v>142456.79999999999</v>
      </c>
      <c r="L183" s="51">
        <v>1.1100000000000001</v>
      </c>
      <c r="M183" s="3">
        <f t="shared" si="44"/>
        <v>250995.4</v>
      </c>
    </row>
    <row r="184" spans="2:13" ht="12.95" customHeight="1" x14ac:dyDescent="0.3">
      <c r="B184" s="32" t="s">
        <v>16</v>
      </c>
      <c r="C184" s="53"/>
      <c r="D184" s="53"/>
      <c r="E184" s="18"/>
      <c r="F184" s="13"/>
      <c r="G184" s="14">
        <f>TRUNC(SUM(G182:G183))</f>
        <v>632964</v>
      </c>
      <c r="H184" s="13"/>
      <c r="I184" s="14">
        <f>TRUNC(SUM(I182:I183))</f>
        <v>1111643</v>
      </c>
      <c r="J184" s="13"/>
      <c r="K184" s="14">
        <f>TRUNC(SUM(K182:K183))</f>
        <v>408040</v>
      </c>
      <c r="L184" s="13"/>
      <c r="M184" s="14">
        <f>TRUNC(SUM(M182:M183))</f>
        <v>717179</v>
      </c>
    </row>
    <row r="185" spans="2:13" ht="12.95" customHeight="1" x14ac:dyDescent="0.3">
      <c r="B185" s="52"/>
      <c r="C185" s="53"/>
      <c r="D185" s="53"/>
      <c r="E185" s="18"/>
      <c r="F185" s="13"/>
      <c r="G185" s="54"/>
      <c r="H185" s="13"/>
      <c r="I185" s="54"/>
      <c r="J185" s="13"/>
      <c r="K185" s="54"/>
      <c r="L185" s="13"/>
      <c r="M185" s="54"/>
    </row>
    <row r="186" spans="2:13" ht="12.95" customHeight="1" x14ac:dyDescent="0.3">
      <c r="B186" s="38" t="s">
        <v>18</v>
      </c>
      <c r="C186" s="62"/>
      <c r="D186" s="62"/>
      <c r="E186" s="63"/>
      <c r="F186" s="63"/>
      <c r="G186" s="56">
        <f>SUM(G180+G184)</f>
        <v>772216</v>
      </c>
      <c r="H186" s="63"/>
      <c r="I186" s="56">
        <f>SUM(I180+I184)</f>
        <v>1311738</v>
      </c>
      <c r="J186" s="63"/>
      <c r="K186" s="56">
        <f>SUM(K180+K184)</f>
        <v>497808</v>
      </c>
      <c r="L186" s="63"/>
      <c r="M186" s="56">
        <f>SUM(M180+M184)</f>
        <v>846271</v>
      </c>
    </row>
    <row r="188" spans="2:13" ht="12.95" customHeight="1" x14ac:dyDescent="0.3">
      <c r="B188" s="1" t="s">
        <v>91</v>
      </c>
      <c r="C188" s="66"/>
      <c r="D188" s="66"/>
      <c r="E188" s="66"/>
      <c r="F188" s="66"/>
      <c r="G188" s="61" t="s">
        <v>92</v>
      </c>
    </row>
    <row r="189" spans="2:13" ht="12.95" customHeight="1" x14ac:dyDescent="0.3">
      <c r="B189" s="76" t="s">
        <v>8</v>
      </c>
      <c r="C189" s="78" t="s">
        <v>20</v>
      </c>
      <c r="D189" s="80" t="s">
        <v>13</v>
      </c>
      <c r="E189" s="81" t="s">
        <v>9</v>
      </c>
      <c r="F189" s="80" t="s">
        <v>25</v>
      </c>
      <c r="G189" s="85" t="s">
        <v>26</v>
      </c>
    </row>
    <row r="190" spans="2:13" ht="12.95" customHeight="1" x14ac:dyDescent="0.3">
      <c r="B190" s="77"/>
      <c r="C190" s="79"/>
      <c r="D190" s="80"/>
      <c r="E190" s="82"/>
      <c r="F190" s="80"/>
      <c r="G190" s="86"/>
    </row>
    <row r="191" spans="2:13" ht="12.95" customHeight="1" x14ac:dyDescent="0.3">
      <c r="B191" s="67" t="s">
        <v>93</v>
      </c>
      <c r="C191" s="67"/>
      <c r="D191" s="68" t="s">
        <v>55</v>
      </c>
      <c r="E191" s="17">
        <v>0</v>
      </c>
      <c r="F191" s="65">
        <v>38.799999999999997</v>
      </c>
      <c r="G191" s="3">
        <f t="shared" ref="G191" si="45">TRUNC($E191*F191,1)</f>
        <v>0</v>
      </c>
    </row>
    <row r="192" spans="2:13" ht="12.95" customHeight="1" x14ac:dyDescent="0.3">
      <c r="B192" s="42" t="s">
        <v>27</v>
      </c>
      <c r="C192" s="43" t="s">
        <v>23</v>
      </c>
      <c r="D192" s="44" t="s">
        <v>19</v>
      </c>
      <c r="E192" s="45"/>
      <c r="F192" s="46">
        <v>1</v>
      </c>
      <c r="G192" s="5">
        <f>TRUNC(SUM(G195:G197)*0.05,1)</f>
        <v>1981.9</v>
      </c>
    </row>
    <row r="193" spans="2:9" ht="12.95" customHeight="1" x14ac:dyDescent="0.3">
      <c r="B193" s="47" t="s">
        <v>15</v>
      </c>
      <c r="C193" s="53"/>
      <c r="D193" s="53"/>
      <c r="E193" s="18"/>
      <c r="F193" s="69"/>
      <c r="G193" s="14">
        <f>TRUNC(SUM(G191:G192))</f>
        <v>1981</v>
      </c>
    </row>
    <row r="194" spans="2:9" ht="12.95" customHeight="1" x14ac:dyDescent="0.3">
      <c r="B194" s="52"/>
      <c r="C194" s="53"/>
      <c r="D194" s="53"/>
      <c r="E194" s="18"/>
      <c r="F194" s="69"/>
      <c r="G194" s="54"/>
    </row>
    <row r="195" spans="2:9" ht="12.95" customHeight="1" x14ac:dyDescent="0.3">
      <c r="B195" s="27" t="s">
        <v>1</v>
      </c>
      <c r="C195" s="28"/>
      <c r="D195" s="29" t="s">
        <v>14</v>
      </c>
      <c r="E195" s="30">
        <v>263017</v>
      </c>
      <c r="F195" s="75">
        <v>6.2E-2</v>
      </c>
      <c r="G195" s="3">
        <f t="shared" ref="G195:G197" si="46">TRUNC($E195*F195,1)</f>
        <v>16307</v>
      </c>
    </row>
    <row r="196" spans="2:9" ht="12.95" customHeight="1" x14ac:dyDescent="0.3">
      <c r="B196" s="27" t="s">
        <v>22</v>
      </c>
      <c r="C196" s="28"/>
      <c r="D196" s="29" t="s">
        <v>14</v>
      </c>
      <c r="E196" s="30">
        <v>226122</v>
      </c>
      <c r="F196" s="75">
        <v>5.6000000000000001E-2</v>
      </c>
      <c r="G196" s="3">
        <f t="shared" si="46"/>
        <v>12662.8</v>
      </c>
    </row>
    <row r="197" spans="2:9" ht="12.95" customHeight="1" x14ac:dyDescent="0.3">
      <c r="B197" s="27" t="s">
        <v>2</v>
      </c>
      <c r="C197" s="28"/>
      <c r="D197" s="29" t="s">
        <v>14</v>
      </c>
      <c r="E197" s="30">
        <v>172068</v>
      </c>
      <c r="F197" s="75">
        <v>6.2E-2</v>
      </c>
      <c r="G197" s="3">
        <f t="shared" si="46"/>
        <v>10668.2</v>
      </c>
    </row>
    <row r="198" spans="2:9" ht="12.95" customHeight="1" x14ac:dyDescent="0.3">
      <c r="B198" s="32" t="s">
        <v>16</v>
      </c>
      <c r="C198" s="53"/>
      <c r="D198" s="53"/>
      <c r="E198" s="18"/>
      <c r="F198" s="13"/>
      <c r="G198" s="14">
        <f>TRUNC(SUM(G195:G197))</f>
        <v>39638</v>
      </c>
    </row>
    <row r="199" spans="2:9" ht="12.95" customHeight="1" x14ac:dyDescent="0.3">
      <c r="B199" s="52"/>
      <c r="C199" s="53"/>
      <c r="D199" s="53"/>
      <c r="E199" s="18"/>
      <c r="F199" s="13"/>
      <c r="G199" s="54"/>
    </row>
    <row r="200" spans="2:9" ht="12.95" customHeight="1" x14ac:dyDescent="0.3">
      <c r="B200" s="67" t="s">
        <v>7</v>
      </c>
      <c r="C200" s="67" t="s">
        <v>94</v>
      </c>
      <c r="D200" s="68" t="s">
        <v>21</v>
      </c>
      <c r="E200" s="16">
        <v>2627</v>
      </c>
      <c r="F200" s="75">
        <v>0.18</v>
      </c>
      <c r="G200" s="3">
        <f t="shared" ref="G200:G201" si="47">TRUNC($E200*F200,1)</f>
        <v>472.8</v>
      </c>
    </row>
    <row r="201" spans="2:9" ht="12.95" customHeight="1" x14ac:dyDescent="0.3">
      <c r="B201" s="67" t="s">
        <v>0</v>
      </c>
      <c r="C201" s="67" t="s">
        <v>95</v>
      </c>
      <c r="D201" s="68" t="s">
        <v>21</v>
      </c>
      <c r="E201" s="16">
        <v>2590</v>
      </c>
      <c r="F201" s="75">
        <v>0.18</v>
      </c>
      <c r="G201" s="3">
        <f t="shared" si="47"/>
        <v>466.2</v>
      </c>
    </row>
    <row r="202" spans="2:9" ht="12.95" customHeight="1" x14ac:dyDescent="0.3">
      <c r="B202" s="47" t="s">
        <v>17</v>
      </c>
      <c r="C202" s="53"/>
      <c r="D202" s="53"/>
      <c r="E202" s="70"/>
      <c r="F202" s="13"/>
      <c r="G202" s="14">
        <f>TRUNC(SUM(G200:G201))</f>
        <v>939</v>
      </c>
    </row>
    <row r="203" spans="2:9" ht="12.95" customHeight="1" x14ac:dyDescent="0.3">
      <c r="B203" s="71"/>
      <c r="C203" s="67"/>
      <c r="D203" s="67"/>
      <c r="E203" s="72"/>
      <c r="F203" s="51"/>
      <c r="G203" s="73"/>
    </row>
    <row r="204" spans="2:9" ht="12.95" customHeight="1" x14ac:dyDescent="0.3">
      <c r="B204" s="38" t="s">
        <v>18</v>
      </c>
      <c r="C204" s="62"/>
      <c r="D204" s="62"/>
      <c r="E204" s="63"/>
      <c r="F204" s="63"/>
      <c r="G204" s="56">
        <f>SUM(G193+G198+G202)</f>
        <v>42558</v>
      </c>
    </row>
    <row r="206" spans="2:9" ht="12.95" customHeight="1" x14ac:dyDescent="0.3">
      <c r="B206" s="57" t="s">
        <v>96</v>
      </c>
      <c r="C206" s="58"/>
      <c r="D206" s="59"/>
      <c r="E206" s="60"/>
      <c r="F206" s="59"/>
      <c r="G206" s="59"/>
      <c r="H206" s="59"/>
      <c r="I206" s="60" t="s">
        <v>32</v>
      </c>
    </row>
    <row r="207" spans="2:9" ht="12.95" customHeight="1" x14ac:dyDescent="0.3">
      <c r="B207" s="76" t="s">
        <v>8</v>
      </c>
      <c r="C207" s="78" t="s">
        <v>20</v>
      </c>
      <c r="D207" s="80" t="s">
        <v>13</v>
      </c>
      <c r="E207" s="81" t="s">
        <v>9</v>
      </c>
      <c r="F207" s="83" t="s">
        <v>97</v>
      </c>
      <c r="G207" s="84"/>
      <c r="H207" s="83" t="s">
        <v>98</v>
      </c>
      <c r="I207" s="84"/>
    </row>
    <row r="208" spans="2:9" ht="12.95" customHeight="1" x14ac:dyDescent="0.3">
      <c r="B208" s="77"/>
      <c r="C208" s="79"/>
      <c r="D208" s="80"/>
      <c r="E208" s="82"/>
      <c r="F208" s="25" t="s">
        <v>10</v>
      </c>
      <c r="G208" s="26" t="s">
        <v>11</v>
      </c>
      <c r="H208" s="25" t="s">
        <v>10</v>
      </c>
      <c r="I208" s="26" t="s">
        <v>11</v>
      </c>
    </row>
    <row r="209" spans="2:9" ht="12.95" customHeight="1" x14ac:dyDescent="0.3">
      <c r="B209" s="42" t="s">
        <v>27</v>
      </c>
      <c r="C209" s="43" t="s">
        <v>29</v>
      </c>
      <c r="D209" s="44" t="s">
        <v>19</v>
      </c>
      <c r="E209" s="45"/>
      <c r="F209" s="46">
        <v>1</v>
      </c>
      <c r="G209" s="5">
        <f>TRUNC(SUM(G212:G212)*0.03,1)</f>
        <v>114604.2</v>
      </c>
      <c r="H209" s="46">
        <v>1</v>
      </c>
      <c r="I209" s="5">
        <f>TRUNC(SUM(I212:I212)*0.03,1)</f>
        <v>90215.7</v>
      </c>
    </row>
    <row r="210" spans="2:9" ht="12.95" customHeight="1" x14ac:dyDescent="0.3">
      <c r="B210" s="47" t="s">
        <v>15</v>
      </c>
      <c r="C210" s="48"/>
      <c r="D210" s="49"/>
      <c r="E210" s="50"/>
      <c r="F210" s="51"/>
      <c r="G210" s="11">
        <f>TRUNC(SUM(G209))</f>
        <v>114604</v>
      </c>
      <c r="H210" s="51"/>
      <c r="I210" s="11">
        <f>TRUNC(SUM(I209))</f>
        <v>90215</v>
      </c>
    </row>
    <row r="211" spans="2:9" ht="12.95" customHeight="1" x14ac:dyDescent="0.3">
      <c r="B211" s="52"/>
      <c r="C211" s="53"/>
      <c r="D211" s="53"/>
      <c r="E211" s="18"/>
      <c r="F211" s="13"/>
      <c r="G211" s="54"/>
      <c r="H211" s="13"/>
      <c r="I211" s="54"/>
    </row>
    <row r="212" spans="2:9" ht="12.95" customHeight="1" x14ac:dyDescent="0.3">
      <c r="B212" s="27" t="s">
        <v>6</v>
      </c>
      <c r="C212" s="28"/>
      <c r="D212" s="29" t="s">
        <v>14</v>
      </c>
      <c r="E212" s="30">
        <v>239808</v>
      </c>
      <c r="F212" s="51">
        <v>15.93</v>
      </c>
      <c r="G212" s="3">
        <f t="shared" ref="G212" si="48">TRUNC($E212*F212,1)</f>
        <v>3820141.4</v>
      </c>
      <c r="H212" s="51">
        <v>12.54</v>
      </c>
      <c r="I212" s="3">
        <f t="shared" ref="I212" si="49">TRUNC($E212*H212,1)</f>
        <v>3007192.3</v>
      </c>
    </row>
    <row r="213" spans="2:9" ht="12.95" customHeight="1" x14ac:dyDescent="0.3">
      <c r="B213" s="32" t="s">
        <v>16</v>
      </c>
      <c r="C213" s="53"/>
      <c r="D213" s="53"/>
      <c r="E213" s="18"/>
      <c r="F213" s="13"/>
      <c r="G213" s="14">
        <f>TRUNC(SUM(G212:G212))</f>
        <v>3820141</v>
      </c>
      <c r="H213" s="13"/>
      <c r="I213" s="14">
        <f>TRUNC(SUM(I212:I212))</f>
        <v>3007192</v>
      </c>
    </row>
    <row r="214" spans="2:9" ht="12.95" customHeight="1" x14ac:dyDescent="0.3">
      <c r="B214" s="52"/>
      <c r="C214" s="53"/>
      <c r="D214" s="53"/>
      <c r="E214" s="18"/>
      <c r="F214" s="13"/>
      <c r="G214" s="54"/>
      <c r="H214" s="13"/>
      <c r="I214" s="54"/>
    </row>
    <row r="215" spans="2:9" ht="12.95" customHeight="1" x14ac:dyDescent="0.3">
      <c r="B215" s="38" t="s">
        <v>18</v>
      </c>
      <c r="C215" s="62"/>
      <c r="D215" s="62"/>
      <c r="E215" s="63"/>
      <c r="F215" s="63"/>
      <c r="G215" s="56">
        <f>SUM(G210+G213)</f>
        <v>3934745</v>
      </c>
      <c r="H215" s="63"/>
      <c r="I215" s="56">
        <f>SUM(I210+I213)</f>
        <v>3097407</v>
      </c>
    </row>
    <row r="291" spans="14:15" ht="12.95" customHeight="1" x14ac:dyDescent="0.3">
      <c r="O291" s="4"/>
    </row>
    <row r="292" spans="14:15" ht="12.95" customHeight="1" x14ac:dyDescent="0.3">
      <c r="N292" s="4"/>
      <c r="O292" s="4"/>
    </row>
    <row r="293" spans="14:15" ht="12.95" customHeight="1" x14ac:dyDescent="0.3">
      <c r="N293" s="4"/>
      <c r="O293" s="4"/>
    </row>
    <row r="294" spans="14:15" ht="12.95" customHeight="1" x14ac:dyDescent="0.3">
      <c r="N294" s="4"/>
      <c r="O294" s="4"/>
    </row>
    <row r="295" spans="14:15" ht="12.95" customHeight="1" x14ac:dyDescent="0.3">
      <c r="N295" s="4"/>
      <c r="O295" s="4"/>
    </row>
    <row r="296" spans="14:15" ht="12.95" customHeight="1" x14ac:dyDescent="0.3">
      <c r="N296" s="4"/>
      <c r="O296" s="4"/>
    </row>
    <row r="297" spans="14:15" ht="12.95" customHeight="1" x14ac:dyDescent="0.3">
      <c r="N297" s="4"/>
      <c r="O297" s="4"/>
    </row>
    <row r="298" spans="14:15" ht="12.95" customHeight="1" x14ac:dyDescent="0.3">
      <c r="N298" s="4"/>
      <c r="O298" s="4"/>
    </row>
    <row r="299" spans="14:15" ht="12.95" customHeight="1" x14ac:dyDescent="0.3">
      <c r="N299" s="4"/>
      <c r="O299" s="4"/>
    </row>
    <row r="300" spans="14:15" ht="12.95" customHeight="1" x14ac:dyDescent="0.3">
      <c r="N300" s="4"/>
      <c r="O300" s="4"/>
    </row>
    <row r="301" spans="14:15" ht="12.95" customHeight="1" x14ac:dyDescent="0.3">
      <c r="N301" s="4"/>
      <c r="O301" s="4"/>
    </row>
    <row r="302" spans="14:15" ht="12.95" customHeight="1" x14ac:dyDescent="0.3">
      <c r="N302" s="4"/>
      <c r="O302" s="4"/>
    </row>
    <row r="303" spans="14:15" ht="12.95" customHeight="1" x14ac:dyDescent="0.3">
      <c r="N303" s="4"/>
      <c r="O303" s="4"/>
    </row>
    <row r="304" spans="14:15" ht="12.95" customHeight="1" x14ac:dyDescent="0.3">
      <c r="N304" s="4"/>
      <c r="O304" s="4"/>
    </row>
    <row r="305" spans="14:15" ht="12.95" customHeight="1" x14ac:dyDescent="0.3">
      <c r="N305" s="4"/>
      <c r="O305" s="4"/>
    </row>
    <row r="306" spans="14:15" ht="12.95" customHeight="1" x14ac:dyDescent="0.3">
      <c r="N306" s="4"/>
      <c r="O306" s="4"/>
    </row>
    <row r="307" spans="14:15" ht="12.95" customHeight="1" x14ac:dyDescent="0.3">
      <c r="N307" s="4"/>
      <c r="O307" s="4"/>
    </row>
    <row r="308" spans="14:15" ht="12.95" customHeight="1" x14ac:dyDescent="0.3">
      <c r="N308" s="4"/>
    </row>
  </sheetData>
  <mergeCells count="124">
    <mergeCell ref="B11:B13"/>
    <mergeCell ref="C11:C13"/>
    <mergeCell ref="D11:D13"/>
    <mergeCell ref="E11:E13"/>
    <mergeCell ref="F11:K11"/>
    <mergeCell ref="F12:G12"/>
    <mergeCell ref="H12:I12"/>
    <mergeCell ref="J12:K12"/>
    <mergeCell ref="B4:B6"/>
    <mergeCell ref="C4:C6"/>
    <mergeCell ref="D4:D6"/>
    <mergeCell ref="E4:E6"/>
    <mergeCell ref="F4:K4"/>
    <mergeCell ref="F5:G5"/>
    <mergeCell ref="H5:I5"/>
    <mergeCell ref="J5:K5"/>
    <mergeCell ref="J21:K21"/>
    <mergeCell ref="B29:B30"/>
    <mergeCell ref="C29:C30"/>
    <mergeCell ref="D29:D30"/>
    <mergeCell ref="E29:E30"/>
    <mergeCell ref="F29:G29"/>
    <mergeCell ref="H29:I29"/>
    <mergeCell ref="B21:B22"/>
    <mergeCell ref="C21:C22"/>
    <mergeCell ref="D21:D22"/>
    <mergeCell ref="E21:E22"/>
    <mergeCell ref="F21:G21"/>
    <mergeCell ref="H21:I21"/>
    <mergeCell ref="J39:K39"/>
    <mergeCell ref="L39:M39"/>
    <mergeCell ref="B52:B53"/>
    <mergeCell ref="C52:C53"/>
    <mergeCell ref="D52:D53"/>
    <mergeCell ref="E52:E53"/>
    <mergeCell ref="F52:G52"/>
    <mergeCell ref="H52:I52"/>
    <mergeCell ref="J52:K52"/>
    <mergeCell ref="B39:B40"/>
    <mergeCell ref="C39:C40"/>
    <mergeCell ref="D39:D40"/>
    <mergeCell ref="E39:E40"/>
    <mergeCell ref="F39:G39"/>
    <mergeCell ref="H39:I39"/>
    <mergeCell ref="J62:K62"/>
    <mergeCell ref="B74:B75"/>
    <mergeCell ref="C74:C75"/>
    <mergeCell ref="D74:D75"/>
    <mergeCell ref="E74:E75"/>
    <mergeCell ref="F74:F75"/>
    <mergeCell ref="G74:G75"/>
    <mergeCell ref="B62:B63"/>
    <mergeCell ref="C62:C63"/>
    <mergeCell ref="D62:D63"/>
    <mergeCell ref="E62:E63"/>
    <mergeCell ref="F62:G62"/>
    <mergeCell ref="H62:I62"/>
    <mergeCell ref="J87:K87"/>
    <mergeCell ref="B97:B98"/>
    <mergeCell ref="C97:C98"/>
    <mergeCell ref="D97:D98"/>
    <mergeCell ref="E97:E98"/>
    <mergeCell ref="F97:G97"/>
    <mergeCell ref="H97:I97"/>
    <mergeCell ref="J97:K97"/>
    <mergeCell ref="B87:B88"/>
    <mergeCell ref="C87:C88"/>
    <mergeCell ref="D87:D88"/>
    <mergeCell ref="E87:E88"/>
    <mergeCell ref="F87:G87"/>
    <mergeCell ref="H87:I87"/>
    <mergeCell ref="B134:B135"/>
    <mergeCell ref="C134:C135"/>
    <mergeCell ref="D134:D135"/>
    <mergeCell ref="E134:E135"/>
    <mergeCell ref="F134:F135"/>
    <mergeCell ref="G134:G135"/>
    <mergeCell ref="J109:K109"/>
    <mergeCell ref="B121:B122"/>
    <mergeCell ref="C121:C122"/>
    <mergeCell ref="D121:D122"/>
    <mergeCell ref="E121:E122"/>
    <mergeCell ref="F121:G121"/>
    <mergeCell ref="H121:I121"/>
    <mergeCell ref="B109:B110"/>
    <mergeCell ref="C109:C110"/>
    <mergeCell ref="D109:D110"/>
    <mergeCell ref="E109:E110"/>
    <mergeCell ref="F109:G109"/>
    <mergeCell ref="H109:I109"/>
    <mergeCell ref="B160:B161"/>
    <mergeCell ref="C160:C161"/>
    <mergeCell ref="D160:D161"/>
    <mergeCell ref="E160:E161"/>
    <mergeCell ref="F160:F161"/>
    <mergeCell ref="G160:G161"/>
    <mergeCell ref="B146:B147"/>
    <mergeCell ref="C146:C147"/>
    <mergeCell ref="D146:D147"/>
    <mergeCell ref="E146:E147"/>
    <mergeCell ref="F146:F147"/>
    <mergeCell ref="G146:G147"/>
    <mergeCell ref="B176:B178"/>
    <mergeCell ref="C176:C178"/>
    <mergeCell ref="D176:D178"/>
    <mergeCell ref="E176:E178"/>
    <mergeCell ref="F176:I176"/>
    <mergeCell ref="J176:M176"/>
    <mergeCell ref="F177:G177"/>
    <mergeCell ref="H177:I177"/>
    <mergeCell ref="J177:K177"/>
    <mergeCell ref="L177:M177"/>
    <mergeCell ref="B207:B208"/>
    <mergeCell ref="C207:C208"/>
    <mergeCell ref="D207:D208"/>
    <mergeCell ref="E207:E208"/>
    <mergeCell ref="F207:G207"/>
    <mergeCell ref="H207:I207"/>
    <mergeCell ref="B189:B190"/>
    <mergeCell ref="C189:C190"/>
    <mergeCell ref="D189:D190"/>
    <mergeCell ref="E189:E190"/>
    <mergeCell ref="F189:F190"/>
    <mergeCell ref="G189:G190"/>
  </mergeCells>
  <phoneticPr fontId="3" type="noConversion"/>
  <printOptions horizontalCentered="1"/>
  <pageMargins left="0.25" right="0.25" top="0.75" bottom="0.75" header="0.3" footer="0.3"/>
  <pageSetup paperSize="9" scale="3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철골공사(상반기)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2020-02-19T06:17:41Z</cp:lastPrinted>
  <dcterms:created xsi:type="dcterms:W3CDTF">2020-02-14T01:58:29Z</dcterms:created>
  <dcterms:modified xsi:type="dcterms:W3CDTF">2026-01-01T08:03:43Z</dcterms:modified>
</cp:coreProperties>
</file>