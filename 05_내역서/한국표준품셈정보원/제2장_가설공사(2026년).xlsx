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표준품셈 정리\00.자료정리\적산엑셀\업로드용\1.공통부문(2026년)\"/>
    </mc:Choice>
  </mc:AlternateContent>
  <xr:revisionPtr revIDLastSave="0" documentId="13_ncr:1_{AE4B7B91-499E-4258-88D8-A91C93A7ED60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가설공사(상반기)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998" i="8" l="1"/>
  <c r="I999" i="8" s="1"/>
  <c r="G995" i="8"/>
  <c r="I994" i="8"/>
  <c r="I993" i="8"/>
  <c r="G989" i="8"/>
  <c r="I980" i="8"/>
  <c r="I981" i="8" s="1"/>
  <c r="G977" i="8"/>
  <c r="G976" i="8"/>
  <c r="G975" i="8"/>
  <c r="I971" i="8"/>
  <c r="G957" i="8"/>
  <c r="G959" i="8"/>
  <c r="I578" i="8"/>
  <c r="G565" i="8"/>
  <c r="G566" i="8" s="1"/>
  <c r="G562" i="8"/>
  <c r="G561" i="8"/>
  <c r="G560" i="8"/>
  <c r="G556" i="8"/>
  <c r="G545" i="8"/>
  <c r="G534" i="8"/>
  <c r="G525" i="8"/>
  <c r="G524" i="8"/>
  <c r="G499" i="8"/>
  <c r="G498" i="8"/>
  <c r="G495" i="8" s="1"/>
  <c r="K380" i="8"/>
  <c r="K381" i="8" s="1"/>
  <c r="I380" i="8"/>
  <c r="I381" i="8" s="1"/>
  <c r="G380" i="8"/>
  <c r="G381" i="8" s="1"/>
  <c r="K364" i="8"/>
  <c r="K365" i="8" s="1"/>
  <c r="I364" i="8"/>
  <c r="I365" i="8" s="1"/>
  <c r="G364" i="8"/>
  <c r="G365" i="8" s="1"/>
  <c r="K377" i="8"/>
  <c r="K376" i="8"/>
  <c r="G361" i="8"/>
  <c r="K360" i="8"/>
  <c r="I989" i="8" l="1"/>
  <c r="I995" i="8"/>
  <c r="I996" i="8" s="1"/>
  <c r="I990" i="8"/>
  <c r="G998" i="8"/>
  <c r="G999" i="8" s="1"/>
  <c r="G993" i="8"/>
  <c r="I977" i="8"/>
  <c r="G994" i="8"/>
  <c r="G978" i="8"/>
  <c r="G972" i="8"/>
  <c r="G980" i="8"/>
  <c r="G981" i="8" s="1"/>
  <c r="I975" i="8"/>
  <c r="I976" i="8"/>
  <c r="G971" i="8"/>
  <c r="G953" i="8"/>
  <c r="I953" i="8"/>
  <c r="I959" i="8"/>
  <c r="I957" i="8"/>
  <c r="G958" i="8"/>
  <c r="G954" i="8" s="1"/>
  <c r="I958" i="8"/>
  <c r="G962" i="8"/>
  <c r="G963" i="8" s="1"/>
  <c r="I962" i="8"/>
  <c r="I963" i="8" s="1"/>
  <c r="I579" i="8"/>
  <c r="I575" i="8"/>
  <c r="I576" i="8" s="1"/>
  <c r="G578" i="8"/>
  <c r="G563" i="8"/>
  <c r="G557" i="8"/>
  <c r="G558" i="8" s="1"/>
  <c r="G539" i="8"/>
  <c r="G541" i="8"/>
  <c r="G535" i="8"/>
  <c r="G540" i="8"/>
  <c r="G546" i="8"/>
  <c r="G547" i="8" s="1"/>
  <c r="G542" i="8"/>
  <c r="G526" i="8"/>
  <c r="G521" i="8"/>
  <c r="G522" i="8" s="1"/>
  <c r="G500" i="8"/>
  <c r="G496" i="8"/>
  <c r="G474" i="8"/>
  <c r="G473" i="8"/>
  <c r="G399" i="8"/>
  <c r="G400" i="8"/>
  <c r="G377" i="8"/>
  <c r="I377" i="8"/>
  <c r="K378" i="8"/>
  <c r="K373" i="8"/>
  <c r="K374" i="8" s="1"/>
  <c r="I361" i="8"/>
  <c r="K361" i="8"/>
  <c r="K362" i="8" s="1"/>
  <c r="G376" i="8"/>
  <c r="G360" i="8"/>
  <c r="I376" i="8"/>
  <c r="I360" i="8"/>
  <c r="I991" i="8" l="1"/>
  <c r="I1001" i="8" s="1"/>
  <c r="I1002" i="8" s="1"/>
  <c r="G973" i="8"/>
  <c r="G983" i="8" s="1"/>
  <c r="G984" i="8" s="1"/>
  <c r="G990" i="8"/>
  <c r="G991" i="8" s="1"/>
  <c r="G996" i="8"/>
  <c r="I972" i="8"/>
  <c r="I973" i="8" s="1"/>
  <c r="I978" i="8"/>
  <c r="I954" i="8"/>
  <c r="I581" i="8"/>
  <c r="G955" i="8"/>
  <c r="G568" i="8"/>
  <c r="G569" i="8" s="1"/>
  <c r="I955" i="8"/>
  <c r="I960" i="8"/>
  <c r="G960" i="8"/>
  <c r="G579" i="8"/>
  <c r="G575" i="8"/>
  <c r="G576" i="8" s="1"/>
  <c r="G528" i="8"/>
  <c r="G529" i="8" s="1"/>
  <c r="G536" i="8"/>
  <c r="G537" i="8" s="1"/>
  <c r="G502" i="8"/>
  <c r="G503" i="8" s="1"/>
  <c r="G543" i="8"/>
  <c r="G470" i="8"/>
  <c r="G471" i="8" s="1"/>
  <c r="G475" i="8"/>
  <c r="K383" i="8"/>
  <c r="K384" i="8" s="1"/>
  <c r="G401" i="8"/>
  <c r="G403" i="8" s="1"/>
  <c r="I362" i="8"/>
  <c r="I357" i="8"/>
  <c r="I358" i="8" s="1"/>
  <c r="G362" i="8"/>
  <c r="G357" i="8"/>
  <c r="G358" i="8" s="1"/>
  <c r="K357" i="8"/>
  <c r="K358" i="8" s="1"/>
  <c r="I378" i="8"/>
  <c r="I373" i="8"/>
  <c r="I374" i="8" s="1"/>
  <c r="G373" i="8"/>
  <c r="G374" i="8" s="1"/>
  <c r="G378" i="8"/>
  <c r="G581" i="8" l="1"/>
  <c r="G1001" i="8"/>
  <c r="G1002" i="8" s="1"/>
  <c r="I983" i="8"/>
  <c r="I984" i="8" s="1"/>
  <c r="G965" i="8"/>
  <c r="G966" i="8" s="1"/>
  <c r="I965" i="8"/>
  <c r="I966" i="8" s="1"/>
  <c r="G549" i="8"/>
  <c r="G550" i="8" s="1"/>
  <c r="G477" i="8"/>
  <c r="G478" i="8" s="1"/>
  <c r="G367" i="8"/>
  <c r="G368" i="8" s="1"/>
  <c r="I383" i="8"/>
  <c r="I384" i="8" s="1"/>
  <c r="I367" i="8"/>
  <c r="I368" i="8" s="1"/>
  <c r="G383" i="8"/>
  <c r="G384" i="8" s="1"/>
  <c r="K367" i="8"/>
  <c r="K368" i="8" s="1"/>
  <c r="K346" i="8"/>
  <c r="I345" i="8"/>
  <c r="G333" i="8"/>
  <c r="G332" i="8"/>
  <c r="G318" i="8"/>
  <c r="I317" i="8"/>
  <c r="M284" i="8"/>
  <c r="I283" i="8"/>
  <c r="M280" i="8"/>
  <c r="M279" i="8"/>
  <c r="M278" i="8"/>
  <c r="M277" i="8"/>
  <c r="M274" i="8"/>
  <c r="G273" i="8"/>
  <c r="K258" i="8"/>
  <c r="K257" i="8"/>
  <c r="M264" i="8"/>
  <c r="M263" i="8"/>
  <c r="G260" i="8"/>
  <c r="M259" i="8"/>
  <c r="K254" i="8"/>
  <c r="K253" i="8"/>
  <c r="I242" i="8"/>
  <c r="I241" i="8"/>
  <c r="I230" i="8"/>
  <c r="G175" i="8"/>
  <c r="G169" i="8"/>
  <c r="M160" i="8"/>
  <c r="M161" i="8" s="1"/>
  <c r="M157" i="8"/>
  <c r="K151" i="8"/>
  <c r="K156" i="8"/>
  <c r="I155" i="8"/>
  <c r="K126" i="8"/>
  <c r="M125" i="8"/>
  <c r="M111" i="8"/>
  <c r="K110" i="8"/>
  <c r="I91" i="8"/>
  <c r="I88" i="8"/>
  <c r="I74" i="8"/>
  <c r="I73" i="8"/>
  <c r="M70" i="8"/>
  <c r="M69" i="8"/>
  <c r="I63" i="8"/>
  <c r="M62" i="8"/>
  <c r="M68" i="8"/>
  <c r="K67" i="8"/>
  <c r="K51" i="8"/>
  <c r="K52" i="8" s="1"/>
  <c r="M42" i="8"/>
  <c r="M48" i="8"/>
  <c r="I47" i="8"/>
  <c r="I46" i="8"/>
  <c r="G345" i="8" l="1"/>
  <c r="G346" i="8"/>
  <c r="I346" i="8"/>
  <c r="I342" i="8" s="1"/>
  <c r="I343" i="8" s="1"/>
  <c r="K345" i="8"/>
  <c r="K347" i="8" s="1"/>
  <c r="I347" i="8"/>
  <c r="K342" i="8"/>
  <c r="K343" i="8" s="1"/>
  <c r="K332" i="8"/>
  <c r="I332" i="8"/>
  <c r="G334" i="8"/>
  <c r="G329" i="8"/>
  <c r="G330" i="8" s="1"/>
  <c r="I333" i="8"/>
  <c r="K333" i="8"/>
  <c r="I318" i="8"/>
  <c r="I319" i="8" s="1"/>
  <c r="G317" i="8"/>
  <c r="G314" i="8" s="1"/>
  <c r="K317" i="8"/>
  <c r="K318" i="8"/>
  <c r="K260" i="8"/>
  <c r="K263" i="8"/>
  <c r="I263" i="8"/>
  <c r="K264" i="8"/>
  <c r="I260" i="8"/>
  <c r="M281" i="8"/>
  <c r="I253" i="8"/>
  <c r="I254" i="8"/>
  <c r="I259" i="8"/>
  <c r="M257" i="8"/>
  <c r="M258" i="8"/>
  <c r="I258" i="8"/>
  <c r="I264" i="8"/>
  <c r="K259" i="8"/>
  <c r="I257" i="8"/>
  <c r="G279" i="8"/>
  <c r="I279" i="8"/>
  <c r="K273" i="8"/>
  <c r="G277" i="8"/>
  <c r="G283" i="8"/>
  <c r="M253" i="8"/>
  <c r="M273" i="8"/>
  <c r="M275" i="8" s="1"/>
  <c r="I277" i="8"/>
  <c r="M254" i="8"/>
  <c r="K283" i="8"/>
  <c r="G274" i="8"/>
  <c r="G275" i="8" s="1"/>
  <c r="G280" i="8"/>
  <c r="M283" i="8"/>
  <c r="M285" i="8" s="1"/>
  <c r="I274" i="8"/>
  <c r="I280" i="8"/>
  <c r="K274" i="8"/>
  <c r="G278" i="8"/>
  <c r="K280" i="8"/>
  <c r="G284" i="8"/>
  <c r="I273" i="8"/>
  <c r="K279" i="8"/>
  <c r="K277" i="8"/>
  <c r="M260" i="8"/>
  <c r="I278" i="8"/>
  <c r="I284" i="8"/>
  <c r="I285" i="8" s="1"/>
  <c r="K278" i="8"/>
  <c r="K284" i="8"/>
  <c r="M265" i="8"/>
  <c r="K255" i="8"/>
  <c r="G263" i="8"/>
  <c r="G259" i="8"/>
  <c r="G254" i="8"/>
  <c r="G253" i="8"/>
  <c r="G257" i="8"/>
  <c r="G258" i="8"/>
  <c r="G264" i="8"/>
  <c r="I243" i="8"/>
  <c r="I245" i="8" s="1"/>
  <c r="I246" i="8" s="1"/>
  <c r="G242" i="8"/>
  <c r="G241" i="8"/>
  <c r="I231" i="8"/>
  <c r="G230" i="8"/>
  <c r="K230" i="8"/>
  <c r="G231" i="8"/>
  <c r="K231" i="8"/>
  <c r="I157" i="8"/>
  <c r="I169" i="8"/>
  <c r="G157" i="8"/>
  <c r="K157" i="8"/>
  <c r="I175" i="8"/>
  <c r="M151" i="8"/>
  <c r="G151" i="8"/>
  <c r="I178" i="8"/>
  <c r="I179" i="8" s="1"/>
  <c r="I151" i="8"/>
  <c r="G173" i="8"/>
  <c r="I173" i="8"/>
  <c r="G174" i="8"/>
  <c r="I174" i="8"/>
  <c r="G178" i="8"/>
  <c r="G179" i="8" s="1"/>
  <c r="K155" i="8"/>
  <c r="K152" i="8" s="1"/>
  <c r="M155" i="8"/>
  <c r="M156" i="8"/>
  <c r="I160" i="8"/>
  <c r="I161" i="8" s="1"/>
  <c r="K160" i="8"/>
  <c r="K161" i="8" s="1"/>
  <c r="G155" i="8"/>
  <c r="G156" i="8"/>
  <c r="I156" i="8"/>
  <c r="I152" i="8" s="1"/>
  <c r="G160" i="8"/>
  <c r="G161" i="8" s="1"/>
  <c r="I138" i="8"/>
  <c r="I139" i="8"/>
  <c r="G139" i="8"/>
  <c r="G138" i="8"/>
  <c r="I62" i="8"/>
  <c r="G126" i="8"/>
  <c r="I126" i="8"/>
  <c r="M126" i="8"/>
  <c r="M127" i="8" s="1"/>
  <c r="I125" i="8"/>
  <c r="K125" i="8"/>
  <c r="G125" i="8"/>
  <c r="I75" i="8"/>
  <c r="G111" i="8"/>
  <c r="I111" i="8"/>
  <c r="I110" i="8"/>
  <c r="M110" i="8"/>
  <c r="G110" i="8"/>
  <c r="K111" i="8"/>
  <c r="K107" i="8" s="1"/>
  <c r="K108" i="8" s="1"/>
  <c r="K74" i="8"/>
  <c r="M74" i="8"/>
  <c r="K70" i="8"/>
  <c r="K73" i="8"/>
  <c r="M73" i="8"/>
  <c r="K69" i="8"/>
  <c r="K68" i="8"/>
  <c r="G84" i="8"/>
  <c r="G88" i="8"/>
  <c r="G94" i="8"/>
  <c r="I67" i="8"/>
  <c r="I94" i="8"/>
  <c r="I68" i="8"/>
  <c r="G91" i="8"/>
  <c r="M67" i="8"/>
  <c r="G89" i="8"/>
  <c r="G83" i="8"/>
  <c r="I89" i="8"/>
  <c r="I85" i="8" s="1"/>
  <c r="I95" i="8"/>
  <c r="I90" i="8"/>
  <c r="I69" i="8"/>
  <c r="K62" i="8"/>
  <c r="I83" i="8"/>
  <c r="G90" i="8"/>
  <c r="I84" i="8"/>
  <c r="I70" i="8"/>
  <c r="G95" i="8"/>
  <c r="M63" i="8"/>
  <c r="K63" i="8"/>
  <c r="G74" i="8"/>
  <c r="G63" i="8"/>
  <c r="G73" i="8"/>
  <c r="G69" i="8"/>
  <c r="G70" i="8"/>
  <c r="G62" i="8"/>
  <c r="G67" i="8"/>
  <c r="G68" i="8"/>
  <c r="I48" i="8"/>
  <c r="I49" i="8" s="1"/>
  <c r="I51" i="8"/>
  <c r="I52" i="8" s="1"/>
  <c r="K42" i="8"/>
  <c r="M51" i="8"/>
  <c r="M52" i="8" s="1"/>
  <c r="I43" i="8"/>
  <c r="K46" i="8"/>
  <c r="I42" i="8"/>
  <c r="M46" i="8"/>
  <c r="M47" i="8"/>
  <c r="K47" i="8"/>
  <c r="K48" i="8"/>
  <c r="G42" i="8"/>
  <c r="G48" i="8"/>
  <c r="G46" i="8"/>
  <c r="G51" i="8"/>
  <c r="G47" i="8"/>
  <c r="K329" i="8" l="1"/>
  <c r="K330" i="8" s="1"/>
  <c r="I329" i="8"/>
  <c r="I330" i="8" s="1"/>
  <c r="G342" i="8"/>
  <c r="G343" i="8" s="1"/>
  <c r="G347" i="8"/>
  <c r="G349" i="8" s="1"/>
  <c r="G350" i="8" s="1"/>
  <c r="G336" i="8"/>
  <c r="G337" i="8" s="1"/>
  <c r="K349" i="8"/>
  <c r="K350" i="8" s="1"/>
  <c r="K334" i="8"/>
  <c r="K336" i="8" s="1"/>
  <c r="K337" i="8" s="1"/>
  <c r="I334" i="8"/>
  <c r="I349" i="8"/>
  <c r="I350" i="8" s="1"/>
  <c r="I336" i="8"/>
  <c r="I337" i="8" s="1"/>
  <c r="I314" i="8"/>
  <c r="I315" i="8" s="1"/>
  <c r="I321" i="8" s="1"/>
  <c r="I322" i="8" s="1"/>
  <c r="K314" i="8"/>
  <c r="K315" i="8" s="1"/>
  <c r="K261" i="8"/>
  <c r="M255" i="8"/>
  <c r="K319" i="8"/>
  <c r="I255" i="8"/>
  <c r="G319" i="8"/>
  <c r="G315" i="8"/>
  <c r="I261" i="8"/>
  <c r="K265" i="8"/>
  <c r="I265" i="8"/>
  <c r="M261" i="8"/>
  <c r="K285" i="8"/>
  <c r="G265" i="8"/>
  <c r="K281" i="8"/>
  <c r="I275" i="8"/>
  <c r="M287" i="8"/>
  <c r="M288" i="8" s="1"/>
  <c r="I281" i="8"/>
  <c r="G281" i="8"/>
  <c r="K275" i="8"/>
  <c r="G285" i="8"/>
  <c r="G243" i="8"/>
  <c r="G245" i="8" s="1"/>
  <c r="G246" i="8" s="1"/>
  <c r="G255" i="8"/>
  <c r="G261" i="8"/>
  <c r="K232" i="8"/>
  <c r="K234" i="8" s="1"/>
  <c r="I232" i="8"/>
  <c r="I234" i="8" s="1"/>
  <c r="I235" i="8" s="1"/>
  <c r="G232" i="8"/>
  <c r="I176" i="8"/>
  <c r="I170" i="8"/>
  <c r="I171" i="8" s="1"/>
  <c r="I153" i="8"/>
  <c r="G170" i="8"/>
  <c r="G171" i="8" s="1"/>
  <c r="G176" i="8"/>
  <c r="G152" i="8"/>
  <c r="G153" i="8" s="1"/>
  <c r="M152" i="8"/>
  <c r="M153" i="8" s="1"/>
  <c r="I158" i="8"/>
  <c r="G158" i="8"/>
  <c r="M158" i="8"/>
  <c r="K153" i="8"/>
  <c r="K158" i="8"/>
  <c r="G135" i="8"/>
  <c r="G136" i="8" s="1"/>
  <c r="G140" i="8"/>
  <c r="M75" i="8"/>
  <c r="I135" i="8"/>
  <c r="I136" i="8" s="1"/>
  <c r="I140" i="8"/>
  <c r="K75" i="8"/>
  <c r="G122" i="8"/>
  <c r="G123" i="8" s="1"/>
  <c r="G127" i="8"/>
  <c r="K122" i="8"/>
  <c r="K123" i="8" s="1"/>
  <c r="K127" i="8"/>
  <c r="I127" i="8"/>
  <c r="I122" i="8"/>
  <c r="I123" i="8" s="1"/>
  <c r="M122" i="8"/>
  <c r="M123" i="8" s="1"/>
  <c r="M129" i="8" s="1"/>
  <c r="M130" i="8" s="1"/>
  <c r="I64" i="8"/>
  <c r="I65" i="8" s="1"/>
  <c r="G75" i="8"/>
  <c r="K71" i="8"/>
  <c r="I107" i="8"/>
  <c r="I108" i="8" s="1"/>
  <c r="I112" i="8"/>
  <c r="G112" i="8"/>
  <c r="G107" i="8"/>
  <c r="G108" i="8" s="1"/>
  <c r="K112" i="8"/>
  <c r="M107" i="8"/>
  <c r="M108" i="8" s="1"/>
  <c r="M112" i="8"/>
  <c r="G96" i="8"/>
  <c r="M71" i="8"/>
  <c r="M64" i="8"/>
  <c r="M65" i="8" s="1"/>
  <c r="I92" i="8"/>
  <c r="G85" i="8"/>
  <c r="G86" i="8" s="1"/>
  <c r="G92" i="8"/>
  <c r="K64" i="8"/>
  <c r="K65" i="8" s="1"/>
  <c r="I86" i="8"/>
  <c r="I71" i="8"/>
  <c r="I96" i="8"/>
  <c r="I44" i="8"/>
  <c r="I54" i="8" s="1"/>
  <c r="I55" i="8" s="1"/>
  <c r="G64" i="8"/>
  <c r="G65" i="8" s="1"/>
  <c r="G71" i="8"/>
  <c r="M43" i="8"/>
  <c r="M44" i="8" s="1"/>
  <c r="M49" i="8"/>
  <c r="K49" i="8"/>
  <c r="K43" i="8"/>
  <c r="K44" i="8" s="1"/>
  <c r="G43" i="8"/>
  <c r="G52" i="8"/>
  <c r="G49" i="8"/>
  <c r="G321" i="8" l="1"/>
  <c r="G322" i="8" s="1"/>
  <c r="K267" i="8"/>
  <c r="K268" i="8" s="1"/>
  <c r="M267" i="8"/>
  <c r="M268" i="8" s="1"/>
  <c r="I267" i="8"/>
  <c r="I268" i="8" s="1"/>
  <c r="I287" i="8"/>
  <c r="I288" i="8" s="1"/>
  <c r="K321" i="8"/>
  <c r="K322" i="8" s="1"/>
  <c r="K287" i="8"/>
  <c r="K288" i="8" s="1"/>
  <c r="G287" i="8"/>
  <c r="G288" i="8" s="1"/>
  <c r="G267" i="8"/>
  <c r="G268" i="8" s="1"/>
  <c r="G234" i="8"/>
  <c r="G235" i="8" s="1"/>
  <c r="I181" i="8"/>
  <c r="I182" i="8" s="1"/>
  <c r="K235" i="8"/>
  <c r="I163" i="8"/>
  <c r="I164" i="8" s="1"/>
  <c r="I129" i="8"/>
  <c r="I130" i="8" s="1"/>
  <c r="G181" i="8"/>
  <c r="G182" i="8" s="1"/>
  <c r="G163" i="8"/>
  <c r="G164" i="8" s="1"/>
  <c r="M163" i="8"/>
  <c r="M164" i="8" s="1"/>
  <c r="K163" i="8"/>
  <c r="K164" i="8" s="1"/>
  <c r="I142" i="8"/>
  <c r="I143" i="8" s="1"/>
  <c r="G142" i="8"/>
  <c r="G143" i="8" s="1"/>
  <c r="K129" i="8"/>
  <c r="K130" i="8" s="1"/>
  <c r="I77" i="8"/>
  <c r="I78" i="8" s="1"/>
  <c r="K77" i="8"/>
  <c r="K78" i="8" s="1"/>
  <c r="G129" i="8"/>
  <c r="G130" i="8" s="1"/>
  <c r="G114" i="8"/>
  <c r="G115" i="8" s="1"/>
  <c r="M114" i="8"/>
  <c r="M115" i="8" s="1"/>
  <c r="I114" i="8"/>
  <c r="I115" i="8" s="1"/>
  <c r="K114" i="8"/>
  <c r="K115" i="8" s="1"/>
  <c r="M77" i="8"/>
  <c r="M78" i="8" s="1"/>
  <c r="G98" i="8"/>
  <c r="G99" i="8" s="1"/>
  <c r="I98" i="8"/>
  <c r="I99" i="8" s="1"/>
  <c r="G77" i="8"/>
  <c r="G78" i="8" s="1"/>
  <c r="K54" i="8"/>
  <c r="K55" i="8" s="1"/>
  <c r="M54" i="8"/>
  <c r="M55" i="8" s="1"/>
  <c r="G421" i="8" l="1"/>
  <c r="G420" i="8"/>
  <c r="G419" i="8"/>
  <c r="G418" i="8"/>
  <c r="G423" i="8"/>
  <c r="G425" i="8"/>
  <c r="G417" i="8"/>
  <c r="G424" i="8" l="1"/>
  <c r="G422" i="8"/>
  <c r="G1168" i="8"/>
  <c r="G1169" i="8" s="1"/>
  <c r="G1171" i="8" s="1"/>
  <c r="G1160" i="8"/>
  <c r="G1159" i="8"/>
  <c r="G1148" i="8"/>
  <c r="G1149" i="8" s="1"/>
  <c r="G1145" i="8"/>
  <c r="G1144" i="8"/>
  <c r="G1143" i="8"/>
  <c r="G1142" i="8"/>
  <c r="G1138" i="8"/>
  <c r="G1129" i="8"/>
  <c r="G1128" i="8"/>
  <c r="G1127" i="8"/>
  <c r="I1116" i="8"/>
  <c r="I1115" i="8"/>
  <c r="G1103" i="8"/>
  <c r="G1104" i="8" s="1"/>
  <c r="G1100" i="8"/>
  <c r="G1099" i="8"/>
  <c r="G1096" i="8" s="1"/>
  <c r="G1095" i="8"/>
  <c r="I1087" i="8"/>
  <c r="I1088" i="8" s="1"/>
  <c r="I1084" i="8"/>
  <c r="I1083" i="8"/>
  <c r="G1071" i="8"/>
  <c r="G1072" i="8" s="1"/>
  <c r="G1068" i="8"/>
  <c r="G1069" i="8" s="1"/>
  <c r="G1065" i="8"/>
  <c r="G1066" i="8" s="1"/>
  <c r="G1057" i="8"/>
  <c r="G1058" i="8" s="1"/>
  <c r="G1060" i="8" s="1"/>
  <c r="G1049" i="8"/>
  <c r="G1050" i="8" s="1"/>
  <c r="G1052" i="8" s="1"/>
  <c r="G1032" i="8"/>
  <c r="G1033" i="8" s="1"/>
  <c r="G1029" i="8"/>
  <c r="G1028" i="8"/>
  <c r="G1022" i="8"/>
  <c r="G1023" i="8" s="1"/>
  <c r="G1019" i="8"/>
  <c r="G1018" i="8"/>
  <c r="G1012" i="8"/>
  <c r="G1013" i="8" s="1"/>
  <c r="G1009" i="8"/>
  <c r="G1010" i="8" s="1"/>
  <c r="G943" i="8"/>
  <c r="G942" i="8"/>
  <c r="M934" i="8"/>
  <c r="M935" i="8" s="1"/>
  <c r="M931" i="8"/>
  <c r="M930" i="8"/>
  <c r="M929" i="8"/>
  <c r="M926" i="8"/>
  <c r="M927" i="8" s="1"/>
  <c r="I917" i="8"/>
  <c r="I918" i="8" s="1"/>
  <c r="I913" i="8"/>
  <c r="G912" i="8"/>
  <c r="I909" i="8"/>
  <c r="I910" i="8" s="1"/>
  <c r="I900" i="8"/>
  <c r="I896" i="8"/>
  <c r="I895" i="8"/>
  <c r="I893" i="8"/>
  <c r="I892" i="8"/>
  <c r="G879" i="8"/>
  <c r="G880" i="8" s="1"/>
  <c r="G876" i="8"/>
  <c r="G875" i="8"/>
  <c r="G867" i="8"/>
  <c r="G868" i="8" s="1"/>
  <c r="G864" i="8"/>
  <c r="G865" i="8" s="1"/>
  <c r="G855" i="8"/>
  <c r="G854" i="8"/>
  <c r="G843" i="8"/>
  <c r="G844" i="8" s="1"/>
  <c r="G846" i="8" s="1"/>
  <c r="G835" i="8"/>
  <c r="G836" i="8" s="1"/>
  <c r="G838" i="8" s="1"/>
  <c r="G827" i="8"/>
  <c r="G828" i="8" s="1"/>
  <c r="G830" i="8" s="1"/>
  <c r="G819" i="8"/>
  <c r="G820" i="8" s="1"/>
  <c r="G822" i="8" s="1"/>
  <c r="G811" i="8"/>
  <c r="G812" i="8" s="1"/>
  <c r="G808" i="8"/>
  <c r="G807" i="8"/>
  <c r="G804" i="8"/>
  <c r="G805" i="8" s="1"/>
  <c r="G796" i="8"/>
  <c r="G797" i="8" s="1"/>
  <c r="G793" i="8"/>
  <c r="G792" i="8"/>
  <c r="G789" i="8"/>
  <c r="G790" i="8" s="1"/>
  <c r="G781" i="8"/>
  <c r="G782" i="8" s="1"/>
  <c r="G778" i="8"/>
  <c r="G777" i="8"/>
  <c r="G774" i="8"/>
  <c r="G775" i="8" s="1"/>
  <c r="G766" i="8"/>
  <c r="G767" i="8" s="1"/>
  <c r="G769" i="8" s="1"/>
  <c r="G758" i="8"/>
  <c r="G747" i="8"/>
  <c r="G746" i="8"/>
  <c r="G735" i="8"/>
  <c r="G723" i="8"/>
  <c r="G724" i="8" s="1"/>
  <c r="G726" i="8" s="1"/>
  <c r="G715" i="8"/>
  <c r="G704" i="8"/>
  <c r="G705" i="8" s="1"/>
  <c r="G707" i="8" s="1"/>
  <c r="G695" i="8"/>
  <c r="G684" i="8"/>
  <c r="G685" i="8" s="1"/>
  <c r="G687" i="8" s="1"/>
  <c r="G676" i="8"/>
  <c r="G665" i="8"/>
  <c r="I634" i="8"/>
  <c r="I635" i="8" s="1"/>
  <c r="G625" i="8"/>
  <c r="G614" i="8"/>
  <c r="G615" i="8" s="1"/>
  <c r="G611" i="8"/>
  <c r="G612" i="8" s="1"/>
  <c r="G603" i="8"/>
  <c r="G604" i="8" s="1"/>
  <c r="G600" i="8"/>
  <c r="G601" i="8" s="1"/>
  <c r="G592" i="8"/>
  <c r="G591" i="8"/>
  <c r="G588" i="8"/>
  <c r="G587" i="8"/>
  <c r="G586" i="8"/>
  <c r="G513" i="8"/>
  <c r="G512" i="8"/>
  <c r="G511" i="8"/>
  <c r="G510" i="8"/>
  <c r="G509" i="8"/>
  <c r="G508" i="8"/>
  <c r="G487" i="8"/>
  <c r="G486" i="8"/>
  <c r="G485" i="8"/>
  <c r="G484" i="8"/>
  <c r="G483" i="8"/>
  <c r="M461" i="8"/>
  <c r="G450" i="8"/>
  <c r="G451" i="8" s="1"/>
  <c r="G447" i="8"/>
  <c r="G446" i="8"/>
  <c r="G445" i="8"/>
  <c r="G442" i="8"/>
  <c r="G443" i="8" s="1"/>
  <c r="G434" i="8"/>
  <c r="G433" i="8"/>
  <c r="I409" i="8"/>
  <c r="I408" i="8"/>
  <c r="G390" i="8"/>
  <c r="G304" i="8"/>
  <c r="G303" i="8"/>
  <c r="G295" i="8"/>
  <c r="G294" i="8"/>
  <c r="G219" i="8"/>
  <c r="I216" i="8"/>
  <c r="I217" i="8" s="1"/>
  <c r="G216" i="8"/>
  <c r="G217" i="8" s="1"/>
  <c r="I208" i="8"/>
  <c r="I207" i="8"/>
  <c r="G199" i="8"/>
  <c r="G198" i="8"/>
  <c r="G190" i="8"/>
  <c r="G189" i="8"/>
  <c r="I31" i="8"/>
  <c r="I32" i="8" s="1"/>
  <c r="G28" i="8"/>
  <c r="G27" i="8"/>
  <c r="G23" i="8"/>
  <c r="G24" i="8" s="1"/>
  <c r="I15" i="8"/>
  <c r="I16" i="8" s="1"/>
  <c r="G12" i="8"/>
  <c r="I11" i="8"/>
  <c r="I10" i="8"/>
  <c r="G6" i="8"/>
  <c r="M462" i="8" l="1"/>
  <c r="M458" i="8"/>
  <c r="M459" i="8" s="1"/>
  <c r="G877" i="8"/>
  <c r="G882" i="8" s="1"/>
  <c r="I631" i="8"/>
  <c r="I632" i="8" s="1"/>
  <c r="I637" i="8" s="1"/>
  <c r="G779" i="8"/>
  <c r="G784" i="8" s="1"/>
  <c r="G1020" i="8"/>
  <c r="G1025" i="8" s="1"/>
  <c r="G426" i="8"/>
  <c r="G428" i="8" s="1"/>
  <c r="G448" i="8"/>
  <c r="G453" i="8" s="1"/>
  <c r="K28" i="8"/>
  <c r="I676" i="8"/>
  <c r="I673" i="8" s="1"/>
  <c r="I674" i="8" s="1"/>
  <c r="G1030" i="8"/>
  <c r="G1035" i="8" s="1"/>
  <c r="I12" i="8"/>
  <c r="I13" i="8" s="1"/>
  <c r="G913" i="8"/>
  <c r="G409" i="8"/>
  <c r="G461" i="8"/>
  <c r="G458" i="8" s="1"/>
  <c r="I625" i="8"/>
  <c r="I626" i="8" s="1"/>
  <c r="K934" i="8"/>
  <c r="K935" i="8" s="1"/>
  <c r="I461" i="8"/>
  <c r="I458" i="8" s="1"/>
  <c r="K625" i="8"/>
  <c r="K622" i="8" s="1"/>
  <c r="K623" i="8" s="1"/>
  <c r="I1085" i="8"/>
  <c r="I23" i="8"/>
  <c r="I24" i="8" s="1"/>
  <c r="G296" i="8"/>
  <c r="G298" i="8" s="1"/>
  <c r="K461" i="8"/>
  <c r="K458" i="8" s="1"/>
  <c r="G589" i="8"/>
  <c r="G1116" i="8"/>
  <c r="K23" i="8"/>
  <c r="K24" i="8" s="1"/>
  <c r="G917" i="8"/>
  <c r="G918" i="8" s="1"/>
  <c r="G1084" i="8"/>
  <c r="G851" i="8"/>
  <c r="G852" i="8" s="1"/>
  <c r="G1156" i="8"/>
  <c r="G1157" i="8" s="1"/>
  <c r="I27" i="8"/>
  <c r="K27" i="8"/>
  <c r="I665" i="8"/>
  <c r="I666" i="8" s="1"/>
  <c r="G191" i="8"/>
  <c r="G193" i="8" s="1"/>
  <c r="I390" i="8"/>
  <c r="K929" i="8"/>
  <c r="G696" i="8"/>
  <c r="G692" i="8"/>
  <c r="G693" i="8" s="1"/>
  <c r="G673" i="8"/>
  <c r="G674" i="8" s="1"/>
  <c r="G677" i="8"/>
  <c r="G1139" i="8"/>
  <c r="G1140" i="8" s="1"/>
  <c r="G626" i="8"/>
  <c r="G622" i="8"/>
  <c r="G623" i="8" s="1"/>
  <c r="G732" i="8"/>
  <c r="G733" i="8" s="1"/>
  <c r="G736" i="8"/>
  <c r="G26" i="8"/>
  <c r="G29" i="8" s="1"/>
  <c r="K26" i="8"/>
  <c r="I26" i="8"/>
  <c r="I209" i="8"/>
  <c r="I211" i="8" s="1"/>
  <c r="G1074" i="8"/>
  <c r="G893" i="8"/>
  <c r="G909" i="8"/>
  <c r="G910" i="8" s="1"/>
  <c r="G1115" i="8"/>
  <c r="G208" i="8"/>
  <c r="I219" i="8"/>
  <c r="I704" i="8"/>
  <c r="I705" i="8" s="1"/>
  <c r="I707" i="8" s="1"/>
  <c r="G892" i="8"/>
  <c r="G896" i="8"/>
  <c r="G900" i="8"/>
  <c r="I912" i="8"/>
  <c r="G929" i="8"/>
  <c r="G930" i="8"/>
  <c r="G1087" i="8"/>
  <c r="G1088" i="8" s="1"/>
  <c r="G606" i="8"/>
  <c r="M932" i="8"/>
  <c r="M937" i="8" s="1"/>
  <c r="G1015" i="8"/>
  <c r="G1083" i="8"/>
  <c r="G1080" i="8" s="1"/>
  <c r="I6" i="8"/>
  <c r="I28" i="8"/>
  <c r="K31" i="8"/>
  <c r="K32" i="8" s="1"/>
  <c r="G488" i="8"/>
  <c r="G490" i="8" s="1"/>
  <c r="I929" i="8"/>
  <c r="I930" i="8"/>
  <c r="I1080" i="8"/>
  <c r="G743" i="8"/>
  <c r="G744" i="8" s="1"/>
  <c r="G748" i="8"/>
  <c r="G514" i="8"/>
  <c r="G516" i="8" s="1"/>
  <c r="I7" i="8"/>
  <c r="G662" i="8"/>
  <c r="G663" i="8" s="1"/>
  <c r="G666" i="8"/>
  <c r="G759" i="8"/>
  <c r="G755" i="8"/>
  <c r="G756" i="8" s="1"/>
  <c r="G11" i="8"/>
  <c r="G15" i="8"/>
  <c r="G16" i="8" s="1"/>
  <c r="I410" i="8"/>
  <c r="I412" i="8" s="1"/>
  <c r="G435" i="8"/>
  <c r="G437" i="8" s="1"/>
  <c r="G31" i="8"/>
  <c r="G32" i="8" s="1"/>
  <c r="G200" i="8"/>
  <c r="G202" i="8" s="1"/>
  <c r="G207" i="8"/>
  <c r="G305" i="8"/>
  <c r="G307" i="8" s="1"/>
  <c r="I391" i="8"/>
  <c r="G391" i="8"/>
  <c r="G392" i="8" s="1"/>
  <c r="G394" i="8" s="1"/>
  <c r="G408" i="8"/>
  <c r="G617" i="8"/>
  <c r="G634" i="8"/>
  <c r="G895" i="8"/>
  <c r="I899" i="8"/>
  <c r="I901" i="8" s="1"/>
  <c r="G899" i="8"/>
  <c r="I1041" i="8"/>
  <c r="I1042" i="8" s="1"/>
  <c r="I1044" i="8" s="1"/>
  <c r="G1041" i="8"/>
  <c r="G1042" i="8" s="1"/>
  <c r="G1044" i="8" s="1"/>
  <c r="I1114" i="8"/>
  <c r="G1114" i="8"/>
  <c r="G593" i="8"/>
  <c r="I654" i="8"/>
  <c r="G654" i="8"/>
  <c r="I888" i="8"/>
  <c r="G888" i="8"/>
  <c r="I645" i="8"/>
  <c r="G645" i="8"/>
  <c r="G10" i="8"/>
  <c r="I220" i="8"/>
  <c r="G220" i="8"/>
  <c r="G221" i="8" s="1"/>
  <c r="G223" i="8" s="1"/>
  <c r="G716" i="8"/>
  <c r="G712" i="8"/>
  <c r="G713" i="8" s="1"/>
  <c r="G794" i="8"/>
  <c r="G799" i="8" s="1"/>
  <c r="G870" i="8"/>
  <c r="I887" i="8"/>
  <c r="G887" i="8"/>
  <c r="G1097" i="8"/>
  <c r="G1124" i="8"/>
  <c r="G1125" i="8" s="1"/>
  <c r="G1130" i="8"/>
  <c r="G856" i="8"/>
  <c r="I914" i="8"/>
  <c r="G914" i="8"/>
  <c r="I926" i="8"/>
  <c r="I927" i="8" s="1"/>
  <c r="G926" i="8"/>
  <c r="G927" i="8" s="1"/>
  <c r="K931" i="8"/>
  <c r="I931" i="8"/>
  <c r="G1146" i="8"/>
  <c r="G809" i="8"/>
  <c r="G814" i="8" s="1"/>
  <c r="I894" i="8"/>
  <c r="I889" i="8" s="1"/>
  <c r="G894" i="8"/>
  <c r="K926" i="8"/>
  <c r="K927" i="8" s="1"/>
  <c r="G931" i="8"/>
  <c r="I934" i="8"/>
  <c r="I935" i="8" s="1"/>
  <c r="G934" i="8"/>
  <c r="G935" i="8" s="1"/>
  <c r="G944" i="8"/>
  <c r="G946" i="8" s="1"/>
  <c r="I1079" i="8"/>
  <c r="G1079" i="8"/>
  <c r="G1101" i="8"/>
  <c r="G1161" i="8"/>
  <c r="K930" i="8"/>
  <c r="M464" i="8" l="1"/>
  <c r="K462" i="8"/>
  <c r="K459" i="8"/>
  <c r="I462" i="8"/>
  <c r="I459" i="8"/>
  <c r="G462" i="8"/>
  <c r="G459" i="8"/>
  <c r="G464" i="8" s="1"/>
  <c r="I622" i="8"/>
  <c r="I623" i="8" s="1"/>
  <c r="I628" i="8" s="1"/>
  <c r="I1081" i="8"/>
  <c r="I1090" i="8" s="1"/>
  <c r="G628" i="8"/>
  <c r="G698" i="8"/>
  <c r="G410" i="8"/>
  <c r="G412" i="8" s="1"/>
  <c r="G34" i="8"/>
  <c r="G1085" i="8"/>
  <c r="I677" i="8"/>
  <c r="I679" i="8" s="1"/>
  <c r="G1081" i="8"/>
  <c r="I662" i="8"/>
  <c r="I663" i="8" s="1"/>
  <c r="I668" i="8" s="1"/>
  <c r="K29" i="8"/>
  <c r="K34" i="8" s="1"/>
  <c r="G1151" i="8"/>
  <c r="G595" i="8"/>
  <c r="K626" i="8"/>
  <c r="K628" i="8" s="1"/>
  <c r="G915" i="8"/>
  <c r="G920" i="8" s="1"/>
  <c r="G1163" i="8"/>
  <c r="G858" i="8"/>
  <c r="I392" i="8"/>
  <c r="I394" i="8" s="1"/>
  <c r="G901" i="8"/>
  <c r="I221" i="8"/>
  <c r="I223" i="8" s="1"/>
  <c r="I932" i="8"/>
  <c r="I937" i="8" s="1"/>
  <c r="I8" i="8"/>
  <c r="I18" i="8" s="1"/>
  <c r="K932" i="8"/>
  <c r="K937" i="8" s="1"/>
  <c r="G1132" i="8"/>
  <c r="I29" i="8"/>
  <c r="I34" i="8" s="1"/>
  <c r="G738" i="8"/>
  <c r="G209" i="8"/>
  <c r="G211" i="8" s="1"/>
  <c r="G668" i="8"/>
  <c r="G679" i="8"/>
  <c r="G889" i="8"/>
  <c r="G890" i="8" s="1"/>
  <c r="G932" i="8"/>
  <c r="G937" i="8" s="1"/>
  <c r="I897" i="8"/>
  <c r="I915" i="8"/>
  <c r="I920" i="8" s="1"/>
  <c r="I890" i="8"/>
  <c r="G718" i="8"/>
  <c r="G761" i="8"/>
  <c r="G750" i="8"/>
  <c r="G13" i="8"/>
  <c r="G7" i="8"/>
  <c r="G8" i="8" s="1"/>
  <c r="G1111" i="8"/>
  <c r="G1112" i="8" s="1"/>
  <c r="G1117" i="8"/>
  <c r="I1117" i="8"/>
  <c r="I1111" i="8"/>
  <c r="I1112" i="8" s="1"/>
  <c r="G635" i="8"/>
  <c r="G631" i="8"/>
  <c r="G632" i="8" s="1"/>
  <c r="G897" i="8"/>
  <c r="I642" i="8"/>
  <c r="I643" i="8" s="1"/>
  <c r="I646" i="8"/>
  <c r="I655" i="8"/>
  <c r="I651" i="8"/>
  <c r="I652" i="8" s="1"/>
  <c r="G1106" i="8"/>
  <c r="G642" i="8"/>
  <c r="G643" i="8" s="1"/>
  <c r="G646" i="8"/>
  <c r="G655" i="8"/>
  <c r="G651" i="8"/>
  <c r="G652" i="8" s="1"/>
  <c r="K464" i="8" l="1"/>
  <c r="I464" i="8"/>
  <c r="G1090" i="8"/>
  <c r="I903" i="8"/>
  <c r="G903" i="8"/>
  <c r="G1119" i="8"/>
  <c r="I648" i="8"/>
  <c r="G18" i="8"/>
  <c r="I657" i="8"/>
  <c r="I1119" i="8"/>
  <c r="G648" i="8"/>
  <c r="G657" i="8"/>
  <c r="G637" i="8"/>
  <c r="G44" i="8"/>
  <c r="G54" i="8" s="1"/>
  <c r="G55" i="8" s="1"/>
</calcChain>
</file>

<file path=xl/sharedStrings.xml><?xml version="1.0" encoding="utf-8"?>
<sst xmlns="http://schemas.openxmlformats.org/spreadsheetml/2006/main" count="2168" uniqueCount="315">
  <si>
    <t>건축목공</t>
    <phoneticPr fontId="5" type="noConversion"/>
  </si>
  <si>
    <t>특별인부</t>
    <phoneticPr fontId="5" type="noConversion"/>
  </si>
  <si>
    <t>형틀목공</t>
  </si>
  <si>
    <t>물탱크(살수차)</t>
  </si>
  <si>
    <t>보통인부</t>
  </si>
  <si>
    <t>비계공</t>
  </si>
  <si>
    <t>합계</t>
  </si>
  <si>
    <t>트럭탑재형크레인</t>
  </si>
  <si>
    <t>0.2㎥</t>
  </si>
  <si>
    <t>16,000ℓ</t>
  </si>
  <si>
    <t>건축목공</t>
  </si>
  <si>
    <t>특별인부</t>
  </si>
  <si>
    <t>제2장 가설공사</t>
    <phoneticPr fontId="3" type="noConversion"/>
  </si>
  <si>
    <t>구분</t>
  </si>
  <si>
    <t>단가</t>
  </si>
  <si>
    <t>수량</t>
  </si>
  <si>
    <t>금액</t>
  </si>
  <si>
    <t>(바닥면적 ㎡당)</t>
    <phoneticPr fontId="5" type="noConversion"/>
  </si>
  <si>
    <t>2-3 가설건축물</t>
    <phoneticPr fontId="3" type="noConversion"/>
  </si>
  <si>
    <t>2-3-1 철제조립식 가설건축물 설치 및 해체</t>
    <phoneticPr fontId="5" type="noConversion"/>
  </si>
  <si>
    <t>규격</t>
    <phoneticPr fontId="3" type="noConversion"/>
  </si>
  <si>
    <t>단위</t>
    <phoneticPr fontId="3" type="noConversion"/>
  </si>
  <si>
    <t>공구손료</t>
    <phoneticPr fontId="5" type="noConversion"/>
  </si>
  <si>
    <t>식</t>
  </si>
  <si>
    <t>인력품의 2%</t>
    <phoneticPr fontId="3" type="noConversion"/>
  </si>
  <si>
    <t>(개당)</t>
    <phoneticPr fontId="5" type="noConversion"/>
  </si>
  <si>
    <t>2-3-2 콘테이너형 가설건축물 설치 및 해체</t>
    <phoneticPr fontId="5" type="noConversion"/>
  </si>
  <si>
    <t>인</t>
    <phoneticPr fontId="3" type="noConversion"/>
  </si>
  <si>
    <t>설치</t>
    <phoneticPr fontId="5" type="noConversion"/>
  </si>
  <si>
    <t>해체</t>
    <phoneticPr fontId="5" type="noConversion"/>
  </si>
  <si>
    <t>비계공</t>
    <phoneticPr fontId="5" type="noConversion"/>
  </si>
  <si>
    <t>재료비</t>
    <phoneticPr fontId="3" type="noConversion"/>
  </si>
  <si>
    <t>노무비</t>
    <phoneticPr fontId="3" type="noConversion"/>
  </si>
  <si>
    <t>경   비</t>
    <phoneticPr fontId="5" type="noConversion"/>
  </si>
  <si>
    <t>인력품의 3%</t>
    <phoneticPr fontId="3" type="noConversion"/>
  </si>
  <si>
    <t>2-4 가설울타리 및 가설방음벽</t>
    <phoneticPr fontId="3" type="noConversion"/>
  </si>
  <si>
    <t>2-4-1 강관 지주 설치 및 해체</t>
    <phoneticPr fontId="5" type="noConversion"/>
  </si>
  <si>
    <t>보통인부</t>
    <phoneticPr fontId="5" type="noConversion"/>
  </si>
  <si>
    <t>합   계</t>
    <phoneticPr fontId="3" type="noConversion"/>
  </si>
  <si>
    <t>트럭탑재형크레인</t>
    <phoneticPr fontId="5" type="noConversion"/>
  </si>
  <si>
    <t>5ton</t>
  </si>
  <si>
    <t>2-4-2 H형강 지주 설치 및 해체</t>
    <phoneticPr fontId="5" type="noConversion"/>
  </si>
  <si>
    <t>설치높이 3m 이하</t>
    <phoneticPr fontId="5" type="noConversion"/>
  </si>
  <si>
    <t>설치높이 6m 이하</t>
    <phoneticPr fontId="5" type="noConversion"/>
  </si>
  <si>
    <t>2-4-3 가설울타리판 설치 및 해체</t>
    <phoneticPr fontId="5" type="noConversion"/>
  </si>
  <si>
    <t>2-4-4 세로형 가설방음판 설치 및 해체</t>
    <phoneticPr fontId="5" type="noConversion"/>
  </si>
  <si>
    <t>hr</t>
    <phoneticPr fontId="3" type="noConversion"/>
  </si>
  <si>
    <t>식</t>
    <phoneticPr fontId="3" type="noConversion"/>
  </si>
  <si>
    <t>2-4-5 가로형 가설방음판 설치 및 해체</t>
    <phoneticPr fontId="5" type="noConversion"/>
  </si>
  <si>
    <t>(개소당)</t>
    <phoneticPr fontId="5" type="noConversion"/>
  </si>
  <si>
    <t>규준틀 높이 5m 이하</t>
    <phoneticPr fontId="5" type="noConversion"/>
  </si>
  <si>
    <t>규준틀 높이 10m 이하</t>
    <phoneticPr fontId="5" type="noConversion"/>
  </si>
  <si>
    <t>평규준틀</t>
    <phoneticPr fontId="5" type="noConversion"/>
  </si>
  <si>
    <t>귀규준틀</t>
    <phoneticPr fontId="5" type="noConversion"/>
  </si>
  <si>
    <t>목재</t>
  </si>
  <si>
    <t>2-5 규준틀</t>
    <phoneticPr fontId="5" type="noConversion"/>
  </si>
  <si>
    <t>㎥</t>
    <phoneticPr fontId="3" type="noConversion"/>
  </si>
  <si>
    <t>2.5m 이하</t>
    <phoneticPr fontId="5" type="noConversion"/>
  </si>
  <si>
    <t>2.5m 초과~3.5m 이하</t>
    <phoneticPr fontId="5" type="noConversion"/>
  </si>
  <si>
    <t>3.5m 초과~4.2m 이하</t>
    <phoneticPr fontId="5" type="noConversion"/>
  </si>
  <si>
    <t>(㎡당)</t>
    <phoneticPr fontId="5" type="noConversion"/>
  </si>
  <si>
    <t>3.5m 이하</t>
    <phoneticPr fontId="5" type="noConversion"/>
  </si>
  <si>
    <t>10m 이하</t>
    <phoneticPr fontId="5" type="noConversion"/>
  </si>
  <si>
    <t>10m 초과~20m 이하</t>
    <phoneticPr fontId="5" type="noConversion"/>
  </si>
  <si>
    <t>20m 초과~30m 이하</t>
    <phoneticPr fontId="5" type="noConversion"/>
  </si>
  <si>
    <t xml:space="preserve"> </t>
  </si>
  <si>
    <t>형틀목공</t>
    <phoneticPr fontId="5" type="noConversion"/>
  </si>
  <si>
    <t>규격</t>
    <phoneticPr fontId="5" type="noConversion"/>
  </si>
  <si>
    <t>금액</t>
    <phoneticPr fontId="5" type="noConversion"/>
  </si>
  <si>
    <t>인</t>
    <phoneticPr fontId="5" type="noConversion"/>
  </si>
  <si>
    <t>설치, 해체</t>
    <phoneticPr fontId="5" type="noConversion"/>
  </si>
  <si>
    <t>10ton</t>
    <phoneticPr fontId="5" type="noConversion"/>
  </si>
  <si>
    <t>10ton</t>
  </si>
  <si>
    <t>(10개소당)</t>
    <phoneticPr fontId="5" type="noConversion"/>
  </si>
  <si>
    <t>(10㎡당)</t>
    <phoneticPr fontId="5" type="noConversion"/>
  </si>
  <si>
    <t>강관</t>
  </si>
  <si>
    <t>보강재</t>
  </si>
  <si>
    <t>결속선</t>
  </si>
  <si>
    <t>방진망</t>
  </si>
  <si>
    <t>철선</t>
  </si>
  <si>
    <t>철공</t>
    <phoneticPr fontId="5" type="noConversion"/>
  </si>
  <si>
    <t>용접공</t>
    <phoneticPr fontId="5" type="noConversion"/>
  </si>
  <si>
    <t>(보양면적 ㎡당)</t>
    <phoneticPr fontId="5" type="noConversion"/>
  </si>
  <si>
    <t>(연면적 ㎡당)</t>
    <phoneticPr fontId="5" type="noConversion"/>
  </si>
  <si>
    <t>2-6 동바리</t>
    <phoneticPr fontId="5" type="noConversion"/>
  </si>
  <si>
    <t>15ton</t>
    <phoneticPr fontId="3" type="noConversion"/>
  </si>
  <si>
    <t>20ton</t>
    <phoneticPr fontId="3" type="noConversion"/>
  </si>
  <si>
    <t>2-6-4 알루미늄 폼 동바리 설치 및 해체</t>
    <phoneticPr fontId="5" type="noConversion"/>
  </si>
  <si>
    <t>2-7 비계</t>
    <phoneticPr fontId="5" type="noConversion"/>
  </si>
  <si>
    <t>2-7-1 강관비계 설치 및 해체</t>
    <phoneticPr fontId="5" type="noConversion"/>
  </si>
  <si>
    <t>높이 2m</t>
    <phoneticPr fontId="5" type="noConversion"/>
  </si>
  <si>
    <t>높이 4m</t>
    <phoneticPr fontId="5" type="noConversion"/>
  </si>
  <si>
    <t>(1대당)</t>
    <phoneticPr fontId="5" type="noConversion"/>
  </si>
  <si>
    <t>크레인(타이어)</t>
  </si>
  <si>
    <t>크레인(타이어)</t>
    <phoneticPr fontId="5" type="noConversion"/>
  </si>
  <si>
    <t>벽용 (설치)</t>
    <phoneticPr fontId="5" type="noConversion"/>
  </si>
  <si>
    <t>벽용 (해체)</t>
    <phoneticPr fontId="5" type="noConversion"/>
  </si>
  <si>
    <t>슬래브발코니, 난간용 (설치)</t>
    <phoneticPr fontId="5" type="noConversion"/>
  </si>
  <si>
    <t>슬래브발코니, 난간용 (해체)</t>
    <phoneticPr fontId="5" type="noConversion"/>
  </si>
  <si>
    <t>2-8-1 낙하물 방지망 설치 및 해체</t>
    <phoneticPr fontId="5" type="noConversion"/>
  </si>
  <si>
    <t>브라켓</t>
  </si>
  <si>
    <t>클램프</t>
  </si>
  <si>
    <t>그물망</t>
  </si>
  <si>
    <t>ø48.6㎜×2.4㎜</t>
    <phoneticPr fontId="5" type="noConversion"/>
  </si>
  <si>
    <t>m</t>
    <phoneticPr fontId="3" type="noConversion"/>
  </si>
  <si>
    <t>개</t>
    <phoneticPr fontId="3" type="noConversion"/>
  </si>
  <si>
    <t>㎏</t>
  </si>
  <si>
    <t>㎏</t>
    <phoneticPr fontId="3" type="noConversion"/>
  </si>
  <si>
    <t>㎡</t>
    <phoneticPr fontId="3" type="noConversion"/>
  </si>
  <si>
    <t>사다리</t>
  </si>
  <si>
    <t>와이어로프</t>
  </si>
  <si>
    <t>폭 30㎝×길이 3m 기준</t>
    <phoneticPr fontId="3" type="noConversion"/>
  </si>
  <si>
    <t>ø6</t>
    <phoneticPr fontId="3" type="noConversion"/>
  </si>
  <si>
    <t>hr</t>
  </si>
  <si>
    <t>#10</t>
    <phoneticPr fontId="3" type="noConversion"/>
  </si>
  <si>
    <t>보호망</t>
  </si>
  <si>
    <t>50ton</t>
    <phoneticPr fontId="3" type="noConversion"/>
  </si>
  <si>
    <t>10ton</t>
    <phoneticPr fontId="3" type="noConversion"/>
  </si>
  <si>
    <t>경   비</t>
    <phoneticPr fontId="3" type="noConversion"/>
  </si>
  <si>
    <t>목재</t>
    <phoneticPr fontId="3" type="noConversion"/>
  </si>
  <si>
    <t>못</t>
    <phoneticPr fontId="3" type="noConversion"/>
  </si>
  <si>
    <t>(100㎡당)</t>
  </si>
  <si>
    <t>16,000ℓ</t>
    <phoneticPr fontId="3" type="noConversion"/>
  </si>
  <si>
    <t>(회당)</t>
  </si>
  <si>
    <t>인력품의 7%</t>
    <phoneticPr fontId="3" type="noConversion"/>
  </si>
  <si>
    <t>(m당)</t>
  </si>
  <si>
    <t>2-8-2 낙하물 방지망(플라잉넷) 설치 및 해체</t>
    <phoneticPr fontId="3" type="noConversion"/>
  </si>
  <si>
    <t>2-8-3 낙하물 방지망(시스템방호) 설치 및 해체</t>
    <phoneticPr fontId="5" type="noConversion"/>
  </si>
  <si>
    <t>개구부 면적 1.0㎡이하</t>
    <phoneticPr fontId="5" type="noConversion"/>
  </si>
  <si>
    <t>개구부 면적 1.0~3.0㎡이하</t>
    <phoneticPr fontId="5" type="noConversion"/>
  </si>
  <si>
    <t>개구부 면적 3.0~6.0㎡이하</t>
    <phoneticPr fontId="5" type="noConversion"/>
  </si>
  <si>
    <t>개구부 면적 6.0~9.0㎡이하</t>
    <phoneticPr fontId="5" type="noConversion"/>
  </si>
  <si>
    <t>개구부 면적 9.0~12.0㎡이하</t>
    <phoneticPr fontId="5" type="noConversion"/>
  </si>
  <si>
    <t>(10m당)</t>
  </si>
  <si>
    <t>브라켓형 2단</t>
    <phoneticPr fontId="5" type="noConversion"/>
  </si>
  <si>
    <t>브라켓형 3단</t>
    <phoneticPr fontId="5" type="noConversion"/>
  </si>
  <si>
    <t>앵커형 2단</t>
    <phoneticPr fontId="5" type="noConversion"/>
  </si>
  <si>
    <t>앵커형 3단</t>
    <phoneticPr fontId="5" type="noConversion"/>
  </si>
  <si>
    <t>(10개소당)</t>
  </si>
  <si>
    <t>브라켓형</t>
    <phoneticPr fontId="5" type="noConversion"/>
  </si>
  <si>
    <t>앵커형</t>
    <phoneticPr fontId="5" type="noConversion"/>
  </si>
  <si>
    <t>2단</t>
    <phoneticPr fontId="5" type="noConversion"/>
  </si>
  <si>
    <t>3단</t>
    <phoneticPr fontId="5" type="noConversion"/>
  </si>
  <si>
    <t>(10m당)</t>
    <phoneticPr fontId="3" type="noConversion"/>
  </si>
  <si>
    <t>(통로길이 m당)</t>
    <phoneticPr fontId="3" type="noConversion"/>
  </si>
  <si>
    <t>사무실</t>
    <phoneticPr fontId="5" type="noConversion"/>
  </si>
  <si>
    <t>창고</t>
    <phoneticPr fontId="5" type="noConversion"/>
  </si>
  <si>
    <t>3.0×3.0m</t>
    <phoneticPr fontId="5" type="noConversion"/>
  </si>
  <si>
    <t>3.0×6.0m</t>
    <phoneticPr fontId="5" type="noConversion"/>
  </si>
  <si>
    <t>3.0×9.0m</t>
    <phoneticPr fontId="5" type="noConversion"/>
  </si>
  <si>
    <t>2-6-5 잭서포트 설치 및 해체</t>
  </si>
  <si>
    <t>(개당)</t>
    <phoneticPr fontId="3" type="noConversion"/>
  </si>
  <si>
    <t>개당 면적</t>
    <phoneticPr fontId="3" type="noConversion"/>
  </si>
  <si>
    <t>3.0㎡ 이하</t>
    <phoneticPr fontId="3" type="noConversion"/>
  </si>
  <si>
    <t>1.0㎡ 이하</t>
    <phoneticPr fontId="3" type="noConversion"/>
  </si>
  <si>
    <t>1,800ℓ</t>
    <phoneticPr fontId="3" type="noConversion"/>
  </si>
  <si>
    <t>(m당)</t>
    <phoneticPr fontId="3" type="noConversion"/>
  </si>
  <si>
    <t>설치깊이</t>
    <phoneticPr fontId="3" type="noConversion"/>
  </si>
  <si>
    <t>H=3.0m 이하</t>
    <phoneticPr fontId="3" type="noConversion"/>
  </si>
  <si>
    <t>4.0m 이하</t>
    <phoneticPr fontId="3" type="noConversion"/>
  </si>
  <si>
    <t>H=4.0m 이하</t>
    <phoneticPr fontId="3" type="noConversion"/>
  </si>
  <si>
    <t>H=5.0m 이하</t>
    <phoneticPr fontId="3" type="noConversion"/>
  </si>
  <si>
    <t>H=6.0m 이하</t>
    <phoneticPr fontId="3" type="noConversion"/>
  </si>
  <si>
    <t>고소작업차</t>
    <phoneticPr fontId="5" type="noConversion"/>
  </si>
  <si>
    <t>2-8-4 교량 방호선반 설치 및 해체</t>
    <phoneticPr fontId="5" type="noConversion"/>
  </si>
  <si>
    <t>2-8-5 교량 낙하물방지망 설치 및 해체</t>
  </si>
  <si>
    <t>2-11 현장관리</t>
    <phoneticPr fontId="5" type="noConversion"/>
  </si>
  <si>
    <t>2-11-1 건축물보양</t>
    <phoneticPr fontId="5" type="noConversion"/>
  </si>
  <si>
    <t>부직포 깔기</t>
    <phoneticPr fontId="3" type="noConversion"/>
  </si>
  <si>
    <t>부직포</t>
    <phoneticPr fontId="3" type="noConversion"/>
  </si>
  <si>
    <t>보양지 붙이기</t>
    <phoneticPr fontId="3" type="noConversion"/>
  </si>
  <si>
    <t>하드롱지</t>
  </si>
  <si>
    <t>풀</t>
  </si>
  <si>
    <t>㎡</t>
  </si>
  <si>
    <t>목재 붙이기</t>
    <phoneticPr fontId="3" type="noConversion"/>
  </si>
  <si>
    <t>2-11-2 건축물 현장정리</t>
    <phoneticPr fontId="5" type="noConversion"/>
  </si>
  <si>
    <t>철근콘크리트조·
철골·철근콘크리트조</t>
    <phoneticPr fontId="3" type="noConversion"/>
  </si>
  <si>
    <t>목조·철골조·조적조</t>
    <phoneticPr fontId="3" type="noConversion"/>
  </si>
  <si>
    <t>2-11-3 준공청소</t>
  </si>
  <si>
    <t>2-11-4 입주청소</t>
    <phoneticPr fontId="3" type="noConversion"/>
  </si>
  <si>
    <t>기계설비공</t>
    <phoneticPr fontId="5" type="noConversion"/>
  </si>
  <si>
    <t>5ton</t>
    <phoneticPr fontId="3" type="noConversion"/>
  </si>
  <si>
    <t>지게차</t>
    <phoneticPr fontId="5" type="noConversion"/>
  </si>
  <si>
    <t>(대당)</t>
    <phoneticPr fontId="5" type="noConversion"/>
  </si>
  <si>
    <t>2-12-1 건설용리프트 설치 및 해체</t>
    <phoneticPr fontId="3" type="noConversion"/>
  </si>
  <si>
    <t>2-12 공통장비</t>
    <phoneticPr fontId="3" type="noConversion"/>
  </si>
  <si>
    <t>2-12-2 마스트 설치 및 해체</t>
    <phoneticPr fontId="3" type="noConversion"/>
  </si>
  <si>
    <t>(층당)</t>
    <phoneticPr fontId="5" type="noConversion"/>
  </si>
  <si>
    <t>2-9-2 건설용리프트 방호선반 설치 및 해체</t>
  </si>
  <si>
    <t>2-9-8 PE가설휀스 설치 및 해체</t>
    <phoneticPr fontId="3" type="noConversion"/>
  </si>
  <si>
    <t>2-9-9 가림막 가설휀스 설치 및 해체</t>
  </si>
  <si>
    <t>2-9-4 PE드럼 설치 및 해체</t>
    <phoneticPr fontId="3" type="noConversion"/>
  </si>
  <si>
    <t>2-9-10 점멸등 설치 및 해체</t>
  </si>
  <si>
    <t>2-9-11 유도등 설치 및 해체</t>
    <phoneticPr fontId="3" type="noConversion"/>
  </si>
  <si>
    <t>2-10 피해방지시설</t>
  </si>
  <si>
    <t>2-10-6 비탈면 보양</t>
    <phoneticPr fontId="5" type="noConversion"/>
  </si>
  <si>
    <t>(㎡당)</t>
    <phoneticPr fontId="3" type="noConversion"/>
  </si>
  <si>
    <t>2-9 통행안전시설</t>
  </si>
  <si>
    <t>2-9-1 타워크레인 방호울타리 설치 및 해체</t>
    <phoneticPr fontId="3" type="noConversion"/>
  </si>
  <si>
    <t>2-9-3 보행자 안전통로 설치 및 해체</t>
    <phoneticPr fontId="3" type="noConversion"/>
  </si>
  <si>
    <t>2-9-6 PC가설방호벽 설치 및 해체</t>
    <phoneticPr fontId="3" type="noConversion"/>
  </si>
  <si>
    <t>2-9-7 가설휀스(H-Beam기초) 설치 및 해체</t>
    <phoneticPr fontId="3" type="noConversion"/>
  </si>
  <si>
    <t>2-10-1 비계주위 보호막 설치 및 해체</t>
    <phoneticPr fontId="5" type="noConversion"/>
  </si>
  <si>
    <t>2-10-2 방진망 설치 및 해체</t>
    <phoneticPr fontId="5" type="noConversion"/>
  </si>
  <si>
    <t>2-10-3 터널방음문 설치 및 해체</t>
    <phoneticPr fontId="3" type="noConversion"/>
  </si>
  <si>
    <t>2-10-4 박스형 간이흙막이 설치 및 해체</t>
    <phoneticPr fontId="3" type="noConversion"/>
  </si>
  <si>
    <t>2-10-5 조립식 간이흙막이 설치 및 해체</t>
    <phoneticPr fontId="3" type="noConversion"/>
  </si>
  <si>
    <t>2-11-5 비산먼지 발생 억제를 위한 살수</t>
    <phoneticPr fontId="3" type="noConversion"/>
  </si>
  <si>
    <t>2-9-5 PE가설방호벽 설치 및 해체</t>
    <phoneticPr fontId="3" type="noConversion"/>
  </si>
  <si>
    <t>2-11-6 자동세륜기 설치 및 해체</t>
    <phoneticPr fontId="3" type="noConversion"/>
  </si>
  <si>
    <t>2-11-7 슬러지 제거</t>
    <phoneticPr fontId="3" type="noConversion"/>
  </si>
  <si>
    <t>2-6-1 강관 동바리 설치 및 해체(토목)</t>
    <phoneticPr fontId="5" type="noConversion"/>
  </si>
  <si>
    <t>2-6-2 강관 동바리 설치 및 해체(건축, 기계설비)</t>
    <phoneticPr fontId="5" type="noConversion"/>
  </si>
  <si>
    <t>2-6-3 시스템 동바리 설치 및 해체</t>
    <phoneticPr fontId="5" type="noConversion"/>
  </si>
  <si>
    <t>2-10-3 축중계 설치 및 해체</t>
    <phoneticPr fontId="3" type="noConversion"/>
  </si>
  <si>
    <t>인력품의 1%</t>
    <phoneticPr fontId="3" type="noConversion"/>
  </si>
  <si>
    <t>중급기술자</t>
    <phoneticPr fontId="3" type="noConversion"/>
  </si>
  <si>
    <t>S/W시험사</t>
    <phoneticPr fontId="3" type="noConversion"/>
  </si>
  <si>
    <t>2-11-8 지능형 CCTV 설치 및 해체</t>
    <phoneticPr fontId="3" type="noConversion"/>
  </si>
  <si>
    <t>지상 또는 건물 설치</t>
    <phoneticPr fontId="5" type="noConversion"/>
  </si>
  <si>
    <t>타워크레인 설치</t>
    <phoneticPr fontId="5" type="noConversion"/>
  </si>
  <si>
    <t>설치</t>
    <phoneticPr fontId="3" type="noConversion"/>
  </si>
  <si>
    <t>설치, 해체</t>
    <phoneticPr fontId="3" type="noConversion"/>
  </si>
  <si>
    <t>2-11-9 지능형 출입관리 설치 및 해체</t>
    <phoneticPr fontId="3" type="noConversion"/>
  </si>
  <si>
    <t>2-9-12 사각지대 충돌방지장치 설치 및 해체</t>
    <phoneticPr fontId="3" type="noConversion"/>
  </si>
  <si>
    <t>굴착기(무한궤도)</t>
  </si>
  <si>
    <t>[참고자료] 강관 조립말비계(이동식) 재료량</t>
    <phoneticPr fontId="5" type="noConversion"/>
  </si>
  <si>
    <t>(1대당 높이 2m 기준)</t>
    <phoneticPr fontId="5" type="noConversion"/>
  </si>
  <si>
    <t>H1700×W1219</t>
    <phoneticPr fontId="5" type="noConversion"/>
  </si>
  <si>
    <t>L1518-2개</t>
    <phoneticPr fontId="5" type="noConversion"/>
  </si>
  <si>
    <t>L1829</t>
    <phoneticPr fontId="5" type="noConversion"/>
  </si>
  <si>
    <t>L1219</t>
    <phoneticPr fontId="5" type="noConversion"/>
  </si>
  <si>
    <t>45×200×2000</t>
    <phoneticPr fontId="5" type="noConversion"/>
  </si>
  <si>
    <t>비계기본틀(기둥)</t>
  </si>
  <si>
    <t>가새</t>
  </si>
  <si>
    <t>수평띠장</t>
  </si>
  <si>
    <t>손잡이기둥</t>
  </si>
  <si>
    <t>손잡이</t>
  </si>
  <si>
    <t>바퀴</t>
  </si>
  <si>
    <t>자키</t>
  </si>
  <si>
    <t>발판</t>
  </si>
  <si>
    <t>개</t>
  </si>
  <si>
    <t>조</t>
    <phoneticPr fontId="3" type="noConversion"/>
  </si>
  <si>
    <t>장</t>
  </si>
  <si>
    <t>(일당)</t>
    <phoneticPr fontId="5" type="noConversion"/>
  </si>
  <si>
    <t>시공량(㎡)</t>
    <phoneticPr fontId="5" type="noConversion"/>
  </si>
  <si>
    <t>수량</t>
    <phoneticPr fontId="3" type="noConversion"/>
  </si>
  <si>
    <t>금액</t>
    <phoneticPr fontId="3" type="noConversion"/>
  </si>
  <si>
    <t>10㎡당 단가</t>
    <phoneticPr fontId="3" type="noConversion"/>
  </si>
  <si>
    <t>10m당 단가</t>
    <phoneticPr fontId="3" type="noConversion"/>
  </si>
  <si>
    <t>시공량(m)</t>
    <phoneticPr fontId="5" type="noConversion"/>
  </si>
  <si>
    <t>지주높이 4m이하</t>
    <phoneticPr fontId="5" type="noConversion"/>
  </si>
  <si>
    <t>지주높이 7m이하</t>
    <phoneticPr fontId="5" type="noConversion"/>
  </si>
  <si>
    <t>지주높이 11m이하</t>
    <phoneticPr fontId="5" type="noConversion"/>
  </si>
  <si>
    <t>설치높이 3m이하</t>
    <phoneticPr fontId="5" type="noConversion"/>
  </si>
  <si>
    <t>설치높이 6m이하</t>
    <phoneticPr fontId="5" type="noConversion"/>
  </si>
  <si>
    <t>설치높이 10m이하</t>
    <phoneticPr fontId="5" type="noConversion"/>
  </si>
  <si>
    <t>설치높이 10m 이하</t>
    <phoneticPr fontId="5" type="noConversion"/>
  </si>
  <si>
    <t>2-5-1 목재 비탈 규준틀 설치 및 철거</t>
    <phoneticPr fontId="5" type="noConversion"/>
  </si>
  <si>
    <t>2-5-2 목재 수평규준틀 설치 및 철거</t>
    <phoneticPr fontId="5" type="noConversion"/>
  </si>
  <si>
    <t>2-5-3 철재 수평규준틀 설치 및 철거</t>
    <phoneticPr fontId="5" type="noConversion"/>
  </si>
  <si>
    <t>2-5-4 목재 평·귀규준틀 설치 및 철거</t>
    <phoneticPr fontId="5" type="noConversion"/>
  </si>
  <si>
    <t>시공량(공㎥)</t>
    <phoneticPr fontId="5" type="noConversion"/>
  </si>
  <si>
    <t>10공㎥당 단가</t>
    <phoneticPr fontId="3" type="noConversion"/>
  </si>
  <si>
    <t>5m 이하</t>
    <phoneticPr fontId="5" type="noConversion"/>
  </si>
  <si>
    <t>5m초과∼10m이하</t>
    <phoneticPr fontId="5" type="noConversion"/>
  </si>
  <si>
    <t>10m초과∼20m이하</t>
    <phoneticPr fontId="5" type="noConversion"/>
  </si>
  <si>
    <t>20m초과∼30m이하</t>
    <phoneticPr fontId="5" type="noConversion"/>
  </si>
  <si>
    <t>10공 ㎥당 단가</t>
    <phoneticPr fontId="3" type="noConversion"/>
  </si>
  <si>
    <t>해체</t>
    <phoneticPr fontId="3" type="noConversion"/>
  </si>
  <si>
    <t>㎡당 단가</t>
    <phoneticPr fontId="3" type="noConversion"/>
  </si>
  <si>
    <t>2-7-2 시스템비계 설치 및 해체(인력)</t>
    <phoneticPr fontId="5" type="noConversion"/>
  </si>
  <si>
    <t>2-7-4 강관틀 비계 설치 및 해체</t>
  </si>
  <si>
    <t>양중장비</t>
    <phoneticPr fontId="3" type="noConversion"/>
  </si>
  <si>
    <t>작업여건을 고려하여 적용</t>
    <phoneticPr fontId="3" type="noConversion"/>
  </si>
  <si>
    <t>2-7-3 시스템비계 설치 및 해체</t>
  </si>
  <si>
    <t>2-7-5 수평비계 설치 및 해체</t>
  </si>
  <si>
    <t>(10㎥당)</t>
    <phoneticPr fontId="5" type="noConversion"/>
  </si>
  <si>
    <t>수량</t>
    <phoneticPr fontId="5" type="noConversion"/>
  </si>
  <si>
    <t>2-7-6 강관 조립말비계(이동식)설치 및 해체</t>
  </si>
  <si>
    <t>2-7-7 경사형 가설 계단 설치 및 해체</t>
  </si>
  <si>
    <t>2-7-8 타워형 가설 계단 설치 및 해체</t>
  </si>
  <si>
    <t>2-7-9 비계용 브라켓 설치 및 해체</t>
  </si>
  <si>
    <t>[참고자료] 낙하물 방지망(비계) 재료량</t>
    <phoneticPr fontId="5" type="noConversion"/>
  </si>
  <si>
    <t>2-8 추락재해 및 낙하물방지시설</t>
  </si>
  <si>
    <t>[참고자료] 낙하물 방지망(플라잉넷) 재료량</t>
    <phoneticPr fontId="5" type="noConversion"/>
  </si>
  <si>
    <t>2-8-6 출입구 방호선반 설치 및 해체</t>
  </si>
  <si>
    <t>(개소당)</t>
    <phoneticPr fontId="3" type="noConversion"/>
  </si>
  <si>
    <t>보행자 출입구</t>
    <phoneticPr fontId="5" type="noConversion"/>
  </si>
  <si>
    <t>차량 출입구</t>
    <phoneticPr fontId="5" type="noConversion"/>
  </si>
  <si>
    <t>2-8-7 철골 안전망 설치 및 해체</t>
    <phoneticPr fontId="5" type="noConversion"/>
  </si>
  <si>
    <t>2-8-8 비계주위 보호망 설치 및 해체</t>
    <phoneticPr fontId="5" type="noConversion"/>
  </si>
  <si>
    <t>2-8-9 갱폼주위 보호망 설치 및 해체</t>
    <phoneticPr fontId="3" type="noConversion"/>
  </si>
  <si>
    <t>2-8-10 수직형 추락방망 설치 및 해체</t>
    <phoneticPr fontId="5" type="noConversion"/>
  </si>
  <si>
    <t>2-8-11 안전난간대 설치 및 해체</t>
    <phoneticPr fontId="5" type="noConversion"/>
  </si>
  <si>
    <t>2-8-12 계단난간대 설치 및 해체</t>
    <phoneticPr fontId="5" type="noConversion"/>
  </si>
  <si>
    <t>2-8-13 안전난간대 설치 및 해체(토목)</t>
    <phoneticPr fontId="5" type="noConversion"/>
  </si>
  <si>
    <t>2-8-14 엘리베이터 난간틀 설치 및 해체</t>
    <phoneticPr fontId="5" type="noConversion"/>
  </si>
  <si>
    <t>2-8-15 엘리베이터 추락방호망 설치 및 해체</t>
    <phoneticPr fontId="3" type="noConversion"/>
  </si>
  <si>
    <t>2-8-16 개구부 수평보호덮개 설치 및 해체</t>
    <phoneticPr fontId="3" type="noConversion"/>
  </si>
  <si>
    <t>2-8-17 강재거푸집 작업용 난간 설치 및 해체</t>
    <phoneticPr fontId="3" type="noConversion"/>
  </si>
  <si>
    <t>2-8-18 수평지지로프 설치 및 해체</t>
    <phoneticPr fontId="5" type="noConversion"/>
  </si>
  <si>
    <t>2-10-7 암파쇄 방호시설 설치 및 해체</t>
    <phoneticPr fontId="5" type="noConversion"/>
  </si>
  <si>
    <t>설치높이 5.0m이하</t>
    <phoneticPr fontId="5" type="noConversion"/>
  </si>
  <si>
    <t>(일당)</t>
    <phoneticPr fontId="3" type="noConversion"/>
  </si>
  <si>
    <t>철골공</t>
    <phoneticPr fontId="5" type="noConversion"/>
  </si>
  <si>
    <t>m당 단가</t>
    <phoneticPr fontId="3" type="noConversion"/>
  </si>
  <si>
    <t>설치높이 7.0m이하</t>
    <phoneticPr fontId="5" type="noConversion"/>
  </si>
  <si>
    <t>설치높이 9.0m이하</t>
    <phoneticPr fontId="5" type="noConversion"/>
  </si>
  <si>
    <t>※ 장비(크레인)의 규격은 작업여건(시공높이, 시공위치 등) 및 안전율(적정하중, 작업반경 등)을 고려하여 적합한 규격을 적용한다.</t>
    <phoneticPr fontId="5" type="noConversion"/>
  </si>
  <si>
    <t>※ 현장여건에 따라 고소작업차가 필요할 경우 기계경비는 별도 계상한다.</t>
    <phoneticPr fontId="5" type="noConversion"/>
  </si>
  <si>
    <t>※ 양중장비의 규격은 작업여건(시공높이, 시공위치 등) 및 안전율(적정하중, 작업반경 등)을 고려하여 적합한 규격을 적용한다.</t>
    <phoneticPr fontId="3" type="noConversion"/>
  </si>
  <si>
    <t>※ 장비(크레인, 고소작업차)의 규격은 작업여건(시공높이, 시공위치 등) 및 안전율(적정하중, 작업반경 등)을 고려하여 적합한 규격을 적용한다.</t>
    <phoneticPr fontId="3" type="noConversion"/>
  </si>
  <si>
    <t>※ 장비(고소작업차)의 규격은 작업여건(시공높이, 시공위치 등) 및 안전율(적정하중, 작업반경 등)을 고려하여 적합한 규격을 적용한다.</t>
    <phoneticPr fontId="3" type="noConversion"/>
  </si>
  <si>
    <t>※ 장비(크레인)의 규격은 작업여건(시공높이, 시공위치 등) 및 안전율(적정하중, 작업반경 등)을 고려하여 적합한 규격을 적용한다.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</si>
</sst>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-* #,##0_-;\-* #,##0_-;_-* &quot;-&quot;_-;_-@_-"/>
    <numFmt numFmtId="176" formatCode="_(* #,##0_);_(* \(#,##0\);_(* &quot;-&quot;_);_(@_)"/>
    <numFmt numFmtId="177" formatCode="#,##0_ "/>
    <numFmt numFmtId="180" formatCode="_-* #,##0.0_-;\-* #,##0.0_-;_-* &quot;-&quot;_-;_-@_-"/>
    <numFmt numFmtId="181" formatCode="0.000"/>
    <numFmt numFmtId="182" formatCode="_-* #,##0.0_-;\-* #,##0.0_-;_-* &quot;-&quot;??_-;_-@_-"/>
    <numFmt numFmtId="183" formatCode="_(* #,##0.0_);_(* \(#,##0.0\);_(* &quot;-&quot;_);_(@_)"/>
    <numFmt numFmtId="184" formatCode="_-* #,##0.00_-;\-* #,##0.00_-;_-* &quot;-&quot;_-;_-@_-"/>
    <numFmt numFmtId="185" formatCode="_-* #,##0.000_-;\-* #,##0.000_-;_-* &quot;-&quot;_-;_-@_-"/>
    <numFmt numFmtId="186" formatCode="_-* #,##0.0000_-;\-* #,##0.0000_-;_-* &quot;-&quot;_-;_-@_-"/>
    <numFmt numFmtId="187" formatCode="mm&quot;월&quot;\ dd&quot;일&quot;"/>
    <numFmt numFmtId="189" formatCode="#,##0.00_);[Red]\(#,##0.00\)"/>
  </numFmts>
  <fonts count="2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name val="돋움"/>
      <family val="3"/>
      <charset val="129"/>
    </font>
    <font>
      <sz val="8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b/>
      <sz val="8"/>
      <color indexed="12"/>
      <name val="돋움"/>
      <family val="3"/>
      <charset val="129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color indexed="10"/>
      <name val="맑은 고딕"/>
      <family val="3"/>
      <charset val="129"/>
      <scheme val="minor"/>
    </font>
    <font>
      <sz val="9"/>
      <color indexed="12"/>
      <name val="맑은 고딕"/>
      <family val="3"/>
      <charset val="129"/>
      <scheme val="minor"/>
    </font>
    <font>
      <sz val="9.1"/>
      <name val="맑은 고딕"/>
      <family val="3"/>
      <charset val="129"/>
      <scheme val="minor"/>
    </font>
    <font>
      <b/>
      <sz val="9.1"/>
      <color indexed="10"/>
      <name val="맑은 고딕"/>
      <family val="3"/>
      <charset val="129"/>
      <scheme val="minor"/>
    </font>
    <font>
      <sz val="9.1"/>
      <color indexed="12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8"/>
      <color indexed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b/>
      <sz val="9.1"/>
      <name val="맑은 고딕"/>
      <family val="3"/>
      <charset val="129"/>
      <scheme val="minor"/>
    </font>
    <font>
      <sz val="9.1"/>
      <color indexed="10"/>
      <name val="맑은 고딕"/>
      <family val="3"/>
      <charset val="129"/>
      <scheme val="minor"/>
    </font>
    <font>
      <i/>
      <sz val="8"/>
      <name val="맑은 고딕"/>
      <family val="3"/>
      <charset val="129"/>
      <scheme val="minor"/>
    </font>
    <font>
      <sz val="8"/>
      <color indexed="8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b/>
      <sz val="9.1"/>
      <color rgb="FF0000FF"/>
      <name val="맑은 고딕"/>
      <family val="3"/>
      <charset val="129"/>
      <scheme val="minor"/>
    </font>
    <font>
      <sz val="9"/>
      <color rgb="FF0000FF"/>
      <name val="맑은 고딕"/>
      <family val="3"/>
      <charset val="129"/>
      <scheme val="minor"/>
    </font>
    <font>
      <b/>
      <sz val="8"/>
      <color indexed="10"/>
      <name val="돋움"/>
      <family val="3"/>
      <charset val="129"/>
    </font>
    <font>
      <sz val="9"/>
      <color indexed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2" fillId="0" borderId="0"/>
    <xf numFmtId="0" fontId="2" fillId="0" borderId="0"/>
    <xf numFmtId="0" fontId="4" fillId="0" borderId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</cellStyleXfs>
  <cellXfs count="273">
    <xf numFmtId="0" fontId="0" fillId="0" borderId="0" xfId="0">
      <alignment vertical="center"/>
    </xf>
    <xf numFmtId="0" fontId="8" fillId="0" borderId="0" xfId="0" applyFont="1">
      <alignment vertical="center"/>
    </xf>
    <xf numFmtId="180" fontId="9" fillId="0" borderId="5" xfId="1" applyNumberFormat="1" applyFont="1" applyFill="1" applyBorder="1" applyAlignment="1">
      <alignment horizontal="center" vertical="center"/>
    </xf>
    <xf numFmtId="180" fontId="9" fillId="0" borderId="6" xfId="5" applyNumberFormat="1" applyFont="1" applyFill="1" applyBorder="1" applyAlignment="1">
      <alignment vertical="center"/>
    </xf>
    <xf numFmtId="41" fontId="11" fillId="0" borderId="5" xfId="5" applyFont="1" applyFill="1" applyBorder="1" applyAlignment="1">
      <alignment vertical="center"/>
    </xf>
    <xf numFmtId="180" fontId="9" fillId="0" borderId="6" xfId="1" applyNumberFormat="1" applyFont="1" applyFill="1" applyBorder="1" applyAlignment="1">
      <alignment horizontal="center" vertical="center"/>
    </xf>
    <xf numFmtId="0" fontId="15" fillId="0" borderId="0" xfId="6" applyFont="1" applyAlignment="1">
      <alignment vertical="center"/>
    </xf>
    <xf numFmtId="41" fontId="11" fillId="0" borderId="5" xfId="8" applyFont="1" applyFill="1" applyBorder="1" applyAlignment="1">
      <alignment horizontal="center" vertical="center"/>
    </xf>
    <xf numFmtId="182" fontId="9" fillId="0" borderId="6" xfId="8" applyNumberFormat="1" applyFont="1" applyFill="1" applyBorder="1" applyAlignment="1">
      <alignment vertical="center"/>
    </xf>
    <xf numFmtId="41" fontId="10" fillId="0" borderId="8" xfId="8" applyFont="1" applyFill="1" applyBorder="1" applyAlignment="1">
      <alignment horizontal="center" vertical="center"/>
    </xf>
    <xf numFmtId="41" fontId="13" fillId="0" borderId="5" xfId="5" applyFont="1" applyFill="1" applyBorder="1" applyAlignment="1">
      <alignment vertical="center"/>
    </xf>
    <xf numFmtId="41" fontId="13" fillId="0" borderId="6" xfId="5" applyFont="1" applyFill="1" applyBorder="1" applyAlignment="1">
      <alignment vertical="center"/>
    </xf>
    <xf numFmtId="41" fontId="13" fillId="0" borderId="7" xfId="5" applyFont="1" applyFill="1" applyBorder="1" applyAlignment="1">
      <alignment vertical="center"/>
    </xf>
    <xf numFmtId="41" fontId="13" fillId="0" borderId="8" xfId="5" applyFont="1" applyFill="1" applyBorder="1" applyAlignment="1">
      <alignment vertical="center"/>
    </xf>
    <xf numFmtId="0" fontId="9" fillId="0" borderId="0" xfId="6" applyFont="1" applyAlignment="1">
      <alignment vertical="center"/>
    </xf>
    <xf numFmtId="41" fontId="16" fillId="0" borderId="0" xfId="8" applyFont="1" applyFill="1" applyBorder="1" applyAlignment="1">
      <alignment vertical="center"/>
    </xf>
    <xf numFmtId="41" fontId="20" fillId="0" borderId="5" xfId="5" applyFont="1" applyFill="1" applyBorder="1" applyAlignment="1">
      <alignment vertical="center"/>
    </xf>
    <xf numFmtId="41" fontId="12" fillId="0" borderId="6" xfId="5" applyFont="1" applyFill="1" applyBorder="1" applyAlignment="1">
      <alignment vertical="center"/>
    </xf>
    <xf numFmtId="180" fontId="9" fillId="0" borderId="5" xfId="8" applyNumberFormat="1" applyFont="1" applyFill="1" applyBorder="1" applyAlignment="1">
      <alignment horizontal="center" vertical="center"/>
    </xf>
    <xf numFmtId="180" fontId="9" fillId="0" borderId="6" xfId="8" applyNumberFormat="1" applyFont="1" applyFill="1" applyBorder="1" applyAlignment="1">
      <alignment horizontal="center" vertical="center"/>
    </xf>
    <xf numFmtId="41" fontId="10" fillId="0" borderId="7" xfId="8" applyFont="1" applyFill="1" applyBorder="1" applyAlignment="1">
      <alignment horizontal="center" vertical="center"/>
    </xf>
    <xf numFmtId="180" fontId="15" fillId="0" borderId="0" xfId="8" applyNumberFormat="1" applyFont="1" applyFill="1" applyBorder="1" applyAlignment="1">
      <alignment horizontal="center" vertical="center"/>
    </xf>
    <xf numFmtId="41" fontId="10" fillId="0" borderId="0" xfId="8" applyFont="1" applyFill="1" applyBorder="1" applyAlignment="1">
      <alignment horizontal="center" vertical="center"/>
    </xf>
    <xf numFmtId="180" fontId="9" fillId="0" borderId="0" xfId="1" applyNumberFormat="1" applyFont="1" applyFill="1" applyBorder="1" applyAlignment="1">
      <alignment horizontal="centerContinuous" vertical="center"/>
    </xf>
    <xf numFmtId="41" fontId="11" fillId="0" borderId="5" xfId="1" applyFont="1" applyFill="1" applyBorder="1" applyAlignment="1">
      <alignment vertical="center"/>
    </xf>
    <xf numFmtId="0" fontId="22" fillId="0" borderId="0" xfId="6" applyFont="1" applyAlignment="1">
      <alignment vertical="center"/>
    </xf>
    <xf numFmtId="0" fontId="22" fillId="0" borderId="0" xfId="6" applyFont="1" applyAlignment="1">
      <alignment horizontal="centerContinuous" vertical="center"/>
    </xf>
    <xf numFmtId="41" fontId="22" fillId="0" borderId="0" xfId="8" applyFont="1" applyFill="1" applyBorder="1" applyAlignment="1">
      <alignment vertical="center"/>
    </xf>
    <xf numFmtId="183" fontId="9" fillId="0" borderId="0" xfId="1" applyNumberFormat="1" applyFont="1" applyFill="1" applyBorder="1" applyAlignment="1">
      <alignment vertical="center"/>
    </xf>
    <xf numFmtId="41" fontId="11" fillId="0" borderId="5" xfId="10" applyFont="1" applyFill="1" applyBorder="1" applyAlignment="1">
      <alignment vertical="center"/>
    </xf>
    <xf numFmtId="184" fontId="9" fillId="0" borderId="5" xfId="10" applyNumberFormat="1" applyFont="1" applyFill="1" applyBorder="1" applyAlignment="1">
      <alignment vertical="center"/>
    </xf>
    <xf numFmtId="180" fontId="19" fillId="0" borderId="6" xfId="10" applyNumberFormat="1" applyFont="1" applyFill="1" applyBorder="1" applyAlignment="1">
      <alignment horizontal="center" vertical="center"/>
    </xf>
    <xf numFmtId="41" fontId="9" fillId="0" borderId="5" xfId="10" applyFont="1" applyFill="1" applyBorder="1" applyAlignment="1">
      <alignment vertical="center"/>
    </xf>
    <xf numFmtId="41" fontId="10" fillId="0" borderId="5" xfId="10" applyFont="1" applyFill="1" applyBorder="1" applyAlignment="1">
      <alignment vertical="center"/>
    </xf>
    <xf numFmtId="185" fontId="10" fillId="0" borderId="5" xfId="10" applyNumberFormat="1" applyFont="1" applyFill="1" applyBorder="1" applyAlignment="1">
      <alignment vertical="center"/>
    </xf>
    <xf numFmtId="41" fontId="10" fillId="0" borderId="6" xfId="10" applyFont="1" applyFill="1" applyBorder="1" applyAlignment="1">
      <alignment vertical="center"/>
    </xf>
    <xf numFmtId="41" fontId="10" fillId="0" borderId="8" xfId="10" applyFont="1" applyFill="1" applyBorder="1" applyAlignment="1">
      <alignment horizontal="center" vertical="center"/>
    </xf>
    <xf numFmtId="41" fontId="9" fillId="0" borderId="5" xfId="1" applyFont="1" applyFill="1" applyBorder="1" applyAlignment="1">
      <alignment vertical="center"/>
    </xf>
    <xf numFmtId="41" fontId="11" fillId="0" borderId="5" xfId="1" applyFont="1" applyFill="1" applyBorder="1" applyAlignment="1">
      <alignment horizontal="center" vertical="center"/>
    </xf>
    <xf numFmtId="0" fontId="15" fillId="0" borderId="0" xfId="0" applyFont="1">
      <alignment vertical="center"/>
    </xf>
    <xf numFmtId="41" fontId="25" fillId="0" borderId="5" xfId="5" applyFont="1" applyFill="1" applyBorder="1" applyAlignment="1">
      <alignment vertical="center"/>
    </xf>
    <xf numFmtId="41" fontId="25" fillId="0" borderId="6" xfId="5" applyFont="1" applyFill="1" applyBorder="1" applyAlignment="1">
      <alignment vertical="center"/>
    </xf>
    <xf numFmtId="41" fontId="24" fillId="0" borderId="6" xfId="1" applyFont="1" applyFill="1" applyBorder="1" applyAlignment="1">
      <alignment horizontal="center" vertical="center"/>
    </xf>
    <xf numFmtId="41" fontId="26" fillId="0" borderId="5" xfId="1" applyFont="1" applyFill="1" applyBorder="1" applyAlignment="1">
      <alignment horizontal="center" vertical="center"/>
    </xf>
    <xf numFmtId="41" fontId="24" fillId="0" borderId="5" xfId="8" applyFont="1" applyFill="1" applyBorder="1" applyAlignment="1">
      <alignment vertical="center"/>
    </xf>
    <xf numFmtId="41" fontId="24" fillId="0" borderId="6" xfId="8" applyFont="1" applyFill="1" applyBorder="1" applyAlignment="1">
      <alignment vertical="center"/>
    </xf>
    <xf numFmtId="41" fontId="24" fillId="0" borderId="5" xfId="10" applyFont="1" applyFill="1" applyBorder="1" applyAlignment="1">
      <alignment vertical="center"/>
    </xf>
    <xf numFmtId="185" fontId="24" fillId="0" borderId="5" xfId="10" applyNumberFormat="1" applyFont="1" applyFill="1" applyBorder="1" applyAlignment="1">
      <alignment vertical="center"/>
    </xf>
    <xf numFmtId="41" fontId="24" fillId="0" borderId="6" xfId="10" applyFont="1" applyFill="1" applyBorder="1" applyAlignment="1">
      <alignment vertical="center"/>
    </xf>
    <xf numFmtId="41" fontId="24" fillId="0" borderId="0" xfId="1" applyFont="1" applyFill="1" applyBorder="1" applyAlignment="1">
      <alignment horizontal="center" vertical="center"/>
    </xf>
    <xf numFmtId="180" fontId="9" fillId="0" borderId="0" xfId="8" applyNumberFormat="1" applyFont="1" applyFill="1" applyBorder="1" applyAlignment="1">
      <alignment horizontal="center" vertical="center"/>
    </xf>
    <xf numFmtId="180" fontId="9" fillId="0" borderId="0" xfId="1" applyNumberFormat="1" applyFont="1" applyFill="1" applyBorder="1" applyAlignment="1">
      <alignment horizontal="right" vertical="center"/>
    </xf>
    <xf numFmtId="184" fontId="24" fillId="0" borderId="5" xfId="1" applyNumberFormat="1" applyFont="1" applyFill="1" applyBorder="1" applyAlignment="1">
      <alignment vertical="center"/>
    </xf>
    <xf numFmtId="184" fontId="10" fillId="0" borderId="5" xfId="1" applyNumberFormat="1" applyFont="1" applyFill="1" applyBorder="1" applyAlignment="1">
      <alignment vertical="center"/>
    </xf>
    <xf numFmtId="185" fontId="24" fillId="0" borderId="5" xfId="1" applyNumberFormat="1" applyFont="1" applyFill="1" applyBorder="1" applyAlignment="1">
      <alignment vertical="center"/>
    </xf>
    <xf numFmtId="185" fontId="10" fillId="0" borderId="5" xfId="1" applyNumberFormat="1" applyFont="1" applyFill="1" applyBorder="1" applyAlignment="1">
      <alignment vertical="center"/>
    </xf>
    <xf numFmtId="184" fontId="9" fillId="0" borderId="5" xfId="1" applyNumberFormat="1" applyFont="1" applyFill="1" applyBorder="1" applyAlignment="1">
      <alignment vertical="center"/>
    </xf>
    <xf numFmtId="182" fontId="9" fillId="0" borderId="0" xfId="8" applyNumberFormat="1" applyFont="1" applyFill="1" applyBorder="1" applyAlignment="1">
      <alignment vertical="center"/>
    </xf>
    <xf numFmtId="189" fontId="27" fillId="0" borderId="0" xfId="4" applyNumberFormat="1" applyFont="1" applyAlignment="1">
      <alignment vertical="center"/>
    </xf>
    <xf numFmtId="0" fontId="6" fillId="0" borderId="0" xfId="0" applyFont="1" applyAlignment="1"/>
    <xf numFmtId="184" fontId="19" fillId="0" borderId="5" xfId="1" applyNumberFormat="1" applyFont="1" applyFill="1" applyBorder="1" applyAlignment="1">
      <alignment vertical="center"/>
    </xf>
    <xf numFmtId="184" fontId="12" fillId="0" borderId="5" xfId="1" applyNumberFormat="1" applyFont="1" applyFill="1" applyBorder="1" applyAlignment="1">
      <alignment vertical="center"/>
    </xf>
    <xf numFmtId="186" fontId="12" fillId="0" borderId="5" xfId="1" applyNumberFormat="1" applyFont="1" applyFill="1" applyBorder="1" applyAlignment="1">
      <alignment vertical="center"/>
    </xf>
    <xf numFmtId="41" fontId="15" fillId="0" borderId="0" xfId="8" applyFont="1" applyFill="1" applyBorder="1" applyAlignment="1">
      <alignment horizontal="center" vertical="center"/>
    </xf>
    <xf numFmtId="184" fontId="9" fillId="0" borderId="5" xfId="1" applyNumberFormat="1" applyFont="1" applyFill="1" applyBorder="1" applyAlignment="1">
      <alignment horizontal="right" vertical="center"/>
    </xf>
    <xf numFmtId="184" fontId="26" fillId="0" borderId="6" xfId="1" applyNumberFormat="1" applyFont="1" applyFill="1" applyBorder="1" applyAlignment="1">
      <alignment horizontal="right" vertical="center"/>
    </xf>
    <xf numFmtId="180" fontId="9" fillId="0" borderId="5" xfId="1" applyNumberFormat="1" applyFont="1" applyFill="1" applyBorder="1" applyAlignment="1">
      <alignment vertical="center"/>
    </xf>
    <xf numFmtId="41" fontId="9" fillId="0" borderId="0" xfId="1" applyFont="1" applyFill="1" applyBorder="1" applyAlignment="1">
      <alignment vertical="center"/>
    </xf>
    <xf numFmtId="185" fontId="9" fillId="0" borderId="5" xfId="1" applyNumberFormat="1" applyFont="1" applyFill="1" applyBorder="1" applyAlignment="1">
      <alignment vertical="center"/>
    </xf>
    <xf numFmtId="185" fontId="19" fillId="0" borderId="5" xfId="1" applyNumberFormat="1" applyFont="1" applyFill="1" applyBorder="1" applyAlignment="1">
      <alignment vertical="center"/>
    </xf>
    <xf numFmtId="0" fontId="17" fillId="0" borderId="0" xfId="0" applyFont="1">
      <alignment vertical="center"/>
    </xf>
    <xf numFmtId="0" fontId="7" fillId="0" borderId="0" xfId="0" applyFont="1" applyAlignment="1">
      <alignment vertical="center" shrinkToFit="1"/>
    </xf>
    <xf numFmtId="0" fontId="7" fillId="0" borderId="0" xfId="0" applyFont="1">
      <alignment vertical="center"/>
    </xf>
    <xf numFmtId="0" fontId="8" fillId="0" borderId="0" xfId="0" applyFont="1" applyAlignment="1">
      <alignment vertical="center" shrinkToFit="1"/>
    </xf>
    <xf numFmtId="0" fontId="9" fillId="0" borderId="0" xfId="3" applyFont="1" applyAlignment="1">
      <alignment horizontal="left" vertical="center"/>
    </xf>
    <xf numFmtId="0" fontId="9" fillId="0" borderId="0" xfId="6" applyFont="1" applyAlignment="1">
      <alignment horizontal="centerContinuous" vertical="center"/>
    </xf>
    <xf numFmtId="0" fontId="12" fillId="0" borderId="0" xfId="3" applyFont="1" applyAlignment="1">
      <alignment vertical="center"/>
    </xf>
    <xf numFmtId="0" fontId="9" fillId="0" borderId="0" xfId="3" applyFont="1" applyAlignment="1">
      <alignment horizontal="right" vertical="center"/>
    </xf>
    <xf numFmtId="0" fontId="9" fillId="0" borderId="10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9" fillId="0" borderId="8" xfId="6" applyFont="1" applyBorder="1" applyAlignment="1">
      <alignment horizontal="center" vertical="center"/>
    </xf>
    <xf numFmtId="0" fontId="9" fillId="0" borderId="4" xfId="6" applyFont="1" applyBorder="1" applyAlignment="1">
      <alignment horizontal="left" vertical="center" shrinkToFit="1"/>
    </xf>
    <xf numFmtId="41" fontId="11" fillId="0" borderId="5" xfId="6" applyNumberFormat="1" applyFont="1" applyBorder="1" applyAlignment="1">
      <alignment vertical="center"/>
    </xf>
    <xf numFmtId="0" fontId="9" fillId="0" borderId="4" xfId="6" applyFont="1" applyBorder="1" applyAlignment="1">
      <alignment vertical="center"/>
    </xf>
    <xf numFmtId="0" fontId="9" fillId="0" borderId="4" xfId="3" applyFont="1" applyBorder="1" applyAlignment="1">
      <alignment vertical="center" shrinkToFit="1"/>
    </xf>
    <xf numFmtId="0" fontId="9" fillId="0" borderId="5" xfId="3" applyFont="1" applyBorder="1" applyAlignment="1">
      <alignment horizontal="center" vertical="center"/>
    </xf>
    <xf numFmtId="0" fontId="9" fillId="0" borderId="5" xfId="6" applyFont="1" applyBorder="1" applyAlignment="1">
      <alignment horizontal="right" vertical="center"/>
    </xf>
    <xf numFmtId="0" fontId="24" fillId="0" borderId="4" xfId="6" applyFont="1" applyBorder="1" applyAlignment="1">
      <alignment horizontal="left" vertical="center"/>
    </xf>
    <xf numFmtId="0" fontId="26" fillId="0" borderId="4" xfId="6" applyFont="1" applyBorder="1" applyAlignment="1">
      <alignment horizontal="left" vertical="center"/>
    </xf>
    <xf numFmtId="0" fontId="26" fillId="0" borderId="5" xfId="3" applyFont="1" applyBorder="1" applyAlignment="1">
      <alignment horizontal="center" vertical="center"/>
    </xf>
    <xf numFmtId="0" fontId="24" fillId="0" borderId="5" xfId="6" applyFont="1" applyBorder="1" applyAlignment="1">
      <alignment vertical="center"/>
    </xf>
    <xf numFmtId="0" fontId="9" fillId="0" borderId="4" xfId="6" applyFont="1" applyBorder="1" applyAlignment="1">
      <alignment horizontal="left" vertical="center"/>
    </xf>
    <xf numFmtId="0" fontId="9" fillId="0" borderId="5" xfId="6" applyFont="1" applyBorder="1" applyAlignment="1">
      <alignment vertical="center"/>
    </xf>
    <xf numFmtId="0" fontId="9" fillId="0" borderId="6" xfId="6" applyFont="1" applyBorder="1" applyAlignment="1">
      <alignment vertical="center"/>
    </xf>
    <xf numFmtId="0" fontId="9" fillId="0" borderId="4" xfId="3" applyFont="1" applyBorder="1" applyAlignment="1">
      <alignment vertical="center"/>
    </xf>
    <xf numFmtId="0" fontId="9" fillId="0" borderId="4" xfId="3" applyFont="1" applyBorder="1" applyAlignment="1">
      <alignment horizontal="center" vertical="center"/>
    </xf>
    <xf numFmtId="0" fontId="24" fillId="0" borderId="4" xfId="3" applyFont="1" applyBorder="1" applyAlignment="1">
      <alignment vertical="center"/>
    </xf>
    <xf numFmtId="0" fontId="26" fillId="0" borderId="4" xfId="3" applyFont="1" applyBorder="1" applyAlignment="1">
      <alignment horizontal="center" vertical="center"/>
    </xf>
    <xf numFmtId="0" fontId="10" fillId="0" borderId="9" xfId="6" applyFont="1" applyBorder="1" applyAlignment="1">
      <alignment horizontal="left" vertical="center"/>
    </xf>
    <xf numFmtId="0" fontId="9" fillId="0" borderId="9" xfId="6" applyFont="1" applyBorder="1" applyAlignment="1">
      <alignment horizontal="left" vertical="center"/>
    </xf>
    <xf numFmtId="0" fontId="9" fillId="0" borderId="7" xfId="3" applyFont="1" applyBorder="1" applyAlignment="1">
      <alignment horizontal="center" vertical="center"/>
    </xf>
    <xf numFmtId="0" fontId="18" fillId="0" borderId="7" xfId="6" applyFont="1" applyBorder="1" applyAlignment="1">
      <alignment vertical="center"/>
    </xf>
    <xf numFmtId="0" fontId="10" fillId="0" borderId="7" xfId="6" applyFont="1" applyBorder="1" applyAlignment="1">
      <alignment vertical="center"/>
    </xf>
    <xf numFmtId="0" fontId="12" fillId="0" borderId="0" xfId="3" applyFont="1" applyAlignment="1">
      <alignment horizontal="left" vertical="center"/>
    </xf>
    <xf numFmtId="0" fontId="12" fillId="0" borderId="0" xfId="3" applyFont="1" applyAlignment="1">
      <alignment horizontal="right" vertical="center"/>
    </xf>
    <xf numFmtId="0" fontId="12" fillId="0" borderId="4" xfId="3" applyFont="1" applyBorder="1" applyAlignment="1">
      <alignment vertical="center"/>
    </xf>
    <xf numFmtId="0" fontId="9" fillId="0" borderId="5" xfId="3" applyFont="1" applyBorder="1" applyAlignment="1">
      <alignment vertical="center" shrinkToFit="1"/>
    </xf>
    <xf numFmtId="41" fontId="14" fillId="0" borderId="5" xfId="3" applyNumberFormat="1" applyFont="1" applyBorder="1" applyAlignment="1">
      <alignment vertical="center"/>
    </xf>
    <xf numFmtId="0" fontId="9" fillId="0" borderId="0" xfId="6" applyFont="1" applyAlignment="1">
      <alignment horizontal="left" vertical="center"/>
    </xf>
    <xf numFmtId="0" fontId="9" fillId="0" borderId="0" xfId="6" applyFont="1" applyAlignment="1">
      <alignment horizontal="right" vertical="center"/>
    </xf>
    <xf numFmtId="0" fontId="9" fillId="0" borderId="5" xfId="6" applyFont="1" applyBorder="1" applyAlignment="1">
      <alignment horizontal="center" vertical="center"/>
    </xf>
    <xf numFmtId="0" fontId="9" fillId="0" borderId="10" xfId="3" applyFont="1" applyBorder="1" applyAlignment="1">
      <alignment horizontal="center" vertical="center"/>
    </xf>
    <xf numFmtId="41" fontId="11" fillId="0" borderId="10" xfId="6" applyNumberFormat="1" applyFont="1" applyBorder="1"/>
    <xf numFmtId="0" fontId="9" fillId="0" borderId="0" xfId="6" applyFont="1" applyAlignment="1">
      <alignment vertical="center" shrinkToFit="1"/>
    </xf>
    <xf numFmtId="41" fontId="11" fillId="0" borderId="5" xfId="6" applyNumberFormat="1" applyFont="1" applyBorder="1"/>
    <xf numFmtId="0" fontId="9" fillId="0" borderId="5" xfId="6" applyFont="1" applyBorder="1" applyAlignment="1">
      <alignment horizontal="left" vertical="center"/>
    </xf>
    <xf numFmtId="0" fontId="9" fillId="0" borderId="6" xfId="3" applyFont="1" applyBorder="1" applyAlignment="1">
      <alignment vertical="center" shrinkToFit="1"/>
    </xf>
    <xf numFmtId="0" fontId="9" fillId="0" borderId="13" xfId="6" applyFont="1" applyBorder="1" applyAlignment="1">
      <alignment vertical="center"/>
    </xf>
    <xf numFmtId="0" fontId="9" fillId="0" borderId="10" xfId="3" applyFont="1" applyBorder="1" applyAlignment="1">
      <alignment vertical="center" shrinkToFit="1"/>
    </xf>
    <xf numFmtId="0" fontId="25" fillId="0" borderId="5" xfId="3" applyFont="1" applyBorder="1" applyAlignment="1">
      <alignment vertical="center"/>
    </xf>
    <xf numFmtId="0" fontId="13" fillId="0" borderId="4" xfId="3" applyFont="1" applyBorder="1" applyAlignment="1">
      <alignment vertical="center"/>
    </xf>
    <xf numFmtId="0" fontId="13" fillId="0" borderId="5" xfId="3" applyFont="1" applyBorder="1" applyAlignment="1">
      <alignment vertical="center"/>
    </xf>
    <xf numFmtId="0" fontId="13" fillId="0" borderId="7" xfId="3" applyFont="1" applyBorder="1" applyAlignment="1">
      <alignment vertical="center"/>
    </xf>
    <xf numFmtId="0" fontId="9" fillId="0" borderId="0" xfId="3" applyFont="1" applyAlignment="1">
      <alignment vertical="center" shrinkToFit="1"/>
    </xf>
    <xf numFmtId="0" fontId="9" fillId="0" borderId="0" xfId="3" applyFont="1" applyAlignment="1">
      <alignment horizontal="center" vertical="center"/>
    </xf>
    <xf numFmtId="0" fontId="13" fillId="0" borderId="9" xfId="3" applyFont="1" applyBorder="1" applyAlignment="1">
      <alignment vertical="center"/>
    </xf>
    <xf numFmtId="0" fontId="9" fillId="0" borderId="1" xfId="6" applyFont="1" applyBorder="1" applyAlignment="1">
      <alignment horizontal="center" vertical="center"/>
    </xf>
    <xf numFmtId="177" fontId="24" fillId="0" borderId="5" xfId="6" applyNumberFormat="1" applyFont="1" applyBorder="1" applyAlignment="1">
      <alignment vertical="center"/>
    </xf>
    <xf numFmtId="0" fontId="20" fillId="0" borderId="0" xfId="3" applyFont="1" applyAlignment="1">
      <alignment vertical="center"/>
    </xf>
    <xf numFmtId="0" fontId="12" fillId="0" borderId="0" xfId="3" applyFont="1" applyAlignment="1">
      <alignment horizontal="centerContinuous" vertical="center"/>
    </xf>
    <xf numFmtId="0" fontId="15" fillId="0" borderId="0" xfId="6" applyFont="1" applyAlignment="1">
      <alignment horizontal="right" vertical="center"/>
    </xf>
    <xf numFmtId="0" fontId="12" fillId="0" borderId="5" xfId="3" applyFont="1" applyBorder="1" applyAlignment="1">
      <alignment vertical="center"/>
    </xf>
    <xf numFmtId="41" fontId="12" fillId="0" borderId="0" xfId="3" applyNumberFormat="1" applyFont="1" applyAlignment="1">
      <alignment vertical="center"/>
    </xf>
    <xf numFmtId="0" fontId="21" fillId="0" borderId="0" xfId="3" applyFont="1" applyAlignment="1">
      <alignment vertical="center"/>
    </xf>
    <xf numFmtId="0" fontId="12" fillId="0" borderId="14" xfId="3" applyFont="1" applyBorder="1" applyAlignment="1">
      <alignment vertical="center"/>
    </xf>
    <xf numFmtId="0" fontId="12" fillId="0" borderId="13" xfId="3" applyFont="1" applyBorder="1" applyAlignment="1">
      <alignment vertical="center"/>
    </xf>
    <xf numFmtId="41" fontId="14" fillId="0" borderId="10" xfId="3" applyNumberFormat="1" applyFont="1" applyBorder="1" applyAlignment="1">
      <alignment vertical="center"/>
    </xf>
    <xf numFmtId="0" fontId="12" fillId="0" borderId="1" xfId="3" applyFont="1" applyBorder="1" applyAlignment="1">
      <alignment horizontal="centerContinuous" vertical="center"/>
    </xf>
    <xf numFmtId="0" fontId="12" fillId="0" borderId="3" xfId="3" applyFont="1" applyBorder="1" applyAlignment="1">
      <alignment horizontal="centerContinuous" vertical="center"/>
    </xf>
    <xf numFmtId="0" fontId="12" fillId="0" borderId="7" xfId="3" applyFont="1" applyBorder="1" applyAlignment="1">
      <alignment horizontal="center" vertical="center"/>
    </xf>
    <xf numFmtId="0" fontId="12" fillId="0" borderId="8" xfId="3" applyFont="1" applyBorder="1" applyAlignment="1">
      <alignment horizontal="center" vertical="center"/>
    </xf>
    <xf numFmtId="0" fontId="8" fillId="0" borderId="10" xfId="0" applyFont="1" applyBorder="1">
      <alignment vertical="center"/>
    </xf>
    <xf numFmtId="41" fontId="14" fillId="0" borderId="13" xfId="3" applyNumberFormat="1" applyFont="1" applyBorder="1" applyAlignment="1">
      <alignment vertical="center"/>
    </xf>
    <xf numFmtId="0" fontId="8" fillId="0" borderId="5" xfId="0" applyFont="1" applyBorder="1">
      <alignment vertical="center"/>
    </xf>
    <xf numFmtId="41" fontId="14" fillId="0" borderId="4" xfId="3" applyNumberFormat="1" applyFont="1" applyBorder="1" applyAlignment="1">
      <alignment vertical="center"/>
    </xf>
    <xf numFmtId="0" fontId="8" fillId="0" borderId="7" xfId="0" applyFont="1" applyBorder="1">
      <alignment vertical="center"/>
    </xf>
    <xf numFmtId="0" fontId="26" fillId="0" borderId="5" xfId="0" applyFont="1" applyBorder="1">
      <alignment vertical="center"/>
    </xf>
    <xf numFmtId="0" fontId="18" fillId="0" borderId="0" xfId="6" applyFont="1" applyAlignment="1">
      <alignment vertical="center"/>
    </xf>
    <xf numFmtId="0" fontId="9" fillId="0" borderId="0" xfId="6" applyFont="1" applyAlignment="1">
      <alignment horizontal="center" vertical="center"/>
    </xf>
    <xf numFmtId="0" fontId="16" fillId="0" borderId="0" xfId="6" applyFont="1" applyAlignment="1">
      <alignment vertical="center"/>
    </xf>
    <xf numFmtId="0" fontId="9" fillId="0" borderId="12" xfId="6" applyFont="1" applyBorder="1" applyAlignment="1">
      <alignment horizontal="centerContinuous" vertical="center"/>
    </xf>
    <xf numFmtId="0" fontId="9" fillId="0" borderId="2" xfId="6" applyFont="1" applyBorder="1" applyAlignment="1">
      <alignment horizontal="centerContinuous" vertical="center"/>
    </xf>
    <xf numFmtId="41" fontId="15" fillId="0" borderId="0" xfId="6" applyNumberFormat="1" applyFont="1" applyAlignment="1">
      <alignment vertical="center"/>
    </xf>
    <xf numFmtId="0" fontId="15" fillId="0" borderId="0" xfId="6" applyFont="1" applyAlignment="1">
      <alignment horizontal="center" vertical="center"/>
    </xf>
    <xf numFmtId="0" fontId="10" fillId="0" borderId="9" xfId="6" applyFont="1" applyBorder="1" applyAlignment="1">
      <alignment vertical="center"/>
    </xf>
    <xf numFmtId="0" fontId="15" fillId="0" borderId="0" xfId="6" applyFont="1" applyAlignment="1">
      <alignment horizontal="centerContinuous" vertical="center"/>
    </xf>
    <xf numFmtId="0" fontId="10" fillId="0" borderId="0" xfId="6" applyFont="1" applyAlignment="1">
      <alignment vertical="center"/>
    </xf>
    <xf numFmtId="0" fontId="9" fillId="0" borderId="0" xfId="0" applyFont="1" applyAlignment="1">
      <alignment horizontal="left" vertical="center"/>
    </xf>
    <xf numFmtId="0" fontId="9" fillId="0" borderId="0" xfId="0" applyFont="1">
      <alignment vertical="center"/>
    </xf>
    <xf numFmtId="0" fontId="9" fillId="0" borderId="0" xfId="0" applyFont="1" applyAlignment="1">
      <alignment horizontal="centerContinuous" vertical="center"/>
    </xf>
    <xf numFmtId="2" fontId="9" fillId="0" borderId="5" xfId="0" applyNumberFormat="1" applyFont="1" applyBorder="1" applyAlignment="1">
      <alignment horizontal="left" vertical="center"/>
    </xf>
    <xf numFmtId="181" fontId="9" fillId="0" borderId="6" xfId="0" applyNumberFormat="1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181" fontId="26" fillId="0" borderId="6" xfId="0" applyNumberFormat="1" applyFont="1" applyBorder="1" applyAlignment="1">
      <alignment horizontal="center" vertical="center"/>
    </xf>
    <xf numFmtId="2" fontId="9" fillId="0" borderId="6" xfId="0" applyNumberFormat="1" applyFont="1" applyBorder="1" applyAlignment="1">
      <alignment horizontal="center" vertical="center"/>
    </xf>
    <xf numFmtId="0" fontId="9" fillId="0" borderId="10" xfId="6" applyFont="1" applyBorder="1" applyAlignment="1">
      <alignment vertical="center"/>
    </xf>
    <xf numFmtId="0" fontId="10" fillId="0" borderId="7" xfId="6" applyFont="1" applyBorder="1" applyAlignment="1">
      <alignment horizontal="center" vertical="center"/>
    </xf>
    <xf numFmtId="0" fontId="18" fillId="0" borderId="0" xfId="6" applyFont="1" applyAlignment="1">
      <alignment horizontal="left" vertical="center"/>
    </xf>
    <xf numFmtId="181" fontId="26" fillId="0" borderId="6" xfId="0" applyNumberFormat="1" applyFont="1" applyBorder="1" applyAlignment="1">
      <alignment horizontal="right" vertical="center"/>
    </xf>
    <xf numFmtId="0" fontId="24" fillId="0" borderId="4" xfId="6" applyFont="1" applyBorder="1" applyAlignment="1">
      <alignment vertical="center"/>
    </xf>
    <xf numFmtId="0" fontId="9" fillId="0" borderId="3" xfId="6" applyFont="1" applyBorder="1" applyAlignment="1">
      <alignment horizontal="centerContinuous" vertical="center"/>
    </xf>
    <xf numFmtId="41" fontId="26" fillId="0" borderId="5" xfId="6" applyNumberFormat="1" applyFont="1" applyBorder="1" applyAlignment="1">
      <alignment vertical="center"/>
    </xf>
    <xf numFmtId="0" fontId="15" fillId="0" borderId="14" xfId="6" applyFont="1" applyBorder="1" applyAlignment="1">
      <alignment vertical="center"/>
    </xf>
    <xf numFmtId="41" fontId="9" fillId="0" borderId="5" xfId="6" applyNumberFormat="1" applyFont="1" applyBorder="1" applyAlignment="1">
      <alignment vertical="center"/>
    </xf>
    <xf numFmtId="2" fontId="24" fillId="0" borderId="5" xfId="6" applyNumberFormat="1" applyFont="1" applyBorder="1" applyAlignment="1">
      <alignment vertical="center"/>
    </xf>
    <xf numFmtId="0" fontId="9" fillId="0" borderId="4" xfId="6" applyFont="1" applyBorder="1" applyAlignment="1">
      <alignment vertical="center" shrinkToFit="1"/>
    </xf>
    <xf numFmtId="0" fontId="23" fillId="0" borderId="0" xfId="6" applyFont="1" applyAlignment="1">
      <alignment vertical="center"/>
    </xf>
    <xf numFmtId="0" fontId="8" fillId="0" borderId="14" xfId="0" applyFont="1" applyBorder="1">
      <alignment vertical="center"/>
    </xf>
    <xf numFmtId="181" fontId="26" fillId="0" borderId="0" xfId="0" applyNumberFormat="1" applyFont="1">
      <alignment vertical="center"/>
    </xf>
    <xf numFmtId="181" fontId="26" fillId="0" borderId="0" xfId="0" applyNumberFormat="1" applyFont="1" applyAlignment="1">
      <alignment horizontal="right" vertical="center"/>
    </xf>
    <xf numFmtId="0" fontId="9" fillId="0" borderId="3" xfId="6" applyFont="1" applyBorder="1" applyAlignment="1">
      <alignment horizontal="center" vertical="center"/>
    </xf>
    <xf numFmtId="0" fontId="19" fillId="0" borderId="7" xfId="9" applyFont="1" applyBorder="1" applyAlignment="1">
      <alignment horizontal="center" vertical="center"/>
    </xf>
    <xf numFmtId="0" fontId="19" fillId="0" borderId="8" xfId="9" applyFont="1" applyBorder="1" applyAlignment="1">
      <alignment horizontal="center" vertical="center"/>
    </xf>
    <xf numFmtId="0" fontId="9" fillId="0" borderId="4" xfId="9" applyFont="1" applyBorder="1" applyAlignment="1">
      <alignment horizontal="center" vertical="center"/>
    </xf>
    <xf numFmtId="0" fontId="24" fillId="0" borderId="4" xfId="0" applyFont="1" applyBorder="1" applyAlignment="1">
      <alignment horizontal="left" vertical="center"/>
    </xf>
    <xf numFmtId="0" fontId="26" fillId="0" borderId="5" xfId="9" applyFont="1" applyBorder="1" applyAlignment="1">
      <alignment horizontal="left" vertical="center"/>
    </xf>
    <xf numFmtId="0" fontId="26" fillId="0" borderId="4" xfId="9" applyFont="1" applyBorder="1" applyAlignment="1">
      <alignment horizontal="center" vertical="center"/>
    </xf>
    <xf numFmtId="0" fontId="10" fillId="0" borderId="4" xfId="9" applyFont="1" applyBorder="1" applyAlignment="1">
      <alignment horizontal="left" vertical="center"/>
    </xf>
    <xf numFmtId="0" fontId="9" fillId="0" borderId="4" xfId="9" applyFont="1" applyBorder="1" applyAlignment="1">
      <alignment horizontal="left" vertical="center"/>
    </xf>
    <xf numFmtId="0" fontId="26" fillId="0" borderId="4" xfId="9" applyFont="1" applyBorder="1" applyAlignment="1">
      <alignment horizontal="left" vertical="center"/>
    </xf>
    <xf numFmtId="0" fontId="24" fillId="0" borderId="5" xfId="9" applyFont="1" applyBorder="1" applyAlignment="1">
      <alignment vertical="center"/>
    </xf>
    <xf numFmtId="0" fontId="10" fillId="0" borderId="5" xfId="9" applyFont="1" applyBorder="1" applyAlignment="1">
      <alignment vertical="center"/>
    </xf>
    <xf numFmtId="0" fontId="10" fillId="0" borderId="9" xfId="9" applyFont="1" applyBorder="1" applyAlignment="1">
      <alignment horizontal="left" vertical="center"/>
    </xf>
    <xf numFmtId="0" fontId="9" fillId="0" borderId="9" xfId="9" applyFont="1" applyBorder="1" applyAlignment="1">
      <alignment horizontal="left" vertical="center"/>
    </xf>
    <xf numFmtId="0" fontId="9" fillId="0" borderId="9" xfId="9" applyFont="1" applyBorder="1" applyAlignment="1">
      <alignment horizontal="center" vertical="center"/>
    </xf>
    <xf numFmtId="0" fontId="10" fillId="0" borderId="7" xfId="9" applyFont="1" applyBorder="1" applyAlignment="1">
      <alignment vertical="center"/>
    </xf>
    <xf numFmtId="0" fontId="19" fillId="0" borderId="4" xfId="9" applyFont="1" applyBorder="1" applyAlignment="1">
      <alignment vertical="center"/>
    </xf>
    <xf numFmtId="0" fontId="9" fillId="0" borderId="4" xfId="9" applyFont="1" applyBorder="1" applyAlignment="1">
      <alignment vertical="center"/>
    </xf>
    <xf numFmtId="0" fontId="19" fillId="0" borderId="12" xfId="9" applyFont="1" applyBorder="1" applyAlignment="1">
      <alignment horizontal="centerContinuous" vertical="center"/>
    </xf>
    <xf numFmtId="0" fontId="19" fillId="0" borderId="2" xfId="9" applyFont="1" applyBorder="1" applyAlignment="1">
      <alignment horizontal="centerContinuous" vertical="center"/>
    </xf>
    <xf numFmtId="41" fontId="11" fillId="0" borderId="5" xfId="9" applyNumberFormat="1" applyFont="1" applyBorder="1" applyAlignment="1">
      <alignment vertical="center"/>
    </xf>
    <xf numFmtId="41" fontId="11" fillId="0" borderId="10" xfId="6" applyNumberFormat="1" applyFont="1" applyBorder="1" applyAlignment="1">
      <alignment vertical="center"/>
    </xf>
    <xf numFmtId="184" fontId="24" fillId="0" borderId="5" xfId="9" applyNumberFormat="1" applyFont="1" applyBorder="1" applyAlignment="1">
      <alignment vertical="center"/>
    </xf>
    <xf numFmtId="184" fontId="10" fillId="0" borderId="5" xfId="9" applyNumberFormat="1" applyFont="1" applyBorder="1" applyAlignment="1">
      <alignment vertical="center"/>
    </xf>
    <xf numFmtId="187" fontId="18" fillId="0" borderId="0" xfId="6" applyNumberFormat="1" applyFont="1" applyAlignment="1">
      <alignment vertical="center"/>
    </xf>
    <xf numFmtId="0" fontId="9" fillId="0" borderId="3" xfId="6" applyFont="1" applyBorder="1" applyAlignment="1">
      <alignment horizontal="center" vertical="center" wrapText="1"/>
    </xf>
    <xf numFmtId="0" fontId="9" fillId="0" borderId="0" xfId="2" applyFont="1" applyAlignment="1">
      <alignment horizontal="left" vertical="center"/>
    </xf>
    <xf numFmtId="0" fontId="9" fillId="0" borderId="0" xfId="2" applyFont="1" applyAlignment="1">
      <alignment vertical="center"/>
    </xf>
    <xf numFmtId="185" fontId="9" fillId="0" borderId="0" xfId="7" applyNumberFormat="1" applyFont="1" applyAlignment="1">
      <alignment horizontal="right" vertical="center"/>
    </xf>
    <xf numFmtId="3" fontId="9" fillId="0" borderId="12" xfId="6" applyNumberFormat="1" applyFont="1" applyBorder="1" applyAlignment="1">
      <alignment horizontal="center" vertical="center" wrapText="1"/>
    </xf>
    <xf numFmtId="41" fontId="9" fillId="0" borderId="5" xfId="2" applyNumberFormat="1" applyFont="1" applyBorder="1" applyAlignment="1">
      <alignment horizontal="center" vertical="center"/>
    </xf>
    <xf numFmtId="0" fontId="9" fillId="0" borderId="4" xfId="2" applyFont="1" applyBorder="1" applyAlignment="1">
      <alignment horizontal="left" vertical="center"/>
    </xf>
    <xf numFmtId="41" fontId="9" fillId="0" borderId="5" xfId="2" applyNumberFormat="1" applyFont="1" applyBorder="1" applyAlignment="1">
      <alignment vertical="center"/>
    </xf>
    <xf numFmtId="41" fontId="24" fillId="0" borderId="6" xfId="11" applyFont="1" applyFill="1" applyBorder="1" applyAlignment="1">
      <alignment vertical="center"/>
    </xf>
    <xf numFmtId="0" fontId="10" fillId="0" borderId="4" xfId="2" applyFont="1" applyBorder="1" applyAlignment="1">
      <alignment horizontal="left" vertical="center"/>
    </xf>
    <xf numFmtId="41" fontId="10" fillId="0" borderId="0" xfId="11" applyFont="1" applyFill="1" applyBorder="1" applyAlignment="1">
      <alignment vertical="center"/>
    </xf>
    <xf numFmtId="184" fontId="9" fillId="0" borderId="5" xfId="11" applyNumberFormat="1" applyFont="1" applyFill="1" applyBorder="1" applyAlignment="1">
      <alignment vertical="center"/>
    </xf>
    <xf numFmtId="0" fontId="9" fillId="0" borderId="4" xfId="2" applyFont="1" applyBorder="1" applyAlignment="1">
      <alignment vertical="center"/>
    </xf>
    <xf numFmtId="41" fontId="10" fillId="0" borderId="6" xfId="11" applyFont="1" applyFill="1" applyBorder="1" applyAlignment="1">
      <alignment vertical="center"/>
    </xf>
    <xf numFmtId="0" fontId="10" fillId="0" borderId="4" xfId="6" applyFont="1" applyBorder="1" applyAlignment="1">
      <alignment horizontal="left" vertical="center"/>
    </xf>
    <xf numFmtId="0" fontId="9" fillId="0" borderId="3" xfId="6" applyFont="1" applyBorder="1" applyAlignment="1">
      <alignment horizontal="center" vertical="center" shrinkToFit="1"/>
    </xf>
    <xf numFmtId="0" fontId="28" fillId="0" borderId="4" xfId="2" applyFont="1" applyBorder="1" applyAlignment="1">
      <alignment horizontal="left" vertical="center"/>
    </xf>
    <xf numFmtId="185" fontId="10" fillId="0" borderId="5" xfId="11" applyNumberFormat="1" applyFont="1" applyFill="1" applyBorder="1" applyAlignment="1">
      <alignment vertical="center"/>
    </xf>
    <xf numFmtId="0" fontId="9" fillId="0" borderId="4" xfId="2" applyFont="1" applyBorder="1" applyAlignment="1">
      <alignment horizontal="left" vertical="center" shrinkToFit="1"/>
    </xf>
    <xf numFmtId="0" fontId="9" fillId="0" borderId="4" xfId="2" applyFont="1" applyBorder="1" applyAlignment="1">
      <alignment horizontal="center" vertical="center"/>
    </xf>
    <xf numFmtId="0" fontId="10" fillId="0" borderId="5" xfId="2" applyFont="1" applyBorder="1" applyAlignment="1">
      <alignment vertical="center"/>
    </xf>
    <xf numFmtId="180" fontId="9" fillId="0" borderId="0" xfId="11" applyNumberFormat="1" applyFont="1" applyFill="1" applyBorder="1" applyAlignment="1">
      <alignment horizontal="center" vertical="center"/>
    </xf>
    <xf numFmtId="0" fontId="9" fillId="0" borderId="14" xfId="6" applyFont="1" applyBorder="1" applyAlignment="1">
      <alignment horizontal="left" vertical="center"/>
    </xf>
    <xf numFmtId="0" fontId="9" fillId="0" borderId="14" xfId="6" applyFont="1" applyBorder="1" applyAlignment="1">
      <alignment vertical="center"/>
    </xf>
    <xf numFmtId="0" fontId="12" fillId="0" borderId="14" xfId="3" applyFont="1" applyBorder="1" applyAlignment="1">
      <alignment horizontal="right" vertical="center"/>
    </xf>
    <xf numFmtId="41" fontId="16" fillId="0" borderId="14" xfId="8" applyFont="1" applyFill="1" applyBorder="1" applyAlignment="1">
      <alignment vertical="center"/>
    </xf>
    <xf numFmtId="0" fontId="16" fillId="0" borderId="0" xfId="0" applyFont="1" applyAlignment="1">
      <alignment horizontal="left" vertical="center"/>
    </xf>
    <xf numFmtId="2" fontId="16" fillId="0" borderId="0" xfId="0" applyNumberFormat="1" applyFont="1" applyAlignment="1">
      <alignment horizontal="center" vertical="center"/>
    </xf>
    <xf numFmtId="41" fontId="16" fillId="0" borderId="0" xfId="1" applyFont="1" applyFill="1" applyBorder="1" applyAlignment="1">
      <alignment horizontal="center" vertical="center"/>
    </xf>
    <xf numFmtId="0" fontId="9" fillId="0" borderId="13" xfId="6" applyFont="1" applyBorder="1" applyAlignment="1">
      <alignment horizontal="center" vertical="center"/>
    </xf>
    <xf numFmtId="0" fontId="9" fillId="0" borderId="4" xfId="6" applyFont="1" applyBorder="1" applyAlignment="1">
      <alignment horizontal="center" vertical="center"/>
    </xf>
    <xf numFmtId="0" fontId="9" fillId="0" borderId="9" xfId="6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/>
    </xf>
    <xf numFmtId="0" fontId="9" fillId="0" borderId="5" xfId="6" applyFont="1" applyBorder="1" applyAlignment="1">
      <alignment horizontal="center" vertical="center"/>
    </xf>
    <xf numFmtId="0" fontId="9" fillId="0" borderId="7" xfId="6" applyFont="1" applyBorder="1" applyAlignment="1">
      <alignment horizontal="center" vertical="center"/>
    </xf>
    <xf numFmtId="0" fontId="9" fillId="0" borderId="3" xfId="6" applyFont="1" applyBorder="1" applyAlignment="1">
      <alignment horizontal="center" vertical="center" wrapText="1"/>
    </xf>
    <xf numFmtId="0" fontId="9" fillId="0" borderId="12" xfId="6" applyFont="1" applyBorder="1" applyAlignment="1">
      <alignment horizontal="center" vertical="center" wrapText="1"/>
    </xf>
    <xf numFmtId="0" fontId="9" fillId="0" borderId="13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0" fontId="12" fillId="0" borderId="1" xfId="3" applyFont="1" applyBorder="1" applyAlignment="1">
      <alignment horizontal="center" vertical="center"/>
    </xf>
    <xf numFmtId="0" fontId="19" fillId="0" borderId="13" xfId="9" applyFont="1" applyBorder="1" applyAlignment="1">
      <alignment horizontal="center" vertical="center"/>
    </xf>
    <xf numFmtId="0" fontId="19" fillId="0" borderId="9" xfId="9" applyFont="1" applyBorder="1" applyAlignment="1">
      <alignment horizontal="center" vertical="center"/>
    </xf>
    <xf numFmtId="0" fontId="19" fillId="0" borderId="10" xfId="9" applyFont="1" applyBorder="1" applyAlignment="1">
      <alignment horizontal="center" vertical="center"/>
    </xf>
    <xf numFmtId="0" fontId="19" fillId="0" borderId="7" xfId="9" applyFont="1" applyBorder="1" applyAlignment="1">
      <alignment horizontal="center" vertical="center"/>
    </xf>
    <xf numFmtId="0" fontId="9" fillId="0" borderId="11" xfId="6" applyFont="1" applyBorder="1" applyAlignment="1">
      <alignment horizontal="center" vertical="center"/>
    </xf>
    <xf numFmtId="0" fontId="9" fillId="0" borderId="8" xfId="6" applyFont="1" applyBorder="1" applyAlignment="1">
      <alignment horizontal="center" vertical="center"/>
    </xf>
    <xf numFmtId="0" fontId="9" fillId="0" borderId="3" xfId="6" applyFont="1" applyBorder="1" applyAlignment="1">
      <alignment horizontal="center" vertical="center"/>
    </xf>
    <xf numFmtId="0" fontId="9" fillId="0" borderId="12" xfId="6" applyFont="1" applyBorder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12" fillId="0" borderId="3" xfId="3" applyFont="1" applyBorder="1" applyAlignment="1">
      <alignment horizontal="center" vertical="center"/>
    </xf>
    <xf numFmtId="0" fontId="12" fillId="0" borderId="12" xfId="3" applyFont="1" applyBorder="1" applyAlignment="1">
      <alignment horizontal="center" vertical="center"/>
    </xf>
    <xf numFmtId="0" fontId="9" fillId="0" borderId="2" xfId="6" applyFont="1" applyBorder="1" applyAlignment="1">
      <alignment horizontal="center" vertical="center" wrapText="1"/>
    </xf>
    <xf numFmtId="0" fontId="9" fillId="0" borderId="3" xfId="2" applyFont="1" applyBorder="1" applyAlignment="1">
      <alignment horizontal="center" vertical="center" shrinkToFit="1"/>
    </xf>
    <xf numFmtId="0" fontId="9" fillId="0" borderId="12" xfId="2" applyFont="1" applyBorder="1" applyAlignment="1">
      <alignment horizontal="center" vertical="center" shrinkToFit="1"/>
    </xf>
    <xf numFmtId="0" fontId="9" fillId="0" borderId="2" xfId="2" applyFont="1" applyBorder="1" applyAlignment="1">
      <alignment horizontal="center" vertical="center" shrinkToFit="1"/>
    </xf>
    <xf numFmtId="0" fontId="19" fillId="0" borderId="11" xfId="9" applyFont="1" applyBorder="1" applyAlignment="1">
      <alignment horizontal="center" vertical="center"/>
    </xf>
    <xf numFmtId="0" fontId="19" fillId="0" borderId="8" xfId="9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12" fillId="0" borderId="5" xfId="3" applyFont="1" applyBorder="1" applyAlignment="1">
      <alignment horizontal="center" vertical="center"/>
    </xf>
    <xf numFmtId="0" fontId="12" fillId="0" borderId="7" xfId="3" applyFont="1" applyBorder="1" applyAlignment="1">
      <alignment horizontal="center" vertical="center"/>
    </xf>
    <xf numFmtId="0" fontId="9" fillId="0" borderId="10" xfId="6" applyFont="1" applyBorder="1" applyAlignment="1">
      <alignment horizontal="center" vertical="center" wrapText="1"/>
    </xf>
    <xf numFmtId="0" fontId="9" fillId="0" borderId="2" xfId="6" applyFont="1" applyBorder="1" applyAlignment="1">
      <alignment horizontal="center" vertical="center"/>
    </xf>
    <xf numFmtId="0" fontId="12" fillId="0" borderId="2" xfId="3" applyFont="1" applyBorder="1" applyAlignment="1">
      <alignment horizontal="center" vertical="center"/>
    </xf>
  </cellXfs>
  <cellStyles count="12">
    <cellStyle name="쉼표 [0]" xfId="1" builtinId="6"/>
    <cellStyle name="콤마 [0]_가설공사(1)" xfId="5" xr:uid="{00000000-0005-0000-0000-000002000000}"/>
    <cellStyle name="콤마 [0]_가설공사(2)" xfId="8" xr:uid="{00000000-0005-0000-0000-000003000000}"/>
    <cellStyle name="콤마 [0]_기초공사" xfId="10" xr:uid="{00000000-0005-0000-0000-000004000000}"/>
    <cellStyle name="콤마 [0]_조경공사" xfId="11" xr:uid="{A08D0223-7791-49A6-8690-F2FA2BB406C0}"/>
    <cellStyle name="표준" xfId="0" builtinId="0"/>
    <cellStyle name="표준_Sheet1" xfId="4" xr:uid="{00000000-0005-0000-0000-000006000000}"/>
    <cellStyle name="표준_가설공사(1)" xfId="3" xr:uid="{00000000-0005-0000-0000-000007000000}"/>
    <cellStyle name="표준_가설공사(2)" xfId="6" xr:uid="{00000000-0005-0000-0000-000008000000}"/>
    <cellStyle name="표준_기초공사" xfId="9" xr:uid="{00000000-0005-0000-0000-000009000000}"/>
    <cellStyle name="표준_조경공사" xfId="2" xr:uid="{00000000-0005-0000-0000-00000A000000}"/>
    <cellStyle name="표준_토공사" xfId="7" xr:uid="{00000000-0005-0000-0000-00000B00000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D905AF-1192-421F-B55C-E7C77C338080}">
  <sheetPr>
    <pageSetUpPr fitToPage="1"/>
  </sheetPr>
  <dimension ref="A1:P1172"/>
  <sheetViews>
    <sheetView tabSelected="1" zoomScaleNormal="100" workbookViewId="0">
      <selection activeCell="M20" sqref="M20"/>
    </sheetView>
  </sheetViews>
  <sheetFormatPr defaultColWidth="9" defaultRowHeight="12.95" customHeight="1" x14ac:dyDescent="0.3"/>
  <cols>
    <col min="1" max="1" width="2.625" style="1" customWidth="1"/>
    <col min="2" max="2" width="15.625" style="1" customWidth="1"/>
    <col min="3" max="3" width="15.625" style="73" customWidth="1"/>
    <col min="4" max="4" width="4.625" style="1" customWidth="1"/>
    <col min="5" max="5" width="11.625" style="1" customWidth="1"/>
    <col min="6" max="6" width="8.625" style="1" customWidth="1"/>
    <col min="7" max="7" width="11.625" style="1" customWidth="1"/>
    <col min="8" max="8" width="8.625" style="1" customWidth="1"/>
    <col min="9" max="9" width="11.625" style="1" customWidth="1"/>
    <col min="10" max="10" width="8.625" style="1" customWidth="1"/>
    <col min="11" max="11" width="11.625" style="1" customWidth="1"/>
    <col min="12" max="12" width="8.625" style="1" customWidth="1"/>
    <col min="13" max="13" width="11.625" style="1" customWidth="1"/>
    <col min="14" max="14" width="2.625" style="1" customWidth="1"/>
    <col min="15" max="15" width="11.625" style="1" customWidth="1"/>
    <col min="16" max="16384" width="9" style="1"/>
  </cols>
  <sheetData>
    <row r="1" spans="1:9" ht="12.95" customHeight="1" x14ac:dyDescent="0.3">
      <c r="A1" s="58"/>
      <c r="B1" s="70" t="s">
        <v>12</v>
      </c>
      <c r="C1" s="71"/>
      <c r="D1" s="72"/>
    </row>
    <row r="2" spans="1:9" ht="12.95" customHeight="1" x14ac:dyDescent="0.15">
      <c r="A2" s="59"/>
      <c r="B2" s="72" t="s">
        <v>18</v>
      </c>
    </row>
    <row r="3" spans="1:9" ht="12.95" customHeight="1" x14ac:dyDescent="0.3">
      <c r="B3" s="74" t="s">
        <v>19</v>
      </c>
      <c r="C3" s="75"/>
      <c r="D3" s="14"/>
      <c r="E3" s="76"/>
      <c r="F3" s="6"/>
      <c r="G3" s="6"/>
      <c r="H3" s="6"/>
      <c r="I3" s="77" t="s">
        <v>17</v>
      </c>
    </row>
    <row r="4" spans="1:9" ht="12.95" customHeight="1" x14ac:dyDescent="0.3">
      <c r="B4" s="242" t="s">
        <v>13</v>
      </c>
      <c r="C4" s="244" t="s">
        <v>67</v>
      </c>
      <c r="D4" s="246" t="s">
        <v>21</v>
      </c>
      <c r="E4" s="237" t="s">
        <v>14</v>
      </c>
      <c r="F4" s="240" t="s">
        <v>145</v>
      </c>
      <c r="G4" s="241"/>
      <c r="H4" s="240" t="s">
        <v>146</v>
      </c>
      <c r="I4" s="241"/>
    </row>
    <row r="5" spans="1:9" ht="12.95" customHeight="1" x14ac:dyDescent="0.3">
      <c r="B5" s="243"/>
      <c r="C5" s="245"/>
      <c r="D5" s="246"/>
      <c r="E5" s="239"/>
      <c r="F5" s="79" t="s">
        <v>15</v>
      </c>
      <c r="G5" s="80" t="s">
        <v>16</v>
      </c>
      <c r="H5" s="79" t="s">
        <v>15</v>
      </c>
      <c r="I5" s="80" t="s">
        <v>16</v>
      </c>
    </row>
    <row r="6" spans="1:9" ht="12.95" customHeight="1" x14ac:dyDescent="0.3">
      <c r="B6" s="81" t="s">
        <v>94</v>
      </c>
      <c r="C6" s="81" t="s">
        <v>71</v>
      </c>
      <c r="D6" s="18" t="s">
        <v>46</v>
      </c>
      <c r="E6" s="82">
        <v>7951</v>
      </c>
      <c r="F6" s="56">
        <v>0.19</v>
      </c>
      <c r="G6" s="2">
        <f t="shared" ref="G6" si="0">TRUNC($E6*F6,1)</f>
        <v>1510.6</v>
      </c>
      <c r="H6" s="56">
        <v>0.15</v>
      </c>
      <c r="I6" s="5">
        <f t="shared" ref="I6" si="1">TRUNC($E6*H6,1)</f>
        <v>1192.5999999999999</v>
      </c>
    </row>
    <row r="7" spans="1:9" ht="12.95" customHeight="1" x14ac:dyDescent="0.3">
      <c r="B7" s="83" t="s">
        <v>22</v>
      </c>
      <c r="C7" s="84" t="s">
        <v>24</v>
      </c>
      <c r="D7" s="85" t="s">
        <v>47</v>
      </c>
      <c r="E7" s="86"/>
      <c r="F7" s="37">
        <v>1</v>
      </c>
      <c r="G7" s="8">
        <f>TRUNC(SUM(G10:G11)*0.02,1)</f>
        <v>1822.2</v>
      </c>
      <c r="H7" s="37">
        <v>1</v>
      </c>
      <c r="I7" s="8">
        <f>TRUNC(SUM(I10:I11)*0.02,1)</f>
        <v>1420.2</v>
      </c>
    </row>
    <row r="8" spans="1:9" ht="12.95" customHeight="1" x14ac:dyDescent="0.3">
      <c r="B8" s="87" t="s">
        <v>31</v>
      </c>
      <c r="C8" s="88"/>
      <c r="D8" s="89"/>
      <c r="E8" s="90"/>
      <c r="F8" s="90"/>
      <c r="G8" s="45">
        <f>TRUNC(SUM(G6:G7))</f>
        <v>3332</v>
      </c>
      <c r="H8" s="90"/>
      <c r="I8" s="45">
        <f>TRUNC(SUM(I6:I7))</f>
        <v>2612</v>
      </c>
    </row>
    <row r="9" spans="1:9" ht="12.95" customHeight="1" x14ac:dyDescent="0.3">
      <c r="B9" s="91"/>
      <c r="C9" s="91"/>
      <c r="D9" s="85"/>
      <c r="E9" s="92"/>
      <c r="F9" s="92"/>
      <c r="G9" s="93"/>
      <c r="H9" s="92"/>
      <c r="I9" s="93"/>
    </row>
    <row r="10" spans="1:9" ht="12.95" customHeight="1" x14ac:dyDescent="0.3">
      <c r="B10" s="94" t="s">
        <v>10</v>
      </c>
      <c r="C10" s="84"/>
      <c r="D10" s="95" t="s">
        <v>27</v>
      </c>
      <c r="E10" s="4">
        <v>277642</v>
      </c>
      <c r="F10" s="56">
        <v>0.26</v>
      </c>
      <c r="G10" s="2">
        <f t="shared" ref="G10:G12" si="2">TRUNC($E10*F10,1)</f>
        <v>72186.899999999994</v>
      </c>
      <c r="H10" s="56">
        <v>0.2</v>
      </c>
      <c r="I10" s="5">
        <f t="shared" ref="I10:I12" si="3">TRUNC($E10*H10,1)</f>
        <v>55528.4</v>
      </c>
    </row>
    <row r="11" spans="1:9" ht="12.95" customHeight="1" x14ac:dyDescent="0.3">
      <c r="B11" s="94" t="s">
        <v>4</v>
      </c>
      <c r="C11" s="84"/>
      <c r="D11" s="95" t="s">
        <v>27</v>
      </c>
      <c r="E11" s="4">
        <v>172068</v>
      </c>
      <c r="F11" s="60">
        <v>0.11</v>
      </c>
      <c r="G11" s="2">
        <f t="shared" si="2"/>
        <v>18927.400000000001</v>
      </c>
      <c r="H11" s="60">
        <v>0.09</v>
      </c>
      <c r="I11" s="5">
        <f t="shared" si="3"/>
        <v>15486.1</v>
      </c>
    </row>
    <row r="12" spans="1:9" ht="12.95" customHeight="1" x14ac:dyDescent="0.3">
      <c r="B12" s="81" t="s">
        <v>94</v>
      </c>
      <c r="C12" s="81" t="s">
        <v>71</v>
      </c>
      <c r="D12" s="85" t="s">
        <v>46</v>
      </c>
      <c r="E12" s="7">
        <v>58925</v>
      </c>
      <c r="F12" s="56">
        <v>0.19</v>
      </c>
      <c r="G12" s="2">
        <f t="shared" si="2"/>
        <v>11195.7</v>
      </c>
      <c r="H12" s="56">
        <v>0.15</v>
      </c>
      <c r="I12" s="5">
        <f t="shared" si="3"/>
        <v>8838.7000000000007</v>
      </c>
    </row>
    <row r="13" spans="1:9" ht="12.95" customHeight="1" x14ac:dyDescent="0.3">
      <c r="B13" s="96" t="s">
        <v>32</v>
      </c>
      <c r="C13" s="88"/>
      <c r="D13" s="89"/>
      <c r="E13" s="44"/>
      <c r="F13" s="52"/>
      <c r="G13" s="45">
        <f>TRUNC(SUM(G10:G12))</f>
        <v>102310</v>
      </c>
      <c r="H13" s="52"/>
      <c r="I13" s="45">
        <f>TRUNC(SUM(I10:I12))</f>
        <v>79853</v>
      </c>
    </row>
    <row r="14" spans="1:9" ht="12.95" customHeight="1" x14ac:dyDescent="0.3">
      <c r="B14" s="91"/>
      <c r="C14" s="91"/>
      <c r="D14" s="85"/>
      <c r="E14" s="92"/>
      <c r="F14" s="56"/>
      <c r="G14" s="93"/>
      <c r="H14" s="56"/>
      <c r="I14" s="93"/>
    </row>
    <row r="15" spans="1:9" ht="12.95" customHeight="1" x14ac:dyDescent="0.3">
      <c r="B15" s="81" t="s">
        <v>94</v>
      </c>
      <c r="C15" s="81" t="s">
        <v>71</v>
      </c>
      <c r="D15" s="85" t="s">
        <v>46</v>
      </c>
      <c r="E15" s="7">
        <v>31344</v>
      </c>
      <c r="F15" s="56">
        <v>0.19</v>
      </c>
      <c r="G15" s="2">
        <f t="shared" ref="G15" si="4">TRUNC($E15*F15,1)</f>
        <v>5955.3</v>
      </c>
      <c r="H15" s="56">
        <v>0.15</v>
      </c>
      <c r="I15" s="5">
        <f t="shared" ref="I15" si="5">TRUNC($E15*H15,1)</f>
        <v>4701.6000000000004</v>
      </c>
    </row>
    <row r="16" spans="1:9" ht="12.95" customHeight="1" x14ac:dyDescent="0.3">
      <c r="B16" s="87" t="s">
        <v>33</v>
      </c>
      <c r="C16" s="88"/>
      <c r="D16" s="97"/>
      <c r="E16" s="44"/>
      <c r="F16" s="90"/>
      <c r="G16" s="45">
        <f>TRUNC(SUM(G15))</f>
        <v>5955</v>
      </c>
      <c r="H16" s="90"/>
      <c r="I16" s="45">
        <f>TRUNC(SUM(I15))</f>
        <v>4701</v>
      </c>
    </row>
    <row r="17" spans="2:11" ht="12.95" customHeight="1" x14ac:dyDescent="0.3">
      <c r="B17" s="91"/>
      <c r="C17" s="91"/>
      <c r="D17" s="85"/>
      <c r="E17" s="92"/>
      <c r="F17" s="92"/>
      <c r="G17" s="93"/>
      <c r="H17" s="92"/>
      <c r="I17" s="93"/>
    </row>
    <row r="18" spans="2:11" ht="12.95" customHeight="1" x14ac:dyDescent="0.3">
      <c r="B18" s="98" t="s">
        <v>38</v>
      </c>
      <c r="C18" s="99"/>
      <c r="D18" s="100"/>
      <c r="E18" s="101"/>
      <c r="F18" s="102"/>
      <c r="G18" s="9">
        <f>SUM(G8+G13+G16)</f>
        <v>111597</v>
      </c>
      <c r="H18" s="102"/>
      <c r="I18" s="9">
        <f>SUM(I8+I13+I16)</f>
        <v>87166</v>
      </c>
    </row>
    <row r="20" spans="2:11" ht="12.95" customHeight="1" x14ac:dyDescent="0.3">
      <c r="B20" s="103" t="s">
        <v>26</v>
      </c>
      <c r="C20" s="76"/>
      <c r="D20" s="76"/>
      <c r="E20" s="76"/>
      <c r="F20" s="76"/>
      <c r="G20" s="76"/>
      <c r="H20" s="76"/>
      <c r="I20" s="76"/>
      <c r="J20" s="76"/>
      <c r="K20" s="104" t="s">
        <v>49</v>
      </c>
    </row>
    <row r="21" spans="2:11" ht="12.95" customHeight="1" x14ac:dyDescent="0.3">
      <c r="B21" s="242" t="s">
        <v>13</v>
      </c>
      <c r="C21" s="244" t="s">
        <v>67</v>
      </c>
      <c r="D21" s="246" t="s">
        <v>21</v>
      </c>
      <c r="E21" s="237" t="s">
        <v>14</v>
      </c>
      <c r="F21" s="240" t="s">
        <v>147</v>
      </c>
      <c r="G21" s="241"/>
      <c r="H21" s="240" t="s">
        <v>148</v>
      </c>
      <c r="I21" s="241"/>
      <c r="J21" s="240" t="s">
        <v>149</v>
      </c>
      <c r="K21" s="241"/>
    </row>
    <row r="22" spans="2:11" ht="12.95" customHeight="1" x14ac:dyDescent="0.3">
      <c r="B22" s="243"/>
      <c r="C22" s="245"/>
      <c r="D22" s="246"/>
      <c r="E22" s="239"/>
      <c r="F22" s="79" t="s">
        <v>15</v>
      </c>
      <c r="G22" s="80" t="s">
        <v>16</v>
      </c>
      <c r="H22" s="79" t="s">
        <v>15</v>
      </c>
      <c r="I22" s="80" t="s">
        <v>16</v>
      </c>
      <c r="J22" s="79" t="s">
        <v>15</v>
      </c>
      <c r="K22" s="80" t="s">
        <v>16</v>
      </c>
    </row>
    <row r="23" spans="2:11" ht="12.95" customHeight="1" x14ac:dyDescent="0.3">
      <c r="B23" s="81" t="s">
        <v>94</v>
      </c>
      <c r="C23" s="81" t="s">
        <v>71</v>
      </c>
      <c r="D23" s="18" t="s">
        <v>46</v>
      </c>
      <c r="E23" s="82">
        <v>7951</v>
      </c>
      <c r="F23" s="56">
        <v>2</v>
      </c>
      <c r="G23" s="2">
        <f t="shared" ref="G23" si="6">TRUNC($E23*F23,1)</f>
        <v>15902</v>
      </c>
      <c r="H23" s="56">
        <v>2</v>
      </c>
      <c r="I23" s="5">
        <f t="shared" ref="I23" si="7">TRUNC($E23*H23,1)</f>
        <v>15902</v>
      </c>
      <c r="J23" s="56">
        <v>2</v>
      </c>
      <c r="K23" s="5">
        <f t="shared" ref="K23" si="8">TRUNC($E23*J23,1)</f>
        <v>15902</v>
      </c>
    </row>
    <row r="24" spans="2:11" ht="12.95" customHeight="1" x14ac:dyDescent="0.3">
      <c r="B24" s="87" t="s">
        <v>31</v>
      </c>
      <c r="C24" s="88"/>
      <c r="D24" s="89"/>
      <c r="E24" s="90"/>
      <c r="F24" s="90"/>
      <c r="G24" s="45">
        <f>TRUNC(SUM(G23:G23))</f>
        <v>15902</v>
      </c>
      <c r="H24" s="90"/>
      <c r="I24" s="45">
        <f>TRUNC(SUM(I23:I23))</f>
        <v>15902</v>
      </c>
      <c r="J24" s="90"/>
      <c r="K24" s="45">
        <f>TRUNC(SUM(K23:K23))</f>
        <v>15902</v>
      </c>
    </row>
    <row r="25" spans="2:11" ht="12.95" customHeight="1" x14ac:dyDescent="0.3">
      <c r="B25" s="91"/>
      <c r="C25" s="91"/>
      <c r="D25" s="85"/>
      <c r="E25" s="92"/>
      <c r="F25" s="92"/>
      <c r="G25" s="93"/>
      <c r="H25" s="92"/>
      <c r="I25" s="93"/>
      <c r="J25" s="92"/>
      <c r="K25" s="93"/>
    </row>
    <row r="26" spans="2:11" ht="12.95" customHeight="1" x14ac:dyDescent="0.3">
      <c r="B26" s="105" t="s">
        <v>5</v>
      </c>
      <c r="C26" s="106"/>
      <c r="D26" s="95" t="s">
        <v>27</v>
      </c>
      <c r="E26" s="107">
        <v>281939</v>
      </c>
      <c r="F26" s="56">
        <v>0.4</v>
      </c>
      <c r="G26" s="2">
        <f t="shared" ref="G26:G28" si="9">TRUNC($E26*F26,1)</f>
        <v>112775.6</v>
      </c>
      <c r="H26" s="56">
        <v>0.57999999999999996</v>
      </c>
      <c r="I26" s="5">
        <f t="shared" ref="I26:I28" si="10">TRUNC($E26*H26,1)</f>
        <v>163524.6</v>
      </c>
      <c r="J26" s="56">
        <v>0.78</v>
      </c>
      <c r="K26" s="5">
        <f t="shared" ref="K26:K28" si="11">TRUNC($E26*J26,1)</f>
        <v>219912.4</v>
      </c>
    </row>
    <row r="27" spans="2:11" ht="12.95" customHeight="1" x14ac:dyDescent="0.3">
      <c r="B27" s="105" t="s">
        <v>11</v>
      </c>
      <c r="C27" s="106"/>
      <c r="D27" s="95" t="s">
        <v>27</v>
      </c>
      <c r="E27" s="107">
        <v>226122</v>
      </c>
      <c r="F27" s="60">
        <v>0.18</v>
      </c>
      <c r="G27" s="2">
        <f t="shared" si="9"/>
        <v>40701.9</v>
      </c>
      <c r="H27" s="60">
        <v>0.34</v>
      </c>
      <c r="I27" s="5">
        <f t="shared" si="10"/>
        <v>76881.399999999994</v>
      </c>
      <c r="J27" s="60">
        <v>0.38</v>
      </c>
      <c r="K27" s="5">
        <f t="shared" si="11"/>
        <v>85926.3</v>
      </c>
    </row>
    <row r="28" spans="2:11" ht="12.95" customHeight="1" x14ac:dyDescent="0.3">
      <c r="B28" s="81" t="s">
        <v>94</v>
      </c>
      <c r="C28" s="81" t="s">
        <v>71</v>
      </c>
      <c r="D28" s="85" t="s">
        <v>46</v>
      </c>
      <c r="E28" s="7">
        <v>58925</v>
      </c>
      <c r="F28" s="56">
        <v>2</v>
      </c>
      <c r="G28" s="2">
        <f t="shared" si="9"/>
        <v>117850</v>
      </c>
      <c r="H28" s="56">
        <v>2</v>
      </c>
      <c r="I28" s="5">
        <f t="shared" si="10"/>
        <v>117850</v>
      </c>
      <c r="J28" s="56">
        <v>2</v>
      </c>
      <c r="K28" s="5">
        <f t="shared" si="11"/>
        <v>117850</v>
      </c>
    </row>
    <row r="29" spans="2:11" ht="12.95" customHeight="1" x14ac:dyDescent="0.3">
      <c r="B29" s="96" t="s">
        <v>32</v>
      </c>
      <c r="C29" s="88"/>
      <c r="D29" s="89"/>
      <c r="E29" s="44"/>
      <c r="F29" s="52"/>
      <c r="G29" s="45">
        <f>TRUNC(SUM(G26:G28))</f>
        <v>271327</v>
      </c>
      <c r="H29" s="52"/>
      <c r="I29" s="45">
        <f>TRUNC(SUM(I26:I28))</f>
        <v>358256</v>
      </c>
      <c r="J29" s="52"/>
      <c r="K29" s="45">
        <f>TRUNC(SUM(K26:K28))</f>
        <v>423688</v>
      </c>
    </row>
    <row r="30" spans="2:11" ht="12.95" customHeight="1" x14ac:dyDescent="0.3">
      <c r="B30" s="91"/>
      <c r="C30" s="91"/>
      <c r="D30" s="85"/>
      <c r="E30" s="92"/>
      <c r="F30" s="56"/>
      <c r="G30" s="93"/>
      <c r="H30" s="56"/>
      <c r="I30" s="93"/>
      <c r="J30" s="56"/>
      <c r="K30" s="93"/>
    </row>
    <row r="31" spans="2:11" ht="12.95" customHeight="1" x14ac:dyDescent="0.3">
      <c r="B31" s="81" t="s">
        <v>94</v>
      </c>
      <c r="C31" s="81" t="s">
        <v>71</v>
      </c>
      <c r="D31" s="85" t="s">
        <v>46</v>
      </c>
      <c r="E31" s="7">
        <v>31344</v>
      </c>
      <c r="F31" s="56">
        <v>2</v>
      </c>
      <c r="G31" s="2">
        <f t="shared" ref="G31" si="12">TRUNC($E31*F31,1)</f>
        <v>62688</v>
      </c>
      <c r="H31" s="56">
        <v>2</v>
      </c>
      <c r="I31" s="5">
        <f t="shared" ref="I31" si="13">TRUNC($E31*H31,1)</f>
        <v>62688</v>
      </c>
      <c r="J31" s="56">
        <v>2</v>
      </c>
      <c r="K31" s="5">
        <f t="shared" ref="K31" si="14">TRUNC($E31*J31,1)</f>
        <v>62688</v>
      </c>
    </row>
    <row r="32" spans="2:11" ht="12.95" customHeight="1" x14ac:dyDescent="0.3">
      <c r="B32" s="87" t="s">
        <v>33</v>
      </c>
      <c r="C32" s="88"/>
      <c r="D32" s="97"/>
      <c r="E32" s="44"/>
      <c r="F32" s="90"/>
      <c r="G32" s="45">
        <f>TRUNC(SUM(G31))</f>
        <v>62688</v>
      </c>
      <c r="H32" s="90"/>
      <c r="I32" s="45">
        <f>TRUNC(SUM(I31))</f>
        <v>62688</v>
      </c>
      <c r="J32" s="90"/>
      <c r="K32" s="45">
        <f>TRUNC(SUM(K31))</f>
        <v>62688</v>
      </c>
    </row>
    <row r="33" spans="2:13" ht="12.95" customHeight="1" x14ac:dyDescent="0.3">
      <c r="B33" s="91"/>
      <c r="C33" s="91"/>
      <c r="D33" s="85"/>
      <c r="E33" s="92"/>
      <c r="F33" s="92"/>
      <c r="G33" s="93"/>
      <c r="H33" s="92"/>
      <c r="I33" s="93"/>
      <c r="J33" s="92"/>
      <c r="K33" s="93"/>
    </row>
    <row r="34" spans="2:13" ht="12.95" customHeight="1" x14ac:dyDescent="0.3">
      <c r="B34" s="98" t="s">
        <v>38</v>
      </c>
      <c r="C34" s="99"/>
      <c r="D34" s="100"/>
      <c r="E34" s="101"/>
      <c r="F34" s="102"/>
      <c r="G34" s="9">
        <f>SUM(G24+G29+G32)</f>
        <v>349917</v>
      </c>
      <c r="H34" s="102"/>
      <c r="I34" s="9">
        <f>SUM(I24+I29+I32)</f>
        <v>436846</v>
      </c>
      <c r="J34" s="102"/>
      <c r="K34" s="9">
        <f>SUM(K24+K29+K32)</f>
        <v>502278</v>
      </c>
    </row>
    <row r="36" spans="2:13" ht="12.95" customHeight="1" x14ac:dyDescent="0.3">
      <c r="B36" s="72" t="s">
        <v>35</v>
      </c>
    </row>
    <row r="37" spans="2:13" ht="12.95" customHeight="1" x14ac:dyDescent="0.3">
      <c r="B37" s="108" t="s">
        <v>36</v>
      </c>
      <c r="C37" s="207"/>
      <c r="D37" s="207"/>
      <c r="E37" s="207"/>
      <c r="F37" s="207"/>
      <c r="G37" s="207"/>
      <c r="H37" s="207"/>
      <c r="I37" s="207"/>
      <c r="J37" s="207"/>
      <c r="K37" s="207"/>
      <c r="L37" s="207"/>
      <c r="M37" s="208" t="s">
        <v>244</v>
      </c>
    </row>
    <row r="38" spans="2:13" ht="12.95" customHeight="1" x14ac:dyDescent="0.3">
      <c r="B38" s="234" t="s">
        <v>13</v>
      </c>
      <c r="C38" s="237" t="s">
        <v>20</v>
      </c>
      <c r="D38" s="237" t="s">
        <v>21</v>
      </c>
      <c r="E38" s="237" t="s">
        <v>14</v>
      </c>
      <c r="F38" s="260" t="s">
        <v>251</v>
      </c>
      <c r="G38" s="261"/>
      <c r="H38" s="261"/>
      <c r="I38" s="262"/>
      <c r="J38" s="260" t="s">
        <v>252</v>
      </c>
      <c r="K38" s="261"/>
      <c r="L38" s="261"/>
      <c r="M38" s="261"/>
    </row>
    <row r="39" spans="2:13" ht="12.95" customHeight="1" x14ac:dyDescent="0.3">
      <c r="B39" s="235"/>
      <c r="C39" s="238"/>
      <c r="D39" s="238"/>
      <c r="E39" s="238"/>
      <c r="F39" s="240" t="s">
        <v>28</v>
      </c>
      <c r="G39" s="241"/>
      <c r="H39" s="240" t="s">
        <v>29</v>
      </c>
      <c r="I39" s="241"/>
      <c r="J39" s="240" t="s">
        <v>28</v>
      </c>
      <c r="K39" s="241"/>
      <c r="L39" s="240" t="s">
        <v>29</v>
      </c>
      <c r="M39" s="241"/>
    </row>
    <row r="40" spans="2:13" ht="12.95" customHeight="1" x14ac:dyDescent="0.3">
      <c r="B40" s="235"/>
      <c r="C40" s="238"/>
      <c r="D40" s="238"/>
      <c r="E40" s="238"/>
      <c r="F40" s="205" t="s">
        <v>250</v>
      </c>
      <c r="G40" s="209">
        <v>100</v>
      </c>
      <c r="H40" s="205" t="s">
        <v>250</v>
      </c>
      <c r="I40" s="209">
        <v>250</v>
      </c>
      <c r="J40" s="205" t="s">
        <v>250</v>
      </c>
      <c r="K40" s="209">
        <v>70</v>
      </c>
      <c r="L40" s="205" t="s">
        <v>250</v>
      </c>
      <c r="M40" s="209">
        <v>180</v>
      </c>
    </row>
    <row r="41" spans="2:13" ht="12.95" customHeight="1" x14ac:dyDescent="0.3">
      <c r="B41" s="236"/>
      <c r="C41" s="239"/>
      <c r="D41" s="239"/>
      <c r="E41" s="239"/>
      <c r="F41" s="79" t="s">
        <v>246</v>
      </c>
      <c r="G41" s="80" t="s">
        <v>247</v>
      </c>
      <c r="H41" s="79" t="s">
        <v>246</v>
      </c>
      <c r="I41" s="80" t="s">
        <v>247</v>
      </c>
      <c r="J41" s="79" t="s">
        <v>246</v>
      </c>
      <c r="K41" s="80" t="s">
        <v>247</v>
      </c>
      <c r="L41" s="79" t="s">
        <v>246</v>
      </c>
      <c r="M41" s="80" t="s">
        <v>247</v>
      </c>
    </row>
    <row r="42" spans="2:13" ht="12.95" customHeight="1" x14ac:dyDescent="0.3">
      <c r="B42" s="83" t="s">
        <v>225</v>
      </c>
      <c r="C42" s="83" t="s">
        <v>8</v>
      </c>
      <c r="D42" s="85" t="s">
        <v>46</v>
      </c>
      <c r="E42" s="7">
        <v>9107</v>
      </c>
      <c r="F42" s="37">
        <v>4</v>
      </c>
      <c r="G42" s="2">
        <f t="shared" ref="G42" si="15">TRUNC($E42*F42,1)</f>
        <v>36428</v>
      </c>
      <c r="H42" s="37">
        <v>4</v>
      </c>
      <c r="I42" s="2">
        <f t="shared" ref="I42" si="16">TRUNC($E42*H42,1)</f>
        <v>36428</v>
      </c>
      <c r="J42" s="37">
        <v>4</v>
      </c>
      <c r="K42" s="2">
        <f t="shared" ref="K42" si="17">TRUNC($E42*J42,1)</f>
        <v>36428</v>
      </c>
      <c r="L42" s="37">
        <v>4</v>
      </c>
      <c r="M42" s="5">
        <f t="shared" ref="M42" si="18">TRUNC($E42*L42,1)</f>
        <v>36428</v>
      </c>
    </row>
    <row r="43" spans="2:13" ht="12.95" customHeight="1" x14ac:dyDescent="0.3">
      <c r="B43" s="83" t="s">
        <v>22</v>
      </c>
      <c r="C43" s="84" t="s">
        <v>34</v>
      </c>
      <c r="D43" s="85" t="s">
        <v>47</v>
      </c>
      <c r="E43" s="86"/>
      <c r="F43" s="37">
        <v>1</v>
      </c>
      <c r="G43" s="8">
        <f>TRUNC(SUM(G46:G47)*0.03,1)</f>
        <v>30536.5</v>
      </c>
      <c r="H43" s="37">
        <v>1</v>
      </c>
      <c r="I43" s="8">
        <f>TRUNC(SUM(I46:I47)*0.03,1)</f>
        <v>30536.5</v>
      </c>
      <c r="J43" s="37">
        <v>1</v>
      </c>
      <c r="K43" s="8">
        <f>TRUNC(SUM(K46:K47)*0.03,1)</f>
        <v>30536.5</v>
      </c>
      <c r="L43" s="37">
        <v>1</v>
      </c>
      <c r="M43" s="8">
        <f>TRUNC(SUM(M46:M47)*0.03,1)</f>
        <v>30536.5</v>
      </c>
    </row>
    <row r="44" spans="2:13" ht="12.95" customHeight="1" x14ac:dyDescent="0.3">
      <c r="B44" s="87" t="s">
        <v>31</v>
      </c>
      <c r="C44" s="211"/>
      <c r="D44" s="210"/>
      <c r="E44" s="212"/>
      <c r="F44" s="37"/>
      <c r="G44" s="213">
        <f>TRUNC(SUM(G42:G43))</f>
        <v>66964</v>
      </c>
      <c r="H44" s="37"/>
      <c r="I44" s="213">
        <f>TRUNC(SUM(I42:I43))</f>
        <v>66964</v>
      </c>
      <c r="J44" s="37"/>
      <c r="K44" s="213">
        <f>TRUNC(SUM(K42:K43))</f>
        <v>66964</v>
      </c>
      <c r="L44" s="37"/>
      <c r="M44" s="213">
        <f>TRUNC(SUM(M42:M43))</f>
        <v>66964</v>
      </c>
    </row>
    <row r="45" spans="2:13" ht="12.95" customHeight="1" x14ac:dyDescent="0.3">
      <c r="B45" s="214"/>
      <c r="C45" s="211"/>
      <c r="D45" s="210"/>
      <c r="E45" s="212"/>
      <c r="F45" s="37"/>
      <c r="G45" s="215"/>
      <c r="H45" s="37"/>
      <c r="I45" s="215"/>
      <c r="J45" s="37"/>
      <c r="K45" s="215"/>
      <c r="L45" s="37"/>
      <c r="M45" s="215"/>
    </row>
    <row r="46" spans="2:13" ht="12.95" customHeight="1" x14ac:dyDescent="0.3">
      <c r="B46" s="91" t="s">
        <v>30</v>
      </c>
      <c r="C46" s="91"/>
      <c r="D46" s="95" t="s">
        <v>27</v>
      </c>
      <c r="E46" s="82">
        <v>281939</v>
      </c>
      <c r="F46" s="37">
        <v>3</v>
      </c>
      <c r="G46" s="5">
        <f t="shared" ref="G46:G48" si="19">TRUNC($E46*F46,1)</f>
        <v>845817</v>
      </c>
      <c r="H46" s="37">
        <v>3</v>
      </c>
      <c r="I46" s="5">
        <f t="shared" ref="I46:I48" si="20">TRUNC($E46*H46,1)</f>
        <v>845817</v>
      </c>
      <c r="J46" s="37">
        <v>3</v>
      </c>
      <c r="K46" s="5">
        <f t="shared" ref="K46:K48" si="21">TRUNC($E46*J46,1)</f>
        <v>845817</v>
      </c>
      <c r="L46" s="37">
        <v>3</v>
      </c>
      <c r="M46" s="5">
        <f t="shared" ref="M46:M48" si="22">TRUNC($E46*L46,1)</f>
        <v>845817</v>
      </c>
    </row>
    <row r="47" spans="2:13" ht="12.95" customHeight="1" x14ac:dyDescent="0.3">
      <c r="B47" s="91" t="s">
        <v>4</v>
      </c>
      <c r="C47" s="91"/>
      <c r="D47" s="95" t="s">
        <v>27</v>
      </c>
      <c r="E47" s="82">
        <v>172068</v>
      </c>
      <c r="F47" s="37">
        <v>1</v>
      </c>
      <c r="G47" s="5">
        <f t="shared" si="19"/>
        <v>172068</v>
      </c>
      <c r="H47" s="37">
        <v>1</v>
      </c>
      <c r="I47" s="5">
        <f t="shared" si="20"/>
        <v>172068</v>
      </c>
      <c r="J47" s="37">
        <v>1</v>
      </c>
      <c r="K47" s="5">
        <f t="shared" si="21"/>
        <v>172068</v>
      </c>
      <c r="L47" s="37">
        <v>1</v>
      </c>
      <c r="M47" s="5">
        <f t="shared" si="22"/>
        <v>172068</v>
      </c>
    </row>
    <row r="48" spans="2:13" ht="12.95" customHeight="1" x14ac:dyDescent="0.3">
      <c r="B48" s="83" t="s">
        <v>225</v>
      </c>
      <c r="C48" s="83" t="s">
        <v>8</v>
      </c>
      <c r="D48" s="85" t="s">
        <v>46</v>
      </c>
      <c r="E48" s="7">
        <v>58925</v>
      </c>
      <c r="F48" s="37">
        <v>4</v>
      </c>
      <c r="G48" s="5">
        <f t="shared" si="19"/>
        <v>235700</v>
      </c>
      <c r="H48" s="37">
        <v>4</v>
      </c>
      <c r="I48" s="5">
        <f t="shared" si="20"/>
        <v>235700</v>
      </c>
      <c r="J48" s="37">
        <v>4</v>
      </c>
      <c r="K48" s="5">
        <f t="shared" si="21"/>
        <v>235700</v>
      </c>
      <c r="L48" s="37">
        <v>4</v>
      </c>
      <c r="M48" s="5">
        <f t="shared" si="22"/>
        <v>235700</v>
      </c>
    </row>
    <row r="49" spans="2:13" ht="12.95" customHeight="1" x14ac:dyDescent="0.3">
      <c r="B49" s="96" t="s">
        <v>32</v>
      </c>
      <c r="C49" s="211"/>
      <c r="D49" s="210"/>
      <c r="E49" s="212"/>
      <c r="F49" s="37"/>
      <c r="G49" s="213">
        <f>TRUNC(SUM(G46:G48))</f>
        <v>1253585</v>
      </c>
      <c r="H49" s="37"/>
      <c r="I49" s="213">
        <f>TRUNC(SUM(I46:I48))</f>
        <v>1253585</v>
      </c>
      <c r="J49" s="37"/>
      <c r="K49" s="213">
        <f>TRUNC(SUM(K46:K48))</f>
        <v>1253585</v>
      </c>
      <c r="L49" s="37"/>
      <c r="M49" s="213">
        <f>TRUNC(SUM(M46:M48))</f>
        <v>1253585</v>
      </c>
    </row>
    <row r="50" spans="2:13" ht="12.95" customHeight="1" x14ac:dyDescent="0.3">
      <c r="B50" s="214"/>
      <c r="C50" s="211"/>
      <c r="D50" s="210"/>
      <c r="E50" s="212"/>
      <c r="F50" s="37"/>
      <c r="G50" s="215"/>
      <c r="H50" s="37"/>
      <c r="I50" s="215"/>
      <c r="J50" s="37"/>
      <c r="K50" s="215"/>
      <c r="L50" s="37"/>
      <c r="M50" s="215"/>
    </row>
    <row r="51" spans="2:13" ht="12.95" customHeight="1" x14ac:dyDescent="0.3">
      <c r="B51" s="83" t="s">
        <v>225</v>
      </c>
      <c r="C51" s="83" t="s">
        <v>8</v>
      </c>
      <c r="D51" s="85" t="s">
        <v>46</v>
      </c>
      <c r="E51" s="7">
        <v>13873</v>
      </c>
      <c r="F51" s="37">
        <v>4</v>
      </c>
      <c r="G51" s="5">
        <f t="shared" ref="G51" si="23">TRUNC($E51*F51,1)</f>
        <v>55492</v>
      </c>
      <c r="H51" s="37">
        <v>4</v>
      </c>
      <c r="I51" s="5">
        <f t="shared" ref="I51" si="24">TRUNC($E51*H51,1)</f>
        <v>55492</v>
      </c>
      <c r="J51" s="37">
        <v>4</v>
      </c>
      <c r="K51" s="5">
        <f t="shared" ref="K51" si="25">TRUNC($E51*J51,1)</f>
        <v>55492</v>
      </c>
      <c r="L51" s="37">
        <v>4</v>
      </c>
      <c r="M51" s="5">
        <f t="shared" ref="M51" si="26">TRUNC($E51*L51,1)</f>
        <v>55492</v>
      </c>
    </row>
    <row r="52" spans="2:13" ht="12.95" customHeight="1" x14ac:dyDescent="0.3">
      <c r="B52" s="87" t="s">
        <v>33</v>
      </c>
      <c r="C52" s="211"/>
      <c r="D52" s="212"/>
      <c r="E52" s="212"/>
      <c r="F52" s="216"/>
      <c r="G52" s="213">
        <f>TRUNC(SUM(G51:G51))</f>
        <v>55492</v>
      </c>
      <c r="H52" s="216"/>
      <c r="I52" s="213">
        <f>TRUNC(SUM(I51:I51))</f>
        <v>55492</v>
      </c>
      <c r="J52" s="216"/>
      <c r="K52" s="213">
        <f>TRUNC(SUM(K51:K51))</f>
        <v>55492</v>
      </c>
      <c r="L52" s="216"/>
      <c r="M52" s="213">
        <f>TRUNC(SUM(M51:M51))</f>
        <v>55492</v>
      </c>
    </row>
    <row r="53" spans="2:13" ht="12.95" customHeight="1" x14ac:dyDescent="0.3">
      <c r="B53" s="214"/>
      <c r="C53" s="217"/>
      <c r="D53" s="212"/>
      <c r="E53" s="212"/>
      <c r="F53" s="216"/>
      <c r="G53" s="218"/>
      <c r="H53" s="216"/>
      <c r="I53" s="218"/>
      <c r="J53" s="216"/>
      <c r="K53" s="218"/>
      <c r="L53" s="216"/>
      <c r="M53" s="218"/>
    </row>
    <row r="54" spans="2:13" ht="12.95" customHeight="1" x14ac:dyDescent="0.3">
      <c r="B54" s="219" t="s">
        <v>38</v>
      </c>
      <c r="C54" s="217"/>
      <c r="D54" s="212"/>
      <c r="E54" s="212"/>
      <c r="F54" s="216"/>
      <c r="G54" s="218">
        <f>SUM(G44+G49+G52)</f>
        <v>1376041</v>
      </c>
      <c r="H54" s="216"/>
      <c r="I54" s="218">
        <f>SUM(I44+I49+I52)</f>
        <v>1376041</v>
      </c>
      <c r="J54" s="216"/>
      <c r="K54" s="218">
        <f>SUM(K44+K49+K52)</f>
        <v>1376041</v>
      </c>
      <c r="L54" s="216"/>
      <c r="M54" s="218">
        <f>SUM(M44+M49+M52)</f>
        <v>1376041</v>
      </c>
    </row>
    <row r="55" spans="2:13" ht="12.95" customHeight="1" x14ac:dyDescent="0.3">
      <c r="B55" s="98" t="s">
        <v>249</v>
      </c>
      <c r="C55" s="99"/>
      <c r="D55" s="100"/>
      <c r="E55" s="101"/>
      <c r="F55" s="102"/>
      <c r="G55" s="9">
        <f>TRUNC((G54/G40)*10)</f>
        <v>137604</v>
      </c>
      <c r="H55" s="102"/>
      <c r="I55" s="9">
        <f>TRUNC((I54/I40)*10)</f>
        <v>55041</v>
      </c>
      <c r="J55" s="102"/>
      <c r="K55" s="9">
        <f>TRUNC((K54/K40)*10)</f>
        <v>196577</v>
      </c>
      <c r="L55" s="102"/>
      <c r="M55" s="9">
        <f>TRUNC((M54/M40)*10)</f>
        <v>76446</v>
      </c>
    </row>
    <row r="56" spans="2:13" ht="12.95" customHeight="1" x14ac:dyDescent="0.3">
      <c r="B56" s="206"/>
      <c r="C56" s="207"/>
      <c r="D56" s="207"/>
      <c r="E56" s="207"/>
      <c r="F56" s="207"/>
      <c r="G56" s="207"/>
      <c r="H56" s="207"/>
      <c r="I56" s="207"/>
      <c r="J56" s="207"/>
      <c r="K56" s="207"/>
      <c r="L56" s="207"/>
      <c r="M56" s="207"/>
    </row>
    <row r="57" spans="2:13" ht="12.95" customHeight="1" x14ac:dyDescent="0.3">
      <c r="B57" s="14" t="s">
        <v>41</v>
      </c>
      <c r="C57" s="14"/>
      <c r="D57" s="14"/>
      <c r="E57" s="76"/>
      <c r="F57" s="6"/>
      <c r="G57" s="6"/>
      <c r="H57" s="6"/>
      <c r="I57" s="6"/>
      <c r="J57" s="6"/>
      <c r="K57" s="109"/>
      <c r="M57" s="208" t="s">
        <v>244</v>
      </c>
    </row>
    <row r="58" spans="2:13" ht="12.95" customHeight="1" x14ac:dyDescent="0.3">
      <c r="B58" s="234" t="s">
        <v>13</v>
      </c>
      <c r="C58" s="237" t="s">
        <v>20</v>
      </c>
      <c r="D58" s="237" t="s">
        <v>21</v>
      </c>
      <c r="E58" s="237" t="s">
        <v>14</v>
      </c>
      <c r="F58" s="260" t="s">
        <v>251</v>
      </c>
      <c r="G58" s="261"/>
      <c r="H58" s="261"/>
      <c r="I58" s="262"/>
      <c r="J58" s="260" t="s">
        <v>252</v>
      </c>
      <c r="K58" s="261"/>
      <c r="L58" s="261"/>
      <c r="M58" s="261"/>
    </row>
    <row r="59" spans="2:13" ht="12.95" customHeight="1" x14ac:dyDescent="0.3">
      <c r="B59" s="235"/>
      <c r="C59" s="238"/>
      <c r="D59" s="238"/>
      <c r="E59" s="238"/>
      <c r="F59" s="240" t="s">
        <v>28</v>
      </c>
      <c r="G59" s="241"/>
      <c r="H59" s="240" t="s">
        <v>29</v>
      </c>
      <c r="I59" s="241"/>
      <c r="J59" s="240" t="s">
        <v>28</v>
      </c>
      <c r="K59" s="241"/>
      <c r="L59" s="240" t="s">
        <v>29</v>
      </c>
      <c r="M59" s="241"/>
    </row>
    <row r="60" spans="2:13" ht="12.95" customHeight="1" x14ac:dyDescent="0.3">
      <c r="B60" s="235"/>
      <c r="C60" s="238"/>
      <c r="D60" s="238"/>
      <c r="E60" s="238"/>
      <c r="F60" s="205" t="s">
        <v>250</v>
      </c>
      <c r="G60" s="209">
        <v>70</v>
      </c>
      <c r="H60" s="205" t="s">
        <v>250</v>
      </c>
      <c r="I60" s="209">
        <v>170</v>
      </c>
      <c r="J60" s="205" t="s">
        <v>250</v>
      </c>
      <c r="K60" s="209">
        <v>40</v>
      </c>
      <c r="L60" s="205" t="s">
        <v>250</v>
      </c>
      <c r="M60" s="209">
        <v>100</v>
      </c>
    </row>
    <row r="61" spans="2:13" ht="12.95" customHeight="1" x14ac:dyDescent="0.3">
      <c r="B61" s="236"/>
      <c r="C61" s="239"/>
      <c r="D61" s="239"/>
      <c r="E61" s="239"/>
      <c r="F61" s="79" t="s">
        <v>246</v>
      </c>
      <c r="G61" s="80" t="s">
        <v>247</v>
      </c>
      <c r="H61" s="79" t="s">
        <v>246</v>
      </c>
      <c r="I61" s="80" t="s">
        <v>247</v>
      </c>
      <c r="J61" s="79" t="s">
        <v>246</v>
      </c>
      <c r="K61" s="80" t="s">
        <v>247</v>
      </c>
      <c r="L61" s="79" t="s">
        <v>246</v>
      </c>
      <c r="M61" s="80" t="s">
        <v>247</v>
      </c>
    </row>
    <row r="62" spans="2:13" ht="12.95" customHeight="1" x14ac:dyDescent="0.2">
      <c r="B62" s="83" t="s">
        <v>225</v>
      </c>
      <c r="C62" s="83" t="s">
        <v>8</v>
      </c>
      <c r="D62" s="111" t="s">
        <v>46</v>
      </c>
      <c r="E62" s="112">
        <v>9107</v>
      </c>
      <c r="F62" s="37">
        <v>4</v>
      </c>
      <c r="G62" s="2">
        <f t="shared" ref="G62" si="27">TRUNC($E62*F62,1)</f>
        <v>36428</v>
      </c>
      <c r="H62" s="37">
        <v>4</v>
      </c>
      <c r="I62" s="2">
        <f t="shared" ref="I62:I63" si="28">TRUNC($E62*H62,1)</f>
        <v>36428</v>
      </c>
      <c r="J62" s="37">
        <v>4</v>
      </c>
      <c r="K62" s="2">
        <f t="shared" ref="K62:K63" si="29">TRUNC($E62*J62,1)</f>
        <v>36428</v>
      </c>
      <c r="L62" s="37">
        <v>4</v>
      </c>
      <c r="M62" s="5">
        <f t="shared" ref="M62:M63" si="30">TRUNC($E62*L62,1)</f>
        <v>36428</v>
      </c>
    </row>
    <row r="63" spans="2:13" ht="12.95" customHeight="1" x14ac:dyDescent="0.2">
      <c r="B63" s="113" t="s">
        <v>39</v>
      </c>
      <c r="C63" s="106" t="s">
        <v>40</v>
      </c>
      <c r="D63" s="85" t="s">
        <v>46</v>
      </c>
      <c r="E63" s="114">
        <v>9213</v>
      </c>
      <c r="F63" s="37">
        <v>8</v>
      </c>
      <c r="G63" s="2">
        <f t="shared" ref="G63" si="31">TRUNC($E63*F63,1)</f>
        <v>73704</v>
      </c>
      <c r="H63" s="37">
        <v>8</v>
      </c>
      <c r="I63" s="2">
        <f t="shared" si="28"/>
        <v>73704</v>
      </c>
      <c r="J63" s="37">
        <v>8</v>
      </c>
      <c r="K63" s="2">
        <f t="shared" si="29"/>
        <v>73704</v>
      </c>
      <c r="L63" s="37">
        <v>8</v>
      </c>
      <c r="M63" s="5">
        <f t="shared" si="30"/>
        <v>73704</v>
      </c>
    </row>
    <row r="64" spans="2:13" ht="12.95" customHeight="1" x14ac:dyDescent="0.3">
      <c r="B64" s="83" t="s">
        <v>22</v>
      </c>
      <c r="C64" s="84" t="s">
        <v>24</v>
      </c>
      <c r="D64" s="85" t="s">
        <v>47</v>
      </c>
      <c r="E64" s="86"/>
      <c r="F64" s="37">
        <v>1</v>
      </c>
      <c r="G64" s="8">
        <f>TRUNC(SUM(G67:G68)*0.02,1)</f>
        <v>20357.7</v>
      </c>
      <c r="H64" s="37">
        <v>1</v>
      </c>
      <c r="I64" s="8">
        <f>TRUNC(SUM(I67:I68)*0.02,1)</f>
        <v>20357.7</v>
      </c>
      <c r="J64" s="37">
        <v>1</v>
      </c>
      <c r="K64" s="8">
        <f>TRUNC(SUM(K67:K68)*0.02,1)</f>
        <v>20357.7</v>
      </c>
      <c r="L64" s="37">
        <v>1</v>
      </c>
      <c r="M64" s="8">
        <f>TRUNC(SUM(M67:M68)*0.02,1)</f>
        <v>20357.7</v>
      </c>
    </row>
    <row r="65" spans="2:13" ht="12.95" customHeight="1" x14ac:dyDescent="0.3">
      <c r="B65" s="87" t="s">
        <v>31</v>
      </c>
      <c r="C65" s="211"/>
      <c r="D65" s="210"/>
      <c r="E65" s="212"/>
      <c r="F65" s="37"/>
      <c r="G65" s="213">
        <f>TRUNC(SUM(G62:G64))</f>
        <v>130489</v>
      </c>
      <c r="H65" s="37"/>
      <c r="I65" s="213">
        <f>TRUNC(SUM(I62:I64))</f>
        <v>130489</v>
      </c>
      <c r="J65" s="37"/>
      <c r="K65" s="213">
        <f>TRUNC(SUM(K62:K64))</f>
        <v>130489</v>
      </c>
      <c r="L65" s="37"/>
      <c r="M65" s="213">
        <f>TRUNC(SUM(M62:M64))</f>
        <v>130489</v>
      </c>
    </row>
    <row r="66" spans="2:13" ht="12.95" customHeight="1" x14ac:dyDescent="0.3">
      <c r="B66" s="214"/>
      <c r="C66" s="211"/>
      <c r="D66" s="210"/>
      <c r="E66" s="212"/>
      <c r="F66" s="37"/>
      <c r="G66" s="215"/>
      <c r="H66" s="37"/>
      <c r="I66" s="215"/>
      <c r="J66" s="37"/>
      <c r="K66" s="215"/>
      <c r="L66" s="37"/>
      <c r="M66" s="215"/>
    </row>
    <row r="67" spans="2:13" ht="12.95" customHeight="1" x14ac:dyDescent="0.2">
      <c r="B67" s="14" t="s">
        <v>30</v>
      </c>
      <c r="C67" s="115"/>
      <c r="D67" s="85" t="s">
        <v>27</v>
      </c>
      <c r="E67" s="114">
        <v>281939</v>
      </c>
      <c r="F67" s="37">
        <v>3</v>
      </c>
      <c r="G67" s="5">
        <f t="shared" ref="G67:G70" si="32">TRUNC($E67*F67,1)</f>
        <v>845817</v>
      </c>
      <c r="H67" s="37">
        <v>3</v>
      </c>
      <c r="I67" s="5">
        <f t="shared" ref="I67:I70" si="33">TRUNC($E67*H67,1)</f>
        <v>845817</v>
      </c>
      <c r="J67" s="37">
        <v>3</v>
      </c>
      <c r="K67" s="5">
        <f t="shared" ref="K67:K70" si="34">TRUNC($E67*J67,1)</f>
        <v>845817</v>
      </c>
      <c r="L67" s="37">
        <v>3</v>
      </c>
      <c r="M67" s="5">
        <f t="shared" ref="M67:M70" si="35">TRUNC($E67*L67,1)</f>
        <v>845817</v>
      </c>
    </row>
    <row r="68" spans="2:13" ht="12.95" customHeight="1" x14ac:dyDescent="0.2">
      <c r="B68" s="14" t="s">
        <v>37</v>
      </c>
      <c r="C68" s="92"/>
      <c r="D68" s="85" t="s">
        <v>27</v>
      </c>
      <c r="E68" s="114">
        <v>172068</v>
      </c>
      <c r="F68" s="37">
        <v>1</v>
      </c>
      <c r="G68" s="5">
        <f t="shared" si="32"/>
        <v>172068</v>
      </c>
      <c r="H68" s="37">
        <v>1</v>
      </c>
      <c r="I68" s="5">
        <f t="shared" si="33"/>
        <v>172068</v>
      </c>
      <c r="J68" s="37">
        <v>1</v>
      </c>
      <c r="K68" s="5">
        <f t="shared" si="34"/>
        <v>172068</v>
      </c>
      <c r="L68" s="37">
        <v>1</v>
      </c>
      <c r="M68" s="5">
        <f t="shared" si="35"/>
        <v>172068</v>
      </c>
    </row>
    <row r="69" spans="2:13" ht="12.95" customHeight="1" x14ac:dyDescent="0.2">
      <c r="B69" s="83" t="s">
        <v>225</v>
      </c>
      <c r="C69" s="92" t="s">
        <v>8</v>
      </c>
      <c r="D69" s="85" t="s">
        <v>46</v>
      </c>
      <c r="E69" s="114">
        <v>58925</v>
      </c>
      <c r="F69" s="37">
        <v>4</v>
      </c>
      <c r="G69" s="5">
        <f t="shared" ref="G69" si="36">TRUNC($E69*F69,1)</f>
        <v>235700</v>
      </c>
      <c r="H69" s="37">
        <v>4</v>
      </c>
      <c r="I69" s="5">
        <f t="shared" si="33"/>
        <v>235700</v>
      </c>
      <c r="J69" s="37">
        <v>4</v>
      </c>
      <c r="K69" s="5">
        <f t="shared" si="34"/>
        <v>235700</v>
      </c>
      <c r="L69" s="37">
        <v>4</v>
      </c>
      <c r="M69" s="5">
        <f t="shared" si="35"/>
        <v>235700</v>
      </c>
    </row>
    <row r="70" spans="2:13" ht="12.95" customHeight="1" x14ac:dyDescent="0.2">
      <c r="B70" s="113" t="s">
        <v>39</v>
      </c>
      <c r="C70" s="106" t="s">
        <v>40</v>
      </c>
      <c r="D70" s="85" t="s">
        <v>46</v>
      </c>
      <c r="E70" s="114">
        <v>49698</v>
      </c>
      <c r="F70" s="37">
        <v>8</v>
      </c>
      <c r="G70" s="5">
        <f t="shared" si="32"/>
        <v>397584</v>
      </c>
      <c r="H70" s="37">
        <v>8</v>
      </c>
      <c r="I70" s="5">
        <f t="shared" si="33"/>
        <v>397584</v>
      </c>
      <c r="J70" s="37">
        <v>8</v>
      </c>
      <c r="K70" s="5">
        <f t="shared" si="34"/>
        <v>397584</v>
      </c>
      <c r="L70" s="37">
        <v>8</v>
      </c>
      <c r="M70" s="5">
        <f t="shared" si="35"/>
        <v>397584</v>
      </c>
    </row>
    <row r="71" spans="2:13" ht="12.95" customHeight="1" x14ac:dyDescent="0.3">
      <c r="B71" s="96" t="s">
        <v>32</v>
      </c>
      <c r="C71" s="211"/>
      <c r="D71" s="210"/>
      <c r="E71" s="212"/>
      <c r="F71" s="37"/>
      <c r="G71" s="213">
        <f>TRUNC(SUM(G67:G70))</f>
        <v>1651169</v>
      </c>
      <c r="H71" s="37"/>
      <c r="I71" s="213">
        <f>TRUNC(SUM(I67:I70))</f>
        <v>1651169</v>
      </c>
      <c r="J71" s="37"/>
      <c r="K71" s="213">
        <f>TRUNC(SUM(K67:K70))</f>
        <v>1651169</v>
      </c>
      <c r="L71" s="37"/>
      <c r="M71" s="213">
        <f>TRUNC(SUM(M67:M70))</f>
        <v>1651169</v>
      </c>
    </row>
    <row r="72" spans="2:13" ht="12.95" customHeight="1" x14ac:dyDescent="0.3">
      <c r="B72" s="214"/>
      <c r="C72" s="211"/>
      <c r="D72" s="210"/>
      <c r="E72" s="212"/>
      <c r="F72" s="37"/>
      <c r="G72" s="215"/>
      <c r="H72" s="37"/>
      <c r="I72" s="215"/>
      <c r="J72" s="37"/>
      <c r="K72" s="215"/>
      <c r="L72" s="37"/>
      <c r="M72" s="215"/>
    </row>
    <row r="73" spans="2:13" ht="12.95" customHeight="1" x14ac:dyDescent="0.2">
      <c r="B73" s="83" t="s">
        <v>225</v>
      </c>
      <c r="C73" s="83" t="s">
        <v>8</v>
      </c>
      <c r="D73" s="85" t="s">
        <v>46</v>
      </c>
      <c r="E73" s="114">
        <v>13873</v>
      </c>
      <c r="F73" s="37">
        <v>4</v>
      </c>
      <c r="G73" s="5">
        <f t="shared" ref="G73" si="37">TRUNC($E73*F73,1)</f>
        <v>55492</v>
      </c>
      <c r="H73" s="37">
        <v>4</v>
      </c>
      <c r="I73" s="5">
        <f t="shared" ref="I73:I74" si="38">TRUNC($E73*H73,1)</f>
        <v>55492</v>
      </c>
      <c r="J73" s="37">
        <v>4</v>
      </c>
      <c r="K73" s="5">
        <f t="shared" ref="K73:K74" si="39">TRUNC($E73*J73,1)</f>
        <v>55492</v>
      </c>
      <c r="L73" s="37">
        <v>4</v>
      </c>
      <c r="M73" s="5">
        <f t="shared" ref="M73:M74" si="40">TRUNC($E73*L73,1)</f>
        <v>55492</v>
      </c>
    </row>
    <row r="74" spans="2:13" ht="12.95" customHeight="1" x14ac:dyDescent="0.2">
      <c r="B74" s="113" t="s">
        <v>39</v>
      </c>
      <c r="C74" s="116" t="s">
        <v>40</v>
      </c>
      <c r="D74" s="85" t="s">
        <v>46</v>
      </c>
      <c r="E74" s="114">
        <v>11117</v>
      </c>
      <c r="F74" s="37">
        <v>8</v>
      </c>
      <c r="G74" s="5">
        <f t="shared" ref="G74" si="41">TRUNC($E74*F74,1)</f>
        <v>88936</v>
      </c>
      <c r="H74" s="37">
        <v>8</v>
      </c>
      <c r="I74" s="5">
        <f t="shared" si="38"/>
        <v>88936</v>
      </c>
      <c r="J74" s="37">
        <v>8</v>
      </c>
      <c r="K74" s="5">
        <f t="shared" si="39"/>
        <v>88936</v>
      </c>
      <c r="L74" s="37">
        <v>8</v>
      </c>
      <c r="M74" s="5">
        <f t="shared" si="40"/>
        <v>88936</v>
      </c>
    </row>
    <row r="75" spans="2:13" ht="12.95" customHeight="1" x14ac:dyDescent="0.3">
      <c r="B75" s="87" t="s">
        <v>33</v>
      </c>
      <c r="C75" s="211"/>
      <c r="D75" s="212"/>
      <c r="E75" s="212"/>
      <c r="F75" s="216"/>
      <c r="G75" s="213">
        <f>TRUNC(SUM(G73:G74))</f>
        <v>144428</v>
      </c>
      <c r="H75" s="216"/>
      <c r="I75" s="213">
        <f>TRUNC(SUM(I73:I74))</f>
        <v>144428</v>
      </c>
      <c r="J75" s="216"/>
      <c r="K75" s="213">
        <f>TRUNC(SUM(K73:K74))</f>
        <v>144428</v>
      </c>
      <c r="L75" s="216"/>
      <c r="M75" s="213">
        <f>TRUNC(SUM(M73:M74))</f>
        <v>144428</v>
      </c>
    </row>
    <row r="76" spans="2:13" ht="12.95" customHeight="1" x14ac:dyDescent="0.3">
      <c r="B76" s="214"/>
      <c r="C76" s="217"/>
      <c r="D76" s="212"/>
      <c r="E76" s="212"/>
      <c r="F76" s="216"/>
      <c r="G76" s="218"/>
      <c r="H76" s="216"/>
      <c r="I76" s="218"/>
      <c r="J76" s="216"/>
      <c r="K76" s="218"/>
      <c r="L76" s="216"/>
      <c r="M76" s="218"/>
    </row>
    <row r="77" spans="2:13" ht="12.95" customHeight="1" x14ac:dyDescent="0.3">
      <c r="B77" s="219" t="s">
        <v>38</v>
      </c>
      <c r="C77" s="217"/>
      <c r="D77" s="212"/>
      <c r="E77" s="212"/>
      <c r="F77" s="216"/>
      <c r="G77" s="218">
        <f>SUM(G65+G71+G75)</f>
        <v>1926086</v>
      </c>
      <c r="H77" s="216"/>
      <c r="I77" s="218">
        <f>SUM(I65+I71+I75)</f>
        <v>1926086</v>
      </c>
      <c r="J77" s="216"/>
      <c r="K77" s="218">
        <f>SUM(K65+K71+K75)</f>
        <v>1926086</v>
      </c>
      <c r="L77" s="216"/>
      <c r="M77" s="218">
        <f>SUM(M65+M71+M75)</f>
        <v>1926086</v>
      </c>
    </row>
    <row r="78" spans="2:13" ht="12.95" customHeight="1" x14ac:dyDescent="0.3">
      <c r="B78" s="98" t="s">
        <v>249</v>
      </c>
      <c r="C78" s="99"/>
      <c r="D78" s="100"/>
      <c r="E78" s="101"/>
      <c r="F78" s="102"/>
      <c r="G78" s="9">
        <f>TRUNC((G77/G60)*10)</f>
        <v>275155</v>
      </c>
      <c r="H78" s="102"/>
      <c r="I78" s="9">
        <f>TRUNC((I77/I60)*10)</f>
        <v>113299</v>
      </c>
      <c r="J78" s="102"/>
      <c r="K78" s="9">
        <f>TRUNC((K77/K60)*10)</f>
        <v>481521</v>
      </c>
      <c r="L78" s="102"/>
      <c r="M78" s="9">
        <f>TRUNC((M77/M60)*10)</f>
        <v>192608</v>
      </c>
    </row>
    <row r="79" spans="2:13" ht="12.95" customHeight="1" x14ac:dyDescent="0.3">
      <c r="B79" s="234" t="s">
        <v>13</v>
      </c>
      <c r="C79" s="237" t="s">
        <v>20</v>
      </c>
      <c r="D79" s="237" t="s">
        <v>21</v>
      </c>
      <c r="E79" s="237" t="s">
        <v>14</v>
      </c>
      <c r="F79" s="260" t="s">
        <v>253</v>
      </c>
      <c r="G79" s="261"/>
      <c r="H79" s="261"/>
      <c r="I79" s="261"/>
      <c r="J79" s="177"/>
    </row>
    <row r="80" spans="2:13" ht="12.95" customHeight="1" x14ac:dyDescent="0.3">
      <c r="B80" s="235"/>
      <c r="C80" s="238"/>
      <c r="D80" s="238"/>
      <c r="E80" s="238"/>
      <c r="F80" s="240" t="s">
        <v>28</v>
      </c>
      <c r="G80" s="241"/>
      <c r="H80" s="240" t="s">
        <v>29</v>
      </c>
      <c r="I80" s="241"/>
    </row>
    <row r="81" spans="2:9" ht="12.95" customHeight="1" x14ac:dyDescent="0.3">
      <c r="B81" s="235"/>
      <c r="C81" s="238"/>
      <c r="D81" s="238"/>
      <c r="E81" s="238"/>
      <c r="F81" s="205" t="s">
        <v>250</v>
      </c>
      <c r="G81" s="209">
        <v>25</v>
      </c>
      <c r="H81" s="205" t="s">
        <v>250</v>
      </c>
      <c r="I81" s="209">
        <v>65</v>
      </c>
    </row>
    <row r="82" spans="2:9" ht="12.95" customHeight="1" x14ac:dyDescent="0.3">
      <c r="B82" s="236"/>
      <c r="C82" s="239"/>
      <c r="D82" s="239"/>
      <c r="E82" s="239"/>
      <c r="F82" s="79" t="s">
        <v>246</v>
      </c>
      <c r="G82" s="80" t="s">
        <v>247</v>
      </c>
      <c r="H82" s="79" t="s">
        <v>246</v>
      </c>
      <c r="I82" s="80" t="s">
        <v>247</v>
      </c>
    </row>
    <row r="83" spans="2:9" ht="12.95" customHeight="1" x14ac:dyDescent="0.2">
      <c r="B83" s="83" t="s">
        <v>225</v>
      </c>
      <c r="C83" s="83" t="s">
        <v>8</v>
      </c>
      <c r="D83" s="111" t="s">
        <v>46</v>
      </c>
      <c r="E83" s="112">
        <v>9107</v>
      </c>
      <c r="F83" s="37">
        <v>4</v>
      </c>
      <c r="G83" s="2">
        <f t="shared" ref="G83:G84" si="42">TRUNC($E83*F83,1)</f>
        <v>36428</v>
      </c>
      <c r="H83" s="37">
        <v>4</v>
      </c>
      <c r="I83" s="5">
        <f t="shared" ref="I83:I84" si="43">TRUNC($E83*H83,1)</f>
        <v>36428</v>
      </c>
    </row>
    <row r="84" spans="2:9" ht="12.95" customHeight="1" x14ac:dyDescent="0.2">
      <c r="B84" s="113" t="s">
        <v>39</v>
      </c>
      <c r="C84" s="106" t="s">
        <v>40</v>
      </c>
      <c r="D84" s="85" t="s">
        <v>46</v>
      </c>
      <c r="E84" s="114">
        <v>9213</v>
      </c>
      <c r="F84" s="37">
        <v>8</v>
      </c>
      <c r="G84" s="2">
        <f t="shared" si="42"/>
        <v>73704</v>
      </c>
      <c r="H84" s="37">
        <v>8</v>
      </c>
      <c r="I84" s="5">
        <f t="shared" si="43"/>
        <v>73704</v>
      </c>
    </row>
    <row r="85" spans="2:9" ht="12.95" customHeight="1" x14ac:dyDescent="0.3">
      <c r="B85" s="83" t="s">
        <v>22</v>
      </c>
      <c r="C85" s="84" t="s">
        <v>24</v>
      </c>
      <c r="D85" s="85" t="s">
        <v>47</v>
      </c>
      <c r="E85" s="86"/>
      <c r="F85" s="37">
        <v>1</v>
      </c>
      <c r="G85" s="8">
        <f>TRUNC(SUM(G88:G89)*0.02,1)</f>
        <v>20357.7</v>
      </c>
      <c r="H85" s="37">
        <v>1</v>
      </c>
      <c r="I85" s="8">
        <f>TRUNC(SUM(I88:I89)*0.02,1)</f>
        <v>20357.7</v>
      </c>
    </row>
    <row r="86" spans="2:9" ht="12.95" customHeight="1" x14ac:dyDescent="0.3">
      <c r="B86" s="87" t="s">
        <v>31</v>
      </c>
      <c r="C86" s="211"/>
      <c r="D86" s="210"/>
      <c r="E86" s="212"/>
      <c r="F86" s="37"/>
      <c r="G86" s="213">
        <f>TRUNC(SUM(G83:G85))</f>
        <v>130489</v>
      </c>
      <c r="H86" s="37"/>
      <c r="I86" s="213">
        <f>TRUNC(SUM(I83:I85))</f>
        <v>130489</v>
      </c>
    </row>
    <row r="87" spans="2:9" ht="12.95" customHeight="1" x14ac:dyDescent="0.3">
      <c r="B87" s="214"/>
      <c r="C87" s="211"/>
      <c r="D87" s="210"/>
      <c r="E87" s="212"/>
      <c r="F87" s="37"/>
      <c r="G87" s="215"/>
      <c r="H87" s="37"/>
      <c r="I87" s="215"/>
    </row>
    <row r="88" spans="2:9" ht="12.95" customHeight="1" x14ac:dyDescent="0.2">
      <c r="B88" s="14" t="s">
        <v>30</v>
      </c>
      <c r="C88" s="115"/>
      <c r="D88" s="85" t="s">
        <v>27</v>
      </c>
      <c r="E88" s="114">
        <v>281939</v>
      </c>
      <c r="F88" s="37">
        <v>3</v>
      </c>
      <c r="G88" s="5">
        <f t="shared" ref="G88:G91" si="44">TRUNC($E88*F88,1)</f>
        <v>845817</v>
      </c>
      <c r="H88" s="37">
        <v>3</v>
      </c>
      <c r="I88" s="5">
        <f t="shared" ref="I88:I91" si="45">TRUNC($E88*H88,1)</f>
        <v>845817</v>
      </c>
    </row>
    <row r="89" spans="2:9" ht="12.95" customHeight="1" x14ac:dyDescent="0.2">
      <c r="B89" s="14" t="s">
        <v>37</v>
      </c>
      <c r="C89" s="92"/>
      <c r="D89" s="85" t="s">
        <v>27</v>
      </c>
      <c r="E89" s="114">
        <v>172068</v>
      </c>
      <c r="F89" s="37">
        <v>1</v>
      </c>
      <c r="G89" s="5">
        <f t="shared" si="44"/>
        <v>172068</v>
      </c>
      <c r="H89" s="37">
        <v>1</v>
      </c>
      <c r="I89" s="5">
        <f t="shared" si="45"/>
        <v>172068</v>
      </c>
    </row>
    <row r="90" spans="2:9" ht="12.95" customHeight="1" x14ac:dyDescent="0.2">
      <c r="B90" s="83" t="s">
        <v>225</v>
      </c>
      <c r="C90" s="92" t="s">
        <v>8</v>
      </c>
      <c r="D90" s="85" t="s">
        <v>46</v>
      </c>
      <c r="E90" s="114">
        <v>58925</v>
      </c>
      <c r="F90" s="37">
        <v>4</v>
      </c>
      <c r="G90" s="5">
        <f t="shared" si="44"/>
        <v>235700</v>
      </c>
      <c r="H90" s="37">
        <v>4</v>
      </c>
      <c r="I90" s="5">
        <f t="shared" si="45"/>
        <v>235700</v>
      </c>
    </row>
    <row r="91" spans="2:9" ht="12.95" customHeight="1" x14ac:dyDescent="0.2">
      <c r="B91" s="113" t="s">
        <v>39</v>
      </c>
      <c r="C91" s="106" t="s">
        <v>40</v>
      </c>
      <c r="D91" s="85" t="s">
        <v>46</v>
      </c>
      <c r="E91" s="114">
        <v>49698</v>
      </c>
      <c r="F91" s="37">
        <v>8</v>
      </c>
      <c r="G91" s="5">
        <f t="shared" si="44"/>
        <v>397584</v>
      </c>
      <c r="H91" s="37">
        <v>8</v>
      </c>
      <c r="I91" s="5">
        <f t="shared" si="45"/>
        <v>397584</v>
      </c>
    </row>
    <row r="92" spans="2:9" ht="12.95" customHeight="1" x14ac:dyDescent="0.3">
      <c r="B92" s="96" t="s">
        <v>32</v>
      </c>
      <c r="C92" s="211"/>
      <c r="D92" s="210"/>
      <c r="E92" s="212"/>
      <c r="F92" s="37"/>
      <c r="G92" s="213">
        <f>TRUNC(SUM(G88:G91))</f>
        <v>1651169</v>
      </c>
      <c r="H92" s="37"/>
      <c r="I92" s="213">
        <f>TRUNC(SUM(I88:I91))</f>
        <v>1651169</v>
      </c>
    </row>
    <row r="93" spans="2:9" ht="12.95" customHeight="1" x14ac:dyDescent="0.3">
      <c r="B93" s="214"/>
      <c r="C93" s="211"/>
      <c r="D93" s="210"/>
      <c r="E93" s="212"/>
      <c r="F93" s="37"/>
      <c r="G93" s="215"/>
      <c r="H93" s="37"/>
      <c r="I93" s="215"/>
    </row>
    <row r="94" spans="2:9" ht="12.95" customHeight="1" x14ac:dyDescent="0.2">
      <c r="B94" s="83" t="s">
        <v>225</v>
      </c>
      <c r="C94" s="83" t="s">
        <v>8</v>
      </c>
      <c r="D94" s="85" t="s">
        <v>46</v>
      </c>
      <c r="E94" s="114">
        <v>13873</v>
      </c>
      <c r="F94" s="37">
        <v>4</v>
      </c>
      <c r="G94" s="5">
        <f t="shared" ref="G94:G95" si="46">TRUNC($E94*F94,1)</f>
        <v>55492</v>
      </c>
      <c r="H94" s="37">
        <v>4</v>
      </c>
      <c r="I94" s="5">
        <f t="shared" ref="I94:I95" si="47">TRUNC($E94*H94,1)</f>
        <v>55492</v>
      </c>
    </row>
    <row r="95" spans="2:9" ht="12.95" customHeight="1" x14ac:dyDescent="0.2">
      <c r="B95" s="113" t="s">
        <v>39</v>
      </c>
      <c r="C95" s="116" t="s">
        <v>40</v>
      </c>
      <c r="D95" s="85" t="s">
        <v>46</v>
      </c>
      <c r="E95" s="114">
        <v>11117</v>
      </c>
      <c r="F95" s="37">
        <v>8</v>
      </c>
      <c r="G95" s="5">
        <f t="shared" si="46"/>
        <v>88936</v>
      </c>
      <c r="H95" s="37">
        <v>8</v>
      </c>
      <c r="I95" s="5">
        <f t="shared" si="47"/>
        <v>88936</v>
      </c>
    </row>
    <row r="96" spans="2:9" ht="12.95" customHeight="1" x14ac:dyDescent="0.3">
      <c r="B96" s="87" t="s">
        <v>33</v>
      </c>
      <c r="C96" s="211"/>
      <c r="D96" s="212"/>
      <c r="E96" s="212"/>
      <c r="F96" s="216"/>
      <c r="G96" s="213">
        <f>TRUNC(SUM(G94:G95))</f>
        <v>144428</v>
      </c>
      <c r="H96" s="216"/>
      <c r="I96" s="213">
        <f>TRUNC(SUM(I94:I95))</f>
        <v>144428</v>
      </c>
    </row>
    <row r="97" spans="2:13" ht="12.95" customHeight="1" x14ac:dyDescent="0.3">
      <c r="B97" s="214"/>
      <c r="C97" s="217"/>
      <c r="D97" s="212"/>
      <c r="E97" s="212"/>
      <c r="F97" s="216"/>
      <c r="G97" s="218"/>
      <c r="H97" s="216"/>
      <c r="I97" s="218"/>
    </row>
    <row r="98" spans="2:13" ht="12.95" customHeight="1" x14ac:dyDescent="0.3">
      <c r="B98" s="219" t="s">
        <v>38</v>
      </c>
      <c r="C98" s="217"/>
      <c r="D98" s="212"/>
      <c r="E98" s="212"/>
      <c r="F98" s="216"/>
      <c r="G98" s="218">
        <f>SUM(G86+G92+G96)</f>
        <v>1926086</v>
      </c>
      <c r="H98" s="216"/>
      <c r="I98" s="218">
        <f>SUM(I86+I92+I96)</f>
        <v>1926086</v>
      </c>
    </row>
    <row r="99" spans="2:13" ht="12.95" customHeight="1" x14ac:dyDescent="0.3">
      <c r="B99" s="98" t="s">
        <v>249</v>
      </c>
      <c r="C99" s="99"/>
      <c r="D99" s="100"/>
      <c r="E99" s="101"/>
      <c r="F99" s="102"/>
      <c r="G99" s="9">
        <f>TRUNC((G98/G81)*10)</f>
        <v>770434</v>
      </c>
      <c r="H99" s="102"/>
      <c r="I99" s="9">
        <f>TRUNC((I98/I81)*10)</f>
        <v>296320</v>
      </c>
    </row>
    <row r="100" spans="2:13" ht="12.95" customHeight="1" x14ac:dyDescent="0.3">
      <c r="B100" s="108" t="s">
        <v>309</v>
      </c>
      <c r="C100" s="14"/>
      <c r="D100" s="14"/>
      <c r="E100" s="104"/>
      <c r="F100" s="6"/>
      <c r="G100" s="6"/>
      <c r="H100" s="15"/>
      <c r="I100" s="6"/>
      <c r="J100" s="6"/>
      <c r="K100" s="109"/>
      <c r="M100" s="208"/>
    </row>
    <row r="102" spans="2:13" ht="12.95" customHeight="1" x14ac:dyDescent="0.3">
      <c r="B102" s="108" t="s">
        <v>44</v>
      </c>
      <c r="C102" s="14"/>
      <c r="D102" s="14"/>
      <c r="E102" s="104"/>
      <c r="F102" s="6"/>
      <c r="G102" s="6"/>
      <c r="H102" s="15"/>
      <c r="I102" s="6"/>
      <c r="J102" s="6"/>
      <c r="K102" s="109"/>
      <c r="M102" s="208" t="s">
        <v>244</v>
      </c>
    </row>
    <row r="103" spans="2:13" ht="12.95" customHeight="1" x14ac:dyDescent="0.3">
      <c r="B103" s="234" t="s">
        <v>13</v>
      </c>
      <c r="C103" s="237" t="s">
        <v>20</v>
      </c>
      <c r="D103" s="237" t="s">
        <v>21</v>
      </c>
      <c r="E103" s="237" t="s">
        <v>14</v>
      </c>
      <c r="F103" s="260" t="s">
        <v>254</v>
      </c>
      <c r="G103" s="261"/>
      <c r="H103" s="261"/>
      <c r="I103" s="262"/>
      <c r="J103" s="260" t="s">
        <v>255</v>
      </c>
      <c r="K103" s="261"/>
      <c r="L103" s="261"/>
      <c r="M103" s="261"/>
    </row>
    <row r="104" spans="2:13" ht="12.95" customHeight="1" x14ac:dyDescent="0.3">
      <c r="B104" s="235"/>
      <c r="C104" s="238"/>
      <c r="D104" s="238"/>
      <c r="E104" s="238"/>
      <c r="F104" s="240" t="s">
        <v>28</v>
      </c>
      <c r="G104" s="241"/>
      <c r="H104" s="240" t="s">
        <v>29</v>
      </c>
      <c r="I104" s="241"/>
      <c r="J104" s="240" t="s">
        <v>28</v>
      </c>
      <c r="K104" s="241"/>
      <c r="L104" s="240" t="s">
        <v>29</v>
      </c>
      <c r="M104" s="241"/>
    </row>
    <row r="105" spans="2:13" ht="12.95" customHeight="1" x14ac:dyDescent="0.3">
      <c r="B105" s="235"/>
      <c r="C105" s="238"/>
      <c r="D105" s="238"/>
      <c r="E105" s="238"/>
      <c r="F105" s="205" t="s">
        <v>250</v>
      </c>
      <c r="G105" s="209">
        <v>110</v>
      </c>
      <c r="H105" s="205" t="s">
        <v>250</v>
      </c>
      <c r="I105" s="209">
        <v>280</v>
      </c>
      <c r="J105" s="205" t="s">
        <v>250</v>
      </c>
      <c r="K105" s="209">
        <v>95</v>
      </c>
      <c r="L105" s="205" t="s">
        <v>250</v>
      </c>
      <c r="M105" s="209">
        <v>230</v>
      </c>
    </row>
    <row r="106" spans="2:13" ht="12.95" customHeight="1" x14ac:dyDescent="0.3">
      <c r="B106" s="236"/>
      <c r="C106" s="239"/>
      <c r="D106" s="239"/>
      <c r="E106" s="239"/>
      <c r="F106" s="79" t="s">
        <v>246</v>
      </c>
      <c r="G106" s="80" t="s">
        <v>247</v>
      </c>
      <c r="H106" s="79" t="s">
        <v>246</v>
      </c>
      <c r="I106" s="80" t="s">
        <v>247</v>
      </c>
      <c r="J106" s="79" t="s">
        <v>246</v>
      </c>
      <c r="K106" s="80" t="s">
        <v>247</v>
      </c>
      <c r="L106" s="79" t="s">
        <v>246</v>
      </c>
      <c r="M106" s="80" t="s">
        <v>247</v>
      </c>
    </row>
    <row r="107" spans="2:13" ht="12.95" customHeight="1" x14ac:dyDescent="0.3">
      <c r="B107" s="83" t="s">
        <v>22</v>
      </c>
      <c r="C107" s="84" t="s">
        <v>34</v>
      </c>
      <c r="D107" s="85" t="s">
        <v>47</v>
      </c>
      <c r="E107" s="86"/>
      <c r="F107" s="37">
        <v>1</v>
      </c>
      <c r="G107" s="8">
        <f>TRUNC(SUM(G110:G111)*0.03,1)</f>
        <v>30536.5</v>
      </c>
      <c r="H107" s="37">
        <v>1</v>
      </c>
      <c r="I107" s="8">
        <f>TRUNC(SUM(I110:I111)*0.03,1)</f>
        <v>30536.5</v>
      </c>
      <c r="J107" s="37">
        <v>1</v>
      </c>
      <c r="K107" s="8">
        <f>TRUNC(SUM(K110:K111)*0.03,1)</f>
        <v>30536.5</v>
      </c>
      <c r="L107" s="37">
        <v>1</v>
      </c>
      <c r="M107" s="8">
        <f>TRUNC(SUM(M110:M111)*0.03,1)</f>
        <v>30536.5</v>
      </c>
    </row>
    <row r="108" spans="2:13" ht="12.95" customHeight="1" x14ac:dyDescent="0.3">
      <c r="B108" s="87" t="s">
        <v>31</v>
      </c>
      <c r="C108" s="211"/>
      <c r="D108" s="210"/>
      <c r="E108" s="212"/>
      <c r="F108" s="37"/>
      <c r="G108" s="213">
        <f>TRUNC(SUM(G107:G107))</f>
        <v>30536</v>
      </c>
      <c r="H108" s="37"/>
      <c r="I108" s="213">
        <f>TRUNC(SUM(I107:I107))</f>
        <v>30536</v>
      </c>
      <c r="J108" s="37"/>
      <c r="K108" s="213">
        <f>TRUNC(SUM(K107:K107))</f>
        <v>30536</v>
      </c>
      <c r="L108" s="37"/>
      <c r="M108" s="213">
        <f>TRUNC(SUM(M107:M107))</f>
        <v>30536</v>
      </c>
    </row>
    <row r="109" spans="2:13" ht="12.95" customHeight="1" x14ac:dyDescent="0.3">
      <c r="B109" s="214"/>
      <c r="C109" s="211"/>
      <c r="D109" s="210"/>
      <c r="E109" s="212"/>
      <c r="F109" s="37"/>
      <c r="G109" s="215"/>
      <c r="H109" s="37"/>
      <c r="I109" s="215"/>
      <c r="J109" s="37"/>
      <c r="K109" s="215"/>
      <c r="L109" s="37"/>
      <c r="M109" s="215"/>
    </row>
    <row r="110" spans="2:13" ht="12.95" customHeight="1" x14ac:dyDescent="0.3">
      <c r="B110" s="91" t="s">
        <v>30</v>
      </c>
      <c r="C110" s="91"/>
      <c r="D110" s="95" t="s">
        <v>27</v>
      </c>
      <c r="E110" s="82">
        <v>281939</v>
      </c>
      <c r="F110" s="37">
        <v>3</v>
      </c>
      <c r="G110" s="5">
        <f t="shared" ref="G110:G111" si="48">TRUNC($E110*F110,1)</f>
        <v>845817</v>
      </c>
      <c r="H110" s="37">
        <v>3</v>
      </c>
      <c r="I110" s="5">
        <f t="shared" ref="I110:I111" si="49">TRUNC($E110*H110,1)</f>
        <v>845817</v>
      </c>
      <c r="J110" s="37">
        <v>3</v>
      </c>
      <c r="K110" s="5">
        <f t="shared" ref="K110:K111" si="50">TRUNC($E110*J110,1)</f>
        <v>845817</v>
      </c>
      <c r="L110" s="37">
        <v>3</v>
      </c>
      <c r="M110" s="5">
        <f t="shared" ref="M110:M111" si="51">TRUNC($E110*L110,1)</f>
        <v>845817</v>
      </c>
    </row>
    <row r="111" spans="2:13" ht="12.95" customHeight="1" x14ac:dyDescent="0.3">
      <c r="B111" s="91" t="s">
        <v>4</v>
      </c>
      <c r="C111" s="91"/>
      <c r="D111" s="95" t="s">
        <v>27</v>
      </c>
      <c r="E111" s="82">
        <v>172068</v>
      </c>
      <c r="F111" s="37">
        <v>1</v>
      </c>
      <c r="G111" s="5">
        <f t="shared" si="48"/>
        <v>172068</v>
      </c>
      <c r="H111" s="37">
        <v>1</v>
      </c>
      <c r="I111" s="5">
        <f t="shared" si="49"/>
        <v>172068</v>
      </c>
      <c r="J111" s="37">
        <v>1</v>
      </c>
      <c r="K111" s="5">
        <f t="shared" si="50"/>
        <v>172068</v>
      </c>
      <c r="L111" s="37">
        <v>1</v>
      </c>
      <c r="M111" s="5">
        <f t="shared" si="51"/>
        <v>172068</v>
      </c>
    </row>
    <row r="112" spans="2:13" ht="12.95" customHeight="1" x14ac:dyDescent="0.3">
      <c r="B112" s="96" t="s">
        <v>32</v>
      </c>
      <c r="C112" s="211"/>
      <c r="D112" s="210"/>
      <c r="E112" s="212"/>
      <c r="F112" s="37"/>
      <c r="G112" s="213">
        <f>TRUNC(SUM(G110:G111))</f>
        <v>1017885</v>
      </c>
      <c r="H112" s="37"/>
      <c r="I112" s="213">
        <f>TRUNC(SUM(I110:I111))</f>
        <v>1017885</v>
      </c>
      <c r="J112" s="37"/>
      <c r="K112" s="213">
        <f>TRUNC(SUM(K110:K111))</f>
        <v>1017885</v>
      </c>
      <c r="L112" s="37"/>
      <c r="M112" s="213">
        <f>TRUNC(SUM(M110:M111))</f>
        <v>1017885</v>
      </c>
    </row>
    <row r="113" spans="2:13" ht="12.95" customHeight="1" x14ac:dyDescent="0.3">
      <c r="B113" s="214"/>
      <c r="C113" s="217"/>
      <c r="D113" s="212"/>
      <c r="E113" s="212"/>
      <c r="F113" s="216"/>
      <c r="G113" s="218"/>
      <c r="H113" s="216"/>
      <c r="I113" s="218"/>
      <c r="J113" s="216"/>
      <c r="K113" s="218"/>
      <c r="L113" s="216"/>
      <c r="M113" s="218"/>
    </row>
    <row r="114" spans="2:13" ht="12.95" customHeight="1" x14ac:dyDescent="0.3">
      <c r="B114" s="219" t="s">
        <v>38</v>
      </c>
      <c r="C114" s="217"/>
      <c r="D114" s="212"/>
      <c r="E114" s="212"/>
      <c r="F114" s="216"/>
      <c r="G114" s="218">
        <f>SUM(G108+G112)</f>
        <v>1048421</v>
      </c>
      <c r="H114" s="216"/>
      <c r="I114" s="218">
        <f>SUM(I108+I112)</f>
        <v>1048421</v>
      </c>
      <c r="J114" s="216"/>
      <c r="K114" s="218">
        <f>SUM(K108+K112)</f>
        <v>1048421</v>
      </c>
      <c r="L114" s="216"/>
      <c r="M114" s="218">
        <f>SUM(M108+M112)</f>
        <v>1048421</v>
      </c>
    </row>
    <row r="115" spans="2:13" ht="12.95" customHeight="1" x14ac:dyDescent="0.3">
      <c r="B115" s="98" t="s">
        <v>249</v>
      </c>
      <c r="C115" s="99"/>
      <c r="D115" s="100"/>
      <c r="E115" s="101"/>
      <c r="F115" s="102"/>
      <c r="G115" s="9">
        <f>TRUNC((G114/G105)*10)</f>
        <v>95311</v>
      </c>
      <c r="H115" s="102"/>
      <c r="I115" s="9">
        <f>TRUNC((I114/I105)*10)</f>
        <v>37443</v>
      </c>
      <c r="J115" s="102"/>
      <c r="K115" s="9">
        <f>TRUNC((K114/K105)*10)</f>
        <v>110360</v>
      </c>
      <c r="L115" s="102"/>
      <c r="M115" s="9">
        <f>TRUNC((M114/M105)*10)</f>
        <v>45583</v>
      </c>
    </row>
    <row r="116" spans="2:13" ht="12.95" customHeight="1" x14ac:dyDescent="0.3">
      <c r="C116" s="123"/>
      <c r="D116" s="124"/>
      <c r="E116" s="73"/>
    </row>
    <row r="117" spans="2:13" ht="12.95" customHeight="1" x14ac:dyDescent="0.3">
      <c r="B117" s="108" t="s">
        <v>45</v>
      </c>
      <c r="C117" s="14"/>
      <c r="D117" s="14"/>
      <c r="E117" s="104"/>
      <c r="F117" s="6"/>
      <c r="G117" s="6"/>
      <c r="H117" s="15"/>
      <c r="I117" s="6"/>
      <c r="J117" s="6"/>
      <c r="K117" s="109"/>
      <c r="M117" s="208" t="s">
        <v>244</v>
      </c>
    </row>
    <row r="118" spans="2:13" ht="12.95" customHeight="1" x14ac:dyDescent="0.3">
      <c r="B118" s="234" t="s">
        <v>13</v>
      </c>
      <c r="C118" s="237" t="s">
        <v>20</v>
      </c>
      <c r="D118" s="237" t="s">
        <v>21</v>
      </c>
      <c r="E118" s="237" t="s">
        <v>14</v>
      </c>
      <c r="F118" s="260" t="s">
        <v>254</v>
      </c>
      <c r="G118" s="261"/>
      <c r="H118" s="261"/>
      <c r="I118" s="262"/>
      <c r="J118" s="260" t="s">
        <v>255</v>
      </c>
      <c r="K118" s="261"/>
      <c r="L118" s="261"/>
      <c r="M118" s="261"/>
    </row>
    <row r="119" spans="2:13" ht="12.95" customHeight="1" x14ac:dyDescent="0.3">
      <c r="B119" s="235"/>
      <c r="C119" s="238"/>
      <c r="D119" s="238"/>
      <c r="E119" s="238"/>
      <c r="F119" s="240" t="s">
        <v>28</v>
      </c>
      <c r="G119" s="241"/>
      <c r="H119" s="240" t="s">
        <v>29</v>
      </c>
      <c r="I119" s="241"/>
      <c r="J119" s="240" t="s">
        <v>28</v>
      </c>
      <c r="K119" s="241"/>
      <c r="L119" s="240" t="s">
        <v>29</v>
      </c>
      <c r="M119" s="241"/>
    </row>
    <row r="120" spans="2:13" ht="12.95" customHeight="1" x14ac:dyDescent="0.3">
      <c r="B120" s="235"/>
      <c r="C120" s="238"/>
      <c r="D120" s="238"/>
      <c r="E120" s="238"/>
      <c r="F120" s="205" t="s">
        <v>250</v>
      </c>
      <c r="G120" s="209">
        <v>120</v>
      </c>
      <c r="H120" s="205" t="s">
        <v>250</v>
      </c>
      <c r="I120" s="209">
        <v>300</v>
      </c>
      <c r="J120" s="205" t="s">
        <v>250</v>
      </c>
      <c r="K120" s="209">
        <v>100</v>
      </c>
      <c r="L120" s="205" t="s">
        <v>250</v>
      </c>
      <c r="M120" s="209">
        <v>260</v>
      </c>
    </row>
    <row r="121" spans="2:13" ht="12.95" customHeight="1" x14ac:dyDescent="0.3">
      <c r="B121" s="236"/>
      <c r="C121" s="239"/>
      <c r="D121" s="239"/>
      <c r="E121" s="239"/>
      <c r="F121" s="79" t="s">
        <v>246</v>
      </c>
      <c r="G121" s="80" t="s">
        <v>247</v>
      </c>
      <c r="H121" s="79" t="s">
        <v>246</v>
      </c>
      <c r="I121" s="80" t="s">
        <v>247</v>
      </c>
      <c r="J121" s="79" t="s">
        <v>246</v>
      </c>
      <c r="K121" s="80" t="s">
        <v>247</v>
      </c>
      <c r="L121" s="79" t="s">
        <v>246</v>
      </c>
      <c r="M121" s="80" t="s">
        <v>247</v>
      </c>
    </row>
    <row r="122" spans="2:13" ht="12.95" customHeight="1" x14ac:dyDescent="0.3">
      <c r="B122" s="83" t="s">
        <v>22</v>
      </c>
      <c r="C122" s="84" t="s">
        <v>34</v>
      </c>
      <c r="D122" s="85" t="s">
        <v>47</v>
      </c>
      <c r="E122" s="86"/>
      <c r="F122" s="37">
        <v>1</v>
      </c>
      <c r="G122" s="8">
        <f>TRUNC(SUM(G125:G126)*0.03,1)</f>
        <v>30536.5</v>
      </c>
      <c r="H122" s="37">
        <v>1</v>
      </c>
      <c r="I122" s="8">
        <f>TRUNC(SUM(I125:I126)*0.03,1)</f>
        <v>30536.5</v>
      </c>
      <c r="J122" s="37">
        <v>1</v>
      </c>
      <c r="K122" s="8">
        <f>TRUNC(SUM(K125:K126)*0.03,1)</f>
        <v>30536.5</v>
      </c>
      <c r="L122" s="37">
        <v>1</v>
      </c>
      <c r="M122" s="8">
        <f>TRUNC(SUM(M125:M126)*0.03,1)</f>
        <v>30536.5</v>
      </c>
    </row>
    <row r="123" spans="2:13" ht="12.95" customHeight="1" x14ac:dyDescent="0.3">
      <c r="B123" s="87" t="s">
        <v>31</v>
      </c>
      <c r="C123" s="211"/>
      <c r="D123" s="210"/>
      <c r="E123" s="212"/>
      <c r="F123" s="37"/>
      <c r="G123" s="213">
        <f>TRUNC(SUM(G122:G122))</f>
        <v>30536</v>
      </c>
      <c r="H123" s="37"/>
      <c r="I123" s="213">
        <f>TRUNC(SUM(I122:I122))</f>
        <v>30536</v>
      </c>
      <c r="J123" s="37"/>
      <c r="K123" s="213">
        <f>TRUNC(SUM(K122:K122))</f>
        <v>30536</v>
      </c>
      <c r="L123" s="37"/>
      <c r="M123" s="213">
        <f>TRUNC(SUM(M122:M122))</f>
        <v>30536</v>
      </c>
    </row>
    <row r="124" spans="2:13" ht="12.95" customHeight="1" x14ac:dyDescent="0.3">
      <c r="B124" s="214"/>
      <c r="C124" s="211"/>
      <c r="D124" s="210"/>
      <c r="E124" s="212"/>
      <c r="F124" s="37"/>
      <c r="G124" s="215"/>
      <c r="H124" s="37"/>
      <c r="I124" s="215"/>
      <c r="J124" s="37"/>
      <c r="K124" s="215"/>
      <c r="L124" s="37"/>
      <c r="M124" s="215"/>
    </row>
    <row r="125" spans="2:13" ht="12.95" customHeight="1" x14ac:dyDescent="0.3">
      <c r="B125" s="91" t="s">
        <v>30</v>
      </c>
      <c r="C125" s="91"/>
      <c r="D125" s="95" t="s">
        <v>27</v>
      </c>
      <c r="E125" s="82">
        <v>281939</v>
      </c>
      <c r="F125" s="37">
        <v>3</v>
      </c>
      <c r="G125" s="5">
        <f t="shared" ref="G125:G126" si="52">TRUNC($E125*F125,1)</f>
        <v>845817</v>
      </c>
      <c r="H125" s="37">
        <v>3</v>
      </c>
      <c r="I125" s="5">
        <f t="shared" ref="I125:I126" si="53">TRUNC($E125*H125,1)</f>
        <v>845817</v>
      </c>
      <c r="J125" s="37">
        <v>3</v>
      </c>
      <c r="K125" s="5">
        <f t="shared" ref="K125:K126" si="54">TRUNC($E125*J125,1)</f>
        <v>845817</v>
      </c>
      <c r="L125" s="37">
        <v>3</v>
      </c>
      <c r="M125" s="5">
        <f t="shared" ref="M125:M126" si="55">TRUNC($E125*L125,1)</f>
        <v>845817</v>
      </c>
    </row>
    <row r="126" spans="2:13" ht="12.95" customHeight="1" x14ac:dyDescent="0.3">
      <c r="B126" s="91" t="s">
        <v>4</v>
      </c>
      <c r="C126" s="91"/>
      <c r="D126" s="95" t="s">
        <v>27</v>
      </c>
      <c r="E126" s="82">
        <v>172068</v>
      </c>
      <c r="F126" s="37">
        <v>1</v>
      </c>
      <c r="G126" s="5">
        <f t="shared" si="52"/>
        <v>172068</v>
      </c>
      <c r="H126" s="37">
        <v>1</v>
      </c>
      <c r="I126" s="5">
        <f t="shared" si="53"/>
        <v>172068</v>
      </c>
      <c r="J126" s="37">
        <v>1</v>
      </c>
      <c r="K126" s="5">
        <f t="shared" si="54"/>
        <v>172068</v>
      </c>
      <c r="L126" s="37">
        <v>1</v>
      </c>
      <c r="M126" s="5">
        <f t="shared" si="55"/>
        <v>172068</v>
      </c>
    </row>
    <row r="127" spans="2:13" ht="12.95" customHeight="1" x14ac:dyDescent="0.3">
      <c r="B127" s="96" t="s">
        <v>32</v>
      </c>
      <c r="C127" s="211"/>
      <c r="D127" s="210"/>
      <c r="E127" s="212"/>
      <c r="F127" s="37"/>
      <c r="G127" s="213">
        <f>TRUNC(SUM(G125:G126))</f>
        <v>1017885</v>
      </c>
      <c r="H127" s="37"/>
      <c r="I127" s="213">
        <f>TRUNC(SUM(I125:I126))</f>
        <v>1017885</v>
      </c>
      <c r="J127" s="37"/>
      <c r="K127" s="213">
        <f>TRUNC(SUM(K125:K126))</f>
        <v>1017885</v>
      </c>
      <c r="L127" s="37"/>
      <c r="M127" s="213">
        <f>TRUNC(SUM(M125:M126))</f>
        <v>1017885</v>
      </c>
    </row>
    <row r="128" spans="2:13" ht="12.95" customHeight="1" x14ac:dyDescent="0.3">
      <c r="B128" s="214"/>
      <c r="C128" s="217"/>
      <c r="D128" s="212"/>
      <c r="E128" s="212"/>
      <c r="F128" s="216"/>
      <c r="G128" s="218"/>
      <c r="H128" s="216"/>
      <c r="I128" s="218"/>
      <c r="J128" s="216"/>
      <c r="K128" s="218"/>
      <c r="L128" s="216"/>
      <c r="M128" s="218"/>
    </row>
    <row r="129" spans="2:13" ht="12.95" customHeight="1" x14ac:dyDescent="0.3">
      <c r="B129" s="219" t="s">
        <v>38</v>
      </c>
      <c r="C129" s="217"/>
      <c r="D129" s="212"/>
      <c r="E129" s="212"/>
      <c r="F129" s="216"/>
      <c r="G129" s="218">
        <f>SUM(G123+G127)</f>
        <v>1048421</v>
      </c>
      <c r="H129" s="216"/>
      <c r="I129" s="218">
        <f>SUM(I123+I127)</f>
        <v>1048421</v>
      </c>
      <c r="J129" s="216"/>
      <c r="K129" s="218">
        <f>SUM(K123+K127)</f>
        <v>1048421</v>
      </c>
      <c r="L129" s="216"/>
      <c r="M129" s="218">
        <f>SUM(M123+M127)</f>
        <v>1048421</v>
      </c>
    </row>
    <row r="130" spans="2:13" ht="12.95" customHeight="1" x14ac:dyDescent="0.3">
      <c r="B130" s="98" t="s">
        <v>249</v>
      </c>
      <c r="C130" s="99"/>
      <c r="D130" s="100"/>
      <c r="E130" s="101"/>
      <c r="F130" s="102"/>
      <c r="G130" s="9">
        <f>TRUNC((G129/G120)*10)</f>
        <v>87368</v>
      </c>
      <c r="H130" s="102"/>
      <c r="I130" s="9">
        <f>TRUNC((I129/I120)*10)</f>
        <v>34947</v>
      </c>
      <c r="J130" s="102"/>
      <c r="K130" s="9">
        <f>TRUNC((K129/K120)*10)</f>
        <v>104842</v>
      </c>
      <c r="L130" s="102"/>
      <c r="M130" s="9">
        <f>TRUNC((M129/M120)*10)</f>
        <v>40323</v>
      </c>
    </row>
    <row r="131" spans="2:13" ht="12.95" customHeight="1" x14ac:dyDescent="0.3">
      <c r="B131" s="234" t="s">
        <v>13</v>
      </c>
      <c r="C131" s="237" t="s">
        <v>20</v>
      </c>
      <c r="D131" s="237" t="s">
        <v>21</v>
      </c>
      <c r="E131" s="237" t="s">
        <v>14</v>
      </c>
      <c r="F131" s="260" t="s">
        <v>256</v>
      </c>
      <c r="G131" s="261"/>
      <c r="H131" s="261"/>
      <c r="I131" s="261"/>
      <c r="J131" s="177"/>
    </row>
    <row r="132" spans="2:13" ht="12.95" customHeight="1" x14ac:dyDescent="0.3">
      <c r="B132" s="235"/>
      <c r="C132" s="238"/>
      <c r="D132" s="238"/>
      <c r="E132" s="238"/>
      <c r="F132" s="240" t="s">
        <v>28</v>
      </c>
      <c r="G132" s="241"/>
      <c r="H132" s="240" t="s">
        <v>29</v>
      </c>
      <c r="I132" s="241"/>
    </row>
    <row r="133" spans="2:13" ht="12.95" customHeight="1" x14ac:dyDescent="0.3">
      <c r="B133" s="235"/>
      <c r="C133" s="238"/>
      <c r="D133" s="238"/>
      <c r="E133" s="238"/>
      <c r="F133" s="205" t="s">
        <v>250</v>
      </c>
      <c r="G133" s="209">
        <v>90</v>
      </c>
      <c r="H133" s="205" t="s">
        <v>250</v>
      </c>
      <c r="I133" s="209">
        <v>230</v>
      </c>
    </row>
    <row r="134" spans="2:13" ht="12.95" customHeight="1" x14ac:dyDescent="0.3">
      <c r="B134" s="236"/>
      <c r="C134" s="239"/>
      <c r="D134" s="239"/>
      <c r="E134" s="239"/>
      <c r="F134" s="79" t="s">
        <v>246</v>
      </c>
      <c r="G134" s="80" t="s">
        <v>247</v>
      </c>
      <c r="H134" s="79" t="s">
        <v>246</v>
      </c>
      <c r="I134" s="80" t="s">
        <v>247</v>
      </c>
    </row>
    <row r="135" spans="2:13" ht="12.95" customHeight="1" x14ac:dyDescent="0.3">
      <c r="B135" s="83" t="s">
        <v>22</v>
      </c>
      <c r="C135" s="84" t="s">
        <v>34</v>
      </c>
      <c r="D135" s="85" t="s">
        <v>47</v>
      </c>
      <c r="E135" s="86"/>
      <c r="F135" s="37">
        <v>1</v>
      </c>
      <c r="G135" s="8">
        <f>TRUNC(SUM(G138:G139)*0.03,1)</f>
        <v>30536.5</v>
      </c>
      <c r="H135" s="37">
        <v>1</v>
      </c>
      <c r="I135" s="8">
        <f>TRUNC(SUM(I138:I139)*0.03,1)</f>
        <v>30536.5</v>
      </c>
    </row>
    <row r="136" spans="2:13" ht="12.95" customHeight="1" x14ac:dyDescent="0.3">
      <c r="B136" s="87" t="s">
        <v>31</v>
      </c>
      <c r="C136" s="211"/>
      <c r="D136" s="210"/>
      <c r="E136" s="212"/>
      <c r="F136" s="37"/>
      <c r="G136" s="213">
        <f>TRUNC(SUM(G135:G135))</f>
        <v>30536</v>
      </c>
      <c r="H136" s="37"/>
      <c r="I136" s="213">
        <f>TRUNC(SUM(I135:I135))</f>
        <v>30536</v>
      </c>
    </row>
    <row r="137" spans="2:13" ht="12.95" customHeight="1" x14ac:dyDescent="0.3">
      <c r="B137" s="214"/>
      <c r="C137" s="211"/>
      <c r="D137" s="210"/>
      <c r="E137" s="212"/>
      <c r="F137" s="37"/>
      <c r="G137" s="215"/>
      <c r="H137" s="37"/>
      <c r="I137" s="215"/>
    </row>
    <row r="138" spans="2:13" ht="12.95" customHeight="1" x14ac:dyDescent="0.3">
      <c r="B138" s="91" t="s">
        <v>30</v>
      </c>
      <c r="C138" s="91"/>
      <c r="D138" s="95" t="s">
        <v>27</v>
      </c>
      <c r="E138" s="82">
        <v>281939</v>
      </c>
      <c r="F138" s="37">
        <v>3</v>
      </c>
      <c r="G138" s="5">
        <f t="shared" ref="G138:G139" si="56">TRUNC($E138*F138,1)</f>
        <v>845817</v>
      </c>
      <c r="H138" s="37">
        <v>3</v>
      </c>
      <c r="I138" s="5">
        <f t="shared" ref="I138:I139" si="57">TRUNC($E138*H138,1)</f>
        <v>845817</v>
      </c>
    </row>
    <row r="139" spans="2:13" ht="12.95" customHeight="1" x14ac:dyDescent="0.3">
      <c r="B139" s="91" t="s">
        <v>4</v>
      </c>
      <c r="C139" s="91"/>
      <c r="D139" s="95" t="s">
        <v>27</v>
      </c>
      <c r="E139" s="82">
        <v>172068</v>
      </c>
      <c r="F139" s="37">
        <v>1</v>
      </c>
      <c r="G139" s="5">
        <f t="shared" si="56"/>
        <v>172068</v>
      </c>
      <c r="H139" s="37">
        <v>1</v>
      </c>
      <c r="I139" s="5">
        <f t="shared" si="57"/>
        <v>172068</v>
      </c>
    </row>
    <row r="140" spans="2:13" ht="12.95" customHeight="1" x14ac:dyDescent="0.3">
      <c r="B140" s="96" t="s">
        <v>32</v>
      </c>
      <c r="C140" s="211"/>
      <c r="D140" s="210"/>
      <c r="E140" s="212"/>
      <c r="F140" s="37"/>
      <c r="G140" s="213">
        <f>TRUNC(SUM(G138:G139))</f>
        <v>1017885</v>
      </c>
      <c r="H140" s="37"/>
      <c r="I140" s="213">
        <f>TRUNC(SUM(I138:I139))</f>
        <v>1017885</v>
      </c>
    </row>
    <row r="141" spans="2:13" ht="12.95" customHeight="1" x14ac:dyDescent="0.3">
      <c r="B141" s="214"/>
      <c r="C141" s="217"/>
      <c r="D141" s="212"/>
      <c r="E141" s="212"/>
      <c r="F141" s="216"/>
      <c r="G141" s="218"/>
      <c r="H141" s="216"/>
      <c r="I141" s="218"/>
    </row>
    <row r="142" spans="2:13" ht="12.95" customHeight="1" x14ac:dyDescent="0.3">
      <c r="B142" s="219" t="s">
        <v>38</v>
      </c>
      <c r="C142" s="217"/>
      <c r="D142" s="212"/>
      <c r="E142" s="212"/>
      <c r="F142" s="216"/>
      <c r="G142" s="218">
        <f>SUM(G136+G140)</f>
        <v>1048421</v>
      </c>
      <c r="H142" s="216"/>
      <c r="I142" s="218">
        <f>SUM(I136+I140)</f>
        <v>1048421</v>
      </c>
    </row>
    <row r="143" spans="2:13" ht="12.95" customHeight="1" x14ac:dyDescent="0.3">
      <c r="B143" s="98" t="s">
        <v>249</v>
      </c>
      <c r="C143" s="99"/>
      <c r="D143" s="100"/>
      <c r="E143" s="101"/>
      <c r="F143" s="102"/>
      <c r="G143" s="9">
        <f>TRUNC((G142/G133)*10)</f>
        <v>116491</v>
      </c>
      <c r="H143" s="102"/>
      <c r="I143" s="9">
        <f>TRUNC((I142/I133)*10)</f>
        <v>45583</v>
      </c>
    </row>
    <row r="144" spans="2:13" ht="12.95" customHeight="1" x14ac:dyDescent="0.3">
      <c r="B144" s="108" t="s">
        <v>310</v>
      </c>
      <c r="C144" s="14"/>
      <c r="D144" s="14"/>
      <c r="E144" s="104"/>
      <c r="F144" s="6"/>
      <c r="G144" s="6"/>
      <c r="H144" s="15"/>
      <c r="I144" s="6"/>
      <c r="J144" s="6"/>
      <c r="K144" s="109"/>
      <c r="M144" s="208"/>
    </row>
    <row r="146" spans="2:13" ht="12.95" customHeight="1" x14ac:dyDescent="0.3">
      <c r="B146" s="108" t="s">
        <v>48</v>
      </c>
      <c r="C146" s="14"/>
      <c r="D146" s="14"/>
      <c r="E146" s="104"/>
      <c r="F146" s="6"/>
      <c r="G146" s="6"/>
      <c r="H146" s="15"/>
      <c r="I146" s="6"/>
      <c r="J146" s="6"/>
      <c r="K146" s="109"/>
      <c r="M146" s="208" t="s">
        <v>244</v>
      </c>
    </row>
    <row r="147" spans="2:13" ht="12.95" customHeight="1" x14ac:dyDescent="0.3">
      <c r="B147" s="234" t="s">
        <v>13</v>
      </c>
      <c r="C147" s="237" t="s">
        <v>20</v>
      </c>
      <c r="D147" s="237" t="s">
        <v>21</v>
      </c>
      <c r="E147" s="237" t="s">
        <v>14</v>
      </c>
      <c r="F147" s="240" t="s">
        <v>42</v>
      </c>
      <c r="G147" s="241"/>
      <c r="H147" s="241"/>
      <c r="I147" s="259"/>
      <c r="J147" s="240" t="s">
        <v>43</v>
      </c>
      <c r="K147" s="241"/>
      <c r="L147" s="241"/>
      <c r="M147" s="241"/>
    </row>
    <row r="148" spans="2:13" ht="12.95" customHeight="1" x14ac:dyDescent="0.3">
      <c r="B148" s="235"/>
      <c r="C148" s="238"/>
      <c r="D148" s="238"/>
      <c r="E148" s="238"/>
      <c r="F148" s="240" t="s">
        <v>28</v>
      </c>
      <c r="G148" s="241"/>
      <c r="H148" s="240" t="s">
        <v>29</v>
      </c>
      <c r="I148" s="241"/>
      <c r="J148" s="240" t="s">
        <v>28</v>
      </c>
      <c r="K148" s="241"/>
      <c r="L148" s="240" t="s">
        <v>29</v>
      </c>
      <c r="M148" s="241"/>
    </row>
    <row r="149" spans="2:13" ht="12.95" customHeight="1" x14ac:dyDescent="0.3">
      <c r="B149" s="235"/>
      <c r="C149" s="238"/>
      <c r="D149" s="238"/>
      <c r="E149" s="238"/>
      <c r="F149" s="205" t="s">
        <v>250</v>
      </c>
      <c r="G149" s="209">
        <v>50</v>
      </c>
      <c r="H149" s="205" t="s">
        <v>250</v>
      </c>
      <c r="I149" s="209">
        <v>120</v>
      </c>
      <c r="J149" s="205" t="s">
        <v>250</v>
      </c>
      <c r="K149" s="209">
        <v>40</v>
      </c>
      <c r="L149" s="205" t="s">
        <v>250</v>
      </c>
      <c r="M149" s="209">
        <v>105</v>
      </c>
    </row>
    <row r="150" spans="2:13" ht="12.95" customHeight="1" x14ac:dyDescent="0.3">
      <c r="B150" s="236"/>
      <c r="C150" s="239"/>
      <c r="D150" s="239"/>
      <c r="E150" s="239"/>
      <c r="F150" s="79" t="s">
        <v>246</v>
      </c>
      <c r="G150" s="80" t="s">
        <v>247</v>
      </c>
      <c r="H150" s="79" t="s">
        <v>246</v>
      </c>
      <c r="I150" s="80" t="s">
        <v>247</v>
      </c>
      <c r="J150" s="79" t="s">
        <v>246</v>
      </c>
      <c r="K150" s="80" t="s">
        <v>247</v>
      </c>
      <c r="L150" s="79" t="s">
        <v>246</v>
      </c>
      <c r="M150" s="80" t="s">
        <v>247</v>
      </c>
    </row>
    <row r="151" spans="2:13" ht="12.95" customHeight="1" x14ac:dyDescent="0.3">
      <c r="B151" s="113" t="s">
        <v>39</v>
      </c>
      <c r="C151" s="118" t="s">
        <v>40</v>
      </c>
      <c r="D151" s="85" t="s">
        <v>46</v>
      </c>
      <c r="E151" s="82">
        <v>9213</v>
      </c>
      <c r="F151" s="37">
        <v>8</v>
      </c>
      <c r="G151" s="2">
        <f t="shared" ref="G151" si="58">TRUNC($E151*F151,1)</f>
        <v>73704</v>
      </c>
      <c r="H151" s="37">
        <v>8</v>
      </c>
      <c r="I151" s="2">
        <f t="shared" ref="I151" si="59">TRUNC($E151*H151,1)</f>
        <v>73704</v>
      </c>
      <c r="J151" s="37">
        <v>8</v>
      </c>
      <c r="K151" s="2">
        <f t="shared" ref="K151" si="60">TRUNC($E151*J151,1)</f>
        <v>73704</v>
      </c>
      <c r="L151" s="37">
        <v>8</v>
      </c>
      <c r="M151" s="5">
        <f t="shared" ref="M151" si="61">TRUNC($E151*L151,1)</f>
        <v>73704</v>
      </c>
    </row>
    <row r="152" spans="2:13" ht="12.95" customHeight="1" x14ac:dyDescent="0.3">
      <c r="B152" s="83" t="s">
        <v>22</v>
      </c>
      <c r="C152" s="84" t="s">
        <v>24</v>
      </c>
      <c r="D152" s="85" t="s">
        <v>47</v>
      </c>
      <c r="E152" s="86"/>
      <c r="F152" s="37">
        <v>1</v>
      </c>
      <c r="G152" s="8">
        <f>TRUNC(SUM(G155:G156)*0.02,1)</f>
        <v>20357.7</v>
      </c>
      <c r="H152" s="37">
        <v>1</v>
      </c>
      <c r="I152" s="8">
        <f>TRUNC(SUM(I155:I156)*0.02,1)</f>
        <v>20357.7</v>
      </c>
      <c r="J152" s="37">
        <v>1</v>
      </c>
      <c r="K152" s="8">
        <f>TRUNC(SUM(K155:K156)*0.02,1)</f>
        <v>20357.7</v>
      </c>
      <c r="L152" s="37">
        <v>1</v>
      </c>
      <c r="M152" s="8">
        <f>TRUNC(SUM(M155:M156)*0.02,1)</f>
        <v>20357.7</v>
      </c>
    </row>
    <row r="153" spans="2:13" ht="12.95" customHeight="1" x14ac:dyDescent="0.3">
      <c r="B153" s="87" t="s">
        <v>31</v>
      </c>
      <c r="C153" s="211"/>
      <c r="D153" s="210"/>
      <c r="E153" s="212"/>
      <c r="F153" s="37"/>
      <c r="G153" s="213">
        <f>TRUNC(SUM(G151:G152))</f>
        <v>94061</v>
      </c>
      <c r="H153" s="37"/>
      <c r="I153" s="213">
        <f>TRUNC(SUM(I151:I152))</f>
        <v>94061</v>
      </c>
      <c r="J153" s="37"/>
      <c r="K153" s="213">
        <f>TRUNC(SUM(K151:K152))</f>
        <v>94061</v>
      </c>
      <c r="L153" s="37"/>
      <c r="M153" s="213">
        <f>TRUNC(SUM(M151:M152))</f>
        <v>94061</v>
      </c>
    </row>
    <row r="154" spans="2:13" ht="12.95" customHeight="1" x14ac:dyDescent="0.3">
      <c r="B154" s="214"/>
      <c r="C154" s="211"/>
      <c r="D154" s="210"/>
      <c r="E154" s="212"/>
      <c r="F154" s="37"/>
      <c r="G154" s="215"/>
      <c r="H154" s="37"/>
      <c r="I154" s="215"/>
      <c r="J154" s="37"/>
      <c r="K154" s="215"/>
      <c r="L154" s="37"/>
      <c r="M154" s="215"/>
    </row>
    <row r="155" spans="2:13" ht="12.95" customHeight="1" x14ac:dyDescent="0.3">
      <c r="B155" s="91" t="s">
        <v>30</v>
      </c>
      <c r="C155" s="91"/>
      <c r="D155" s="95" t="s">
        <v>27</v>
      </c>
      <c r="E155" s="82">
        <v>281939</v>
      </c>
      <c r="F155" s="37">
        <v>3</v>
      </c>
      <c r="G155" s="5">
        <f t="shared" ref="G155:G157" si="62">TRUNC($E155*F155,1)</f>
        <v>845817</v>
      </c>
      <c r="H155" s="37">
        <v>3</v>
      </c>
      <c r="I155" s="5">
        <f t="shared" ref="I155:I157" si="63">TRUNC($E155*H155,1)</f>
        <v>845817</v>
      </c>
      <c r="J155" s="37">
        <v>3</v>
      </c>
      <c r="K155" s="5">
        <f t="shared" ref="K155:K157" si="64">TRUNC($E155*J155,1)</f>
        <v>845817</v>
      </c>
      <c r="L155" s="37">
        <v>3</v>
      </c>
      <c r="M155" s="5">
        <f t="shared" ref="M155:M157" si="65">TRUNC($E155*L155,1)</f>
        <v>845817</v>
      </c>
    </row>
    <row r="156" spans="2:13" ht="12.95" customHeight="1" x14ac:dyDescent="0.3">
      <c r="B156" s="91" t="s">
        <v>4</v>
      </c>
      <c r="C156" s="91"/>
      <c r="D156" s="95" t="s">
        <v>27</v>
      </c>
      <c r="E156" s="82">
        <v>172068</v>
      </c>
      <c r="F156" s="37">
        <v>1</v>
      </c>
      <c r="G156" s="5">
        <f t="shared" si="62"/>
        <v>172068</v>
      </c>
      <c r="H156" s="37">
        <v>1</v>
      </c>
      <c r="I156" s="5">
        <f t="shared" si="63"/>
        <v>172068</v>
      </c>
      <c r="J156" s="37">
        <v>1</v>
      </c>
      <c r="K156" s="5">
        <f t="shared" si="64"/>
        <v>172068</v>
      </c>
      <c r="L156" s="37">
        <v>1</v>
      </c>
      <c r="M156" s="5">
        <f t="shared" si="65"/>
        <v>172068</v>
      </c>
    </row>
    <row r="157" spans="2:13" ht="12.95" customHeight="1" x14ac:dyDescent="0.3">
      <c r="B157" s="113" t="s">
        <v>39</v>
      </c>
      <c r="C157" s="116" t="s">
        <v>40</v>
      </c>
      <c r="D157" s="85" t="s">
        <v>46</v>
      </c>
      <c r="E157" s="82">
        <v>49698</v>
      </c>
      <c r="F157" s="37">
        <v>8</v>
      </c>
      <c r="G157" s="5">
        <f t="shared" si="62"/>
        <v>397584</v>
      </c>
      <c r="H157" s="37">
        <v>8</v>
      </c>
      <c r="I157" s="5">
        <f t="shared" si="63"/>
        <v>397584</v>
      </c>
      <c r="J157" s="37">
        <v>8</v>
      </c>
      <c r="K157" s="5">
        <f t="shared" si="64"/>
        <v>397584</v>
      </c>
      <c r="L157" s="37">
        <v>8</v>
      </c>
      <c r="M157" s="5">
        <f t="shared" si="65"/>
        <v>397584</v>
      </c>
    </row>
    <row r="158" spans="2:13" ht="12.95" customHeight="1" x14ac:dyDescent="0.3">
      <c r="B158" s="96" t="s">
        <v>32</v>
      </c>
      <c r="C158" s="211"/>
      <c r="D158" s="210"/>
      <c r="E158" s="212"/>
      <c r="F158" s="37"/>
      <c r="G158" s="213">
        <f>TRUNC(SUM(G155:G157))</f>
        <v>1415469</v>
      </c>
      <c r="H158" s="37"/>
      <c r="I158" s="213">
        <f>TRUNC(SUM(I155:I157))</f>
        <v>1415469</v>
      </c>
      <c r="J158" s="37"/>
      <c r="K158" s="213">
        <f>TRUNC(SUM(K155:K157))</f>
        <v>1415469</v>
      </c>
      <c r="L158" s="37"/>
      <c r="M158" s="213">
        <f>TRUNC(SUM(M155:M157))</f>
        <v>1415469</v>
      </c>
    </row>
    <row r="159" spans="2:13" ht="12.95" customHeight="1" x14ac:dyDescent="0.3">
      <c r="B159" s="214"/>
      <c r="C159" s="211"/>
      <c r="D159" s="210"/>
      <c r="E159" s="212"/>
      <c r="F159" s="37"/>
      <c r="G159" s="215"/>
      <c r="H159" s="37"/>
      <c r="I159" s="215"/>
      <c r="J159" s="37"/>
      <c r="K159" s="215"/>
      <c r="L159" s="37"/>
      <c r="M159" s="215"/>
    </row>
    <row r="160" spans="2:13" ht="12.95" customHeight="1" x14ac:dyDescent="0.3">
      <c r="B160" s="113" t="s">
        <v>39</v>
      </c>
      <c r="C160" s="116" t="s">
        <v>40</v>
      </c>
      <c r="D160" s="85" t="s">
        <v>46</v>
      </c>
      <c r="E160" s="82">
        <v>11117</v>
      </c>
      <c r="F160" s="37">
        <v>8</v>
      </c>
      <c r="G160" s="5">
        <f t="shared" ref="G160" si="66">TRUNC($E160*F160,1)</f>
        <v>88936</v>
      </c>
      <c r="H160" s="37">
        <v>8</v>
      </c>
      <c r="I160" s="5">
        <f t="shared" ref="I160" si="67">TRUNC($E160*H160,1)</f>
        <v>88936</v>
      </c>
      <c r="J160" s="37">
        <v>8</v>
      </c>
      <c r="K160" s="5">
        <f t="shared" ref="K160" si="68">TRUNC($E160*J160,1)</f>
        <v>88936</v>
      </c>
      <c r="L160" s="37">
        <v>8</v>
      </c>
      <c r="M160" s="5">
        <f t="shared" ref="M160" si="69">TRUNC($E160*L160,1)</f>
        <v>88936</v>
      </c>
    </row>
    <row r="161" spans="2:13" ht="12.95" customHeight="1" x14ac:dyDescent="0.3">
      <c r="B161" s="87" t="s">
        <v>33</v>
      </c>
      <c r="C161" s="211"/>
      <c r="D161" s="212"/>
      <c r="E161" s="212"/>
      <c r="F161" s="216"/>
      <c r="G161" s="213">
        <f>TRUNC(SUM(G160:G160))</f>
        <v>88936</v>
      </c>
      <c r="H161" s="216"/>
      <c r="I161" s="213">
        <f>TRUNC(SUM(I160:I160))</f>
        <v>88936</v>
      </c>
      <c r="J161" s="216"/>
      <c r="K161" s="213">
        <f>TRUNC(SUM(K160:K160))</f>
        <v>88936</v>
      </c>
      <c r="L161" s="216"/>
      <c r="M161" s="213">
        <f>TRUNC(SUM(M160:M160))</f>
        <v>88936</v>
      </c>
    </row>
    <row r="162" spans="2:13" ht="12.95" customHeight="1" x14ac:dyDescent="0.3">
      <c r="B162" s="214"/>
      <c r="C162" s="217"/>
      <c r="D162" s="212"/>
      <c r="E162" s="212"/>
      <c r="F162" s="216"/>
      <c r="G162" s="218"/>
      <c r="H162" s="216"/>
      <c r="I162" s="218"/>
      <c r="J162" s="216"/>
      <c r="K162" s="218"/>
      <c r="L162" s="216"/>
      <c r="M162" s="218"/>
    </row>
    <row r="163" spans="2:13" ht="12.95" customHeight="1" x14ac:dyDescent="0.3">
      <c r="B163" s="219" t="s">
        <v>38</v>
      </c>
      <c r="C163" s="217"/>
      <c r="D163" s="212"/>
      <c r="E163" s="212"/>
      <c r="F163" s="216"/>
      <c r="G163" s="218">
        <f>SUM(G153+G158+G161)</f>
        <v>1598466</v>
      </c>
      <c r="H163" s="216"/>
      <c r="I163" s="218">
        <f>SUM(I153+I158+I161)</f>
        <v>1598466</v>
      </c>
      <c r="J163" s="216"/>
      <c r="K163" s="218">
        <f>SUM(K153+K158+K161)</f>
        <v>1598466</v>
      </c>
      <c r="L163" s="216"/>
      <c r="M163" s="218">
        <f>SUM(M153+M158+M161)</f>
        <v>1598466</v>
      </c>
    </row>
    <row r="164" spans="2:13" ht="12.95" customHeight="1" x14ac:dyDescent="0.3">
      <c r="B164" s="98" t="s">
        <v>249</v>
      </c>
      <c r="C164" s="99"/>
      <c r="D164" s="100"/>
      <c r="E164" s="101"/>
      <c r="F164" s="102"/>
      <c r="G164" s="9">
        <f>TRUNC((G163/G149)*10)</f>
        <v>319693</v>
      </c>
      <c r="H164" s="102"/>
      <c r="I164" s="9">
        <f>TRUNC((I163/I149)*10)</f>
        <v>133205</v>
      </c>
      <c r="J164" s="102"/>
      <c r="K164" s="9">
        <f>TRUNC((K163/K149)*10)</f>
        <v>399616</v>
      </c>
      <c r="L164" s="102"/>
      <c r="M164" s="9">
        <f>TRUNC((M163/M149)*10)</f>
        <v>152234</v>
      </c>
    </row>
    <row r="165" spans="2:13" ht="12.95" customHeight="1" x14ac:dyDescent="0.3">
      <c r="B165" s="234" t="s">
        <v>13</v>
      </c>
      <c r="C165" s="237" t="s">
        <v>20</v>
      </c>
      <c r="D165" s="237" t="s">
        <v>21</v>
      </c>
      <c r="E165" s="237" t="s">
        <v>14</v>
      </c>
      <c r="F165" s="240" t="s">
        <v>257</v>
      </c>
      <c r="G165" s="241"/>
      <c r="H165" s="241"/>
      <c r="I165" s="241"/>
      <c r="J165" s="177"/>
    </row>
    <row r="166" spans="2:13" ht="12.95" customHeight="1" x14ac:dyDescent="0.3">
      <c r="B166" s="235"/>
      <c r="C166" s="238"/>
      <c r="D166" s="238"/>
      <c r="E166" s="238"/>
      <c r="F166" s="240" t="s">
        <v>28</v>
      </c>
      <c r="G166" s="241"/>
      <c r="H166" s="240" t="s">
        <v>29</v>
      </c>
      <c r="I166" s="241"/>
    </row>
    <row r="167" spans="2:13" ht="12.95" customHeight="1" x14ac:dyDescent="0.3">
      <c r="B167" s="235"/>
      <c r="C167" s="238"/>
      <c r="D167" s="238"/>
      <c r="E167" s="238"/>
      <c r="F167" s="205" t="s">
        <v>250</v>
      </c>
      <c r="G167" s="209">
        <v>35</v>
      </c>
      <c r="H167" s="205" t="s">
        <v>250</v>
      </c>
      <c r="I167" s="209">
        <v>90</v>
      </c>
    </row>
    <row r="168" spans="2:13" ht="12.95" customHeight="1" x14ac:dyDescent="0.3">
      <c r="B168" s="236"/>
      <c r="C168" s="239"/>
      <c r="D168" s="239"/>
      <c r="E168" s="239"/>
      <c r="F168" s="79" t="s">
        <v>246</v>
      </c>
      <c r="G168" s="80" t="s">
        <v>247</v>
      </c>
      <c r="H168" s="79" t="s">
        <v>246</v>
      </c>
      <c r="I168" s="80" t="s">
        <v>247</v>
      </c>
    </row>
    <row r="169" spans="2:13" ht="12.95" customHeight="1" x14ac:dyDescent="0.3">
      <c r="B169" s="113" t="s">
        <v>39</v>
      </c>
      <c r="C169" s="118" t="s">
        <v>40</v>
      </c>
      <c r="D169" s="85" t="s">
        <v>46</v>
      </c>
      <c r="E169" s="82">
        <v>9213</v>
      </c>
      <c r="F169" s="37">
        <v>8</v>
      </c>
      <c r="G169" s="2">
        <f t="shared" ref="G169" si="70">TRUNC($E169*F169,1)</f>
        <v>73704</v>
      </c>
      <c r="H169" s="37">
        <v>8</v>
      </c>
      <c r="I169" s="5">
        <f t="shared" ref="I169" si="71">TRUNC($E169*H169,1)</f>
        <v>73704</v>
      </c>
    </row>
    <row r="170" spans="2:13" ht="12.95" customHeight="1" x14ac:dyDescent="0.3">
      <c r="B170" s="83" t="s">
        <v>22</v>
      </c>
      <c r="C170" s="84" t="s">
        <v>24</v>
      </c>
      <c r="D170" s="85" t="s">
        <v>47</v>
      </c>
      <c r="E170" s="86"/>
      <c r="F170" s="37">
        <v>1</v>
      </c>
      <c r="G170" s="8">
        <f>TRUNC(SUM(G173:G174)*0.02,1)</f>
        <v>20357.7</v>
      </c>
      <c r="H170" s="37">
        <v>1</v>
      </c>
      <c r="I170" s="8">
        <f>TRUNC(SUM(I173:I174)*0.02,1)</f>
        <v>20357.7</v>
      </c>
    </row>
    <row r="171" spans="2:13" ht="12.95" customHeight="1" x14ac:dyDescent="0.3">
      <c r="B171" s="87" t="s">
        <v>31</v>
      </c>
      <c r="C171" s="211"/>
      <c r="D171" s="210"/>
      <c r="E171" s="212"/>
      <c r="F171" s="37"/>
      <c r="G171" s="213">
        <f>TRUNC(SUM(G169:G170))</f>
        <v>94061</v>
      </c>
      <c r="H171" s="37"/>
      <c r="I171" s="213">
        <f>TRUNC(SUM(I169:I170))</f>
        <v>94061</v>
      </c>
    </row>
    <row r="172" spans="2:13" ht="12.95" customHeight="1" x14ac:dyDescent="0.3">
      <c r="B172" s="214"/>
      <c r="C172" s="211"/>
      <c r="D172" s="210"/>
      <c r="E172" s="212"/>
      <c r="F172" s="37"/>
      <c r="G172" s="215"/>
      <c r="H172" s="37"/>
      <c r="I172" s="215"/>
    </row>
    <row r="173" spans="2:13" ht="12.95" customHeight="1" x14ac:dyDescent="0.3">
      <c r="B173" s="91" t="s">
        <v>30</v>
      </c>
      <c r="C173" s="91"/>
      <c r="D173" s="95" t="s">
        <v>27</v>
      </c>
      <c r="E173" s="82">
        <v>281939</v>
      </c>
      <c r="F173" s="37">
        <v>3</v>
      </c>
      <c r="G173" s="5">
        <f t="shared" ref="G173:G175" si="72">TRUNC($E173*F173,1)</f>
        <v>845817</v>
      </c>
      <c r="H173" s="37">
        <v>3</v>
      </c>
      <c r="I173" s="5">
        <f t="shared" ref="I173:I175" si="73">TRUNC($E173*H173,1)</f>
        <v>845817</v>
      </c>
    </row>
    <row r="174" spans="2:13" ht="12.95" customHeight="1" x14ac:dyDescent="0.3">
      <c r="B174" s="91" t="s">
        <v>4</v>
      </c>
      <c r="C174" s="91"/>
      <c r="D174" s="95" t="s">
        <v>27</v>
      </c>
      <c r="E174" s="82">
        <v>172068</v>
      </c>
      <c r="F174" s="37">
        <v>1</v>
      </c>
      <c r="G174" s="5">
        <f t="shared" si="72"/>
        <v>172068</v>
      </c>
      <c r="H174" s="37">
        <v>1</v>
      </c>
      <c r="I174" s="5">
        <f t="shared" si="73"/>
        <v>172068</v>
      </c>
    </row>
    <row r="175" spans="2:13" ht="12.95" customHeight="1" x14ac:dyDescent="0.3">
      <c r="B175" s="113" t="s">
        <v>39</v>
      </c>
      <c r="C175" s="116" t="s">
        <v>40</v>
      </c>
      <c r="D175" s="85" t="s">
        <v>46</v>
      </c>
      <c r="E175" s="82">
        <v>49698</v>
      </c>
      <c r="F175" s="37">
        <v>8</v>
      </c>
      <c r="G175" s="5">
        <f t="shared" si="72"/>
        <v>397584</v>
      </c>
      <c r="H175" s="37">
        <v>8</v>
      </c>
      <c r="I175" s="5">
        <f t="shared" si="73"/>
        <v>397584</v>
      </c>
    </row>
    <row r="176" spans="2:13" ht="12.95" customHeight="1" x14ac:dyDescent="0.3">
      <c r="B176" s="96" t="s">
        <v>32</v>
      </c>
      <c r="C176" s="211"/>
      <c r="D176" s="210"/>
      <c r="E176" s="212"/>
      <c r="F176" s="37"/>
      <c r="G176" s="213">
        <f>TRUNC(SUM(G173:G175))</f>
        <v>1415469</v>
      </c>
      <c r="H176" s="37"/>
      <c r="I176" s="213">
        <f>TRUNC(SUM(I173:I175))</f>
        <v>1415469</v>
      </c>
    </row>
    <row r="177" spans="2:13" ht="12.95" customHeight="1" x14ac:dyDescent="0.3">
      <c r="B177" s="214"/>
      <c r="C177" s="211"/>
      <c r="D177" s="210"/>
      <c r="E177" s="212"/>
      <c r="F177" s="37"/>
      <c r="G177" s="215"/>
      <c r="H177" s="37"/>
      <c r="I177" s="215"/>
    </row>
    <row r="178" spans="2:13" ht="12.95" customHeight="1" x14ac:dyDescent="0.3">
      <c r="B178" s="113" t="s">
        <v>39</v>
      </c>
      <c r="C178" s="116" t="s">
        <v>40</v>
      </c>
      <c r="D178" s="85" t="s">
        <v>46</v>
      </c>
      <c r="E178" s="82">
        <v>11117</v>
      </c>
      <c r="F178" s="37">
        <v>8</v>
      </c>
      <c r="G178" s="5">
        <f t="shared" ref="G178" si="74">TRUNC($E178*F178,1)</f>
        <v>88936</v>
      </c>
      <c r="H178" s="37">
        <v>8</v>
      </c>
      <c r="I178" s="5">
        <f t="shared" ref="I178" si="75">TRUNC($E178*H178,1)</f>
        <v>88936</v>
      </c>
    </row>
    <row r="179" spans="2:13" ht="12.95" customHeight="1" x14ac:dyDescent="0.3">
      <c r="B179" s="87" t="s">
        <v>33</v>
      </c>
      <c r="C179" s="211"/>
      <c r="D179" s="212"/>
      <c r="E179" s="212"/>
      <c r="F179" s="216"/>
      <c r="G179" s="213">
        <f>TRUNC(SUM(G178:G178))</f>
        <v>88936</v>
      </c>
      <c r="H179" s="216"/>
      <c r="I179" s="213">
        <f>TRUNC(SUM(I178:I178))</f>
        <v>88936</v>
      </c>
    </row>
    <row r="180" spans="2:13" ht="12.95" customHeight="1" x14ac:dyDescent="0.3">
      <c r="B180" s="214"/>
      <c r="C180" s="217"/>
      <c r="D180" s="212"/>
      <c r="E180" s="212"/>
      <c r="F180" s="216"/>
      <c r="G180" s="218"/>
      <c r="H180" s="216"/>
      <c r="I180" s="218"/>
    </row>
    <row r="181" spans="2:13" ht="12.95" customHeight="1" x14ac:dyDescent="0.3">
      <c r="B181" s="219" t="s">
        <v>38</v>
      </c>
      <c r="C181" s="217"/>
      <c r="D181" s="212"/>
      <c r="E181" s="212"/>
      <c r="F181" s="216"/>
      <c r="G181" s="218">
        <f>SUM(G171+G176+G179)</f>
        <v>1598466</v>
      </c>
      <c r="H181" s="216"/>
      <c r="I181" s="218">
        <f>SUM(I171+I176+I179)</f>
        <v>1598466</v>
      </c>
    </row>
    <row r="182" spans="2:13" ht="12.95" customHeight="1" x14ac:dyDescent="0.3">
      <c r="B182" s="98" t="s">
        <v>249</v>
      </c>
      <c r="C182" s="99"/>
      <c r="D182" s="100"/>
      <c r="E182" s="101"/>
      <c r="F182" s="102"/>
      <c r="G182" s="9">
        <f>TRUNC((G181/G167)*10)</f>
        <v>456704</v>
      </c>
      <c r="H182" s="102"/>
      <c r="I182" s="9">
        <f>TRUNC((I181/I167)*10)</f>
        <v>177607</v>
      </c>
    </row>
    <row r="183" spans="2:13" ht="12.95" customHeight="1" x14ac:dyDescent="0.3">
      <c r="B183" s="108" t="s">
        <v>309</v>
      </c>
      <c r="C183" s="14"/>
      <c r="D183" s="14"/>
      <c r="E183" s="104"/>
      <c r="F183" s="6"/>
      <c r="G183" s="6"/>
      <c r="H183" s="15"/>
      <c r="I183" s="6"/>
      <c r="J183" s="6"/>
      <c r="K183" s="109"/>
      <c r="M183" s="208"/>
    </row>
    <row r="185" spans="2:13" ht="12.95" customHeight="1" x14ac:dyDescent="0.3">
      <c r="B185" s="128" t="s">
        <v>55</v>
      </c>
      <c r="C185" s="76"/>
      <c r="D185" s="76"/>
      <c r="E185" s="76"/>
      <c r="F185" s="76"/>
      <c r="G185" s="76"/>
    </row>
    <row r="186" spans="2:13" ht="12.95" customHeight="1" x14ac:dyDescent="0.3">
      <c r="B186" s="103" t="s">
        <v>258</v>
      </c>
      <c r="C186" s="129"/>
      <c r="D186" s="76"/>
      <c r="E186" s="104"/>
      <c r="F186" s="76"/>
      <c r="G186" s="104" t="s">
        <v>49</v>
      </c>
    </row>
    <row r="187" spans="2:13" ht="12.95" customHeight="1" x14ac:dyDescent="0.3">
      <c r="B187" s="242" t="s">
        <v>13</v>
      </c>
      <c r="C187" s="244" t="s">
        <v>67</v>
      </c>
      <c r="D187" s="246" t="s">
        <v>21</v>
      </c>
      <c r="E187" s="237" t="s">
        <v>14</v>
      </c>
      <c r="F187" s="237" t="s">
        <v>15</v>
      </c>
      <c r="G187" s="251" t="s">
        <v>16</v>
      </c>
      <c r="H187" s="130"/>
      <c r="I187" s="6"/>
      <c r="J187" s="6"/>
      <c r="K187" s="14"/>
      <c r="L187" s="14"/>
      <c r="M187" s="14"/>
    </row>
    <row r="188" spans="2:13" ht="12.95" customHeight="1" x14ac:dyDescent="0.3">
      <c r="B188" s="243"/>
      <c r="C188" s="245"/>
      <c r="D188" s="246"/>
      <c r="E188" s="239"/>
      <c r="F188" s="239"/>
      <c r="G188" s="252"/>
      <c r="H188" s="130"/>
      <c r="I188" s="6"/>
      <c r="J188" s="6"/>
      <c r="K188" s="14"/>
      <c r="L188" s="14"/>
      <c r="M188" s="14"/>
    </row>
    <row r="189" spans="2:13" ht="12.95" customHeight="1" x14ac:dyDescent="0.3">
      <c r="B189" s="105" t="s">
        <v>0</v>
      </c>
      <c r="C189" s="131"/>
      <c r="D189" s="85" t="s">
        <v>27</v>
      </c>
      <c r="E189" s="107">
        <v>277642</v>
      </c>
      <c r="F189" s="61">
        <v>0.16</v>
      </c>
      <c r="G189" s="5">
        <f t="shared" ref="G189:G190" si="76">TRUNC($E189*F189,1)</f>
        <v>44422.7</v>
      </c>
      <c r="H189" s="76"/>
      <c r="I189" s="132"/>
    </row>
    <row r="190" spans="2:13" ht="12.95" customHeight="1" x14ac:dyDescent="0.3">
      <c r="B190" s="105" t="s">
        <v>4</v>
      </c>
      <c r="C190" s="131"/>
      <c r="D190" s="85" t="s">
        <v>27</v>
      </c>
      <c r="E190" s="107">
        <v>172068</v>
      </c>
      <c r="F190" s="61">
        <v>0.14000000000000001</v>
      </c>
      <c r="G190" s="5">
        <f t="shared" si="76"/>
        <v>24089.5</v>
      </c>
      <c r="H190" s="76"/>
      <c r="I190" s="132"/>
    </row>
    <row r="191" spans="2:13" ht="12.95" customHeight="1" x14ac:dyDescent="0.3">
      <c r="B191" s="96" t="s">
        <v>32</v>
      </c>
      <c r="C191" s="119"/>
      <c r="D191" s="41"/>
      <c r="E191" s="119"/>
      <c r="F191" s="119"/>
      <c r="G191" s="41">
        <f>TRUNC(SUM(G189:G190))</f>
        <v>68512</v>
      </c>
      <c r="H191" s="133"/>
      <c r="I191" s="133"/>
    </row>
    <row r="192" spans="2:13" ht="12.95" customHeight="1" x14ac:dyDescent="0.3">
      <c r="B192" s="105"/>
      <c r="C192" s="131"/>
      <c r="D192" s="3"/>
      <c r="E192" s="107"/>
      <c r="F192" s="131"/>
      <c r="G192" s="3"/>
      <c r="H192" s="76"/>
      <c r="I192" s="132"/>
    </row>
    <row r="193" spans="2:13" ht="12.95" customHeight="1" x14ac:dyDescent="0.3">
      <c r="B193" s="98" t="s">
        <v>38</v>
      </c>
      <c r="C193" s="122"/>
      <c r="D193" s="13"/>
      <c r="E193" s="122"/>
      <c r="F193" s="122"/>
      <c r="G193" s="13">
        <f>SUM(G191)</f>
        <v>68512</v>
      </c>
      <c r="H193" s="133"/>
      <c r="I193" s="133"/>
    </row>
    <row r="194" spans="2:13" ht="12.95" customHeight="1" x14ac:dyDescent="0.3">
      <c r="B194" s="134"/>
      <c r="C194" s="134"/>
      <c r="D194" s="134"/>
      <c r="E194" s="134"/>
      <c r="F194" s="76"/>
      <c r="G194" s="76"/>
    </row>
    <row r="195" spans="2:13" ht="12.95" customHeight="1" x14ac:dyDescent="0.3">
      <c r="B195" s="103" t="s">
        <v>259</v>
      </c>
      <c r="C195" s="76"/>
      <c r="D195" s="76"/>
      <c r="E195" s="104"/>
      <c r="F195" s="76"/>
      <c r="G195" s="104" t="s">
        <v>49</v>
      </c>
    </row>
    <row r="196" spans="2:13" ht="12.95" customHeight="1" x14ac:dyDescent="0.3">
      <c r="B196" s="242" t="s">
        <v>13</v>
      </c>
      <c r="C196" s="244" t="s">
        <v>67</v>
      </c>
      <c r="D196" s="246" t="s">
        <v>21</v>
      </c>
      <c r="E196" s="237" t="s">
        <v>14</v>
      </c>
      <c r="F196" s="244" t="s">
        <v>15</v>
      </c>
      <c r="G196" s="255" t="s">
        <v>68</v>
      </c>
      <c r="H196" s="6"/>
      <c r="I196" s="6"/>
      <c r="J196" s="6"/>
      <c r="K196" s="6"/>
      <c r="L196" s="6"/>
      <c r="M196" s="6"/>
    </row>
    <row r="197" spans="2:13" ht="12.95" customHeight="1" x14ac:dyDescent="0.3">
      <c r="B197" s="243"/>
      <c r="C197" s="245"/>
      <c r="D197" s="246"/>
      <c r="E197" s="239"/>
      <c r="F197" s="245"/>
      <c r="G197" s="256"/>
      <c r="H197" s="6"/>
      <c r="I197" s="6"/>
      <c r="J197" s="6"/>
      <c r="K197" s="6"/>
      <c r="L197" s="6"/>
      <c r="M197" s="6"/>
    </row>
    <row r="198" spans="2:13" ht="12.95" customHeight="1" x14ac:dyDescent="0.3">
      <c r="B198" s="135" t="s">
        <v>10</v>
      </c>
      <c r="C198" s="131"/>
      <c r="D198" s="85" t="s">
        <v>27</v>
      </c>
      <c r="E198" s="136">
        <v>277642</v>
      </c>
      <c r="F198" s="61">
        <v>0.21</v>
      </c>
      <c r="G198" s="5">
        <f t="shared" ref="G198:G199" si="77">TRUNC($E198*F198,1)</f>
        <v>58304.800000000003</v>
      </c>
      <c r="H198" s="76"/>
      <c r="I198" s="76"/>
    </row>
    <row r="199" spans="2:13" ht="12.95" customHeight="1" x14ac:dyDescent="0.3">
      <c r="B199" s="105" t="s">
        <v>4</v>
      </c>
      <c r="C199" s="131"/>
      <c r="D199" s="85" t="s">
        <v>27</v>
      </c>
      <c r="E199" s="107">
        <v>172068</v>
      </c>
      <c r="F199" s="61">
        <v>0.19</v>
      </c>
      <c r="G199" s="5">
        <f t="shared" si="77"/>
        <v>32692.9</v>
      </c>
      <c r="H199" s="76"/>
      <c r="I199" s="76"/>
    </row>
    <row r="200" spans="2:13" ht="12.95" customHeight="1" x14ac:dyDescent="0.3">
      <c r="B200" s="96" t="s">
        <v>32</v>
      </c>
      <c r="C200" s="119"/>
      <c r="D200" s="41"/>
      <c r="E200" s="119"/>
      <c r="F200" s="119"/>
      <c r="G200" s="41">
        <f>TRUNC(SUM(G198:G199))</f>
        <v>90997</v>
      </c>
      <c r="H200" s="133"/>
      <c r="I200" s="133"/>
    </row>
    <row r="201" spans="2:13" ht="12.95" customHeight="1" x14ac:dyDescent="0.3">
      <c r="B201" s="105"/>
      <c r="C201" s="131"/>
      <c r="D201" s="3"/>
      <c r="E201" s="107"/>
      <c r="F201" s="131"/>
      <c r="G201" s="3"/>
      <c r="H201" s="76"/>
      <c r="I201" s="76"/>
    </row>
    <row r="202" spans="2:13" ht="12.95" customHeight="1" x14ac:dyDescent="0.3">
      <c r="B202" s="98" t="s">
        <v>38</v>
      </c>
      <c r="C202" s="122"/>
      <c r="D202" s="13"/>
      <c r="E202" s="122"/>
      <c r="F202" s="122"/>
      <c r="G202" s="13">
        <f>SUM(G200)</f>
        <v>90997</v>
      </c>
      <c r="H202" s="76"/>
      <c r="I202" s="76"/>
    </row>
    <row r="203" spans="2:13" ht="12.95" customHeight="1" x14ac:dyDescent="0.3">
      <c r="B203" s="76"/>
      <c r="C203" s="76"/>
      <c r="D203" s="76"/>
      <c r="E203" s="76"/>
      <c r="F203" s="76"/>
      <c r="G203" s="76"/>
    </row>
    <row r="204" spans="2:13" ht="12.95" customHeight="1" x14ac:dyDescent="0.3">
      <c r="B204" s="103" t="s">
        <v>260</v>
      </c>
      <c r="C204" s="76"/>
      <c r="D204" s="76"/>
      <c r="E204" s="76"/>
      <c r="F204" s="76"/>
      <c r="G204" s="104"/>
      <c r="I204" s="104" t="s">
        <v>49</v>
      </c>
    </row>
    <row r="205" spans="2:13" ht="12.95" customHeight="1" x14ac:dyDescent="0.3">
      <c r="B205" s="258" t="s">
        <v>13</v>
      </c>
      <c r="C205" s="246" t="s">
        <v>20</v>
      </c>
      <c r="D205" s="246" t="s">
        <v>21</v>
      </c>
      <c r="E205" s="272" t="s">
        <v>14</v>
      </c>
      <c r="F205" s="137" t="s">
        <v>50</v>
      </c>
      <c r="G205" s="137"/>
      <c r="H205" s="137" t="s">
        <v>51</v>
      </c>
      <c r="I205" s="138"/>
    </row>
    <row r="206" spans="2:13" ht="12.95" customHeight="1" x14ac:dyDescent="0.3">
      <c r="B206" s="258"/>
      <c r="C206" s="246"/>
      <c r="D206" s="246"/>
      <c r="E206" s="272"/>
      <c r="F206" s="139" t="s">
        <v>15</v>
      </c>
      <c r="G206" s="139" t="s">
        <v>16</v>
      </c>
      <c r="H206" s="139" t="s">
        <v>15</v>
      </c>
      <c r="I206" s="140" t="s">
        <v>16</v>
      </c>
    </row>
    <row r="207" spans="2:13" ht="12.95" customHeight="1" x14ac:dyDescent="0.3">
      <c r="B207" s="134" t="s">
        <v>10</v>
      </c>
      <c r="C207" s="141"/>
      <c r="D207" s="85" t="s">
        <v>27</v>
      </c>
      <c r="E207" s="142">
        <v>277642</v>
      </c>
      <c r="F207" s="61">
        <v>0.14000000000000001</v>
      </c>
      <c r="G207" s="5">
        <f t="shared" ref="G207:G208" si="78">TRUNC($E207*F207,1)</f>
        <v>38869.800000000003</v>
      </c>
      <c r="H207" s="61">
        <v>0.17</v>
      </c>
      <c r="I207" s="5">
        <f t="shared" ref="I207:I208" si="79">TRUNC($E207*H207,1)</f>
        <v>47199.1</v>
      </c>
    </row>
    <row r="208" spans="2:13" ht="12.95" customHeight="1" x14ac:dyDescent="0.3">
      <c r="B208" s="76" t="s">
        <v>4</v>
      </c>
      <c r="C208" s="143"/>
      <c r="D208" s="85" t="s">
        <v>27</v>
      </c>
      <c r="E208" s="144">
        <v>172068</v>
      </c>
      <c r="F208" s="61">
        <v>0.12</v>
      </c>
      <c r="G208" s="5">
        <f t="shared" si="78"/>
        <v>20648.099999999999</v>
      </c>
      <c r="H208" s="61">
        <v>0.14000000000000001</v>
      </c>
      <c r="I208" s="5">
        <f t="shared" si="79"/>
        <v>24089.5</v>
      </c>
    </row>
    <row r="209" spans="2:9" ht="12.95" customHeight="1" x14ac:dyDescent="0.3">
      <c r="B209" s="96" t="s">
        <v>32</v>
      </c>
      <c r="C209" s="119"/>
      <c r="D209" s="40"/>
      <c r="E209" s="119"/>
      <c r="F209" s="119"/>
      <c r="G209" s="40">
        <f>TRUNC(SUM(G207:G208))</f>
        <v>59517</v>
      </c>
      <c r="H209" s="119"/>
      <c r="I209" s="41">
        <f>TRUNC(SUM(I207:I208))</f>
        <v>71288</v>
      </c>
    </row>
    <row r="210" spans="2:9" ht="12.95" customHeight="1" x14ac:dyDescent="0.3">
      <c r="B210" s="76"/>
      <c r="C210" s="143"/>
      <c r="D210" s="143"/>
      <c r="E210" s="144"/>
      <c r="F210" s="131"/>
      <c r="G210" s="3"/>
      <c r="H210" s="131"/>
      <c r="I210" s="3"/>
    </row>
    <row r="211" spans="2:9" ht="12.95" customHeight="1" x14ac:dyDescent="0.3">
      <c r="B211" s="98" t="s">
        <v>38</v>
      </c>
      <c r="C211" s="145"/>
      <c r="D211" s="145"/>
      <c r="E211" s="125"/>
      <c r="F211" s="122"/>
      <c r="G211" s="13">
        <f>SUM(G209)</f>
        <v>59517</v>
      </c>
      <c r="H211" s="122"/>
      <c r="I211" s="13">
        <f>SUM(I209)</f>
        <v>71288</v>
      </c>
    </row>
    <row r="212" spans="2:9" ht="12.95" customHeight="1" x14ac:dyDescent="0.3">
      <c r="B212" s="76"/>
      <c r="C212" s="76"/>
      <c r="D212" s="76"/>
      <c r="E212" s="76"/>
      <c r="F212" s="76"/>
      <c r="G212" s="76"/>
    </row>
    <row r="213" spans="2:9" ht="12.95" customHeight="1" x14ac:dyDescent="0.3">
      <c r="B213" s="103" t="s">
        <v>261</v>
      </c>
      <c r="C213" s="76"/>
      <c r="D213" s="76"/>
      <c r="E213" s="76"/>
      <c r="F213" s="76"/>
      <c r="G213" s="104"/>
      <c r="I213" s="104" t="s">
        <v>49</v>
      </c>
    </row>
    <row r="214" spans="2:9" ht="12.95" customHeight="1" x14ac:dyDescent="0.3">
      <c r="B214" s="272" t="s">
        <v>13</v>
      </c>
      <c r="C214" s="246" t="s">
        <v>20</v>
      </c>
      <c r="D214" s="246" t="s">
        <v>21</v>
      </c>
      <c r="E214" s="246" t="s">
        <v>14</v>
      </c>
      <c r="F214" s="137" t="s">
        <v>52</v>
      </c>
      <c r="G214" s="137"/>
      <c r="H214" s="257" t="s">
        <v>53</v>
      </c>
      <c r="I214" s="258"/>
    </row>
    <row r="215" spans="2:9" ht="12.95" customHeight="1" x14ac:dyDescent="0.3">
      <c r="B215" s="272"/>
      <c r="C215" s="246"/>
      <c r="D215" s="246"/>
      <c r="E215" s="246"/>
      <c r="F215" s="139" t="s">
        <v>15</v>
      </c>
      <c r="G215" s="139" t="s">
        <v>16</v>
      </c>
      <c r="H215" s="139" t="s">
        <v>15</v>
      </c>
      <c r="I215" s="140" t="s">
        <v>16</v>
      </c>
    </row>
    <row r="216" spans="2:9" ht="12.95" customHeight="1" x14ac:dyDescent="0.3">
      <c r="B216" s="105" t="s">
        <v>54</v>
      </c>
      <c r="C216" s="141"/>
      <c r="D216" s="85" t="s">
        <v>56</v>
      </c>
      <c r="E216" s="17">
        <v>0</v>
      </c>
      <c r="F216" s="62">
        <v>1.12E-2</v>
      </c>
      <c r="G216" s="5">
        <f t="shared" ref="G216" si="80">TRUNC($E216*F216,1)</f>
        <v>0</v>
      </c>
      <c r="H216" s="62">
        <v>1.7600000000000001E-2</v>
      </c>
      <c r="I216" s="5">
        <f t="shared" ref="I216" si="81">TRUNC($E216*H216,1)</f>
        <v>0</v>
      </c>
    </row>
    <row r="217" spans="2:9" ht="12.95" customHeight="1" x14ac:dyDescent="0.3">
      <c r="B217" s="87" t="s">
        <v>31</v>
      </c>
      <c r="C217" s="146"/>
      <c r="D217" s="89"/>
      <c r="E217" s="40"/>
      <c r="F217" s="119"/>
      <c r="G217" s="40">
        <f>TRUNC(G216)</f>
        <v>0</v>
      </c>
      <c r="H217" s="119"/>
      <c r="I217" s="41">
        <f>TRUNC(I216)</f>
        <v>0</v>
      </c>
    </row>
    <row r="218" spans="2:9" ht="12.95" customHeight="1" x14ac:dyDescent="0.3">
      <c r="B218" s="120"/>
      <c r="C218" s="121"/>
      <c r="D218" s="11"/>
      <c r="E218" s="16"/>
      <c r="F218" s="121"/>
      <c r="G218" s="11"/>
      <c r="H218" s="121"/>
      <c r="I218" s="11"/>
    </row>
    <row r="219" spans="2:9" ht="12.95" customHeight="1" x14ac:dyDescent="0.3">
      <c r="B219" s="105" t="s">
        <v>10</v>
      </c>
      <c r="C219" s="131"/>
      <c r="D219" s="85" t="s">
        <v>27</v>
      </c>
      <c r="E219" s="107">
        <v>277642</v>
      </c>
      <c r="F219" s="61">
        <v>0.15</v>
      </c>
      <c r="G219" s="5">
        <f t="shared" ref="G219:G220" si="82">TRUNC($E219*F219,1)</f>
        <v>41646.300000000003</v>
      </c>
      <c r="H219" s="61">
        <v>0.3</v>
      </c>
      <c r="I219" s="5">
        <f t="shared" ref="I219:I220" si="83">TRUNC($E219*H219,1)</f>
        <v>83292.600000000006</v>
      </c>
    </row>
    <row r="220" spans="2:9" ht="12.95" customHeight="1" x14ac:dyDescent="0.3">
      <c r="B220" s="105" t="s">
        <v>4</v>
      </c>
      <c r="C220" s="131"/>
      <c r="D220" s="85" t="s">
        <v>27</v>
      </c>
      <c r="E220" s="107">
        <v>172068</v>
      </c>
      <c r="F220" s="61">
        <v>0.3</v>
      </c>
      <c r="G220" s="5">
        <f t="shared" si="82"/>
        <v>51620.4</v>
      </c>
      <c r="H220" s="61">
        <v>0.45</v>
      </c>
      <c r="I220" s="5">
        <f t="shared" si="83"/>
        <v>77430.600000000006</v>
      </c>
    </row>
    <row r="221" spans="2:9" ht="12.95" customHeight="1" x14ac:dyDescent="0.3">
      <c r="B221" s="96" t="s">
        <v>32</v>
      </c>
      <c r="C221" s="119"/>
      <c r="D221" s="40"/>
      <c r="E221" s="119"/>
      <c r="F221" s="119"/>
      <c r="G221" s="40">
        <f>TRUNC(SUM(G219:G220))</f>
        <v>93266</v>
      </c>
      <c r="H221" s="119"/>
      <c r="I221" s="41">
        <f>TRUNC(SUM(I219:I220))</f>
        <v>160723</v>
      </c>
    </row>
    <row r="222" spans="2:9" ht="12.95" customHeight="1" x14ac:dyDescent="0.3">
      <c r="B222" s="120"/>
      <c r="C222" s="121"/>
      <c r="D222" s="10"/>
      <c r="E222" s="121"/>
      <c r="F222" s="121"/>
      <c r="G222" s="10"/>
      <c r="H222" s="121"/>
      <c r="I222" s="11"/>
    </row>
    <row r="223" spans="2:9" ht="12.95" customHeight="1" x14ac:dyDescent="0.3">
      <c r="B223" s="98" t="s">
        <v>38</v>
      </c>
      <c r="C223" s="122"/>
      <c r="D223" s="12"/>
      <c r="E223" s="122"/>
      <c r="F223" s="122"/>
      <c r="G223" s="12">
        <f>SUM(G217+G221)</f>
        <v>93266</v>
      </c>
      <c r="H223" s="122"/>
      <c r="I223" s="13">
        <f>SUM(I217+I221)</f>
        <v>160723</v>
      </c>
    </row>
    <row r="225" spans="2:13" ht="12.95" customHeight="1" x14ac:dyDescent="0.3">
      <c r="B225" s="147" t="s">
        <v>84</v>
      </c>
      <c r="C225" s="14"/>
      <c r="D225" s="14"/>
      <c r="E225" s="14"/>
      <c r="F225" s="14"/>
      <c r="G225" s="14"/>
      <c r="H225" s="14"/>
      <c r="I225" s="14"/>
      <c r="J225" s="6"/>
      <c r="K225" s="6"/>
      <c r="L225" s="6"/>
      <c r="M225" s="6"/>
    </row>
    <row r="226" spans="2:13" ht="12.95" customHeight="1" x14ac:dyDescent="0.3">
      <c r="B226" s="14" t="s">
        <v>211</v>
      </c>
      <c r="C226" s="148"/>
      <c r="D226" s="75"/>
      <c r="E226" s="75"/>
      <c r="F226" s="75"/>
      <c r="G226" s="75"/>
      <c r="H226" s="75"/>
      <c r="I226" s="109"/>
      <c r="J226" s="149"/>
      <c r="K226" s="109" t="s">
        <v>244</v>
      </c>
    </row>
    <row r="227" spans="2:13" ht="12.95" customHeight="1" x14ac:dyDescent="0.3">
      <c r="B227" s="234" t="s">
        <v>13</v>
      </c>
      <c r="C227" s="237" t="s">
        <v>20</v>
      </c>
      <c r="D227" s="237" t="s">
        <v>21</v>
      </c>
      <c r="E227" s="237" t="s">
        <v>14</v>
      </c>
      <c r="F227" s="150" t="s">
        <v>57</v>
      </c>
      <c r="G227" s="151"/>
      <c r="H227" s="150" t="s">
        <v>58</v>
      </c>
      <c r="I227" s="151"/>
      <c r="J227" s="150" t="s">
        <v>59</v>
      </c>
      <c r="K227" s="150"/>
    </row>
    <row r="228" spans="2:13" ht="12.95" customHeight="1" x14ac:dyDescent="0.3">
      <c r="B228" s="235"/>
      <c r="C228" s="238"/>
      <c r="D228" s="238"/>
      <c r="E228" s="238"/>
      <c r="F228" s="220" t="s">
        <v>262</v>
      </c>
      <c r="G228" s="209">
        <v>50</v>
      </c>
      <c r="H228" s="220" t="s">
        <v>262</v>
      </c>
      <c r="I228" s="209">
        <v>45</v>
      </c>
      <c r="J228" s="220" t="s">
        <v>262</v>
      </c>
      <c r="K228" s="209">
        <v>40</v>
      </c>
    </row>
    <row r="229" spans="2:13" ht="12.95" customHeight="1" x14ac:dyDescent="0.3">
      <c r="B229" s="236"/>
      <c r="C229" s="239"/>
      <c r="D229" s="239"/>
      <c r="E229" s="239"/>
      <c r="F229" s="79" t="s">
        <v>246</v>
      </c>
      <c r="G229" s="80" t="s">
        <v>247</v>
      </c>
      <c r="H229" s="79" t="s">
        <v>246</v>
      </c>
      <c r="I229" s="80" t="s">
        <v>247</v>
      </c>
      <c r="J229" s="79" t="s">
        <v>246</v>
      </c>
      <c r="K229" s="80" t="s">
        <v>247</v>
      </c>
    </row>
    <row r="230" spans="2:13" ht="12.95" customHeight="1" x14ac:dyDescent="0.3">
      <c r="B230" s="83" t="s">
        <v>2</v>
      </c>
      <c r="C230" s="92"/>
      <c r="D230" s="85" t="s">
        <v>27</v>
      </c>
      <c r="E230" s="82">
        <v>275790</v>
      </c>
      <c r="F230" s="37">
        <v>3</v>
      </c>
      <c r="G230" s="5">
        <f t="shared" ref="G230:G231" si="84">TRUNC($E230*F230,1)</f>
        <v>827370</v>
      </c>
      <c r="H230" s="37">
        <v>3</v>
      </c>
      <c r="I230" s="5">
        <f t="shared" ref="I230:I231" si="85">TRUNC($E230*H230,1)</f>
        <v>827370</v>
      </c>
      <c r="J230" s="37">
        <v>3</v>
      </c>
      <c r="K230" s="5">
        <f t="shared" ref="K230:K231" si="86">TRUNC($E230*J230,1)</f>
        <v>827370</v>
      </c>
    </row>
    <row r="231" spans="2:13" ht="12.95" customHeight="1" x14ac:dyDescent="0.3">
      <c r="B231" s="83" t="s">
        <v>4</v>
      </c>
      <c r="C231" s="92"/>
      <c r="D231" s="85" t="s">
        <v>27</v>
      </c>
      <c r="E231" s="82">
        <v>172068</v>
      </c>
      <c r="F231" s="37">
        <v>1</v>
      </c>
      <c r="G231" s="5">
        <f t="shared" si="84"/>
        <v>172068</v>
      </c>
      <c r="H231" s="37">
        <v>1</v>
      </c>
      <c r="I231" s="5">
        <f t="shared" si="85"/>
        <v>172068</v>
      </c>
      <c r="J231" s="37">
        <v>1</v>
      </c>
      <c r="K231" s="5">
        <f t="shared" si="86"/>
        <v>172068</v>
      </c>
    </row>
    <row r="232" spans="2:13" ht="12.95" customHeight="1" x14ac:dyDescent="0.3">
      <c r="B232" s="96" t="s">
        <v>32</v>
      </c>
      <c r="C232" s="211"/>
      <c r="D232" s="210"/>
      <c r="E232" s="212"/>
      <c r="F232" s="37"/>
      <c r="G232" s="213">
        <f>TRUNC(SUM(G230:G231))</f>
        <v>999438</v>
      </c>
      <c r="H232" s="37"/>
      <c r="I232" s="213">
        <f>TRUNC(SUM(I230:I231))</f>
        <v>999438</v>
      </c>
      <c r="J232" s="37"/>
      <c r="K232" s="213">
        <f>TRUNC(SUM(K230:K231))</f>
        <v>999438</v>
      </c>
    </row>
    <row r="233" spans="2:13" ht="12.95" customHeight="1" x14ac:dyDescent="0.3">
      <c r="B233" s="214"/>
      <c r="C233" s="217"/>
      <c r="D233" s="212"/>
      <c r="E233" s="212"/>
      <c r="F233" s="216"/>
      <c r="G233" s="218"/>
      <c r="H233" s="216"/>
      <c r="I233" s="218"/>
      <c r="J233" s="216"/>
      <c r="K233" s="218"/>
    </row>
    <row r="234" spans="2:13" ht="12.95" customHeight="1" x14ac:dyDescent="0.3">
      <c r="B234" s="219" t="s">
        <v>38</v>
      </c>
      <c r="C234" s="217"/>
      <c r="D234" s="212"/>
      <c r="E234" s="212"/>
      <c r="F234" s="216"/>
      <c r="G234" s="218">
        <f>SUM(G232)</f>
        <v>999438</v>
      </c>
      <c r="H234" s="216"/>
      <c r="I234" s="218">
        <f>SUM(I232)</f>
        <v>999438</v>
      </c>
      <c r="J234" s="216"/>
      <c r="K234" s="218">
        <f>SUM(K232)</f>
        <v>999438</v>
      </c>
    </row>
    <row r="235" spans="2:13" ht="12.95" customHeight="1" x14ac:dyDescent="0.3">
      <c r="B235" s="98" t="s">
        <v>263</v>
      </c>
      <c r="C235" s="99"/>
      <c r="D235" s="100"/>
      <c r="E235" s="101"/>
      <c r="F235" s="102"/>
      <c r="G235" s="9">
        <f>TRUNC((G234/G228)*10)</f>
        <v>199887</v>
      </c>
      <c r="H235" s="102"/>
      <c r="I235" s="9">
        <f>TRUNC((I234/I228)*10)</f>
        <v>222097</v>
      </c>
      <c r="J235" s="102"/>
      <c r="K235" s="9">
        <f>TRUNC((K234/K228)*10)</f>
        <v>249859</v>
      </c>
    </row>
    <row r="236" spans="2:13" ht="12.95" customHeight="1" x14ac:dyDescent="0.3">
      <c r="B236" s="6"/>
      <c r="C236" s="152"/>
      <c r="D236" s="6"/>
      <c r="E236" s="21"/>
      <c r="F236" s="6"/>
      <c r="G236" s="21"/>
      <c r="H236" s="6"/>
      <c r="I236" s="21"/>
      <c r="J236" s="153"/>
      <c r="K236" s="153"/>
      <c r="L236" s="6"/>
      <c r="M236" s="6"/>
    </row>
    <row r="237" spans="2:13" ht="12.95" customHeight="1" x14ac:dyDescent="0.3">
      <c r="B237" s="14" t="s">
        <v>212</v>
      </c>
      <c r="C237" s="148"/>
      <c r="D237" s="75"/>
      <c r="E237" s="75"/>
      <c r="F237" s="75"/>
      <c r="G237" s="109"/>
      <c r="H237" s="6"/>
      <c r="I237" s="109" t="s">
        <v>244</v>
      </c>
      <c r="J237" s="14"/>
    </row>
    <row r="238" spans="2:13" ht="12.95" customHeight="1" x14ac:dyDescent="0.3">
      <c r="B238" s="234" t="s">
        <v>13</v>
      </c>
      <c r="C238" s="237" t="s">
        <v>20</v>
      </c>
      <c r="D238" s="237" t="s">
        <v>21</v>
      </c>
      <c r="E238" s="237" t="s">
        <v>14</v>
      </c>
      <c r="F238" s="150" t="s">
        <v>61</v>
      </c>
      <c r="G238" s="151"/>
      <c r="H238" s="150" t="s">
        <v>59</v>
      </c>
      <c r="I238" s="150"/>
    </row>
    <row r="239" spans="2:13" ht="12.95" customHeight="1" x14ac:dyDescent="0.3">
      <c r="B239" s="235"/>
      <c r="C239" s="238"/>
      <c r="D239" s="238"/>
      <c r="E239" s="238"/>
      <c r="F239" s="220" t="s">
        <v>245</v>
      </c>
      <c r="G239" s="209">
        <v>65</v>
      </c>
      <c r="H239" s="220" t="s">
        <v>245</v>
      </c>
      <c r="I239" s="209">
        <v>55</v>
      </c>
    </row>
    <row r="240" spans="2:13" ht="12.95" customHeight="1" x14ac:dyDescent="0.3">
      <c r="B240" s="236"/>
      <c r="C240" s="239"/>
      <c r="D240" s="239"/>
      <c r="E240" s="239"/>
      <c r="F240" s="79" t="s">
        <v>246</v>
      </c>
      <c r="G240" s="80" t="s">
        <v>247</v>
      </c>
      <c r="H240" s="79" t="s">
        <v>246</v>
      </c>
      <c r="I240" s="80" t="s">
        <v>247</v>
      </c>
    </row>
    <row r="241" spans="2:13" ht="12.95" customHeight="1" x14ac:dyDescent="0.3">
      <c r="B241" s="83" t="s">
        <v>2</v>
      </c>
      <c r="C241" s="92"/>
      <c r="D241" s="85" t="s">
        <v>27</v>
      </c>
      <c r="E241" s="82">
        <v>275790</v>
      </c>
      <c r="F241" s="37">
        <v>3</v>
      </c>
      <c r="G241" s="5">
        <f t="shared" ref="G241:G242" si="87">TRUNC($E241*F241,1)</f>
        <v>827370</v>
      </c>
      <c r="H241" s="37">
        <v>3</v>
      </c>
      <c r="I241" s="5">
        <f t="shared" ref="I241:I242" si="88">TRUNC($E241*H241,1)</f>
        <v>827370</v>
      </c>
    </row>
    <row r="242" spans="2:13" ht="12.95" customHeight="1" x14ac:dyDescent="0.3">
      <c r="B242" s="83" t="s">
        <v>4</v>
      </c>
      <c r="C242" s="92"/>
      <c r="D242" s="85" t="s">
        <v>27</v>
      </c>
      <c r="E242" s="82">
        <v>172068</v>
      </c>
      <c r="F242" s="37">
        <v>1</v>
      </c>
      <c r="G242" s="5">
        <f t="shared" si="87"/>
        <v>172068</v>
      </c>
      <c r="H242" s="37">
        <v>1</v>
      </c>
      <c r="I242" s="5">
        <f t="shared" si="88"/>
        <v>172068</v>
      </c>
    </row>
    <row r="243" spans="2:13" ht="12.95" customHeight="1" x14ac:dyDescent="0.3">
      <c r="B243" s="96" t="s">
        <v>32</v>
      </c>
      <c r="C243" s="211"/>
      <c r="D243" s="210"/>
      <c r="E243" s="212"/>
      <c r="F243" s="37"/>
      <c r="G243" s="213">
        <f>TRUNC(SUM(G241:G242))</f>
        <v>999438</v>
      </c>
      <c r="H243" s="37"/>
      <c r="I243" s="213">
        <f>TRUNC(SUM(I241:I242))</f>
        <v>999438</v>
      </c>
    </row>
    <row r="244" spans="2:13" ht="12.95" customHeight="1" x14ac:dyDescent="0.3">
      <c r="B244" s="214"/>
      <c r="C244" s="217"/>
      <c r="D244" s="212"/>
      <c r="E244" s="212"/>
      <c r="F244" s="216"/>
      <c r="G244" s="218"/>
      <c r="H244" s="216"/>
      <c r="I244" s="218"/>
    </row>
    <row r="245" spans="2:13" ht="12.95" customHeight="1" x14ac:dyDescent="0.3">
      <c r="B245" s="219" t="s">
        <v>38</v>
      </c>
      <c r="C245" s="217"/>
      <c r="D245" s="212"/>
      <c r="E245" s="212"/>
      <c r="F245" s="216"/>
      <c r="G245" s="218">
        <f>SUM(G243)</f>
        <v>999438</v>
      </c>
      <c r="H245" s="216"/>
      <c r="I245" s="218">
        <f>SUM(I243)</f>
        <v>999438</v>
      </c>
    </row>
    <row r="246" spans="2:13" ht="12.95" customHeight="1" x14ac:dyDescent="0.3">
      <c r="B246" s="98" t="s">
        <v>270</v>
      </c>
      <c r="C246" s="99"/>
      <c r="D246" s="100"/>
      <c r="E246" s="101"/>
      <c r="F246" s="102"/>
      <c r="G246" s="9">
        <f>TRUNC((G245/G239))</f>
        <v>15375</v>
      </c>
      <c r="H246" s="102"/>
      <c r="I246" s="9">
        <f>TRUNC((I245/I239))</f>
        <v>18171</v>
      </c>
    </row>
    <row r="247" spans="2:13" ht="12.95" customHeight="1" x14ac:dyDescent="0.3">
      <c r="B247" s="156"/>
      <c r="C247" s="147"/>
      <c r="D247" s="156"/>
      <c r="E247" s="22"/>
      <c r="F247" s="156"/>
      <c r="G247" s="22"/>
      <c r="H247" s="156"/>
      <c r="I247" s="22"/>
      <c r="J247" s="6"/>
      <c r="K247" s="63"/>
      <c r="L247" s="6"/>
      <c r="M247" s="6"/>
    </row>
    <row r="248" spans="2:13" ht="12.95" customHeight="1" x14ac:dyDescent="0.3">
      <c r="B248" s="157" t="s">
        <v>213</v>
      </c>
      <c r="C248" s="158"/>
      <c r="D248" s="51"/>
      <c r="E248" s="23"/>
      <c r="F248" s="51"/>
      <c r="G248" s="23"/>
      <c r="H248" s="159"/>
      <c r="I248" s="109"/>
      <c r="J248" s="6"/>
      <c r="K248" s="109"/>
      <c r="L248" s="6"/>
      <c r="M248" s="109" t="s">
        <v>244</v>
      </c>
    </row>
    <row r="249" spans="2:13" ht="12.95" customHeight="1" x14ac:dyDescent="0.3">
      <c r="B249" s="234" t="s">
        <v>13</v>
      </c>
      <c r="C249" s="237" t="s">
        <v>20</v>
      </c>
      <c r="D249" s="237" t="s">
        <v>21</v>
      </c>
      <c r="E249" s="237" t="s">
        <v>14</v>
      </c>
      <c r="F249" s="240" t="s">
        <v>28</v>
      </c>
      <c r="G249" s="241"/>
      <c r="H249" s="241"/>
      <c r="I249" s="241"/>
      <c r="J249" s="241"/>
      <c r="K249" s="241"/>
      <c r="L249" s="241"/>
      <c r="M249" s="241"/>
    </row>
    <row r="250" spans="2:13" ht="12.95" customHeight="1" x14ac:dyDescent="0.3">
      <c r="B250" s="235"/>
      <c r="C250" s="238"/>
      <c r="D250" s="238"/>
      <c r="E250" s="238"/>
      <c r="F250" s="240" t="s">
        <v>264</v>
      </c>
      <c r="G250" s="241"/>
      <c r="H250" s="240" t="s">
        <v>265</v>
      </c>
      <c r="I250" s="241"/>
      <c r="J250" s="240" t="s">
        <v>266</v>
      </c>
      <c r="K250" s="241"/>
      <c r="L250" s="240" t="s">
        <v>267</v>
      </c>
      <c r="M250" s="241"/>
    </row>
    <row r="251" spans="2:13" ht="12.95" customHeight="1" x14ac:dyDescent="0.3">
      <c r="B251" s="235"/>
      <c r="C251" s="238"/>
      <c r="D251" s="238"/>
      <c r="E251" s="238"/>
      <c r="F251" s="220" t="s">
        <v>262</v>
      </c>
      <c r="G251" s="209">
        <v>130</v>
      </c>
      <c r="H251" s="220" t="s">
        <v>262</v>
      </c>
      <c r="I251" s="209">
        <v>120</v>
      </c>
      <c r="J251" s="220" t="s">
        <v>262</v>
      </c>
      <c r="K251" s="209">
        <v>105</v>
      </c>
      <c r="L251" s="220" t="s">
        <v>262</v>
      </c>
      <c r="M251" s="209">
        <v>85</v>
      </c>
    </row>
    <row r="252" spans="2:13" ht="12.95" customHeight="1" x14ac:dyDescent="0.3">
      <c r="B252" s="236"/>
      <c r="C252" s="239"/>
      <c r="D252" s="239"/>
      <c r="E252" s="239"/>
      <c r="F252" s="79" t="s">
        <v>246</v>
      </c>
      <c r="G252" s="80" t="s">
        <v>247</v>
      </c>
      <c r="H252" s="79" t="s">
        <v>246</v>
      </c>
      <c r="I252" s="80" t="s">
        <v>247</v>
      </c>
      <c r="J252" s="79" t="s">
        <v>246</v>
      </c>
      <c r="K252" s="80" t="s">
        <v>247</v>
      </c>
      <c r="L252" s="79" t="s">
        <v>246</v>
      </c>
      <c r="M252" s="80" t="s">
        <v>247</v>
      </c>
    </row>
    <row r="253" spans="2:13" ht="12.95" customHeight="1" x14ac:dyDescent="0.3">
      <c r="B253" s="157" t="s">
        <v>94</v>
      </c>
      <c r="C253" s="160" t="s">
        <v>85</v>
      </c>
      <c r="D253" s="18" t="s">
        <v>46</v>
      </c>
      <c r="E253" s="24">
        <v>9835</v>
      </c>
      <c r="F253" s="37">
        <v>0</v>
      </c>
      <c r="G253" s="2">
        <f t="shared" ref="G253:M253" si="89">TRUNC($E253*F253,1)</f>
        <v>0</v>
      </c>
      <c r="H253" s="37">
        <v>4</v>
      </c>
      <c r="I253" s="2">
        <f t="shared" si="89"/>
        <v>39340</v>
      </c>
      <c r="J253" s="37">
        <v>4</v>
      </c>
      <c r="K253" s="2">
        <f t="shared" si="89"/>
        <v>39340</v>
      </c>
      <c r="L253" s="37">
        <v>0</v>
      </c>
      <c r="M253" s="5">
        <f t="shared" si="89"/>
        <v>0</v>
      </c>
    </row>
    <row r="254" spans="2:13" ht="12.95" customHeight="1" x14ac:dyDescent="0.3">
      <c r="B254" s="157" t="s">
        <v>93</v>
      </c>
      <c r="C254" s="161" t="s">
        <v>86</v>
      </c>
      <c r="D254" s="18" t="s">
        <v>46</v>
      </c>
      <c r="E254" s="24">
        <v>11299</v>
      </c>
      <c r="F254" s="37">
        <v>0</v>
      </c>
      <c r="G254" s="2">
        <f t="shared" ref="G254:M254" si="90">TRUNC($E254*F254,1)</f>
        <v>0</v>
      </c>
      <c r="H254" s="37">
        <v>0</v>
      </c>
      <c r="I254" s="2">
        <f t="shared" si="90"/>
        <v>0</v>
      </c>
      <c r="J254" s="37">
        <v>0</v>
      </c>
      <c r="K254" s="2">
        <f t="shared" si="90"/>
        <v>0</v>
      </c>
      <c r="L254" s="37">
        <v>4</v>
      </c>
      <c r="M254" s="5">
        <f t="shared" si="90"/>
        <v>45196</v>
      </c>
    </row>
    <row r="255" spans="2:13" ht="12.95" customHeight="1" x14ac:dyDescent="0.3">
      <c r="B255" s="87" t="s">
        <v>31</v>
      </c>
      <c r="C255" s="211"/>
      <c r="D255" s="210"/>
      <c r="E255" s="212"/>
      <c r="F255" s="37"/>
      <c r="G255" s="213">
        <f>TRUNC(SUM(G253:G254))</f>
        <v>0</v>
      </c>
      <c r="H255" s="37"/>
      <c r="I255" s="213">
        <f>TRUNC(SUM(I253:I254))</f>
        <v>39340</v>
      </c>
      <c r="J255" s="37"/>
      <c r="K255" s="213">
        <f>TRUNC(SUM(K253:K254))</f>
        <v>39340</v>
      </c>
      <c r="L255" s="37"/>
      <c r="M255" s="213">
        <f>TRUNC(SUM(M253:M254))</f>
        <v>45196</v>
      </c>
    </row>
    <row r="256" spans="2:13" ht="12.95" customHeight="1" x14ac:dyDescent="0.3">
      <c r="B256" s="214"/>
      <c r="C256" s="211"/>
      <c r="D256" s="210"/>
      <c r="E256" s="212"/>
      <c r="F256" s="37"/>
      <c r="G256" s="215"/>
      <c r="H256" s="37"/>
      <c r="I256" s="215"/>
      <c r="J256" s="37"/>
      <c r="K256" s="215"/>
      <c r="L256" s="37"/>
      <c r="M256" s="215"/>
    </row>
    <row r="257" spans="2:13" ht="12.95" customHeight="1" x14ac:dyDescent="0.3">
      <c r="B257" s="157" t="s">
        <v>66</v>
      </c>
      <c r="C257" s="164"/>
      <c r="D257" s="85" t="s">
        <v>27</v>
      </c>
      <c r="E257" s="24">
        <v>275790</v>
      </c>
      <c r="F257" s="37">
        <v>4</v>
      </c>
      <c r="G257" s="5">
        <f t="shared" ref="G257:M260" si="91">TRUNC($E257*F257,1)</f>
        <v>1103160</v>
      </c>
      <c r="H257" s="37">
        <v>4</v>
      </c>
      <c r="I257" s="5">
        <f t="shared" si="91"/>
        <v>1103160</v>
      </c>
      <c r="J257" s="37">
        <v>4</v>
      </c>
      <c r="K257" s="5">
        <f t="shared" si="91"/>
        <v>1103160</v>
      </c>
      <c r="L257" s="37">
        <v>4</v>
      </c>
      <c r="M257" s="5">
        <f t="shared" si="91"/>
        <v>1103160</v>
      </c>
    </row>
    <row r="258" spans="2:13" ht="12.95" customHeight="1" x14ac:dyDescent="0.3">
      <c r="B258" s="157" t="s">
        <v>37</v>
      </c>
      <c r="C258" s="164"/>
      <c r="D258" s="85" t="s">
        <v>27</v>
      </c>
      <c r="E258" s="24">
        <v>172068</v>
      </c>
      <c r="F258" s="37">
        <v>1</v>
      </c>
      <c r="G258" s="5">
        <f t="shared" si="91"/>
        <v>172068</v>
      </c>
      <c r="H258" s="37">
        <v>1</v>
      </c>
      <c r="I258" s="5">
        <f t="shared" si="91"/>
        <v>172068</v>
      </c>
      <c r="J258" s="37">
        <v>1</v>
      </c>
      <c r="K258" s="5">
        <f t="shared" si="91"/>
        <v>172068</v>
      </c>
      <c r="L258" s="37">
        <v>1</v>
      </c>
      <c r="M258" s="5">
        <f t="shared" si="91"/>
        <v>172068</v>
      </c>
    </row>
    <row r="259" spans="2:13" ht="12.95" customHeight="1" x14ac:dyDescent="0.3">
      <c r="B259" s="157" t="s">
        <v>93</v>
      </c>
      <c r="C259" s="160" t="s">
        <v>85</v>
      </c>
      <c r="D259" s="18" t="s">
        <v>46</v>
      </c>
      <c r="E259" s="24">
        <v>58925</v>
      </c>
      <c r="F259" s="37">
        <v>0</v>
      </c>
      <c r="G259" s="5">
        <f t="shared" ref="G259:M259" si="92">TRUNC($E259*F259,1)</f>
        <v>0</v>
      </c>
      <c r="H259" s="37">
        <v>4</v>
      </c>
      <c r="I259" s="5">
        <f t="shared" si="92"/>
        <v>235700</v>
      </c>
      <c r="J259" s="37">
        <v>4</v>
      </c>
      <c r="K259" s="5">
        <f t="shared" si="92"/>
        <v>235700</v>
      </c>
      <c r="L259" s="37">
        <v>0</v>
      </c>
      <c r="M259" s="5">
        <f t="shared" si="92"/>
        <v>0</v>
      </c>
    </row>
    <row r="260" spans="2:13" ht="12.95" customHeight="1" x14ac:dyDescent="0.3">
      <c r="B260" s="157" t="s">
        <v>93</v>
      </c>
      <c r="C260" s="161" t="s">
        <v>86</v>
      </c>
      <c r="D260" s="18" t="s">
        <v>46</v>
      </c>
      <c r="E260" s="24">
        <v>58925</v>
      </c>
      <c r="F260" s="37">
        <v>0</v>
      </c>
      <c r="G260" s="5">
        <f t="shared" si="91"/>
        <v>0</v>
      </c>
      <c r="H260" s="37">
        <v>0</v>
      </c>
      <c r="I260" s="5">
        <f t="shared" si="91"/>
        <v>0</v>
      </c>
      <c r="J260" s="37">
        <v>0</v>
      </c>
      <c r="K260" s="5">
        <f t="shared" si="91"/>
        <v>0</v>
      </c>
      <c r="L260" s="37">
        <v>4</v>
      </c>
      <c r="M260" s="5">
        <f t="shared" si="91"/>
        <v>235700</v>
      </c>
    </row>
    <row r="261" spans="2:13" ht="12.95" customHeight="1" x14ac:dyDescent="0.3">
      <c r="B261" s="96" t="s">
        <v>32</v>
      </c>
      <c r="C261" s="211"/>
      <c r="D261" s="210"/>
      <c r="E261" s="212"/>
      <c r="F261" s="37"/>
      <c r="G261" s="213">
        <f>TRUNC(SUM(G257:G260))</f>
        <v>1275228</v>
      </c>
      <c r="H261" s="37"/>
      <c r="I261" s="213">
        <f>TRUNC(SUM(I257:I260))</f>
        <v>1510928</v>
      </c>
      <c r="J261" s="37"/>
      <c r="K261" s="213">
        <f>TRUNC(SUM(K257:K260))</f>
        <v>1510928</v>
      </c>
      <c r="L261" s="37"/>
      <c r="M261" s="213">
        <f>TRUNC(SUM(M257:M260))</f>
        <v>1510928</v>
      </c>
    </row>
    <row r="262" spans="2:13" ht="12.95" customHeight="1" x14ac:dyDescent="0.3">
      <c r="B262" s="214"/>
      <c r="C262" s="211"/>
      <c r="D262" s="210"/>
      <c r="E262" s="212"/>
      <c r="F262" s="37"/>
      <c r="G262" s="215"/>
      <c r="H262" s="37"/>
      <c r="I262" s="215"/>
      <c r="J262" s="37"/>
      <c r="K262" s="215"/>
      <c r="L262" s="37"/>
      <c r="M262" s="215"/>
    </row>
    <row r="263" spans="2:13" ht="12.95" customHeight="1" x14ac:dyDescent="0.3">
      <c r="B263" s="157" t="s">
        <v>93</v>
      </c>
      <c r="C263" s="160" t="s">
        <v>85</v>
      </c>
      <c r="D263" s="18" t="s">
        <v>46</v>
      </c>
      <c r="E263" s="24">
        <v>43014</v>
      </c>
      <c r="F263" s="37">
        <v>0</v>
      </c>
      <c r="G263" s="5">
        <f t="shared" ref="G263:M263" si="93">TRUNC($E263*F263,1)</f>
        <v>0</v>
      </c>
      <c r="H263" s="37">
        <v>4</v>
      </c>
      <c r="I263" s="5">
        <f t="shared" si="93"/>
        <v>172056</v>
      </c>
      <c r="J263" s="37">
        <v>4</v>
      </c>
      <c r="K263" s="5">
        <f t="shared" si="93"/>
        <v>172056</v>
      </c>
      <c r="L263" s="37">
        <v>0</v>
      </c>
      <c r="M263" s="5">
        <f t="shared" si="93"/>
        <v>0</v>
      </c>
    </row>
    <row r="264" spans="2:13" ht="12.95" customHeight="1" x14ac:dyDescent="0.3">
      <c r="B264" s="157" t="s">
        <v>93</v>
      </c>
      <c r="C264" s="161" t="s">
        <v>86</v>
      </c>
      <c r="D264" s="18" t="s">
        <v>46</v>
      </c>
      <c r="E264" s="24">
        <v>53629</v>
      </c>
      <c r="F264" s="37">
        <v>0</v>
      </c>
      <c r="G264" s="5">
        <f t="shared" ref="G264:M264" si="94">TRUNC($E264*F264,1)</f>
        <v>0</v>
      </c>
      <c r="H264" s="37">
        <v>0</v>
      </c>
      <c r="I264" s="5">
        <f t="shared" si="94"/>
        <v>0</v>
      </c>
      <c r="J264" s="37">
        <v>0</v>
      </c>
      <c r="K264" s="5">
        <f t="shared" si="94"/>
        <v>0</v>
      </c>
      <c r="L264" s="37">
        <v>4</v>
      </c>
      <c r="M264" s="5">
        <f t="shared" si="94"/>
        <v>214516</v>
      </c>
    </row>
    <row r="265" spans="2:13" ht="12.95" customHeight="1" x14ac:dyDescent="0.3">
      <c r="B265" s="87" t="s">
        <v>33</v>
      </c>
      <c r="C265" s="211"/>
      <c r="D265" s="212"/>
      <c r="E265" s="212"/>
      <c r="F265" s="216"/>
      <c r="G265" s="213">
        <f>TRUNC(SUM(G263:G264))</f>
        <v>0</v>
      </c>
      <c r="H265" s="216"/>
      <c r="I265" s="213">
        <f>TRUNC(SUM(I263:I264))</f>
        <v>172056</v>
      </c>
      <c r="J265" s="216"/>
      <c r="K265" s="213">
        <f>TRUNC(SUM(K263:K264))</f>
        <v>172056</v>
      </c>
      <c r="L265" s="216"/>
      <c r="M265" s="213">
        <f>TRUNC(SUM(M263:M264))</f>
        <v>214516</v>
      </c>
    </row>
    <row r="266" spans="2:13" ht="12.95" customHeight="1" x14ac:dyDescent="0.3">
      <c r="B266" s="214"/>
      <c r="C266" s="217"/>
      <c r="D266" s="212"/>
      <c r="E266" s="212"/>
      <c r="F266" s="216"/>
      <c r="G266" s="218"/>
      <c r="H266" s="216"/>
      <c r="I266" s="218"/>
      <c r="J266" s="216"/>
      <c r="K266" s="218"/>
      <c r="L266" s="216"/>
      <c r="M266" s="218"/>
    </row>
    <row r="267" spans="2:13" ht="12.95" customHeight="1" x14ac:dyDescent="0.3">
      <c r="B267" s="219" t="s">
        <v>38</v>
      </c>
      <c r="C267" s="217"/>
      <c r="D267" s="212"/>
      <c r="E267" s="212"/>
      <c r="F267" s="216"/>
      <c r="G267" s="218">
        <f>SUM(G255+G261+G265)</f>
        <v>1275228</v>
      </c>
      <c r="H267" s="216"/>
      <c r="I267" s="218">
        <f>SUM(I255+I261+I265)</f>
        <v>1722324</v>
      </c>
      <c r="J267" s="216"/>
      <c r="K267" s="218">
        <f>SUM(K255+K261+K265)</f>
        <v>1722324</v>
      </c>
      <c r="L267" s="216"/>
      <c r="M267" s="218">
        <f>SUM(M255+M261+M265)</f>
        <v>1770640</v>
      </c>
    </row>
    <row r="268" spans="2:13" ht="12.95" customHeight="1" x14ac:dyDescent="0.3">
      <c r="B268" s="98" t="s">
        <v>268</v>
      </c>
      <c r="C268" s="99"/>
      <c r="D268" s="100"/>
      <c r="E268" s="101"/>
      <c r="F268" s="102"/>
      <c r="G268" s="9">
        <f>TRUNC((G267/G251)*10)</f>
        <v>98094</v>
      </c>
      <c r="H268" s="102"/>
      <c r="I268" s="9">
        <f>TRUNC((I267/I251)*10)</f>
        <v>143527</v>
      </c>
      <c r="J268" s="102"/>
      <c r="K268" s="9">
        <f>TRUNC((K267/K251)*10)</f>
        <v>164030</v>
      </c>
      <c r="L268" s="102"/>
      <c r="M268" s="9">
        <f>TRUNC((M267/M251)*10)</f>
        <v>208310</v>
      </c>
    </row>
    <row r="269" spans="2:13" ht="12.95" customHeight="1" x14ac:dyDescent="0.3">
      <c r="B269" s="234" t="s">
        <v>13</v>
      </c>
      <c r="C269" s="237" t="s">
        <v>20</v>
      </c>
      <c r="D269" s="237" t="s">
        <v>21</v>
      </c>
      <c r="E269" s="237" t="s">
        <v>14</v>
      </c>
      <c r="F269" s="240" t="s">
        <v>269</v>
      </c>
      <c r="G269" s="241"/>
      <c r="H269" s="241"/>
      <c r="I269" s="241"/>
      <c r="J269" s="241"/>
      <c r="K269" s="241"/>
      <c r="L269" s="241"/>
      <c r="M269" s="241"/>
    </row>
    <row r="270" spans="2:13" ht="12.95" customHeight="1" x14ac:dyDescent="0.3">
      <c r="B270" s="235"/>
      <c r="C270" s="238"/>
      <c r="D270" s="238"/>
      <c r="E270" s="238"/>
      <c r="F270" s="240" t="s">
        <v>264</v>
      </c>
      <c r="G270" s="241"/>
      <c r="H270" s="240" t="s">
        <v>265</v>
      </c>
      <c r="I270" s="241"/>
      <c r="J270" s="240" t="s">
        <v>266</v>
      </c>
      <c r="K270" s="241"/>
      <c r="L270" s="240" t="s">
        <v>267</v>
      </c>
      <c r="M270" s="241"/>
    </row>
    <row r="271" spans="2:13" ht="12.95" customHeight="1" x14ac:dyDescent="0.3">
      <c r="B271" s="235"/>
      <c r="C271" s="238"/>
      <c r="D271" s="238"/>
      <c r="E271" s="238"/>
      <c r="F271" s="220" t="s">
        <v>262</v>
      </c>
      <c r="G271" s="209">
        <v>150</v>
      </c>
      <c r="H271" s="220" t="s">
        <v>262</v>
      </c>
      <c r="I271" s="209">
        <v>150</v>
      </c>
      <c r="J271" s="220" t="s">
        <v>262</v>
      </c>
      <c r="K271" s="209">
        <v>140</v>
      </c>
      <c r="L271" s="220" t="s">
        <v>262</v>
      </c>
      <c r="M271" s="209">
        <v>115</v>
      </c>
    </row>
    <row r="272" spans="2:13" ht="12.95" customHeight="1" x14ac:dyDescent="0.3">
      <c r="B272" s="236"/>
      <c r="C272" s="239"/>
      <c r="D272" s="239"/>
      <c r="E272" s="239"/>
      <c r="F272" s="79" t="s">
        <v>246</v>
      </c>
      <c r="G272" s="80" t="s">
        <v>247</v>
      </c>
      <c r="H272" s="79" t="s">
        <v>246</v>
      </c>
      <c r="I272" s="80" t="s">
        <v>247</v>
      </c>
      <c r="J272" s="79" t="s">
        <v>246</v>
      </c>
      <c r="K272" s="80" t="s">
        <v>247</v>
      </c>
      <c r="L272" s="79" t="s">
        <v>246</v>
      </c>
      <c r="M272" s="80" t="s">
        <v>247</v>
      </c>
    </row>
    <row r="273" spans="2:15" ht="12.95" customHeight="1" x14ac:dyDescent="0.3">
      <c r="B273" s="157" t="s">
        <v>94</v>
      </c>
      <c r="C273" s="160" t="s">
        <v>85</v>
      </c>
      <c r="D273" s="18" t="s">
        <v>46</v>
      </c>
      <c r="E273" s="24">
        <v>9835</v>
      </c>
      <c r="F273" s="37">
        <v>0</v>
      </c>
      <c r="G273" s="2">
        <f t="shared" ref="G273:G274" si="95">TRUNC($E273*F273,1)</f>
        <v>0</v>
      </c>
      <c r="H273" s="37">
        <v>4</v>
      </c>
      <c r="I273" s="2">
        <f t="shared" ref="I273:I274" si="96">TRUNC($E273*H273,1)</f>
        <v>39340</v>
      </c>
      <c r="J273" s="37">
        <v>4</v>
      </c>
      <c r="K273" s="2">
        <f t="shared" ref="K273:K274" si="97">TRUNC($E273*J273,1)</f>
        <v>39340</v>
      </c>
      <c r="L273" s="37">
        <v>0</v>
      </c>
      <c r="M273" s="5">
        <f t="shared" ref="M273:M274" si="98">TRUNC($E273*L273,1)</f>
        <v>0</v>
      </c>
    </row>
    <row r="274" spans="2:15" ht="12.95" customHeight="1" x14ac:dyDescent="0.3">
      <c r="B274" s="157" t="s">
        <v>93</v>
      </c>
      <c r="C274" s="161" t="s">
        <v>86</v>
      </c>
      <c r="D274" s="18" t="s">
        <v>46</v>
      </c>
      <c r="E274" s="24">
        <v>11299</v>
      </c>
      <c r="F274" s="37">
        <v>0</v>
      </c>
      <c r="G274" s="2">
        <f t="shared" si="95"/>
        <v>0</v>
      </c>
      <c r="H274" s="37">
        <v>0</v>
      </c>
      <c r="I274" s="2">
        <f t="shared" si="96"/>
        <v>0</v>
      </c>
      <c r="J274" s="37">
        <v>0</v>
      </c>
      <c r="K274" s="2">
        <f t="shared" si="97"/>
        <v>0</v>
      </c>
      <c r="L274" s="37">
        <v>4</v>
      </c>
      <c r="M274" s="5">
        <f t="shared" si="98"/>
        <v>45196</v>
      </c>
    </row>
    <row r="275" spans="2:15" ht="12.95" customHeight="1" x14ac:dyDescent="0.3">
      <c r="B275" s="87" t="s">
        <v>31</v>
      </c>
      <c r="C275" s="211"/>
      <c r="D275" s="210"/>
      <c r="E275" s="212"/>
      <c r="F275" s="37"/>
      <c r="G275" s="213">
        <f>TRUNC(SUM(G273:G274))</f>
        <v>0</v>
      </c>
      <c r="H275" s="37"/>
      <c r="I275" s="213">
        <f>TRUNC(SUM(I273:I274))</f>
        <v>39340</v>
      </c>
      <c r="J275" s="37"/>
      <c r="K275" s="213">
        <f>TRUNC(SUM(K273:K274))</f>
        <v>39340</v>
      </c>
      <c r="L275" s="37"/>
      <c r="M275" s="213">
        <f>TRUNC(SUM(M273:M274))</f>
        <v>45196</v>
      </c>
      <c r="N275" s="6"/>
      <c r="O275" s="6"/>
    </row>
    <row r="276" spans="2:15" ht="12.95" customHeight="1" x14ac:dyDescent="0.3">
      <c r="B276" s="214"/>
      <c r="C276" s="211"/>
      <c r="D276" s="210"/>
      <c r="E276" s="212"/>
      <c r="F276" s="37"/>
      <c r="G276" s="215"/>
      <c r="H276" s="37"/>
      <c r="I276" s="215"/>
      <c r="J276" s="37"/>
      <c r="K276" s="215"/>
      <c r="L276" s="37"/>
      <c r="M276" s="215"/>
      <c r="N276" s="6"/>
      <c r="O276" s="6"/>
    </row>
    <row r="277" spans="2:15" ht="12.95" customHeight="1" x14ac:dyDescent="0.3">
      <c r="B277" s="157" t="s">
        <v>66</v>
      </c>
      <c r="C277" s="164"/>
      <c r="D277" s="85" t="s">
        <v>27</v>
      </c>
      <c r="E277" s="24">
        <v>275790</v>
      </c>
      <c r="F277" s="37">
        <v>2</v>
      </c>
      <c r="G277" s="5">
        <f t="shared" ref="G277:G280" si="99">TRUNC($E277*F277,1)</f>
        <v>551580</v>
      </c>
      <c r="H277" s="37">
        <v>2</v>
      </c>
      <c r="I277" s="5">
        <f t="shared" ref="I277:I280" si="100">TRUNC($E277*H277,1)</f>
        <v>551580</v>
      </c>
      <c r="J277" s="37">
        <v>2</v>
      </c>
      <c r="K277" s="5">
        <f t="shared" ref="K277:K280" si="101">TRUNC($E277*J277,1)</f>
        <v>551580</v>
      </c>
      <c r="L277" s="37">
        <v>2</v>
      </c>
      <c r="M277" s="5">
        <f t="shared" ref="M277:M280" si="102">TRUNC($E277*L277,1)</f>
        <v>551580</v>
      </c>
      <c r="N277" s="6"/>
      <c r="O277" s="6"/>
    </row>
    <row r="278" spans="2:15" ht="12.95" customHeight="1" x14ac:dyDescent="0.3">
      <c r="B278" s="157" t="s">
        <v>37</v>
      </c>
      <c r="C278" s="164"/>
      <c r="D278" s="85" t="s">
        <v>27</v>
      </c>
      <c r="E278" s="24">
        <v>172068</v>
      </c>
      <c r="F278" s="37">
        <v>2</v>
      </c>
      <c r="G278" s="5">
        <f t="shared" si="99"/>
        <v>344136</v>
      </c>
      <c r="H278" s="37">
        <v>2</v>
      </c>
      <c r="I278" s="5">
        <f t="shared" si="100"/>
        <v>344136</v>
      </c>
      <c r="J278" s="37">
        <v>2</v>
      </c>
      <c r="K278" s="5">
        <f t="shared" si="101"/>
        <v>344136</v>
      </c>
      <c r="L278" s="37">
        <v>2</v>
      </c>
      <c r="M278" s="5">
        <f t="shared" si="102"/>
        <v>344136</v>
      </c>
      <c r="N278" s="6"/>
      <c r="O278" s="6"/>
    </row>
    <row r="279" spans="2:15" ht="12.95" customHeight="1" x14ac:dyDescent="0.3">
      <c r="B279" s="157" t="s">
        <v>93</v>
      </c>
      <c r="C279" s="160" t="s">
        <v>85</v>
      </c>
      <c r="D279" s="18" t="s">
        <v>46</v>
      </c>
      <c r="E279" s="24">
        <v>58925</v>
      </c>
      <c r="F279" s="37">
        <v>0</v>
      </c>
      <c r="G279" s="5">
        <f t="shared" si="99"/>
        <v>0</v>
      </c>
      <c r="H279" s="37">
        <v>4</v>
      </c>
      <c r="I279" s="5">
        <f t="shared" si="100"/>
        <v>235700</v>
      </c>
      <c r="J279" s="37">
        <v>4</v>
      </c>
      <c r="K279" s="5">
        <f t="shared" si="101"/>
        <v>235700</v>
      </c>
      <c r="L279" s="37">
        <v>0</v>
      </c>
      <c r="M279" s="5">
        <f t="shared" si="102"/>
        <v>0</v>
      </c>
      <c r="N279" s="6"/>
      <c r="O279" s="6"/>
    </row>
    <row r="280" spans="2:15" ht="12.95" customHeight="1" x14ac:dyDescent="0.3">
      <c r="B280" s="157" t="s">
        <v>93</v>
      </c>
      <c r="C280" s="161" t="s">
        <v>86</v>
      </c>
      <c r="D280" s="18" t="s">
        <v>46</v>
      </c>
      <c r="E280" s="24">
        <v>58925</v>
      </c>
      <c r="F280" s="37">
        <v>0</v>
      </c>
      <c r="G280" s="5">
        <f t="shared" si="99"/>
        <v>0</v>
      </c>
      <c r="H280" s="37">
        <v>0</v>
      </c>
      <c r="I280" s="5">
        <f t="shared" si="100"/>
        <v>0</v>
      </c>
      <c r="J280" s="37">
        <v>0</v>
      </c>
      <c r="K280" s="5">
        <f t="shared" si="101"/>
        <v>0</v>
      </c>
      <c r="L280" s="37">
        <v>4</v>
      </c>
      <c r="M280" s="5">
        <f t="shared" si="102"/>
        <v>235700</v>
      </c>
      <c r="N280" s="6"/>
      <c r="O280" s="6"/>
    </row>
    <row r="281" spans="2:15" ht="12.95" customHeight="1" x14ac:dyDescent="0.3">
      <c r="B281" s="96" t="s">
        <v>32</v>
      </c>
      <c r="C281" s="211"/>
      <c r="D281" s="210"/>
      <c r="E281" s="212"/>
      <c r="F281" s="37"/>
      <c r="G281" s="213">
        <f>TRUNC(SUM(G277:G280))</f>
        <v>895716</v>
      </c>
      <c r="H281" s="37"/>
      <c r="I281" s="213">
        <f>TRUNC(SUM(I277:I280))</f>
        <v>1131416</v>
      </c>
      <c r="J281" s="37"/>
      <c r="K281" s="213">
        <f>TRUNC(SUM(K277:K280))</f>
        <v>1131416</v>
      </c>
      <c r="L281" s="37"/>
      <c r="M281" s="213">
        <f>TRUNC(SUM(M277:M280))</f>
        <v>1131416</v>
      </c>
    </row>
    <row r="282" spans="2:15" ht="12.95" customHeight="1" x14ac:dyDescent="0.3">
      <c r="B282" s="214"/>
      <c r="C282" s="211"/>
      <c r="D282" s="210"/>
      <c r="E282" s="212"/>
      <c r="F282" s="37"/>
      <c r="G282" s="215"/>
      <c r="H282" s="37"/>
      <c r="I282" s="215"/>
      <c r="J282" s="37"/>
      <c r="K282" s="215"/>
      <c r="L282" s="37"/>
      <c r="M282" s="215"/>
    </row>
    <row r="283" spans="2:15" ht="12.95" customHeight="1" x14ac:dyDescent="0.3">
      <c r="B283" s="157" t="s">
        <v>93</v>
      </c>
      <c r="C283" s="160" t="s">
        <v>85</v>
      </c>
      <c r="D283" s="18" t="s">
        <v>46</v>
      </c>
      <c r="E283" s="24">
        <v>43014</v>
      </c>
      <c r="F283" s="37">
        <v>0</v>
      </c>
      <c r="G283" s="5">
        <f t="shared" ref="G283:G284" si="103">TRUNC($E283*F283,1)</f>
        <v>0</v>
      </c>
      <c r="H283" s="37">
        <v>4</v>
      </c>
      <c r="I283" s="5">
        <f t="shared" ref="I283:I284" si="104">TRUNC($E283*H283,1)</f>
        <v>172056</v>
      </c>
      <c r="J283" s="37">
        <v>4</v>
      </c>
      <c r="K283" s="5">
        <f t="shared" ref="K283:K284" si="105">TRUNC($E283*J283,1)</f>
        <v>172056</v>
      </c>
      <c r="L283" s="37">
        <v>0</v>
      </c>
      <c r="M283" s="5">
        <f t="shared" ref="M283:M284" si="106">TRUNC($E283*L283,1)</f>
        <v>0</v>
      </c>
      <c r="N283" s="14"/>
      <c r="O283" s="14"/>
    </row>
    <row r="284" spans="2:15" ht="12.95" customHeight="1" x14ac:dyDescent="0.3">
      <c r="B284" s="157" t="s">
        <v>93</v>
      </c>
      <c r="C284" s="161" t="s">
        <v>86</v>
      </c>
      <c r="D284" s="18" t="s">
        <v>46</v>
      </c>
      <c r="E284" s="24">
        <v>53629</v>
      </c>
      <c r="F284" s="37">
        <v>0</v>
      </c>
      <c r="G284" s="5">
        <f t="shared" si="103"/>
        <v>0</v>
      </c>
      <c r="H284" s="37">
        <v>0</v>
      </c>
      <c r="I284" s="5">
        <f t="shared" si="104"/>
        <v>0</v>
      </c>
      <c r="J284" s="37">
        <v>0</v>
      </c>
      <c r="K284" s="5">
        <f t="shared" si="105"/>
        <v>0</v>
      </c>
      <c r="L284" s="37">
        <v>4</v>
      </c>
      <c r="M284" s="5">
        <f t="shared" si="106"/>
        <v>214516</v>
      </c>
      <c r="N284" s="14"/>
      <c r="O284" s="14"/>
    </row>
    <row r="285" spans="2:15" ht="12.95" customHeight="1" x14ac:dyDescent="0.3">
      <c r="B285" s="87" t="s">
        <v>33</v>
      </c>
      <c r="C285" s="211"/>
      <c r="D285" s="212"/>
      <c r="E285" s="212"/>
      <c r="F285" s="216"/>
      <c r="G285" s="213">
        <f>TRUNC(SUM(G283:G284))</f>
        <v>0</v>
      </c>
      <c r="H285" s="216"/>
      <c r="I285" s="213">
        <f>TRUNC(SUM(I283:I284))</f>
        <v>172056</v>
      </c>
      <c r="J285" s="216"/>
      <c r="K285" s="213">
        <f>TRUNC(SUM(K283:K284))</f>
        <v>172056</v>
      </c>
      <c r="L285" s="216"/>
      <c r="M285" s="213">
        <f>TRUNC(SUM(M283:M284))</f>
        <v>214516</v>
      </c>
      <c r="N285" s="14"/>
      <c r="O285" s="14"/>
    </row>
    <row r="286" spans="2:15" ht="12.95" customHeight="1" x14ac:dyDescent="0.3">
      <c r="B286" s="214"/>
      <c r="C286" s="217"/>
      <c r="D286" s="212"/>
      <c r="E286" s="212"/>
      <c r="F286" s="216"/>
      <c r="G286" s="218"/>
      <c r="H286" s="216"/>
      <c r="I286" s="218"/>
      <c r="J286" s="216"/>
      <c r="K286" s="218"/>
      <c r="L286" s="216"/>
      <c r="M286" s="218"/>
      <c r="N286" s="14"/>
      <c r="O286" s="14"/>
    </row>
    <row r="287" spans="2:15" ht="12.95" customHeight="1" x14ac:dyDescent="0.3">
      <c r="B287" s="219" t="s">
        <v>38</v>
      </c>
      <c r="C287" s="217"/>
      <c r="D287" s="212"/>
      <c r="E287" s="212"/>
      <c r="F287" s="216"/>
      <c r="G287" s="218">
        <f>SUM(G275+G281+G285)</f>
        <v>895716</v>
      </c>
      <c r="H287" s="216"/>
      <c r="I287" s="218">
        <f>SUM(I275+I281+I285)</f>
        <v>1342812</v>
      </c>
      <c r="J287" s="216"/>
      <c r="K287" s="218">
        <f>SUM(K275+K281+K285)</f>
        <v>1342812</v>
      </c>
      <c r="L287" s="216"/>
      <c r="M287" s="218">
        <f>SUM(M275+M281+M285)</f>
        <v>1391128</v>
      </c>
      <c r="N287" s="14"/>
      <c r="O287" s="14"/>
    </row>
    <row r="288" spans="2:15" ht="12.95" customHeight="1" x14ac:dyDescent="0.3">
      <c r="B288" s="98" t="s">
        <v>268</v>
      </c>
      <c r="C288" s="99"/>
      <c r="D288" s="100"/>
      <c r="E288" s="101"/>
      <c r="F288" s="102"/>
      <c r="G288" s="9">
        <f>TRUNC((G287/G271)*10)</f>
        <v>59714</v>
      </c>
      <c r="H288" s="102"/>
      <c r="I288" s="9">
        <f>TRUNC((I287/I271)*10)</f>
        <v>89520</v>
      </c>
      <c r="J288" s="102"/>
      <c r="K288" s="9">
        <f>TRUNC((K287/K271)*10)</f>
        <v>95915</v>
      </c>
      <c r="L288" s="102"/>
      <c r="M288" s="9">
        <f>TRUNC((M287/M271)*10)</f>
        <v>120967</v>
      </c>
      <c r="N288" s="14"/>
      <c r="O288" s="14"/>
    </row>
    <row r="289" spans="2:15" ht="12.95" customHeight="1" x14ac:dyDescent="0.3">
      <c r="B289" s="227" t="s">
        <v>309</v>
      </c>
      <c r="C289" s="228"/>
      <c r="D289" s="228"/>
      <c r="E289" s="229"/>
      <c r="F289" s="172"/>
      <c r="G289" s="172"/>
      <c r="H289" s="230"/>
      <c r="I289" s="172"/>
      <c r="J289" s="6"/>
      <c r="K289" s="109"/>
      <c r="M289" s="208"/>
    </row>
    <row r="290" spans="2:15" ht="12.95" customHeight="1" x14ac:dyDescent="0.3">
      <c r="B290" s="231"/>
      <c r="C290" s="39"/>
      <c r="D290" s="6"/>
      <c r="E290" s="6"/>
      <c r="F290" s="232"/>
      <c r="G290" s="233"/>
      <c r="H290" s="232"/>
      <c r="I290" s="233"/>
      <c r="J290" s="6"/>
      <c r="K290" s="6"/>
      <c r="L290" s="6"/>
      <c r="M290" s="6"/>
    </row>
    <row r="291" spans="2:15" ht="12.95" customHeight="1" x14ac:dyDescent="0.3">
      <c r="B291" s="14" t="s">
        <v>87</v>
      </c>
      <c r="C291" s="14"/>
      <c r="D291" s="14"/>
      <c r="E291" s="14"/>
      <c r="F291" s="14"/>
      <c r="G291" s="109" t="s">
        <v>60</v>
      </c>
      <c r="H291" s="6"/>
      <c r="I291" s="6"/>
      <c r="J291" s="6"/>
      <c r="K291" s="6"/>
      <c r="L291" s="6"/>
      <c r="M291" s="6"/>
      <c r="N291" s="6"/>
      <c r="O291" s="6"/>
    </row>
    <row r="292" spans="2:15" ht="12.95" customHeight="1" x14ac:dyDescent="0.3">
      <c r="B292" s="242" t="s">
        <v>13</v>
      </c>
      <c r="C292" s="244" t="s">
        <v>67</v>
      </c>
      <c r="D292" s="246" t="s">
        <v>21</v>
      </c>
      <c r="E292" s="237" t="s">
        <v>14</v>
      </c>
      <c r="F292" s="244" t="s">
        <v>15</v>
      </c>
      <c r="G292" s="255" t="s">
        <v>68</v>
      </c>
      <c r="H292" s="6"/>
      <c r="I292" s="6"/>
      <c r="J292" s="6"/>
      <c r="K292" s="6"/>
      <c r="L292" s="6"/>
      <c r="M292" s="6"/>
      <c r="N292" s="6"/>
      <c r="O292" s="6"/>
    </row>
    <row r="293" spans="2:15" ht="12.95" customHeight="1" x14ac:dyDescent="0.3">
      <c r="B293" s="243"/>
      <c r="C293" s="245"/>
      <c r="D293" s="246"/>
      <c r="E293" s="239"/>
      <c r="F293" s="245"/>
      <c r="G293" s="256"/>
      <c r="H293" s="6"/>
      <c r="I293" s="6"/>
      <c r="J293" s="6"/>
      <c r="K293" s="6"/>
      <c r="L293" s="6"/>
      <c r="M293" s="6"/>
      <c r="N293" s="6"/>
      <c r="O293" s="6"/>
    </row>
    <row r="294" spans="2:15" ht="12.95" customHeight="1" x14ac:dyDescent="0.3">
      <c r="B294" s="117" t="s">
        <v>66</v>
      </c>
      <c r="C294" s="165"/>
      <c r="D294" s="78" t="s">
        <v>69</v>
      </c>
      <c r="E294" s="24">
        <v>275790</v>
      </c>
      <c r="F294" s="56">
        <v>0.03</v>
      </c>
      <c r="G294" s="5">
        <f t="shared" ref="G294:G295" si="107">TRUNC($E294*F294,1)</f>
        <v>8273.7000000000007</v>
      </c>
      <c r="H294" s="6"/>
      <c r="I294" s="6"/>
      <c r="J294" s="6"/>
      <c r="K294" s="6"/>
      <c r="L294" s="6"/>
      <c r="M294" s="6"/>
      <c r="N294" s="6"/>
      <c r="O294" s="6"/>
    </row>
    <row r="295" spans="2:15" ht="12.95" customHeight="1" x14ac:dyDescent="0.3">
      <c r="B295" s="83" t="s">
        <v>37</v>
      </c>
      <c r="C295" s="92"/>
      <c r="D295" s="110" t="s">
        <v>69</v>
      </c>
      <c r="E295" s="24">
        <v>172068</v>
      </c>
      <c r="F295" s="56">
        <v>0.01</v>
      </c>
      <c r="G295" s="5">
        <f t="shared" si="107"/>
        <v>1720.6</v>
      </c>
      <c r="H295" s="6"/>
      <c r="I295" s="6"/>
      <c r="J295" s="6"/>
      <c r="K295" s="6"/>
      <c r="L295" s="6"/>
      <c r="M295" s="6"/>
      <c r="N295" s="6"/>
      <c r="O295" s="6"/>
    </row>
    <row r="296" spans="2:15" ht="12.95" customHeight="1" x14ac:dyDescent="0.3">
      <c r="B296" s="96" t="s">
        <v>32</v>
      </c>
      <c r="C296" s="119"/>
      <c r="D296" s="41"/>
      <c r="E296" s="119"/>
      <c r="F296" s="119"/>
      <c r="G296" s="41">
        <f>TRUNC(SUM(G294:G295))</f>
        <v>9994</v>
      </c>
      <c r="H296" s="133"/>
      <c r="I296" s="133"/>
      <c r="N296" s="6"/>
      <c r="O296" s="6"/>
    </row>
    <row r="297" spans="2:15" ht="12.95" customHeight="1" x14ac:dyDescent="0.3">
      <c r="B297" s="83"/>
      <c r="C297" s="92"/>
      <c r="D297" s="110"/>
      <c r="E297" s="92"/>
      <c r="F297" s="92"/>
      <c r="G297" s="93"/>
      <c r="H297" s="6"/>
      <c r="I297" s="6"/>
      <c r="J297" s="6"/>
      <c r="K297" s="6"/>
      <c r="L297" s="6"/>
      <c r="M297" s="6"/>
      <c r="N297" s="6"/>
      <c r="O297" s="6"/>
    </row>
    <row r="298" spans="2:15" ht="12.95" customHeight="1" x14ac:dyDescent="0.3">
      <c r="B298" s="154" t="s">
        <v>6</v>
      </c>
      <c r="C298" s="101"/>
      <c r="D298" s="166"/>
      <c r="E298" s="102"/>
      <c r="F298" s="102"/>
      <c r="G298" s="13">
        <f>SUM(G296)</f>
        <v>9994</v>
      </c>
      <c r="H298" s="6"/>
      <c r="I298" s="6"/>
      <c r="J298" s="6"/>
      <c r="K298" s="6"/>
      <c r="L298" s="6"/>
      <c r="M298" s="6"/>
      <c r="N298" s="6"/>
      <c r="O298" s="6"/>
    </row>
    <row r="299" spans="2:15" ht="12.95" customHeight="1" x14ac:dyDescent="0.3"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</row>
    <row r="300" spans="2:15" ht="12.95" customHeight="1" x14ac:dyDescent="0.3">
      <c r="B300" s="14" t="s">
        <v>150</v>
      </c>
      <c r="C300" s="14"/>
      <c r="D300" s="14"/>
      <c r="E300" s="14"/>
      <c r="F300" s="14"/>
      <c r="G300" s="109" t="s">
        <v>25</v>
      </c>
      <c r="H300" s="6"/>
      <c r="I300" s="6"/>
      <c r="J300" s="6"/>
      <c r="K300" s="6"/>
      <c r="L300" s="6"/>
      <c r="M300" s="6"/>
      <c r="N300" s="6"/>
      <c r="O300" s="6"/>
    </row>
    <row r="301" spans="2:15" ht="12.95" customHeight="1" x14ac:dyDescent="0.3">
      <c r="B301" s="242" t="s">
        <v>13</v>
      </c>
      <c r="C301" s="244" t="s">
        <v>67</v>
      </c>
      <c r="D301" s="246" t="s">
        <v>21</v>
      </c>
      <c r="E301" s="237" t="s">
        <v>14</v>
      </c>
      <c r="F301" s="244" t="s">
        <v>15</v>
      </c>
      <c r="G301" s="255" t="s">
        <v>68</v>
      </c>
      <c r="H301" s="6"/>
      <c r="I301" s="6"/>
      <c r="J301" s="6"/>
      <c r="K301" s="6"/>
      <c r="L301" s="6"/>
      <c r="M301" s="6"/>
      <c r="N301" s="6"/>
      <c r="O301" s="6"/>
    </row>
    <row r="302" spans="2:15" ht="12.95" customHeight="1" x14ac:dyDescent="0.3">
      <c r="B302" s="243"/>
      <c r="C302" s="245"/>
      <c r="D302" s="246"/>
      <c r="E302" s="239"/>
      <c r="F302" s="245"/>
      <c r="G302" s="256"/>
      <c r="H302" s="6"/>
      <c r="I302" s="6"/>
      <c r="J302" s="6"/>
      <c r="K302" s="6"/>
      <c r="L302" s="6"/>
      <c r="M302" s="6"/>
      <c r="N302" s="6"/>
      <c r="O302" s="6"/>
    </row>
    <row r="303" spans="2:15" ht="12.95" customHeight="1" x14ac:dyDescent="0.3">
      <c r="B303" s="117" t="s">
        <v>66</v>
      </c>
      <c r="C303" s="165"/>
      <c r="D303" s="78" t="s">
        <v>69</v>
      </c>
      <c r="E303" s="24">
        <v>275790</v>
      </c>
      <c r="F303" s="56">
        <v>0.06</v>
      </c>
      <c r="G303" s="5">
        <f t="shared" ref="G303:G304" si="108">TRUNC($E303*F303,1)</f>
        <v>16547.400000000001</v>
      </c>
      <c r="H303" s="6"/>
      <c r="I303" s="6"/>
      <c r="J303" s="6"/>
      <c r="K303" s="6"/>
      <c r="L303" s="6"/>
      <c r="M303" s="6"/>
      <c r="N303" s="6"/>
      <c r="O303" s="6"/>
    </row>
    <row r="304" spans="2:15" ht="12.95" customHeight="1" x14ac:dyDescent="0.3">
      <c r="B304" s="83" t="s">
        <v>37</v>
      </c>
      <c r="C304" s="92"/>
      <c r="D304" s="110" t="s">
        <v>69</v>
      </c>
      <c r="E304" s="24">
        <v>172068</v>
      </c>
      <c r="F304" s="56">
        <v>0.02</v>
      </c>
      <c r="G304" s="5">
        <f t="shared" si="108"/>
        <v>3441.3</v>
      </c>
      <c r="H304" s="6"/>
      <c r="I304" s="6"/>
      <c r="J304" s="6"/>
      <c r="K304" s="6"/>
      <c r="L304" s="6"/>
      <c r="M304" s="6"/>
      <c r="N304" s="6"/>
      <c r="O304" s="6"/>
    </row>
    <row r="305" spans="2:15" ht="12.95" customHeight="1" x14ac:dyDescent="0.3">
      <c r="B305" s="96" t="s">
        <v>32</v>
      </c>
      <c r="C305" s="119"/>
      <c r="D305" s="41"/>
      <c r="E305" s="119"/>
      <c r="F305" s="119"/>
      <c r="G305" s="41">
        <f>TRUNC(SUM(G303:G304))</f>
        <v>19988</v>
      </c>
      <c r="H305" s="133"/>
      <c r="I305" s="133"/>
      <c r="N305" s="6"/>
      <c r="O305" s="6"/>
    </row>
    <row r="306" spans="2:15" ht="12.95" customHeight="1" x14ac:dyDescent="0.3">
      <c r="B306" s="83"/>
      <c r="C306" s="92"/>
      <c r="D306" s="110"/>
      <c r="E306" s="92"/>
      <c r="F306" s="92"/>
      <c r="G306" s="93"/>
      <c r="H306" s="6"/>
      <c r="I306" s="6"/>
      <c r="J306" s="6"/>
      <c r="K306" s="6"/>
      <c r="L306" s="6"/>
      <c r="M306" s="6"/>
    </row>
    <row r="307" spans="2:15" ht="12.95" customHeight="1" x14ac:dyDescent="0.3">
      <c r="B307" s="154" t="s">
        <v>6</v>
      </c>
      <c r="C307" s="101"/>
      <c r="D307" s="166"/>
      <c r="E307" s="102"/>
      <c r="F307" s="102"/>
      <c r="G307" s="13">
        <f>SUM(G305)</f>
        <v>19988</v>
      </c>
      <c r="H307" s="6"/>
      <c r="I307" s="6"/>
      <c r="J307" s="6"/>
      <c r="K307" s="6"/>
      <c r="L307" s="6"/>
      <c r="M307" s="6"/>
    </row>
    <row r="308" spans="2:15" ht="12.95" customHeight="1" x14ac:dyDescent="0.3"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</row>
    <row r="309" spans="2:15" ht="12.95" customHeight="1" x14ac:dyDescent="0.3">
      <c r="B309" s="167" t="s">
        <v>88</v>
      </c>
      <c r="C309" s="155"/>
      <c r="D309" s="6"/>
      <c r="E309" s="6"/>
      <c r="F309" s="6"/>
      <c r="G309" s="6"/>
      <c r="H309" s="6"/>
      <c r="I309" s="6"/>
      <c r="J309" s="6"/>
      <c r="K309" s="6"/>
      <c r="L309" s="6"/>
      <c r="M309" s="6"/>
    </row>
    <row r="310" spans="2:15" ht="12.95" customHeight="1" x14ac:dyDescent="0.3">
      <c r="B310" s="108" t="s">
        <v>89</v>
      </c>
      <c r="C310" s="108"/>
      <c r="D310" s="14"/>
      <c r="E310" s="14"/>
      <c r="F310" s="14"/>
      <c r="G310" s="14"/>
      <c r="H310" s="14"/>
      <c r="I310" s="14"/>
      <c r="J310" s="109"/>
      <c r="K310" s="109" t="s">
        <v>244</v>
      </c>
      <c r="L310" s="6"/>
      <c r="M310" s="6"/>
    </row>
    <row r="311" spans="2:15" ht="12.95" customHeight="1" x14ac:dyDescent="0.3">
      <c r="B311" s="234" t="s">
        <v>13</v>
      </c>
      <c r="C311" s="237" t="s">
        <v>20</v>
      </c>
      <c r="D311" s="237" t="s">
        <v>21</v>
      </c>
      <c r="E311" s="237" t="s">
        <v>14</v>
      </c>
      <c r="F311" s="150" t="s">
        <v>62</v>
      </c>
      <c r="G311" s="151"/>
      <c r="H311" s="150" t="s">
        <v>63</v>
      </c>
      <c r="I311" s="151"/>
      <c r="J311" s="150" t="s">
        <v>64</v>
      </c>
      <c r="K311" s="150"/>
      <c r="L311" s="6"/>
      <c r="M311" s="6"/>
    </row>
    <row r="312" spans="2:15" ht="12.95" customHeight="1" x14ac:dyDescent="0.3">
      <c r="B312" s="235"/>
      <c r="C312" s="238"/>
      <c r="D312" s="238"/>
      <c r="E312" s="238"/>
      <c r="F312" s="220" t="s">
        <v>245</v>
      </c>
      <c r="G312" s="209">
        <v>55</v>
      </c>
      <c r="H312" s="220" t="s">
        <v>245</v>
      </c>
      <c r="I312" s="209">
        <v>45</v>
      </c>
      <c r="J312" s="220" t="s">
        <v>245</v>
      </c>
      <c r="K312" s="209">
        <v>40</v>
      </c>
    </row>
    <row r="313" spans="2:15" ht="12.95" customHeight="1" x14ac:dyDescent="0.3">
      <c r="B313" s="236"/>
      <c r="C313" s="239"/>
      <c r="D313" s="239"/>
      <c r="E313" s="239"/>
      <c r="F313" s="79" t="s">
        <v>246</v>
      </c>
      <c r="G313" s="80" t="s">
        <v>247</v>
      </c>
      <c r="H313" s="79" t="s">
        <v>246</v>
      </c>
      <c r="I313" s="80" t="s">
        <v>247</v>
      </c>
      <c r="J313" s="79" t="s">
        <v>246</v>
      </c>
      <c r="K313" s="80" t="s">
        <v>247</v>
      </c>
    </row>
    <row r="314" spans="2:15" ht="12.95" customHeight="1" x14ac:dyDescent="0.3">
      <c r="B314" s="83" t="s">
        <v>22</v>
      </c>
      <c r="C314" s="106" t="s">
        <v>24</v>
      </c>
      <c r="D314" s="85" t="s">
        <v>47</v>
      </c>
      <c r="E314" s="86"/>
      <c r="F314" s="37">
        <v>1</v>
      </c>
      <c r="G314" s="8">
        <f>TRUNC(SUM(G317:G318)*0.02,1)</f>
        <v>20357.7</v>
      </c>
      <c r="H314" s="37">
        <v>1</v>
      </c>
      <c r="I314" s="8">
        <f>TRUNC(SUM(I317:I318)*0.02,1)</f>
        <v>20357.7</v>
      </c>
      <c r="J314" s="37">
        <v>1</v>
      </c>
      <c r="K314" s="8">
        <f>TRUNC(SUM(K317:K318)*0.02,1)</f>
        <v>20357.7</v>
      </c>
    </row>
    <row r="315" spans="2:15" ht="12.95" customHeight="1" x14ac:dyDescent="0.3">
      <c r="B315" s="87" t="s">
        <v>31</v>
      </c>
      <c r="C315" s="211"/>
      <c r="D315" s="210"/>
      <c r="E315" s="212"/>
      <c r="F315" s="37"/>
      <c r="G315" s="213">
        <f>TRUNC(SUM(G314:G314))</f>
        <v>20357</v>
      </c>
      <c r="H315" s="37"/>
      <c r="I315" s="213">
        <f>TRUNC(SUM(I314:I314))</f>
        <v>20357</v>
      </c>
      <c r="J315" s="37"/>
      <c r="K315" s="213">
        <f>TRUNC(SUM(K314:K314))</f>
        <v>20357</v>
      </c>
    </row>
    <row r="316" spans="2:15" ht="12.95" customHeight="1" x14ac:dyDescent="0.3">
      <c r="B316" s="214"/>
      <c r="C316" s="211"/>
      <c r="D316" s="210"/>
      <c r="E316" s="212"/>
      <c r="F316" s="37"/>
      <c r="G316" s="215"/>
      <c r="H316" s="37"/>
      <c r="I316" s="215"/>
      <c r="J316" s="37"/>
      <c r="K316" s="215"/>
    </row>
    <row r="317" spans="2:15" ht="12.95" customHeight="1" x14ac:dyDescent="0.3">
      <c r="B317" s="91" t="s">
        <v>30</v>
      </c>
      <c r="C317" s="91"/>
      <c r="D317" s="95" t="s">
        <v>27</v>
      </c>
      <c r="E317" s="82">
        <v>281939</v>
      </c>
      <c r="F317" s="37">
        <v>3</v>
      </c>
      <c r="G317" s="5">
        <f t="shared" ref="G317:G318" si="109">TRUNC($E317*F317,1)</f>
        <v>845817</v>
      </c>
      <c r="H317" s="37">
        <v>3</v>
      </c>
      <c r="I317" s="5">
        <f t="shared" ref="I317:I318" si="110">TRUNC($E317*H317,1)</f>
        <v>845817</v>
      </c>
      <c r="J317" s="37">
        <v>3</v>
      </c>
      <c r="K317" s="5">
        <f t="shared" ref="K317:K318" si="111">TRUNC($E317*J317,1)</f>
        <v>845817</v>
      </c>
    </row>
    <row r="318" spans="2:15" ht="12.95" customHeight="1" x14ac:dyDescent="0.3">
      <c r="B318" s="91" t="s">
        <v>4</v>
      </c>
      <c r="C318" s="91"/>
      <c r="D318" s="95" t="s">
        <v>27</v>
      </c>
      <c r="E318" s="82">
        <v>172068</v>
      </c>
      <c r="F318" s="37">
        <v>1</v>
      </c>
      <c r="G318" s="5">
        <f t="shared" si="109"/>
        <v>172068</v>
      </c>
      <c r="H318" s="37">
        <v>1</v>
      </c>
      <c r="I318" s="5">
        <f t="shared" si="110"/>
        <v>172068</v>
      </c>
      <c r="J318" s="37">
        <v>1</v>
      </c>
      <c r="K318" s="5">
        <f t="shared" si="111"/>
        <v>172068</v>
      </c>
    </row>
    <row r="319" spans="2:15" ht="12.95" customHeight="1" x14ac:dyDescent="0.3">
      <c r="B319" s="96" t="s">
        <v>32</v>
      </c>
      <c r="C319" s="211"/>
      <c r="D319" s="210"/>
      <c r="E319" s="212"/>
      <c r="F319" s="37"/>
      <c r="G319" s="213">
        <f>TRUNC(SUM(G317:G318))</f>
        <v>1017885</v>
      </c>
      <c r="H319" s="37"/>
      <c r="I319" s="213">
        <f>TRUNC(SUM(I317:I318))</f>
        <v>1017885</v>
      </c>
      <c r="J319" s="37"/>
      <c r="K319" s="213">
        <f>TRUNC(SUM(K317:K318))</f>
        <v>1017885</v>
      </c>
    </row>
    <row r="320" spans="2:15" ht="12.95" customHeight="1" x14ac:dyDescent="0.3">
      <c r="B320" s="214"/>
      <c r="C320" s="217"/>
      <c r="D320" s="212"/>
      <c r="E320" s="212"/>
      <c r="F320" s="216"/>
      <c r="G320" s="218"/>
      <c r="H320" s="216"/>
      <c r="I320" s="218"/>
      <c r="J320" s="216"/>
      <c r="K320" s="218"/>
    </row>
    <row r="321" spans="2:14" ht="12.95" customHeight="1" x14ac:dyDescent="0.3">
      <c r="B321" s="219" t="s">
        <v>38</v>
      </c>
      <c r="C321" s="217"/>
      <c r="D321" s="212"/>
      <c r="E321" s="212"/>
      <c r="F321" s="216"/>
      <c r="G321" s="218">
        <f>SUM(G315+G319)</f>
        <v>1038242</v>
      </c>
      <c r="H321" s="216"/>
      <c r="I321" s="218">
        <f>SUM(I315+I319)</f>
        <v>1038242</v>
      </c>
      <c r="J321" s="216"/>
      <c r="K321" s="218">
        <f>SUM(K315+K319)</f>
        <v>1038242</v>
      </c>
      <c r="N321" s="14"/>
    </row>
    <row r="322" spans="2:14" ht="12.95" customHeight="1" x14ac:dyDescent="0.3">
      <c r="B322" s="98" t="s">
        <v>270</v>
      </c>
      <c r="C322" s="99"/>
      <c r="D322" s="100"/>
      <c r="E322" s="101"/>
      <c r="F322" s="102"/>
      <c r="G322" s="9">
        <f>TRUNC((G321/G312))</f>
        <v>18877</v>
      </c>
      <c r="H322" s="102"/>
      <c r="I322" s="9">
        <f>TRUNC((I321/I312))</f>
        <v>23072</v>
      </c>
      <c r="J322" s="102"/>
      <c r="K322" s="9">
        <f>TRUNC((K321/K312))</f>
        <v>25956</v>
      </c>
      <c r="L322" s="14"/>
      <c r="N322" s="14"/>
    </row>
    <row r="323" spans="2:14" ht="12.95" customHeight="1" x14ac:dyDescent="0.3"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14"/>
    </row>
    <row r="324" spans="2:14" ht="12.95" customHeight="1" x14ac:dyDescent="0.3">
      <c r="B324" s="108" t="s">
        <v>271</v>
      </c>
      <c r="C324" s="108"/>
      <c r="D324" s="14"/>
      <c r="E324" s="14"/>
      <c r="F324" s="14"/>
      <c r="G324" s="14"/>
      <c r="H324" s="14"/>
      <c r="I324" s="14"/>
      <c r="J324" s="109"/>
      <c r="K324" s="109" t="s">
        <v>244</v>
      </c>
      <c r="L324" s="6"/>
      <c r="M324" s="6"/>
      <c r="N324" s="14"/>
    </row>
    <row r="325" spans="2:14" ht="12.95" customHeight="1" x14ac:dyDescent="0.3">
      <c r="B325" s="234" t="s">
        <v>13</v>
      </c>
      <c r="C325" s="237" t="s">
        <v>20</v>
      </c>
      <c r="D325" s="237" t="s">
        <v>21</v>
      </c>
      <c r="E325" s="237" t="s">
        <v>14</v>
      </c>
      <c r="F325" s="253" t="s">
        <v>28</v>
      </c>
      <c r="G325" s="254"/>
      <c r="H325" s="254"/>
      <c r="I325" s="254"/>
      <c r="J325" s="254"/>
      <c r="K325" s="254"/>
      <c r="L325" s="6"/>
      <c r="M325" s="6"/>
    </row>
    <row r="326" spans="2:14" ht="12.95" customHeight="1" x14ac:dyDescent="0.3">
      <c r="B326" s="235"/>
      <c r="C326" s="238"/>
      <c r="D326" s="238"/>
      <c r="E326" s="238"/>
      <c r="F326" s="150" t="s">
        <v>62</v>
      </c>
      <c r="G326" s="151"/>
      <c r="H326" s="150" t="s">
        <v>63</v>
      </c>
      <c r="I326" s="151"/>
      <c r="J326" s="150" t="s">
        <v>64</v>
      </c>
      <c r="K326" s="150"/>
      <c r="L326" s="6"/>
      <c r="M326" s="6"/>
    </row>
    <row r="327" spans="2:14" ht="12.95" customHeight="1" x14ac:dyDescent="0.3">
      <c r="B327" s="235"/>
      <c r="C327" s="238"/>
      <c r="D327" s="238"/>
      <c r="E327" s="238"/>
      <c r="F327" s="220" t="s">
        <v>245</v>
      </c>
      <c r="G327" s="209">
        <v>150</v>
      </c>
      <c r="H327" s="220" t="s">
        <v>245</v>
      </c>
      <c r="I327" s="209">
        <v>130</v>
      </c>
      <c r="J327" s="220" t="s">
        <v>245</v>
      </c>
      <c r="K327" s="209">
        <v>110</v>
      </c>
    </row>
    <row r="328" spans="2:14" ht="12.95" customHeight="1" x14ac:dyDescent="0.3">
      <c r="B328" s="236"/>
      <c r="C328" s="239"/>
      <c r="D328" s="239"/>
      <c r="E328" s="239"/>
      <c r="F328" s="79" t="s">
        <v>246</v>
      </c>
      <c r="G328" s="80" t="s">
        <v>247</v>
      </c>
      <c r="H328" s="79" t="s">
        <v>246</v>
      </c>
      <c r="I328" s="80" t="s">
        <v>247</v>
      </c>
      <c r="J328" s="79" t="s">
        <v>246</v>
      </c>
      <c r="K328" s="80" t="s">
        <v>247</v>
      </c>
    </row>
    <row r="329" spans="2:14" ht="12.95" customHeight="1" x14ac:dyDescent="0.3">
      <c r="B329" s="83" t="s">
        <v>22</v>
      </c>
      <c r="C329" s="106" t="s">
        <v>24</v>
      </c>
      <c r="D329" s="85" t="s">
        <v>47</v>
      </c>
      <c r="E329" s="86"/>
      <c r="F329" s="37">
        <v>1</v>
      </c>
      <c r="G329" s="8">
        <f>TRUNC(SUM(G332:G333)*0.02,1)</f>
        <v>25996.400000000001</v>
      </c>
      <c r="H329" s="37">
        <v>1</v>
      </c>
      <c r="I329" s="8">
        <f>TRUNC(SUM(I332:I333)*0.02,1)</f>
        <v>25996.400000000001</v>
      </c>
      <c r="J329" s="37">
        <v>1</v>
      </c>
      <c r="K329" s="8">
        <f>TRUNC(SUM(K332:K333)*0.02,1)</f>
        <v>25996.400000000001</v>
      </c>
    </row>
    <row r="330" spans="2:14" ht="12.95" customHeight="1" x14ac:dyDescent="0.3">
      <c r="B330" s="87" t="s">
        <v>31</v>
      </c>
      <c r="C330" s="211"/>
      <c r="D330" s="210"/>
      <c r="E330" s="212"/>
      <c r="F330" s="37"/>
      <c r="G330" s="213">
        <f>TRUNC(SUM(G329:G329))</f>
        <v>25996</v>
      </c>
      <c r="H330" s="37"/>
      <c r="I330" s="213">
        <f>TRUNC(SUM(I329:I329))</f>
        <v>25996</v>
      </c>
      <c r="J330" s="37"/>
      <c r="K330" s="213">
        <f>TRUNC(SUM(K329:K329))</f>
        <v>25996</v>
      </c>
      <c r="N330" s="6"/>
    </row>
    <row r="331" spans="2:14" ht="12.95" customHeight="1" x14ac:dyDescent="0.3">
      <c r="B331" s="214"/>
      <c r="C331" s="211"/>
      <c r="D331" s="210"/>
      <c r="E331" s="212"/>
      <c r="F331" s="37"/>
      <c r="G331" s="215"/>
      <c r="H331" s="37"/>
      <c r="I331" s="215"/>
      <c r="J331" s="37"/>
      <c r="K331" s="215"/>
      <c r="N331" s="6"/>
    </row>
    <row r="332" spans="2:14" ht="12.95" customHeight="1" x14ac:dyDescent="0.3">
      <c r="B332" s="91" t="s">
        <v>30</v>
      </c>
      <c r="C332" s="91"/>
      <c r="D332" s="95" t="s">
        <v>27</v>
      </c>
      <c r="E332" s="82">
        <v>281939</v>
      </c>
      <c r="F332" s="37">
        <v>4</v>
      </c>
      <c r="G332" s="5">
        <f t="shared" ref="G332:G333" si="112">TRUNC($E332*F332,1)</f>
        <v>1127756</v>
      </c>
      <c r="H332" s="37">
        <v>4</v>
      </c>
      <c r="I332" s="5">
        <f t="shared" ref="I332:I333" si="113">TRUNC($E332*H332,1)</f>
        <v>1127756</v>
      </c>
      <c r="J332" s="37">
        <v>4</v>
      </c>
      <c r="K332" s="5">
        <f t="shared" ref="K332:K333" si="114">TRUNC($E332*J332,1)</f>
        <v>1127756</v>
      </c>
      <c r="N332" s="6"/>
    </row>
    <row r="333" spans="2:14" ht="12.95" customHeight="1" x14ac:dyDescent="0.3">
      <c r="B333" s="91" t="s">
        <v>4</v>
      </c>
      <c r="C333" s="91"/>
      <c r="D333" s="95" t="s">
        <v>27</v>
      </c>
      <c r="E333" s="82">
        <v>172068</v>
      </c>
      <c r="F333" s="37">
        <v>1</v>
      </c>
      <c r="G333" s="5">
        <f t="shared" si="112"/>
        <v>172068</v>
      </c>
      <c r="H333" s="37">
        <v>1</v>
      </c>
      <c r="I333" s="5">
        <f t="shared" si="113"/>
        <v>172068</v>
      </c>
      <c r="J333" s="37">
        <v>1</v>
      </c>
      <c r="K333" s="5">
        <f t="shared" si="114"/>
        <v>172068</v>
      </c>
      <c r="N333" s="6"/>
    </row>
    <row r="334" spans="2:14" ht="12.95" customHeight="1" x14ac:dyDescent="0.3">
      <c r="B334" s="96" t="s">
        <v>32</v>
      </c>
      <c r="C334" s="211"/>
      <c r="D334" s="210"/>
      <c r="E334" s="212"/>
      <c r="F334" s="37"/>
      <c r="G334" s="213">
        <f>TRUNC(SUM(G332:G333))</f>
        <v>1299824</v>
      </c>
      <c r="H334" s="37"/>
      <c r="I334" s="213">
        <f>TRUNC(SUM(I332:I333))</f>
        <v>1299824</v>
      </c>
      <c r="J334" s="37"/>
      <c r="K334" s="213">
        <f>TRUNC(SUM(K332:K333))</f>
        <v>1299824</v>
      </c>
      <c r="N334" s="6"/>
    </row>
    <row r="335" spans="2:14" ht="12.95" customHeight="1" x14ac:dyDescent="0.3">
      <c r="B335" s="214"/>
      <c r="C335" s="217"/>
      <c r="D335" s="212"/>
      <c r="E335" s="212"/>
      <c r="F335" s="216"/>
      <c r="G335" s="218"/>
      <c r="H335" s="216"/>
      <c r="I335" s="218"/>
      <c r="J335" s="216"/>
      <c r="K335" s="218"/>
      <c r="N335" s="6"/>
    </row>
    <row r="336" spans="2:14" ht="12.95" customHeight="1" x14ac:dyDescent="0.3">
      <c r="B336" s="219" t="s">
        <v>38</v>
      </c>
      <c r="C336" s="217"/>
      <c r="D336" s="212"/>
      <c r="E336" s="212"/>
      <c r="F336" s="216"/>
      <c r="G336" s="218">
        <f>SUM(G330+G334)</f>
        <v>1325820</v>
      </c>
      <c r="H336" s="216"/>
      <c r="I336" s="218">
        <f>SUM(I330+I334)</f>
        <v>1325820</v>
      </c>
      <c r="J336" s="216"/>
      <c r="K336" s="218">
        <f>SUM(K330+K334)</f>
        <v>1325820</v>
      </c>
    </row>
    <row r="337" spans="2:15" ht="12.95" customHeight="1" x14ac:dyDescent="0.3">
      <c r="B337" s="98" t="s">
        <v>270</v>
      </c>
      <c r="C337" s="99"/>
      <c r="D337" s="100"/>
      <c r="E337" s="101"/>
      <c r="F337" s="102"/>
      <c r="G337" s="9">
        <f>TRUNC((G336/G327))</f>
        <v>8838</v>
      </c>
      <c r="H337" s="102"/>
      <c r="I337" s="9">
        <f>TRUNC((I336/I327))</f>
        <v>10198</v>
      </c>
      <c r="J337" s="102"/>
      <c r="K337" s="9">
        <f>TRUNC((K336/K327))</f>
        <v>12052</v>
      </c>
      <c r="L337" s="14"/>
    </row>
    <row r="338" spans="2:15" ht="12.95" customHeight="1" x14ac:dyDescent="0.3">
      <c r="B338" s="234" t="s">
        <v>13</v>
      </c>
      <c r="C338" s="237" t="s">
        <v>20</v>
      </c>
      <c r="D338" s="237" t="s">
        <v>21</v>
      </c>
      <c r="E338" s="237" t="s">
        <v>14</v>
      </c>
      <c r="F338" s="253" t="s">
        <v>29</v>
      </c>
      <c r="G338" s="254"/>
      <c r="H338" s="254"/>
      <c r="I338" s="254"/>
      <c r="J338" s="254"/>
      <c r="K338" s="254"/>
      <c r="L338" s="6"/>
      <c r="M338" s="6"/>
      <c r="N338" s="14"/>
    </row>
    <row r="339" spans="2:15" ht="12.95" customHeight="1" x14ac:dyDescent="0.3">
      <c r="B339" s="235"/>
      <c r="C339" s="238"/>
      <c r="D339" s="238"/>
      <c r="E339" s="238"/>
      <c r="F339" s="150" t="s">
        <v>62</v>
      </c>
      <c r="G339" s="151"/>
      <c r="H339" s="150" t="s">
        <v>63</v>
      </c>
      <c r="I339" s="151"/>
      <c r="J339" s="150" t="s">
        <v>64</v>
      </c>
      <c r="K339" s="150"/>
      <c r="L339" s="6"/>
      <c r="M339" s="6"/>
      <c r="N339" s="14"/>
    </row>
    <row r="340" spans="2:15" ht="12.95" customHeight="1" x14ac:dyDescent="0.3">
      <c r="B340" s="235"/>
      <c r="C340" s="238"/>
      <c r="D340" s="238"/>
      <c r="E340" s="238"/>
      <c r="F340" s="220" t="s">
        <v>245</v>
      </c>
      <c r="G340" s="209">
        <v>150</v>
      </c>
      <c r="H340" s="220" t="s">
        <v>245</v>
      </c>
      <c r="I340" s="209">
        <v>130</v>
      </c>
      <c r="J340" s="220" t="s">
        <v>245</v>
      </c>
      <c r="K340" s="209">
        <v>110</v>
      </c>
      <c r="N340" s="14"/>
    </row>
    <row r="341" spans="2:15" ht="12.95" customHeight="1" x14ac:dyDescent="0.3">
      <c r="B341" s="236"/>
      <c r="C341" s="239"/>
      <c r="D341" s="239"/>
      <c r="E341" s="239"/>
      <c r="F341" s="79" t="s">
        <v>246</v>
      </c>
      <c r="G341" s="80" t="s">
        <v>247</v>
      </c>
      <c r="H341" s="79" t="s">
        <v>246</v>
      </c>
      <c r="I341" s="80" t="s">
        <v>247</v>
      </c>
      <c r="J341" s="79" t="s">
        <v>246</v>
      </c>
      <c r="K341" s="80" t="s">
        <v>247</v>
      </c>
      <c r="N341" s="14"/>
    </row>
    <row r="342" spans="2:15" ht="12.95" customHeight="1" x14ac:dyDescent="0.3">
      <c r="B342" s="83" t="s">
        <v>22</v>
      </c>
      <c r="C342" s="106" t="s">
        <v>24</v>
      </c>
      <c r="D342" s="85" t="s">
        <v>47</v>
      </c>
      <c r="E342" s="86"/>
      <c r="F342" s="37">
        <v>1</v>
      </c>
      <c r="G342" s="8">
        <f>TRUNC(SUM(G345:G346)*0.02,1)</f>
        <v>18160.2</v>
      </c>
      <c r="H342" s="37">
        <v>1</v>
      </c>
      <c r="I342" s="8">
        <f>TRUNC(SUM(I345:I346)*0.02,1)</f>
        <v>18160.2</v>
      </c>
      <c r="J342" s="37">
        <v>1</v>
      </c>
      <c r="K342" s="8">
        <f>TRUNC(SUM(K345:K346)*0.02,1)</f>
        <v>18160.2</v>
      </c>
      <c r="N342" s="14"/>
    </row>
    <row r="343" spans="2:15" ht="12.95" customHeight="1" x14ac:dyDescent="0.3">
      <c r="B343" s="87" t="s">
        <v>31</v>
      </c>
      <c r="C343" s="211"/>
      <c r="D343" s="210"/>
      <c r="E343" s="212"/>
      <c r="F343" s="37"/>
      <c r="G343" s="213">
        <f>TRUNC(SUM(G342:G342))</f>
        <v>18160</v>
      </c>
      <c r="H343" s="37"/>
      <c r="I343" s="213">
        <f>TRUNC(SUM(I342:I342))</f>
        <v>18160</v>
      </c>
      <c r="J343" s="37"/>
      <c r="K343" s="213">
        <f>TRUNC(SUM(K342:K342))</f>
        <v>18160</v>
      </c>
      <c r="N343" s="6"/>
    </row>
    <row r="344" spans="2:15" ht="12.95" customHeight="1" x14ac:dyDescent="0.3">
      <c r="B344" s="214"/>
      <c r="C344" s="211"/>
      <c r="D344" s="210"/>
      <c r="E344" s="212"/>
      <c r="F344" s="37"/>
      <c r="G344" s="215"/>
      <c r="H344" s="37"/>
      <c r="I344" s="215"/>
      <c r="J344" s="37"/>
      <c r="K344" s="215"/>
    </row>
    <row r="345" spans="2:15" ht="12.95" customHeight="1" x14ac:dyDescent="0.3">
      <c r="B345" s="91" t="s">
        <v>30</v>
      </c>
      <c r="C345" s="91"/>
      <c r="D345" s="95" t="s">
        <v>27</v>
      </c>
      <c r="E345" s="82">
        <v>281939</v>
      </c>
      <c r="F345" s="37">
        <v>2</v>
      </c>
      <c r="G345" s="5">
        <f t="shared" ref="G345:G346" si="115">TRUNC($E345*F345,1)</f>
        <v>563878</v>
      </c>
      <c r="H345" s="37">
        <v>2</v>
      </c>
      <c r="I345" s="5">
        <f t="shared" ref="I345:I346" si="116">TRUNC($E345*H345,1)</f>
        <v>563878</v>
      </c>
      <c r="J345" s="37">
        <v>2</v>
      </c>
      <c r="K345" s="5">
        <f t="shared" ref="K345:K346" si="117">TRUNC($E345*J345,1)</f>
        <v>563878</v>
      </c>
      <c r="N345" s="39"/>
      <c r="O345" s="6"/>
    </row>
    <row r="346" spans="2:15" ht="12.95" customHeight="1" x14ac:dyDescent="0.3">
      <c r="B346" s="91" t="s">
        <v>4</v>
      </c>
      <c r="C346" s="91"/>
      <c r="D346" s="95" t="s">
        <v>27</v>
      </c>
      <c r="E346" s="82">
        <v>172068</v>
      </c>
      <c r="F346" s="37">
        <v>2</v>
      </c>
      <c r="G346" s="5">
        <f t="shared" si="115"/>
        <v>344136</v>
      </c>
      <c r="H346" s="37">
        <v>2</v>
      </c>
      <c r="I346" s="5">
        <f t="shared" si="116"/>
        <v>344136</v>
      </c>
      <c r="J346" s="37">
        <v>2</v>
      </c>
      <c r="K346" s="5">
        <f t="shared" si="117"/>
        <v>344136</v>
      </c>
      <c r="N346" s="39"/>
      <c r="O346" s="6"/>
    </row>
    <row r="347" spans="2:15" ht="12.95" customHeight="1" x14ac:dyDescent="0.3">
      <c r="B347" s="96" t="s">
        <v>32</v>
      </c>
      <c r="C347" s="211"/>
      <c r="D347" s="210"/>
      <c r="E347" s="212"/>
      <c r="F347" s="37"/>
      <c r="G347" s="213">
        <f>TRUNC(SUM(G345:G346))</f>
        <v>908014</v>
      </c>
      <c r="H347" s="37"/>
      <c r="I347" s="213">
        <f>TRUNC(SUM(I345:I346))</f>
        <v>908014</v>
      </c>
      <c r="J347" s="37"/>
      <c r="K347" s="213">
        <f>TRUNC(SUM(K345:K346))</f>
        <v>908014</v>
      </c>
      <c r="N347" s="39"/>
      <c r="O347" s="6"/>
    </row>
    <row r="348" spans="2:15" ht="12.95" customHeight="1" x14ac:dyDescent="0.3">
      <c r="B348" s="214"/>
      <c r="C348" s="217"/>
      <c r="D348" s="212"/>
      <c r="E348" s="212"/>
      <c r="F348" s="216"/>
      <c r="G348" s="218"/>
      <c r="H348" s="216"/>
      <c r="I348" s="218"/>
      <c r="J348" s="216"/>
      <c r="K348" s="218"/>
      <c r="N348" s="39"/>
      <c r="O348" s="6"/>
    </row>
    <row r="349" spans="2:15" ht="12.95" customHeight="1" x14ac:dyDescent="0.3">
      <c r="B349" s="219" t="s">
        <v>38</v>
      </c>
      <c r="C349" s="217"/>
      <c r="D349" s="212"/>
      <c r="E349" s="212"/>
      <c r="F349" s="216"/>
      <c r="G349" s="218">
        <f>SUM(G343+G347)</f>
        <v>926174</v>
      </c>
      <c r="H349" s="216"/>
      <c r="I349" s="218">
        <f>SUM(I343+I347)</f>
        <v>926174</v>
      </c>
      <c r="J349" s="216"/>
      <c r="K349" s="218">
        <f>SUM(K343+K347)</f>
        <v>926174</v>
      </c>
      <c r="N349" s="39"/>
      <c r="O349" s="6"/>
    </row>
    <row r="350" spans="2:15" ht="12.95" customHeight="1" x14ac:dyDescent="0.3">
      <c r="B350" s="98" t="s">
        <v>270</v>
      </c>
      <c r="C350" s="99"/>
      <c r="D350" s="100"/>
      <c r="E350" s="101"/>
      <c r="F350" s="102"/>
      <c r="G350" s="9">
        <f>TRUNC((G349/G340))</f>
        <v>6174</v>
      </c>
      <c r="H350" s="102"/>
      <c r="I350" s="9">
        <f>TRUNC((I349/I340))</f>
        <v>7124</v>
      </c>
      <c r="J350" s="102"/>
      <c r="K350" s="9">
        <f>TRUNC((K349/K340))</f>
        <v>8419</v>
      </c>
      <c r="L350" s="14"/>
      <c r="N350" s="39"/>
      <c r="O350" s="6"/>
    </row>
    <row r="351" spans="2:15" ht="12.95" customHeight="1" x14ac:dyDescent="0.3"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14"/>
      <c r="M351" s="14"/>
      <c r="N351" s="39"/>
      <c r="O351" s="6"/>
    </row>
    <row r="352" spans="2:15" ht="12.95" customHeight="1" x14ac:dyDescent="0.3">
      <c r="B352" s="108" t="s">
        <v>275</v>
      </c>
      <c r="C352" s="108"/>
      <c r="D352" s="14"/>
      <c r="E352" s="14"/>
      <c r="F352" s="14"/>
      <c r="G352" s="14"/>
      <c r="H352" s="14"/>
      <c r="I352" s="14"/>
      <c r="J352" s="109"/>
      <c r="K352" s="109" t="s">
        <v>244</v>
      </c>
      <c r="L352" s="6"/>
      <c r="M352" s="6"/>
      <c r="N352" s="39"/>
      <c r="O352" s="6"/>
    </row>
    <row r="353" spans="2:16" ht="12.95" customHeight="1" x14ac:dyDescent="0.3">
      <c r="B353" s="234" t="s">
        <v>13</v>
      </c>
      <c r="C353" s="237" t="s">
        <v>20</v>
      </c>
      <c r="D353" s="237" t="s">
        <v>21</v>
      </c>
      <c r="E353" s="237" t="s">
        <v>14</v>
      </c>
      <c r="F353" s="253" t="s">
        <v>28</v>
      </c>
      <c r="G353" s="254"/>
      <c r="H353" s="254"/>
      <c r="I353" s="254"/>
      <c r="J353" s="254"/>
      <c r="K353" s="254"/>
      <c r="L353" s="6"/>
      <c r="M353" s="6"/>
      <c r="N353" s="39"/>
      <c r="O353" s="6"/>
    </row>
    <row r="354" spans="2:16" ht="12.95" customHeight="1" x14ac:dyDescent="0.3">
      <c r="B354" s="235"/>
      <c r="C354" s="238"/>
      <c r="D354" s="238"/>
      <c r="E354" s="238"/>
      <c r="F354" s="150" t="s">
        <v>62</v>
      </c>
      <c r="G354" s="151"/>
      <c r="H354" s="150" t="s">
        <v>63</v>
      </c>
      <c r="I354" s="151"/>
      <c r="J354" s="150" t="s">
        <v>64</v>
      </c>
      <c r="K354" s="150"/>
      <c r="L354" s="6"/>
      <c r="M354" s="6"/>
      <c r="N354" s="14"/>
      <c r="O354" s="39"/>
      <c r="P354" s="6"/>
    </row>
    <row r="355" spans="2:16" ht="12.95" customHeight="1" x14ac:dyDescent="0.3">
      <c r="B355" s="235"/>
      <c r="C355" s="238"/>
      <c r="D355" s="238"/>
      <c r="E355" s="238"/>
      <c r="F355" s="220" t="s">
        <v>245</v>
      </c>
      <c r="G355" s="209">
        <v>180</v>
      </c>
      <c r="H355" s="220" t="s">
        <v>245</v>
      </c>
      <c r="I355" s="209">
        <v>150</v>
      </c>
      <c r="J355" s="220" t="s">
        <v>245</v>
      </c>
      <c r="K355" s="209">
        <v>130</v>
      </c>
      <c r="N355" s="14"/>
      <c r="O355" s="39"/>
      <c r="P355" s="6"/>
    </row>
    <row r="356" spans="2:16" ht="12.95" customHeight="1" x14ac:dyDescent="0.3">
      <c r="B356" s="236"/>
      <c r="C356" s="239"/>
      <c r="D356" s="239"/>
      <c r="E356" s="239"/>
      <c r="F356" s="79" t="s">
        <v>246</v>
      </c>
      <c r="G356" s="80" t="s">
        <v>247</v>
      </c>
      <c r="H356" s="79" t="s">
        <v>246</v>
      </c>
      <c r="I356" s="80" t="s">
        <v>247</v>
      </c>
      <c r="J356" s="79" t="s">
        <v>246</v>
      </c>
      <c r="K356" s="80" t="s">
        <v>247</v>
      </c>
      <c r="N356" s="14"/>
      <c r="O356" s="39"/>
      <c r="P356" s="6"/>
    </row>
    <row r="357" spans="2:16" ht="12.95" customHeight="1" x14ac:dyDescent="0.3">
      <c r="B357" s="83" t="s">
        <v>22</v>
      </c>
      <c r="C357" s="106" t="s">
        <v>24</v>
      </c>
      <c r="D357" s="85" t="s">
        <v>47</v>
      </c>
      <c r="E357" s="86"/>
      <c r="F357" s="37">
        <v>1</v>
      </c>
      <c r="G357" s="8">
        <f>TRUNC(SUM(G360:G361)*0.02,1)</f>
        <v>25996.400000000001</v>
      </c>
      <c r="H357" s="37">
        <v>1</v>
      </c>
      <c r="I357" s="8">
        <f>TRUNC(SUM(I360:I361)*0.02,1)</f>
        <v>25996.400000000001</v>
      </c>
      <c r="J357" s="37">
        <v>1</v>
      </c>
      <c r="K357" s="8">
        <f>TRUNC(SUM(K360:K361)*0.02,1)</f>
        <v>25996.400000000001</v>
      </c>
      <c r="N357" s="14"/>
      <c r="O357" s="25"/>
      <c r="P357" s="6"/>
    </row>
    <row r="358" spans="2:16" ht="12.95" customHeight="1" x14ac:dyDescent="0.3">
      <c r="B358" s="87" t="s">
        <v>31</v>
      </c>
      <c r="C358" s="211"/>
      <c r="D358" s="210"/>
      <c r="E358" s="212"/>
      <c r="F358" s="37"/>
      <c r="G358" s="213">
        <f>TRUNC(SUM(G357:G357))</f>
        <v>25996</v>
      </c>
      <c r="H358" s="37"/>
      <c r="I358" s="213">
        <f>TRUNC(SUM(I357:I357))</f>
        <v>25996</v>
      </c>
      <c r="J358" s="37"/>
      <c r="K358" s="213">
        <f>TRUNC(SUM(K357:K357))</f>
        <v>25996</v>
      </c>
      <c r="N358" s="14"/>
      <c r="O358" s="25"/>
      <c r="P358" s="6"/>
    </row>
    <row r="359" spans="2:16" ht="12.95" customHeight="1" x14ac:dyDescent="0.3">
      <c r="B359" s="214"/>
      <c r="C359" s="211"/>
      <c r="D359" s="210"/>
      <c r="E359" s="212"/>
      <c r="F359" s="37"/>
      <c r="G359" s="215"/>
      <c r="H359" s="37"/>
      <c r="I359" s="215"/>
      <c r="J359" s="37"/>
      <c r="K359" s="215"/>
      <c r="N359" s="6"/>
      <c r="O359" s="26"/>
      <c r="P359" s="6"/>
    </row>
    <row r="360" spans="2:16" ht="12.95" customHeight="1" x14ac:dyDescent="0.3">
      <c r="B360" s="91" t="s">
        <v>30</v>
      </c>
      <c r="C360" s="91"/>
      <c r="D360" s="95" t="s">
        <v>27</v>
      </c>
      <c r="E360" s="82">
        <v>281939</v>
      </c>
      <c r="F360" s="37">
        <v>4</v>
      </c>
      <c r="G360" s="5">
        <f t="shared" ref="G360:G361" si="118">TRUNC($E360*F360,1)</f>
        <v>1127756</v>
      </c>
      <c r="H360" s="37">
        <v>4</v>
      </c>
      <c r="I360" s="5">
        <f t="shared" ref="I360:I361" si="119">TRUNC($E360*H360,1)</f>
        <v>1127756</v>
      </c>
      <c r="J360" s="37">
        <v>4</v>
      </c>
      <c r="K360" s="5">
        <f t="shared" ref="K360:K361" si="120">TRUNC($E360*J360,1)</f>
        <v>1127756</v>
      </c>
      <c r="N360" s="26"/>
      <c r="O360" s="6"/>
    </row>
    <row r="361" spans="2:16" ht="12.95" customHeight="1" x14ac:dyDescent="0.3">
      <c r="B361" s="91" t="s">
        <v>4</v>
      </c>
      <c r="C361" s="91"/>
      <c r="D361" s="95" t="s">
        <v>27</v>
      </c>
      <c r="E361" s="82">
        <v>172068</v>
      </c>
      <c r="F361" s="37">
        <v>1</v>
      </c>
      <c r="G361" s="5">
        <f t="shared" si="118"/>
        <v>172068</v>
      </c>
      <c r="H361" s="37">
        <v>1</v>
      </c>
      <c r="I361" s="5">
        <f t="shared" si="119"/>
        <v>172068</v>
      </c>
      <c r="J361" s="37">
        <v>1</v>
      </c>
      <c r="K361" s="5">
        <f t="shared" si="120"/>
        <v>172068</v>
      </c>
      <c r="N361" s="6"/>
      <c r="O361" s="26"/>
      <c r="P361" s="6"/>
    </row>
    <row r="362" spans="2:16" ht="12.95" customHeight="1" x14ac:dyDescent="0.3">
      <c r="B362" s="96" t="s">
        <v>32</v>
      </c>
      <c r="C362" s="211"/>
      <c r="D362" s="210"/>
      <c r="E362" s="212"/>
      <c r="F362" s="37"/>
      <c r="G362" s="213">
        <f>TRUNC(SUM(G360:G361))</f>
        <v>1299824</v>
      </c>
      <c r="H362" s="37"/>
      <c r="I362" s="213">
        <f>TRUNC(SUM(I360:I361))</f>
        <v>1299824</v>
      </c>
      <c r="J362" s="37"/>
      <c r="K362" s="213">
        <f>TRUNC(SUM(K360:K361))</f>
        <v>1299824</v>
      </c>
      <c r="N362" s="6"/>
      <c r="O362" s="26"/>
      <c r="P362" s="6"/>
    </row>
    <row r="363" spans="2:16" ht="12.95" customHeight="1" x14ac:dyDescent="0.3">
      <c r="B363" s="214"/>
      <c r="C363" s="217"/>
      <c r="D363" s="212"/>
      <c r="E363" s="212"/>
      <c r="F363" s="216"/>
      <c r="G363" s="218"/>
      <c r="H363" s="216"/>
      <c r="I363" s="218"/>
      <c r="J363" s="216"/>
      <c r="K363" s="218"/>
      <c r="N363" s="6"/>
      <c r="O363" s="26"/>
      <c r="P363" s="6"/>
    </row>
    <row r="364" spans="2:16" ht="12.95" customHeight="1" x14ac:dyDescent="0.3">
      <c r="B364" s="211" t="s">
        <v>273</v>
      </c>
      <c r="C364" s="223" t="s">
        <v>274</v>
      </c>
      <c r="D364" s="224" t="s">
        <v>113</v>
      </c>
      <c r="E364" s="38">
        <v>0</v>
      </c>
      <c r="F364" s="37">
        <v>4</v>
      </c>
      <c r="G364" s="5">
        <f t="shared" ref="G364" si="121">TRUNC($E364*F364,1)</f>
        <v>0</v>
      </c>
      <c r="H364" s="37">
        <v>4</v>
      </c>
      <c r="I364" s="5">
        <f t="shared" ref="I364" si="122">TRUNC($E364*H364,1)</f>
        <v>0</v>
      </c>
      <c r="J364" s="37">
        <v>4</v>
      </c>
      <c r="K364" s="5">
        <f t="shared" ref="K364" si="123">TRUNC($E364*J364,1)</f>
        <v>0</v>
      </c>
      <c r="N364" s="6"/>
      <c r="O364" s="27"/>
      <c r="P364" s="6"/>
    </row>
    <row r="365" spans="2:16" ht="12.95" customHeight="1" x14ac:dyDescent="0.3">
      <c r="B365" s="87" t="s">
        <v>33</v>
      </c>
      <c r="C365" s="221"/>
      <c r="D365" s="221"/>
      <c r="E365" s="225"/>
      <c r="F365" s="222"/>
      <c r="G365" s="213">
        <f>TRUNC(SUM(G364:G364))</f>
        <v>0</v>
      </c>
      <c r="H365" s="222"/>
      <c r="I365" s="213">
        <f>TRUNC(SUM(I364:I364))</f>
        <v>0</v>
      </c>
      <c r="J365" s="222"/>
      <c r="K365" s="213">
        <f>TRUNC(SUM(K364:K364))</f>
        <v>0</v>
      </c>
      <c r="N365" s="6"/>
      <c r="O365" s="25"/>
      <c r="P365" s="6"/>
    </row>
    <row r="366" spans="2:16" ht="12.95" customHeight="1" x14ac:dyDescent="0.3">
      <c r="B366" s="91"/>
      <c r="C366" s="211"/>
      <c r="D366" s="211"/>
      <c r="E366" s="212"/>
      <c r="F366" s="216"/>
      <c r="G366" s="226"/>
      <c r="H366" s="216"/>
      <c r="I366" s="226"/>
      <c r="J366" s="216"/>
      <c r="K366" s="226"/>
      <c r="N366" s="6"/>
    </row>
    <row r="367" spans="2:16" ht="12.95" customHeight="1" x14ac:dyDescent="0.3">
      <c r="B367" s="219" t="s">
        <v>38</v>
      </c>
      <c r="C367" s="217"/>
      <c r="D367" s="212"/>
      <c r="E367" s="212"/>
      <c r="F367" s="216"/>
      <c r="G367" s="218">
        <f>SUM(G358+G362+G365)</f>
        <v>1325820</v>
      </c>
      <c r="H367" s="216"/>
      <c r="I367" s="218">
        <f>SUM(I358+I362+I365)</f>
        <v>1325820</v>
      </c>
      <c r="J367" s="216"/>
      <c r="K367" s="218">
        <f>SUM(K358+K362+K365)</f>
        <v>1325820</v>
      </c>
      <c r="N367" s="6"/>
    </row>
    <row r="368" spans="2:16" ht="12.95" customHeight="1" x14ac:dyDescent="0.3">
      <c r="B368" s="98" t="s">
        <v>270</v>
      </c>
      <c r="C368" s="99"/>
      <c r="D368" s="100"/>
      <c r="E368" s="101"/>
      <c r="F368" s="102"/>
      <c r="G368" s="9">
        <f>TRUNC((G367/G355))</f>
        <v>7365</v>
      </c>
      <c r="H368" s="102"/>
      <c r="I368" s="9">
        <f>TRUNC((I367/I355))</f>
        <v>8838</v>
      </c>
      <c r="J368" s="102"/>
      <c r="K368" s="9">
        <f>TRUNC((K367/K355))</f>
        <v>10198</v>
      </c>
      <c r="L368" s="14"/>
      <c r="N368" s="6"/>
    </row>
    <row r="369" spans="2:14" ht="12.95" customHeight="1" x14ac:dyDescent="0.3">
      <c r="B369" s="234" t="s">
        <v>13</v>
      </c>
      <c r="C369" s="237" t="s">
        <v>20</v>
      </c>
      <c r="D369" s="237" t="s">
        <v>21</v>
      </c>
      <c r="E369" s="237" t="s">
        <v>14</v>
      </c>
      <c r="F369" s="253" t="s">
        <v>29</v>
      </c>
      <c r="G369" s="254"/>
      <c r="H369" s="254"/>
      <c r="I369" s="254"/>
      <c r="J369" s="254"/>
      <c r="K369" s="254"/>
      <c r="L369" s="6"/>
      <c r="M369" s="6"/>
      <c r="N369" s="6"/>
    </row>
    <row r="370" spans="2:14" ht="12.95" customHeight="1" x14ac:dyDescent="0.3">
      <c r="B370" s="235"/>
      <c r="C370" s="238"/>
      <c r="D370" s="238"/>
      <c r="E370" s="238"/>
      <c r="F370" s="150" t="s">
        <v>62</v>
      </c>
      <c r="G370" s="151"/>
      <c r="H370" s="150" t="s">
        <v>63</v>
      </c>
      <c r="I370" s="151"/>
      <c r="J370" s="150" t="s">
        <v>64</v>
      </c>
      <c r="K370" s="150"/>
      <c r="L370" s="6"/>
      <c r="M370" s="6"/>
      <c r="N370" s="6"/>
    </row>
    <row r="371" spans="2:14" ht="12.95" customHeight="1" x14ac:dyDescent="0.3">
      <c r="B371" s="235"/>
      <c r="C371" s="238"/>
      <c r="D371" s="238"/>
      <c r="E371" s="238"/>
      <c r="F371" s="220" t="s">
        <v>245</v>
      </c>
      <c r="G371" s="209">
        <v>190</v>
      </c>
      <c r="H371" s="220" t="s">
        <v>245</v>
      </c>
      <c r="I371" s="209">
        <v>160</v>
      </c>
      <c r="J371" s="220" t="s">
        <v>245</v>
      </c>
      <c r="K371" s="209">
        <v>140</v>
      </c>
      <c r="N371" s="6"/>
    </row>
    <row r="372" spans="2:14" ht="12.95" customHeight="1" x14ac:dyDescent="0.3">
      <c r="B372" s="236"/>
      <c r="C372" s="239"/>
      <c r="D372" s="239"/>
      <c r="E372" s="239"/>
      <c r="F372" s="79" t="s">
        <v>246</v>
      </c>
      <c r="G372" s="80" t="s">
        <v>247</v>
      </c>
      <c r="H372" s="79" t="s">
        <v>246</v>
      </c>
      <c r="I372" s="80" t="s">
        <v>247</v>
      </c>
      <c r="J372" s="79" t="s">
        <v>246</v>
      </c>
      <c r="K372" s="80" t="s">
        <v>247</v>
      </c>
      <c r="N372" s="6"/>
    </row>
    <row r="373" spans="2:14" ht="12.95" customHeight="1" x14ac:dyDescent="0.3">
      <c r="B373" s="83" t="s">
        <v>22</v>
      </c>
      <c r="C373" s="106" t="s">
        <v>24</v>
      </c>
      <c r="D373" s="85" t="s">
        <v>47</v>
      </c>
      <c r="E373" s="86"/>
      <c r="F373" s="37">
        <v>1</v>
      </c>
      <c r="G373" s="8">
        <f>TRUNC(SUM(G376:G377)*0.02,1)</f>
        <v>18160.2</v>
      </c>
      <c r="H373" s="37">
        <v>1</v>
      </c>
      <c r="I373" s="8">
        <f>TRUNC(SUM(I376:I377)*0.02,1)</f>
        <v>18160.2</v>
      </c>
      <c r="J373" s="37">
        <v>1</v>
      </c>
      <c r="K373" s="8">
        <f>TRUNC(SUM(K376:K377)*0.02,1)</f>
        <v>18160.2</v>
      </c>
      <c r="N373" s="6"/>
    </row>
    <row r="374" spans="2:14" ht="12.95" customHeight="1" x14ac:dyDescent="0.3">
      <c r="B374" s="87" t="s">
        <v>31</v>
      </c>
      <c r="C374" s="211"/>
      <c r="D374" s="210"/>
      <c r="E374" s="212"/>
      <c r="F374" s="37"/>
      <c r="G374" s="213">
        <f>TRUNC(SUM(G373:G373))</f>
        <v>18160</v>
      </c>
      <c r="H374" s="37"/>
      <c r="I374" s="213">
        <f>TRUNC(SUM(I373:I373))</f>
        <v>18160</v>
      </c>
      <c r="J374" s="37"/>
      <c r="K374" s="213">
        <f>TRUNC(SUM(K373:K373))</f>
        <v>18160</v>
      </c>
      <c r="N374" s="6"/>
    </row>
    <row r="375" spans="2:14" ht="12.95" customHeight="1" x14ac:dyDescent="0.3">
      <c r="B375" s="214"/>
      <c r="C375" s="211"/>
      <c r="D375" s="210"/>
      <c r="E375" s="212"/>
      <c r="F375" s="37"/>
      <c r="G375" s="215"/>
      <c r="H375" s="37"/>
      <c r="I375" s="215"/>
      <c r="J375" s="37"/>
      <c r="K375" s="215"/>
      <c r="N375" s="6"/>
    </row>
    <row r="376" spans="2:14" ht="12.95" customHeight="1" x14ac:dyDescent="0.3">
      <c r="B376" s="91" t="s">
        <v>30</v>
      </c>
      <c r="C376" s="91"/>
      <c r="D376" s="95" t="s">
        <v>27</v>
      </c>
      <c r="E376" s="82">
        <v>281939</v>
      </c>
      <c r="F376" s="37">
        <v>2</v>
      </c>
      <c r="G376" s="5">
        <f t="shared" ref="G376:G377" si="124">TRUNC($E376*F376,1)</f>
        <v>563878</v>
      </c>
      <c r="H376" s="37">
        <v>2</v>
      </c>
      <c r="I376" s="5">
        <f t="shared" ref="I376:I377" si="125">TRUNC($E376*H376,1)</f>
        <v>563878</v>
      </c>
      <c r="J376" s="37">
        <v>2</v>
      </c>
      <c r="K376" s="5">
        <f t="shared" ref="K376:K377" si="126">TRUNC($E376*J376,1)</f>
        <v>563878</v>
      </c>
      <c r="N376" s="6"/>
    </row>
    <row r="377" spans="2:14" ht="12.95" customHeight="1" x14ac:dyDescent="0.3">
      <c r="B377" s="91" t="s">
        <v>4</v>
      </c>
      <c r="C377" s="91"/>
      <c r="D377" s="95" t="s">
        <v>27</v>
      </c>
      <c r="E377" s="82">
        <v>172068</v>
      </c>
      <c r="F377" s="37">
        <v>2</v>
      </c>
      <c r="G377" s="5">
        <f t="shared" si="124"/>
        <v>344136</v>
      </c>
      <c r="H377" s="37">
        <v>2</v>
      </c>
      <c r="I377" s="5">
        <f t="shared" si="125"/>
        <v>344136</v>
      </c>
      <c r="J377" s="37">
        <v>2</v>
      </c>
      <c r="K377" s="5">
        <f t="shared" si="126"/>
        <v>344136</v>
      </c>
      <c r="N377" s="6"/>
    </row>
    <row r="378" spans="2:14" ht="12.95" customHeight="1" x14ac:dyDescent="0.3">
      <c r="B378" s="96" t="s">
        <v>32</v>
      </c>
      <c r="C378" s="211"/>
      <c r="D378" s="210"/>
      <c r="E378" s="212"/>
      <c r="F378" s="37"/>
      <c r="G378" s="213">
        <f>TRUNC(SUM(G376:G377))</f>
        <v>908014</v>
      </c>
      <c r="H378" s="37"/>
      <c r="I378" s="213">
        <f>TRUNC(SUM(I376:I377))</f>
        <v>908014</v>
      </c>
      <c r="J378" s="37"/>
      <c r="K378" s="213">
        <f>TRUNC(SUM(K376:K377))</f>
        <v>908014</v>
      </c>
      <c r="N378" s="6"/>
    </row>
    <row r="379" spans="2:14" ht="12.95" customHeight="1" x14ac:dyDescent="0.3">
      <c r="B379" s="214"/>
      <c r="C379" s="217"/>
      <c r="D379" s="212"/>
      <c r="E379" s="212"/>
      <c r="F379" s="216"/>
      <c r="G379" s="218"/>
      <c r="H379" s="216"/>
      <c r="I379" s="218"/>
      <c r="J379" s="216"/>
      <c r="K379" s="218"/>
    </row>
    <row r="380" spans="2:14" ht="12.95" customHeight="1" x14ac:dyDescent="0.3">
      <c r="B380" s="211" t="s">
        <v>273</v>
      </c>
      <c r="C380" s="223" t="s">
        <v>274</v>
      </c>
      <c r="D380" s="224" t="s">
        <v>113</v>
      </c>
      <c r="E380" s="38">
        <v>0</v>
      </c>
      <c r="F380" s="37">
        <v>4</v>
      </c>
      <c r="G380" s="5">
        <f t="shared" ref="G380" si="127">TRUNC($E380*F380,1)</f>
        <v>0</v>
      </c>
      <c r="H380" s="37">
        <v>4</v>
      </c>
      <c r="I380" s="5">
        <f t="shared" ref="I380" si="128">TRUNC($E380*H380,1)</f>
        <v>0</v>
      </c>
      <c r="J380" s="37">
        <v>4</v>
      </c>
      <c r="K380" s="5">
        <f t="shared" ref="K380" si="129">TRUNC($E380*J380,1)</f>
        <v>0</v>
      </c>
    </row>
    <row r="381" spans="2:14" ht="12.95" customHeight="1" x14ac:dyDescent="0.3">
      <c r="B381" s="87" t="s">
        <v>33</v>
      </c>
      <c r="C381" s="221"/>
      <c r="D381" s="221"/>
      <c r="E381" s="225"/>
      <c r="F381" s="222"/>
      <c r="G381" s="213">
        <f>TRUNC(SUM(G380:G380))</f>
        <v>0</v>
      </c>
      <c r="H381" s="222"/>
      <c r="I381" s="213">
        <f>TRUNC(SUM(I380:I380))</f>
        <v>0</v>
      </c>
      <c r="J381" s="222"/>
      <c r="K381" s="213">
        <f>TRUNC(SUM(K380:K380))</f>
        <v>0</v>
      </c>
    </row>
    <row r="382" spans="2:14" ht="12.95" customHeight="1" x14ac:dyDescent="0.3">
      <c r="B382" s="91"/>
      <c r="C382" s="211"/>
      <c r="D382" s="211"/>
      <c r="E382" s="212"/>
      <c r="F382" s="216"/>
      <c r="G382" s="226"/>
      <c r="H382" s="216"/>
      <c r="I382" s="226"/>
      <c r="J382" s="216"/>
      <c r="K382" s="226"/>
    </row>
    <row r="383" spans="2:14" ht="12.95" customHeight="1" x14ac:dyDescent="0.3">
      <c r="B383" s="219" t="s">
        <v>38</v>
      </c>
      <c r="C383" s="217"/>
      <c r="D383" s="212"/>
      <c r="E383" s="212"/>
      <c r="F383" s="216"/>
      <c r="G383" s="218">
        <f>SUM(G374+G378+G381)</f>
        <v>926174</v>
      </c>
      <c r="H383" s="216"/>
      <c r="I383" s="218">
        <f>SUM(I374+I378+I381)</f>
        <v>926174</v>
      </c>
      <c r="J383" s="216"/>
      <c r="K383" s="218">
        <f>SUM(K374+K378+K381)</f>
        <v>926174</v>
      </c>
    </row>
    <row r="384" spans="2:14" ht="12.95" customHeight="1" x14ac:dyDescent="0.3">
      <c r="B384" s="98" t="s">
        <v>270</v>
      </c>
      <c r="C384" s="99"/>
      <c r="D384" s="100"/>
      <c r="E384" s="101"/>
      <c r="F384" s="102"/>
      <c r="G384" s="9">
        <f>TRUNC((G383/G371))</f>
        <v>4874</v>
      </c>
      <c r="H384" s="102"/>
      <c r="I384" s="9">
        <f>TRUNC((I383/I371))</f>
        <v>5788</v>
      </c>
      <c r="J384" s="102"/>
      <c r="K384" s="9">
        <f>TRUNC((K383/K371))</f>
        <v>6615</v>
      </c>
      <c r="L384" s="14"/>
    </row>
    <row r="385" spans="2:13" ht="12.95" customHeight="1" x14ac:dyDescent="0.3">
      <c r="B385" s="6" t="s">
        <v>311</v>
      </c>
      <c r="C385" s="6"/>
      <c r="D385" s="6"/>
      <c r="E385" s="6"/>
      <c r="F385" s="6"/>
      <c r="G385" s="6"/>
      <c r="H385" s="6"/>
      <c r="I385" s="6"/>
      <c r="J385" s="6"/>
      <c r="K385" s="6"/>
      <c r="L385" s="14"/>
      <c r="M385" s="14"/>
    </row>
    <row r="386" spans="2:13" ht="12.95" customHeight="1" x14ac:dyDescent="0.3">
      <c r="B386" s="108"/>
      <c r="C386" s="108"/>
      <c r="D386" s="14"/>
      <c r="E386" s="14"/>
      <c r="F386" s="14"/>
      <c r="G386" s="14"/>
      <c r="H386" s="109"/>
      <c r="I386" s="109"/>
      <c r="J386" s="6"/>
      <c r="K386" s="6"/>
      <c r="L386" s="14"/>
      <c r="M386" s="14"/>
    </row>
    <row r="387" spans="2:13" ht="12.95" customHeight="1" x14ac:dyDescent="0.3">
      <c r="B387" s="108" t="s">
        <v>272</v>
      </c>
      <c r="C387" s="108"/>
      <c r="D387" s="14"/>
      <c r="E387" s="14"/>
      <c r="F387" s="14"/>
      <c r="G387" s="14"/>
      <c r="H387" s="109"/>
      <c r="I387" s="109" t="s">
        <v>60</v>
      </c>
      <c r="J387" s="6"/>
      <c r="K387" s="6"/>
      <c r="L387" s="14"/>
      <c r="M387" s="14"/>
    </row>
    <row r="388" spans="2:13" ht="12.95" customHeight="1" x14ac:dyDescent="0.3">
      <c r="B388" s="242" t="s">
        <v>13</v>
      </c>
      <c r="C388" s="244" t="s">
        <v>67</v>
      </c>
      <c r="D388" s="246" t="s">
        <v>21</v>
      </c>
      <c r="E388" s="237" t="s">
        <v>14</v>
      </c>
      <c r="F388" s="150" t="s">
        <v>62</v>
      </c>
      <c r="G388" s="151"/>
      <c r="H388" s="150" t="s">
        <v>63</v>
      </c>
      <c r="I388" s="150"/>
      <c r="J388" s="6"/>
      <c r="K388" s="6"/>
      <c r="L388" s="6"/>
      <c r="M388" s="14"/>
    </row>
    <row r="389" spans="2:13" ht="12.95" customHeight="1" x14ac:dyDescent="0.3">
      <c r="B389" s="243"/>
      <c r="C389" s="245"/>
      <c r="D389" s="246"/>
      <c r="E389" s="239"/>
      <c r="F389" s="79" t="s">
        <v>246</v>
      </c>
      <c r="G389" s="79" t="s">
        <v>16</v>
      </c>
      <c r="H389" s="79" t="s">
        <v>15</v>
      </c>
      <c r="I389" s="80" t="s">
        <v>16</v>
      </c>
      <c r="J389" s="6"/>
      <c r="K389" s="6"/>
      <c r="L389" s="6"/>
      <c r="M389" s="14"/>
    </row>
    <row r="390" spans="2:13" ht="12.95" customHeight="1" x14ac:dyDescent="0.3">
      <c r="B390" s="83" t="s">
        <v>5</v>
      </c>
      <c r="C390" s="83" t="s">
        <v>70</v>
      </c>
      <c r="D390" s="85" t="s">
        <v>27</v>
      </c>
      <c r="E390" s="82">
        <v>281939</v>
      </c>
      <c r="F390" s="56">
        <v>0.02</v>
      </c>
      <c r="G390" s="5">
        <f t="shared" ref="G390:G391" si="130">TRUNC($E390*F390,1)</f>
        <v>5638.7</v>
      </c>
      <c r="H390" s="56">
        <v>0.03</v>
      </c>
      <c r="I390" s="5">
        <f t="shared" ref="I390:I391" si="131">TRUNC($E390*H390,1)</f>
        <v>8458.1</v>
      </c>
      <c r="J390" s="6"/>
      <c r="K390" s="6"/>
      <c r="L390" s="6"/>
      <c r="M390" s="14"/>
    </row>
    <row r="391" spans="2:13" ht="12.95" customHeight="1" x14ac:dyDescent="0.3">
      <c r="B391" s="83" t="s">
        <v>4</v>
      </c>
      <c r="C391" s="83" t="s">
        <v>70</v>
      </c>
      <c r="D391" s="85" t="s">
        <v>27</v>
      </c>
      <c r="E391" s="82">
        <v>172068</v>
      </c>
      <c r="F391" s="56">
        <v>0.01</v>
      </c>
      <c r="G391" s="5">
        <f t="shared" si="130"/>
        <v>1720.6</v>
      </c>
      <c r="H391" s="56">
        <v>0.01</v>
      </c>
      <c r="I391" s="5">
        <f t="shared" si="131"/>
        <v>1720.6</v>
      </c>
      <c r="J391" s="6"/>
      <c r="K391" s="6"/>
      <c r="L391" s="6"/>
      <c r="M391" s="14"/>
    </row>
    <row r="392" spans="2:13" ht="12.95" customHeight="1" x14ac:dyDescent="0.3">
      <c r="B392" s="96" t="s">
        <v>32</v>
      </c>
      <c r="C392" s="119"/>
      <c r="D392" s="40"/>
      <c r="E392" s="119"/>
      <c r="F392" s="119"/>
      <c r="G392" s="40">
        <f>TRUNC(SUM(G390:G391))</f>
        <v>7359</v>
      </c>
      <c r="H392" s="119"/>
      <c r="I392" s="41">
        <f>TRUNC(SUM(I390:I391))</f>
        <v>10178</v>
      </c>
    </row>
    <row r="393" spans="2:13" ht="12.95" customHeight="1" x14ac:dyDescent="0.3">
      <c r="B393" s="83"/>
      <c r="C393" s="83"/>
      <c r="D393" s="18"/>
      <c r="E393" s="92"/>
      <c r="F393" s="92"/>
      <c r="G393" s="18"/>
      <c r="H393" s="92"/>
      <c r="I393" s="19"/>
      <c r="J393" s="6"/>
      <c r="K393" s="6"/>
      <c r="L393" s="6"/>
      <c r="M393" s="14"/>
    </row>
    <row r="394" spans="2:13" ht="12.95" customHeight="1" x14ac:dyDescent="0.3">
      <c r="B394" s="98" t="s">
        <v>38</v>
      </c>
      <c r="C394" s="154"/>
      <c r="D394" s="20"/>
      <c r="E394" s="101"/>
      <c r="F394" s="102"/>
      <c r="G394" s="13">
        <f>SUM(G392)</f>
        <v>7359</v>
      </c>
      <c r="H394" s="102"/>
      <c r="I394" s="13">
        <f>SUM(I392)</f>
        <v>10178</v>
      </c>
      <c r="J394" s="6"/>
      <c r="K394" s="6"/>
      <c r="L394" s="6"/>
      <c r="M394" s="6"/>
    </row>
    <row r="395" spans="2:13" ht="12.95" customHeight="1" x14ac:dyDescent="0.3"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</row>
    <row r="396" spans="2:13" ht="12.95" customHeight="1" x14ac:dyDescent="0.3">
      <c r="B396" s="108" t="s">
        <v>276</v>
      </c>
      <c r="C396" s="108"/>
      <c r="D396" s="14"/>
      <c r="E396" s="14"/>
      <c r="F396" s="14"/>
      <c r="G396" s="109" t="s">
        <v>277</v>
      </c>
    </row>
    <row r="397" spans="2:13" ht="12.95" customHeight="1" x14ac:dyDescent="0.3">
      <c r="B397" s="242" t="s">
        <v>13</v>
      </c>
      <c r="C397" s="244" t="s">
        <v>67</v>
      </c>
      <c r="D397" s="246" t="s">
        <v>21</v>
      </c>
      <c r="E397" s="237" t="s">
        <v>14</v>
      </c>
      <c r="F397" s="251" t="s">
        <v>278</v>
      </c>
      <c r="G397" s="251" t="s">
        <v>16</v>
      </c>
    </row>
    <row r="398" spans="2:13" ht="12.95" customHeight="1" x14ac:dyDescent="0.3">
      <c r="B398" s="243"/>
      <c r="C398" s="245"/>
      <c r="D398" s="246"/>
      <c r="E398" s="239"/>
      <c r="F398" s="252"/>
      <c r="G398" s="252"/>
    </row>
    <row r="399" spans="2:13" ht="12.95" customHeight="1" x14ac:dyDescent="0.3">
      <c r="B399" s="83" t="s">
        <v>5</v>
      </c>
      <c r="C399" s="83"/>
      <c r="D399" s="85" t="s">
        <v>27</v>
      </c>
      <c r="E399" s="82">
        <v>281939</v>
      </c>
      <c r="F399" s="56">
        <v>0.41</v>
      </c>
      <c r="G399" s="5">
        <f t="shared" ref="G399:G400" si="132">TRUNC($E399*F399,1)</f>
        <v>115594.9</v>
      </c>
    </row>
    <row r="400" spans="2:13" ht="12.95" customHeight="1" x14ac:dyDescent="0.3">
      <c r="B400" s="83" t="s">
        <v>4</v>
      </c>
      <c r="C400" s="83"/>
      <c r="D400" s="85" t="s">
        <v>27</v>
      </c>
      <c r="E400" s="82">
        <v>172068</v>
      </c>
      <c r="F400" s="56">
        <v>0.18</v>
      </c>
      <c r="G400" s="5">
        <f t="shared" si="132"/>
        <v>30972.2</v>
      </c>
    </row>
    <row r="401" spans="2:14" ht="12.95" customHeight="1" x14ac:dyDescent="0.3">
      <c r="B401" s="96" t="s">
        <v>32</v>
      </c>
      <c r="C401" s="119"/>
      <c r="D401" s="40"/>
      <c r="E401" s="119"/>
      <c r="F401" s="119"/>
      <c r="G401" s="41">
        <f>TRUNC(SUM(G399:G400))</f>
        <v>146567</v>
      </c>
    </row>
    <row r="402" spans="2:14" ht="12.95" customHeight="1" x14ac:dyDescent="0.3">
      <c r="B402" s="83"/>
      <c r="C402" s="83"/>
      <c r="D402" s="18"/>
      <c r="E402" s="92"/>
      <c r="F402" s="92"/>
      <c r="G402" s="19"/>
    </row>
    <row r="403" spans="2:14" ht="12.95" customHeight="1" x14ac:dyDescent="0.3">
      <c r="B403" s="98" t="s">
        <v>38</v>
      </c>
      <c r="C403" s="154"/>
      <c r="D403" s="20"/>
      <c r="E403" s="101"/>
      <c r="F403" s="102"/>
      <c r="G403" s="13">
        <f>SUM(G401)</f>
        <v>146567</v>
      </c>
    </row>
    <row r="404" spans="2:14" ht="12.95" customHeight="1" x14ac:dyDescent="0.3">
      <c r="B404" s="6"/>
      <c r="C404" s="6"/>
      <c r="D404" s="6"/>
      <c r="E404" s="6"/>
      <c r="F404" s="6"/>
      <c r="G404" s="6"/>
    </row>
    <row r="405" spans="2:14" ht="12.95" customHeight="1" x14ac:dyDescent="0.3">
      <c r="B405" s="108" t="s">
        <v>279</v>
      </c>
      <c r="C405" s="108"/>
      <c r="D405" s="14"/>
      <c r="E405" s="14"/>
      <c r="F405" s="14"/>
      <c r="G405" s="14"/>
      <c r="H405" s="109"/>
      <c r="I405" s="109" t="s">
        <v>92</v>
      </c>
      <c r="J405" s="6"/>
      <c r="K405" s="6"/>
      <c r="L405" s="14"/>
      <c r="M405" s="14"/>
      <c r="N405" s="6"/>
    </row>
    <row r="406" spans="2:14" ht="12.95" customHeight="1" x14ac:dyDescent="0.3">
      <c r="B406" s="242" t="s">
        <v>13</v>
      </c>
      <c r="C406" s="244" t="s">
        <v>67</v>
      </c>
      <c r="D406" s="246" t="s">
        <v>21</v>
      </c>
      <c r="E406" s="237" t="s">
        <v>14</v>
      </c>
      <c r="F406" s="150" t="s">
        <v>90</v>
      </c>
      <c r="G406" s="151"/>
      <c r="H406" s="150" t="s">
        <v>91</v>
      </c>
      <c r="I406" s="150"/>
      <c r="J406" s="6"/>
      <c r="K406" s="6"/>
      <c r="L406" s="6"/>
      <c r="M406" s="14"/>
      <c r="N406" s="6"/>
    </row>
    <row r="407" spans="2:14" ht="12.95" customHeight="1" x14ac:dyDescent="0.3">
      <c r="B407" s="243"/>
      <c r="C407" s="245"/>
      <c r="D407" s="246"/>
      <c r="E407" s="239"/>
      <c r="F407" s="79" t="s">
        <v>15</v>
      </c>
      <c r="G407" s="79" t="s">
        <v>16</v>
      </c>
      <c r="H407" s="79" t="s">
        <v>15</v>
      </c>
      <c r="I407" s="80" t="s">
        <v>16</v>
      </c>
      <c r="J407" s="6"/>
      <c r="K407" s="6"/>
      <c r="L407" s="6"/>
      <c r="M407" s="14"/>
      <c r="N407" s="6"/>
    </row>
    <row r="408" spans="2:14" ht="12.95" customHeight="1" x14ac:dyDescent="0.3">
      <c r="B408" s="83" t="s">
        <v>5</v>
      </c>
      <c r="C408" s="83" t="s">
        <v>70</v>
      </c>
      <c r="D408" s="85" t="s">
        <v>27</v>
      </c>
      <c r="E408" s="82">
        <v>281939</v>
      </c>
      <c r="F408" s="60">
        <v>0.25</v>
      </c>
      <c r="G408" s="5">
        <f t="shared" ref="G408:G409" si="133">TRUNC($E408*F408,1)</f>
        <v>70484.7</v>
      </c>
      <c r="H408" s="56">
        <v>0.41</v>
      </c>
      <c r="I408" s="5">
        <f t="shared" ref="I408:I409" si="134">TRUNC($E408*H408,1)</f>
        <v>115594.9</v>
      </c>
      <c r="J408" s="6"/>
      <c r="K408" s="6"/>
      <c r="L408" s="6"/>
      <c r="M408" s="14"/>
      <c r="N408" s="6"/>
    </row>
    <row r="409" spans="2:14" ht="12.95" customHeight="1" x14ac:dyDescent="0.3">
      <c r="B409" s="83" t="s">
        <v>4</v>
      </c>
      <c r="C409" s="83" t="s">
        <v>70</v>
      </c>
      <c r="D409" s="85" t="s">
        <v>27</v>
      </c>
      <c r="E409" s="82">
        <v>172068</v>
      </c>
      <c r="F409" s="60">
        <v>0.14000000000000001</v>
      </c>
      <c r="G409" s="5">
        <f t="shared" si="133"/>
        <v>24089.5</v>
      </c>
      <c r="H409" s="56">
        <v>0.24</v>
      </c>
      <c r="I409" s="5">
        <f t="shared" si="134"/>
        <v>41296.300000000003</v>
      </c>
      <c r="J409" s="6"/>
      <c r="K409" s="6"/>
      <c r="L409" s="6"/>
      <c r="M409" s="14"/>
      <c r="N409" s="6"/>
    </row>
    <row r="410" spans="2:14" ht="12.95" customHeight="1" x14ac:dyDescent="0.3">
      <c r="B410" s="96" t="s">
        <v>32</v>
      </c>
      <c r="C410" s="119"/>
      <c r="D410" s="40"/>
      <c r="E410" s="119"/>
      <c r="F410" s="119"/>
      <c r="G410" s="40">
        <f>TRUNC(SUM(G408:G409))</f>
        <v>94574</v>
      </c>
      <c r="H410" s="119"/>
      <c r="I410" s="41">
        <f>TRUNC(SUM(I408:I409))</f>
        <v>156891</v>
      </c>
      <c r="N410" s="6"/>
    </row>
    <row r="411" spans="2:14" ht="12.95" customHeight="1" x14ac:dyDescent="0.3">
      <c r="B411" s="83"/>
      <c r="C411" s="83"/>
      <c r="D411" s="18"/>
      <c r="E411" s="92"/>
      <c r="F411" s="92"/>
      <c r="G411" s="18"/>
      <c r="H411" s="92"/>
      <c r="I411" s="19"/>
      <c r="J411" s="6"/>
      <c r="K411" s="6"/>
      <c r="L411" s="6"/>
      <c r="M411" s="14"/>
      <c r="N411" s="6"/>
    </row>
    <row r="412" spans="2:14" ht="12.95" customHeight="1" x14ac:dyDescent="0.3">
      <c r="B412" s="98" t="s">
        <v>38</v>
      </c>
      <c r="C412" s="154"/>
      <c r="D412" s="20"/>
      <c r="E412" s="101"/>
      <c r="F412" s="102"/>
      <c r="G412" s="13">
        <f>SUM(G410)</f>
        <v>94574</v>
      </c>
      <c r="H412" s="102"/>
      <c r="I412" s="13">
        <f>SUM(I410)</f>
        <v>156891</v>
      </c>
      <c r="J412" s="6"/>
      <c r="K412" s="6"/>
      <c r="L412" s="6"/>
      <c r="M412" s="6"/>
    </row>
    <row r="413" spans="2:14" ht="12.95" customHeight="1" x14ac:dyDescent="0.3"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</row>
    <row r="414" spans="2:14" ht="12.95" customHeight="1" x14ac:dyDescent="0.3">
      <c r="B414" s="108" t="s">
        <v>226</v>
      </c>
      <c r="C414" s="108"/>
      <c r="D414" s="14"/>
      <c r="E414" s="14"/>
      <c r="F414" s="109"/>
      <c r="G414" s="109" t="s">
        <v>227</v>
      </c>
      <c r="H414" s="6"/>
      <c r="I414" s="6"/>
      <c r="J414" s="14"/>
      <c r="K414" s="14"/>
    </row>
    <row r="415" spans="2:14" ht="12.95" customHeight="1" x14ac:dyDescent="0.3">
      <c r="B415" s="242" t="s">
        <v>13</v>
      </c>
      <c r="C415" s="244" t="s">
        <v>67</v>
      </c>
      <c r="D415" s="246" t="s">
        <v>21</v>
      </c>
      <c r="E415" s="237" t="s">
        <v>14</v>
      </c>
      <c r="F415" s="237" t="s">
        <v>15</v>
      </c>
      <c r="G415" s="251" t="s">
        <v>16</v>
      </c>
      <c r="H415" s="6"/>
      <c r="I415" s="6"/>
      <c r="J415" s="6"/>
      <c r="K415" s="14"/>
    </row>
    <row r="416" spans="2:14" ht="12.95" customHeight="1" x14ac:dyDescent="0.3">
      <c r="B416" s="243"/>
      <c r="C416" s="245"/>
      <c r="D416" s="246"/>
      <c r="E416" s="239"/>
      <c r="F416" s="239"/>
      <c r="G416" s="252"/>
      <c r="H416" s="6"/>
      <c r="I416" s="6"/>
      <c r="J416" s="6"/>
      <c r="K416" s="14"/>
    </row>
    <row r="417" spans="2:14" ht="12.95" customHeight="1" x14ac:dyDescent="0.3">
      <c r="B417" s="83" t="s">
        <v>233</v>
      </c>
      <c r="C417" s="83" t="s">
        <v>228</v>
      </c>
      <c r="D417" s="85" t="s">
        <v>105</v>
      </c>
      <c r="E417" s="173">
        <v>0</v>
      </c>
      <c r="F417" s="37">
        <v>2</v>
      </c>
      <c r="G417" s="5">
        <f t="shared" ref="G417:G425" si="135">TRUNC($E417*F417,1)</f>
        <v>0</v>
      </c>
      <c r="H417" s="6"/>
      <c r="I417" s="6"/>
      <c r="J417" s="6"/>
      <c r="K417" s="14"/>
    </row>
    <row r="418" spans="2:14" ht="12.95" customHeight="1" x14ac:dyDescent="0.3">
      <c r="B418" s="83" t="s">
        <v>234</v>
      </c>
      <c r="C418" s="83" t="s">
        <v>229</v>
      </c>
      <c r="D418" s="85" t="s">
        <v>242</v>
      </c>
      <c r="E418" s="173">
        <v>0</v>
      </c>
      <c r="F418" s="37">
        <v>2</v>
      </c>
      <c r="G418" s="5">
        <f t="shared" ref="G418:G421" si="136">TRUNC($E418*F418,1)</f>
        <v>0</v>
      </c>
      <c r="H418" s="6"/>
      <c r="I418" s="6"/>
      <c r="J418" s="6"/>
      <c r="K418" s="14"/>
    </row>
    <row r="419" spans="2:14" ht="12.95" customHeight="1" x14ac:dyDescent="0.3">
      <c r="B419" s="83" t="s">
        <v>235</v>
      </c>
      <c r="C419" s="83" t="s">
        <v>230</v>
      </c>
      <c r="D419" s="85" t="s">
        <v>241</v>
      </c>
      <c r="E419" s="173">
        <v>0</v>
      </c>
      <c r="F419" s="37">
        <v>4</v>
      </c>
      <c r="G419" s="5">
        <f t="shared" si="136"/>
        <v>0</v>
      </c>
      <c r="H419" s="6"/>
      <c r="I419" s="6"/>
      <c r="J419" s="6"/>
      <c r="K419" s="14"/>
    </row>
    <row r="420" spans="2:14" ht="12.95" customHeight="1" x14ac:dyDescent="0.3">
      <c r="B420" s="83" t="s">
        <v>236</v>
      </c>
      <c r="C420" s="83"/>
      <c r="D420" s="85" t="s">
        <v>241</v>
      </c>
      <c r="E420" s="173">
        <v>0</v>
      </c>
      <c r="F420" s="37">
        <v>4</v>
      </c>
      <c r="G420" s="5">
        <f t="shared" si="136"/>
        <v>0</v>
      </c>
      <c r="H420" s="6"/>
      <c r="I420" s="6"/>
      <c r="J420" s="6"/>
      <c r="K420" s="14"/>
    </row>
    <row r="421" spans="2:14" ht="12.95" customHeight="1" x14ac:dyDescent="0.3">
      <c r="B421" s="83" t="s">
        <v>237</v>
      </c>
      <c r="C421" s="83" t="s">
        <v>231</v>
      </c>
      <c r="D421" s="85" t="s">
        <v>241</v>
      </c>
      <c r="E421" s="173">
        <v>0</v>
      </c>
      <c r="F421" s="37">
        <v>2</v>
      </c>
      <c r="G421" s="5">
        <f t="shared" si="136"/>
        <v>0</v>
      </c>
      <c r="H421" s="6"/>
      <c r="I421" s="6"/>
      <c r="J421" s="6"/>
      <c r="K421" s="14"/>
    </row>
    <row r="422" spans="2:14" ht="12.95" customHeight="1" x14ac:dyDescent="0.3">
      <c r="B422" s="83" t="s">
        <v>237</v>
      </c>
      <c r="C422" s="83" t="s">
        <v>230</v>
      </c>
      <c r="D422" s="85" t="s">
        <v>241</v>
      </c>
      <c r="E422" s="173">
        <v>0</v>
      </c>
      <c r="F422" s="37">
        <v>4</v>
      </c>
      <c r="G422" s="5">
        <f t="shared" si="135"/>
        <v>0</v>
      </c>
      <c r="H422" s="6"/>
      <c r="I422" s="6"/>
      <c r="J422" s="6"/>
      <c r="K422" s="14"/>
      <c r="N422" s="6"/>
    </row>
    <row r="423" spans="2:14" ht="12.95" customHeight="1" x14ac:dyDescent="0.3">
      <c r="B423" s="83" t="s">
        <v>238</v>
      </c>
      <c r="C423" s="83"/>
      <c r="D423" s="85" t="s">
        <v>241</v>
      </c>
      <c r="E423" s="173">
        <v>0</v>
      </c>
      <c r="F423" s="37">
        <v>4</v>
      </c>
      <c r="G423" s="5">
        <f t="shared" ref="G423" si="137">TRUNC($E423*F423,1)</f>
        <v>0</v>
      </c>
      <c r="H423" s="6"/>
      <c r="I423" s="6"/>
      <c r="J423" s="6"/>
      <c r="K423" s="14"/>
      <c r="N423" s="6"/>
    </row>
    <row r="424" spans="2:14" ht="12.95" customHeight="1" x14ac:dyDescent="0.3">
      <c r="B424" s="83" t="s">
        <v>239</v>
      </c>
      <c r="C424" s="83"/>
      <c r="D424" s="85" t="s">
        <v>241</v>
      </c>
      <c r="E424" s="173">
        <v>0</v>
      </c>
      <c r="F424" s="37">
        <v>4</v>
      </c>
      <c r="G424" s="5">
        <f t="shared" ref="G424" si="138">TRUNC($E424*F424,1)</f>
        <v>0</v>
      </c>
      <c r="H424" s="6"/>
      <c r="I424" s="6"/>
      <c r="J424" s="6"/>
      <c r="K424" s="14"/>
      <c r="N424" s="6"/>
    </row>
    <row r="425" spans="2:14" ht="12.95" customHeight="1" x14ac:dyDescent="0.3">
      <c r="B425" s="83" t="s">
        <v>240</v>
      </c>
      <c r="C425" s="83" t="s">
        <v>232</v>
      </c>
      <c r="D425" s="85" t="s">
        <v>243</v>
      </c>
      <c r="E425" s="173">
        <v>0</v>
      </c>
      <c r="F425" s="37">
        <v>7</v>
      </c>
      <c r="G425" s="5">
        <f t="shared" si="135"/>
        <v>0</v>
      </c>
      <c r="H425" s="6"/>
      <c r="I425" s="6"/>
      <c r="J425" s="6"/>
      <c r="K425" s="14"/>
      <c r="N425" s="6"/>
    </row>
    <row r="426" spans="2:14" ht="12.95" customHeight="1" x14ac:dyDescent="0.3">
      <c r="B426" s="96" t="s">
        <v>31</v>
      </c>
      <c r="C426" s="119"/>
      <c r="D426" s="40"/>
      <c r="E426" s="119"/>
      <c r="F426" s="119"/>
      <c r="G426" s="41">
        <f>TRUNC(SUM(G417:G425))</f>
        <v>0</v>
      </c>
      <c r="N426" s="6"/>
    </row>
    <row r="427" spans="2:14" ht="12.95" customHeight="1" x14ac:dyDescent="0.3">
      <c r="B427" s="83"/>
      <c r="C427" s="83"/>
      <c r="D427" s="18"/>
      <c r="E427" s="92"/>
      <c r="F427" s="92"/>
      <c r="G427" s="19"/>
      <c r="H427" s="6"/>
      <c r="I427" s="6"/>
      <c r="J427" s="6"/>
      <c r="K427" s="14"/>
      <c r="N427" s="6"/>
    </row>
    <row r="428" spans="2:14" ht="12.95" customHeight="1" x14ac:dyDescent="0.3">
      <c r="B428" s="98" t="s">
        <v>38</v>
      </c>
      <c r="C428" s="154"/>
      <c r="D428" s="20"/>
      <c r="E428" s="101"/>
      <c r="F428" s="102"/>
      <c r="G428" s="13">
        <f>SUM(G426)</f>
        <v>0</v>
      </c>
      <c r="H428" s="6"/>
      <c r="I428" s="6"/>
      <c r="J428" s="6"/>
      <c r="K428" s="6"/>
      <c r="N428" s="6"/>
    </row>
    <row r="429" spans="2:14" ht="12.95" customHeight="1" x14ac:dyDescent="0.3">
      <c r="B429" s="6"/>
      <c r="C429" s="6"/>
      <c r="D429" s="6"/>
      <c r="E429" s="6"/>
      <c r="F429" s="6"/>
      <c r="G429" s="6"/>
      <c r="H429" s="6"/>
      <c r="I429" s="6"/>
      <c r="J429" s="6"/>
      <c r="K429" s="6"/>
    </row>
    <row r="430" spans="2:14" ht="12.95" customHeight="1" x14ac:dyDescent="0.3">
      <c r="B430" s="108" t="s">
        <v>280</v>
      </c>
      <c r="C430" s="155"/>
      <c r="D430" s="6"/>
      <c r="E430" s="6"/>
      <c r="F430" s="109"/>
      <c r="G430" s="109" t="s">
        <v>60</v>
      </c>
      <c r="H430" s="6"/>
      <c r="I430" s="6"/>
      <c r="J430" s="6"/>
      <c r="K430" s="130"/>
      <c r="L430" s="14"/>
      <c r="M430" s="14"/>
    </row>
    <row r="431" spans="2:14" ht="12.95" customHeight="1" x14ac:dyDescent="0.3">
      <c r="B431" s="242" t="s">
        <v>13</v>
      </c>
      <c r="C431" s="244" t="s">
        <v>67</v>
      </c>
      <c r="D431" s="246" t="s">
        <v>21</v>
      </c>
      <c r="E431" s="237" t="s">
        <v>14</v>
      </c>
      <c r="F431" s="237" t="s">
        <v>15</v>
      </c>
      <c r="G431" s="251" t="s">
        <v>16</v>
      </c>
      <c r="H431" s="130"/>
      <c r="I431" s="6"/>
      <c r="J431" s="6"/>
      <c r="K431" s="14"/>
      <c r="L431" s="14"/>
      <c r="M431" s="14"/>
    </row>
    <row r="432" spans="2:14" ht="12.95" customHeight="1" x14ac:dyDescent="0.3">
      <c r="B432" s="243"/>
      <c r="C432" s="245"/>
      <c r="D432" s="246"/>
      <c r="E432" s="239"/>
      <c r="F432" s="239"/>
      <c r="G432" s="252"/>
      <c r="H432" s="130"/>
      <c r="I432" s="6"/>
      <c r="J432" s="6"/>
      <c r="K432" s="14"/>
      <c r="L432" s="14"/>
      <c r="M432" s="14"/>
    </row>
    <row r="433" spans="2:15" ht="12.95" customHeight="1" x14ac:dyDescent="0.3">
      <c r="B433" s="83" t="s">
        <v>5</v>
      </c>
      <c r="C433" s="83" t="s">
        <v>70</v>
      </c>
      <c r="D433" s="85" t="s">
        <v>27</v>
      </c>
      <c r="E433" s="82">
        <v>281939</v>
      </c>
      <c r="F433" s="56">
        <v>0.27</v>
      </c>
      <c r="G433" s="5">
        <f t="shared" ref="G433:G434" si="139">TRUNC($E433*F433,1)</f>
        <v>76123.5</v>
      </c>
      <c r="H433" s="130"/>
      <c r="I433" s="6"/>
      <c r="J433" s="6"/>
      <c r="K433" s="14"/>
      <c r="L433" s="14"/>
      <c r="M433" s="14"/>
    </row>
    <row r="434" spans="2:15" ht="12.95" customHeight="1" x14ac:dyDescent="0.3">
      <c r="B434" s="83" t="s">
        <v>4</v>
      </c>
      <c r="C434" s="83" t="s">
        <v>70</v>
      </c>
      <c r="D434" s="85" t="s">
        <v>27</v>
      </c>
      <c r="E434" s="82">
        <v>172068</v>
      </c>
      <c r="F434" s="56">
        <v>0.09</v>
      </c>
      <c r="G434" s="5">
        <f t="shared" si="139"/>
        <v>15486.1</v>
      </c>
      <c r="H434" s="130"/>
      <c r="I434" s="6"/>
      <c r="J434" s="6"/>
      <c r="K434" s="14"/>
      <c r="L434" s="14"/>
      <c r="M434" s="14"/>
    </row>
    <row r="435" spans="2:15" ht="12.95" customHeight="1" x14ac:dyDescent="0.3">
      <c r="B435" s="96" t="s">
        <v>32</v>
      </c>
      <c r="C435" s="119"/>
      <c r="D435" s="41"/>
      <c r="E435" s="119"/>
      <c r="F435" s="119"/>
      <c r="G435" s="41">
        <f>TRUNC(SUM(G433:G434))</f>
        <v>91609</v>
      </c>
      <c r="H435" s="133"/>
      <c r="I435" s="133"/>
    </row>
    <row r="436" spans="2:15" ht="12.95" customHeight="1" x14ac:dyDescent="0.3">
      <c r="B436" s="83"/>
      <c r="C436" s="83"/>
      <c r="D436" s="18"/>
      <c r="E436" s="92"/>
      <c r="F436" s="92"/>
      <c r="G436" s="19"/>
      <c r="H436" s="130"/>
      <c r="I436" s="6"/>
      <c r="J436" s="6"/>
      <c r="K436" s="14"/>
      <c r="L436" s="14"/>
      <c r="M436" s="14"/>
    </row>
    <row r="437" spans="2:15" ht="12.95" customHeight="1" x14ac:dyDescent="0.3">
      <c r="B437" s="98" t="s">
        <v>38</v>
      </c>
      <c r="C437" s="154"/>
      <c r="D437" s="20"/>
      <c r="E437" s="101"/>
      <c r="F437" s="102"/>
      <c r="G437" s="13">
        <f>SUM(G435)</f>
        <v>91609</v>
      </c>
      <c r="H437" s="130"/>
      <c r="I437" s="6"/>
      <c r="J437" s="6"/>
      <c r="K437" s="14"/>
      <c r="L437" s="14"/>
      <c r="M437" s="6"/>
    </row>
    <row r="438" spans="2:15" ht="12.95" customHeight="1" x14ac:dyDescent="0.3">
      <c r="B438" s="108"/>
      <c r="C438" s="155"/>
      <c r="D438" s="6"/>
      <c r="E438" s="6"/>
      <c r="F438" s="6"/>
      <c r="G438" s="6"/>
      <c r="H438" s="6"/>
      <c r="I438" s="6"/>
      <c r="J438" s="6"/>
      <c r="K438" s="130"/>
      <c r="L438" s="6"/>
      <c r="M438" s="6"/>
    </row>
    <row r="439" spans="2:15" ht="12.95" customHeight="1" x14ac:dyDescent="0.3">
      <c r="B439" s="108" t="s">
        <v>281</v>
      </c>
      <c r="C439" s="155"/>
      <c r="D439" s="6"/>
      <c r="E439" s="6"/>
      <c r="F439" s="6"/>
      <c r="G439" s="109" t="s">
        <v>60</v>
      </c>
      <c r="H439" s="6"/>
      <c r="I439" s="6"/>
      <c r="J439" s="6"/>
      <c r="K439" s="6"/>
      <c r="L439" s="130"/>
      <c r="M439" s="6"/>
    </row>
    <row r="440" spans="2:15" ht="12.95" customHeight="1" x14ac:dyDescent="0.3">
      <c r="B440" s="242" t="s">
        <v>13</v>
      </c>
      <c r="C440" s="244" t="s">
        <v>67</v>
      </c>
      <c r="D440" s="237" t="s">
        <v>14</v>
      </c>
      <c r="E440" s="237" t="s">
        <v>14</v>
      </c>
      <c r="F440" s="237" t="s">
        <v>15</v>
      </c>
      <c r="G440" s="251" t="s">
        <v>16</v>
      </c>
      <c r="H440" s="6"/>
      <c r="I440" s="6"/>
      <c r="J440" s="6"/>
      <c r="K440" s="6"/>
      <c r="L440" s="130"/>
      <c r="M440" s="6"/>
      <c r="N440" s="6"/>
      <c r="O440" s="6"/>
    </row>
    <row r="441" spans="2:15" ht="12.95" customHeight="1" x14ac:dyDescent="0.3">
      <c r="B441" s="243"/>
      <c r="C441" s="245"/>
      <c r="D441" s="239"/>
      <c r="E441" s="239"/>
      <c r="F441" s="239"/>
      <c r="G441" s="252"/>
      <c r="H441" s="6"/>
      <c r="I441" s="6"/>
      <c r="J441" s="6"/>
      <c r="K441" s="6"/>
      <c r="L441" s="130"/>
      <c r="M441" s="6"/>
      <c r="N441" s="6"/>
      <c r="O441" s="6"/>
    </row>
    <row r="442" spans="2:15" ht="12.95" customHeight="1" x14ac:dyDescent="0.3">
      <c r="B442" s="81" t="s">
        <v>94</v>
      </c>
      <c r="C442" s="81" t="s">
        <v>71</v>
      </c>
      <c r="D442" s="18" t="s">
        <v>46</v>
      </c>
      <c r="E442" s="82">
        <v>7951</v>
      </c>
      <c r="F442" s="56">
        <v>0.06</v>
      </c>
      <c r="G442" s="5">
        <f t="shared" ref="G442" si="140">TRUNC($E442*F442,1)</f>
        <v>477</v>
      </c>
      <c r="H442" s="6"/>
      <c r="I442" s="6"/>
      <c r="J442" s="6"/>
      <c r="K442" s="6"/>
      <c r="L442" s="130"/>
      <c r="M442" s="6"/>
      <c r="N442" s="6"/>
      <c r="O442" s="6"/>
    </row>
    <row r="443" spans="2:15" ht="12.95" customHeight="1" x14ac:dyDescent="0.3">
      <c r="B443" s="169" t="s">
        <v>31</v>
      </c>
      <c r="C443" s="169"/>
      <c r="D443" s="127"/>
      <c r="E443" s="127"/>
      <c r="F443" s="52"/>
      <c r="G443" s="45">
        <f>TRUNC(SUM(G442:G442))</f>
        <v>477</v>
      </c>
      <c r="H443" s="6"/>
      <c r="I443" s="6"/>
      <c r="J443" s="6"/>
      <c r="K443" s="6"/>
      <c r="L443" s="130"/>
      <c r="M443" s="6"/>
      <c r="N443" s="6"/>
      <c r="O443" s="6"/>
    </row>
    <row r="444" spans="2:15" ht="12.95" customHeight="1" x14ac:dyDescent="0.3">
      <c r="B444" s="83"/>
      <c r="C444" s="83"/>
      <c r="D444" s="92"/>
      <c r="E444" s="92"/>
      <c r="F444" s="56"/>
      <c r="G444" s="93"/>
      <c r="H444" s="6"/>
      <c r="I444" s="6"/>
      <c r="J444" s="6"/>
      <c r="K444" s="6"/>
      <c r="L444" s="130"/>
      <c r="M444" s="6"/>
      <c r="N444" s="6"/>
      <c r="O444" s="6"/>
    </row>
    <row r="445" spans="2:15" ht="12.95" customHeight="1" x14ac:dyDescent="0.3">
      <c r="B445" s="83" t="s">
        <v>5</v>
      </c>
      <c r="C445" s="83" t="s">
        <v>70</v>
      </c>
      <c r="D445" s="85" t="s">
        <v>27</v>
      </c>
      <c r="E445" s="82">
        <v>281939</v>
      </c>
      <c r="F445" s="60">
        <v>0.2</v>
      </c>
      <c r="G445" s="5">
        <f t="shared" ref="G445:G447" si="141">TRUNC($E445*F445,1)</f>
        <v>56387.8</v>
      </c>
      <c r="H445" s="6"/>
      <c r="I445" s="6"/>
      <c r="J445" s="6"/>
      <c r="K445" s="6"/>
      <c r="L445" s="130"/>
      <c r="M445" s="6"/>
      <c r="N445" s="6"/>
      <c r="O445" s="6"/>
    </row>
    <row r="446" spans="2:15" ht="12.95" customHeight="1" x14ac:dyDescent="0.3">
      <c r="B446" s="83" t="s">
        <v>4</v>
      </c>
      <c r="C446" s="83" t="s">
        <v>70</v>
      </c>
      <c r="D446" s="85" t="s">
        <v>27</v>
      </c>
      <c r="E446" s="82">
        <v>172068</v>
      </c>
      <c r="F446" s="60">
        <v>7.0000000000000007E-2</v>
      </c>
      <c r="G446" s="5">
        <f t="shared" si="141"/>
        <v>12044.7</v>
      </c>
      <c r="H446" s="6"/>
      <c r="I446" s="6"/>
      <c r="J446" s="6"/>
      <c r="K446" s="6"/>
      <c r="L446" s="130"/>
      <c r="M446" s="6"/>
      <c r="N446" s="6"/>
      <c r="O446" s="6"/>
    </row>
    <row r="447" spans="2:15" ht="12.95" customHeight="1" x14ac:dyDescent="0.3">
      <c r="B447" s="81" t="s">
        <v>93</v>
      </c>
      <c r="C447" s="81" t="s">
        <v>72</v>
      </c>
      <c r="D447" s="18" t="s">
        <v>46</v>
      </c>
      <c r="E447" s="82">
        <v>58925</v>
      </c>
      <c r="F447" s="60">
        <v>0.06</v>
      </c>
      <c r="G447" s="5">
        <f t="shared" si="141"/>
        <v>3535.5</v>
      </c>
      <c r="H447" s="6"/>
      <c r="I447" s="6"/>
      <c r="J447" s="6"/>
      <c r="K447" s="6"/>
      <c r="L447" s="130"/>
      <c r="M447" s="6"/>
      <c r="N447" s="6"/>
      <c r="O447" s="6"/>
    </row>
    <row r="448" spans="2:15" ht="12.95" customHeight="1" x14ac:dyDescent="0.3">
      <c r="B448" s="169" t="s">
        <v>32</v>
      </c>
      <c r="C448" s="169"/>
      <c r="D448" s="44"/>
      <c r="E448" s="44"/>
      <c r="F448" s="52"/>
      <c r="G448" s="45">
        <f>TRUNC(SUM(G445:G447))</f>
        <v>71968</v>
      </c>
      <c r="H448" s="6"/>
      <c r="I448" s="6"/>
      <c r="J448" s="6"/>
      <c r="K448" s="6"/>
      <c r="L448" s="6"/>
      <c r="M448" s="130"/>
      <c r="N448" s="6"/>
      <c r="O448" s="6"/>
    </row>
    <row r="449" spans="2:15" ht="12.95" customHeight="1" x14ac:dyDescent="0.3">
      <c r="B449" s="83"/>
      <c r="C449" s="83"/>
      <c r="D449" s="92"/>
      <c r="E449" s="92"/>
      <c r="F449" s="56"/>
      <c r="G449" s="93"/>
      <c r="H449" s="6"/>
      <c r="I449" s="6"/>
      <c r="J449" s="6"/>
      <c r="K449" s="6"/>
      <c r="L449" s="6"/>
      <c r="M449" s="130"/>
      <c r="N449" s="6"/>
      <c r="O449" s="6"/>
    </row>
    <row r="450" spans="2:15" ht="12.95" customHeight="1" x14ac:dyDescent="0.3">
      <c r="B450" s="81" t="s">
        <v>93</v>
      </c>
      <c r="C450" s="81" t="s">
        <v>72</v>
      </c>
      <c r="D450" s="18" t="s">
        <v>46</v>
      </c>
      <c r="E450" s="82">
        <v>31344</v>
      </c>
      <c r="F450" s="56">
        <v>0.06</v>
      </c>
      <c r="G450" s="5">
        <f t="shared" ref="G450" si="142">TRUNC($E450*F450,1)</f>
        <v>1880.6</v>
      </c>
      <c r="H450" s="6"/>
      <c r="I450" s="6"/>
      <c r="J450" s="6"/>
      <c r="K450" s="6"/>
      <c r="L450" s="6"/>
      <c r="M450" s="130"/>
      <c r="N450" s="6"/>
      <c r="O450" s="6"/>
    </row>
    <row r="451" spans="2:15" ht="12.95" customHeight="1" x14ac:dyDescent="0.3">
      <c r="B451" s="87" t="s">
        <v>33</v>
      </c>
      <c r="C451" s="87"/>
      <c r="D451" s="44"/>
      <c r="E451" s="44"/>
      <c r="F451" s="90"/>
      <c r="G451" s="45">
        <f>TRUNC(G450)</f>
        <v>1880</v>
      </c>
      <c r="H451" s="6"/>
      <c r="I451" s="6"/>
      <c r="J451" s="6"/>
      <c r="K451" s="6"/>
      <c r="L451" s="6"/>
      <c r="M451" s="130"/>
      <c r="N451" s="6"/>
      <c r="O451" s="6"/>
    </row>
    <row r="452" spans="2:15" ht="12.95" customHeight="1" x14ac:dyDescent="0.3">
      <c r="B452" s="83"/>
      <c r="C452" s="83"/>
      <c r="D452" s="92"/>
      <c r="E452" s="92"/>
      <c r="F452" s="92"/>
      <c r="G452" s="93"/>
      <c r="H452" s="6"/>
      <c r="I452" s="6"/>
      <c r="J452" s="6"/>
      <c r="K452" s="6"/>
      <c r="L452" s="6"/>
      <c r="M452" s="130"/>
      <c r="N452" s="6"/>
      <c r="O452" s="6"/>
    </row>
    <row r="453" spans="2:15" ht="12.95" customHeight="1" x14ac:dyDescent="0.3">
      <c r="B453" s="98" t="s">
        <v>38</v>
      </c>
      <c r="C453" s="154"/>
      <c r="D453" s="101"/>
      <c r="E453" s="101"/>
      <c r="F453" s="102"/>
      <c r="G453" s="9">
        <f>SUM(G443+G448+G451)</f>
        <v>74325</v>
      </c>
      <c r="H453" s="6"/>
      <c r="I453" s="6"/>
      <c r="J453" s="6"/>
      <c r="K453" s="6"/>
      <c r="L453" s="6"/>
      <c r="M453" s="6"/>
      <c r="N453" s="6"/>
      <c r="O453" s="6"/>
    </row>
    <row r="454" spans="2:15" ht="12.95" customHeight="1" x14ac:dyDescent="0.3">
      <c r="B454" s="108"/>
      <c r="C454" s="155"/>
      <c r="D454" s="6"/>
      <c r="E454" s="6"/>
      <c r="F454" s="6"/>
      <c r="G454" s="6"/>
      <c r="H454" s="6"/>
      <c r="I454" s="6"/>
      <c r="J454" s="6"/>
      <c r="K454" s="130"/>
      <c r="L454" s="6"/>
      <c r="M454" s="6"/>
      <c r="N454" s="6"/>
      <c r="O454" s="6"/>
    </row>
    <row r="455" spans="2:15" ht="12.95" customHeight="1" x14ac:dyDescent="0.3">
      <c r="B455" s="108" t="s">
        <v>282</v>
      </c>
      <c r="C455" s="108"/>
      <c r="D455" s="14"/>
      <c r="E455" s="14"/>
      <c r="F455" s="14"/>
      <c r="G455" s="14"/>
      <c r="H455" s="109"/>
      <c r="I455" s="109"/>
      <c r="J455" s="6"/>
      <c r="K455" s="6"/>
      <c r="L455" s="14"/>
      <c r="M455" s="109" t="s">
        <v>73</v>
      </c>
      <c r="N455" s="6"/>
      <c r="O455" s="6"/>
    </row>
    <row r="456" spans="2:15" ht="12.95" customHeight="1" x14ac:dyDescent="0.3">
      <c r="B456" s="242" t="s">
        <v>13</v>
      </c>
      <c r="C456" s="244" t="s">
        <v>67</v>
      </c>
      <c r="D456" s="246" t="s">
        <v>21</v>
      </c>
      <c r="E456" s="237" t="s">
        <v>14</v>
      </c>
      <c r="F456" s="150" t="s">
        <v>95</v>
      </c>
      <c r="G456" s="151"/>
      <c r="H456" s="150" t="s">
        <v>96</v>
      </c>
      <c r="I456" s="151"/>
      <c r="J456" s="170" t="s">
        <v>97</v>
      </c>
      <c r="K456" s="151"/>
      <c r="L456" s="150" t="s">
        <v>98</v>
      </c>
      <c r="M456" s="150"/>
      <c r="N456" s="6"/>
      <c r="O456" s="6"/>
    </row>
    <row r="457" spans="2:15" ht="12.95" customHeight="1" x14ac:dyDescent="0.3">
      <c r="B457" s="243"/>
      <c r="C457" s="245"/>
      <c r="D457" s="246"/>
      <c r="E457" s="239"/>
      <c r="F457" s="79" t="s">
        <v>15</v>
      </c>
      <c r="G457" s="79" t="s">
        <v>16</v>
      </c>
      <c r="H457" s="79" t="s">
        <v>15</v>
      </c>
      <c r="I457" s="80" t="s">
        <v>16</v>
      </c>
      <c r="J457" s="79" t="s">
        <v>15</v>
      </c>
      <c r="K457" s="79" t="s">
        <v>16</v>
      </c>
      <c r="L457" s="79" t="s">
        <v>15</v>
      </c>
      <c r="M457" s="80" t="s">
        <v>16</v>
      </c>
    </row>
    <row r="458" spans="2:15" ht="12.95" customHeight="1" x14ac:dyDescent="0.3">
      <c r="B458" s="83" t="s">
        <v>22</v>
      </c>
      <c r="C458" s="106" t="s">
        <v>24</v>
      </c>
      <c r="D458" s="85" t="s">
        <v>47</v>
      </c>
      <c r="E458" s="86"/>
      <c r="F458" s="37">
        <v>1</v>
      </c>
      <c r="G458" s="8">
        <f>TRUNC(SUM(G461)*0.02,1)</f>
        <v>2537.4</v>
      </c>
      <c r="H458" s="37">
        <v>1</v>
      </c>
      <c r="I458" s="8">
        <f>TRUNC(SUM(I461)*0.02,1)</f>
        <v>1917.1</v>
      </c>
      <c r="J458" s="37">
        <v>1</v>
      </c>
      <c r="K458" s="8">
        <f>TRUNC(SUM(K461)*0.02,1)</f>
        <v>1917.1</v>
      </c>
      <c r="L458" s="37">
        <v>1</v>
      </c>
      <c r="M458" s="8">
        <f>TRUNC(SUM(M461)*0.02,1)</f>
        <v>1466</v>
      </c>
    </row>
    <row r="459" spans="2:15" ht="12.95" customHeight="1" x14ac:dyDescent="0.3">
      <c r="B459" s="87" t="s">
        <v>31</v>
      </c>
      <c r="C459" s="211"/>
      <c r="D459" s="210"/>
      <c r="E459" s="212"/>
      <c r="F459" s="37"/>
      <c r="G459" s="213">
        <f>TRUNC(SUM(G458:G458))</f>
        <v>2537</v>
      </c>
      <c r="H459" s="37"/>
      <c r="I459" s="213">
        <f>TRUNC(SUM(I458:I458))</f>
        <v>1917</v>
      </c>
      <c r="J459" s="37"/>
      <c r="K459" s="213">
        <f>TRUNC(SUM(K458:K458))</f>
        <v>1917</v>
      </c>
      <c r="L459" s="37"/>
      <c r="M459" s="213">
        <f>TRUNC(SUM(M458:M458))</f>
        <v>1466</v>
      </c>
    </row>
    <row r="460" spans="2:15" ht="12.95" customHeight="1" x14ac:dyDescent="0.3">
      <c r="B460" s="214"/>
      <c r="C460" s="211"/>
      <c r="D460" s="210"/>
      <c r="E460" s="212"/>
      <c r="F460" s="37"/>
      <c r="G460" s="215"/>
      <c r="H460" s="37"/>
      <c r="I460" s="215"/>
      <c r="J460" s="37"/>
      <c r="K460" s="215"/>
      <c r="L460" s="37"/>
      <c r="M460" s="215"/>
    </row>
    <row r="461" spans="2:15" ht="12.95" customHeight="1" x14ac:dyDescent="0.3">
      <c r="B461" s="83" t="s">
        <v>5</v>
      </c>
      <c r="C461" s="83" t="s">
        <v>70</v>
      </c>
      <c r="D461" s="85" t="s">
        <v>27</v>
      </c>
      <c r="E461" s="171">
        <v>281939</v>
      </c>
      <c r="F461" s="60">
        <v>0.45</v>
      </c>
      <c r="G461" s="5">
        <f t="shared" ref="G461" si="143">TRUNC($E461*F461,1)</f>
        <v>126872.5</v>
      </c>
      <c r="H461" s="56">
        <v>0.34</v>
      </c>
      <c r="I461" s="5">
        <f t="shared" ref="I461" si="144">TRUNC($E461*H461,1)</f>
        <v>95859.199999999997</v>
      </c>
      <c r="J461" s="60">
        <v>0.34</v>
      </c>
      <c r="K461" s="5">
        <f t="shared" ref="K461" si="145">TRUNC($E461*J461,1)</f>
        <v>95859.199999999997</v>
      </c>
      <c r="L461" s="56">
        <v>0.26</v>
      </c>
      <c r="M461" s="5">
        <f t="shared" ref="M461" si="146">TRUNC($E461*L461,1)</f>
        <v>73304.100000000006</v>
      </c>
    </row>
    <row r="462" spans="2:15" ht="12.95" customHeight="1" x14ac:dyDescent="0.3">
      <c r="B462" s="96" t="s">
        <v>32</v>
      </c>
      <c r="C462" s="119"/>
      <c r="D462" s="40"/>
      <c r="E462" s="119"/>
      <c r="F462" s="119"/>
      <c r="G462" s="40">
        <f>TRUNC(SUM(G461:G461))</f>
        <v>126872</v>
      </c>
      <c r="H462" s="119"/>
      <c r="I462" s="41">
        <f>TRUNC(SUM(I461:I461))</f>
        <v>95859</v>
      </c>
      <c r="J462" s="119"/>
      <c r="K462" s="40">
        <f>TRUNC(SUM(K461:K461))</f>
        <v>95859</v>
      </c>
      <c r="L462" s="119"/>
      <c r="M462" s="41">
        <f>TRUNC(SUM(M461:M461))</f>
        <v>73304</v>
      </c>
    </row>
    <row r="463" spans="2:15" ht="12.95" customHeight="1" x14ac:dyDescent="0.3">
      <c r="B463" s="83"/>
      <c r="C463" s="83"/>
      <c r="D463" s="18"/>
      <c r="E463" s="92"/>
      <c r="F463" s="92"/>
      <c r="G463" s="18"/>
      <c r="H463" s="92"/>
      <c r="I463" s="19"/>
      <c r="J463" s="92"/>
      <c r="K463" s="18"/>
      <c r="L463" s="92"/>
      <c r="M463" s="19"/>
    </row>
    <row r="464" spans="2:15" ht="12.95" customHeight="1" x14ac:dyDescent="0.3">
      <c r="B464" s="98" t="s">
        <v>38</v>
      </c>
      <c r="C464" s="154"/>
      <c r="D464" s="20"/>
      <c r="E464" s="101"/>
      <c r="F464" s="102"/>
      <c r="G464" s="13">
        <f>SUM(G459+G462)</f>
        <v>129409</v>
      </c>
      <c r="H464" s="102"/>
      <c r="I464" s="13">
        <f>SUM(I459+I462)</f>
        <v>97776</v>
      </c>
      <c r="J464" s="102"/>
      <c r="K464" s="13">
        <f>SUM(K459+K462)</f>
        <v>97776</v>
      </c>
      <c r="L464" s="102"/>
      <c r="M464" s="13">
        <f>SUM(M459+M462)</f>
        <v>74770</v>
      </c>
    </row>
    <row r="465" spans="2:13" ht="12.95" customHeight="1" x14ac:dyDescent="0.3">
      <c r="B465" s="172"/>
      <c r="C465" s="172"/>
      <c r="D465" s="172"/>
      <c r="E465" s="172"/>
      <c r="F465" s="172"/>
      <c r="G465" s="172"/>
      <c r="H465" s="6"/>
      <c r="I465" s="6"/>
      <c r="J465" s="6"/>
      <c r="K465" s="6"/>
      <c r="L465" s="6"/>
      <c r="M465" s="6"/>
    </row>
    <row r="466" spans="2:13" ht="12.95" customHeight="1" x14ac:dyDescent="0.3">
      <c r="B466" s="147" t="s">
        <v>284</v>
      </c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</row>
    <row r="467" spans="2:13" ht="12.95" customHeight="1" x14ac:dyDescent="0.3">
      <c r="B467" s="14" t="s">
        <v>99</v>
      </c>
      <c r="C467" s="14"/>
      <c r="D467" s="14"/>
      <c r="E467" s="14"/>
      <c r="F467" s="109"/>
      <c r="G467" s="109" t="s">
        <v>244</v>
      </c>
    </row>
    <row r="468" spans="2:13" ht="12.95" customHeight="1" x14ac:dyDescent="0.3">
      <c r="B468" s="234" t="s">
        <v>13</v>
      </c>
      <c r="C468" s="237" t="s">
        <v>20</v>
      </c>
      <c r="D468" s="237" t="s">
        <v>21</v>
      </c>
      <c r="E468" s="237" t="s">
        <v>14</v>
      </c>
      <c r="F468" s="220" t="s">
        <v>245</v>
      </c>
      <c r="G468" s="209">
        <v>100</v>
      </c>
    </row>
    <row r="469" spans="2:13" ht="12.95" customHeight="1" x14ac:dyDescent="0.3">
      <c r="B469" s="236"/>
      <c r="C469" s="239"/>
      <c r="D469" s="239"/>
      <c r="E469" s="239"/>
      <c r="F469" s="79" t="s">
        <v>246</v>
      </c>
      <c r="G469" s="80" t="s">
        <v>247</v>
      </c>
    </row>
    <row r="470" spans="2:13" ht="12.95" customHeight="1" x14ac:dyDescent="0.3">
      <c r="B470" s="83" t="s">
        <v>22</v>
      </c>
      <c r="C470" s="106" t="s">
        <v>24</v>
      </c>
      <c r="D470" s="85" t="s">
        <v>47</v>
      </c>
      <c r="E470" s="86"/>
      <c r="F470" s="37">
        <v>1</v>
      </c>
      <c r="G470" s="8">
        <f>TRUNC(SUM(G473:G474)*0.02,1)</f>
        <v>20357.7</v>
      </c>
    </row>
    <row r="471" spans="2:13" ht="12.95" customHeight="1" x14ac:dyDescent="0.3">
      <c r="B471" s="87" t="s">
        <v>31</v>
      </c>
      <c r="C471" s="211"/>
      <c r="D471" s="210"/>
      <c r="E471" s="212"/>
      <c r="F471" s="37"/>
      <c r="G471" s="213">
        <f>TRUNC(SUM(G470:G470))</f>
        <v>20357</v>
      </c>
    </row>
    <row r="472" spans="2:13" ht="12.95" customHeight="1" x14ac:dyDescent="0.3">
      <c r="B472" s="214"/>
      <c r="C472" s="211"/>
      <c r="D472" s="210"/>
      <c r="E472" s="212"/>
      <c r="F472" s="37"/>
      <c r="G472" s="215"/>
    </row>
    <row r="473" spans="2:13" ht="12.95" customHeight="1" x14ac:dyDescent="0.3">
      <c r="B473" s="91" t="s">
        <v>30</v>
      </c>
      <c r="C473" s="91"/>
      <c r="D473" s="95" t="s">
        <v>27</v>
      </c>
      <c r="E473" s="82">
        <v>281939</v>
      </c>
      <c r="F473" s="37">
        <v>3</v>
      </c>
      <c r="G473" s="5">
        <f t="shared" ref="G473:G474" si="147">TRUNC($E473*F473,1)</f>
        <v>845817</v>
      </c>
    </row>
    <row r="474" spans="2:13" ht="12.95" customHeight="1" x14ac:dyDescent="0.3">
      <c r="B474" s="91" t="s">
        <v>4</v>
      </c>
      <c r="C474" s="91"/>
      <c r="D474" s="95" t="s">
        <v>27</v>
      </c>
      <c r="E474" s="82">
        <v>172068</v>
      </c>
      <c r="F474" s="37">
        <v>1</v>
      </c>
      <c r="G474" s="5">
        <f t="shared" si="147"/>
        <v>172068</v>
      </c>
    </row>
    <row r="475" spans="2:13" ht="12.95" customHeight="1" x14ac:dyDescent="0.3">
      <c r="B475" s="96" t="s">
        <v>32</v>
      </c>
      <c r="C475" s="211"/>
      <c r="D475" s="210"/>
      <c r="E475" s="212"/>
      <c r="F475" s="37"/>
      <c r="G475" s="213">
        <f>TRUNC(SUM(G473:G474))</f>
        <v>1017885</v>
      </c>
    </row>
    <row r="476" spans="2:13" ht="12.95" customHeight="1" x14ac:dyDescent="0.3">
      <c r="B476" s="214"/>
      <c r="C476" s="217"/>
      <c r="D476" s="212"/>
      <c r="E476" s="212"/>
      <c r="F476" s="216"/>
      <c r="G476" s="218"/>
    </row>
    <row r="477" spans="2:13" ht="12.95" customHeight="1" x14ac:dyDescent="0.3">
      <c r="B477" s="219" t="s">
        <v>38</v>
      </c>
      <c r="C477" s="217"/>
      <c r="D477" s="212"/>
      <c r="E477" s="212"/>
      <c r="F477" s="216"/>
      <c r="G477" s="218">
        <f>SUM(G471+G475)</f>
        <v>1038242</v>
      </c>
    </row>
    <row r="478" spans="2:13" ht="12.95" customHeight="1" x14ac:dyDescent="0.3">
      <c r="B478" s="98" t="s">
        <v>248</v>
      </c>
      <c r="C478" s="99"/>
      <c r="D478" s="100"/>
      <c r="E478" s="101"/>
      <c r="F478" s="102"/>
      <c r="G478" s="9">
        <f>TRUNC((G477/G468)*10)</f>
        <v>103824</v>
      </c>
    </row>
    <row r="479" spans="2:13" ht="12.95" customHeight="1" x14ac:dyDescent="0.3">
      <c r="B479" s="6"/>
      <c r="C479" s="6"/>
      <c r="D479" s="6"/>
      <c r="E479" s="6"/>
      <c r="F479" s="6"/>
      <c r="G479" s="6"/>
    </row>
    <row r="480" spans="2:13" ht="12.95" customHeight="1" x14ac:dyDescent="0.3">
      <c r="B480" s="108" t="s">
        <v>283</v>
      </c>
      <c r="C480" s="108"/>
      <c r="D480" s="14"/>
      <c r="E480" s="14"/>
      <c r="F480" s="109"/>
      <c r="G480" s="109" t="s">
        <v>60</v>
      </c>
      <c r="H480" s="6"/>
      <c r="I480" s="6"/>
      <c r="J480" s="14"/>
      <c r="K480" s="14"/>
    </row>
    <row r="481" spans="2:13" ht="12.95" customHeight="1" x14ac:dyDescent="0.3">
      <c r="B481" s="242" t="s">
        <v>13</v>
      </c>
      <c r="C481" s="244" t="s">
        <v>67</v>
      </c>
      <c r="D481" s="246" t="s">
        <v>21</v>
      </c>
      <c r="E481" s="237" t="s">
        <v>14</v>
      </c>
      <c r="F481" s="237" t="s">
        <v>15</v>
      </c>
      <c r="G481" s="251" t="s">
        <v>16</v>
      </c>
    </row>
    <row r="482" spans="2:13" ht="12.95" customHeight="1" x14ac:dyDescent="0.3">
      <c r="B482" s="243"/>
      <c r="C482" s="245"/>
      <c r="D482" s="246"/>
      <c r="E482" s="239"/>
      <c r="F482" s="239"/>
      <c r="G482" s="252"/>
      <c r="H482" s="6"/>
      <c r="I482" s="6"/>
      <c r="J482" s="6"/>
      <c r="K482" s="6"/>
      <c r="L482" s="6"/>
      <c r="M482" s="6"/>
    </row>
    <row r="483" spans="2:13" ht="12.95" customHeight="1" x14ac:dyDescent="0.3">
      <c r="B483" s="83" t="s">
        <v>75</v>
      </c>
      <c r="C483" s="83" t="s">
        <v>103</v>
      </c>
      <c r="D483" s="85" t="s">
        <v>104</v>
      </c>
      <c r="E483" s="173">
        <v>0</v>
      </c>
      <c r="F483" s="56">
        <v>2.7</v>
      </c>
      <c r="G483" s="5">
        <f t="shared" ref="G483:G487" si="148">TRUNC($E483*F483,1)</f>
        <v>0</v>
      </c>
      <c r="H483" s="6"/>
      <c r="I483" s="6"/>
      <c r="J483" s="6"/>
      <c r="K483" s="6"/>
      <c r="L483" s="6"/>
      <c r="M483" s="6"/>
    </row>
    <row r="484" spans="2:13" ht="12.95" customHeight="1" x14ac:dyDescent="0.3">
      <c r="B484" s="83" t="s">
        <v>100</v>
      </c>
      <c r="C484" s="83"/>
      <c r="D484" s="85" t="s">
        <v>105</v>
      </c>
      <c r="E484" s="82">
        <v>0</v>
      </c>
      <c r="F484" s="56">
        <v>0.26</v>
      </c>
      <c r="G484" s="5">
        <f t="shared" si="148"/>
        <v>0</v>
      </c>
      <c r="H484" s="6"/>
      <c r="I484" s="6"/>
      <c r="J484" s="6"/>
      <c r="K484" s="6"/>
      <c r="L484" s="6"/>
      <c r="M484" s="6"/>
    </row>
    <row r="485" spans="2:13" ht="12.95" customHeight="1" x14ac:dyDescent="0.3">
      <c r="B485" s="83" t="s">
        <v>79</v>
      </c>
      <c r="C485" s="83"/>
      <c r="D485" s="85" t="s">
        <v>107</v>
      </c>
      <c r="E485" s="82">
        <v>0</v>
      </c>
      <c r="F485" s="56">
        <v>0.25</v>
      </c>
      <c r="G485" s="5">
        <f t="shared" si="148"/>
        <v>0</v>
      </c>
      <c r="H485" s="6"/>
      <c r="I485" s="6"/>
      <c r="J485" s="6"/>
      <c r="K485" s="6"/>
      <c r="L485" s="6"/>
      <c r="M485" s="6"/>
    </row>
    <row r="486" spans="2:13" ht="12.95" customHeight="1" x14ac:dyDescent="0.3">
      <c r="B486" s="83" t="s">
        <v>101</v>
      </c>
      <c r="C486" s="83"/>
      <c r="D486" s="85" t="s">
        <v>105</v>
      </c>
      <c r="E486" s="82">
        <v>0</v>
      </c>
      <c r="F486" s="56">
        <v>0.27</v>
      </c>
      <c r="G486" s="5">
        <f t="shared" si="148"/>
        <v>0</v>
      </c>
      <c r="H486" s="6"/>
      <c r="I486" s="6"/>
      <c r="J486" s="6"/>
      <c r="K486" s="6"/>
      <c r="L486" s="6"/>
      <c r="M486" s="6"/>
    </row>
    <row r="487" spans="2:13" ht="12.95" customHeight="1" x14ac:dyDescent="0.3">
      <c r="B487" s="83" t="s">
        <v>102</v>
      </c>
      <c r="C487" s="83"/>
      <c r="D487" s="85" t="s">
        <v>108</v>
      </c>
      <c r="E487" s="82">
        <v>0</v>
      </c>
      <c r="F487" s="56">
        <v>1.24</v>
      </c>
      <c r="G487" s="5">
        <f t="shared" si="148"/>
        <v>0</v>
      </c>
      <c r="H487" s="6"/>
      <c r="I487" s="6"/>
      <c r="J487" s="6"/>
      <c r="K487" s="6"/>
      <c r="L487" s="6"/>
      <c r="M487" s="6"/>
    </row>
    <row r="488" spans="2:13" ht="12.95" customHeight="1" x14ac:dyDescent="0.3">
      <c r="B488" s="162" t="s">
        <v>31</v>
      </c>
      <c r="C488" s="163"/>
      <c r="D488" s="42"/>
      <c r="E488" s="43" t="s">
        <v>65</v>
      </c>
      <c r="F488" s="168" t="s">
        <v>65</v>
      </c>
      <c r="G488" s="42">
        <f>TRUNC(SUM(G483:G487))</f>
        <v>0</v>
      </c>
      <c r="H488" s="6"/>
      <c r="I488" s="6"/>
      <c r="J488" s="6"/>
      <c r="K488" s="6"/>
      <c r="L488" s="6"/>
      <c r="M488" s="6"/>
    </row>
    <row r="489" spans="2:13" ht="12.95" customHeight="1" x14ac:dyDescent="0.3">
      <c r="B489" s="83"/>
      <c r="C489" s="92"/>
      <c r="D489" s="18"/>
      <c r="E489" s="92"/>
      <c r="F489" s="86"/>
      <c r="G489" s="19"/>
      <c r="H489" s="6"/>
      <c r="I489" s="6"/>
      <c r="J489" s="6"/>
      <c r="K489" s="6"/>
      <c r="L489" s="6"/>
      <c r="M489" s="6"/>
    </row>
    <row r="490" spans="2:13" ht="12.95" customHeight="1" x14ac:dyDescent="0.3">
      <c r="B490" s="98" t="s">
        <v>38</v>
      </c>
      <c r="C490" s="154"/>
      <c r="D490" s="154"/>
      <c r="E490" s="101"/>
      <c r="F490" s="102"/>
      <c r="G490" s="9">
        <f>SUM(G488)</f>
        <v>0</v>
      </c>
      <c r="H490" s="6"/>
      <c r="I490" s="6"/>
      <c r="J490" s="6"/>
      <c r="K490" s="6"/>
      <c r="L490" s="6"/>
      <c r="M490" s="6"/>
    </row>
    <row r="491" spans="2:13" ht="12.95" customHeight="1" x14ac:dyDescent="0.3">
      <c r="B491" s="172"/>
      <c r="C491" s="172"/>
      <c r="D491" s="172"/>
      <c r="E491" s="172"/>
      <c r="F491" s="6"/>
      <c r="G491" s="6"/>
      <c r="H491" s="6"/>
      <c r="I491" s="6"/>
      <c r="J491" s="6"/>
      <c r="K491" s="6"/>
      <c r="L491" s="6"/>
      <c r="M491" s="6"/>
    </row>
    <row r="492" spans="2:13" ht="12.95" customHeight="1" x14ac:dyDescent="0.3">
      <c r="B492" s="14" t="s">
        <v>126</v>
      </c>
      <c r="C492" s="14"/>
      <c r="D492" s="14"/>
      <c r="E492" s="14"/>
      <c r="F492" s="109"/>
      <c r="G492" s="109" t="s">
        <v>244</v>
      </c>
      <c r="H492" s="6"/>
      <c r="I492" s="6"/>
      <c r="J492" s="6"/>
      <c r="K492" s="6"/>
      <c r="L492" s="6"/>
      <c r="M492" s="6"/>
    </row>
    <row r="493" spans="2:13" ht="12.95" customHeight="1" x14ac:dyDescent="0.3">
      <c r="B493" s="234" t="s">
        <v>13</v>
      </c>
      <c r="C493" s="237" t="s">
        <v>20</v>
      </c>
      <c r="D493" s="237" t="s">
        <v>21</v>
      </c>
      <c r="E493" s="237" t="s">
        <v>14</v>
      </c>
      <c r="F493" s="220" t="s">
        <v>245</v>
      </c>
      <c r="G493" s="209">
        <v>135</v>
      </c>
    </row>
    <row r="494" spans="2:13" ht="12.95" customHeight="1" x14ac:dyDescent="0.3">
      <c r="B494" s="236"/>
      <c r="C494" s="239"/>
      <c r="D494" s="239"/>
      <c r="E494" s="239"/>
      <c r="F494" s="79" t="s">
        <v>246</v>
      </c>
      <c r="G494" s="80" t="s">
        <v>247</v>
      </c>
    </row>
    <row r="495" spans="2:13" ht="12.95" customHeight="1" x14ac:dyDescent="0.3">
      <c r="B495" s="83" t="s">
        <v>22</v>
      </c>
      <c r="C495" s="106" t="s">
        <v>34</v>
      </c>
      <c r="D495" s="85" t="s">
        <v>47</v>
      </c>
      <c r="E495" s="86"/>
      <c r="F495" s="37">
        <v>1</v>
      </c>
      <c r="G495" s="8">
        <f>TRUNC(SUM(G498:G499)*0.03,1)</f>
        <v>30536.5</v>
      </c>
    </row>
    <row r="496" spans="2:13" ht="12.95" customHeight="1" x14ac:dyDescent="0.3">
      <c r="B496" s="87" t="s">
        <v>31</v>
      </c>
      <c r="C496" s="211"/>
      <c r="D496" s="210"/>
      <c r="E496" s="212"/>
      <c r="F496" s="37"/>
      <c r="G496" s="213">
        <f>TRUNC(SUM(G495:G495))</f>
        <v>30536</v>
      </c>
    </row>
    <row r="497" spans="2:13" ht="12.95" customHeight="1" x14ac:dyDescent="0.3">
      <c r="B497" s="214"/>
      <c r="C497" s="211"/>
      <c r="D497" s="210"/>
      <c r="E497" s="212"/>
      <c r="F497" s="37"/>
      <c r="G497" s="215"/>
    </row>
    <row r="498" spans="2:13" ht="12.95" customHeight="1" x14ac:dyDescent="0.3">
      <c r="B498" s="91" t="s">
        <v>30</v>
      </c>
      <c r="C498" s="91"/>
      <c r="D498" s="95" t="s">
        <v>27</v>
      </c>
      <c r="E498" s="82">
        <v>281939</v>
      </c>
      <c r="F498" s="37">
        <v>3</v>
      </c>
      <c r="G498" s="5">
        <f t="shared" ref="G498:G499" si="149">TRUNC($E498*F498,1)</f>
        <v>845817</v>
      </c>
    </row>
    <row r="499" spans="2:13" ht="12.95" customHeight="1" x14ac:dyDescent="0.3">
      <c r="B499" s="91" t="s">
        <v>4</v>
      </c>
      <c r="C499" s="91"/>
      <c r="D499" s="95" t="s">
        <v>27</v>
      </c>
      <c r="E499" s="82">
        <v>172068</v>
      </c>
      <c r="F499" s="37">
        <v>1</v>
      </c>
      <c r="G499" s="5">
        <f t="shared" si="149"/>
        <v>172068</v>
      </c>
    </row>
    <row r="500" spans="2:13" ht="12.95" customHeight="1" x14ac:dyDescent="0.3">
      <c r="B500" s="96" t="s">
        <v>32</v>
      </c>
      <c r="C500" s="211"/>
      <c r="D500" s="210"/>
      <c r="E500" s="212"/>
      <c r="F500" s="37"/>
      <c r="G500" s="213">
        <f>TRUNC(SUM(G498:G499))</f>
        <v>1017885</v>
      </c>
    </row>
    <row r="501" spans="2:13" ht="12.95" customHeight="1" x14ac:dyDescent="0.3">
      <c r="B501" s="214"/>
      <c r="C501" s="217"/>
      <c r="D501" s="212"/>
      <c r="E501" s="212"/>
      <c r="F501" s="216"/>
      <c r="G501" s="218"/>
    </row>
    <row r="502" spans="2:13" ht="12.95" customHeight="1" x14ac:dyDescent="0.3">
      <c r="B502" s="219" t="s">
        <v>38</v>
      </c>
      <c r="C502" s="217"/>
      <c r="D502" s="212"/>
      <c r="E502" s="212"/>
      <c r="F502" s="216"/>
      <c r="G502" s="218">
        <f>SUM(G496+G500)</f>
        <v>1048421</v>
      </c>
    </row>
    <row r="503" spans="2:13" ht="12.95" customHeight="1" x14ac:dyDescent="0.3">
      <c r="B503" s="98" t="s">
        <v>248</v>
      </c>
      <c r="C503" s="99"/>
      <c r="D503" s="100"/>
      <c r="E503" s="101"/>
      <c r="F503" s="102"/>
      <c r="G503" s="9">
        <f>TRUNC((G502/G493)*10)</f>
        <v>77660</v>
      </c>
    </row>
    <row r="504" spans="2:13" ht="12.95" customHeight="1" x14ac:dyDescent="0.3">
      <c r="B504" s="6"/>
      <c r="C504" s="6"/>
      <c r="D504" s="6"/>
      <c r="E504" s="6"/>
      <c r="F504" s="6"/>
      <c r="G504" s="6"/>
    </row>
    <row r="505" spans="2:13" ht="12.95" customHeight="1" x14ac:dyDescent="0.3">
      <c r="B505" s="108" t="s">
        <v>285</v>
      </c>
      <c r="C505" s="108"/>
      <c r="D505" s="14"/>
      <c r="E505" s="14"/>
      <c r="F505" s="109"/>
      <c r="G505" s="109" t="s">
        <v>60</v>
      </c>
      <c r="H505" s="6"/>
      <c r="I505" s="6"/>
      <c r="J505" s="14"/>
      <c r="K505" s="14"/>
    </row>
    <row r="506" spans="2:13" ht="12.95" customHeight="1" x14ac:dyDescent="0.3">
      <c r="B506" s="242" t="s">
        <v>13</v>
      </c>
      <c r="C506" s="244" t="s">
        <v>67</v>
      </c>
      <c r="D506" s="246" t="s">
        <v>21</v>
      </c>
      <c r="E506" s="237" t="s">
        <v>14</v>
      </c>
      <c r="F506" s="237" t="s">
        <v>15</v>
      </c>
      <c r="G506" s="251" t="s">
        <v>16</v>
      </c>
      <c r="H506" s="6"/>
      <c r="I506" s="6"/>
      <c r="J506" s="6"/>
      <c r="K506" s="6"/>
      <c r="L506" s="6"/>
      <c r="M506" s="6"/>
    </row>
    <row r="507" spans="2:13" ht="12.95" customHeight="1" x14ac:dyDescent="0.3">
      <c r="B507" s="243"/>
      <c r="C507" s="245"/>
      <c r="D507" s="246"/>
      <c r="E507" s="239"/>
      <c r="F507" s="239"/>
      <c r="G507" s="252"/>
      <c r="H507" s="6"/>
      <c r="I507" s="6"/>
      <c r="J507" s="6"/>
      <c r="K507" s="6"/>
      <c r="L507" s="6"/>
      <c r="M507" s="6"/>
    </row>
    <row r="508" spans="2:13" ht="12.95" customHeight="1" x14ac:dyDescent="0.3">
      <c r="B508" s="83" t="s">
        <v>75</v>
      </c>
      <c r="C508" s="83" t="s">
        <v>103</v>
      </c>
      <c r="D508" s="85" t="s">
        <v>104</v>
      </c>
      <c r="E508" s="173">
        <v>0</v>
      </c>
      <c r="F508" s="68">
        <v>0.16700000000000001</v>
      </c>
      <c r="G508" s="5">
        <f t="shared" ref="G508:G513" si="150">TRUNC($E508*F508,1)</f>
        <v>0</v>
      </c>
      <c r="H508" s="6"/>
      <c r="I508" s="6"/>
      <c r="J508" s="6"/>
      <c r="K508" s="6"/>
      <c r="L508" s="6"/>
      <c r="M508" s="6"/>
    </row>
    <row r="509" spans="2:13" ht="12.95" customHeight="1" x14ac:dyDescent="0.3">
      <c r="B509" s="83" t="s">
        <v>100</v>
      </c>
      <c r="C509" s="83"/>
      <c r="D509" s="85" t="s">
        <v>105</v>
      </c>
      <c r="E509" s="82">
        <v>0</v>
      </c>
      <c r="F509" s="68">
        <v>0.11600000000000001</v>
      </c>
      <c r="G509" s="5">
        <f t="shared" si="150"/>
        <v>0</v>
      </c>
      <c r="H509" s="6"/>
      <c r="I509" s="6"/>
      <c r="J509" s="6"/>
      <c r="K509" s="6"/>
      <c r="L509" s="6"/>
      <c r="M509" s="6"/>
    </row>
    <row r="510" spans="2:13" ht="12.95" customHeight="1" x14ac:dyDescent="0.3">
      <c r="B510" s="83" t="s">
        <v>109</v>
      </c>
      <c r="C510" s="175" t="s">
        <v>111</v>
      </c>
      <c r="D510" s="85" t="s">
        <v>107</v>
      </c>
      <c r="E510" s="82">
        <v>0</v>
      </c>
      <c r="F510" s="68">
        <v>0.111</v>
      </c>
      <c r="G510" s="5">
        <f t="shared" si="150"/>
        <v>0</v>
      </c>
      <c r="H510" s="6"/>
      <c r="I510" s="6"/>
      <c r="J510" s="6"/>
      <c r="K510" s="6"/>
      <c r="L510" s="6"/>
      <c r="M510" s="6"/>
    </row>
    <row r="511" spans="2:13" ht="12.95" customHeight="1" x14ac:dyDescent="0.3">
      <c r="B511" s="83" t="s">
        <v>110</v>
      </c>
      <c r="C511" s="83" t="s">
        <v>112</v>
      </c>
      <c r="D511" s="85" t="s">
        <v>105</v>
      </c>
      <c r="E511" s="82">
        <v>0</v>
      </c>
      <c r="F511" s="68">
        <v>0.76400000000000001</v>
      </c>
      <c r="G511" s="5">
        <f t="shared" si="150"/>
        <v>0</v>
      </c>
      <c r="H511" s="6"/>
      <c r="I511" s="6"/>
      <c r="J511" s="6"/>
      <c r="K511" s="6"/>
      <c r="L511" s="6"/>
      <c r="M511" s="6"/>
    </row>
    <row r="512" spans="2:13" ht="12.95" customHeight="1" x14ac:dyDescent="0.3">
      <c r="B512" s="83" t="s">
        <v>101</v>
      </c>
      <c r="C512" s="83"/>
      <c r="D512" s="85" t="s">
        <v>108</v>
      </c>
      <c r="E512" s="82">
        <v>0</v>
      </c>
      <c r="F512" s="68">
        <v>0.127</v>
      </c>
      <c r="G512" s="5">
        <f t="shared" si="150"/>
        <v>0</v>
      </c>
      <c r="H512" s="6"/>
      <c r="I512" s="6"/>
      <c r="J512" s="6"/>
      <c r="K512" s="6"/>
      <c r="L512" s="6"/>
      <c r="M512" s="6"/>
    </row>
    <row r="513" spans="2:15" ht="12.95" customHeight="1" x14ac:dyDescent="0.3">
      <c r="B513" s="83" t="s">
        <v>102</v>
      </c>
      <c r="C513" s="83"/>
      <c r="D513" s="85" t="s">
        <v>108</v>
      </c>
      <c r="E513" s="82">
        <v>0</v>
      </c>
      <c r="F513" s="68">
        <v>1.39</v>
      </c>
      <c r="G513" s="5">
        <f t="shared" si="150"/>
        <v>0</v>
      </c>
      <c r="H513" s="6"/>
      <c r="I513" s="6"/>
      <c r="J513" s="6"/>
      <c r="K513" s="6"/>
      <c r="L513" s="6"/>
      <c r="M513" s="6"/>
    </row>
    <row r="514" spans="2:15" ht="12.95" customHeight="1" x14ac:dyDescent="0.3">
      <c r="B514" s="162" t="s">
        <v>31</v>
      </c>
      <c r="C514" s="163"/>
      <c r="D514" s="42"/>
      <c r="E514" s="43" t="s">
        <v>65</v>
      </c>
      <c r="F514" s="168" t="s">
        <v>65</v>
      </c>
      <c r="G514" s="42">
        <f>TRUNC(SUM(G508:G513))</f>
        <v>0</v>
      </c>
      <c r="H514" s="6"/>
      <c r="I514" s="6"/>
      <c r="J514" s="6"/>
      <c r="K514" s="6"/>
      <c r="L514" s="6"/>
      <c r="M514" s="6"/>
    </row>
    <row r="515" spans="2:15" ht="12.95" customHeight="1" x14ac:dyDescent="0.3">
      <c r="B515" s="83"/>
      <c r="C515" s="83"/>
      <c r="D515" s="83"/>
      <c r="E515" s="92"/>
      <c r="F515" s="92"/>
      <c r="G515" s="19"/>
      <c r="H515" s="6"/>
      <c r="I515" s="6"/>
      <c r="J515" s="6"/>
      <c r="K515" s="6"/>
      <c r="L515" s="6"/>
      <c r="M515" s="6"/>
    </row>
    <row r="516" spans="2:15" ht="12.95" customHeight="1" x14ac:dyDescent="0.3">
      <c r="B516" s="98" t="s">
        <v>38</v>
      </c>
      <c r="C516" s="154"/>
      <c r="D516" s="154"/>
      <c r="E516" s="101"/>
      <c r="F516" s="102"/>
      <c r="G516" s="9">
        <f>SUM(G514)</f>
        <v>0</v>
      </c>
      <c r="H516" s="6"/>
      <c r="I516" s="6"/>
      <c r="J516" s="6"/>
      <c r="K516" s="6"/>
      <c r="L516" s="6"/>
      <c r="M516" s="6"/>
    </row>
    <row r="517" spans="2:15" ht="12.95" customHeight="1" x14ac:dyDescent="0.3">
      <c r="B517" s="172"/>
      <c r="C517" s="172"/>
      <c r="D517" s="172"/>
      <c r="E517" s="172"/>
      <c r="F517" s="6"/>
      <c r="G517" s="6"/>
      <c r="H517" s="6"/>
      <c r="I517" s="6"/>
      <c r="J517" s="6"/>
      <c r="K517" s="6"/>
      <c r="L517" s="6"/>
      <c r="M517" s="6"/>
    </row>
    <row r="518" spans="2:15" ht="12.95" customHeight="1" x14ac:dyDescent="0.3">
      <c r="B518" s="14" t="s">
        <v>127</v>
      </c>
      <c r="C518" s="14"/>
      <c r="D518" s="14"/>
      <c r="E518" s="109"/>
      <c r="F518" s="6"/>
      <c r="G518" s="109" t="s">
        <v>244</v>
      </c>
      <c r="H518" s="6"/>
      <c r="I518" s="6"/>
      <c r="J518" s="6"/>
      <c r="K518" s="6"/>
      <c r="L518" s="6"/>
      <c r="M518" s="6"/>
    </row>
    <row r="519" spans="2:15" ht="12.95" customHeight="1" x14ac:dyDescent="0.3">
      <c r="B519" s="234" t="s">
        <v>13</v>
      </c>
      <c r="C519" s="237" t="s">
        <v>20</v>
      </c>
      <c r="D519" s="237" t="s">
        <v>21</v>
      </c>
      <c r="E519" s="237" t="s">
        <v>14</v>
      </c>
      <c r="F519" s="220" t="s">
        <v>245</v>
      </c>
      <c r="G519" s="209">
        <v>115</v>
      </c>
    </row>
    <row r="520" spans="2:15" ht="12.95" customHeight="1" x14ac:dyDescent="0.3">
      <c r="B520" s="236"/>
      <c r="C520" s="239"/>
      <c r="D520" s="239"/>
      <c r="E520" s="239"/>
      <c r="F520" s="79" t="s">
        <v>246</v>
      </c>
      <c r="G520" s="80" t="s">
        <v>247</v>
      </c>
    </row>
    <row r="521" spans="2:15" ht="12.95" customHeight="1" x14ac:dyDescent="0.3">
      <c r="B521" s="83" t="s">
        <v>22</v>
      </c>
      <c r="C521" s="106" t="s">
        <v>24</v>
      </c>
      <c r="D521" s="85" t="s">
        <v>47</v>
      </c>
      <c r="E521" s="86"/>
      <c r="F521" s="37">
        <v>1</v>
      </c>
      <c r="G521" s="8">
        <f>TRUNC(SUM(G524:G525)*0.02,1)</f>
        <v>20357.7</v>
      </c>
      <c r="N521" s="6"/>
      <c r="O521" s="6"/>
    </row>
    <row r="522" spans="2:15" ht="12.95" customHeight="1" x14ac:dyDescent="0.3">
      <c r="B522" s="87" t="s">
        <v>31</v>
      </c>
      <c r="C522" s="211"/>
      <c r="D522" s="210"/>
      <c r="E522" s="212"/>
      <c r="F522" s="37"/>
      <c r="G522" s="213">
        <f>TRUNC(SUM(G521:G521))</f>
        <v>20357</v>
      </c>
      <c r="N522" s="6"/>
      <c r="O522" s="6"/>
    </row>
    <row r="523" spans="2:15" ht="12.95" customHeight="1" x14ac:dyDescent="0.3">
      <c r="B523" s="214"/>
      <c r="C523" s="211"/>
      <c r="D523" s="210"/>
      <c r="E523" s="212"/>
      <c r="F523" s="37"/>
      <c r="G523" s="215"/>
      <c r="N523" s="6"/>
      <c r="O523" s="6"/>
    </row>
    <row r="524" spans="2:15" ht="12.95" customHeight="1" x14ac:dyDescent="0.3">
      <c r="B524" s="91" t="s">
        <v>30</v>
      </c>
      <c r="C524" s="91"/>
      <c r="D524" s="95" t="s">
        <v>27</v>
      </c>
      <c r="E524" s="82">
        <v>281939</v>
      </c>
      <c r="F524" s="37">
        <v>3</v>
      </c>
      <c r="G524" s="5">
        <f t="shared" ref="G524:G525" si="151">TRUNC($E524*F524,1)</f>
        <v>845817</v>
      </c>
      <c r="N524" s="6"/>
      <c r="O524" s="6"/>
    </row>
    <row r="525" spans="2:15" ht="12.95" customHeight="1" x14ac:dyDescent="0.3">
      <c r="B525" s="91" t="s">
        <v>4</v>
      </c>
      <c r="C525" s="91"/>
      <c r="D525" s="95" t="s">
        <v>27</v>
      </c>
      <c r="E525" s="82">
        <v>172068</v>
      </c>
      <c r="F525" s="37">
        <v>1</v>
      </c>
      <c r="G525" s="5">
        <f t="shared" si="151"/>
        <v>172068</v>
      </c>
      <c r="N525" s="6"/>
      <c r="O525" s="6"/>
    </row>
    <row r="526" spans="2:15" ht="12.95" customHeight="1" x14ac:dyDescent="0.3">
      <c r="B526" s="96" t="s">
        <v>32</v>
      </c>
      <c r="C526" s="211"/>
      <c r="D526" s="210"/>
      <c r="E526" s="212"/>
      <c r="F526" s="37"/>
      <c r="G526" s="213">
        <f>TRUNC(SUM(G524:G525))</f>
        <v>1017885</v>
      </c>
    </row>
    <row r="527" spans="2:15" ht="12.95" customHeight="1" x14ac:dyDescent="0.3">
      <c r="B527" s="214"/>
      <c r="C527" s="217"/>
      <c r="D527" s="212"/>
      <c r="E527" s="212"/>
      <c r="F527" s="216"/>
      <c r="G527" s="218"/>
    </row>
    <row r="528" spans="2:15" ht="12.95" customHeight="1" x14ac:dyDescent="0.3">
      <c r="B528" s="219" t="s">
        <v>38</v>
      </c>
      <c r="C528" s="217"/>
      <c r="D528" s="212"/>
      <c r="E528" s="212"/>
      <c r="F528" s="216"/>
      <c r="G528" s="218">
        <f>SUM(G522+G526)</f>
        <v>1038242</v>
      </c>
    </row>
    <row r="529" spans="2:9" ht="12.95" customHeight="1" x14ac:dyDescent="0.3">
      <c r="B529" s="98" t="s">
        <v>248</v>
      </c>
      <c r="C529" s="99"/>
      <c r="D529" s="100"/>
      <c r="E529" s="101"/>
      <c r="F529" s="102"/>
      <c r="G529" s="9">
        <f>TRUNC((G528/G519)*10)</f>
        <v>90281</v>
      </c>
    </row>
    <row r="530" spans="2:9" ht="12.95" customHeight="1" x14ac:dyDescent="0.3">
      <c r="B530" s="6"/>
      <c r="C530" s="6"/>
      <c r="D530" s="6"/>
      <c r="E530" s="6"/>
      <c r="F530" s="6"/>
      <c r="G530" s="6"/>
    </row>
    <row r="531" spans="2:9" ht="12.95" customHeight="1" x14ac:dyDescent="0.3">
      <c r="B531" s="14" t="s">
        <v>164</v>
      </c>
      <c r="C531" s="14"/>
      <c r="D531" s="14"/>
      <c r="E531" s="109"/>
      <c r="F531" s="6"/>
      <c r="G531" s="109" t="s">
        <v>244</v>
      </c>
      <c r="H531" s="6"/>
      <c r="I531" s="6"/>
    </row>
    <row r="532" spans="2:9" ht="12.95" customHeight="1" x14ac:dyDescent="0.3">
      <c r="B532" s="234" t="s">
        <v>13</v>
      </c>
      <c r="C532" s="237" t="s">
        <v>20</v>
      </c>
      <c r="D532" s="237" t="s">
        <v>21</v>
      </c>
      <c r="E532" s="237" t="s">
        <v>14</v>
      </c>
      <c r="F532" s="205" t="s">
        <v>245</v>
      </c>
      <c r="G532" s="209">
        <v>125</v>
      </c>
      <c r="H532" s="6"/>
      <c r="I532" s="6"/>
    </row>
    <row r="533" spans="2:9" ht="12.95" customHeight="1" x14ac:dyDescent="0.3">
      <c r="B533" s="236"/>
      <c r="C533" s="239"/>
      <c r="D533" s="239"/>
      <c r="E533" s="239"/>
      <c r="F533" s="79" t="s">
        <v>246</v>
      </c>
      <c r="G533" s="80" t="s">
        <v>247</v>
      </c>
    </row>
    <row r="534" spans="2:9" ht="12.95" customHeight="1" x14ac:dyDescent="0.3">
      <c r="B534" s="81" t="s">
        <v>39</v>
      </c>
      <c r="C534" s="92" t="s">
        <v>40</v>
      </c>
      <c r="D534" s="110" t="s">
        <v>46</v>
      </c>
      <c r="E534" s="82">
        <v>9213</v>
      </c>
      <c r="F534" s="37">
        <v>4</v>
      </c>
      <c r="G534" s="5">
        <f t="shared" ref="G534:G535" si="152">TRUNC($E534*F534,1)</f>
        <v>36852</v>
      </c>
    </row>
    <row r="535" spans="2:9" ht="12.95" customHeight="1" x14ac:dyDescent="0.3">
      <c r="B535" s="81" t="s">
        <v>163</v>
      </c>
      <c r="C535" s="92" t="s">
        <v>40</v>
      </c>
      <c r="D535" s="110" t="s">
        <v>46</v>
      </c>
      <c r="E535" s="82">
        <v>9213</v>
      </c>
      <c r="F535" s="37">
        <v>8</v>
      </c>
      <c r="G535" s="5">
        <f t="shared" si="152"/>
        <v>73704</v>
      </c>
    </row>
    <row r="536" spans="2:9" ht="12.95" customHeight="1" x14ac:dyDescent="0.3">
      <c r="B536" s="83" t="s">
        <v>22</v>
      </c>
      <c r="C536" s="84" t="s">
        <v>34</v>
      </c>
      <c r="D536" s="85" t="s">
        <v>47</v>
      </c>
      <c r="E536" s="86"/>
      <c r="F536" s="37">
        <v>1</v>
      </c>
      <c r="G536" s="8">
        <f>TRUNC(SUM(G539:G540)*0.03,1)</f>
        <v>22078.3</v>
      </c>
    </row>
    <row r="537" spans="2:9" ht="12.95" customHeight="1" x14ac:dyDescent="0.3">
      <c r="B537" s="87" t="s">
        <v>31</v>
      </c>
      <c r="C537" s="211"/>
      <c r="D537" s="210"/>
      <c r="E537" s="212"/>
      <c r="F537" s="37"/>
      <c r="G537" s="213">
        <f>TRUNC(SUM(G534:G536))</f>
        <v>132634</v>
      </c>
    </row>
    <row r="538" spans="2:9" ht="12.95" customHeight="1" x14ac:dyDescent="0.3">
      <c r="B538" s="214"/>
      <c r="C538" s="211"/>
      <c r="D538" s="210"/>
      <c r="E538" s="212"/>
      <c r="F538" s="37"/>
      <c r="G538" s="215"/>
    </row>
    <row r="539" spans="2:9" ht="12.95" customHeight="1" x14ac:dyDescent="0.2">
      <c r="B539" s="14" t="s">
        <v>30</v>
      </c>
      <c r="C539" s="115"/>
      <c r="D539" s="85" t="s">
        <v>27</v>
      </c>
      <c r="E539" s="114">
        <v>281939</v>
      </c>
      <c r="F539" s="37">
        <v>2</v>
      </c>
      <c r="G539" s="5">
        <f t="shared" ref="G539:G542" si="153">TRUNC($E539*F539,1)</f>
        <v>563878</v>
      </c>
    </row>
    <row r="540" spans="2:9" ht="12.95" customHeight="1" x14ac:dyDescent="0.2">
      <c r="B540" s="14" t="s">
        <v>37</v>
      </c>
      <c r="C540" s="92"/>
      <c r="D540" s="85" t="s">
        <v>27</v>
      </c>
      <c r="E540" s="114">
        <v>172068</v>
      </c>
      <c r="F540" s="37">
        <v>1</v>
      </c>
      <c r="G540" s="5">
        <f t="shared" si="153"/>
        <v>172068</v>
      </c>
    </row>
    <row r="541" spans="2:9" ht="12.95" customHeight="1" x14ac:dyDescent="0.3">
      <c r="B541" s="81" t="s">
        <v>7</v>
      </c>
      <c r="C541" s="92" t="s">
        <v>40</v>
      </c>
      <c r="D541" s="110" t="s">
        <v>46</v>
      </c>
      <c r="E541" s="82">
        <v>49698</v>
      </c>
      <c r="F541" s="37">
        <v>4</v>
      </c>
      <c r="G541" s="5">
        <f t="shared" si="153"/>
        <v>198792</v>
      </c>
    </row>
    <row r="542" spans="2:9" ht="12.95" customHeight="1" x14ac:dyDescent="0.3">
      <c r="B542" s="81" t="s">
        <v>163</v>
      </c>
      <c r="C542" s="92" t="s">
        <v>40</v>
      </c>
      <c r="D542" s="110" t="s">
        <v>46</v>
      </c>
      <c r="E542" s="82">
        <v>49698</v>
      </c>
      <c r="F542" s="37">
        <v>8</v>
      </c>
      <c r="G542" s="5">
        <f t="shared" si="153"/>
        <v>397584</v>
      </c>
    </row>
    <row r="543" spans="2:9" ht="12.95" customHeight="1" x14ac:dyDescent="0.3">
      <c r="B543" s="96" t="s">
        <v>32</v>
      </c>
      <c r="C543" s="211"/>
      <c r="D543" s="210"/>
      <c r="E543" s="212"/>
      <c r="F543" s="37"/>
      <c r="G543" s="213">
        <f>TRUNC(SUM(G539:G542))</f>
        <v>1332322</v>
      </c>
    </row>
    <row r="544" spans="2:9" ht="12.95" customHeight="1" x14ac:dyDescent="0.3">
      <c r="B544" s="214"/>
      <c r="C544" s="211"/>
      <c r="D544" s="210"/>
      <c r="E544" s="212"/>
      <c r="F544" s="37"/>
      <c r="G544" s="215"/>
    </row>
    <row r="545" spans="2:13" ht="12.95" customHeight="1" x14ac:dyDescent="0.3">
      <c r="B545" s="81" t="s">
        <v>7</v>
      </c>
      <c r="C545" s="92" t="s">
        <v>40</v>
      </c>
      <c r="D545" s="110" t="s">
        <v>46</v>
      </c>
      <c r="E545" s="82">
        <v>11117</v>
      </c>
      <c r="F545" s="37">
        <v>4</v>
      </c>
      <c r="G545" s="5">
        <f t="shared" ref="G545:G546" si="154">TRUNC($E545*F545,1)</f>
        <v>44468</v>
      </c>
    </row>
    <row r="546" spans="2:13" ht="12.95" customHeight="1" x14ac:dyDescent="0.3">
      <c r="B546" s="81" t="s">
        <v>163</v>
      </c>
      <c r="C546" s="92" t="s">
        <v>40</v>
      </c>
      <c r="D546" s="110" t="s">
        <v>46</v>
      </c>
      <c r="E546" s="82">
        <v>36594</v>
      </c>
      <c r="F546" s="37">
        <v>8</v>
      </c>
      <c r="G546" s="5">
        <f t="shared" si="154"/>
        <v>292752</v>
      </c>
    </row>
    <row r="547" spans="2:13" ht="12.95" customHeight="1" x14ac:dyDescent="0.3">
      <c r="B547" s="87" t="s">
        <v>33</v>
      </c>
      <c r="C547" s="211"/>
      <c r="D547" s="212"/>
      <c r="E547" s="212"/>
      <c r="F547" s="216"/>
      <c r="G547" s="213">
        <f>TRUNC(SUM(G545:G546))</f>
        <v>337220</v>
      </c>
    </row>
    <row r="548" spans="2:13" ht="12.95" customHeight="1" x14ac:dyDescent="0.3">
      <c r="B548" s="214"/>
      <c r="C548" s="217"/>
      <c r="D548" s="212"/>
      <c r="E548" s="212"/>
      <c r="F548" s="216"/>
      <c r="G548" s="218"/>
    </row>
    <row r="549" spans="2:13" ht="12.95" customHeight="1" x14ac:dyDescent="0.3">
      <c r="B549" s="219" t="s">
        <v>38</v>
      </c>
      <c r="C549" s="217"/>
      <c r="D549" s="212"/>
      <c r="E549" s="212"/>
      <c r="F549" s="216"/>
      <c r="G549" s="218">
        <f>SUM(G537+G543+G547)</f>
        <v>1802176</v>
      </c>
    </row>
    <row r="550" spans="2:13" ht="12.95" customHeight="1" x14ac:dyDescent="0.3">
      <c r="B550" s="98" t="s">
        <v>248</v>
      </c>
      <c r="C550" s="99"/>
      <c r="D550" s="100"/>
      <c r="E550" s="101"/>
      <c r="F550" s="102"/>
      <c r="G550" s="9">
        <f>TRUNC((G549/G532)*10)</f>
        <v>144174</v>
      </c>
    </row>
    <row r="551" spans="2:13" ht="12.95" customHeight="1" x14ac:dyDescent="0.3">
      <c r="B551" s="14" t="s">
        <v>312</v>
      </c>
      <c r="C551" s="14"/>
      <c r="D551" s="14"/>
      <c r="E551" s="109"/>
      <c r="F551" s="6"/>
      <c r="G551" s="109"/>
      <c r="H551" s="6"/>
      <c r="I551" s="6"/>
      <c r="J551" s="6"/>
      <c r="K551" s="6"/>
      <c r="L551" s="6"/>
      <c r="M551" s="6"/>
    </row>
    <row r="552" spans="2:13" ht="12.95" customHeight="1" x14ac:dyDescent="0.3"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</row>
    <row r="553" spans="2:13" ht="12.95" customHeight="1" x14ac:dyDescent="0.3">
      <c r="B553" s="14" t="s">
        <v>165</v>
      </c>
      <c r="C553" s="14"/>
      <c r="D553" s="14"/>
      <c r="E553" s="109"/>
      <c r="F553" s="6"/>
      <c r="G553" s="109" t="s">
        <v>74</v>
      </c>
      <c r="H553" s="6"/>
      <c r="I553" s="6"/>
      <c r="J553" s="6"/>
      <c r="K553" s="6"/>
      <c r="L553" s="6"/>
      <c r="M553" s="6"/>
    </row>
    <row r="554" spans="2:13" ht="12.95" customHeight="1" x14ac:dyDescent="0.3">
      <c r="B554" s="234" t="s">
        <v>13</v>
      </c>
      <c r="C554" s="237" t="s">
        <v>20</v>
      </c>
      <c r="D554" s="237" t="s">
        <v>21</v>
      </c>
      <c r="E554" s="237" t="s">
        <v>14</v>
      </c>
      <c r="F554" s="205" t="s">
        <v>245</v>
      </c>
      <c r="G554" s="209">
        <v>180</v>
      </c>
      <c r="H554" s="6"/>
      <c r="I554" s="6"/>
    </row>
    <row r="555" spans="2:13" ht="12.95" customHeight="1" x14ac:dyDescent="0.3">
      <c r="B555" s="236"/>
      <c r="C555" s="239"/>
      <c r="D555" s="239"/>
      <c r="E555" s="239"/>
      <c r="F555" s="79" t="s">
        <v>246</v>
      </c>
      <c r="G555" s="80" t="s">
        <v>247</v>
      </c>
    </row>
    <row r="556" spans="2:13" ht="12.95" customHeight="1" x14ac:dyDescent="0.3">
      <c r="B556" s="81" t="s">
        <v>163</v>
      </c>
      <c r="C556" s="92" t="s">
        <v>40</v>
      </c>
      <c r="D556" s="110" t="s">
        <v>46</v>
      </c>
      <c r="E556" s="82">
        <v>9213</v>
      </c>
      <c r="F556" s="37">
        <v>8</v>
      </c>
      <c r="G556" s="5">
        <f t="shared" ref="G556" si="155">TRUNC($E556*F556,1)</f>
        <v>73704</v>
      </c>
    </row>
    <row r="557" spans="2:13" ht="12.95" customHeight="1" x14ac:dyDescent="0.3">
      <c r="B557" s="83" t="s">
        <v>22</v>
      </c>
      <c r="C557" s="84" t="s">
        <v>34</v>
      </c>
      <c r="D557" s="85" t="s">
        <v>47</v>
      </c>
      <c r="E557" s="86"/>
      <c r="F557" s="37">
        <v>1</v>
      </c>
      <c r="G557" s="8">
        <f>TRUNC(SUM(G560:G561)*0.03,1)</f>
        <v>22078.3</v>
      </c>
    </row>
    <row r="558" spans="2:13" ht="12.95" customHeight="1" x14ac:dyDescent="0.3">
      <c r="B558" s="87" t="s">
        <v>31</v>
      </c>
      <c r="C558" s="211"/>
      <c r="D558" s="210"/>
      <c r="E558" s="212"/>
      <c r="F558" s="37"/>
      <c r="G558" s="213">
        <f>TRUNC(SUM(G556:G557))</f>
        <v>95782</v>
      </c>
    </row>
    <row r="559" spans="2:13" ht="12.95" customHeight="1" x14ac:dyDescent="0.3">
      <c r="B559" s="214"/>
      <c r="C559" s="211"/>
      <c r="D559" s="210"/>
      <c r="E559" s="212"/>
      <c r="F559" s="37"/>
      <c r="G559" s="215"/>
    </row>
    <row r="560" spans="2:13" ht="12.95" customHeight="1" x14ac:dyDescent="0.2">
      <c r="B560" s="14" t="s">
        <v>30</v>
      </c>
      <c r="C560" s="115"/>
      <c r="D560" s="85" t="s">
        <v>27</v>
      </c>
      <c r="E560" s="114">
        <v>281939</v>
      </c>
      <c r="F560" s="37">
        <v>2</v>
      </c>
      <c r="G560" s="5">
        <f t="shared" ref="G560:G562" si="156">TRUNC($E560*F560,1)</f>
        <v>563878</v>
      </c>
    </row>
    <row r="561" spans="2:13" ht="12.95" customHeight="1" x14ac:dyDescent="0.2">
      <c r="B561" s="14" t="s">
        <v>37</v>
      </c>
      <c r="C561" s="92"/>
      <c r="D561" s="85" t="s">
        <v>27</v>
      </c>
      <c r="E561" s="114">
        <v>172068</v>
      </c>
      <c r="F561" s="37">
        <v>1</v>
      </c>
      <c r="G561" s="5">
        <f t="shared" si="156"/>
        <v>172068</v>
      </c>
    </row>
    <row r="562" spans="2:13" ht="12.95" customHeight="1" x14ac:dyDescent="0.3">
      <c r="B562" s="81" t="s">
        <v>163</v>
      </c>
      <c r="C562" s="92" t="s">
        <v>40</v>
      </c>
      <c r="D562" s="110" t="s">
        <v>46</v>
      </c>
      <c r="E562" s="82">
        <v>49698</v>
      </c>
      <c r="F562" s="37">
        <v>8</v>
      </c>
      <c r="G562" s="5">
        <f t="shared" si="156"/>
        <v>397584</v>
      </c>
    </row>
    <row r="563" spans="2:13" ht="12.95" customHeight="1" x14ac:dyDescent="0.3">
      <c r="B563" s="96" t="s">
        <v>32</v>
      </c>
      <c r="C563" s="211"/>
      <c r="D563" s="210"/>
      <c r="E563" s="212"/>
      <c r="F563" s="37"/>
      <c r="G563" s="213">
        <f>TRUNC(SUM(G560:G562))</f>
        <v>1133530</v>
      </c>
    </row>
    <row r="564" spans="2:13" ht="12.95" customHeight="1" x14ac:dyDescent="0.3">
      <c r="B564" s="214"/>
      <c r="C564" s="211"/>
      <c r="D564" s="210"/>
      <c r="E564" s="212"/>
      <c r="F564" s="37"/>
      <c r="G564" s="215"/>
    </row>
    <row r="565" spans="2:13" ht="12.95" customHeight="1" x14ac:dyDescent="0.3">
      <c r="B565" s="81" t="s">
        <v>163</v>
      </c>
      <c r="C565" s="92" t="s">
        <v>40</v>
      </c>
      <c r="D565" s="110" t="s">
        <v>46</v>
      </c>
      <c r="E565" s="82">
        <v>36594</v>
      </c>
      <c r="F565" s="37">
        <v>8</v>
      </c>
      <c r="G565" s="5">
        <f t="shared" ref="G565" si="157">TRUNC($E565*F565,1)</f>
        <v>292752</v>
      </c>
    </row>
    <row r="566" spans="2:13" ht="12.95" customHeight="1" x14ac:dyDescent="0.3">
      <c r="B566" s="87" t="s">
        <v>33</v>
      </c>
      <c r="C566" s="211"/>
      <c r="D566" s="212"/>
      <c r="E566" s="212"/>
      <c r="F566" s="216"/>
      <c r="G566" s="213">
        <f>TRUNC(SUM(G565:G565))</f>
        <v>292752</v>
      </c>
    </row>
    <row r="567" spans="2:13" ht="12.95" customHeight="1" x14ac:dyDescent="0.3">
      <c r="B567" s="214"/>
      <c r="C567" s="217"/>
      <c r="D567" s="212"/>
      <c r="E567" s="212"/>
      <c r="F567" s="216"/>
      <c r="G567" s="218"/>
    </row>
    <row r="568" spans="2:13" ht="12.95" customHeight="1" x14ac:dyDescent="0.3">
      <c r="B568" s="219" t="s">
        <v>38</v>
      </c>
      <c r="C568" s="217"/>
      <c r="D568" s="212"/>
      <c r="E568" s="212"/>
      <c r="F568" s="216"/>
      <c r="G568" s="218">
        <f>SUM(G558+G563+G566)</f>
        <v>1522064</v>
      </c>
    </row>
    <row r="569" spans="2:13" ht="12.95" customHeight="1" x14ac:dyDescent="0.3">
      <c r="B569" s="98" t="s">
        <v>248</v>
      </c>
      <c r="C569" s="99"/>
      <c r="D569" s="100"/>
      <c r="E569" s="101"/>
      <c r="F569" s="102"/>
      <c r="G569" s="9">
        <f>TRUNC((G568/G554)*10)</f>
        <v>84559</v>
      </c>
    </row>
    <row r="570" spans="2:13" ht="12.95" customHeight="1" x14ac:dyDescent="0.3">
      <c r="B570" s="14" t="s">
        <v>313</v>
      </c>
      <c r="C570" s="14"/>
      <c r="D570" s="14"/>
      <c r="E570" s="109"/>
      <c r="F570" s="6"/>
      <c r="G570" s="109"/>
      <c r="H570" s="6"/>
      <c r="I570" s="6"/>
      <c r="J570" s="6"/>
      <c r="K570" s="6"/>
      <c r="L570" s="6"/>
      <c r="M570" s="6"/>
    </row>
    <row r="571" spans="2:13" ht="12.95" customHeight="1" x14ac:dyDescent="0.3"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</row>
    <row r="572" spans="2:13" ht="12.95" customHeight="1" x14ac:dyDescent="0.3">
      <c r="B572" s="108" t="s">
        <v>286</v>
      </c>
      <c r="C572" s="108"/>
      <c r="D572" s="14"/>
      <c r="E572" s="14"/>
      <c r="F572" s="14"/>
      <c r="G572" s="14"/>
      <c r="H572" s="14"/>
      <c r="I572" s="109" t="s">
        <v>287</v>
      </c>
      <c r="J572" s="6"/>
      <c r="K572" s="6"/>
    </row>
    <row r="573" spans="2:13" ht="12.95" customHeight="1" x14ac:dyDescent="0.3">
      <c r="B573" s="242" t="s">
        <v>13</v>
      </c>
      <c r="C573" s="244" t="s">
        <v>67</v>
      </c>
      <c r="D573" s="246" t="s">
        <v>21</v>
      </c>
      <c r="E573" s="237" t="s">
        <v>14</v>
      </c>
      <c r="F573" s="150" t="s">
        <v>288</v>
      </c>
      <c r="G573" s="151"/>
      <c r="H573" s="150" t="s">
        <v>289</v>
      </c>
      <c r="I573" s="150"/>
      <c r="J573" s="6"/>
      <c r="K573" s="6"/>
    </row>
    <row r="574" spans="2:13" ht="12.95" customHeight="1" x14ac:dyDescent="0.3">
      <c r="B574" s="243"/>
      <c r="C574" s="245"/>
      <c r="D574" s="246"/>
      <c r="E574" s="239"/>
      <c r="F574" s="79" t="s">
        <v>15</v>
      </c>
      <c r="G574" s="79" t="s">
        <v>16</v>
      </c>
      <c r="H574" s="79" t="s">
        <v>15</v>
      </c>
      <c r="I574" s="80" t="s">
        <v>16</v>
      </c>
      <c r="J574" s="6"/>
      <c r="K574" s="6"/>
    </row>
    <row r="575" spans="2:13" ht="12.95" customHeight="1" x14ac:dyDescent="0.3">
      <c r="B575" s="91" t="s">
        <v>22</v>
      </c>
      <c r="C575" s="106" t="s">
        <v>24</v>
      </c>
      <c r="D575" s="110" t="s">
        <v>23</v>
      </c>
      <c r="E575" s="92"/>
      <c r="F575" s="37">
        <v>1</v>
      </c>
      <c r="G575" s="8">
        <f>TRUNC(SUM(G578)*0.02,1)</f>
        <v>3157.7</v>
      </c>
      <c r="H575" s="37">
        <v>1</v>
      </c>
      <c r="I575" s="8">
        <f>TRUNC(SUM(I578)*0.02,1)</f>
        <v>3552.4</v>
      </c>
      <c r="J575" s="67"/>
      <c r="K575" s="57"/>
      <c r="L575" s="6"/>
      <c r="M575" s="6"/>
    </row>
    <row r="576" spans="2:13" ht="12.95" customHeight="1" x14ac:dyDescent="0.3">
      <c r="B576" s="162" t="s">
        <v>31</v>
      </c>
      <c r="C576" s="163"/>
      <c r="D576" s="42"/>
      <c r="E576" s="43" t="s">
        <v>65</v>
      </c>
      <c r="F576" s="168" t="s">
        <v>65</v>
      </c>
      <c r="G576" s="42">
        <f>TRUNC(SUM(G575))</f>
        <v>3157</v>
      </c>
      <c r="H576" s="168" t="s">
        <v>65</v>
      </c>
      <c r="I576" s="42">
        <f>TRUNC(SUM(I575))</f>
        <v>3552</v>
      </c>
      <c r="J576" s="178"/>
      <c r="K576" s="49"/>
      <c r="L576" s="6"/>
      <c r="M576" s="6"/>
    </row>
    <row r="577" spans="2:13" ht="12.95" customHeight="1" x14ac:dyDescent="0.3">
      <c r="B577" s="83"/>
      <c r="C577" s="92"/>
      <c r="D577" s="18"/>
      <c r="E577" s="92"/>
      <c r="F577" s="86"/>
      <c r="G577" s="19"/>
      <c r="H577" s="86"/>
      <c r="I577" s="19"/>
      <c r="J577" s="14"/>
      <c r="K577" s="50"/>
      <c r="L577" s="6"/>
      <c r="M577" s="6"/>
    </row>
    <row r="578" spans="2:13" ht="12.95" customHeight="1" x14ac:dyDescent="0.3">
      <c r="B578" s="83" t="s">
        <v>5</v>
      </c>
      <c r="C578" s="83"/>
      <c r="D578" s="85" t="s">
        <v>27</v>
      </c>
      <c r="E578" s="171">
        <v>281939</v>
      </c>
      <c r="F578" s="60">
        <v>0.56000000000000005</v>
      </c>
      <c r="G578" s="5">
        <f t="shared" ref="G578" si="158">TRUNC($E578*F578,1)</f>
        <v>157885.79999999999</v>
      </c>
      <c r="H578" s="56">
        <v>0.63</v>
      </c>
      <c r="I578" s="5">
        <f t="shared" ref="I578" si="159">TRUNC($E578*H578,1)</f>
        <v>177621.5</v>
      </c>
      <c r="J578" s="6"/>
      <c r="K578" s="6"/>
    </row>
    <row r="579" spans="2:13" ht="12.95" customHeight="1" x14ac:dyDescent="0.3">
      <c r="B579" s="96" t="s">
        <v>32</v>
      </c>
      <c r="C579" s="119"/>
      <c r="D579" s="40"/>
      <c r="E579" s="119"/>
      <c r="F579" s="119"/>
      <c r="G579" s="40">
        <f>TRUNC(SUM(G578:G578))</f>
        <v>157885</v>
      </c>
      <c r="H579" s="119"/>
      <c r="I579" s="41">
        <f>TRUNC(SUM(I578:I578))</f>
        <v>177621</v>
      </c>
      <c r="J579" s="6"/>
      <c r="K579" s="6"/>
    </row>
    <row r="580" spans="2:13" ht="12.95" customHeight="1" x14ac:dyDescent="0.3">
      <c r="B580" s="83"/>
      <c r="C580" s="83"/>
      <c r="D580" s="18"/>
      <c r="E580" s="92"/>
      <c r="F580" s="92"/>
      <c r="G580" s="18"/>
      <c r="H580" s="92"/>
      <c r="I580" s="19"/>
      <c r="J580" s="6"/>
      <c r="K580" s="6"/>
    </row>
    <row r="581" spans="2:13" ht="12.95" customHeight="1" x14ac:dyDescent="0.3">
      <c r="B581" s="98" t="s">
        <v>38</v>
      </c>
      <c r="C581" s="154"/>
      <c r="D581" s="20"/>
      <c r="E581" s="101"/>
      <c r="F581" s="102"/>
      <c r="G581" s="13">
        <f>SUM(G576+G579)</f>
        <v>161042</v>
      </c>
      <c r="H581" s="102"/>
      <c r="I581" s="13">
        <f>SUM(I576+I579)</f>
        <v>181173</v>
      </c>
      <c r="J581" s="6"/>
      <c r="K581" s="6"/>
    </row>
    <row r="582" spans="2:13" ht="12.95" customHeight="1" x14ac:dyDescent="0.3"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</row>
    <row r="583" spans="2:13" ht="12.95" customHeight="1" x14ac:dyDescent="0.3">
      <c r="B583" s="14" t="s">
        <v>290</v>
      </c>
      <c r="C583" s="14"/>
      <c r="D583" s="14"/>
      <c r="E583" s="14"/>
      <c r="F583" s="109"/>
      <c r="G583" s="109" t="s">
        <v>74</v>
      </c>
      <c r="H583" s="6"/>
      <c r="I583" s="6"/>
      <c r="J583" s="6"/>
      <c r="K583" s="6"/>
      <c r="L583" s="6"/>
      <c r="M583" s="6"/>
    </row>
    <row r="584" spans="2:13" ht="12.95" customHeight="1" x14ac:dyDescent="0.3">
      <c r="B584" s="242" t="s">
        <v>13</v>
      </c>
      <c r="C584" s="244" t="s">
        <v>67</v>
      </c>
      <c r="D584" s="246" t="s">
        <v>21</v>
      </c>
      <c r="E584" s="237" t="s">
        <v>14</v>
      </c>
      <c r="F584" s="237" t="s">
        <v>15</v>
      </c>
      <c r="G584" s="251" t="s">
        <v>16</v>
      </c>
      <c r="H584" s="6"/>
      <c r="I584" s="6"/>
      <c r="J584" s="6"/>
      <c r="K584" s="6"/>
      <c r="L584" s="6"/>
      <c r="M584" s="6"/>
    </row>
    <row r="585" spans="2:13" ht="12.95" customHeight="1" x14ac:dyDescent="0.3">
      <c r="B585" s="243"/>
      <c r="C585" s="245"/>
      <c r="D585" s="246"/>
      <c r="E585" s="239"/>
      <c r="F585" s="239"/>
      <c r="G585" s="252"/>
      <c r="H585" s="6"/>
      <c r="I585" s="6"/>
      <c r="J585" s="6"/>
      <c r="K585" s="6"/>
      <c r="L585" s="6"/>
      <c r="M585" s="6"/>
    </row>
    <row r="586" spans="2:13" ht="12.95" customHeight="1" x14ac:dyDescent="0.3">
      <c r="B586" s="83" t="s">
        <v>102</v>
      </c>
      <c r="C586" s="83"/>
      <c r="D586" s="85" t="s">
        <v>108</v>
      </c>
      <c r="E586" s="173">
        <v>0</v>
      </c>
      <c r="F586" s="56">
        <v>12.4</v>
      </c>
      <c r="G586" s="5">
        <f t="shared" ref="G586:G588" si="160">TRUNC($E586*F586,1)</f>
        <v>0</v>
      </c>
      <c r="H586" s="6"/>
      <c r="I586" s="6"/>
      <c r="J586" s="6"/>
      <c r="K586" s="6"/>
      <c r="L586" s="6"/>
      <c r="M586" s="6"/>
    </row>
    <row r="587" spans="2:13" ht="12.95" customHeight="1" x14ac:dyDescent="0.3">
      <c r="B587" s="83" t="s">
        <v>76</v>
      </c>
      <c r="C587" s="83"/>
      <c r="D587" s="85" t="s">
        <v>104</v>
      </c>
      <c r="E587" s="82">
        <v>0</v>
      </c>
      <c r="F587" s="56">
        <v>4</v>
      </c>
      <c r="G587" s="5">
        <f t="shared" si="160"/>
        <v>0</v>
      </c>
      <c r="H587" s="6"/>
      <c r="I587" s="6"/>
      <c r="J587" s="6"/>
      <c r="K587" s="6"/>
      <c r="L587" s="6"/>
      <c r="M587" s="6"/>
    </row>
    <row r="588" spans="2:13" ht="12.95" customHeight="1" x14ac:dyDescent="0.3">
      <c r="B588" s="83" t="s">
        <v>77</v>
      </c>
      <c r="C588" s="175" t="s">
        <v>114</v>
      </c>
      <c r="D588" s="85" t="s">
        <v>107</v>
      </c>
      <c r="E588" s="82">
        <v>0</v>
      </c>
      <c r="F588" s="56">
        <v>0.35</v>
      </c>
      <c r="G588" s="5">
        <f t="shared" si="160"/>
        <v>0</v>
      </c>
      <c r="H588" s="6"/>
      <c r="I588" s="6"/>
      <c r="J588" s="6"/>
      <c r="K588" s="6"/>
      <c r="L588" s="6"/>
      <c r="M588" s="6"/>
    </row>
    <row r="589" spans="2:13" ht="12.95" customHeight="1" x14ac:dyDescent="0.3">
      <c r="B589" s="162" t="s">
        <v>31</v>
      </c>
      <c r="C589" s="163"/>
      <c r="D589" s="42"/>
      <c r="E589" s="43" t="s">
        <v>65</v>
      </c>
      <c r="F589" s="65" t="s">
        <v>65</v>
      </c>
      <c r="G589" s="42">
        <f>TRUNC(SUM(G586:G588))</f>
        <v>0</v>
      </c>
      <c r="H589" s="6"/>
      <c r="I589" s="6"/>
      <c r="J589" s="6"/>
      <c r="K589" s="6"/>
      <c r="L589" s="6"/>
      <c r="M589" s="6"/>
    </row>
    <row r="590" spans="2:13" ht="12.95" customHeight="1" x14ac:dyDescent="0.3">
      <c r="B590" s="83"/>
      <c r="C590" s="92"/>
      <c r="D590" s="18"/>
      <c r="E590" s="92"/>
      <c r="F590" s="64"/>
      <c r="G590" s="19"/>
      <c r="H590" s="6"/>
      <c r="I590" s="6"/>
      <c r="J590" s="6"/>
      <c r="K590" s="6"/>
      <c r="L590" s="6"/>
      <c r="M590" s="6"/>
    </row>
    <row r="591" spans="2:13" ht="12.95" customHeight="1" x14ac:dyDescent="0.3">
      <c r="B591" s="83" t="s">
        <v>5</v>
      </c>
      <c r="C591" s="83"/>
      <c r="D591" s="85" t="s">
        <v>27</v>
      </c>
      <c r="E591" s="82">
        <v>281939</v>
      </c>
      <c r="F591" s="56">
        <v>0.17</v>
      </c>
      <c r="G591" s="5">
        <f t="shared" ref="G591:G592" si="161">TRUNC($E591*F591,1)</f>
        <v>47929.599999999999</v>
      </c>
      <c r="H591" s="6"/>
      <c r="I591" s="6"/>
      <c r="J591" s="6"/>
      <c r="K591" s="6"/>
      <c r="L591" s="6"/>
      <c r="M591" s="6"/>
    </row>
    <row r="592" spans="2:13" ht="12.95" customHeight="1" x14ac:dyDescent="0.3">
      <c r="B592" s="83" t="s">
        <v>4</v>
      </c>
      <c r="C592" s="83"/>
      <c r="D592" s="85" t="s">
        <v>27</v>
      </c>
      <c r="E592" s="82">
        <v>172068</v>
      </c>
      <c r="F592" s="56">
        <v>0.05</v>
      </c>
      <c r="G592" s="5">
        <f t="shared" si="161"/>
        <v>8603.4</v>
      </c>
      <c r="H592" s="6"/>
      <c r="I592" s="6"/>
      <c r="J592" s="6"/>
      <c r="K592" s="6"/>
      <c r="L592" s="6"/>
      <c r="M592" s="6"/>
    </row>
    <row r="593" spans="2:13" ht="12.95" customHeight="1" x14ac:dyDescent="0.3">
      <c r="B593" s="169" t="s">
        <v>32</v>
      </c>
      <c r="C593" s="169"/>
      <c r="D593" s="44"/>
      <c r="E593" s="44"/>
      <c r="F593" s="174"/>
      <c r="G593" s="45">
        <f>TRUNC(SUM(G591:G592))</f>
        <v>56533</v>
      </c>
      <c r="H593" s="28"/>
      <c r="I593" s="6"/>
      <c r="J593" s="6"/>
      <c r="K593" s="6"/>
      <c r="L593" s="6"/>
      <c r="M593" s="6"/>
    </row>
    <row r="594" spans="2:13" ht="12.95" customHeight="1" x14ac:dyDescent="0.3">
      <c r="B594" s="83"/>
      <c r="C594" s="83"/>
      <c r="D594" s="83"/>
      <c r="E594" s="92"/>
      <c r="F594" s="92"/>
      <c r="G594" s="19"/>
      <c r="H594" s="6"/>
      <c r="I594" s="6"/>
      <c r="J594" s="6"/>
      <c r="K594" s="6"/>
      <c r="L594" s="6"/>
      <c r="M594" s="6"/>
    </row>
    <row r="595" spans="2:13" ht="12.95" customHeight="1" x14ac:dyDescent="0.3">
      <c r="B595" s="98" t="s">
        <v>38</v>
      </c>
      <c r="C595" s="154"/>
      <c r="D595" s="154"/>
      <c r="E595" s="101"/>
      <c r="F595" s="102"/>
      <c r="G595" s="9">
        <f>SUM(G589+G593)</f>
        <v>56533</v>
      </c>
      <c r="H595" s="6"/>
      <c r="I595" s="6"/>
      <c r="J595" s="6"/>
      <c r="K595" s="6"/>
      <c r="L595" s="6"/>
      <c r="M595" s="6"/>
    </row>
    <row r="596" spans="2:13" ht="12.95" customHeight="1" x14ac:dyDescent="0.3"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</row>
    <row r="597" spans="2:13" ht="12.95" customHeight="1" x14ac:dyDescent="0.3">
      <c r="B597" s="14" t="s">
        <v>291</v>
      </c>
      <c r="C597" s="14"/>
      <c r="D597" s="14"/>
      <c r="E597" s="109"/>
      <c r="F597" s="6"/>
      <c r="G597" s="109" t="s">
        <v>74</v>
      </c>
      <c r="H597" s="6"/>
      <c r="I597" s="6"/>
      <c r="J597" s="176"/>
      <c r="K597" s="6"/>
      <c r="L597" s="6"/>
      <c r="M597" s="6"/>
    </row>
    <row r="598" spans="2:13" ht="12.95" customHeight="1" x14ac:dyDescent="0.3">
      <c r="B598" s="242" t="s">
        <v>13</v>
      </c>
      <c r="C598" s="244" t="s">
        <v>67</v>
      </c>
      <c r="D598" s="246" t="s">
        <v>21</v>
      </c>
      <c r="E598" s="237" t="s">
        <v>14</v>
      </c>
      <c r="F598" s="237" t="s">
        <v>15</v>
      </c>
      <c r="G598" s="251" t="s">
        <v>16</v>
      </c>
      <c r="H598" s="6"/>
      <c r="I598" s="6"/>
      <c r="J598" s="6"/>
      <c r="K598" s="6"/>
      <c r="L598" s="6"/>
      <c r="M598" s="6"/>
    </row>
    <row r="599" spans="2:13" ht="12.95" customHeight="1" x14ac:dyDescent="0.3">
      <c r="B599" s="243"/>
      <c r="C599" s="245"/>
      <c r="D599" s="246"/>
      <c r="E599" s="239"/>
      <c r="F599" s="239"/>
      <c r="G599" s="252"/>
      <c r="H599" s="6"/>
      <c r="I599" s="6"/>
      <c r="J599" s="6"/>
      <c r="K599" s="6"/>
      <c r="L599" s="6"/>
      <c r="M599" s="6"/>
    </row>
    <row r="600" spans="2:13" ht="12.95" customHeight="1" x14ac:dyDescent="0.3">
      <c r="B600" s="83" t="s">
        <v>115</v>
      </c>
      <c r="C600" s="83"/>
      <c r="D600" s="85" t="s">
        <v>108</v>
      </c>
      <c r="E600" s="173">
        <v>0</v>
      </c>
      <c r="F600" s="66">
        <v>10.5</v>
      </c>
      <c r="G600" s="5">
        <f t="shared" ref="G600" si="162">TRUNC($E600*F600,1)</f>
        <v>0</v>
      </c>
      <c r="H600" s="6"/>
      <c r="I600" s="6"/>
      <c r="J600" s="6"/>
      <c r="K600" s="6"/>
      <c r="L600" s="6"/>
      <c r="M600" s="6"/>
    </row>
    <row r="601" spans="2:13" ht="12.95" customHeight="1" x14ac:dyDescent="0.3">
      <c r="B601" s="162" t="s">
        <v>31</v>
      </c>
      <c r="C601" s="163"/>
      <c r="D601" s="42"/>
      <c r="E601" s="43" t="s">
        <v>65</v>
      </c>
      <c r="F601" s="65" t="s">
        <v>65</v>
      </c>
      <c r="G601" s="42">
        <f>TRUNC(SUM(G600:G600))</f>
        <v>0</v>
      </c>
      <c r="H601" s="6"/>
      <c r="I601" s="6"/>
      <c r="J601" s="6"/>
      <c r="K601" s="6"/>
      <c r="L601" s="6"/>
      <c r="M601" s="6"/>
    </row>
    <row r="602" spans="2:13" ht="12.95" customHeight="1" x14ac:dyDescent="0.3">
      <c r="B602" s="83"/>
      <c r="C602" s="92"/>
      <c r="D602" s="18"/>
      <c r="E602" s="92"/>
      <c r="F602" s="64"/>
      <c r="G602" s="19"/>
      <c r="H602" s="6"/>
      <c r="I602" s="6"/>
      <c r="J602" s="6"/>
      <c r="K602" s="6"/>
      <c r="L602" s="6"/>
      <c r="M602" s="6"/>
    </row>
    <row r="603" spans="2:13" ht="12.95" customHeight="1" x14ac:dyDescent="0.3">
      <c r="B603" s="83" t="s">
        <v>5</v>
      </c>
      <c r="C603" s="83"/>
      <c r="D603" s="85" t="s">
        <v>27</v>
      </c>
      <c r="E603" s="82">
        <v>281939</v>
      </c>
      <c r="F603" s="66">
        <v>0.1</v>
      </c>
      <c r="G603" s="5">
        <f t="shared" ref="G603" si="163">TRUNC($E603*F603,1)</f>
        <v>28193.9</v>
      </c>
      <c r="H603" s="6"/>
      <c r="I603" s="6"/>
      <c r="J603" s="6"/>
      <c r="K603" s="6"/>
      <c r="L603" s="6"/>
      <c r="M603" s="6"/>
    </row>
    <row r="604" spans="2:13" ht="12.95" customHeight="1" x14ac:dyDescent="0.3">
      <c r="B604" s="169" t="s">
        <v>32</v>
      </c>
      <c r="C604" s="169"/>
      <c r="D604" s="44"/>
      <c r="E604" s="44"/>
      <c r="F604" s="174"/>
      <c r="G604" s="45">
        <f>TRUNC(SUM(G603:G603))</f>
        <v>28193</v>
      </c>
      <c r="H604" s="28"/>
      <c r="I604" s="6"/>
      <c r="J604" s="6"/>
      <c r="K604" s="6"/>
      <c r="L604" s="6"/>
      <c r="M604" s="6"/>
    </row>
    <row r="605" spans="2:13" ht="12.95" customHeight="1" x14ac:dyDescent="0.3">
      <c r="B605" s="83"/>
      <c r="C605" s="83"/>
      <c r="D605" s="83"/>
      <c r="E605" s="92"/>
      <c r="F605" s="92"/>
      <c r="G605" s="19"/>
      <c r="H605" s="6"/>
      <c r="I605" s="6"/>
      <c r="J605" s="6"/>
      <c r="K605" s="6"/>
      <c r="L605" s="6"/>
      <c r="M605" s="6"/>
    </row>
    <row r="606" spans="2:13" ht="12.95" customHeight="1" x14ac:dyDescent="0.3">
      <c r="B606" s="98" t="s">
        <v>38</v>
      </c>
      <c r="C606" s="154"/>
      <c r="D606" s="154"/>
      <c r="E606" s="101"/>
      <c r="F606" s="102"/>
      <c r="G606" s="9">
        <f>SUM(G601+G604)</f>
        <v>28193</v>
      </c>
      <c r="H606" s="6"/>
      <c r="I606" s="6"/>
      <c r="J606" s="6"/>
      <c r="K606" s="6"/>
      <c r="L606" s="6"/>
      <c r="M606" s="6"/>
    </row>
    <row r="607" spans="2:13" ht="12.95" customHeight="1" x14ac:dyDescent="0.3"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</row>
    <row r="608" spans="2:13" ht="12.95" customHeight="1" x14ac:dyDescent="0.3">
      <c r="B608" s="14" t="s">
        <v>292</v>
      </c>
      <c r="C608" s="14"/>
      <c r="D608" s="14"/>
      <c r="E608" s="109"/>
      <c r="F608" s="6"/>
      <c r="G608" s="109" t="s">
        <v>74</v>
      </c>
      <c r="H608" s="6"/>
      <c r="I608" s="6"/>
      <c r="J608" s="6"/>
      <c r="K608" s="6"/>
      <c r="L608" s="6"/>
      <c r="M608" s="6"/>
    </row>
    <row r="609" spans="2:13" ht="12.95" customHeight="1" x14ac:dyDescent="0.3">
      <c r="B609" s="242" t="s">
        <v>13</v>
      </c>
      <c r="C609" s="244" t="s">
        <v>67</v>
      </c>
      <c r="D609" s="246" t="s">
        <v>21</v>
      </c>
      <c r="E609" s="237" t="s">
        <v>14</v>
      </c>
      <c r="F609" s="237" t="s">
        <v>15</v>
      </c>
      <c r="G609" s="251" t="s">
        <v>16</v>
      </c>
      <c r="H609" s="6"/>
      <c r="I609" s="6"/>
      <c r="J609" s="6"/>
      <c r="K609" s="6"/>
      <c r="L609" s="6"/>
      <c r="M609" s="6"/>
    </row>
    <row r="610" spans="2:13" ht="12.95" customHeight="1" x14ac:dyDescent="0.3">
      <c r="B610" s="243"/>
      <c r="C610" s="245"/>
      <c r="D610" s="246"/>
      <c r="E610" s="239"/>
      <c r="F610" s="239"/>
      <c r="G610" s="252"/>
      <c r="H610" s="6"/>
      <c r="I610" s="6"/>
      <c r="J610" s="6"/>
      <c r="K610" s="6"/>
      <c r="L610" s="6"/>
      <c r="M610" s="6"/>
    </row>
    <row r="611" spans="2:13" ht="12.95" customHeight="1" x14ac:dyDescent="0.3">
      <c r="B611" s="83" t="s">
        <v>115</v>
      </c>
      <c r="C611" s="83"/>
      <c r="D611" s="85" t="s">
        <v>108</v>
      </c>
      <c r="E611" s="173">
        <v>0</v>
      </c>
      <c r="F611" s="66">
        <v>10.5</v>
      </c>
      <c r="G611" s="5">
        <f t="shared" ref="G611" si="164">TRUNC($E611*F611,1)</f>
        <v>0</v>
      </c>
      <c r="H611" s="6"/>
      <c r="I611" s="6"/>
      <c r="J611" s="6"/>
      <c r="K611" s="6"/>
      <c r="L611" s="6"/>
      <c r="M611" s="6"/>
    </row>
    <row r="612" spans="2:13" ht="12.95" customHeight="1" x14ac:dyDescent="0.3">
      <c r="B612" s="162" t="s">
        <v>31</v>
      </c>
      <c r="C612" s="163"/>
      <c r="D612" s="42"/>
      <c r="E612" s="43" t="s">
        <v>65</v>
      </c>
      <c r="F612" s="65" t="s">
        <v>65</v>
      </c>
      <c r="G612" s="42">
        <f>TRUNC(SUM(G611:G611))</f>
        <v>0</v>
      </c>
      <c r="H612" s="6"/>
      <c r="I612" s="6"/>
      <c r="J612" s="6"/>
      <c r="K612" s="6"/>
      <c r="L612" s="6"/>
      <c r="M612" s="6"/>
    </row>
    <row r="613" spans="2:13" ht="12.95" customHeight="1" x14ac:dyDescent="0.3">
      <c r="B613" s="83"/>
      <c r="C613" s="92"/>
      <c r="D613" s="18"/>
      <c r="E613" s="92"/>
      <c r="F613" s="64"/>
      <c r="G613" s="19"/>
      <c r="H613" s="6"/>
      <c r="I613" s="6"/>
      <c r="J613" s="6"/>
      <c r="K613" s="6"/>
      <c r="L613" s="6"/>
      <c r="M613" s="6"/>
    </row>
    <row r="614" spans="2:13" ht="12.95" customHeight="1" x14ac:dyDescent="0.3">
      <c r="B614" s="83" t="s">
        <v>5</v>
      </c>
      <c r="C614" s="83"/>
      <c r="D614" s="85" t="s">
        <v>27</v>
      </c>
      <c r="E614" s="82">
        <v>281939</v>
      </c>
      <c r="F614" s="56">
        <v>0.04</v>
      </c>
      <c r="G614" s="5">
        <f t="shared" ref="G614" si="165">TRUNC($E614*F614,1)</f>
        <v>11277.5</v>
      </c>
      <c r="H614" s="6"/>
      <c r="I614" s="6"/>
      <c r="J614" s="6"/>
      <c r="K614" s="6"/>
      <c r="L614" s="6"/>
      <c r="M614" s="6"/>
    </row>
    <row r="615" spans="2:13" ht="12.95" customHeight="1" x14ac:dyDescent="0.3">
      <c r="B615" s="169" t="s">
        <v>32</v>
      </c>
      <c r="C615" s="169"/>
      <c r="D615" s="44"/>
      <c r="E615" s="44"/>
      <c r="F615" s="174"/>
      <c r="G615" s="45">
        <f>TRUNC(SUM(G614:G614))</f>
        <v>11277</v>
      </c>
      <c r="H615" s="28"/>
      <c r="I615" s="6"/>
      <c r="J615" s="6"/>
      <c r="K615" s="6"/>
      <c r="L615" s="6"/>
      <c r="M615" s="6"/>
    </row>
    <row r="616" spans="2:13" ht="12.95" customHeight="1" x14ac:dyDescent="0.3">
      <c r="B616" s="83"/>
      <c r="C616" s="83"/>
      <c r="D616" s="83"/>
      <c r="E616" s="92"/>
      <c r="F616" s="92"/>
      <c r="G616" s="19"/>
      <c r="H616" s="6"/>
      <c r="I616" s="6"/>
      <c r="J616" s="6"/>
      <c r="K616" s="6"/>
      <c r="L616" s="6"/>
      <c r="M616" s="6"/>
    </row>
    <row r="617" spans="2:13" ht="12.95" customHeight="1" x14ac:dyDescent="0.3">
      <c r="B617" s="98" t="s">
        <v>38</v>
      </c>
      <c r="C617" s="154"/>
      <c r="D617" s="154"/>
      <c r="E617" s="101"/>
      <c r="F617" s="102"/>
      <c r="G617" s="9">
        <f>SUM(G612+G615)</f>
        <v>11277</v>
      </c>
      <c r="H617" s="6"/>
      <c r="I617" s="6"/>
      <c r="J617" s="6"/>
      <c r="K617" s="6"/>
      <c r="L617" s="6"/>
      <c r="M617" s="6"/>
    </row>
    <row r="618" spans="2:13" ht="12.95" customHeight="1" x14ac:dyDescent="0.3"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</row>
    <row r="619" spans="2:13" ht="12.95" customHeight="1" x14ac:dyDescent="0.3">
      <c r="B619" s="108" t="s">
        <v>293</v>
      </c>
      <c r="C619" s="108"/>
      <c r="D619" s="14"/>
      <c r="E619" s="14"/>
      <c r="F619" s="14"/>
      <c r="G619" s="14"/>
      <c r="H619" s="109"/>
      <c r="I619" s="109"/>
      <c r="J619" s="14"/>
      <c r="K619" s="109" t="s">
        <v>73</v>
      </c>
      <c r="L619" s="6"/>
      <c r="M619" s="6"/>
    </row>
    <row r="620" spans="2:13" ht="12.95" customHeight="1" x14ac:dyDescent="0.3">
      <c r="B620" s="242" t="s">
        <v>13</v>
      </c>
      <c r="C620" s="244" t="s">
        <v>67</v>
      </c>
      <c r="D620" s="246" t="s">
        <v>21</v>
      </c>
      <c r="E620" s="237" t="s">
        <v>14</v>
      </c>
      <c r="F620" s="150" t="s">
        <v>128</v>
      </c>
      <c r="G620" s="151"/>
      <c r="H620" s="150" t="s">
        <v>129</v>
      </c>
      <c r="I620" s="151"/>
      <c r="J620" s="150" t="s">
        <v>130</v>
      </c>
      <c r="K620" s="150"/>
      <c r="L620" s="6"/>
      <c r="M620" s="6"/>
    </row>
    <row r="621" spans="2:13" ht="12.95" customHeight="1" x14ac:dyDescent="0.3">
      <c r="B621" s="243"/>
      <c r="C621" s="245"/>
      <c r="D621" s="246"/>
      <c r="E621" s="239"/>
      <c r="F621" s="79" t="s">
        <v>15</v>
      </c>
      <c r="G621" s="79" t="s">
        <v>16</v>
      </c>
      <c r="H621" s="79" t="s">
        <v>15</v>
      </c>
      <c r="I621" s="80" t="s">
        <v>16</v>
      </c>
      <c r="J621" s="79" t="s">
        <v>15</v>
      </c>
      <c r="K621" s="80" t="s">
        <v>16</v>
      </c>
      <c r="L621" s="6"/>
      <c r="M621" s="6"/>
    </row>
    <row r="622" spans="2:13" ht="12.95" customHeight="1" x14ac:dyDescent="0.3">
      <c r="B622" s="91" t="s">
        <v>22</v>
      </c>
      <c r="C622" s="106" t="s">
        <v>24</v>
      </c>
      <c r="D622" s="110" t="s">
        <v>23</v>
      </c>
      <c r="E622" s="92"/>
      <c r="F622" s="37">
        <v>1</v>
      </c>
      <c r="G622" s="8">
        <f>TRUNC(SUM(G625)*0.02,1)</f>
        <v>2763</v>
      </c>
      <c r="H622" s="37">
        <v>1</v>
      </c>
      <c r="I622" s="8">
        <f>TRUNC(SUM(I625)*0.02,1)</f>
        <v>3552.4</v>
      </c>
      <c r="J622" s="37">
        <v>1</v>
      </c>
      <c r="K622" s="8">
        <f>TRUNC(SUM(K625)*0.02,1)</f>
        <v>5695.1</v>
      </c>
      <c r="L622" s="6"/>
      <c r="M622" s="6"/>
    </row>
    <row r="623" spans="2:13" ht="12.95" customHeight="1" x14ac:dyDescent="0.3">
      <c r="B623" s="162" t="s">
        <v>31</v>
      </c>
      <c r="C623" s="163"/>
      <c r="D623" s="42"/>
      <c r="E623" s="43" t="s">
        <v>65</v>
      </c>
      <c r="F623" s="168" t="s">
        <v>65</v>
      </c>
      <c r="G623" s="42">
        <f>TRUNC(SUM(G622))</f>
        <v>2763</v>
      </c>
      <c r="H623" s="168" t="s">
        <v>65</v>
      </c>
      <c r="I623" s="42">
        <f>TRUNC(SUM(I622))</f>
        <v>3552</v>
      </c>
      <c r="J623" s="168" t="s">
        <v>65</v>
      </c>
      <c r="K623" s="42">
        <f>TRUNC(SUM(K622))</f>
        <v>5695</v>
      </c>
      <c r="L623" s="6"/>
      <c r="M623" s="6"/>
    </row>
    <row r="624" spans="2:13" ht="12.95" customHeight="1" x14ac:dyDescent="0.3">
      <c r="B624" s="83"/>
      <c r="C624" s="92"/>
      <c r="D624" s="18"/>
      <c r="E624" s="92"/>
      <c r="F624" s="86"/>
      <c r="G624" s="19"/>
      <c r="H624" s="86"/>
      <c r="I624" s="19"/>
      <c r="J624" s="86"/>
      <c r="K624" s="19"/>
      <c r="L624" s="6"/>
      <c r="M624" s="6"/>
    </row>
    <row r="625" spans="2:13" ht="12.95" customHeight="1" x14ac:dyDescent="0.3">
      <c r="B625" s="83" t="s">
        <v>5</v>
      </c>
      <c r="C625" s="83"/>
      <c r="D625" s="85" t="s">
        <v>27</v>
      </c>
      <c r="E625" s="171">
        <v>281939</v>
      </c>
      <c r="F625" s="60">
        <v>0.49</v>
      </c>
      <c r="G625" s="5">
        <f t="shared" ref="G625" si="166">TRUNC($E625*F625,1)</f>
        <v>138150.1</v>
      </c>
      <c r="H625" s="56">
        <v>0.63</v>
      </c>
      <c r="I625" s="5">
        <f t="shared" ref="I625" si="167">TRUNC($E625*H625,1)</f>
        <v>177621.5</v>
      </c>
      <c r="J625" s="56">
        <v>1.01</v>
      </c>
      <c r="K625" s="5">
        <f t="shared" ref="K625" si="168">TRUNC($E625*J625,1)</f>
        <v>284758.3</v>
      </c>
      <c r="L625" s="6"/>
      <c r="M625" s="6"/>
    </row>
    <row r="626" spans="2:13" ht="12.95" customHeight="1" x14ac:dyDescent="0.3">
      <c r="B626" s="96" t="s">
        <v>32</v>
      </c>
      <c r="C626" s="119"/>
      <c r="D626" s="40"/>
      <c r="E626" s="119"/>
      <c r="F626" s="119"/>
      <c r="G626" s="40">
        <f>TRUNC(SUM(G625:G625))</f>
        <v>138150</v>
      </c>
      <c r="H626" s="119"/>
      <c r="I626" s="41">
        <f>TRUNC(SUM(I625:I625))</f>
        <v>177621</v>
      </c>
      <c r="J626" s="119"/>
      <c r="K626" s="41">
        <f>TRUNC(SUM(K625:K625))</f>
        <v>284758</v>
      </c>
      <c r="L626" s="6"/>
      <c r="M626" s="6"/>
    </row>
    <row r="627" spans="2:13" ht="12.95" customHeight="1" x14ac:dyDescent="0.3">
      <c r="B627" s="83"/>
      <c r="C627" s="83"/>
      <c r="D627" s="18"/>
      <c r="E627" s="92"/>
      <c r="F627" s="92"/>
      <c r="G627" s="18"/>
      <c r="H627" s="92"/>
      <c r="I627" s="19"/>
      <c r="J627" s="92"/>
      <c r="K627" s="19"/>
      <c r="L627" s="6"/>
      <c r="M627" s="6"/>
    </row>
    <row r="628" spans="2:13" ht="12.95" customHeight="1" x14ac:dyDescent="0.3">
      <c r="B628" s="98" t="s">
        <v>38</v>
      </c>
      <c r="C628" s="154"/>
      <c r="D628" s="20"/>
      <c r="E628" s="101"/>
      <c r="F628" s="102"/>
      <c r="G628" s="13">
        <f>SUM(G623+G626)</f>
        <v>140913</v>
      </c>
      <c r="H628" s="102"/>
      <c r="I628" s="13">
        <f>SUM(I623+I626)</f>
        <v>181173</v>
      </c>
      <c r="J628" s="102"/>
      <c r="K628" s="13">
        <f>SUM(K623+K626)</f>
        <v>290453</v>
      </c>
      <c r="L628" s="6"/>
      <c r="M628" s="6"/>
    </row>
    <row r="629" spans="2:13" ht="12.95" customHeight="1" x14ac:dyDescent="0.3">
      <c r="B629" s="242" t="s">
        <v>13</v>
      </c>
      <c r="C629" s="244" t="s">
        <v>67</v>
      </c>
      <c r="D629" s="246" t="s">
        <v>21</v>
      </c>
      <c r="E629" s="237" t="s">
        <v>14</v>
      </c>
      <c r="F629" s="150" t="s">
        <v>131</v>
      </c>
      <c r="G629" s="151"/>
      <c r="H629" s="150" t="s">
        <v>132</v>
      </c>
      <c r="I629" s="150"/>
      <c r="J629" s="177"/>
    </row>
    <row r="630" spans="2:13" ht="12.95" customHeight="1" x14ac:dyDescent="0.3">
      <c r="B630" s="243"/>
      <c r="C630" s="245"/>
      <c r="D630" s="246"/>
      <c r="E630" s="239"/>
      <c r="F630" s="79" t="s">
        <v>15</v>
      </c>
      <c r="G630" s="79" t="s">
        <v>16</v>
      </c>
      <c r="H630" s="79" t="s">
        <v>15</v>
      </c>
      <c r="I630" s="80" t="s">
        <v>16</v>
      </c>
      <c r="J630" s="6"/>
      <c r="K630" s="6"/>
    </row>
    <row r="631" spans="2:13" ht="12.95" customHeight="1" x14ac:dyDescent="0.3">
      <c r="B631" s="91" t="s">
        <v>22</v>
      </c>
      <c r="C631" s="106" t="s">
        <v>24</v>
      </c>
      <c r="D631" s="110" t="s">
        <v>23</v>
      </c>
      <c r="E631" s="92"/>
      <c r="F631" s="37">
        <v>1</v>
      </c>
      <c r="G631" s="8">
        <f>TRUNC(SUM(G634)*0.02,1)</f>
        <v>7330.4</v>
      </c>
      <c r="H631" s="37">
        <v>1</v>
      </c>
      <c r="I631" s="8">
        <f>TRUNC(SUM(I634)*0.02,1)</f>
        <v>9022</v>
      </c>
      <c r="J631" s="67"/>
      <c r="K631" s="57"/>
      <c r="L631" s="6"/>
      <c r="M631" s="6"/>
    </row>
    <row r="632" spans="2:13" ht="12.95" customHeight="1" x14ac:dyDescent="0.3">
      <c r="B632" s="162" t="s">
        <v>31</v>
      </c>
      <c r="C632" s="163"/>
      <c r="D632" s="42"/>
      <c r="E632" s="43" t="s">
        <v>65</v>
      </c>
      <c r="F632" s="168" t="s">
        <v>65</v>
      </c>
      <c r="G632" s="42">
        <f>TRUNC(SUM(G631))</f>
        <v>7330</v>
      </c>
      <c r="H632" s="168" t="s">
        <v>65</v>
      </c>
      <c r="I632" s="42">
        <f>TRUNC(SUM(I631))</f>
        <v>9022</v>
      </c>
      <c r="J632" s="178"/>
      <c r="K632" s="49"/>
      <c r="L632" s="6"/>
      <c r="M632" s="6"/>
    </row>
    <row r="633" spans="2:13" ht="12.95" customHeight="1" x14ac:dyDescent="0.3">
      <c r="B633" s="83"/>
      <c r="C633" s="92"/>
      <c r="D633" s="18"/>
      <c r="E633" s="92"/>
      <c r="F633" s="86"/>
      <c r="G633" s="19"/>
      <c r="H633" s="86"/>
      <c r="I633" s="19"/>
      <c r="J633" s="14"/>
      <c r="K633" s="50"/>
      <c r="L633" s="6"/>
      <c r="M633" s="6"/>
    </row>
    <row r="634" spans="2:13" ht="12.95" customHeight="1" x14ac:dyDescent="0.3">
      <c r="B634" s="83" t="s">
        <v>5</v>
      </c>
      <c r="C634" s="83"/>
      <c r="D634" s="85" t="s">
        <v>27</v>
      </c>
      <c r="E634" s="171">
        <v>281939</v>
      </c>
      <c r="F634" s="60">
        <v>1.3</v>
      </c>
      <c r="G634" s="5">
        <f t="shared" ref="G634" si="169">TRUNC($E634*F634,1)</f>
        <v>366520.7</v>
      </c>
      <c r="H634" s="56">
        <v>1.6</v>
      </c>
      <c r="I634" s="5">
        <f t="shared" ref="I634" si="170">TRUNC($E634*H634,1)</f>
        <v>451102.4</v>
      </c>
      <c r="J634" s="6"/>
      <c r="K634" s="6"/>
    </row>
    <row r="635" spans="2:13" ht="12.95" customHeight="1" x14ac:dyDescent="0.3">
      <c r="B635" s="96" t="s">
        <v>32</v>
      </c>
      <c r="C635" s="119"/>
      <c r="D635" s="40"/>
      <c r="E635" s="119"/>
      <c r="F635" s="119"/>
      <c r="G635" s="40">
        <f>TRUNC(SUM(G634:G634))</f>
        <v>366520</v>
      </c>
      <c r="H635" s="119"/>
      <c r="I635" s="41">
        <f>TRUNC(SUM(I634:I634))</f>
        <v>451102</v>
      </c>
      <c r="J635" s="6"/>
      <c r="K635" s="6"/>
    </row>
    <row r="636" spans="2:13" ht="12.95" customHeight="1" x14ac:dyDescent="0.3">
      <c r="B636" s="83"/>
      <c r="C636" s="83"/>
      <c r="D636" s="18"/>
      <c r="E636" s="92"/>
      <c r="F636" s="92"/>
      <c r="G636" s="18"/>
      <c r="H636" s="92"/>
      <c r="I636" s="19"/>
      <c r="J636" s="6"/>
      <c r="K636" s="6"/>
    </row>
    <row r="637" spans="2:13" ht="12.95" customHeight="1" x14ac:dyDescent="0.3">
      <c r="B637" s="98" t="s">
        <v>38</v>
      </c>
      <c r="C637" s="154"/>
      <c r="D637" s="20"/>
      <c r="E637" s="101"/>
      <c r="F637" s="102"/>
      <c r="G637" s="13">
        <f>SUM(G632+G635)</f>
        <v>373850</v>
      </c>
      <c r="H637" s="102"/>
      <c r="I637" s="13">
        <f>SUM(I632+I635)</f>
        <v>460124</v>
      </c>
    </row>
    <row r="638" spans="2:13" ht="12.95" customHeight="1" x14ac:dyDescent="0.3">
      <c r="B638" s="172"/>
      <c r="C638" s="172"/>
      <c r="D638" s="172"/>
      <c r="E638" s="172"/>
      <c r="F638" s="172"/>
      <c r="G638" s="172"/>
      <c r="H638" s="6"/>
      <c r="I638" s="6"/>
      <c r="J638" s="6"/>
      <c r="K638" s="6"/>
      <c r="L638" s="6"/>
      <c r="M638" s="6"/>
    </row>
    <row r="639" spans="2:13" ht="12.95" customHeight="1" x14ac:dyDescent="0.3">
      <c r="B639" s="108" t="s">
        <v>294</v>
      </c>
      <c r="C639" s="108"/>
      <c r="D639" s="14"/>
      <c r="E639" s="14"/>
      <c r="F639" s="14"/>
      <c r="G639" s="14"/>
      <c r="H639" s="14"/>
      <c r="I639" s="109" t="s">
        <v>133</v>
      </c>
      <c r="J639" s="6"/>
      <c r="K639" s="6"/>
    </row>
    <row r="640" spans="2:13" ht="12.95" customHeight="1" x14ac:dyDescent="0.3">
      <c r="B640" s="242" t="s">
        <v>13</v>
      </c>
      <c r="C640" s="244" t="s">
        <v>67</v>
      </c>
      <c r="D640" s="246" t="s">
        <v>21</v>
      </c>
      <c r="E640" s="237" t="s">
        <v>14</v>
      </c>
      <c r="F640" s="150" t="s">
        <v>134</v>
      </c>
      <c r="G640" s="151"/>
      <c r="H640" s="150" t="s">
        <v>135</v>
      </c>
      <c r="I640" s="150"/>
      <c r="J640" s="6"/>
      <c r="K640" s="6"/>
    </row>
    <row r="641" spans="2:13" ht="12.95" customHeight="1" x14ac:dyDescent="0.3">
      <c r="B641" s="243"/>
      <c r="C641" s="245"/>
      <c r="D641" s="246"/>
      <c r="E641" s="239"/>
      <c r="F641" s="79" t="s">
        <v>15</v>
      </c>
      <c r="G641" s="79" t="s">
        <v>16</v>
      </c>
      <c r="H641" s="79" t="s">
        <v>15</v>
      </c>
      <c r="I641" s="80" t="s">
        <v>16</v>
      </c>
      <c r="J641" s="6"/>
      <c r="K641" s="6"/>
    </row>
    <row r="642" spans="2:13" ht="12.95" customHeight="1" x14ac:dyDescent="0.3">
      <c r="B642" s="91" t="s">
        <v>22</v>
      </c>
      <c r="C642" s="106" t="s">
        <v>24</v>
      </c>
      <c r="D642" s="110" t="s">
        <v>23</v>
      </c>
      <c r="E642" s="92"/>
      <c r="F642" s="37">
        <v>1</v>
      </c>
      <c r="G642" s="8">
        <f>TRUNC(SUM(G645)*0.02,1)</f>
        <v>3157.7</v>
      </c>
      <c r="H642" s="37">
        <v>1</v>
      </c>
      <c r="I642" s="8">
        <f>TRUNC(SUM(I645)*0.02,1)</f>
        <v>3496</v>
      </c>
      <c r="J642" s="67"/>
      <c r="K642" s="57"/>
      <c r="L642" s="6"/>
      <c r="M642" s="6"/>
    </row>
    <row r="643" spans="2:13" ht="12.95" customHeight="1" x14ac:dyDescent="0.3">
      <c r="B643" s="162" t="s">
        <v>31</v>
      </c>
      <c r="C643" s="163"/>
      <c r="D643" s="42"/>
      <c r="E643" s="43" t="s">
        <v>65</v>
      </c>
      <c r="F643" s="168" t="s">
        <v>65</v>
      </c>
      <c r="G643" s="42">
        <f>TRUNC(SUM(G642))</f>
        <v>3157</v>
      </c>
      <c r="H643" s="168" t="s">
        <v>65</v>
      </c>
      <c r="I643" s="42">
        <f>TRUNC(SUM(I642))</f>
        <v>3496</v>
      </c>
      <c r="J643" s="178"/>
      <c r="K643" s="49"/>
      <c r="L643" s="6"/>
      <c r="M643" s="6"/>
    </row>
    <row r="644" spans="2:13" ht="12.95" customHeight="1" x14ac:dyDescent="0.3">
      <c r="B644" s="83"/>
      <c r="C644" s="92"/>
      <c r="D644" s="18"/>
      <c r="E644" s="92"/>
      <c r="F644" s="86"/>
      <c r="G644" s="19"/>
      <c r="H644" s="86"/>
      <c r="I644" s="19"/>
      <c r="J644" s="14"/>
      <c r="K644" s="50"/>
      <c r="L644" s="6"/>
      <c r="M644" s="6"/>
    </row>
    <row r="645" spans="2:13" ht="12.95" customHeight="1" x14ac:dyDescent="0.3">
      <c r="B645" s="83" t="s">
        <v>5</v>
      </c>
      <c r="C645" s="83"/>
      <c r="D645" s="85" t="s">
        <v>27</v>
      </c>
      <c r="E645" s="171">
        <v>281939</v>
      </c>
      <c r="F645" s="60">
        <v>0.56000000000000005</v>
      </c>
      <c r="G645" s="5">
        <f t="shared" ref="G645" si="171">TRUNC($E645*F645,1)</f>
        <v>157885.79999999999</v>
      </c>
      <c r="H645" s="56">
        <v>0.62</v>
      </c>
      <c r="I645" s="5">
        <f t="shared" ref="I645" si="172">TRUNC($E645*H645,1)</f>
        <v>174802.1</v>
      </c>
      <c r="J645" s="6"/>
      <c r="K645" s="6"/>
    </row>
    <row r="646" spans="2:13" ht="12.95" customHeight="1" x14ac:dyDescent="0.3">
      <c r="B646" s="96" t="s">
        <v>32</v>
      </c>
      <c r="C646" s="119"/>
      <c r="D646" s="40"/>
      <c r="E646" s="119"/>
      <c r="F646" s="119"/>
      <c r="G646" s="40">
        <f>TRUNC(SUM(G645:G645))</f>
        <v>157885</v>
      </c>
      <c r="H646" s="119"/>
      <c r="I646" s="41">
        <f>TRUNC(SUM(I645:I645))</f>
        <v>174802</v>
      </c>
      <c r="J646" s="6"/>
      <c r="K646" s="6"/>
    </row>
    <row r="647" spans="2:13" ht="12.95" customHeight="1" x14ac:dyDescent="0.3">
      <c r="B647" s="83"/>
      <c r="C647" s="83"/>
      <c r="D647" s="18"/>
      <c r="E647" s="92"/>
      <c r="F647" s="92"/>
      <c r="G647" s="18"/>
      <c r="H647" s="92"/>
      <c r="I647" s="19"/>
      <c r="J647" s="6"/>
      <c r="K647" s="6"/>
    </row>
    <row r="648" spans="2:13" ht="12.95" customHeight="1" x14ac:dyDescent="0.3">
      <c r="B648" s="98" t="s">
        <v>38</v>
      </c>
      <c r="C648" s="154"/>
      <c r="D648" s="20"/>
      <c r="E648" s="101"/>
      <c r="F648" s="102"/>
      <c r="G648" s="13">
        <f>SUM(G643+G646)</f>
        <v>161042</v>
      </c>
      <c r="H648" s="102"/>
      <c r="I648" s="13">
        <f>SUM(I643+I646)</f>
        <v>178298</v>
      </c>
      <c r="J648" s="6"/>
      <c r="K648" s="6"/>
    </row>
    <row r="649" spans="2:13" ht="12.95" customHeight="1" x14ac:dyDescent="0.3">
      <c r="B649" s="242" t="s">
        <v>13</v>
      </c>
      <c r="C649" s="244" t="s">
        <v>67</v>
      </c>
      <c r="D649" s="246" t="s">
        <v>21</v>
      </c>
      <c r="E649" s="237" t="s">
        <v>14</v>
      </c>
      <c r="F649" s="150" t="s">
        <v>136</v>
      </c>
      <c r="G649" s="151"/>
      <c r="H649" s="150" t="s">
        <v>137</v>
      </c>
      <c r="I649" s="150"/>
    </row>
    <row r="650" spans="2:13" ht="12.95" customHeight="1" x14ac:dyDescent="0.3">
      <c r="B650" s="243"/>
      <c r="C650" s="245"/>
      <c r="D650" s="246"/>
      <c r="E650" s="239"/>
      <c r="F650" s="79" t="s">
        <v>15</v>
      </c>
      <c r="G650" s="79" t="s">
        <v>16</v>
      </c>
      <c r="H650" s="79" t="s">
        <v>15</v>
      </c>
      <c r="I650" s="80" t="s">
        <v>16</v>
      </c>
      <c r="J650" s="6"/>
      <c r="K650" s="6"/>
    </row>
    <row r="651" spans="2:13" ht="12.95" customHeight="1" x14ac:dyDescent="0.3">
      <c r="B651" s="91" t="s">
        <v>22</v>
      </c>
      <c r="C651" s="106" t="s">
        <v>24</v>
      </c>
      <c r="D651" s="110" t="s">
        <v>23</v>
      </c>
      <c r="E651" s="92"/>
      <c r="F651" s="37">
        <v>1</v>
      </c>
      <c r="G651" s="8">
        <f>TRUNC(SUM(G654)*0.02,1)</f>
        <v>3608.8</v>
      </c>
      <c r="H651" s="37">
        <v>1</v>
      </c>
      <c r="I651" s="8">
        <f>TRUNC(SUM(I654)*0.02,1)</f>
        <v>3947.1</v>
      </c>
      <c r="J651" s="67"/>
      <c r="K651" s="57"/>
      <c r="L651" s="6"/>
      <c r="M651" s="6"/>
    </row>
    <row r="652" spans="2:13" ht="12.95" customHeight="1" x14ac:dyDescent="0.3">
      <c r="B652" s="162" t="s">
        <v>31</v>
      </c>
      <c r="C652" s="163"/>
      <c r="D652" s="42"/>
      <c r="E652" s="43" t="s">
        <v>65</v>
      </c>
      <c r="F652" s="168" t="s">
        <v>65</v>
      </c>
      <c r="G652" s="42">
        <f>TRUNC(SUM(G651))</f>
        <v>3608</v>
      </c>
      <c r="H652" s="168" t="s">
        <v>65</v>
      </c>
      <c r="I652" s="42">
        <f>TRUNC(SUM(I651))</f>
        <v>3947</v>
      </c>
      <c r="J652" s="178"/>
      <c r="K652" s="49"/>
      <c r="L652" s="6"/>
      <c r="M652" s="6"/>
    </row>
    <row r="653" spans="2:13" ht="12.95" customHeight="1" x14ac:dyDescent="0.3">
      <c r="B653" s="83"/>
      <c r="C653" s="92"/>
      <c r="D653" s="18"/>
      <c r="E653" s="92"/>
      <c r="F653" s="86"/>
      <c r="G653" s="19"/>
      <c r="H653" s="86"/>
      <c r="I653" s="19"/>
      <c r="J653" s="14"/>
      <c r="K653" s="50"/>
      <c r="L653" s="6"/>
      <c r="M653" s="6"/>
    </row>
    <row r="654" spans="2:13" ht="12.95" customHeight="1" x14ac:dyDescent="0.3">
      <c r="B654" s="83" t="s">
        <v>5</v>
      </c>
      <c r="C654" s="83"/>
      <c r="D654" s="85" t="s">
        <v>27</v>
      </c>
      <c r="E654" s="171">
        <v>281939</v>
      </c>
      <c r="F654" s="60">
        <v>0.64</v>
      </c>
      <c r="G654" s="5">
        <f t="shared" ref="G654" si="173">TRUNC($E654*F654,1)</f>
        <v>180440.9</v>
      </c>
      <c r="H654" s="56">
        <v>0.7</v>
      </c>
      <c r="I654" s="5">
        <f t="shared" ref="I654" si="174">TRUNC($E654*H654,1)</f>
        <v>197357.3</v>
      </c>
      <c r="J654" s="6"/>
      <c r="K654" s="6"/>
    </row>
    <row r="655" spans="2:13" ht="12.95" customHeight="1" x14ac:dyDescent="0.3">
      <c r="B655" s="96" t="s">
        <v>32</v>
      </c>
      <c r="C655" s="119"/>
      <c r="D655" s="40"/>
      <c r="E655" s="119"/>
      <c r="F655" s="119"/>
      <c r="G655" s="40">
        <f>TRUNC(SUM(G654:G654))</f>
        <v>180440</v>
      </c>
      <c r="H655" s="119"/>
      <c r="I655" s="41">
        <f>TRUNC(SUM(I654:I654))</f>
        <v>197357</v>
      </c>
      <c r="J655" s="6"/>
      <c r="K655" s="6"/>
    </row>
    <row r="656" spans="2:13" ht="12.95" customHeight="1" x14ac:dyDescent="0.3">
      <c r="B656" s="83"/>
      <c r="C656" s="83"/>
      <c r="D656" s="18"/>
      <c r="E656" s="92"/>
      <c r="F656" s="92"/>
      <c r="G656" s="18"/>
      <c r="H656" s="92"/>
      <c r="I656" s="19"/>
      <c r="J656" s="6"/>
      <c r="K656" s="6"/>
    </row>
    <row r="657" spans="2:13" ht="12.95" customHeight="1" x14ac:dyDescent="0.3">
      <c r="B657" s="98" t="s">
        <v>38</v>
      </c>
      <c r="C657" s="154"/>
      <c r="D657" s="20"/>
      <c r="E657" s="101"/>
      <c r="F657" s="102"/>
      <c r="G657" s="13">
        <f>SUM(G652+G655)</f>
        <v>184048</v>
      </c>
      <c r="H657" s="102"/>
      <c r="I657" s="13">
        <f>SUM(I652+I655)</f>
        <v>201304</v>
      </c>
    </row>
    <row r="658" spans="2:13" ht="12.95" customHeight="1" x14ac:dyDescent="0.3">
      <c r="B658" s="172"/>
      <c r="C658" s="172"/>
      <c r="D658" s="172"/>
      <c r="E658" s="172"/>
      <c r="F658" s="172"/>
      <c r="G658" s="172"/>
      <c r="H658" s="6"/>
      <c r="I658" s="6"/>
      <c r="J658" s="6"/>
      <c r="K658" s="6"/>
      <c r="L658" s="6"/>
      <c r="M658" s="6"/>
    </row>
    <row r="659" spans="2:13" ht="12.95" customHeight="1" x14ac:dyDescent="0.3">
      <c r="B659" s="108" t="s">
        <v>295</v>
      </c>
      <c r="C659" s="108"/>
      <c r="D659" s="14"/>
      <c r="E659" s="14"/>
      <c r="F659" s="14"/>
      <c r="G659" s="14"/>
      <c r="H659" s="14"/>
      <c r="I659" s="109" t="s">
        <v>138</v>
      </c>
      <c r="J659" s="6"/>
      <c r="K659" s="6"/>
    </row>
    <row r="660" spans="2:13" ht="12.95" customHeight="1" x14ac:dyDescent="0.3">
      <c r="B660" s="242" t="s">
        <v>13</v>
      </c>
      <c r="C660" s="244" t="s">
        <v>67</v>
      </c>
      <c r="D660" s="246" t="s">
        <v>21</v>
      </c>
      <c r="E660" s="237" t="s">
        <v>14</v>
      </c>
      <c r="F660" s="150" t="s">
        <v>139</v>
      </c>
      <c r="G660" s="151"/>
      <c r="H660" s="150" t="s">
        <v>140</v>
      </c>
      <c r="I660" s="150"/>
      <c r="J660" s="6"/>
      <c r="K660" s="6"/>
    </row>
    <row r="661" spans="2:13" ht="12.95" customHeight="1" x14ac:dyDescent="0.3">
      <c r="B661" s="243"/>
      <c r="C661" s="245"/>
      <c r="D661" s="246"/>
      <c r="E661" s="239"/>
      <c r="F661" s="79" t="s">
        <v>15</v>
      </c>
      <c r="G661" s="79" t="s">
        <v>16</v>
      </c>
      <c r="H661" s="79" t="s">
        <v>15</v>
      </c>
      <c r="I661" s="80" t="s">
        <v>16</v>
      </c>
      <c r="J661" s="6"/>
      <c r="K661" s="6"/>
    </row>
    <row r="662" spans="2:13" ht="12.95" customHeight="1" x14ac:dyDescent="0.3">
      <c r="B662" s="91" t="s">
        <v>22</v>
      </c>
      <c r="C662" s="106" t="s">
        <v>24</v>
      </c>
      <c r="D662" s="110" t="s">
        <v>23</v>
      </c>
      <c r="E662" s="92"/>
      <c r="F662" s="37">
        <v>1</v>
      </c>
      <c r="G662" s="8">
        <f>TRUNC(SUM(G665)*0.02,1)</f>
        <v>7894.2</v>
      </c>
      <c r="H662" s="37">
        <v>1</v>
      </c>
      <c r="I662" s="8">
        <f>TRUNC(SUM(I665)*0.02,1)</f>
        <v>8176.2</v>
      </c>
      <c r="J662" s="67"/>
      <c r="K662" s="57"/>
      <c r="L662" s="6"/>
      <c r="M662" s="6"/>
    </row>
    <row r="663" spans="2:13" ht="12.95" customHeight="1" x14ac:dyDescent="0.3">
      <c r="B663" s="162" t="s">
        <v>31</v>
      </c>
      <c r="C663" s="163"/>
      <c r="D663" s="42"/>
      <c r="E663" s="43" t="s">
        <v>65</v>
      </c>
      <c r="F663" s="168" t="s">
        <v>65</v>
      </c>
      <c r="G663" s="42">
        <f>TRUNC(SUM(G662))</f>
        <v>7894</v>
      </c>
      <c r="H663" s="168" t="s">
        <v>65</v>
      </c>
      <c r="I663" s="42">
        <f>TRUNC(SUM(I662))</f>
        <v>8176</v>
      </c>
      <c r="J663" s="178"/>
      <c r="K663" s="49"/>
      <c r="L663" s="6"/>
      <c r="M663" s="6"/>
    </row>
    <row r="664" spans="2:13" ht="12.95" customHeight="1" x14ac:dyDescent="0.3">
      <c r="B664" s="83"/>
      <c r="C664" s="92"/>
      <c r="D664" s="18"/>
      <c r="E664" s="92"/>
      <c r="F664" s="86"/>
      <c r="G664" s="19"/>
      <c r="H664" s="86"/>
      <c r="I664" s="19"/>
      <c r="J664" s="14"/>
      <c r="K664" s="50"/>
      <c r="L664" s="6"/>
      <c r="M664" s="6"/>
    </row>
    <row r="665" spans="2:13" ht="12.95" customHeight="1" x14ac:dyDescent="0.3">
      <c r="B665" s="83" t="s">
        <v>5</v>
      </c>
      <c r="C665" s="83"/>
      <c r="D665" s="85" t="s">
        <v>27</v>
      </c>
      <c r="E665" s="171">
        <v>281939</v>
      </c>
      <c r="F665" s="60">
        <v>1.4</v>
      </c>
      <c r="G665" s="5">
        <f t="shared" ref="G665" si="175">TRUNC($E665*F665,1)</f>
        <v>394714.6</v>
      </c>
      <c r="H665" s="56">
        <v>1.45</v>
      </c>
      <c r="I665" s="5">
        <f t="shared" ref="I665" si="176">TRUNC($E665*H665,1)</f>
        <v>408811.5</v>
      </c>
      <c r="J665" s="6"/>
      <c r="K665" s="6"/>
    </row>
    <row r="666" spans="2:13" ht="12.95" customHeight="1" x14ac:dyDescent="0.3">
      <c r="B666" s="96" t="s">
        <v>32</v>
      </c>
      <c r="C666" s="119"/>
      <c r="D666" s="40"/>
      <c r="E666" s="119"/>
      <c r="F666" s="119"/>
      <c r="G666" s="40">
        <f>TRUNC(SUM(G665:G665))</f>
        <v>394714</v>
      </c>
      <c r="H666" s="119"/>
      <c r="I666" s="41">
        <f>TRUNC(SUM(I665:I665))</f>
        <v>408811</v>
      </c>
      <c r="J666" s="6"/>
      <c r="K666" s="6"/>
    </row>
    <row r="667" spans="2:13" ht="12.95" customHeight="1" x14ac:dyDescent="0.3">
      <c r="B667" s="83"/>
      <c r="C667" s="83"/>
      <c r="D667" s="18"/>
      <c r="E667" s="92"/>
      <c r="F667" s="92"/>
      <c r="G667" s="18"/>
      <c r="H667" s="92"/>
      <c r="I667" s="19"/>
      <c r="J667" s="6"/>
      <c r="K667" s="6"/>
    </row>
    <row r="668" spans="2:13" ht="12.95" customHeight="1" x14ac:dyDescent="0.3">
      <c r="B668" s="98" t="s">
        <v>38</v>
      </c>
      <c r="C668" s="154"/>
      <c r="D668" s="20"/>
      <c r="E668" s="101"/>
      <c r="F668" s="102"/>
      <c r="G668" s="13">
        <f>SUM(G663+G666)</f>
        <v>402608</v>
      </c>
      <c r="H668" s="102"/>
      <c r="I668" s="13">
        <f>SUM(I663+I666)</f>
        <v>416987</v>
      </c>
      <c r="J668" s="6"/>
      <c r="K668" s="6"/>
    </row>
    <row r="669" spans="2:13" ht="12.95" customHeight="1" x14ac:dyDescent="0.3">
      <c r="B669" s="172"/>
      <c r="C669" s="172"/>
      <c r="D669" s="172"/>
      <c r="E669" s="172"/>
      <c r="F669" s="172"/>
      <c r="G669" s="172"/>
      <c r="H669" s="6"/>
      <c r="I669" s="6"/>
      <c r="J669" s="6"/>
      <c r="K669" s="6"/>
      <c r="L669" s="6"/>
      <c r="M669" s="6"/>
    </row>
    <row r="670" spans="2:13" ht="12.95" customHeight="1" x14ac:dyDescent="0.3">
      <c r="B670" s="108" t="s">
        <v>296</v>
      </c>
      <c r="C670" s="108"/>
      <c r="D670" s="14"/>
      <c r="E670" s="14"/>
      <c r="F670" s="14"/>
      <c r="G670" s="14"/>
      <c r="H670" s="14"/>
      <c r="I670" s="109" t="s">
        <v>143</v>
      </c>
      <c r="J670" s="6"/>
      <c r="K670" s="6"/>
    </row>
    <row r="671" spans="2:13" ht="12.95" customHeight="1" x14ac:dyDescent="0.3">
      <c r="B671" s="242" t="s">
        <v>13</v>
      </c>
      <c r="C671" s="244" t="s">
        <v>67</v>
      </c>
      <c r="D671" s="246" t="s">
        <v>21</v>
      </c>
      <c r="E671" s="237" t="s">
        <v>14</v>
      </c>
      <c r="F671" s="150" t="s">
        <v>141</v>
      </c>
      <c r="G671" s="151"/>
      <c r="H671" s="150" t="s">
        <v>142</v>
      </c>
      <c r="I671" s="150"/>
      <c r="J671" s="6"/>
      <c r="K671" s="6"/>
    </row>
    <row r="672" spans="2:13" ht="12.95" customHeight="1" x14ac:dyDescent="0.3">
      <c r="B672" s="243"/>
      <c r="C672" s="245"/>
      <c r="D672" s="246"/>
      <c r="E672" s="239"/>
      <c r="F672" s="79" t="s">
        <v>15</v>
      </c>
      <c r="G672" s="79" t="s">
        <v>16</v>
      </c>
      <c r="H672" s="79" t="s">
        <v>15</v>
      </c>
      <c r="I672" s="80" t="s">
        <v>16</v>
      </c>
      <c r="J672" s="6"/>
      <c r="K672" s="6"/>
    </row>
    <row r="673" spans="2:13" ht="12.95" customHeight="1" x14ac:dyDescent="0.3">
      <c r="B673" s="91" t="s">
        <v>22</v>
      </c>
      <c r="C673" s="106" t="s">
        <v>24</v>
      </c>
      <c r="D673" s="110" t="s">
        <v>23</v>
      </c>
      <c r="E673" s="92"/>
      <c r="F673" s="37">
        <v>1</v>
      </c>
      <c r="G673" s="8">
        <f>TRUNC(SUM(G676)*0.02,1)</f>
        <v>3496</v>
      </c>
      <c r="H673" s="37">
        <v>1</v>
      </c>
      <c r="I673" s="8">
        <f>TRUNC(SUM(I676)*0.02,1)</f>
        <v>3777.9</v>
      </c>
      <c r="J673" s="67"/>
      <c r="K673" s="57"/>
      <c r="L673" s="6"/>
      <c r="M673" s="6"/>
    </row>
    <row r="674" spans="2:13" ht="12.95" customHeight="1" x14ac:dyDescent="0.3">
      <c r="B674" s="162" t="s">
        <v>31</v>
      </c>
      <c r="C674" s="163"/>
      <c r="D674" s="42"/>
      <c r="E674" s="43" t="s">
        <v>65</v>
      </c>
      <c r="F674" s="168" t="s">
        <v>65</v>
      </c>
      <c r="G674" s="42">
        <f>TRUNC(SUM(G673))</f>
        <v>3496</v>
      </c>
      <c r="H674" s="168" t="s">
        <v>65</v>
      </c>
      <c r="I674" s="42">
        <f>TRUNC(SUM(I673))</f>
        <v>3777</v>
      </c>
      <c r="J674" s="178"/>
      <c r="K674" s="49"/>
      <c r="L674" s="6"/>
      <c r="M674" s="6"/>
    </row>
    <row r="675" spans="2:13" ht="12.95" customHeight="1" x14ac:dyDescent="0.3">
      <c r="B675" s="83"/>
      <c r="C675" s="92"/>
      <c r="D675" s="18"/>
      <c r="E675" s="92"/>
      <c r="F675" s="86"/>
      <c r="G675" s="19"/>
      <c r="H675" s="86"/>
      <c r="I675" s="19"/>
      <c r="J675" s="14"/>
      <c r="K675" s="50"/>
      <c r="L675" s="6"/>
      <c r="M675" s="6"/>
    </row>
    <row r="676" spans="2:13" ht="12.95" customHeight="1" x14ac:dyDescent="0.3">
      <c r="B676" s="83" t="s">
        <v>5</v>
      </c>
      <c r="C676" s="83"/>
      <c r="D676" s="85" t="s">
        <v>27</v>
      </c>
      <c r="E676" s="171">
        <v>281939</v>
      </c>
      <c r="F676" s="60">
        <v>0.62</v>
      </c>
      <c r="G676" s="5">
        <f t="shared" ref="G676" si="177">TRUNC($E676*F676,1)</f>
        <v>174802.1</v>
      </c>
      <c r="H676" s="56">
        <v>0.67</v>
      </c>
      <c r="I676" s="5">
        <f t="shared" ref="I676" si="178">TRUNC($E676*H676,1)</f>
        <v>188899.1</v>
      </c>
      <c r="J676" s="6"/>
      <c r="K676" s="6"/>
    </row>
    <row r="677" spans="2:13" ht="12.95" customHeight="1" x14ac:dyDescent="0.3">
      <c r="B677" s="96" t="s">
        <v>32</v>
      </c>
      <c r="C677" s="119"/>
      <c r="D677" s="40"/>
      <c r="E677" s="119"/>
      <c r="F677" s="119"/>
      <c r="G677" s="40">
        <f>TRUNC(SUM(G676:G676))</f>
        <v>174802</v>
      </c>
      <c r="H677" s="119"/>
      <c r="I677" s="41">
        <f>TRUNC(SUM(I676:I676))</f>
        <v>188899</v>
      </c>
      <c r="J677" s="6"/>
      <c r="K677" s="6"/>
    </row>
    <row r="678" spans="2:13" ht="12.95" customHeight="1" x14ac:dyDescent="0.3">
      <c r="B678" s="83"/>
      <c r="C678" s="83"/>
      <c r="D678" s="18"/>
      <c r="E678" s="92"/>
      <c r="F678" s="92"/>
      <c r="G678" s="18"/>
      <c r="H678" s="92"/>
      <c r="I678" s="19"/>
      <c r="J678" s="6"/>
      <c r="K678" s="6"/>
    </row>
    <row r="679" spans="2:13" ht="12.95" customHeight="1" x14ac:dyDescent="0.3">
      <c r="B679" s="98" t="s">
        <v>38</v>
      </c>
      <c r="C679" s="154"/>
      <c r="D679" s="20"/>
      <c r="E679" s="101"/>
      <c r="F679" s="102"/>
      <c r="G679" s="13">
        <f>SUM(G674+G677)</f>
        <v>178298</v>
      </c>
      <c r="H679" s="102"/>
      <c r="I679" s="13">
        <f>SUM(I674+I677)</f>
        <v>192676</v>
      </c>
      <c r="J679" s="6"/>
      <c r="K679" s="6"/>
    </row>
    <row r="680" spans="2:13" ht="12.95" customHeight="1" x14ac:dyDescent="0.3">
      <c r="B680" s="172"/>
      <c r="C680" s="172"/>
      <c r="D680" s="172"/>
      <c r="E680" s="172"/>
      <c r="F680" s="172"/>
      <c r="G680" s="172"/>
      <c r="H680" s="6"/>
      <c r="I680" s="6"/>
      <c r="J680" s="6"/>
      <c r="K680" s="6"/>
      <c r="L680" s="6"/>
      <c r="M680" s="6"/>
    </row>
    <row r="681" spans="2:13" ht="12.95" customHeight="1" x14ac:dyDescent="0.3">
      <c r="B681" s="108" t="s">
        <v>297</v>
      </c>
      <c r="C681" s="108"/>
      <c r="D681" s="14"/>
      <c r="E681" s="14"/>
      <c r="F681" s="14"/>
      <c r="G681" s="109" t="s">
        <v>138</v>
      </c>
      <c r="H681" s="6"/>
      <c r="I681" s="6"/>
    </row>
    <row r="682" spans="2:13" ht="12.95" customHeight="1" x14ac:dyDescent="0.3">
      <c r="B682" s="242" t="s">
        <v>13</v>
      </c>
      <c r="C682" s="244" t="s">
        <v>67</v>
      </c>
      <c r="D682" s="246" t="s">
        <v>21</v>
      </c>
      <c r="E682" s="237" t="s">
        <v>14</v>
      </c>
      <c r="F682" s="237" t="s">
        <v>15</v>
      </c>
      <c r="G682" s="251" t="s">
        <v>16</v>
      </c>
      <c r="H682" s="6"/>
      <c r="I682" s="6"/>
    </row>
    <row r="683" spans="2:13" ht="12.95" customHeight="1" x14ac:dyDescent="0.3">
      <c r="B683" s="243"/>
      <c r="C683" s="245"/>
      <c r="D683" s="246"/>
      <c r="E683" s="239"/>
      <c r="F683" s="239"/>
      <c r="G683" s="252"/>
      <c r="H683" s="6"/>
      <c r="I683" s="6"/>
    </row>
    <row r="684" spans="2:13" ht="12.95" customHeight="1" x14ac:dyDescent="0.3">
      <c r="B684" s="83" t="s">
        <v>5</v>
      </c>
      <c r="C684" s="83"/>
      <c r="D684" s="85" t="s">
        <v>27</v>
      </c>
      <c r="E684" s="171">
        <v>281939</v>
      </c>
      <c r="F684" s="56">
        <v>0.8</v>
      </c>
      <c r="G684" s="5">
        <f t="shared" ref="G684" si="179">TRUNC($E684*F684,1)</f>
        <v>225551.2</v>
      </c>
      <c r="H684" s="6"/>
      <c r="I684" s="6"/>
    </row>
    <row r="685" spans="2:13" ht="12.95" customHeight="1" x14ac:dyDescent="0.3">
      <c r="B685" s="96" t="s">
        <v>32</v>
      </c>
      <c r="C685" s="119"/>
      <c r="D685" s="40"/>
      <c r="E685" s="119"/>
      <c r="F685" s="119"/>
      <c r="G685" s="41">
        <f>TRUNC(SUM(G684:G684))</f>
        <v>225551</v>
      </c>
      <c r="H685" s="6"/>
      <c r="I685" s="6"/>
    </row>
    <row r="686" spans="2:13" ht="12.95" customHeight="1" x14ac:dyDescent="0.3">
      <c r="B686" s="83"/>
      <c r="C686" s="83"/>
      <c r="D686" s="18"/>
      <c r="E686" s="92"/>
      <c r="F686" s="92"/>
      <c r="G686" s="19"/>
      <c r="H686" s="6"/>
      <c r="I686" s="6"/>
    </row>
    <row r="687" spans="2:13" ht="12.95" customHeight="1" x14ac:dyDescent="0.3">
      <c r="B687" s="98" t="s">
        <v>38</v>
      </c>
      <c r="C687" s="154"/>
      <c r="D687" s="20"/>
      <c r="E687" s="101"/>
      <c r="F687" s="102"/>
      <c r="G687" s="13">
        <f>SUM(G685)</f>
        <v>225551</v>
      </c>
      <c r="H687" s="6"/>
      <c r="I687" s="6"/>
    </row>
    <row r="688" spans="2:13" ht="12.95" customHeight="1" x14ac:dyDescent="0.3">
      <c r="B688" s="172"/>
      <c r="C688" s="172"/>
      <c r="D688" s="172"/>
      <c r="E688" s="172"/>
      <c r="F688" s="6"/>
      <c r="G688" s="6"/>
      <c r="H688" s="6"/>
      <c r="I688" s="6"/>
      <c r="J688" s="6"/>
      <c r="K688" s="6"/>
    </row>
    <row r="689" spans="2:13" ht="12.95" customHeight="1" x14ac:dyDescent="0.3">
      <c r="B689" s="108" t="s">
        <v>298</v>
      </c>
      <c r="C689" s="108"/>
      <c r="D689" s="14"/>
      <c r="E689" s="14"/>
      <c r="F689" s="14"/>
      <c r="G689" s="109" t="s">
        <v>138</v>
      </c>
      <c r="H689" s="6"/>
      <c r="I689" s="6"/>
    </row>
    <row r="690" spans="2:13" ht="12.95" customHeight="1" x14ac:dyDescent="0.3">
      <c r="B690" s="242" t="s">
        <v>13</v>
      </c>
      <c r="C690" s="244" t="s">
        <v>67</v>
      </c>
      <c r="D690" s="246" t="s">
        <v>21</v>
      </c>
      <c r="E690" s="237" t="s">
        <v>14</v>
      </c>
      <c r="F690" s="237" t="s">
        <v>15</v>
      </c>
      <c r="G690" s="251" t="s">
        <v>16</v>
      </c>
      <c r="H690" s="6"/>
      <c r="I690" s="6"/>
    </row>
    <row r="691" spans="2:13" ht="12.95" customHeight="1" x14ac:dyDescent="0.3">
      <c r="B691" s="243"/>
      <c r="C691" s="245"/>
      <c r="D691" s="246"/>
      <c r="E691" s="239"/>
      <c r="F691" s="239"/>
      <c r="G691" s="252"/>
      <c r="H691" s="6"/>
      <c r="I691" s="6"/>
    </row>
    <row r="692" spans="2:13" ht="12.95" customHeight="1" x14ac:dyDescent="0.3">
      <c r="B692" s="91" t="s">
        <v>22</v>
      </c>
      <c r="C692" s="106" t="s">
        <v>24</v>
      </c>
      <c r="D692" s="110" t="s">
        <v>23</v>
      </c>
      <c r="E692" s="92"/>
      <c r="F692" s="37">
        <v>1</v>
      </c>
      <c r="G692" s="8">
        <f>TRUNC(SUM(G695)*0.02,1)</f>
        <v>8458.1</v>
      </c>
      <c r="H692" s="67"/>
      <c r="I692" s="57"/>
      <c r="J692" s="67"/>
      <c r="K692" s="57"/>
      <c r="L692" s="6"/>
      <c r="M692" s="6"/>
    </row>
    <row r="693" spans="2:13" ht="12.95" customHeight="1" x14ac:dyDescent="0.3">
      <c r="B693" s="162" t="s">
        <v>31</v>
      </c>
      <c r="C693" s="163"/>
      <c r="D693" s="42"/>
      <c r="E693" s="43" t="s">
        <v>65</v>
      </c>
      <c r="F693" s="168" t="s">
        <v>65</v>
      </c>
      <c r="G693" s="42">
        <f>TRUNC(SUM(G692))</f>
        <v>8458</v>
      </c>
      <c r="H693" s="179"/>
      <c r="I693" s="49"/>
      <c r="J693" s="178"/>
      <c r="K693" s="49"/>
      <c r="L693" s="6"/>
      <c r="M693" s="6"/>
    </row>
    <row r="694" spans="2:13" ht="12.95" customHeight="1" x14ac:dyDescent="0.3">
      <c r="B694" s="83"/>
      <c r="C694" s="92"/>
      <c r="D694" s="18"/>
      <c r="E694" s="92"/>
      <c r="F694" s="86"/>
      <c r="G694" s="19"/>
      <c r="H694" s="109"/>
      <c r="I694" s="50"/>
      <c r="J694" s="14"/>
      <c r="K694" s="50"/>
      <c r="L694" s="6"/>
      <c r="M694" s="6"/>
    </row>
    <row r="695" spans="2:13" ht="12.95" customHeight="1" x14ac:dyDescent="0.3">
      <c r="B695" s="83" t="s">
        <v>5</v>
      </c>
      <c r="C695" s="83"/>
      <c r="D695" s="85" t="s">
        <v>27</v>
      </c>
      <c r="E695" s="171">
        <v>281939</v>
      </c>
      <c r="F695" s="56">
        <v>1.5</v>
      </c>
      <c r="G695" s="5">
        <f t="shared" ref="G695" si="180">TRUNC($E695*F695,1)</f>
        <v>422908.5</v>
      </c>
      <c r="H695" s="6"/>
      <c r="I695" s="6"/>
    </row>
    <row r="696" spans="2:13" ht="12.95" customHeight="1" x14ac:dyDescent="0.3">
      <c r="B696" s="96" t="s">
        <v>32</v>
      </c>
      <c r="C696" s="119"/>
      <c r="D696" s="40"/>
      <c r="E696" s="119"/>
      <c r="F696" s="119"/>
      <c r="G696" s="41">
        <f>TRUNC(SUM(G695:G695))</f>
        <v>422908</v>
      </c>
      <c r="H696" s="6"/>
      <c r="I696" s="6"/>
    </row>
    <row r="697" spans="2:13" ht="12.95" customHeight="1" x14ac:dyDescent="0.3">
      <c r="B697" s="83"/>
      <c r="C697" s="83"/>
      <c r="D697" s="18"/>
      <c r="E697" s="92"/>
      <c r="F697" s="92"/>
      <c r="G697" s="19"/>
      <c r="H697" s="6"/>
      <c r="I697" s="6"/>
    </row>
    <row r="698" spans="2:13" ht="12.95" customHeight="1" x14ac:dyDescent="0.3">
      <c r="B698" s="98" t="s">
        <v>38</v>
      </c>
      <c r="C698" s="154"/>
      <c r="D698" s="20"/>
      <c r="E698" s="101"/>
      <c r="F698" s="102"/>
      <c r="G698" s="13">
        <f>SUM(G693+G696)</f>
        <v>431366</v>
      </c>
      <c r="H698" s="6"/>
      <c r="I698" s="6"/>
    </row>
    <row r="699" spans="2:13" ht="12.95" customHeight="1" x14ac:dyDescent="0.3">
      <c r="B699" s="172"/>
      <c r="C699" s="172"/>
      <c r="D699" s="172"/>
      <c r="E699" s="172"/>
      <c r="F699" s="6"/>
      <c r="G699" s="6"/>
      <c r="H699" s="6"/>
      <c r="I699" s="6"/>
      <c r="J699" s="6"/>
      <c r="K699" s="6"/>
    </row>
    <row r="700" spans="2:13" ht="12.95" customHeight="1" x14ac:dyDescent="0.3">
      <c r="B700" s="108" t="s">
        <v>299</v>
      </c>
      <c r="C700" s="108"/>
      <c r="D700" s="14"/>
      <c r="E700" s="14"/>
      <c r="F700" s="14"/>
      <c r="G700" s="109"/>
      <c r="H700" s="6"/>
      <c r="I700" s="109" t="s">
        <v>151</v>
      </c>
    </row>
    <row r="701" spans="2:13" ht="12.95" customHeight="1" x14ac:dyDescent="0.3">
      <c r="B701" s="242" t="s">
        <v>13</v>
      </c>
      <c r="C701" s="244" t="s">
        <v>67</v>
      </c>
      <c r="D701" s="267" t="s">
        <v>21</v>
      </c>
      <c r="E701" s="237" t="s">
        <v>14</v>
      </c>
      <c r="F701" s="253" t="s">
        <v>152</v>
      </c>
      <c r="G701" s="254"/>
      <c r="H701" s="254"/>
      <c r="I701" s="254"/>
      <c r="J701" s="6"/>
      <c r="K701" s="6"/>
      <c r="L701" s="6"/>
      <c r="M701" s="6"/>
    </row>
    <row r="702" spans="2:13" ht="12.95" customHeight="1" x14ac:dyDescent="0.3">
      <c r="B702" s="265"/>
      <c r="C702" s="266"/>
      <c r="D702" s="268"/>
      <c r="E702" s="238"/>
      <c r="F702" s="253" t="s">
        <v>154</v>
      </c>
      <c r="G702" s="271"/>
      <c r="H702" s="253" t="s">
        <v>153</v>
      </c>
      <c r="I702" s="254"/>
      <c r="J702" s="6"/>
      <c r="K702" s="6"/>
      <c r="L702" s="6"/>
      <c r="M702" s="6"/>
    </row>
    <row r="703" spans="2:13" ht="12.95" customHeight="1" x14ac:dyDescent="0.3">
      <c r="B703" s="243"/>
      <c r="C703" s="245"/>
      <c r="D703" s="269"/>
      <c r="E703" s="239"/>
      <c r="F703" s="126" t="s">
        <v>15</v>
      </c>
      <c r="G703" s="180" t="s">
        <v>16</v>
      </c>
      <c r="H703" s="126" t="s">
        <v>15</v>
      </c>
      <c r="I703" s="180" t="s">
        <v>16</v>
      </c>
      <c r="J703" s="6"/>
      <c r="K703" s="6"/>
      <c r="L703" s="6"/>
      <c r="M703" s="6"/>
    </row>
    <row r="704" spans="2:13" ht="12.95" customHeight="1" x14ac:dyDescent="0.3">
      <c r="B704" s="83" t="s">
        <v>5</v>
      </c>
      <c r="C704" s="83"/>
      <c r="D704" s="85" t="s">
        <v>27</v>
      </c>
      <c r="E704" s="171">
        <v>281939</v>
      </c>
      <c r="F704" s="56">
        <v>0.05</v>
      </c>
      <c r="G704" s="5">
        <f>TRUNC($E704*F704,1)</f>
        <v>14096.9</v>
      </c>
      <c r="H704" s="56">
        <v>7.0000000000000007E-2</v>
      </c>
      <c r="I704" s="5">
        <f>TRUNC($E704*H704,1)</f>
        <v>19735.7</v>
      </c>
    </row>
    <row r="705" spans="2:13" ht="12.95" customHeight="1" x14ac:dyDescent="0.3">
      <c r="B705" s="96" t="s">
        <v>32</v>
      </c>
      <c r="C705" s="119"/>
      <c r="D705" s="40"/>
      <c r="E705" s="119"/>
      <c r="F705" s="119"/>
      <c r="G705" s="41">
        <f>TRUNC(SUM(G704:G704))</f>
        <v>14096</v>
      </c>
      <c r="H705" s="119"/>
      <c r="I705" s="41">
        <f>TRUNC(SUM(I704:I704))</f>
        <v>19735</v>
      </c>
    </row>
    <row r="706" spans="2:13" ht="12.95" customHeight="1" x14ac:dyDescent="0.3">
      <c r="B706" s="83"/>
      <c r="C706" s="83"/>
      <c r="D706" s="18"/>
      <c r="E706" s="92"/>
      <c r="F706" s="92"/>
      <c r="G706" s="19"/>
      <c r="H706" s="92"/>
      <c r="I706" s="19"/>
    </row>
    <row r="707" spans="2:13" ht="12.95" customHeight="1" x14ac:dyDescent="0.3">
      <c r="B707" s="98" t="s">
        <v>38</v>
      </c>
      <c r="C707" s="154"/>
      <c r="D707" s="20"/>
      <c r="E707" s="101"/>
      <c r="F707" s="102"/>
      <c r="G707" s="13">
        <f>SUM(G705)</f>
        <v>14096</v>
      </c>
      <c r="H707" s="102"/>
      <c r="I707" s="13">
        <f>SUM(I705)</f>
        <v>19735</v>
      </c>
    </row>
    <row r="708" spans="2:13" ht="12.95" customHeight="1" x14ac:dyDescent="0.3">
      <c r="B708" s="172"/>
      <c r="C708" s="172"/>
      <c r="D708" s="172"/>
      <c r="E708" s="172"/>
      <c r="F708" s="6"/>
      <c r="G708" s="6"/>
      <c r="H708" s="6"/>
      <c r="I708" s="6"/>
      <c r="J708" s="6"/>
      <c r="K708" s="6"/>
    </row>
    <row r="709" spans="2:13" ht="12.95" customHeight="1" x14ac:dyDescent="0.3">
      <c r="B709" s="108" t="s">
        <v>300</v>
      </c>
      <c r="C709" s="108"/>
      <c r="D709" s="14"/>
      <c r="E709" s="14"/>
      <c r="F709" s="14"/>
      <c r="G709" s="109" t="s">
        <v>143</v>
      </c>
      <c r="H709" s="6"/>
      <c r="I709" s="6"/>
    </row>
    <row r="710" spans="2:13" ht="12.95" customHeight="1" x14ac:dyDescent="0.3">
      <c r="B710" s="242" t="s">
        <v>13</v>
      </c>
      <c r="C710" s="244" t="s">
        <v>67</v>
      </c>
      <c r="D710" s="246" t="s">
        <v>21</v>
      </c>
      <c r="E710" s="237" t="s">
        <v>14</v>
      </c>
      <c r="F710" s="237" t="s">
        <v>15</v>
      </c>
      <c r="G710" s="251" t="s">
        <v>16</v>
      </c>
      <c r="H710" s="6"/>
      <c r="I710" s="6"/>
    </row>
    <row r="711" spans="2:13" ht="12.95" customHeight="1" x14ac:dyDescent="0.3">
      <c r="B711" s="243"/>
      <c r="C711" s="245"/>
      <c r="D711" s="246"/>
      <c r="E711" s="239"/>
      <c r="F711" s="239"/>
      <c r="G711" s="252"/>
      <c r="H711" s="6"/>
      <c r="I711" s="6"/>
    </row>
    <row r="712" spans="2:13" ht="12.95" customHeight="1" x14ac:dyDescent="0.3">
      <c r="B712" s="91" t="s">
        <v>22</v>
      </c>
      <c r="C712" s="106" t="s">
        <v>34</v>
      </c>
      <c r="D712" s="110" t="s">
        <v>23</v>
      </c>
      <c r="E712" s="92"/>
      <c r="F712" s="37">
        <v>1</v>
      </c>
      <c r="G712" s="8">
        <f>TRUNC(SUM(G715)*0.03,1)</f>
        <v>6935.6</v>
      </c>
      <c r="H712" s="67"/>
      <c r="I712" s="57"/>
      <c r="J712" s="67"/>
      <c r="K712" s="57"/>
      <c r="L712" s="6"/>
      <c r="M712" s="6"/>
    </row>
    <row r="713" spans="2:13" ht="12.95" customHeight="1" x14ac:dyDescent="0.3">
      <c r="B713" s="162" t="s">
        <v>31</v>
      </c>
      <c r="C713" s="163"/>
      <c r="D713" s="42"/>
      <c r="E713" s="43" t="s">
        <v>65</v>
      </c>
      <c r="F713" s="168" t="s">
        <v>65</v>
      </c>
      <c r="G713" s="42">
        <f>TRUNC(SUM(G712))</f>
        <v>6935</v>
      </c>
      <c r="H713" s="179"/>
      <c r="I713" s="49"/>
      <c r="J713" s="178"/>
      <c r="K713" s="49"/>
      <c r="L713" s="6"/>
      <c r="M713" s="6"/>
    </row>
    <row r="714" spans="2:13" ht="12.95" customHeight="1" x14ac:dyDescent="0.3">
      <c r="B714" s="83"/>
      <c r="C714" s="92"/>
      <c r="D714" s="18"/>
      <c r="E714" s="92"/>
      <c r="F714" s="86"/>
      <c r="G714" s="19"/>
      <c r="H714" s="109"/>
      <c r="I714" s="50"/>
      <c r="J714" s="14"/>
      <c r="K714" s="50"/>
      <c r="L714" s="6"/>
      <c r="M714" s="6"/>
    </row>
    <row r="715" spans="2:13" ht="12.95" customHeight="1" x14ac:dyDescent="0.3">
      <c r="B715" s="83" t="s">
        <v>5</v>
      </c>
      <c r="C715" s="83"/>
      <c r="D715" s="85" t="s">
        <v>27</v>
      </c>
      <c r="E715" s="171">
        <v>281939</v>
      </c>
      <c r="F715" s="56">
        <v>0.82</v>
      </c>
      <c r="G715" s="5">
        <f>TRUNC($E715*F715,1)</f>
        <v>231189.9</v>
      </c>
      <c r="H715" s="6"/>
      <c r="I715" s="6"/>
    </row>
    <row r="716" spans="2:13" ht="12.95" customHeight="1" x14ac:dyDescent="0.3">
      <c r="B716" s="96" t="s">
        <v>32</v>
      </c>
      <c r="C716" s="119"/>
      <c r="D716" s="40"/>
      <c r="E716" s="119"/>
      <c r="F716" s="119"/>
      <c r="G716" s="41">
        <f>TRUNC(SUM(G715:G715))</f>
        <v>231189</v>
      </c>
      <c r="H716" s="6"/>
      <c r="I716" s="6"/>
    </row>
    <row r="717" spans="2:13" ht="12.95" customHeight="1" x14ac:dyDescent="0.3">
      <c r="B717" s="83"/>
      <c r="C717" s="83"/>
      <c r="D717" s="18"/>
      <c r="E717" s="92"/>
      <c r="F717" s="92"/>
      <c r="G717" s="19"/>
      <c r="H717" s="6"/>
      <c r="I717" s="6"/>
    </row>
    <row r="718" spans="2:13" ht="12.95" customHeight="1" x14ac:dyDescent="0.3">
      <c r="B718" s="98" t="s">
        <v>38</v>
      </c>
      <c r="C718" s="154"/>
      <c r="D718" s="20"/>
      <c r="E718" s="101"/>
      <c r="F718" s="102"/>
      <c r="G718" s="13">
        <f>SUM(G713+G716)</f>
        <v>238124</v>
      </c>
      <c r="H718" s="6"/>
      <c r="I718" s="6"/>
    </row>
    <row r="719" spans="2:13" ht="12.95" customHeight="1" x14ac:dyDescent="0.3">
      <c r="B719" s="172"/>
      <c r="C719" s="172"/>
      <c r="D719" s="172"/>
      <c r="E719" s="172"/>
      <c r="F719" s="6"/>
      <c r="G719" s="6"/>
      <c r="H719" s="6"/>
      <c r="I719" s="6"/>
      <c r="J719" s="6"/>
      <c r="K719" s="6"/>
    </row>
    <row r="720" spans="2:13" ht="12.95" customHeight="1" x14ac:dyDescent="0.3">
      <c r="B720" s="108" t="s">
        <v>301</v>
      </c>
      <c r="C720" s="108"/>
      <c r="D720" s="14"/>
      <c r="E720" s="14"/>
      <c r="F720" s="14"/>
      <c r="G720" s="109" t="s">
        <v>156</v>
      </c>
      <c r="H720" s="6"/>
      <c r="I720" s="6"/>
    </row>
    <row r="721" spans="2:13" ht="12.95" customHeight="1" x14ac:dyDescent="0.3">
      <c r="B721" s="242" t="s">
        <v>13</v>
      </c>
      <c r="C721" s="244" t="s">
        <v>67</v>
      </c>
      <c r="D721" s="246" t="s">
        <v>21</v>
      </c>
      <c r="E721" s="237" t="s">
        <v>14</v>
      </c>
      <c r="F721" s="237" t="s">
        <v>15</v>
      </c>
      <c r="G721" s="251" t="s">
        <v>16</v>
      </c>
      <c r="H721" s="6"/>
      <c r="I721" s="6"/>
    </row>
    <row r="722" spans="2:13" ht="12.95" customHeight="1" x14ac:dyDescent="0.3">
      <c r="B722" s="243"/>
      <c r="C722" s="245"/>
      <c r="D722" s="246"/>
      <c r="E722" s="239"/>
      <c r="F722" s="239"/>
      <c r="G722" s="252"/>
      <c r="H722" s="6"/>
      <c r="I722" s="6"/>
    </row>
    <row r="723" spans="2:13" ht="12.95" customHeight="1" x14ac:dyDescent="0.3">
      <c r="B723" s="83" t="s">
        <v>5</v>
      </c>
      <c r="C723" s="83"/>
      <c r="D723" s="85" t="s">
        <v>27</v>
      </c>
      <c r="E723" s="171">
        <v>281939</v>
      </c>
      <c r="F723" s="56">
        <v>0.02</v>
      </c>
      <c r="G723" s="5">
        <f t="shared" ref="G723" si="181">TRUNC($E723*F723,1)</f>
        <v>5638.7</v>
      </c>
      <c r="H723" s="6"/>
      <c r="I723" s="6"/>
    </row>
    <row r="724" spans="2:13" ht="12.95" customHeight="1" x14ac:dyDescent="0.3">
      <c r="B724" s="96" t="s">
        <v>32</v>
      </c>
      <c r="C724" s="119"/>
      <c r="D724" s="40"/>
      <c r="E724" s="119"/>
      <c r="F724" s="119"/>
      <c r="G724" s="41">
        <f>TRUNC(SUM(G723:G723))</f>
        <v>5638</v>
      </c>
      <c r="H724" s="6"/>
      <c r="I724" s="6"/>
    </row>
    <row r="725" spans="2:13" ht="12.95" customHeight="1" x14ac:dyDescent="0.3">
      <c r="B725" s="83"/>
      <c r="C725" s="83"/>
      <c r="D725" s="18"/>
      <c r="E725" s="92"/>
      <c r="F725" s="92"/>
      <c r="G725" s="19"/>
      <c r="H725" s="6"/>
      <c r="I725" s="6"/>
    </row>
    <row r="726" spans="2:13" ht="12.95" customHeight="1" x14ac:dyDescent="0.3">
      <c r="B726" s="98" t="s">
        <v>38</v>
      </c>
      <c r="C726" s="154"/>
      <c r="D726" s="20"/>
      <c r="E726" s="101"/>
      <c r="F726" s="102"/>
      <c r="G726" s="13">
        <f>SUM(G724)</f>
        <v>5638</v>
      </c>
      <c r="H726" s="6"/>
      <c r="I726" s="6"/>
    </row>
    <row r="727" spans="2:13" ht="12.95" customHeight="1" x14ac:dyDescent="0.3">
      <c r="B727" s="172"/>
      <c r="C727" s="172"/>
      <c r="D727" s="172"/>
      <c r="E727" s="172"/>
      <c r="F727" s="6"/>
      <c r="G727" s="6"/>
      <c r="H727" s="6"/>
      <c r="I727" s="6"/>
      <c r="J727" s="6"/>
      <c r="K727" s="6"/>
    </row>
    <row r="728" spans="2:13" ht="12.95" customHeight="1" x14ac:dyDescent="0.3">
      <c r="B728" s="147" t="s">
        <v>197</v>
      </c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</row>
    <row r="729" spans="2:13" ht="12.95" customHeight="1" x14ac:dyDescent="0.3">
      <c r="B729" s="108" t="s">
        <v>198</v>
      </c>
      <c r="C729" s="108"/>
      <c r="D729" s="14"/>
      <c r="E729" s="14"/>
      <c r="F729" s="14"/>
      <c r="G729" s="109" t="s">
        <v>125</v>
      </c>
      <c r="H729" s="6"/>
      <c r="I729" s="6"/>
    </row>
    <row r="730" spans="2:13" ht="12.95" customHeight="1" x14ac:dyDescent="0.3">
      <c r="B730" s="242" t="s">
        <v>13</v>
      </c>
      <c r="C730" s="244" t="s">
        <v>67</v>
      </c>
      <c r="D730" s="246" t="s">
        <v>21</v>
      </c>
      <c r="E730" s="237" t="s">
        <v>14</v>
      </c>
      <c r="F730" s="237" t="s">
        <v>15</v>
      </c>
      <c r="G730" s="251" t="s">
        <v>16</v>
      </c>
      <c r="H730" s="6"/>
      <c r="I730" s="6"/>
    </row>
    <row r="731" spans="2:13" ht="12.95" customHeight="1" x14ac:dyDescent="0.3">
      <c r="B731" s="243"/>
      <c r="C731" s="245"/>
      <c r="D731" s="246"/>
      <c r="E731" s="239"/>
      <c r="F731" s="239"/>
      <c r="G731" s="252"/>
      <c r="H731" s="6"/>
      <c r="I731" s="6"/>
    </row>
    <row r="732" spans="2:13" ht="12.95" customHeight="1" x14ac:dyDescent="0.3">
      <c r="B732" s="91" t="s">
        <v>22</v>
      </c>
      <c r="C732" s="106" t="s">
        <v>24</v>
      </c>
      <c r="D732" s="110" t="s">
        <v>23</v>
      </c>
      <c r="E732" s="92"/>
      <c r="F732" s="37">
        <v>1</v>
      </c>
      <c r="G732" s="8">
        <f>TRUNC(SUM(G735)*0.02,1)</f>
        <v>676.6</v>
      </c>
      <c r="H732" s="67"/>
      <c r="I732" s="57"/>
      <c r="J732" s="67"/>
      <c r="K732" s="57"/>
      <c r="L732" s="6"/>
      <c r="M732" s="6"/>
    </row>
    <row r="733" spans="2:13" ht="12.95" customHeight="1" x14ac:dyDescent="0.3">
      <c r="B733" s="162" t="s">
        <v>31</v>
      </c>
      <c r="C733" s="163"/>
      <c r="D733" s="42"/>
      <c r="E733" s="43" t="s">
        <v>65</v>
      </c>
      <c r="F733" s="168" t="s">
        <v>65</v>
      </c>
      <c r="G733" s="42">
        <f>TRUNC(SUM(G732))</f>
        <v>676</v>
      </c>
      <c r="H733" s="179"/>
      <c r="I733" s="49"/>
      <c r="J733" s="178"/>
      <c r="K733" s="49"/>
      <c r="L733" s="6"/>
      <c r="M733" s="6"/>
    </row>
    <row r="734" spans="2:13" ht="12.95" customHeight="1" x14ac:dyDescent="0.3">
      <c r="B734" s="83"/>
      <c r="C734" s="92"/>
      <c r="D734" s="18"/>
      <c r="E734" s="92"/>
      <c r="F734" s="86"/>
      <c r="G734" s="19"/>
      <c r="H734" s="109"/>
      <c r="I734" s="50"/>
      <c r="J734" s="14"/>
      <c r="K734" s="50"/>
      <c r="L734" s="6"/>
      <c r="M734" s="6"/>
    </row>
    <row r="735" spans="2:13" ht="12.95" customHeight="1" x14ac:dyDescent="0.3">
      <c r="B735" s="83" t="s">
        <v>5</v>
      </c>
      <c r="C735" s="83"/>
      <c r="D735" s="85" t="s">
        <v>27</v>
      </c>
      <c r="E735" s="171">
        <v>281939</v>
      </c>
      <c r="F735" s="56">
        <v>0.12</v>
      </c>
      <c r="G735" s="5">
        <f t="shared" ref="G735" si="182">TRUNC($E735*F735,1)</f>
        <v>33832.6</v>
      </c>
      <c r="H735" s="6"/>
      <c r="I735" s="6"/>
    </row>
    <row r="736" spans="2:13" ht="12.95" customHeight="1" x14ac:dyDescent="0.3">
      <c r="B736" s="96" t="s">
        <v>32</v>
      </c>
      <c r="C736" s="119"/>
      <c r="D736" s="40"/>
      <c r="E736" s="119"/>
      <c r="F736" s="119"/>
      <c r="G736" s="41">
        <f>TRUNC(SUM(G735:G735))</f>
        <v>33832</v>
      </c>
      <c r="H736" s="6"/>
      <c r="I736" s="6"/>
    </row>
    <row r="737" spans="2:11" ht="12.95" customHeight="1" x14ac:dyDescent="0.3">
      <c r="B737" s="83"/>
      <c r="C737" s="83"/>
      <c r="D737" s="18"/>
      <c r="E737" s="92"/>
      <c r="F737" s="92"/>
      <c r="G737" s="19"/>
      <c r="H737" s="6"/>
      <c r="I737" s="6"/>
    </row>
    <row r="738" spans="2:11" ht="12.95" customHeight="1" x14ac:dyDescent="0.3">
      <c r="B738" s="98" t="s">
        <v>38</v>
      </c>
      <c r="C738" s="154"/>
      <c r="D738" s="20"/>
      <c r="E738" s="101"/>
      <c r="F738" s="102"/>
      <c r="G738" s="13">
        <f>SUM(G733+G736)</f>
        <v>34508</v>
      </c>
      <c r="H738" s="6"/>
      <c r="I738" s="6"/>
    </row>
    <row r="739" spans="2:11" ht="12.95" customHeight="1" x14ac:dyDescent="0.3">
      <c r="B739" s="172"/>
      <c r="C739" s="172"/>
      <c r="D739" s="172"/>
      <c r="E739" s="172"/>
      <c r="F739" s="6"/>
      <c r="G739" s="6"/>
      <c r="H739" s="6"/>
      <c r="I739" s="6"/>
      <c r="J739" s="6"/>
      <c r="K739" s="6"/>
    </row>
    <row r="740" spans="2:11" ht="12.95" customHeight="1" x14ac:dyDescent="0.3">
      <c r="B740" s="108" t="s">
        <v>188</v>
      </c>
      <c r="C740" s="75"/>
      <c r="D740" s="14"/>
      <c r="E740" s="14"/>
      <c r="F740" s="14"/>
      <c r="G740" s="109" t="s">
        <v>49</v>
      </c>
      <c r="H740" s="6"/>
      <c r="I740" s="6"/>
      <c r="J740" s="6"/>
      <c r="K740" s="6"/>
    </row>
    <row r="741" spans="2:11" ht="12.95" customHeight="1" x14ac:dyDescent="0.3">
      <c r="B741" s="247" t="s">
        <v>13</v>
      </c>
      <c r="C741" s="244" t="s">
        <v>67</v>
      </c>
      <c r="D741" s="246" t="s">
        <v>21</v>
      </c>
      <c r="E741" s="249" t="s">
        <v>14</v>
      </c>
      <c r="F741" s="249" t="s">
        <v>15</v>
      </c>
      <c r="G741" s="263" t="s">
        <v>16</v>
      </c>
      <c r="H741" s="6"/>
      <c r="I741" s="6"/>
      <c r="J741" s="6"/>
      <c r="K741" s="6"/>
    </row>
    <row r="742" spans="2:11" ht="12.95" customHeight="1" x14ac:dyDescent="0.3">
      <c r="B742" s="248"/>
      <c r="C742" s="245"/>
      <c r="D742" s="246"/>
      <c r="E742" s="250"/>
      <c r="F742" s="250"/>
      <c r="G742" s="264"/>
      <c r="H742" s="6"/>
      <c r="I742" s="6"/>
      <c r="J742" s="6"/>
      <c r="K742" s="6"/>
    </row>
    <row r="743" spans="2:11" ht="12.95" customHeight="1" x14ac:dyDescent="0.3">
      <c r="B743" s="91" t="s">
        <v>22</v>
      </c>
      <c r="C743" s="106" t="s">
        <v>24</v>
      </c>
      <c r="D743" s="183" t="s">
        <v>47</v>
      </c>
      <c r="E743" s="29"/>
      <c r="F743" s="37">
        <v>1</v>
      </c>
      <c r="G743" s="31">
        <f>TRUNC(SUM(G746:G747)*0.02,1)</f>
        <v>6251.5</v>
      </c>
      <c r="H743" s="6"/>
      <c r="I743" s="6"/>
      <c r="J743" s="6"/>
      <c r="K743" s="6"/>
    </row>
    <row r="744" spans="2:11" ht="12.95" customHeight="1" x14ac:dyDescent="0.3">
      <c r="B744" s="184" t="s">
        <v>31</v>
      </c>
      <c r="C744" s="185"/>
      <c r="D744" s="186"/>
      <c r="E744" s="46"/>
      <c r="F744" s="47"/>
      <c r="G744" s="48">
        <f>TRUNC(SUM(G743:G743))</f>
        <v>6251</v>
      </c>
      <c r="H744" s="6"/>
      <c r="I744" s="6"/>
      <c r="J744" s="6"/>
      <c r="K744" s="6"/>
    </row>
    <row r="745" spans="2:11" ht="12.95" customHeight="1" x14ac:dyDescent="0.3">
      <c r="B745" s="187"/>
      <c r="C745" s="188"/>
      <c r="D745" s="183"/>
      <c r="E745" s="33"/>
      <c r="F745" s="34"/>
      <c r="G745" s="35"/>
      <c r="H745" s="6"/>
      <c r="I745" s="6"/>
      <c r="J745" s="6"/>
      <c r="K745" s="6"/>
    </row>
    <row r="746" spans="2:11" ht="12.95" customHeight="1" x14ac:dyDescent="0.3">
      <c r="B746" s="105" t="s">
        <v>5</v>
      </c>
      <c r="C746" s="106"/>
      <c r="D746" s="95" t="s">
        <v>27</v>
      </c>
      <c r="E746" s="107">
        <v>281939</v>
      </c>
      <c r="F746" s="56">
        <v>0.95</v>
      </c>
      <c r="G746" s="5">
        <f>TRUNC($E746*F746,1)</f>
        <v>267842</v>
      </c>
      <c r="H746" s="6"/>
      <c r="I746" s="6"/>
      <c r="J746" s="6"/>
      <c r="K746" s="6"/>
    </row>
    <row r="747" spans="2:11" ht="12.95" customHeight="1" x14ac:dyDescent="0.3">
      <c r="B747" s="83" t="s">
        <v>4</v>
      </c>
      <c r="C747" s="83"/>
      <c r="D747" s="85" t="s">
        <v>27</v>
      </c>
      <c r="E747" s="82">
        <v>172068</v>
      </c>
      <c r="F747" s="56">
        <v>0.26</v>
      </c>
      <c r="G747" s="5">
        <f>TRUNC($E747*F747,1)</f>
        <v>44737.599999999999</v>
      </c>
      <c r="H747" s="6"/>
      <c r="I747" s="6"/>
      <c r="J747" s="6"/>
      <c r="K747" s="6"/>
    </row>
    <row r="748" spans="2:11" ht="12.95" customHeight="1" x14ac:dyDescent="0.3">
      <c r="B748" s="169" t="s">
        <v>32</v>
      </c>
      <c r="C748" s="189"/>
      <c r="D748" s="186"/>
      <c r="E748" s="190"/>
      <c r="F748" s="52"/>
      <c r="G748" s="48">
        <f>TRUNC(SUM(G746:G747))</f>
        <v>312579</v>
      </c>
      <c r="H748" s="6"/>
      <c r="I748" s="6"/>
      <c r="J748" s="6"/>
      <c r="K748" s="6"/>
    </row>
    <row r="749" spans="2:11" ht="12.95" customHeight="1" x14ac:dyDescent="0.3">
      <c r="B749" s="187"/>
      <c r="C749" s="188"/>
      <c r="D749" s="183"/>
      <c r="E749" s="191"/>
      <c r="F749" s="53"/>
      <c r="G749" s="35"/>
      <c r="H749" s="6"/>
      <c r="I749" s="6"/>
      <c r="J749" s="6"/>
      <c r="K749" s="6"/>
    </row>
    <row r="750" spans="2:11" ht="12.95" customHeight="1" x14ac:dyDescent="0.3">
      <c r="B750" s="192" t="s">
        <v>38</v>
      </c>
      <c r="C750" s="193"/>
      <c r="D750" s="194"/>
      <c r="E750" s="195"/>
      <c r="F750" s="195"/>
      <c r="G750" s="36">
        <f>SUM(G744+G748)</f>
        <v>318830</v>
      </c>
      <c r="H750" s="6"/>
      <c r="I750" s="6"/>
      <c r="J750" s="6"/>
      <c r="K750" s="6"/>
    </row>
    <row r="751" spans="2:11" ht="12.95" customHeight="1" x14ac:dyDescent="0.3">
      <c r="B751" s="14"/>
      <c r="C751" s="14"/>
      <c r="D751" s="14"/>
      <c r="E751" s="14"/>
      <c r="F751" s="14"/>
      <c r="G751" s="14"/>
      <c r="H751" s="6"/>
      <c r="I751" s="6"/>
      <c r="J751" s="6"/>
      <c r="K751" s="6"/>
    </row>
    <row r="752" spans="2:11" ht="12.95" customHeight="1" x14ac:dyDescent="0.3">
      <c r="B752" s="108" t="s">
        <v>199</v>
      </c>
      <c r="C752" s="108"/>
      <c r="D752" s="14"/>
      <c r="E752" s="14"/>
      <c r="F752" s="14"/>
      <c r="G752" s="109" t="s">
        <v>144</v>
      </c>
      <c r="H752" s="6"/>
      <c r="I752" s="6"/>
    </row>
    <row r="753" spans="2:13" ht="12.95" customHeight="1" x14ac:dyDescent="0.3">
      <c r="B753" s="242" t="s">
        <v>13</v>
      </c>
      <c r="C753" s="244" t="s">
        <v>67</v>
      </c>
      <c r="D753" s="246" t="s">
        <v>21</v>
      </c>
      <c r="E753" s="237" t="s">
        <v>14</v>
      </c>
      <c r="F753" s="237" t="s">
        <v>15</v>
      </c>
      <c r="G753" s="251" t="s">
        <v>16</v>
      </c>
      <c r="H753" s="6"/>
      <c r="I753" s="6"/>
    </row>
    <row r="754" spans="2:13" ht="12.95" customHeight="1" x14ac:dyDescent="0.3">
      <c r="B754" s="243"/>
      <c r="C754" s="245"/>
      <c r="D754" s="246"/>
      <c r="E754" s="239"/>
      <c r="F754" s="239"/>
      <c r="G754" s="252"/>
      <c r="H754" s="6"/>
      <c r="I754" s="6"/>
    </row>
    <row r="755" spans="2:13" ht="12.95" customHeight="1" x14ac:dyDescent="0.3">
      <c r="B755" s="91" t="s">
        <v>22</v>
      </c>
      <c r="C755" s="106" t="s">
        <v>24</v>
      </c>
      <c r="D755" s="110" t="s">
        <v>23</v>
      </c>
      <c r="E755" s="92"/>
      <c r="F755" s="37">
        <v>1</v>
      </c>
      <c r="G755" s="8">
        <f>TRUNC(SUM(G758)*0.02,1)</f>
        <v>1127.7</v>
      </c>
      <c r="H755" s="67"/>
      <c r="I755" s="57"/>
      <c r="J755" s="67"/>
      <c r="K755" s="57"/>
      <c r="L755" s="6"/>
      <c r="M755" s="6"/>
    </row>
    <row r="756" spans="2:13" ht="12.95" customHeight="1" x14ac:dyDescent="0.3">
      <c r="B756" s="162" t="s">
        <v>31</v>
      </c>
      <c r="C756" s="163"/>
      <c r="D756" s="42"/>
      <c r="E756" s="43" t="s">
        <v>65</v>
      </c>
      <c r="F756" s="168" t="s">
        <v>65</v>
      </c>
      <c r="G756" s="42">
        <f>TRUNC(SUM(G755))</f>
        <v>1127</v>
      </c>
      <c r="H756" s="179"/>
      <c r="I756" s="49"/>
      <c r="J756" s="178"/>
      <c r="K756" s="49"/>
      <c r="L756" s="6"/>
      <c r="M756" s="6"/>
    </row>
    <row r="757" spans="2:13" ht="12.95" customHeight="1" x14ac:dyDescent="0.3">
      <c r="B757" s="83"/>
      <c r="C757" s="92"/>
      <c r="D757" s="18"/>
      <c r="E757" s="92"/>
      <c r="F757" s="86"/>
      <c r="G757" s="19"/>
      <c r="H757" s="109"/>
      <c r="I757" s="50"/>
      <c r="J757" s="14"/>
      <c r="K757" s="50"/>
      <c r="L757" s="6"/>
      <c r="M757" s="6"/>
    </row>
    <row r="758" spans="2:13" ht="12.95" customHeight="1" x14ac:dyDescent="0.3">
      <c r="B758" s="83" t="s">
        <v>5</v>
      </c>
      <c r="C758" s="83"/>
      <c r="D758" s="85" t="s">
        <v>27</v>
      </c>
      <c r="E758" s="171">
        <v>281939</v>
      </c>
      <c r="F758" s="56">
        <v>0.2</v>
      </c>
      <c r="G758" s="5">
        <f t="shared" ref="G758" si="183">TRUNC($E758*F758,1)</f>
        <v>56387.8</v>
      </c>
      <c r="H758" s="6"/>
      <c r="I758" s="6"/>
    </row>
    <row r="759" spans="2:13" ht="12.95" customHeight="1" x14ac:dyDescent="0.3">
      <c r="B759" s="96" t="s">
        <v>32</v>
      </c>
      <c r="C759" s="119"/>
      <c r="D759" s="40"/>
      <c r="E759" s="119"/>
      <c r="F759" s="119"/>
      <c r="G759" s="41">
        <f>TRUNC(SUM(G758:G758))</f>
        <v>56387</v>
      </c>
      <c r="H759" s="6"/>
      <c r="I759" s="6"/>
    </row>
    <row r="760" spans="2:13" ht="12.95" customHeight="1" x14ac:dyDescent="0.3">
      <c r="B760" s="83"/>
      <c r="C760" s="83"/>
      <c r="D760" s="18"/>
      <c r="E760" s="92"/>
      <c r="F760" s="92"/>
      <c r="G760" s="19"/>
      <c r="H760" s="6"/>
      <c r="I760" s="6"/>
    </row>
    <row r="761" spans="2:13" ht="12.95" customHeight="1" x14ac:dyDescent="0.3">
      <c r="B761" s="98" t="s">
        <v>38</v>
      </c>
      <c r="C761" s="154"/>
      <c r="D761" s="20"/>
      <c r="E761" s="101"/>
      <c r="F761" s="102"/>
      <c r="G761" s="13">
        <f>SUM(G756+G759)</f>
        <v>57514</v>
      </c>
      <c r="H761" s="6"/>
      <c r="I761" s="6"/>
    </row>
    <row r="762" spans="2:13" ht="12.95" customHeight="1" x14ac:dyDescent="0.3">
      <c r="B762" s="172"/>
      <c r="C762" s="172"/>
      <c r="D762" s="172"/>
      <c r="E762" s="172"/>
      <c r="F762" s="6"/>
      <c r="G762" s="6"/>
      <c r="H762" s="6"/>
      <c r="I762" s="6"/>
      <c r="J762" s="6"/>
      <c r="K762" s="6"/>
    </row>
    <row r="763" spans="2:13" ht="12.95" customHeight="1" x14ac:dyDescent="0.3">
      <c r="B763" s="108" t="s">
        <v>191</v>
      </c>
      <c r="C763" s="108"/>
      <c r="D763" s="14"/>
      <c r="E763" s="14"/>
      <c r="F763" s="14"/>
      <c r="G763" s="109" t="s">
        <v>151</v>
      </c>
      <c r="H763" s="6"/>
      <c r="I763" s="6"/>
    </row>
    <row r="764" spans="2:13" ht="12.95" customHeight="1" x14ac:dyDescent="0.3">
      <c r="B764" s="242" t="s">
        <v>13</v>
      </c>
      <c r="C764" s="244" t="s">
        <v>67</v>
      </c>
      <c r="D764" s="246" t="s">
        <v>21</v>
      </c>
      <c r="E764" s="237" t="s">
        <v>14</v>
      </c>
      <c r="F764" s="237" t="s">
        <v>15</v>
      </c>
      <c r="G764" s="251" t="s">
        <v>16</v>
      </c>
      <c r="H764" s="6"/>
      <c r="I764" s="6"/>
    </row>
    <row r="765" spans="2:13" ht="12.95" customHeight="1" x14ac:dyDescent="0.3">
      <c r="B765" s="243"/>
      <c r="C765" s="245"/>
      <c r="D765" s="246"/>
      <c r="E765" s="239"/>
      <c r="F765" s="239"/>
      <c r="G765" s="252"/>
      <c r="H765" s="6"/>
      <c r="I765" s="6"/>
    </row>
    <row r="766" spans="2:13" ht="12.95" customHeight="1" x14ac:dyDescent="0.3">
      <c r="B766" s="91" t="s">
        <v>1</v>
      </c>
      <c r="C766" s="92"/>
      <c r="D766" s="85" t="s">
        <v>27</v>
      </c>
      <c r="E766" s="82">
        <v>226122</v>
      </c>
      <c r="F766" s="56">
        <v>0.06</v>
      </c>
      <c r="G766" s="5">
        <f>TRUNC($E766*F766,1)</f>
        <v>13567.3</v>
      </c>
      <c r="H766" s="6"/>
      <c r="I766" s="6"/>
    </row>
    <row r="767" spans="2:13" ht="12.95" customHeight="1" x14ac:dyDescent="0.3">
      <c r="B767" s="96" t="s">
        <v>32</v>
      </c>
      <c r="C767" s="119"/>
      <c r="D767" s="40"/>
      <c r="E767" s="119"/>
      <c r="F767" s="119"/>
      <c r="G767" s="41">
        <f>TRUNC(SUM(G766:G766))</f>
        <v>13567</v>
      </c>
      <c r="H767" s="6"/>
      <c r="I767" s="6"/>
    </row>
    <row r="768" spans="2:13" ht="12.95" customHeight="1" x14ac:dyDescent="0.3">
      <c r="B768" s="83"/>
      <c r="C768" s="83"/>
      <c r="D768" s="18"/>
      <c r="E768" s="92"/>
      <c r="F768" s="92"/>
      <c r="G768" s="19"/>
      <c r="H768" s="6"/>
      <c r="I768" s="6"/>
    </row>
    <row r="769" spans="2:11" ht="12.95" customHeight="1" x14ac:dyDescent="0.3">
      <c r="B769" s="98" t="s">
        <v>38</v>
      </c>
      <c r="C769" s="154"/>
      <c r="D769" s="20"/>
      <c r="E769" s="101"/>
      <c r="F769" s="102"/>
      <c r="G769" s="13">
        <f>SUM(G767)</f>
        <v>13567</v>
      </c>
      <c r="H769" s="6"/>
      <c r="I769" s="6"/>
    </row>
    <row r="770" spans="2:11" ht="12.95" customHeight="1" x14ac:dyDescent="0.3">
      <c r="B770" s="172"/>
      <c r="C770" s="172"/>
      <c r="D770" s="172"/>
      <c r="E770" s="172"/>
      <c r="F770" s="6"/>
      <c r="G770" s="6"/>
      <c r="H770" s="6"/>
      <c r="I770" s="6"/>
      <c r="J770" s="6"/>
      <c r="K770" s="6"/>
    </row>
    <row r="771" spans="2:11" ht="12.95" customHeight="1" x14ac:dyDescent="0.3">
      <c r="B771" s="108" t="s">
        <v>208</v>
      </c>
      <c r="C771" s="75"/>
      <c r="D771" s="14"/>
      <c r="E771" s="14"/>
      <c r="F771" s="14"/>
      <c r="G771" s="109" t="s">
        <v>151</v>
      </c>
      <c r="H771" s="6"/>
      <c r="I771" s="6"/>
    </row>
    <row r="772" spans="2:11" ht="12.95" customHeight="1" x14ac:dyDescent="0.3">
      <c r="B772" s="247" t="s">
        <v>13</v>
      </c>
      <c r="C772" s="244" t="s">
        <v>67</v>
      </c>
      <c r="D772" s="246" t="s">
        <v>21</v>
      </c>
      <c r="E772" s="249" t="s">
        <v>14</v>
      </c>
      <c r="F772" s="249" t="s">
        <v>15</v>
      </c>
      <c r="G772" s="263" t="s">
        <v>16</v>
      </c>
      <c r="H772" s="6"/>
      <c r="I772" s="6"/>
    </row>
    <row r="773" spans="2:11" ht="12.95" customHeight="1" x14ac:dyDescent="0.3">
      <c r="B773" s="248"/>
      <c r="C773" s="245"/>
      <c r="D773" s="246"/>
      <c r="E773" s="250"/>
      <c r="F773" s="250"/>
      <c r="G773" s="264"/>
      <c r="H773" s="6"/>
      <c r="I773" s="6"/>
    </row>
    <row r="774" spans="2:11" ht="12.95" customHeight="1" x14ac:dyDescent="0.3">
      <c r="B774" s="196" t="s">
        <v>3</v>
      </c>
      <c r="C774" s="197" t="s">
        <v>155</v>
      </c>
      <c r="D774" s="183" t="s">
        <v>46</v>
      </c>
      <c r="E774" s="38">
        <v>16047</v>
      </c>
      <c r="F774" s="56">
        <v>0.03</v>
      </c>
      <c r="G774" s="5">
        <f t="shared" ref="G774" si="184">TRUNC($E774*F774,1)</f>
        <v>481.4</v>
      </c>
      <c r="H774" s="6"/>
      <c r="I774" s="6"/>
    </row>
    <row r="775" spans="2:11" ht="12.95" customHeight="1" x14ac:dyDescent="0.3">
      <c r="B775" s="184" t="s">
        <v>31</v>
      </c>
      <c r="C775" s="185"/>
      <c r="D775" s="186"/>
      <c r="E775" s="46"/>
      <c r="F775" s="52"/>
      <c r="G775" s="48">
        <f>TRUNC(SUM(G774:G774))</f>
        <v>481</v>
      </c>
      <c r="H775" s="6"/>
      <c r="I775" s="6"/>
    </row>
    <row r="776" spans="2:11" ht="12.95" customHeight="1" x14ac:dyDescent="0.3">
      <c r="B776" s="187"/>
      <c r="C776" s="188"/>
      <c r="D776" s="183"/>
      <c r="E776" s="33"/>
      <c r="F776" s="53"/>
      <c r="G776" s="35"/>
      <c r="H776" s="6"/>
      <c r="I776" s="6"/>
    </row>
    <row r="777" spans="2:11" ht="12.95" customHeight="1" x14ac:dyDescent="0.3">
      <c r="B777" s="91" t="s">
        <v>1</v>
      </c>
      <c r="C777" s="92"/>
      <c r="D777" s="85" t="s">
        <v>27</v>
      </c>
      <c r="E777" s="82">
        <v>226122</v>
      </c>
      <c r="F777" s="56">
        <v>0.09</v>
      </c>
      <c r="G777" s="5">
        <f t="shared" ref="G777:G778" si="185">TRUNC($E777*F777,1)</f>
        <v>20350.900000000001</v>
      </c>
      <c r="H777" s="6"/>
      <c r="I777" s="6"/>
    </row>
    <row r="778" spans="2:11" ht="12.95" customHeight="1" x14ac:dyDescent="0.3">
      <c r="B778" s="196" t="s">
        <v>3</v>
      </c>
      <c r="C778" s="197" t="s">
        <v>155</v>
      </c>
      <c r="D778" s="183" t="s">
        <v>113</v>
      </c>
      <c r="E778" s="38">
        <v>49698</v>
      </c>
      <c r="F778" s="56">
        <v>0.03</v>
      </c>
      <c r="G778" s="5">
        <f t="shared" si="185"/>
        <v>1490.9</v>
      </c>
      <c r="H778" s="6"/>
      <c r="I778" s="6"/>
    </row>
    <row r="779" spans="2:11" ht="12.95" customHeight="1" x14ac:dyDescent="0.3">
      <c r="B779" s="169" t="s">
        <v>32</v>
      </c>
      <c r="C779" s="189"/>
      <c r="D779" s="186"/>
      <c r="E779" s="190"/>
      <c r="F779" s="52"/>
      <c r="G779" s="48">
        <f>TRUNC(SUM(G777:G778))</f>
        <v>21841</v>
      </c>
      <c r="H779" s="6"/>
      <c r="I779" s="6"/>
    </row>
    <row r="780" spans="2:11" ht="12.95" customHeight="1" x14ac:dyDescent="0.3">
      <c r="B780" s="187"/>
      <c r="C780" s="188"/>
      <c r="D780" s="183"/>
      <c r="E780" s="191"/>
      <c r="F780" s="53"/>
      <c r="G780" s="35"/>
      <c r="H780" s="6"/>
      <c r="I780" s="6"/>
    </row>
    <row r="781" spans="2:11" ht="12.95" customHeight="1" x14ac:dyDescent="0.3">
      <c r="B781" s="196" t="s">
        <v>3</v>
      </c>
      <c r="C781" s="197" t="s">
        <v>155</v>
      </c>
      <c r="D781" s="183" t="s">
        <v>113</v>
      </c>
      <c r="E781" s="38">
        <v>7425</v>
      </c>
      <c r="F781" s="56">
        <v>0.03</v>
      </c>
      <c r="G781" s="5">
        <f t="shared" ref="G781" si="186">TRUNC($E781*F781,1)</f>
        <v>222.7</v>
      </c>
      <c r="H781" s="6"/>
      <c r="I781" s="6"/>
    </row>
    <row r="782" spans="2:11" ht="12.95" customHeight="1" x14ac:dyDescent="0.3">
      <c r="B782" s="169" t="s">
        <v>118</v>
      </c>
      <c r="C782" s="189"/>
      <c r="D782" s="186"/>
      <c r="E782" s="190"/>
      <c r="F782" s="190"/>
      <c r="G782" s="48">
        <f>TRUNC(SUM(G781:G781))</f>
        <v>222</v>
      </c>
      <c r="H782" s="6"/>
      <c r="I782" s="6"/>
    </row>
    <row r="783" spans="2:11" ht="12.95" customHeight="1" x14ac:dyDescent="0.3">
      <c r="B783" s="187"/>
      <c r="C783" s="188"/>
      <c r="D783" s="183"/>
      <c r="E783" s="191"/>
      <c r="F783" s="191"/>
      <c r="G783" s="35"/>
      <c r="H783" s="6"/>
      <c r="I783" s="6"/>
    </row>
    <row r="784" spans="2:11" ht="12.95" customHeight="1" x14ac:dyDescent="0.3">
      <c r="B784" s="192" t="s">
        <v>38</v>
      </c>
      <c r="C784" s="193"/>
      <c r="D784" s="194"/>
      <c r="E784" s="195"/>
      <c r="F784" s="195"/>
      <c r="G784" s="36">
        <f>SUM(G775+G779+G782)</f>
        <v>22544</v>
      </c>
      <c r="H784" s="6"/>
      <c r="I784" s="6"/>
    </row>
    <row r="785" spans="2:9" ht="12.95" customHeight="1" x14ac:dyDescent="0.3">
      <c r="B785" s="14"/>
      <c r="C785" s="14"/>
      <c r="D785" s="14"/>
      <c r="E785" s="14"/>
      <c r="F785" s="14"/>
      <c r="G785" s="14"/>
      <c r="H785" s="6"/>
      <c r="I785" s="6"/>
    </row>
    <row r="786" spans="2:9" ht="12.95" customHeight="1" x14ac:dyDescent="0.3">
      <c r="B786" s="108" t="s">
        <v>200</v>
      </c>
      <c r="C786" s="75"/>
      <c r="D786" s="14"/>
      <c r="E786" s="14"/>
      <c r="F786" s="14"/>
      <c r="G786" s="109" t="s">
        <v>151</v>
      </c>
      <c r="H786" s="6"/>
      <c r="I786" s="6"/>
    </row>
    <row r="787" spans="2:9" ht="12.95" customHeight="1" x14ac:dyDescent="0.3">
      <c r="B787" s="247" t="s">
        <v>13</v>
      </c>
      <c r="C787" s="244" t="s">
        <v>67</v>
      </c>
      <c r="D787" s="246" t="s">
        <v>21</v>
      </c>
      <c r="E787" s="249" t="s">
        <v>14</v>
      </c>
      <c r="F787" s="249" t="s">
        <v>15</v>
      </c>
      <c r="G787" s="263" t="s">
        <v>16</v>
      </c>
      <c r="H787" s="6"/>
      <c r="I787" s="6"/>
    </row>
    <row r="788" spans="2:9" ht="12.95" customHeight="1" x14ac:dyDescent="0.3">
      <c r="B788" s="248"/>
      <c r="C788" s="245"/>
      <c r="D788" s="246"/>
      <c r="E788" s="250"/>
      <c r="F788" s="250"/>
      <c r="G788" s="264"/>
      <c r="H788" s="6"/>
      <c r="I788" s="6"/>
    </row>
    <row r="789" spans="2:9" ht="12.95" customHeight="1" x14ac:dyDescent="0.3">
      <c r="B789" s="81" t="s">
        <v>39</v>
      </c>
      <c r="C789" s="92" t="s">
        <v>40</v>
      </c>
      <c r="D789" s="110" t="s">
        <v>46</v>
      </c>
      <c r="E789" s="82">
        <v>9213</v>
      </c>
      <c r="F789" s="56">
        <v>0.21</v>
      </c>
      <c r="G789" s="5">
        <f t="shared" ref="G789" si="187">TRUNC($E789*F789,1)</f>
        <v>1934.7</v>
      </c>
      <c r="H789" s="6"/>
      <c r="I789" s="6"/>
    </row>
    <row r="790" spans="2:9" ht="12.95" customHeight="1" x14ac:dyDescent="0.3">
      <c r="B790" s="184" t="s">
        <v>31</v>
      </c>
      <c r="C790" s="185"/>
      <c r="D790" s="186"/>
      <c r="E790" s="46"/>
      <c r="F790" s="52"/>
      <c r="G790" s="48">
        <f>TRUNC(SUM(G789:G789))</f>
        <v>1934</v>
      </c>
      <c r="H790" s="6"/>
      <c r="I790" s="6"/>
    </row>
    <row r="791" spans="2:9" ht="12.95" customHeight="1" x14ac:dyDescent="0.3">
      <c r="B791" s="187"/>
      <c r="C791" s="188"/>
      <c r="D791" s="183"/>
      <c r="E791" s="33"/>
      <c r="F791" s="53"/>
      <c r="G791" s="35"/>
      <c r="H791" s="6"/>
      <c r="I791" s="6"/>
    </row>
    <row r="792" spans="2:9" ht="12.95" customHeight="1" x14ac:dyDescent="0.3">
      <c r="B792" s="91" t="s">
        <v>1</v>
      </c>
      <c r="C792" s="92"/>
      <c r="D792" s="85" t="s">
        <v>27</v>
      </c>
      <c r="E792" s="82">
        <v>226122</v>
      </c>
      <c r="F792" s="56">
        <v>0.12</v>
      </c>
      <c r="G792" s="5">
        <f t="shared" ref="G792:G793" si="188">TRUNC($E792*F792,1)</f>
        <v>27134.6</v>
      </c>
      <c r="H792" s="6"/>
      <c r="I792" s="6"/>
    </row>
    <row r="793" spans="2:9" ht="12.95" customHeight="1" x14ac:dyDescent="0.3">
      <c r="B793" s="81" t="s">
        <v>39</v>
      </c>
      <c r="C793" s="92" t="s">
        <v>40</v>
      </c>
      <c r="D793" s="183" t="s">
        <v>113</v>
      </c>
      <c r="E793" s="38">
        <v>49698</v>
      </c>
      <c r="F793" s="56">
        <v>0.21</v>
      </c>
      <c r="G793" s="5">
        <f t="shared" si="188"/>
        <v>10436.5</v>
      </c>
      <c r="H793" s="6"/>
      <c r="I793" s="6"/>
    </row>
    <row r="794" spans="2:9" ht="12.95" customHeight="1" x14ac:dyDescent="0.3">
      <c r="B794" s="169" t="s">
        <v>32</v>
      </c>
      <c r="C794" s="189"/>
      <c r="D794" s="186"/>
      <c r="E794" s="190"/>
      <c r="F794" s="52"/>
      <c r="G794" s="48">
        <f>TRUNC(SUM(G792:G793))</f>
        <v>37571</v>
      </c>
      <c r="H794" s="6"/>
      <c r="I794" s="6"/>
    </row>
    <row r="795" spans="2:9" ht="12.95" customHeight="1" x14ac:dyDescent="0.3">
      <c r="B795" s="187"/>
      <c r="C795" s="188"/>
      <c r="D795" s="183"/>
      <c r="E795" s="191"/>
      <c r="F795" s="53"/>
      <c r="G795" s="35"/>
      <c r="H795" s="6"/>
      <c r="I795" s="6"/>
    </row>
    <row r="796" spans="2:9" ht="12.95" customHeight="1" x14ac:dyDescent="0.3">
      <c r="B796" s="81" t="s">
        <v>39</v>
      </c>
      <c r="C796" s="92" t="s">
        <v>40</v>
      </c>
      <c r="D796" s="183" t="s">
        <v>113</v>
      </c>
      <c r="E796" s="38">
        <v>11117</v>
      </c>
      <c r="F796" s="56">
        <v>0.21</v>
      </c>
      <c r="G796" s="5">
        <f t="shared" ref="G796" si="189">TRUNC($E796*F796,1)</f>
        <v>2334.5</v>
      </c>
      <c r="H796" s="6"/>
      <c r="I796" s="6"/>
    </row>
    <row r="797" spans="2:9" ht="12.95" customHeight="1" x14ac:dyDescent="0.3">
      <c r="B797" s="169" t="s">
        <v>118</v>
      </c>
      <c r="C797" s="189"/>
      <c r="D797" s="186"/>
      <c r="E797" s="190"/>
      <c r="F797" s="190"/>
      <c r="G797" s="48">
        <f>TRUNC(SUM(G796:G796))</f>
        <v>2334</v>
      </c>
      <c r="H797" s="6"/>
      <c r="I797" s="6"/>
    </row>
    <row r="798" spans="2:9" ht="12.95" customHeight="1" x14ac:dyDescent="0.3">
      <c r="B798" s="187"/>
      <c r="C798" s="188"/>
      <c r="D798" s="183"/>
      <c r="E798" s="191"/>
      <c r="F798" s="191"/>
      <c r="G798" s="35"/>
      <c r="H798" s="6"/>
      <c r="I798" s="6"/>
    </row>
    <row r="799" spans="2:9" ht="12.95" customHeight="1" x14ac:dyDescent="0.3">
      <c r="B799" s="192" t="s">
        <v>38</v>
      </c>
      <c r="C799" s="193"/>
      <c r="D799" s="194"/>
      <c r="E799" s="195"/>
      <c r="F799" s="195"/>
      <c r="G799" s="36">
        <f>SUM(G790+G794+G797)</f>
        <v>41839</v>
      </c>
      <c r="H799" s="6"/>
      <c r="I799" s="6"/>
    </row>
    <row r="800" spans="2:9" ht="12.95" customHeight="1" x14ac:dyDescent="0.3">
      <c r="B800" s="14"/>
      <c r="C800" s="14"/>
      <c r="D800" s="14"/>
      <c r="E800" s="14"/>
      <c r="F800" s="14"/>
      <c r="G800" s="14"/>
      <c r="H800" s="6"/>
      <c r="I800" s="6"/>
    </row>
    <row r="801" spans="2:9" ht="12.95" customHeight="1" x14ac:dyDescent="0.3">
      <c r="B801" s="108" t="s">
        <v>201</v>
      </c>
      <c r="C801" s="75"/>
      <c r="D801" s="14"/>
      <c r="E801" s="14"/>
      <c r="F801" s="14"/>
      <c r="G801" s="109" t="s">
        <v>156</v>
      </c>
      <c r="H801" s="6"/>
      <c r="I801" s="6"/>
    </row>
    <row r="802" spans="2:9" ht="12.95" customHeight="1" x14ac:dyDescent="0.3">
      <c r="B802" s="247" t="s">
        <v>13</v>
      </c>
      <c r="C802" s="244" t="s">
        <v>67</v>
      </c>
      <c r="D802" s="246" t="s">
        <v>21</v>
      </c>
      <c r="E802" s="249" t="s">
        <v>14</v>
      </c>
      <c r="F802" s="249" t="s">
        <v>15</v>
      </c>
      <c r="G802" s="263" t="s">
        <v>16</v>
      </c>
      <c r="H802" s="6"/>
      <c r="I802" s="6"/>
    </row>
    <row r="803" spans="2:9" ht="12.95" customHeight="1" x14ac:dyDescent="0.3">
      <c r="B803" s="248"/>
      <c r="C803" s="245"/>
      <c r="D803" s="246"/>
      <c r="E803" s="250"/>
      <c r="F803" s="250"/>
      <c r="G803" s="264"/>
      <c r="H803" s="6"/>
      <c r="I803" s="6"/>
    </row>
    <row r="804" spans="2:9" ht="12.95" customHeight="1" x14ac:dyDescent="0.3">
      <c r="B804" s="81" t="s">
        <v>39</v>
      </c>
      <c r="C804" s="92" t="s">
        <v>40</v>
      </c>
      <c r="D804" s="110" t="s">
        <v>46</v>
      </c>
      <c r="E804" s="82">
        <v>9213</v>
      </c>
      <c r="F804" s="56">
        <v>0.02</v>
      </c>
      <c r="G804" s="5">
        <f t="shared" ref="G804" si="190">TRUNC($E804*F804,1)</f>
        <v>184.2</v>
      </c>
      <c r="H804" s="6"/>
      <c r="I804" s="6"/>
    </row>
    <row r="805" spans="2:9" ht="12.95" customHeight="1" x14ac:dyDescent="0.3">
      <c r="B805" s="184" t="s">
        <v>31</v>
      </c>
      <c r="C805" s="185"/>
      <c r="D805" s="186"/>
      <c r="E805" s="46"/>
      <c r="F805" s="52"/>
      <c r="G805" s="48">
        <f>TRUNC(SUM(G804:G804))</f>
        <v>184</v>
      </c>
      <c r="H805" s="6"/>
      <c r="I805" s="6"/>
    </row>
    <row r="806" spans="2:9" ht="12.95" customHeight="1" x14ac:dyDescent="0.3">
      <c r="B806" s="187"/>
      <c r="C806" s="188"/>
      <c r="D806" s="183"/>
      <c r="E806" s="33"/>
      <c r="F806" s="53"/>
      <c r="G806" s="35"/>
      <c r="H806" s="6"/>
      <c r="I806" s="6"/>
    </row>
    <row r="807" spans="2:9" ht="12.95" customHeight="1" x14ac:dyDescent="0.3">
      <c r="B807" s="91" t="s">
        <v>1</v>
      </c>
      <c r="C807" s="92"/>
      <c r="D807" s="85" t="s">
        <v>27</v>
      </c>
      <c r="E807" s="82">
        <v>226122</v>
      </c>
      <c r="F807" s="56">
        <v>0.01</v>
      </c>
      <c r="G807" s="5">
        <f t="shared" ref="G807:G808" si="191">TRUNC($E807*F807,1)</f>
        <v>2261.1999999999998</v>
      </c>
      <c r="H807" s="6"/>
      <c r="I807" s="6"/>
    </row>
    <row r="808" spans="2:9" ht="12.95" customHeight="1" x14ac:dyDescent="0.3">
      <c r="B808" s="81" t="s">
        <v>39</v>
      </c>
      <c r="C808" s="92" t="s">
        <v>40</v>
      </c>
      <c r="D808" s="183" t="s">
        <v>113</v>
      </c>
      <c r="E808" s="38">
        <v>49698</v>
      </c>
      <c r="F808" s="56">
        <v>0.02</v>
      </c>
      <c r="G808" s="5">
        <f t="shared" si="191"/>
        <v>993.9</v>
      </c>
      <c r="H808" s="6"/>
      <c r="I808" s="6"/>
    </row>
    <row r="809" spans="2:9" ht="12.95" customHeight="1" x14ac:dyDescent="0.3">
      <c r="B809" s="169" t="s">
        <v>32</v>
      </c>
      <c r="C809" s="189"/>
      <c r="D809" s="186"/>
      <c r="E809" s="190"/>
      <c r="F809" s="52"/>
      <c r="G809" s="48">
        <f>TRUNC(SUM(G807:G808))</f>
        <v>3255</v>
      </c>
      <c r="H809" s="6"/>
      <c r="I809" s="6"/>
    </row>
    <row r="810" spans="2:9" ht="12.95" customHeight="1" x14ac:dyDescent="0.3">
      <c r="B810" s="187"/>
      <c r="C810" s="188"/>
      <c r="D810" s="183"/>
      <c r="E810" s="191"/>
      <c r="F810" s="53"/>
      <c r="G810" s="35"/>
      <c r="H810" s="6"/>
      <c r="I810" s="6"/>
    </row>
    <row r="811" spans="2:9" ht="12.95" customHeight="1" x14ac:dyDescent="0.3">
      <c r="B811" s="81" t="s">
        <v>39</v>
      </c>
      <c r="C811" s="92" t="s">
        <v>40</v>
      </c>
      <c r="D811" s="183" t="s">
        <v>113</v>
      </c>
      <c r="E811" s="38">
        <v>11117</v>
      </c>
      <c r="F811" s="56">
        <v>0.02</v>
      </c>
      <c r="G811" s="5">
        <f t="shared" ref="G811" si="192">TRUNC($E811*F811,1)</f>
        <v>222.3</v>
      </c>
      <c r="H811" s="6"/>
      <c r="I811" s="6"/>
    </row>
    <row r="812" spans="2:9" ht="12.95" customHeight="1" x14ac:dyDescent="0.3">
      <c r="B812" s="169" t="s">
        <v>118</v>
      </c>
      <c r="C812" s="189"/>
      <c r="D812" s="186"/>
      <c r="E812" s="190"/>
      <c r="F812" s="190"/>
      <c r="G812" s="48">
        <f>TRUNC(SUM(G811:G811))</f>
        <v>222</v>
      </c>
      <c r="H812" s="6"/>
      <c r="I812" s="6"/>
    </row>
    <row r="813" spans="2:9" ht="12.95" customHeight="1" x14ac:dyDescent="0.3">
      <c r="B813" s="187"/>
      <c r="C813" s="188"/>
      <c r="D813" s="183"/>
      <c r="E813" s="191"/>
      <c r="F813" s="191"/>
      <c r="G813" s="35"/>
      <c r="H813" s="6"/>
      <c r="I813" s="6"/>
    </row>
    <row r="814" spans="2:9" ht="12.95" customHeight="1" x14ac:dyDescent="0.3">
      <c r="B814" s="192" t="s">
        <v>38</v>
      </c>
      <c r="C814" s="193"/>
      <c r="D814" s="194"/>
      <c r="E814" s="195"/>
      <c r="F814" s="195"/>
      <c r="G814" s="36">
        <f>SUM(G805+G809+G812)</f>
        <v>3661</v>
      </c>
      <c r="H814" s="6"/>
      <c r="I814" s="6"/>
    </row>
    <row r="815" spans="2:9" ht="12.95" customHeight="1" x14ac:dyDescent="0.3">
      <c r="B815" s="14"/>
      <c r="C815" s="14"/>
      <c r="D815" s="14"/>
      <c r="E815" s="14"/>
      <c r="F815" s="14"/>
      <c r="G815" s="14"/>
      <c r="H815" s="6"/>
      <c r="I815" s="6"/>
    </row>
    <row r="816" spans="2:9" ht="12.95" customHeight="1" x14ac:dyDescent="0.3">
      <c r="B816" s="108" t="s">
        <v>189</v>
      </c>
      <c r="C816" s="108"/>
      <c r="D816" s="14"/>
      <c r="E816" s="14"/>
      <c r="F816" s="14"/>
      <c r="G816" s="109" t="s">
        <v>151</v>
      </c>
    </row>
    <row r="817" spans="2:9" ht="12.95" customHeight="1" x14ac:dyDescent="0.3">
      <c r="B817" s="242" t="s">
        <v>13</v>
      </c>
      <c r="C817" s="244" t="s">
        <v>67</v>
      </c>
      <c r="D817" s="246" t="s">
        <v>21</v>
      </c>
      <c r="E817" s="237" t="s">
        <v>14</v>
      </c>
      <c r="F817" s="249" t="s">
        <v>15</v>
      </c>
      <c r="G817" s="263" t="s">
        <v>16</v>
      </c>
    </row>
    <row r="818" spans="2:9" ht="12.95" customHeight="1" x14ac:dyDescent="0.3">
      <c r="B818" s="243"/>
      <c r="C818" s="245"/>
      <c r="D818" s="246"/>
      <c r="E818" s="239"/>
      <c r="F818" s="250"/>
      <c r="G818" s="264"/>
    </row>
    <row r="819" spans="2:9" ht="12.95" customHeight="1" x14ac:dyDescent="0.3">
      <c r="B819" s="91" t="s">
        <v>1</v>
      </c>
      <c r="C819" s="83"/>
      <c r="D819" s="85" t="s">
        <v>27</v>
      </c>
      <c r="E819" s="82">
        <v>226122</v>
      </c>
      <c r="F819" s="30">
        <v>0.02</v>
      </c>
      <c r="G819" s="5">
        <f>TRUNC($E819*F819,1)</f>
        <v>4522.3999999999996</v>
      </c>
    </row>
    <row r="820" spans="2:9" ht="12.95" customHeight="1" x14ac:dyDescent="0.3">
      <c r="B820" s="96" t="s">
        <v>32</v>
      </c>
      <c r="C820" s="119"/>
      <c r="D820" s="40"/>
      <c r="E820" s="119"/>
      <c r="F820" s="119"/>
      <c r="G820" s="41">
        <f>TRUNC(SUM(G819:G819))</f>
        <v>4522</v>
      </c>
    </row>
    <row r="821" spans="2:9" ht="12.95" customHeight="1" x14ac:dyDescent="0.3">
      <c r="B821" s="83"/>
      <c r="C821" s="83"/>
      <c r="D821" s="18"/>
      <c r="E821" s="92"/>
      <c r="F821" s="92"/>
      <c r="G821" s="19"/>
    </row>
    <row r="822" spans="2:9" ht="12.95" customHeight="1" x14ac:dyDescent="0.3">
      <c r="B822" s="98" t="s">
        <v>38</v>
      </c>
      <c r="C822" s="154"/>
      <c r="D822" s="20"/>
      <c r="E822" s="101"/>
      <c r="F822" s="102"/>
      <c r="G822" s="13">
        <f>SUM(G820)</f>
        <v>4522</v>
      </c>
    </row>
    <row r="823" spans="2:9" ht="12.95" customHeight="1" x14ac:dyDescent="0.3">
      <c r="B823" s="6"/>
      <c r="C823" s="6"/>
      <c r="D823" s="6"/>
      <c r="E823" s="6"/>
      <c r="F823" s="6"/>
      <c r="G823" s="6"/>
    </row>
    <row r="824" spans="2:9" ht="12.95" customHeight="1" x14ac:dyDescent="0.3">
      <c r="B824" s="108" t="s">
        <v>190</v>
      </c>
      <c r="C824" s="108"/>
      <c r="D824" s="14"/>
      <c r="E824" s="14"/>
      <c r="F824" s="14"/>
      <c r="G824" s="109" t="s">
        <v>151</v>
      </c>
    </row>
    <row r="825" spans="2:9" ht="12.95" customHeight="1" x14ac:dyDescent="0.3">
      <c r="B825" s="242" t="s">
        <v>13</v>
      </c>
      <c r="C825" s="244" t="s">
        <v>67</v>
      </c>
      <c r="D825" s="246" t="s">
        <v>21</v>
      </c>
      <c r="E825" s="237" t="s">
        <v>14</v>
      </c>
      <c r="F825" s="249" t="s">
        <v>15</v>
      </c>
      <c r="G825" s="263" t="s">
        <v>16</v>
      </c>
    </row>
    <row r="826" spans="2:9" ht="12.95" customHeight="1" x14ac:dyDescent="0.3">
      <c r="B826" s="243"/>
      <c r="C826" s="245"/>
      <c r="D826" s="246"/>
      <c r="E826" s="239"/>
      <c r="F826" s="250"/>
      <c r="G826" s="264"/>
    </row>
    <row r="827" spans="2:9" ht="12.95" customHeight="1" x14ac:dyDescent="0.3">
      <c r="B827" s="91" t="s">
        <v>1</v>
      </c>
      <c r="C827" s="83"/>
      <c r="D827" s="85" t="s">
        <v>27</v>
      </c>
      <c r="E827" s="82">
        <v>226122</v>
      </c>
      <c r="F827" s="30">
        <v>0.04</v>
      </c>
      <c r="G827" s="5">
        <f>TRUNC($E827*F827,1)</f>
        <v>9044.7999999999993</v>
      </c>
    </row>
    <row r="828" spans="2:9" ht="12.95" customHeight="1" x14ac:dyDescent="0.3">
      <c r="B828" s="96" t="s">
        <v>32</v>
      </c>
      <c r="C828" s="119"/>
      <c r="D828" s="40"/>
      <c r="E828" s="119"/>
      <c r="F828" s="119"/>
      <c r="G828" s="41">
        <f>TRUNC(SUM(G827:G827))</f>
        <v>9044</v>
      </c>
    </row>
    <row r="829" spans="2:9" ht="12.95" customHeight="1" x14ac:dyDescent="0.3">
      <c r="B829" s="83"/>
      <c r="C829" s="83"/>
      <c r="D829" s="18"/>
      <c r="E829" s="92"/>
      <c r="F829" s="92"/>
      <c r="G829" s="19"/>
    </row>
    <row r="830" spans="2:9" ht="12.95" customHeight="1" x14ac:dyDescent="0.3">
      <c r="B830" s="98" t="s">
        <v>38</v>
      </c>
      <c r="C830" s="154"/>
      <c r="D830" s="20"/>
      <c r="E830" s="101"/>
      <c r="F830" s="102"/>
      <c r="G830" s="13">
        <f>SUM(G828)</f>
        <v>9044</v>
      </c>
    </row>
    <row r="831" spans="2:9" ht="12.95" customHeight="1" x14ac:dyDescent="0.3">
      <c r="B831" s="6"/>
      <c r="C831" s="6"/>
      <c r="D831" s="6"/>
      <c r="E831" s="6"/>
      <c r="F831" s="6"/>
      <c r="G831" s="6"/>
    </row>
    <row r="832" spans="2:9" ht="12.95" customHeight="1" x14ac:dyDescent="0.3">
      <c r="B832" s="108" t="s">
        <v>192</v>
      </c>
      <c r="C832" s="108"/>
      <c r="D832" s="14"/>
      <c r="E832" s="14"/>
      <c r="F832" s="14"/>
      <c r="G832" s="109" t="s">
        <v>151</v>
      </c>
      <c r="H832" s="6"/>
      <c r="I832" s="6"/>
    </row>
    <row r="833" spans="2:11" ht="12.95" customHeight="1" x14ac:dyDescent="0.3">
      <c r="B833" s="242" t="s">
        <v>13</v>
      </c>
      <c r="C833" s="244" t="s">
        <v>67</v>
      </c>
      <c r="D833" s="246" t="s">
        <v>21</v>
      </c>
      <c r="E833" s="237" t="s">
        <v>14</v>
      </c>
      <c r="F833" s="237" t="s">
        <v>15</v>
      </c>
      <c r="G833" s="251" t="s">
        <v>16</v>
      </c>
      <c r="H833" s="6"/>
      <c r="I833" s="6"/>
    </row>
    <row r="834" spans="2:11" ht="12.95" customHeight="1" x14ac:dyDescent="0.3">
      <c r="B834" s="243"/>
      <c r="C834" s="245"/>
      <c r="D834" s="246"/>
      <c r="E834" s="239"/>
      <c r="F834" s="239"/>
      <c r="G834" s="252"/>
      <c r="H834" s="6"/>
      <c r="I834" s="6"/>
    </row>
    <row r="835" spans="2:11" ht="12.95" customHeight="1" x14ac:dyDescent="0.3">
      <c r="B835" s="91" t="s">
        <v>1</v>
      </c>
      <c r="C835" s="92"/>
      <c r="D835" s="85" t="s">
        <v>27</v>
      </c>
      <c r="E835" s="82">
        <v>226122</v>
      </c>
      <c r="F835" s="56">
        <v>0.01</v>
      </c>
      <c r="G835" s="5">
        <f>TRUNC($E835*F835,1)</f>
        <v>2261.1999999999998</v>
      </c>
      <c r="H835" s="6"/>
      <c r="I835" s="6"/>
    </row>
    <row r="836" spans="2:11" ht="12.95" customHeight="1" x14ac:dyDescent="0.3">
      <c r="B836" s="96" t="s">
        <v>32</v>
      </c>
      <c r="C836" s="119"/>
      <c r="D836" s="40"/>
      <c r="E836" s="119"/>
      <c r="F836" s="119"/>
      <c r="G836" s="41">
        <f>TRUNC(SUM(G835:G835))</f>
        <v>2261</v>
      </c>
      <c r="H836" s="6"/>
      <c r="I836" s="6"/>
    </row>
    <row r="837" spans="2:11" ht="12.95" customHeight="1" x14ac:dyDescent="0.3">
      <c r="B837" s="83"/>
      <c r="C837" s="83"/>
      <c r="D837" s="18"/>
      <c r="E837" s="92"/>
      <c r="F837" s="92"/>
      <c r="G837" s="19"/>
      <c r="H837" s="6"/>
      <c r="I837" s="6"/>
    </row>
    <row r="838" spans="2:11" ht="12.95" customHeight="1" x14ac:dyDescent="0.3">
      <c r="B838" s="98" t="s">
        <v>38</v>
      </c>
      <c r="C838" s="154"/>
      <c r="D838" s="20"/>
      <c r="E838" s="101"/>
      <c r="F838" s="102"/>
      <c r="G838" s="13">
        <f>SUM(G836)</f>
        <v>2261</v>
      </c>
      <c r="H838" s="6"/>
      <c r="I838" s="6"/>
    </row>
    <row r="839" spans="2:11" ht="12.95" customHeight="1" x14ac:dyDescent="0.3">
      <c r="B839" s="172"/>
      <c r="C839" s="172"/>
      <c r="D839" s="172"/>
      <c r="E839" s="172"/>
      <c r="F839" s="6"/>
      <c r="G839" s="6"/>
      <c r="H839" s="6"/>
      <c r="I839" s="6"/>
      <c r="J839" s="6"/>
      <c r="K839" s="6"/>
    </row>
    <row r="840" spans="2:11" ht="12.95" customHeight="1" x14ac:dyDescent="0.3">
      <c r="B840" s="108" t="s">
        <v>193</v>
      </c>
      <c r="C840" s="108"/>
      <c r="D840" s="14"/>
      <c r="E840" s="14"/>
      <c r="F840" s="14"/>
      <c r="G840" s="109" t="s">
        <v>156</v>
      </c>
      <c r="H840" s="6"/>
      <c r="I840" s="6"/>
    </row>
    <row r="841" spans="2:11" ht="12.95" customHeight="1" x14ac:dyDescent="0.3">
      <c r="B841" s="242" t="s">
        <v>13</v>
      </c>
      <c r="C841" s="244" t="s">
        <v>67</v>
      </c>
      <c r="D841" s="246" t="s">
        <v>21</v>
      </c>
      <c r="E841" s="237" t="s">
        <v>14</v>
      </c>
      <c r="F841" s="237" t="s">
        <v>15</v>
      </c>
      <c r="G841" s="251" t="s">
        <v>16</v>
      </c>
      <c r="H841" s="6"/>
      <c r="I841" s="6"/>
    </row>
    <row r="842" spans="2:11" ht="12.95" customHeight="1" x14ac:dyDescent="0.3">
      <c r="B842" s="243"/>
      <c r="C842" s="245"/>
      <c r="D842" s="246"/>
      <c r="E842" s="239"/>
      <c r="F842" s="239"/>
      <c r="G842" s="252"/>
      <c r="H842" s="6"/>
      <c r="I842" s="6"/>
    </row>
    <row r="843" spans="2:11" ht="12.95" customHeight="1" x14ac:dyDescent="0.3">
      <c r="B843" s="91" t="s">
        <v>1</v>
      </c>
      <c r="C843" s="92"/>
      <c r="D843" s="85" t="s">
        <v>27</v>
      </c>
      <c r="E843" s="82">
        <v>226122</v>
      </c>
      <c r="F843" s="56">
        <v>0.01</v>
      </c>
      <c r="G843" s="5">
        <f>TRUNC($E843*F843,1)</f>
        <v>2261.1999999999998</v>
      </c>
      <c r="H843" s="6"/>
      <c r="I843" s="6"/>
    </row>
    <row r="844" spans="2:11" ht="12.95" customHeight="1" x14ac:dyDescent="0.3">
      <c r="B844" s="96" t="s">
        <v>32</v>
      </c>
      <c r="C844" s="119"/>
      <c r="D844" s="40"/>
      <c r="E844" s="119"/>
      <c r="F844" s="119"/>
      <c r="G844" s="41">
        <f>TRUNC(SUM(G843:G843))</f>
        <v>2261</v>
      </c>
      <c r="H844" s="6"/>
      <c r="I844" s="6"/>
    </row>
    <row r="845" spans="2:11" ht="12.95" customHeight="1" x14ac:dyDescent="0.3">
      <c r="B845" s="83"/>
      <c r="C845" s="83"/>
      <c r="D845" s="18"/>
      <c r="E845" s="92"/>
      <c r="F845" s="92"/>
      <c r="G845" s="19"/>
      <c r="H845" s="6"/>
      <c r="I845" s="6"/>
    </row>
    <row r="846" spans="2:11" ht="12.95" customHeight="1" x14ac:dyDescent="0.3">
      <c r="B846" s="98" t="s">
        <v>38</v>
      </c>
      <c r="C846" s="154"/>
      <c r="D846" s="20"/>
      <c r="E846" s="101"/>
      <c r="F846" s="102"/>
      <c r="G846" s="13">
        <f>SUM(G844)</f>
        <v>2261</v>
      </c>
      <c r="H846" s="6"/>
      <c r="I846" s="6"/>
    </row>
    <row r="847" spans="2:11" ht="12.95" customHeight="1" x14ac:dyDescent="0.3">
      <c r="B847" s="172"/>
      <c r="C847" s="172"/>
      <c r="D847" s="172"/>
      <c r="E847" s="172"/>
      <c r="F847" s="6"/>
      <c r="G847" s="6"/>
      <c r="H847" s="6"/>
      <c r="I847" s="6"/>
      <c r="J847" s="6"/>
      <c r="K847" s="6"/>
    </row>
    <row r="848" spans="2:11" ht="12.95" customHeight="1" x14ac:dyDescent="0.3">
      <c r="B848" s="108" t="s">
        <v>224</v>
      </c>
      <c r="C848" s="108"/>
      <c r="D848" s="14"/>
      <c r="E848" s="14"/>
      <c r="F848" s="14"/>
      <c r="G848" s="109" t="s">
        <v>151</v>
      </c>
      <c r="H848" s="6"/>
      <c r="I848" s="6"/>
    </row>
    <row r="849" spans="2:13" ht="12.95" customHeight="1" x14ac:dyDescent="0.3">
      <c r="B849" s="242" t="s">
        <v>13</v>
      </c>
      <c r="C849" s="244" t="s">
        <v>67</v>
      </c>
      <c r="D849" s="246" t="s">
        <v>21</v>
      </c>
      <c r="E849" s="237" t="s">
        <v>14</v>
      </c>
      <c r="F849" s="237" t="s">
        <v>15</v>
      </c>
      <c r="G849" s="251" t="s">
        <v>16</v>
      </c>
      <c r="H849" s="6"/>
      <c r="I849" s="6"/>
    </row>
    <row r="850" spans="2:13" ht="12.95" customHeight="1" x14ac:dyDescent="0.3">
      <c r="B850" s="243"/>
      <c r="C850" s="245"/>
      <c r="D850" s="246"/>
      <c r="E850" s="239"/>
      <c r="F850" s="239"/>
      <c r="G850" s="252"/>
      <c r="H850" s="6"/>
      <c r="I850" s="6"/>
    </row>
    <row r="851" spans="2:13" ht="12.95" customHeight="1" x14ac:dyDescent="0.3">
      <c r="B851" s="91" t="s">
        <v>22</v>
      </c>
      <c r="C851" s="106" t="s">
        <v>215</v>
      </c>
      <c r="D851" s="183" t="s">
        <v>47</v>
      </c>
      <c r="E851" s="29"/>
      <c r="F851" s="37">
        <v>1</v>
      </c>
      <c r="G851" s="31">
        <f>TRUNC(SUM(G854:G855)*0.01,1)</f>
        <v>1303.0999999999999</v>
      </c>
      <c r="H851" s="6"/>
      <c r="I851" s="6"/>
      <c r="J851" s="6"/>
      <c r="K851" s="6"/>
    </row>
    <row r="852" spans="2:13" ht="12.95" customHeight="1" x14ac:dyDescent="0.3">
      <c r="B852" s="184" t="s">
        <v>31</v>
      </c>
      <c r="C852" s="185"/>
      <c r="D852" s="186"/>
      <c r="E852" s="46"/>
      <c r="F852" s="47"/>
      <c r="G852" s="48">
        <f>TRUNC(SUM(G851:G851))</f>
        <v>1303</v>
      </c>
      <c r="H852" s="6"/>
      <c r="I852" s="6"/>
      <c r="J852" s="6"/>
      <c r="K852" s="6"/>
    </row>
    <row r="853" spans="2:13" ht="12.95" customHeight="1" x14ac:dyDescent="0.3">
      <c r="B853" s="187"/>
      <c r="C853" s="188"/>
      <c r="D853" s="183"/>
      <c r="E853" s="33"/>
      <c r="F853" s="34"/>
      <c r="G853" s="35"/>
      <c r="H853" s="6"/>
      <c r="I853" s="6"/>
      <c r="J853" s="6"/>
      <c r="K853" s="6"/>
    </row>
    <row r="854" spans="2:13" ht="12.95" customHeight="1" x14ac:dyDescent="0.3">
      <c r="B854" s="83" t="s">
        <v>216</v>
      </c>
      <c r="C854" s="83"/>
      <c r="D854" s="85" t="s">
        <v>27</v>
      </c>
      <c r="E854" s="82">
        <v>295138</v>
      </c>
      <c r="F854" s="56">
        <v>0.25</v>
      </c>
      <c r="G854" s="5">
        <f>TRUNC($E854*F854,1)</f>
        <v>73784.5</v>
      </c>
      <c r="H854" s="6"/>
      <c r="I854" s="6"/>
    </row>
    <row r="855" spans="2:13" ht="12.95" customHeight="1" x14ac:dyDescent="0.3">
      <c r="B855" s="91" t="s">
        <v>1</v>
      </c>
      <c r="C855" s="92"/>
      <c r="D855" s="85" t="s">
        <v>27</v>
      </c>
      <c r="E855" s="82">
        <v>226122</v>
      </c>
      <c r="F855" s="56">
        <v>0.25</v>
      </c>
      <c r="G855" s="5">
        <f>TRUNC($E855*F855,1)</f>
        <v>56530.5</v>
      </c>
      <c r="H855" s="6"/>
      <c r="I855" s="6"/>
    </row>
    <row r="856" spans="2:13" ht="12.95" customHeight="1" x14ac:dyDescent="0.3">
      <c r="B856" s="96" t="s">
        <v>32</v>
      </c>
      <c r="C856" s="119"/>
      <c r="D856" s="40"/>
      <c r="E856" s="119"/>
      <c r="F856" s="119"/>
      <c r="G856" s="41">
        <f>TRUNC(SUM(G854:G855))</f>
        <v>130315</v>
      </c>
      <c r="H856" s="6"/>
      <c r="I856" s="6"/>
    </row>
    <row r="857" spans="2:13" ht="12.95" customHeight="1" x14ac:dyDescent="0.3">
      <c r="B857" s="83"/>
      <c r="C857" s="83"/>
      <c r="D857" s="18"/>
      <c r="E857" s="92"/>
      <c r="F857" s="92"/>
      <c r="G857" s="19"/>
      <c r="H857" s="6"/>
      <c r="I857" s="6"/>
    </row>
    <row r="858" spans="2:13" ht="12.95" customHeight="1" x14ac:dyDescent="0.3">
      <c r="B858" s="98" t="s">
        <v>38</v>
      </c>
      <c r="C858" s="154"/>
      <c r="D858" s="20"/>
      <c r="E858" s="101"/>
      <c r="F858" s="102"/>
      <c r="G858" s="13">
        <f>SUM(G852+G856)</f>
        <v>131618</v>
      </c>
      <c r="H858" s="6"/>
      <c r="I858" s="6"/>
    </row>
    <row r="859" spans="2:13" ht="12.95" customHeight="1" x14ac:dyDescent="0.3">
      <c r="B859" s="172"/>
      <c r="C859" s="172"/>
      <c r="D859" s="172"/>
      <c r="E859" s="172"/>
      <c r="F859" s="6"/>
      <c r="G859" s="6"/>
      <c r="H859" s="6"/>
      <c r="I859" s="6"/>
      <c r="J859" s="6"/>
      <c r="K859" s="6"/>
    </row>
    <row r="860" spans="2:13" ht="12.95" customHeight="1" x14ac:dyDescent="0.3">
      <c r="B860" s="167" t="s">
        <v>194</v>
      </c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</row>
    <row r="861" spans="2:13" ht="12.95" customHeight="1" x14ac:dyDescent="0.3">
      <c r="B861" s="14" t="s">
        <v>202</v>
      </c>
      <c r="C861" s="14"/>
      <c r="D861" s="14"/>
      <c r="E861" s="109"/>
      <c r="F861" s="6"/>
      <c r="G861" s="109" t="s">
        <v>74</v>
      </c>
      <c r="H861" s="6"/>
      <c r="I861" s="6"/>
      <c r="J861" s="176"/>
      <c r="K861" s="6"/>
      <c r="L861" s="6"/>
      <c r="M861" s="6"/>
    </row>
    <row r="862" spans="2:13" ht="12.95" customHeight="1" x14ac:dyDescent="0.3">
      <c r="B862" s="242" t="s">
        <v>13</v>
      </c>
      <c r="C862" s="244" t="s">
        <v>67</v>
      </c>
      <c r="D862" s="246" t="s">
        <v>21</v>
      </c>
      <c r="E862" s="237" t="s">
        <v>14</v>
      </c>
      <c r="F862" s="237" t="s">
        <v>15</v>
      </c>
      <c r="G862" s="251" t="s">
        <v>16</v>
      </c>
      <c r="H862" s="6"/>
      <c r="I862" s="6"/>
      <c r="J862" s="6"/>
      <c r="K862" s="6"/>
      <c r="L862" s="6"/>
      <c r="M862" s="6"/>
    </row>
    <row r="863" spans="2:13" ht="12.95" customHeight="1" x14ac:dyDescent="0.3">
      <c r="B863" s="243"/>
      <c r="C863" s="245"/>
      <c r="D863" s="246"/>
      <c r="E863" s="239"/>
      <c r="F863" s="239"/>
      <c r="G863" s="252"/>
      <c r="H863" s="6"/>
      <c r="I863" s="6"/>
      <c r="J863" s="6"/>
      <c r="K863" s="6"/>
      <c r="L863" s="6"/>
      <c r="M863" s="6"/>
    </row>
    <row r="864" spans="2:13" ht="12.95" customHeight="1" x14ac:dyDescent="0.3">
      <c r="B864" s="83" t="s">
        <v>115</v>
      </c>
      <c r="C864" s="83"/>
      <c r="D864" s="85" t="s">
        <v>108</v>
      </c>
      <c r="E864" s="173">
        <v>0</v>
      </c>
      <c r="F864" s="66">
        <v>10.5</v>
      </c>
      <c r="G864" s="5">
        <f t="shared" ref="G864" si="193">TRUNC($E864*F864,1)</f>
        <v>0</v>
      </c>
      <c r="H864" s="6"/>
      <c r="I864" s="6"/>
      <c r="J864" s="6"/>
      <c r="K864" s="6"/>
      <c r="L864" s="6"/>
      <c r="M864" s="6"/>
    </row>
    <row r="865" spans="2:13" ht="12.95" customHeight="1" x14ac:dyDescent="0.3">
      <c r="B865" s="162" t="s">
        <v>31</v>
      </c>
      <c r="C865" s="163"/>
      <c r="D865" s="42"/>
      <c r="E865" s="43" t="s">
        <v>65</v>
      </c>
      <c r="F865" s="65" t="s">
        <v>65</v>
      </c>
      <c r="G865" s="42">
        <f>TRUNC(SUM(G864:G864))</f>
        <v>0</v>
      </c>
      <c r="H865" s="6"/>
      <c r="I865" s="6"/>
      <c r="J865" s="6"/>
      <c r="K865" s="6"/>
      <c r="L865" s="6"/>
      <c r="M865" s="6"/>
    </row>
    <row r="866" spans="2:13" ht="12.95" customHeight="1" x14ac:dyDescent="0.3">
      <c r="B866" s="83"/>
      <c r="C866" s="92"/>
      <c r="D866" s="18"/>
      <c r="E866" s="92"/>
      <c r="F866" s="64"/>
      <c r="G866" s="19"/>
      <c r="H866" s="6"/>
      <c r="I866" s="6"/>
      <c r="J866" s="6"/>
      <c r="K866" s="6"/>
      <c r="L866" s="6"/>
      <c r="M866" s="6"/>
    </row>
    <row r="867" spans="2:13" ht="12.95" customHeight="1" x14ac:dyDescent="0.3">
      <c r="B867" s="83" t="s">
        <v>5</v>
      </c>
      <c r="C867" s="83"/>
      <c r="D867" s="85" t="s">
        <v>27</v>
      </c>
      <c r="E867" s="82">
        <v>281939</v>
      </c>
      <c r="F867" s="66">
        <v>0.2</v>
      </c>
      <c r="G867" s="5">
        <f t="shared" ref="G867" si="194">TRUNC($E867*F867,1)</f>
        <v>56387.8</v>
      </c>
      <c r="H867" s="6"/>
      <c r="I867" s="6"/>
      <c r="J867" s="6"/>
      <c r="K867" s="6"/>
      <c r="L867" s="6"/>
      <c r="M867" s="6"/>
    </row>
    <row r="868" spans="2:13" ht="12.95" customHeight="1" x14ac:dyDescent="0.3">
      <c r="B868" s="169" t="s">
        <v>32</v>
      </c>
      <c r="C868" s="169"/>
      <c r="D868" s="44"/>
      <c r="E868" s="44"/>
      <c r="F868" s="174"/>
      <c r="G868" s="45">
        <f>TRUNC(SUM(G867:G867))</f>
        <v>56387</v>
      </c>
      <c r="H868" s="28"/>
      <c r="I868" s="6"/>
      <c r="J868" s="6"/>
      <c r="K868" s="6"/>
      <c r="L868" s="6"/>
      <c r="M868" s="6"/>
    </row>
    <row r="869" spans="2:13" ht="12.95" customHeight="1" x14ac:dyDescent="0.3">
      <c r="B869" s="83"/>
      <c r="C869" s="83"/>
      <c r="D869" s="83"/>
      <c r="E869" s="92"/>
      <c r="F869" s="92"/>
      <c r="G869" s="19"/>
      <c r="H869" s="6"/>
      <c r="I869" s="6"/>
      <c r="J869" s="6"/>
      <c r="K869" s="6"/>
      <c r="L869" s="6"/>
      <c r="M869" s="6"/>
    </row>
    <row r="870" spans="2:13" ht="12.95" customHeight="1" x14ac:dyDescent="0.3">
      <c r="B870" s="98" t="s">
        <v>38</v>
      </c>
      <c r="C870" s="154"/>
      <c r="D870" s="154"/>
      <c r="E870" s="101"/>
      <c r="F870" s="102"/>
      <c r="G870" s="9">
        <f>SUM(G865+G868)</f>
        <v>56387</v>
      </c>
      <c r="H870" s="6"/>
      <c r="I870" s="6"/>
      <c r="J870" s="6"/>
      <c r="K870" s="6"/>
      <c r="L870" s="6"/>
      <c r="M870" s="6"/>
    </row>
    <row r="871" spans="2:13" ht="12.95" customHeight="1" x14ac:dyDescent="0.3"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</row>
    <row r="872" spans="2:13" ht="12.95" customHeight="1" x14ac:dyDescent="0.3">
      <c r="B872" s="14" t="s">
        <v>203</v>
      </c>
      <c r="C872" s="14"/>
      <c r="D872" s="14"/>
      <c r="E872" s="109"/>
      <c r="F872" s="6"/>
      <c r="G872" s="109" t="s">
        <v>74</v>
      </c>
      <c r="H872" s="6"/>
      <c r="I872" s="6"/>
      <c r="J872" s="6"/>
      <c r="K872" s="6"/>
      <c r="L872" s="6"/>
      <c r="M872" s="6"/>
    </row>
    <row r="873" spans="2:13" ht="12.95" customHeight="1" x14ac:dyDescent="0.3">
      <c r="B873" s="242" t="s">
        <v>13</v>
      </c>
      <c r="C873" s="244" t="s">
        <v>67</v>
      </c>
      <c r="D873" s="246" t="s">
        <v>21</v>
      </c>
      <c r="E873" s="237" t="s">
        <v>14</v>
      </c>
      <c r="F873" s="237" t="s">
        <v>15</v>
      </c>
      <c r="G873" s="251" t="s">
        <v>16</v>
      </c>
      <c r="H873" s="6"/>
      <c r="I873" s="6"/>
      <c r="J873" s="6"/>
      <c r="K873" s="6"/>
      <c r="L873" s="6"/>
      <c r="M873" s="6"/>
    </row>
    <row r="874" spans="2:13" ht="12.95" customHeight="1" x14ac:dyDescent="0.3">
      <c r="B874" s="243"/>
      <c r="C874" s="245"/>
      <c r="D874" s="246"/>
      <c r="E874" s="239"/>
      <c r="F874" s="239"/>
      <c r="G874" s="252"/>
      <c r="H874" s="6"/>
      <c r="I874" s="6"/>
      <c r="J874" s="6"/>
      <c r="K874" s="6"/>
      <c r="L874" s="6"/>
      <c r="M874" s="6"/>
    </row>
    <row r="875" spans="2:13" ht="12.95" customHeight="1" x14ac:dyDescent="0.3">
      <c r="B875" s="83" t="s">
        <v>78</v>
      </c>
      <c r="C875" s="83"/>
      <c r="D875" s="85" t="s">
        <v>108</v>
      </c>
      <c r="E875" s="173">
        <v>0</v>
      </c>
      <c r="F875" s="56">
        <v>10.6</v>
      </c>
      <c r="G875" s="5">
        <f>TRUNC($E875*F875,1)</f>
        <v>0</v>
      </c>
      <c r="H875" s="6"/>
      <c r="I875" s="6"/>
      <c r="J875" s="6"/>
      <c r="K875" s="6"/>
      <c r="L875" s="6"/>
      <c r="M875" s="6"/>
    </row>
    <row r="876" spans="2:13" ht="12.95" customHeight="1" x14ac:dyDescent="0.3">
      <c r="B876" s="83" t="s">
        <v>79</v>
      </c>
      <c r="C876" s="83"/>
      <c r="D876" s="85" t="s">
        <v>107</v>
      </c>
      <c r="E876" s="173">
        <v>0</v>
      </c>
      <c r="F876" s="56">
        <v>1.1499999999999999</v>
      </c>
      <c r="G876" s="5">
        <f>TRUNC($E876*F876,1)</f>
        <v>0</v>
      </c>
      <c r="H876" s="6"/>
      <c r="I876" s="6"/>
      <c r="J876" s="6"/>
      <c r="K876" s="6"/>
      <c r="L876" s="6"/>
      <c r="M876" s="6"/>
    </row>
    <row r="877" spans="2:13" ht="12.95" customHeight="1" x14ac:dyDescent="0.3">
      <c r="B877" s="162" t="s">
        <v>31</v>
      </c>
      <c r="C877" s="163"/>
      <c r="D877" s="42"/>
      <c r="E877" s="43" t="s">
        <v>65</v>
      </c>
      <c r="F877" s="65" t="s">
        <v>65</v>
      </c>
      <c r="G877" s="42">
        <f>TRUNC(SUM(G875:G876))</f>
        <v>0</v>
      </c>
      <c r="H877" s="6"/>
      <c r="I877" s="6"/>
      <c r="J877" s="6"/>
      <c r="K877" s="6"/>
      <c r="L877" s="6"/>
      <c r="M877" s="6"/>
    </row>
    <row r="878" spans="2:13" ht="12.95" customHeight="1" x14ac:dyDescent="0.3">
      <c r="B878" s="83"/>
      <c r="C878" s="92"/>
      <c r="D878" s="18"/>
      <c r="E878" s="92"/>
      <c r="F878" s="64"/>
      <c r="G878" s="19"/>
      <c r="H878" s="6"/>
      <c r="I878" s="6"/>
      <c r="J878" s="6"/>
      <c r="K878" s="6"/>
      <c r="L878" s="6"/>
      <c r="M878" s="6"/>
    </row>
    <row r="879" spans="2:13" ht="12.95" customHeight="1" x14ac:dyDescent="0.3">
      <c r="B879" s="83" t="s">
        <v>5</v>
      </c>
      <c r="C879" s="83"/>
      <c r="D879" s="85" t="s">
        <v>27</v>
      </c>
      <c r="E879" s="82">
        <v>281939</v>
      </c>
      <c r="F879" s="56">
        <v>0.16</v>
      </c>
      <c r="G879" s="5">
        <f>TRUNC($E879*F879,1)</f>
        <v>45110.2</v>
      </c>
      <c r="H879" s="6"/>
      <c r="I879" s="6"/>
      <c r="J879" s="6"/>
      <c r="K879" s="6"/>
      <c r="L879" s="6"/>
      <c r="M879" s="6"/>
    </row>
    <row r="880" spans="2:13" ht="12.95" customHeight="1" x14ac:dyDescent="0.3">
      <c r="B880" s="169" t="s">
        <v>32</v>
      </c>
      <c r="C880" s="169"/>
      <c r="D880" s="44"/>
      <c r="E880" s="44"/>
      <c r="F880" s="174"/>
      <c r="G880" s="45">
        <f>TRUNC(SUM(G879:G879))</f>
        <v>45110</v>
      </c>
      <c r="H880" s="28"/>
      <c r="I880" s="6"/>
      <c r="J880" s="6"/>
      <c r="K880" s="6"/>
      <c r="L880" s="6"/>
      <c r="M880" s="6"/>
    </row>
    <row r="881" spans="2:13" ht="12.95" customHeight="1" x14ac:dyDescent="0.3">
      <c r="B881" s="83"/>
      <c r="C881" s="83"/>
      <c r="D881" s="83"/>
      <c r="E881" s="92"/>
      <c r="F881" s="92"/>
      <c r="G881" s="19"/>
      <c r="H881" s="6"/>
      <c r="I881" s="6"/>
      <c r="J881" s="6"/>
      <c r="K881" s="6"/>
      <c r="L881" s="6"/>
      <c r="M881" s="6"/>
    </row>
    <row r="882" spans="2:13" ht="12.95" customHeight="1" x14ac:dyDescent="0.3">
      <c r="B882" s="98" t="s">
        <v>38</v>
      </c>
      <c r="C882" s="154"/>
      <c r="D882" s="154"/>
      <c r="E882" s="101"/>
      <c r="F882" s="102"/>
      <c r="G882" s="9">
        <f>SUM(G877+G880)</f>
        <v>45110</v>
      </c>
      <c r="H882" s="6"/>
      <c r="I882" s="6"/>
      <c r="J882" s="6"/>
      <c r="K882" s="6"/>
      <c r="L882" s="6"/>
      <c r="M882" s="6"/>
    </row>
    <row r="883" spans="2:13" ht="12.95" customHeight="1" x14ac:dyDescent="0.3"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</row>
    <row r="884" spans="2:13" ht="12.95" customHeight="1" x14ac:dyDescent="0.3">
      <c r="B884" s="108" t="s">
        <v>204</v>
      </c>
      <c r="C884" s="75"/>
      <c r="D884" s="14"/>
      <c r="E884" s="14"/>
      <c r="F884" s="14"/>
      <c r="G884" s="109"/>
      <c r="H884" s="6"/>
      <c r="I884" s="109" t="s">
        <v>49</v>
      </c>
      <c r="J884" s="6"/>
      <c r="K884" s="6"/>
      <c r="L884" s="6"/>
      <c r="M884" s="6"/>
    </row>
    <row r="885" spans="2:13" ht="12.95" customHeight="1" x14ac:dyDescent="0.3">
      <c r="B885" s="247" t="s">
        <v>13</v>
      </c>
      <c r="C885" s="244" t="s">
        <v>67</v>
      </c>
      <c r="D885" s="246" t="s">
        <v>21</v>
      </c>
      <c r="E885" s="249" t="s">
        <v>14</v>
      </c>
      <c r="F885" s="198" t="s">
        <v>28</v>
      </c>
      <c r="G885" s="199"/>
      <c r="H885" s="198" t="s">
        <v>29</v>
      </c>
      <c r="I885" s="198"/>
      <c r="J885" s="6"/>
      <c r="K885" s="6"/>
      <c r="L885" s="6"/>
      <c r="M885" s="6"/>
    </row>
    <row r="886" spans="2:13" ht="12.95" customHeight="1" x14ac:dyDescent="0.3">
      <c r="B886" s="248"/>
      <c r="C886" s="245"/>
      <c r="D886" s="246"/>
      <c r="E886" s="250"/>
      <c r="F886" s="181" t="s">
        <v>15</v>
      </c>
      <c r="G886" s="181" t="s">
        <v>16</v>
      </c>
      <c r="H886" s="181" t="s">
        <v>15</v>
      </c>
      <c r="I886" s="182" t="s">
        <v>16</v>
      </c>
      <c r="J886" s="6"/>
      <c r="K886" s="6"/>
      <c r="L886" s="6"/>
      <c r="M886" s="6"/>
    </row>
    <row r="887" spans="2:13" ht="12.95" customHeight="1" x14ac:dyDescent="0.3">
      <c r="B887" s="196" t="s">
        <v>94</v>
      </c>
      <c r="C887" s="197" t="s">
        <v>116</v>
      </c>
      <c r="D887" s="183" t="s">
        <v>46</v>
      </c>
      <c r="E887" s="29">
        <v>23635</v>
      </c>
      <c r="F887" s="56">
        <v>8</v>
      </c>
      <c r="G887" s="5">
        <f>TRUNC($E887*F887,1)</f>
        <v>189080</v>
      </c>
      <c r="H887" s="56">
        <v>5.6</v>
      </c>
      <c r="I887" s="5">
        <f>TRUNC($E887*H887,1)</f>
        <v>132356</v>
      </c>
      <c r="J887" s="6"/>
      <c r="K887" s="6"/>
      <c r="L887" s="6"/>
      <c r="M887" s="6"/>
    </row>
    <row r="888" spans="2:13" ht="12.95" customHeight="1" x14ac:dyDescent="0.3">
      <c r="B888" s="196" t="s">
        <v>93</v>
      </c>
      <c r="C888" s="197" t="s">
        <v>117</v>
      </c>
      <c r="D888" s="183" t="s">
        <v>113</v>
      </c>
      <c r="E888" s="29">
        <v>7951</v>
      </c>
      <c r="F888" s="56">
        <v>8</v>
      </c>
      <c r="G888" s="5">
        <f>TRUNC($E888*F888,1)</f>
        <v>63608</v>
      </c>
      <c r="H888" s="56">
        <v>5.6</v>
      </c>
      <c r="I888" s="5">
        <f>TRUNC($E888*H888,1)</f>
        <v>44525.599999999999</v>
      </c>
      <c r="J888" s="6"/>
      <c r="K888" s="6"/>
      <c r="L888" s="6"/>
      <c r="M888" s="6"/>
    </row>
    <row r="889" spans="2:13" ht="12.95" customHeight="1" x14ac:dyDescent="0.3">
      <c r="B889" s="91" t="s">
        <v>22</v>
      </c>
      <c r="C889" s="106" t="s">
        <v>24</v>
      </c>
      <c r="D889" s="183" t="s">
        <v>47</v>
      </c>
      <c r="E889" s="29"/>
      <c r="F889" s="37">
        <v>1</v>
      </c>
      <c r="G889" s="31">
        <f>TRUNC(SUM(G892:G894)*0.02,1)</f>
        <v>23751.200000000001</v>
      </c>
      <c r="H889" s="37">
        <v>1</v>
      </c>
      <c r="I889" s="31">
        <f>TRUNC(SUM(I892:I894)*0.02,1)</f>
        <v>15644.4</v>
      </c>
      <c r="J889" s="6"/>
      <c r="K889" s="6"/>
      <c r="L889" s="6"/>
      <c r="M889" s="6"/>
    </row>
    <row r="890" spans="2:13" ht="12.95" customHeight="1" x14ac:dyDescent="0.3">
      <c r="B890" s="184" t="s">
        <v>31</v>
      </c>
      <c r="C890" s="185"/>
      <c r="D890" s="186"/>
      <c r="E890" s="46"/>
      <c r="F890" s="47"/>
      <c r="G890" s="48">
        <f>TRUNC(SUM(G887:G889))</f>
        <v>276439</v>
      </c>
      <c r="H890" s="52"/>
      <c r="I890" s="48">
        <f>TRUNC(SUM(I887:I889))</f>
        <v>192526</v>
      </c>
      <c r="J890" s="6"/>
      <c r="K890" s="6"/>
      <c r="L890" s="6"/>
      <c r="M890" s="6"/>
    </row>
    <row r="891" spans="2:13" ht="12.95" customHeight="1" x14ac:dyDescent="0.3">
      <c r="B891" s="187"/>
      <c r="C891" s="188"/>
      <c r="D891" s="183"/>
      <c r="E891" s="33"/>
      <c r="F891" s="34"/>
      <c r="G891" s="35"/>
      <c r="H891" s="53"/>
      <c r="I891" s="35"/>
      <c r="J891" s="6"/>
      <c r="K891" s="6"/>
      <c r="L891" s="6"/>
      <c r="M891" s="6"/>
    </row>
    <row r="892" spans="2:13" ht="12.95" customHeight="1" x14ac:dyDescent="0.3">
      <c r="B892" s="197" t="s">
        <v>80</v>
      </c>
      <c r="C892" s="197"/>
      <c r="D892" s="85" t="s">
        <v>27</v>
      </c>
      <c r="E892" s="200">
        <v>239808</v>
      </c>
      <c r="F892" s="56">
        <v>2.81</v>
      </c>
      <c r="G892" s="5">
        <f>TRUNC($E892*F892,1)</f>
        <v>673860.4</v>
      </c>
      <c r="H892" s="56">
        <v>2.5299999999999998</v>
      </c>
      <c r="I892" s="5">
        <f>TRUNC($E892*H892,1)</f>
        <v>606714.19999999995</v>
      </c>
      <c r="J892" s="6"/>
      <c r="K892" s="6"/>
      <c r="L892" s="6"/>
      <c r="M892" s="6"/>
    </row>
    <row r="893" spans="2:13" ht="12.95" customHeight="1" x14ac:dyDescent="0.3">
      <c r="B893" s="197" t="s">
        <v>81</v>
      </c>
      <c r="C893" s="197"/>
      <c r="D893" s="85" t="s">
        <v>27</v>
      </c>
      <c r="E893" s="200">
        <v>282536</v>
      </c>
      <c r="F893" s="56">
        <v>1.1299999999999999</v>
      </c>
      <c r="G893" s="5">
        <f>TRUNC($E893*F893,1)</f>
        <v>319265.59999999998</v>
      </c>
      <c r="H893" s="56">
        <v>0</v>
      </c>
      <c r="I893" s="5">
        <f>TRUNC($E893*H893,1)</f>
        <v>0</v>
      </c>
      <c r="J893" s="6"/>
      <c r="K893" s="6"/>
      <c r="L893" s="6"/>
      <c r="M893" s="6"/>
    </row>
    <row r="894" spans="2:13" ht="12.95" customHeight="1" x14ac:dyDescent="0.3">
      <c r="B894" s="83" t="s">
        <v>4</v>
      </c>
      <c r="C894" s="83"/>
      <c r="D894" s="85" t="s">
        <v>27</v>
      </c>
      <c r="E894" s="82">
        <v>172068</v>
      </c>
      <c r="F894" s="56">
        <v>1.1299999999999999</v>
      </c>
      <c r="G894" s="5">
        <f>TRUNC($E894*F894,1)</f>
        <v>194436.8</v>
      </c>
      <c r="H894" s="56">
        <v>1.02</v>
      </c>
      <c r="I894" s="5">
        <f>TRUNC($E894*H894,1)</f>
        <v>175509.3</v>
      </c>
      <c r="J894" s="6"/>
      <c r="K894" s="6"/>
      <c r="L894" s="6"/>
      <c r="M894" s="6"/>
    </row>
    <row r="895" spans="2:13" ht="12.95" customHeight="1" x14ac:dyDescent="0.3">
      <c r="B895" s="196" t="s">
        <v>94</v>
      </c>
      <c r="C895" s="197" t="s">
        <v>116</v>
      </c>
      <c r="D895" s="183" t="s">
        <v>113</v>
      </c>
      <c r="E895" s="29">
        <v>58925</v>
      </c>
      <c r="F895" s="56">
        <v>8</v>
      </c>
      <c r="G895" s="5">
        <f>TRUNC($E895*F895,1)</f>
        <v>471400</v>
      </c>
      <c r="H895" s="56">
        <v>5.6</v>
      </c>
      <c r="I895" s="5">
        <f>TRUNC($E895*H895,1)</f>
        <v>329980</v>
      </c>
      <c r="J895" s="6"/>
      <c r="K895" s="6"/>
      <c r="L895" s="6"/>
      <c r="M895" s="6"/>
    </row>
    <row r="896" spans="2:13" ht="12.95" customHeight="1" x14ac:dyDescent="0.3">
      <c r="B896" s="196" t="s">
        <v>93</v>
      </c>
      <c r="C896" s="197" t="s">
        <v>117</v>
      </c>
      <c r="D896" s="183" t="s">
        <v>113</v>
      </c>
      <c r="E896" s="29">
        <v>58925</v>
      </c>
      <c r="F896" s="56">
        <v>8</v>
      </c>
      <c r="G896" s="5">
        <f>TRUNC($E896*F896,1)</f>
        <v>471400</v>
      </c>
      <c r="H896" s="56">
        <v>5.6</v>
      </c>
      <c r="I896" s="5">
        <f>TRUNC($E896*H896,1)</f>
        <v>329980</v>
      </c>
      <c r="J896" s="6"/>
      <c r="K896" s="6"/>
      <c r="L896" s="6"/>
      <c r="M896" s="6"/>
    </row>
    <row r="897" spans="2:13" ht="12.95" customHeight="1" x14ac:dyDescent="0.3">
      <c r="B897" s="169" t="s">
        <v>32</v>
      </c>
      <c r="C897" s="189"/>
      <c r="D897" s="186"/>
      <c r="E897" s="190"/>
      <c r="F897" s="52"/>
      <c r="G897" s="48">
        <f>TRUNC(SUM(G892:G896))</f>
        <v>2130362</v>
      </c>
      <c r="H897" s="52"/>
      <c r="I897" s="48">
        <f>TRUNC(SUM(I892:I896))</f>
        <v>1442183</v>
      </c>
      <c r="J897" s="6"/>
      <c r="K897" s="6"/>
      <c r="L897" s="6"/>
      <c r="M897" s="6"/>
    </row>
    <row r="898" spans="2:13" ht="12.95" customHeight="1" x14ac:dyDescent="0.3">
      <c r="B898" s="187"/>
      <c r="C898" s="188"/>
      <c r="D898" s="183"/>
      <c r="E898" s="191"/>
      <c r="F898" s="53"/>
      <c r="G898" s="35"/>
      <c r="H898" s="53"/>
      <c r="I898" s="35"/>
      <c r="J898" s="6"/>
      <c r="K898" s="6"/>
      <c r="L898" s="6"/>
      <c r="M898" s="6"/>
    </row>
    <row r="899" spans="2:13" ht="12.95" customHeight="1" x14ac:dyDescent="0.3">
      <c r="B899" s="196" t="s">
        <v>94</v>
      </c>
      <c r="C899" s="197" t="s">
        <v>116</v>
      </c>
      <c r="D899" s="183" t="s">
        <v>113</v>
      </c>
      <c r="E899" s="29">
        <v>90444</v>
      </c>
      <c r="F899" s="56">
        <v>8</v>
      </c>
      <c r="G899" s="5">
        <f>TRUNC($E899*F899,1)</f>
        <v>723552</v>
      </c>
      <c r="H899" s="56">
        <v>5.6</v>
      </c>
      <c r="I899" s="5">
        <f>TRUNC($E899*H899,1)</f>
        <v>506486.4</v>
      </c>
      <c r="J899" s="6"/>
      <c r="K899" s="6"/>
      <c r="L899" s="6"/>
      <c r="M899" s="6"/>
    </row>
    <row r="900" spans="2:13" ht="12.95" customHeight="1" x14ac:dyDescent="0.3">
      <c r="B900" s="196" t="s">
        <v>93</v>
      </c>
      <c r="C900" s="197" t="s">
        <v>117</v>
      </c>
      <c r="D900" s="183" t="s">
        <v>113</v>
      </c>
      <c r="E900" s="29">
        <v>31344</v>
      </c>
      <c r="F900" s="56">
        <v>8</v>
      </c>
      <c r="G900" s="5">
        <f>TRUNC($E900*F900,1)</f>
        <v>250752</v>
      </c>
      <c r="H900" s="56">
        <v>5.6</v>
      </c>
      <c r="I900" s="5">
        <f>TRUNC($E900*H900,1)</f>
        <v>175526.39999999999</v>
      </c>
      <c r="J900" s="6"/>
      <c r="K900" s="6"/>
      <c r="L900" s="6"/>
      <c r="M900" s="6"/>
    </row>
    <row r="901" spans="2:13" ht="12.95" customHeight="1" x14ac:dyDescent="0.3">
      <c r="B901" s="169" t="s">
        <v>118</v>
      </c>
      <c r="C901" s="189"/>
      <c r="D901" s="186"/>
      <c r="E901" s="190"/>
      <c r="F901" s="190"/>
      <c r="G901" s="48">
        <f>TRUNC(SUM(G899:G900))</f>
        <v>974304</v>
      </c>
      <c r="H901" s="190"/>
      <c r="I901" s="48">
        <f>TRUNC(SUM(I899:I900))</f>
        <v>682012</v>
      </c>
      <c r="J901" s="6"/>
      <c r="K901" s="6"/>
      <c r="L901" s="6"/>
      <c r="M901" s="6"/>
    </row>
    <row r="902" spans="2:13" ht="12.95" customHeight="1" x14ac:dyDescent="0.3">
      <c r="B902" s="187"/>
      <c r="C902" s="188"/>
      <c r="D902" s="183"/>
      <c r="E902" s="191"/>
      <c r="F902" s="191"/>
      <c r="G902" s="35"/>
      <c r="H902" s="191"/>
      <c r="I902" s="35"/>
      <c r="J902" s="6"/>
      <c r="K902" s="6"/>
      <c r="L902" s="6"/>
      <c r="M902" s="6"/>
    </row>
    <row r="903" spans="2:13" ht="12.95" customHeight="1" x14ac:dyDescent="0.3">
      <c r="B903" s="192" t="s">
        <v>38</v>
      </c>
      <c r="C903" s="193"/>
      <c r="D903" s="194"/>
      <c r="E903" s="195"/>
      <c r="F903" s="195"/>
      <c r="G903" s="36">
        <f>SUM(G890+G897+G901)</f>
        <v>3381105</v>
      </c>
      <c r="H903" s="195"/>
      <c r="I903" s="36">
        <f>SUM(I890+I897+I901)</f>
        <v>2316721</v>
      </c>
      <c r="J903" s="6"/>
      <c r="K903" s="6"/>
      <c r="L903" s="6"/>
      <c r="M903" s="6"/>
    </row>
    <row r="904" spans="2:13" ht="12.95" customHeight="1" x14ac:dyDescent="0.3">
      <c r="B904" s="14"/>
      <c r="C904" s="14"/>
      <c r="D904" s="14"/>
      <c r="E904" s="14"/>
      <c r="F904" s="14"/>
      <c r="G904" s="14"/>
      <c r="H904" s="6"/>
      <c r="I904" s="6"/>
      <c r="J904" s="6"/>
      <c r="K904" s="6"/>
      <c r="L904" s="6"/>
      <c r="M904" s="6"/>
    </row>
    <row r="905" spans="2:13" ht="12.95" customHeight="1" x14ac:dyDescent="0.3">
      <c r="B905" s="74" t="s">
        <v>205</v>
      </c>
      <c r="C905" s="75"/>
      <c r="D905" s="14"/>
      <c r="E905" s="76"/>
      <c r="F905" s="6"/>
      <c r="G905" s="6"/>
      <c r="H905" s="6"/>
      <c r="I905" s="109" t="s">
        <v>151</v>
      </c>
    </row>
    <row r="906" spans="2:13" ht="12.95" customHeight="1" x14ac:dyDescent="0.3">
      <c r="B906" s="242" t="s">
        <v>13</v>
      </c>
      <c r="C906" s="244" t="s">
        <v>67</v>
      </c>
      <c r="D906" s="267" t="s">
        <v>21</v>
      </c>
      <c r="E906" s="237" t="s">
        <v>14</v>
      </c>
      <c r="F906" s="253" t="s">
        <v>157</v>
      </c>
      <c r="G906" s="254"/>
      <c r="H906" s="254"/>
      <c r="I906" s="254"/>
      <c r="J906" s="6"/>
      <c r="K906" s="6"/>
      <c r="L906" s="6"/>
      <c r="M906" s="6"/>
    </row>
    <row r="907" spans="2:13" ht="12.95" customHeight="1" x14ac:dyDescent="0.3">
      <c r="B907" s="265"/>
      <c r="C907" s="266"/>
      <c r="D907" s="268"/>
      <c r="E907" s="238"/>
      <c r="F907" s="253" t="s">
        <v>158</v>
      </c>
      <c r="G907" s="271"/>
      <c r="H907" s="253" t="s">
        <v>159</v>
      </c>
      <c r="I907" s="254"/>
      <c r="J907" s="6"/>
      <c r="K907" s="6"/>
      <c r="L907" s="6"/>
      <c r="M907" s="6"/>
    </row>
    <row r="908" spans="2:13" ht="12.95" customHeight="1" x14ac:dyDescent="0.3">
      <c r="B908" s="243"/>
      <c r="C908" s="245"/>
      <c r="D908" s="269"/>
      <c r="E908" s="239"/>
      <c r="F908" s="126" t="s">
        <v>15</v>
      </c>
      <c r="G908" s="180" t="s">
        <v>16</v>
      </c>
      <c r="H908" s="126" t="s">
        <v>15</v>
      </c>
      <c r="I908" s="180" t="s">
        <v>16</v>
      </c>
      <c r="J908" s="6"/>
      <c r="K908" s="6"/>
      <c r="L908" s="6"/>
      <c r="M908" s="6"/>
    </row>
    <row r="909" spans="2:13" ht="12.95" customHeight="1" x14ac:dyDescent="0.3">
      <c r="B909" s="81" t="s">
        <v>94</v>
      </c>
      <c r="C909" s="81" t="s">
        <v>71</v>
      </c>
      <c r="D909" s="18" t="s">
        <v>46</v>
      </c>
      <c r="E909" s="82">
        <v>7951</v>
      </c>
      <c r="F909" s="56">
        <v>0.26</v>
      </c>
      <c r="G909" s="2">
        <f t="shared" ref="G909" si="195">TRUNC($E909*F909,1)</f>
        <v>2067.1999999999998</v>
      </c>
      <c r="H909" s="56">
        <v>0.44</v>
      </c>
      <c r="I909" s="5">
        <f t="shared" ref="I909" si="196">TRUNC($E909*H909,1)</f>
        <v>3498.4</v>
      </c>
    </row>
    <row r="910" spans="2:13" ht="12.95" customHeight="1" x14ac:dyDescent="0.3">
      <c r="B910" s="87" t="s">
        <v>31</v>
      </c>
      <c r="C910" s="88"/>
      <c r="D910" s="89"/>
      <c r="E910" s="90"/>
      <c r="F910" s="90"/>
      <c r="G910" s="45">
        <f>TRUNC(SUM(G909:G909))</f>
        <v>2067</v>
      </c>
      <c r="H910" s="90"/>
      <c r="I910" s="45">
        <f>TRUNC(SUM(I909:I909))</f>
        <v>3498</v>
      </c>
    </row>
    <row r="911" spans="2:13" ht="12.95" customHeight="1" x14ac:dyDescent="0.3">
      <c r="B911" s="91"/>
      <c r="C911" s="91"/>
      <c r="D911" s="85"/>
      <c r="E911" s="92"/>
      <c r="F911" s="92"/>
      <c r="G911" s="93"/>
      <c r="H911" s="92"/>
      <c r="I911" s="93"/>
    </row>
    <row r="912" spans="2:13" ht="12.95" customHeight="1" x14ac:dyDescent="0.3">
      <c r="B912" s="91" t="s">
        <v>1</v>
      </c>
      <c r="C912" s="92"/>
      <c r="D912" s="85" t="s">
        <v>27</v>
      </c>
      <c r="E912" s="82">
        <v>226122</v>
      </c>
      <c r="F912" s="56">
        <v>0.17</v>
      </c>
      <c r="G912" s="2">
        <f t="shared" ref="G912:G914" si="197">TRUNC($E912*F912,1)</f>
        <v>38440.699999999997</v>
      </c>
      <c r="H912" s="56">
        <v>0.24</v>
      </c>
      <c r="I912" s="5">
        <f t="shared" ref="I912:I914" si="198">TRUNC($E912*H912,1)</f>
        <v>54269.2</v>
      </c>
    </row>
    <row r="913" spans="2:13" ht="12.95" customHeight="1" x14ac:dyDescent="0.3">
      <c r="B913" s="94" t="s">
        <v>4</v>
      </c>
      <c r="C913" s="84"/>
      <c r="D913" s="95" t="s">
        <v>27</v>
      </c>
      <c r="E913" s="4">
        <v>172068</v>
      </c>
      <c r="F913" s="60">
        <v>0.06</v>
      </c>
      <c r="G913" s="2">
        <f t="shared" si="197"/>
        <v>10324</v>
      </c>
      <c r="H913" s="60">
        <v>0.09</v>
      </c>
      <c r="I913" s="5">
        <f t="shared" si="198"/>
        <v>15486.1</v>
      </c>
    </row>
    <row r="914" spans="2:13" ht="12.95" customHeight="1" x14ac:dyDescent="0.3">
      <c r="B914" s="81" t="s">
        <v>94</v>
      </c>
      <c r="C914" s="81" t="s">
        <v>71</v>
      </c>
      <c r="D914" s="85" t="s">
        <v>46</v>
      </c>
      <c r="E914" s="7">
        <v>58925</v>
      </c>
      <c r="F914" s="56">
        <v>0.26</v>
      </c>
      <c r="G914" s="2">
        <f t="shared" si="197"/>
        <v>15320.5</v>
      </c>
      <c r="H914" s="56">
        <v>0.44</v>
      </c>
      <c r="I914" s="5">
        <f t="shared" si="198"/>
        <v>25927</v>
      </c>
    </row>
    <row r="915" spans="2:13" ht="12.95" customHeight="1" x14ac:dyDescent="0.3">
      <c r="B915" s="96" t="s">
        <v>32</v>
      </c>
      <c r="C915" s="88"/>
      <c r="D915" s="89"/>
      <c r="E915" s="44"/>
      <c r="F915" s="52"/>
      <c r="G915" s="45">
        <f>TRUNC(SUM(G912:G914))</f>
        <v>64085</v>
      </c>
      <c r="H915" s="52"/>
      <c r="I915" s="45">
        <f>TRUNC(SUM(I912:I914))</f>
        <v>95682</v>
      </c>
    </row>
    <row r="916" spans="2:13" ht="12.95" customHeight="1" x14ac:dyDescent="0.3">
      <c r="B916" s="91"/>
      <c r="C916" s="91"/>
      <c r="D916" s="85"/>
      <c r="E916" s="92"/>
      <c r="F916" s="56"/>
      <c r="G916" s="93"/>
      <c r="H916" s="56"/>
      <c r="I916" s="93"/>
    </row>
    <row r="917" spans="2:13" ht="12.95" customHeight="1" x14ac:dyDescent="0.3">
      <c r="B917" s="81" t="s">
        <v>94</v>
      </c>
      <c r="C917" s="81" t="s">
        <v>71</v>
      </c>
      <c r="D917" s="85" t="s">
        <v>46</v>
      </c>
      <c r="E917" s="7">
        <v>31344</v>
      </c>
      <c r="F917" s="56">
        <v>0.26</v>
      </c>
      <c r="G917" s="2">
        <f t="shared" ref="G917" si="199">TRUNC($E917*F917,1)</f>
        <v>8149.4</v>
      </c>
      <c r="H917" s="56">
        <v>0.44</v>
      </c>
      <c r="I917" s="5">
        <f t="shared" ref="I917" si="200">TRUNC($E917*H917,1)</f>
        <v>13791.3</v>
      </c>
    </row>
    <row r="918" spans="2:13" ht="12.95" customHeight="1" x14ac:dyDescent="0.3">
      <c r="B918" s="87" t="s">
        <v>33</v>
      </c>
      <c r="C918" s="88"/>
      <c r="D918" s="97"/>
      <c r="E918" s="44"/>
      <c r="F918" s="90"/>
      <c r="G918" s="45">
        <f>TRUNC(SUM(G917))</f>
        <v>8149</v>
      </c>
      <c r="H918" s="90"/>
      <c r="I918" s="45">
        <f>TRUNC(SUM(I917))</f>
        <v>13791</v>
      </c>
    </row>
    <row r="919" spans="2:13" ht="12.95" customHeight="1" x14ac:dyDescent="0.3">
      <c r="B919" s="91"/>
      <c r="C919" s="91"/>
      <c r="D919" s="85"/>
      <c r="E919" s="92"/>
      <c r="F919" s="92"/>
      <c r="G919" s="93"/>
      <c r="H919" s="92"/>
      <c r="I919" s="93"/>
    </row>
    <row r="920" spans="2:13" ht="12.95" customHeight="1" x14ac:dyDescent="0.3">
      <c r="B920" s="98" t="s">
        <v>38</v>
      </c>
      <c r="C920" s="99"/>
      <c r="D920" s="100"/>
      <c r="E920" s="101"/>
      <c r="F920" s="102"/>
      <c r="G920" s="9">
        <f>SUM(G910+G915+G918)</f>
        <v>74301</v>
      </c>
      <c r="H920" s="102"/>
      <c r="I920" s="9">
        <f>SUM(I910+I915+I918)</f>
        <v>112971</v>
      </c>
    </row>
    <row r="922" spans="2:13" ht="12.95" customHeight="1" x14ac:dyDescent="0.3">
      <c r="B922" s="74" t="s">
        <v>206</v>
      </c>
      <c r="C922" s="75"/>
      <c r="D922" s="14"/>
      <c r="E922" s="76"/>
      <c r="F922" s="6"/>
      <c r="G922" s="6"/>
      <c r="H922" s="6"/>
      <c r="I922" s="109"/>
      <c r="J922" s="6"/>
      <c r="K922" s="6"/>
      <c r="L922" s="6"/>
      <c r="M922" s="109" t="s">
        <v>156</v>
      </c>
    </row>
    <row r="923" spans="2:13" ht="12.95" customHeight="1" x14ac:dyDescent="0.3">
      <c r="B923" s="242" t="s">
        <v>13</v>
      </c>
      <c r="C923" s="244" t="s">
        <v>67</v>
      </c>
      <c r="D923" s="267" t="s">
        <v>21</v>
      </c>
      <c r="E923" s="237" t="s">
        <v>14</v>
      </c>
      <c r="F923" s="253" t="s">
        <v>157</v>
      </c>
      <c r="G923" s="254"/>
      <c r="H923" s="254"/>
      <c r="I923" s="254"/>
      <c r="J923" s="254"/>
      <c r="K923" s="254"/>
      <c r="L923" s="254"/>
      <c r="M923" s="254"/>
    </row>
    <row r="924" spans="2:13" ht="12.95" customHeight="1" x14ac:dyDescent="0.3">
      <c r="B924" s="265"/>
      <c r="C924" s="266"/>
      <c r="D924" s="268"/>
      <c r="E924" s="238"/>
      <c r="F924" s="253" t="s">
        <v>158</v>
      </c>
      <c r="G924" s="271"/>
      <c r="H924" s="253" t="s">
        <v>160</v>
      </c>
      <c r="I924" s="254"/>
      <c r="J924" s="253" t="s">
        <v>161</v>
      </c>
      <c r="K924" s="271"/>
      <c r="L924" s="253" t="s">
        <v>162</v>
      </c>
      <c r="M924" s="254"/>
    </row>
    <row r="925" spans="2:13" ht="12.95" customHeight="1" x14ac:dyDescent="0.3">
      <c r="B925" s="243"/>
      <c r="C925" s="245"/>
      <c r="D925" s="269"/>
      <c r="E925" s="239"/>
      <c r="F925" s="126" t="s">
        <v>15</v>
      </c>
      <c r="G925" s="180" t="s">
        <v>16</v>
      </c>
      <c r="H925" s="126" t="s">
        <v>15</v>
      </c>
      <c r="I925" s="180" t="s">
        <v>16</v>
      </c>
      <c r="J925" s="126" t="s">
        <v>15</v>
      </c>
      <c r="K925" s="180" t="s">
        <v>16</v>
      </c>
      <c r="L925" s="126" t="s">
        <v>15</v>
      </c>
      <c r="M925" s="180" t="s">
        <v>16</v>
      </c>
    </row>
    <row r="926" spans="2:13" ht="12.95" customHeight="1" x14ac:dyDescent="0.3">
      <c r="B926" s="81" t="s">
        <v>94</v>
      </c>
      <c r="C926" s="81" t="s">
        <v>71</v>
      </c>
      <c r="D926" s="18" t="s">
        <v>46</v>
      </c>
      <c r="E926" s="82">
        <v>7951</v>
      </c>
      <c r="F926" s="56">
        <v>0.46</v>
      </c>
      <c r="G926" s="2">
        <f t="shared" ref="G926" si="201">TRUNC($E926*F926,1)</f>
        <v>3657.4</v>
      </c>
      <c r="H926" s="56">
        <v>0.9</v>
      </c>
      <c r="I926" s="5">
        <f t="shared" ref="I926" si="202">TRUNC($E926*H926,1)</f>
        <v>7155.9</v>
      </c>
      <c r="J926" s="56">
        <v>1.48</v>
      </c>
      <c r="K926" s="2">
        <f t="shared" ref="K926" si="203">TRUNC($E926*J926,1)</f>
        <v>11767.4</v>
      </c>
      <c r="L926" s="56">
        <v>2.2000000000000002</v>
      </c>
      <c r="M926" s="5">
        <f t="shared" ref="M926" si="204">TRUNC($E926*L926,1)</f>
        <v>17492.2</v>
      </c>
    </row>
    <row r="927" spans="2:13" ht="12.95" customHeight="1" x14ac:dyDescent="0.3">
      <c r="B927" s="87" t="s">
        <v>31</v>
      </c>
      <c r="C927" s="88"/>
      <c r="D927" s="89"/>
      <c r="E927" s="90"/>
      <c r="F927" s="90"/>
      <c r="G927" s="45">
        <f>TRUNC(SUM(G926:G926))</f>
        <v>3657</v>
      </c>
      <c r="H927" s="90"/>
      <c r="I927" s="45">
        <f>TRUNC(SUM(I926:I926))</f>
        <v>7155</v>
      </c>
      <c r="J927" s="90"/>
      <c r="K927" s="45">
        <f>TRUNC(SUM(K926:K926))</f>
        <v>11767</v>
      </c>
      <c r="L927" s="90"/>
      <c r="M927" s="45">
        <f>TRUNC(SUM(M926:M926))</f>
        <v>17492</v>
      </c>
    </row>
    <row r="928" spans="2:13" ht="12.95" customHeight="1" x14ac:dyDescent="0.3">
      <c r="B928" s="91"/>
      <c r="C928" s="91"/>
      <c r="D928" s="85"/>
      <c r="E928" s="92"/>
      <c r="F928" s="92"/>
      <c r="G928" s="93"/>
      <c r="H928" s="92"/>
      <c r="I928" s="93"/>
      <c r="J928" s="92"/>
      <c r="K928" s="93"/>
      <c r="L928" s="92"/>
      <c r="M928" s="93"/>
    </row>
    <row r="929" spans="2:13" ht="12.95" customHeight="1" x14ac:dyDescent="0.3">
      <c r="B929" s="91" t="s">
        <v>1</v>
      </c>
      <c r="C929" s="92"/>
      <c r="D929" s="85" t="s">
        <v>27</v>
      </c>
      <c r="E929" s="82">
        <v>226122</v>
      </c>
      <c r="F929" s="56">
        <v>0.19</v>
      </c>
      <c r="G929" s="2">
        <f t="shared" ref="G929:G931" si="205">TRUNC($E929*F929,1)</f>
        <v>42963.1</v>
      </c>
      <c r="H929" s="56">
        <v>0.28000000000000003</v>
      </c>
      <c r="I929" s="5">
        <f t="shared" ref="I929:I931" si="206">TRUNC($E929*H929,1)</f>
        <v>63314.1</v>
      </c>
      <c r="J929" s="56">
        <v>0.4</v>
      </c>
      <c r="K929" s="2">
        <f t="shared" ref="K929:K931" si="207">TRUNC($E929*J929,1)</f>
        <v>90448.8</v>
      </c>
      <c r="L929" s="56">
        <v>0.56999999999999995</v>
      </c>
      <c r="M929" s="5">
        <f t="shared" ref="M929:M931" si="208">TRUNC($E929*L929,1)</f>
        <v>128889.5</v>
      </c>
    </row>
    <row r="930" spans="2:13" ht="12.95" customHeight="1" x14ac:dyDescent="0.3">
      <c r="B930" s="94" t="s">
        <v>4</v>
      </c>
      <c r="C930" s="84"/>
      <c r="D930" s="95" t="s">
        <v>27</v>
      </c>
      <c r="E930" s="4">
        <v>172068</v>
      </c>
      <c r="F930" s="60">
        <v>7.0000000000000007E-2</v>
      </c>
      <c r="G930" s="2">
        <f t="shared" si="205"/>
        <v>12044.7</v>
      </c>
      <c r="H930" s="60">
        <v>0.1</v>
      </c>
      <c r="I930" s="5">
        <f t="shared" si="206"/>
        <v>17206.8</v>
      </c>
      <c r="J930" s="60">
        <v>0.15</v>
      </c>
      <c r="K930" s="2">
        <f t="shared" si="207"/>
        <v>25810.2</v>
      </c>
      <c r="L930" s="60">
        <v>0.22</v>
      </c>
      <c r="M930" s="5">
        <f t="shared" si="208"/>
        <v>37854.9</v>
      </c>
    </row>
    <row r="931" spans="2:13" ht="12.95" customHeight="1" x14ac:dyDescent="0.3">
      <c r="B931" s="81" t="s">
        <v>94</v>
      </c>
      <c r="C931" s="81" t="s">
        <v>71</v>
      </c>
      <c r="D931" s="85" t="s">
        <v>46</v>
      </c>
      <c r="E931" s="7">
        <v>58925</v>
      </c>
      <c r="F931" s="56">
        <v>0.46</v>
      </c>
      <c r="G931" s="2">
        <f t="shared" si="205"/>
        <v>27105.5</v>
      </c>
      <c r="H931" s="56">
        <v>0.9</v>
      </c>
      <c r="I931" s="5">
        <f t="shared" si="206"/>
        <v>53032.5</v>
      </c>
      <c r="J931" s="56">
        <v>1.48</v>
      </c>
      <c r="K931" s="2">
        <f t="shared" si="207"/>
        <v>87209</v>
      </c>
      <c r="L931" s="56">
        <v>2.2000000000000002</v>
      </c>
      <c r="M931" s="5">
        <f t="shared" si="208"/>
        <v>129635</v>
      </c>
    </row>
    <row r="932" spans="2:13" ht="12.95" customHeight="1" x14ac:dyDescent="0.3">
      <c r="B932" s="96" t="s">
        <v>32</v>
      </c>
      <c r="C932" s="88"/>
      <c r="D932" s="89"/>
      <c r="E932" s="44"/>
      <c r="F932" s="52"/>
      <c r="G932" s="45">
        <f>TRUNC(SUM(G929:G931))</f>
        <v>82113</v>
      </c>
      <c r="H932" s="52"/>
      <c r="I932" s="45">
        <f>TRUNC(SUM(I929:I931))</f>
        <v>133553</v>
      </c>
      <c r="J932" s="52"/>
      <c r="K932" s="45">
        <f>TRUNC(SUM(K929:K931))</f>
        <v>203468</v>
      </c>
      <c r="L932" s="52"/>
      <c r="M932" s="45">
        <f>TRUNC(SUM(M929:M931))</f>
        <v>296379</v>
      </c>
    </row>
    <row r="933" spans="2:13" ht="12.95" customHeight="1" x14ac:dyDescent="0.3">
      <c r="B933" s="91"/>
      <c r="C933" s="91"/>
      <c r="D933" s="85"/>
      <c r="E933" s="92"/>
      <c r="F933" s="56"/>
      <c r="G933" s="93"/>
      <c r="H933" s="56"/>
      <c r="I933" s="93"/>
      <c r="J933" s="56"/>
      <c r="K933" s="93"/>
      <c r="L933" s="56"/>
      <c r="M933" s="93"/>
    </row>
    <row r="934" spans="2:13" ht="12.95" customHeight="1" x14ac:dyDescent="0.3">
      <c r="B934" s="81" t="s">
        <v>94</v>
      </c>
      <c r="C934" s="81" t="s">
        <v>71</v>
      </c>
      <c r="D934" s="85" t="s">
        <v>46</v>
      </c>
      <c r="E934" s="7">
        <v>31344</v>
      </c>
      <c r="F934" s="56">
        <v>0.46</v>
      </c>
      <c r="G934" s="2">
        <f t="shared" ref="G934" si="209">TRUNC($E934*F934,1)</f>
        <v>14418.2</v>
      </c>
      <c r="H934" s="56">
        <v>0.9</v>
      </c>
      <c r="I934" s="5">
        <f t="shared" ref="I934" si="210">TRUNC($E934*H934,1)</f>
        <v>28209.599999999999</v>
      </c>
      <c r="J934" s="56">
        <v>1.48</v>
      </c>
      <c r="K934" s="2">
        <f t="shared" ref="K934" si="211">TRUNC($E934*J934,1)</f>
        <v>46389.1</v>
      </c>
      <c r="L934" s="56">
        <v>2.2000000000000002</v>
      </c>
      <c r="M934" s="5">
        <f t="shared" ref="M934" si="212">TRUNC($E934*L934,1)</f>
        <v>68956.800000000003</v>
      </c>
    </row>
    <row r="935" spans="2:13" ht="12.95" customHeight="1" x14ac:dyDescent="0.3">
      <c r="B935" s="87" t="s">
        <v>33</v>
      </c>
      <c r="C935" s="88"/>
      <c r="D935" s="97"/>
      <c r="E935" s="44"/>
      <c r="F935" s="90"/>
      <c r="G935" s="45">
        <f>TRUNC(SUM(G934))</f>
        <v>14418</v>
      </c>
      <c r="H935" s="90"/>
      <c r="I935" s="45">
        <f>TRUNC(SUM(I934))</f>
        <v>28209</v>
      </c>
      <c r="J935" s="90"/>
      <c r="K935" s="45">
        <f>TRUNC(SUM(K934))</f>
        <v>46389</v>
      </c>
      <c r="L935" s="90"/>
      <c r="M935" s="45">
        <f>TRUNC(SUM(M934))</f>
        <v>68956</v>
      </c>
    </row>
    <row r="936" spans="2:13" ht="12.95" customHeight="1" x14ac:dyDescent="0.3">
      <c r="B936" s="91"/>
      <c r="C936" s="91"/>
      <c r="D936" s="85"/>
      <c r="E936" s="92"/>
      <c r="F936" s="92"/>
      <c r="G936" s="93"/>
      <c r="H936" s="92"/>
      <c r="I936" s="93"/>
      <c r="J936" s="92"/>
      <c r="K936" s="93"/>
      <c r="L936" s="92"/>
      <c r="M936" s="93"/>
    </row>
    <row r="937" spans="2:13" ht="12.95" customHeight="1" x14ac:dyDescent="0.3">
      <c r="B937" s="98" t="s">
        <v>38</v>
      </c>
      <c r="C937" s="99"/>
      <c r="D937" s="100"/>
      <c r="E937" s="101"/>
      <c r="F937" s="102"/>
      <c r="G937" s="9">
        <f>SUM(G927+G932+G935)</f>
        <v>100188</v>
      </c>
      <c r="H937" s="102"/>
      <c r="I937" s="9">
        <f>SUM(I927+I932+I935)</f>
        <v>168917</v>
      </c>
      <c r="J937" s="102"/>
      <c r="K937" s="9">
        <f>SUM(K927+K932+K935)</f>
        <v>261624</v>
      </c>
      <c r="L937" s="102"/>
      <c r="M937" s="9">
        <f>SUM(M927+M932+M935)</f>
        <v>382827</v>
      </c>
    </row>
    <row r="939" spans="2:13" ht="12.95" customHeight="1" x14ac:dyDescent="0.3">
      <c r="B939" s="108" t="s">
        <v>195</v>
      </c>
      <c r="C939" s="108"/>
      <c r="D939" s="14"/>
      <c r="E939" s="14"/>
      <c r="F939" s="14"/>
      <c r="G939" s="109" t="s">
        <v>196</v>
      </c>
      <c r="H939" s="6"/>
      <c r="I939" s="6"/>
    </row>
    <row r="940" spans="2:13" ht="12.95" customHeight="1" x14ac:dyDescent="0.3">
      <c r="B940" s="242" t="s">
        <v>13</v>
      </c>
      <c r="C940" s="244" t="s">
        <v>67</v>
      </c>
      <c r="D940" s="246" t="s">
        <v>21</v>
      </c>
      <c r="E940" s="237" t="s">
        <v>14</v>
      </c>
      <c r="F940" s="237" t="s">
        <v>15</v>
      </c>
      <c r="G940" s="251" t="s">
        <v>16</v>
      </c>
      <c r="H940" s="6"/>
      <c r="I940" s="6"/>
    </row>
    <row r="941" spans="2:13" ht="12.95" customHeight="1" x14ac:dyDescent="0.3">
      <c r="B941" s="243"/>
      <c r="C941" s="245"/>
      <c r="D941" s="246"/>
      <c r="E941" s="239"/>
      <c r="F941" s="239"/>
      <c r="G941" s="252"/>
      <c r="H941" s="6"/>
      <c r="I941" s="6"/>
    </row>
    <row r="942" spans="2:13" ht="12.95" customHeight="1" x14ac:dyDescent="0.3">
      <c r="B942" s="91" t="s">
        <v>1</v>
      </c>
      <c r="C942" s="83"/>
      <c r="D942" s="85" t="s">
        <v>27</v>
      </c>
      <c r="E942" s="82">
        <v>226122</v>
      </c>
      <c r="F942" s="56">
        <v>0.02</v>
      </c>
      <c r="G942" s="5">
        <f t="shared" ref="G942:G943" si="213">TRUNC($E942*F942,1)</f>
        <v>4522.3999999999996</v>
      </c>
      <c r="H942" s="6"/>
      <c r="I942" s="6"/>
    </row>
    <row r="943" spans="2:13" ht="12.95" customHeight="1" x14ac:dyDescent="0.3">
      <c r="B943" s="83" t="s">
        <v>4</v>
      </c>
      <c r="C943" s="83"/>
      <c r="D943" s="85" t="s">
        <v>27</v>
      </c>
      <c r="E943" s="82">
        <v>172068</v>
      </c>
      <c r="F943" s="56">
        <v>0.01</v>
      </c>
      <c r="G943" s="5">
        <f t="shared" si="213"/>
        <v>1720.6</v>
      </c>
      <c r="H943" s="6"/>
      <c r="I943" s="6"/>
    </row>
    <row r="944" spans="2:13" ht="12.95" customHeight="1" x14ac:dyDescent="0.3">
      <c r="B944" s="96" t="s">
        <v>32</v>
      </c>
      <c r="C944" s="119"/>
      <c r="D944" s="40"/>
      <c r="E944" s="119"/>
      <c r="F944" s="119"/>
      <c r="G944" s="41">
        <f>TRUNC(SUM(G942:G943))</f>
        <v>6243</v>
      </c>
      <c r="H944" s="6"/>
      <c r="I944" s="6"/>
    </row>
    <row r="945" spans="2:11" ht="12.95" customHeight="1" x14ac:dyDescent="0.3">
      <c r="B945" s="83"/>
      <c r="C945" s="83"/>
      <c r="D945" s="18"/>
      <c r="E945" s="92"/>
      <c r="F945" s="92"/>
      <c r="G945" s="19"/>
      <c r="H945" s="6"/>
      <c r="I945" s="6"/>
    </row>
    <row r="946" spans="2:11" ht="12.95" customHeight="1" x14ac:dyDescent="0.3">
      <c r="B946" s="98" t="s">
        <v>38</v>
      </c>
      <c r="C946" s="154"/>
      <c r="D946" s="20"/>
      <c r="E946" s="101"/>
      <c r="F946" s="102"/>
      <c r="G946" s="13">
        <f>SUM(G944)</f>
        <v>6243</v>
      </c>
      <c r="H946" s="6"/>
      <c r="I946" s="6"/>
    </row>
    <row r="947" spans="2:11" ht="12.95" customHeight="1" x14ac:dyDescent="0.3">
      <c r="B947" s="172"/>
      <c r="C947" s="172"/>
      <c r="D947" s="172"/>
      <c r="E947" s="172"/>
      <c r="F947" s="6"/>
      <c r="G947" s="6"/>
      <c r="H947" s="6"/>
      <c r="I947" s="6"/>
      <c r="J947" s="6"/>
      <c r="K947" s="6"/>
    </row>
    <row r="948" spans="2:11" ht="12.95" customHeight="1" x14ac:dyDescent="0.3">
      <c r="B948" s="108" t="s">
        <v>302</v>
      </c>
      <c r="C948" s="108"/>
      <c r="D948" s="14"/>
      <c r="E948" s="14"/>
      <c r="F948" s="14"/>
      <c r="G948" s="109"/>
      <c r="H948" s="6"/>
      <c r="I948" s="109" t="s">
        <v>304</v>
      </c>
    </row>
    <row r="949" spans="2:11" ht="12.95" customHeight="1" x14ac:dyDescent="0.3">
      <c r="B949" s="234" t="s">
        <v>13</v>
      </c>
      <c r="C949" s="237" t="s">
        <v>20</v>
      </c>
      <c r="D949" s="237" t="s">
        <v>21</v>
      </c>
      <c r="E949" s="237" t="s">
        <v>14</v>
      </c>
      <c r="F949" s="240" t="s">
        <v>303</v>
      </c>
      <c r="G949" s="241"/>
      <c r="H949" s="241"/>
      <c r="I949" s="241"/>
    </row>
    <row r="950" spans="2:11" ht="12.95" customHeight="1" x14ac:dyDescent="0.3">
      <c r="B950" s="235"/>
      <c r="C950" s="238"/>
      <c r="D950" s="238"/>
      <c r="E950" s="238"/>
      <c r="F950" s="240" t="s">
        <v>28</v>
      </c>
      <c r="G950" s="241"/>
      <c r="H950" s="240" t="s">
        <v>29</v>
      </c>
      <c r="I950" s="241"/>
    </row>
    <row r="951" spans="2:11" ht="12.95" customHeight="1" x14ac:dyDescent="0.3">
      <c r="B951" s="235"/>
      <c r="C951" s="238"/>
      <c r="D951" s="238"/>
      <c r="E951" s="238"/>
      <c r="F951" s="205" t="s">
        <v>250</v>
      </c>
      <c r="G951" s="209">
        <v>13</v>
      </c>
      <c r="H951" s="205" t="s">
        <v>250</v>
      </c>
      <c r="I951" s="209">
        <v>31</v>
      </c>
    </row>
    <row r="952" spans="2:11" ht="12.95" customHeight="1" x14ac:dyDescent="0.3">
      <c r="B952" s="236"/>
      <c r="C952" s="239"/>
      <c r="D952" s="239"/>
      <c r="E952" s="239"/>
      <c r="F952" s="79" t="s">
        <v>246</v>
      </c>
      <c r="G952" s="80" t="s">
        <v>247</v>
      </c>
      <c r="H952" s="79" t="s">
        <v>246</v>
      </c>
      <c r="I952" s="80" t="s">
        <v>247</v>
      </c>
    </row>
    <row r="953" spans="2:11" ht="12.95" customHeight="1" x14ac:dyDescent="0.3">
      <c r="B953" s="81" t="s">
        <v>94</v>
      </c>
      <c r="C953" s="81" t="s">
        <v>71</v>
      </c>
      <c r="D953" s="18" t="s">
        <v>46</v>
      </c>
      <c r="E953" s="82">
        <v>7951</v>
      </c>
      <c r="F953" s="37">
        <v>8</v>
      </c>
      <c r="G953" s="2">
        <f t="shared" ref="G953" si="214">TRUNC($E953*F953,1)</f>
        <v>63608</v>
      </c>
      <c r="H953" s="37">
        <v>8</v>
      </c>
      <c r="I953" s="5">
        <f t="shared" ref="I953" si="215">TRUNC($E953*H953,1)</f>
        <v>63608</v>
      </c>
    </row>
    <row r="954" spans="2:11" ht="12.95" customHeight="1" x14ac:dyDescent="0.3">
      <c r="B954" s="83" t="s">
        <v>22</v>
      </c>
      <c r="C954" s="84" t="s">
        <v>34</v>
      </c>
      <c r="D954" s="85" t="s">
        <v>47</v>
      </c>
      <c r="E954" s="86"/>
      <c r="F954" s="37">
        <v>1</v>
      </c>
      <c r="G954" s="8">
        <f>TRUNC(SUM(G957:G958)*0.03,1)</f>
        <v>27899.7</v>
      </c>
      <c r="H954" s="37">
        <v>1</v>
      </c>
      <c r="I954" s="8">
        <f>TRUNC(SUM(I957:I958)*0.03,1)</f>
        <v>27899.7</v>
      </c>
    </row>
    <row r="955" spans="2:11" ht="12.95" customHeight="1" x14ac:dyDescent="0.3">
      <c r="B955" s="87" t="s">
        <v>31</v>
      </c>
      <c r="C955" s="211"/>
      <c r="D955" s="210"/>
      <c r="E955" s="212"/>
      <c r="F955" s="37"/>
      <c r="G955" s="213">
        <f>TRUNC(SUM(G953:G954))</f>
        <v>91507</v>
      </c>
      <c r="H955" s="37"/>
      <c r="I955" s="213">
        <f>TRUNC(SUM(I953:I954))</f>
        <v>91507</v>
      </c>
    </row>
    <row r="956" spans="2:11" ht="12.95" customHeight="1" x14ac:dyDescent="0.3">
      <c r="B956" s="214"/>
      <c r="C956" s="211"/>
      <c r="D956" s="210"/>
      <c r="E956" s="212"/>
      <c r="F956" s="37"/>
      <c r="G956" s="215"/>
      <c r="H956" s="37"/>
      <c r="I956" s="215"/>
    </row>
    <row r="957" spans="2:11" ht="12.95" customHeight="1" x14ac:dyDescent="0.3">
      <c r="B957" s="91" t="s">
        <v>305</v>
      </c>
      <c r="C957" s="91"/>
      <c r="D957" s="95" t="s">
        <v>27</v>
      </c>
      <c r="E957" s="82">
        <v>252641</v>
      </c>
      <c r="F957" s="37">
        <v>3</v>
      </c>
      <c r="G957" s="5">
        <f t="shared" ref="G957:G959" si="216">TRUNC($E957*F957,1)</f>
        <v>757923</v>
      </c>
      <c r="H957" s="37">
        <v>3</v>
      </c>
      <c r="I957" s="5">
        <f t="shared" ref="I957:I959" si="217">TRUNC($E957*H957,1)</f>
        <v>757923</v>
      </c>
    </row>
    <row r="958" spans="2:11" ht="12.95" customHeight="1" x14ac:dyDescent="0.3">
      <c r="B958" s="91" t="s">
        <v>4</v>
      </c>
      <c r="C958" s="91"/>
      <c r="D958" s="95" t="s">
        <v>27</v>
      </c>
      <c r="E958" s="82">
        <v>172068</v>
      </c>
      <c r="F958" s="37">
        <v>1</v>
      </c>
      <c r="G958" s="5">
        <f t="shared" si="216"/>
        <v>172068</v>
      </c>
      <c r="H958" s="37">
        <v>1</v>
      </c>
      <c r="I958" s="5">
        <f t="shared" si="217"/>
        <v>172068</v>
      </c>
    </row>
    <row r="959" spans="2:11" ht="12.95" customHeight="1" x14ac:dyDescent="0.3">
      <c r="B959" s="81" t="s">
        <v>94</v>
      </c>
      <c r="C959" s="81" t="s">
        <v>71</v>
      </c>
      <c r="D959" s="85" t="s">
        <v>46</v>
      </c>
      <c r="E959" s="7">
        <v>58925</v>
      </c>
      <c r="F959" s="37">
        <v>8</v>
      </c>
      <c r="G959" s="5">
        <f t="shared" si="216"/>
        <v>471400</v>
      </c>
      <c r="H959" s="37">
        <v>8</v>
      </c>
      <c r="I959" s="5">
        <f t="shared" si="217"/>
        <v>471400</v>
      </c>
    </row>
    <row r="960" spans="2:11" ht="12.95" customHeight="1" x14ac:dyDescent="0.3">
      <c r="B960" s="96" t="s">
        <v>32</v>
      </c>
      <c r="C960" s="211"/>
      <c r="D960" s="210"/>
      <c r="E960" s="212"/>
      <c r="F960" s="37"/>
      <c r="G960" s="213">
        <f>TRUNC(SUM(G957:G959))</f>
        <v>1401391</v>
      </c>
      <c r="H960" s="37"/>
      <c r="I960" s="213">
        <f>TRUNC(SUM(I957:I959))</f>
        <v>1401391</v>
      </c>
    </row>
    <row r="961" spans="2:9" ht="12.95" customHeight="1" x14ac:dyDescent="0.3">
      <c r="B961" s="214"/>
      <c r="C961" s="211"/>
      <c r="D961" s="210"/>
      <c r="E961" s="212"/>
      <c r="F961" s="37"/>
      <c r="G961" s="215"/>
      <c r="H961" s="37"/>
      <c r="I961" s="215"/>
    </row>
    <row r="962" spans="2:9" ht="12.95" customHeight="1" x14ac:dyDescent="0.3">
      <c r="B962" s="81" t="s">
        <v>94</v>
      </c>
      <c r="C962" s="81" t="s">
        <v>71</v>
      </c>
      <c r="D962" s="85" t="s">
        <v>46</v>
      </c>
      <c r="E962" s="7">
        <v>31344</v>
      </c>
      <c r="F962" s="37">
        <v>8</v>
      </c>
      <c r="G962" s="5">
        <f t="shared" ref="G962" si="218">TRUNC($E962*F962,1)</f>
        <v>250752</v>
      </c>
      <c r="H962" s="37">
        <v>8</v>
      </c>
      <c r="I962" s="5">
        <f t="shared" ref="I962" si="219">TRUNC($E962*H962,1)</f>
        <v>250752</v>
      </c>
    </row>
    <row r="963" spans="2:9" ht="12.95" customHeight="1" x14ac:dyDescent="0.3">
      <c r="B963" s="87" t="s">
        <v>33</v>
      </c>
      <c r="C963" s="211"/>
      <c r="D963" s="212"/>
      <c r="E963" s="212"/>
      <c r="F963" s="216"/>
      <c r="G963" s="213">
        <f>TRUNC(SUM(G962:G962))</f>
        <v>250752</v>
      </c>
      <c r="H963" s="216"/>
      <c r="I963" s="213">
        <f>TRUNC(SUM(I962:I962))</f>
        <v>250752</v>
      </c>
    </row>
    <row r="964" spans="2:9" ht="12.95" customHeight="1" x14ac:dyDescent="0.3">
      <c r="B964" s="214"/>
      <c r="C964" s="217"/>
      <c r="D964" s="212"/>
      <c r="E964" s="212"/>
      <c r="F964" s="216"/>
      <c r="G964" s="218"/>
      <c r="H964" s="216"/>
      <c r="I964" s="218"/>
    </row>
    <row r="965" spans="2:9" ht="12.95" customHeight="1" x14ac:dyDescent="0.3">
      <c r="B965" s="219" t="s">
        <v>38</v>
      </c>
      <c r="C965" s="217"/>
      <c r="D965" s="212"/>
      <c r="E965" s="212"/>
      <c r="F965" s="216"/>
      <c r="G965" s="218">
        <f>SUM(G955+G960+G963)</f>
        <v>1743650</v>
      </c>
      <c r="H965" s="216"/>
      <c r="I965" s="218">
        <f>SUM(I955+I960+I963)</f>
        <v>1743650</v>
      </c>
    </row>
    <row r="966" spans="2:9" ht="12.95" customHeight="1" x14ac:dyDescent="0.3">
      <c r="B966" s="98" t="s">
        <v>306</v>
      </c>
      <c r="C966" s="99"/>
      <c r="D966" s="100"/>
      <c r="E966" s="101"/>
      <c r="F966" s="102"/>
      <c r="G966" s="9">
        <f>TRUNC((G965/G951))</f>
        <v>134126</v>
      </c>
      <c r="H966" s="102"/>
      <c r="I966" s="9">
        <f>TRUNC((I965/I951))</f>
        <v>56246</v>
      </c>
    </row>
    <row r="967" spans="2:9" ht="12.95" customHeight="1" x14ac:dyDescent="0.3">
      <c r="B967" s="234" t="s">
        <v>13</v>
      </c>
      <c r="C967" s="237" t="s">
        <v>20</v>
      </c>
      <c r="D967" s="237" t="s">
        <v>21</v>
      </c>
      <c r="E967" s="237" t="s">
        <v>14</v>
      </c>
      <c r="F967" s="240" t="s">
        <v>307</v>
      </c>
      <c r="G967" s="241"/>
      <c r="H967" s="241"/>
      <c r="I967" s="241"/>
    </row>
    <row r="968" spans="2:9" ht="12.95" customHeight="1" x14ac:dyDescent="0.3">
      <c r="B968" s="235"/>
      <c r="C968" s="238"/>
      <c r="D968" s="238"/>
      <c r="E968" s="238"/>
      <c r="F968" s="240" t="s">
        <v>28</v>
      </c>
      <c r="G968" s="241"/>
      <c r="H968" s="240" t="s">
        <v>29</v>
      </c>
      <c r="I968" s="241"/>
    </row>
    <row r="969" spans="2:9" ht="12.95" customHeight="1" x14ac:dyDescent="0.3">
      <c r="B969" s="235"/>
      <c r="C969" s="238"/>
      <c r="D969" s="238"/>
      <c r="E969" s="238"/>
      <c r="F969" s="205" t="s">
        <v>250</v>
      </c>
      <c r="G969" s="209">
        <v>12</v>
      </c>
      <c r="H969" s="205" t="s">
        <v>250</v>
      </c>
      <c r="I969" s="209">
        <v>29</v>
      </c>
    </row>
    <row r="970" spans="2:9" ht="12.95" customHeight="1" x14ac:dyDescent="0.3">
      <c r="B970" s="236"/>
      <c r="C970" s="239"/>
      <c r="D970" s="239"/>
      <c r="E970" s="239"/>
      <c r="F970" s="79" t="s">
        <v>246</v>
      </c>
      <c r="G970" s="80" t="s">
        <v>247</v>
      </c>
      <c r="H970" s="79" t="s">
        <v>246</v>
      </c>
      <c r="I970" s="80" t="s">
        <v>247</v>
      </c>
    </row>
    <row r="971" spans="2:9" ht="12.95" customHeight="1" x14ac:dyDescent="0.3">
      <c r="B971" s="81" t="s">
        <v>94</v>
      </c>
      <c r="C971" s="81" t="s">
        <v>71</v>
      </c>
      <c r="D971" s="18" t="s">
        <v>46</v>
      </c>
      <c r="E971" s="82">
        <v>7951</v>
      </c>
      <c r="F971" s="37">
        <v>8</v>
      </c>
      <c r="G971" s="2">
        <f t="shared" ref="G971" si="220">TRUNC($E971*F971,1)</f>
        <v>63608</v>
      </c>
      <c r="H971" s="37">
        <v>8</v>
      </c>
      <c r="I971" s="5">
        <f t="shared" ref="I971" si="221">TRUNC($E971*H971,1)</f>
        <v>63608</v>
      </c>
    </row>
    <row r="972" spans="2:9" ht="12.95" customHeight="1" x14ac:dyDescent="0.3">
      <c r="B972" s="83" t="s">
        <v>22</v>
      </c>
      <c r="C972" s="84" t="s">
        <v>34</v>
      </c>
      <c r="D972" s="85" t="s">
        <v>47</v>
      </c>
      <c r="E972" s="86"/>
      <c r="F972" s="37">
        <v>1</v>
      </c>
      <c r="G972" s="8">
        <f>TRUNC(SUM(G975:G976)*0.03,1)</f>
        <v>27899.7</v>
      </c>
      <c r="H972" s="37">
        <v>1</v>
      </c>
      <c r="I972" s="8">
        <f>TRUNC(SUM(I975:I976)*0.03,1)</f>
        <v>27899.7</v>
      </c>
    </row>
    <row r="973" spans="2:9" ht="12.95" customHeight="1" x14ac:dyDescent="0.3">
      <c r="B973" s="87" t="s">
        <v>31</v>
      </c>
      <c r="C973" s="211"/>
      <c r="D973" s="210"/>
      <c r="E973" s="212"/>
      <c r="F973" s="37"/>
      <c r="G973" s="213">
        <f>TRUNC(SUM(G971:G972))</f>
        <v>91507</v>
      </c>
      <c r="H973" s="37"/>
      <c r="I973" s="213">
        <f>TRUNC(SUM(I971:I972))</f>
        <v>91507</v>
      </c>
    </row>
    <row r="974" spans="2:9" ht="12.95" customHeight="1" x14ac:dyDescent="0.3">
      <c r="B974" s="214"/>
      <c r="C974" s="211"/>
      <c r="D974" s="210"/>
      <c r="E974" s="212"/>
      <c r="F974" s="37"/>
      <c r="G974" s="215"/>
      <c r="H974" s="37"/>
      <c r="I974" s="215"/>
    </row>
    <row r="975" spans="2:9" ht="12.95" customHeight="1" x14ac:dyDescent="0.3">
      <c r="B975" s="91" t="s">
        <v>305</v>
      </c>
      <c r="C975" s="91"/>
      <c r="D975" s="95" t="s">
        <v>27</v>
      </c>
      <c r="E975" s="82">
        <v>252641</v>
      </c>
      <c r="F975" s="37">
        <v>3</v>
      </c>
      <c r="G975" s="5">
        <f t="shared" ref="G975:G977" si="222">TRUNC($E975*F975,1)</f>
        <v>757923</v>
      </c>
      <c r="H975" s="37">
        <v>3</v>
      </c>
      <c r="I975" s="5">
        <f t="shared" ref="I975:I977" si="223">TRUNC($E975*H975,1)</f>
        <v>757923</v>
      </c>
    </row>
    <row r="976" spans="2:9" ht="12.95" customHeight="1" x14ac:dyDescent="0.3">
      <c r="B976" s="91" t="s">
        <v>4</v>
      </c>
      <c r="C976" s="91"/>
      <c r="D976" s="95" t="s">
        <v>27</v>
      </c>
      <c r="E976" s="82">
        <v>172068</v>
      </c>
      <c r="F976" s="37">
        <v>1</v>
      </c>
      <c r="G976" s="5">
        <f t="shared" si="222"/>
        <v>172068</v>
      </c>
      <c r="H976" s="37">
        <v>1</v>
      </c>
      <c r="I976" s="5">
        <f t="shared" si="223"/>
        <v>172068</v>
      </c>
    </row>
    <row r="977" spans="2:9" ht="12.95" customHeight="1" x14ac:dyDescent="0.3">
      <c r="B977" s="81" t="s">
        <v>94</v>
      </c>
      <c r="C977" s="81" t="s">
        <v>71</v>
      </c>
      <c r="D977" s="85" t="s">
        <v>46</v>
      </c>
      <c r="E977" s="7">
        <v>58925</v>
      </c>
      <c r="F977" s="37">
        <v>8</v>
      </c>
      <c r="G977" s="5">
        <f t="shared" si="222"/>
        <v>471400</v>
      </c>
      <c r="H977" s="37">
        <v>8</v>
      </c>
      <c r="I977" s="5">
        <f t="shared" si="223"/>
        <v>471400</v>
      </c>
    </row>
    <row r="978" spans="2:9" ht="12.95" customHeight="1" x14ac:dyDescent="0.3">
      <c r="B978" s="96" t="s">
        <v>32</v>
      </c>
      <c r="C978" s="211"/>
      <c r="D978" s="210"/>
      <c r="E978" s="212"/>
      <c r="F978" s="37"/>
      <c r="G978" s="213">
        <f>TRUNC(SUM(G975:G977))</f>
        <v>1401391</v>
      </c>
      <c r="H978" s="37"/>
      <c r="I978" s="213">
        <f>TRUNC(SUM(I975:I977))</f>
        <v>1401391</v>
      </c>
    </row>
    <row r="979" spans="2:9" ht="12.95" customHeight="1" x14ac:dyDescent="0.3">
      <c r="B979" s="214"/>
      <c r="C979" s="211"/>
      <c r="D979" s="210"/>
      <c r="E979" s="212"/>
      <c r="F979" s="37"/>
      <c r="G979" s="215"/>
      <c r="H979" s="37"/>
      <c r="I979" s="215"/>
    </row>
    <row r="980" spans="2:9" ht="12.95" customHeight="1" x14ac:dyDescent="0.3">
      <c r="B980" s="81" t="s">
        <v>94</v>
      </c>
      <c r="C980" s="81" t="s">
        <v>71</v>
      </c>
      <c r="D980" s="85" t="s">
        <v>46</v>
      </c>
      <c r="E980" s="7">
        <v>31344</v>
      </c>
      <c r="F980" s="37">
        <v>8</v>
      </c>
      <c r="G980" s="5">
        <f t="shared" ref="G980" si="224">TRUNC($E980*F980,1)</f>
        <v>250752</v>
      </c>
      <c r="H980" s="37">
        <v>8</v>
      </c>
      <c r="I980" s="5">
        <f t="shared" ref="I980" si="225">TRUNC($E980*H980,1)</f>
        <v>250752</v>
      </c>
    </row>
    <row r="981" spans="2:9" ht="12.95" customHeight="1" x14ac:dyDescent="0.3">
      <c r="B981" s="87" t="s">
        <v>33</v>
      </c>
      <c r="C981" s="211"/>
      <c r="D981" s="212"/>
      <c r="E981" s="212"/>
      <c r="F981" s="216"/>
      <c r="G981" s="213">
        <f>TRUNC(SUM(G980:G980))</f>
        <v>250752</v>
      </c>
      <c r="H981" s="216"/>
      <c r="I981" s="213">
        <f>TRUNC(SUM(I980:I980))</f>
        <v>250752</v>
      </c>
    </row>
    <row r="982" spans="2:9" ht="12.95" customHeight="1" x14ac:dyDescent="0.3">
      <c r="B982" s="214"/>
      <c r="C982" s="217"/>
      <c r="D982" s="212"/>
      <c r="E982" s="212"/>
      <c r="F982" s="216"/>
      <c r="G982" s="218"/>
      <c r="H982" s="216"/>
      <c r="I982" s="218"/>
    </row>
    <row r="983" spans="2:9" ht="12.95" customHeight="1" x14ac:dyDescent="0.3">
      <c r="B983" s="219" t="s">
        <v>38</v>
      </c>
      <c r="C983" s="217"/>
      <c r="D983" s="212"/>
      <c r="E983" s="212"/>
      <c r="F983" s="216"/>
      <c r="G983" s="218">
        <f>SUM(G973+G978+G981)</f>
        <v>1743650</v>
      </c>
      <c r="H983" s="216"/>
      <c r="I983" s="218">
        <f>SUM(I973+I978+I981)</f>
        <v>1743650</v>
      </c>
    </row>
    <row r="984" spans="2:9" ht="12.95" customHeight="1" x14ac:dyDescent="0.3">
      <c r="B984" s="98" t="s">
        <v>306</v>
      </c>
      <c r="C984" s="99"/>
      <c r="D984" s="100"/>
      <c r="E984" s="101"/>
      <c r="F984" s="102"/>
      <c r="G984" s="9">
        <f>TRUNC((G983/G969))</f>
        <v>145304</v>
      </c>
      <c r="H984" s="102"/>
      <c r="I984" s="9">
        <f>TRUNC((I983/I969))</f>
        <v>60125</v>
      </c>
    </row>
    <row r="985" spans="2:9" ht="12.95" customHeight="1" x14ac:dyDescent="0.3">
      <c r="B985" s="234" t="s">
        <v>13</v>
      </c>
      <c r="C985" s="237" t="s">
        <v>20</v>
      </c>
      <c r="D985" s="237" t="s">
        <v>21</v>
      </c>
      <c r="E985" s="237" t="s">
        <v>14</v>
      </c>
      <c r="F985" s="240" t="s">
        <v>308</v>
      </c>
      <c r="G985" s="241"/>
      <c r="H985" s="241"/>
      <c r="I985" s="241"/>
    </row>
    <row r="986" spans="2:9" ht="12.95" customHeight="1" x14ac:dyDescent="0.3">
      <c r="B986" s="235"/>
      <c r="C986" s="238"/>
      <c r="D986" s="238"/>
      <c r="E986" s="238"/>
      <c r="F986" s="240" t="s">
        <v>28</v>
      </c>
      <c r="G986" s="241"/>
      <c r="H986" s="240" t="s">
        <v>29</v>
      </c>
      <c r="I986" s="241"/>
    </row>
    <row r="987" spans="2:9" ht="12.95" customHeight="1" x14ac:dyDescent="0.3">
      <c r="B987" s="235"/>
      <c r="C987" s="238"/>
      <c r="D987" s="238"/>
      <c r="E987" s="238"/>
      <c r="F987" s="205" t="s">
        <v>250</v>
      </c>
      <c r="G987" s="209">
        <v>10</v>
      </c>
      <c r="H987" s="205" t="s">
        <v>250</v>
      </c>
      <c r="I987" s="209">
        <v>25</v>
      </c>
    </row>
    <row r="988" spans="2:9" ht="12.95" customHeight="1" x14ac:dyDescent="0.3">
      <c r="B988" s="236"/>
      <c r="C988" s="239"/>
      <c r="D988" s="239"/>
      <c r="E988" s="239"/>
      <c r="F988" s="79" t="s">
        <v>246</v>
      </c>
      <c r="G988" s="80" t="s">
        <v>247</v>
      </c>
      <c r="H988" s="79" t="s">
        <v>246</v>
      </c>
      <c r="I988" s="80" t="s">
        <v>247</v>
      </c>
    </row>
    <row r="989" spans="2:9" ht="12.95" customHeight="1" x14ac:dyDescent="0.3">
      <c r="B989" s="81" t="s">
        <v>94</v>
      </c>
      <c r="C989" s="81" t="s">
        <v>71</v>
      </c>
      <c r="D989" s="18" t="s">
        <v>46</v>
      </c>
      <c r="E989" s="82">
        <v>7951</v>
      </c>
      <c r="F989" s="37">
        <v>8</v>
      </c>
      <c r="G989" s="2">
        <f t="shared" ref="G989" si="226">TRUNC($E989*F989,1)</f>
        <v>63608</v>
      </c>
      <c r="H989" s="37">
        <v>8</v>
      </c>
      <c r="I989" s="5">
        <f t="shared" ref="I989" si="227">TRUNC($E989*H989,1)</f>
        <v>63608</v>
      </c>
    </row>
    <row r="990" spans="2:9" ht="12.95" customHeight="1" x14ac:dyDescent="0.3">
      <c r="B990" s="83" t="s">
        <v>22</v>
      </c>
      <c r="C990" s="84" t="s">
        <v>34</v>
      </c>
      <c r="D990" s="85" t="s">
        <v>47</v>
      </c>
      <c r="E990" s="86"/>
      <c r="F990" s="37">
        <v>1</v>
      </c>
      <c r="G990" s="8">
        <f>TRUNC(SUM(G993:G994)*0.03,1)</f>
        <v>27899.7</v>
      </c>
      <c r="H990" s="37">
        <v>1</v>
      </c>
      <c r="I990" s="8">
        <f>TRUNC(SUM(I993:I994)*0.03,1)</f>
        <v>27899.7</v>
      </c>
    </row>
    <row r="991" spans="2:9" ht="12.95" customHeight="1" x14ac:dyDescent="0.3">
      <c r="B991" s="87" t="s">
        <v>31</v>
      </c>
      <c r="C991" s="211"/>
      <c r="D991" s="210"/>
      <c r="E991" s="212"/>
      <c r="F991" s="37"/>
      <c r="G991" s="213">
        <f>TRUNC(SUM(G989:G990))</f>
        <v>91507</v>
      </c>
      <c r="H991" s="37"/>
      <c r="I991" s="213">
        <f>TRUNC(SUM(I989:I990))</f>
        <v>91507</v>
      </c>
    </row>
    <row r="992" spans="2:9" ht="12.95" customHeight="1" x14ac:dyDescent="0.3">
      <c r="B992" s="214"/>
      <c r="C992" s="211"/>
      <c r="D992" s="210"/>
      <c r="E992" s="212"/>
      <c r="F992" s="37"/>
      <c r="G992" s="215"/>
      <c r="H992" s="37"/>
      <c r="I992" s="215"/>
    </row>
    <row r="993" spans="2:11" ht="12.95" customHeight="1" x14ac:dyDescent="0.3">
      <c r="B993" s="91" t="s">
        <v>305</v>
      </c>
      <c r="C993" s="91"/>
      <c r="D993" s="95" t="s">
        <v>27</v>
      </c>
      <c r="E993" s="82">
        <v>252641</v>
      </c>
      <c r="F993" s="37">
        <v>3</v>
      </c>
      <c r="G993" s="5">
        <f t="shared" ref="G993:G995" si="228">TRUNC($E993*F993,1)</f>
        <v>757923</v>
      </c>
      <c r="H993" s="37">
        <v>3</v>
      </c>
      <c r="I993" s="5">
        <f t="shared" ref="I993:I995" si="229">TRUNC($E993*H993,1)</f>
        <v>757923</v>
      </c>
    </row>
    <row r="994" spans="2:11" ht="12.95" customHeight="1" x14ac:dyDescent="0.3">
      <c r="B994" s="91" t="s">
        <v>4</v>
      </c>
      <c r="C994" s="91"/>
      <c r="D994" s="95" t="s">
        <v>27</v>
      </c>
      <c r="E994" s="82">
        <v>172068</v>
      </c>
      <c r="F994" s="37">
        <v>1</v>
      </c>
      <c r="G994" s="5">
        <f t="shared" si="228"/>
        <v>172068</v>
      </c>
      <c r="H994" s="37">
        <v>1</v>
      </c>
      <c r="I994" s="5">
        <f t="shared" si="229"/>
        <v>172068</v>
      </c>
    </row>
    <row r="995" spans="2:11" ht="12.95" customHeight="1" x14ac:dyDescent="0.3">
      <c r="B995" s="81" t="s">
        <v>94</v>
      </c>
      <c r="C995" s="81" t="s">
        <v>71</v>
      </c>
      <c r="D995" s="85" t="s">
        <v>46</v>
      </c>
      <c r="E995" s="7">
        <v>58925</v>
      </c>
      <c r="F995" s="37">
        <v>8</v>
      </c>
      <c r="G995" s="5">
        <f t="shared" si="228"/>
        <v>471400</v>
      </c>
      <c r="H995" s="37">
        <v>8</v>
      </c>
      <c r="I995" s="5">
        <f t="shared" si="229"/>
        <v>471400</v>
      </c>
    </row>
    <row r="996" spans="2:11" ht="12.95" customHeight="1" x14ac:dyDescent="0.3">
      <c r="B996" s="96" t="s">
        <v>32</v>
      </c>
      <c r="C996" s="211"/>
      <c r="D996" s="210"/>
      <c r="E996" s="212"/>
      <c r="F996" s="37"/>
      <c r="G996" s="213">
        <f>TRUNC(SUM(G993:G995))</f>
        <v>1401391</v>
      </c>
      <c r="H996" s="37"/>
      <c r="I996" s="213">
        <f>TRUNC(SUM(I993:I995))</f>
        <v>1401391</v>
      </c>
    </row>
    <row r="997" spans="2:11" ht="12.95" customHeight="1" x14ac:dyDescent="0.3">
      <c r="B997" s="214"/>
      <c r="C997" s="211"/>
      <c r="D997" s="210"/>
      <c r="E997" s="212"/>
      <c r="F997" s="37"/>
      <c r="G997" s="215"/>
      <c r="H997" s="37"/>
      <c r="I997" s="215"/>
    </row>
    <row r="998" spans="2:11" ht="12.95" customHeight="1" x14ac:dyDescent="0.3">
      <c r="B998" s="81" t="s">
        <v>94</v>
      </c>
      <c r="C998" s="81" t="s">
        <v>71</v>
      </c>
      <c r="D998" s="85" t="s">
        <v>46</v>
      </c>
      <c r="E998" s="7">
        <v>31344</v>
      </c>
      <c r="F998" s="37">
        <v>8</v>
      </c>
      <c r="G998" s="5">
        <f t="shared" ref="G998" si="230">TRUNC($E998*F998,1)</f>
        <v>250752</v>
      </c>
      <c r="H998" s="37">
        <v>8</v>
      </c>
      <c r="I998" s="5">
        <f t="shared" ref="I998" si="231">TRUNC($E998*H998,1)</f>
        <v>250752</v>
      </c>
    </row>
    <row r="999" spans="2:11" ht="12.95" customHeight="1" x14ac:dyDescent="0.3">
      <c r="B999" s="87" t="s">
        <v>33</v>
      </c>
      <c r="C999" s="211"/>
      <c r="D999" s="212"/>
      <c r="E999" s="212"/>
      <c r="F999" s="216"/>
      <c r="G999" s="213">
        <f>TRUNC(SUM(G998:G998))</f>
        <v>250752</v>
      </c>
      <c r="H999" s="216"/>
      <c r="I999" s="213">
        <f>TRUNC(SUM(I998:I998))</f>
        <v>250752</v>
      </c>
    </row>
    <row r="1000" spans="2:11" ht="12.95" customHeight="1" x14ac:dyDescent="0.3">
      <c r="B1000" s="214"/>
      <c r="C1000" s="217"/>
      <c r="D1000" s="212"/>
      <c r="E1000" s="212"/>
      <c r="F1000" s="216"/>
      <c r="G1000" s="218"/>
      <c r="H1000" s="216"/>
      <c r="I1000" s="218"/>
    </row>
    <row r="1001" spans="2:11" ht="12.95" customHeight="1" x14ac:dyDescent="0.3">
      <c r="B1001" s="219" t="s">
        <v>38</v>
      </c>
      <c r="C1001" s="217"/>
      <c r="D1001" s="212"/>
      <c r="E1001" s="212"/>
      <c r="F1001" s="216"/>
      <c r="G1001" s="218">
        <f>SUM(G991+G996+G999)</f>
        <v>1743650</v>
      </c>
      <c r="H1001" s="216"/>
      <c r="I1001" s="218">
        <f>SUM(I991+I996+I999)</f>
        <v>1743650</v>
      </c>
    </row>
    <row r="1002" spans="2:11" ht="12.95" customHeight="1" x14ac:dyDescent="0.3">
      <c r="B1002" s="98" t="s">
        <v>306</v>
      </c>
      <c r="C1002" s="99"/>
      <c r="D1002" s="100"/>
      <c r="E1002" s="101"/>
      <c r="F1002" s="102"/>
      <c r="G1002" s="9">
        <f>TRUNC((G1001/G987))</f>
        <v>174365</v>
      </c>
      <c r="H1002" s="102"/>
      <c r="I1002" s="9">
        <f>TRUNC((I1001/I987))</f>
        <v>69746</v>
      </c>
    </row>
    <row r="1003" spans="2:11" ht="12.95" customHeight="1" x14ac:dyDescent="0.3">
      <c r="B1003" s="14" t="s">
        <v>314</v>
      </c>
      <c r="C1003" s="14"/>
      <c r="D1003" s="14"/>
      <c r="E1003" s="109"/>
      <c r="F1003" s="6"/>
      <c r="G1003" s="109"/>
      <c r="H1003" s="176"/>
      <c r="I1003" s="6"/>
    </row>
    <row r="1004" spans="2:11" ht="12.95" customHeight="1" x14ac:dyDescent="0.3">
      <c r="B1004" s="6"/>
      <c r="C1004" s="6"/>
      <c r="D1004" s="6"/>
      <c r="E1004" s="6"/>
      <c r="F1004" s="6"/>
      <c r="G1004" s="6"/>
      <c r="H1004" s="6"/>
      <c r="I1004" s="6"/>
      <c r="J1004" s="6"/>
      <c r="K1004" s="6"/>
    </row>
    <row r="1005" spans="2:11" ht="12.95" customHeight="1" x14ac:dyDescent="0.3">
      <c r="B1005" s="167" t="s">
        <v>166</v>
      </c>
      <c r="C1005" s="6"/>
      <c r="D1005" s="6"/>
      <c r="E1005" s="6"/>
      <c r="F1005" s="6"/>
      <c r="G1005" s="6"/>
      <c r="H1005" s="6"/>
      <c r="I1005" s="6"/>
    </row>
    <row r="1006" spans="2:11" ht="12.95" customHeight="1" x14ac:dyDescent="0.3">
      <c r="B1006" s="14" t="s">
        <v>167</v>
      </c>
      <c r="C1006" s="14"/>
      <c r="D1006" s="14"/>
      <c r="E1006" s="109"/>
      <c r="F1006" s="6"/>
      <c r="G1006" s="109" t="s">
        <v>82</v>
      </c>
      <c r="H1006" s="176"/>
      <c r="I1006" s="6"/>
    </row>
    <row r="1007" spans="2:11" ht="12.95" customHeight="1" x14ac:dyDescent="0.3">
      <c r="B1007" s="242" t="s">
        <v>13</v>
      </c>
      <c r="C1007" s="244" t="s">
        <v>67</v>
      </c>
      <c r="D1007" s="246" t="s">
        <v>21</v>
      </c>
      <c r="E1007" s="237" t="s">
        <v>14</v>
      </c>
      <c r="F1007" s="253" t="s">
        <v>168</v>
      </c>
      <c r="G1007" s="254"/>
      <c r="H1007" s="6"/>
      <c r="I1007" s="6"/>
      <c r="J1007" s="6"/>
      <c r="K1007" s="6"/>
    </row>
    <row r="1008" spans="2:11" ht="12.95" customHeight="1" x14ac:dyDescent="0.3">
      <c r="B1008" s="243"/>
      <c r="C1008" s="245"/>
      <c r="D1008" s="246"/>
      <c r="E1008" s="239"/>
      <c r="F1008" s="126" t="s">
        <v>15</v>
      </c>
      <c r="G1008" s="180" t="s">
        <v>16</v>
      </c>
      <c r="H1008" s="6"/>
      <c r="I1008" s="6"/>
      <c r="J1008" s="6"/>
      <c r="K1008" s="6"/>
    </row>
    <row r="1009" spans="2:11" ht="12.95" customHeight="1" x14ac:dyDescent="0.3">
      <c r="B1009" s="83" t="s">
        <v>169</v>
      </c>
      <c r="C1009" s="83"/>
      <c r="D1009" s="85" t="s">
        <v>108</v>
      </c>
      <c r="E1009" s="173">
        <v>0</v>
      </c>
      <c r="F1009" s="56">
        <v>1.1000000000000001</v>
      </c>
      <c r="G1009" s="5">
        <f t="shared" ref="G1009" si="232">TRUNC($E1009*F1009,1)</f>
        <v>0</v>
      </c>
      <c r="H1009" s="6"/>
      <c r="I1009" s="6"/>
      <c r="J1009" s="6"/>
      <c r="K1009" s="6"/>
    </row>
    <row r="1010" spans="2:11" ht="12.95" customHeight="1" x14ac:dyDescent="0.3">
      <c r="B1010" s="162" t="s">
        <v>31</v>
      </c>
      <c r="C1010" s="163"/>
      <c r="D1010" s="42"/>
      <c r="E1010" s="43" t="s">
        <v>65</v>
      </c>
      <c r="F1010" s="168" t="s">
        <v>65</v>
      </c>
      <c r="G1010" s="42">
        <f>TRUNC(SUM(G1009:G1009))</f>
        <v>0</v>
      </c>
      <c r="H1010" s="6"/>
      <c r="I1010" s="6"/>
      <c r="J1010" s="6"/>
      <c r="K1010" s="6"/>
    </row>
    <row r="1011" spans="2:11" ht="12.95" customHeight="1" x14ac:dyDescent="0.3">
      <c r="B1011" s="83"/>
      <c r="C1011" s="92"/>
      <c r="D1011" s="18"/>
      <c r="E1011" s="92"/>
      <c r="F1011" s="86"/>
      <c r="G1011" s="19"/>
      <c r="H1011" s="6"/>
      <c r="I1011" s="6"/>
      <c r="K1011" s="6"/>
    </row>
    <row r="1012" spans="2:11" ht="12.95" customHeight="1" x14ac:dyDescent="0.3">
      <c r="B1012" s="83" t="s">
        <v>4</v>
      </c>
      <c r="C1012" s="83"/>
      <c r="D1012" s="85" t="s">
        <v>27</v>
      </c>
      <c r="E1012" s="82">
        <v>172068</v>
      </c>
      <c r="F1012" s="68">
        <v>3.0000000000000001E-3</v>
      </c>
      <c r="G1012" s="5">
        <f t="shared" ref="G1012" si="233">TRUNC($E1012*F1012,1)</f>
        <v>516.20000000000005</v>
      </c>
      <c r="H1012" s="6"/>
      <c r="I1012" s="6"/>
      <c r="J1012" s="6"/>
      <c r="K1012" s="6"/>
    </row>
    <row r="1013" spans="2:11" ht="12.95" customHeight="1" x14ac:dyDescent="0.3">
      <c r="B1013" s="169" t="s">
        <v>32</v>
      </c>
      <c r="C1013" s="169"/>
      <c r="D1013" s="44"/>
      <c r="E1013" s="44"/>
      <c r="F1013" s="174"/>
      <c r="G1013" s="45">
        <f>TRUNC(SUM(G1012:G1012))</f>
        <v>516</v>
      </c>
      <c r="H1013" s="6"/>
      <c r="I1013" s="6"/>
      <c r="J1013" s="6"/>
      <c r="K1013" s="6"/>
    </row>
    <row r="1014" spans="2:11" ht="12.95" customHeight="1" x14ac:dyDescent="0.3">
      <c r="B1014" s="83"/>
      <c r="C1014" s="83"/>
      <c r="D1014" s="83"/>
      <c r="E1014" s="92"/>
      <c r="F1014" s="92"/>
      <c r="G1014" s="19"/>
      <c r="H1014" s="6"/>
      <c r="I1014" s="6"/>
      <c r="J1014" s="6"/>
      <c r="K1014" s="6"/>
    </row>
    <row r="1015" spans="2:11" ht="12.95" customHeight="1" x14ac:dyDescent="0.3">
      <c r="B1015" s="98" t="s">
        <v>38</v>
      </c>
      <c r="C1015" s="154"/>
      <c r="D1015" s="154"/>
      <c r="E1015" s="101"/>
      <c r="F1015" s="102"/>
      <c r="G1015" s="9">
        <f>SUM(G1010+G1013)</f>
        <v>516</v>
      </c>
      <c r="H1015" s="6"/>
      <c r="I1015" s="6"/>
      <c r="J1015" s="6"/>
      <c r="K1015" s="6"/>
    </row>
    <row r="1016" spans="2:11" ht="12.95" customHeight="1" x14ac:dyDescent="0.3">
      <c r="B1016" s="242" t="s">
        <v>13</v>
      </c>
      <c r="C1016" s="244" t="s">
        <v>67</v>
      </c>
      <c r="D1016" s="246" t="s">
        <v>21</v>
      </c>
      <c r="E1016" s="237" t="s">
        <v>14</v>
      </c>
      <c r="F1016" s="253" t="s">
        <v>170</v>
      </c>
      <c r="G1016" s="254"/>
      <c r="H1016" s="6"/>
      <c r="I1016" s="6"/>
      <c r="J1016" s="6"/>
      <c r="K1016" s="6"/>
    </row>
    <row r="1017" spans="2:11" ht="12.95" customHeight="1" x14ac:dyDescent="0.3">
      <c r="B1017" s="243"/>
      <c r="C1017" s="245"/>
      <c r="D1017" s="246"/>
      <c r="E1017" s="239"/>
      <c r="F1017" s="126" t="s">
        <v>15</v>
      </c>
      <c r="G1017" s="180" t="s">
        <v>16</v>
      </c>
      <c r="H1017" s="6"/>
      <c r="I1017" s="6"/>
      <c r="J1017" s="6"/>
      <c r="K1017" s="6"/>
    </row>
    <row r="1018" spans="2:11" ht="12.95" customHeight="1" x14ac:dyDescent="0.3">
      <c r="B1018" s="83" t="s">
        <v>171</v>
      </c>
      <c r="C1018" s="83"/>
      <c r="D1018" s="85" t="s">
        <v>173</v>
      </c>
      <c r="E1018" s="173">
        <v>0</v>
      </c>
      <c r="F1018" s="56">
        <v>1.2</v>
      </c>
      <c r="G1018" s="5">
        <f t="shared" ref="G1018:G1019" si="234">TRUNC($E1018*F1018,1)</f>
        <v>0</v>
      </c>
      <c r="H1018" s="6"/>
      <c r="I1018" s="6"/>
      <c r="J1018" s="6"/>
      <c r="K1018" s="6"/>
    </row>
    <row r="1019" spans="2:11" ht="12.95" customHeight="1" x14ac:dyDescent="0.3">
      <c r="B1019" s="83" t="s">
        <v>172</v>
      </c>
      <c r="C1019" s="83"/>
      <c r="D1019" s="85" t="s">
        <v>106</v>
      </c>
      <c r="E1019" s="173">
        <v>0</v>
      </c>
      <c r="F1019" s="56">
        <v>0.06</v>
      </c>
      <c r="G1019" s="5">
        <f t="shared" si="234"/>
        <v>0</v>
      </c>
      <c r="H1019" s="6"/>
      <c r="I1019" s="6"/>
      <c r="J1019" s="6"/>
      <c r="K1019" s="6"/>
    </row>
    <row r="1020" spans="2:11" ht="12.95" customHeight="1" x14ac:dyDescent="0.3">
      <c r="B1020" s="162" t="s">
        <v>31</v>
      </c>
      <c r="C1020" s="163"/>
      <c r="D1020" s="42"/>
      <c r="E1020" s="43" t="s">
        <v>65</v>
      </c>
      <c r="F1020" s="168" t="s">
        <v>65</v>
      </c>
      <c r="G1020" s="42">
        <f>TRUNC(SUM(G1018:G1019))</f>
        <v>0</v>
      </c>
      <c r="H1020" s="6"/>
      <c r="I1020" s="6"/>
      <c r="J1020" s="6"/>
      <c r="K1020" s="6"/>
    </row>
    <row r="1021" spans="2:11" ht="12.95" customHeight="1" x14ac:dyDescent="0.3">
      <c r="B1021" s="83"/>
      <c r="C1021" s="92"/>
      <c r="D1021" s="18"/>
      <c r="E1021" s="92"/>
      <c r="F1021" s="86"/>
      <c r="G1021" s="19"/>
      <c r="H1021" s="6"/>
      <c r="I1021" s="6"/>
      <c r="J1021" s="6"/>
      <c r="K1021" s="6"/>
    </row>
    <row r="1022" spans="2:11" ht="12.95" customHeight="1" x14ac:dyDescent="0.3">
      <c r="B1022" s="83" t="s">
        <v>4</v>
      </c>
      <c r="C1022" s="83"/>
      <c r="D1022" s="85" t="s">
        <v>27</v>
      </c>
      <c r="E1022" s="82">
        <v>172068</v>
      </c>
      <c r="F1022" s="56">
        <v>0.01</v>
      </c>
      <c r="G1022" s="5">
        <f t="shared" ref="G1022" si="235">TRUNC($E1022*F1022,1)</f>
        <v>1720.6</v>
      </c>
      <c r="H1022" s="6"/>
      <c r="I1022" s="6"/>
      <c r="J1022" s="6"/>
      <c r="K1022" s="6"/>
    </row>
    <row r="1023" spans="2:11" ht="12.95" customHeight="1" x14ac:dyDescent="0.3">
      <c r="B1023" s="169" t="s">
        <v>32</v>
      </c>
      <c r="C1023" s="169"/>
      <c r="D1023" s="44"/>
      <c r="E1023" s="44"/>
      <c r="F1023" s="174"/>
      <c r="G1023" s="45">
        <f>TRUNC(SUM(G1022:G1022))</f>
        <v>1720</v>
      </c>
      <c r="H1023" s="6"/>
      <c r="I1023" s="6"/>
      <c r="J1023" s="6"/>
      <c r="K1023" s="6"/>
    </row>
    <row r="1024" spans="2:11" ht="12.95" customHeight="1" x14ac:dyDescent="0.3">
      <c r="B1024" s="83"/>
      <c r="C1024" s="83"/>
      <c r="D1024" s="83"/>
      <c r="E1024" s="92"/>
      <c r="F1024" s="92"/>
      <c r="G1024" s="19"/>
      <c r="H1024" s="6"/>
      <c r="I1024" s="6"/>
      <c r="J1024" s="6"/>
      <c r="K1024" s="6"/>
    </row>
    <row r="1025" spans="2:13" ht="12.95" customHeight="1" x14ac:dyDescent="0.3">
      <c r="B1025" s="98" t="s">
        <v>38</v>
      </c>
      <c r="C1025" s="154"/>
      <c r="D1025" s="154"/>
      <c r="E1025" s="101"/>
      <c r="F1025" s="102"/>
      <c r="G1025" s="9">
        <f>SUM(G1020+G1023)</f>
        <v>1720</v>
      </c>
      <c r="H1025" s="6"/>
      <c r="I1025" s="6"/>
      <c r="J1025" s="6"/>
      <c r="K1025" s="6"/>
    </row>
    <row r="1026" spans="2:13" ht="12.95" customHeight="1" x14ac:dyDescent="0.3">
      <c r="B1026" s="242" t="s">
        <v>13</v>
      </c>
      <c r="C1026" s="244" t="s">
        <v>67</v>
      </c>
      <c r="D1026" s="246" t="s">
        <v>21</v>
      </c>
      <c r="E1026" s="237" t="s">
        <v>14</v>
      </c>
      <c r="F1026" s="253" t="s">
        <v>174</v>
      </c>
      <c r="G1026" s="254"/>
      <c r="H1026" s="6"/>
      <c r="I1026" s="6"/>
      <c r="J1026" s="6"/>
      <c r="K1026" s="6"/>
    </row>
    <row r="1027" spans="2:13" ht="12.95" customHeight="1" x14ac:dyDescent="0.3">
      <c r="B1027" s="243"/>
      <c r="C1027" s="245"/>
      <c r="D1027" s="246"/>
      <c r="E1027" s="239"/>
      <c r="F1027" s="126" t="s">
        <v>15</v>
      </c>
      <c r="G1027" s="180" t="s">
        <v>16</v>
      </c>
      <c r="H1027" s="6"/>
      <c r="I1027" s="6"/>
      <c r="J1027" s="6"/>
      <c r="K1027" s="6"/>
    </row>
    <row r="1028" spans="2:13" ht="12.95" customHeight="1" x14ac:dyDescent="0.3">
      <c r="B1028" s="83" t="s">
        <v>119</v>
      </c>
      <c r="C1028" s="83"/>
      <c r="D1028" s="85" t="s">
        <v>56</v>
      </c>
      <c r="E1028" s="173">
        <v>0</v>
      </c>
      <c r="F1028" s="68">
        <v>7.0000000000000001E-3</v>
      </c>
      <c r="G1028" s="5">
        <f t="shared" ref="G1028:G1029" si="236">TRUNC($E1028*F1028,1)</f>
        <v>0</v>
      </c>
      <c r="H1028" s="6"/>
      <c r="I1028" s="6"/>
      <c r="J1028" s="6"/>
      <c r="K1028" s="6"/>
    </row>
    <row r="1029" spans="2:13" ht="12.95" customHeight="1" x14ac:dyDescent="0.3">
      <c r="B1029" s="83" t="s">
        <v>120</v>
      </c>
      <c r="C1029" s="83"/>
      <c r="D1029" s="85" t="s">
        <v>107</v>
      </c>
      <c r="E1029" s="173">
        <v>0</v>
      </c>
      <c r="F1029" s="56">
        <v>0.02</v>
      </c>
      <c r="G1029" s="5">
        <f t="shared" si="236"/>
        <v>0</v>
      </c>
      <c r="H1029" s="6"/>
      <c r="I1029" s="6"/>
      <c r="J1029" s="6"/>
      <c r="K1029" s="6"/>
    </row>
    <row r="1030" spans="2:13" ht="12.95" customHeight="1" x14ac:dyDescent="0.3">
      <c r="B1030" s="162" t="s">
        <v>31</v>
      </c>
      <c r="C1030" s="163"/>
      <c r="D1030" s="42"/>
      <c r="E1030" s="43" t="s">
        <v>65</v>
      </c>
      <c r="F1030" s="168" t="s">
        <v>65</v>
      </c>
      <c r="G1030" s="42">
        <f>TRUNC(SUM(G1028:G1029))</f>
        <v>0</v>
      </c>
      <c r="H1030" s="6"/>
      <c r="I1030" s="6"/>
      <c r="J1030" s="6"/>
      <c r="K1030" s="6"/>
    </row>
    <row r="1031" spans="2:13" ht="12.95" customHeight="1" x14ac:dyDescent="0.3">
      <c r="B1031" s="83"/>
      <c r="C1031" s="92"/>
      <c r="D1031" s="18"/>
      <c r="E1031" s="92"/>
      <c r="F1031" s="86"/>
      <c r="G1031" s="19"/>
      <c r="H1031" s="6"/>
      <c r="I1031" s="6"/>
      <c r="J1031" s="6"/>
      <c r="K1031" s="6"/>
    </row>
    <row r="1032" spans="2:13" ht="12.95" customHeight="1" x14ac:dyDescent="0.3">
      <c r="B1032" s="83" t="s">
        <v>10</v>
      </c>
      <c r="C1032" s="83"/>
      <c r="D1032" s="85" t="s">
        <v>27</v>
      </c>
      <c r="E1032" s="82">
        <v>277642</v>
      </c>
      <c r="F1032" s="56">
        <v>0.03</v>
      </c>
      <c r="G1032" s="5">
        <f t="shared" ref="G1032" si="237">TRUNC($E1032*F1032,1)</f>
        <v>8329.2000000000007</v>
      </c>
      <c r="H1032" s="6"/>
      <c r="I1032" s="6"/>
      <c r="J1032" s="6"/>
      <c r="K1032" s="6"/>
    </row>
    <row r="1033" spans="2:13" ht="12.95" customHeight="1" x14ac:dyDescent="0.3">
      <c r="B1033" s="169" t="s">
        <v>32</v>
      </c>
      <c r="C1033" s="169"/>
      <c r="D1033" s="44"/>
      <c r="E1033" s="44"/>
      <c r="F1033" s="174"/>
      <c r="G1033" s="45">
        <f>TRUNC(SUM(G1032:G1032))</f>
        <v>8329</v>
      </c>
      <c r="H1033" s="6"/>
      <c r="I1033" s="6"/>
      <c r="J1033" s="6"/>
      <c r="K1033" s="6"/>
    </row>
    <row r="1034" spans="2:13" ht="12.95" customHeight="1" x14ac:dyDescent="0.3">
      <c r="B1034" s="83"/>
      <c r="C1034" s="83"/>
      <c r="D1034" s="83"/>
      <c r="E1034" s="92"/>
      <c r="F1034" s="92"/>
      <c r="G1034" s="19"/>
      <c r="H1034" s="6"/>
      <c r="I1034" s="6"/>
      <c r="J1034" s="6"/>
      <c r="K1034" s="6"/>
    </row>
    <row r="1035" spans="2:13" ht="12.95" customHeight="1" x14ac:dyDescent="0.3">
      <c r="B1035" s="98" t="s">
        <v>38</v>
      </c>
      <c r="C1035" s="154"/>
      <c r="D1035" s="154"/>
      <c r="E1035" s="101"/>
      <c r="F1035" s="102"/>
      <c r="G1035" s="9">
        <f>SUM(G1030+G1033)</f>
        <v>8329</v>
      </c>
      <c r="H1035" s="6"/>
      <c r="I1035" s="6"/>
      <c r="J1035" s="6"/>
      <c r="K1035" s="6"/>
    </row>
    <row r="1036" spans="2:13" ht="12.95" customHeight="1" x14ac:dyDescent="0.3">
      <c r="B1036" s="6"/>
      <c r="C1036" s="6"/>
      <c r="D1036" s="6"/>
      <c r="E1036" s="6"/>
      <c r="F1036" s="6"/>
      <c r="G1036" s="6"/>
      <c r="H1036" s="6"/>
      <c r="I1036" s="6"/>
      <c r="J1036" s="6"/>
      <c r="K1036" s="6"/>
      <c r="L1036" s="6"/>
      <c r="M1036" s="6"/>
    </row>
    <row r="1037" spans="2:13" ht="12.95" customHeight="1" x14ac:dyDescent="0.3">
      <c r="B1037" s="108" t="s">
        <v>175</v>
      </c>
      <c r="C1037" s="108"/>
      <c r="D1037" s="14"/>
      <c r="E1037" s="14"/>
      <c r="F1037" s="14"/>
      <c r="G1037" s="14"/>
      <c r="H1037" s="109"/>
      <c r="I1037" s="109" t="s">
        <v>83</v>
      </c>
    </row>
    <row r="1038" spans="2:13" ht="12.95" customHeight="1" x14ac:dyDescent="0.3">
      <c r="B1038" s="242" t="s">
        <v>13</v>
      </c>
      <c r="C1038" s="244" t="s">
        <v>67</v>
      </c>
      <c r="D1038" s="267" t="s">
        <v>21</v>
      </c>
      <c r="E1038" s="237" t="s">
        <v>14</v>
      </c>
      <c r="F1038" s="270" t="s">
        <v>176</v>
      </c>
      <c r="G1038" s="237"/>
      <c r="H1038" s="237" t="s">
        <v>177</v>
      </c>
      <c r="I1038" s="251"/>
    </row>
    <row r="1039" spans="2:13" ht="12.95" customHeight="1" x14ac:dyDescent="0.3">
      <c r="B1039" s="265"/>
      <c r="C1039" s="266"/>
      <c r="D1039" s="268"/>
      <c r="E1039" s="238"/>
      <c r="F1039" s="239"/>
      <c r="G1039" s="239"/>
      <c r="H1039" s="239"/>
      <c r="I1039" s="252"/>
    </row>
    <row r="1040" spans="2:13" ht="12.95" customHeight="1" x14ac:dyDescent="0.3">
      <c r="B1040" s="243"/>
      <c r="C1040" s="245"/>
      <c r="D1040" s="269"/>
      <c r="E1040" s="239"/>
      <c r="F1040" s="126" t="s">
        <v>15</v>
      </c>
      <c r="G1040" s="180" t="s">
        <v>16</v>
      </c>
      <c r="H1040" s="126" t="s">
        <v>15</v>
      </c>
      <c r="I1040" s="180" t="s">
        <v>16</v>
      </c>
    </row>
    <row r="1041" spans="2:13" ht="12.95" customHeight="1" x14ac:dyDescent="0.3">
      <c r="B1041" s="83" t="s">
        <v>4</v>
      </c>
      <c r="C1041" s="83"/>
      <c r="D1041" s="85" t="s">
        <v>27</v>
      </c>
      <c r="E1041" s="201">
        <v>172068</v>
      </c>
      <c r="F1041" s="60">
        <v>0.13</v>
      </c>
      <c r="G1041" s="5">
        <f t="shared" ref="G1041" si="238">TRUNC($E1041*F1041,1)</f>
        <v>22368.799999999999</v>
      </c>
      <c r="H1041" s="56">
        <v>0.05</v>
      </c>
      <c r="I1041" s="5">
        <f t="shared" ref="I1041" si="239">TRUNC($E1041*H1041,1)</f>
        <v>8603.4</v>
      </c>
    </row>
    <row r="1042" spans="2:13" ht="12.95" customHeight="1" x14ac:dyDescent="0.3">
      <c r="B1042" s="96" t="s">
        <v>32</v>
      </c>
      <c r="C1042" s="119"/>
      <c r="D1042" s="40"/>
      <c r="E1042" s="119"/>
      <c r="F1042" s="119"/>
      <c r="G1042" s="40">
        <f>TRUNC(SUM(G1041:G1041))</f>
        <v>22368</v>
      </c>
      <c r="H1042" s="119"/>
      <c r="I1042" s="41">
        <f>TRUNC(SUM(I1041:I1041))</f>
        <v>8603</v>
      </c>
    </row>
    <row r="1043" spans="2:13" ht="12.95" customHeight="1" x14ac:dyDescent="0.3">
      <c r="B1043" s="83"/>
      <c r="C1043" s="83"/>
      <c r="D1043" s="18"/>
      <c r="E1043" s="92"/>
      <c r="F1043" s="92"/>
      <c r="G1043" s="18"/>
      <c r="H1043" s="92"/>
      <c r="I1043" s="19"/>
    </row>
    <row r="1044" spans="2:13" ht="12.95" customHeight="1" x14ac:dyDescent="0.3">
      <c r="B1044" s="98" t="s">
        <v>38</v>
      </c>
      <c r="C1044" s="154"/>
      <c r="D1044" s="20"/>
      <c r="E1044" s="101"/>
      <c r="F1044" s="102"/>
      <c r="G1044" s="13">
        <f>SUM(G1042)</f>
        <v>22368</v>
      </c>
      <c r="H1044" s="102"/>
      <c r="I1044" s="13">
        <f>SUM(I1042)</f>
        <v>8603</v>
      </c>
    </row>
    <row r="1045" spans="2:13" ht="12.95" customHeight="1" x14ac:dyDescent="0.3">
      <c r="B1045" s="39"/>
      <c r="C1045" s="39"/>
      <c r="D1045" s="39"/>
      <c r="E1045" s="39"/>
      <c r="F1045" s="39"/>
      <c r="G1045" s="39"/>
      <c r="H1045" s="39"/>
      <c r="I1045" s="39"/>
      <c r="J1045" s="39"/>
      <c r="K1045" s="6"/>
      <c r="L1045" s="6"/>
      <c r="M1045" s="6"/>
    </row>
    <row r="1046" spans="2:13" ht="12.95" customHeight="1" x14ac:dyDescent="0.3">
      <c r="B1046" s="108" t="s">
        <v>178</v>
      </c>
      <c r="C1046" s="108"/>
      <c r="D1046" s="14"/>
      <c r="E1046" s="14"/>
      <c r="F1046" s="14"/>
      <c r="G1046" s="109" t="s">
        <v>83</v>
      </c>
    </row>
    <row r="1047" spans="2:13" ht="12.95" customHeight="1" x14ac:dyDescent="0.3">
      <c r="B1047" s="242" t="s">
        <v>13</v>
      </c>
      <c r="C1047" s="244" t="s">
        <v>67</v>
      </c>
      <c r="D1047" s="246" t="s">
        <v>21</v>
      </c>
      <c r="E1047" s="237" t="s">
        <v>14</v>
      </c>
      <c r="F1047" s="249" t="s">
        <v>15</v>
      </c>
      <c r="G1047" s="263" t="s">
        <v>16</v>
      </c>
    </row>
    <row r="1048" spans="2:13" ht="12.95" customHeight="1" x14ac:dyDescent="0.3">
      <c r="B1048" s="243"/>
      <c r="C1048" s="245"/>
      <c r="D1048" s="246"/>
      <c r="E1048" s="239"/>
      <c r="F1048" s="250"/>
      <c r="G1048" s="264"/>
    </row>
    <row r="1049" spans="2:13" ht="12.95" customHeight="1" x14ac:dyDescent="0.3">
      <c r="B1049" s="83" t="s">
        <v>4</v>
      </c>
      <c r="C1049" s="83"/>
      <c r="D1049" s="85" t="s">
        <v>27</v>
      </c>
      <c r="E1049" s="201">
        <v>172068</v>
      </c>
      <c r="F1049" s="60">
        <v>0.02</v>
      </c>
      <c r="G1049" s="5">
        <f t="shared" ref="G1049" si="240">TRUNC($E1049*F1049,1)</f>
        <v>3441.3</v>
      </c>
    </row>
    <row r="1050" spans="2:13" ht="12.95" customHeight="1" x14ac:dyDescent="0.3">
      <c r="B1050" s="96" t="s">
        <v>32</v>
      </c>
      <c r="C1050" s="119"/>
      <c r="D1050" s="40"/>
      <c r="E1050" s="119"/>
      <c r="F1050" s="119"/>
      <c r="G1050" s="41">
        <f>TRUNC(SUM(G1049:G1049))</f>
        <v>3441</v>
      </c>
    </row>
    <row r="1051" spans="2:13" ht="12.95" customHeight="1" x14ac:dyDescent="0.3">
      <c r="B1051" s="83"/>
      <c r="C1051" s="83"/>
      <c r="D1051" s="18"/>
      <c r="E1051" s="92"/>
      <c r="F1051" s="92"/>
      <c r="G1051" s="19"/>
    </row>
    <row r="1052" spans="2:13" ht="12.95" customHeight="1" x14ac:dyDescent="0.3">
      <c r="B1052" s="98" t="s">
        <v>38</v>
      </c>
      <c r="C1052" s="154"/>
      <c r="D1052" s="20"/>
      <c r="E1052" s="101"/>
      <c r="F1052" s="102"/>
      <c r="G1052" s="13">
        <f>SUM(G1050)</f>
        <v>3441</v>
      </c>
    </row>
    <row r="1053" spans="2:13" ht="12.95" customHeight="1" x14ac:dyDescent="0.3">
      <c r="B1053" s="6"/>
      <c r="C1053" s="6"/>
      <c r="D1053" s="6"/>
      <c r="E1053" s="6"/>
      <c r="F1053" s="6"/>
      <c r="G1053" s="6"/>
    </row>
    <row r="1054" spans="2:13" ht="12.95" customHeight="1" x14ac:dyDescent="0.3">
      <c r="B1054" s="108" t="s">
        <v>179</v>
      </c>
      <c r="C1054" s="108"/>
      <c r="D1054" s="14"/>
      <c r="E1054" s="14"/>
      <c r="F1054" s="14"/>
      <c r="G1054" s="109" t="s">
        <v>17</v>
      </c>
    </row>
    <row r="1055" spans="2:13" ht="12.95" customHeight="1" x14ac:dyDescent="0.3">
      <c r="B1055" s="242" t="s">
        <v>13</v>
      </c>
      <c r="C1055" s="244" t="s">
        <v>67</v>
      </c>
      <c r="D1055" s="246" t="s">
        <v>21</v>
      </c>
      <c r="E1055" s="237" t="s">
        <v>14</v>
      </c>
      <c r="F1055" s="249" t="s">
        <v>15</v>
      </c>
      <c r="G1055" s="263" t="s">
        <v>16</v>
      </c>
    </row>
    <row r="1056" spans="2:13" ht="12.95" customHeight="1" x14ac:dyDescent="0.3">
      <c r="B1056" s="243"/>
      <c r="C1056" s="245"/>
      <c r="D1056" s="246"/>
      <c r="E1056" s="239"/>
      <c r="F1056" s="250"/>
      <c r="G1056" s="264"/>
    </row>
    <row r="1057" spans="2:9" ht="12.95" customHeight="1" x14ac:dyDescent="0.3">
      <c r="B1057" s="83" t="s">
        <v>4</v>
      </c>
      <c r="C1057" s="83"/>
      <c r="D1057" s="85" t="s">
        <v>27</v>
      </c>
      <c r="E1057" s="201">
        <v>172068</v>
      </c>
      <c r="F1057" s="60">
        <v>0.03</v>
      </c>
      <c r="G1057" s="5">
        <f t="shared" ref="G1057" si="241">TRUNC($E1057*F1057,1)</f>
        <v>5162</v>
      </c>
    </row>
    <row r="1058" spans="2:9" ht="12.95" customHeight="1" x14ac:dyDescent="0.3">
      <c r="B1058" s="96" t="s">
        <v>32</v>
      </c>
      <c r="C1058" s="119"/>
      <c r="D1058" s="40"/>
      <c r="E1058" s="119"/>
      <c r="F1058" s="119"/>
      <c r="G1058" s="41">
        <f>TRUNC(SUM(G1057:G1057))</f>
        <v>5162</v>
      </c>
    </row>
    <row r="1059" spans="2:9" ht="12.95" customHeight="1" x14ac:dyDescent="0.3">
      <c r="B1059" s="83"/>
      <c r="C1059" s="83"/>
      <c r="D1059" s="18"/>
      <c r="E1059" s="92"/>
      <c r="F1059" s="92"/>
      <c r="G1059" s="19"/>
    </row>
    <row r="1060" spans="2:9" ht="12.95" customHeight="1" x14ac:dyDescent="0.3">
      <c r="B1060" s="98" t="s">
        <v>38</v>
      </c>
      <c r="C1060" s="154"/>
      <c r="D1060" s="20"/>
      <c r="E1060" s="101"/>
      <c r="F1060" s="102"/>
      <c r="G1060" s="13">
        <f>SUM(G1058)</f>
        <v>5162</v>
      </c>
    </row>
    <row r="1061" spans="2:9" ht="12.95" customHeight="1" x14ac:dyDescent="0.3">
      <c r="B1061" s="6"/>
      <c r="C1061" s="6"/>
      <c r="D1061" s="6"/>
      <c r="E1061" s="6"/>
      <c r="F1061" s="6"/>
      <c r="G1061" s="6"/>
    </row>
    <row r="1062" spans="2:9" ht="12.95" customHeight="1" x14ac:dyDescent="0.3">
      <c r="B1062" s="108" t="s">
        <v>207</v>
      </c>
      <c r="C1062" s="75"/>
      <c r="D1062" s="14"/>
      <c r="E1062" s="14"/>
      <c r="F1062" s="14"/>
      <c r="G1062" s="109" t="s">
        <v>121</v>
      </c>
      <c r="H1062" s="6"/>
      <c r="I1062" s="6"/>
    </row>
    <row r="1063" spans="2:9" ht="12.95" customHeight="1" x14ac:dyDescent="0.3">
      <c r="B1063" s="247" t="s">
        <v>13</v>
      </c>
      <c r="C1063" s="244" t="s">
        <v>67</v>
      </c>
      <c r="D1063" s="246" t="s">
        <v>21</v>
      </c>
      <c r="E1063" s="249" t="s">
        <v>14</v>
      </c>
      <c r="F1063" s="249" t="s">
        <v>15</v>
      </c>
      <c r="G1063" s="263" t="s">
        <v>16</v>
      </c>
      <c r="H1063" s="6"/>
      <c r="I1063" s="6"/>
    </row>
    <row r="1064" spans="2:9" ht="12.95" customHeight="1" x14ac:dyDescent="0.3">
      <c r="B1064" s="248"/>
      <c r="C1064" s="245"/>
      <c r="D1064" s="246"/>
      <c r="E1064" s="250"/>
      <c r="F1064" s="250"/>
      <c r="G1064" s="264"/>
      <c r="H1064" s="6"/>
      <c r="I1064" s="6"/>
    </row>
    <row r="1065" spans="2:9" ht="12.95" customHeight="1" x14ac:dyDescent="0.3">
      <c r="B1065" s="196" t="s">
        <v>3</v>
      </c>
      <c r="C1065" s="197" t="s">
        <v>122</v>
      </c>
      <c r="D1065" s="183" t="s">
        <v>46</v>
      </c>
      <c r="E1065" s="38">
        <v>25246</v>
      </c>
      <c r="F1065" s="68">
        <v>8.0000000000000002E-3</v>
      </c>
      <c r="G1065" s="5">
        <f t="shared" ref="G1065" si="242">TRUNC($E1065*F1065,1)</f>
        <v>201.9</v>
      </c>
      <c r="H1065" s="6"/>
      <c r="I1065" s="6"/>
    </row>
    <row r="1066" spans="2:9" ht="12.95" customHeight="1" x14ac:dyDescent="0.3">
      <c r="B1066" s="184" t="s">
        <v>31</v>
      </c>
      <c r="C1066" s="185"/>
      <c r="D1066" s="186"/>
      <c r="E1066" s="46"/>
      <c r="F1066" s="54"/>
      <c r="G1066" s="48">
        <f>TRUNC(SUM(G1065:G1065))</f>
        <v>201</v>
      </c>
      <c r="H1066" s="6"/>
      <c r="I1066" s="6"/>
    </row>
    <row r="1067" spans="2:9" ht="12.95" customHeight="1" x14ac:dyDescent="0.3">
      <c r="B1067" s="187"/>
      <c r="C1067" s="188"/>
      <c r="D1067" s="183"/>
      <c r="E1067" s="33"/>
      <c r="F1067" s="55"/>
      <c r="G1067" s="35"/>
      <c r="H1067" s="6"/>
      <c r="I1067" s="6"/>
    </row>
    <row r="1068" spans="2:9" ht="12.95" customHeight="1" x14ac:dyDescent="0.3">
      <c r="B1068" s="196" t="s">
        <v>3</v>
      </c>
      <c r="C1068" s="197" t="s">
        <v>9</v>
      </c>
      <c r="D1068" s="183" t="s">
        <v>113</v>
      </c>
      <c r="E1068" s="38">
        <v>49698</v>
      </c>
      <c r="F1068" s="68">
        <v>8.0000000000000002E-3</v>
      </c>
      <c r="G1068" s="5">
        <f t="shared" ref="G1068" si="243">TRUNC($E1068*F1068,1)</f>
        <v>397.5</v>
      </c>
      <c r="H1068" s="6"/>
      <c r="I1068" s="6"/>
    </row>
    <row r="1069" spans="2:9" ht="12.95" customHeight="1" x14ac:dyDescent="0.3">
      <c r="B1069" s="169" t="s">
        <v>32</v>
      </c>
      <c r="C1069" s="189"/>
      <c r="D1069" s="186"/>
      <c r="E1069" s="190"/>
      <c r="F1069" s="54"/>
      <c r="G1069" s="48">
        <f>TRUNC(SUM(G1068:G1068))</f>
        <v>397</v>
      </c>
      <c r="H1069" s="6"/>
      <c r="I1069" s="6"/>
    </row>
    <row r="1070" spans="2:9" ht="12.95" customHeight="1" x14ac:dyDescent="0.3">
      <c r="B1070" s="187"/>
      <c r="C1070" s="188"/>
      <c r="D1070" s="183"/>
      <c r="E1070" s="191"/>
      <c r="F1070" s="55"/>
      <c r="G1070" s="35"/>
      <c r="H1070" s="6"/>
      <c r="I1070" s="6"/>
    </row>
    <row r="1071" spans="2:9" ht="12.95" customHeight="1" x14ac:dyDescent="0.3">
      <c r="B1071" s="196" t="s">
        <v>3</v>
      </c>
      <c r="C1071" s="197" t="s">
        <v>9</v>
      </c>
      <c r="D1071" s="183" t="s">
        <v>113</v>
      </c>
      <c r="E1071" s="38">
        <v>19154</v>
      </c>
      <c r="F1071" s="68">
        <v>8.0000000000000002E-3</v>
      </c>
      <c r="G1071" s="5">
        <f t="shared" ref="G1071" si="244">TRUNC($E1071*F1071,1)</f>
        <v>153.19999999999999</v>
      </c>
      <c r="H1071" s="6"/>
      <c r="I1071" s="6"/>
    </row>
    <row r="1072" spans="2:9" ht="12.95" customHeight="1" x14ac:dyDescent="0.3">
      <c r="B1072" s="169" t="s">
        <v>118</v>
      </c>
      <c r="C1072" s="189"/>
      <c r="D1072" s="186"/>
      <c r="E1072" s="190"/>
      <c r="F1072" s="190"/>
      <c r="G1072" s="48">
        <f>TRUNC(SUM(G1071:G1071))</f>
        <v>153</v>
      </c>
      <c r="H1072" s="6"/>
      <c r="I1072" s="6"/>
    </row>
    <row r="1073" spans="2:13" ht="12.95" customHeight="1" x14ac:dyDescent="0.3">
      <c r="B1073" s="187"/>
      <c r="C1073" s="188"/>
      <c r="D1073" s="183"/>
      <c r="E1073" s="191"/>
      <c r="F1073" s="191"/>
      <c r="G1073" s="35"/>
      <c r="H1073" s="6"/>
      <c r="I1073" s="6"/>
    </row>
    <row r="1074" spans="2:13" ht="12.95" customHeight="1" x14ac:dyDescent="0.3">
      <c r="B1074" s="192" t="s">
        <v>38</v>
      </c>
      <c r="C1074" s="193"/>
      <c r="D1074" s="194"/>
      <c r="E1074" s="195"/>
      <c r="F1074" s="195"/>
      <c r="G1074" s="36">
        <f>SUM(G1066+G1069+G1072)</f>
        <v>751</v>
      </c>
      <c r="H1074" s="6"/>
      <c r="I1074" s="6"/>
    </row>
    <row r="1075" spans="2:13" ht="12.95" customHeight="1" x14ac:dyDescent="0.3">
      <c r="B1075" s="14"/>
      <c r="C1075" s="14"/>
      <c r="D1075" s="14"/>
      <c r="E1075" s="14"/>
      <c r="F1075" s="14"/>
      <c r="G1075" s="14"/>
      <c r="H1075" s="6"/>
      <c r="I1075" s="6"/>
    </row>
    <row r="1076" spans="2:13" ht="12.95" customHeight="1" x14ac:dyDescent="0.3">
      <c r="B1076" s="108" t="s">
        <v>209</v>
      </c>
      <c r="C1076" s="75"/>
      <c r="D1076" s="14"/>
      <c r="E1076" s="14"/>
      <c r="F1076" s="14"/>
      <c r="G1076" s="109"/>
      <c r="H1076" s="6"/>
      <c r="I1076" s="109" t="s">
        <v>123</v>
      </c>
      <c r="J1076" s="6"/>
      <c r="K1076" s="6"/>
      <c r="L1076" s="6"/>
      <c r="M1076" s="6"/>
    </row>
    <row r="1077" spans="2:13" ht="12.95" customHeight="1" x14ac:dyDescent="0.3">
      <c r="B1077" s="247" t="s">
        <v>13</v>
      </c>
      <c r="C1077" s="244" t="s">
        <v>67</v>
      </c>
      <c r="D1077" s="246" t="s">
        <v>21</v>
      </c>
      <c r="E1077" s="249" t="s">
        <v>14</v>
      </c>
      <c r="F1077" s="198" t="s">
        <v>28</v>
      </c>
      <c r="G1077" s="199"/>
      <c r="H1077" s="198" t="s">
        <v>29</v>
      </c>
      <c r="I1077" s="198"/>
      <c r="J1077" s="6"/>
      <c r="K1077" s="6"/>
      <c r="L1077" s="6"/>
      <c r="M1077" s="6"/>
    </row>
    <row r="1078" spans="2:13" ht="12.95" customHeight="1" x14ac:dyDescent="0.3">
      <c r="B1078" s="248"/>
      <c r="C1078" s="245"/>
      <c r="D1078" s="246"/>
      <c r="E1078" s="250"/>
      <c r="F1078" s="181" t="s">
        <v>15</v>
      </c>
      <c r="G1078" s="181" t="s">
        <v>16</v>
      </c>
      <c r="H1078" s="181" t="s">
        <v>15</v>
      </c>
      <c r="I1078" s="182" t="s">
        <v>16</v>
      </c>
      <c r="J1078" s="6"/>
      <c r="K1078" s="6"/>
      <c r="L1078" s="6"/>
      <c r="M1078" s="6"/>
    </row>
    <row r="1079" spans="2:13" ht="12.95" customHeight="1" x14ac:dyDescent="0.3">
      <c r="B1079" s="196" t="s">
        <v>93</v>
      </c>
      <c r="C1079" s="197" t="s">
        <v>117</v>
      </c>
      <c r="D1079" s="183" t="s">
        <v>113</v>
      </c>
      <c r="E1079" s="29">
        <v>7951</v>
      </c>
      <c r="F1079" s="30">
        <v>2.6</v>
      </c>
      <c r="G1079" s="5">
        <f t="shared" ref="G1079" si="245">TRUNC($E1079*F1079,1)</f>
        <v>20672.599999999999</v>
      </c>
      <c r="H1079" s="30">
        <v>3.3</v>
      </c>
      <c r="I1079" s="5">
        <f t="shared" ref="I1079" si="246">TRUNC($E1079*H1079,1)</f>
        <v>26238.3</v>
      </c>
      <c r="J1079" s="6"/>
      <c r="K1079" s="6"/>
      <c r="L1079" s="6"/>
      <c r="M1079" s="6"/>
    </row>
    <row r="1080" spans="2:13" ht="12.95" customHeight="1" x14ac:dyDescent="0.3">
      <c r="B1080" s="91" t="s">
        <v>22</v>
      </c>
      <c r="C1080" s="106" t="s">
        <v>24</v>
      </c>
      <c r="D1080" s="183" t="s">
        <v>47</v>
      </c>
      <c r="E1080" s="29"/>
      <c r="F1080" s="32">
        <v>1</v>
      </c>
      <c r="G1080" s="31">
        <f>TRUNC(SUM(G1083:G1083)*0.02,1)</f>
        <v>7190.6</v>
      </c>
      <c r="H1080" s="32">
        <v>1</v>
      </c>
      <c r="I1080" s="31">
        <f>TRUNC(SUM(I1083:I1083)*0.02,1)</f>
        <v>11034.7</v>
      </c>
      <c r="J1080" s="6"/>
      <c r="K1080" s="6"/>
      <c r="L1080" s="6"/>
      <c r="M1080" s="6"/>
    </row>
    <row r="1081" spans="2:13" ht="12.95" customHeight="1" x14ac:dyDescent="0.3">
      <c r="B1081" s="184" t="s">
        <v>31</v>
      </c>
      <c r="C1081" s="185"/>
      <c r="D1081" s="186"/>
      <c r="E1081" s="46"/>
      <c r="F1081" s="47"/>
      <c r="G1081" s="48">
        <f>TRUNC(SUM(G1079:G1080))</f>
        <v>27863</v>
      </c>
      <c r="H1081" s="47"/>
      <c r="I1081" s="48">
        <f>TRUNC(SUM(I1079:I1080))</f>
        <v>37273</v>
      </c>
      <c r="J1081" s="6"/>
      <c r="K1081" s="6"/>
      <c r="L1081" s="6"/>
      <c r="M1081" s="6"/>
    </row>
    <row r="1082" spans="2:13" ht="12.95" customHeight="1" x14ac:dyDescent="0.3">
      <c r="B1082" s="187"/>
      <c r="C1082" s="188"/>
      <c r="D1082" s="183"/>
      <c r="E1082" s="33"/>
      <c r="F1082" s="34"/>
      <c r="G1082" s="35"/>
      <c r="H1082" s="34"/>
      <c r="I1082" s="35"/>
      <c r="J1082" s="6"/>
      <c r="K1082" s="6"/>
      <c r="L1082" s="6"/>
      <c r="M1082" s="6"/>
    </row>
    <row r="1083" spans="2:13" ht="12.95" customHeight="1" x14ac:dyDescent="0.3">
      <c r="B1083" s="91" t="s">
        <v>1</v>
      </c>
      <c r="C1083" s="83"/>
      <c r="D1083" s="85" t="s">
        <v>27</v>
      </c>
      <c r="E1083" s="82">
        <v>226122</v>
      </c>
      <c r="F1083" s="30">
        <v>1.59</v>
      </c>
      <c r="G1083" s="5">
        <f t="shared" ref="G1083:G1084" si="247">TRUNC($E1083*F1083,1)</f>
        <v>359533.9</v>
      </c>
      <c r="H1083" s="30">
        <v>2.44</v>
      </c>
      <c r="I1083" s="5">
        <f t="shared" ref="I1083:I1084" si="248">TRUNC($E1083*H1083,1)</f>
        <v>551737.59999999998</v>
      </c>
      <c r="J1083" s="6"/>
      <c r="K1083" s="6"/>
      <c r="L1083" s="6"/>
      <c r="M1083" s="6"/>
    </row>
    <row r="1084" spans="2:13" ht="12.95" customHeight="1" x14ac:dyDescent="0.3">
      <c r="B1084" s="196" t="s">
        <v>93</v>
      </c>
      <c r="C1084" s="197" t="s">
        <v>117</v>
      </c>
      <c r="D1084" s="183" t="s">
        <v>113</v>
      </c>
      <c r="E1084" s="29">
        <v>58925</v>
      </c>
      <c r="F1084" s="30">
        <v>2.6</v>
      </c>
      <c r="G1084" s="5">
        <f t="shared" si="247"/>
        <v>153205</v>
      </c>
      <c r="H1084" s="30">
        <v>3.3</v>
      </c>
      <c r="I1084" s="5">
        <f t="shared" si="248"/>
        <v>194452.5</v>
      </c>
      <c r="J1084" s="6"/>
      <c r="K1084" s="6"/>
      <c r="L1084" s="6"/>
      <c r="M1084" s="6"/>
    </row>
    <row r="1085" spans="2:13" ht="12.95" customHeight="1" x14ac:dyDescent="0.3">
      <c r="B1085" s="169" t="s">
        <v>32</v>
      </c>
      <c r="C1085" s="189"/>
      <c r="D1085" s="186"/>
      <c r="E1085" s="190"/>
      <c r="F1085" s="202"/>
      <c r="G1085" s="48">
        <f>TRUNC(SUM(G1083:G1084))</f>
        <v>512738</v>
      </c>
      <c r="H1085" s="202"/>
      <c r="I1085" s="48">
        <f>TRUNC(SUM(I1083:I1084))</f>
        <v>746190</v>
      </c>
      <c r="J1085" s="6"/>
      <c r="K1085" s="6"/>
      <c r="L1085" s="6"/>
      <c r="M1085" s="6"/>
    </row>
    <row r="1086" spans="2:13" ht="12.95" customHeight="1" x14ac:dyDescent="0.3">
      <c r="B1086" s="187"/>
      <c r="C1086" s="188"/>
      <c r="D1086" s="183"/>
      <c r="E1086" s="191"/>
      <c r="F1086" s="203"/>
      <c r="G1086" s="35"/>
      <c r="H1086" s="203"/>
      <c r="I1086" s="35"/>
      <c r="J1086" s="6"/>
      <c r="K1086" s="6"/>
      <c r="L1086" s="6"/>
      <c r="M1086" s="6"/>
    </row>
    <row r="1087" spans="2:13" ht="12.95" customHeight="1" x14ac:dyDescent="0.3">
      <c r="B1087" s="196" t="s">
        <v>93</v>
      </c>
      <c r="C1087" s="197" t="s">
        <v>117</v>
      </c>
      <c r="D1087" s="183" t="s">
        <v>113</v>
      </c>
      <c r="E1087" s="29">
        <v>31344</v>
      </c>
      <c r="F1087" s="30">
        <v>2.6</v>
      </c>
      <c r="G1087" s="5">
        <f t="shared" ref="G1087" si="249">TRUNC($E1087*F1087,1)</f>
        <v>81494.399999999994</v>
      </c>
      <c r="H1087" s="30">
        <v>3.3</v>
      </c>
      <c r="I1087" s="5">
        <f t="shared" ref="I1087" si="250">TRUNC($E1087*H1087,1)</f>
        <v>103435.2</v>
      </c>
      <c r="J1087" s="6"/>
      <c r="K1087" s="6"/>
      <c r="L1087" s="6"/>
      <c r="M1087" s="6"/>
    </row>
    <row r="1088" spans="2:13" ht="12.95" customHeight="1" x14ac:dyDescent="0.3">
      <c r="B1088" s="169" t="s">
        <v>118</v>
      </c>
      <c r="C1088" s="189"/>
      <c r="D1088" s="186"/>
      <c r="E1088" s="190"/>
      <c r="F1088" s="190"/>
      <c r="G1088" s="48">
        <f>TRUNC(SUM(G1087:G1087))</f>
        <v>81494</v>
      </c>
      <c r="H1088" s="190"/>
      <c r="I1088" s="48">
        <f>TRUNC(SUM(I1087:I1087))</f>
        <v>103435</v>
      </c>
      <c r="J1088" s="6"/>
      <c r="K1088" s="6"/>
      <c r="L1088" s="6"/>
      <c r="M1088" s="6"/>
    </row>
    <row r="1089" spans="2:13" ht="12.95" customHeight="1" x14ac:dyDescent="0.3">
      <c r="B1089" s="187"/>
      <c r="C1089" s="188"/>
      <c r="D1089" s="183"/>
      <c r="E1089" s="191"/>
      <c r="F1089" s="191"/>
      <c r="G1089" s="35"/>
      <c r="H1089" s="191"/>
      <c r="I1089" s="35"/>
      <c r="J1089" s="6"/>
      <c r="K1089" s="6"/>
      <c r="L1089" s="6"/>
      <c r="M1089" s="6"/>
    </row>
    <row r="1090" spans="2:13" ht="12.95" customHeight="1" x14ac:dyDescent="0.3">
      <c r="B1090" s="192" t="s">
        <v>38</v>
      </c>
      <c r="C1090" s="193"/>
      <c r="D1090" s="194"/>
      <c r="E1090" s="195"/>
      <c r="F1090" s="195"/>
      <c r="G1090" s="36">
        <f>SUM(G1081+G1085+G1088)</f>
        <v>622095</v>
      </c>
      <c r="H1090" s="195"/>
      <c r="I1090" s="36">
        <f>SUM(I1081+I1085+I1088)</f>
        <v>886898</v>
      </c>
      <c r="J1090" s="6"/>
      <c r="K1090" s="6"/>
      <c r="L1090" s="6"/>
      <c r="M1090" s="6"/>
    </row>
    <row r="1091" spans="2:13" ht="12.95" customHeight="1" x14ac:dyDescent="0.3">
      <c r="B1091" s="14"/>
      <c r="C1091" s="14"/>
      <c r="D1091" s="14"/>
      <c r="E1091" s="14"/>
      <c r="F1091" s="14"/>
      <c r="G1091" s="14"/>
      <c r="H1091" s="6"/>
      <c r="I1091" s="6"/>
      <c r="J1091" s="6"/>
      <c r="K1091" s="6"/>
      <c r="L1091" s="6"/>
      <c r="M1091" s="6"/>
    </row>
    <row r="1092" spans="2:13" ht="12.95" customHeight="1" x14ac:dyDescent="0.3">
      <c r="B1092" s="108" t="s">
        <v>210</v>
      </c>
      <c r="C1092" s="75"/>
      <c r="D1092" s="14"/>
      <c r="E1092" s="14"/>
      <c r="F1092" s="14"/>
      <c r="G1092" s="109" t="s">
        <v>123</v>
      </c>
      <c r="H1092" s="6"/>
      <c r="I1092" s="6"/>
    </row>
    <row r="1093" spans="2:13" ht="12.95" customHeight="1" x14ac:dyDescent="0.3">
      <c r="B1093" s="247" t="s">
        <v>13</v>
      </c>
      <c r="C1093" s="244" t="s">
        <v>67</v>
      </c>
      <c r="D1093" s="246" t="s">
        <v>21</v>
      </c>
      <c r="E1093" s="249" t="s">
        <v>14</v>
      </c>
      <c r="F1093" s="249" t="s">
        <v>15</v>
      </c>
      <c r="G1093" s="263" t="s">
        <v>16</v>
      </c>
      <c r="H1093" s="6"/>
      <c r="I1093" s="6"/>
    </row>
    <row r="1094" spans="2:13" ht="12.95" customHeight="1" x14ac:dyDescent="0.3">
      <c r="B1094" s="248"/>
      <c r="C1094" s="245"/>
      <c r="D1094" s="246"/>
      <c r="E1094" s="250"/>
      <c r="F1094" s="250"/>
      <c r="G1094" s="264"/>
      <c r="H1094" s="6"/>
      <c r="I1094" s="6"/>
    </row>
    <row r="1095" spans="2:13" ht="12.95" customHeight="1" x14ac:dyDescent="0.3">
      <c r="B1095" s="196" t="s">
        <v>225</v>
      </c>
      <c r="C1095" s="197" t="s">
        <v>8</v>
      </c>
      <c r="D1095" s="183" t="s">
        <v>113</v>
      </c>
      <c r="E1095" s="29">
        <v>9107</v>
      </c>
      <c r="F1095" s="30">
        <v>1</v>
      </c>
      <c r="G1095" s="5">
        <f t="shared" ref="G1095" si="251">TRUNC($E1095*F1095,1)</f>
        <v>9107</v>
      </c>
      <c r="H1095" s="6"/>
      <c r="I1095" s="6"/>
    </row>
    <row r="1096" spans="2:13" ht="12.95" customHeight="1" x14ac:dyDescent="0.3">
      <c r="B1096" s="91" t="s">
        <v>22</v>
      </c>
      <c r="C1096" s="106" t="s">
        <v>124</v>
      </c>
      <c r="D1096" s="183" t="s">
        <v>47</v>
      </c>
      <c r="E1096" s="29"/>
      <c r="F1096" s="32">
        <v>1</v>
      </c>
      <c r="G1096" s="31">
        <f>TRUNC(SUM(G1099:G1099)*0.07,1)</f>
        <v>9971.9</v>
      </c>
      <c r="H1096" s="6"/>
      <c r="I1096" s="6"/>
    </row>
    <row r="1097" spans="2:13" ht="12.95" customHeight="1" x14ac:dyDescent="0.3">
      <c r="B1097" s="184" t="s">
        <v>31</v>
      </c>
      <c r="C1097" s="185"/>
      <c r="D1097" s="186"/>
      <c r="E1097" s="46"/>
      <c r="F1097" s="47"/>
      <c r="G1097" s="48">
        <f>TRUNC(SUM(G1095:G1096))</f>
        <v>19078</v>
      </c>
      <c r="H1097" s="6"/>
      <c r="I1097" s="6"/>
    </row>
    <row r="1098" spans="2:13" ht="12.95" customHeight="1" x14ac:dyDescent="0.3">
      <c r="B1098" s="187"/>
      <c r="C1098" s="188"/>
      <c r="D1098" s="183"/>
      <c r="E1098" s="33"/>
      <c r="F1098" s="34"/>
      <c r="G1098" s="35"/>
      <c r="H1098" s="6"/>
      <c r="I1098" s="6"/>
    </row>
    <row r="1099" spans="2:13" ht="12.95" customHeight="1" x14ac:dyDescent="0.3">
      <c r="B1099" s="91" t="s">
        <v>1</v>
      </c>
      <c r="C1099" s="83"/>
      <c r="D1099" s="85" t="s">
        <v>27</v>
      </c>
      <c r="E1099" s="82">
        <v>226122</v>
      </c>
      <c r="F1099" s="30">
        <v>0.63</v>
      </c>
      <c r="G1099" s="5">
        <f t="shared" ref="G1099:G1100" si="252">TRUNC($E1099*F1099,1)</f>
        <v>142456.79999999999</v>
      </c>
      <c r="H1099" s="6"/>
      <c r="I1099" s="6"/>
    </row>
    <row r="1100" spans="2:13" ht="12.95" customHeight="1" x14ac:dyDescent="0.3">
      <c r="B1100" s="196" t="s">
        <v>225</v>
      </c>
      <c r="C1100" s="197" t="s">
        <v>8</v>
      </c>
      <c r="D1100" s="183" t="s">
        <v>113</v>
      </c>
      <c r="E1100" s="29">
        <v>58925</v>
      </c>
      <c r="F1100" s="30">
        <v>1</v>
      </c>
      <c r="G1100" s="5">
        <f t="shared" si="252"/>
        <v>58925</v>
      </c>
      <c r="H1100" s="6"/>
      <c r="I1100" s="6"/>
    </row>
    <row r="1101" spans="2:13" ht="12.95" customHeight="1" x14ac:dyDescent="0.3">
      <c r="B1101" s="169" t="s">
        <v>32</v>
      </c>
      <c r="C1101" s="189"/>
      <c r="D1101" s="186"/>
      <c r="E1101" s="190"/>
      <c r="F1101" s="202"/>
      <c r="G1101" s="48">
        <f>TRUNC(SUM(G1099:G1100))</f>
        <v>201381</v>
      </c>
      <c r="H1101" s="6"/>
      <c r="I1101" s="6"/>
    </row>
    <row r="1102" spans="2:13" ht="12.95" customHeight="1" x14ac:dyDescent="0.3">
      <c r="B1102" s="187"/>
      <c r="C1102" s="188"/>
      <c r="D1102" s="183"/>
      <c r="E1102" s="191"/>
      <c r="F1102" s="203"/>
      <c r="G1102" s="35"/>
      <c r="H1102" s="6"/>
      <c r="I1102" s="6"/>
    </row>
    <row r="1103" spans="2:13" ht="12.95" customHeight="1" x14ac:dyDescent="0.3">
      <c r="B1103" s="196" t="s">
        <v>225</v>
      </c>
      <c r="C1103" s="197" t="s">
        <v>8</v>
      </c>
      <c r="D1103" s="183" t="s">
        <v>113</v>
      </c>
      <c r="E1103" s="29">
        <v>13873</v>
      </c>
      <c r="F1103" s="30">
        <v>1</v>
      </c>
      <c r="G1103" s="5">
        <f t="shared" ref="G1103" si="253">TRUNC($E1103*F1103,1)</f>
        <v>13873</v>
      </c>
      <c r="H1103" s="6"/>
      <c r="I1103" s="6"/>
    </row>
    <row r="1104" spans="2:13" ht="12.95" customHeight="1" x14ac:dyDescent="0.3">
      <c r="B1104" s="169" t="s">
        <v>118</v>
      </c>
      <c r="C1104" s="189"/>
      <c r="D1104" s="186"/>
      <c r="E1104" s="190"/>
      <c r="F1104" s="190"/>
      <c r="G1104" s="48">
        <f>TRUNC(SUM(G1103:G1103))</f>
        <v>13873</v>
      </c>
      <c r="H1104" s="6"/>
      <c r="I1104" s="6"/>
    </row>
    <row r="1105" spans="2:13" ht="12.95" customHeight="1" x14ac:dyDescent="0.3">
      <c r="B1105" s="187"/>
      <c r="C1105" s="188"/>
      <c r="D1105" s="183"/>
      <c r="E1105" s="191"/>
      <c r="F1105" s="191"/>
      <c r="G1105" s="35"/>
      <c r="H1105" s="6"/>
      <c r="I1105" s="6"/>
    </row>
    <row r="1106" spans="2:13" ht="12.95" customHeight="1" x14ac:dyDescent="0.3">
      <c r="B1106" s="192" t="s">
        <v>38</v>
      </c>
      <c r="C1106" s="193"/>
      <c r="D1106" s="194"/>
      <c r="E1106" s="195"/>
      <c r="F1106" s="195"/>
      <c r="G1106" s="36">
        <f>SUM(G1097+G1101+G1104)</f>
        <v>234332</v>
      </c>
      <c r="H1106" s="6"/>
      <c r="I1106" s="6"/>
    </row>
    <row r="1107" spans="2:13" ht="12.95" customHeight="1" x14ac:dyDescent="0.3">
      <c r="B1107" s="14"/>
      <c r="C1107" s="14"/>
      <c r="D1107" s="14"/>
      <c r="E1107" s="14"/>
      <c r="F1107" s="14"/>
      <c r="G1107" s="14"/>
      <c r="H1107" s="6"/>
      <c r="I1107" s="6"/>
    </row>
    <row r="1108" spans="2:13" ht="12.95" customHeight="1" x14ac:dyDescent="0.3">
      <c r="B1108" s="108" t="s">
        <v>218</v>
      </c>
      <c r="C1108" s="75"/>
      <c r="D1108" s="14"/>
      <c r="E1108" s="14"/>
      <c r="F1108" s="14"/>
      <c r="G1108" s="109"/>
      <c r="H1108" s="6"/>
      <c r="I1108" s="109" t="s">
        <v>151</v>
      </c>
      <c r="J1108" s="6"/>
      <c r="K1108" s="6"/>
      <c r="L1108" s="6"/>
      <c r="M1108" s="6"/>
    </row>
    <row r="1109" spans="2:13" ht="12.95" customHeight="1" x14ac:dyDescent="0.3">
      <c r="B1109" s="247" t="s">
        <v>13</v>
      </c>
      <c r="C1109" s="244" t="s">
        <v>67</v>
      </c>
      <c r="D1109" s="246" t="s">
        <v>21</v>
      </c>
      <c r="E1109" s="249" t="s">
        <v>14</v>
      </c>
      <c r="F1109" s="198" t="s">
        <v>219</v>
      </c>
      <c r="G1109" s="199"/>
      <c r="H1109" s="198" t="s">
        <v>220</v>
      </c>
      <c r="I1109" s="198"/>
      <c r="J1109" s="6"/>
      <c r="K1109" s="6"/>
      <c r="L1109" s="6"/>
      <c r="M1109" s="6"/>
    </row>
    <row r="1110" spans="2:13" ht="12.95" customHeight="1" x14ac:dyDescent="0.3">
      <c r="B1110" s="248"/>
      <c r="C1110" s="245"/>
      <c r="D1110" s="246"/>
      <c r="E1110" s="250"/>
      <c r="F1110" s="181" t="s">
        <v>15</v>
      </c>
      <c r="G1110" s="181" t="s">
        <v>16</v>
      </c>
      <c r="H1110" s="181" t="s">
        <v>15</v>
      </c>
      <c r="I1110" s="182" t="s">
        <v>16</v>
      </c>
      <c r="J1110" s="6"/>
      <c r="K1110" s="6"/>
      <c r="L1110" s="6"/>
      <c r="M1110" s="6"/>
    </row>
    <row r="1111" spans="2:13" ht="12.95" customHeight="1" x14ac:dyDescent="0.3">
      <c r="B1111" s="91" t="s">
        <v>22</v>
      </c>
      <c r="C1111" s="106" t="s">
        <v>215</v>
      </c>
      <c r="D1111" s="183" t="s">
        <v>47</v>
      </c>
      <c r="E1111" s="29"/>
      <c r="F1111" s="37">
        <v>1</v>
      </c>
      <c r="G1111" s="31">
        <f>TRUNC(SUM(G1114:G1116)*0.01,1)</f>
        <v>2820.6</v>
      </c>
      <c r="H1111" s="37">
        <v>1</v>
      </c>
      <c r="I1111" s="31">
        <f>TRUNC(SUM(I1114:I1116)*0.01,1)</f>
        <v>6313.7</v>
      </c>
      <c r="J1111" s="6"/>
      <c r="K1111" s="6"/>
    </row>
    <row r="1112" spans="2:13" ht="12.95" customHeight="1" x14ac:dyDescent="0.3">
      <c r="B1112" s="184" t="s">
        <v>31</v>
      </c>
      <c r="C1112" s="185"/>
      <c r="D1112" s="186"/>
      <c r="E1112" s="46"/>
      <c r="F1112" s="47"/>
      <c r="G1112" s="48">
        <f>TRUNC(SUM(G1111:G1111))</f>
        <v>2820</v>
      </c>
      <c r="H1112" s="47"/>
      <c r="I1112" s="48">
        <f>TRUNC(SUM(I1111:I1111))</f>
        <v>6313</v>
      </c>
      <c r="J1112" s="6"/>
      <c r="K1112" s="6"/>
    </row>
    <row r="1113" spans="2:13" ht="12.95" customHeight="1" x14ac:dyDescent="0.3">
      <c r="B1113" s="187"/>
      <c r="C1113" s="188"/>
      <c r="D1113" s="183"/>
      <c r="E1113" s="33"/>
      <c r="F1113" s="34"/>
      <c r="G1113" s="35"/>
      <c r="H1113" s="34"/>
      <c r="I1113" s="35"/>
      <c r="J1113" s="6"/>
      <c r="K1113" s="6"/>
    </row>
    <row r="1114" spans="2:13" ht="12.95" customHeight="1" x14ac:dyDescent="0.3">
      <c r="B1114" s="105" t="s">
        <v>217</v>
      </c>
      <c r="C1114" s="106" t="s">
        <v>221</v>
      </c>
      <c r="D1114" s="95" t="s">
        <v>27</v>
      </c>
      <c r="E1114" s="82">
        <v>446358</v>
      </c>
      <c r="F1114" s="66">
        <v>0.2</v>
      </c>
      <c r="G1114" s="5">
        <f t="shared" ref="G1114:G1116" si="254">TRUNC($E1114*F1114,1)</f>
        <v>89271.6</v>
      </c>
      <c r="H1114" s="66">
        <v>0.5</v>
      </c>
      <c r="I1114" s="5">
        <f t="shared" ref="I1114:I1116" si="255">TRUNC($E1114*H1114,1)</f>
        <v>223179</v>
      </c>
      <c r="J1114" s="6"/>
      <c r="K1114" s="6"/>
    </row>
    <row r="1115" spans="2:13" ht="12.95" customHeight="1" x14ac:dyDescent="0.3">
      <c r="B1115" s="83" t="s">
        <v>216</v>
      </c>
      <c r="C1115" s="83" t="s">
        <v>222</v>
      </c>
      <c r="D1115" s="85" t="s">
        <v>27</v>
      </c>
      <c r="E1115" s="82">
        <v>295138</v>
      </c>
      <c r="F1115" s="66">
        <v>0.5</v>
      </c>
      <c r="G1115" s="5">
        <f t="shared" si="254"/>
        <v>147569</v>
      </c>
      <c r="H1115" s="66">
        <v>1</v>
      </c>
      <c r="I1115" s="5">
        <f t="shared" si="255"/>
        <v>295138</v>
      </c>
      <c r="J1115" s="6"/>
      <c r="K1115" s="6"/>
    </row>
    <row r="1116" spans="2:13" ht="12.95" customHeight="1" x14ac:dyDescent="0.3">
      <c r="B1116" s="91" t="s">
        <v>1</v>
      </c>
      <c r="C1116" s="83" t="s">
        <v>221</v>
      </c>
      <c r="D1116" s="85" t="s">
        <v>27</v>
      </c>
      <c r="E1116" s="82">
        <v>226122</v>
      </c>
      <c r="F1116" s="66">
        <v>0.2</v>
      </c>
      <c r="G1116" s="5">
        <f t="shared" si="254"/>
        <v>45224.4</v>
      </c>
      <c r="H1116" s="66">
        <v>0.5</v>
      </c>
      <c r="I1116" s="5">
        <f t="shared" si="255"/>
        <v>113061</v>
      </c>
      <c r="J1116" s="6"/>
      <c r="K1116" s="6"/>
    </row>
    <row r="1117" spans="2:13" ht="12.95" customHeight="1" x14ac:dyDescent="0.3">
      <c r="B1117" s="169" t="s">
        <v>32</v>
      </c>
      <c r="C1117" s="189"/>
      <c r="D1117" s="186"/>
      <c r="E1117" s="190"/>
      <c r="F1117" s="52"/>
      <c r="G1117" s="48">
        <f>TRUNC(SUM(G1114:G1116))</f>
        <v>282065</v>
      </c>
      <c r="H1117" s="52"/>
      <c r="I1117" s="48">
        <f>TRUNC(SUM(I1114:I1116))</f>
        <v>631378</v>
      </c>
      <c r="J1117" s="6"/>
      <c r="K1117" s="6"/>
    </row>
    <row r="1118" spans="2:13" ht="12.95" customHeight="1" x14ac:dyDescent="0.3">
      <c r="B1118" s="187"/>
      <c r="C1118" s="188"/>
      <c r="D1118" s="183"/>
      <c r="E1118" s="191"/>
      <c r="F1118" s="53"/>
      <c r="G1118" s="35"/>
      <c r="H1118" s="53"/>
      <c r="I1118" s="35"/>
      <c r="J1118" s="6"/>
      <c r="K1118" s="6"/>
    </row>
    <row r="1119" spans="2:13" ht="12.95" customHeight="1" x14ac:dyDescent="0.3">
      <c r="B1119" s="192" t="s">
        <v>38</v>
      </c>
      <c r="C1119" s="193"/>
      <c r="D1119" s="194"/>
      <c r="E1119" s="195"/>
      <c r="F1119" s="195"/>
      <c r="G1119" s="36">
        <f>SUM(G1112+G1117)</f>
        <v>284885</v>
      </c>
      <c r="H1119" s="195"/>
      <c r="I1119" s="36">
        <f>SUM(I1112+I1117)</f>
        <v>637691</v>
      </c>
      <c r="J1119" s="6"/>
      <c r="K1119" s="6"/>
    </row>
    <row r="1120" spans="2:13" ht="12.95" customHeight="1" x14ac:dyDescent="0.3">
      <c r="B1120" s="14"/>
      <c r="C1120" s="14"/>
      <c r="D1120" s="14"/>
      <c r="E1120" s="14"/>
      <c r="F1120" s="14"/>
      <c r="G1120" s="14"/>
      <c r="H1120" s="6"/>
      <c r="I1120" s="6"/>
      <c r="J1120" s="6"/>
      <c r="K1120" s="6"/>
    </row>
    <row r="1121" spans="2:11" ht="12.95" customHeight="1" x14ac:dyDescent="0.3">
      <c r="B1121" s="108" t="s">
        <v>223</v>
      </c>
      <c r="C1121" s="75"/>
      <c r="D1121" s="14"/>
      <c r="E1121" s="14"/>
      <c r="F1121" s="6"/>
      <c r="G1121" s="109" t="s">
        <v>151</v>
      </c>
      <c r="H1121" s="6"/>
      <c r="I1121" s="6"/>
      <c r="J1121" s="6"/>
      <c r="K1121" s="6"/>
    </row>
    <row r="1122" spans="2:11" ht="12.95" customHeight="1" x14ac:dyDescent="0.3">
      <c r="B1122" s="247" t="s">
        <v>13</v>
      </c>
      <c r="C1122" s="244" t="s">
        <v>67</v>
      </c>
      <c r="D1122" s="246" t="s">
        <v>21</v>
      </c>
      <c r="E1122" s="249" t="s">
        <v>14</v>
      </c>
      <c r="F1122" s="249" t="s">
        <v>15</v>
      </c>
      <c r="G1122" s="263" t="s">
        <v>16</v>
      </c>
      <c r="H1122" s="6"/>
      <c r="I1122" s="6"/>
      <c r="J1122" s="6"/>
      <c r="K1122" s="6"/>
    </row>
    <row r="1123" spans="2:11" ht="12.95" customHeight="1" x14ac:dyDescent="0.3">
      <c r="B1123" s="248"/>
      <c r="C1123" s="245"/>
      <c r="D1123" s="246"/>
      <c r="E1123" s="250"/>
      <c r="F1123" s="250"/>
      <c r="G1123" s="264"/>
      <c r="H1123" s="6"/>
      <c r="I1123" s="6"/>
      <c r="J1123" s="6"/>
      <c r="K1123" s="6"/>
    </row>
    <row r="1124" spans="2:11" ht="12.95" customHeight="1" x14ac:dyDescent="0.3">
      <c r="B1124" s="91" t="s">
        <v>22</v>
      </c>
      <c r="C1124" s="106" t="s">
        <v>215</v>
      </c>
      <c r="D1124" s="183" t="s">
        <v>47</v>
      </c>
      <c r="E1124" s="29"/>
      <c r="F1124" s="37">
        <v>1</v>
      </c>
      <c r="G1124" s="31">
        <f>TRUNC(SUM(G1127:G1129)*0.01,1)</f>
        <v>12627.5</v>
      </c>
      <c r="H1124" s="6"/>
      <c r="I1124" s="6"/>
    </row>
    <row r="1125" spans="2:11" ht="12.95" customHeight="1" x14ac:dyDescent="0.3">
      <c r="B1125" s="184" t="s">
        <v>31</v>
      </c>
      <c r="C1125" s="185"/>
      <c r="D1125" s="186"/>
      <c r="E1125" s="46"/>
      <c r="F1125" s="47"/>
      <c r="G1125" s="48">
        <f>TRUNC(SUM(G1124:G1124))</f>
        <v>12627</v>
      </c>
      <c r="H1125" s="6"/>
      <c r="I1125" s="6"/>
    </row>
    <row r="1126" spans="2:11" ht="12.95" customHeight="1" x14ac:dyDescent="0.3">
      <c r="B1126" s="187"/>
      <c r="C1126" s="188"/>
      <c r="D1126" s="183"/>
      <c r="E1126" s="33"/>
      <c r="F1126" s="34"/>
      <c r="G1126" s="35"/>
      <c r="H1126" s="6"/>
      <c r="I1126" s="6"/>
    </row>
    <row r="1127" spans="2:11" ht="12.95" customHeight="1" x14ac:dyDescent="0.3">
      <c r="B1127" s="105" t="s">
        <v>217</v>
      </c>
      <c r="C1127" s="106" t="s">
        <v>221</v>
      </c>
      <c r="D1127" s="95" t="s">
        <v>27</v>
      </c>
      <c r="E1127" s="82">
        <v>446358</v>
      </c>
      <c r="F1127" s="66">
        <v>1</v>
      </c>
      <c r="G1127" s="5">
        <f t="shared" ref="G1127:G1129" si="256">TRUNC($E1127*F1127,1)</f>
        <v>446358</v>
      </c>
      <c r="H1127" s="6"/>
      <c r="I1127" s="6"/>
    </row>
    <row r="1128" spans="2:11" ht="12.95" customHeight="1" x14ac:dyDescent="0.3">
      <c r="B1128" s="83" t="s">
        <v>216</v>
      </c>
      <c r="C1128" s="83" t="s">
        <v>222</v>
      </c>
      <c r="D1128" s="85" t="s">
        <v>27</v>
      </c>
      <c r="E1128" s="82">
        <v>295138</v>
      </c>
      <c r="F1128" s="66">
        <v>2</v>
      </c>
      <c r="G1128" s="5">
        <f t="shared" si="256"/>
        <v>590276</v>
      </c>
      <c r="H1128" s="6"/>
      <c r="I1128" s="6"/>
    </row>
    <row r="1129" spans="2:11" ht="12.95" customHeight="1" x14ac:dyDescent="0.3">
      <c r="B1129" s="91" t="s">
        <v>1</v>
      </c>
      <c r="C1129" s="83" t="s">
        <v>221</v>
      </c>
      <c r="D1129" s="85" t="s">
        <v>27</v>
      </c>
      <c r="E1129" s="82">
        <v>226122</v>
      </c>
      <c r="F1129" s="66">
        <v>1</v>
      </c>
      <c r="G1129" s="5">
        <f t="shared" si="256"/>
        <v>226122</v>
      </c>
      <c r="H1129" s="6"/>
      <c r="I1129" s="6"/>
    </row>
    <row r="1130" spans="2:11" ht="12.95" customHeight="1" x14ac:dyDescent="0.3">
      <c r="B1130" s="169" t="s">
        <v>32</v>
      </c>
      <c r="C1130" s="189"/>
      <c r="D1130" s="186"/>
      <c r="E1130" s="190"/>
      <c r="F1130" s="52"/>
      <c r="G1130" s="48">
        <f>TRUNC(SUM(G1127:G1129))</f>
        <v>1262756</v>
      </c>
      <c r="H1130" s="6"/>
      <c r="I1130" s="6"/>
    </row>
    <row r="1131" spans="2:11" ht="12.95" customHeight="1" x14ac:dyDescent="0.3">
      <c r="B1131" s="187"/>
      <c r="C1131" s="188"/>
      <c r="D1131" s="183"/>
      <c r="E1131" s="191"/>
      <c r="F1131" s="53"/>
      <c r="G1131" s="35"/>
      <c r="H1131" s="6"/>
      <c r="I1131" s="6"/>
    </row>
    <row r="1132" spans="2:11" ht="12.95" customHeight="1" x14ac:dyDescent="0.3">
      <c r="B1132" s="192" t="s">
        <v>38</v>
      </c>
      <c r="C1132" s="193"/>
      <c r="D1132" s="194"/>
      <c r="E1132" s="195"/>
      <c r="F1132" s="195"/>
      <c r="G1132" s="36">
        <f>SUM(G1125+G1130)</f>
        <v>1275383</v>
      </c>
      <c r="H1132" s="6"/>
      <c r="I1132" s="6"/>
    </row>
    <row r="1133" spans="2:11" ht="12.95" customHeight="1" x14ac:dyDescent="0.3">
      <c r="B1133" s="14"/>
      <c r="C1133" s="14"/>
      <c r="D1133" s="14"/>
      <c r="E1133" s="14"/>
      <c r="F1133" s="6"/>
      <c r="G1133" s="6"/>
      <c r="H1133" s="6"/>
      <c r="I1133" s="6"/>
    </row>
    <row r="1134" spans="2:11" ht="12.95" customHeight="1" x14ac:dyDescent="0.3">
      <c r="B1134" s="204" t="s">
        <v>185</v>
      </c>
      <c r="C1134" s="14"/>
      <c r="D1134" s="14"/>
      <c r="E1134" s="14"/>
      <c r="F1134" s="14"/>
      <c r="G1134" s="14"/>
      <c r="H1134" s="6"/>
      <c r="I1134" s="6"/>
    </row>
    <row r="1135" spans="2:11" ht="12.95" customHeight="1" x14ac:dyDescent="0.3">
      <c r="B1135" s="108" t="s">
        <v>184</v>
      </c>
      <c r="C1135" s="75"/>
      <c r="D1135" s="14"/>
      <c r="E1135" s="14"/>
      <c r="F1135" s="14"/>
      <c r="G1135" s="109" t="s">
        <v>183</v>
      </c>
      <c r="H1135" s="6"/>
      <c r="I1135" s="6"/>
      <c r="J1135" s="6"/>
      <c r="K1135" s="6"/>
    </row>
    <row r="1136" spans="2:11" ht="12.95" customHeight="1" x14ac:dyDescent="0.3">
      <c r="B1136" s="247" t="s">
        <v>13</v>
      </c>
      <c r="C1136" s="244" t="s">
        <v>67</v>
      </c>
      <c r="D1136" s="246" t="s">
        <v>21</v>
      </c>
      <c r="E1136" s="249" t="s">
        <v>14</v>
      </c>
      <c r="F1136" s="249" t="s">
        <v>15</v>
      </c>
      <c r="G1136" s="263" t="s">
        <v>16</v>
      </c>
      <c r="H1136" s="6"/>
      <c r="I1136" s="6"/>
      <c r="J1136" s="6"/>
      <c r="K1136" s="6"/>
    </row>
    <row r="1137" spans="2:11" ht="12.95" customHeight="1" x14ac:dyDescent="0.3">
      <c r="B1137" s="248"/>
      <c r="C1137" s="245"/>
      <c r="D1137" s="246"/>
      <c r="E1137" s="250"/>
      <c r="F1137" s="250"/>
      <c r="G1137" s="264"/>
      <c r="H1137" s="6"/>
      <c r="I1137" s="6"/>
      <c r="J1137" s="6"/>
      <c r="K1137" s="6"/>
    </row>
    <row r="1138" spans="2:11" ht="12.95" customHeight="1" x14ac:dyDescent="0.3">
      <c r="B1138" s="196" t="s">
        <v>182</v>
      </c>
      <c r="C1138" s="197" t="s">
        <v>181</v>
      </c>
      <c r="D1138" s="183" t="s">
        <v>46</v>
      </c>
      <c r="E1138" s="29">
        <v>11755</v>
      </c>
      <c r="F1138" s="56">
        <v>1.95</v>
      </c>
      <c r="G1138" s="5">
        <f t="shared" ref="G1138" si="257">TRUNC($E1138*F1138,1)</f>
        <v>22922.2</v>
      </c>
      <c r="H1138" s="6"/>
      <c r="I1138" s="6"/>
      <c r="J1138" s="6"/>
      <c r="K1138" s="6"/>
    </row>
    <row r="1139" spans="2:11" ht="12.95" customHeight="1" x14ac:dyDescent="0.3">
      <c r="B1139" s="91" t="s">
        <v>22</v>
      </c>
      <c r="C1139" s="106" t="s">
        <v>34</v>
      </c>
      <c r="D1139" s="183" t="s">
        <v>47</v>
      </c>
      <c r="E1139" s="29"/>
      <c r="F1139" s="37">
        <v>1</v>
      </c>
      <c r="G1139" s="31">
        <f>TRUNC(SUM(G1142:G1144)*0.03,1)</f>
        <v>31244.3</v>
      </c>
      <c r="H1139" s="6"/>
      <c r="I1139" s="6"/>
      <c r="J1139" s="6"/>
      <c r="K1139" s="6"/>
    </row>
    <row r="1140" spans="2:11" ht="12.95" customHeight="1" x14ac:dyDescent="0.3">
      <c r="B1140" s="184" t="s">
        <v>31</v>
      </c>
      <c r="C1140" s="185"/>
      <c r="D1140" s="186"/>
      <c r="E1140" s="46"/>
      <c r="F1140" s="47"/>
      <c r="G1140" s="48">
        <f>TRUNC(SUM(G1138:G1139))</f>
        <v>54166</v>
      </c>
      <c r="H1140" s="6"/>
      <c r="I1140" s="6"/>
      <c r="J1140" s="6"/>
      <c r="K1140" s="6"/>
    </row>
    <row r="1141" spans="2:11" ht="12.95" customHeight="1" x14ac:dyDescent="0.3">
      <c r="B1141" s="187"/>
      <c r="C1141" s="188"/>
      <c r="D1141" s="183"/>
      <c r="E1141" s="33"/>
      <c r="F1141" s="34"/>
      <c r="G1141" s="35"/>
      <c r="H1141" s="6"/>
      <c r="I1141" s="6"/>
      <c r="J1141" s="6"/>
      <c r="K1141" s="6"/>
    </row>
    <row r="1142" spans="2:11" ht="12.95" customHeight="1" x14ac:dyDescent="0.3">
      <c r="B1142" s="197" t="s">
        <v>180</v>
      </c>
      <c r="C1142" s="197"/>
      <c r="D1142" s="85" t="s">
        <v>27</v>
      </c>
      <c r="E1142" s="200">
        <v>241698</v>
      </c>
      <c r="F1142" s="56">
        <v>1.31</v>
      </c>
      <c r="G1142" s="5">
        <f t="shared" ref="G1142:G1145" si="258">TRUNC($E1142*F1142,1)</f>
        <v>316624.3</v>
      </c>
      <c r="H1142" s="6"/>
      <c r="I1142" s="6"/>
      <c r="J1142" s="6"/>
      <c r="K1142" s="6"/>
    </row>
    <row r="1143" spans="2:11" ht="12.95" customHeight="1" x14ac:dyDescent="0.3">
      <c r="B1143" s="105" t="s">
        <v>5</v>
      </c>
      <c r="C1143" s="106"/>
      <c r="D1143" s="95" t="s">
        <v>27</v>
      </c>
      <c r="E1143" s="107">
        <v>281939</v>
      </c>
      <c r="F1143" s="56">
        <v>2.04</v>
      </c>
      <c r="G1143" s="5">
        <f t="shared" si="258"/>
        <v>575155.5</v>
      </c>
      <c r="H1143" s="6"/>
      <c r="I1143" s="6"/>
      <c r="J1143" s="6"/>
      <c r="K1143" s="6"/>
    </row>
    <row r="1144" spans="2:11" ht="12.95" customHeight="1" x14ac:dyDescent="0.3">
      <c r="B1144" s="83" t="s">
        <v>4</v>
      </c>
      <c r="C1144" s="83"/>
      <c r="D1144" s="85" t="s">
        <v>27</v>
      </c>
      <c r="E1144" s="82">
        <v>172068</v>
      </c>
      <c r="F1144" s="56">
        <v>0.87</v>
      </c>
      <c r="G1144" s="5">
        <f t="shared" si="258"/>
        <v>149699.1</v>
      </c>
      <c r="H1144" s="6"/>
      <c r="I1144" s="6"/>
      <c r="J1144" s="6"/>
      <c r="K1144" s="6"/>
    </row>
    <row r="1145" spans="2:11" ht="12.95" customHeight="1" x14ac:dyDescent="0.3">
      <c r="B1145" s="196" t="s">
        <v>182</v>
      </c>
      <c r="C1145" s="197" t="s">
        <v>181</v>
      </c>
      <c r="D1145" s="183" t="s">
        <v>113</v>
      </c>
      <c r="E1145" s="29">
        <v>58925</v>
      </c>
      <c r="F1145" s="56">
        <v>1.95</v>
      </c>
      <c r="G1145" s="5">
        <f t="shared" si="258"/>
        <v>114903.7</v>
      </c>
      <c r="H1145" s="6"/>
      <c r="I1145" s="6"/>
      <c r="J1145" s="6"/>
      <c r="K1145" s="6"/>
    </row>
    <row r="1146" spans="2:11" ht="12.95" customHeight="1" x14ac:dyDescent="0.3">
      <c r="B1146" s="169" t="s">
        <v>32</v>
      </c>
      <c r="C1146" s="189"/>
      <c r="D1146" s="186"/>
      <c r="E1146" s="190"/>
      <c r="F1146" s="52"/>
      <c r="G1146" s="48">
        <f>TRUNC(SUM(G1142:G1145))</f>
        <v>1156382</v>
      </c>
      <c r="H1146" s="6"/>
      <c r="I1146" s="6"/>
      <c r="J1146" s="6"/>
      <c r="K1146" s="6"/>
    </row>
    <row r="1147" spans="2:11" ht="12.95" customHeight="1" x14ac:dyDescent="0.3">
      <c r="B1147" s="187"/>
      <c r="C1147" s="188"/>
      <c r="D1147" s="183"/>
      <c r="E1147" s="191"/>
      <c r="F1147" s="53"/>
      <c r="G1147" s="35"/>
      <c r="H1147" s="6"/>
      <c r="I1147" s="6"/>
      <c r="J1147" s="6"/>
      <c r="K1147" s="6"/>
    </row>
    <row r="1148" spans="2:11" ht="12.95" customHeight="1" x14ac:dyDescent="0.3">
      <c r="B1148" s="196" t="s">
        <v>182</v>
      </c>
      <c r="C1148" s="197" t="s">
        <v>181</v>
      </c>
      <c r="D1148" s="183" t="s">
        <v>113</v>
      </c>
      <c r="E1148" s="29">
        <v>7157</v>
      </c>
      <c r="F1148" s="56">
        <v>1.95</v>
      </c>
      <c r="G1148" s="5">
        <f t="shared" ref="G1148" si="259">TRUNC($E1148*F1148,1)</f>
        <v>13956.1</v>
      </c>
      <c r="H1148" s="6"/>
      <c r="I1148" s="6"/>
      <c r="J1148" s="6"/>
      <c r="K1148" s="6"/>
    </row>
    <row r="1149" spans="2:11" ht="12.95" customHeight="1" x14ac:dyDescent="0.3">
      <c r="B1149" s="169" t="s">
        <v>118</v>
      </c>
      <c r="C1149" s="189"/>
      <c r="D1149" s="186"/>
      <c r="E1149" s="190"/>
      <c r="F1149" s="190"/>
      <c r="G1149" s="48">
        <f>TRUNC(SUM(G1148:G1148))</f>
        <v>13956</v>
      </c>
      <c r="H1149" s="6"/>
      <c r="I1149" s="6"/>
      <c r="J1149" s="6"/>
      <c r="K1149" s="6"/>
    </row>
    <row r="1150" spans="2:11" ht="12.95" customHeight="1" x14ac:dyDescent="0.3">
      <c r="B1150" s="187"/>
      <c r="C1150" s="188"/>
      <c r="D1150" s="183"/>
      <c r="E1150" s="191"/>
      <c r="F1150" s="191"/>
      <c r="G1150" s="35"/>
      <c r="H1150" s="6"/>
      <c r="I1150" s="6"/>
      <c r="J1150" s="6"/>
      <c r="K1150" s="6"/>
    </row>
    <row r="1151" spans="2:11" ht="12.95" customHeight="1" x14ac:dyDescent="0.3">
      <c r="B1151" s="192" t="s">
        <v>38</v>
      </c>
      <c r="C1151" s="193"/>
      <c r="D1151" s="194"/>
      <c r="E1151" s="195"/>
      <c r="F1151" s="195"/>
      <c r="G1151" s="36">
        <f>SUM(G1140+G1146+G1149)</f>
        <v>1224504</v>
      </c>
      <c r="H1151" s="6"/>
      <c r="I1151" s="6"/>
      <c r="J1151" s="6"/>
      <c r="K1151" s="6"/>
    </row>
    <row r="1152" spans="2:11" ht="12.95" customHeight="1" x14ac:dyDescent="0.3">
      <c r="B1152" s="14"/>
      <c r="C1152" s="14"/>
      <c r="D1152" s="14"/>
      <c r="E1152" s="14"/>
      <c r="F1152" s="14"/>
      <c r="G1152" s="14"/>
      <c r="H1152" s="6"/>
      <c r="I1152" s="6"/>
      <c r="J1152" s="6"/>
      <c r="K1152" s="6"/>
    </row>
    <row r="1153" spans="2:11" ht="12.95" customHeight="1" x14ac:dyDescent="0.3">
      <c r="B1153" s="108" t="s">
        <v>186</v>
      </c>
      <c r="C1153" s="75"/>
      <c r="D1153" s="14"/>
      <c r="E1153" s="14"/>
      <c r="F1153" s="14"/>
      <c r="G1153" s="109" t="s">
        <v>187</v>
      </c>
      <c r="H1153" s="6"/>
      <c r="I1153" s="6"/>
      <c r="J1153" s="6"/>
      <c r="K1153" s="6"/>
    </row>
    <row r="1154" spans="2:11" ht="12.95" customHeight="1" x14ac:dyDescent="0.3">
      <c r="B1154" s="247" t="s">
        <v>13</v>
      </c>
      <c r="C1154" s="244" t="s">
        <v>67</v>
      </c>
      <c r="D1154" s="246" t="s">
        <v>21</v>
      </c>
      <c r="E1154" s="249" t="s">
        <v>14</v>
      </c>
      <c r="F1154" s="249" t="s">
        <v>15</v>
      </c>
      <c r="G1154" s="263" t="s">
        <v>16</v>
      </c>
      <c r="H1154" s="6"/>
      <c r="I1154" s="6"/>
      <c r="J1154" s="6"/>
      <c r="K1154" s="6"/>
    </row>
    <row r="1155" spans="2:11" ht="12.95" customHeight="1" x14ac:dyDescent="0.3">
      <c r="B1155" s="248"/>
      <c r="C1155" s="245"/>
      <c r="D1155" s="246"/>
      <c r="E1155" s="250"/>
      <c r="F1155" s="250"/>
      <c r="G1155" s="264"/>
      <c r="H1155" s="6"/>
      <c r="I1155" s="6"/>
      <c r="J1155" s="6"/>
      <c r="K1155" s="6"/>
    </row>
    <row r="1156" spans="2:11" ht="12.95" customHeight="1" x14ac:dyDescent="0.3">
      <c r="B1156" s="91" t="s">
        <v>22</v>
      </c>
      <c r="C1156" s="106" t="s">
        <v>34</v>
      </c>
      <c r="D1156" s="183" t="s">
        <v>47</v>
      </c>
      <c r="E1156" s="29"/>
      <c r="F1156" s="37">
        <v>1</v>
      </c>
      <c r="G1156" s="31">
        <f>TRUNC(SUM(G1159:G1160)*0.03,1)</f>
        <v>8160.2</v>
      </c>
      <c r="H1156" s="6"/>
      <c r="I1156" s="6"/>
      <c r="J1156" s="6"/>
      <c r="K1156" s="6"/>
    </row>
    <row r="1157" spans="2:11" ht="12.95" customHeight="1" x14ac:dyDescent="0.3">
      <c r="B1157" s="184" t="s">
        <v>31</v>
      </c>
      <c r="C1157" s="185"/>
      <c r="D1157" s="186"/>
      <c r="E1157" s="46"/>
      <c r="F1157" s="47"/>
      <c r="G1157" s="48">
        <f>TRUNC(SUM(G1156:G1156))</f>
        <v>8160</v>
      </c>
      <c r="H1157" s="6"/>
      <c r="I1157" s="6"/>
      <c r="J1157" s="6"/>
      <c r="K1157" s="6"/>
    </row>
    <row r="1158" spans="2:11" ht="12.95" customHeight="1" x14ac:dyDescent="0.3">
      <c r="B1158" s="187"/>
      <c r="C1158" s="188"/>
      <c r="D1158" s="183"/>
      <c r="E1158" s="33"/>
      <c r="F1158" s="34"/>
      <c r="G1158" s="35"/>
      <c r="H1158" s="6"/>
      <c r="I1158" s="6"/>
      <c r="J1158" s="6"/>
      <c r="K1158" s="6"/>
    </row>
    <row r="1159" spans="2:11" ht="12.95" customHeight="1" x14ac:dyDescent="0.3">
      <c r="B1159" s="105" t="s">
        <v>5</v>
      </c>
      <c r="C1159" s="106"/>
      <c r="D1159" s="95" t="s">
        <v>27</v>
      </c>
      <c r="E1159" s="107">
        <v>281939</v>
      </c>
      <c r="F1159" s="56">
        <v>0.8</v>
      </c>
      <c r="G1159" s="5">
        <f t="shared" ref="G1159:G1160" si="260">TRUNC($E1159*F1159,1)</f>
        <v>225551.2</v>
      </c>
      <c r="H1159" s="6"/>
      <c r="I1159" s="6"/>
      <c r="J1159" s="6"/>
      <c r="K1159" s="6"/>
    </row>
    <row r="1160" spans="2:11" ht="12.95" customHeight="1" x14ac:dyDescent="0.3">
      <c r="B1160" s="83" t="s">
        <v>4</v>
      </c>
      <c r="C1160" s="83"/>
      <c r="D1160" s="85" t="s">
        <v>27</v>
      </c>
      <c r="E1160" s="82">
        <v>172068</v>
      </c>
      <c r="F1160" s="56">
        <v>0.27</v>
      </c>
      <c r="G1160" s="5">
        <f t="shared" si="260"/>
        <v>46458.3</v>
      </c>
      <c r="H1160" s="6"/>
      <c r="I1160" s="6"/>
      <c r="J1160" s="6"/>
      <c r="K1160" s="6"/>
    </row>
    <row r="1161" spans="2:11" ht="12.95" customHeight="1" x14ac:dyDescent="0.3">
      <c r="B1161" s="169" t="s">
        <v>32</v>
      </c>
      <c r="C1161" s="189"/>
      <c r="D1161" s="186"/>
      <c r="E1161" s="190"/>
      <c r="F1161" s="52"/>
      <c r="G1161" s="48">
        <f>TRUNC(SUM(G1159:G1160))</f>
        <v>272009</v>
      </c>
      <c r="H1161" s="6"/>
      <c r="I1161" s="6"/>
      <c r="J1161" s="6"/>
      <c r="K1161" s="6"/>
    </row>
    <row r="1162" spans="2:11" ht="12.95" customHeight="1" x14ac:dyDescent="0.3">
      <c r="B1162" s="187"/>
      <c r="C1162" s="188"/>
      <c r="D1162" s="183"/>
      <c r="E1162" s="191"/>
      <c r="F1162" s="53"/>
      <c r="G1162" s="35"/>
      <c r="H1162" s="6"/>
      <c r="I1162" s="6"/>
      <c r="J1162" s="6"/>
      <c r="K1162" s="6"/>
    </row>
    <row r="1163" spans="2:11" ht="12.95" customHeight="1" x14ac:dyDescent="0.3">
      <c r="B1163" s="192" t="s">
        <v>38</v>
      </c>
      <c r="C1163" s="193"/>
      <c r="D1163" s="194"/>
      <c r="E1163" s="195"/>
      <c r="F1163" s="195"/>
      <c r="G1163" s="36">
        <f>SUM(G1157+G1161)</f>
        <v>280169</v>
      </c>
      <c r="H1163" s="6"/>
      <c r="I1163" s="6"/>
      <c r="J1163" s="6"/>
      <c r="K1163" s="6"/>
    </row>
    <row r="1164" spans="2:11" ht="12.95" customHeight="1" x14ac:dyDescent="0.3">
      <c r="B1164" s="14"/>
      <c r="C1164" s="14"/>
      <c r="D1164" s="14"/>
      <c r="E1164" s="14"/>
      <c r="F1164" s="14"/>
      <c r="G1164" s="14"/>
      <c r="H1164" s="6"/>
      <c r="I1164" s="6"/>
      <c r="J1164" s="6"/>
      <c r="K1164" s="6"/>
    </row>
    <row r="1165" spans="2:11" ht="12.95" customHeight="1" x14ac:dyDescent="0.3">
      <c r="B1165" s="108" t="s">
        <v>214</v>
      </c>
      <c r="C1165" s="108"/>
      <c r="D1165" s="14"/>
      <c r="E1165" s="14"/>
      <c r="F1165" s="14"/>
      <c r="G1165" s="109" t="s">
        <v>123</v>
      </c>
    </row>
    <row r="1166" spans="2:11" ht="12.95" customHeight="1" x14ac:dyDescent="0.3">
      <c r="B1166" s="242" t="s">
        <v>13</v>
      </c>
      <c r="C1166" s="244" t="s">
        <v>67</v>
      </c>
      <c r="D1166" s="246" t="s">
        <v>21</v>
      </c>
      <c r="E1166" s="237" t="s">
        <v>14</v>
      </c>
      <c r="F1166" s="249" t="s">
        <v>15</v>
      </c>
      <c r="G1166" s="263" t="s">
        <v>16</v>
      </c>
    </row>
    <row r="1167" spans="2:11" ht="12.95" customHeight="1" x14ac:dyDescent="0.3">
      <c r="B1167" s="243"/>
      <c r="C1167" s="245"/>
      <c r="D1167" s="246"/>
      <c r="E1167" s="239"/>
      <c r="F1167" s="250"/>
      <c r="G1167" s="264"/>
    </row>
    <row r="1168" spans="2:11" ht="12.95" customHeight="1" x14ac:dyDescent="0.3">
      <c r="B1168" s="91" t="s">
        <v>1</v>
      </c>
      <c r="C1168" s="83"/>
      <c r="D1168" s="85" t="s">
        <v>27</v>
      </c>
      <c r="E1168" s="82">
        <v>226122</v>
      </c>
      <c r="F1168" s="69">
        <v>5.0999999999999997E-2</v>
      </c>
      <c r="G1168" s="5">
        <f t="shared" ref="G1168" si="261">TRUNC($E1168*F1168,1)</f>
        <v>11532.2</v>
      </c>
    </row>
    <row r="1169" spans="2:7" ht="12.95" customHeight="1" x14ac:dyDescent="0.3">
      <c r="B1169" s="96" t="s">
        <v>32</v>
      </c>
      <c r="C1169" s="119"/>
      <c r="D1169" s="40"/>
      <c r="E1169" s="119"/>
      <c r="F1169" s="119"/>
      <c r="G1169" s="41">
        <f>TRUNC(SUM(G1168:G1168))</f>
        <v>11532</v>
      </c>
    </row>
    <row r="1170" spans="2:7" ht="12.95" customHeight="1" x14ac:dyDescent="0.3">
      <c r="B1170" s="83"/>
      <c r="C1170" s="83"/>
      <c r="D1170" s="18"/>
      <c r="E1170" s="92"/>
      <c r="F1170" s="92"/>
      <c r="G1170" s="19"/>
    </row>
    <row r="1171" spans="2:7" ht="12.95" customHeight="1" x14ac:dyDescent="0.3">
      <c r="B1171" s="98" t="s">
        <v>38</v>
      </c>
      <c r="C1171" s="154"/>
      <c r="D1171" s="20"/>
      <c r="E1171" s="101"/>
      <c r="F1171" s="102"/>
      <c r="G1171" s="13">
        <f>SUM(G1169)</f>
        <v>11532</v>
      </c>
    </row>
    <row r="1172" spans="2:7" ht="12.95" customHeight="1" x14ac:dyDescent="0.3">
      <c r="B1172" s="6"/>
      <c r="C1172" s="6"/>
      <c r="D1172" s="6"/>
      <c r="E1172" s="6"/>
      <c r="F1172" s="6"/>
      <c r="G1172" s="6"/>
    </row>
  </sheetData>
  <mergeCells count="520">
    <mergeCell ref="B4:B5"/>
    <mergeCell ref="C4:C5"/>
    <mergeCell ref="D4:D5"/>
    <mergeCell ref="E4:E5"/>
    <mergeCell ref="F4:G4"/>
    <mergeCell ref="H4:I4"/>
    <mergeCell ref="J21:K21"/>
    <mergeCell ref="B21:B22"/>
    <mergeCell ref="C21:C22"/>
    <mergeCell ref="D21:D22"/>
    <mergeCell ref="E21:E22"/>
    <mergeCell ref="F21:G21"/>
    <mergeCell ref="H21:I21"/>
    <mergeCell ref="J118:M118"/>
    <mergeCell ref="F119:G119"/>
    <mergeCell ref="H119:I119"/>
    <mergeCell ref="J119:K119"/>
    <mergeCell ref="L119:M119"/>
    <mergeCell ref="B103:B106"/>
    <mergeCell ref="C103:C106"/>
    <mergeCell ref="D103:D106"/>
    <mergeCell ref="E103:E106"/>
    <mergeCell ref="F103:I103"/>
    <mergeCell ref="J103:M103"/>
    <mergeCell ref="F104:G104"/>
    <mergeCell ref="H104:I104"/>
    <mergeCell ref="J104:K104"/>
    <mergeCell ref="L104:M104"/>
    <mergeCell ref="F131:I131"/>
    <mergeCell ref="F132:G132"/>
    <mergeCell ref="H132:I132"/>
    <mergeCell ref="B131:B134"/>
    <mergeCell ref="C131:C134"/>
    <mergeCell ref="D131:D134"/>
    <mergeCell ref="E131:E134"/>
    <mergeCell ref="B118:B121"/>
    <mergeCell ref="C118:C121"/>
    <mergeCell ref="D118:D121"/>
    <mergeCell ref="E118:E121"/>
    <mergeCell ref="F118:I118"/>
    <mergeCell ref="B238:B240"/>
    <mergeCell ref="C238:C240"/>
    <mergeCell ref="D238:D240"/>
    <mergeCell ref="E238:E240"/>
    <mergeCell ref="B205:B206"/>
    <mergeCell ref="C205:C206"/>
    <mergeCell ref="D205:D206"/>
    <mergeCell ref="E205:E206"/>
    <mergeCell ref="B214:B215"/>
    <mergeCell ref="C214:C215"/>
    <mergeCell ref="D214:D215"/>
    <mergeCell ref="E214:E215"/>
    <mergeCell ref="B227:B229"/>
    <mergeCell ref="C227:C229"/>
    <mergeCell ref="D227:D229"/>
    <mergeCell ref="E227:E229"/>
    <mergeCell ref="B431:B432"/>
    <mergeCell ref="C431:C432"/>
    <mergeCell ref="D431:D432"/>
    <mergeCell ref="E431:E432"/>
    <mergeCell ref="F431:F432"/>
    <mergeCell ref="G431:G432"/>
    <mergeCell ref="B388:B389"/>
    <mergeCell ref="C388:C389"/>
    <mergeCell ref="D388:D389"/>
    <mergeCell ref="E388:E389"/>
    <mergeCell ref="B406:B407"/>
    <mergeCell ref="C406:C407"/>
    <mergeCell ref="D406:D407"/>
    <mergeCell ref="E406:E407"/>
    <mergeCell ref="B415:B416"/>
    <mergeCell ref="C415:C416"/>
    <mergeCell ref="D415:D416"/>
    <mergeCell ref="E415:E416"/>
    <mergeCell ref="F415:F416"/>
    <mergeCell ref="G415:G416"/>
    <mergeCell ref="B397:B398"/>
    <mergeCell ref="C397:C398"/>
    <mergeCell ref="B584:B585"/>
    <mergeCell ref="C584:C585"/>
    <mergeCell ref="D584:D585"/>
    <mergeCell ref="E584:E585"/>
    <mergeCell ref="F584:F585"/>
    <mergeCell ref="G584:G585"/>
    <mergeCell ref="F481:F482"/>
    <mergeCell ref="G481:G482"/>
    <mergeCell ref="B506:B507"/>
    <mergeCell ref="C506:C507"/>
    <mergeCell ref="D506:D507"/>
    <mergeCell ref="E506:E507"/>
    <mergeCell ref="F506:F507"/>
    <mergeCell ref="G506:G507"/>
    <mergeCell ref="B493:B494"/>
    <mergeCell ref="C493:C494"/>
    <mergeCell ref="D493:D494"/>
    <mergeCell ref="E493:E494"/>
    <mergeCell ref="B519:B520"/>
    <mergeCell ref="C519:C520"/>
    <mergeCell ref="D519:D520"/>
    <mergeCell ref="E519:E520"/>
    <mergeCell ref="B481:B482"/>
    <mergeCell ref="C481:C482"/>
    <mergeCell ref="B609:B610"/>
    <mergeCell ref="C609:C610"/>
    <mergeCell ref="D609:D610"/>
    <mergeCell ref="E609:E610"/>
    <mergeCell ref="F609:F610"/>
    <mergeCell ref="G609:G610"/>
    <mergeCell ref="B598:B599"/>
    <mergeCell ref="C598:C599"/>
    <mergeCell ref="D598:D599"/>
    <mergeCell ref="E598:E599"/>
    <mergeCell ref="F598:F599"/>
    <mergeCell ref="G598:G599"/>
    <mergeCell ref="B640:B641"/>
    <mergeCell ref="C640:C641"/>
    <mergeCell ref="D640:D641"/>
    <mergeCell ref="E640:E641"/>
    <mergeCell ref="B649:B650"/>
    <mergeCell ref="C649:C650"/>
    <mergeCell ref="D649:D650"/>
    <mergeCell ref="E649:E650"/>
    <mergeCell ref="B620:B621"/>
    <mergeCell ref="C620:C621"/>
    <mergeCell ref="D620:D621"/>
    <mergeCell ref="E620:E621"/>
    <mergeCell ref="B629:B630"/>
    <mergeCell ref="C629:C630"/>
    <mergeCell ref="D629:D630"/>
    <mergeCell ref="E629:E630"/>
    <mergeCell ref="B682:B683"/>
    <mergeCell ref="C682:C683"/>
    <mergeCell ref="D682:D683"/>
    <mergeCell ref="E682:E683"/>
    <mergeCell ref="F682:F683"/>
    <mergeCell ref="G682:G683"/>
    <mergeCell ref="B660:B661"/>
    <mergeCell ref="C660:C661"/>
    <mergeCell ref="D660:D661"/>
    <mergeCell ref="E660:E661"/>
    <mergeCell ref="B671:B672"/>
    <mergeCell ref="C671:C672"/>
    <mergeCell ref="D671:D672"/>
    <mergeCell ref="E671:E672"/>
    <mergeCell ref="B701:B703"/>
    <mergeCell ref="C701:C703"/>
    <mergeCell ref="D701:D703"/>
    <mergeCell ref="E701:E703"/>
    <mergeCell ref="F701:I701"/>
    <mergeCell ref="F702:G702"/>
    <mergeCell ref="H702:I702"/>
    <mergeCell ref="B690:B691"/>
    <mergeCell ref="C690:C691"/>
    <mergeCell ref="D690:D691"/>
    <mergeCell ref="E690:E691"/>
    <mergeCell ref="F690:F691"/>
    <mergeCell ref="G690:G691"/>
    <mergeCell ref="B721:B722"/>
    <mergeCell ref="C721:C722"/>
    <mergeCell ref="D721:D722"/>
    <mergeCell ref="E721:E722"/>
    <mergeCell ref="F721:F722"/>
    <mergeCell ref="G721:G722"/>
    <mergeCell ref="B710:B711"/>
    <mergeCell ref="C710:C711"/>
    <mergeCell ref="D710:D711"/>
    <mergeCell ref="E710:E711"/>
    <mergeCell ref="F710:F711"/>
    <mergeCell ref="G710:G711"/>
    <mergeCell ref="B741:B742"/>
    <mergeCell ref="C741:C742"/>
    <mergeCell ref="D741:D742"/>
    <mergeCell ref="E741:E742"/>
    <mergeCell ref="F741:F742"/>
    <mergeCell ref="G741:G742"/>
    <mergeCell ref="B730:B731"/>
    <mergeCell ref="C730:C731"/>
    <mergeCell ref="D730:D731"/>
    <mergeCell ref="E730:E731"/>
    <mergeCell ref="F730:F731"/>
    <mergeCell ref="G730:G731"/>
    <mergeCell ref="B764:B765"/>
    <mergeCell ref="C764:C765"/>
    <mergeCell ref="D764:D765"/>
    <mergeCell ref="E764:E765"/>
    <mergeCell ref="F764:F765"/>
    <mergeCell ref="G764:G765"/>
    <mergeCell ref="B753:B754"/>
    <mergeCell ref="C753:C754"/>
    <mergeCell ref="D753:D754"/>
    <mergeCell ref="E753:E754"/>
    <mergeCell ref="F753:F754"/>
    <mergeCell ref="G753:G754"/>
    <mergeCell ref="B787:B788"/>
    <mergeCell ref="C787:C788"/>
    <mergeCell ref="D787:D788"/>
    <mergeCell ref="E787:E788"/>
    <mergeCell ref="F787:F788"/>
    <mergeCell ref="G787:G788"/>
    <mergeCell ref="B772:B773"/>
    <mergeCell ref="C772:C773"/>
    <mergeCell ref="D772:D773"/>
    <mergeCell ref="E772:E773"/>
    <mergeCell ref="F772:F773"/>
    <mergeCell ref="G772:G773"/>
    <mergeCell ref="B817:B818"/>
    <mergeCell ref="C817:C818"/>
    <mergeCell ref="D817:D818"/>
    <mergeCell ref="E817:E818"/>
    <mergeCell ref="F817:F818"/>
    <mergeCell ref="G817:G818"/>
    <mergeCell ref="B802:B803"/>
    <mergeCell ref="C802:C803"/>
    <mergeCell ref="D802:D803"/>
    <mergeCell ref="E802:E803"/>
    <mergeCell ref="F802:F803"/>
    <mergeCell ref="G802:G803"/>
    <mergeCell ref="F841:F842"/>
    <mergeCell ref="G841:G842"/>
    <mergeCell ref="B833:B834"/>
    <mergeCell ref="C833:C834"/>
    <mergeCell ref="D833:D834"/>
    <mergeCell ref="E833:E834"/>
    <mergeCell ref="F833:F834"/>
    <mergeCell ref="G833:G834"/>
    <mergeCell ref="B825:B826"/>
    <mergeCell ref="C825:C826"/>
    <mergeCell ref="D825:D826"/>
    <mergeCell ref="E825:E826"/>
    <mergeCell ref="F825:F826"/>
    <mergeCell ref="G825:G826"/>
    <mergeCell ref="F873:F874"/>
    <mergeCell ref="G873:G874"/>
    <mergeCell ref="B862:B863"/>
    <mergeCell ref="C862:C863"/>
    <mergeCell ref="D862:D863"/>
    <mergeCell ref="E862:E863"/>
    <mergeCell ref="F862:F863"/>
    <mergeCell ref="G862:G863"/>
    <mergeCell ref="B849:B850"/>
    <mergeCell ref="C849:C850"/>
    <mergeCell ref="D849:D850"/>
    <mergeCell ref="E849:E850"/>
    <mergeCell ref="F849:F850"/>
    <mergeCell ref="G849:G850"/>
    <mergeCell ref="J924:K924"/>
    <mergeCell ref="L924:M924"/>
    <mergeCell ref="B940:B941"/>
    <mergeCell ref="C940:C941"/>
    <mergeCell ref="D940:D941"/>
    <mergeCell ref="E940:E941"/>
    <mergeCell ref="F940:F941"/>
    <mergeCell ref="G940:G941"/>
    <mergeCell ref="F906:I906"/>
    <mergeCell ref="F907:G907"/>
    <mergeCell ref="H907:I907"/>
    <mergeCell ref="B923:B925"/>
    <mergeCell ref="C923:C925"/>
    <mergeCell ref="D923:D925"/>
    <mergeCell ref="E923:E925"/>
    <mergeCell ref="F923:M923"/>
    <mergeCell ref="F924:G924"/>
    <mergeCell ref="H924:I924"/>
    <mergeCell ref="B906:B908"/>
    <mergeCell ref="C906:C908"/>
    <mergeCell ref="D906:D908"/>
    <mergeCell ref="E906:E908"/>
    <mergeCell ref="B1007:B1008"/>
    <mergeCell ref="C1007:C1008"/>
    <mergeCell ref="D1007:D1008"/>
    <mergeCell ref="E1007:E1008"/>
    <mergeCell ref="F1007:G1007"/>
    <mergeCell ref="B1016:B1017"/>
    <mergeCell ref="C1016:C1017"/>
    <mergeCell ref="D1016:D1017"/>
    <mergeCell ref="E1016:E1017"/>
    <mergeCell ref="F1016:G1016"/>
    <mergeCell ref="H1038:I1039"/>
    <mergeCell ref="B1047:B1048"/>
    <mergeCell ref="C1047:C1048"/>
    <mergeCell ref="D1047:D1048"/>
    <mergeCell ref="E1047:E1048"/>
    <mergeCell ref="F1047:F1048"/>
    <mergeCell ref="G1047:G1048"/>
    <mergeCell ref="B1026:B1027"/>
    <mergeCell ref="C1026:C1027"/>
    <mergeCell ref="D1026:D1027"/>
    <mergeCell ref="E1026:E1027"/>
    <mergeCell ref="F1026:G1026"/>
    <mergeCell ref="B1038:B1040"/>
    <mergeCell ref="C1038:C1040"/>
    <mergeCell ref="D1038:D1040"/>
    <mergeCell ref="E1038:E1040"/>
    <mergeCell ref="F1038:G1039"/>
    <mergeCell ref="B1063:B1064"/>
    <mergeCell ref="C1063:C1064"/>
    <mergeCell ref="D1063:D1064"/>
    <mergeCell ref="E1063:E1064"/>
    <mergeCell ref="F1063:F1064"/>
    <mergeCell ref="G1063:G1064"/>
    <mergeCell ref="B1055:B1056"/>
    <mergeCell ref="C1055:C1056"/>
    <mergeCell ref="D1055:D1056"/>
    <mergeCell ref="E1055:E1056"/>
    <mergeCell ref="F1055:F1056"/>
    <mergeCell ref="G1055:G1056"/>
    <mergeCell ref="F1093:F1094"/>
    <mergeCell ref="G1093:G1094"/>
    <mergeCell ref="B1109:B1110"/>
    <mergeCell ref="C1109:C1110"/>
    <mergeCell ref="D1109:D1110"/>
    <mergeCell ref="E1109:E1110"/>
    <mergeCell ref="B1077:B1078"/>
    <mergeCell ref="C1077:C1078"/>
    <mergeCell ref="D1077:D1078"/>
    <mergeCell ref="E1077:E1078"/>
    <mergeCell ref="B1093:B1094"/>
    <mergeCell ref="C1093:C1094"/>
    <mergeCell ref="D1093:D1094"/>
    <mergeCell ref="E1093:E1094"/>
    <mergeCell ref="B1136:B1137"/>
    <mergeCell ref="C1136:C1137"/>
    <mergeCell ref="D1136:D1137"/>
    <mergeCell ref="E1136:E1137"/>
    <mergeCell ref="F1136:F1137"/>
    <mergeCell ref="G1136:G1137"/>
    <mergeCell ref="B1122:B1123"/>
    <mergeCell ref="C1122:C1123"/>
    <mergeCell ref="D1122:D1123"/>
    <mergeCell ref="E1122:E1123"/>
    <mergeCell ref="F1122:F1123"/>
    <mergeCell ref="G1122:G1123"/>
    <mergeCell ref="B1166:B1167"/>
    <mergeCell ref="C1166:C1167"/>
    <mergeCell ref="D1166:D1167"/>
    <mergeCell ref="E1166:E1167"/>
    <mergeCell ref="F1166:F1167"/>
    <mergeCell ref="G1166:G1167"/>
    <mergeCell ref="B1154:B1155"/>
    <mergeCell ref="C1154:C1155"/>
    <mergeCell ref="D1154:D1155"/>
    <mergeCell ref="E1154:E1155"/>
    <mergeCell ref="F1154:F1155"/>
    <mergeCell ref="G1154:G1155"/>
    <mergeCell ref="F39:G39"/>
    <mergeCell ref="H39:I39"/>
    <mergeCell ref="J39:K39"/>
    <mergeCell ref="L39:M39"/>
    <mergeCell ref="B38:B41"/>
    <mergeCell ref="C38:C41"/>
    <mergeCell ref="D38:D41"/>
    <mergeCell ref="E38:E41"/>
    <mergeCell ref="F38:I38"/>
    <mergeCell ref="J38:M38"/>
    <mergeCell ref="F59:G59"/>
    <mergeCell ref="H59:I59"/>
    <mergeCell ref="J59:K59"/>
    <mergeCell ref="L59:M59"/>
    <mergeCell ref="B79:B82"/>
    <mergeCell ref="C79:C82"/>
    <mergeCell ref="D79:D82"/>
    <mergeCell ref="E79:E82"/>
    <mergeCell ref="F79:I79"/>
    <mergeCell ref="F80:G80"/>
    <mergeCell ref="H80:I80"/>
    <mergeCell ref="B58:B61"/>
    <mergeCell ref="C58:C61"/>
    <mergeCell ref="D58:D61"/>
    <mergeCell ref="E58:E61"/>
    <mergeCell ref="F58:I58"/>
    <mergeCell ref="J58:M58"/>
    <mergeCell ref="B147:B150"/>
    <mergeCell ref="C147:C150"/>
    <mergeCell ref="D147:D150"/>
    <mergeCell ref="E147:E150"/>
    <mergeCell ref="F147:I147"/>
    <mergeCell ref="J147:M147"/>
    <mergeCell ref="F148:G148"/>
    <mergeCell ref="H148:I148"/>
    <mergeCell ref="J148:K148"/>
    <mergeCell ref="L148:M148"/>
    <mergeCell ref="B165:B168"/>
    <mergeCell ref="C165:C168"/>
    <mergeCell ref="D165:D168"/>
    <mergeCell ref="E165:E168"/>
    <mergeCell ref="F165:I165"/>
    <mergeCell ref="F166:G166"/>
    <mergeCell ref="H166:I166"/>
    <mergeCell ref="H214:I214"/>
    <mergeCell ref="B196:B197"/>
    <mergeCell ref="C196:C197"/>
    <mergeCell ref="D196:D197"/>
    <mergeCell ref="E196:E197"/>
    <mergeCell ref="F196:F197"/>
    <mergeCell ref="G196:G197"/>
    <mergeCell ref="B187:B188"/>
    <mergeCell ref="C187:C188"/>
    <mergeCell ref="D187:D188"/>
    <mergeCell ref="E187:E188"/>
    <mergeCell ref="F187:F188"/>
    <mergeCell ref="G187:G188"/>
    <mergeCell ref="F249:M249"/>
    <mergeCell ref="F269:M269"/>
    <mergeCell ref="B249:B252"/>
    <mergeCell ref="C249:C252"/>
    <mergeCell ref="D249:D252"/>
    <mergeCell ref="E249:E252"/>
    <mergeCell ref="F250:G250"/>
    <mergeCell ref="H250:I250"/>
    <mergeCell ref="J250:K250"/>
    <mergeCell ref="L250:M250"/>
    <mergeCell ref="B311:B313"/>
    <mergeCell ref="C311:C313"/>
    <mergeCell ref="D311:D313"/>
    <mergeCell ref="E311:E313"/>
    <mergeCell ref="F270:G270"/>
    <mergeCell ref="H270:I270"/>
    <mergeCell ref="J270:K270"/>
    <mergeCell ref="L270:M270"/>
    <mergeCell ref="B269:B272"/>
    <mergeCell ref="C269:C272"/>
    <mergeCell ref="D269:D272"/>
    <mergeCell ref="E269:E272"/>
    <mergeCell ref="B301:B302"/>
    <mergeCell ref="C301:C302"/>
    <mergeCell ref="D301:D302"/>
    <mergeCell ref="E301:E302"/>
    <mergeCell ref="F301:F302"/>
    <mergeCell ref="G301:G302"/>
    <mergeCell ref="B292:B293"/>
    <mergeCell ref="C292:C293"/>
    <mergeCell ref="D292:D293"/>
    <mergeCell ref="E292:E293"/>
    <mergeCell ref="F292:F293"/>
    <mergeCell ref="G292:G293"/>
    <mergeCell ref="B325:B328"/>
    <mergeCell ref="C325:C328"/>
    <mergeCell ref="D325:D328"/>
    <mergeCell ref="E325:E328"/>
    <mergeCell ref="F325:K325"/>
    <mergeCell ref="B338:B341"/>
    <mergeCell ref="C338:C341"/>
    <mergeCell ref="D338:D341"/>
    <mergeCell ref="E338:E341"/>
    <mergeCell ref="F338:K338"/>
    <mergeCell ref="B353:B356"/>
    <mergeCell ref="C353:C356"/>
    <mergeCell ref="D353:D356"/>
    <mergeCell ref="E353:E356"/>
    <mergeCell ref="F353:K353"/>
    <mergeCell ref="B369:B372"/>
    <mergeCell ref="C369:C372"/>
    <mergeCell ref="D369:D372"/>
    <mergeCell ref="E369:E372"/>
    <mergeCell ref="F369:K369"/>
    <mergeCell ref="B532:B533"/>
    <mergeCell ref="C532:C533"/>
    <mergeCell ref="D532:D533"/>
    <mergeCell ref="E532:E533"/>
    <mergeCell ref="D397:D398"/>
    <mergeCell ref="E397:E398"/>
    <mergeCell ref="F397:F398"/>
    <mergeCell ref="G397:G398"/>
    <mergeCell ref="B468:B469"/>
    <mergeCell ref="C468:C469"/>
    <mergeCell ref="D468:D469"/>
    <mergeCell ref="E468:E469"/>
    <mergeCell ref="B456:B457"/>
    <mergeCell ref="C456:C457"/>
    <mergeCell ref="D456:D457"/>
    <mergeCell ref="E456:E457"/>
    <mergeCell ref="D481:D482"/>
    <mergeCell ref="E481:E482"/>
    <mergeCell ref="B440:B441"/>
    <mergeCell ref="C440:C441"/>
    <mergeCell ref="D440:D441"/>
    <mergeCell ref="E440:E441"/>
    <mergeCell ref="F440:F441"/>
    <mergeCell ref="G440:G441"/>
    <mergeCell ref="B554:B555"/>
    <mergeCell ref="C554:C555"/>
    <mergeCell ref="D554:D555"/>
    <mergeCell ref="E554:E555"/>
    <mergeCell ref="B573:B574"/>
    <mergeCell ref="C573:C574"/>
    <mergeCell ref="D573:D574"/>
    <mergeCell ref="E573:E574"/>
    <mergeCell ref="B949:B952"/>
    <mergeCell ref="C949:C952"/>
    <mergeCell ref="D949:D952"/>
    <mergeCell ref="E949:E952"/>
    <mergeCell ref="B885:B886"/>
    <mergeCell ref="C885:C886"/>
    <mergeCell ref="D885:D886"/>
    <mergeCell ref="E885:E886"/>
    <mergeCell ref="B873:B874"/>
    <mergeCell ref="C873:C874"/>
    <mergeCell ref="D873:D874"/>
    <mergeCell ref="E873:E874"/>
    <mergeCell ref="B841:B842"/>
    <mergeCell ref="C841:C842"/>
    <mergeCell ref="D841:D842"/>
    <mergeCell ref="E841:E842"/>
    <mergeCell ref="B985:B988"/>
    <mergeCell ref="C985:C988"/>
    <mergeCell ref="D985:D988"/>
    <mergeCell ref="E985:E988"/>
    <mergeCell ref="F985:I985"/>
    <mergeCell ref="F986:G986"/>
    <mergeCell ref="H986:I986"/>
    <mergeCell ref="F949:I949"/>
    <mergeCell ref="F950:G950"/>
    <mergeCell ref="H950:I950"/>
    <mergeCell ref="B967:B970"/>
    <mergeCell ref="C967:C970"/>
    <mergeCell ref="D967:D970"/>
    <mergeCell ref="E967:E970"/>
    <mergeCell ref="F967:I967"/>
    <mergeCell ref="F968:G968"/>
    <mergeCell ref="H968:I968"/>
  </mergeCells>
  <phoneticPr fontId="3" type="noConversion"/>
  <printOptions horizontalCentered="1"/>
  <pageMargins left="0.25" right="0.25" top="0.75" bottom="0.75" header="0.3" footer="0.3"/>
  <pageSetup paperSize="9" scale="3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가설공사(상반기)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estimate</dc:creator>
  <cp:lastPrinted>2020-02-19T06:17:41Z</cp:lastPrinted>
  <dcterms:created xsi:type="dcterms:W3CDTF">2020-02-14T01:58:29Z</dcterms:created>
  <dcterms:modified xsi:type="dcterms:W3CDTF">2026-01-01T07:58:06Z</dcterms:modified>
</cp:coreProperties>
</file>