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C0F8BF20-E940-49E2-B742-0679C37462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지반조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4" i="6" l="1"/>
  <c r="G683" i="6"/>
  <c r="G682" i="6"/>
  <c r="G681" i="6"/>
  <c r="I673" i="6"/>
  <c r="I674" i="6" s="1"/>
  <c r="G670" i="6"/>
  <c r="G669" i="6"/>
  <c r="I668" i="6"/>
  <c r="G666" i="6"/>
  <c r="I665" i="6"/>
  <c r="G662" i="6"/>
  <c r="I661" i="6"/>
  <c r="G661" i="6"/>
  <c r="I660" i="6"/>
  <c r="G660" i="6"/>
  <c r="I659" i="6"/>
  <c r="G659" i="6"/>
  <c r="K652" i="6"/>
  <c r="K653" i="6" s="1"/>
  <c r="G652" i="6"/>
  <c r="G653" i="6" s="1"/>
  <c r="K649" i="6"/>
  <c r="K648" i="6"/>
  <c r="K647" i="6"/>
  <c r="K646" i="6"/>
  <c r="I645" i="6"/>
  <c r="G645" i="6"/>
  <c r="K645" i="6"/>
  <c r="K644" i="6"/>
  <c r="G641" i="6"/>
  <c r="K640" i="6"/>
  <c r="I640" i="6"/>
  <c r="G640" i="6"/>
  <c r="K639" i="6"/>
  <c r="I639" i="6"/>
  <c r="G639" i="6"/>
  <c r="K638" i="6"/>
  <c r="I638" i="6"/>
  <c r="G638" i="6"/>
  <c r="I628" i="6"/>
  <c r="I627" i="6"/>
  <c r="I626" i="6"/>
  <c r="I625" i="6"/>
  <c r="I624" i="6"/>
  <c r="I623" i="6"/>
  <c r="K620" i="6"/>
  <c r="K619" i="6"/>
  <c r="I619" i="6"/>
  <c r="G619" i="6"/>
  <c r="K618" i="6"/>
  <c r="I618" i="6"/>
  <c r="G618" i="6"/>
  <c r="K617" i="6"/>
  <c r="I617" i="6"/>
  <c r="G617" i="6"/>
  <c r="I610" i="6"/>
  <c r="I611" i="6" s="1"/>
  <c r="G606" i="6"/>
  <c r="K603" i="6"/>
  <c r="G602" i="6"/>
  <c r="G599" i="6"/>
  <c r="K598" i="6"/>
  <c r="I598" i="6"/>
  <c r="G598" i="6"/>
  <c r="K597" i="6"/>
  <c r="I597" i="6"/>
  <c r="G597" i="6"/>
  <c r="K596" i="6"/>
  <c r="I596" i="6"/>
  <c r="G596" i="6"/>
  <c r="I586" i="6"/>
  <c r="G584" i="6"/>
  <c r="I582" i="6"/>
  <c r="I581" i="6"/>
  <c r="G578" i="6"/>
  <c r="K577" i="6"/>
  <c r="I577" i="6"/>
  <c r="G577" i="6"/>
  <c r="K576" i="6"/>
  <c r="I576" i="6"/>
  <c r="G576" i="6"/>
  <c r="K575" i="6"/>
  <c r="I575" i="6"/>
  <c r="G575" i="6"/>
  <c r="K568" i="6"/>
  <c r="K569" i="6" s="1"/>
  <c r="K565" i="6"/>
  <c r="G564" i="6"/>
  <c r="K562" i="6"/>
  <c r="G561" i="6"/>
  <c r="I557" i="6"/>
  <c r="K556" i="6"/>
  <c r="I556" i="6"/>
  <c r="G556" i="6"/>
  <c r="K555" i="6"/>
  <c r="I555" i="6"/>
  <c r="G555" i="6"/>
  <c r="K554" i="6"/>
  <c r="I554" i="6"/>
  <c r="G554" i="6"/>
  <c r="G547" i="6"/>
  <c r="G548" i="6" s="1"/>
  <c r="K544" i="6"/>
  <c r="K543" i="6"/>
  <c r="I543" i="6"/>
  <c r="K542" i="6"/>
  <c r="I541" i="6"/>
  <c r="K540" i="6"/>
  <c r="I540" i="6"/>
  <c r="K539" i="6"/>
  <c r="K535" i="6"/>
  <c r="I535" i="6"/>
  <c r="G535" i="6"/>
  <c r="K534" i="6"/>
  <c r="I534" i="6"/>
  <c r="G534" i="6"/>
  <c r="K523" i="6"/>
  <c r="I522" i="6"/>
  <c r="G520" i="6"/>
  <c r="K515" i="6"/>
  <c r="I515" i="6"/>
  <c r="G515" i="6"/>
  <c r="K514" i="6"/>
  <c r="I514" i="6"/>
  <c r="G514" i="6"/>
  <c r="K504" i="6"/>
  <c r="I503" i="6"/>
  <c r="G503" i="6"/>
  <c r="K503" i="6"/>
  <c r="K502" i="6"/>
  <c r="K501" i="6"/>
  <c r="K500" i="6"/>
  <c r="I499" i="6"/>
  <c r="G499" i="6"/>
  <c r="K499" i="6"/>
  <c r="K496" i="6"/>
  <c r="K495" i="6"/>
  <c r="I495" i="6"/>
  <c r="G495" i="6"/>
  <c r="K494" i="6"/>
  <c r="I494" i="6"/>
  <c r="G494" i="6"/>
  <c r="I485" i="6"/>
  <c r="I486" i="6" s="1"/>
  <c r="G482" i="6"/>
  <c r="I480" i="6"/>
  <c r="I479" i="6"/>
  <c r="K477" i="6"/>
  <c r="I474" i="6"/>
  <c r="K473" i="6"/>
  <c r="I473" i="6"/>
  <c r="G473" i="6"/>
  <c r="K472" i="6"/>
  <c r="I472" i="6"/>
  <c r="G472" i="6"/>
  <c r="G465" i="6"/>
  <c r="G466" i="6" s="1"/>
  <c r="K462" i="6"/>
  <c r="K461" i="6"/>
  <c r="I460" i="6"/>
  <c r="K460" i="6"/>
  <c r="K459" i="6"/>
  <c r="K458" i="6"/>
  <c r="K457" i="6"/>
  <c r="K454" i="6"/>
  <c r="K453" i="6"/>
  <c r="I453" i="6"/>
  <c r="G453" i="6"/>
  <c r="K452" i="6"/>
  <c r="I452" i="6"/>
  <c r="G452" i="6"/>
  <c r="G445" i="6"/>
  <c r="G446" i="6" s="1"/>
  <c r="I442" i="6"/>
  <c r="I439" i="6"/>
  <c r="I438" i="6"/>
  <c r="G434" i="6"/>
  <c r="K433" i="6"/>
  <c r="I433" i="6"/>
  <c r="G433" i="6"/>
  <c r="K432" i="6"/>
  <c r="I432" i="6"/>
  <c r="G432" i="6"/>
  <c r="K425" i="6"/>
  <c r="K426" i="6" s="1"/>
  <c r="G425" i="6"/>
  <c r="G426" i="6" s="1"/>
  <c r="G422" i="6"/>
  <c r="G421" i="6"/>
  <c r="G420" i="6"/>
  <c r="G419" i="6"/>
  <c r="G418" i="6"/>
  <c r="K417" i="6"/>
  <c r="G417" i="6"/>
  <c r="K414" i="6"/>
  <c r="K413" i="6"/>
  <c r="I413" i="6"/>
  <c r="G413" i="6"/>
  <c r="K412" i="6"/>
  <c r="K415" i="6" s="1"/>
  <c r="I412" i="6"/>
  <c r="G412" i="6"/>
  <c r="G405" i="6"/>
  <c r="G406" i="6" s="1"/>
  <c r="I402" i="6"/>
  <c r="G401" i="6"/>
  <c r="I399" i="6"/>
  <c r="I398" i="6"/>
  <c r="G397" i="6"/>
  <c r="G394" i="6"/>
  <c r="K393" i="6"/>
  <c r="I393" i="6"/>
  <c r="G393" i="6"/>
  <c r="K392" i="6"/>
  <c r="I392" i="6"/>
  <c r="G392" i="6"/>
  <c r="G385" i="6"/>
  <c r="G386" i="6" s="1"/>
  <c r="G382" i="6"/>
  <c r="G381" i="6"/>
  <c r="G380" i="6"/>
  <c r="K379" i="6"/>
  <c r="G379" i="6"/>
  <c r="G378" i="6"/>
  <c r="G377" i="6"/>
  <c r="K374" i="6"/>
  <c r="K373" i="6"/>
  <c r="I373" i="6"/>
  <c r="G373" i="6"/>
  <c r="K372" i="6"/>
  <c r="I372" i="6"/>
  <c r="G372" i="6"/>
  <c r="G365" i="6"/>
  <c r="G366" i="6" s="1"/>
  <c r="K354" i="6"/>
  <c r="K353" i="6"/>
  <c r="I353" i="6"/>
  <c r="G353" i="6"/>
  <c r="K352" i="6"/>
  <c r="I352" i="6"/>
  <c r="G352" i="6"/>
  <c r="G342" i="6"/>
  <c r="G340" i="6"/>
  <c r="K339" i="6"/>
  <c r="I339" i="6"/>
  <c r="G339" i="6"/>
  <c r="G338" i="6"/>
  <c r="K334" i="6"/>
  <c r="K333" i="6"/>
  <c r="I333" i="6"/>
  <c r="G333" i="6"/>
  <c r="K332" i="6"/>
  <c r="I332" i="6"/>
  <c r="G332" i="6"/>
  <c r="G317" i="6"/>
  <c r="K314" i="6"/>
  <c r="K313" i="6"/>
  <c r="I313" i="6"/>
  <c r="G313" i="6"/>
  <c r="K312" i="6"/>
  <c r="I312" i="6"/>
  <c r="G312" i="6"/>
  <c r="G302" i="6"/>
  <c r="G300" i="6"/>
  <c r="K299" i="6"/>
  <c r="I299" i="6"/>
  <c r="G299" i="6"/>
  <c r="G298" i="6"/>
  <c r="I297" i="6"/>
  <c r="K294" i="6"/>
  <c r="K293" i="6"/>
  <c r="I293" i="6"/>
  <c r="G293" i="6"/>
  <c r="K292" i="6"/>
  <c r="I292" i="6"/>
  <c r="G292" i="6"/>
  <c r="I285" i="6"/>
  <c r="I286" i="6" s="1"/>
  <c r="K274" i="6"/>
  <c r="K273" i="6"/>
  <c r="I273" i="6"/>
  <c r="G273" i="6"/>
  <c r="K272" i="6"/>
  <c r="I272" i="6"/>
  <c r="G272" i="6"/>
  <c r="G260" i="6"/>
  <c r="G259" i="6"/>
  <c r="I258" i="6"/>
  <c r="G254" i="6"/>
  <c r="K253" i="6"/>
  <c r="I253" i="6"/>
  <c r="G253" i="6"/>
  <c r="K252" i="6"/>
  <c r="I252" i="6"/>
  <c r="G252" i="6"/>
  <c r="G242" i="6"/>
  <c r="G241" i="6"/>
  <c r="G240" i="6"/>
  <c r="G239" i="6"/>
  <c r="G238" i="6"/>
  <c r="G237" i="6"/>
  <c r="G229" i="6"/>
  <c r="G228" i="6"/>
  <c r="G227" i="6"/>
  <c r="G226" i="6"/>
  <c r="G225" i="6"/>
  <c r="G224" i="6"/>
  <c r="G215" i="6"/>
  <c r="G214" i="6"/>
  <c r="G213" i="6"/>
  <c r="G212" i="6"/>
  <c r="G204" i="6"/>
  <c r="G203" i="6"/>
  <c r="G202" i="6"/>
  <c r="G199" i="6"/>
  <c r="G200" i="6" s="1"/>
  <c r="G191" i="6"/>
  <c r="G190" i="6"/>
  <c r="G189" i="6"/>
  <c r="G181" i="6"/>
  <c r="G180" i="6"/>
  <c r="G179" i="6"/>
  <c r="G176" i="6"/>
  <c r="G177" i="6" s="1"/>
  <c r="G168" i="6"/>
  <c r="G167" i="6"/>
  <c r="G166" i="6"/>
  <c r="G165" i="6"/>
  <c r="G160" i="6"/>
  <c r="G152" i="6"/>
  <c r="G153" i="6" s="1"/>
  <c r="G149" i="6"/>
  <c r="G148" i="6"/>
  <c r="G147" i="6"/>
  <c r="G146" i="6"/>
  <c r="G142" i="6"/>
  <c r="G141" i="6"/>
  <c r="G140" i="6"/>
  <c r="G132" i="6"/>
  <c r="G131" i="6"/>
  <c r="G130" i="6"/>
  <c r="G129" i="6"/>
  <c r="G124" i="6"/>
  <c r="G123" i="6"/>
  <c r="I114" i="6"/>
  <c r="G112" i="6"/>
  <c r="I111" i="6"/>
  <c r="I108" i="6"/>
  <c r="G108" i="6"/>
  <c r="I107" i="6"/>
  <c r="G107" i="6"/>
  <c r="I106" i="6"/>
  <c r="G106" i="6"/>
  <c r="I105" i="6"/>
  <c r="G105" i="6"/>
  <c r="I104" i="6"/>
  <c r="G104" i="6"/>
  <c r="I103" i="6"/>
  <c r="G103" i="6"/>
  <c r="K97" i="6"/>
  <c r="K96" i="6"/>
  <c r="I96" i="6"/>
  <c r="G96" i="6"/>
  <c r="G95" i="6"/>
  <c r="I94" i="6"/>
  <c r="K91" i="6"/>
  <c r="I91" i="6"/>
  <c r="G91" i="6"/>
  <c r="K90" i="6"/>
  <c r="I90" i="6"/>
  <c r="G90" i="6"/>
  <c r="K89" i="6"/>
  <c r="I89" i="6"/>
  <c r="G89" i="6"/>
  <c r="K88" i="6"/>
  <c r="I88" i="6"/>
  <c r="G88" i="6"/>
  <c r="K87" i="6"/>
  <c r="I87" i="6"/>
  <c r="G87" i="6"/>
  <c r="K86" i="6"/>
  <c r="I86" i="6"/>
  <c r="G86" i="6"/>
  <c r="G80" i="6"/>
  <c r="I79" i="6"/>
  <c r="G77" i="6"/>
  <c r="I74" i="6"/>
  <c r="G74" i="6"/>
  <c r="I73" i="6"/>
  <c r="G73" i="6"/>
  <c r="I72" i="6"/>
  <c r="G72" i="6"/>
  <c r="I71" i="6"/>
  <c r="G71" i="6"/>
  <c r="I70" i="6"/>
  <c r="G70" i="6"/>
  <c r="I69" i="6"/>
  <c r="G69" i="6"/>
  <c r="G63" i="6"/>
  <c r="G62" i="6"/>
  <c r="G61" i="6"/>
  <c r="G60" i="6"/>
  <c r="K57" i="6"/>
  <c r="I57" i="6"/>
  <c r="G57" i="6"/>
  <c r="K56" i="6"/>
  <c r="I56" i="6"/>
  <c r="G56" i="6"/>
  <c r="K55" i="6"/>
  <c r="I55" i="6"/>
  <c r="G55" i="6"/>
  <c r="K54" i="6"/>
  <c r="I54" i="6"/>
  <c r="G54" i="6"/>
  <c r="K53" i="6"/>
  <c r="I53" i="6"/>
  <c r="G53" i="6"/>
  <c r="K52" i="6"/>
  <c r="I52" i="6"/>
  <c r="G52" i="6"/>
  <c r="M43" i="6"/>
  <c r="G42" i="6"/>
  <c r="M41" i="6"/>
  <c r="M38" i="6"/>
  <c r="K38" i="6"/>
  <c r="I38" i="6"/>
  <c r="G38" i="6"/>
  <c r="M37" i="6"/>
  <c r="K37" i="6"/>
  <c r="I37" i="6"/>
  <c r="G37" i="6"/>
  <c r="M36" i="6"/>
  <c r="K36" i="6"/>
  <c r="I36" i="6"/>
  <c r="G36" i="6"/>
  <c r="M35" i="6"/>
  <c r="K35" i="6"/>
  <c r="I35" i="6"/>
  <c r="G35" i="6"/>
  <c r="M34" i="6"/>
  <c r="K34" i="6"/>
  <c r="I34" i="6"/>
  <c r="G34" i="6"/>
  <c r="M33" i="6"/>
  <c r="K33" i="6"/>
  <c r="I33" i="6"/>
  <c r="G33" i="6"/>
  <c r="G39" i="6" s="1"/>
  <c r="M27" i="6"/>
  <c r="M26" i="6"/>
  <c r="G25" i="6"/>
  <c r="M21" i="6"/>
  <c r="K21" i="6"/>
  <c r="I21" i="6"/>
  <c r="G21" i="6"/>
  <c r="M20" i="6"/>
  <c r="K20" i="6"/>
  <c r="I20" i="6"/>
  <c r="G20" i="6"/>
  <c r="M19" i="6"/>
  <c r="K19" i="6"/>
  <c r="I19" i="6"/>
  <c r="G19" i="6"/>
  <c r="M18" i="6"/>
  <c r="K18" i="6"/>
  <c r="I18" i="6"/>
  <c r="G18" i="6"/>
  <c r="M17" i="6"/>
  <c r="K17" i="6"/>
  <c r="I17" i="6"/>
  <c r="G17" i="6"/>
  <c r="M16" i="6"/>
  <c r="K16" i="6"/>
  <c r="I16" i="6"/>
  <c r="G16" i="6"/>
  <c r="G8" i="6"/>
  <c r="G7" i="6"/>
  <c r="G6" i="6"/>
  <c r="M39" i="6" l="1"/>
  <c r="G75" i="6"/>
  <c r="K497" i="6"/>
  <c r="K39" i="6"/>
  <c r="M22" i="6"/>
  <c r="I39" i="6"/>
  <c r="G143" i="6"/>
  <c r="G144" i="6" s="1"/>
  <c r="K295" i="6"/>
  <c r="I58" i="6"/>
  <c r="I22" i="6"/>
  <c r="G92" i="6"/>
  <c r="K621" i="6"/>
  <c r="K22" i="6"/>
  <c r="K58" i="6"/>
  <c r="I92" i="6"/>
  <c r="I75" i="6"/>
  <c r="G58" i="6"/>
  <c r="K92" i="6"/>
  <c r="K375" i="6"/>
  <c r="K335" i="6"/>
  <c r="G109" i="6"/>
  <c r="I558" i="6"/>
  <c r="G22" i="6"/>
  <c r="I25" i="6"/>
  <c r="K418" i="6"/>
  <c r="K25" i="6"/>
  <c r="K380" i="6"/>
  <c r="G457" i="6"/>
  <c r="G541" i="6"/>
  <c r="G544" i="6"/>
  <c r="K419" i="6"/>
  <c r="G504" i="6"/>
  <c r="I544" i="6"/>
  <c r="I646" i="6"/>
  <c r="K381" i="6"/>
  <c r="K442" i="6"/>
  <c r="K541" i="6"/>
  <c r="K545" i="6" s="1"/>
  <c r="I578" i="6"/>
  <c r="I579" i="6" s="1"/>
  <c r="K602" i="6"/>
  <c r="I77" i="6"/>
  <c r="I97" i="6"/>
  <c r="I302" i="6"/>
  <c r="I342" i="6"/>
  <c r="G522" i="6"/>
  <c r="G626" i="6"/>
  <c r="K41" i="6"/>
  <c r="I259" i="6"/>
  <c r="K302" i="6"/>
  <c r="K342" i="6"/>
  <c r="K382" i="6"/>
  <c r="G501" i="6"/>
  <c r="G542" i="6"/>
  <c r="G581" i="6"/>
  <c r="G673" i="6"/>
  <c r="G674" i="6" s="1"/>
  <c r="K285" i="6"/>
  <c r="K286" i="6" s="1"/>
  <c r="G479" i="6"/>
  <c r="I501" i="6"/>
  <c r="K547" i="6"/>
  <c r="K548" i="6" s="1"/>
  <c r="I62" i="6"/>
  <c r="K62" i="6"/>
  <c r="G461" i="6"/>
  <c r="K599" i="6"/>
  <c r="K600" i="6" s="1"/>
  <c r="I461" i="6"/>
  <c r="G94" i="6"/>
  <c r="I500" i="6"/>
  <c r="I504" i="6"/>
  <c r="G568" i="6"/>
  <c r="G569" i="6" s="1"/>
  <c r="G285" i="6"/>
  <c r="G286" i="6" s="1"/>
  <c r="K420" i="6"/>
  <c r="G462" i="6"/>
  <c r="K94" i="6"/>
  <c r="G205" i="6"/>
  <c r="G207" i="6" s="1"/>
  <c r="I334" i="6"/>
  <c r="I335" i="6" s="1"/>
  <c r="I374" i="6"/>
  <c r="I375" i="6" s="1"/>
  <c r="I458" i="6"/>
  <c r="G539" i="6"/>
  <c r="K557" i="6"/>
  <c r="K558" i="6" s="1"/>
  <c r="K259" i="6"/>
  <c r="K421" i="6"/>
  <c r="I539" i="6"/>
  <c r="I542" i="6"/>
  <c r="K581" i="6"/>
  <c r="G627" i="6"/>
  <c r="I60" i="6"/>
  <c r="I64" i="6" s="1"/>
  <c r="I66" i="6" s="1"/>
  <c r="K377" i="6"/>
  <c r="G459" i="6"/>
  <c r="K479" i="6"/>
  <c r="G649" i="6"/>
  <c r="I95" i="6"/>
  <c r="I98" i="6" s="1"/>
  <c r="I338" i="6"/>
  <c r="I414" i="6"/>
  <c r="K422" i="6"/>
  <c r="G502" i="6"/>
  <c r="K582" i="6"/>
  <c r="I649" i="6"/>
  <c r="G665" i="6"/>
  <c r="K42" i="6"/>
  <c r="I61" i="6"/>
  <c r="K95" i="6"/>
  <c r="G182" i="6"/>
  <c r="G184" i="6" s="1"/>
  <c r="K260" i="6"/>
  <c r="K298" i="6"/>
  <c r="K338" i="6"/>
  <c r="K378" i="6"/>
  <c r="G423" i="6"/>
  <c r="G480" i="6"/>
  <c r="I502" i="6"/>
  <c r="G540" i="6"/>
  <c r="G543" i="6"/>
  <c r="I629" i="6"/>
  <c r="G644" i="6"/>
  <c r="I599" i="6"/>
  <c r="I600" i="6" s="1"/>
  <c r="G624" i="6"/>
  <c r="G294" i="6"/>
  <c r="G442" i="6"/>
  <c r="I457" i="6"/>
  <c r="G500" i="6"/>
  <c r="G625" i="6"/>
  <c r="I669" i="6"/>
  <c r="G97" i="6"/>
  <c r="I294" i="6"/>
  <c r="I295" i="6" s="1"/>
  <c r="G334" i="6"/>
  <c r="G458" i="6"/>
  <c r="I568" i="6"/>
  <c r="I569" i="6" s="1"/>
  <c r="I462" i="6"/>
  <c r="I547" i="6"/>
  <c r="I548" i="6" s="1"/>
  <c r="G648" i="6"/>
  <c r="K385" i="6"/>
  <c r="K386" i="6" s="1"/>
  <c r="K455" i="6"/>
  <c r="I42" i="6"/>
  <c r="I260" i="6"/>
  <c r="I298" i="6"/>
  <c r="I459" i="6"/>
  <c r="I620" i="6"/>
  <c r="I621" i="6" s="1"/>
  <c r="G628" i="6"/>
  <c r="K61" i="6"/>
  <c r="K439" i="6"/>
  <c r="G460" i="6"/>
  <c r="K480" i="6"/>
  <c r="G562" i="6"/>
  <c r="G623" i="6"/>
  <c r="I652" i="6"/>
  <c r="I653" i="6" s="1"/>
  <c r="I26" i="6"/>
  <c r="I43" i="6"/>
  <c r="K63" i="6"/>
  <c r="I80" i="6"/>
  <c r="G257" i="6"/>
  <c r="I257" i="6"/>
  <c r="K257" i="6"/>
  <c r="I325" i="6"/>
  <c r="I326" i="6" s="1"/>
  <c r="G325" i="6"/>
  <c r="G326" i="6" s="1"/>
  <c r="K325" i="6"/>
  <c r="K326" i="6" s="1"/>
  <c r="I362" i="6"/>
  <c r="K362" i="6"/>
  <c r="G362" i="6"/>
  <c r="K26" i="6"/>
  <c r="K43" i="6"/>
  <c r="G64" i="6"/>
  <c r="G66" i="6" s="1"/>
  <c r="G79" i="6"/>
  <c r="G111" i="6"/>
  <c r="I254" i="6"/>
  <c r="K254" i="6"/>
  <c r="K255" i="6" s="1"/>
  <c r="G258" i="6"/>
  <c r="K258" i="6"/>
  <c r="G261" i="6"/>
  <c r="I261" i="6"/>
  <c r="K261" i="6"/>
  <c r="G297" i="6"/>
  <c r="G303" i="6" s="1"/>
  <c r="K297" i="6"/>
  <c r="K463" i="6"/>
  <c r="G9" i="6"/>
  <c r="G11" i="6" s="1"/>
  <c r="G262" i="6"/>
  <c r="K262" i="6"/>
  <c r="G301" i="6"/>
  <c r="K301" i="6"/>
  <c r="I301" i="6"/>
  <c r="G26" i="6"/>
  <c r="G43" i="6"/>
  <c r="K60" i="6"/>
  <c r="I63" i="6"/>
  <c r="I112" i="6"/>
  <c r="G230" i="6"/>
  <c r="G232" i="6" s="1"/>
  <c r="I262" i="6"/>
  <c r="G337" i="6"/>
  <c r="K337" i="6"/>
  <c r="I337" i="6"/>
  <c r="G341" i="6"/>
  <c r="K341" i="6"/>
  <c r="I341" i="6"/>
  <c r="G383" i="6"/>
  <c r="K505" i="6"/>
  <c r="G150" i="6"/>
  <c r="K300" i="6"/>
  <c r="K340" i="6"/>
  <c r="I377" i="6"/>
  <c r="I378" i="6"/>
  <c r="I379" i="6"/>
  <c r="I380" i="6"/>
  <c r="I381" i="6"/>
  <c r="I382" i="6"/>
  <c r="K398" i="6"/>
  <c r="K402" i="6"/>
  <c r="I417" i="6"/>
  <c r="I418" i="6"/>
  <c r="I419" i="6"/>
  <c r="I420" i="6"/>
  <c r="I421" i="6"/>
  <c r="I422" i="6"/>
  <c r="G579" i="6"/>
  <c r="G582" i="6"/>
  <c r="K586" i="6"/>
  <c r="I602" i="6"/>
  <c r="K606" i="6"/>
  <c r="K610" i="6"/>
  <c r="K611" i="6" s="1"/>
  <c r="K623" i="6"/>
  <c r="K624" i="6"/>
  <c r="K625" i="6"/>
  <c r="K626" i="6"/>
  <c r="K627" i="6"/>
  <c r="K628" i="6"/>
  <c r="G642" i="6"/>
  <c r="G646" i="6"/>
  <c r="I647" i="6"/>
  <c r="I666" i="6"/>
  <c r="I394" i="6"/>
  <c r="I395" i="6" s="1"/>
  <c r="K399" i="6"/>
  <c r="I415" i="6"/>
  <c r="I434" i="6"/>
  <c r="I435" i="6" s="1"/>
  <c r="G438" i="6"/>
  <c r="G496" i="6"/>
  <c r="G497" i="6" s="1"/>
  <c r="G133" i="6"/>
  <c r="I255" i="6"/>
  <c r="I300" i="6"/>
  <c r="I340" i="6"/>
  <c r="G395" i="6"/>
  <c r="K394" i="6"/>
  <c r="K395" i="6" s="1"/>
  <c r="G398" i="6"/>
  <c r="G402" i="6"/>
  <c r="G435" i="6"/>
  <c r="K434" i="6"/>
  <c r="K435" i="6" s="1"/>
  <c r="K438" i="6"/>
  <c r="I454" i="6"/>
  <c r="I455" i="6" s="1"/>
  <c r="K465" i="6"/>
  <c r="K466" i="6" s="1"/>
  <c r="I496" i="6"/>
  <c r="I497" i="6" s="1"/>
  <c r="K522" i="6"/>
  <c r="I562" i="6"/>
  <c r="I565" i="6"/>
  <c r="K578" i="6"/>
  <c r="K579" i="6" s="1"/>
  <c r="G586" i="6"/>
  <c r="I606" i="6"/>
  <c r="G610" i="6"/>
  <c r="G611" i="6" s="1"/>
  <c r="I644" i="6"/>
  <c r="G647" i="6"/>
  <c r="I648" i="6"/>
  <c r="I662" i="6"/>
  <c r="I670" i="6"/>
  <c r="I24" i="6"/>
  <c r="G24" i="6"/>
  <c r="K278" i="6"/>
  <c r="I278" i="6"/>
  <c r="K282" i="6"/>
  <c r="I282" i="6"/>
  <c r="K321" i="6"/>
  <c r="I321" i="6"/>
  <c r="K360" i="6"/>
  <c r="I360" i="6"/>
  <c r="I437" i="6"/>
  <c r="K437" i="6"/>
  <c r="G507" i="6"/>
  <c r="G508" i="6" s="1"/>
  <c r="K507" i="6"/>
  <c r="K508" i="6" s="1"/>
  <c r="I507" i="6"/>
  <c r="I508" i="6" s="1"/>
  <c r="K24" i="6"/>
  <c r="K44" i="6"/>
  <c r="I44" i="6"/>
  <c r="G255" i="6"/>
  <c r="K315" i="6"/>
  <c r="G321" i="6"/>
  <c r="G516" i="6"/>
  <c r="G517" i="6" s="1"/>
  <c r="K516" i="6"/>
  <c r="K517" i="6" s="1"/>
  <c r="I516" i="6"/>
  <c r="I517" i="6" s="1"/>
  <c r="I585" i="6"/>
  <c r="K585" i="6"/>
  <c r="G585" i="6"/>
  <c r="K589" i="6"/>
  <c r="K590" i="6" s="1"/>
  <c r="I589" i="6"/>
  <c r="I590" i="6" s="1"/>
  <c r="G605" i="6"/>
  <c r="K605" i="6"/>
  <c r="M24" i="6"/>
  <c r="K27" i="6"/>
  <c r="I27" i="6"/>
  <c r="G44" i="6"/>
  <c r="I78" i="6"/>
  <c r="G78" i="6"/>
  <c r="I109" i="6"/>
  <c r="G126" i="6"/>
  <c r="G125" i="6"/>
  <c r="G169" i="6"/>
  <c r="G192" i="6"/>
  <c r="G194" i="6" s="1"/>
  <c r="K277" i="6"/>
  <c r="I277" i="6"/>
  <c r="K279" i="6"/>
  <c r="I279" i="6"/>
  <c r="K281" i="6"/>
  <c r="I281" i="6"/>
  <c r="I305" i="6"/>
  <c r="I306" i="6" s="1"/>
  <c r="G305" i="6"/>
  <c r="G306" i="6" s="1"/>
  <c r="K318" i="6"/>
  <c r="I318" i="6"/>
  <c r="K320" i="6"/>
  <c r="I320" i="6"/>
  <c r="K322" i="6"/>
  <c r="I322" i="6"/>
  <c r="K357" i="6"/>
  <c r="I357" i="6"/>
  <c r="K359" i="6"/>
  <c r="I359" i="6"/>
  <c r="I361" i="6"/>
  <c r="K361" i="6"/>
  <c r="I400" i="6"/>
  <c r="K400" i="6"/>
  <c r="G400" i="6"/>
  <c r="I481" i="6"/>
  <c r="G481" i="6"/>
  <c r="K481" i="6"/>
  <c r="I521" i="6"/>
  <c r="K521" i="6"/>
  <c r="G521" i="6"/>
  <c r="K527" i="6"/>
  <c r="K528" i="6" s="1"/>
  <c r="G527" i="6"/>
  <c r="G528" i="6" s="1"/>
  <c r="I527" i="6"/>
  <c r="I528" i="6" s="1"/>
  <c r="I583" i="6"/>
  <c r="G583" i="6"/>
  <c r="K583" i="6"/>
  <c r="G589" i="6"/>
  <c r="G590" i="6" s="1"/>
  <c r="G603" i="6"/>
  <c r="I603" i="6"/>
  <c r="I605" i="6"/>
  <c r="G631" i="6"/>
  <c r="G632" i="6" s="1"/>
  <c r="K631" i="6"/>
  <c r="K632" i="6" s="1"/>
  <c r="G663" i="6"/>
  <c r="G243" i="6"/>
  <c r="G245" i="6" s="1"/>
  <c r="I265" i="6"/>
  <c r="I266" i="6" s="1"/>
  <c r="G265" i="6"/>
  <c r="G266" i="6" s="1"/>
  <c r="K280" i="6"/>
  <c r="I280" i="6"/>
  <c r="K317" i="6"/>
  <c r="I317" i="6"/>
  <c r="K319" i="6"/>
  <c r="I319" i="6"/>
  <c r="I345" i="6"/>
  <c r="I346" i="6" s="1"/>
  <c r="G345" i="6"/>
  <c r="G346" i="6" s="1"/>
  <c r="K358" i="6"/>
  <c r="I358" i="6"/>
  <c r="K405" i="6"/>
  <c r="K406" i="6" s="1"/>
  <c r="I405" i="6"/>
  <c r="I406" i="6" s="1"/>
  <c r="I441" i="6"/>
  <c r="K441" i="6"/>
  <c r="I524" i="6"/>
  <c r="K524" i="6"/>
  <c r="G524" i="6"/>
  <c r="G114" i="6"/>
  <c r="K265" i="6"/>
  <c r="K266" i="6" s="1"/>
  <c r="G278" i="6"/>
  <c r="G280" i="6"/>
  <c r="G282" i="6"/>
  <c r="I314" i="6"/>
  <c r="I315" i="6" s="1"/>
  <c r="G314" i="6"/>
  <c r="G315" i="6" s="1"/>
  <c r="G319" i="6"/>
  <c r="G335" i="6"/>
  <c r="G343" i="6"/>
  <c r="K345" i="6"/>
  <c r="K346" i="6" s="1"/>
  <c r="G358" i="6"/>
  <c r="G360" i="6"/>
  <c r="G437" i="6"/>
  <c r="G441" i="6"/>
  <c r="K445" i="6"/>
  <c r="K446" i="6" s="1"/>
  <c r="I445" i="6"/>
  <c r="I446" i="6" s="1"/>
  <c r="K564" i="6"/>
  <c r="I564" i="6"/>
  <c r="G27" i="6"/>
  <c r="I41" i="6"/>
  <c r="G41" i="6"/>
  <c r="M44" i="6"/>
  <c r="I113" i="6"/>
  <c r="G113" i="6"/>
  <c r="G162" i="6"/>
  <c r="G161" i="6"/>
  <c r="G216" i="6"/>
  <c r="G218" i="6" s="1"/>
  <c r="K275" i="6"/>
  <c r="I274" i="6"/>
  <c r="I275" i="6" s="1"/>
  <c r="G274" i="6"/>
  <c r="G275" i="6" s="1"/>
  <c r="G277" i="6"/>
  <c r="G279" i="6"/>
  <c r="G281" i="6"/>
  <c r="G295" i="6"/>
  <c r="K305" i="6"/>
  <c r="K306" i="6" s="1"/>
  <c r="G318" i="6"/>
  <c r="G320" i="6"/>
  <c r="G322" i="6"/>
  <c r="K355" i="6"/>
  <c r="I354" i="6"/>
  <c r="I355" i="6" s="1"/>
  <c r="G354" i="6"/>
  <c r="G355" i="6" s="1"/>
  <c r="G357" i="6"/>
  <c r="G359" i="6"/>
  <c r="G361" i="6"/>
  <c r="K365" i="6"/>
  <c r="K366" i="6" s="1"/>
  <c r="I365" i="6"/>
  <c r="I366" i="6" s="1"/>
  <c r="I397" i="6"/>
  <c r="K397" i="6"/>
  <c r="I401" i="6"/>
  <c r="K401" i="6"/>
  <c r="I440" i="6"/>
  <c r="K440" i="6"/>
  <c r="G440" i="6"/>
  <c r="I478" i="6"/>
  <c r="K478" i="6"/>
  <c r="G478" i="6"/>
  <c r="I519" i="6"/>
  <c r="G519" i="6"/>
  <c r="K519" i="6"/>
  <c r="K536" i="6"/>
  <c r="K537" i="6" s="1"/>
  <c r="I536" i="6"/>
  <c r="I537" i="6" s="1"/>
  <c r="G536" i="6"/>
  <c r="G537" i="6" s="1"/>
  <c r="K561" i="6"/>
  <c r="I561" i="6"/>
  <c r="I631" i="6"/>
  <c r="I632" i="6" s="1"/>
  <c r="I667" i="6"/>
  <c r="G667" i="6"/>
  <c r="M25" i="6"/>
  <c r="M42" i="6"/>
  <c r="M45" i="6" s="1"/>
  <c r="M47" i="6" s="1"/>
  <c r="I475" i="6"/>
  <c r="K560" i="6"/>
  <c r="I560" i="6"/>
  <c r="K563" i="6"/>
  <c r="G563" i="6"/>
  <c r="G600" i="6"/>
  <c r="G604" i="6"/>
  <c r="K604" i="6"/>
  <c r="G607" i="6"/>
  <c r="I607" i="6"/>
  <c r="K650" i="6"/>
  <c r="G374" i="6"/>
  <c r="G375" i="6" s="1"/>
  <c r="I385" i="6"/>
  <c r="I386" i="6" s="1"/>
  <c r="G399" i="6"/>
  <c r="G414" i="6"/>
  <c r="G415" i="6" s="1"/>
  <c r="I425" i="6"/>
  <c r="I426" i="6" s="1"/>
  <c r="G439" i="6"/>
  <c r="G454" i="6"/>
  <c r="G455" i="6" s="1"/>
  <c r="I465" i="6"/>
  <c r="I466" i="6" s="1"/>
  <c r="G474" i="6"/>
  <c r="G475" i="6" s="1"/>
  <c r="K474" i="6"/>
  <c r="K475" i="6" s="1"/>
  <c r="I477" i="6"/>
  <c r="G477" i="6"/>
  <c r="I482" i="6"/>
  <c r="K482" i="6"/>
  <c r="K485" i="6"/>
  <c r="K486" i="6" s="1"/>
  <c r="G485" i="6"/>
  <c r="G486" i="6" s="1"/>
  <c r="I520" i="6"/>
  <c r="K520" i="6"/>
  <c r="I523" i="6"/>
  <c r="G523" i="6"/>
  <c r="G557" i="6"/>
  <c r="G558" i="6" s="1"/>
  <c r="G560" i="6"/>
  <c r="I563" i="6"/>
  <c r="G565" i="6"/>
  <c r="I584" i="6"/>
  <c r="K584" i="6"/>
  <c r="I604" i="6"/>
  <c r="K607" i="6"/>
  <c r="G620" i="6"/>
  <c r="G621" i="6" s="1"/>
  <c r="K641" i="6"/>
  <c r="K642" i="6" s="1"/>
  <c r="I641" i="6"/>
  <c r="I642" i="6" s="1"/>
  <c r="G668" i="6"/>
  <c r="G685" i="6"/>
  <c r="G687" i="6" s="1"/>
  <c r="I663" i="6"/>
  <c r="G545" i="6" l="1"/>
  <c r="G98" i="6"/>
  <c r="G100" i="6" s="1"/>
  <c r="I81" i="6"/>
  <c r="I83" i="6" s="1"/>
  <c r="G428" i="6"/>
  <c r="K423" i="6"/>
  <c r="K428" i="6" s="1"/>
  <c r="G263" i="6"/>
  <c r="G650" i="6"/>
  <c r="G655" i="6" s="1"/>
  <c r="K383" i="6"/>
  <c r="K388" i="6" s="1"/>
  <c r="G550" i="6"/>
  <c r="G587" i="6"/>
  <c r="G592" i="6" s="1"/>
  <c r="K468" i="6"/>
  <c r="I263" i="6"/>
  <c r="I268" i="6" s="1"/>
  <c r="I671" i="6"/>
  <c r="G505" i="6"/>
  <c r="G510" i="6" s="1"/>
  <c r="I343" i="6"/>
  <c r="G115" i="6"/>
  <c r="G117" i="6" s="1"/>
  <c r="G81" i="6"/>
  <c r="G83" i="6" s="1"/>
  <c r="I115" i="6"/>
  <c r="I117" i="6" s="1"/>
  <c r="I100" i="6"/>
  <c r="I505" i="6"/>
  <c r="I510" i="6"/>
  <c r="K510" i="6"/>
  <c r="G388" i="6"/>
  <c r="K403" i="6"/>
  <c r="G463" i="6"/>
  <c r="G468" i="6" s="1"/>
  <c r="I403" i="6"/>
  <c r="I408" i="6" s="1"/>
  <c r="I303" i="6"/>
  <c r="I308" i="6" s="1"/>
  <c r="G629" i="6"/>
  <c r="G634" i="6" s="1"/>
  <c r="K655" i="6"/>
  <c r="G155" i="6"/>
  <c r="K587" i="6"/>
  <c r="K592" i="6" s="1"/>
  <c r="G671" i="6"/>
  <c r="G676" i="6" s="1"/>
  <c r="I463" i="6"/>
  <c r="I468" i="6" s="1"/>
  <c r="I634" i="6"/>
  <c r="I545" i="6"/>
  <c r="I550" i="6" s="1"/>
  <c r="I676" i="6"/>
  <c r="G127" i="6"/>
  <c r="G135" i="6" s="1"/>
  <c r="K550" i="6"/>
  <c r="K64" i="6"/>
  <c r="K66" i="6" s="1"/>
  <c r="G566" i="6"/>
  <c r="G571" i="6" s="1"/>
  <c r="K98" i="6"/>
  <c r="K100" i="6" s="1"/>
  <c r="G308" i="6"/>
  <c r="I608" i="6"/>
  <c r="I613" i="6" s="1"/>
  <c r="G45" i="6"/>
  <c r="G47" i="6" s="1"/>
  <c r="K45" i="6"/>
  <c r="K47" i="6" s="1"/>
  <c r="K483" i="6"/>
  <c r="K488" i="6" s="1"/>
  <c r="K408" i="6"/>
  <c r="I587" i="6"/>
  <c r="I592" i="6" s="1"/>
  <c r="I363" i="6"/>
  <c r="I368" i="6" s="1"/>
  <c r="G28" i="6"/>
  <c r="G30" i="6" s="1"/>
  <c r="I423" i="6"/>
  <c r="I428" i="6" s="1"/>
  <c r="I383" i="6"/>
  <c r="I388" i="6" s="1"/>
  <c r="K303" i="6"/>
  <c r="K308" i="6" s="1"/>
  <c r="G525" i="6"/>
  <c r="G530" i="6" s="1"/>
  <c r="G323" i="6"/>
  <c r="G328" i="6" s="1"/>
  <c r="G163" i="6"/>
  <c r="G171" i="6" s="1"/>
  <c r="G403" i="6"/>
  <c r="G408" i="6" s="1"/>
  <c r="M28" i="6"/>
  <c r="M30" i="6" s="1"/>
  <c r="I28" i="6"/>
  <c r="I30" i="6" s="1"/>
  <c r="K263" i="6"/>
  <c r="K268" i="6" s="1"/>
  <c r="K566" i="6"/>
  <c r="K571" i="6" s="1"/>
  <c r="I348" i="6"/>
  <c r="K443" i="6"/>
  <c r="K448" i="6" s="1"/>
  <c r="G348" i="6"/>
  <c r="I650" i="6"/>
  <c r="I655" i="6" s="1"/>
  <c r="K629" i="6"/>
  <c r="K634" i="6" s="1"/>
  <c r="K343" i="6"/>
  <c r="K348" i="6" s="1"/>
  <c r="G483" i="6"/>
  <c r="G488" i="6" s="1"/>
  <c r="K608" i="6"/>
  <c r="K613" i="6" s="1"/>
  <c r="I525" i="6"/>
  <c r="I530" i="6" s="1"/>
  <c r="I323" i="6"/>
  <c r="I328" i="6" s="1"/>
  <c r="I283" i="6"/>
  <c r="I288" i="6" s="1"/>
  <c r="I483" i="6"/>
  <c r="I488" i="6" s="1"/>
  <c r="K323" i="6"/>
  <c r="K283" i="6"/>
  <c r="K288" i="6" s="1"/>
  <c r="K328" i="6"/>
  <c r="K28" i="6"/>
  <c r="K30" i="6" s="1"/>
  <c r="G608" i="6"/>
  <c r="G613" i="6" s="1"/>
  <c r="I45" i="6"/>
  <c r="I47" i="6" s="1"/>
  <c r="K363" i="6"/>
  <c r="K368" i="6" s="1"/>
  <c r="I443" i="6"/>
  <c r="I448" i="6" s="1"/>
  <c r="I566" i="6"/>
  <c r="I571" i="6" s="1"/>
  <c r="K525" i="6"/>
  <c r="K530" i="6" s="1"/>
  <c r="G363" i="6"/>
  <c r="G368" i="6" s="1"/>
  <c r="G283" i="6"/>
  <c r="G288" i="6" s="1"/>
  <c r="G443" i="6"/>
  <c r="G448" i="6" s="1"/>
  <c r="G268" i="6"/>
</calcChain>
</file>

<file path=xl/sharedStrings.xml><?xml version="1.0" encoding="utf-8"?>
<sst xmlns="http://schemas.openxmlformats.org/spreadsheetml/2006/main" count="1520" uniqueCount="131">
  <si>
    <t>보통인부</t>
  </si>
  <si>
    <t>특급기술자</t>
  </si>
  <si>
    <t>고급기술자</t>
  </si>
  <si>
    <t>중급기술자</t>
  </si>
  <si>
    <t>초급기술자</t>
  </si>
  <si>
    <t>기술사</t>
  </si>
  <si>
    <t>고급숙련기술자</t>
  </si>
  <si>
    <t>중급숙련기술자</t>
  </si>
  <si>
    <t>초급숙련기술자</t>
  </si>
  <si>
    <t>고성능착정기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</si>
  <si>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</si>
  <si>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</si>
  <si>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</si>
  <si>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</si>
  <si>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</si>
  <si>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</si>
  <si>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</si>
  <si>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</si>
  <si>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</si>
  <si>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</si>
  <si>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</si>
  <si>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규격</t>
    <phoneticPr fontId="5" type="noConversion"/>
  </si>
  <si>
    <t>hr</t>
  </si>
  <si>
    <t>특별인부</t>
  </si>
  <si>
    <t>8-1 보링</t>
  </si>
  <si>
    <t>제 8 장 지반조사</t>
    <phoneticPr fontId="3" type="noConversion"/>
  </si>
  <si>
    <t>8-1-1 기계기구 설치</t>
  </si>
  <si>
    <t>(개소당)</t>
    <phoneticPr fontId="3" type="noConversion"/>
  </si>
  <si>
    <t>보링공</t>
  </si>
  <si>
    <t>모래층</t>
  </si>
  <si>
    <t>BX</t>
  </si>
  <si>
    <t>NX</t>
  </si>
  <si>
    <t>NX</t>
    <phoneticPr fontId="3" type="noConversion"/>
  </si>
  <si>
    <t>개</t>
  </si>
  <si>
    <t>개</t>
    <phoneticPr fontId="3" type="noConversion"/>
  </si>
  <si>
    <t>싱글코아바렐</t>
  </si>
  <si>
    <t>메탈크라운비트</t>
  </si>
  <si>
    <t>쵸핑비트</t>
  </si>
  <si>
    <t>드라이브파이프헤드</t>
  </si>
  <si>
    <t>드라이브파이프슈</t>
  </si>
  <si>
    <t>드라이브파이프</t>
  </si>
  <si>
    <t>자갈층</t>
  </si>
  <si>
    <t>호박돌층</t>
  </si>
  <si>
    <t xml:space="preserve"> </t>
  </si>
  <si>
    <t>(m당)</t>
    <phoneticPr fontId="3" type="noConversion"/>
  </si>
  <si>
    <t>8-1-2 천공(토사, 자갈 및 호박돌층)</t>
    <phoneticPr fontId="3" type="noConversion"/>
  </si>
  <si>
    <t>점토층(BX)</t>
    <phoneticPr fontId="3" type="noConversion"/>
  </si>
  <si>
    <t>모래층(BX)</t>
    <phoneticPr fontId="3" type="noConversion"/>
  </si>
  <si>
    <t>자갈층(BX)</t>
    <phoneticPr fontId="3" type="noConversion"/>
  </si>
  <si>
    <t>호박돌층(BX)</t>
    <phoneticPr fontId="3" type="noConversion"/>
  </si>
  <si>
    <t>점토층(NX)</t>
    <phoneticPr fontId="3" type="noConversion"/>
  </si>
  <si>
    <t>모래층(NX)</t>
    <phoneticPr fontId="3" type="noConversion"/>
  </si>
  <si>
    <t>자갈층(NX)</t>
    <phoneticPr fontId="3" type="noConversion"/>
  </si>
  <si>
    <t>호박돌층(NX)</t>
    <phoneticPr fontId="3" type="noConversion"/>
  </si>
  <si>
    <t>8-1-3 천공(암반층)</t>
  </si>
  <si>
    <t>풍화암(BX)</t>
    <phoneticPr fontId="3" type="noConversion"/>
  </si>
  <si>
    <t>연암(BX)</t>
    <phoneticPr fontId="3" type="noConversion"/>
  </si>
  <si>
    <t>보통암(BX)</t>
    <phoneticPr fontId="3" type="noConversion"/>
  </si>
  <si>
    <t>경암(BX)</t>
    <phoneticPr fontId="3" type="noConversion"/>
  </si>
  <si>
    <t>극경암(BX)</t>
    <phoneticPr fontId="3" type="noConversion"/>
  </si>
  <si>
    <t>더블코아바렐</t>
  </si>
  <si>
    <t>다이아몬드비트</t>
  </si>
  <si>
    <t>메탈리밍쉘</t>
  </si>
  <si>
    <t>다이아몬드리밍쉘</t>
  </si>
  <si>
    <t>코아리프터</t>
  </si>
  <si>
    <t>풍화암(NX)</t>
    <phoneticPr fontId="3" type="noConversion"/>
  </si>
  <si>
    <t>연암(NX)</t>
    <phoneticPr fontId="3" type="noConversion"/>
  </si>
  <si>
    <t>보통암(NX)</t>
    <phoneticPr fontId="3" type="noConversion"/>
  </si>
  <si>
    <t>경암(NX)</t>
    <phoneticPr fontId="3" type="noConversion"/>
  </si>
  <si>
    <t>극경암(NX)</t>
    <phoneticPr fontId="3" type="noConversion"/>
  </si>
  <si>
    <t>8-2 시험</t>
  </si>
  <si>
    <t>8-2-1 표준관입시험</t>
    <phoneticPr fontId="3" type="noConversion"/>
  </si>
  <si>
    <t>슈</t>
  </si>
  <si>
    <t>샘플러</t>
  </si>
  <si>
    <t>경유</t>
  </si>
  <si>
    <t>ℓ</t>
  </si>
  <si>
    <t>잡유</t>
  </si>
  <si>
    <t>경유의 30%</t>
  </si>
  <si>
    <t>%</t>
    <phoneticPr fontId="3" type="noConversion"/>
  </si>
  <si>
    <t>(회당)</t>
    <phoneticPr fontId="3" type="noConversion"/>
  </si>
  <si>
    <t>8-2-2 베인전단시험</t>
    <phoneticPr fontId="3" type="noConversion"/>
  </si>
  <si>
    <t>vane blade</t>
  </si>
  <si>
    <t>대형</t>
  </si>
  <si>
    <t>전용로드</t>
  </si>
  <si>
    <t>Ø16×750</t>
  </si>
  <si>
    <t>로드</t>
  </si>
  <si>
    <t>Ø40.5×1m</t>
  </si>
  <si>
    <t>잡재료비</t>
  </si>
  <si>
    <t>재료비의 20%</t>
  </si>
  <si>
    <t>본</t>
  </si>
  <si>
    <t>베인시험전단기</t>
  </si>
  <si>
    <t>8-2-3 자연시료 채취</t>
    <phoneticPr fontId="3" type="noConversion"/>
  </si>
  <si>
    <t>신월튜브</t>
  </si>
  <si>
    <t>경유의 60%</t>
    <phoneticPr fontId="3" type="noConversion"/>
  </si>
  <si>
    <t>8-2-4 평판재하시험</t>
    <phoneticPr fontId="3" type="noConversion"/>
  </si>
  <si>
    <t>㎏</t>
  </si>
  <si>
    <t>㎏</t>
    <phoneticPr fontId="3" type="noConversion"/>
  </si>
  <si>
    <t>표준사</t>
  </si>
  <si>
    <t>8-2-5 동재하시험</t>
    <phoneticPr fontId="3" type="noConversion"/>
  </si>
  <si>
    <t>8-2-6 정재하시험</t>
    <phoneticPr fontId="3" type="noConversion"/>
  </si>
  <si>
    <t>단독콘</t>
  </si>
  <si>
    <t>8-2-7 콘관입시험</t>
    <phoneticPr fontId="3" type="noConversion"/>
  </si>
  <si>
    <t>8-3 물리탐사</t>
  </si>
  <si>
    <t>8-3-1 굴절법 탄성파 탐사</t>
    <phoneticPr fontId="3" type="noConversion"/>
  </si>
  <si>
    <t>(측선 1㎞당)</t>
    <phoneticPr fontId="3" type="noConversion"/>
  </si>
  <si>
    <t>8-3-2 2차원 전기비저항탐사</t>
    <phoneticPr fontId="3" type="noConversion"/>
  </si>
  <si>
    <t>8-4 대구경 보링(지하수개발)</t>
    <phoneticPr fontId="3" type="noConversion"/>
  </si>
  <si>
    <t>8-4-1 천공(토사, 모래, 자갈 및 호박돌층)</t>
  </si>
  <si>
    <t>토사층</t>
    <phoneticPr fontId="3" type="noConversion"/>
  </si>
  <si>
    <t>100㎜</t>
    <phoneticPr fontId="3" type="noConversion"/>
  </si>
  <si>
    <t>150㎜</t>
    <phoneticPr fontId="3" type="noConversion"/>
  </si>
  <si>
    <t>200㎜</t>
    <phoneticPr fontId="3" type="noConversion"/>
  </si>
  <si>
    <t>윙비트</t>
  </si>
  <si>
    <t>벤토나이트</t>
  </si>
  <si>
    <t>335.7㎾</t>
    <phoneticPr fontId="3" type="noConversion"/>
  </si>
  <si>
    <t>250㎜</t>
    <phoneticPr fontId="3" type="noConversion"/>
  </si>
  <si>
    <t>300㎜</t>
    <phoneticPr fontId="3" type="noConversion"/>
  </si>
  <si>
    <t>350㎜</t>
    <phoneticPr fontId="3" type="noConversion"/>
  </si>
  <si>
    <t>400㎜</t>
    <phoneticPr fontId="3" type="noConversion"/>
  </si>
  <si>
    <t>450㎜</t>
    <phoneticPr fontId="3" type="noConversion"/>
  </si>
  <si>
    <t>500㎜</t>
    <phoneticPr fontId="3" type="noConversion"/>
  </si>
  <si>
    <t>8-4-2 천공(암반층)</t>
    <phoneticPr fontId="3" type="noConversion"/>
  </si>
  <si>
    <t>풍화암</t>
  </si>
  <si>
    <t>에어해머</t>
  </si>
  <si>
    <t>버튼(Button)비트</t>
    <phoneticPr fontId="3" type="noConversion"/>
  </si>
  <si>
    <t>기포제</t>
  </si>
  <si>
    <t>연암</t>
    <phoneticPr fontId="3" type="noConversion"/>
  </si>
  <si>
    <t>보통암</t>
    <phoneticPr fontId="3" type="noConversion"/>
  </si>
  <si>
    <t>경암</t>
  </si>
  <si>
    <t>(10m당)</t>
  </si>
  <si>
    <t>8-4-3 폐공 되메우기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</si>
</sst>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_ * #,##0.0_ ;_ * \-#,##0.0_ ;_ * &quot;-&quot;_ ;_ @_ "/>
    <numFmt numFmtId="185" formatCode="_-* #,##0.0000_-;\-* #,##0.0000_-;_-* &quot;-&quot;_-;_-@_-"/>
    <numFmt numFmtId="186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8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16" fillId="0" borderId="4" xfId="3" applyFont="1" applyBorder="1" applyAlignment="1">
      <alignment vertical="center"/>
    </xf>
    <xf numFmtId="0" fontId="17" fillId="0" borderId="5" xfId="3" applyFont="1" applyBorder="1" applyAlignment="1">
      <alignment vertical="center"/>
    </xf>
    <xf numFmtId="41" fontId="17" fillId="0" borderId="6" xfId="5" applyFont="1" applyFill="1" applyBorder="1" applyAlignment="1">
      <alignment vertical="center"/>
    </xf>
    <xf numFmtId="0" fontId="16" fillId="0" borderId="4" xfId="6" applyFont="1" applyBorder="1" applyAlignment="1">
      <alignment horizontal="left" vertical="center"/>
    </xf>
    <xf numFmtId="0" fontId="18" fillId="0" borderId="5" xfId="3" applyFont="1" applyBorder="1" applyAlignment="1">
      <alignment vertical="center" shrinkToFit="1"/>
    </xf>
    <xf numFmtId="0" fontId="18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9" fillId="0" borderId="9" xfId="3" applyFont="1" applyBorder="1" applyAlignment="1">
      <alignment horizontal="center" vertical="center"/>
    </xf>
    <xf numFmtId="0" fontId="9" fillId="0" borderId="0" xfId="0" applyFont="1">
      <alignment vertical="center"/>
    </xf>
    <xf numFmtId="181" fontId="9" fillId="0" borderId="5" xfId="7" applyNumberFormat="1" applyFont="1" applyBorder="1" applyAlignment="1">
      <alignment vertical="center"/>
    </xf>
    <xf numFmtId="180" fontId="9" fillId="0" borderId="0" xfId="7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0" xfId="7" applyFont="1" applyBorder="1" applyAlignment="1">
      <alignment vertical="center"/>
    </xf>
    <xf numFmtId="182" fontId="10" fillId="0" borderId="5" xfId="7" applyNumberFormat="1" applyFont="1" applyFill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7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0" fontId="19" fillId="0" borderId="9" xfId="2" applyFont="1" applyBorder="1" applyAlignment="1">
      <alignment horizontal="left" vertical="center"/>
    </xf>
    <xf numFmtId="0" fontId="9" fillId="0" borderId="4" xfId="2" applyFont="1" applyBorder="1" applyAlignment="1">
      <alignment horizontal="center" vertical="center"/>
    </xf>
    <xf numFmtId="41" fontId="16" fillId="0" borderId="6" xfId="7" applyFont="1" applyBorder="1" applyAlignment="1">
      <alignment vertical="center"/>
    </xf>
    <xf numFmtId="41" fontId="10" fillId="0" borderId="5" xfId="1" applyFont="1" applyBorder="1" applyAlignment="1">
      <alignment vertical="center"/>
    </xf>
    <xf numFmtId="41" fontId="11" fillId="0" borderId="5" xfId="0" applyNumberFormat="1" applyFont="1" applyBorder="1">
      <alignment vertical="center"/>
    </xf>
    <xf numFmtId="41" fontId="11" fillId="0" borderId="5" xfId="1" applyFont="1" applyFill="1" applyBorder="1" applyAlignment="1">
      <alignment horizontal="right" vertical="center"/>
    </xf>
    <xf numFmtId="181" fontId="10" fillId="0" borderId="5" xfId="7" applyNumberFormat="1" applyFont="1" applyBorder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180" fontId="12" fillId="0" borderId="5" xfId="1" applyNumberFormat="1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41" fontId="11" fillId="0" borderId="6" xfId="1" applyFont="1" applyFill="1" applyBorder="1" applyAlignment="1">
      <alignment horizontal="right" vertical="center"/>
    </xf>
    <xf numFmtId="41" fontId="9" fillId="0" borderId="5" xfId="1" applyFont="1" applyFill="1" applyBorder="1" applyAlignment="1">
      <alignment horizontal="right" vertical="center"/>
    </xf>
    <xf numFmtId="41" fontId="11" fillId="0" borderId="6" xfId="0" applyNumberFormat="1" applyFont="1" applyBorder="1">
      <alignment vertical="center"/>
    </xf>
    <xf numFmtId="182" fontId="9" fillId="0" borderId="5" xfId="7" applyNumberFormat="1" applyFont="1" applyBorder="1" applyAlignment="1">
      <alignment vertical="center"/>
    </xf>
    <xf numFmtId="0" fontId="20" fillId="0" borderId="0" xfId="0" applyFont="1">
      <alignment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horizontal="right" vertical="center"/>
    </xf>
    <xf numFmtId="41" fontId="9" fillId="0" borderId="5" xfId="7" applyFont="1" applyBorder="1" applyAlignment="1">
      <alignment vertical="center"/>
    </xf>
    <xf numFmtId="181" fontId="11" fillId="0" borderId="6" xfId="0" applyNumberFormat="1" applyFont="1" applyBorder="1">
      <alignment vertical="center"/>
    </xf>
    <xf numFmtId="184" fontId="9" fillId="0" borderId="6" xfId="1" applyNumberFormat="1" applyFont="1" applyFill="1" applyBorder="1" applyAlignment="1">
      <alignment vertical="center"/>
    </xf>
    <xf numFmtId="180" fontId="9" fillId="0" borderId="5" xfId="7" applyNumberFormat="1" applyFont="1" applyBorder="1" applyAlignment="1">
      <alignment vertical="center"/>
    </xf>
    <xf numFmtId="185" fontId="9" fillId="0" borderId="5" xfId="7" applyNumberFormat="1" applyFont="1" applyBorder="1" applyAlignment="1">
      <alignment vertical="center"/>
    </xf>
    <xf numFmtId="186" fontId="21" fillId="0" borderId="0" xfId="4" applyNumberFormat="1" applyFont="1" applyAlignment="1">
      <alignment vertical="center"/>
    </xf>
    <xf numFmtId="0" fontId="6" fillId="0" borderId="0" xfId="0" applyFont="1" applyAlignment="1"/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</cellXfs>
  <cellStyles count="8">
    <cellStyle name="쉼표 [0]" xfId="1" builtinId="6"/>
    <cellStyle name="콤마 [0]_가설공사(1)" xfId="5" xr:uid="{00000000-0005-0000-0000-000002000000}"/>
    <cellStyle name="콤마 [0]_조경공사" xfId="7" xr:uid="{00000000-0005-0000-0000-000003000000}"/>
    <cellStyle name="표준" xfId="0" builtinId="0"/>
    <cellStyle name="표준_Sheet1" xfId="4" xr:uid="{00000000-0005-0000-0000-000005000000}"/>
    <cellStyle name="표준_가설공사(1)" xfId="3" xr:uid="{00000000-0005-0000-0000-000006000000}"/>
    <cellStyle name="표준_가설공사(2)" xfId="6" xr:uid="{00000000-0005-0000-0000-000007000000}"/>
    <cellStyle name="표준_조경공사" xfId="2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4DFA-EEA7-47DA-BDB7-4A905987CBDC}">
  <sheetPr>
    <pageSetUpPr fitToPage="1"/>
  </sheetPr>
  <dimension ref="A1:O687"/>
  <sheetViews>
    <sheetView tabSelected="1" zoomScaleNormal="100" workbookViewId="0">
      <selection activeCell="I10" sqref="I10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67"/>
      <c r="B1" s="7" t="s">
        <v>25</v>
      </c>
      <c r="C1" s="4"/>
      <c r="D1" s="1"/>
    </row>
    <row r="2" spans="1:15" ht="12.95" customHeight="1" x14ac:dyDescent="0.15">
      <c r="A2" s="68"/>
      <c r="B2" s="1" t="s">
        <v>24</v>
      </c>
    </row>
    <row r="3" spans="1:15" ht="12.95" customHeight="1" x14ac:dyDescent="0.3">
      <c r="B3" s="2" t="s">
        <v>26</v>
      </c>
      <c r="G3" s="49" t="s">
        <v>27</v>
      </c>
    </row>
    <row r="4" spans="1:15" ht="12.95" customHeight="1" x14ac:dyDescent="0.3">
      <c r="B4" s="69" t="s">
        <v>10</v>
      </c>
      <c r="C4" s="70" t="s">
        <v>14</v>
      </c>
      <c r="D4" s="71" t="s">
        <v>15</v>
      </c>
      <c r="E4" s="72" t="s">
        <v>11</v>
      </c>
      <c r="F4" s="73" t="s">
        <v>12</v>
      </c>
      <c r="G4" s="75" t="s">
        <v>13</v>
      </c>
    </row>
    <row r="5" spans="1:15" ht="12.95" customHeight="1" x14ac:dyDescent="0.3">
      <c r="B5" s="69"/>
      <c r="C5" s="70"/>
      <c r="D5" s="71"/>
      <c r="E5" s="72"/>
      <c r="F5" s="74"/>
      <c r="G5" s="76"/>
    </row>
    <row r="6" spans="1:15" ht="12.95" customHeight="1" x14ac:dyDescent="0.3">
      <c r="B6" s="13" t="s">
        <v>28</v>
      </c>
      <c r="C6" s="8"/>
      <c r="D6" s="3" t="s">
        <v>16</v>
      </c>
      <c r="E6" s="53">
        <v>232562</v>
      </c>
      <c r="F6" s="50">
        <v>1</v>
      </c>
      <c r="G6" s="6">
        <f t="shared" ref="G6:G8" si="0">TRUNC($E6*F6,1)</f>
        <v>232562</v>
      </c>
    </row>
    <row r="7" spans="1:15" ht="12.95" customHeight="1" x14ac:dyDescent="0.3">
      <c r="B7" s="13" t="s">
        <v>23</v>
      </c>
      <c r="C7" s="8"/>
      <c r="D7" s="3" t="s">
        <v>16</v>
      </c>
      <c r="E7" s="45">
        <v>226122</v>
      </c>
      <c r="F7" s="50">
        <v>1</v>
      </c>
      <c r="G7" s="6">
        <f t="shared" si="0"/>
        <v>226122</v>
      </c>
    </row>
    <row r="8" spans="1:15" ht="12.95" customHeight="1" x14ac:dyDescent="0.3">
      <c r="B8" s="13" t="s">
        <v>0</v>
      </c>
      <c r="C8" s="8"/>
      <c r="D8" s="3" t="s">
        <v>16</v>
      </c>
      <c r="E8" s="48">
        <v>172068</v>
      </c>
      <c r="F8" s="50">
        <v>1</v>
      </c>
      <c r="G8" s="6">
        <f t="shared" si="0"/>
        <v>172068</v>
      </c>
    </row>
    <row r="9" spans="1:15" ht="12.95" customHeight="1" x14ac:dyDescent="0.3">
      <c r="B9" s="21" t="s">
        <v>18</v>
      </c>
      <c r="C9" s="25"/>
      <c r="D9" s="26"/>
      <c r="E9" s="22"/>
      <c r="F9" s="22"/>
      <c r="G9" s="23">
        <f>TRUNC(SUM(G6:G8))</f>
        <v>630752</v>
      </c>
    </row>
    <row r="10" spans="1:15" ht="12.95" customHeight="1" x14ac:dyDescent="0.3">
      <c r="B10" s="14"/>
      <c r="C10" s="8"/>
      <c r="D10" s="3"/>
      <c r="E10" s="15"/>
      <c r="F10" s="15"/>
      <c r="G10" s="16"/>
    </row>
    <row r="11" spans="1:15" ht="12.95" customHeight="1" x14ac:dyDescent="0.3">
      <c r="B11" s="12" t="s">
        <v>20</v>
      </c>
      <c r="C11" s="9"/>
      <c r="D11" s="28"/>
      <c r="E11" s="17"/>
      <c r="F11" s="17"/>
      <c r="G11" s="18">
        <f>SUM(G9)</f>
        <v>630752</v>
      </c>
    </row>
    <row r="13" spans="1:15" ht="12.95" customHeight="1" x14ac:dyDescent="0.3">
      <c r="B13" s="2" t="s">
        <v>45</v>
      </c>
      <c r="C13" s="20"/>
      <c r="D13" s="20"/>
      <c r="E13" s="20"/>
      <c r="F13" s="20"/>
      <c r="G13" s="20"/>
      <c r="H13" s="20"/>
      <c r="I13" s="27"/>
      <c r="M13" s="27" t="s">
        <v>44</v>
      </c>
      <c r="O13" s="29"/>
    </row>
    <row r="14" spans="1:15" ht="12.95" customHeight="1" x14ac:dyDescent="0.3">
      <c r="B14" s="79" t="s">
        <v>10</v>
      </c>
      <c r="C14" s="81" t="s">
        <v>21</v>
      </c>
      <c r="D14" s="72" t="s">
        <v>15</v>
      </c>
      <c r="E14" s="83" t="s">
        <v>11</v>
      </c>
      <c r="F14" s="77" t="s">
        <v>46</v>
      </c>
      <c r="G14" s="78"/>
      <c r="H14" s="77" t="s">
        <v>47</v>
      </c>
      <c r="I14" s="78"/>
      <c r="J14" s="77" t="s">
        <v>48</v>
      </c>
      <c r="K14" s="78"/>
      <c r="L14" s="77" t="s">
        <v>49</v>
      </c>
      <c r="M14" s="78"/>
      <c r="N14" s="29"/>
      <c r="O14" s="29"/>
    </row>
    <row r="15" spans="1:15" ht="12.95" customHeight="1" x14ac:dyDescent="0.3">
      <c r="B15" s="80"/>
      <c r="C15" s="82"/>
      <c r="D15" s="72"/>
      <c r="E15" s="84"/>
      <c r="F15" s="51" t="s">
        <v>12</v>
      </c>
      <c r="G15" s="52" t="s">
        <v>13</v>
      </c>
      <c r="H15" s="51" t="s">
        <v>12</v>
      </c>
      <c r="I15" s="52" t="s">
        <v>13</v>
      </c>
      <c r="J15" s="51" t="s">
        <v>12</v>
      </c>
      <c r="K15" s="52" t="s">
        <v>13</v>
      </c>
      <c r="L15" s="51" t="s">
        <v>12</v>
      </c>
      <c r="M15" s="52" t="s">
        <v>13</v>
      </c>
      <c r="N15" s="29"/>
      <c r="O15" s="29"/>
    </row>
    <row r="16" spans="1:15" ht="12.95" customHeight="1" x14ac:dyDescent="0.3">
      <c r="B16" s="32" t="s">
        <v>35</v>
      </c>
      <c r="C16" s="32" t="s">
        <v>30</v>
      </c>
      <c r="D16" s="42" t="s">
        <v>34</v>
      </c>
      <c r="E16" s="54">
        <v>0</v>
      </c>
      <c r="F16" s="56">
        <v>0.01</v>
      </c>
      <c r="G16" s="6">
        <f t="shared" ref="G16:G21" si="1">TRUNC($E16*F16,1)</f>
        <v>0</v>
      </c>
      <c r="H16" s="56">
        <v>2.5000000000000001E-2</v>
      </c>
      <c r="I16" s="6">
        <f t="shared" ref="I16:I21" si="2">TRUNC($E16*H16,1)</f>
        <v>0</v>
      </c>
      <c r="J16" s="30">
        <v>0.05</v>
      </c>
      <c r="K16" s="6">
        <f t="shared" ref="K16:K21" si="3">TRUNC($E16*J16,1)</f>
        <v>0</v>
      </c>
      <c r="L16" s="30">
        <v>0.15</v>
      </c>
      <c r="M16" s="6">
        <f t="shared" ref="M16:M21" si="4">TRUNC($E16*L16,1)</f>
        <v>0</v>
      </c>
      <c r="N16" s="29"/>
      <c r="O16" s="29"/>
    </row>
    <row r="17" spans="2:15" ht="12.95" customHeight="1" x14ac:dyDescent="0.3">
      <c r="B17" s="32" t="s">
        <v>36</v>
      </c>
      <c r="C17" s="32" t="s">
        <v>30</v>
      </c>
      <c r="D17" s="42" t="s">
        <v>34</v>
      </c>
      <c r="E17" s="54">
        <v>0</v>
      </c>
      <c r="F17" s="56">
        <v>2.5000000000000001E-2</v>
      </c>
      <c r="G17" s="6">
        <f t="shared" si="1"/>
        <v>0</v>
      </c>
      <c r="H17" s="56">
        <v>0.05</v>
      </c>
      <c r="I17" s="6">
        <f t="shared" si="2"/>
        <v>0</v>
      </c>
      <c r="J17" s="30">
        <v>0.5</v>
      </c>
      <c r="K17" s="6">
        <f t="shared" si="3"/>
        <v>0</v>
      </c>
      <c r="L17" s="30">
        <v>1.5</v>
      </c>
      <c r="M17" s="6">
        <f t="shared" si="4"/>
        <v>0</v>
      </c>
      <c r="N17" s="29"/>
      <c r="O17" s="29"/>
    </row>
    <row r="18" spans="2:15" ht="12.95" customHeight="1" x14ac:dyDescent="0.3">
      <c r="B18" s="32" t="s">
        <v>37</v>
      </c>
      <c r="C18" s="32" t="s">
        <v>30</v>
      </c>
      <c r="D18" s="42" t="s">
        <v>34</v>
      </c>
      <c r="E18" s="54">
        <v>0</v>
      </c>
      <c r="F18" s="56">
        <v>0</v>
      </c>
      <c r="G18" s="6">
        <f t="shared" si="1"/>
        <v>0</v>
      </c>
      <c r="H18" s="56">
        <v>0</v>
      </c>
      <c r="I18" s="6">
        <f t="shared" si="2"/>
        <v>0</v>
      </c>
      <c r="J18" s="30">
        <v>0</v>
      </c>
      <c r="K18" s="6">
        <f t="shared" si="3"/>
        <v>0</v>
      </c>
      <c r="L18" s="30">
        <v>0.5</v>
      </c>
      <c r="M18" s="6">
        <f t="shared" si="4"/>
        <v>0</v>
      </c>
      <c r="N18" s="29"/>
      <c r="O18" s="29"/>
    </row>
    <row r="19" spans="2:15" ht="12.95" customHeight="1" x14ac:dyDescent="0.3">
      <c r="B19" s="32" t="s">
        <v>38</v>
      </c>
      <c r="C19" s="32" t="s">
        <v>30</v>
      </c>
      <c r="D19" s="42" t="s">
        <v>34</v>
      </c>
      <c r="E19" s="54">
        <v>0</v>
      </c>
      <c r="F19" s="56">
        <v>0.01</v>
      </c>
      <c r="G19" s="6">
        <f t="shared" si="1"/>
        <v>0</v>
      </c>
      <c r="H19" s="56">
        <v>2.5000000000000001E-2</v>
      </c>
      <c r="I19" s="6">
        <f t="shared" si="2"/>
        <v>0</v>
      </c>
      <c r="J19" s="30">
        <v>0.05</v>
      </c>
      <c r="K19" s="6">
        <f t="shared" si="3"/>
        <v>0</v>
      </c>
      <c r="L19" s="30">
        <v>0.08</v>
      </c>
      <c r="M19" s="6">
        <f t="shared" si="4"/>
        <v>0</v>
      </c>
      <c r="N19" s="29"/>
      <c r="O19" s="29"/>
    </row>
    <row r="20" spans="2:15" ht="12.95" customHeight="1" x14ac:dyDescent="0.3">
      <c r="B20" s="32" t="s">
        <v>39</v>
      </c>
      <c r="C20" s="32" t="s">
        <v>30</v>
      </c>
      <c r="D20" s="42" t="s">
        <v>34</v>
      </c>
      <c r="E20" s="54">
        <v>0</v>
      </c>
      <c r="F20" s="56">
        <v>0.01</v>
      </c>
      <c r="G20" s="6">
        <f t="shared" si="1"/>
        <v>0</v>
      </c>
      <c r="H20" s="56">
        <v>2.5000000000000001E-2</v>
      </c>
      <c r="I20" s="6">
        <f t="shared" si="2"/>
        <v>0</v>
      </c>
      <c r="J20" s="30">
        <v>0.05</v>
      </c>
      <c r="K20" s="6">
        <f t="shared" si="3"/>
        <v>0</v>
      </c>
      <c r="L20" s="30">
        <v>0.08</v>
      </c>
      <c r="M20" s="6">
        <f t="shared" si="4"/>
        <v>0</v>
      </c>
      <c r="N20" s="29"/>
      <c r="O20" s="29"/>
    </row>
    <row r="21" spans="2:15" ht="12.95" customHeight="1" x14ac:dyDescent="0.3">
      <c r="B21" s="32" t="s">
        <v>40</v>
      </c>
      <c r="C21" s="32" t="s">
        <v>30</v>
      </c>
      <c r="D21" s="42" t="s">
        <v>34</v>
      </c>
      <c r="E21" s="54">
        <v>0</v>
      </c>
      <c r="F21" s="56">
        <v>0.01</v>
      </c>
      <c r="G21" s="6">
        <f t="shared" si="1"/>
        <v>0</v>
      </c>
      <c r="H21" s="56">
        <v>2.5000000000000001E-2</v>
      </c>
      <c r="I21" s="6">
        <f t="shared" si="2"/>
        <v>0</v>
      </c>
      <c r="J21" s="30">
        <v>0.05</v>
      </c>
      <c r="K21" s="6">
        <f t="shared" si="3"/>
        <v>0</v>
      </c>
      <c r="L21" s="30">
        <v>0.08</v>
      </c>
      <c r="M21" s="6">
        <f t="shared" si="4"/>
        <v>0</v>
      </c>
      <c r="N21" s="29"/>
      <c r="O21" s="29"/>
    </row>
    <row r="22" spans="2:15" ht="12.95" customHeight="1" x14ac:dyDescent="0.3">
      <c r="B22" s="24" t="s">
        <v>17</v>
      </c>
      <c r="C22" s="40"/>
      <c r="D22" s="40"/>
      <c r="E22" s="44"/>
      <c r="F22" s="47"/>
      <c r="G22" s="43">
        <f>TRUNC(SUM(G16:G21))</f>
        <v>0</v>
      </c>
      <c r="H22" s="47" t="s">
        <v>43</v>
      </c>
      <c r="I22" s="43">
        <f>TRUNC(SUM(I16:I21))</f>
        <v>0</v>
      </c>
      <c r="J22" s="47" t="s">
        <v>43</v>
      </c>
      <c r="K22" s="43">
        <f>TRUNC(SUM(K16:K21))</f>
        <v>0</v>
      </c>
      <c r="L22" s="47" t="s">
        <v>43</v>
      </c>
      <c r="M22" s="43">
        <f>TRUNC(SUM(M16:M21))</f>
        <v>0</v>
      </c>
      <c r="N22" s="29"/>
      <c r="O22" s="29"/>
    </row>
    <row r="23" spans="2:15" ht="12.95" customHeight="1" x14ac:dyDescent="0.3">
      <c r="B23" s="39"/>
      <c r="C23" s="40"/>
      <c r="D23" s="40"/>
      <c r="E23" s="44"/>
      <c r="F23" s="47"/>
      <c r="G23" s="34"/>
      <c r="H23" s="47"/>
      <c r="I23" s="34"/>
      <c r="J23" s="47"/>
      <c r="K23" s="34"/>
      <c r="L23" s="47"/>
      <c r="M23" s="34"/>
      <c r="N23" s="29"/>
      <c r="O23" s="29"/>
    </row>
    <row r="24" spans="2:15" ht="12.95" customHeight="1" x14ac:dyDescent="0.3">
      <c r="B24" s="13" t="s">
        <v>3</v>
      </c>
      <c r="C24" s="8"/>
      <c r="D24" s="3" t="s">
        <v>16</v>
      </c>
      <c r="E24" s="55">
        <v>295138</v>
      </c>
      <c r="F24" s="30">
        <v>0.16</v>
      </c>
      <c r="G24" s="6">
        <f t="shared" ref="G24:G27" si="5">TRUNC($E24*F24,1)</f>
        <v>47222</v>
      </c>
      <c r="H24" s="30">
        <v>0.18</v>
      </c>
      <c r="I24" s="6">
        <f t="shared" ref="I24:I27" si="6">TRUNC($E24*H24,1)</f>
        <v>53124.800000000003</v>
      </c>
      <c r="J24" s="30">
        <v>0.39</v>
      </c>
      <c r="K24" s="6">
        <f t="shared" ref="K24:K27" si="7">TRUNC($E24*J24,1)</f>
        <v>115103.8</v>
      </c>
      <c r="L24" s="30">
        <v>0.65</v>
      </c>
      <c r="M24" s="6">
        <f t="shared" ref="M24:M27" si="8">TRUNC($E24*L24,1)</f>
        <v>191839.7</v>
      </c>
    </row>
    <row r="25" spans="2:15" ht="12.95" customHeight="1" x14ac:dyDescent="0.3">
      <c r="B25" s="13" t="s">
        <v>28</v>
      </c>
      <c r="C25" s="8"/>
      <c r="D25" s="3" t="s">
        <v>16</v>
      </c>
      <c r="E25" s="53">
        <v>232562</v>
      </c>
      <c r="F25" s="30">
        <v>0.28999999999999998</v>
      </c>
      <c r="G25" s="6">
        <f t="shared" si="5"/>
        <v>67442.899999999994</v>
      </c>
      <c r="H25" s="30">
        <v>0.34</v>
      </c>
      <c r="I25" s="6">
        <f t="shared" si="6"/>
        <v>79071</v>
      </c>
      <c r="J25" s="30">
        <v>0.62</v>
      </c>
      <c r="K25" s="6">
        <f t="shared" si="7"/>
        <v>144188.4</v>
      </c>
      <c r="L25" s="30">
        <v>0.81</v>
      </c>
      <c r="M25" s="6">
        <f t="shared" si="8"/>
        <v>188375.2</v>
      </c>
    </row>
    <row r="26" spans="2:15" ht="12.95" customHeight="1" x14ac:dyDescent="0.3">
      <c r="B26" s="13" t="s">
        <v>23</v>
      </c>
      <c r="C26" s="8"/>
      <c r="D26" s="3" t="s">
        <v>16</v>
      </c>
      <c r="E26" s="45">
        <v>226122</v>
      </c>
      <c r="F26" s="30">
        <v>0.21</v>
      </c>
      <c r="G26" s="6">
        <f t="shared" si="5"/>
        <v>47485.599999999999</v>
      </c>
      <c r="H26" s="30">
        <v>0.24</v>
      </c>
      <c r="I26" s="6">
        <f t="shared" si="6"/>
        <v>54269.2</v>
      </c>
      <c r="J26" s="30">
        <v>0.53</v>
      </c>
      <c r="K26" s="6">
        <f t="shared" si="7"/>
        <v>119844.6</v>
      </c>
      <c r="L26" s="30">
        <v>0.65</v>
      </c>
      <c r="M26" s="6">
        <f t="shared" si="8"/>
        <v>146979.29999999999</v>
      </c>
    </row>
    <row r="27" spans="2:15" ht="12.95" customHeight="1" x14ac:dyDescent="0.3">
      <c r="B27" s="13" t="s">
        <v>0</v>
      </c>
      <c r="C27" s="8"/>
      <c r="D27" s="3" t="s">
        <v>16</v>
      </c>
      <c r="E27" s="45">
        <v>172068</v>
      </c>
      <c r="F27" s="30">
        <v>0.28999999999999998</v>
      </c>
      <c r="G27" s="6">
        <f t="shared" si="5"/>
        <v>49899.7</v>
      </c>
      <c r="H27" s="30">
        <v>0.34</v>
      </c>
      <c r="I27" s="6">
        <f t="shared" si="6"/>
        <v>58503.1</v>
      </c>
      <c r="J27" s="30">
        <v>0.62</v>
      </c>
      <c r="K27" s="6">
        <f t="shared" si="7"/>
        <v>106682.1</v>
      </c>
      <c r="L27" s="30">
        <v>0.81</v>
      </c>
      <c r="M27" s="6">
        <f t="shared" si="8"/>
        <v>139375</v>
      </c>
    </row>
    <row r="28" spans="2:15" ht="12.95" customHeight="1" x14ac:dyDescent="0.3">
      <c r="B28" s="21" t="s">
        <v>18</v>
      </c>
      <c r="C28" s="40"/>
      <c r="D28" s="40"/>
      <c r="E28" s="44"/>
      <c r="F28" s="47"/>
      <c r="G28" s="43">
        <f>TRUNC(SUM(G24:G27))</f>
        <v>212050</v>
      </c>
      <c r="H28" s="47"/>
      <c r="I28" s="43">
        <f>TRUNC(SUM(I24:I27))</f>
        <v>244968</v>
      </c>
      <c r="J28" s="47"/>
      <c r="K28" s="43">
        <f>TRUNC(SUM(K24:K27))</f>
        <v>485818</v>
      </c>
      <c r="L28" s="47"/>
      <c r="M28" s="43">
        <f>TRUNC(SUM(M24:M27))</f>
        <v>666569</v>
      </c>
    </row>
    <row r="29" spans="2:15" ht="12.95" customHeight="1" x14ac:dyDescent="0.3">
      <c r="B29" s="11"/>
      <c r="C29" s="32"/>
      <c r="D29" s="32"/>
      <c r="E29" s="36"/>
      <c r="F29" s="30"/>
      <c r="G29" s="31"/>
      <c r="H29" s="30"/>
      <c r="I29" s="31"/>
      <c r="J29" s="30"/>
      <c r="K29" s="31"/>
      <c r="L29" s="30"/>
      <c r="M29" s="31"/>
    </row>
    <row r="30" spans="2:15" ht="12.95" customHeight="1" x14ac:dyDescent="0.3">
      <c r="B30" s="12" t="s">
        <v>20</v>
      </c>
      <c r="C30" s="41"/>
      <c r="D30" s="41"/>
      <c r="E30" s="37"/>
      <c r="F30" s="37"/>
      <c r="G30" s="38">
        <f>SUM(G22+G28)</f>
        <v>212050</v>
      </c>
      <c r="H30" s="37"/>
      <c r="I30" s="38">
        <f>SUM(I22+I28)</f>
        <v>244968</v>
      </c>
      <c r="J30" s="37"/>
      <c r="K30" s="38">
        <f>SUM(K22+K28)</f>
        <v>485818</v>
      </c>
      <c r="L30" s="37"/>
      <c r="M30" s="38">
        <f>SUM(M22+M28)</f>
        <v>666569</v>
      </c>
    </row>
    <row r="31" spans="2:15" ht="12.95" customHeight="1" x14ac:dyDescent="0.3">
      <c r="B31" s="79" t="s">
        <v>10</v>
      </c>
      <c r="C31" s="81" t="s">
        <v>21</v>
      </c>
      <c r="D31" s="72" t="s">
        <v>15</v>
      </c>
      <c r="E31" s="83" t="s">
        <v>11</v>
      </c>
      <c r="F31" s="77" t="s">
        <v>50</v>
      </c>
      <c r="G31" s="78"/>
      <c r="H31" s="77" t="s">
        <v>51</v>
      </c>
      <c r="I31" s="78"/>
      <c r="J31" s="77" t="s">
        <v>52</v>
      </c>
      <c r="K31" s="78"/>
      <c r="L31" s="77" t="s">
        <v>53</v>
      </c>
      <c r="M31" s="78"/>
    </row>
    <row r="32" spans="2:15" ht="12.95" customHeight="1" x14ac:dyDescent="0.3">
      <c r="B32" s="80"/>
      <c r="C32" s="82"/>
      <c r="D32" s="72"/>
      <c r="E32" s="84"/>
      <c r="F32" s="51" t="s">
        <v>12</v>
      </c>
      <c r="G32" s="52" t="s">
        <v>13</v>
      </c>
      <c r="H32" s="51" t="s">
        <v>12</v>
      </c>
      <c r="I32" s="52" t="s">
        <v>13</v>
      </c>
      <c r="J32" s="51" t="s">
        <v>12</v>
      </c>
      <c r="K32" s="52" t="s">
        <v>13</v>
      </c>
      <c r="L32" s="51" t="s">
        <v>12</v>
      </c>
      <c r="M32" s="52" t="s">
        <v>13</v>
      </c>
    </row>
    <row r="33" spans="2:13" ht="12.95" customHeight="1" x14ac:dyDescent="0.3">
      <c r="B33" s="32" t="s">
        <v>35</v>
      </c>
      <c r="C33" s="32" t="s">
        <v>31</v>
      </c>
      <c r="D33" s="42" t="s">
        <v>34</v>
      </c>
      <c r="E33" s="54">
        <v>0</v>
      </c>
      <c r="F33" s="56">
        <v>0.01</v>
      </c>
      <c r="G33" s="6">
        <f t="shared" ref="G33:G38" si="9">TRUNC($E33*F33,1)</f>
        <v>0</v>
      </c>
      <c r="H33" s="56">
        <v>2.5000000000000001E-2</v>
      </c>
      <c r="I33" s="6">
        <f t="shared" ref="I33:I38" si="10">TRUNC($E33*H33,1)</f>
        <v>0</v>
      </c>
      <c r="J33" s="30">
        <v>0.05</v>
      </c>
      <c r="K33" s="6">
        <f t="shared" ref="K33:K38" si="11">TRUNC($E33*J33,1)</f>
        <v>0</v>
      </c>
      <c r="L33" s="30">
        <v>0.15</v>
      </c>
      <c r="M33" s="6">
        <f t="shared" ref="M33:M38" si="12">TRUNC($E33*L33,1)</f>
        <v>0</v>
      </c>
    </row>
    <row r="34" spans="2:13" ht="12.95" customHeight="1" x14ac:dyDescent="0.3">
      <c r="B34" s="32" t="s">
        <v>36</v>
      </c>
      <c r="C34" s="32" t="s">
        <v>31</v>
      </c>
      <c r="D34" s="42" t="s">
        <v>34</v>
      </c>
      <c r="E34" s="54">
        <v>0</v>
      </c>
      <c r="F34" s="56">
        <v>2.5000000000000001E-2</v>
      </c>
      <c r="G34" s="6">
        <f t="shared" si="9"/>
        <v>0</v>
      </c>
      <c r="H34" s="56">
        <v>0.05</v>
      </c>
      <c r="I34" s="6">
        <f t="shared" si="10"/>
        <v>0</v>
      </c>
      <c r="J34" s="30">
        <v>0.5</v>
      </c>
      <c r="K34" s="6">
        <f t="shared" si="11"/>
        <v>0</v>
      </c>
      <c r="L34" s="30">
        <v>1.5</v>
      </c>
      <c r="M34" s="6">
        <f t="shared" si="12"/>
        <v>0</v>
      </c>
    </row>
    <row r="35" spans="2:13" ht="12.95" customHeight="1" x14ac:dyDescent="0.3">
      <c r="B35" s="32" t="s">
        <v>37</v>
      </c>
      <c r="C35" s="32" t="s">
        <v>31</v>
      </c>
      <c r="D35" s="42" t="s">
        <v>34</v>
      </c>
      <c r="E35" s="54">
        <v>0</v>
      </c>
      <c r="F35" s="56">
        <v>0</v>
      </c>
      <c r="G35" s="6">
        <f t="shared" si="9"/>
        <v>0</v>
      </c>
      <c r="H35" s="56">
        <v>0</v>
      </c>
      <c r="I35" s="6">
        <f t="shared" si="10"/>
        <v>0</v>
      </c>
      <c r="J35" s="30">
        <v>0</v>
      </c>
      <c r="K35" s="6">
        <f t="shared" si="11"/>
        <v>0</v>
      </c>
      <c r="L35" s="30">
        <v>0.5</v>
      </c>
      <c r="M35" s="6">
        <f t="shared" si="12"/>
        <v>0</v>
      </c>
    </row>
    <row r="36" spans="2:13" ht="12.95" customHeight="1" x14ac:dyDescent="0.3">
      <c r="B36" s="32" t="s">
        <v>38</v>
      </c>
      <c r="C36" s="32" t="s">
        <v>31</v>
      </c>
      <c r="D36" s="42" t="s">
        <v>34</v>
      </c>
      <c r="E36" s="54">
        <v>0</v>
      </c>
      <c r="F36" s="56">
        <v>0.01</v>
      </c>
      <c r="G36" s="6">
        <f t="shared" si="9"/>
        <v>0</v>
      </c>
      <c r="H36" s="56">
        <v>2.5000000000000001E-2</v>
      </c>
      <c r="I36" s="6">
        <f t="shared" si="10"/>
        <v>0</v>
      </c>
      <c r="J36" s="30">
        <v>0.05</v>
      </c>
      <c r="K36" s="6">
        <f t="shared" si="11"/>
        <v>0</v>
      </c>
      <c r="L36" s="30">
        <v>0.08</v>
      </c>
      <c r="M36" s="6">
        <f t="shared" si="12"/>
        <v>0</v>
      </c>
    </row>
    <row r="37" spans="2:13" ht="12.95" customHeight="1" x14ac:dyDescent="0.3">
      <c r="B37" s="32" t="s">
        <v>39</v>
      </c>
      <c r="C37" s="32" t="s">
        <v>31</v>
      </c>
      <c r="D37" s="42" t="s">
        <v>34</v>
      </c>
      <c r="E37" s="54">
        <v>0</v>
      </c>
      <c r="F37" s="56">
        <v>0.01</v>
      </c>
      <c r="G37" s="6">
        <f t="shared" si="9"/>
        <v>0</v>
      </c>
      <c r="H37" s="56">
        <v>2.5000000000000001E-2</v>
      </c>
      <c r="I37" s="6">
        <f t="shared" si="10"/>
        <v>0</v>
      </c>
      <c r="J37" s="30">
        <v>0.05</v>
      </c>
      <c r="K37" s="6">
        <f t="shared" si="11"/>
        <v>0</v>
      </c>
      <c r="L37" s="30">
        <v>0.08</v>
      </c>
      <c r="M37" s="6">
        <f t="shared" si="12"/>
        <v>0</v>
      </c>
    </row>
    <row r="38" spans="2:13" ht="12.95" customHeight="1" x14ac:dyDescent="0.3">
      <c r="B38" s="32" t="s">
        <v>40</v>
      </c>
      <c r="C38" s="32" t="s">
        <v>31</v>
      </c>
      <c r="D38" s="42" t="s">
        <v>34</v>
      </c>
      <c r="E38" s="54">
        <v>0</v>
      </c>
      <c r="F38" s="56">
        <v>0.01</v>
      </c>
      <c r="G38" s="6">
        <f t="shared" si="9"/>
        <v>0</v>
      </c>
      <c r="H38" s="56">
        <v>2.5000000000000001E-2</v>
      </c>
      <c r="I38" s="6">
        <f t="shared" si="10"/>
        <v>0</v>
      </c>
      <c r="J38" s="30">
        <v>0.05</v>
      </c>
      <c r="K38" s="6">
        <f t="shared" si="11"/>
        <v>0</v>
      </c>
      <c r="L38" s="30">
        <v>0.08</v>
      </c>
      <c r="M38" s="6">
        <f t="shared" si="12"/>
        <v>0</v>
      </c>
    </row>
    <row r="39" spans="2:13" ht="12.95" customHeight="1" x14ac:dyDescent="0.3">
      <c r="B39" s="24" t="s">
        <v>17</v>
      </c>
      <c r="C39" s="40"/>
      <c r="D39" s="40"/>
      <c r="E39" s="44"/>
      <c r="F39" s="47" t="s">
        <v>43</v>
      </c>
      <c r="G39" s="43">
        <f>TRUNC(SUM(G33:G38))</f>
        <v>0</v>
      </c>
      <c r="H39" s="47" t="s">
        <v>43</v>
      </c>
      <c r="I39" s="43">
        <f>TRUNC(SUM(I33:I38))</f>
        <v>0</v>
      </c>
      <c r="J39" s="47" t="s">
        <v>43</v>
      </c>
      <c r="K39" s="43">
        <f>TRUNC(SUM(K33:K38))</f>
        <v>0</v>
      </c>
      <c r="L39" s="47" t="s">
        <v>43</v>
      </c>
      <c r="M39" s="43">
        <f>TRUNC(SUM(M33:M38))</f>
        <v>0</v>
      </c>
    </row>
    <row r="40" spans="2:13" ht="12.95" customHeight="1" x14ac:dyDescent="0.3">
      <c r="B40" s="39"/>
      <c r="C40" s="40"/>
      <c r="D40" s="40"/>
      <c r="E40" s="44"/>
      <c r="F40" s="47"/>
      <c r="G40" s="34"/>
      <c r="H40" s="47"/>
      <c r="I40" s="34"/>
      <c r="J40" s="47"/>
      <c r="K40" s="34"/>
      <c r="L40" s="47"/>
      <c r="M40" s="34"/>
    </row>
    <row r="41" spans="2:13" ht="12.95" customHeight="1" x14ac:dyDescent="0.3">
      <c r="B41" s="13" t="s">
        <v>3</v>
      </c>
      <c r="C41" s="8"/>
      <c r="D41" s="3" t="s">
        <v>16</v>
      </c>
      <c r="E41" s="55">
        <v>295138</v>
      </c>
      <c r="F41" s="30">
        <v>0.18</v>
      </c>
      <c r="G41" s="6">
        <f t="shared" ref="G41:G44" si="13">TRUNC($E41*F41,1)</f>
        <v>53124.800000000003</v>
      </c>
      <c r="H41" s="30">
        <v>0.21</v>
      </c>
      <c r="I41" s="6">
        <f t="shared" ref="I41:I44" si="14">TRUNC($E41*H41,1)</f>
        <v>61978.9</v>
      </c>
      <c r="J41" s="30">
        <v>0.45</v>
      </c>
      <c r="K41" s="6">
        <f t="shared" ref="K41:K44" si="15">TRUNC($E41*J41,1)</f>
        <v>132812.1</v>
      </c>
      <c r="L41" s="30">
        <v>0.76</v>
      </c>
      <c r="M41" s="6">
        <f t="shared" ref="M41:M44" si="16">TRUNC($E41*L41,1)</f>
        <v>224304.8</v>
      </c>
    </row>
    <row r="42" spans="2:13" ht="12.95" customHeight="1" x14ac:dyDescent="0.3">
      <c r="B42" s="13" t="s">
        <v>28</v>
      </c>
      <c r="C42" s="8"/>
      <c r="D42" s="3" t="s">
        <v>16</v>
      </c>
      <c r="E42" s="53">
        <v>232562</v>
      </c>
      <c r="F42" s="30">
        <v>0.35</v>
      </c>
      <c r="G42" s="6">
        <f t="shared" si="13"/>
        <v>81396.7</v>
      </c>
      <c r="H42" s="30">
        <v>0.4</v>
      </c>
      <c r="I42" s="6">
        <f t="shared" si="14"/>
        <v>93024.8</v>
      </c>
      <c r="J42" s="30">
        <v>0.72</v>
      </c>
      <c r="K42" s="6">
        <f t="shared" si="15"/>
        <v>167444.6</v>
      </c>
      <c r="L42" s="30">
        <v>0.96</v>
      </c>
      <c r="M42" s="6">
        <f t="shared" si="16"/>
        <v>223259.5</v>
      </c>
    </row>
    <row r="43" spans="2:13" ht="12.95" customHeight="1" x14ac:dyDescent="0.3">
      <c r="B43" s="13" t="s">
        <v>23</v>
      </c>
      <c r="C43" s="8"/>
      <c r="D43" s="3" t="s">
        <v>16</v>
      </c>
      <c r="E43" s="45">
        <v>226122</v>
      </c>
      <c r="F43" s="30">
        <v>0.25</v>
      </c>
      <c r="G43" s="6">
        <f t="shared" si="13"/>
        <v>56530.5</v>
      </c>
      <c r="H43" s="30">
        <v>0.28999999999999998</v>
      </c>
      <c r="I43" s="6">
        <f t="shared" si="14"/>
        <v>65575.3</v>
      </c>
      <c r="J43" s="30">
        <v>0.63</v>
      </c>
      <c r="K43" s="6">
        <f t="shared" si="15"/>
        <v>142456.79999999999</v>
      </c>
      <c r="L43" s="30">
        <v>0.76</v>
      </c>
      <c r="M43" s="6">
        <f t="shared" si="16"/>
        <v>171852.7</v>
      </c>
    </row>
    <row r="44" spans="2:13" ht="12.95" customHeight="1" x14ac:dyDescent="0.3">
      <c r="B44" s="13" t="s">
        <v>0</v>
      </c>
      <c r="C44" s="8"/>
      <c r="D44" s="3" t="s">
        <v>16</v>
      </c>
      <c r="E44" s="45">
        <v>172068</v>
      </c>
      <c r="F44" s="30">
        <v>0.35</v>
      </c>
      <c r="G44" s="6">
        <f t="shared" si="13"/>
        <v>60223.8</v>
      </c>
      <c r="H44" s="30">
        <v>0.4</v>
      </c>
      <c r="I44" s="6">
        <f t="shared" si="14"/>
        <v>68827.199999999997</v>
      </c>
      <c r="J44" s="30">
        <v>0.73</v>
      </c>
      <c r="K44" s="6">
        <f t="shared" si="15"/>
        <v>125609.60000000001</v>
      </c>
      <c r="L44" s="30">
        <v>0.96</v>
      </c>
      <c r="M44" s="6">
        <f t="shared" si="16"/>
        <v>165185.20000000001</v>
      </c>
    </row>
    <row r="45" spans="2:13" ht="12.95" customHeight="1" x14ac:dyDescent="0.3">
      <c r="B45" s="21" t="s">
        <v>18</v>
      </c>
      <c r="C45" s="40"/>
      <c r="D45" s="40"/>
      <c r="E45" s="44"/>
      <c r="F45" s="47"/>
      <c r="G45" s="43">
        <f>TRUNC(SUM(G41:G44))</f>
        <v>251275</v>
      </c>
      <c r="H45" s="47"/>
      <c r="I45" s="43">
        <f>TRUNC(SUM(I41:I44))</f>
        <v>289406</v>
      </c>
      <c r="J45" s="47"/>
      <c r="K45" s="43">
        <f>TRUNC(SUM(K41:K44))</f>
        <v>568323</v>
      </c>
      <c r="L45" s="47"/>
      <c r="M45" s="43">
        <f>TRUNC(SUM(M41:M44))</f>
        <v>784602</v>
      </c>
    </row>
    <row r="46" spans="2:13" ht="12.95" customHeight="1" x14ac:dyDescent="0.3">
      <c r="B46" s="11"/>
      <c r="C46" s="32"/>
      <c r="D46" s="32"/>
      <c r="E46" s="36"/>
      <c r="F46" s="30"/>
      <c r="G46" s="31"/>
      <c r="H46" s="30"/>
      <c r="I46" s="31"/>
      <c r="J46" s="30"/>
      <c r="K46" s="31"/>
      <c r="L46" s="30"/>
      <c r="M46" s="31"/>
    </row>
    <row r="47" spans="2:13" ht="12.95" customHeight="1" x14ac:dyDescent="0.3">
      <c r="B47" s="12" t="s">
        <v>20</v>
      </c>
      <c r="C47" s="41"/>
      <c r="D47" s="41"/>
      <c r="E47" s="37"/>
      <c r="F47" s="37"/>
      <c r="G47" s="38">
        <f>SUM(G39+G45)</f>
        <v>251275</v>
      </c>
      <c r="H47" s="37"/>
      <c r="I47" s="38">
        <f>SUM(I39+I45)</f>
        <v>289406</v>
      </c>
      <c r="J47" s="37"/>
      <c r="K47" s="38">
        <f>SUM(K39+K45)</f>
        <v>568323</v>
      </c>
      <c r="L47" s="37"/>
      <c r="M47" s="38">
        <f>SUM(M39+M45)</f>
        <v>784602</v>
      </c>
    </row>
    <row r="49" spans="2:11" ht="12.95" customHeight="1" x14ac:dyDescent="0.3">
      <c r="B49" s="2" t="s">
        <v>54</v>
      </c>
      <c r="C49" s="20"/>
      <c r="D49" s="20"/>
      <c r="E49" s="20"/>
      <c r="F49" s="20"/>
      <c r="G49" s="20"/>
      <c r="H49" s="20"/>
      <c r="I49" s="27"/>
      <c r="K49" s="27" t="s">
        <v>44</v>
      </c>
    </row>
    <row r="50" spans="2:11" ht="12.95" customHeight="1" x14ac:dyDescent="0.3">
      <c r="B50" s="79" t="s">
        <v>10</v>
      </c>
      <c r="C50" s="81" t="s">
        <v>21</v>
      </c>
      <c r="D50" s="72" t="s">
        <v>15</v>
      </c>
      <c r="E50" s="83" t="s">
        <v>11</v>
      </c>
      <c r="F50" s="77" t="s">
        <v>55</v>
      </c>
      <c r="G50" s="78"/>
      <c r="H50" s="77" t="s">
        <v>56</v>
      </c>
      <c r="I50" s="78"/>
      <c r="J50" s="77" t="s">
        <v>57</v>
      </c>
      <c r="K50" s="78"/>
    </row>
    <row r="51" spans="2:11" ht="12.95" customHeight="1" x14ac:dyDescent="0.3">
      <c r="B51" s="80"/>
      <c r="C51" s="82"/>
      <c r="D51" s="72"/>
      <c r="E51" s="84"/>
      <c r="F51" s="51" t="s">
        <v>12</v>
      </c>
      <c r="G51" s="52" t="s">
        <v>13</v>
      </c>
      <c r="H51" s="51" t="s">
        <v>12</v>
      </c>
      <c r="I51" s="52" t="s">
        <v>13</v>
      </c>
      <c r="J51" s="51" t="s">
        <v>12</v>
      </c>
      <c r="K51" s="52" t="s">
        <v>13</v>
      </c>
    </row>
    <row r="52" spans="2:11" ht="12.95" customHeight="1" x14ac:dyDescent="0.3">
      <c r="B52" s="32" t="s">
        <v>60</v>
      </c>
      <c r="C52" s="32" t="s">
        <v>30</v>
      </c>
      <c r="D52" s="42" t="s">
        <v>34</v>
      </c>
      <c r="E52" s="54">
        <v>0</v>
      </c>
      <c r="F52" s="30">
        <v>0.02</v>
      </c>
      <c r="G52" s="6">
        <f t="shared" ref="G52:G57" si="17">TRUNC($E52*F52,1)</f>
        <v>0</v>
      </c>
      <c r="H52" s="56">
        <v>2.5000000000000001E-2</v>
      </c>
      <c r="I52" s="6">
        <f t="shared" ref="I52:I57" si="18">TRUNC($E52*H52,1)</f>
        <v>0</v>
      </c>
      <c r="J52" s="56">
        <v>2.5000000000000001E-2</v>
      </c>
      <c r="K52" s="6">
        <f t="shared" ref="K52:K57" si="19">TRUNC($E52*J52,1)</f>
        <v>0</v>
      </c>
    </row>
    <row r="53" spans="2:11" ht="12.95" customHeight="1" x14ac:dyDescent="0.3">
      <c r="B53" s="32" t="s">
        <v>36</v>
      </c>
      <c r="C53" s="32" t="s">
        <v>30</v>
      </c>
      <c r="D53" s="42" t="s">
        <v>34</v>
      </c>
      <c r="E53" s="54">
        <v>0</v>
      </c>
      <c r="F53" s="30">
        <v>0.8</v>
      </c>
      <c r="G53" s="6">
        <f t="shared" si="17"/>
        <v>0</v>
      </c>
      <c r="H53" s="56">
        <v>1</v>
      </c>
      <c r="I53" s="6">
        <f t="shared" si="18"/>
        <v>0</v>
      </c>
      <c r="J53" s="56">
        <v>1</v>
      </c>
      <c r="K53" s="6">
        <f t="shared" si="19"/>
        <v>0</v>
      </c>
    </row>
    <row r="54" spans="2:11" ht="12.95" customHeight="1" x14ac:dyDescent="0.3">
      <c r="B54" s="32" t="s">
        <v>61</v>
      </c>
      <c r="C54" s="32" t="s">
        <v>30</v>
      </c>
      <c r="D54" s="42" t="s">
        <v>34</v>
      </c>
      <c r="E54" s="54">
        <v>0</v>
      </c>
      <c r="F54" s="30">
        <v>0</v>
      </c>
      <c r="G54" s="6">
        <f t="shared" si="17"/>
        <v>0</v>
      </c>
      <c r="H54" s="56">
        <v>0</v>
      </c>
      <c r="I54" s="6">
        <f t="shared" si="18"/>
        <v>0</v>
      </c>
      <c r="J54" s="56">
        <v>0</v>
      </c>
      <c r="K54" s="6">
        <f t="shared" si="19"/>
        <v>0</v>
      </c>
    </row>
    <row r="55" spans="2:11" ht="12.95" customHeight="1" x14ac:dyDescent="0.3">
      <c r="B55" s="32" t="s">
        <v>62</v>
      </c>
      <c r="C55" s="32" t="s">
        <v>30</v>
      </c>
      <c r="D55" s="42" t="s">
        <v>34</v>
      </c>
      <c r="E55" s="54">
        <v>0</v>
      </c>
      <c r="F55" s="30">
        <v>0.02</v>
      </c>
      <c r="G55" s="6">
        <f t="shared" si="17"/>
        <v>0</v>
      </c>
      <c r="H55" s="56">
        <v>2.5000000000000001E-2</v>
      </c>
      <c r="I55" s="6">
        <f t="shared" si="18"/>
        <v>0</v>
      </c>
      <c r="J55" s="56">
        <v>2.5000000000000001E-2</v>
      </c>
      <c r="K55" s="6">
        <f t="shared" si="19"/>
        <v>0</v>
      </c>
    </row>
    <row r="56" spans="2:11" ht="12.95" customHeight="1" x14ac:dyDescent="0.3">
      <c r="B56" s="32" t="s">
        <v>63</v>
      </c>
      <c r="C56" s="32" t="s">
        <v>30</v>
      </c>
      <c r="D56" s="42" t="s">
        <v>34</v>
      </c>
      <c r="E56" s="54">
        <v>0</v>
      </c>
      <c r="F56" s="30">
        <v>0</v>
      </c>
      <c r="G56" s="6">
        <f t="shared" si="17"/>
        <v>0</v>
      </c>
      <c r="H56" s="56">
        <v>0</v>
      </c>
      <c r="I56" s="6">
        <f t="shared" si="18"/>
        <v>0</v>
      </c>
      <c r="J56" s="56">
        <v>0</v>
      </c>
      <c r="K56" s="6">
        <f t="shared" si="19"/>
        <v>0</v>
      </c>
    </row>
    <row r="57" spans="2:11" ht="12.95" customHeight="1" x14ac:dyDescent="0.3">
      <c r="B57" s="32" t="s">
        <v>64</v>
      </c>
      <c r="C57" s="32" t="s">
        <v>30</v>
      </c>
      <c r="D57" s="42" t="s">
        <v>34</v>
      </c>
      <c r="E57" s="54">
        <v>0</v>
      </c>
      <c r="F57" s="30">
        <v>0.1</v>
      </c>
      <c r="G57" s="6">
        <f t="shared" si="17"/>
        <v>0</v>
      </c>
      <c r="H57" s="56">
        <v>0.1</v>
      </c>
      <c r="I57" s="6">
        <f t="shared" si="18"/>
        <v>0</v>
      </c>
      <c r="J57" s="56">
        <v>0.1</v>
      </c>
      <c r="K57" s="6">
        <f t="shared" si="19"/>
        <v>0</v>
      </c>
    </row>
    <row r="58" spans="2:11" ht="12.95" customHeight="1" x14ac:dyDescent="0.3">
      <c r="B58" s="24" t="s">
        <v>17</v>
      </c>
      <c r="C58" s="40"/>
      <c r="D58" s="40"/>
      <c r="E58" s="44"/>
      <c r="F58" s="47"/>
      <c r="G58" s="43">
        <f>TRUNC(SUM(G52:G57))</f>
        <v>0</v>
      </c>
      <c r="H58" s="47" t="s">
        <v>43</v>
      </c>
      <c r="I58" s="43">
        <f>TRUNC(SUM(I52:I57))</f>
        <v>0</v>
      </c>
      <c r="J58" s="47" t="s">
        <v>43</v>
      </c>
      <c r="K58" s="43">
        <f>TRUNC(SUM(K52:K57))</f>
        <v>0</v>
      </c>
    </row>
    <row r="59" spans="2:11" ht="12.95" customHeight="1" x14ac:dyDescent="0.3">
      <c r="B59" s="39"/>
      <c r="C59" s="40"/>
      <c r="D59" s="40"/>
      <c r="E59" s="44"/>
      <c r="F59" s="47"/>
      <c r="G59" s="34"/>
      <c r="H59" s="47"/>
      <c r="I59" s="34"/>
      <c r="J59" s="47"/>
      <c r="K59" s="34"/>
    </row>
    <row r="60" spans="2:11" ht="12.95" customHeight="1" x14ac:dyDescent="0.3">
      <c r="B60" s="13" t="s">
        <v>3</v>
      </c>
      <c r="C60" s="8"/>
      <c r="D60" s="3" t="s">
        <v>16</v>
      </c>
      <c r="E60" s="55">
        <v>295138</v>
      </c>
      <c r="F60" s="30">
        <v>0.16</v>
      </c>
      <c r="G60" s="6">
        <f t="shared" ref="G60:G63" si="20">TRUNC($E60*F60,1)</f>
        <v>47222</v>
      </c>
      <c r="H60" s="30">
        <v>0.17</v>
      </c>
      <c r="I60" s="6">
        <f t="shared" ref="I60:I63" si="21">TRUNC($E60*H60,1)</f>
        <v>50173.4</v>
      </c>
      <c r="J60" s="30">
        <v>0.17</v>
      </c>
      <c r="K60" s="6">
        <f t="shared" ref="K60:K63" si="22">TRUNC($E60*J60,1)</f>
        <v>50173.4</v>
      </c>
    </row>
    <row r="61" spans="2:11" ht="12.95" customHeight="1" x14ac:dyDescent="0.3">
      <c r="B61" s="13" t="s">
        <v>28</v>
      </c>
      <c r="C61" s="8"/>
      <c r="D61" s="3" t="s">
        <v>16</v>
      </c>
      <c r="E61" s="53">
        <v>232562</v>
      </c>
      <c r="F61" s="30">
        <v>0.3</v>
      </c>
      <c r="G61" s="6">
        <f t="shared" si="20"/>
        <v>69768.600000000006</v>
      </c>
      <c r="H61" s="30">
        <v>0.31</v>
      </c>
      <c r="I61" s="6">
        <f t="shared" si="21"/>
        <v>72094.2</v>
      </c>
      <c r="J61" s="30">
        <v>0.4</v>
      </c>
      <c r="K61" s="6">
        <f t="shared" si="22"/>
        <v>93024.8</v>
      </c>
    </row>
    <row r="62" spans="2:11" ht="12.95" customHeight="1" x14ac:dyDescent="0.3">
      <c r="B62" s="13" t="s">
        <v>23</v>
      </c>
      <c r="C62" s="8"/>
      <c r="D62" s="3" t="s">
        <v>16</v>
      </c>
      <c r="E62" s="45">
        <v>226122</v>
      </c>
      <c r="F62" s="30">
        <v>0.22</v>
      </c>
      <c r="G62" s="6">
        <f t="shared" si="20"/>
        <v>49746.8</v>
      </c>
      <c r="H62" s="30">
        <v>0.24</v>
      </c>
      <c r="I62" s="6">
        <f t="shared" si="21"/>
        <v>54269.2</v>
      </c>
      <c r="J62" s="30">
        <v>0.2</v>
      </c>
      <c r="K62" s="6">
        <f t="shared" si="22"/>
        <v>45224.4</v>
      </c>
    </row>
    <row r="63" spans="2:11" ht="12.95" customHeight="1" x14ac:dyDescent="0.3">
      <c r="B63" s="13" t="s">
        <v>0</v>
      </c>
      <c r="C63" s="8"/>
      <c r="D63" s="3" t="s">
        <v>16</v>
      </c>
      <c r="E63" s="45">
        <v>172068</v>
      </c>
      <c r="F63" s="30">
        <v>0.3</v>
      </c>
      <c r="G63" s="6">
        <f t="shared" si="20"/>
        <v>51620.4</v>
      </c>
      <c r="H63" s="30">
        <v>0.31</v>
      </c>
      <c r="I63" s="6">
        <f t="shared" si="21"/>
        <v>53341</v>
      </c>
      <c r="J63" s="30">
        <v>0.4</v>
      </c>
      <c r="K63" s="6">
        <f t="shared" si="22"/>
        <v>68827.199999999997</v>
      </c>
    </row>
    <row r="64" spans="2:11" ht="12.95" customHeight="1" x14ac:dyDescent="0.3">
      <c r="B64" s="21" t="s">
        <v>18</v>
      </c>
      <c r="C64" s="40"/>
      <c r="D64" s="40"/>
      <c r="E64" s="44"/>
      <c r="F64" s="47"/>
      <c r="G64" s="43">
        <f>TRUNC(SUM(G60:G63))</f>
        <v>218357</v>
      </c>
      <c r="H64" s="47"/>
      <c r="I64" s="43">
        <f>TRUNC(SUM(I60:I63))</f>
        <v>229877</v>
      </c>
      <c r="J64" s="47"/>
      <c r="K64" s="43">
        <f>TRUNC(SUM(K60:K63))</f>
        <v>257249</v>
      </c>
    </row>
    <row r="65" spans="2:11" ht="12.95" customHeight="1" x14ac:dyDescent="0.3">
      <c r="B65" s="11"/>
      <c r="C65" s="32"/>
      <c r="D65" s="32"/>
      <c r="E65" s="36"/>
      <c r="F65" s="30"/>
      <c r="G65" s="31"/>
      <c r="H65" s="30"/>
      <c r="I65" s="31"/>
      <c r="J65" s="30"/>
      <c r="K65" s="31"/>
    </row>
    <row r="66" spans="2:11" ht="12.95" customHeight="1" x14ac:dyDescent="0.3">
      <c r="B66" s="12" t="s">
        <v>20</v>
      </c>
      <c r="C66" s="41"/>
      <c r="D66" s="41"/>
      <c r="E66" s="37"/>
      <c r="F66" s="37"/>
      <c r="G66" s="38">
        <f>SUM(G58+G64)</f>
        <v>218357</v>
      </c>
      <c r="H66" s="37"/>
      <c r="I66" s="38">
        <f>SUM(I58+I64)</f>
        <v>229877</v>
      </c>
      <c r="J66" s="37"/>
      <c r="K66" s="38">
        <f>SUM(K58+K64)</f>
        <v>257249</v>
      </c>
    </row>
    <row r="67" spans="2:11" ht="12.95" customHeight="1" x14ac:dyDescent="0.3">
      <c r="B67" s="79" t="s">
        <v>10</v>
      </c>
      <c r="C67" s="81" t="s">
        <v>21</v>
      </c>
      <c r="D67" s="72" t="s">
        <v>15</v>
      </c>
      <c r="E67" s="83" t="s">
        <v>11</v>
      </c>
      <c r="F67" s="77" t="s">
        <v>58</v>
      </c>
      <c r="G67" s="78"/>
      <c r="H67" s="77" t="s">
        <v>59</v>
      </c>
      <c r="I67" s="78"/>
    </row>
    <row r="68" spans="2:11" ht="12.95" customHeight="1" x14ac:dyDescent="0.3">
      <c r="B68" s="80"/>
      <c r="C68" s="82"/>
      <c r="D68" s="72"/>
      <c r="E68" s="84"/>
      <c r="F68" s="51" t="s">
        <v>12</v>
      </c>
      <c r="G68" s="52" t="s">
        <v>13</v>
      </c>
      <c r="H68" s="51" t="s">
        <v>12</v>
      </c>
      <c r="I68" s="52" t="s">
        <v>13</v>
      </c>
    </row>
    <row r="69" spans="2:11" ht="12.95" customHeight="1" x14ac:dyDescent="0.3">
      <c r="B69" s="32" t="s">
        <v>60</v>
      </c>
      <c r="C69" s="32" t="s">
        <v>30</v>
      </c>
      <c r="D69" s="42" t="s">
        <v>34</v>
      </c>
      <c r="E69" s="54">
        <v>0</v>
      </c>
      <c r="F69" s="30">
        <v>0.04</v>
      </c>
      <c r="G69" s="6">
        <f t="shared" ref="G69:G74" si="23">TRUNC($E69*F69,1)</f>
        <v>0</v>
      </c>
      <c r="H69" s="30">
        <v>0.05</v>
      </c>
      <c r="I69" s="6">
        <f t="shared" ref="I69:I74" si="24">TRUNC($E69*H69,1)</f>
        <v>0</v>
      </c>
    </row>
    <row r="70" spans="2:11" ht="12.95" customHeight="1" x14ac:dyDescent="0.3">
      <c r="B70" s="32" t="s">
        <v>36</v>
      </c>
      <c r="C70" s="32" t="s">
        <v>30</v>
      </c>
      <c r="D70" s="42" t="s">
        <v>34</v>
      </c>
      <c r="E70" s="54">
        <v>0</v>
      </c>
      <c r="F70" s="30">
        <v>0</v>
      </c>
      <c r="G70" s="6">
        <f t="shared" si="23"/>
        <v>0</v>
      </c>
      <c r="H70" s="30">
        <v>0</v>
      </c>
      <c r="I70" s="6">
        <f t="shared" si="24"/>
        <v>0</v>
      </c>
    </row>
    <row r="71" spans="2:11" ht="12.95" customHeight="1" x14ac:dyDescent="0.3">
      <c r="B71" s="32" t="s">
        <v>61</v>
      </c>
      <c r="C71" s="32" t="s">
        <v>30</v>
      </c>
      <c r="D71" s="42" t="s">
        <v>34</v>
      </c>
      <c r="E71" s="54">
        <v>0</v>
      </c>
      <c r="F71" s="30">
        <v>0.1</v>
      </c>
      <c r="G71" s="6">
        <f t="shared" si="23"/>
        <v>0</v>
      </c>
      <c r="H71" s="30">
        <v>0.12</v>
      </c>
      <c r="I71" s="6">
        <f t="shared" si="24"/>
        <v>0</v>
      </c>
    </row>
    <row r="72" spans="2:11" ht="12.95" customHeight="1" x14ac:dyDescent="0.3">
      <c r="B72" s="32" t="s">
        <v>62</v>
      </c>
      <c r="C72" s="32" t="s">
        <v>30</v>
      </c>
      <c r="D72" s="42" t="s">
        <v>34</v>
      </c>
      <c r="E72" s="54">
        <v>0</v>
      </c>
      <c r="F72" s="30">
        <v>0</v>
      </c>
      <c r="G72" s="6">
        <f t="shared" si="23"/>
        <v>0</v>
      </c>
      <c r="H72" s="30">
        <v>0</v>
      </c>
      <c r="I72" s="6">
        <f t="shared" si="24"/>
        <v>0</v>
      </c>
    </row>
    <row r="73" spans="2:11" ht="12.95" customHeight="1" x14ac:dyDescent="0.3">
      <c r="B73" s="32" t="s">
        <v>63</v>
      </c>
      <c r="C73" s="32" t="s">
        <v>30</v>
      </c>
      <c r="D73" s="42" t="s">
        <v>34</v>
      </c>
      <c r="E73" s="54">
        <v>0</v>
      </c>
      <c r="F73" s="30">
        <v>0.03</v>
      </c>
      <c r="G73" s="6">
        <f t="shared" si="23"/>
        <v>0</v>
      </c>
      <c r="H73" s="30">
        <v>0.04</v>
      </c>
      <c r="I73" s="6">
        <f t="shared" si="24"/>
        <v>0</v>
      </c>
    </row>
    <row r="74" spans="2:11" ht="12.95" customHeight="1" x14ac:dyDescent="0.3">
      <c r="B74" s="32" t="s">
        <v>64</v>
      </c>
      <c r="C74" s="32" t="s">
        <v>30</v>
      </c>
      <c r="D74" s="42" t="s">
        <v>34</v>
      </c>
      <c r="E74" s="54">
        <v>0</v>
      </c>
      <c r="F74" s="30">
        <v>0.1</v>
      </c>
      <c r="G74" s="6">
        <f t="shared" si="23"/>
        <v>0</v>
      </c>
      <c r="H74" s="30">
        <v>0.1</v>
      </c>
      <c r="I74" s="6">
        <f t="shared" si="24"/>
        <v>0</v>
      </c>
    </row>
    <row r="75" spans="2:11" ht="12.95" customHeight="1" x14ac:dyDescent="0.3">
      <c r="B75" s="24" t="s">
        <v>17</v>
      </c>
      <c r="C75" s="40"/>
      <c r="D75" s="40"/>
      <c r="E75" s="44"/>
      <c r="F75" s="47"/>
      <c r="G75" s="43">
        <f>TRUNC(SUM(G69:G74))</f>
        <v>0</v>
      </c>
      <c r="H75" s="47" t="s">
        <v>43</v>
      </c>
      <c r="I75" s="43">
        <f>TRUNC(SUM(I69:I74))</f>
        <v>0</v>
      </c>
    </row>
    <row r="76" spans="2:11" ht="12.95" customHeight="1" x14ac:dyDescent="0.3">
      <c r="B76" s="39"/>
      <c r="C76" s="40"/>
      <c r="D76" s="40"/>
      <c r="E76" s="44"/>
      <c r="F76" s="47"/>
      <c r="G76" s="34"/>
      <c r="H76" s="47"/>
      <c r="I76" s="34"/>
    </row>
    <row r="77" spans="2:11" ht="12.95" customHeight="1" x14ac:dyDescent="0.3">
      <c r="B77" s="13" t="s">
        <v>3</v>
      </c>
      <c r="C77" s="8"/>
      <c r="D77" s="3" t="s">
        <v>16</v>
      </c>
      <c r="E77" s="55">
        <v>295138</v>
      </c>
      <c r="F77" s="30">
        <v>0.33</v>
      </c>
      <c r="G77" s="6">
        <f t="shared" ref="G77:G80" si="25">TRUNC($E77*F77,1)</f>
        <v>97395.5</v>
      </c>
      <c r="H77" s="30">
        <v>0.37</v>
      </c>
      <c r="I77" s="6">
        <f t="shared" ref="I77:I80" si="26">TRUNC($E77*H77,1)</f>
        <v>109201</v>
      </c>
    </row>
    <row r="78" spans="2:11" ht="12.95" customHeight="1" x14ac:dyDescent="0.3">
      <c r="B78" s="13" t="s">
        <v>28</v>
      </c>
      <c r="C78" s="8"/>
      <c r="D78" s="3" t="s">
        <v>16</v>
      </c>
      <c r="E78" s="53">
        <v>232562</v>
      </c>
      <c r="F78" s="30">
        <v>0.53</v>
      </c>
      <c r="G78" s="6">
        <f t="shared" si="25"/>
        <v>123257.8</v>
      </c>
      <c r="H78" s="30">
        <v>0.63</v>
      </c>
      <c r="I78" s="6">
        <f t="shared" si="26"/>
        <v>146514</v>
      </c>
    </row>
    <row r="79" spans="2:11" ht="12.95" customHeight="1" x14ac:dyDescent="0.3">
      <c r="B79" s="13" t="s">
        <v>23</v>
      </c>
      <c r="C79" s="8"/>
      <c r="D79" s="3" t="s">
        <v>16</v>
      </c>
      <c r="E79" s="45">
        <v>226122</v>
      </c>
      <c r="F79" s="30">
        <v>0.44</v>
      </c>
      <c r="G79" s="6">
        <f t="shared" si="25"/>
        <v>99493.6</v>
      </c>
      <c r="H79" s="30">
        <v>0.47</v>
      </c>
      <c r="I79" s="6">
        <f t="shared" si="26"/>
        <v>106277.3</v>
      </c>
    </row>
    <row r="80" spans="2:11" ht="12.95" customHeight="1" x14ac:dyDescent="0.3">
      <c r="B80" s="13" t="s">
        <v>0</v>
      </c>
      <c r="C80" s="8"/>
      <c r="D80" s="3" t="s">
        <v>16</v>
      </c>
      <c r="E80" s="45">
        <v>172068</v>
      </c>
      <c r="F80" s="30">
        <v>0.53</v>
      </c>
      <c r="G80" s="6">
        <f t="shared" si="25"/>
        <v>91196</v>
      </c>
      <c r="H80" s="30">
        <v>0.63</v>
      </c>
      <c r="I80" s="6">
        <f t="shared" si="26"/>
        <v>108402.8</v>
      </c>
    </row>
    <row r="81" spans="2:11" ht="12.95" customHeight="1" x14ac:dyDescent="0.3">
      <c r="B81" s="21" t="s">
        <v>18</v>
      </c>
      <c r="C81" s="40"/>
      <c r="D81" s="40"/>
      <c r="E81" s="44"/>
      <c r="F81" s="47"/>
      <c r="G81" s="43">
        <f>TRUNC(SUM(G77:G80))</f>
        <v>411342</v>
      </c>
      <c r="H81" s="47"/>
      <c r="I81" s="43">
        <f>TRUNC(SUM(I77:I80))</f>
        <v>470395</v>
      </c>
    </row>
    <row r="82" spans="2:11" ht="12.95" customHeight="1" x14ac:dyDescent="0.3">
      <c r="B82" s="11"/>
      <c r="C82" s="32"/>
      <c r="D82" s="32"/>
      <c r="E82" s="36"/>
      <c r="F82" s="30"/>
      <c r="G82" s="31"/>
      <c r="H82" s="30"/>
      <c r="I82" s="31"/>
    </row>
    <row r="83" spans="2:11" ht="12.95" customHeight="1" x14ac:dyDescent="0.3">
      <c r="B83" s="12" t="s">
        <v>20</v>
      </c>
      <c r="C83" s="41"/>
      <c r="D83" s="41"/>
      <c r="E83" s="37"/>
      <c r="F83" s="37"/>
      <c r="G83" s="38">
        <f>SUM(G75+G81)</f>
        <v>411342</v>
      </c>
      <c r="H83" s="37"/>
      <c r="I83" s="38">
        <f>SUM(I75+I81)</f>
        <v>470395</v>
      </c>
    </row>
    <row r="84" spans="2:11" ht="12.95" customHeight="1" x14ac:dyDescent="0.3">
      <c r="B84" s="79" t="s">
        <v>10</v>
      </c>
      <c r="C84" s="81" t="s">
        <v>21</v>
      </c>
      <c r="D84" s="72" t="s">
        <v>15</v>
      </c>
      <c r="E84" s="83" t="s">
        <v>11</v>
      </c>
      <c r="F84" s="77" t="s">
        <v>65</v>
      </c>
      <c r="G84" s="78"/>
      <c r="H84" s="77" t="s">
        <v>66</v>
      </c>
      <c r="I84" s="78"/>
      <c r="J84" s="77" t="s">
        <v>67</v>
      </c>
      <c r="K84" s="78"/>
    </row>
    <row r="85" spans="2:11" ht="12.95" customHeight="1" x14ac:dyDescent="0.3">
      <c r="B85" s="80"/>
      <c r="C85" s="82"/>
      <c r="D85" s="72"/>
      <c r="E85" s="84"/>
      <c r="F85" s="51" t="s">
        <v>12</v>
      </c>
      <c r="G85" s="52" t="s">
        <v>13</v>
      </c>
      <c r="H85" s="51" t="s">
        <v>12</v>
      </c>
      <c r="I85" s="52" t="s">
        <v>13</v>
      </c>
      <c r="J85" s="51" t="s">
        <v>12</v>
      </c>
      <c r="K85" s="52" t="s">
        <v>13</v>
      </c>
    </row>
    <row r="86" spans="2:11" ht="12.95" customHeight="1" x14ac:dyDescent="0.3">
      <c r="B86" s="32" t="s">
        <v>60</v>
      </c>
      <c r="C86" s="32" t="s">
        <v>31</v>
      </c>
      <c r="D86" s="42" t="s">
        <v>34</v>
      </c>
      <c r="E86" s="54">
        <v>0</v>
      </c>
      <c r="F86" s="30">
        <v>0.02</v>
      </c>
      <c r="G86" s="6">
        <f t="shared" ref="G86:G91" si="27">TRUNC($E86*F86,1)</f>
        <v>0</v>
      </c>
      <c r="H86" s="56">
        <v>2.5000000000000001E-2</v>
      </c>
      <c r="I86" s="6">
        <f t="shared" ref="I86:I91" si="28">TRUNC($E86*H86,1)</f>
        <v>0</v>
      </c>
      <c r="J86" s="56">
        <v>2.5000000000000001E-2</v>
      </c>
      <c r="K86" s="6">
        <f t="shared" ref="K86:K91" si="29">TRUNC($E86*J86,1)</f>
        <v>0</v>
      </c>
    </row>
    <row r="87" spans="2:11" ht="12.95" customHeight="1" x14ac:dyDescent="0.3">
      <c r="B87" s="32" t="s">
        <v>36</v>
      </c>
      <c r="C87" s="32" t="s">
        <v>31</v>
      </c>
      <c r="D87" s="42" t="s">
        <v>34</v>
      </c>
      <c r="E87" s="54">
        <v>0</v>
      </c>
      <c r="F87" s="30">
        <v>0.8</v>
      </c>
      <c r="G87" s="6">
        <f t="shared" si="27"/>
        <v>0</v>
      </c>
      <c r="H87" s="56">
        <v>1</v>
      </c>
      <c r="I87" s="6">
        <f t="shared" si="28"/>
        <v>0</v>
      </c>
      <c r="J87" s="56">
        <v>1</v>
      </c>
      <c r="K87" s="6">
        <f t="shared" si="29"/>
        <v>0</v>
      </c>
    </row>
    <row r="88" spans="2:11" ht="12.95" customHeight="1" x14ac:dyDescent="0.3">
      <c r="B88" s="32" t="s">
        <v>61</v>
      </c>
      <c r="C88" s="32" t="s">
        <v>31</v>
      </c>
      <c r="D88" s="42" t="s">
        <v>34</v>
      </c>
      <c r="E88" s="54">
        <v>0</v>
      </c>
      <c r="F88" s="30">
        <v>0</v>
      </c>
      <c r="G88" s="6">
        <f t="shared" si="27"/>
        <v>0</v>
      </c>
      <c r="H88" s="56">
        <v>0</v>
      </c>
      <c r="I88" s="6">
        <f t="shared" si="28"/>
        <v>0</v>
      </c>
      <c r="J88" s="56">
        <v>0</v>
      </c>
      <c r="K88" s="6">
        <f t="shared" si="29"/>
        <v>0</v>
      </c>
    </row>
    <row r="89" spans="2:11" ht="12.95" customHeight="1" x14ac:dyDescent="0.3">
      <c r="B89" s="32" t="s">
        <v>62</v>
      </c>
      <c r="C89" s="32" t="s">
        <v>31</v>
      </c>
      <c r="D89" s="42" t="s">
        <v>34</v>
      </c>
      <c r="E89" s="54">
        <v>0</v>
      </c>
      <c r="F89" s="30">
        <v>0.02</v>
      </c>
      <c r="G89" s="6">
        <f t="shared" si="27"/>
        <v>0</v>
      </c>
      <c r="H89" s="56">
        <v>2.5000000000000001E-2</v>
      </c>
      <c r="I89" s="6">
        <f t="shared" si="28"/>
        <v>0</v>
      </c>
      <c r="J89" s="56">
        <v>2.5000000000000001E-2</v>
      </c>
      <c r="K89" s="6">
        <f t="shared" si="29"/>
        <v>0</v>
      </c>
    </row>
    <row r="90" spans="2:11" ht="12.95" customHeight="1" x14ac:dyDescent="0.3">
      <c r="B90" s="32" t="s">
        <v>63</v>
      </c>
      <c r="C90" s="32" t="s">
        <v>31</v>
      </c>
      <c r="D90" s="42" t="s">
        <v>34</v>
      </c>
      <c r="E90" s="54">
        <v>0</v>
      </c>
      <c r="F90" s="30">
        <v>0</v>
      </c>
      <c r="G90" s="6">
        <f t="shared" si="27"/>
        <v>0</v>
      </c>
      <c r="H90" s="56">
        <v>0</v>
      </c>
      <c r="I90" s="6">
        <f t="shared" si="28"/>
        <v>0</v>
      </c>
      <c r="J90" s="56">
        <v>0</v>
      </c>
      <c r="K90" s="6">
        <f t="shared" si="29"/>
        <v>0</v>
      </c>
    </row>
    <row r="91" spans="2:11" ht="12.95" customHeight="1" x14ac:dyDescent="0.3">
      <c r="B91" s="32" t="s">
        <v>64</v>
      </c>
      <c r="C91" s="32" t="s">
        <v>31</v>
      </c>
      <c r="D91" s="42" t="s">
        <v>34</v>
      </c>
      <c r="E91" s="54">
        <v>0</v>
      </c>
      <c r="F91" s="30">
        <v>0.1</v>
      </c>
      <c r="G91" s="6">
        <f t="shared" si="27"/>
        <v>0</v>
      </c>
      <c r="H91" s="56">
        <v>0.1</v>
      </c>
      <c r="I91" s="6">
        <f t="shared" si="28"/>
        <v>0</v>
      </c>
      <c r="J91" s="56">
        <v>0.1</v>
      </c>
      <c r="K91" s="6">
        <f t="shared" si="29"/>
        <v>0</v>
      </c>
    </row>
    <row r="92" spans="2:11" ht="12.95" customHeight="1" x14ac:dyDescent="0.3">
      <c r="B92" s="24" t="s">
        <v>17</v>
      </c>
      <c r="C92" s="40"/>
      <c r="D92" s="40"/>
      <c r="E92" s="44"/>
      <c r="F92" s="47"/>
      <c r="G92" s="43">
        <f>TRUNC(SUM(G86:G91))</f>
        <v>0</v>
      </c>
      <c r="H92" s="47" t="s">
        <v>43</v>
      </c>
      <c r="I92" s="43">
        <f>TRUNC(SUM(I86:I91))</f>
        <v>0</v>
      </c>
      <c r="J92" s="47" t="s">
        <v>43</v>
      </c>
      <c r="K92" s="43">
        <f>TRUNC(SUM(K86:K91))</f>
        <v>0</v>
      </c>
    </row>
    <row r="93" spans="2:11" ht="12.95" customHeight="1" x14ac:dyDescent="0.3">
      <c r="B93" s="39"/>
      <c r="C93" s="40"/>
      <c r="D93" s="40"/>
      <c r="E93" s="44"/>
      <c r="F93" s="47"/>
      <c r="G93" s="34"/>
      <c r="H93" s="47"/>
      <c r="I93" s="34"/>
      <c r="J93" s="47"/>
      <c r="K93" s="34"/>
    </row>
    <row r="94" spans="2:11" ht="12.95" customHeight="1" x14ac:dyDescent="0.3">
      <c r="B94" s="13" t="s">
        <v>3</v>
      </c>
      <c r="C94" s="8"/>
      <c r="D94" s="3" t="s">
        <v>16</v>
      </c>
      <c r="E94" s="55">
        <v>295138</v>
      </c>
      <c r="F94" s="30">
        <v>0.19</v>
      </c>
      <c r="G94" s="6">
        <f t="shared" ref="G94:G97" si="30">TRUNC($E94*F94,1)</f>
        <v>56076.2</v>
      </c>
      <c r="H94" s="30">
        <v>0.21</v>
      </c>
      <c r="I94" s="6">
        <f t="shared" ref="I94:I97" si="31">TRUNC($E94*H94,1)</f>
        <v>61978.9</v>
      </c>
      <c r="J94" s="30">
        <v>0.2</v>
      </c>
      <c r="K94" s="6">
        <f t="shared" ref="K94:K97" si="32">TRUNC($E94*J94,1)</f>
        <v>59027.6</v>
      </c>
    </row>
    <row r="95" spans="2:11" ht="12.95" customHeight="1" x14ac:dyDescent="0.3">
      <c r="B95" s="13" t="s">
        <v>28</v>
      </c>
      <c r="C95" s="8"/>
      <c r="D95" s="3" t="s">
        <v>16</v>
      </c>
      <c r="E95" s="53">
        <v>232562</v>
      </c>
      <c r="F95" s="30">
        <v>0.35</v>
      </c>
      <c r="G95" s="6">
        <f t="shared" si="30"/>
        <v>81396.7</v>
      </c>
      <c r="H95" s="30">
        <v>0.37</v>
      </c>
      <c r="I95" s="6">
        <f t="shared" si="31"/>
        <v>86047.9</v>
      </c>
      <c r="J95" s="30">
        <v>0.47</v>
      </c>
      <c r="K95" s="6">
        <f t="shared" si="32"/>
        <v>109304.1</v>
      </c>
    </row>
    <row r="96" spans="2:11" ht="12.95" customHeight="1" x14ac:dyDescent="0.3">
      <c r="B96" s="13" t="s">
        <v>23</v>
      </c>
      <c r="C96" s="8"/>
      <c r="D96" s="3" t="s">
        <v>16</v>
      </c>
      <c r="E96" s="45">
        <v>226122</v>
      </c>
      <c r="F96" s="30">
        <v>0.26</v>
      </c>
      <c r="G96" s="6">
        <f t="shared" si="30"/>
        <v>58791.7</v>
      </c>
      <c r="H96" s="30">
        <v>0.28000000000000003</v>
      </c>
      <c r="I96" s="6">
        <f t="shared" si="31"/>
        <v>63314.1</v>
      </c>
      <c r="J96" s="30">
        <v>0.24</v>
      </c>
      <c r="K96" s="6">
        <f t="shared" si="32"/>
        <v>54269.2</v>
      </c>
    </row>
    <row r="97" spans="2:11" ht="12.95" customHeight="1" x14ac:dyDescent="0.3">
      <c r="B97" s="13" t="s">
        <v>0</v>
      </c>
      <c r="C97" s="8"/>
      <c r="D97" s="3" t="s">
        <v>16</v>
      </c>
      <c r="E97" s="45">
        <v>172068</v>
      </c>
      <c r="F97" s="30">
        <v>0.35</v>
      </c>
      <c r="G97" s="6">
        <f t="shared" si="30"/>
        <v>60223.8</v>
      </c>
      <c r="H97" s="30">
        <v>0.37</v>
      </c>
      <c r="I97" s="6">
        <f t="shared" si="31"/>
        <v>63665.1</v>
      </c>
      <c r="J97" s="30">
        <v>0.47</v>
      </c>
      <c r="K97" s="6">
        <f t="shared" si="32"/>
        <v>80871.899999999994</v>
      </c>
    </row>
    <row r="98" spans="2:11" ht="12.95" customHeight="1" x14ac:dyDescent="0.3">
      <c r="B98" s="21" t="s">
        <v>18</v>
      </c>
      <c r="C98" s="40"/>
      <c r="D98" s="40"/>
      <c r="E98" s="44"/>
      <c r="F98" s="47"/>
      <c r="G98" s="43">
        <f>TRUNC(SUM(G94:G97))</f>
        <v>256488</v>
      </c>
      <c r="H98" s="47"/>
      <c r="I98" s="43">
        <f>TRUNC(SUM(I94:I97))</f>
        <v>275006</v>
      </c>
      <c r="J98" s="47"/>
      <c r="K98" s="43">
        <f>TRUNC(SUM(K94:K97))</f>
        <v>303472</v>
      </c>
    </row>
    <row r="99" spans="2:11" ht="12.95" customHeight="1" x14ac:dyDescent="0.3">
      <c r="B99" s="11"/>
      <c r="C99" s="32"/>
      <c r="D99" s="32"/>
      <c r="E99" s="36"/>
      <c r="F99" s="30"/>
      <c r="G99" s="31"/>
      <c r="H99" s="30"/>
      <c r="I99" s="31"/>
      <c r="J99" s="30"/>
      <c r="K99" s="31"/>
    </row>
    <row r="100" spans="2:11" ht="12.95" customHeight="1" x14ac:dyDescent="0.3">
      <c r="B100" s="12" t="s">
        <v>20</v>
      </c>
      <c r="C100" s="41"/>
      <c r="D100" s="41"/>
      <c r="E100" s="37"/>
      <c r="F100" s="37"/>
      <c r="G100" s="38">
        <f>SUM(G92+G98)</f>
        <v>256488</v>
      </c>
      <c r="H100" s="37"/>
      <c r="I100" s="38">
        <f>SUM(I92+I98)</f>
        <v>275006</v>
      </c>
      <c r="J100" s="37"/>
      <c r="K100" s="38">
        <f>SUM(K92+K98)</f>
        <v>303472</v>
      </c>
    </row>
    <row r="101" spans="2:11" ht="12.95" customHeight="1" x14ac:dyDescent="0.3">
      <c r="B101" s="79" t="s">
        <v>10</v>
      </c>
      <c r="C101" s="81" t="s">
        <v>21</v>
      </c>
      <c r="D101" s="72" t="s">
        <v>15</v>
      </c>
      <c r="E101" s="83" t="s">
        <v>11</v>
      </c>
      <c r="F101" s="77" t="s">
        <v>68</v>
      </c>
      <c r="G101" s="78"/>
      <c r="H101" s="77" t="s">
        <v>69</v>
      </c>
      <c r="I101" s="78"/>
    </row>
    <row r="102" spans="2:11" ht="12.95" customHeight="1" x14ac:dyDescent="0.3">
      <c r="B102" s="80"/>
      <c r="C102" s="82"/>
      <c r="D102" s="72"/>
      <c r="E102" s="84"/>
      <c r="F102" s="51" t="s">
        <v>12</v>
      </c>
      <c r="G102" s="52" t="s">
        <v>13</v>
      </c>
      <c r="H102" s="51" t="s">
        <v>12</v>
      </c>
      <c r="I102" s="52" t="s">
        <v>13</v>
      </c>
    </row>
    <row r="103" spans="2:11" ht="12.95" customHeight="1" x14ac:dyDescent="0.3">
      <c r="B103" s="32" t="s">
        <v>60</v>
      </c>
      <c r="C103" s="32" t="s">
        <v>32</v>
      </c>
      <c r="D103" s="42" t="s">
        <v>34</v>
      </c>
      <c r="E103" s="54">
        <v>0</v>
      </c>
      <c r="F103" s="30">
        <v>0.04</v>
      </c>
      <c r="G103" s="6">
        <f t="shared" ref="G103:G108" si="33">TRUNC($E103*F103,1)</f>
        <v>0</v>
      </c>
      <c r="H103" s="30">
        <v>0.05</v>
      </c>
      <c r="I103" s="6">
        <f t="shared" ref="I103:I108" si="34">TRUNC($E103*H103,1)</f>
        <v>0</v>
      </c>
    </row>
    <row r="104" spans="2:11" ht="12.95" customHeight="1" x14ac:dyDescent="0.3">
      <c r="B104" s="32" t="s">
        <v>36</v>
      </c>
      <c r="C104" s="32" t="s">
        <v>31</v>
      </c>
      <c r="D104" s="42" t="s">
        <v>34</v>
      </c>
      <c r="E104" s="54">
        <v>0</v>
      </c>
      <c r="F104" s="30">
        <v>0</v>
      </c>
      <c r="G104" s="6">
        <f t="shared" si="33"/>
        <v>0</v>
      </c>
      <c r="H104" s="30">
        <v>0</v>
      </c>
      <c r="I104" s="6">
        <f t="shared" si="34"/>
        <v>0</v>
      </c>
    </row>
    <row r="105" spans="2:11" ht="12.95" customHeight="1" x14ac:dyDescent="0.3">
      <c r="B105" s="32" t="s">
        <v>61</v>
      </c>
      <c r="C105" s="32" t="s">
        <v>31</v>
      </c>
      <c r="D105" s="42" t="s">
        <v>34</v>
      </c>
      <c r="E105" s="54">
        <v>0</v>
      </c>
      <c r="F105" s="30">
        <v>0.1</v>
      </c>
      <c r="G105" s="6">
        <f t="shared" si="33"/>
        <v>0</v>
      </c>
      <c r="H105" s="30">
        <v>0.12</v>
      </c>
      <c r="I105" s="6">
        <f t="shared" si="34"/>
        <v>0</v>
      </c>
    </row>
    <row r="106" spans="2:11" ht="12.95" customHeight="1" x14ac:dyDescent="0.3">
      <c r="B106" s="32" t="s">
        <v>62</v>
      </c>
      <c r="C106" s="32" t="s">
        <v>31</v>
      </c>
      <c r="D106" s="42" t="s">
        <v>34</v>
      </c>
      <c r="E106" s="54">
        <v>0</v>
      </c>
      <c r="F106" s="30">
        <v>0</v>
      </c>
      <c r="G106" s="6">
        <f t="shared" si="33"/>
        <v>0</v>
      </c>
      <c r="H106" s="30">
        <v>0</v>
      </c>
      <c r="I106" s="6">
        <f t="shared" si="34"/>
        <v>0</v>
      </c>
    </row>
    <row r="107" spans="2:11" ht="12.95" customHeight="1" x14ac:dyDescent="0.3">
      <c r="B107" s="32" t="s">
        <v>63</v>
      </c>
      <c r="C107" s="32" t="s">
        <v>31</v>
      </c>
      <c r="D107" s="42" t="s">
        <v>34</v>
      </c>
      <c r="E107" s="54">
        <v>0</v>
      </c>
      <c r="F107" s="30">
        <v>0.03</v>
      </c>
      <c r="G107" s="6">
        <f t="shared" si="33"/>
        <v>0</v>
      </c>
      <c r="H107" s="30">
        <v>0.04</v>
      </c>
      <c r="I107" s="6">
        <f t="shared" si="34"/>
        <v>0</v>
      </c>
    </row>
    <row r="108" spans="2:11" ht="12.95" customHeight="1" x14ac:dyDescent="0.3">
      <c r="B108" s="32" t="s">
        <v>64</v>
      </c>
      <c r="C108" s="32" t="s">
        <v>31</v>
      </c>
      <c r="D108" s="42" t="s">
        <v>34</v>
      </c>
      <c r="E108" s="54">
        <v>0</v>
      </c>
      <c r="F108" s="30">
        <v>0.1</v>
      </c>
      <c r="G108" s="6">
        <f t="shared" si="33"/>
        <v>0</v>
      </c>
      <c r="H108" s="30">
        <v>0.1</v>
      </c>
      <c r="I108" s="6">
        <f t="shared" si="34"/>
        <v>0</v>
      </c>
    </row>
    <row r="109" spans="2:11" ht="12.95" customHeight="1" x14ac:dyDescent="0.3">
      <c r="B109" s="24" t="s">
        <v>17</v>
      </c>
      <c r="C109" s="40"/>
      <c r="D109" s="40"/>
      <c r="E109" s="44"/>
      <c r="F109" s="47"/>
      <c r="G109" s="43">
        <f>TRUNC(SUM(G103:G108))</f>
        <v>0</v>
      </c>
      <c r="H109" s="47" t="s">
        <v>43</v>
      </c>
      <c r="I109" s="43">
        <f>TRUNC(SUM(I103:I108))</f>
        <v>0</v>
      </c>
    </row>
    <row r="110" spans="2:11" ht="12.95" customHeight="1" x14ac:dyDescent="0.3">
      <c r="B110" s="39"/>
      <c r="C110" s="40"/>
      <c r="D110" s="40"/>
      <c r="E110" s="44"/>
      <c r="F110" s="47"/>
      <c r="G110" s="34"/>
      <c r="H110" s="47"/>
      <c r="I110" s="34"/>
    </row>
    <row r="111" spans="2:11" ht="12.95" customHeight="1" x14ac:dyDescent="0.3">
      <c r="B111" s="13" t="s">
        <v>3</v>
      </c>
      <c r="C111" s="8"/>
      <c r="D111" s="3" t="s">
        <v>16</v>
      </c>
      <c r="E111" s="55">
        <v>295138</v>
      </c>
      <c r="F111" s="30">
        <v>0.39</v>
      </c>
      <c r="G111" s="6">
        <f t="shared" ref="G111:G114" si="35">TRUNC($E111*F111,1)</f>
        <v>115103.8</v>
      </c>
      <c r="H111" s="30">
        <v>0.43</v>
      </c>
      <c r="I111" s="6">
        <f t="shared" ref="I111:I114" si="36">TRUNC($E111*H111,1)</f>
        <v>126909.3</v>
      </c>
    </row>
    <row r="112" spans="2:11" ht="12.95" customHeight="1" x14ac:dyDescent="0.3">
      <c r="B112" s="13" t="s">
        <v>28</v>
      </c>
      <c r="C112" s="8"/>
      <c r="D112" s="3" t="s">
        <v>16</v>
      </c>
      <c r="E112" s="53">
        <v>232562</v>
      </c>
      <c r="F112" s="30">
        <v>0.62</v>
      </c>
      <c r="G112" s="6">
        <f t="shared" si="35"/>
        <v>144188.4</v>
      </c>
      <c r="H112" s="30">
        <v>0.75</v>
      </c>
      <c r="I112" s="6">
        <f t="shared" si="36"/>
        <v>174421.5</v>
      </c>
    </row>
    <row r="113" spans="2:9" ht="12.95" customHeight="1" x14ac:dyDescent="0.3">
      <c r="B113" s="13" t="s">
        <v>23</v>
      </c>
      <c r="C113" s="8"/>
      <c r="D113" s="3" t="s">
        <v>16</v>
      </c>
      <c r="E113" s="45">
        <v>226122</v>
      </c>
      <c r="F113" s="30">
        <v>0.51</v>
      </c>
      <c r="G113" s="6">
        <f t="shared" si="35"/>
        <v>115322.2</v>
      </c>
      <c r="H113" s="30">
        <v>0.56000000000000005</v>
      </c>
      <c r="I113" s="6">
        <f t="shared" si="36"/>
        <v>126628.3</v>
      </c>
    </row>
    <row r="114" spans="2:9" ht="12.95" customHeight="1" x14ac:dyDescent="0.3">
      <c r="B114" s="13" t="s">
        <v>0</v>
      </c>
      <c r="C114" s="8"/>
      <c r="D114" s="3" t="s">
        <v>16</v>
      </c>
      <c r="E114" s="45">
        <v>172068</v>
      </c>
      <c r="F114" s="30">
        <v>0.62</v>
      </c>
      <c r="G114" s="6">
        <f t="shared" si="35"/>
        <v>106682.1</v>
      </c>
      <c r="H114" s="30">
        <v>0.75</v>
      </c>
      <c r="I114" s="6">
        <f t="shared" si="36"/>
        <v>129051</v>
      </c>
    </row>
    <row r="115" spans="2:9" ht="12.95" customHeight="1" x14ac:dyDescent="0.3">
      <c r="B115" s="21" t="s">
        <v>18</v>
      </c>
      <c r="C115" s="40"/>
      <c r="D115" s="40"/>
      <c r="E115" s="44"/>
      <c r="F115" s="47"/>
      <c r="G115" s="43">
        <f>TRUNC(SUM(G111:G114))</f>
        <v>481296</v>
      </c>
      <c r="H115" s="47"/>
      <c r="I115" s="43">
        <f>TRUNC(SUM(I111:I114))</f>
        <v>557010</v>
      </c>
    </row>
    <row r="116" spans="2:9" ht="12.95" customHeight="1" x14ac:dyDescent="0.3">
      <c r="B116" s="11"/>
      <c r="C116" s="32"/>
      <c r="D116" s="32"/>
      <c r="E116" s="36"/>
      <c r="F116" s="30"/>
      <c r="G116" s="31"/>
      <c r="H116" s="30"/>
      <c r="I116" s="31"/>
    </row>
    <row r="117" spans="2:9" ht="12.95" customHeight="1" x14ac:dyDescent="0.3">
      <c r="B117" s="12" t="s">
        <v>20</v>
      </c>
      <c r="C117" s="41"/>
      <c r="D117" s="41"/>
      <c r="E117" s="37"/>
      <c r="F117" s="37"/>
      <c r="G117" s="38">
        <f>SUM(G109+G115)</f>
        <v>481296</v>
      </c>
      <c r="H117" s="37"/>
      <c r="I117" s="38">
        <f>SUM(I109+I115)</f>
        <v>557010</v>
      </c>
    </row>
    <row r="119" spans="2:9" ht="12.95" customHeight="1" x14ac:dyDescent="0.3">
      <c r="B119" s="57" t="s">
        <v>70</v>
      </c>
    </row>
    <row r="120" spans="2:9" ht="12.95" customHeight="1" x14ac:dyDescent="0.3">
      <c r="B120" s="2" t="s">
        <v>71</v>
      </c>
      <c r="G120" s="49" t="s">
        <v>79</v>
      </c>
    </row>
    <row r="121" spans="2:9" ht="12.95" customHeight="1" x14ac:dyDescent="0.3">
      <c r="B121" s="79" t="s">
        <v>10</v>
      </c>
      <c r="C121" s="81" t="s">
        <v>21</v>
      </c>
      <c r="D121" s="72" t="s">
        <v>15</v>
      </c>
      <c r="E121" s="83" t="s">
        <v>11</v>
      </c>
      <c r="F121" s="73" t="s">
        <v>12</v>
      </c>
      <c r="G121" s="75" t="s">
        <v>13</v>
      </c>
    </row>
    <row r="122" spans="2:9" ht="12.95" customHeight="1" x14ac:dyDescent="0.3">
      <c r="B122" s="80"/>
      <c r="C122" s="82"/>
      <c r="D122" s="72"/>
      <c r="E122" s="84"/>
      <c r="F122" s="74"/>
      <c r="G122" s="76"/>
    </row>
    <row r="123" spans="2:9" ht="12.95" customHeight="1" x14ac:dyDescent="0.3">
      <c r="B123" s="32" t="s">
        <v>72</v>
      </c>
      <c r="C123" s="32"/>
      <c r="D123" s="42" t="s">
        <v>34</v>
      </c>
      <c r="E123" s="54">
        <v>0</v>
      </c>
      <c r="F123" s="56">
        <v>0.1</v>
      </c>
      <c r="G123" s="6">
        <f t="shared" ref="G123:G125" si="37">TRUNC($E123*F123,1)</f>
        <v>0</v>
      </c>
    </row>
    <row r="124" spans="2:9" ht="12.95" customHeight="1" x14ac:dyDescent="0.3">
      <c r="B124" s="32" t="s">
        <v>73</v>
      </c>
      <c r="C124" s="32"/>
      <c r="D124" s="42" t="s">
        <v>33</v>
      </c>
      <c r="E124" s="54">
        <v>0</v>
      </c>
      <c r="F124" s="56">
        <v>1.4999999999999999E-2</v>
      </c>
      <c r="G124" s="6">
        <f t="shared" si="37"/>
        <v>0</v>
      </c>
    </row>
    <row r="125" spans="2:9" ht="12.95" customHeight="1" x14ac:dyDescent="0.3">
      <c r="B125" s="32" t="s">
        <v>74</v>
      </c>
      <c r="C125" s="32"/>
      <c r="D125" s="42" t="s">
        <v>75</v>
      </c>
      <c r="E125" s="63">
        <v>1505.45</v>
      </c>
      <c r="F125" s="56">
        <v>1</v>
      </c>
      <c r="G125" s="6">
        <f t="shared" si="37"/>
        <v>1505.4</v>
      </c>
    </row>
    <row r="126" spans="2:9" ht="12.95" customHeight="1" x14ac:dyDescent="0.3">
      <c r="B126" s="58" t="s">
        <v>76</v>
      </c>
      <c r="C126" s="59" t="s">
        <v>77</v>
      </c>
      <c r="D126" s="60" t="s">
        <v>78</v>
      </c>
      <c r="E126" s="61"/>
      <c r="F126" s="62">
        <v>30</v>
      </c>
      <c r="G126" s="64">
        <f>TRUNC(E125*F126*0.01,1)</f>
        <v>451.6</v>
      </c>
    </row>
    <row r="127" spans="2:9" ht="12.95" customHeight="1" x14ac:dyDescent="0.3">
      <c r="B127" s="24" t="s">
        <v>17</v>
      </c>
      <c r="C127" s="40"/>
      <c r="D127" s="40"/>
      <c r="E127" s="44"/>
      <c r="F127" s="47"/>
      <c r="G127" s="43">
        <f>TRUNC(SUM(G123:G126))</f>
        <v>1957</v>
      </c>
    </row>
    <row r="128" spans="2:9" ht="12.95" customHeight="1" x14ac:dyDescent="0.3">
      <c r="B128" s="39"/>
      <c r="C128" s="40"/>
      <c r="D128" s="40"/>
      <c r="E128" s="44"/>
      <c r="F128" s="47"/>
      <c r="G128" s="34"/>
    </row>
    <row r="129" spans="2:7" ht="12.95" customHeight="1" x14ac:dyDescent="0.3">
      <c r="B129" s="13" t="s">
        <v>3</v>
      </c>
      <c r="C129" s="8"/>
      <c r="D129" s="3" t="s">
        <v>16</v>
      </c>
      <c r="E129" s="55">
        <v>295138</v>
      </c>
      <c r="F129" s="30">
        <v>0.02</v>
      </c>
      <c r="G129" s="6">
        <f t="shared" ref="G129:G132" si="38">TRUNC($E129*F129,1)</f>
        <v>5902.7</v>
      </c>
    </row>
    <row r="130" spans="2:7" ht="12.95" customHeight="1" x14ac:dyDescent="0.3">
      <c r="B130" s="13" t="s">
        <v>28</v>
      </c>
      <c r="C130" s="8"/>
      <c r="D130" s="3" t="s">
        <v>16</v>
      </c>
      <c r="E130" s="53">
        <v>232562</v>
      </c>
      <c r="F130" s="30">
        <v>7.0000000000000007E-2</v>
      </c>
      <c r="G130" s="6">
        <f t="shared" si="38"/>
        <v>16279.3</v>
      </c>
    </row>
    <row r="131" spans="2:7" ht="12.95" customHeight="1" x14ac:dyDescent="0.3">
      <c r="B131" s="13" t="s">
        <v>23</v>
      </c>
      <c r="C131" s="8"/>
      <c r="D131" s="3" t="s">
        <v>16</v>
      </c>
      <c r="E131" s="45">
        <v>226122</v>
      </c>
      <c r="F131" s="30">
        <v>0.06</v>
      </c>
      <c r="G131" s="6">
        <f t="shared" si="38"/>
        <v>13567.3</v>
      </c>
    </row>
    <row r="132" spans="2:7" ht="12.95" customHeight="1" x14ac:dyDescent="0.3">
      <c r="B132" s="13" t="s">
        <v>0</v>
      </c>
      <c r="C132" s="8"/>
      <c r="D132" s="3" t="s">
        <v>16</v>
      </c>
      <c r="E132" s="45">
        <v>172068</v>
      </c>
      <c r="F132" s="30">
        <v>7.0000000000000007E-2</v>
      </c>
      <c r="G132" s="6">
        <f t="shared" si="38"/>
        <v>12044.7</v>
      </c>
    </row>
    <row r="133" spans="2:7" ht="12.95" customHeight="1" x14ac:dyDescent="0.3">
      <c r="B133" s="21" t="s">
        <v>18</v>
      </c>
      <c r="C133" s="40"/>
      <c r="D133" s="40"/>
      <c r="E133" s="44"/>
      <c r="F133" s="47"/>
      <c r="G133" s="43">
        <f>TRUNC(SUM(G129:G132))</f>
        <v>47794</v>
      </c>
    </row>
    <row r="134" spans="2:7" ht="12.95" customHeight="1" x14ac:dyDescent="0.3">
      <c r="B134" s="11"/>
      <c r="C134" s="32"/>
      <c r="D134" s="32"/>
      <c r="E134" s="36"/>
      <c r="F134" s="30"/>
      <c r="G134" s="31"/>
    </row>
    <row r="135" spans="2:7" ht="12.95" customHeight="1" x14ac:dyDescent="0.3">
      <c r="B135" s="12" t="s">
        <v>20</v>
      </c>
      <c r="C135" s="41"/>
      <c r="D135" s="41"/>
      <c r="E135" s="37"/>
      <c r="F135" s="37"/>
      <c r="G135" s="38">
        <f>SUM(G127+G133)</f>
        <v>49751</v>
      </c>
    </row>
    <row r="137" spans="2:7" ht="12.95" customHeight="1" x14ac:dyDescent="0.3">
      <c r="B137" s="2" t="s">
        <v>80</v>
      </c>
      <c r="G137" s="49" t="s">
        <v>79</v>
      </c>
    </row>
    <row r="138" spans="2:7" ht="12.95" customHeight="1" x14ac:dyDescent="0.3">
      <c r="B138" s="79" t="s">
        <v>10</v>
      </c>
      <c r="C138" s="81" t="s">
        <v>21</v>
      </c>
      <c r="D138" s="72" t="s">
        <v>15</v>
      </c>
      <c r="E138" s="83" t="s">
        <v>11</v>
      </c>
      <c r="F138" s="73" t="s">
        <v>12</v>
      </c>
      <c r="G138" s="75" t="s">
        <v>13</v>
      </c>
    </row>
    <row r="139" spans="2:7" ht="12.95" customHeight="1" x14ac:dyDescent="0.3">
      <c r="B139" s="80"/>
      <c r="C139" s="82"/>
      <c r="D139" s="72"/>
      <c r="E139" s="84"/>
      <c r="F139" s="74"/>
      <c r="G139" s="76"/>
    </row>
    <row r="140" spans="2:7" ht="12.95" customHeight="1" x14ac:dyDescent="0.3">
      <c r="B140" s="32" t="s">
        <v>81</v>
      </c>
      <c r="C140" s="32" t="s">
        <v>82</v>
      </c>
      <c r="D140" s="42" t="s">
        <v>33</v>
      </c>
      <c r="E140" s="54">
        <v>0</v>
      </c>
      <c r="F140" s="30">
        <v>0.1</v>
      </c>
      <c r="G140" s="6">
        <f t="shared" ref="G140:G142" si="39">TRUNC($E140*F140,1)</f>
        <v>0</v>
      </c>
    </row>
    <row r="141" spans="2:7" ht="12.95" customHeight="1" x14ac:dyDescent="0.3">
      <c r="B141" s="32" t="s">
        <v>83</v>
      </c>
      <c r="C141" s="32" t="s">
        <v>84</v>
      </c>
      <c r="D141" s="42" t="s">
        <v>89</v>
      </c>
      <c r="E141" s="54">
        <v>0</v>
      </c>
      <c r="F141" s="30">
        <v>0.15</v>
      </c>
      <c r="G141" s="6">
        <f t="shared" si="39"/>
        <v>0</v>
      </c>
    </row>
    <row r="142" spans="2:7" ht="12.95" customHeight="1" x14ac:dyDescent="0.3">
      <c r="B142" s="32" t="s">
        <v>85</v>
      </c>
      <c r="C142" s="32" t="s">
        <v>86</v>
      </c>
      <c r="D142" s="42" t="s">
        <v>89</v>
      </c>
      <c r="E142" s="54">
        <v>0</v>
      </c>
      <c r="F142" s="30">
        <v>0.2</v>
      </c>
      <c r="G142" s="6">
        <f t="shared" si="39"/>
        <v>0</v>
      </c>
    </row>
    <row r="143" spans="2:7" ht="12.95" customHeight="1" x14ac:dyDescent="0.3">
      <c r="B143" s="58" t="s">
        <v>87</v>
      </c>
      <c r="C143" s="59" t="s">
        <v>88</v>
      </c>
      <c r="D143" s="60" t="s">
        <v>78</v>
      </c>
      <c r="E143" s="61"/>
      <c r="F143" s="62">
        <v>20</v>
      </c>
      <c r="G143" s="64">
        <f>TRUNC(SUM(G140:G142)*F143*0.01,1)</f>
        <v>0</v>
      </c>
    </row>
    <row r="144" spans="2:7" ht="12.95" customHeight="1" x14ac:dyDescent="0.3">
      <c r="B144" s="24" t="s">
        <v>17</v>
      </c>
      <c r="C144" s="40"/>
      <c r="D144" s="40"/>
      <c r="E144" s="44"/>
      <c r="F144" s="47"/>
      <c r="G144" s="43">
        <f>TRUNC(SUM(G140:G143))</f>
        <v>0</v>
      </c>
    </row>
    <row r="145" spans="2:7" ht="12.95" customHeight="1" x14ac:dyDescent="0.3">
      <c r="B145" s="39"/>
      <c r="C145" s="40"/>
      <c r="D145" s="40"/>
      <c r="E145" s="44"/>
      <c r="F145" s="47"/>
      <c r="G145" s="34"/>
    </row>
    <row r="146" spans="2:7" ht="12.95" customHeight="1" x14ac:dyDescent="0.3">
      <c r="B146" s="13" t="s">
        <v>3</v>
      </c>
      <c r="C146" s="8"/>
      <c r="D146" s="3" t="s">
        <v>16</v>
      </c>
      <c r="E146" s="45">
        <v>295138</v>
      </c>
      <c r="F146" s="65">
        <v>0.3</v>
      </c>
      <c r="G146" s="6">
        <f t="shared" ref="G146:G149" si="40">TRUNC($E146*F146,1)</f>
        <v>88541.4</v>
      </c>
    </row>
    <row r="147" spans="2:7" ht="12.95" customHeight="1" x14ac:dyDescent="0.3">
      <c r="B147" s="13" t="s">
        <v>6</v>
      </c>
      <c r="C147" s="8"/>
      <c r="D147" s="3" t="s">
        <v>16</v>
      </c>
      <c r="E147" s="45">
        <v>281075</v>
      </c>
      <c r="F147" s="65">
        <v>0.4</v>
      </c>
      <c r="G147" s="6">
        <f t="shared" si="40"/>
        <v>112430</v>
      </c>
    </row>
    <row r="148" spans="2:7" ht="12.95" customHeight="1" x14ac:dyDescent="0.3">
      <c r="B148" s="13" t="s">
        <v>7</v>
      </c>
      <c r="C148" s="8"/>
      <c r="D148" s="3" t="s">
        <v>16</v>
      </c>
      <c r="E148" s="45">
        <v>250087</v>
      </c>
      <c r="F148" s="65">
        <v>0.4</v>
      </c>
      <c r="G148" s="6">
        <f t="shared" si="40"/>
        <v>100034.8</v>
      </c>
    </row>
    <row r="149" spans="2:7" ht="12.95" customHeight="1" x14ac:dyDescent="0.3">
      <c r="B149" s="13" t="s">
        <v>8</v>
      </c>
      <c r="C149" s="8"/>
      <c r="D149" s="3" t="s">
        <v>16</v>
      </c>
      <c r="E149" s="45">
        <v>218142</v>
      </c>
      <c r="F149" s="65">
        <v>0.4</v>
      </c>
      <c r="G149" s="6">
        <f t="shared" si="40"/>
        <v>87256.8</v>
      </c>
    </row>
    <row r="150" spans="2:7" ht="12.95" customHeight="1" x14ac:dyDescent="0.3">
      <c r="B150" s="21" t="s">
        <v>18</v>
      </c>
      <c r="C150" s="40"/>
      <c r="D150" s="40"/>
      <c r="E150" s="44"/>
      <c r="F150" s="47"/>
      <c r="G150" s="43">
        <f>TRUNC(SUM(G146:G149))</f>
        <v>388263</v>
      </c>
    </row>
    <row r="151" spans="2:7" ht="12.95" customHeight="1" x14ac:dyDescent="0.3">
      <c r="B151" s="11"/>
      <c r="C151" s="32"/>
      <c r="D151" s="32"/>
      <c r="E151" s="36"/>
      <c r="F151" s="30"/>
      <c r="G151" s="31"/>
    </row>
    <row r="152" spans="2:7" ht="12.95" customHeight="1" x14ac:dyDescent="0.3">
      <c r="B152" s="32" t="s">
        <v>90</v>
      </c>
      <c r="C152" s="32"/>
      <c r="D152" s="42" t="s">
        <v>22</v>
      </c>
      <c r="E152" s="46">
        <v>0</v>
      </c>
      <c r="F152" s="65">
        <v>3.2</v>
      </c>
      <c r="G152" s="6">
        <f t="shared" ref="G152" si="41">TRUNC($E152*F152,1)</f>
        <v>0</v>
      </c>
    </row>
    <row r="153" spans="2:7" ht="12.95" customHeight="1" x14ac:dyDescent="0.3">
      <c r="B153" s="24" t="s">
        <v>19</v>
      </c>
      <c r="C153" s="40"/>
      <c r="D153" s="40"/>
      <c r="E153" s="33"/>
      <c r="F153" s="35"/>
      <c r="G153" s="43">
        <f>TRUNC(SUM(G152:G152))</f>
        <v>0</v>
      </c>
    </row>
    <row r="154" spans="2:7" ht="12.95" customHeight="1" x14ac:dyDescent="0.3">
      <c r="B154" s="11"/>
      <c r="C154" s="32"/>
      <c r="D154" s="32"/>
      <c r="E154" s="36"/>
      <c r="F154" s="30"/>
      <c r="G154" s="31"/>
    </row>
    <row r="155" spans="2:7" ht="12.95" customHeight="1" x14ac:dyDescent="0.3">
      <c r="B155" s="12" t="s">
        <v>20</v>
      </c>
      <c r="C155" s="41"/>
      <c r="D155" s="41"/>
      <c r="E155" s="37"/>
      <c r="F155" s="37"/>
      <c r="G155" s="38">
        <f>SUM(G144+G150+G153)</f>
        <v>388263</v>
      </c>
    </row>
    <row r="157" spans="2:7" ht="12.95" customHeight="1" x14ac:dyDescent="0.3">
      <c r="B157" s="2" t="s">
        <v>91</v>
      </c>
      <c r="G157" s="49" t="s">
        <v>79</v>
      </c>
    </row>
    <row r="158" spans="2:7" ht="12.95" customHeight="1" x14ac:dyDescent="0.3">
      <c r="B158" s="79" t="s">
        <v>10</v>
      </c>
      <c r="C158" s="81" t="s">
        <v>21</v>
      </c>
      <c r="D158" s="72" t="s">
        <v>15</v>
      </c>
      <c r="E158" s="83" t="s">
        <v>11</v>
      </c>
      <c r="F158" s="73" t="s">
        <v>12</v>
      </c>
      <c r="G158" s="75" t="s">
        <v>13</v>
      </c>
    </row>
    <row r="159" spans="2:7" ht="12.95" customHeight="1" x14ac:dyDescent="0.3">
      <c r="B159" s="80"/>
      <c r="C159" s="82"/>
      <c r="D159" s="72"/>
      <c r="E159" s="84"/>
      <c r="F159" s="74"/>
      <c r="G159" s="76"/>
    </row>
    <row r="160" spans="2:7" ht="12.95" customHeight="1" x14ac:dyDescent="0.3">
      <c r="B160" s="32" t="s">
        <v>92</v>
      </c>
      <c r="C160" s="32"/>
      <c r="D160" s="42" t="s">
        <v>33</v>
      </c>
      <c r="E160" s="54">
        <v>0</v>
      </c>
      <c r="F160" s="65">
        <v>1</v>
      </c>
      <c r="G160" s="6">
        <f t="shared" ref="G160:G161" si="42">TRUNC($E160*F160,1)</f>
        <v>0</v>
      </c>
    </row>
    <row r="161" spans="2:7" ht="12.95" customHeight="1" x14ac:dyDescent="0.3">
      <c r="B161" s="32" t="s">
        <v>74</v>
      </c>
      <c r="C161" s="32"/>
      <c r="D161" s="42" t="s">
        <v>75</v>
      </c>
      <c r="E161" s="63">
        <v>1505.45</v>
      </c>
      <c r="F161" s="65">
        <v>1</v>
      </c>
      <c r="G161" s="6">
        <f t="shared" si="42"/>
        <v>1505.4</v>
      </c>
    </row>
    <row r="162" spans="2:7" ht="12.95" customHeight="1" x14ac:dyDescent="0.3">
      <c r="B162" s="58" t="s">
        <v>76</v>
      </c>
      <c r="C162" s="59" t="s">
        <v>93</v>
      </c>
      <c r="D162" s="60" t="s">
        <v>78</v>
      </c>
      <c r="E162" s="61"/>
      <c r="F162" s="62">
        <v>60</v>
      </c>
      <c r="G162" s="64">
        <f>TRUNC(E161*F162*0.01,1)</f>
        <v>903.2</v>
      </c>
    </row>
    <row r="163" spans="2:7" ht="12.95" customHeight="1" x14ac:dyDescent="0.3">
      <c r="B163" s="24" t="s">
        <v>17</v>
      </c>
      <c r="C163" s="40"/>
      <c r="D163" s="40"/>
      <c r="E163" s="44"/>
      <c r="F163" s="47"/>
      <c r="G163" s="43">
        <f>TRUNC(SUM(G160:G162))</f>
        <v>2408</v>
      </c>
    </row>
    <row r="164" spans="2:7" ht="12.95" customHeight="1" x14ac:dyDescent="0.3">
      <c r="B164" s="39"/>
      <c r="C164" s="40"/>
      <c r="D164" s="40"/>
      <c r="E164" s="44"/>
      <c r="F164" s="47"/>
      <c r="G164" s="34"/>
    </row>
    <row r="165" spans="2:7" ht="12.95" customHeight="1" x14ac:dyDescent="0.3">
      <c r="B165" s="13" t="s">
        <v>3</v>
      </c>
      <c r="C165" s="8"/>
      <c r="D165" s="3" t="s">
        <v>16</v>
      </c>
      <c r="E165" s="55">
        <v>295138</v>
      </c>
      <c r="F165" s="30">
        <v>0.12</v>
      </c>
      <c r="G165" s="6">
        <f t="shared" ref="G165:G168" si="43">TRUNC($E165*F165,1)</f>
        <v>35416.5</v>
      </c>
    </row>
    <row r="166" spans="2:7" ht="12.95" customHeight="1" x14ac:dyDescent="0.3">
      <c r="B166" s="13" t="s">
        <v>28</v>
      </c>
      <c r="C166" s="8"/>
      <c r="D166" s="3" t="s">
        <v>16</v>
      </c>
      <c r="E166" s="53">
        <v>232562</v>
      </c>
      <c r="F166" s="30">
        <v>0.22</v>
      </c>
      <c r="G166" s="6">
        <f t="shared" si="43"/>
        <v>51163.6</v>
      </c>
    </row>
    <row r="167" spans="2:7" ht="12.95" customHeight="1" x14ac:dyDescent="0.3">
      <c r="B167" s="13" t="s">
        <v>23</v>
      </c>
      <c r="C167" s="8"/>
      <c r="D167" s="3" t="s">
        <v>16</v>
      </c>
      <c r="E167" s="45">
        <v>226122</v>
      </c>
      <c r="F167" s="30">
        <v>0.16</v>
      </c>
      <c r="G167" s="6">
        <f t="shared" si="43"/>
        <v>36179.5</v>
      </c>
    </row>
    <row r="168" spans="2:7" ht="12.95" customHeight="1" x14ac:dyDescent="0.3">
      <c r="B168" s="13" t="s">
        <v>0</v>
      </c>
      <c r="C168" s="8"/>
      <c r="D168" s="3" t="s">
        <v>16</v>
      </c>
      <c r="E168" s="45">
        <v>172068</v>
      </c>
      <c r="F168" s="30">
        <v>0.22</v>
      </c>
      <c r="G168" s="6">
        <f t="shared" si="43"/>
        <v>37854.9</v>
      </c>
    </row>
    <row r="169" spans="2:7" ht="12.95" customHeight="1" x14ac:dyDescent="0.3">
      <c r="B169" s="21" t="s">
        <v>18</v>
      </c>
      <c r="C169" s="40"/>
      <c r="D169" s="40"/>
      <c r="E169" s="44"/>
      <c r="F169" s="47"/>
      <c r="G169" s="43">
        <f>TRUNC(SUM(G165:G168))</f>
        <v>160614</v>
      </c>
    </row>
    <row r="170" spans="2:7" ht="12.95" customHeight="1" x14ac:dyDescent="0.3">
      <c r="B170" s="11"/>
      <c r="C170" s="32"/>
      <c r="D170" s="32"/>
      <c r="E170" s="36"/>
      <c r="F170" s="30"/>
      <c r="G170" s="31"/>
    </row>
    <row r="171" spans="2:7" ht="12.95" customHeight="1" x14ac:dyDescent="0.3">
      <c r="B171" s="12" t="s">
        <v>20</v>
      </c>
      <c r="C171" s="41"/>
      <c r="D171" s="41"/>
      <c r="E171" s="37"/>
      <c r="F171" s="37"/>
      <c r="G171" s="38">
        <f>SUM(G163+G169)</f>
        <v>163022</v>
      </c>
    </row>
    <row r="173" spans="2:7" ht="12.95" customHeight="1" x14ac:dyDescent="0.3">
      <c r="B173" s="2" t="s">
        <v>94</v>
      </c>
      <c r="G173" s="49" t="s">
        <v>79</v>
      </c>
    </row>
    <row r="174" spans="2:7" ht="12.95" customHeight="1" x14ac:dyDescent="0.3">
      <c r="B174" s="79" t="s">
        <v>10</v>
      </c>
      <c r="C174" s="81" t="s">
        <v>21</v>
      </c>
      <c r="D174" s="72" t="s">
        <v>15</v>
      </c>
      <c r="E174" s="83" t="s">
        <v>11</v>
      </c>
      <c r="F174" s="73" t="s">
        <v>12</v>
      </c>
      <c r="G174" s="75" t="s">
        <v>13</v>
      </c>
    </row>
    <row r="175" spans="2:7" ht="12.95" customHeight="1" x14ac:dyDescent="0.3">
      <c r="B175" s="80"/>
      <c r="C175" s="82"/>
      <c r="D175" s="72"/>
      <c r="E175" s="84"/>
      <c r="F175" s="74"/>
      <c r="G175" s="76"/>
    </row>
    <row r="176" spans="2:7" ht="12.95" customHeight="1" x14ac:dyDescent="0.3">
      <c r="B176" s="32" t="s">
        <v>97</v>
      </c>
      <c r="C176" s="32"/>
      <c r="D176" s="42" t="s">
        <v>96</v>
      </c>
      <c r="E176" s="54">
        <v>0</v>
      </c>
      <c r="F176" s="65">
        <v>1</v>
      </c>
      <c r="G176" s="6">
        <f t="shared" ref="G176" si="44">TRUNC($E176*F176,1)</f>
        <v>0</v>
      </c>
    </row>
    <row r="177" spans="2:7" ht="12.95" customHeight="1" x14ac:dyDescent="0.3">
      <c r="B177" s="24" t="s">
        <v>17</v>
      </c>
      <c r="C177" s="40"/>
      <c r="D177" s="40"/>
      <c r="E177" s="44"/>
      <c r="F177" s="47"/>
      <c r="G177" s="43">
        <f>TRUNC(SUM(G176:G176))</f>
        <v>0</v>
      </c>
    </row>
    <row r="178" spans="2:7" ht="12.95" customHeight="1" x14ac:dyDescent="0.3">
      <c r="B178" s="39"/>
      <c r="C178" s="40"/>
      <c r="D178" s="40"/>
      <c r="E178" s="44"/>
      <c r="F178" s="47"/>
      <c r="G178" s="34"/>
    </row>
    <row r="179" spans="2:7" ht="12.95" customHeight="1" x14ac:dyDescent="0.3">
      <c r="B179" s="13" t="s">
        <v>3</v>
      </c>
      <c r="C179" s="8"/>
      <c r="D179" s="3" t="s">
        <v>16</v>
      </c>
      <c r="E179" s="55">
        <v>295138</v>
      </c>
      <c r="F179" s="30">
        <v>1.06</v>
      </c>
      <c r="G179" s="6">
        <f t="shared" ref="G179:G181" si="45">TRUNC($E179*F179,1)</f>
        <v>312846.2</v>
      </c>
    </row>
    <row r="180" spans="2:7" ht="12.95" customHeight="1" x14ac:dyDescent="0.3">
      <c r="B180" s="13" t="s">
        <v>4</v>
      </c>
      <c r="C180" s="8"/>
      <c r="D180" s="3" t="s">
        <v>16</v>
      </c>
      <c r="E180" s="53">
        <v>235459</v>
      </c>
      <c r="F180" s="30">
        <v>1.88</v>
      </c>
      <c r="G180" s="6">
        <f t="shared" si="45"/>
        <v>442662.9</v>
      </c>
    </row>
    <row r="181" spans="2:7" ht="12.95" customHeight="1" x14ac:dyDescent="0.3">
      <c r="B181" s="13" t="s">
        <v>0</v>
      </c>
      <c r="C181" s="8"/>
      <c r="D181" s="3" t="s">
        <v>16</v>
      </c>
      <c r="E181" s="45">
        <v>172068</v>
      </c>
      <c r="F181" s="30">
        <v>2.19</v>
      </c>
      <c r="G181" s="6">
        <f t="shared" si="45"/>
        <v>376828.9</v>
      </c>
    </row>
    <row r="182" spans="2:7" ht="12.95" customHeight="1" x14ac:dyDescent="0.3">
      <c r="B182" s="21" t="s">
        <v>18</v>
      </c>
      <c r="C182" s="40"/>
      <c r="D182" s="40"/>
      <c r="E182" s="44"/>
      <c r="F182" s="47"/>
      <c r="G182" s="43">
        <f>TRUNC(SUM(G179:G181))</f>
        <v>1132338</v>
      </c>
    </row>
    <row r="183" spans="2:7" ht="12.95" customHeight="1" x14ac:dyDescent="0.3">
      <c r="B183" s="11"/>
      <c r="C183" s="32"/>
      <c r="D183" s="32"/>
      <c r="E183" s="36"/>
      <c r="F183" s="30"/>
      <c r="G183" s="31"/>
    </row>
    <row r="184" spans="2:7" ht="12.95" customHeight="1" x14ac:dyDescent="0.3">
      <c r="B184" s="12" t="s">
        <v>20</v>
      </c>
      <c r="C184" s="41"/>
      <c r="D184" s="41"/>
      <c r="E184" s="37"/>
      <c r="F184" s="37"/>
      <c r="G184" s="38">
        <f>SUM(G177+G182)</f>
        <v>1132338</v>
      </c>
    </row>
    <row r="186" spans="2:7" ht="12.95" customHeight="1" x14ac:dyDescent="0.3">
      <c r="B186" s="2" t="s">
        <v>98</v>
      </c>
      <c r="G186" s="49" t="s">
        <v>79</v>
      </c>
    </row>
    <row r="187" spans="2:7" ht="12.95" customHeight="1" x14ac:dyDescent="0.3">
      <c r="B187" s="79" t="s">
        <v>10</v>
      </c>
      <c r="C187" s="81" t="s">
        <v>21</v>
      </c>
      <c r="D187" s="72" t="s">
        <v>15</v>
      </c>
      <c r="E187" s="83" t="s">
        <v>11</v>
      </c>
      <c r="F187" s="73" t="s">
        <v>12</v>
      </c>
      <c r="G187" s="75" t="s">
        <v>13</v>
      </c>
    </row>
    <row r="188" spans="2:7" ht="12.95" customHeight="1" x14ac:dyDescent="0.3">
      <c r="B188" s="80"/>
      <c r="C188" s="82"/>
      <c r="D188" s="72"/>
      <c r="E188" s="84"/>
      <c r="F188" s="74"/>
      <c r="G188" s="76"/>
    </row>
    <row r="189" spans="2:7" ht="12.95" customHeight="1" x14ac:dyDescent="0.3">
      <c r="B189" s="13" t="s">
        <v>3</v>
      </c>
      <c r="C189" s="8"/>
      <c r="D189" s="3" t="s">
        <v>16</v>
      </c>
      <c r="E189" s="55">
        <v>295138</v>
      </c>
      <c r="F189" s="30">
        <v>0.46</v>
      </c>
      <c r="G189" s="6">
        <f t="shared" ref="G189:G191" si="46">TRUNC($E189*F189,1)</f>
        <v>135763.4</v>
      </c>
    </row>
    <row r="190" spans="2:7" ht="12.95" customHeight="1" x14ac:dyDescent="0.3">
      <c r="B190" s="13" t="s">
        <v>4</v>
      </c>
      <c r="C190" s="8"/>
      <c r="D190" s="3" t="s">
        <v>16</v>
      </c>
      <c r="E190" s="53">
        <v>235459</v>
      </c>
      <c r="F190" s="30">
        <v>0.46</v>
      </c>
      <c r="G190" s="6">
        <f t="shared" si="46"/>
        <v>108311.1</v>
      </c>
    </row>
    <row r="191" spans="2:7" ht="12.95" customHeight="1" x14ac:dyDescent="0.3">
      <c r="B191" s="13" t="s">
        <v>0</v>
      </c>
      <c r="C191" s="8"/>
      <c r="D191" s="3" t="s">
        <v>16</v>
      </c>
      <c r="E191" s="45">
        <v>172068</v>
      </c>
      <c r="F191" s="30">
        <v>0.46</v>
      </c>
      <c r="G191" s="6">
        <f t="shared" si="46"/>
        <v>79151.199999999997</v>
      </c>
    </row>
    <row r="192" spans="2:7" ht="12.95" customHeight="1" x14ac:dyDescent="0.3">
      <c r="B192" s="21" t="s">
        <v>18</v>
      </c>
      <c r="C192" s="40"/>
      <c r="D192" s="40"/>
      <c r="E192" s="44"/>
      <c r="F192" s="47"/>
      <c r="G192" s="43">
        <f>TRUNC(SUM(G189:G191))</f>
        <v>323225</v>
      </c>
    </row>
    <row r="193" spans="2:7" ht="12.95" customHeight="1" x14ac:dyDescent="0.3">
      <c r="B193" s="11"/>
      <c r="C193" s="32"/>
      <c r="D193" s="32"/>
      <c r="E193" s="36"/>
      <c r="F193" s="30"/>
      <c r="G193" s="31"/>
    </row>
    <row r="194" spans="2:7" ht="12.95" customHeight="1" x14ac:dyDescent="0.3">
      <c r="B194" s="12" t="s">
        <v>20</v>
      </c>
      <c r="C194" s="41"/>
      <c r="D194" s="41"/>
      <c r="E194" s="37"/>
      <c r="F194" s="37"/>
      <c r="G194" s="38">
        <f>SUM(G192)</f>
        <v>323225</v>
      </c>
    </row>
    <row r="196" spans="2:7" ht="12.95" customHeight="1" x14ac:dyDescent="0.3">
      <c r="B196" s="2" t="s">
        <v>99</v>
      </c>
      <c r="G196" s="49" t="s">
        <v>79</v>
      </c>
    </row>
    <row r="197" spans="2:7" ht="12.95" customHeight="1" x14ac:dyDescent="0.3">
      <c r="B197" s="79" t="s">
        <v>10</v>
      </c>
      <c r="C197" s="81" t="s">
        <v>21</v>
      </c>
      <c r="D197" s="72" t="s">
        <v>15</v>
      </c>
      <c r="E197" s="83" t="s">
        <v>11</v>
      </c>
      <c r="F197" s="73" t="s">
        <v>12</v>
      </c>
      <c r="G197" s="75" t="s">
        <v>13</v>
      </c>
    </row>
    <row r="198" spans="2:7" ht="12.95" customHeight="1" x14ac:dyDescent="0.3">
      <c r="B198" s="80"/>
      <c r="C198" s="82"/>
      <c r="D198" s="72"/>
      <c r="E198" s="84"/>
      <c r="F198" s="74"/>
      <c r="G198" s="76"/>
    </row>
    <row r="199" spans="2:7" ht="12.95" customHeight="1" x14ac:dyDescent="0.3">
      <c r="B199" s="32" t="s">
        <v>100</v>
      </c>
      <c r="C199" s="32"/>
      <c r="D199" s="42" t="s">
        <v>33</v>
      </c>
      <c r="E199" s="54">
        <v>0</v>
      </c>
      <c r="F199" s="65">
        <v>72</v>
      </c>
      <c r="G199" s="6">
        <f t="shared" ref="G199" si="47">TRUNC($E199*F199,1)</f>
        <v>0</v>
      </c>
    </row>
    <row r="200" spans="2:7" ht="12.95" customHeight="1" x14ac:dyDescent="0.3">
      <c r="B200" s="24" t="s">
        <v>17</v>
      </c>
      <c r="C200" s="40"/>
      <c r="D200" s="40"/>
      <c r="E200" s="44"/>
      <c r="F200" s="47"/>
      <c r="G200" s="43">
        <f>TRUNC(SUM(G199:G199))</f>
        <v>0</v>
      </c>
    </row>
    <row r="201" spans="2:7" ht="12.95" customHeight="1" x14ac:dyDescent="0.3">
      <c r="B201" s="39"/>
      <c r="C201" s="40"/>
      <c r="D201" s="40"/>
      <c r="E201" s="44"/>
      <c r="F201" s="47"/>
      <c r="G201" s="34"/>
    </row>
    <row r="202" spans="2:7" ht="12.95" customHeight="1" x14ac:dyDescent="0.3">
      <c r="B202" s="13" t="s">
        <v>3</v>
      </c>
      <c r="C202" s="8"/>
      <c r="D202" s="3" t="s">
        <v>16</v>
      </c>
      <c r="E202" s="55">
        <v>295138</v>
      </c>
      <c r="F202" s="30">
        <v>4.2</v>
      </c>
      <c r="G202" s="6">
        <f t="shared" ref="G202:G204" si="48">TRUNC($E202*F202,1)</f>
        <v>1239579.6000000001</v>
      </c>
    </row>
    <row r="203" spans="2:7" ht="12.95" customHeight="1" x14ac:dyDescent="0.3">
      <c r="B203" s="13" t="s">
        <v>4</v>
      </c>
      <c r="C203" s="8"/>
      <c r="D203" s="3" t="s">
        <v>16</v>
      </c>
      <c r="E203" s="53">
        <v>235459</v>
      </c>
      <c r="F203" s="30">
        <v>4.41</v>
      </c>
      <c r="G203" s="6">
        <f t="shared" si="48"/>
        <v>1038374.1</v>
      </c>
    </row>
    <row r="204" spans="2:7" ht="12.95" customHeight="1" x14ac:dyDescent="0.3">
      <c r="B204" s="13" t="s">
        <v>0</v>
      </c>
      <c r="C204" s="8"/>
      <c r="D204" s="3" t="s">
        <v>16</v>
      </c>
      <c r="E204" s="45">
        <v>172068</v>
      </c>
      <c r="F204" s="30">
        <v>4.0999999999999996</v>
      </c>
      <c r="G204" s="6">
        <f t="shared" si="48"/>
        <v>705478.8</v>
      </c>
    </row>
    <row r="205" spans="2:7" ht="12.95" customHeight="1" x14ac:dyDescent="0.3">
      <c r="B205" s="21" t="s">
        <v>18</v>
      </c>
      <c r="C205" s="40"/>
      <c r="D205" s="40"/>
      <c r="E205" s="44"/>
      <c r="F205" s="47"/>
      <c r="G205" s="43">
        <f>TRUNC(SUM(G202:G204))</f>
        <v>2983432</v>
      </c>
    </row>
    <row r="206" spans="2:7" ht="12.95" customHeight="1" x14ac:dyDescent="0.3">
      <c r="B206" s="11"/>
      <c r="C206" s="32"/>
      <c r="D206" s="32"/>
      <c r="E206" s="36"/>
      <c r="F206" s="30"/>
      <c r="G206" s="31"/>
    </row>
    <row r="207" spans="2:7" ht="12.95" customHeight="1" x14ac:dyDescent="0.3">
      <c r="B207" s="12" t="s">
        <v>20</v>
      </c>
      <c r="C207" s="41"/>
      <c r="D207" s="41"/>
      <c r="E207" s="37"/>
      <c r="F207" s="37"/>
      <c r="G207" s="38">
        <f>SUM(G200+G205)</f>
        <v>2983432</v>
      </c>
    </row>
    <row r="209" spans="2:7" ht="12.95" customHeight="1" x14ac:dyDescent="0.3">
      <c r="B209" s="2" t="s">
        <v>101</v>
      </c>
      <c r="G209" s="49" t="s">
        <v>27</v>
      </c>
    </row>
    <row r="210" spans="2:7" ht="12.95" customHeight="1" x14ac:dyDescent="0.3">
      <c r="B210" s="79" t="s">
        <v>10</v>
      </c>
      <c r="C210" s="81" t="s">
        <v>21</v>
      </c>
      <c r="D210" s="72" t="s">
        <v>15</v>
      </c>
      <c r="E210" s="83" t="s">
        <v>11</v>
      </c>
      <c r="F210" s="73" t="s">
        <v>12</v>
      </c>
      <c r="G210" s="75" t="s">
        <v>13</v>
      </c>
    </row>
    <row r="211" spans="2:7" ht="12.95" customHeight="1" x14ac:dyDescent="0.3">
      <c r="B211" s="80"/>
      <c r="C211" s="82"/>
      <c r="D211" s="72"/>
      <c r="E211" s="84"/>
      <c r="F211" s="74"/>
      <c r="G211" s="76"/>
    </row>
    <row r="212" spans="2:7" ht="12.95" customHeight="1" x14ac:dyDescent="0.3">
      <c r="B212" s="13" t="s">
        <v>3</v>
      </c>
      <c r="C212" s="8"/>
      <c r="D212" s="3" t="s">
        <v>16</v>
      </c>
      <c r="E212" s="55">
        <v>295138</v>
      </c>
      <c r="F212" s="65">
        <v>1.5</v>
      </c>
      <c r="G212" s="6">
        <f t="shared" ref="G212:G215" si="49">TRUNC($E212*F212,1)</f>
        <v>442707</v>
      </c>
    </row>
    <row r="213" spans="2:7" ht="12.95" customHeight="1" x14ac:dyDescent="0.3">
      <c r="B213" s="13" t="s">
        <v>6</v>
      </c>
      <c r="C213" s="8"/>
      <c r="D213" s="3" t="s">
        <v>16</v>
      </c>
      <c r="E213" s="53">
        <v>281075</v>
      </c>
      <c r="F213" s="65">
        <v>1.5</v>
      </c>
      <c r="G213" s="6">
        <f t="shared" si="49"/>
        <v>421612.5</v>
      </c>
    </row>
    <row r="214" spans="2:7" ht="12.95" customHeight="1" x14ac:dyDescent="0.3">
      <c r="B214" s="13" t="s">
        <v>7</v>
      </c>
      <c r="C214" s="8"/>
      <c r="D214" s="3" t="s">
        <v>16</v>
      </c>
      <c r="E214" s="55">
        <v>250087</v>
      </c>
      <c r="F214" s="65">
        <v>1</v>
      </c>
      <c r="G214" s="6">
        <f t="shared" si="49"/>
        <v>250087</v>
      </c>
    </row>
    <row r="215" spans="2:7" ht="12.95" customHeight="1" x14ac:dyDescent="0.3">
      <c r="B215" s="13" t="s">
        <v>8</v>
      </c>
      <c r="C215" s="8"/>
      <c r="D215" s="3" t="s">
        <v>16</v>
      </c>
      <c r="E215" s="55">
        <v>218142</v>
      </c>
      <c r="F215" s="65">
        <v>1</v>
      </c>
      <c r="G215" s="6">
        <f t="shared" si="49"/>
        <v>218142</v>
      </c>
    </row>
    <row r="216" spans="2:7" ht="12.95" customHeight="1" x14ac:dyDescent="0.3">
      <c r="B216" s="21" t="s">
        <v>18</v>
      </c>
      <c r="C216" s="40"/>
      <c r="D216" s="40"/>
      <c r="E216" s="44"/>
      <c r="F216" s="47"/>
      <c r="G216" s="43">
        <f>TRUNC(SUM(G212:G215))</f>
        <v>1332548</v>
      </c>
    </row>
    <row r="217" spans="2:7" ht="12.95" customHeight="1" x14ac:dyDescent="0.3">
      <c r="B217" s="11"/>
      <c r="C217" s="32"/>
      <c r="D217" s="32"/>
      <c r="E217" s="36"/>
      <c r="F217" s="30"/>
      <c r="G217" s="31"/>
    </row>
    <row r="218" spans="2:7" ht="12.95" customHeight="1" x14ac:dyDescent="0.3">
      <c r="B218" s="12" t="s">
        <v>20</v>
      </c>
      <c r="C218" s="41"/>
      <c r="D218" s="41"/>
      <c r="E218" s="37"/>
      <c r="F218" s="37"/>
      <c r="G218" s="38">
        <f>SUM(G216)</f>
        <v>1332548</v>
      </c>
    </row>
    <row r="220" spans="2:7" ht="12.95" customHeight="1" x14ac:dyDescent="0.3">
      <c r="B220" s="1" t="s">
        <v>102</v>
      </c>
    </row>
    <row r="221" spans="2:7" ht="12.95" customHeight="1" x14ac:dyDescent="0.3">
      <c r="B221" s="2" t="s">
        <v>103</v>
      </c>
      <c r="G221" s="49" t="s">
        <v>104</v>
      </c>
    </row>
    <row r="222" spans="2:7" ht="12.95" customHeight="1" x14ac:dyDescent="0.3">
      <c r="B222" s="79" t="s">
        <v>10</v>
      </c>
      <c r="C222" s="81" t="s">
        <v>21</v>
      </c>
      <c r="D222" s="72" t="s">
        <v>15</v>
      </c>
      <c r="E222" s="83" t="s">
        <v>11</v>
      </c>
      <c r="F222" s="73" t="s">
        <v>12</v>
      </c>
      <c r="G222" s="75" t="s">
        <v>13</v>
      </c>
    </row>
    <row r="223" spans="2:7" ht="12.95" customHeight="1" x14ac:dyDescent="0.3">
      <c r="B223" s="80"/>
      <c r="C223" s="82"/>
      <c r="D223" s="72"/>
      <c r="E223" s="84"/>
      <c r="F223" s="74"/>
      <c r="G223" s="76"/>
    </row>
    <row r="224" spans="2:7" ht="12.95" customHeight="1" x14ac:dyDescent="0.3">
      <c r="B224" s="13" t="s">
        <v>5</v>
      </c>
      <c r="C224" s="8"/>
      <c r="D224" s="3" t="s">
        <v>16</v>
      </c>
      <c r="E224" s="55">
        <v>467217</v>
      </c>
      <c r="F224" s="65">
        <v>3.8</v>
      </c>
      <c r="G224" s="6">
        <f t="shared" ref="G224:G229" si="50">TRUNC($E224*F224,1)</f>
        <v>1775424.6</v>
      </c>
    </row>
    <row r="225" spans="2:7" ht="12.95" customHeight="1" x14ac:dyDescent="0.3">
      <c r="B225" s="13" t="s">
        <v>1</v>
      </c>
      <c r="C225" s="8"/>
      <c r="D225" s="3" t="s">
        <v>16</v>
      </c>
      <c r="E225" s="55">
        <v>373353</v>
      </c>
      <c r="F225" s="65">
        <v>5.0999999999999996</v>
      </c>
      <c r="G225" s="6">
        <f t="shared" si="50"/>
        <v>1904100.3</v>
      </c>
    </row>
    <row r="226" spans="2:7" ht="12.95" customHeight="1" x14ac:dyDescent="0.3">
      <c r="B226" s="13" t="s">
        <v>2</v>
      </c>
      <c r="C226" s="8"/>
      <c r="D226" s="3" t="s">
        <v>16</v>
      </c>
      <c r="E226" s="55">
        <v>310884</v>
      </c>
      <c r="F226" s="65">
        <v>10.8</v>
      </c>
      <c r="G226" s="6">
        <f t="shared" si="50"/>
        <v>3357547.2</v>
      </c>
    </row>
    <row r="227" spans="2:7" ht="12.95" customHeight="1" x14ac:dyDescent="0.3">
      <c r="B227" s="13" t="s">
        <v>3</v>
      </c>
      <c r="C227" s="8"/>
      <c r="D227" s="3" t="s">
        <v>16</v>
      </c>
      <c r="E227" s="55">
        <v>295138</v>
      </c>
      <c r="F227" s="65">
        <v>14.6</v>
      </c>
      <c r="G227" s="6">
        <f t="shared" si="50"/>
        <v>4309014.8</v>
      </c>
    </row>
    <row r="228" spans="2:7" ht="12.95" customHeight="1" x14ac:dyDescent="0.3">
      <c r="B228" s="13" t="s">
        <v>23</v>
      </c>
      <c r="C228" s="8"/>
      <c r="D228" s="3" t="s">
        <v>16</v>
      </c>
      <c r="E228" s="55">
        <v>226122</v>
      </c>
      <c r="F228" s="65">
        <v>3.8</v>
      </c>
      <c r="G228" s="6">
        <f t="shared" si="50"/>
        <v>859263.6</v>
      </c>
    </row>
    <row r="229" spans="2:7" ht="12.95" customHeight="1" x14ac:dyDescent="0.3">
      <c r="B229" s="13" t="s">
        <v>0</v>
      </c>
      <c r="C229" s="8"/>
      <c r="D229" s="3" t="s">
        <v>16</v>
      </c>
      <c r="E229" s="55">
        <v>172068</v>
      </c>
      <c r="F229" s="65">
        <v>13.3</v>
      </c>
      <c r="G229" s="6">
        <f t="shared" si="50"/>
        <v>2288504.4</v>
      </c>
    </row>
    <row r="230" spans="2:7" ht="12.95" customHeight="1" x14ac:dyDescent="0.3">
      <c r="B230" s="21" t="s">
        <v>18</v>
      </c>
      <c r="C230" s="40"/>
      <c r="D230" s="40"/>
      <c r="E230" s="44"/>
      <c r="F230" s="47"/>
      <c r="G230" s="43">
        <f>TRUNC(SUM(G224:G229))</f>
        <v>14493854</v>
      </c>
    </row>
    <row r="231" spans="2:7" ht="12.95" customHeight="1" x14ac:dyDescent="0.3">
      <c r="B231" s="11"/>
      <c r="C231" s="32"/>
      <c r="D231" s="32"/>
      <c r="E231" s="36"/>
      <c r="F231" s="30"/>
      <c r="G231" s="31"/>
    </row>
    <row r="232" spans="2:7" ht="12.95" customHeight="1" x14ac:dyDescent="0.3">
      <c r="B232" s="12" t="s">
        <v>20</v>
      </c>
      <c r="C232" s="41"/>
      <c r="D232" s="41"/>
      <c r="E232" s="37"/>
      <c r="F232" s="37"/>
      <c r="G232" s="38">
        <f>SUM(G230)</f>
        <v>14493854</v>
      </c>
    </row>
    <row r="234" spans="2:7" ht="12.95" customHeight="1" x14ac:dyDescent="0.3">
      <c r="B234" s="2" t="s">
        <v>105</v>
      </c>
      <c r="G234" s="49" t="s">
        <v>104</v>
      </c>
    </row>
    <row r="235" spans="2:7" ht="12.95" customHeight="1" x14ac:dyDescent="0.3">
      <c r="B235" s="79" t="s">
        <v>10</v>
      </c>
      <c r="C235" s="81" t="s">
        <v>21</v>
      </c>
      <c r="D235" s="72" t="s">
        <v>15</v>
      </c>
      <c r="E235" s="83" t="s">
        <v>11</v>
      </c>
      <c r="F235" s="73" t="s">
        <v>12</v>
      </c>
      <c r="G235" s="75" t="s">
        <v>13</v>
      </c>
    </row>
    <row r="236" spans="2:7" ht="12.95" customHeight="1" x14ac:dyDescent="0.3">
      <c r="B236" s="80"/>
      <c r="C236" s="82"/>
      <c r="D236" s="72"/>
      <c r="E236" s="84"/>
      <c r="F236" s="74"/>
      <c r="G236" s="76"/>
    </row>
    <row r="237" spans="2:7" ht="12.95" customHeight="1" x14ac:dyDescent="0.3">
      <c r="B237" s="13" t="s">
        <v>5</v>
      </c>
      <c r="C237" s="8"/>
      <c r="D237" s="3" t="s">
        <v>16</v>
      </c>
      <c r="E237" s="55">
        <v>467217</v>
      </c>
      <c r="F237" s="65">
        <v>3.9</v>
      </c>
      <c r="G237" s="6">
        <f t="shared" ref="G237:G242" si="51">TRUNC($E237*F237,1)</f>
        <v>1822146.3</v>
      </c>
    </row>
    <row r="238" spans="2:7" ht="12.95" customHeight="1" x14ac:dyDescent="0.3">
      <c r="B238" s="13" t="s">
        <v>1</v>
      </c>
      <c r="C238" s="8"/>
      <c r="D238" s="3" t="s">
        <v>16</v>
      </c>
      <c r="E238" s="55">
        <v>373353</v>
      </c>
      <c r="F238" s="65">
        <v>5.2</v>
      </c>
      <c r="G238" s="6">
        <f t="shared" si="51"/>
        <v>1941435.6</v>
      </c>
    </row>
    <row r="239" spans="2:7" ht="12.95" customHeight="1" x14ac:dyDescent="0.3">
      <c r="B239" s="13" t="s">
        <v>2</v>
      </c>
      <c r="C239" s="8"/>
      <c r="D239" s="3" t="s">
        <v>16</v>
      </c>
      <c r="E239" s="55">
        <v>310884</v>
      </c>
      <c r="F239" s="65">
        <v>10.4</v>
      </c>
      <c r="G239" s="6">
        <f t="shared" si="51"/>
        <v>3233193.6</v>
      </c>
    </row>
    <row r="240" spans="2:7" ht="12.95" customHeight="1" x14ac:dyDescent="0.3">
      <c r="B240" s="13" t="s">
        <v>3</v>
      </c>
      <c r="C240" s="8"/>
      <c r="D240" s="3" t="s">
        <v>16</v>
      </c>
      <c r="E240" s="55">
        <v>295138</v>
      </c>
      <c r="F240" s="65">
        <v>20.2</v>
      </c>
      <c r="G240" s="6">
        <f t="shared" si="51"/>
        <v>5961787.5999999996</v>
      </c>
    </row>
    <row r="241" spans="2:11" ht="12.95" customHeight="1" x14ac:dyDescent="0.3">
      <c r="B241" s="13" t="s">
        <v>23</v>
      </c>
      <c r="C241" s="8"/>
      <c r="D241" s="3" t="s">
        <v>16</v>
      </c>
      <c r="E241" s="55">
        <v>226122</v>
      </c>
      <c r="F241" s="65">
        <v>6.5</v>
      </c>
      <c r="G241" s="6">
        <f t="shared" si="51"/>
        <v>1469793</v>
      </c>
    </row>
    <row r="242" spans="2:11" ht="12.95" customHeight="1" x14ac:dyDescent="0.3">
      <c r="B242" s="13" t="s">
        <v>0</v>
      </c>
      <c r="C242" s="8"/>
      <c r="D242" s="3" t="s">
        <v>16</v>
      </c>
      <c r="E242" s="55">
        <v>172068</v>
      </c>
      <c r="F242" s="65">
        <v>16.3</v>
      </c>
      <c r="G242" s="6">
        <f t="shared" si="51"/>
        <v>2804708.4</v>
      </c>
    </row>
    <row r="243" spans="2:11" ht="12.95" customHeight="1" x14ac:dyDescent="0.3">
      <c r="B243" s="21" t="s">
        <v>18</v>
      </c>
      <c r="C243" s="40"/>
      <c r="D243" s="40"/>
      <c r="E243" s="44"/>
      <c r="F243" s="47"/>
      <c r="G243" s="43">
        <f>TRUNC(SUM(G237:G242))</f>
        <v>17233064</v>
      </c>
    </row>
    <row r="244" spans="2:11" ht="12.95" customHeight="1" x14ac:dyDescent="0.3">
      <c r="B244" s="11"/>
      <c r="C244" s="32"/>
      <c r="D244" s="32"/>
      <c r="E244" s="36"/>
      <c r="F244" s="30"/>
      <c r="G244" s="31"/>
    </row>
    <row r="245" spans="2:11" ht="12.95" customHeight="1" x14ac:dyDescent="0.3">
      <c r="B245" s="12" t="s">
        <v>20</v>
      </c>
      <c r="C245" s="41"/>
      <c r="D245" s="41"/>
      <c r="E245" s="37"/>
      <c r="F245" s="37"/>
      <c r="G245" s="38">
        <f>SUM(G243)</f>
        <v>17233064</v>
      </c>
    </row>
    <row r="247" spans="2:11" ht="12.95" customHeight="1" x14ac:dyDescent="0.3">
      <c r="B247" s="1" t="s">
        <v>106</v>
      </c>
    </row>
    <row r="248" spans="2:11" ht="12.95" customHeight="1" x14ac:dyDescent="0.3">
      <c r="B248" s="2" t="s">
        <v>107</v>
      </c>
      <c r="C248" s="20"/>
      <c r="D248" s="20"/>
      <c r="E248" s="20"/>
      <c r="F248" s="20"/>
      <c r="G248" s="20"/>
      <c r="H248" s="20"/>
      <c r="I248" s="27"/>
      <c r="K248" s="27" t="s">
        <v>44</v>
      </c>
    </row>
    <row r="249" spans="2:11" ht="12.95" customHeight="1" x14ac:dyDescent="0.3">
      <c r="B249" s="79" t="s">
        <v>10</v>
      </c>
      <c r="C249" s="81" t="s">
        <v>21</v>
      </c>
      <c r="D249" s="73" t="s">
        <v>15</v>
      </c>
      <c r="E249" s="83" t="s">
        <v>11</v>
      </c>
      <c r="F249" s="77" t="s">
        <v>108</v>
      </c>
      <c r="G249" s="78"/>
      <c r="H249" s="78"/>
      <c r="I249" s="78"/>
      <c r="J249" s="78"/>
      <c r="K249" s="78"/>
    </row>
    <row r="250" spans="2:11" ht="12.95" customHeight="1" x14ac:dyDescent="0.3">
      <c r="B250" s="85"/>
      <c r="C250" s="86"/>
      <c r="D250" s="87"/>
      <c r="E250" s="88"/>
      <c r="F250" s="77" t="s">
        <v>109</v>
      </c>
      <c r="G250" s="78"/>
      <c r="H250" s="77" t="s">
        <v>110</v>
      </c>
      <c r="I250" s="78"/>
      <c r="J250" s="77" t="s">
        <v>111</v>
      </c>
      <c r="K250" s="78"/>
    </row>
    <row r="251" spans="2:11" ht="12.95" customHeight="1" x14ac:dyDescent="0.3">
      <c r="B251" s="80"/>
      <c r="C251" s="82"/>
      <c r="D251" s="74"/>
      <c r="E251" s="84"/>
      <c r="F251" s="51" t="s">
        <v>12</v>
      </c>
      <c r="G251" s="52" t="s">
        <v>13</v>
      </c>
      <c r="H251" s="51" t="s">
        <v>12</v>
      </c>
      <c r="I251" s="52" t="s">
        <v>13</v>
      </c>
      <c r="J251" s="51" t="s">
        <v>12</v>
      </c>
      <c r="K251" s="52" t="s">
        <v>13</v>
      </c>
    </row>
    <row r="252" spans="2:11" ht="12.95" customHeight="1" x14ac:dyDescent="0.3">
      <c r="B252" s="32" t="s">
        <v>112</v>
      </c>
      <c r="C252" s="32"/>
      <c r="D252" s="42" t="s">
        <v>33</v>
      </c>
      <c r="E252" s="54">
        <v>0</v>
      </c>
      <c r="F252" s="66">
        <v>3.2000000000000002E-3</v>
      </c>
      <c r="G252" s="6">
        <f t="shared" ref="G252:G254" si="52">TRUNC($E252*F252,1)</f>
        <v>0</v>
      </c>
      <c r="H252" s="66">
        <v>3.2000000000000002E-3</v>
      </c>
      <c r="I252" s="6">
        <f t="shared" ref="I252:I254" si="53">TRUNC($E252*H252,1)</f>
        <v>0</v>
      </c>
      <c r="J252" s="66">
        <v>3.2000000000000002E-3</v>
      </c>
      <c r="K252" s="6">
        <f t="shared" ref="K252:K254" si="54">TRUNC($E252*J252,1)</f>
        <v>0</v>
      </c>
    </row>
    <row r="253" spans="2:11" ht="12.95" customHeight="1" x14ac:dyDescent="0.3">
      <c r="B253" s="32" t="s">
        <v>113</v>
      </c>
      <c r="C253" s="32"/>
      <c r="D253" s="42" t="s">
        <v>95</v>
      </c>
      <c r="E253" s="54">
        <v>0</v>
      </c>
      <c r="F253" s="30">
        <v>0.35</v>
      </c>
      <c r="G253" s="6">
        <f t="shared" si="52"/>
        <v>0</v>
      </c>
      <c r="H253" s="30">
        <v>0.53</v>
      </c>
      <c r="I253" s="6">
        <f t="shared" si="53"/>
        <v>0</v>
      </c>
      <c r="J253" s="30">
        <v>0.7</v>
      </c>
      <c r="K253" s="6">
        <f t="shared" si="54"/>
        <v>0</v>
      </c>
    </row>
    <row r="254" spans="2:11" ht="12.95" customHeight="1" x14ac:dyDescent="0.3">
      <c r="B254" s="32" t="s">
        <v>9</v>
      </c>
      <c r="C254" s="32" t="s">
        <v>114</v>
      </c>
      <c r="D254" s="42" t="s">
        <v>22</v>
      </c>
      <c r="E254" s="55">
        <v>89197</v>
      </c>
      <c r="F254" s="30">
        <v>0.21</v>
      </c>
      <c r="G254" s="6">
        <f t="shared" si="52"/>
        <v>18731.3</v>
      </c>
      <c r="H254" s="30">
        <v>0.25</v>
      </c>
      <c r="I254" s="6">
        <f t="shared" si="53"/>
        <v>22299.200000000001</v>
      </c>
      <c r="J254" s="30">
        <v>0.3</v>
      </c>
      <c r="K254" s="6">
        <f t="shared" si="54"/>
        <v>26759.1</v>
      </c>
    </row>
    <row r="255" spans="2:11" ht="12.95" customHeight="1" x14ac:dyDescent="0.3">
      <c r="B255" s="24" t="s">
        <v>17</v>
      </c>
      <c r="C255" s="40"/>
      <c r="D255" s="40"/>
      <c r="E255" s="44"/>
      <c r="F255" s="47"/>
      <c r="G255" s="43">
        <f>TRUNC(SUM(G252:G254))</f>
        <v>18731</v>
      </c>
      <c r="H255" s="47"/>
      <c r="I255" s="43">
        <f>TRUNC(SUM(I252:I254))</f>
        <v>22299</v>
      </c>
      <c r="J255" s="47"/>
      <c r="K255" s="43">
        <f>TRUNC(SUM(K252:K254))</f>
        <v>26759</v>
      </c>
    </row>
    <row r="256" spans="2:11" ht="12.95" customHeight="1" x14ac:dyDescent="0.3">
      <c r="B256" s="39"/>
      <c r="C256" s="40"/>
      <c r="D256" s="40"/>
      <c r="E256" s="44"/>
      <c r="F256" s="47"/>
      <c r="G256" s="34"/>
      <c r="H256" s="47"/>
      <c r="I256" s="34"/>
      <c r="J256" s="47"/>
      <c r="K256" s="34"/>
    </row>
    <row r="257" spans="2:11" ht="12.95" customHeight="1" x14ac:dyDescent="0.3">
      <c r="B257" s="13" t="s">
        <v>3</v>
      </c>
      <c r="C257" s="8"/>
      <c r="D257" s="3" t="s">
        <v>16</v>
      </c>
      <c r="E257" s="55">
        <v>295138</v>
      </c>
      <c r="F257" s="30">
        <v>0.01</v>
      </c>
      <c r="G257" s="6">
        <f t="shared" ref="G257:G262" si="55">TRUNC($E257*F257,1)</f>
        <v>2951.3</v>
      </c>
      <c r="H257" s="30">
        <v>0.02</v>
      </c>
      <c r="I257" s="6">
        <f t="shared" ref="I257:I262" si="56">TRUNC($E257*H257,1)</f>
        <v>5902.7</v>
      </c>
      <c r="J257" s="30">
        <v>0.02</v>
      </c>
      <c r="K257" s="6">
        <f t="shared" ref="K257:K262" si="57">TRUNC($E257*J257,1)</f>
        <v>5902.7</v>
      </c>
    </row>
    <row r="258" spans="2:11" ht="12.95" customHeight="1" x14ac:dyDescent="0.3">
      <c r="B258" s="13" t="s">
        <v>7</v>
      </c>
      <c r="C258" s="8"/>
      <c r="D258" s="3" t="s">
        <v>16</v>
      </c>
      <c r="E258" s="55">
        <v>250087</v>
      </c>
      <c r="F258" s="30">
        <v>0.05</v>
      </c>
      <c r="G258" s="6">
        <f t="shared" si="55"/>
        <v>12504.3</v>
      </c>
      <c r="H258" s="30">
        <v>0.06</v>
      </c>
      <c r="I258" s="6">
        <f t="shared" si="56"/>
        <v>15005.2</v>
      </c>
      <c r="J258" s="30">
        <v>0.08</v>
      </c>
      <c r="K258" s="6">
        <f t="shared" si="57"/>
        <v>20006.900000000001</v>
      </c>
    </row>
    <row r="259" spans="2:11" ht="12.95" customHeight="1" x14ac:dyDescent="0.3">
      <c r="B259" s="13" t="s">
        <v>28</v>
      </c>
      <c r="C259" s="8"/>
      <c r="D259" s="3" t="s">
        <v>16</v>
      </c>
      <c r="E259" s="55">
        <v>232562</v>
      </c>
      <c r="F259" s="30">
        <v>0.05</v>
      </c>
      <c r="G259" s="6">
        <f t="shared" si="55"/>
        <v>11628.1</v>
      </c>
      <c r="H259" s="30">
        <v>0.06</v>
      </c>
      <c r="I259" s="6">
        <f t="shared" si="56"/>
        <v>13953.7</v>
      </c>
      <c r="J259" s="30">
        <v>0.08</v>
      </c>
      <c r="K259" s="6">
        <f t="shared" si="57"/>
        <v>18604.900000000001</v>
      </c>
    </row>
    <row r="260" spans="2:11" ht="12.95" customHeight="1" x14ac:dyDescent="0.3">
      <c r="B260" s="13" t="s">
        <v>23</v>
      </c>
      <c r="C260" s="8"/>
      <c r="D260" s="3" t="s">
        <v>16</v>
      </c>
      <c r="E260" s="55">
        <v>226122</v>
      </c>
      <c r="F260" s="30">
        <v>0.03</v>
      </c>
      <c r="G260" s="6">
        <f t="shared" si="55"/>
        <v>6783.6</v>
      </c>
      <c r="H260" s="30">
        <v>0.03</v>
      </c>
      <c r="I260" s="6">
        <f t="shared" si="56"/>
        <v>6783.6</v>
      </c>
      <c r="J260" s="30">
        <v>0.04</v>
      </c>
      <c r="K260" s="6">
        <f t="shared" si="57"/>
        <v>9044.7999999999993</v>
      </c>
    </row>
    <row r="261" spans="2:11" ht="12.95" customHeight="1" x14ac:dyDescent="0.3">
      <c r="B261" s="13" t="s">
        <v>0</v>
      </c>
      <c r="C261" s="8"/>
      <c r="D261" s="3" t="s">
        <v>16</v>
      </c>
      <c r="E261" s="55">
        <v>172068</v>
      </c>
      <c r="F261" s="30">
        <v>0.05</v>
      </c>
      <c r="G261" s="6">
        <f t="shared" si="55"/>
        <v>8603.4</v>
      </c>
      <c r="H261" s="30">
        <v>0.06</v>
      </c>
      <c r="I261" s="6">
        <f t="shared" si="56"/>
        <v>10324</v>
      </c>
      <c r="J261" s="30">
        <v>0.08</v>
      </c>
      <c r="K261" s="6">
        <f t="shared" si="57"/>
        <v>13765.4</v>
      </c>
    </row>
    <row r="262" spans="2:11" ht="12.95" customHeight="1" x14ac:dyDescent="0.3">
      <c r="B262" s="32" t="s">
        <v>9</v>
      </c>
      <c r="C262" s="32" t="s">
        <v>114</v>
      </c>
      <c r="D262" s="42" t="s">
        <v>22</v>
      </c>
      <c r="E262" s="55">
        <v>58925</v>
      </c>
      <c r="F262" s="30">
        <v>0.21</v>
      </c>
      <c r="G262" s="6">
        <f t="shared" si="55"/>
        <v>12374.2</v>
      </c>
      <c r="H262" s="30">
        <v>0.25</v>
      </c>
      <c r="I262" s="6">
        <f t="shared" si="56"/>
        <v>14731.2</v>
      </c>
      <c r="J262" s="30">
        <v>0.3</v>
      </c>
      <c r="K262" s="6">
        <f t="shared" si="57"/>
        <v>17677.5</v>
      </c>
    </row>
    <row r="263" spans="2:11" ht="12.95" customHeight="1" x14ac:dyDescent="0.3">
      <c r="B263" s="21" t="s">
        <v>18</v>
      </c>
      <c r="C263" s="40"/>
      <c r="D263" s="40"/>
      <c r="E263" s="44"/>
      <c r="F263" s="47"/>
      <c r="G263" s="43">
        <f>TRUNC(SUM(G257:G262))</f>
        <v>54844</v>
      </c>
      <c r="H263" s="47"/>
      <c r="I263" s="43">
        <f>TRUNC(SUM(I257:I262))</f>
        <v>66700</v>
      </c>
      <c r="J263" s="47" t="s">
        <v>43</v>
      </c>
      <c r="K263" s="43">
        <f>TRUNC(SUM(K257:K262))</f>
        <v>85002</v>
      </c>
    </row>
    <row r="264" spans="2:11" ht="12.95" customHeight="1" x14ac:dyDescent="0.3">
      <c r="B264" s="39"/>
      <c r="C264" s="40"/>
      <c r="D264" s="40"/>
      <c r="E264" s="44"/>
      <c r="F264" s="47"/>
      <c r="G264" s="34"/>
      <c r="H264" s="47"/>
      <c r="I264" s="34"/>
      <c r="J264" s="47"/>
      <c r="K264" s="34"/>
    </row>
    <row r="265" spans="2:11" ht="12.95" customHeight="1" x14ac:dyDescent="0.3">
      <c r="B265" s="32" t="s">
        <v>9</v>
      </c>
      <c r="C265" s="32" t="s">
        <v>114</v>
      </c>
      <c r="D265" s="42" t="s">
        <v>22</v>
      </c>
      <c r="E265" s="55">
        <v>157250</v>
      </c>
      <c r="F265" s="30">
        <v>0.21</v>
      </c>
      <c r="G265" s="6">
        <f t="shared" ref="G265" si="58">TRUNC($E265*F265,1)</f>
        <v>33022.5</v>
      </c>
      <c r="H265" s="30">
        <v>0.25</v>
      </c>
      <c r="I265" s="6">
        <f t="shared" ref="I265" si="59">TRUNC($E265*H265,1)</f>
        <v>39312.5</v>
      </c>
      <c r="J265" s="30">
        <v>0.3</v>
      </c>
      <c r="K265" s="6">
        <f t="shared" ref="K265" si="60">TRUNC($E265*J265,1)</f>
        <v>47175</v>
      </c>
    </row>
    <row r="266" spans="2:11" ht="12.95" customHeight="1" x14ac:dyDescent="0.3">
      <c r="B266" s="24" t="s">
        <v>19</v>
      </c>
      <c r="C266" s="40"/>
      <c r="D266" s="40"/>
      <c r="E266" s="33"/>
      <c r="F266" s="35"/>
      <c r="G266" s="43">
        <f>TRUNC(SUM(G265:G265))</f>
        <v>33022</v>
      </c>
      <c r="H266" s="35"/>
      <c r="I266" s="43">
        <f>TRUNC(SUM(I265:I265))</f>
        <v>39312</v>
      </c>
      <c r="J266" s="35"/>
      <c r="K266" s="43">
        <f>TRUNC(SUM(K265:K265))</f>
        <v>47175</v>
      </c>
    </row>
    <row r="267" spans="2:11" ht="12.95" customHeight="1" x14ac:dyDescent="0.3">
      <c r="B267" s="11"/>
      <c r="C267" s="32"/>
      <c r="D267" s="32"/>
      <c r="E267" s="36"/>
      <c r="F267" s="30"/>
      <c r="G267" s="31"/>
      <c r="H267" s="30"/>
      <c r="I267" s="31"/>
      <c r="J267" s="30"/>
      <c r="K267" s="31"/>
    </row>
    <row r="268" spans="2:11" ht="12.95" customHeight="1" x14ac:dyDescent="0.3">
      <c r="B268" s="12" t="s">
        <v>20</v>
      </c>
      <c r="C268" s="41"/>
      <c r="D268" s="41"/>
      <c r="E268" s="37"/>
      <c r="F268" s="37"/>
      <c r="G268" s="38">
        <f>SUM(G255+G263+G266)</f>
        <v>106597</v>
      </c>
      <c r="H268" s="37"/>
      <c r="I268" s="38">
        <f>SUM(I255+I263+I266)</f>
        <v>128311</v>
      </c>
      <c r="J268" s="37"/>
      <c r="K268" s="38">
        <f>SUM(K255+K263+K266)</f>
        <v>158936</v>
      </c>
    </row>
    <row r="269" spans="2:11" ht="12.95" customHeight="1" x14ac:dyDescent="0.3">
      <c r="B269" s="79" t="s">
        <v>10</v>
      </c>
      <c r="C269" s="81" t="s">
        <v>21</v>
      </c>
      <c r="D269" s="73" t="s">
        <v>15</v>
      </c>
      <c r="E269" s="83" t="s">
        <v>11</v>
      </c>
      <c r="F269" s="77" t="s">
        <v>108</v>
      </c>
      <c r="G269" s="78"/>
      <c r="H269" s="78"/>
      <c r="I269" s="78"/>
      <c r="J269" s="78"/>
      <c r="K269" s="78"/>
    </row>
    <row r="270" spans="2:11" ht="12.95" customHeight="1" x14ac:dyDescent="0.3">
      <c r="B270" s="85"/>
      <c r="C270" s="86"/>
      <c r="D270" s="87"/>
      <c r="E270" s="88"/>
      <c r="F270" s="77" t="s">
        <v>115</v>
      </c>
      <c r="G270" s="78"/>
      <c r="H270" s="77" t="s">
        <v>116</v>
      </c>
      <c r="I270" s="78"/>
      <c r="J270" s="77" t="s">
        <v>117</v>
      </c>
      <c r="K270" s="78"/>
    </row>
    <row r="271" spans="2:11" ht="12.95" customHeight="1" x14ac:dyDescent="0.3">
      <c r="B271" s="80"/>
      <c r="C271" s="82"/>
      <c r="D271" s="74"/>
      <c r="E271" s="84"/>
      <c r="F271" s="51" t="s">
        <v>12</v>
      </c>
      <c r="G271" s="52" t="s">
        <v>13</v>
      </c>
      <c r="H271" s="51" t="s">
        <v>12</v>
      </c>
      <c r="I271" s="52" t="s">
        <v>13</v>
      </c>
      <c r="J271" s="51" t="s">
        <v>12</v>
      </c>
      <c r="K271" s="52" t="s">
        <v>13</v>
      </c>
    </row>
    <row r="272" spans="2:11" ht="12.95" customHeight="1" x14ac:dyDescent="0.3">
      <c r="B272" s="32" t="s">
        <v>112</v>
      </c>
      <c r="C272" s="32"/>
      <c r="D272" s="42" t="s">
        <v>33</v>
      </c>
      <c r="E272" s="54">
        <v>0</v>
      </c>
      <c r="F272" s="66">
        <v>3.2000000000000002E-3</v>
      </c>
      <c r="G272" s="6">
        <f t="shared" ref="G272:G274" si="61">TRUNC($E272*F272,1)</f>
        <v>0</v>
      </c>
      <c r="H272" s="66">
        <v>3.2000000000000002E-3</v>
      </c>
      <c r="I272" s="6">
        <f t="shared" ref="I272:I274" si="62">TRUNC($E272*H272,1)</f>
        <v>0</v>
      </c>
      <c r="J272" s="66">
        <v>3.2000000000000002E-3</v>
      </c>
      <c r="K272" s="6">
        <f t="shared" ref="K272:K274" si="63">TRUNC($E272*J272,1)</f>
        <v>0</v>
      </c>
    </row>
    <row r="273" spans="2:11" ht="12.95" customHeight="1" x14ac:dyDescent="0.3">
      <c r="B273" s="32" t="s">
        <v>113</v>
      </c>
      <c r="C273" s="32"/>
      <c r="D273" s="42" t="s">
        <v>95</v>
      </c>
      <c r="E273" s="54">
        <v>0</v>
      </c>
      <c r="F273" s="30">
        <v>0.88</v>
      </c>
      <c r="G273" s="6">
        <f t="shared" si="61"/>
        <v>0</v>
      </c>
      <c r="H273" s="30">
        <v>1.05</v>
      </c>
      <c r="I273" s="6">
        <f t="shared" si="62"/>
        <v>0</v>
      </c>
      <c r="J273" s="30">
        <v>1.25</v>
      </c>
      <c r="K273" s="6">
        <f t="shared" si="63"/>
        <v>0</v>
      </c>
    </row>
    <row r="274" spans="2:11" ht="12.95" customHeight="1" x14ac:dyDescent="0.3">
      <c r="B274" s="32" t="s">
        <v>9</v>
      </c>
      <c r="C274" s="32" t="s">
        <v>114</v>
      </c>
      <c r="D274" s="42" t="s">
        <v>22</v>
      </c>
      <c r="E274" s="55">
        <v>89197</v>
      </c>
      <c r="F274" s="30">
        <v>0.35</v>
      </c>
      <c r="G274" s="6">
        <f t="shared" si="61"/>
        <v>31218.9</v>
      </c>
      <c r="H274" s="30">
        <v>0.4</v>
      </c>
      <c r="I274" s="6">
        <f t="shared" si="62"/>
        <v>35678.800000000003</v>
      </c>
      <c r="J274" s="30">
        <v>0.45</v>
      </c>
      <c r="K274" s="6">
        <f t="shared" si="63"/>
        <v>40138.6</v>
      </c>
    </row>
    <row r="275" spans="2:11" ht="12.95" customHeight="1" x14ac:dyDescent="0.3">
      <c r="B275" s="24" t="s">
        <v>17</v>
      </c>
      <c r="C275" s="40"/>
      <c r="D275" s="40"/>
      <c r="E275" s="44"/>
      <c r="F275" s="47" t="s">
        <v>43</v>
      </c>
      <c r="G275" s="43">
        <f>TRUNC(SUM(G272:G274))</f>
        <v>31218</v>
      </c>
      <c r="H275" s="47" t="s">
        <v>43</v>
      </c>
      <c r="I275" s="43">
        <f>TRUNC(SUM(I272:I274))</f>
        <v>35678</v>
      </c>
      <c r="J275" s="47" t="s">
        <v>43</v>
      </c>
      <c r="K275" s="43">
        <f>TRUNC(SUM(K272:K274))</f>
        <v>40138</v>
      </c>
    </row>
    <row r="276" spans="2:11" ht="12.95" customHeight="1" x14ac:dyDescent="0.3">
      <c r="B276" s="39"/>
      <c r="C276" s="40"/>
      <c r="D276" s="40"/>
      <c r="E276" s="44"/>
      <c r="F276" s="47"/>
      <c r="G276" s="34"/>
      <c r="H276" s="47"/>
      <c r="I276" s="34"/>
      <c r="J276" s="47"/>
      <c r="K276" s="34"/>
    </row>
    <row r="277" spans="2:11" ht="12.95" customHeight="1" x14ac:dyDescent="0.3">
      <c r="B277" s="13" t="s">
        <v>3</v>
      </c>
      <c r="C277" s="8"/>
      <c r="D277" s="3" t="s">
        <v>16</v>
      </c>
      <c r="E277" s="55">
        <v>295138</v>
      </c>
      <c r="F277" s="30">
        <v>0.02</v>
      </c>
      <c r="G277" s="6">
        <f t="shared" ref="G277:G282" si="64">TRUNC($E277*F277,1)</f>
        <v>5902.7</v>
      </c>
      <c r="H277" s="30">
        <v>0.02</v>
      </c>
      <c r="I277" s="6">
        <f t="shared" ref="I277:I282" si="65">TRUNC($E277*H277,1)</f>
        <v>5902.7</v>
      </c>
      <c r="J277" s="30">
        <v>0.03</v>
      </c>
      <c r="K277" s="6">
        <f t="shared" ref="K277:K282" si="66">TRUNC($E277*J277,1)</f>
        <v>8854.1</v>
      </c>
    </row>
    <row r="278" spans="2:11" ht="12.95" customHeight="1" x14ac:dyDescent="0.3">
      <c r="B278" s="13" t="s">
        <v>7</v>
      </c>
      <c r="C278" s="8"/>
      <c r="D278" s="3" t="s">
        <v>16</v>
      </c>
      <c r="E278" s="55">
        <v>250087</v>
      </c>
      <c r="F278" s="30">
        <v>0.09</v>
      </c>
      <c r="G278" s="6">
        <f t="shared" si="64"/>
        <v>22507.8</v>
      </c>
      <c r="H278" s="30">
        <v>0.1</v>
      </c>
      <c r="I278" s="6">
        <f t="shared" si="65"/>
        <v>25008.7</v>
      </c>
      <c r="J278" s="30">
        <v>0.11</v>
      </c>
      <c r="K278" s="6">
        <f t="shared" si="66"/>
        <v>27509.5</v>
      </c>
    </row>
    <row r="279" spans="2:11" ht="12.95" customHeight="1" x14ac:dyDescent="0.3">
      <c r="B279" s="13" t="s">
        <v>28</v>
      </c>
      <c r="C279" s="8"/>
      <c r="D279" s="3" t="s">
        <v>16</v>
      </c>
      <c r="E279" s="55">
        <v>232562</v>
      </c>
      <c r="F279" s="30">
        <v>0.09</v>
      </c>
      <c r="G279" s="6">
        <f t="shared" si="64"/>
        <v>20930.5</v>
      </c>
      <c r="H279" s="30">
        <v>0.1</v>
      </c>
      <c r="I279" s="6">
        <f t="shared" si="65"/>
        <v>23256.2</v>
      </c>
      <c r="J279" s="30">
        <v>0.11</v>
      </c>
      <c r="K279" s="6">
        <f t="shared" si="66"/>
        <v>25581.8</v>
      </c>
    </row>
    <row r="280" spans="2:11" ht="12.95" customHeight="1" x14ac:dyDescent="0.3">
      <c r="B280" s="13" t="s">
        <v>23</v>
      </c>
      <c r="C280" s="8"/>
      <c r="D280" s="3" t="s">
        <v>16</v>
      </c>
      <c r="E280" s="55">
        <v>226122</v>
      </c>
      <c r="F280" s="30">
        <v>0.04</v>
      </c>
      <c r="G280" s="6">
        <f t="shared" si="64"/>
        <v>9044.7999999999993</v>
      </c>
      <c r="H280" s="30">
        <v>0.05</v>
      </c>
      <c r="I280" s="6">
        <f t="shared" si="65"/>
        <v>11306.1</v>
      </c>
      <c r="J280" s="30">
        <v>0.06</v>
      </c>
      <c r="K280" s="6">
        <f t="shared" si="66"/>
        <v>13567.3</v>
      </c>
    </row>
    <row r="281" spans="2:11" ht="12.95" customHeight="1" x14ac:dyDescent="0.3">
      <c r="B281" s="13" t="s">
        <v>0</v>
      </c>
      <c r="C281" s="8"/>
      <c r="D281" s="3" t="s">
        <v>16</v>
      </c>
      <c r="E281" s="55">
        <v>172068</v>
      </c>
      <c r="F281" s="30">
        <v>0.09</v>
      </c>
      <c r="G281" s="6">
        <f t="shared" si="64"/>
        <v>15486.1</v>
      </c>
      <c r="H281" s="30">
        <v>0.1</v>
      </c>
      <c r="I281" s="6">
        <f t="shared" si="65"/>
        <v>17206.8</v>
      </c>
      <c r="J281" s="30">
        <v>0.11</v>
      </c>
      <c r="K281" s="6">
        <f t="shared" si="66"/>
        <v>18927.400000000001</v>
      </c>
    </row>
    <row r="282" spans="2:11" ht="12.95" customHeight="1" x14ac:dyDescent="0.3">
      <c r="B282" s="32" t="s">
        <v>9</v>
      </c>
      <c r="C282" s="32" t="s">
        <v>114</v>
      </c>
      <c r="D282" s="42" t="s">
        <v>22</v>
      </c>
      <c r="E282" s="55">
        <v>58925</v>
      </c>
      <c r="F282" s="30">
        <v>0.35</v>
      </c>
      <c r="G282" s="6">
        <f t="shared" si="64"/>
        <v>20623.7</v>
      </c>
      <c r="H282" s="30">
        <v>0.4</v>
      </c>
      <c r="I282" s="6">
        <f t="shared" si="65"/>
        <v>23570</v>
      </c>
      <c r="J282" s="30">
        <v>0.45</v>
      </c>
      <c r="K282" s="6">
        <f t="shared" si="66"/>
        <v>26516.2</v>
      </c>
    </row>
    <row r="283" spans="2:11" ht="12.95" customHeight="1" x14ac:dyDescent="0.3">
      <c r="B283" s="21" t="s">
        <v>18</v>
      </c>
      <c r="C283" s="40"/>
      <c r="D283" s="40"/>
      <c r="E283" s="44"/>
      <c r="F283" s="47" t="s">
        <v>43</v>
      </c>
      <c r="G283" s="43">
        <f>TRUNC(SUM(G277:G282))</f>
        <v>94495</v>
      </c>
      <c r="H283" s="47" t="s">
        <v>43</v>
      </c>
      <c r="I283" s="43">
        <f>TRUNC(SUM(I277:I282))</f>
        <v>106250</v>
      </c>
      <c r="J283" s="47" t="s">
        <v>43</v>
      </c>
      <c r="K283" s="43">
        <f>TRUNC(SUM(K277:K282))</f>
        <v>120956</v>
      </c>
    </row>
    <row r="284" spans="2:11" ht="12.95" customHeight="1" x14ac:dyDescent="0.3">
      <c r="B284" s="39"/>
      <c r="C284" s="40"/>
      <c r="D284" s="40"/>
      <c r="E284" s="44"/>
      <c r="F284" s="47"/>
      <c r="G284" s="34"/>
      <c r="H284" s="47"/>
      <c r="I284" s="34"/>
      <c r="J284" s="47"/>
      <c r="K284" s="34"/>
    </row>
    <row r="285" spans="2:11" ht="12.95" customHeight="1" x14ac:dyDescent="0.3">
      <c r="B285" s="32" t="s">
        <v>9</v>
      </c>
      <c r="C285" s="32" t="s">
        <v>114</v>
      </c>
      <c r="D285" s="42" t="s">
        <v>22</v>
      </c>
      <c r="E285" s="55">
        <v>157250</v>
      </c>
      <c r="F285" s="30">
        <v>0.35</v>
      </c>
      <c r="G285" s="6">
        <f t="shared" ref="G285" si="67">TRUNC($E285*F285,1)</f>
        <v>55037.5</v>
      </c>
      <c r="H285" s="30">
        <v>0.4</v>
      </c>
      <c r="I285" s="6">
        <f t="shared" ref="I285" si="68">TRUNC($E285*H285,1)</f>
        <v>62900</v>
      </c>
      <c r="J285" s="30">
        <v>0.45</v>
      </c>
      <c r="K285" s="6">
        <f t="shared" ref="K285" si="69">TRUNC($E285*J285,1)</f>
        <v>70762.5</v>
      </c>
    </row>
    <row r="286" spans="2:11" ht="12.95" customHeight="1" x14ac:dyDescent="0.3">
      <c r="B286" s="24" t="s">
        <v>19</v>
      </c>
      <c r="C286" s="40"/>
      <c r="D286" s="40"/>
      <c r="E286" s="33"/>
      <c r="F286" s="35"/>
      <c r="G286" s="43">
        <f>TRUNC(SUM(G285:G285))</f>
        <v>55037</v>
      </c>
      <c r="H286" s="35"/>
      <c r="I286" s="43">
        <f>TRUNC(SUM(I285:I285))</f>
        <v>62900</v>
      </c>
      <c r="J286" s="35"/>
      <c r="K286" s="43">
        <f>TRUNC(SUM(K285:K285))</f>
        <v>70762</v>
      </c>
    </row>
    <row r="287" spans="2:11" ht="12.95" customHeight="1" x14ac:dyDescent="0.3">
      <c r="B287" s="11"/>
      <c r="C287" s="32"/>
      <c r="D287" s="32"/>
      <c r="E287" s="36"/>
      <c r="F287" s="30"/>
      <c r="G287" s="31"/>
      <c r="H287" s="30"/>
      <c r="I287" s="31"/>
      <c r="J287" s="30"/>
      <c r="K287" s="31"/>
    </row>
    <row r="288" spans="2:11" ht="12.95" customHeight="1" x14ac:dyDescent="0.3">
      <c r="B288" s="12" t="s">
        <v>20</v>
      </c>
      <c r="C288" s="41"/>
      <c r="D288" s="41"/>
      <c r="E288" s="37"/>
      <c r="F288" s="37"/>
      <c r="G288" s="38">
        <f>SUM(G275+G283+G286)</f>
        <v>180750</v>
      </c>
      <c r="H288" s="37"/>
      <c r="I288" s="38">
        <f>SUM(I275+I283+I286)</f>
        <v>204828</v>
      </c>
      <c r="J288" s="37"/>
      <c r="K288" s="38">
        <f>SUM(K275+K283+K286)</f>
        <v>231856</v>
      </c>
    </row>
    <row r="289" spans="2:15" ht="12.95" customHeight="1" x14ac:dyDescent="0.3">
      <c r="B289" s="79" t="s">
        <v>10</v>
      </c>
      <c r="C289" s="81" t="s">
        <v>21</v>
      </c>
      <c r="D289" s="73" t="s">
        <v>15</v>
      </c>
      <c r="E289" s="83" t="s">
        <v>11</v>
      </c>
      <c r="F289" s="77" t="s">
        <v>108</v>
      </c>
      <c r="G289" s="78"/>
      <c r="H289" s="78"/>
      <c r="I289" s="78"/>
      <c r="J289" s="78"/>
      <c r="K289" s="78"/>
    </row>
    <row r="290" spans="2:15" ht="12.95" customHeight="1" x14ac:dyDescent="0.3">
      <c r="B290" s="85"/>
      <c r="C290" s="86"/>
      <c r="D290" s="87"/>
      <c r="E290" s="88"/>
      <c r="F290" s="77" t="s">
        <v>118</v>
      </c>
      <c r="G290" s="78"/>
      <c r="H290" s="77" t="s">
        <v>119</v>
      </c>
      <c r="I290" s="78"/>
      <c r="J290" s="77" t="s">
        <v>120</v>
      </c>
      <c r="K290" s="78"/>
    </row>
    <row r="291" spans="2:15" ht="12.95" customHeight="1" x14ac:dyDescent="0.3">
      <c r="B291" s="80"/>
      <c r="C291" s="82"/>
      <c r="D291" s="74"/>
      <c r="E291" s="84"/>
      <c r="F291" s="51" t="s">
        <v>12</v>
      </c>
      <c r="G291" s="52" t="s">
        <v>13</v>
      </c>
      <c r="H291" s="51" t="s">
        <v>12</v>
      </c>
      <c r="I291" s="52" t="s">
        <v>13</v>
      </c>
      <c r="J291" s="51" t="s">
        <v>12</v>
      </c>
      <c r="K291" s="52" t="s">
        <v>13</v>
      </c>
      <c r="O291" s="10"/>
    </row>
    <row r="292" spans="2:15" ht="12.95" customHeight="1" x14ac:dyDescent="0.3">
      <c r="B292" s="32" t="s">
        <v>112</v>
      </c>
      <c r="C292" s="32"/>
      <c r="D292" s="42" t="s">
        <v>33</v>
      </c>
      <c r="E292" s="54">
        <v>0</v>
      </c>
      <c r="F292" s="66">
        <v>3.2000000000000002E-3</v>
      </c>
      <c r="G292" s="6">
        <f t="shared" ref="G292:G294" si="70">TRUNC($E292*F292,1)</f>
        <v>0</v>
      </c>
      <c r="H292" s="66">
        <v>3.2000000000000002E-3</v>
      </c>
      <c r="I292" s="6">
        <f t="shared" ref="I292:I294" si="71">TRUNC($E292*H292,1)</f>
        <v>0</v>
      </c>
      <c r="J292" s="66">
        <v>3.2000000000000002E-3</v>
      </c>
      <c r="K292" s="6">
        <f t="shared" ref="K292:K294" si="72">TRUNC($E292*J292,1)</f>
        <v>0</v>
      </c>
      <c r="N292" s="10"/>
      <c r="O292" s="10"/>
    </row>
    <row r="293" spans="2:15" ht="12.95" customHeight="1" x14ac:dyDescent="0.3">
      <c r="B293" s="32" t="s">
        <v>113</v>
      </c>
      <c r="C293" s="32"/>
      <c r="D293" s="42" t="s">
        <v>95</v>
      </c>
      <c r="E293" s="54">
        <v>0</v>
      </c>
      <c r="F293" s="30">
        <v>1.43</v>
      </c>
      <c r="G293" s="6">
        <f t="shared" si="70"/>
        <v>0</v>
      </c>
      <c r="H293" s="30">
        <v>1.6</v>
      </c>
      <c r="I293" s="6">
        <f t="shared" si="71"/>
        <v>0</v>
      </c>
      <c r="J293" s="30">
        <v>1.78</v>
      </c>
      <c r="K293" s="6">
        <f t="shared" si="72"/>
        <v>0</v>
      </c>
      <c r="N293" s="10"/>
      <c r="O293" s="10"/>
    </row>
    <row r="294" spans="2:15" ht="12.95" customHeight="1" x14ac:dyDescent="0.3">
      <c r="B294" s="32" t="s">
        <v>9</v>
      </c>
      <c r="C294" s="32" t="s">
        <v>114</v>
      </c>
      <c r="D294" s="42" t="s">
        <v>22</v>
      </c>
      <c r="E294" s="55">
        <v>89197</v>
      </c>
      <c r="F294" s="30">
        <v>0.49</v>
      </c>
      <c r="G294" s="6">
        <f t="shared" si="70"/>
        <v>43706.5</v>
      </c>
      <c r="H294" s="30">
        <v>0.54</v>
      </c>
      <c r="I294" s="6">
        <f t="shared" si="71"/>
        <v>48166.3</v>
      </c>
      <c r="J294" s="30">
        <v>0.59</v>
      </c>
      <c r="K294" s="6">
        <f t="shared" si="72"/>
        <v>52626.2</v>
      </c>
      <c r="N294" s="10"/>
      <c r="O294" s="10"/>
    </row>
    <row r="295" spans="2:15" ht="12.95" customHeight="1" x14ac:dyDescent="0.3">
      <c r="B295" s="24" t="s">
        <v>17</v>
      </c>
      <c r="C295" s="40"/>
      <c r="D295" s="40"/>
      <c r="E295" s="44"/>
      <c r="F295" s="47" t="s">
        <v>43</v>
      </c>
      <c r="G295" s="43">
        <f>TRUNC(SUM(G292:G294))</f>
        <v>43706</v>
      </c>
      <c r="H295" s="47" t="s">
        <v>43</v>
      </c>
      <c r="I295" s="43">
        <f>TRUNC(SUM(I292:I294))</f>
        <v>48166</v>
      </c>
      <c r="J295" s="47" t="s">
        <v>43</v>
      </c>
      <c r="K295" s="43">
        <f>TRUNC(SUM(K292:K294))</f>
        <v>52626</v>
      </c>
      <c r="N295" s="10"/>
      <c r="O295" s="10"/>
    </row>
    <row r="296" spans="2:15" ht="12.95" customHeight="1" x14ac:dyDescent="0.3">
      <c r="B296" s="39"/>
      <c r="C296" s="40"/>
      <c r="D296" s="40"/>
      <c r="E296" s="44"/>
      <c r="F296" s="47"/>
      <c r="G296" s="34"/>
      <c r="H296" s="47"/>
      <c r="I296" s="34"/>
      <c r="J296" s="47"/>
      <c r="K296" s="34"/>
      <c r="N296" s="10"/>
      <c r="O296" s="10"/>
    </row>
    <row r="297" spans="2:15" ht="12.95" customHeight="1" x14ac:dyDescent="0.3">
      <c r="B297" s="13" t="s">
        <v>3</v>
      </c>
      <c r="C297" s="8"/>
      <c r="D297" s="3" t="s">
        <v>16</v>
      </c>
      <c r="E297" s="55">
        <v>295138</v>
      </c>
      <c r="F297" s="30">
        <v>0.03</v>
      </c>
      <c r="G297" s="6">
        <f t="shared" ref="G297:G302" si="73">TRUNC($E297*F297,1)</f>
        <v>8854.1</v>
      </c>
      <c r="H297" s="30">
        <v>0.04</v>
      </c>
      <c r="I297" s="6">
        <f t="shared" ref="I297:I302" si="74">TRUNC($E297*H297,1)</f>
        <v>11805.5</v>
      </c>
      <c r="J297" s="30">
        <v>0.04</v>
      </c>
      <c r="K297" s="6">
        <f t="shared" ref="K297:K302" si="75">TRUNC($E297*J297,1)</f>
        <v>11805.5</v>
      </c>
      <c r="N297" s="10"/>
      <c r="O297" s="10"/>
    </row>
    <row r="298" spans="2:15" ht="12.95" customHeight="1" x14ac:dyDescent="0.3">
      <c r="B298" s="13" t="s">
        <v>7</v>
      </c>
      <c r="C298" s="8"/>
      <c r="D298" s="3" t="s">
        <v>16</v>
      </c>
      <c r="E298" s="55">
        <v>250087</v>
      </c>
      <c r="F298" s="30">
        <v>0.12</v>
      </c>
      <c r="G298" s="6">
        <f t="shared" si="73"/>
        <v>30010.400000000001</v>
      </c>
      <c r="H298" s="30">
        <v>0.13</v>
      </c>
      <c r="I298" s="6">
        <f t="shared" si="74"/>
        <v>32511.3</v>
      </c>
      <c r="J298" s="30">
        <v>0.14000000000000001</v>
      </c>
      <c r="K298" s="6">
        <f t="shared" si="75"/>
        <v>35012.1</v>
      </c>
      <c r="N298" s="10"/>
      <c r="O298" s="10"/>
    </row>
    <row r="299" spans="2:15" ht="12.95" customHeight="1" x14ac:dyDescent="0.3">
      <c r="B299" s="13" t="s">
        <v>28</v>
      </c>
      <c r="C299" s="8"/>
      <c r="D299" s="3" t="s">
        <v>16</v>
      </c>
      <c r="E299" s="55">
        <v>232562</v>
      </c>
      <c r="F299" s="30">
        <v>0.12</v>
      </c>
      <c r="G299" s="6">
        <f t="shared" si="73"/>
        <v>27907.4</v>
      </c>
      <c r="H299" s="30">
        <v>0.13</v>
      </c>
      <c r="I299" s="6">
        <f t="shared" si="74"/>
        <v>30233</v>
      </c>
      <c r="J299" s="30">
        <v>0.14000000000000001</v>
      </c>
      <c r="K299" s="6">
        <f t="shared" si="75"/>
        <v>32558.6</v>
      </c>
      <c r="N299" s="10"/>
      <c r="O299" s="10"/>
    </row>
    <row r="300" spans="2:15" ht="12.95" customHeight="1" x14ac:dyDescent="0.3">
      <c r="B300" s="13" t="s">
        <v>23</v>
      </c>
      <c r="C300" s="8"/>
      <c r="D300" s="3" t="s">
        <v>16</v>
      </c>
      <c r="E300" s="55">
        <v>226122</v>
      </c>
      <c r="F300" s="30">
        <v>0.06</v>
      </c>
      <c r="G300" s="6">
        <f t="shared" si="73"/>
        <v>13567.3</v>
      </c>
      <c r="H300" s="30">
        <v>0.08</v>
      </c>
      <c r="I300" s="6">
        <f t="shared" si="74"/>
        <v>18089.7</v>
      </c>
      <c r="J300" s="30">
        <v>0.08</v>
      </c>
      <c r="K300" s="6">
        <f t="shared" si="75"/>
        <v>18089.7</v>
      </c>
      <c r="N300" s="10"/>
      <c r="O300" s="10"/>
    </row>
    <row r="301" spans="2:15" ht="12.95" customHeight="1" x14ac:dyDescent="0.3">
      <c r="B301" s="13" t="s">
        <v>0</v>
      </c>
      <c r="C301" s="8"/>
      <c r="D301" s="3" t="s">
        <v>16</v>
      </c>
      <c r="E301" s="55">
        <v>172068</v>
      </c>
      <c r="F301" s="30">
        <v>0.12</v>
      </c>
      <c r="G301" s="6">
        <f t="shared" si="73"/>
        <v>20648.099999999999</v>
      </c>
      <c r="H301" s="30">
        <v>0.13</v>
      </c>
      <c r="I301" s="6">
        <f t="shared" si="74"/>
        <v>22368.799999999999</v>
      </c>
      <c r="J301" s="30">
        <v>0.14000000000000001</v>
      </c>
      <c r="K301" s="6">
        <f t="shared" si="75"/>
        <v>24089.5</v>
      </c>
      <c r="N301" s="10"/>
      <c r="O301" s="10"/>
    </row>
    <row r="302" spans="2:15" ht="12.95" customHeight="1" x14ac:dyDescent="0.3">
      <c r="B302" s="32" t="s">
        <v>9</v>
      </c>
      <c r="C302" s="32" t="s">
        <v>114</v>
      </c>
      <c r="D302" s="42" t="s">
        <v>22</v>
      </c>
      <c r="E302" s="55">
        <v>58925</v>
      </c>
      <c r="F302" s="30">
        <v>0.49</v>
      </c>
      <c r="G302" s="6">
        <f t="shared" si="73"/>
        <v>28873.200000000001</v>
      </c>
      <c r="H302" s="30">
        <v>0.54</v>
      </c>
      <c r="I302" s="6">
        <f t="shared" si="74"/>
        <v>31819.5</v>
      </c>
      <c r="J302" s="30">
        <v>0.59</v>
      </c>
      <c r="K302" s="6">
        <f t="shared" si="75"/>
        <v>34765.699999999997</v>
      </c>
      <c r="N302" s="10"/>
      <c r="O302" s="10"/>
    </row>
    <row r="303" spans="2:15" ht="12.95" customHeight="1" x14ac:dyDescent="0.3">
      <c r="B303" s="21" t="s">
        <v>18</v>
      </c>
      <c r="C303" s="40"/>
      <c r="D303" s="40"/>
      <c r="E303" s="44"/>
      <c r="F303" s="47" t="s">
        <v>43</v>
      </c>
      <c r="G303" s="43">
        <f>TRUNC(SUM(G297:G302))</f>
        <v>129860</v>
      </c>
      <c r="H303" s="47" t="s">
        <v>43</v>
      </c>
      <c r="I303" s="43">
        <f>TRUNC(SUM(I297:I302))</f>
        <v>146827</v>
      </c>
      <c r="J303" s="47" t="s">
        <v>43</v>
      </c>
      <c r="K303" s="43">
        <f>TRUNC(SUM(K297:K302))</f>
        <v>156321</v>
      </c>
      <c r="N303" s="10"/>
      <c r="O303" s="10"/>
    </row>
    <row r="304" spans="2:15" ht="12.95" customHeight="1" x14ac:dyDescent="0.3">
      <c r="B304" s="39"/>
      <c r="C304" s="40"/>
      <c r="D304" s="40"/>
      <c r="E304" s="44"/>
      <c r="F304" s="47"/>
      <c r="G304" s="34"/>
      <c r="H304" s="47"/>
      <c r="I304" s="34"/>
      <c r="J304" s="47"/>
      <c r="K304" s="34"/>
      <c r="N304" s="10"/>
      <c r="O304" s="10"/>
    </row>
    <row r="305" spans="2:15" ht="12.95" customHeight="1" x14ac:dyDescent="0.3">
      <c r="B305" s="32" t="s">
        <v>9</v>
      </c>
      <c r="C305" s="32" t="s">
        <v>114</v>
      </c>
      <c r="D305" s="42" t="s">
        <v>22</v>
      </c>
      <c r="E305" s="55">
        <v>157250</v>
      </c>
      <c r="F305" s="30">
        <v>0.49</v>
      </c>
      <c r="G305" s="6">
        <f t="shared" ref="G305" si="76">TRUNC($E305*F305,1)</f>
        <v>77052.5</v>
      </c>
      <c r="H305" s="30">
        <v>0.54</v>
      </c>
      <c r="I305" s="6">
        <f t="shared" ref="I305" si="77">TRUNC($E305*H305,1)</f>
        <v>84915</v>
      </c>
      <c r="J305" s="30">
        <v>0.59</v>
      </c>
      <c r="K305" s="6">
        <f t="shared" ref="K305" si="78">TRUNC($E305*J305,1)</f>
        <v>92777.5</v>
      </c>
      <c r="N305" s="10"/>
      <c r="O305" s="10"/>
    </row>
    <row r="306" spans="2:15" ht="12.95" customHeight="1" x14ac:dyDescent="0.3">
      <c r="B306" s="24" t="s">
        <v>19</v>
      </c>
      <c r="C306" s="40"/>
      <c r="D306" s="40"/>
      <c r="E306" s="33"/>
      <c r="F306" s="35"/>
      <c r="G306" s="43">
        <f>TRUNC(SUM(G305:G305))</f>
        <v>77052</v>
      </c>
      <c r="H306" s="35"/>
      <c r="I306" s="43">
        <f>TRUNC(SUM(I305:I305))</f>
        <v>84915</v>
      </c>
      <c r="J306" s="35" t="s">
        <v>43</v>
      </c>
      <c r="K306" s="43">
        <f>TRUNC(SUM(K305:K305))</f>
        <v>92777</v>
      </c>
      <c r="N306" s="10"/>
      <c r="O306" s="10"/>
    </row>
    <row r="307" spans="2:15" ht="12.95" customHeight="1" x14ac:dyDescent="0.3">
      <c r="B307" s="11"/>
      <c r="C307" s="32"/>
      <c r="D307" s="32"/>
      <c r="E307" s="36"/>
      <c r="F307" s="30"/>
      <c r="G307" s="31"/>
      <c r="H307" s="30"/>
      <c r="I307" s="31"/>
      <c r="J307" s="30"/>
      <c r="K307" s="31"/>
      <c r="N307" s="10"/>
      <c r="O307" s="10"/>
    </row>
    <row r="308" spans="2:15" ht="12.95" customHeight="1" x14ac:dyDescent="0.3">
      <c r="B308" s="12" t="s">
        <v>20</v>
      </c>
      <c r="C308" s="41"/>
      <c r="D308" s="41"/>
      <c r="E308" s="37"/>
      <c r="F308" s="37"/>
      <c r="G308" s="38">
        <f>SUM(G295+G303+G306)</f>
        <v>250618</v>
      </c>
      <c r="H308" s="37"/>
      <c r="I308" s="38">
        <f>SUM(I295+I303+I306)</f>
        <v>279908</v>
      </c>
      <c r="J308" s="37"/>
      <c r="K308" s="38">
        <f>SUM(K295+K303+K306)</f>
        <v>301724</v>
      </c>
      <c r="N308" s="10"/>
    </row>
    <row r="309" spans="2:15" ht="12.95" customHeight="1" x14ac:dyDescent="0.3">
      <c r="B309" s="79" t="s">
        <v>10</v>
      </c>
      <c r="C309" s="81" t="s">
        <v>21</v>
      </c>
      <c r="D309" s="73" t="s">
        <v>15</v>
      </c>
      <c r="E309" s="83" t="s">
        <v>11</v>
      </c>
      <c r="F309" s="77" t="s">
        <v>29</v>
      </c>
      <c r="G309" s="78"/>
      <c r="H309" s="78"/>
      <c r="I309" s="78"/>
      <c r="J309" s="78"/>
      <c r="K309" s="78"/>
    </row>
    <row r="310" spans="2:15" ht="12.95" customHeight="1" x14ac:dyDescent="0.3">
      <c r="B310" s="85"/>
      <c r="C310" s="86"/>
      <c r="D310" s="87"/>
      <c r="E310" s="88"/>
      <c r="F310" s="77" t="s">
        <v>109</v>
      </c>
      <c r="G310" s="78"/>
      <c r="H310" s="77" t="s">
        <v>110</v>
      </c>
      <c r="I310" s="78"/>
      <c r="J310" s="77" t="s">
        <v>111</v>
      </c>
      <c r="K310" s="78"/>
    </row>
    <row r="311" spans="2:15" ht="12.95" customHeight="1" x14ac:dyDescent="0.3">
      <c r="B311" s="80"/>
      <c r="C311" s="82"/>
      <c r="D311" s="74"/>
      <c r="E311" s="84"/>
      <c r="F311" s="51" t="s">
        <v>12</v>
      </c>
      <c r="G311" s="52" t="s">
        <v>13</v>
      </c>
      <c r="H311" s="51" t="s">
        <v>12</v>
      </c>
      <c r="I311" s="52" t="s">
        <v>13</v>
      </c>
      <c r="J311" s="51" t="s">
        <v>12</v>
      </c>
      <c r="K311" s="52" t="s">
        <v>13</v>
      </c>
    </row>
    <row r="312" spans="2:15" ht="12.95" customHeight="1" x14ac:dyDescent="0.3">
      <c r="B312" s="32" t="s">
        <v>112</v>
      </c>
      <c r="C312" s="32"/>
      <c r="D312" s="42" t="s">
        <v>33</v>
      </c>
      <c r="E312" s="54">
        <v>0</v>
      </c>
      <c r="F312" s="66">
        <v>4.1000000000000003E-3</v>
      </c>
      <c r="G312" s="6">
        <f t="shared" ref="G312:G314" si="79">TRUNC($E312*F312,1)</f>
        <v>0</v>
      </c>
      <c r="H312" s="66">
        <v>4.1000000000000003E-3</v>
      </c>
      <c r="I312" s="6">
        <f t="shared" ref="I312:I314" si="80">TRUNC($E312*H312,1)</f>
        <v>0</v>
      </c>
      <c r="J312" s="66">
        <v>4.1000000000000003E-3</v>
      </c>
      <c r="K312" s="6">
        <f t="shared" ref="K312:K314" si="81">TRUNC($E312*J312,1)</f>
        <v>0</v>
      </c>
    </row>
    <row r="313" spans="2:15" ht="12.95" customHeight="1" x14ac:dyDescent="0.3">
      <c r="B313" s="32" t="s">
        <v>113</v>
      </c>
      <c r="C313" s="32"/>
      <c r="D313" s="42" t="s">
        <v>95</v>
      </c>
      <c r="E313" s="54">
        <v>0</v>
      </c>
      <c r="F313" s="30">
        <v>0.35</v>
      </c>
      <c r="G313" s="6">
        <f t="shared" si="79"/>
        <v>0</v>
      </c>
      <c r="H313" s="30">
        <v>0.53</v>
      </c>
      <c r="I313" s="6">
        <f t="shared" si="80"/>
        <v>0</v>
      </c>
      <c r="J313" s="30">
        <v>0.7</v>
      </c>
      <c r="K313" s="6">
        <f t="shared" si="81"/>
        <v>0</v>
      </c>
    </row>
    <row r="314" spans="2:15" ht="12.95" customHeight="1" x14ac:dyDescent="0.3">
      <c r="B314" s="32" t="s">
        <v>9</v>
      </c>
      <c r="C314" s="32" t="s">
        <v>114</v>
      </c>
      <c r="D314" s="42" t="s">
        <v>22</v>
      </c>
      <c r="E314" s="55">
        <v>89197</v>
      </c>
      <c r="F314" s="30">
        <v>0.28000000000000003</v>
      </c>
      <c r="G314" s="6">
        <f t="shared" si="79"/>
        <v>24975.1</v>
      </c>
      <c r="H314" s="30">
        <v>0.34</v>
      </c>
      <c r="I314" s="6">
        <f t="shared" si="80"/>
        <v>30326.9</v>
      </c>
      <c r="J314" s="30">
        <v>0.43</v>
      </c>
      <c r="K314" s="6">
        <f t="shared" si="81"/>
        <v>38354.699999999997</v>
      </c>
    </row>
    <row r="315" spans="2:15" ht="12.95" customHeight="1" x14ac:dyDescent="0.3">
      <c r="B315" s="24" t="s">
        <v>17</v>
      </c>
      <c r="C315" s="40"/>
      <c r="D315" s="40"/>
      <c r="E315" s="44"/>
      <c r="F315" s="47" t="s">
        <v>43</v>
      </c>
      <c r="G315" s="43">
        <f>TRUNC(SUM(G312:G314))</f>
        <v>24975</v>
      </c>
      <c r="H315" s="47" t="s">
        <v>43</v>
      </c>
      <c r="I315" s="43">
        <f>TRUNC(SUM(I312:I314))</f>
        <v>30326</v>
      </c>
      <c r="J315" s="47" t="s">
        <v>43</v>
      </c>
      <c r="K315" s="43">
        <f>TRUNC(SUM(K312:K314))</f>
        <v>38354</v>
      </c>
    </row>
    <row r="316" spans="2:15" ht="12.95" customHeight="1" x14ac:dyDescent="0.3">
      <c r="B316" s="39"/>
      <c r="C316" s="40"/>
      <c r="D316" s="40"/>
      <c r="E316" s="44"/>
      <c r="F316" s="47"/>
      <c r="G316" s="34"/>
      <c r="H316" s="47"/>
      <c r="I316" s="34"/>
      <c r="J316" s="47"/>
      <c r="K316" s="34"/>
    </row>
    <row r="317" spans="2:15" ht="12.95" customHeight="1" x14ac:dyDescent="0.3">
      <c r="B317" s="13" t="s">
        <v>3</v>
      </c>
      <c r="C317" s="8"/>
      <c r="D317" s="3" t="s">
        <v>16</v>
      </c>
      <c r="E317" s="55">
        <v>295138</v>
      </c>
      <c r="F317" s="30">
        <v>0.02</v>
      </c>
      <c r="G317" s="6">
        <f t="shared" ref="G317:G322" si="82">TRUNC($E317*F317,1)</f>
        <v>5902.7</v>
      </c>
      <c r="H317" s="30">
        <v>0.02</v>
      </c>
      <c r="I317" s="6">
        <f t="shared" ref="I317:I322" si="83">TRUNC($E317*H317,1)</f>
        <v>5902.7</v>
      </c>
      <c r="J317" s="30">
        <v>0.03</v>
      </c>
      <c r="K317" s="6">
        <f t="shared" ref="K317:K322" si="84">TRUNC($E317*J317,1)</f>
        <v>8854.1</v>
      </c>
    </row>
    <row r="318" spans="2:15" ht="12.95" customHeight="1" x14ac:dyDescent="0.3">
      <c r="B318" s="13" t="s">
        <v>7</v>
      </c>
      <c r="C318" s="8"/>
      <c r="D318" s="3" t="s">
        <v>16</v>
      </c>
      <c r="E318" s="55">
        <v>250087</v>
      </c>
      <c r="F318" s="30">
        <v>7.0000000000000007E-2</v>
      </c>
      <c r="G318" s="6">
        <f t="shared" si="82"/>
        <v>17506</v>
      </c>
      <c r="H318" s="30">
        <v>0.09</v>
      </c>
      <c r="I318" s="6">
        <f t="shared" si="83"/>
        <v>22507.8</v>
      </c>
      <c r="J318" s="30">
        <v>0.11</v>
      </c>
      <c r="K318" s="6">
        <f t="shared" si="84"/>
        <v>27509.5</v>
      </c>
    </row>
    <row r="319" spans="2:15" ht="12.95" customHeight="1" x14ac:dyDescent="0.3">
      <c r="B319" s="13" t="s">
        <v>28</v>
      </c>
      <c r="C319" s="8"/>
      <c r="D319" s="3" t="s">
        <v>16</v>
      </c>
      <c r="E319" s="55">
        <v>232562</v>
      </c>
      <c r="F319" s="30">
        <v>7.0000000000000007E-2</v>
      </c>
      <c r="G319" s="6">
        <f t="shared" si="82"/>
        <v>16279.3</v>
      </c>
      <c r="H319" s="30">
        <v>0.09</v>
      </c>
      <c r="I319" s="6">
        <f t="shared" si="83"/>
        <v>20930.5</v>
      </c>
      <c r="J319" s="30">
        <v>0.11</v>
      </c>
      <c r="K319" s="6">
        <f t="shared" si="84"/>
        <v>25581.8</v>
      </c>
    </row>
    <row r="320" spans="2:15" ht="12.95" customHeight="1" x14ac:dyDescent="0.3">
      <c r="B320" s="13" t="s">
        <v>23</v>
      </c>
      <c r="C320" s="8"/>
      <c r="D320" s="3" t="s">
        <v>16</v>
      </c>
      <c r="E320" s="55">
        <v>226122</v>
      </c>
      <c r="F320" s="30">
        <v>0.03</v>
      </c>
      <c r="G320" s="6">
        <f t="shared" si="82"/>
        <v>6783.6</v>
      </c>
      <c r="H320" s="30">
        <v>0.04</v>
      </c>
      <c r="I320" s="6">
        <f t="shared" si="83"/>
        <v>9044.7999999999993</v>
      </c>
      <c r="J320" s="30">
        <v>0.05</v>
      </c>
      <c r="K320" s="6">
        <f t="shared" si="84"/>
        <v>11306.1</v>
      </c>
    </row>
    <row r="321" spans="2:11" ht="12.95" customHeight="1" x14ac:dyDescent="0.3">
      <c r="B321" s="13" t="s">
        <v>0</v>
      </c>
      <c r="C321" s="8"/>
      <c r="D321" s="3" t="s">
        <v>16</v>
      </c>
      <c r="E321" s="55">
        <v>172068</v>
      </c>
      <c r="F321" s="30">
        <v>7.0000000000000007E-2</v>
      </c>
      <c r="G321" s="6">
        <f t="shared" si="82"/>
        <v>12044.7</v>
      </c>
      <c r="H321" s="30">
        <v>0.09</v>
      </c>
      <c r="I321" s="6">
        <f t="shared" si="83"/>
        <v>15486.1</v>
      </c>
      <c r="J321" s="30">
        <v>0.11</v>
      </c>
      <c r="K321" s="6">
        <f t="shared" si="84"/>
        <v>18927.400000000001</v>
      </c>
    </row>
    <row r="322" spans="2:11" ht="12.95" customHeight="1" x14ac:dyDescent="0.3">
      <c r="B322" s="32" t="s">
        <v>9</v>
      </c>
      <c r="C322" s="32" t="s">
        <v>114</v>
      </c>
      <c r="D322" s="42" t="s">
        <v>22</v>
      </c>
      <c r="E322" s="55">
        <v>58925</v>
      </c>
      <c r="F322" s="30">
        <v>0.28000000000000003</v>
      </c>
      <c r="G322" s="6">
        <f t="shared" si="82"/>
        <v>16499</v>
      </c>
      <c r="H322" s="30">
        <v>0.34</v>
      </c>
      <c r="I322" s="6">
        <f t="shared" si="83"/>
        <v>20034.5</v>
      </c>
      <c r="J322" s="30">
        <v>0.43</v>
      </c>
      <c r="K322" s="6">
        <f t="shared" si="84"/>
        <v>25337.7</v>
      </c>
    </row>
    <row r="323" spans="2:11" ht="12.95" customHeight="1" x14ac:dyDescent="0.3">
      <c r="B323" s="21" t="s">
        <v>18</v>
      </c>
      <c r="C323" s="40"/>
      <c r="D323" s="40"/>
      <c r="E323" s="44"/>
      <c r="F323" s="47" t="s">
        <v>43</v>
      </c>
      <c r="G323" s="43">
        <f>TRUNC(SUM(G317:G322))</f>
        <v>75015</v>
      </c>
      <c r="H323" s="47" t="s">
        <v>43</v>
      </c>
      <c r="I323" s="43">
        <f>TRUNC(SUM(I317:I322))</f>
        <v>93906</v>
      </c>
      <c r="J323" s="47" t="s">
        <v>43</v>
      </c>
      <c r="K323" s="43">
        <f>TRUNC(SUM(K317:K322))</f>
        <v>117516</v>
      </c>
    </row>
    <row r="324" spans="2:11" ht="12.95" customHeight="1" x14ac:dyDescent="0.3">
      <c r="B324" s="39"/>
      <c r="C324" s="40"/>
      <c r="D324" s="40"/>
      <c r="E324" s="44"/>
      <c r="F324" s="47"/>
      <c r="G324" s="34"/>
      <c r="H324" s="47"/>
      <c r="I324" s="34"/>
      <c r="J324" s="47"/>
      <c r="K324" s="34"/>
    </row>
    <row r="325" spans="2:11" ht="12.95" customHeight="1" x14ac:dyDescent="0.3">
      <c r="B325" s="32" t="s">
        <v>9</v>
      </c>
      <c r="C325" s="32" t="s">
        <v>114</v>
      </c>
      <c r="D325" s="42" t="s">
        <v>22</v>
      </c>
      <c r="E325" s="55">
        <v>157250</v>
      </c>
      <c r="F325" s="30">
        <v>0.28000000000000003</v>
      </c>
      <c r="G325" s="6">
        <f t="shared" ref="G325" si="85">TRUNC($E325*F325,1)</f>
        <v>44030</v>
      </c>
      <c r="H325" s="30">
        <v>0.34</v>
      </c>
      <c r="I325" s="6">
        <f t="shared" ref="I325" si="86">TRUNC($E325*H325,1)</f>
        <v>53465</v>
      </c>
      <c r="J325" s="30">
        <v>0.43</v>
      </c>
      <c r="K325" s="6">
        <f t="shared" ref="K325" si="87">TRUNC($E325*J325,1)</f>
        <v>67617.5</v>
      </c>
    </row>
    <row r="326" spans="2:11" ht="12.95" customHeight="1" x14ac:dyDescent="0.3">
      <c r="B326" s="24" t="s">
        <v>19</v>
      </c>
      <c r="C326" s="40"/>
      <c r="D326" s="40"/>
      <c r="E326" s="33"/>
      <c r="F326" s="35"/>
      <c r="G326" s="43">
        <f>TRUNC(SUM(G325:G325))</f>
        <v>44030</v>
      </c>
      <c r="H326" s="35"/>
      <c r="I326" s="43">
        <f>TRUNC(SUM(I325:I325))</f>
        <v>53465</v>
      </c>
      <c r="J326" s="35"/>
      <c r="K326" s="43">
        <f>TRUNC(SUM(K325:K325))</f>
        <v>67617</v>
      </c>
    </row>
    <row r="327" spans="2:11" ht="12.95" customHeight="1" x14ac:dyDescent="0.3">
      <c r="B327" s="11"/>
      <c r="C327" s="32"/>
      <c r="D327" s="32"/>
      <c r="E327" s="36"/>
      <c r="F327" s="30"/>
      <c r="G327" s="31"/>
      <c r="H327" s="30"/>
      <c r="I327" s="31"/>
      <c r="J327" s="30"/>
      <c r="K327" s="31"/>
    </row>
    <row r="328" spans="2:11" ht="12.95" customHeight="1" x14ac:dyDescent="0.3">
      <c r="B328" s="12" t="s">
        <v>20</v>
      </c>
      <c r="C328" s="41"/>
      <c r="D328" s="41"/>
      <c r="E328" s="37"/>
      <c r="F328" s="37"/>
      <c r="G328" s="38">
        <f>SUM(G315+G323+G326)</f>
        <v>144020</v>
      </c>
      <c r="H328" s="37"/>
      <c r="I328" s="38">
        <f>SUM(I315+I323+I326)</f>
        <v>177697</v>
      </c>
      <c r="J328" s="37"/>
      <c r="K328" s="38">
        <f>SUM(K315+K323+K326)</f>
        <v>223487</v>
      </c>
    </row>
    <row r="329" spans="2:11" ht="12.95" customHeight="1" x14ac:dyDescent="0.3">
      <c r="B329" s="79" t="s">
        <v>10</v>
      </c>
      <c r="C329" s="81" t="s">
        <v>21</v>
      </c>
      <c r="D329" s="73" t="s">
        <v>15</v>
      </c>
      <c r="E329" s="83" t="s">
        <v>11</v>
      </c>
      <c r="F329" s="77" t="s">
        <v>29</v>
      </c>
      <c r="G329" s="78"/>
      <c r="H329" s="78"/>
      <c r="I329" s="78"/>
      <c r="J329" s="78"/>
      <c r="K329" s="78"/>
    </row>
    <row r="330" spans="2:11" ht="12.95" customHeight="1" x14ac:dyDescent="0.3">
      <c r="B330" s="85"/>
      <c r="C330" s="86"/>
      <c r="D330" s="87"/>
      <c r="E330" s="88"/>
      <c r="F330" s="77" t="s">
        <v>115</v>
      </c>
      <c r="G330" s="78"/>
      <c r="H330" s="77" t="s">
        <v>116</v>
      </c>
      <c r="I330" s="78"/>
      <c r="J330" s="77" t="s">
        <v>117</v>
      </c>
      <c r="K330" s="78"/>
    </row>
    <row r="331" spans="2:11" ht="12.95" customHeight="1" x14ac:dyDescent="0.3">
      <c r="B331" s="80"/>
      <c r="C331" s="82"/>
      <c r="D331" s="74"/>
      <c r="E331" s="84"/>
      <c r="F331" s="51" t="s">
        <v>12</v>
      </c>
      <c r="G331" s="52" t="s">
        <v>13</v>
      </c>
      <c r="H331" s="51" t="s">
        <v>12</v>
      </c>
      <c r="I331" s="52" t="s">
        <v>13</v>
      </c>
      <c r="J331" s="51" t="s">
        <v>12</v>
      </c>
      <c r="K331" s="52" t="s">
        <v>13</v>
      </c>
    </row>
    <row r="332" spans="2:11" ht="12.95" customHeight="1" x14ac:dyDescent="0.3">
      <c r="B332" s="32" t="s">
        <v>112</v>
      </c>
      <c r="C332" s="32"/>
      <c r="D332" s="42" t="s">
        <v>33</v>
      </c>
      <c r="E332" s="54">
        <v>0</v>
      </c>
      <c r="F332" s="66">
        <v>4.1000000000000003E-3</v>
      </c>
      <c r="G332" s="6">
        <f t="shared" ref="G332:G334" si="88">TRUNC($E332*F332,1)</f>
        <v>0</v>
      </c>
      <c r="H332" s="66">
        <v>4.1000000000000003E-3</v>
      </c>
      <c r="I332" s="6">
        <f t="shared" ref="I332:I334" si="89">TRUNC($E332*H332,1)</f>
        <v>0</v>
      </c>
      <c r="J332" s="66">
        <v>4.1000000000000003E-3</v>
      </c>
      <c r="K332" s="6">
        <f t="shared" ref="K332:K334" si="90">TRUNC($E332*J332,1)</f>
        <v>0</v>
      </c>
    </row>
    <row r="333" spans="2:11" ht="12.95" customHeight="1" x14ac:dyDescent="0.3">
      <c r="B333" s="32" t="s">
        <v>113</v>
      </c>
      <c r="C333" s="32"/>
      <c r="D333" s="42" t="s">
        <v>95</v>
      </c>
      <c r="E333" s="54">
        <v>0</v>
      </c>
      <c r="F333" s="30">
        <v>0.88</v>
      </c>
      <c r="G333" s="6">
        <f t="shared" si="88"/>
        <v>0</v>
      </c>
      <c r="H333" s="30">
        <v>1.05</v>
      </c>
      <c r="I333" s="6">
        <f t="shared" si="89"/>
        <v>0</v>
      </c>
      <c r="J333" s="30">
        <v>1.25</v>
      </c>
      <c r="K333" s="6">
        <f t="shared" si="90"/>
        <v>0</v>
      </c>
    </row>
    <row r="334" spans="2:11" ht="12.95" customHeight="1" x14ac:dyDescent="0.3">
      <c r="B334" s="32" t="s">
        <v>9</v>
      </c>
      <c r="C334" s="32" t="s">
        <v>114</v>
      </c>
      <c r="D334" s="42" t="s">
        <v>22</v>
      </c>
      <c r="E334" s="55">
        <v>89197</v>
      </c>
      <c r="F334" s="30">
        <v>0.51</v>
      </c>
      <c r="G334" s="6">
        <f t="shared" si="88"/>
        <v>45490.400000000001</v>
      </c>
      <c r="H334" s="30">
        <v>0.59</v>
      </c>
      <c r="I334" s="6">
        <f t="shared" si="89"/>
        <v>52626.2</v>
      </c>
      <c r="J334" s="30">
        <v>0.65</v>
      </c>
      <c r="K334" s="6">
        <f t="shared" si="90"/>
        <v>57978</v>
      </c>
    </row>
    <row r="335" spans="2:11" ht="12.95" customHeight="1" x14ac:dyDescent="0.3">
      <c r="B335" s="24" t="s">
        <v>17</v>
      </c>
      <c r="C335" s="40"/>
      <c r="D335" s="40"/>
      <c r="E335" s="44"/>
      <c r="F335" s="47"/>
      <c r="G335" s="43">
        <f>TRUNC(SUM(G332:G334))</f>
        <v>45490</v>
      </c>
      <c r="H335" s="47"/>
      <c r="I335" s="43">
        <f>TRUNC(SUM(I332:I334))</f>
        <v>52626</v>
      </c>
      <c r="J335" s="47"/>
      <c r="K335" s="43">
        <f>TRUNC(SUM(K332:K334))</f>
        <v>57978</v>
      </c>
    </row>
    <row r="336" spans="2:11" ht="12.95" customHeight="1" x14ac:dyDescent="0.3">
      <c r="B336" s="39"/>
      <c r="C336" s="40"/>
      <c r="D336" s="40"/>
      <c r="E336" s="44"/>
      <c r="F336" s="47"/>
      <c r="G336" s="34"/>
      <c r="H336" s="47"/>
      <c r="I336" s="34"/>
      <c r="J336" s="47"/>
      <c r="K336" s="34"/>
    </row>
    <row r="337" spans="2:14" ht="12.95" customHeight="1" x14ac:dyDescent="0.3">
      <c r="B337" s="13" t="s">
        <v>3</v>
      </c>
      <c r="C337" s="8"/>
      <c r="D337" s="3" t="s">
        <v>16</v>
      </c>
      <c r="E337" s="55">
        <v>295138</v>
      </c>
      <c r="F337" s="30">
        <v>0.03</v>
      </c>
      <c r="G337" s="6">
        <f t="shared" ref="G337:G342" si="91">TRUNC($E337*F337,1)</f>
        <v>8854.1</v>
      </c>
      <c r="H337" s="30">
        <v>0.04</v>
      </c>
      <c r="I337" s="6">
        <f t="shared" ref="I337:I342" si="92">TRUNC($E337*H337,1)</f>
        <v>11805.5</v>
      </c>
      <c r="J337" s="30">
        <v>0.04</v>
      </c>
      <c r="K337" s="6">
        <f t="shared" ref="K337:K342" si="93">TRUNC($E337*J337,1)</f>
        <v>11805.5</v>
      </c>
    </row>
    <row r="338" spans="2:14" ht="12.95" customHeight="1" x14ac:dyDescent="0.3">
      <c r="B338" s="13" t="s">
        <v>7</v>
      </c>
      <c r="C338" s="8"/>
      <c r="D338" s="3" t="s">
        <v>16</v>
      </c>
      <c r="E338" s="55">
        <v>250087</v>
      </c>
      <c r="F338" s="30">
        <v>0.13</v>
      </c>
      <c r="G338" s="6">
        <f t="shared" si="91"/>
        <v>32511.3</v>
      </c>
      <c r="H338" s="30">
        <v>0.15</v>
      </c>
      <c r="I338" s="6">
        <f t="shared" si="92"/>
        <v>37513</v>
      </c>
      <c r="J338" s="30">
        <v>0.16</v>
      </c>
      <c r="K338" s="6">
        <f t="shared" si="93"/>
        <v>40013.9</v>
      </c>
    </row>
    <row r="339" spans="2:14" ht="12.95" customHeight="1" x14ac:dyDescent="0.3">
      <c r="B339" s="13" t="s">
        <v>28</v>
      </c>
      <c r="C339" s="8"/>
      <c r="D339" s="3" t="s">
        <v>16</v>
      </c>
      <c r="E339" s="55">
        <v>232562</v>
      </c>
      <c r="F339" s="30">
        <v>0.13</v>
      </c>
      <c r="G339" s="6">
        <f t="shared" si="91"/>
        <v>30233</v>
      </c>
      <c r="H339" s="30">
        <v>0.15</v>
      </c>
      <c r="I339" s="6">
        <f t="shared" si="92"/>
        <v>34884.300000000003</v>
      </c>
      <c r="J339" s="30">
        <v>0.16</v>
      </c>
      <c r="K339" s="6">
        <f t="shared" si="93"/>
        <v>37209.9</v>
      </c>
    </row>
    <row r="340" spans="2:14" ht="12.95" customHeight="1" x14ac:dyDescent="0.3">
      <c r="B340" s="13" t="s">
        <v>23</v>
      </c>
      <c r="C340" s="8"/>
      <c r="D340" s="3" t="s">
        <v>16</v>
      </c>
      <c r="E340" s="55">
        <v>226122</v>
      </c>
      <c r="F340" s="30">
        <v>0.06</v>
      </c>
      <c r="G340" s="6">
        <f t="shared" si="91"/>
        <v>13567.3</v>
      </c>
      <c r="H340" s="30">
        <v>7.0000000000000007E-2</v>
      </c>
      <c r="I340" s="6">
        <f t="shared" si="92"/>
        <v>15828.5</v>
      </c>
      <c r="J340" s="30">
        <v>0.08</v>
      </c>
      <c r="K340" s="6">
        <f t="shared" si="93"/>
        <v>18089.7</v>
      </c>
      <c r="N340" s="19"/>
    </row>
    <row r="341" spans="2:14" ht="12.95" customHeight="1" x14ac:dyDescent="0.3">
      <c r="B341" s="13" t="s">
        <v>0</v>
      </c>
      <c r="C341" s="8"/>
      <c r="D341" s="3" t="s">
        <v>16</v>
      </c>
      <c r="E341" s="55">
        <v>172068</v>
      </c>
      <c r="F341" s="30">
        <v>0.13</v>
      </c>
      <c r="G341" s="6">
        <f t="shared" si="91"/>
        <v>22368.799999999999</v>
      </c>
      <c r="H341" s="30">
        <v>0.15</v>
      </c>
      <c r="I341" s="6">
        <f t="shared" si="92"/>
        <v>25810.2</v>
      </c>
      <c r="J341" s="30">
        <v>0.16</v>
      </c>
      <c r="K341" s="6">
        <f t="shared" si="93"/>
        <v>27530.799999999999</v>
      </c>
      <c r="N341" s="19"/>
    </row>
    <row r="342" spans="2:14" ht="12.95" customHeight="1" x14ac:dyDescent="0.3">
      <c r="B342" s="32" t="s">
        <v>9</v>
      </c>
      <c r="C342" s="32" t="s">
        <v>114</v>
      </c>
      <c r="D342" s="42" t="s">
        <v>22</v>
      </c>
      <c r="E342" s="55">
        <v>58925</v>
      </c>
      <c r="F342" s="30">
        <v>0.51</v>
      </c>
      <c r="G342" s="6">
        <f t="shared" si="91"/>
        <v>30051.7</v>
      </c>
      <c r="H342" s="30">
        <v>0.59</v>
      </c>
      <c r="I342" s="6">
        <f t="shared" si="92"/>
        <v>34765.699999999997</v>
      </c>
      <c r="J342" s="30">
        <v>0.65</v>
      </c>
      <c r="K342" s="6">
        <f t="shared" si="93"/>
        <v>38301.199999999997</v>
      </c>
      <c r="N342" s="19"/>
    </row>
    <row r="343" spans="2:14" ht="12.95" customHeight="1" x14ac:dyDescent="0.3">
      <c r="B343" s="21" t="s">
        <v>18</v>
      </c>
      <c r="C343" s="40"/>
      <c r="D343" s="40"/>
      <c r="E343" s="44"/>
      <c r="F343" s="47" t="s">
        <v>43</v>
      </c>
      <c r="G343" s="43">
        <f>TRUNC(SUM(G337:G342))</f>
        <v>137586</v>
      </c>
      <c r="H343" s="47" t="s">
        <v>43</v>
      </c>
      <c r="I343" s="43">
        <f>TRUNC(SUM(I337:I342))</f>
        <v>160607</v>
      </c>
      <c r="J343" s="47" t="s">
        <v>43</v>
      </c>
      <c r="K343" s="43">
        <f>TRUNC(SUM(K337:K342))</f>
        <v>172951</v>
      </c>
      <c r="N343" s="19"/>
    </row>
    <row r="344" spans="2:14" ht="12.95" customHeight="1" x14ac:dyDescent="0.3">
      <c r="B344" s="39"/>
      <c r="C344" s="40"/>
      <c r="D344" s="40"/>
      <c r="E344" s="44"/>
      <c r="F344" s="47"/>
      <c r="G344" s="34"/>
      <c r="H344" s="47"/>
      <c r="I344" s="34"/>
      <c r="J344" s="47"/>
      <c r="K344" s="34"/>
      <c r="N344" s="10"/>
    </row>
    <row r="345" spans="2:14" ht="12.95" customHeight="1" x14ac:dyDescent="0.3">
      <c r="B345" s="32" t="s">
        <v>9</v>
      </c>
      <c r="C345" s="32" t="s">
        <v>114</v>
      </c>
      <c r="D345" s="42" t="s">
        <v>22</v>
      </c>
      <c r="E345" s="55">
        <v>157250</v>
      </c>
      <c r="F345" s="30">
        <v>0.51</v>
      </c>
      <c r="G345" s="6">
        <f t="shared" ref="G345" si="94">TRUNC($E345*F345,1)</f>
        <v>80197.5</v>
      </c>
      <c r="H345" s="30">
        <v>0.59</v>
      </c>
      <c r="I345" s="6">
        <f t="shared" ref="I345" si="95">TRUNC($E345*H345,1)</f>
        <v>92777.5</v>
      </c>
      <c r="J345" s="30">
        <v>0.65</v>
      </c>
      <c r="K345" s="6">
        <f t="shared" ref="K345" si="96">TRUNC($E345*J345,1)</f>
        <v>102212.5</v>
      </c>
    </row>
    <row r="346" spans="2:14" ht="12.95" customHeight="1" x14ac:dyDescent="0.3">
      <c r="B346" s="24" t="s">
        <v>19</v>
      </c>
      <c r="C346" s="40"/>
      <c r="D346" s="40"/>
      <c r="E346" s="33"/>
      <c r="F346" s="35"/>
      <c r="G346" s="43">
        <f>TRUNC(SUM(G345:G345))</f>
        <v>80197</v>
      </c>
      <c r="H346" s="35" t="s">
        <v>43</v>
      </c>
      <c r="I346" s="43">
        <f>TRUNC(SUM(I345:I345))</f>
        <v>92777</v>
      </c>
      <c r="J346" s="35"/>
      <c r="K346" s="43">
        <f>TRUNC(SUM(K345:K345))</f>
        <v>102212</v>
      </c>
    </row>
    <row r="347" spans="2:14" ht="12.95" customHeight="1" x14ac:dyDescent="0.3">
      <c r="B347" s="11"/>
      <c r="C347" s="32"/>
      <c r="D347" s="32"/>
      <c r="E347" s="36"/>
      <c r="F347" s="30"/>
      <c r="G347" s="31"/>
      <c r="H347" s="30"/>
      <c r="I347" s="31"/>
      <c r="J347" s="30"/>
      <c r="K347" s="31"/>
    </row>
    <row r="348" spans="2:14" ht="12.95" customHeight="1" x14ac:dyDescent="0.3">
      <c r="B348" s="12" t="s">
        <v>20</v>
      </c>
      <c r="C348" s="41"/>
      <c r="D348" s="41"/>
      <c r="E348" s="37"/>
      <c r="F348" s="37"/>
      <c r="G348" s="38">
        <f>SUM(G335+G343+G346)</f>
        <v>263273</v>
      </c>
      <c r="H348" s="37"/>
      <c r="I348" s="38">
        <f>SUM(I335+I343+I346)</f>
        <v>306010</v>
      </c>
      <c r="J348" s="37"/>
      <c r="K348" s="38">
        <f>SUM(K335+K343+K346)</f>
        <v>333141</v>
      </c>
    </row>
    <row r="349" spans="2:14" ht="12.95" customHeight="1" x14ac:dyDescent="0.3">
      <c r="B349" s="79" t="s">
        <v>10</v>
      </c>
      <c r="C349" s="81" t="s">
        <v>21</v>
      </c>
      <c r="D349" s="73" t="s">
        <v>15</v>
      </c>
      <c r="E349" s="83" t="s">
        <v>11</v>
      </c>
      <c r="F349" s="77" t="s">
        <v>29</v>
      </c>
      <c r="G349" s="78"/>
      <c r="H349" s="78"/>
      <c r="I349" s="78"/>
      <c r="J349" s="78"/>
      <c r="K349" s="78"/>
    </row>
    <row r="350" spans="2:14" ht="12.95" customHeight="1" x14ac:dyDescent="0.3">
      <c r="B350" s="85"/>
      <c r="C350" s="86"/>
      <c r="D350" s="87"/>
      <c r="E350" s="88"/>
      <c r="F350" s="77" t="s">
        <v>118</v>
      </c>
      <c r="G350" s="78"/>
      <c r="H350" s="77" t="s">
        <v>119</v>
      </c>
      <c r="I350" s="78"/>
      <c r="J350" s="77" t="s">
        <v>120</v>
      </c>
      <c r="K350" s="78"/>
    </row>
    <row r="351" spans="2:14" ht="12.95" customHeight="1" x14ac:dyDescent="0.3">
      <c r="B351" s="80"/>
      <c r="C351" s="82"/>
      <c r="D351" s="74"/>
      <c r="E351" s="84"/>
      <c r="F351" s="51" t="s">
        <v>12</v>
      </c>
      <c r="G351" s="52" t="s">
        <v>13</v>
      </c>
      <c r="H351" s="51" t="s">
        <v>12</v>
      </c>
      <c r="I351" s="52" t="s">
        <v>13</v>
      </c>
      <c r="J351" s="51" t="s">
        <v>12</v>
      </c>
      <c r="K351" s="52" t="s">
        <v>13</v>
      </c>
    </row>
    <row r="352" spans="2:14" ht="12.95" customHeight="1" x14ac:dyDescent="0.3">
      <c r="B352" s="32" t="s">
        <v>112</v>
      </c>
      <c r="C352" s="32"/>
      <c r="D352" s="42" t="s">
        <v>33</v>
      </c>
      <c r="E352" s="54">
        <v>0</v>
      </c>
      <c r="F352" s="66">
        <v>4.1000000000000003E-3</v>
      </c>
      <c r="G352" s="6">
        <f t="shared" ref="G352:G354" si="97">TRUNC($E352*F352,1)</f>
        <v>0</v>
      </c>
      <c r="H352" s="66">
        <v>4.1000000000000003E-3</v>
      </c>
      <c r="I352" s="6">
        <f t="shared" ref="I352:I354" si="98">TRUNC($E352*H352,1)</f>
        <v>0</v>
      </c>
      <c r="J352" s="66">
        <v>4.1000000000000003E-3</v>
      </c>
      <c r="K352" s="6">
        <f t="shared" ref="K352:K354" si="99">TRUNC($E352*J352,1)</f>
        <v>0</v>
      </c>
    </row>
    <row r="353" spans="2:14" ht="12.95" customHeight="1" x14ac:dyDescent="0.3">
      <c r="B353" s="32" t="s">
        <v>113</v>
      </c>
      <c r="C353" s="32"/>
      <c r="D353" s="42" t="s">
        <v>95</v>
      </c>
      <c r="E353" s="54">
        <v>0</v>
      </c>
      <c r="F353" s="30">
        <v>1.43</v>
      </c>
      <c r="G353" s="6">
        <f t="shared" si="97"/>
        <v>0</v>
      </c>
      <c r="H353" s="30">
        <v>1.6</v>
      </c>
      <c r="I353" s="6">
        <f t="shared" si="98"/>
        <v>0</v>
      </c>
      <c r="J353" s="30">
        <v>1.78</v>
      </c>
      <c r="K353" s="6">
        <f t="shared" si="99"/>
        <v>0</v>
      </c>
    </row>
    <row r="354" spans="2:14" ht="12.95" customHeight="1" x14ac:dyDescent="0.3">
      <c r="B354" s="32" t="s">
        <v>9</v>
      </c>
      <c r="C354" s="32" t="s">
        <v>114</v>
      </c>
      <c r="D354" s="42" t="s">
        <v>22</v>
      </c>
      <c r="E354" s="55">
        <v>89197</v>
      </c>
      <c r="F354" s="30">
        <v>0.74</v>
      </c>
      <c r="G354" s="6">
        <f t="shared" si="97"/>
        <v>66005.7</v>
      </c>
      <c r="H354" s="30">
        <v>0.82</v>
      </c>
      <c r="I354" s="6">
        <f t="shared" si="98"/>
        <v>73141.5</v>
      </c>
      <c r="J354" s="30">
        <v>0.9</v>
      </c>
      <c r="K354" s="6">
        <f t="shared" si="99"/>
        <v>80277.3</v>
      </c>
      <c r="N354" s="10"/>
    </row>
    <row r="355" spans="2:14" ht="12.95" customHeight="1" x14ac:dyDescent="0.3">
      <c r="B355" s="24" t="s">
        <v>17</v>
      </c>
      <c r="C355" s="40"/>
      <c r="D355" s="40"/>
      <c r="E355" s="44"/>
      <c r="F355" s="47"/>
      <c r="G355" s="43">
        <f>TRUNC(SUM(G352:G354))</f>
        <v>66005</v>
      </c>
      <c r="H355" s="47"/>
      <c r="I355" s="43">
        <f>TRUNC(SUM(I352:I354))</f>
        <v>73141</v>
      </c>
      <c r="J355" s="47"/>
      <c r="K355" s="43">
        <f>TRUNC(SUM(K352:K354))</f>
        <v>80277</v>
      </c>
      <c r="N355" s="10"/>
    </row>
    <row r="356" spans="2:14" ht="12.95" customHeight="1" x14ac:dyDescent="0.3">
      <c r="B356" s="39"/>
      <c r="C356" s="40"/>
      <c r="D356" s="40"/>
      <c r="E356" s="44"/>
      <c r="F356" s="47"/>
      <c r="G356" s="34"/>
      <c r="H356" s="47"/>
      <c r="I356" s="34"/>
      <c r="J356" s="47"/>
      <c r="K356" s="34"/>
      <c r="N356" s="10"/>
    </row>
    <row r="357" spans="2:14" ht="12.95" customHeight="1" x14ac:dyDescent="0.3">
      <c r="B357" s="13" t="s">
        <v>3</v>
      </c>
      <c r="C357" s="8"/>
      <c r="D357" s="3" t="s">
        <v>16</v>
      </c>
      <c r="E357" s="55">
        <v>295138</v>
      </c>
      <c r="F357" s="30">
        <v>0.05</v>
      </c>
      <c r="G357" s="6">
        <f t="shared" ref="G357:G362" si="100">TRUNC($E357*F357,1)</f>
        <v>14756.9</v>
      </c>
      <c r="H357" s="30">
        <v>0.05</v>
      </c>
      <c r="I357" s="6">
        <f t="shared" ref="I357:I362" si="101">TRUNC($E357*H357,1)</f>
        <v>14756.9</v>
      </c>
      <c r="J357" s="30">
        <v>0.06</v>
      </c>
      <c r="K357" s="6">
        <f t="shared" ref="K357:K362" si="102">TRUNC($E357*J357,1)</f>
        <v>17708.2</v>
      </c>
      <c r="N357" s="10"/>
    </row>
    <row r="358" spans="2:14" ht="12.95" customHeight="1" x14ac:dyDescent="0.3">
      <c r="B358" s="13" t="s">
        <v>7</v>
      </c>
      <c r="C358" s="8"/>
      <c r="D358" s="3" t="s">
        <v>16</v>
      </c>
      <c r="E358" s="55">
        <v>250087</v>
      </c>
      <c r="F358" s="30">
        <v>0.19</v>
      </c>
      <c r="G358" s="6">
        <f t="shared" si="100"/>
        <v>47516.5</v>
      </c>
      <c r="H358" s="30">
        <v>0.21</v>
      </c>
      <c r="I358" s="6">
        <f t="shared" si="101"/>
        <v>52518.2</v>
      </c>
      <c r="J358" s="30">
        <v>0.24</v>
      </c>
      <c r="K358" s="6">
        <f t="shared" si="102"/>
        <v>60020.800000000003</v>
      </c>
      <c r="N358" s="10"/>
    </row>
    <row r="359" spans="2:14" ht="12.95" customHeight="1" x14ac:dyDescent="0.3">
      <c r="B359" s="13" t="s">
        <v>28</v>
      </c>
      <c r="C359" s="8"/>
      <c r="D359" s="3" t="s">
        <v>16</v>
      </c>
      <c r="E359" s="55">
        <v>232562</v>
      </c>
      <c r="F359" s="30">
        <v>0.19</v>
      </c>
      <c r="G359" s="6">
        <f t="shared" si="100"/>
        <v>44186.7</v>
      </c>
      <c r="H359" s="30">
        <v>0.21</v>
      </c>
      <c r="I359" s="6">
        <f t="shared" si="101"/>
        <v>48838</v>
      </c>
      <c r="J359" s="30">
        <v>0.24</v>
      </c>
      <c r="K359" s="6">
        <f t="shared" si="102"/>
        <v>55814.8</v>
      </c>
      <c r="N359" s="10"/>
    </row>
    <row r="360" spans="2:14" ht="12.95" customHeight="1" x14ac:dyDescent="0.3">
      <c r="B360" s="13" t="s">
        <v>23</v>
      </c>
      <c r="C360" s="8"/>
      <c r="D360" s="3" t="s">
        <v>16</v>
      </c>
      <c r="E360" s="55">
        <v>226122</v>
      </c>
      <c r="F360" s="30">
        <v>0.09</v>
      </c>
      <c r="G360" s="6">
        <f t="shared" si="100"/>
        <v>20350.900000000001</v>
      </c>
      <c r="H360" s="30">
        <v>0.1</v>
      </c>
      <c r="I360" s="6">
        <f t="shared" si="101"/>
        <v>22612.2</v>
      </c>
      <c r="J360" s="30">
        <v>0.12</v>
      </c>
      <c r="K360" s="6">
        <f t="shared" si="102"/>
        <v>27134.6</v>
      </c>
    </row>
    <row r="361" spans="2:14" ht="12.95" customHeight="1" x14ac:dyDescent="0.3">
      <c r="B361" s="13" t="s">
        <v>0</v>
      </c>
      <c r="C361" s="8"/>
      <c r="D361" s="3" t="s">
        <v>16</v>
      </c>
      <c r="E361" s="55">
        <v>172068</v>
      </c>
      <c r="F361" s="30">
        <v>0.19</v>
      </c>
      <c r="G361" s="6">
        <f t="shared" si="100"/>
        <v>32692.9</v>
      </c>
      <c r="H361" s="30">
        <v>0.21</v>
      </c>
      <c r="I361" s="6">
        <f t="shared" si="101"/>
        <v>36134.199999999997</v>
      </c>
      <c r="J361" s="30">
        <v>0.24</v>
      </c>
      <c r="K361" s="6">
        <f t="shared" si="102"/>
        <v>41296.300000000003</v>
      </c>
    </row>
    <row r="362" spans="2:14" ht="12.95" customHeight="1" x14ac:dyDescent="0.3">
      <c r="B362" s="32" t="s">
        <v>9</v>
      </c>
      <c r="C362" s="32" t="s">
        <v>114</v>
      </c>
      <c r="D362" s="42" t="s">
        <v>22</v>
      </c>
      <c r="E362" s="55">
        <v>58925</v>
      </c>
      <c r="F362" s="30">
        <v>0.74</v>
      </c>
      <c r="G362" s="6">
        <f t="shared" si="100"/>
        <v>43604.5</v>
      </c>
      <c r="H362" s="30">
        <v>0.82</v>
      </c>
      <c r="I362" s="6">
        <f t="shared" si="101"/>
        <v>48318.5</v>
      </c>
      <c r="J362" s="30">
        <v>0.9</v>
      </c>
      <c r="K362" s="6">
        <f t="shared" si="102"/>
        <v>53032.5</v>
      </c>
    </row>
    <row r="363" spans="2:14" ht="12.95" customHeight="1" x14ac:dyDescent="0.3">
      <c r="B363" s="21" t="s">
        <v>18</v>
      </c>
      <c r="C363" s="40"/>
      <c r="D363" s="40"/>
      <c r="E363" s="44"/>
      <c r="F363" s="47" t="s">
        <v>43</v>
      </c>
      <c r="G363" s="43">
        <f>TRUNC(SUM(G357:G362))</f>
        <v>203108</v>
      </c>
      <c r="H363" s="47" t="s">
        <v>43</v>
      </c>
      <c r="I363" s="43">
        <f>TRUNC(SUM(I357:I362))</f>
        <v>223178</v>
      </c>
      <c r="J363" s="47" t="s">
        <v>43</v>
      </c>
      <c r="K363" s="43">
        <f>TRUNC(SUM(K357:K362))</f>
        <v>255007</v>
      </c>
    </row>
    <row r="364" spans="2:14" ht="12.95" customHeight="1" x14ac:dyDescent="0.3">
      <c r="B364" s="39"/>
      <c r="C364" s="40"/>
      <c r="D364" s="40"/>
      <c r="E364" s="44"/>
      <c r="F364" s="47"/>
      <c r="G364" s="34"/>
      <c r="H364" s="47"/>
      <c r="I364" s="34"/>
      <c r="J364" s="47"/>
      <c r="K364" s="34"/>
    </row>
    <row r="365" spans="2:14" ht="12.95" customHeight="1" x14ac:dyDescent="0.3">
      <c r="B365" s="32" t="s">
        <v>9</v>
      </c>
      <c r="C365" s="32" t="s">
        <v>114</v>
      </c>
      <c r="D365" s="42" t="s">
        <v>22</v>
      </c>
      <c r="E365" s="55">
        <v>157250</v>
      </c>
      <c r="F365" s="30">
        <v>0.74</v>
      </c>
      <c r="G365" s="6">
        <f t="shared" ref="G365" si="103">TRUNC($E365*F365,1)</f>
        <v>116365</v>
      </c>
      <c r="H365" s="30">
        <v>0.82</v>
      </c>
      <c r="I365" s="6">
        <f t="shared" ref="I365" si="104">TRUNC($E365*H365,1)</f>
        <v>128945</v>
      </c>
      <c r="J365" s="30">
        <v>0.9</v>
      </c>
      <c r="K365" s="6">
        <f t="shared" ref="K365" si="105">TRUNC($E365*J365,1)</f>
        <v>141525</v>
      </c>
    </row>
    <row r="366" spans="2:14" ht="12.95" customHeight="1" x14ac:dyDescent="0.3">
      <c r="B366" s="24" t="s">
        <v>19</v>
      </c>
      <c r="C366" s="40"/>
      <c r="D366" s="40"/>
      <c r="E366" s="33"/>
      <c r="F366" s="35"/>
      <c r="G366" s="43">
        <f>TRUNC(SUM(G365:G365))</f>
        <v>116365</v>
      </c>
      <c r="H366" s="35"/>
      <c r="I366" s="43">
        <f>TRUNC(SUM(I365:I365))</f>
        <v>128945</v>
      </c>
      <c r="J366" s="35" t="s">
        <v>43</v>
      </c>
      <c r="K366" s="43">
        <f>TRUNC(SUM(K365:K365))</f>
        <v>141525</v>
      </c>
    </row>
    <row r="367" spans="2:14" ht="12.95" customHeight="1" x14ac:dyDescent="0.3">
      <c r="B367" s="11"/>
      <c r="C367" s="32"/>
      <c r="D367" s="32"/>
      <c r="E367" s="36"/>
      <c r="F367" s="30"/>
      <c r="G367" s="31"/>
      <c r="H367" s="30"/>
      <c r="I367" s="31"/>
      <c r="J367" s="30"/>
      <c r="K367" s="31"/>
    </row>
    <row r="368" spans="2:14" ht="12.95" customHeight="1" x14ac:dyDescent="0.3">
      <c r="B368" s="12" t="s">
        <v>20</v>
      </c>
      <c r="C368" s="41"/>
      <c r="D368" s="41"/>
      <c r="E368" s="37"/>
      <c r="F368" s="37"/>
      <c r="G368" s="38">
        <f>SUM(G355+G363+G366)</f>
        <v>385478</v>
      </c>
      <c r="H368" s="37"/>
      <c r="I368" s="38">
        <f>SUM(I355+I363+I366)</f>
        <v>425264</v>
      </c>
      <c r="J368" s="37"/>
      <c r="K368" s="38">
        <f>SUM(K355+K363+K366)</f>
        <v>476809</v>
      </c>
    </row>
    <row r="369" spans="2:11" ht="12.95" customHeight="1" x14ac:dyDescent="0.3">
      <c r="B369" s="79" t="s">
        <v>10</v>
      </c>
      <c r="C369" s="81" t="s">
        <v>21</v>
      </c>
      <c r="D369" s="73" t="s">
        <v>15</v>
      </c>
      <c r="E369" s="83" t="s">
        <v>11</v>
      </c>
      <c r="F369" s="77" t="s">
        <v>41</v>
      </c>
      <c r="G369" s="78"/>
      <c r="H369" s="78"/>
      <c r="I369" s="78"/>
      <c r="J369" s="78"/>
      <c r="K369" s="78"/>
    </row>
    <row r="370" spans="2:11" ht="12.95" customHeight="1" x14ac:dyDescent="0.3">
      <c r="B370" s="85"/>
      <c r="C370" s="86"/>
      <c r="D370" s="87"/>
      <c r="E370" s="88"/>
      <c r="F370" s="77" t="s">
        <v>109</v>
      </c>
      <c r="G370" s="78"/>
      <c r="H370" s="77" t="s">
        <v>110</v>
      </c>
      <c r="I370" s="78"/>
      <c r="J370" s="77" t="s">
        <v>111</v>
      </c>
      <c r="K370" s="78"/>
    </row>
    <row r="371" spans="2:11" ht="12.95" customHeight="1" x14ac:dyDescent="0.3">
      <c r="B371" s="80"/>
      <c r="C371" s="82"/>
      <c r="D371" s="74"/>
      <c r="E371" s="84"/>
      <c r="F371" s="51" t="s">
        <v>12</v>
      </c>
      <c r="G371" s="52" t="s">
        <v>13</v>
      </c>
      <c r="H371" s="51" t="s">
        <v>12</v>
      </c>
      <c r="I371" s="52" t="s">
        <v>13</v>
      </c>
      <c r="J371" s="51" t="s">
        <v>12</v>
      </c>
      <c r="K371" s="52" t="s">
        <v>13</v>
      </c>
    </row>
    <row r="372" spans="2:11" ht="12.95" customHeight="1" x14ac:dyDescent="0.3">
      <c r="B372" s="32" t="s">
        <v>112</v>
      </c>
      <c r="C372" s="32"/>
      <c r="D372" s="42" t="s">
        <v>33</v>
      </c>
      <c r="E372" s="54">
        <v>0</v>
      </c>
      <c r="F372" s="66">
        <v>6.4000000000000003E-3</v>
      </c>
      <c r="G372" s="6">
        <f t="shared" ref="G372:G374" si="106">TRUNC($E372*F372,1)</f>
        <v>0</v>
      </c>
      <c r="H372" s="66">
        <v>6.4000000000000003E-3</v>
      </c>
      <c r="I372" s="6">
        <f t="shared" ref="I372:I374" si="107">TRUNC($E372*H372,1)</f>
        <v>0</v>
      </c>
      <c r="J372" s="66">
        <v>6.4000000000000003E-3</v>
      </c>
      <c r="K372" s="6">
        <f t="shared" ref="K372:K374" si="108">TRUNC($E372*J372,1)</f>
        <v>0</v>
      </c>
    </row>
    <row r="373" spans="2:11" ht="12.95" customHeight="1" x14ac:dyDescent="0.3">
      <c r="B373" s="32" t="s">
        <v>113</v>
      </c>
      <c r="C373" s="32"/>
      <c r="D373" s="42" t="s">
        <v>95</v>
      </c>
      <c r="E373" s="54">
        <v>0</v>
      </c>
      <c r="F373" s="30">
        <v>0.35</v>
      </c>
      <c r="G373" s="6">
        <f t="shared" si="106"/>
        <v>0</v>
      </c>
      <c r="H373" s="30">
        <v>0.53</v>
      </c>
      <c r="I373" s="6">
        <f t="shared" si="107"/>
        <v>0</v>
      </c>
      <c r="J373" s="30">
        <v>0.7</v>
      </c>
      <c r="K373" s="6">
        <f t="shared" si="108"/>
        <v>0</v>
      </c>
    </row>
    <row r="374" spans="2:11" ht="12.95" customHeight="1" x14ac:dyDescent="0.3">
      <c r="B374" s="32" t="s">
        <v>9</v>
      </c>
      <c r="C374" s="32" t="s">
        <v>114</v>
      </c>
      <c r="D374" s="42" t="s">
        <v>22</v>
      </c>
      <c r="E374" s="55">
        <v>89197</v>
      </c>
      <c r="F374" s="30">
        <v>0.38</v>
      </c>
      <c r="G374" s="6">
        <f t="shared" si="106"/>
        <v>33894.800000000003</v>
      </c>
      <c r="H374" s="30">
        <v>0.52</v>
      </c>
      <c r="I374" s="6">
        <f t="shared" si="107"/>
        <v>46382.400000000001</v>
      </c>
      <c r="J374" s="30">
        <v>0.65</v>
      </c>
      <c r="K374" s="6">
        <f t="shared" si="108"/>
        <v>57978</v>
      </c>
    </row>
    <row r="375" spans="2:11" ht="12.95" customHeight="1" x14ac:dyDescent="0.3">
      <c r="B375" s="24" t="s">
        <v>17</v>
      </c>
      <c r="C375" s="40"/>
      <c r="D375" s="40"/>
      <c r="E375" s="44"/>
      <c r="F375" s="47" t="s">
        <v>43</v>
      </c>
      <c r="G375" s="43">
        <f>TRUNC(SUM(G372:G374))</f>
        <v>33894</v>
      </c>
      <c r="H375" s="47" t="s">
        <v>43</v>
      </c>
      <c r="I375" s="43">
        <f>TRUNC(SUM(I372:I374))</f>
        <v>46382</v>
      </c>
      <c r="J375" s="47" t="s">
        <v>43</v>
      </c>
      <c r="K375" s="43">
        <f>TRUNC(SUM(K372:K374))</f>
        <v>57978</v>
      </c>
    </row>
    <row r="376" spans="2:11" ht="12.95" customHeight="1" x14ac:dyDescent="0.3">
      <c r="B376" s="39"/>
      <c r="C376" s="40"/>
      <c r="D376" s="40"/>
      <c r="E376" s="44"/>
      <c r="F376" s="47"/>
      <c r="G376" s="34"/>
      <c r="H376" s="47"/>
      <c r="I376" s="34"/>
      <c r="J376" s="47"/>
      <c r="K376" s="34"/>
    </row>
    <row r="377" spans="2:11" ht="12.95" customHeight="1" x14ac:dyDescent="0.3">
      <c r="B377" s="13" t="s">
        <v>3</v>
      </c>
      <c r="C377" s="8"/>
      <c r="D377" s="3" t="s">
        <v>16</v>
      </c>
      <c r="E377" s="55">
        <v>295138</v>
      </c>
      <c r="F377" s="30">
        <v>0.02</v>
      </c>
      <c r="G377" s="6">
        <f t="shared" ref="G377:G382" si="109">TRUNC($E377*F377,1)</f>
        <v>5902.7</v>
      </c>
      <c r="H377" s="30">
        <v>0.03</v>
      </c>
      <c r="I377" s="6">
        <f t="shared" ref="I377:I382" si="110">TRUNC($E377*H377,1)</f>
        <v>8854.1</v>
      </c>
      <c r="J377" s="30">
        <v>0.04</v>
      </c>
      <c r="K377" s="6">
        <f t="shared" ref="K377:K382" si="111">TRUNC($E377*J377,1)</f>
        <v>11805.5</v>
      </c>
    </row>
    <row r="378" spans="2:11" ht="12.95" customHeight="1" x14ac:dyDescent="0.3">
      <c r="B378" s="13" t="s">
        <v>7</v>
      </c>
      <c r="C378" s="8"/>
      <c r="D378" s="3" t="s">
        <v>16</v>
      </c>
      <c r="E378" s="55">
        <v>250087</v>
      </c>
      <c r="F378" s="30">
        <v>0.1</v>
      </c>
      <c r="G378" s="6">
        <f t="shared" si="109"/>
        <v>25008.7</v>
      </c>
      <c r="H378" s="30">
        <v>0.13</v>
      </c>
      <c r="I378" s="6">
        <f t="shared" si="110"/>
        <v>32511.3</v>
      </c>
      <c r="J378" s="30">
        <v>0.16</v>
      </c>
      <c r="K378" s="6">
        <f t="shared" si="111"/>
        <v>40013.9</v>
      </c>
    </row>
    <row r="379" spans="2:11" ht="12.95" customHeight="1" x14ac:dyDescent="0.3">
      <c r="B379" s="13" t="s">
        <v>28</v>
      </c>
      <c r="C379" s="8"/>
      <c r="D379" s="3" t="s">
        <v>16</v>
      </c>
      <c r="E379" s="55">
        <v>232562</v>
      </c>
      <c r="F379" s="30">
        <v>0.1</v>
      </c>
      <c r="G379" s="6">
        <f t="shared" si="109"/>
        <v>23256.2</v>
      </c>
      <c r="H379" s="30">
        <v>0.13</v>
      </c>
      <c r="I379" s="6">
        <f t="shared" si="110"/>
        <v>30233</v>
      </c>
      <c r="J379" s="30">
        <v>0.16</v>
      </c>
      <c r="K379" s="6">
        <f t="shared" si="111"/>
        <v>37209.9</v>
      </c>
    </row>
    <row r="380" spans="2:11" ht="12.95" customHeight="1" x14ac:dyDescent="0.3">
      <c r="B380" s="13" t="s">
        <v>23</v>
      </c>
      <c r="C380" s="8"/>
      <c r="D380" s="3" t="s">
        <v>16</v>
      </c>
      <c r="E380" s="55">
        <v>226122</v>
      </c>
      <c r="F380" s="30">
        <v>0.05</v>
      </c>
      <c r="G380" s="6">
        <f t="shared" si="109"/>
        <v>11306.1</v>
      </c>
      <c r="H380" s="30">
        <v>0.06</v>
      </c>
      <c r="I380" s="6">
        <f t="shared" si="110"/>
        <v>13567.3</v>
      </c>
      <c r="J380" s="30">
        <v>0.08</v>
      </c>
      <c r="K380" s="6">
        <f t="shared" si="111"/>
        <v>18089.7</v>
      </c>
    </row>
    <row r="381" spans="2:11" ht="12.95" customHeight="1" x14ac:dyDescent="0.3">
      <c r="B381" s="13" t="s">
        <v>0</v>
      </c>
      <c r="C381" s="8"/>
      <c r="D381" s="3" t="s">
        <v>16</v>
      </c>
      <c r="E381" s="55">
        <v>172068</v>
      </c>
      <c r="F381" s="30">
        <v>0.1</v>
      </c>
      <c r="G381" s="6">
        <f t="shared" si="109"/>
        <v>17206.8</v>
      </c>
      <c r="H381" s="30">
        <v>0.13</v>
      </c>
      <c r="I381" s="6">
        <f t="shared" si="110"/>
        <v>22368.799999999999</v>
      </c>
      <c r="J381" s="30">
        <v>0.16</v>
      </c>
      <c r="K381" s="6">
        <f t="shared" si="111"/>
        <v>27530.799999999999</v>
      </c>
    </row>
    <row r="382" spans="2:11" ht="12.95" customHeight="1" x14ac:dyDescent="0.3">
      <c r="B382" s="32" t="s">
        <v>9</v>
      </c>
      <c r="C382" s="32" t="s">
        <v>114</v>
      </c>
      <c r="D382" s="42" t="s">
        <v>22</v>
      </c>
      <c r="E382" s="55">
        <v>58925</v>
      </c>
      <c r="F382" s="30">
        <v>0.38</v>
      </c>
      <c r="G382" s="6">
        <f t="shared" si="109"/>
        <v>22391.5</v>
      </c>
      <c r="H382" s="30">
        <v>0.52</v>
      </c>
      <c r="I382" s="6">
        <f t="shared" si="110"/>
        <v>30641</v>
      </c>
      <c r="J382" s="30">
        <v>0.65</v>
      </c>
      <c r="K382" s="6">
        <f t="shared" si="111"/>
        <v>38301.199999999997</v>
      </c>
    </row>
    <row r="383" spans="2:11" ht="12.95" customHeight="1" x14ac:dyDescent="0.3">
      <c r="B383" s="21" t="s">
        <v>18</v>
      </c>
      <c r="C383" s="40"/>
      <c r="D383" s="40"/>
      <c r="E383" s="44"/>
      <c r="F383" s="47" t="s">
        <v>43</v>
      </c>
      <c r="G383" s="43">
        <f>TRUNC(SUM(G377:G382))</f>
        <v>105072</v>
      </c>
      <c r="H383" s="47" t="s">
        <v>43</v>
      </c>
      <c r="I383" s="43">
        <f>TRUNC(SUM(I377:I382))</f>
        <v>138175</v>
      </c>
      <c r="J383" s="47" t="s">
        <v>43</v>
      </c>
      <c r="K383" s="43">
        <f>TRUNC(SUM(K377:K382))</f>
        <v>172951</v>
      </c>
    </row>
    <row r="384" spans="2:11" ht="12.95" customHeight="1" x14ac:dyDescent="0.3">
      <c r="B384" s="39"/>
      <c r="C384" s="40"/>
      <c r="D384" s="40"/>
      <c r="E384" s="44"/>
      <c r="F384" s="47"/>
      <c r="G384" s="34"/>
      <c r="H384" s="47"/>
      <c r="I384" s="34"/>
      <c r="J384" s="47"/>
      <c r="K384" s="34"/>
    </row>
    <row r="385" spans="2:11" ht="12.95" customHeight="1" x14ac:dyDescent="0.3">
      <c r="B385" s="32" t="s">
        <v>9</v>
      </c>
      <c r="C385" s="32" t="s">
        <v>114</v>
      </c>
      <c r="D385" s="42" t="s">
        <v>22</v>
      </c>
      <c r="E385" s="55">
        <v>157250</v>
      </c>
      <c r="F385" s="30">
        <v>0.38</v>
      </c>
      <c r="G385" s="6">
        <f t="shared" ref="G385" si="112">TRUNC($E385*F385,1)</f>
        <v>59755</v>
      </c>
      <c r="H385" s="30">
        <v>0.52</v>
      </c>
      <c r="I385" s="6">
        <f t="shared" ref="I385" si="113">TRUNC($E385*H385,1)</f>
        <v>81770</v>
      </c>
      <c r="J385" s="30">
        <v>0.65</v>
      </c>
      <c r="K385" s="6">
        <f t="shared" ref="K385" si="114">TRUNC($E385*J385,1)</f>
        <v>102212.5</v>
      </c>
    </row>
    <row r="386" spans="2:11" ht="12.95" customHeight="1" x14ac:dyDescent="0.3">
      <c r="B386" s="24" t="s">
        <v>19</v>
      </c>
      <c r="C386" s="40"/>
      <c r="D386" s="40"/>
      <c r="E386" s="33"/>
      <c r="F386" s="35"/>
      <c r="G386" s="43">
        <f>TRUNC(SUM(G385:G385))</f>
        <v>59755</v>
      </c>
      <c r="H386" s="35"/>
      <c r="I386" s="43">
        <f>TRUNC(SUM(I385:I385))</f>
        <v>81770</v>
      </c>
      <c r="J386" s="35" t="s">
        <v>43</v>
      </c>
      <c r="K386" s="43">
        <f>TRUNC(SUM(K385:K385))</f>
        <v>102212</v>
      </c>
    </row>
    <row r="387" spans="2:11" ht="12.95" customHeight="1" x14ac:dyDescent="0.3">
      <c r="B387" s="11"/>
      <c r="C387" s="32"/>
      <c r="D387" s="32"/>
      <c r="E387" s="36"/>
      <c r="F387" s="30"/>
      <c r="G387" s="31"/>
      <c r="H387" s="30"/>
      <c r="I387" s="31"/>
      <c r="J387" s="30"/>
      <c r="K387" s="31"/>
    </row>
    <row r="388" spans="2:11" ht="12.95" customHeight="1" x14ac:dyDescent="0.3">
      <c r="B388" s="12" t="s">
        <v>20</v>
      </c>
      <c r="C388" s="41"/>
      <c r="D388" s="41"/>
      <c r="E388" s="37"/>
      <c r="F388" s="37"/>
      <c r="G388" s="38">
        <f>SUM(G375+G383+G386)</f>
        <v>198721</v>
      </c>
      <c r="H388" s="37"/>
      <c r="I388" s="38">
        <f>SUM(I375+I383+I386)</f>
        <v>266327</v>
      </c>
      <c r="J388" s="37"/>
      <c r="K388" s="38">
        <f>SUM(K375+K383+K386)</f>
        <v>333141</v>
      </c>
    </row>
    <row r="389" spans="2:11" ht="12.95" customHeight="1" x14ac:dyDescent="0.3">
      <c r="B389" s="79" t="s">
        <v>10</v>
      </c>
      <c r="C389" s="81" t="s">
        <v>21</v>
      </c>
      <c r="D389" s="73" t="s">
        <v>15</v>
      </c>
      <c r="E389" s="83" t="s">
        <v>11</v>
      </c>
      <c r="F389" s="77" t="s">
        <v>41</v>
      </c>
      <c r="G389" s="78"/>
      <c r="H389" s="78"/>
      <c r="I389" s="78"/>
      <c r="J389" s="78"/>
      <c r="K389" s="78"/>
    </row>
    <row r="390" spans="2:11" ht="12.95" customHeight="1" x14ac:dyDescent="0.3">
      <c r="B390" s="85"/>
      <c r="C390" s="86"/>
      <c r="D390" s="87"/>
      <c r="E390" s="88"/>
      <c r="F390" s="77" t="s">
        <v>115</v>
      </c>
      <c r="G390" s="78"/>
      <c r="H390" s="77" t="s">
        <v>116</v>
      </c>
      <c r="I390" s="78"/>
      <c r="J390" s="77" t="s">
        <v>117</v>
      </c>
      <c r="K390" s="78"/>
    </row>
    <row r="391" spans="2:11" ht="12.95" customHeight="1" x14ac:dyDescent="0.3">
      <c r="B391" s="80"/>
      <c r="C391" s="82"/>
      <c r="D391" s="74"/>
      <c r="E391" s="84"/>
      <c r="F391" s="51" t="s">
        <v>12</v>
      </c>
      <c r="G391" s="52" t="s">
        <v>13</v>
      </c>
      <c r="H391" s="51" t="s">
        <v>12</v>
      </c>
      <c r="I391" s="52" t="s">
        <v>13</v>
      </c>
      <c r="J391" s="51" t="s">
        <v>12</v>
      </c>
      <c r="K391" s="52" t="s">
        <v>13</v>
      </c>
    </row>
    <row r="392" spans="2:11" ht="12.95" customHeight="1" x14ac:dyDescent="0.3">
      <c r="B392" s="32" t="s">
        <v>112</v>
      </c>
      <c r="C392" s="32"/>
      <c r="D392" s="42" t="s">
        <v>33</v>
      </c>
      <c r="E392" s="54">
        <v>0</v>
      </c>
      <c r="F392" s="66">
        <v>6.4000000000000003E-3</v>
      </c>
      <c r="G392" s="6">
        <f t="shared" ref="G392:G394" si="115">TRUNC($E392*F392,1)</f>
        <v>0</v>
      </c>
      <c r="H392" s="66">
        <v>6.4000000000000003E-3</v>
      </c>
      <c r="I392" s="6">
        <f t="shared" ref="I392:I394" si="116">TRUNC($E392*H392,1)</f>
        <v>0</v>
      </c>
      <c r="J392" s="66">
        <v>6.4000000000000003E-3</v>
      </c>
      <c r="K392" s="6">
        <f t="shared" ref="K392:K394" si="117">TRUNC($E392*J392,1)</f>
        <v>0</v>
      </c>
    </row>
    <row r="393" spans="2:11" ht="12.95" customHeight="1" x14ac:dyDescent="0.3">
      <c r="B393" s="32" t="s">
        <v>113</v>
      </c>
      <c r="C393" s="32"/>
      <c r="D393" s="42" t="s">
        <v>95</v>
      </c>
      <c r="E393" s="54">
        <v>0</v>
      </c>
      <c r="F393" s="30">
        <v>0.88</v>
      </c>
      <c r="G393" s="6">
        <f t="shared" si="115"/>
        <v>0</v>
      </c>
      <c r="H393" s="30">
        <v>1.05</v>
      </c>
      <c r="I393" s="6">
        <f t="shared" si="116"/>
        <v>0</v>
      </c>
      <c r="J393" s="30">
        <v>1.25</v>
      </c>
      <c r="K393" s="6">
        <f t="shared" si="117"/>
        <v>0</v>
      </c>
    </row>
    <row r="394" spans="2:11" ht="12.95" customHeight="1" x14ac:dyDescent="0.3">
      <c r="B394" s="32" t="s">
        <v>9</v>
      </c>
      <c r="C394" s="32" t="s">
        <v>114</v>
      </c>
      <c r="D394" s="42" t="s">
        <v>22</v>
      </c>
      <c r="E394" s="55">
        <v>89197</v>
      </c>
      <c r="F394" s="30">
        <v>0.81</v>
      </c>
      <c r="G394" s="6">
        <f t="shared" si="115"/>
        <v>72249.5</v>
      </c>
      <c r="H394" s="30">
        <v>0.97</v>
      </c>
      <c r="I394" s="6">
        <f t="shared" si="116"/>
        <v>86521</v>
      </c>
      <c r="J394" s="30">
        <v>1.1100000000000001</v>
      </c>
      <c r="K394" s="6">
        <f t="shared" si="117"/>
        <v>99008.6</v>
      </c>
    </row>
    <row r="395" spans="2:11" ht="12.95" customHeight="1" x14ac:dyDescent="0.3">
      <c r="B395" s="24" t="s">
        <v>17</v>
      </c>
      <c r="C395" s="40"/>
      <c r="D395" s="40"/>
      <c r="E395" s="44"/>
      <c r="F395" s="47" t="s">
        <v>43</v>
      </c>
      <c r="G395" s="43">
        <f>TRUNC(SUM(G392:G394))</f>
        <v>72249</v>
      </c>
      <c r="H395" s="47" t="s">
        <v>43</v>
      </c>
      <c r="I395" s="43">
        <f>TRUNC(SUM(I392:I394))</f>
        <v>86521</v>
      </c>
      <c r="J395" s="47" t="s">
        <v>43</v>
      </c>
      <c r="K395" s="43">
        <f>TRUNC(SUM(K392:K394))</f>
        <v>99008</v>
      </c>
    </row>
    <row r="396" spans="2:11" ht="12.95" customHeight="1" x14ac:dyDescent="0.3">
      <c r="B396" s="39"/>
      <c r="C396" s="40"/>
      <c r="D396" s="40"/>
      <c r="E396" s="44"/>
      <c r="F396" s="47"/>
      <c r="G396" s="34"/>
      <c r="H396" s="47"/>
      <c r="I396" s="34"/>
      <c r="J396" s="47"/>
      <c r="K396" s="34"/>
    </row>
    <row r="397" spans="2:11" ht="12.95" customHeight="1" x14ac:dyDescent="0.3">
      <c r="B397" s="13" t="s">
        <v>3</v>
      </c>
      <c r="C397" s="8"/>
      <c r="D397" s="3" t="s">
        <v>16</v>
      </c>
      <c r="E397" s="55">
        <v>295138</v>
      </c>
      <c r="F397" s="30">
        <v>0.05</v>
      </c>
      <c r="G397" s="6">
        <f t="shared" ref="G397:G402" si="118">TRUNC($E397*F397,1)</f>
        <v>14756.9</v>
      </c>
      <c r="H397" s="30">
        <v>0.06</v>
      </c>
      <c r="I397" s="6">
        <f t="shared" ref="I397:I402" si="119">TRUNC($E397*H397,1)</f>
        <v>17708.2</v>
      </c>
      <c r="J397" s="30">
        <v>7.0000000000000007E-2</v>
      </c>
      <c r="K397" s="6">
        <f t="shared" ref="K397:K402" si="120">TRUNC($E397*J397,1)</f>
        <v>20659.599999999999</v>
      </c>
    </row>
    <row r="398" spans="2:11" ht="12.95" customHeight="1" x14ac:dyDescent="0.3">
      <c r="B398" s="13" t="s">
        <v>7</v>
      </c>
      <c r="C398" s="8"/>
      <c r="D398" s="3" t="s">
        <v>16</v>
      </c>
      <c r="E398" s="55">
        <v>250087</v>
      </c>
      <c r="F398" s="30">
        <v>0.2</v>
      </c>
      <c r="G398" s="6">
        <f t="shared" si="118"/>
        <v>50017.4</v>
      </c>
      <c r="H398" s="30">
        <v>0.24</v>
      </c>
      <c r="I398" s="6">
        <f t="shared" si="119"/>
        <v>60020.800000000003</v>
      </c>
      <c r="J398" s="30">
        <v>0.28000000000000003</v>
      </c>
      <c r="K398" s="6">
        <f t="shared" si="120"/>
        <v>70024.3</v>
      </c>
    </row>
    <row r="399" spans="2:11" ht="12.95" customHeight="1" x14ac:dyDescent="0.3">
      <c r="B399" s="13" t="s">
        <v>28</v>
      </c>
      <c r="C399" s="8"/>
      <c r="D399" s="3" t="s">
        <v>16</v>
      </c>
      <c r="E399" s="55">
        <v>232562</v>
      </c>
      <c r="F399" s="30">
        <v>0.2</v>
      </c>
      <c r="G399" s="6">
        <f t="shared" si="118"/>
        <v>46512.4</v>
      </c>
      <c r="H399" s="30">
        <v>0.24</v>
      </c>
      <c r="I399" s="6">
        <f t="shared" si="119"/>
        <v>55814.8</v>
      </c>
      <c r="J399" s="30">
        <v>0.28000000000000003</v>
      </c>
      <c r="K399" s="6">
        <f t="shared" si="120"/>
        <v>65117.3</v>
      </c>
    </row>
    <row r="400" spans="2:11" ht="12.95" customHeight="1" x14ac:dyDescent="0.3">
      <c r="B400" s="13" t="s">
        <v>23</v>
      </c>
      <c r="C400" s="8"/>
      <c r="D400" s="3" t="s">
        <v>16</v>
      </c>
      <c r="E400" s="55">
        <v>226122</v>
      </c>
      <c r="F400" s="30">
        <v>0.1</v>
      </c>
      <c r="G400" s="6">
        <f t="shared" si="118"/>
        <v>22612.2</v>
      </c>
      <c r="H400" s="30">
        <v>0.12</v>
      </c>
      <c r="I400" s="6">
        <f t="shared" si="119"/>
        <v>27134.6</v>
      </c>
      <c r="J400" s="30">
        <v>0.14000000000000001</v>
      </c>
      <c r="K400" s="6">
        <f t="shared" si="120"/>
        <v>31657</v>
      </c>
    </row>
    <row r="401" spans="2:11" ht="12.95" customHeight="1" x14ac:dyDescent="0.3">
      <c r="B401" s="13" t="s">
        <v>0</v>
      </c>
      <c r="C401" s="8"/>
      <c r="D401" s="3" t="s">
        <v>16</v>
      </c>
      <c r="E401" s="55">
        <v>172068</v>
      </c>
      <c r="F401" s="30">
        <v>0.2</v>
      </c>
      <c r="G401" s="6">
        <f t="shared" si="118"/>
        <v>34413.599999999999</v>
      </c>
      <c r="H401" s="30">
        <v>0.24</v>
      </c>
      <c r="I401" s="6">
        <f t="shared" si="119"/>
        <v>41296.300000000003</v>
      </c>
      <c r="J401" s="30">
        <v>0.28000000000000003</v>
      </c>
      <c r="K401" s="6">
        <f t="shared" si="120"/>
        <v>48179</v>
      </c>
    </row>
    <row r="402" spans="2:11" ht="12.95" customHeight="1" x14ac:dyDescent="0.3">
      <c r="B402" s="32" t="s">
        <v>9</v>
      </c>
      <c r="C402" s="32" t="s">
        <v>114</v>
      </c>
      <c r="D402" s="42" t="s">
        <v>22</v>
      </c>
      <c r="E402" s="55">
        <v>58925</v>
      </c>
      <c r="F402" s="30">
        <v>0.81</v>
      </c>
      <c r="G402" s="6">
        <f t="shared" si="118"/>
        <v>47729.2</v>
      </c>
      <c r="H402" s="30">
        <v>0.97</v>
      </c>
      <c r="I402" s="6">
        <f t="shared" si="119"/>
        <v>57157.2</v>
      </c>
      <c r="J402" s="30">
        <v>1.1100000000000001</v>
      </c>
      <c r="K402" s="6">
        <f t="shared" si="120"/>
        <v>65406.7</v>
      </c>
    </row>
    <row r="403" spans="2:11" ht="12.95" customHeight="1" x14ac:dyDescent="0.3">
      <c r="B403" s="21" t="s">
        <v>18</v>
      </c>
      <c r="C403" s="40"/>
      <c r="D403" s="40"/>
      <c r="E403" s="44"/>
      <c r="F403" s="47" t="s">
        <v>43</v>
      </c>
      <c r="G403" s="43">
        <f>TRUNC(SUM(G397:G402))</f>
        <v>216041</v>
      </c>
      <c r="H403" s="47" t="s">
        <v>43</v>
      </c>
      <c r="I403" s="43">
        <f>TRUNC(SUM(I397:I402))</f>
        <v>259131</v>
      </c>
      <c r="J403" s="47" t="s">
        <v>43</v>
      </c>
      <c r="K403" s="43">
        <f>TRUNC(SUM(K397:K402))</f>
        <v>301043</v>
      </c>
    </row>
    <row r="404" spans="2:11" ht="12.95" customHeight="1" x14ac:dyDescent="0.3">
      <c r="B404" s="39"/>
      <c r="C404" s="40"/>
      <c r="D404" s="40"/>
      <c r="E404" s="44"/>
      <c r="F404" s="47"/>
      <c r="G404" s="34"/>
      <c r="H404" s="47"/>
      <c r="I404" s="34"/>
      <c r="J404" s="47"/>
      <c r="K404" s="34"/>
    </row>
    <row r="405" spans="2:11" ht="12.95" customHeight="1" x14ac:dyDescent="0.3">
      <c r="B405" s="32" t="s">
        <v>9</v>
      </c>
      <c r="C405" s="32" t="s">
        <v>114</v>
      </c>
      <c r="D405" s="42" t="s">
        <v>22</v>
      </c>
      <c r="E405" s="55">
        <v>157250</v>
      </c>
      <c r="F405" s="30">
        <v>0.81</v>
      </c>
      <c r="G405" s="6">
        <f t="shared" ref="G405" si="121">TRUNC($E405*F405,1)</f>
        <v>127372.5</v>
      </c>
      <c r="H405" s="30">
        <v>0.97</v>
      </c>
      <c r="I405" s="6">
        <f t="shared" ref="I405" si="122">TRUNC($E405*H405,1)</f>
        <v>152532.5</v>
      </c>
      <c r="J405" s="30">
        <v>1.1100000000000001</v>
      </c>
      <c r="K405" s="6">
        <f t="shared" ref="K405" si="123">TRUNC($E405*J405,1)</f>
        <v>174547.5</v>
      </c>
    </row>
    <row r="406" spans="2:11" ht="12.95" customHeight="1" x14ac:dyDescent="0.3">
      <c r="B406" s="24" t="s">
        <v>19</v>
      </c>
      <c r="C406" s="40"/>
      <c r="D406" s="40"/>
      <c r="E406" s="33"/>
      <c r="F406" s="35" t="s">
        <v>43</v>
      </c>
      <c r="G406" s="43">
        <f>TRUNC(SUM(G405:G405))</f>
        <v>127372</v>
      </c>
      <c r="H406" s="35"/>
      <c r="I406" s="43">
        <f>TRUNC(SUM(I405:I405))</f>
        <v>152532</v>
      </c>
      <c r="J406" s="35"/>
      <c r="K406" s="43">
        <f>TRUNC(SUM(K405:K405))</f>
        <v>174547</v>
      </c>
    </row>
    <row r="407" spans="2:11" ht="12.95" customHeight="1" x14ac:dyDescent="0.3">
      <c r="B407" s="11"/>
      <c r="C407" s="32"/>
      <c r="D407" s="32"/>
      <c r="E407" s="36"/>
      <c r="F407" s="30"/>
      <c r="G407" s="31"/>
      <c r="H407" s="30"/>
      <c r="I407" s="31"/>
      <c r="J407" s="30"/>
      <c r="K407" s="31"/>
    </row>
    <row r="408" spans="2:11" ht="12.95" customHeight="1" x14ac:dyDescent="0.3">
      <c r="B408" s="12" t="s">
        <v>20</v>
      </c>
      <c r="C408" s="41"/>
      <c r="D408" s="41"/>
      <c r="E408" s="37"/>
      <c r="F408" s="37"/>
      <c r="G408" s="38">
        <f>SUM(G395+G403+G406)</f>
        <v>415662</v>
      </c>
      <c r="H408" s="37"/>
      <c r="I408" s="38">
        <f>SUM(I395+I403+I406)</f>
        <v>498184</v>
      </c>
      <c r="J408" s="37"/>
      <c r="K408" s="38">
        <f>SUM(K395+K403+K406)</f>
        <v>574598</v>
      </c>
    </row>
    <row r="409" spans="2:11" ht="12.95" customHeight="1" x14ac:dyDescent="0.3">
      <c r="B409" s="79" t="s">
        <v>10</v>
      </c>
      <c r="C409" s="81" t="s">
        <v>21</v>
      </c>
      <c r="D409" s="73" t="s">
        <v>15</v>
      </c>
      <c r="E409" s="83" t="s">
        <v>11</v>
      </c>
      <c r="F409" s="77" t="s">
        <v>41</v>
      </c>
      <c r="G409" s="78"/>
      <c r="H409" s="78"/>
      <c r="I409" s="78"/>
      <c r="J409" s="78"/>
      <c r="K409" s="78"/>
    </row>
    <row r="410" spans="2:11" ht="12.95" customHeight="1" x14ac:dyDescent="0.3">
      <c r="B410" s="85"/>
      <c r="C410" s="86"/>
      <c r="D410" s="87"/>
      <c r="E410" s="88"/>
      <c r="F410" s="77" t="s">
        <v>118</v>
      </c>
      <c r="G410" s="78"/>
      <c r="H410" s="77" t="s">
        <v>119</v>
      </c>
      <c r="I410" s="78"/>
      <c r="J410" s="77" t="s">
        <v>120</v>
      </c>
      <c r="K410" s="78"/>
    </row>
    <row r="411" spans="2:11" ht="12.95" customHeight="1" x14ac:dyDescent="0.3">
      <c r="B411" s="80"/>
      <c r="C411" s="82"/>
      <c r="D411" s="74"/>
      <c r="E411" s="84"/>
      <c r="F411" s="51" t="s">
        <v>12</v>
      </c>
      <c r="G411" s="52" t="s">
        <v>13</v>
      </c>
      <c r="H411" s="51" t="s">
        <v>12</v>
      </c>
      <c r="I411" s="52" t="s">
        <v>13</v>
      </c>
      <c r="J411" s="51" t="s">
        <v>12</v>
      </c>
      <c r="K411" s="52" t="s">
        <v>13</v>
      </c>
    </row>
    <row r="412" spans="2:11" ht="12.95" customHeight="1" x14ac:dyDescent="0.3">
      <c r="B412" s="32" t="s">
        <v>112</v>
      </c>
      <c r="C412" s="32"/>
      <c r="D412" s="42" t="s">
        <v>33</v>
      </c>
      <c r="E412" s="54">
        <v>0</v>
      </c>
      <c r="F412" s="66">
        <v>6.4000000000000003E-3</v>
      </c>
      <c r="G412" s="6">
        <f t="shared" ref="G412:G414" si="124">TRUNC($E412*F412,1)</f>
        <v>0</v>
      </c>
      <c r="H412" s="66">
        <v>6.4000000000000003E-3</v>
      </c>
      <c r="I412" s="6">
        <f t="shared" ref="I412:I414" si="125">TRUNC($E412*H412,1)</f>
        <v>0</v>
      </c>
      <c r="J412" s="66">
        <v>6.4000000000000003E-3</v>
      </c>
      <c r="K412" s="6">
        <f t="shared" ref="K412:K414" si="126">TRUNC($E412*J412,1)</f>
        <v>0</v>
      </c>
    </row>
    <row r="413" spans="2:11" ht="12.95" customHeight="1" x14ac:dyDescent="0.3">
      <c r="B413" s="32" t="s">
        <v>113</v>
      </c>
      <c r="C413" s="32"/>
      <c r="D413" s="42" t="s">
        <v>95</v>
      </c>
      <c r="E413" s="54">
        <v>0</v>
      </c>
      <c r="F413" s="30">
        <v>1.43</v>
      </c>
      <c r="G413" s="6">
        <f t="shared" si="124"/>
        <v>0</v>
      </c>
      <c r="H413" s="30">
        <v>1.6</v>
      </c>
      <c r="I413" s="6">
        <f t="shared" si="125"/>
        <v>0</v>
      </c>
      <c r="J413" s="30">
        <v>1.78</v>
      </c>
      <c r="K413" s="6">
        <f t="shared" si="126"/>
        <v>0</v>
      </c>
    </row>
    <row r="414" spans="2:11" ht="12.95" customHeight="1" x14ac:dyDescent="0.3">
      <c r="B414" s="32" t="s">
        <v>9</v>
      </c>
      <c r="C414" s="32" t="s">
        <v>114</v>
      </c>
      <c r="D414" s="42" t="s">
        <v>22</v>
      </c>
      <c r="E414" s="55">
        <v>89197</v>
      </c>
      <c r="F414" s="30">
        <v>1.27</v>
      </c>
      <c r="G414" s="6">
        <f t="shared" si="124"/>
        <v>113280.1</v>
      </c>
      <c r="H414" s="30">
        <v>1.42</v>
      </c>
      <c r="I414" s="6">
        <f t="shared" si="125"/>
        <v>126659.7</v>
      </c>
      <c r="J414" s="30">
        <v>1.57</v>
      </c>
      <c r="K414" s="6">
        <f t="shared" si="126"/>
        <v>140039.20000000001</v>
      </c>
    </row>
    <row r="415" spans="2:11" ht="12.95" customHeight="1" x14ac:dyDescent="0.3">
      <c r="B415" s="24" t="s">
        <v>17</v>
      </c>
      <c r="C415" s="40"/>
      <c r="D415" s="40"/>
      <c r="E415" s="44"/>
      <c r="F415" s="47" t="s">
        <v>43</v>
      </c>
      <c r="G415" s="43">
        <f>TRUNC(SUM(G412:G414))</f>
        <v>113280</v>
      </c>
      <c r="H415" s="47" t="s">
        <v>43</v>
      </c>
      <c r="I415" s="43">
        <f>TRUNC(SUM(I412:I414))</f>
        <v>126659</v>
      </c>
      <c r="J415" s="47" t="s">
        <v>43</v>
      </c>
      <c r="K415" s="43">
        <f>TRUNC(SUM(K412:K414))</f>
        <v>140039</v>
      </c>
    </row>
    <row r="416" spans="2:11" ht="12.95" customHeight="1" x14ac:dyDescent="0.3">
      <c r="B416" s="39"/>
      <c r="C416" s="40"/>
      <c r="D416" s="40"/>
      <c r="E416" s="44"/>
      <c r="F416" s="47"/>
      <c r="G416" s="34"/>
      <c r="H416" s="47"/>
      <c r="I416" s="34"/>
      <c r="J416" s="47"/>
      <c r="K416" s="34"/>
    </row>
    <row r="417" spans="2:11" ht="12.95" customHeight="1" x14ac:dyDescent="0.3">
      <c r="B417" s="13" t="s">
        <v>3</v>
      </c>
      <c r="C417" s="8"/>
      <c r="D417" s="3" t="s">
        <v>16</v>
      </c>
      <c r="E417" s="55">
        <v>295138</v>
      </c>
      <c r="F417" s="30">
        <v>0.08</v>
      </c>
      <c r="G417" s="6">
        <f t="shared" ref="G417:G422" si="127">TRUNC($E417*F417,1)</f>
        <v>23611</v>
      </c>
      <c r="H417" s="30">
        <v>0.09</v>
      </c>
      <c r="I417" s="6">
        <f t="shared" ref="I417:I422" si="128">TRUNC($E417*H417,1)</f>
        <v>26562.400000000001</v>
      </c>
      <c r="J417" s="30">
        <v>0.1</v>
      </c>
      <c r="K417" s="6">
        <f t="shared" ref="K417:K422" si="129">TRUNC($E417*J417,1)</f>
        <v>29513.8</v>
      </c>
    </row>
    <row r="418" spans="2:11" ht="12.95" customHeight="1" x14ac:dyDescent="0.3">
      <c r="B418" s="13" t="s">
        <v>7</v>
      </c>
      <c r="C418" s="8"/>
      <c r="D418" s="3" t="s">
        <v>16</v>
      </c>
      <c r="E418" s="55">
        <v>250087</v>
      </c>
      <c r="F418" s="30">
        <v>0.32</v>
      </c>
      <c r="G418" s="6">
        <f t="shared" si="127"/>
        <v>80027.8</v>
      </c>
      <c r="H418" s="30">
        <v>0.36</v>
      </c>
      <c r="I418" s="6">
        <f t="shared" si="128"/>
        <v>90031.3</v>
      </c>
      <c r="J418" s="30">
        <v>0.4</v>
      </c>
      <c r="K418" s="6">
        <f t="shared" si="129"/>
        <v>100034.8</v>
      </c>
    </row>
    <row r="419" spans="2:11" ht="12.95" customHeight="1" x14ac:dyDescent="0.3">
      <c r="B419" s="13" t="s">
        <v>28</v>
      </c>
      <c r="C419" s="8"/>
      <c r="D419" s="3" t="s">
        <v>16</v>
      </c>
      <c r="E419" s="55">
        <v>232562</v>
      </c>
      <c r="F419" s="30">
        <v>0.32</v>
      </c>
      <c r="G419" s="6">
        <f t="shared" si="127"/>
        <v>74419.8</v>
      </c>
      <c r="H419" s="30">
        <v>0.36</v>
      </c>
      <c r="I419" s="6">
        <f t="shared" si="128"/>
        <v>83722.3</v>
      </c>
      <c r="J419" s="30">
        <v>0.4</v>
      </c>
      <c r="K419" s="6">
        <f t="shared" si="129"/>
        <v>93024.8</v>
      </c>
    </row>
    <row r="420" spans="2:11" ht="12.95" customHeight="1" x14ac:dyDescent="0.3">
      <c r="B420" s="13" t="s">
        <v>23</v>
      </c>
      <c r="C420" s="8"/>
      <c r="D420" s="3" t="s">
        <v>16</v>
      </c>
      <c r="E420" s="55">
        <v>226122</v>
      </c>
      <c r="F420" s="30">
        <v>0.16</v>
      </c>
      <c r="G420" s="6">
        <f t="shared" si="127"/>
        <v>36179.5</v>
      </c>
      <c r="H420" s="30">
        <v>0.18</v>
      </c>
      <c r="I420" s="6">
        <f t="shared" si="128"/>
        <v>40701.9</v>
      </c>
      <c r="J420" s="30">
        <v>0.2</v>
      </c>
      <c r="K420" s="6">
        <f t="shared" si="129"/>
        <v>45224.4</v>
      </c>
    </row>
    <row r="421" spans="2:11" ht="12.95" customHeight="1" x14ac:dyDescent="0.3">
      <c r="B421" s="13" t="s">
        <v>0</v>
      </c>
      <c r="C421" s="8"/>
      <c r="D421" s="3" t="s">
        <v>16</v>
      </c>
      <c r="E421" s="55">
        <v>172068</v>
      </c>
      <c r="F421" s="30">
        <v>0.32</v>
      </c>
      <c r="G421" s="6">
        <f t="shared" si="127"/>
        <v>55061.7</v>
      </c>
      <c r="H421" s="30">
        <v>0.36</v>
      </c>
      <c r="I421" s="6">
        <f t="shared" si="128"/>
        <v>61944.4</v>
      </c>
      <c r="J421" s="30">
        <v>0.4</v>
      </c>
      <c r="K421" s="6">
        <f t="shared" si="129"/>
        <v>68827.199999999997</v>
      </c>
    </row>
    <row r="422" spans="2:11" ht="12.95" customHeight="1" x14ac:dyDescent="0.3">
      <c r="B422" s="32" t="s">
        <v>9</v>
      </c>
      <c r="C422" s="32" t="s">
        <v>114</v>
      </c>
      <c r="D422" s="42" t="s">
        <v>22</v>
      </c>
      <c r="E422" s="55">
        <v>58925</v>
      </c>
      <c r="F422" s="30">
        <v>1.27</v>
      </c>
      <c r="G422" s="6">
        <f t="shared" si="127"/>
        <v>74834.7</v>
      </c>
      <c r="H422" s="30">
        <v>1.42</v>
      </c>
      <c r="I422" s="6">
        <f t="shared" si="128"/>
        <v>83673.5</v>
      </c>
      <c r="J422" s="30">
        <v>1.57</v>
      </c>
      <c r="K422" s="6">
        <f t="shared" si="129"/>
        <v>92512.2</v>
      </c>
    </row>
    <row r="423" spans="2:11" ht="12.95" customHeight="1" x14ac:dyDescent="0.3">
      <c r="B423" s="21" t="s">
        <v>18</v>
      </c>
      <c r="C423" s="40"/>
      <c r="D423" s="40"/>
      <c r="E423" s="44"/>
      <c r="F423" s="47" t="s">
        <v>43</v>
      </c>
      <c r="G423" s="43">
        <f>TRUNC(SUM(G417:G422))</f>
        <v>344134</v>
      </c>
      <c r="H423" s="47" t="s">
        <v>43</v>
      </c>
      <c r="I423" s="43">
        <f>TRUNC(SUM(I417:I422))</f>
        <v>386635</v>
      </c>
      <c r="J423" s="47" t="s">
        <v>43</v>
      </c>
      <c r="K423" s="43">
        <f>TRUNC(SUM(K417:K422))</f>
        <v>429137</v>
      </c>
    </row>
    <row r="424" spans="2:11" ht="12.95" customHeight="1" x14ac:dyDescent="0.3">
      <c r="B424" s="39"/>
      <c r="C424" s="40"/>
      <c r="D424" s="40"/>
      <c r="E424" s="44"/>
      <c r="F424" s="47"/>
      <c r="G424" s="34"/>
      <c r="H424" s="47"/>
      <c r="I424" s="34"/>
      <c r="J424" s="47"/>
      <c r="K424" s="34"/>
    </row>
    <row r="425" spans="2:11" ht="12.95" customHeight="1" x14ac:dyDescent="0.3">
      <c r="B425" s="32" t="s">
        <v>9</v>
      </c>
      <c r="C425" s="32" t="s">
        <v>114</v>
      </c>
      <c r="D425" s="42" t="s">
        <v>22</v>
      </c>
      <c r="E425" s="55">
        <v>157250</v>
      </c>
      <c r="F425" s="30">
        <v>1.27</v>
      </c>
      <c r="G425" s="6">
        <f t="shared" ref="G425" si="130">TRUNC($E425*F425,1)</f>
        <v>199707.5</v>
      </c>
      <c r="H425" s="30">
        <v>1.42</v>
      </c>
      <c r="I425" s="6">
        <f t="shared" ref="I425" si="131">TRUNC($E425*H425,1)</f>
        <v>223295</v>
      </c>
      <c r="J425" s="30">
        <v>1.57</v>
      </c>
      <c r="K425" s="6">
        <f t="shared" ref="K425" si="132">TRUNC($E425*J425,1)</f>
        <v>246882.5</v>
      </c>
    </row>
    <row r="426" spans="2:11" ht="12.95" customHeight="1" x14ac:dyDescent="0.3">
      <c r="B426" s="24" t="s">
        <v>19</v>
      </c>
      <c r="C426" s="40"/>
      <c r="D426" s="40"/>
      <c r="E426" s="33"/>
      <c r="F426" s="35"/>
      <c r="G426" s="43">
        <f>TRUNC(SUM(G425:G425))</f>
        <v>199707</v>
      </c>
      <c r="H426" s="35"/>
      <c r="I426" s="43">
        <f>TRUNC(SUM(I425:I425))</f>
        <v>223295</v>
      </c>
      <c r="J426" s="35"/>
      <c r="K426" s="43">
        <f>TRUNC(SUM(K425:K425))</f>
        <v>246882</v>
      </c>
    </row>
    <row r="427" spans="2:11" ht="12.95" customHeight="1" x14ac:dyDescent="0.3">
      <c r="B427" s="11"/>
      <c r="C427" s="32"/>
      <c r="D427" s="32"/>
      <c r="E427" s="36"/>
      <c r="F427" s="30"/>
      <c r="G427" s="31"/>
      <c r="H427" s="30"/>
      <c r="I427" s="31"/>
      <c r="J427" s="30"/>
      <c r="K427" s="31"/>
    </row>
    <row r="428" spans="2:11" ht="12.95" customHeight="1" x14ac:dyDescent="0.3">
      <c r="B428" s="12" t="s">
        <v>20</v>
      </c>
      <c r="C428" s="41"/>
      <c r="D428" s="41"/>
      <c r="E428" s="37"/>
      <c r="F428" s="37"/>
      <c r="G428" s="38">
        <f>SUM(G415+G423+G426)</f>
        <v>657121</v>
      </c>
      <c r="H428" s="37"/>
      <c r="I428" s="38">
        <f>SUM(I415+I423+I426)</f>
        <v>736589</v>
      </c>
      <c r="J428" s="37"/>
      <c r="K428" s="38">
        <f>SUM(K415+K423+K426)</f>
        <v>816058</v>
      </c>
    </row>
    <row r="429" spans="2:11" ht="12.95" customHeight="1" x14ac:dyDescent="0.3">
      <c r="B429" s="79" t="s">
        <v>10</v>
      </c>
      <c r="C429" s="81" t="s">
        <v>21</v>
      </c>
      <c r="D429" s="73" t="s">
        <v>15</v>
      </c>
      <c r="E429" s="83" t="s">
        <v>11</v>
      </c>
      <c r="F429" s="77" t="s">
        <v>42</v>
      </c>
      <c r="G429" s="78"/>
      <c r="H429" s="78"/>
      <c r="I429" s="78"/>
      <c r="J429" s="78"/>
      <c r="K429" s="78"/>
    </row>
    <row r="430" spans="2:11" ht="12.95" customHeight="1" x14ac:dyDescent="0.3">
      <c r="B430" s="85"/>
      <c r="C430" s="86"/>
      <c r="D430" s="87"/>
      <c r="E430" s="88"/>
      <c r="F430" s="77" t="s">
        <v>109</v>
      </c>
      <c r="G430" s="78"/>
      <c r="H430" s="77" t="s">
        <v>110</v>
      </c>
      <c r="I430" s="78"/>
      <c r="J430" s="77" t="s">
        <v>111</v>
      </c>
      <c r="K430" s="78"/>
    </row>
    <row r="431" spans="2:11" ht="12.95" customHeight="1" x14ac:dyDescent="0.3">
      <c r="B431" s="80"/>
      <c r="C431" s="82"/>
      <c r="D431" s="74"/>
      <c r="E431" s="84"/>
      <c r="F431" s="51" t="s">
        <v>12</v>
      </c>
      <c r="G431" s="52" t="s">
        <v>13</v>
      </c>
      <c r="H431" s="51" t="s">
        <v>12</v>
      </c>
      <c r="I431" s="52" t="s">
        <v>13</v>
      </c>
      <c r="J431" s="51" t="s">
        <v>12</v>
      </c>
      <c r="K431" s="52" t="s">
        <v>13</v>
      </c>
    </row>
    <row r="432" spans="2:11" ht="12.95" customHeight="1" x14ac:dyDescent="0.3">
      <c r="B432" s="32" t="s">
        <v>112</v>
      </c>
      <c r="C432" s="32"/>
      <c r="D432" s="42" t="s">
        <v>33</v>
      </c>
      <c r="E432" s="54">
        <v>0</v>
      </c>
      <c r="F432" s="56">
        <v>1.2E-2</v>
      </c>
      <c r="G432" s="6">
        <f t="shared" ref="G432:G434" si="133">TRUNC($E432*F432,1)</f>
        <v>0</v>
      </c>
      <c r="H432" s="56">
        <v>1.2E-2</v>
      </c>
      <c r="I432" s="6">
        <f t="shared" ref="I432:I434" si="134">TRUNC($E432*H432,1)</f>
        <v>0</v>
      </c>
      <c r="J432" s="56">
        <v>1.2E-2</v>
      </c>
      <c r="K432" s="6">
        <f t="shared" ref="K432:K434" si="135">TRUNC($E432*J432,1)</f>
        <v>0</v>
      </c>
    </row>
    <row r="433" spans="2:11" ht="12.95" customHeight="1" x14ac:dyDescent="0.3">
      <c r="B433" s="32" t="s">
        <v>113</v>
      </c>
      <c r="C433" s="32"/>
      <c r="D433" s="42" t="s">
        <v>95</v>
      </c>
      <c r="E433" s="54">
        <v>0</v>
      </c>
      <c r="F433" s="30">
        <v>0.35</v>
      </c>
      <c r="G433" s="6">
        <f t="shared" si="133"/>
        <v>0</v>
      </c>
      <c r="H433" s="30">
        <v>0.53</v>
      </c>
      <c r="I433" s="6">
        <f t="shared" si="134"/>
        <v>0</v>
      </c>
      <c r="J433" s="30">
        <v>0.7</v>
      </c>
      <c r="K433" s="6">
        <f t="shared" si="135"/>
        <v>0</v>
      </c>
    </row>
    <row r="434" spans="2:11" ht="12.95" customHeight="1" x14ac:dyDescent="0.3">
      <c r="B434" s="32" t="s">
        <v>9</v>
      </c>
      <c r="C434" s="32" t="s">
        <v>114</v>
      </c>
      <c r="D434" s="42" t="s">
        <v>22</v>
      </c>
      <c r="E434" s="55">
        <v>89197</v>
      </c>
      <c r="F434" s="30">
        <v>0.59</v>
      </c>
      <c r="G434" s="6">
        <f t="shared" si="133"/>
        <v>52626.2</v>
      </c>
      <c r="H434" s="30">
        <v>0.86</v>
      </c>
      <c r="I434" s="6">
        <f t="shared" si="134"/>
        <v>76709.399999999994</v>
      </c>
      <c r="J434" s="30">
        <v>1.1399999999999999</v>
      </c>
      <c r="K434" s="6">
        <f t="shared" si="135"/>
        <v>101684.5</v>
      </c>
    </row>
    <row r="435" spans="2:11" ht="12.95" customHeight="1" x14ac:dyDescent="0.3">
      <c r="B435" s="24" t="s">
        <v>17</v>
      </c>
      <c r="C435" s="40"/>
      <c r="D435" s="40"/>
      <c r="E435" s="44"/>
      <c r="F435" s="47" t="s">
        <v>43</v>
      </c>
      <c r="G435" s="43">
        <f>TRUNC(SUM(G432:G434))</f>
        <v>52626</v>
      </c>
      <c r="H435" s="47" t="s">
        <v>43</v>
      </c>
      <c r="I435" s="43">
        <f>TRUNC(SUM(I432:I434))</f>
        <v>76709</v>
      </c>
      <c r="J435" s="47" t="s">
        <v>43</v>
      </c>
      <c r="K435" s="43">
        <f>TRUNC(SUM(K432:K434))</f>
        <v>101684</v>
      </c>
    </row>
    <row r="436" spans="2:11" ht="12.95" customHeight="1" x14ac:dyDescent="0.3">
      <c r="B436" s="39"/>
      <c r="C436" s="40"/>
      <c r="D436" s="40"/>
      <c r="E436" s="44"/>
      <c r="F436" s="47"/>
      <c r="G436" s="34"/>
      <c r="H436" s="47"/>
      <c r="I436" s="34"/>
      <c r="J436" s="47"/>
      <c r="K436" s="34"/>
    </row>
    <row r="437" spans="2:11" ht="12.95" customHeight="1" x14ac:dyDescent="0.3">
      <c r="B437" s="13" t="s">
        <v>3</v>
      </c>
      <c r="C437" s="8"/>
      <c r="D437" s="3" t="s">
        <v>16</v>
      </c>
      <c r="E437" s="55">
        <v>295138</v>
      </c>
      <c r="F437" s="30">
        <v>0.04</v>
      </c>
      <c r="G437" s="6">
        <f t="shared" ref="G437:G442" si="136">TRUNC($E437*F437,1)</f>
        <v>11805.5</v>
      </c>
      <c r="H437" s="30">
        <v>0.05</v>
      </c>
      <c r="I437" s="6">
        <f t="shared" ref="I437:I442" si="137">TRUNC($E437*H437,1)</f>
        <v>14756.9</v>
      </c>
      <c r="J437" s="30">
        <v>7.0000000000000007E-2</v>
      </c>
      <c r="K437" s="6">
        <f t="shared" ref="K437:K442" si="138">TRUNC($E437*J437,1)</f>
        <v>20659.599999999999</v>
      </c>
    </row>
    <row r="438" spans="2:11" ht="12.95" customHeight="1" x14ac:dyDescent="0.3">
      <c r="B438" s="13" t="s">
        <v>7</v>
      </c>
      <c r="C438" s="8"/>
      <c r="D438" s="3" t="s">
        <v>16</v>
      </c>
      <c r="E438" s="55">
        <v>250087</v>
      </c>
      <c r="F438" s="30">
        <v>0.15</v>
      </c>
      <c r="G438" s="6">
        <f t="shared" si="136"/>
        <v>37513</v>
      </c>
      <c r="H438" s="30">
        <v>0.21</v>
      </c>
      <c r="I438" s="6">
        <f t="shared" si="137"/>
        <v>52518.2</v>
      </c>
      <c r="J438" s="30">
        <v>0.28999999999999998</v>
      </c>
      <c r="K438" s="6">
        <f t="shared" si="138"/>
        <v>72525.2</v>
      </c>
    </row>
    <row r="439" spans="2:11" ht="12.95" customHeight="1" x14ac:dyDescent="0.3">
      <c r="B439" s="13" t="s">
        <v>28</v>
      </c>
      <c r="C439" s="8"/>
      <c r="D439" s="3" t="s">
        <v>16</v>
      </c>
      <c r="E439" s="55">
        <v>232562</v>
      </c>
      <c r="F439" s="30">
        <v>0.15</v>
      </c>
      <c r="G439" s="6">
        <f t="shared" si="136"/>
        <v>34884.300000000003</v>
      </c>
      <c r="H439" s="30">
        <v>0.21</v>
      </c>
      <c r="I439" s="6">
        <f t="shared" si="137"/>
        <v>48838</v>
      </c>
      <c r="J439" s="30">
        <v>0.28999999999999998</v>
      </c>
      <c r="K439" s="6">
        <f t="shared" si="138"/>
        <v>67442.899999999994</v>
      </c>
    </row>
    <row r="440" spans="2:11" ht="12.95" customHeight="1" x14ac:dyDescent="0.3">
      <c r="B440" s="13" t="s">
        <v>23</v>
      </c>
      <c r="C440" s="8"/>
      <c r="D440" s="3" t="s">
        <v>16</v>
      </c>
      <c r="E440" s="55">
        <v>226122</v>
      </c>
      <c r="F440" s="30">
        <v>7.0000000000000007E-2</v>
      </c>
      <c r="G440" s="6">
        <f t="shared" si="136"/>
        <v>15828.5</v>
      </c>
      <c r="H440" s="30">
        <v>0.11</v>
      </c>
      <c r="I440" s="6">
        <f t="shared" si="137"/>
        <v>24873.4</v>
      </c>
      <c r="J440" s="30">
        <v>0.14000000000000001</v>
      </c>
      <c r="K440" s="6">
        <f t="shared" si="138"/>
        <v>31657</v>
      </c>
    </row>
    <row r="441" spans="2:11" ht="12.95" customHeight="1" x14ac:dyDescent="0.3">
      <c r="B441" s="13" t="s">
        <v>0</v>
      </c>
      <c r="C441" s="8"/>
      <c r="D441" s="3" t="s">
        <v>16</v>
      </c>
      <c r="E441" s="55">
        <v>172068</v>
      </c>
      <c r="F441" s="30">
        <v>0.15</v>
      </c>
      <c r="G441" s="6">
        <f t="shared" si="136"/>
        <v>25810.2</v>
      </c>
      <c r="H441" s="30">
        <v>0.21</v>
      </c>
      <c r="I441" s="6">
        <f t="shared" si="137"/>
        <v>36134.199999999997</v>
      </c>
      <c r="J441" s="30">
        <v>0.28999999999999998</v>
      </c>
      <c r="K441" s="6">
        <f t="shared" si="138"/>
        <v>49899.7</v>
      </c>
    </row>
    <row r="442" spans="2:11" ht="12.95" customHeight="1" x14ac:dyDescent="0.3">
      <c r="B442" s="32" t="s">
        <v>9</v>
      </c>
      <c r="C442" s="32" t="s">
        <v>114</v>
      </c>
      <c r="D442" s="42" t="s">
        <v>22</v>
      </c>
      <c r="E442" s="55">
        <v>58925</v>
      </c>
      <c r="F442" s="30">
        <v>0.59</v>
      </c>
      <c r="G442" s="6">
        <f t="shared" si="136"/>
        <v>34765.699999999997</v>
      </c>
      <c r="H442" s="30">
        <v>0.86</v>
      </c>
      <c r="I442" s="6">
        <f t="shared" si="137"/>
        <v>50675.5</v>
      </c>
      <c r="J442" s="30">
        <v>1.1399999999999999</v>
      </c>
      <c r="K442" s="6">
        <f t="shared" si="138"/>
        <v>67174.5</v>
      </c>
    </row>
    <row r="443" spans="2:11" ht="12.95" customHeight="1" x14ac:dyDescent="0.3">
      <c r="B443" s="21" t="s">
        <v>18</v>
      </c>
      <c r="C443" s="40"/>
      <c r="D443" s="40"/>
      <c r="E443" s="44"/>
      <c r="F443" s="47" t="s">
        <v>43</v>
      </c>
      <c r="G443" s="43">
        <f>TRUNC(SUM(G437:G442))</f>
        <v>160607</v>
      </c>
      <c r="H443" s="47" t="s">
        <v>43</v>
      </c>
      <c r="I443" s="43">
        <f>TRUNC(SUM(I437:I442))</f>
        <v>227796</v>
      </c>
      <c r="J443" s="47" t="s">
        <v>43</v>
      </c>
      <c r="K443" s="43">
        <f>TRUNC(SUM(K437:K442))</f>
        <v>309358</v>
      </c>
    </row>
    <row r="444" spans="2:11" ht="12.95" customHeight="1" x14ac:dyDescent="0.3">
      <c r="B444" s="39"/>
      <c r="C444" s="40"/>
      <c r="D444" s="40"/>
      <c r="E444" s="44"/>
      <c r="F444" s="47"/>
      <c r="G444" s="34"/>
      <c r="H444" s="47"/>
      <c r="I444" s="34"/>
      <c r="J444" s="47"/>
      <c r="K444" s="34"/>
    </row>
    <row r="445" spans="2:11" ht="12.95" customHeight="1" x14ac:dyDescent="0.3">
      <c r="B445" s="32" t="s">
        <v>9</v>
      </c>
      <c r="C445" s="32" t="s">
        <v>114</v>
      </c>
      <c r="D445" s="42" t="s">
        <v>22</v>
      </c>
      <c r="E445" s="55">
        <v>157250</v>
      </c>
      <c r="F445" s="30">
        <v>0.59</v>
      </c>
      <c r="G445" s="6">
        <f t="shared" ref="G445" si="139">TRUNC($E445*F445,1)</f>
        <v>92777.5</v>
      </c>
      <c r="H445" s="30">
        <v>0.86</v>
      </c>
      <c r="I445" s="6">
        <f t="shared" ref="I445" si="140">TRUNC($E445*H445,1)</f>
        <v>135235</v>
      </c>
      <c r="J445" s="30">
        <v>1.1399999999999999</v>
      </c>
      <c r="K445" s="6">
        <f t="shared" ref="K445" si="141">TRUNC($E445*J445,1)</f>
        <v>179265</v>
      </c>
    </row>
    <row r="446" spans="2:11" ht="12.95" customHeight="1" x14ac:dyDescent="0.3">
      <c r="B446" s="24" t="s">
        <v>19</v>
      </c>
      <c r="C446" s="40"/>
      <c r="D446" s="40"/>
      <c r="E446" s="33"/>
      <c r="F446" s="35" t="s">
        <v>43</v>
      </c>
      <c r="G446" s="43">
        <f>TRUNC(SUM(G445:G445))</f>
        <v>92777</v>
      </c>
      <c r="H446" s="35"/>
      <c r="I446" s="43">
        <f>TRUNC(SUM(I445:I445))</f>
        <v>135235</v>
      </c>
      <c r="J446" s="35" t="s">
        <v>43</v>
      </c>
      <c r="K446" s="43">
        <f>TRUNC(SUM(K445:K445))</f>
        <v>179265</v>
      </c>
    </row>
    <row r="447" spans="2:11" ht="12.95" customHeight="1" x14ac:dyDescent="0.3">
      <c r="B447" s="11"/>
      <c r="C447" s="32"/>
      <c r="D447" s="32"/>
      <c r="E447" s="36"/>
      <c r="F447" s="30"/>
      <c r="G447" s="31"/>
      <c r="H447" s="30"/>
      <c r="I447" s="31"/>
      <c r="J447" s="30"/>
      <c r="K447" s="31"/>
    </row>
    <row r="448" spans="2:11" ht="12.95" customHeight="1" x14ac:dyDescent="0.3">
      <c r="B448" s="12" t="s">
        <v>20</v>
      </c>
      <c r="C448" s="41"/>
      <c r="D448" s="41"/>
      <c r="E448" s="37"/>
      <c r="F448" s="37"/>
      <c r="G448" s="38">
        <f>SUM(G435+G443+G446)</f>
        <v>306010</v>
      </c>
      <c r="H448" s="37"/>
      <c r="I448" s="38">
        <f>SUM(I435+I443+I446)</f>
        <v>439740</v>
      </c>
      <c r="J448" s="37"/>
      <c r="K448" s="38">
        <f>SUM(K435+K443+K446)</f>
        <v>590307</v>
      </c>
    </row>
    <row r="449" spans="2:11" ht="12.95" customHeight="1" x14ac:dyDescent="0.3">
      <c r="B449" s="79" t="s">
        <v>10</v>
      </c>
      <c r="C449" s="81" t="s">
        <v>21</v>
      </c>
      <c r="D449" s="73" t="s">
        <v>15</v>
      </c>
      <c r="E449" s="83" t="s">
        <v>11</v>
      </c>
      <c r="F449" s="77" t="s">
        <v>42</v>
      </c>
      <c r="G449" s="78"/>
      <c r="H449" s="78"/>
      <c r="I449" s="78"/>
      <c r="J449" s="78"/>
      <c r="K449" s="78"/>
    </row>
    <row r="450" spans="2:11" ht="12.95" customHeight="1" x14ac:dyDescent="0.3">
      <c r="B450" s="85"/>
      <c r="C450" s="86"/>
      <c r="D450" s="87"/>
      <c r="E450" s="88"/>
      <c r="F450" s="77" t="s">
        <v>115</v>
      </c>
      <c r="G450" s="78"/>
      <c r="H450" s="77" t="s">
        <v>116</v>
      </c>
      <c r="I450" s="78"/>
      <c r="J450" s="77" t="s">
        <v>117</v>
      </c>
      <c r="K450" s="78"/>
    </row>
    <row r="451" spans="2:11" ht="12.95" customHeight="1" x14ac:dyDescent="0.3">
      <c r="B451" s="80"/>
      <c r="C451" s="82"/>
      <c r="D451" s="74"/>
      <c r="E451" s="84"/>
      <c r="F451" s="51" t="s">
        <v>12</v>
      </c>
      <c r="G451" s="52" t="s">
        <v>13</v>
      </c>
      <c r="H451" s="51" t="s">
        <v>12</v>
      </c>
      <c r="I451" s="52" t="s">
        <v>13</v>
      </c>
      <c r="J451" s="51" t="s">
        <v>12</v>
      </c>
      <c r="K451" s="52" t="s">
        <v>13</v>
      </c>
    </row>
    <row r="452" spans="2:11" ht="12.95" customHeight="1" x14ac:dyDescent="0.3">
      <c r="B452" s="32" t="s">
        <v>112</v>
      </c>
      <c r="C452" s="32"/>
      <c r="D452" s="42" t="s">
        <v>33</v>
      </c>
      <c r="E452" s="54">
        <v>0</v>
      </c>
      <c r="F452" s="56">
        <v>1.2E-2</v>
      </c>
      <c r="G452" s="6">
        <f t="shared" ref="G452:G454" si="142">TRUNC($E452*F452,1)</f>
        <v>0</v>
      </c>
      <c r="H452" s="56">
        <v>1.2E-2</v>
      </c>
      <c r="I452" s="6">
        <f t="shared" ref="I452:I454" si="143">TRUNC($E452*H452,1)</f>
        <v>0</v>
      </c>
      <c r="J452" s="56">
        <v>1.2E-2</v>
      </c>
      <c r="K452" s="6">
        <f t="shared" ref="K452:K454" si="144">TRUNC($E452*J452,1)</f>
        <v>0</v>
      </c>
    </row>
    <row r="453" spans="2:11" ht="12.95" customHeight="1" x14ac:dyDescent="0.3">
      <c r="B453" s="32" t="s">
        <v>113</v>
      </c>
      <c r="C453" s="32"/>
      <c r="D453" s="42" t="s">
        <v>95</v>
      </c>
      <c r="E453" s="54">
        <v>0</v>
      </c>
      <c r="F453" s="30">
        <v>0.88</v>
      </c>
      <c r="G453" s="6">
        <f t="shared" si="142"/>
        <v>0</v>
      </c>
      <c r="H453" s="30">
        <v>1.05</v>
      </c>
      <c r="I453" s="6">
        <f t="shared" si="143"/>
        <v>0</v>
      </c>
      <c r="J453" s="30">
        <v>1.25</v>
      </c>
      <c r="K453" s="6">
        <f t="shared" si="144"/>
        <v>0</v>
      </c>
    </row>
    <row r="454" spans="2:11" ht="12.95" customHeight="1" x14ac:dyDescent="0.3">
      <c r="B454" s="32" t="s">
        <v>9</v>
      </c>
      <c r="C454" s="32" t="s">
        <v>114</v>
      </c>
      <c r="D454" s="42" t="s">
        <v>22</v>
      </c>
      <c r="E454" s="55">
        <v>89197</v>
      </c>
      <c r="F454" s="30">
        <v>1.48</v>
      </c>
      <c r="G454" s="6">
        <f t="shared" si="142"/>
        <v>132011.5</v>
      </c>
      <c r="H454" s="30">
        <v>1.86</v>
      </c>
      <c r="I454" s="6">
        <f t="shared" si="143"/>
        <v>165906.4</v>
      </c>
      <c r="J454" s="30">
        <v>2.23</v>
      </c>
      <c r="K454" s="6">
        <f t="shared" si="144"/>
        <v>198909.3</v>
      </c>
    </row>
    <row r="455" spans="2:11" ht="12.95" customHeight="1" x14ac:dyDescent="0.3">
      <c r="B455" s="24" t="s">
        <v>17</v>
      </c>
      <c r="C455" s="40"/>
      <c r="D455" s="40"/>
      <c r="E455" s="44"/>
      <c r="F455" s="47" t="s">
        <v>43</v>
      </c>
      <c r="G455" s="43">
        <f>TRUNC(SUM(G452:G454))</f>
        <v>132011</v>
      </c>
      <c r="H455" s="47" t="s">
        <v>43</v>
      </c>
      <c r="I455" s="43">
        <f>TRUNC(SUM(I452:I454))</f>
        <v>165906</v>
      </c>
      <c r="J455" s="47" t="s">
        <v>43</v>
      </c>
      <c r="K455" s="43">
        <f>TRUNC(SUM(K452:K454))</f>
        <v>198909</v>
      </c>
    </row>
    <row r="456" spans="2:11" ht="12.95" customHeight="1" x14ac:dyDescent="0.3">
      <c r="B456" s="39"/>
      <c r="C456" s="40"/>
      <c r="D456" s="40"/>
      <c r="E456" s="44"/>
      <c r="F456" s="47"/>
      <c r="G456" s="34"/>
      <c r="H456" s="47"/>
      <c r="I456" s="34"/>
      <c r="J456" s="47"/>
      <c r="K456" s="34"/>
    </row>
    <row r="457" spans="2:11" ht="12.95" customHeight="1" x14ac:dyDescent="0.3">
      <c r="B457" s="13" t="s">
        <v>3</v>
      </c>
      <c r="C457" s="8"/>
      <c r="D457" s="3" t="s">
        <v>16</v>
      </c>
      <c r="E457" s="55">
        <v>295138</v>
      </c>
      <c r="F457" s="30">
        <v>0.09</v>
      </c>
      <c r="G457" s="6">
        <f t="shared" ref="G457:G462" si="145">TRUNC($E457*F457,1)</f>
        <v>26562.400000000001</v>
      </c>
      <c r="H457" s="30">
        <v>0.12</v>
      </c>
      <c r="I457" s="6">
        <f t="shared" ref="I457:I462" si="146">TRUNC($E457*H457,1)</f>
        <v>35416.5</v>
      </c>
      <c r="J457" s="30">
        <v>0.14000000000000001</v>
      </c>
      <c r="K457" s="6">
        <f t="shared" ref="K457:K462" si="147">TRUNC($E457*J457,1)</f>
        <v>41319.300000000003</v>
      </c>
    </row>
    <row r="458" spans="2:11" ht="12.95" customHeight="1" x14ac:dyDescent="0.3">
      <c r="B458" s="13" t="s">
        <v>7</v>
      </c>
      <c r="C458" s="8"/>
      <c r="D458" s="3" t="s">
        <v>16</v>
      </c>
      <c r="E458" s="55">
        <v>250087</v>
      </c>
      <c r="F458" s="30">
        <v>0.37</v>
      </c>
      <c r="G458" s="6">
        <f t="shared" si="145"/>
        <v>92532.1</v>
      </c>
      <c r="H458" s="30">
        <v>0.47</v>
      </c>
      <c r="I458" s="6">
        <f t="shared" si="146"/>
        <v>117540.8</v>
      </c>
      <c r="J458" s="30">
        <v>0.56000000000000005</v>
      </c>
      <c r="K458" s="6">
        <f t="shared" si="147"/>
        <v>140048.70000000001</v>
      </c>
    </row>
    <row r="459" spans="2:11" ht="12.95" customHeight="1" x14ac:dyDescent="0.3">
      <c r="B459" s="13" t="s">
        <v>28</v>
      </c>
      <c r="C459" s="8"/>
      <c r="D459" s="3" t="s">
        <v>16</v>
      </c>
      <c r="E459" s="55">
        <v>232562</v>
      </c>
      <c r="F459" s="30">
        <v>0.37</v>
      </c>
      <c r="G459" s="6">
        <f t="shared" si="145"/>
        <v>86047.9</v>
      </c>
      <c r="H459" s="30">
        <v>0.47</v>
      </c>
      <c r="I459" s="6">
        <f t="shared" si="146"/>
        <v>109304.1</v>
      </c>
      <c r="J459" s="30">
        <v>0.56000000000000005</v>
      </c>
      <c r="K459" s="6">
        <f t="shared" si="147"/>
        <v>130234.7</v>
      </c>
    </row>
    <row r="460" spans="2:11" ht="12.95" customHeight="1" x14ac:dyDescent="0.3">
      <c r="B460" s="13" t="s">
        <v>23</v>
      </c>
      <c r="C460" s="8"/>
      <c r="D460" s="3" t="s">
        <v>16</v>
      </c>
      <c r="E460" s="55">
        <v>226122</v>
      </c>
      <c r="F460" s="30">
        <v>0.19</v>
      </c>
      <c r="G460" s="6">
        <f t="shared" si="145"/>
        <v>42963.1</v>
      </c>
      <c r="H460" s="30">
        <v>0.23</v>
      </c>
      <c r="I460" s="6">
        <f t="shared" si="146"/>
        <v>52008</v>
      </c>
      <c r="J460" s="30">
        <v>0.28000000000000003</v>
      </c>
      <c r="K460" s="6">
        <f t="shared" si="147"/>
        <v>63314.1</v>
      </c>
    </row>
    <row r="461" spans="2:11" ht="12.95" customHeight="1" x14ac:dyDescent="0.3">
      <c r="B461" s="13" t="s">
        <v>0</v>
      </c>
      <c r="C461" s="8"/>
      <c r="D461" s="3" t="s">
        <v>16</v>
      </c>
      <c r="E461" s="55">
        <v>172068</v>
      </c>
      <c r="F461" s="30">
        <v>0.37</v>
      </c>
      <c r="G461" s="6">
        <f t="shared" si="145"/>
        <v>63665.1</v>
      </c>
      <c r="H461" s="30">
        <v>0.47</v>
      </c>
      <c r="I461" s="6">
        <f t="shared" si="146"/>
        <v>80871.899999999994</v>
      </c>
      <c r="J461" s="30">
        <v>0.56000000000000005</v>
      </c>
      <c r="K461" s="6">
        <f t="shared" si="147"/>
        <v>96358</v>
      </c>
    </row>
    <row r="462" spans="2:11" ht="12.95" customHeight="1" x14ac:dyDescent="0.3">
      <c r="B462" s="32" t="s">
        <v>9</v>
      </c>
      <c r="C462" s="32" t="s">
        <v>114</v>
      </c>
      <c r="D462" s="42" t="s">
        <v>22</v>
      </c>
      <c r="E462" s="55">
        <v>58925</v>
      </c>
      <c r="F462" s="30">
        <v>1.48</v>
      </c>
      <c r="G462" s="6">
        <f t="shared" si="145"/>
        <v>87209</v>
      </c>
      <c r="H462" s="30">
        <v>1.86</v>
      </c>
      <c r="I462" s="6">
        <f t="shared" si="146"/>
        <v>109600.5</v>
      </c>
      <c r="J462" s="30">
        <v>2.23</v>
      </c>
      <c r="K462" s="6">
        <f t="shared" si="147"/>
        <v>131402.70000000001</v>
      </c>
    </row>
    <row r="463" spans="2:11" ht="12.95" customHeight="1" x14ac:dyDescent="0.3">
      <c r="B463" s="21" t="s">
        <v>18</v>
      </c>
      <c r="C463" s="40"/>
      <c r="D463" s="40"/>
      <c r="E463" s="44"/>
      <c r="F463" s="47" t="s">
        <v>43</v>
      </c>
      <c r="G463" s="43">
        <f>TRUNC(SUM(G457:G462))</f>
        <v>398979</v>
      </c>
      <c r="H463" s="47" t="s">
        <v>43</v>
      </c>
      <c r="I463" s="43">
        <f>TRUNC(SUM(I457:I462))</f>
        <v>504741</v>
      </c>
      <c r="J463" s="47" t="s">
        <v>43</v>
      </c>
      <c r="K463" s="43">
        <f>TRUNC(SUM(K457:K462))</f>
        <v>602677</v>
      </c>
    </row>
    <row r="464" spans="2:11" ht="12.95" customHeight="1" x14ac:dyDescent="0.3">
      <c r="B464" s="39"/>
      <c r="C464" s="40"/>
      <c r="D464" s="40"/>
      <c r="E464" s="44"/>
      <c r="F464" s="47"/>
      <c r="G464" s="34"/>
      <c r="H464" s="47"/>
      <c r="I464" s="34"/>
      <c r="J464" s="47"/>
      <c r="K464" s="34"/>
    </row>
    <row r="465" spans="2:11" ht="12.95" customHeight="1" x14ac:dyDescent="0.3">
      <c r="B465" s="32" t="s">
        <v>9</v>
      </c>
      <c r="C465" s="32" t="s">
        <v>114</v>
      </c>
      <c r="D465" s="42" t="s">
        <v>22</v>
      </c>
      <c r="E465" s="55">
        <v>157250</v>
      </c>
      <c r="F465" s="30">
        <v>1.48</v>
      </c>
      <c r="G465" s="6">
        <f t="shared" ref="G465" si="148">TRUNC($E465*F465,1)</f>
        <v>232730</v>
      </c>
      <c r="H465" s="30">
        <v>1.86</v>
      </c>
      <c r="I465" s="6">
        <f t="shared" ref="I465" si="149">TRUNC($E465*H465,1)</f>
        <v>292485</v>
      </c>
      <c r="J465" s="30">
        <v>2.23</v>
      </c>
      <c r="K465" s="6">
        <f t="shared" ref="K465" si="150">TRUNC($E465*J465,1)</f>
        <v>350667.5</v>
      </c>
    </row>
    <row r="466" spans="2:11" ht="12.95" customHeight="1" x14ac:dyDescent="0.3">
      <c r="B466" s="24" t="s">
        <v>19</v>
      </c>
      <c r="C466" s="40"/>
      <c r="D466" s="40"/>
      <c r="E466" s="33"/>
      <c r="F466" s="35" t="s">
        <v>43</v>
      </c>
      <c r="G466" s="43">
        <f>TRUNC(SUM(G465:G465))</f>
        <v>232730</v>
      </c>
      <c r="H466" s="35" t="s">
        <v>43</v>
      </c>
      <c r="I466" s="43">
        <f>TRUNC(SUM(I465:I465))</f>
        <v>292485</v>
      </c>
      <c r="J466" s="35"/>
      <c r="K466" s="43">
        <f>TRUNC(SUM(K465:K465))</f>
        <v>350667</v>
      </c>
    </row>
    <row r="467" spans="2:11" ht="12.95" customHeight="1" x14ac:dyDescent="0.3">
      <c r="B467" s="11"/>
      <c r="C467" s="32"/>
      <c r="D467" s="32"/>
      <c r="E467" s="36"/>
      <c r="F467" s="30"/>
      <c r="G467" s="31"/>
      <c r="H467" s="30"/>
      <c r="I467" s="31"/>
      <c r="J467" s="30"/>
      <c r="K467" s="31"/>
    </row>
    <row r="468" spans="2:11" ht="12.95" customHeight="1" x14ac:dyDescent="0.3">
      <c r="B468" s="12" t="s">
        <v>20</v>
      </c>
      <c r="C468" s="41"/>
      <c r="D468" s="41"/>
      <c r="E468" s="37"/>
      <c r="F468" s="37"/>
      <c r="G468" s="38">
        <f>SUM(G455+G463+G466)</f>
        <v>763720</v>
      </c>
      <c r="H468" s="37"/>
      <c r="I468" s="38">
        <f>SUM(I455+I463+I466)</f>
        <v>963132</v>
      </c>
      <c r="J468" s="37"/>
      <c r="K468" s="38">
        <f>SUM(K455+K463+K466)</f>
        <v>1152253</v>
      </c>
    </row>
    <row r="469" spans="2:11" ht="12.95" customHeight="1" x14ac:dyDescent="0.3">
      <c r="B469" s="79" t="s">
        <v>10</v>
      </c>
      <c r="C469" s="81" t="s">
        <v>21</v>
      </c>
      <c r="D469" s="73" t="s">
        <v>15</v>
      </c>
      <c r="E469" s="83" t="s">
        <v>11</v>
      </c>
      <c r="F469" s="77" t="s">
        <v>42</v>
      </c>
      <c r="G469" s="78"/>
      <c r="H469" s="78"/>
      <c r="I469" s="78"/>
      <c r="J469" s="78"/>
      <c r="K469" s="78"/>
    </row>
    <row r="470" spans="2:11" ht="12.95" customHeight="1" x14ac:dyDescent="0.3">
      <c r="B470" s="85"/>
      <c r="C470" s="86"/>
      <c r="D470" s="87"/>
      <c r="E470" s="88"/>
      <c r="F470" s="77" t="s">
        <v>118</v>
      </c>
      <c r="G470" s="78"/>
      <c r="H470" s="77" t="s">
        <v>119</v>
      </c>
      <c r="I470" s="78"/>
      <c r="J470" s="77" t="s">
        <v>120</v>
      </c>
      <c r="K470" s="78"/>
    </row>
    <row r="471" spans="2:11" ht="12.95" customHeight="1" x14ac:dyDescent="0.3">
      <c r="B471" s="80"/>
      <c r="C471" s="82"/>
      <c r="D471" s="74"/>
      <c r="E471" s="84"/>
      <c r="F471" s="51" t="s">
        <v>12</v>
      </c>
      <c r="G471" s="52" t="s">
        <v>13</v>
      </c>
      <c r="H471" s="51" t="s">
        <v>12</v>
      </c>
      <c r="I471" s="52" t="s">
        <v>13</v>
      </c>
      <c r="J471" s="51" t="s">
        <v>12</v>
      </c>
      <c r="K471" s="52" t="s">
        <v>13</v>
      </c>
    </row>
    <row r="472" spans="2:11" ht="12.95" customHeight="1" x14ac:dyDescent="0.3">
      <c r="B472" s="32" t="s">
        <v>112</v>
      </c>
      <c r="C472" s="32"/>
      <c r="D472" s="42" t="s">
        <v>33</v>
      </c>
      <c r="E472" s="54">
        <v>0</v>
      </c>
      <c r="F472" s="56">
        <v>1.2E-2</v>
      </c>
      <c r="G472" s="6">
        <f t="shared" ref="G472:G474" si="151">TRUNC($E472*F472,1)</f>
        <v>0</v>
      </c>
      <c r="H472" s="56">
        <v>1.2E-2</v>
      </c>
      <c r="I472" s="6">
        <f t="shared" ref="I472:I474" si="152">TRUNC($E472*H472,1)</f>
        <v>0</v>
      </c>
      <c r="J472" s="56">
        <v>1.2E-2</v>
      </c>
      <c r="K472" s="6">
        <f t="shared" ref="K472:K474" si="153">TRUNC($E472*J472,1)</f>
        <v>0</v>
      </c>
    </row>
    <row r="473" spans="2:11" ht="12.95" customHeight="1" x14ac:dyDescent="0.3">
      <c r="B473" s="32" t="s">
        <v>113</v>
      </c>
      <c r="C473" s="32"/>
      <c r="D473" s="42" t="s">
        <v>95</v>
      </c>
      <c r="E473" s="54">
        <v>0</v>
      </c>
      <c r="F473" s="30">
        <v>1.43</v>
      </c>
      <c r="G473" s="6">
        <f t="shared" si="151"/>
        <v>0</v>
      </c>
      <c r="H473" s="30">
        <v>1.6</v>
      </c>
      <c r="I473" s="6">
        <f t="shared" si="152"/>
        <v>0</v>
      </c>
      <c r="J473" s="30">
        <v>1.78</v>
      </c>
      <c r="K473" s="6">
        <f t="shared" si="153"/>
        <v>0</v>
      </c>
    </row>
    <row r="474" spans="2:11" ht="12.95" customHeight="1" x14ac:dyDescent="0.3">
      <c r="B474" s="32" t="s">
        <v>9</v>
      </c>
      <c r="C474" s="32" t="s">
        <v>114</v>
      </c>
      <c r="D474" s="42" t="s">
        <v>22</v>
      </c>
      <c r="E474" s="55">
        <v>89197</v>
      </c>
      <c r="F474" s="30">
        <v>2.62</v>
      </c>
      <c r="G474" s="6">
        <f t="shared" si="151"/>
        <v>233696.1</v>
      </c>
      <c r="H474" s="30">
        <v>2.99</v>
      </c>
      <c r="I474" s="6">
        <f t="shared" si="152"/>
        <v>266699</v>
      </c>
      <c r="J474" s="30">
        <v>3.36</v>
      </c>
      <c r="K474" s="6">
        <f t="shared" si="153"/>
        <v>299701.90000000002</v>
      </c>
    </row>
    <row r="475" spans="2:11" ht="12.95" customHeight="1" x14ac:dyDescent="0.3">
      <c r="B475" s="24" t="s">
        <v>17</v>
      </c>
      <c r="C475" s="40"/>
      <c r="D475" s="40"/>
      <c r="E475" s="44"/>
      <c r="F475" s="47" t="s">
        <v>43</v>
      </c>
      <c r="G475" s="43">
        <f>TRUNC(SUM(G472:G474))</f>
        <v>233696</v>
      </c>
      <c r="H475" s="47" t="s">
        <v>43</v>
      </c>
      <c r="I475" s="43">
        <f>TRUNC(SUM(I472:I474))</f>
        <v>266699</v>
      </c>
      <c r="J475" s="47" t="s">
        <v>43</v>
      </c>
      <c r="K475" s="43">
        <f>TRUNC(SUM(K472:K474))</f>
        <v>299701</v>
      </c>
    </row>
    <row r="476" spans="2:11" ht="12.95" customHeight="1" x14ac:dyDescent="0.3">
      <c r="B476" s="39"/>
      <c r="C476" s="40"/>
      <c r="D476" s="40"/>
      <c r="E476" s="44"/>
      <c r="F476" s="47"/>
      <c r="G476" s="34"/>
      <c r="H476" s="47"/>
      <c r="I476" s="34"/>
      <c r="J476" s="47"/>
      <c r="K476" s="34"/>
    </row>
    <row r="477" spans="2:11" ht="12.95" customHeight="1" x14ac:dyDescent="0.3">
      <c r="B477" s="13" t="s">
        <v>3</v>
      </c>
      <c r="C477" s="8"/>
      <c r="D477" s="3" t="s">
        <v>16</v>
      </c>
      <c r="E477" s="55">
        <v>295138</v>
      </c>
      <c r="F477" s="30">
        <v>0.16</v>
      </c>
      <c r="G477" s="6">
        <f t="shared" ref="G477:G482" si="154">TRUNC($E477*F477,1)</f>
        <v>47222</v>
      </c>
      <c r="H477" s="30">
        <v>0.18</v>
      </c>
      <c r="I477" s="6">
        <f t="shared" ref="I477:I482" si="155">TRUNC($E477*H477,1)</f>
        <v>53124.800000000003</v>
      </c>
      <c r="J477" s="30">
        <v>0.2</v>
      </c>
      <c r="K477" s="6">
        <f t="shared" ref="K477:K482" si="156">TRUNC($E477*J477,1)</f>
        <v>59027.6</v>
      </c>
    </row>
    <row r="478" spans="2:11" ht="12.95" customHeight="1" x14ac:dyDescent="0.3">
      <c r="B478" s="13" t="s">
        <v>7</v>
      </c>
      <c r="C478" s="8"/>
      <c r="D478" s="3" t="s">
        <v>16</v>
      </c>
      <c r="E478" s="55">
        <v>250087</v>
      </c>
      <c r="F478" s="30">
        <v>0.66</v>
      </c>
      <c r="G478" s="6">
        <f t="shared" si="154"/>
        <v>165057.4</v>
      </c>
      <c r="H478" s="30">
        <v>0.75</v>
      </c>
      <c r="I478" s="6">
        <f t="shared" si="155"/>
        <v>187565.2</v>
      </c>
      <c r="J478" s="30">
        <v>0.84</v>
      </c>
      <c r="K478" s="6">
        <f t="shared" si="156"/>
        <v>210073</v>
      </c>
    </row>
    <row r="479" spans="2:11" ht="12.95" customHeight="1" x14ac:dyDescent="0.3">
      <c r="B479" s="13" t="s">
        <v>28</v>
      </c>
      <c r="C479" s="8"/>
      <c r="D479" s="3" t="s">
        <v>16</v>
      </c>
      <c r="E479" s="55">
        <v>232562</v>
      </c>
      <c r="F479" s="30">
        <v>0.66</v>
      </c>
      <c r="G479" s="6">
        <f t="shared" si="154"/>
        <v>153490.9</v>
      </c>
      <c r="H479" s="30">
        <v>0.75</v>
      </c>
      <c r="I479" s="6">
        <f t="shared" si="155"/>
        <v>174421.5</v>
      </c>
      <c r="J479" s="30">
        <v>0.84</v>
      </c>
      <c r="K479" s="6">
        <f t="shared" si="156"/>
        <v>195352</v>
      </c>
    </row>
    <row r="480" spans="2:11" ht="12.95" customHeight="1" x14ac:dyDescent="0.3">
      <c r="B480" s="13" t="s">
        <v>23</v>
      </c>
      <c r="C480" s="8"/>
      <c r="D480" s="3" t="s">
        <v>16</v>
      </c>
      <c r="E480" s="55">
        <v>226122</v>
      </c>
      <c r="F480" s="30">
        <v>0.33</v>
      </c>
      <c r="G480" s="6">
        <f t="shared" si="154"/>
        <v>74620.2</v>
      </c>
      <c r="H480" s="30">
        <v>0.38</v>
      </c>
      <c r="I480" s="6">
        <f t="shared" si="155"/>
        <v>85926.3</v>
      </c>
      <c r="J480" s="30">
        <v>0.43</v>
      </c>
      <c r="K480" s="6">
        <f t="shared" si="156"/>
        <v>97232.4</v>
      </c>
    </row>
    <row r="481" spans="2:11" ht="12.95" customHeight="1" x14ac:dyDescent="0.3">
      <c r="B481" s="13" t="s">
        <v>0</v>
      </c>
      <c r="C481" s="8"/>
      <c r="D481" s="3" t="s">
        <v>16</v>
      </c>
      <c r="E481" s="55">
        <v>172068</v>
      </c>
      <c r="F481" s="30">
        <v>0.66</v>
      </c>
      <c r="G481" s="6">
        <f t="shared" si="154"/>
        <v>113564.8</v>
      </c>
      <c r="H481" s="30">
        <v>0.75</v>
      </c>
      <c r="I481" s="6">
        <f t="shared" si="155"/>
        <v>129051</v>
      </c>
      <c r="J481" s="30">
        <v>0.84</v>
      </c>
      <c r="K481" s="6">
        <f t="shared" si="156"/>
        <v>144537.1</v>
      </c>
    </row>
    <row r="482" spans="2:11" ht="12.95" customHeight="1" x14ac:dyDescent="0.3">
      <c r="B482" s="32" t="s">
        <v>9</v>
      </c>
      <c r="C482" s="32" t="s">
        <v>114</v>
      </c>
      <c r="D482" s="42" t="s">
        <v>22</v>
      </c>
      <c r="E482" s="55">
        <v>58925</v>
      </c>
      <c r="F482" s="30">
        <v>2.62</v>
      </c>
      <c r="G482" s="6">
        <f t="shared" si="154"/>
        <v>154383.5</v>
      </c>
      <c r="H482" s="30">
        <v>2.99</v>
      </c>
      <c r="I482" s="6">
        <f t="shared" si="155"/>
        <v>176185.7</v>
      </c>
      <c r="J482" s="30">
        <v>3.36</v>
      </c>
      <c r="K482" s="6">
        <f t="shared" si="156"/>
        <v>197988</v>
      </c>
    </row>
    <row r="483" spans="2:11" ht="12.95" customHeight="1" x14ac:dyDescent="0.3">
      <c r="B483" s="21" t="s">
        <v>18</v>
      </c>
      <c r="C483" s="40"/>
      <c r="D483" s="40"/>
      <c r="E483" s="44"/>
      <c r="F483" s="47" t="s">
        <v>43</v>
      </c>
      <c r="G483" s="43">
        <f>TRUNC(SUM(G477:G482))</f>
        <v>708338</v>
      </c>
      <c r="H483" s="47" t="s">
        <v>43</v>
      </c>
      <c r="I483" s="43">
        <f>TRUNC(SUM(I477:I482))</f>
        <v>806274</v>
      </c>
      <c r="J483" s="47" t="s">
        <v>43</v>
      </c>
      <c r="K483" s="43">
        <f>TRUNC(SUM(K477:K482))</f>
        <v>904210</v>
      </c>
    </row>
    <row r="484" spans="2:11" ht="12.95" customHeight="1" x14ac:dyDescent="0.3">
      <c r="B484" s="39"/>
      <c r="C484" s="40"/>
      <c r="D484" s="40"/>
      <c r="E484" s="44"/>
      <c r="F484" s="47"/>
      <c r="G484" s="34"/>
      <c r="H484" s="47"/>
      <c r="I484" s="34"/>
      <c r="J484" s="47"/>
      <c r="K484" s="34"/>
    </row>
    <row r="485" spans="2:11" ht="12.95" customHeight="1" x14ac:dyDescent="0.3">
      <c r="B485" s="32" t="s">
        <v>9</v>
      </c>
      <c r="C485" s="32" t="s">
        <v>114</v>
      </c>
      <c r="D485" s="42" t="s">
        <v>22</v>
      </c>
      <c r="E485" s="55">
        <v>157250</v>
      </c>
      <c r="F485" s="30">
        <v>2.62</v>
      </c>
      <c r="G485" s="6">
        <f t="shared" ref="G485" si="157">TRUNC($E485*F485,1)</f>
        <v>411995</v>
      </c>
      <c r="H485" s="30">
        <v>2.99</v>
      </c>
      <c r="I485" s="6">
        <f t="shared" ref="I485" si="158">TRUNC($E485*H485,1)</f>
        <v>470177.5</v>
      </c>
      <c r="J485" s="30">
        <v>3.36</v>
      </c>
      <c r="K485" s="6">
        <f t="shared" ref="K485" si="159">TRUNC($E485*J485,1)</f>
        <v>528360</v>
      </c>
    </row>
    <row r="486" spans="2:11" ht="12.95" customHeight="1" x14ac:dyDescent="0.3">
      <c r="B486" s="24" t="s">
        <v>19</v>
      </c>
      <c r="C486" s="40"/>
      <c r="D486" s="40"/>
      <c r="E486" s="33"/>
      <c r="F486" s="35"/>
      <c r="G486" s="43">
        <f>TRUNC(SUM(G485:G485))</f>
        <v>411995</v>
      </c>
      <c r="H486" s="35" t="s">
        <v>43</v>
      </c>
      <c r="I486" s="43">
        <f>TRUNC(SUM(I485:I485))</f>
        <v>470177</v>
      </c>
      <c r="J486" s="35" t="s">
        <v>43</v>
      </c>
      <c r="K486" s="43">
        <f>TRUNC(SUM(K485:K485))</f>
        <v>528360</v>
      </c>
    </row>
    <row r="487" spans="2:11" ht="12.95" customHeight="1" x14ac:dyDescent="0.3">
      <c r="B487" s="11"/>
      <c r="C487" s="32"/>
      <c r="D487" s="32"/>
      <c r="E487" s="36"/>
      <c r="F487" s="30"/>
      <c r="G487" s="31"/>
      <c r="H487" s="30"/>
      <c r="I487" s="31"/>
      <c r="J487" s="30"/>
      <c r="K487" s="31"/>
    </row>
    <row r="488" spans="2:11" ht="12.95" customHeight="1" x14ac:dyDescent="0.3">
      <c r="B488" s="12" t="s">
        <v>20</v>
      </c>
      <c r="C488" s="41"/>
      <c r="D488" s="41"/>
      <c r="E488" s="37"/>
      <c r="F488" s="37"/>
      <c r="G488" s="38">
        <f>SUM(G475+G483+G486)</f>
        <v>1354029</v>
      </c>
      <c r="H488" s="37"/>
      <c r="I488" s="38">
        <f>SUM(I475+I483+I486)</f>
        <v>1543150</v>
      </c>
      <c r="J488" s="37"/>
      <c r="K488" s="38">
        <f>SUM(K475+K483+K486)</f>
        <v>1732271</v>
      </c>
    </row>
    <row r="490" spans="2:11" ht="12.95" customHeight="1" x14ac:dyDescent="0.3">
      <c r="B490" s="2" t="s">
        <v>121</v>
      </c>
      <c r="K490" s="49" t="s">
        <v>44</v>
      </c>
    </row>
    <row r="491" spans="2:11" ht="12.95" customHeight="1" x14ac:dyDescent="0.3">
      <c r="B491" s="79" t="s">
        <v>10</v>
      </c>
      <c r="C491" s="81" t="s">
        <v>21</v>
      </c>
      <c r="D491" s="73" t="s">
        <v>15</v>
      </c>
      <c r="E491" s="83" t="s">
        <v>11</v>
      </c>
      <c r="F491" s="77" t="s">
        <v>122</v>
      </c>
      <c r="G491" s="78"/>
      <c r="H491" s="78"/>
      <c r="I491" s="78"/>
      <c r="J491" s="78"/>
      <c r="K491" s="78"/>
    </row>
    <row r="492" spans="2:11" ht="12.95" customHeight="1" x14ac:dyDescent="0.3">
      <c r="B492" s="85"/>
      <c r="C492" s="86"/>
      <c r="D492" s="87"/>
      <c r="E492" s="88"/>
      <c r="F492" s="77" t="s">
        <v>109</v>
      </c>
      <c r="G492" s="78"/>
      <c r="H492" s="77" t="s">
        <v>110</v>
      </c>
      <c r="I492" s="78"/>
      <c r="J492" s="77" t="s">
        <v>111</v>
      </c>
      <c r="K492" s="78"/>
    </row>
    <row r="493" spans="2:11" ht="12.95" customHeight="1" x14ac:dyDescent="0.3">
      <c r="B493" s="80"/>
      <c r="C493" s="82"/>
      <c r="D493" s="74"/>
      <c r="E493" s="84"/>
      <c r="F493" s="51" t="s">
        <v>12</v>
      </c>
      <c r="G493" s="52" t="s">
        <v>13</v>
      </c>
      <c r="H493" s="51" t="s">
        <v>12</v>
      </c>
      <c r="I493" s="52" t="s">
        <v>13</v>
      </c>
      <c r="J493" s="51" t="s">
        <v>12</v>
      </c>
      <c r="K493" s="52" t="s">
        <v>13</v>
      </c>
    </row>
    <row r="494" spans="2:11" ht="12.95" customHeight="1" x14ac:dyDescent="0.3">
      <c r="B494" s="32" t="s">
        <v>112</v>
      </c>
      <c r="C494" s="32"/>
      <c r="D494" s="42" t="s">
        <v>33</v>
      </c>
      <c r="E494" s="54">
        <v>0</v>
      </c>
      <c r="F494" s="56">
        <v>4.3999999999999997E-2</v>
      </c>
      <c r="G494" s="6">
        <f t="shared" ref="G494:G496" si="160">TRUNC($E494*F494,1)</f>
        <v>0</v>
      </c>
      <c r="H494" s="56">
        <v>4.3999999999999997E-2</v>
      </c>
      <c r="I494" s="6">
        <f t="shared" ref="I494:I496" si="161">TRUNC($E494*H494,1)</f>
        <v>0</v>
      </c>
      <c r="J494" s="56">
        <v>4.3999999999999997E-2</v>
      </c>
      <c r="K494" s="6">
        <f t="shared" ref="K494:K496" si="162">TRUNC($E494*J494,1)</f>
        <v>0</v>
      </c>
    </row>
    <row r="495" spans="2:11" ht="12.95" customHeight="1" x14ac:dyDescent="0.3">
      <c r="B495" s="32" t="s">
        <v>113</v>
      </c>
      <c r="C495" s="32"/>
      <c r="D495" s="42" t="s">
        <v>95</v>
      </c>
      <c r="E495" s="54">
        <v>0</v>
      </c>
      <c r="F495" s="30">
        <v>0.35</v>
      </c>
      <c r="G495" s="6">
        <f t="shared" si="160"/>
        <v>0</v>
      </c>
      <c r="H495" s="30">
        <v>0.53</v>
      </c>
      <c r="I495" s="6">
        <f t="shared" si="161"/>
        <v>0</v>
      </c>
      <c r="J495" s="30">
        <v>0.7</v>
      </c>
      <c r="K495" s="6">
        <f t="shared" si="162"/>
        <v>0</v>
      </c>
    </row>
    <row r="496" spans="2:11" ht="12.95" customHeight="1" x14ac:dyDescent="0.3">
      <c r="B496" s="32" t="s">
        <v>9</v>
      </c>
      <c r="C496" s="32" t="s">
        <v>114</v>
      </c>
      <c r="D496" s="42" t="s">
        <v>22</v>
      </c>
      <c r="E496" s="55">
        <v>89197</v>
      </c>
      <c r="F496" s="30">
        <v>0.26</v>
      </c>
      <c r="G496" s="6">
        <f t="shared" si="160"/>
        <v>23191.200000000001</v>
      </c>
      <c r="H496" s="30">
        <v>0.34</v>
      </c>
      <c r="I496" s="6">
        <f t="shared" si="161"/>
        <v>30326.9</v>
      </c>
      <c r="J496" s="30">
        <v>0.45</v>
      </c>
      <c r="K496" s="6">
        <f t="shared" si="162"/>
        <v>40138.6</v>
      </c>
    </row>
    <row r="497" spans="2:11" ht="12.95" customHeight="1" x14ac:dyDescent="0.3">
      <c r="B497" s="24" t="s">
        <v>17</v>
      </c>
      <c r="C497" s="40"/>
      <c r="D497" s="40"/>
      <c r="E497" s="44"/>
      <c r="F497" s="47" t="s">
        <v>43</v>
      </c>
      <c r="G497" s="43">
        <f>TRUNC(SUM(G494:G496))</f>
        <v>23191</v>
      </c>
      <c r="H497" s="47"/>
      <c r="I497" s="43">
        <f>TRUNC(SUM(I494:I496))</f>
        <v>30326</v>
      </c>
      <c r="J497" s="47" t="s">
        <v>43</v>
      </c>
      <c r="K497" s="43">
        <f>TRUNC(SUM(K494:K496))</f>
        <v>40138</v>
      </c>
    </row>
    <row r="498" spans="2:11" ht="12.95" customHeight="1" x14ac:dyDescent="0.3">
      <c r="B498" s="39"/>
      <c r="C498" s="40"/>
      <c r="D498" s="40"/>
      <c r="E498" s="44"/>
      <c r="F498" s="47"/>
      <c r="G498" s="34"/>
      <c r="H498" s="47"/>
      <c r="I498" s="34"/>
      <c r="J498" s="47"/>
      <c r="K498" s="34"/>
    </row>
    <row r="499" spans="2:11" ht="12.95" customHeight="1" x14ac:dyDescent="0.3">
      <c r="B499" s="13" t="s">
        <v>3</v>
      </c>
      <c r="C499" s="8"/>
      <c r="D499" s="3" t="s">
        <v>16</v>
      </c>
      <c r="E499" s="55">
        <v>295138</v>
      </c>
      <c r="F499" s="30">
        <v>0.02</v>
      </c>
      <c r="G499" s="6">
        <f t="shared" ref="G499:G504" si="163">TRUNC($E499*F499,1)</f>
        <v>5902.7</v>
      </c>
      <c r="H499" s="30">
        <v>0.02</v>
      </c>
      <c r="I499" s="6">
        <f t="shared" ref="I499:I504" si="164">TRUNC($E499*H499,1)</f>
        <v>5902.7</v>
      </c>
      <c r="J499" s="30">
        <v>0.03</v>
      </c>
      <c r="K499" s="6">
        <f t="shared" ref="K499:K504" si="165">TRUNC($E499*J499,1)</f>
        <v>8854.1</v>
      </c>
    </row>
    <row r="500" spans="2:11" ht="12.95" customHeight="1" x14ac:dyDescent="0.3">
      <c r="B500" s="13" t="s">
        <v>7</v>
      </c>
      <c r="C500" s="8"/>
      <c r="D500" s="3" t="s">
        <v>16</v>
      </c>
      <c r="E500" s="55">
        <v>250087</v>
      </c>
      <c r="F500" s="30">
        <v>7.0000000000000007E-2</v>
      </c>
      <c r="G500" s="6">
        <f t="shared" si="163"/>
        <v>17506</v>
      </c>
      <c r="H500" s="30">
        <v>0.09</v>
      </c>
      <c r="I500" s="6">
        <f t="shared" si="164"/>
        <v>22507.8</v>
      </c>
      <c r="J500" s="30">
        <v>0.11</v>
      </c>
      <c r="K500" s="6">
        <f t="shared" si="165"/>
        <v>27509.5</v>
      </c>
    </row>
    <row r="501" spans="2:11" ht="12.95" customHeight="1" x14ac:dyDescent="0.3">
      <c r="B501" s="13" t="s">
        <v>28</v>
      </c>
      <c r="C501" s="8"/>
      <c r="D501" s="3" t="s">
        <v>16</v>
      </c>
      <c r="E501" s="55">
        <v>232562</v>
      </c>
      <c r="F501" s="30">
        <v>7.0000000000000007E-2</v>
      </c>
      <c r="G501" s="6">
        <f t="shared" si="163"/>
        <v>16279.3</v>
      </c>
      <c r="H501" s="30">
        <v>0.09</v>
      </c>
      <c r="I501" s="6">
        <f t="shared" si="164"/>
        <v>20930.5</v>
      </c>
      <c r="J501" s="30">
        <v>0.11</v>
      </c>
      <c r="K501" s="6">
        <f t="shared" si="165"/>
        <v>25581.8</v>
      </c>
    </row>
    <row r="502" spans="2:11" ht="12.95" customHeight="1" x14ac:dyDescent="0.3">
      <c r="B502" s="13" t="s">
        <v>23</v>
      </c>
      <c r="C502" s="8"/>
      <c r="D502" s="3" t="s">
        <v>16</v>
      </c>
      <c r="E502" s="55">
        <v>226122</v>
      </c>
      <c r="F502" s="30">
        <v>0.03</v>
      </c>
      <c r="G502" s="6">
        <f t="shared" si="163"/>
        <v>6783.6</v>
      </c>
      <c r="H502" s="30">
        <v>0.04</v>
      </c>
      <c r="I502" s="6">
        <f t="shared" si="164"/>
        <v>9044.7999999999993</v>
      </c>
      <c r="J502" s="30">
        <v>0.06</v>
      </c>
      <c r="K502" s="6">
        <f t="shared" si="165"/>
        <v>13567.3</v>
      </c>
    </row>
    <row r="503" spans="2:11" ht="12.95" customHeight="1" x14ac:dyDescent="0.3">
      <c r="B503" s="13" t="s">
        <v>0</v>
      </c>
      <c r="C503" s="8"/>
      <c r="D503" s="3" t="s">
        <v>16</v>
      </c>
      <c r="E503" s="55">
        <v>172068</v>
      </c>
      <c r="F503" s="30">
        <v>7.0000000000000007E-2</v>
      </c>
      <c r="G503" s="6">
        <f t="shared" si="163"/>
        <v>12044.7</v>
      </c>
      <c r="H503" s="30">
        <v>0.09</v>
      </c>
      <c r="I503" s="6">
        <f t="shared" si="164"/>
        <v>15486.1</v>
      </c>
      <c r="J503" s="30">
        <v>0.11</v>
      </c>
      <c r="K503" s="6">
        <f t="shared" si="165"/>
        <v>18927.400000000001</v>
      </c>
    </row>
    <row r="504" spans="2:11" ht="12.95" customHeight="1" x14ac:dyDescent="0.3">
      <c r="B504" s="32" t="s">
        <v>9</v>
      </c>
      <c r="C504" s="32" t="s">
        <v>114</v>
      </c>
      <c r="D504" s="42" t="s">
        <v>22</v>
      </c>
      <c r="E504" s="55">
        <v>58925</v>
      </c>
      <c r="F504" s="30">
        <v>0.26</v>
      </c>
      <c r="G504" s="6">
        <f t="shared" si="163"/>
        <v>15320.5</v>
      </c>
      <c r="H504" s="30">
        <v>0.34</v>
      </c>
      <c r="I504" s="6">
        <f t="shared" si="164"/>
        <v>20034.5</v>
      </c>
      <c r="J504" s="30">
        <v>0.45</v>
      </c>
      <c r="K504" s="6">
        <f t="shared" si="165"/>
        <v>26516.2</v>
      </c>
    </row>
    <row r="505" spans="2:11" ht="12.95" customHeight="1" x14ac:dyDescent="0.3">
      <c r="B505" s="21" t="s">
        <v>18</v>
      </c>
      <c r="C505" s="40"/>
      <c r="D505" s="40"/>
      <c r="E505" s="44"/>
      <c r="F505" s="47" t="s">
        <v>43</v>
      </c>
      <c r="G505" s="43">
        <f>TRUNC(SUM(G499:G504))</f>
        <v>73836</v>
      </c>
      <c r="H505" s="47" t="s">
        <v>43</v>
      </c>
      <c r="I505" s="43">
        <f>TRUNC(SUM(I499:I504))</f>
        <v>93906</v>
      </c>
      <c r="J505" s="47" t="s">
        <v>43</v>
      </c>
      <c r="K505" s="43">
        <f>TRUNC(SUM(K499:K504))</f>
        <v>120956</v>
      </c>
    </row>
    <row r="506" spans="2:11" ht="12.95" customHeight="1" x14ac:dyDescent="0.3">
      <c r="B506" s="39"/>
      <c r="C506" s="40"/>
      <c r="D506" s="40"/>
      <c r="E506" s="44"/>
      <c r="F506" s="47"/>
      <c r="G506" s="34"/>
      <c r="H506" s="47"/>
      <c r="I506" s="34"/>
      <c r="J506" s="47"/>
      <c r="K506" s="34"/>
    </row>
    <row r="507" spans="2:11" ht="12.95" customHeight="1" x14ac:dyDescent="0.3">
      <c r="B507" s="32" t="s">
        <v>9</v>
      </c>
      <c r="C507" s="32" t="s">
        <v>114</v>
      </c>
      <c r="D507" s="42" t="s">
        <v>22</v>
      </c>
      <c r="E507" s="55">
        <v>157250</v>
      </c>
      <c r="F507" s="30">
        <v>0.26</v>
      </c>
      <c r="G507" s="6">
        <f t="shared" ref="G507" si="166">TRUNC($E507*F507,1)</f>
        <v>40885</v>
      </c>
      <c r="H507" s="30">
        <v>0.34</v>
      </c>
      <c r="I507" s="6">
        <f t="shared" ref="I507" si="167">TRUNC($E507*H507,1)</f>
        <v>53465</v>
      </c>
      <c r="J507" s="30">
        <v>0.45</v>
      </c>
      <c r="K507" s="6">
        <f t="shared" ref="K507" si="168">TRUNC($E507*J507,1)</f>
        <v>70762.5</v>
      </c>
    </row>
    <row r="508" spans="2:11" ht="12.95" customHeight="1" x14ac:dyDescent="0.3">
      <c r="B508" s="24" t="s">
        <v>19</v>
      </c>
      <c r="C508" s="40"/>
      <c r="D508" s="40"/>
      <c r="E508" s="33"/>
      <c r="F508" s="35" t="s">
        <v>43</v>
      </c>
      <c r="G508" s="43">
        <f>TRUNC(SUM(G507:G507))</f>
        <v>40885</v>
      </c>
      <c r="H508" s="35"/>
      <c r="I508" s="43">
        <f>TRUNC(SUM(I507:I507))</f>
        <v>53465</v>
      </c>
      <c r="J508" s="35" t="s">
        <v>43</v>
      </c>
      <c r="K508" s="43">
        <f>TRUNC(SUM(K507:K507))</f>
        <v>70762</v>
      </c>
    </row>
    <row r="509" spans="2:11" ht="12.95" customHeight="1" x14ac:dyDescent="0.3">
      <c r="B509" s="11"/>
      <c r="C509" s="32"/>
      <c r="D509" s="32"/>
      <c r="E509" s="36"/>
      <c r="F509" s="30"/>
      <c r="G509" s="31"/>
      <c r="H509" s="30"/>
      <c r="I509" s="31"/>
      <c r="J509" s="30"/>
      <c r="K509" s="31"/>
    </row>
    <row r="510" spans="2:11" ht="12.95" customHeight="1" x14ac:dyDescent="0.3">
      <c r="B510" s="12" t="s">
        <v>20</v>
      </c>
      <c r="C510" s="41"/>
      <c r="D510" s="41"/>
      <c r="E510" s="37"/>
      <c r="F510" s="37"/>
      <c r="G510" s="38">
        <f>SUM(G497+G505+G508)</f>
        <v>137912</v>
      </c>
      <c r="H510" s="37"/>
      <c r="I510" s="38">
        <f>SUM(I497+I505+I508)</f>
        <v>177697</v>
      </c>
      <c r="J510" s="37"/>
      <c r="K510" s="38">
        <f>SUM(K497+K505+K508)</f>
        <v>231856</v>
      </c>
    </row>
    <row r="511" spans="2:11" ht="12.95" customHeight="1" x14ac:dyDescent="0.3">
      <c r="B511" s="79" t="s">
        <v>10</v>
      </c>
      <c r="C511" s="81" t="s">
        <v>21</v>
      </c>
      <c r="D511" s="73" t="s">
        <v>15</v>
      </c>
      <c r="E511" s="83" t="s">
        <v>11</v>
      </c>
      <c r="F511" s="77" t="s">
        <v>122</v>
      </c>
      <c r="G511" s="78"/>
      <c r="H511" s="78"/>
      <c r="I511" s="78"/>
      <c r="J511" s="78"/>
      <c r="K511" s="78"/>
    </row>
    <row r="512" spans="2:11" ht="12.95" customHeight="1" x14ac:dyDescent="0.3">
      <c r="B512" s="85"/>
      <c r="C512" s="86"/>
      <c r="D512" s="87"/>
      <c r="E512" s="88"/>
      <c r="F512" s="77" t="s">
        <v>115</v>
      </c>
      <c r="G512" s="78"/>
      <c r="H512" s="77" t="s">
        <v>116</v>
      </c>
      <c r="I512" s="78"/>
      <c r="J512" s="77" t="s">
        <v>117</v>
      </c>
      <c r="K512" s="78"/>
    </row>
    <row r="513" spans="2:11" ht="12.95" customHeight="1" x14ac:dyDescent="0.3">
      <c r="B513" s="80"/>
      <c r="C513" s="82"/>
      <c r="D513" s="74"/>
      <c r="E513" s="84"/>
      <c r="F513" s="51" t="s">
        <v>12</v>
      </c>
      <c r="G513" s="52" t="s">
        <v>13</v>
      </c>
      <c r="H513" s="51" t="s">
        <v>12</v>
      </c>
      <c r="I513" s="52" t="s">
        <v>13</v>
      </c>
      <c r="J513" s="51" t="s">
        <v>12</v>
      </c>
      <c r="K513" s="52" t="s">
        <v>13</v>
      </c>
    </row>
    <row r="514" spans="2:11" ht="12.95" customHeight="1" x14ac:dyDescent="0.3">
      <c r="B514" s="32" t="s">
        <v>112</v>
      </c>
      <c r="C514" s="32"/>
      <c r="D514" s="42" t="s">
        <v>33</v>
      </c>
      <c r="E514" s="54">
        <v>0</v>
      </c>
      <c r="F514" s="56">
        <v>4.3999999999999997E-2</v>
      </c>
      <c r="G514" s="6">
        <f t="shared" ref="G514:G516" si="169">TRUNC($E514*F514,1)</f>
        <v>0</v>
      </c>
      <c r="H514" s="56">
        <v>4.3999999999999997E-2</v>
      </c>
      <c r="I514" s="6">
        <f t="shared" ref="I514:I516" si="170">TRUNC($E514*H514,1)</f>
        <v>0</v>
      </c>
      <c r="J514" s="56">
        <v>4.3999999999999997E-2</v>
      </c>
      <c r="K514" s="6">
        <f t="shared" ref="K514:K516" si="171">TRUNC($E514*J514,1)</f>
        <v>0</v>
      </c>
    </row>
    <row r="515" spans="2:11" ht="12.95" customHeight="1" x14ac:dyDescent="0.3">
      <c r="B515" s="32" t="s">
        <v>113</v>
      </c>
      <c r="C515" s="32"/>
      <c r="D515" s="42" t="s">
        <v>95</v>
      </c>
      <c r="E515" s="54">
        <v>0</v>
      </c>
      <c r="F515" s="30">
        <v>0.88</v>
      </c>
      <c r="G515" s="6">
        <f t="shared" si="169"/>
        <v>0</v>
      </c>
      <c r="H515" s="30">
        <v>1.05</v>
      </c>
      <c r="I515" s="6">
        <f t="shared" si="170"/>
        <v>0</v>
      </c>
      <c r="J515" s="30">
        <v>1.25</v>
      </c>
      <c r="K515" s="6">
        <f t="shared" si="171"/>
        <v>0</v>
      </c>
    </row>
    <row r="516" spans="2:11" ht="12.95" customHeight="1" x14ac:dyDescent="0.3">
      <c r="B516" s="32" t="s">
        <v>9</v>
      </c>
      <c r="C516" s="32" t="s">
        <v>114</v>
      </c>
      <c r="D516" s="42" t="s">
        <v>22</v>
      </c>
      <c r="E516" s="55">
        <v>89197</v>
      </c>
      <c r="F516" s="30">
        <v>0.54</v>
      </c>
      <c r="G516" s="6">
        <f t="shared" si="169"/>
        <v>48166.3</v>
      </c>
      <c r="H516" s="30">
        <v>0.64</v>
      </c>
      <c r="I516" s="6">
        <f t="shared" si="170"/>
        <v>57086</v>
      </c>
      <c r="J516" s="30">
        <v>0.72</v>
      </c>
      <c r="K516" s="6">
        <f t="shared" si="171"/>
        <v>64221.8</v>
      </c>
    </row>
    <row r="517" spans="2:11" ht="12.95" customHeight="1" x14ac:dyDescent="0.3">
      <c r="B517" s="24" t="s">
        <v>17</v>
      </c>
      <c r="C517" s="40"/>
      <c r="D517" s="40"/>
      <c r="E517" s="44"/>
      <c r="F517" s="47" t="s">
        <v>43</v>
      </c>
      <c r="G517" s="43">
        <f>TRUNC(SUM(G514:G516))</f>
        <v>48166</v>
      </c>
      <c r="H517" s="47" t="s">
        <v>43</v>
      </c>
      <c r="I517" s="43">
        <f>TRUNC(SUM(I514:I516))</f>
        <v>57086</v>
      </c>
      <c r="J517" s="47" t="s">
        <v>43</v>
      </c>
      <c r="K517" s="43">
        <f>TRUNC(SUM(K514:K516))</f>
        <v>64221</v>
      </c>
    </row>
    <row r="518" spans="2:11" ht="12.95" customHeight="1" x14ac:dyDescent="0.3">
      <c r="B518" s="39"/>
      <c r="C518" s="40"/>
      <c r="D518" s="40"/>
      <c r="E518" s="44"/>
      <c r="F518" s="47"/>
      <c r="G518" s="34"/>
      <c r="H518" s="47"/>
      <c r="I518" s="34"/>
      <c r="J518" s="47"/>
      <c r="K518" s="34"/>
    </row>
    <row r="519" spans="2:11" ht="12.95" customHeight="1" x14ac:dyDescent="0.3">
      <c r="B519" s="13" t="s">
        <v>3</v>
      </c>
      <c r="C519" s="8"/>
      <c r="D519" s="3" t="s">
        <v>16</v>
      </c>
      <c r="E519" s="55">
        <v>295138</v>
      </c>
      <c r="F519" s="30">
        <v>0.03</v>
      </c>
      <c r="G519" s="6">
        <f t="shared" ref="G519:G524" si="172">TRUNC($E519*F519,1)</f>
        <v>8854.1</v>
      </c>
      <c r="H519" s="30">
        <v>0.04</v>
      </c>
      <c r="I519" s="6">
        <f t="shared" ref="I519:I524" si="173">TRUNC($E519*H519,1)</f>
        <v>11805.5</v>
      </c>
      <c r="J519" s="30">
        <v>0.04</v>
      </c>
      <c r="K519" s="6">
        <f t="shared" ref="K519:K524" si="174">TRUNC($E519*J519,1)</f>
        <v>11805.5</v>
      </c>
    </row>
    <row r="520" spans="2:11" ht="12.95" customHeight="1" x14ac:dyDescent="0.3">
      <c r="B520" s="13" t="s">
        <v>7</v>
      </c>
      <c r="C520" s="8"/>
      <c r="D520" s="3" t="s">
        <v>16</v>
      </c>
      <c r="E520" s="55">
        <v>250087</v>
      </c>
      <c r="F520" s="30">
        <v>0.14000000000000001</v>
      </c>
      <c r="G520" s="6">
        <f t="shared" si="172"/>
        <v>35012.1</v>
      </c>
      <c r="H520" s="30">
        <v>0.16</v>
      </c>
      <c r="I520" s="6">
        <f t="shared" si="173"/>
        <v>40013.9</v>
      </c>
      <c r="J520" s="30">
        <v>0.18</v>
      </c>
      <c r="K520" s="6">
        <f t="shared" si="174"/>
        <v>45015.6</v>
      </c>
    </row>
    <row r="521" spans="2:11" ht="12.95" customHeight="1" x14ac:dyDescent="0.3">
      <c r="B521" s="13" t="s">
        <v>28</v>
      </c>
      <c r="C521" s="8"/>
      <c r="D521" s="3" t="s">
        <v>16</v>
      </c>
      <c r="E521" s="55">
        <v>232562</v>
      </c>
      <c r="F521" s="30">
        <v>0.14000000000000001</v>
      </c>
      <c r="G521" s="6">
        <f t="shared" si="172"/>
        <v>32558.6</v>
      </c>
      <c r="H521" s="30">
        <v>0.16</v>
      </c>
      <c r="I521" s="6">
        <f t="shared" si="173"/>
        <v>37209.9</v>
      </c>
      <c r="J521" s="30">
        <v>0.18</v>
      </c>
      <c r="K521" s="6">
        <f t="shared" si="174"/>
        <v>41861.1</v>
      </c>
    </row>
    <row r="522" spans="2:11" ht="12.95" customHeight="1" x14ac:dyDescent="0.3">
      <c r="B522" s="13" t="s">
        <v>23</v>
      </c>
      <c r="C522" s="8"/>
      <c r="D522" s="3" t="s">
        <v>16</v>
      </c>
      <c r="E522" s="55">
        <v>226122</v>
      </c>
      <c r="F522" s="30">
        <v>7.0000000000000007E-2</v>
      </c>
      <c r="G522" s="6">
        <f t="shared" si="172"/>
        <v>15828.5</v>
      </c>
      <c r="H522" s="30">
        <v>0.08</v>
      </c>
      <c r="I522" s="6">
        <f t="shared" si="173"/>
        <v>18089.7</v>
      </c>
      <c r="J522" s="30">
        <v>0.09</v>
      </c>
      <c r="K522" s="6">
        <f t="shared" si="174"/>
        <v>20350.900000000001</v>
      </c>
    </row>
    <row r="523" spans="2:11" ht="12.95" customHeight="1" x14ac:dyDescent="0.3">
      <c r="B523" s="13" t="s">
        <v>0</v>
      </c>
      <c r="C523" s="8"/>
      <c r="D523" s="3" t="s">
        <v>16</v>
      </c>
      <c r="E523" s="55">
        <v>172068</v>
      </c>
      <c r="F523" s="30">
        <v>0.14000000000000001</v>
      </c>
      <c r="G523" s="6">
        <f t="shared" si="172"/>
        <v>24089.5</v>
      </c>
      <c r="H523" s="30">
        <v>0.16</v>
      </c>
      <c r="I523" s="6">
        <f t="shared" si="173"/>
        <v>27530.799999999999</v>
      </c>
      <c r="J523" s="30">
        <v>0.18</v>
      </c>
      <c r="K523" s="6">
        <f t="shared" si="174"/>
        <v>30972.2</v>
      </c>
    </row>
    <row r="524" spans="2:11" ht="12.95" customHeight="1" x14ac:dyDescent="0.3">
      <c r="B524" s="32" t="s">
        <v>9</v>
      </c>
      <c r="C524" s="32" t="s">
        <v>114</v>
      </c>
      <c r="D524" s="42" t="s">
        <v>22</v>
      </c>
      <c r="E524" s="55">
        <v>58925</v>
      </c>
      <c r="F524" s="30">
        <v>0.54</v>
      </c>
      <c r="G524" s="6">
        <f t="shared" si="172"/>
        <v>31819.5</v>
      </c>
      <c r="H524" s="30">
        <v>0.64</v>
      </c>
      <c r="I524" s="6">
        <f t="shared" si="173"/>
        <v>37712</v>
      </c>
      <c r="J524" s="30">
        <v>0.72</v>
      </c>
      <c r="K524" s="6">
        <f t="shared" si="174"/>
        <v>42426</v>
      </c>
    </row>
    <row r="525" spans="2:11" ht="12.95" customHeight="1" x14ac:dyDescent="0.3">
      <c r="B525" s="21" t="s">
        <v>18</v>
      </c>
      <c r="C525" s="40"/>
      <c r="D525" s="40"/>
      <c r="E525" s="44"/>
      <c r="F525" s="47" t="s">
        <v>43</v>
      </c>
      <c r="G525" s="43">
        <f>TRUNC(SUM(G519:G524))</f>
        <v>148162</v>
      </c>
      <c r="H525" s="47" t="s">
        <v>43</v>
      </c>
      <c r="I525" s="43">
        <f>TRUNC(SUM(I519:I524))</f>
        <v>172361</v>
      </c>
      <c r="J525" s="47" t="s">
        <v>43</v>
      </c>
      <c r="K525" s="43">
        <f>TRUNC(SUM(K519:K524))</f>
        <v>192431</v>
      </c>
    </row>
    <row r="526" spans="2:11" ht="12.95" customHeight="1" x14ac:dyDescent="0.3">
      <c r="B526" s="39"/>
      <c r="C526" s="40"/>
      <c r="D526" s="40"/>
      <c r="E526" s="44"/>
      <c r="F526" s="47"/>
      <c r="G526" s="34"/>
      <c r="H526" s="47"/>
      <c r="I526" s="34"/>
      <c r="J526" s="47"/>
      <c r="K526" s="34"/>
    </row>
    <row r="527" spans="2:11" ht="12.95" customHeight="1" x14ac:dyDescent="0.3">
      <c r="B527" s="32" t="s">
        <v>9</v>
      </c>
      <c r="C527" s="32" t="s">
        <v>114</v>
      </c>
      <c r="D527" s="42" t="s">
        <v>22</v>
      </c>
      <c r="E527" s="55">
        <v>157250</v>
      </c>
      <c r="F527" s="30">
        <v>0.54</v>
      </c>
      <c r="G527" s="6">
        <f t="shared" ref="G527" si="175">TRUNC($E527*F527,1)</f>
        <v>84915</v>
      </c>
      <c r="H527" s="30">
        <v>0.64</v>
      </c>
      <c r="I527" s="6">
        <f t="shared" ref="I527" si="176">TRUNC($E527*H527,1)</f>
        <v>100640</v>
      </c>
      <c r="J527" s="30">
        <v>0.72</v>
      </c>
      <c r="K527" s="6">
        <f t="shared" ref="K527" si="177">TRUNC($E527*J527,1)</f>
        <v>113220</v>
      </c>
    </row>
    <row r="528" spans="2:11" ht="12.95" customHeight="1" x14ac:dyDescent="0.3">
      <c r="B528" s="24" t="s">
        <v>19</v>
      </c>
      <c r="C528" s="40"/>
      <c r="D528" s="40"/>
      <c r="E528" s="33"/>
      <c r="F528" s="35" t="s">
        <v>43</v>
      </c>
      <c r="G528" s="43">
        <f>TRUNC(SUM(G527:G527))</f>
        <v>84915</v>
      </c>
      <c r="H528" s="35" t="s">
        <v>43</v>
      </c>
      <c r="I528" s="43">
        <f>TRUNC(SUM(I527:I527))</f>
        <v>100640</v>
      </c>
      <c r="J528" s="35"/>
      <c r="K528" s="43">
        <f>TRUNC(SUM(K527:K527))</f>
        <v>113220</v>
      </c>
    </row>
    <row r="529" spans="2:11" ht="12.95" customHeight="1" x14ac:dyDescent="0.3">
      <c r="B529" s="11"/>
      <c r="C529" s="32"/>
      <c r="D529" s="32"/>
      <c r="E529" s="36"/>
      <c r="F529" s="30"/>
      <c r="G529" s="31"/>
      <c r="H529" s="30"/>
      <c r="I529" s="31"/>
      <c r="J529" s="30"/>
      <c r="K529" s="31"/>
    </row>
    <row r="530" spans="2:11" ht="12.95" customHeight="1" x14ac:dyDescent="0.3">
      <c r="B530" s="12" t="s">
        <v>20</v>
      </c>
      <c r="C530" s="41"/>
      <c r="D530" s="41"/>
      <c r="E530" s="37"/>
      <c r="F530" s="37"/>
      <c r="G530" s="38">
        <f>SUM(G517+G525+G528)</f>
        <v>281243</v>
      </c>
      <c r="H530" s="37"/>
      <c r="I530" s="38">
        <f>SUM(I517+I525+I528)</f>
        <v>330087</v>
      </c>
      <c r="J530" s="37"/>
      <c r="K530" s="38">
        <f>SUM(K517+K525+K528)</f>
        <v>369872</v>
      </c>
    </row>
    <row r="531" spans="2:11" ht="12.95" customHeight="1" x14ac:dyDescent="0.3">
      <c r="B531" s="79" t="s">
        <v>10</v>
      </c>
      <c r="C531" s="81" t="s">
        <v>21</v>
      </c>
      <c r="D531" s="73" t="s">
        <v>15</v>
      </c>
      <c r="E531" s="83" t="s">
        <v>11</v>
      </c>
      <c r="F531" s="77" t="s">
        <v>122</v>
      </c>
      <c r="G531" s="78"/>
      <c r="H531" s="78"/>
      <c r="I531" s="78"/>
      <c r="J531" s="78"/>
      <c r="K531" s="78"/>
    </row>
    <row r="532" spans="2:11" ht="12.95" customHeight="1" x14ac:dyDescent="0.3">
      <c r="B532" s="85"/>
      <c r="C532" s="86"/>
      <c r="D532" s="87"/>
      <c r="E532" s="88"/>
      <c r="F532" s="77" t="s">
        <v>118</v>
      </c>
      <c r="G532" s="78"/>
      <c r="H532" s="77" t="s">
        <v>119</v>
      </c>
      <c r="I532" s="78"/>
      <c r="J532" s="77" t="s">
        <v>120</v>
      </c>
      <c r="K532" s="78"/>
    </row>
    <row r="533" spans="2:11" ht="12.95" customHeight="1" x14ac:dyDescent="0.3">
      <c r="B533" s="80"/>
      <c r="C533" s="82"/>
      <c r="D533" s="74"/>
      <c r="E533" s="84"/>
      <c r="F533" s="51" t="s">
        <v>12</v>
      </c>
      <c r="G533" s="52" t="s">
        <v>13</v>
      </c>
      <c r="H533" s="51" t="s">
        <v>12</v>
      </c>
      <c r="I533" s="52" t="s">
        <v>13</v>
      </c>
      <c r="J533" s="51" t="s">
        <v>12</v>
      </c>
      <c r="K533" s="52" t="s">
        <v>13</v>
      </c>
    </row>
    <row r="534" spans="2:11" ht="12.95" customHeight="1" x14ac:dyDescent="0.3">
      <c r="B534" s="32" t="s">
        <v>112</v>
      </c>
      <c r="C534" s="32"/>
      <c r="D534" s="42" t="s">
        <v>33</v>
      </c>
      <c r="E534" s="54">
        <v>0</v>
      </c>
      <c r="F534" s="56">
        <v>4.3999999999999997E-2</v>
      </c>
      <c r="G534" s="6">
        <f t="shared" ref="G534:G536" si="178">TRUNC($E534*F534,1)</f>
        <v>0</v>
      </c>
      <c r="H534" s="56">
        <v>4.3999999999999997E-2</v>
      </c>
      <c r="I534" s="6">
        <f t="shared" ref="I534:I536" si="179">TRUNC($E534*H534,1)</f>
        <v>0</v>
      </c>
      <c r="J534" s="56">
        <v>4.3999999999999997E-2</v>
      </c>
      <c r="K534" s="6">
        <f t="shared" ref="K534:K536" si="180">TRUNC($E534*J534,1)</f>
        <v>0</v>
      </c>
    </row>
    <row r="535" spans="2:11" ht="12.95" customHeight="1" x14ac:dyDescent="0.3">
      <c r="B535" s="32" t="s">
        <v>113</v>
      </c>
      <c r="C535" s="32"/>
      <c r="D535" s="42" t="s">
        <v>95</v>
      </c>
      <c r="E535" s="54">
        <v>0</v>
      </c>
      <c r="F535" s="30">
        <v>1.43</v>
      </c>
      <c r="G535" s="6">
        <f t="shared" si="178"/>
        <v>0</v>
      </c>
      <c r="H535" s="30">
        <v>1.6</v>
      </c>
      <c r="I535" s="6">
        <f t="shared" si="179"/>
        <v>0</v>
      </c>
      <c r="J535" s="30">
        <v>1.78</v>
      </c>
      <c r="K535" s="6">
        <f t="shared" si="180"/>
        <v>0</v>
      </c>
    </row>
    <row r="536" spans="2:11" ht="12.95" customHeight="1" x14ac:dyDescent="0.3">
      <c r="B536" s="32" t="s">
        <v>9</v>
      </c>
      <c r="C536" s="32" t="s">
        <v>114</v>
      </c>
      <c r="D536" s="42" t="s">
        <v>22</v>
      </c>
      <c r="E536" s="55">
        <v>89197</v>
      </c>
      <c r="F536" s="30">
        <v>0.82</v>
      </c>
      <c r="G536" s="6">
        <f t="shared" si="178"/>
        <v>73141.5</v>
      </c>
      <c r="H536" s="30">
        <v>0.91</v>
      </c>
      <c r="I536" s="6">
        <f t="shared" si="179"/>
        <v>81169.2</v>
      </c>
      <c r="J536" s="30">
        <v>1</v>
      </c>
      <c r="K536" s="6">
        <f t="shared" si="180"/>
        <v>89197</v>
      </c>
    </row>
    <row r="537" spans="2:11" ht="12.95" customHeight="1" x14ac:dyDescent="0.3">
      <c r="B537" s="24" t="s">
        <v>17</v>
      </c>
      <c r="C537" s="40"/>
      <c r="D537" s="40"/>
      <c r="E537" s="44"/>
      <c r="F537" s="47"/>
      <c r="G537" s="43">
        <f>TRUNC(SUM(G534:G536))</f>
        <v>73141</v>
      </c>
      <c r="H537" s="47" t="s">
        <v>43</v>
      </c>
      <c r="I537" s="43">
        <f>TRUNC(SUM(I534:I536))</f>
        <v>81169</v>
      </c>
      <c r="J537" s="47" t="s">
        <v>43</v>
      </c>
      <c r="K537" s="43">
        <f>TRUNC(SUM(K534:K536))</f>
        <v>89197</v>
      </c>
    </row>
    <row r="538" spans="2:11" ht="12.95" customHeight="1" x14ac:dyDescent="0.3">
      <c r="B538" s="39"/>
      <c r="C538" s="40"/>
      <c r="D538" s="40"/>
      <c r="E538" s="44"/>
      <c r="F538" s="47"/>
      <c r="G538" s="34"/>
      <c r="H538" s="47"/>
      <c r="I538" s="34"/>
      <c r="J538" s="47"/>
      <c r="K538" s="34"/>
    </row>
    <row r="539" spans="2:11" ht="12.95" customHeight="1" x14ac:dyDescent="0.3">
      <c r="B539" s="13" t="s">
        <v>3</v>
      </c>
      <c r="C539" s="8"/>
      <c r="D539" s="3" t="s">
        <v>16</v>
      </c>
      <c r="E539" s="55">
        <v>295138</v>
      </c>
      <c r="F539" s="30">
        <v>0.05</v>
      </c>
      <c r="G539" s="6">
        <f t="shared" ref="G539:G544" si="181">TRUNC($E539*F539,1)</f>
        <v>14756.9</v>
      </c>
      <c r="H539" s="30">
        <v>0.05</v>
      </c>
      <c r="I539" s="6">
        <f t="shared" ref="I539:I544" si="182">TRUNC($E539*H539,1)</f>
        <v>14756.9</v>
      </c>
      <c r="J539" s="30">
        <v>0.06</v>
      </c>
      <c r="K539" s="6">
        <f t="shared" ref="K539:K544" si="183">TRUNC($E539*J539,1)</f>
        <v>17708.2</v>
      </c>
    </row>
    <row r="540" spans="2:11" ht="12.95" customHeight="1" x14ac:dyDescent="0.3">
      <c r="B540" s="13" t="s">
        <v>7</v>
      </c>
      <c r="C540" s="8"/>
      <c r="D540" s="3" t="s">
        <v>16</v>
      </c>
      <c r="E540" s="55">
        <v>250087</v>
      </c>
      <c r="F540" s="30">
        <v>0.21</v>
      </c>
      <c r="G540" s="6">
        <f t="shared" si="181"/>
        <v>52518.2</v>
      </c>
      <c r="H540" s="30">
        <v>0.23</v>
      </c>
      <c r="I540" s="6">
        <f t="shared" si="182"/>
        <v>57520</v>
      </c>
      <c r="J540" s="30">
        <v>0.25</v>
      </c>
      <c r="K540" s="6">
        <f t="shared" si="183"/>
        <v>62521.7</v>
      </c>
    </row>
    <row r="541" spans="2:11" ht="12.95" customHeight="1" x14ac:dyDescent="0.3">
      <c r="B541" s="13" t="s">
        <v>28</v>
      </c>
      <c r="C541" s="8"/>
      <c r="D541" s="3" t="s">
        <v>16</v>
      </c>
      <c r="E541" s="55">
        <v>232562</v>
      </c>
      <c r="F541" s="30">
        <v>0.21</v>
      </c>
      <c r="G541" s="6">
        <f t="shared" si="181"/>
        <v>48838</v>
      </c>
      <c r="H541" s="30">
        <v>0.23</v>
      </c>
      <c r="I541" s="6">
        <f t="shared" si="182"/>
        <v>53489.2</v>
      </c>
      <c r="J541" s="30">
        <v>0.25</v>
      </c>
      <c r="K541" s="6">
        <f t="shared" si="183"/>
        <v>58140.5</v>
      </c>
    </row>
    <row r="542" spans="2:11" ht="12.95" customHeight="1" x14ac:dyDescent="0.3">
      <c r="B542" s="13" t="s">
        <v>23</v>
      </c>
      <c r="C542" s="8"/>
      <c r="D542" s="3" t="s">
        <v>16</v>
      </c>
      <c r="E542" s="55">
        <v>226122</v>
      </c>
      <c r="F542" s="30">
        <v>0.1</v>
      </c>
      <c r="G542" s="6">
        <f t="shared" si="181"/>
        <v>22612.2</v>
      </c>
      <c r="H542" s="30">
        <v>0.11</v>
      </c>
      <c r="I542" s="6">
        <f t="shared" si="182"/>
        <v>24873.4</v>
      </c>
      <c r="J542" s="30">
        <v>0.12</v>
      </c>
      <c r="K542" s="6">
        <f t="shared" si="183"/>
        <v>27134.6</v>
      </c>
    </row>
    <row r="543" spans="2:11" ht="12.95" customHeight="1" x14ac:dyDescent="0.3">
      <c r="B543" s="13" t="s">
        <v>0</v>
      </c>
      <c r="C543" s="8"/>
      <c r="D543" s="3" t="s">
        <v>16</v>
      </c>
      <c r="E543" s="55">
        <v>172068</v>
      </c>
      <c r="F543" s="30">
        <v>0.21</v>
      </c>
      <c r="G543" s="6">
        <f t="shared" si="181"/>
        <v>36134.199999999997</v>
      </c>
      <c r="H543" s="30">
        <v>0.23</v>
      </c>
      <c r="I543" s="6">
        <f t="shared" si="182"/>
        <v>39575.599999999999</v>
      </c>
      <c r="J543" s="30">
        <v>0.25</v>
      </c>
      <c r="K543" s="6">
        <f t="shared" si="183"/>
        <v>43017</v>
      </c>
    </row>
    <row r="544" spans="2:11" ht="12.95" customHeight="1" x14ac:dyDescent="0.3">
      <c r="B544" s="32" t="s">
        <v>9</v>
      </c>
      <c r="C544" s="32" t="s">
        <v>114</v>
      </c>
      <c r="D544" s="42" t="s">
        <v>22</v>
      </c>
      <c r="E544" s="55">
        <v>58925</v>
      </c>
      <c r="F544" s="30">
        <v>0.82</v>
      </c>
      <c r="G544" s="6">
        <f t="shared" si="181"/>
        <v>48318.5</v>
      </c>
      <c r="H544" s="30">
        <v>0.91</v>
      </c>
      <c r="I544" s="6">
        <f t="shared" si="182"/>
        <v>53621.7</v>
      </c>
      <c r="J544" s="30">
        <v>1</v>
      </c>
      <c r="K544" s="6">
        <f t="shared" si="183"/>
        <v>58925</v>
      </c>
    </row>
    <row r="545" spans="2:11" ht="12.95" customHeight="1" x14ac:dyDescent="0.3">
      <c r="B545" s="21" t="s">
        <v>18</v>
      </c>
      <c r="C545" s="40"/>
      <c r="D545" s="40"/>
      <c r="E545" s="44"/>
      <c r="F545" s="47" t="s">
        <v>43</v>
      </c>
      <c r="G545" s="43">
        <f>TRUNC(SUM(G539:G544))</f>
        <v>223178</v>
      </c>
      <c r="H545" s="47" t="s">
        <v>43</v>
      </c>
      <c r="I545" s="43">
        <f>TRUNC(SUM(I539:I544))</f>
        <v>243836</v>
      </c>
      <c r="J545" s="47" t="s">
        <v>43</v>
      </c>
      <c r="K545" s="43">
        <f>TRUNC(SUM(K539:K544))</f>
        <v>267447</v>
      </c>
    </row>
    <row r="546" spans="2:11" ht="12.95" customHeight="1" x14ac:dyDescent="0.3">
      <c r="B546" s="39"/>
      <c r="C546" s="40"/>
      <c r="D546" s="40"/>
      <c r="E546" s="44"/>
      <c r="F546" s="47"/>
      <c r="G546" s="34"/>
      <c r="H546" s="47"/>
      <c r="I546" s="34"/>
      <c r="J546" s="47"/>
      <c r="K546" s="34"/>
    </row>
    <row r="547" spans="2:11" ht="12.95" customHeight="1" x14ac:dyDescent="0.3">
      <c r="B547" s="32" t="s">
        <v>9</v>
      </c>
      <c r="C547" s="32" t="s">
        <v>114</v>
      </c>
      <c r="D547" s="42" t="s">
        <v>22</v>
      </c>
      <c r="E547" s="55">
        <v>157250</v>
      </c>
      <c r="F547" s="30">
        <v>0.82</v>
      </c>
      <c r="G547" s="6">
        <f t="shared" ref="G547" si="184">TRUNC($E547*F547,1)</f>
        <v>128945</v>
      </c>
      <c r="H547" s="30">
        <v>0.91</v>
      </c>
      <c r="I547" s="6">
        <f t="shared" ref="I547" si="185">TRUNC($E547*H547,1)</f>
        <v>143097.5</v>
      </c>
      <c r="J547" s="30">
        <v>1</v>
      </c>
      <c r="K547" s="6">
        <f t="shared" ref="K547" si="186">TRUNC($E547*J547,1)</f>
        <v>157250</v>
      </c>
    </row>
    <row r="548" spans="2:11" ht="12.95" customHeight="1" x14ac:dyDescent="0.3">
      <c r="B548" s="24" t="s">
        <v>19</v>
      </c>
      <c r="C548" s="40"/>
      <c r="D548" s="40"/>
      <c r="E548" s="33"/>
      <c r="F548" s="35" t="s">
        <v>43</v>
      </c>
      <c r="G548" s="43">
        <f>TRUNC(SUM(G547:G547))</f>
        <v>128945</v>
      </c>
      <c r="H548" s="35"/>
      <c r="I548" s="43">
        <f>TRUNC(SUM(I547:I547))</f>
        <v>143097</v>
      </c>
      <c r="J548" s="35" t="s">
        <v>43</v>
      </c>
      <c r="K548" s="43">
        <f>TRUNC(SUM(K547:K547))</f>
        <v>157250</v>
      </c>
    </row>
    <row r="549" spans="2:11" ht="12.95" customHeight="1" x14ac:dyDescent="0.3">
      <c r="B549" s="11"/>
      <c r="C549" s="32"/>
      <c r="D549" s="32"/>
      <c r="E549" s="36"/>
      <c r="F549" s="30"/>
      <c r="G549" s="31"/>
      <c r="H549" s="30"/>
      <c r="I549" s="31"/>
      <c r="J549" s="30"/>
      <c r="K549" s="31"/>
    </row>
    <row r="550" spans="2:11" ht="12.95" customHeight="1" x14ac:dyDescent="0.3">
      <c r="B550" s="12" t="s">
        <v>20</v>
      </c>
      <c r="C550" s="41"/>
      <c r="D550" s="41"/>
      <c r="E550" s="37"/>
      <c r="F550" s="37"/>
      <c r="G550" s="38">
        <f>SUM(G537+G545+G548)</f>
        <v>425264</v>
      </c>
      <c r="H550" s="37"/>
      <c r="I550" s="38">
        <f>SUM(I537+I545+I548)</f>
        <v>468102</v>
      </c>
      <c r="J550" s="37"/>
      <c r="K550" s="38">
        <f>SUM(K537+K545+K548)</f>
        <v>513894</v>
      </c>
    </row>
    <row r="551" spans="2:11" ht="12.95" customHeight="1" x14ac:dyDescent="0.3">
      <c r="B551" s="79" t="s">
        <v>10</v>
      </c>
      <c r="C551" s="81" t="s">
        <v>21</v>
      </c>
      <c r="D551" s="73" t="s">
        <v>15</v>
      </c>
      <c r="E551" s="83" t="s">
        <v>11</v>
      </c>
      <c r="F551" s="77" t="s">
        <v>126</v>
      </c>
      <c r="G551" s="78"/>
      <c r="H551" s="78"/>
      <c r="I551" s="78"/>
      <c r="J551" s="78"/>
      <c r="K551" s="78"/>
    </row>
    <row r="552" spans="2:11" ht="12.95" customHeight="1" x14ac:dyDescent="0.3">
      <c r="B552" s="85"/>
      <c r="C552" s="86"/>
      <c r="D552" s="87"/>
      <c r="E552" s="88"/>
      <c r="F552" s="77" t="s">
        <v>109</v>
      </c>
      <c r="G552" s="78"/>
      <c r="H552" s="77" t="s">
        <v>110</v>
      </c>
      <c r="I552" s="78"/>
      <c r="J552" s="77" t="s">
        <v>111</v>
      </c>
      <c r="K552" s="78"/>
    </row>
    <row r="553" spans="2:11" ht="12.95" customHeight="1" x14ac:dyDescent="0.3">
      <c r="B553" s="80"/>
      <c r="C553" s="82"/>
      <c r="D553" s="74"/>
      <c r="E553" s="84"/>
      <c r="F553" s="51" t="s">
        <v>12</v>
      </c>
      <c r="G553" s="52" t="s">
        <v>13</v>
      </c>
      <c r="H553" s="51" t="s">
        <v>12</v>
      </c>
      <c r="I553" s="52" t="s">
        <v>13</v>
      </c>
      <c r="J553" s="51" t="s">
        <v>12</v>
      </c>
      <c r="K553" s="52" t="s">
        <v>13</v>
      </c>
    </row>
    <row r="554" spans="2:11" ht="12.95" customHeight="1" x14ac:dyDescent="0.3">
      <c r="B554" s="32" t="s">
        <v>123</v>
      </c>
      <c r="C554" s="32"/>
      <c r="D554" s="42" t="s">
        <v>33</v>
      </c>
      <c r="E554" s="54">
        <v>0</v>
      </c>
      <c r="F554" s="66">
        <v>4.0000000000000002E-4</v>
      </c>
      <c r="G554" s="6">
        <f t="shared" ref="G554:G557" si="187">TRUNC($E554*F554,1)</f>
        <v>0</v>
      </c>
      <c r="H554" s="66">
        <v>4.0000000000000002E-4</v>
      </c>
      <c r="I554" s="6">
        <f t="shared" ref="I554:I557" si="188">TRUNC($E554*H554,1)</f>
        <v>0</v>
      </c>
      <c r="J554" s="66">
        <v>4.0000000000000002E-4</v>
      </c>
      <c r="K554" s="6">
        <f t="shared" ref="K554:K557" si="189">TRUNC($E554*J554,1)</f>
        <v>0</v>
      </c>
    </row>
    <row r="555" spans="2:11" ht="12.95" customHeight="1" x14ac:dyDescent="0.3">
      <c r="B555" s="32" t="s">
        <v>124</v>
      </c>
      <c r="C555" s="32"/>
      <c r="D555" s="42" t="s">
        <v>33</v>
      </c>
      <c r="E555" s="54">
        <v>0</v>
      </c>
      <c r="F555" s="66">
        <v>1.8E-3</v>
      </c>
      <c r="G555" s="6">
        <f t="shared" si="187"/>
        <v>0</v>
      </c>
      <c r="H555" s="66">
        <v>1.8E-3</v>
      </c>
      <c r="I555" s="6">
        <f t="shared" si="188"/>
        <v>0</v>
      </c>
      <c r="J555" s="66">
        <v>1.8E-3</v>
      </c>
      <c r="K555" s="6">
        <f t="shared" si="189"/>
        <v>0</v>
      </c>
    </row>
    <row r="556" spans="2:11" ht="12.95" customHeight="1" x14ac:dyDescent="0.3">
      <c r="B556" s="32" t="s">
        <v>125</v>
      </c>
      <c r="C556" s="32"/>
      <c r="D556" s="42" t="s">
        <v>75</v>
      </c>
      <c r="E556" s="54">
        <v>0</v>
      </c>
      <c r="F556" s="30">
        <v>0.1</v>
      </c>
      <c r="G556" s="6">
        <f t="shared" si="187"/>
        <v>0</v>
      </c>
      <c r="H556" s="30">
        <v>0.19</v>
      </c>
      <c r="I556" s="6">
        <f t="shared" si="188"/>
        <v>0</v>
      </c>
      <c r="J556" s="30">
        <v>0.38</v>
      </c>
      <c r="K556" s="6">
        <f t="shared" si="189"/>
        <v>0</v>
      </c>
    </row>
    <row r="557" spans="2:11" ht="12.95" customHeight="1" x14ac:dyDescent="0.3">
      <c r="B557" s="32" t="s">
        <v>9</v>
      </c>
      <c r="C557" s="32" t="s">
        <v>114</v>
      </c>
      <c r="D557" s="42" t="s">
        <v>22</v>
      </c>
      <c r="E557" s="55">
        <v>89197</v>
      </c>
      <c r="F557" s="30">
        <v>0.13</v>
      </c>
      <c r="G557" s="6">
        <f t="shared" si="187"/>
        <v>11595.6</v>
      </c>
      <c r="H557" s="30">
        <v>0.14000000000000001</v>
      </c>
      <c r="I557" s="6">
        <f t="shared" si="188"/>
        <v>12487.5</v>
      </c>
      <c r="J557" s="30">
        <v>0.19</v>
      </c>
      <c r="K557" s="6">
        <f t="shared" si="189"/>
        <v>16947.400000000001</v>
      </c>
    </row>
    <row r="558" spans="2:11" ht="12.95" customHeight="1" x14ac:dyDescent="0.3">
      <c r="B558" s="24" t="s">
        <v>17</v>
      </c>
      <c r="C558" s="40"/>
      <c r="D558" s="40"/>
      <c r="E558" s="44"/>
      <c r="F558" s="47" t="s">
        <v>43</v>
      </c>
      <c r="G558" s="43">
        <f>TRUNC(SUM(G554:G557))</f>
        <v>11595</v>
      </c>
      <c r="H558" s="47"/>
      <c r="I558" s="43">
        <f>TRUNC(SUM(I554:I557))</f>
        <v>12487</v>
      </c>
      <c r="J558" s="47" t="s">
        <v>43</v>
      </c>
      <c r="K558" s="43">
        <f>TRUNC(SUM(K554:K557))</f>
        <v>16947</v>
      </c>
    </row>
    <row r="559" spans="2:11" ht="12.95" customHeight="1" x14ac:dyDescent="0.3">
      <c r="B559" s="39"/>
      <c r="C559" s="40"/>
      <c r="D559" s="40"/>
      <c r="E559" s="44"/>
      <c r="F559" s="47"/>
      <c r="G559" s="34"/>
      <c r="H559" s="47"/>
      <c r="I559" s="34"/>
      <c r="J559" s="47"/>
      <c r="K559" s="34"/>
    </row>
    <row r="560" spans="2:11" ht="12.95" customHeight="1" x14ac:dyDescent="0.3">
      <c r="B560" s="13" t="s">
        <v>3</v>
      </c>
      <c r="C560" s="8"/>
      <c r="D560" s="3" t="s">
        <v>16</v>
      </c>
      <c r="E560" s="55">
        <v>295138</v>
      </c>
      <c r="F560" s="30">
        <v>0.01</v>
      </c>
      <c r="G560" s="6">
        <f t="shared" ref="G560:G565" si="190">TRUNC($E560*F560,1)</f>
        <v>2951.3</v>
      </c>
      <c r="H560" s="30">
        <v>0.01</v>
      </c>
      <c r="I560" s="6">
        <f t="shared" ref="I560:I565" si="191">TRUNC($E560*H560,1)</f>
        <v>2951.3</v>
      </c>
      <c r="J560" s="30">
        <v>0.01</v>
      </c>
      <c r="K560" s="6">
        <f t="shared" ref="K560:K565" si="192">TRUNC($E560*J560,1)</f>
        <v>2951.3</v>
      </c>
    </row>
    <row r="561" spans="2:11" ht="12.95" customHeight="1" x14ac:dyDescent="0.3">
      <c r="B561" s="13" t="s">
        <v>7</v>
      </c>
      <c r="C561" s="8"/>
      <c r="D561" s="3" t="s">
        <v>16</v>
      </c>
      <c r="E561" s="55">
        <v>250087</v>
      </c>
      <c r="F561" s="30">
        <v>0.03</v>
      </c>
      <c r="G561" s="6">
        <f t="shared" si="190"/>
        <v>7502.6</v>
      </c>
      <c r="H561" s="30">
        <v>0.04</v>
      </c>
      <c r="I561" s="6">
        <f t="shared" si="191"/>
        <v>10003.4</v>
      </c>
      <c r="J561" s="30">
        <v>0.05</v>
      </c>
      <c r="K561" s="6">
        <f t="shared" si="192"/>
        <v>12504.3</v>
      </c>
    </row>
    <row r="562" spans="2:11" ht="12.95" customHeight="1" x14ac:dyDescent="0.3">
      <c r="B562" s="13" t="s">
        <v>28</v>
      </c>
      <c r="C562" s="8"/>
      <c r="D562" s="3" t="s">
        <v>16</v>
      </c>
      <c r="E562" s="55">
        <v>232562</v>
      </c>
      <c r="F562" s="30">
        <v>0.03</v>
      </c>
      <c r="G562" s="6">
        <f t="shared" si="190"/>
        <v>6976.8</v>
      </c>
      <c r="H562" s="30">
        <v>0.04</v>
      </c>
      <c r="I562" s="6">
        <f t="shared" si="191"/>
        <v>9302.4</v>
      </c>
      <c r="J562" s="30">
        <v>0.05</v>
      </c>
      <c r="K562" s="6">
        <f t="shared" si="192"/>
        <v>11628.1</v>
      </c>
    </row>
    <row r="563" spans="2:11" ht="12.95" customHeight="1" x14ac:dyDescent="0.3">
      <c r="B563" s="13" t="s">
        <v>23</v>
      </c>
      <c r="C563" s="8"/>
      <c r="D563" s="3" t="s">
        <v>16</v>
      </c>
      <c r="E563" s="55">
        <v>226122</v>
      </c>
      <c r="F563" s="30">
        <v>0.02</v>
      </c>
      <c r="G563" s="6">
        <f t="shared" si="190"/>
        <v>4522.3999999999996</v>
      </c>
      <c r="H563" s="30">
        <v>0.02</v>
      </c>
      <c r="I563" s="6">
        <f t="shared" si="191"/>
        <v>4522.3999999999996</v>
      </c>
      <c r="J563" s="30">
        <v>0.02</v>
      </c>
      <c r="K563" s="6">
        <f t="shared" si="192"/>
        <v>4522.3999999999996</v>
      </c>
    </row>
    <row r="564" spans="2:11" ht="12.95" customHeight="1" x14ac:dyDescent="0.3">
      <c r="B564" s="13" t="s">
        <v>0</v>
      </c>
      <c r="C564" s="8"/>
      <c r="D564" s="3" t="s">
        <v>16</v>
      </c>
      <c r="E564" s="55">
        <v>172068</v>
      </c>
      <c r="F564" s="30">
        <v>0.03</v>
      </c>
      <c r="G564" s="6">
        <f t="shared" si="190"/>
        <v>5162</v>
      </c>
      <c r="H564" s="30">
        <v>0.04</v>
      </c>
      <c r="I564" s="6">
        <f t="shared" si="191"/>
        <v>6882.7</v>
      </c>
      <c r="J564" s="30">
        <v>0.05</v>
      </c>
      <c r="K564" s="6">
        <f t="shared" si="192"/>
        <v>8603.4</v>
      </c>
    </row>
    <row r="565" spans="2:11" ht="12.95" customHeight="1" x14ac:dyDescent="0.3">
      <c r="B565" s="32" t="s">
        <v>9</v>
      </c>
      <c r="C565" s="32" t="s">
        <v>114</v>
      </c>
      <c r="D565" s="42" t="s">
        <v>22</v>
      </c>
      <c r="E565" s="55">
        <v>58925</v>
      </c>
      <c r="F565" s="30">
        <v>0.13</v>
      </c>
      <c r="G565" s="6">
        <f t="shared" si="190"/>
        <v>7660.2</v>
      </c>
      <c r="H565" s="30">
        <v>0.14000000000000001</v>
      </c>
      <c r="I565" s="6">
        <f t="shared" si="191"/>
        <v>8249.5</v>
      </c>
      <c r="J565" s="30">
        <v>0.19</v>
      </c>
      <c r="K565" s="6">
        <f t="shared" si="192"/>
        <v>11195.7</v>
      </c>
    </row>
    <row r="566" spans="2:11" ht="12.95" customHeight="1" x14ac:dyDescent="0.3">
      <c r="B566" s="21" t="s">
        <v>18</v>
      </c>
      <c r="C566" s="40"/>
      <c r="D566" s="40"/>
      <c r="E566" s="44"/>
      <c r="F566" s="47" t="s">
        <v>43</v>
      </c>
      <c r="G566" s="43">
        <f>TRUNC(SUM(G560:G565))</f>
        <v>34775</v>
      </c>
      <c r="H566" s="47" t="s">
        <v>43</v>
      </c>
      <c r="I566" s="43">
        <f>TRUNC(SUM(I560:I565))</f>
        <v>41911</v>
      </c>
      <c r="J566" s="47" t="s">
        <v>43</v>
      </c>
      <c r="K566" s="43">
        <f>TRUNC(SUM(K560:K565))</f>
        <v>51405</v>
      </c>
    </row>
    <row r="567" spans="2:11" ht="12.95" customHeight="1" x14ac:dyDescent="0.3">
      <c r="B567" s="39"/>
      <c r="C567" s="40"/>
      <c r="D567" s="40"/>
      <c r="E567" s="44"/>
      <c r="F567" s="47"/>
      <c r="G567" s="34"/>
      <c r="H567" s="47"/>
      <c r="I567" s="34"/>
      <c r="J567" s="47"/>
      <c r="K567" s="34"/>
    </row>
    <row r="568" spans="2:11" ht="12.95" customHeight="1" x14ac:dyDescent="0.3">
      <c r="B568" s="32" t="s">
        <v>9</v>
      </c>
      <c r="C568" s="32" t="s">
        <v>114</v>
      </c>
      <c r="D568" s="42" t="s">
        <v>22</v>
      </c>
      <c r="E568" s="55">
        <v>157250</v>
      </c>
      <c r="F568" s="30">
        <v>0.13</v>
      </c>
      <c r="G568" s="6">
        <f t="shared" ref="G568" si="193">TRUNC($E568*F568,1)</f>
        <v>20442.5</v>
      </c>
      <c r="H568" s="30">
        <v>0.14000000000000001</v>
      </c>
      <c r="I568" s="6">
        <f t="shared" ref="I568" si="194">TRUNC($E568*H568,1)</f>
        <v>22015</v>
      </c>
      <c r="J568" s="30">
        <v>0.19</v>
      </c>
      <c r="K568" s="6">
        <f t="shared" ref="K568" si="195">TRUNC($E568*J568,1)</f>
        <v>29877.5</v>
      </c>
    </row>
    <row r="569" spans="2:11" ht="12.95" customHeight="1" x14ac:dyDescent="0.3">
      <c r="B569" s="24" t="s">
        <v>19</v>
      </c>
      <c r="C569" s="40"/>
      <c r="D569" s="40"/>
      <c r="E569" s="33"/>
      <c r="F569" s="35" t="s">
        <v>43</v>
      </c>
      <c r="G569" s="43">
        <f>TRUNC(SUM(G568:G568))</f>
        <v>20442</v>
      </c>
      <c r="H569" s="35"/>
      <c r="I569" s="43">
        <f>TRUNC(SUM(I568:I568))</f>
        <v>22015</v>
      </c>
      <c r="J569" s="35" t="s">
        <v>43</v>
      </c>
      <c r="K569" s="43">
        <f>TRUNC(SUM(K568:K568))</f>
        <v>29877</v>
      </c>
    </row>
    <row r="570" spans="2:11" ht="12.95" customHeight="1" x14ac:dyDescent="0.3">
      <c r="B570" s="11"/>
      <c r="C570" s="32"/>
      <c r="D570" s="32"/>
      <c r="E570" s="36"/>
      <c r="F570" s="30"/>
      <c r="G570" s="31"/>
      <c r="H570" s="30"/>
      <c r="I570" s="31"/>
      <c r="J570" s="30"/>
      <c r="K570" s="31"/>
    </row>
    <row r="571" spans="2:11" ht="12.95" customHeight="1" x14ac:dyDescent="0.3">
      <c r="B571" s="12" t="s">
        <v>20</v>
      </c>
      <c r="C571" s="41"/>
      <c r="D571" s="41"/>
      <c r="E571" s="37"/>
      <c r="F571" s="37"/>
      <c r="G571" s="38">
        <f>SUM(G558+G566+G569)</f>
        <v>66812</v>
      </c>
      <c r="H571" s="37"/>
      <c r="I571" s="38">
        <f>SUM(I558+I566+I569)</f>
        <v>76413</v>
      </c>
      <c r="J571" s="37"/>
      <c r="K571" s="38">
        <f>SUM(K558+K566+K569)</f>
        <v>98229</v>
      </c>
    </row>
    <row r="572" spans="2:11" ht="12.95" customHeight="1" x14ac:dyDescent="0.3">
      <c r="B572" s="79" t="s">
        <v>10</v>
      </c>
      <c r="C572" s="81" t="s">
        <v>21</v>
      </c>
      <c r="D572" s="73" t="s">
        <v>15</v>
      </c>
      <c r="E572" s="83" t="s">
        <v>11</v>
      </c>
      <c r="F572" s="77" t="s">
        <v>126</v>
      </c>
      <c r="G572" s="78"/>
      <c r="H572" s="78"/>
      <c r="I572" s="78"/>
      <c r="J572" s="78"/>
      <c r="K572" s="78"/>
    </row>
    <row r="573" spans="2:11" ht="12.95" customHeight="1" x14ac:dyDescent="0.3">
      <c r="B573" s="85"/>
      <c r="C573" s="86"/>
      <c r="D573" s="87"/>
      <c r="E573" s="88"/>
      <c r="F573" s="77" t="s">
        <v>115</v>
      </c>
      <c r="G573" s="78"/>
      <c r="H573" s="77" t="s">
        <v>116</v>
      </c>
      <c r="I573" s="78"/>
      <c r="J573" s="77" t="s">
        <v>117</v>
      </c>
      <c r="K573" s="78"/>
    </row>
    <row r="574" spans="2:11" ht="12.95" customHeight="1" x14ac:dyDescent="0.3">
      <c r="B574" s="80"/>
      <c r="C574" s="82"/>
      <c r="D574" s="74"/>
      <c r="E574" s="84"/>
      <c r="F574" s="51" t="s">
        <v>12</v>
      </c>
      <c r="G574" s="52" t="s">
        <v>13</v>
      </c>
      <c r="H574" s="51" t="s">
        <v>12</v>
      </c>
      <c r="I574" s="52" t="s">
        <v>13</v>
      </c>
      <c r="J574" s="51" t="s">
        <v>12</v>
      </c>
      <c r="K574" s="52" t="s">
        <v>13</v>
      </c>
    </row>
    <row r="575" spans="2:11" ht="12.95" customHeight="1" x14ac:dyDescent="0.3">
      <c r="B575" s="32" t="s">
        <v>123</v>
      </c>
      <c r="C575" s="32"/>
      <c r="D575" s="42" t="s">
        <v>33</v>
      </c>
      <c r="E575" s="54">
        <v>0</v>
      </c>
      <c r="F575" s="66">
        <v>4.0000000000000002E-4</v>
      </c>
      <c r="G575" s="6">
        <f t="shared" ref="G575:G578" si="196">TRUNC($E575*F575,1)</f>
        <v>0</v>
      </c>
      <c r="H575" s="66">
        <v>4.0000000000000002E-4</v>
      </c>
      <c r="I575" s="6">
        <f t="shared" ref="I575:I578" si="197">TRUNC($E575*H575,1)</f>
        <v>0</v>
      </c>
      <c r="J575" s="66">
        <v>4.0000000000000002E-4</v>
      </c>
      <c r="K575" s="6">
        <f t="shared" ref="K575:K578" si="198">TRUNC($E575*J575,1)</f>
        <v>0</v>
      </c>
    </row>
    <row r="576" spans="2:11" ht="12.95" customHeight="1" x14ac:dyDescent="0.3">
      <c r="B576" s="32" t="s">
        <v>124</v>
      </c>
      <c r="C576" s="32"/>
      <c r="D576" s="42" t="s">
        <v>33</v>
      </c>
      <c r="E576" s="54">
        <v>0</v>
      </c>
      <c r="F576" s="66">
        <v>1.8E-3</v>
      </c>
      <c r="G576" s="6">
        <f t="shared" si="196"/>
        <v>0</v>
      </c>
      <c r="H576" s="66">
        <v>1.8E-3</v>
      </c>
      <c r="I576" s="6">
        <f t="shared" si="197"/>
        <v>0</v>
      </c>
      <c r="J576" s="66">
        <v>1.8E-3</v>
      </c>
      <c r="K576" s="6">
        <f t="shared" si="198"/>
        <v>0</v>
      </c>
    </row>
    <row r="577" spans="2:11" ht="12.95" customHeight="1" x14ac:dyDescent="0.3">
      <c r="B577" s="32" t="s">
        <v>125</v>
      </c>
      <c r="C577" s="32"/>
      <c r="D577" s="42" t="s">
        <v>75</v>
      </c>
      <c r="E577" s="54">
        <v>0</v>
      </c>
      <c r="F577" s="30">
        <v>0.98</v>
      </c>
      <c r="G577" s="6">
        <f t="shared" si="196"/>
        <v>0</v>
      </c>
      <c r="H577" s="30">
        <v>2.11</v>
      </c>
      <c r="I577" s="6">
        <f t="shared" si="197"/>
        <v>0</v>
      </c>
      <c r="J577" s="30">
        <v>4.2</v>
      </c>
      <c r="K577" s="6">
        <f t="shared" si="198"/>
        <v>0</v>
      </c>
    </row>
    <row r="578" spans="2:11" ht="12.95" customHeight="1" x14ac:dyDescent="0.3">
      <c r="B578" s="32" t="s">
        <v>9</v>
      </c>
      <c r="C578" s="32" t="s">
        <v>114</v>
      </c>
      <c r="D578" s="42" t="s">
        <v>22</v>
      </c>
      <c r="E578" s="55">
        <v>89197</v>
      </c>
      <c r="F578" s="30">
        <v>0.27</v>
      </c>
      <c r="G578" s="6">
        <f t="shared" si="196"/>
        <v>24083.1</v>
      </c>
      <c r="H578" s="30">
        <v>0.38</v>
      </c>
      <c r="I578" s="6">
        <f t="shared" si="197"/>
        <v>33894.800000000003</v>
      </c>
      <c r="J578" s="30">
        <v>0.53</v>
      </c>
      <c r="K578" s="6">
        <f t="shared" si="198"/>
        <v>47274.400000000001</v>
      </c>
    </row>
    <row r="579" spans="2:11" ht="12.95" customHeight="1" x14ac:dyDescent="0.3">
      <c r="B579" s="24" t="s">
        <v>17</v>
      </c>
      <c r="C579" s="40"/>
      <c r="D579" s="40"/>
      <c r="E579" s="44"/>
      <c r="F579" s="47" t="s">
        <v>43</v>
      </c>
      <c r="G579" s="43">
        <f>TRUNC(SUM(G575:G578))</f>
        <v>24083</v>
      </c>
      <c r="H579" s="47" t="s">
        <v>43</v>
      </c>
      <c r="I579" s="43">
        <f>TRUNC(SUM(I575:I578))</f>
        <v>33894</v>
      </c>
      <c r="J579" s="47"/>
      <c r="K579" s="43">
        <f>TRUNC(SUM(K575:K578))</f>
        <v>47274</v>
      </c>
    </row>
    <row r="580" spans="2:11" ht="12.95" customHeight="1" x14ac:dyDescent="0.3">
      <c r="B580" s="39"/>
      <c r="C580" s="40"/>
      <c r="D580" s="40"/>
      <c r="E580" s="44"/>
      <c r="F580" s="47"/>
      <c r="G580" s="34"/>
      <c r="H580" s="47"/>
      <c r="I580" s="34"/>
      <c r="J580" s="47"/>
      <c r="K580" s="34"/>
    </row>
    <row r="581" spans="2:11" ht="12.95" customHeight="1" x14ac:dyDescent="0.3">
      <c r="B581" s="13" t="s">
        <v>3</v>
      </c>
      <c r="C581" s="8"/>
      <c r="D581" s="3" t="s">
        <v>16</v>
      </c>
      <c r="E581" s="55">
        <v>295138</v>
      </c>
      <c r="F581" s="30">
        <v>0.02</v>
      </c>
      <c r="G581" s="6">
        <f t="shared" ref="G581:G586" si="199">TRUNC($E581*F581,1)</f>
        <v>5902.7</v>
      </c>
      <c r="H581" s="30">
        <v>0.02</v>
      </c>
      <c r="I581" s="6">
        <f t="shared" ref="I581:I586" si="200">TRUNC($E581*H581,1)</f>
        <v>5902.7</v>
      </c>
      <c r="J581" s="30">
        <v>0.03</v>
      </c>
      <c r="K581" s="6">
        <f t="shared" ref="K581:K586" si="201">TRUNC($E581*J581,1)</f>
        <v>8854.1</v>
      </c>
    </row>
    <row r="582" spans="2:11" ht="12.95" customHeight="1" x14ac:dyDescent="0.3">
      <c r="B582" s="13" t="s">
        <v>7</v>
      </c>
      <c r="C582" s="8"/>
      <c r="D582" s="3" t="s">
        <v>16</v>
      </c>
      <c r="E582" s="55">
        <v>250087</v>
      </c>
      <c r="F582" s="30">
        <v>7.0000000000000007E-2</v>
      </c>
      <c r="G582" s="6">
        <f t="shared" si="199"/>
        <v>17506</v>
      </c>
      <c r="H582" s="30">
        <v>0.09</v>
      </c>
      <c r="I582" s="6">
        <f t="shared" si="200"/>
        <v>22507.8</v>
      </c>
      <c r="J582" s="30">
        <v>0.13</v>
      </c>
      <c r="K582" s="6">
        <f t="shared" si="201"/>
        <v>32511.3</v>
      </c>
    </row>
    <row r="583" spans="2:11" ht="12.95" customHeight="1" x14ac:dyDescent="0.3">
      <c r="B583" s="13" t="s">
        <v>28</v>
      </c>
      <c r="C583" s="8"/>
      <c r="D583" s="3" t="s">
        <v>16</v>
      </c>
      <c r="E583" s="55">
        <v>232562</v>
      </c>
      <c r="F583" s="30">
        <v>7.0000000000000007E-2</v>
      </c>
      <c r="G583" s="6">
        <f t="shared" si="199"/>
        <v>16279.3</v>
      </c>
      <c r="H583" s="30">
        <v>0.09</v>
      </c>
      <c r="I583" s="6">
        <f t="shared" si="200"/>
        <v>20930.5</v>
      </c>
      <c r="J583" s="30">
        <v>0.13</v>
      </c>
      <c r="K583" s="6">
        <f t="shared" si="201"/>
        <v>30233</v>
      </c>
    </row>
    <row r="584" spans="2:11" ht="12.95" customHeight="1" x14ac:dyDescent="0.3">
      <c r="B584" s="13" t="s">
        <v>23</v>
      </c>
      <c r="C584" s="8"/>
      <c r="D584" s="3" t="s">
        <v>16</v>
      </c>
      <c r="E584" s="55">
        <v>226122</v>
      </c>
      <c r="F584" s="30">
        <v>0.03</v>
      </c>
      <c r="G584" s="6">
        <f t="shared" si="199"/>
        <v>6783.6</v>
      </c>
      <c r="H584" s="30">
        <v>0.05</v>
      </c>
      <c r="I584" s="6">
        <f t="shared" si="200"/>
        <v>11306.1</v>
      </c>
      <c r="J584" s="30">
        <v>7.0000000000000007E-2</v>
      </c>
      <c r="K584" s="6">
        <f t="shared" si="201"/>
        <v>15828.5</v>
      </c>
    </row>
    <row r="585" spans="2:11" ht="12.95" customHeight="1" x14ac:dyDescent="0.3">
      <c r="B585" s="13" t="s">
        <v>0</v>
      </c>
      <c r="C585" s="8"/>
      <c r="D585" s="3" t="s">
        <v>16</v>
      </c>
      <c r="E585" s="55">
        <v>172068</v>
      </c>
      <c r="F585" s="30">
        <v>7.0000000000000007E-2</v>
      </c>
      <c r="G585" s="6">
        <f t="shared" si="199"/>
        <v>12044.7</v>
      </c>
      <c r="H585" s="30">
        <v>0.09</v>
      </c>
      <c r="I585" s="6">
        <f t="shared" si="200"/>
        <v>15486.1</v>
      </c>
      <c r="J585" s="30">
        <v>0.13</v>
      </c>
      <c r="K585" s="6">
        <f t="shared" si="201"/>
        <v>22368.799999999999</v>
      </c>
    </row>
    <row r="586" spans="2:11" ht="12.95" customHeight="1" x14ac:dyDescent="0.3">
      <c r="B586" s="32" t="s">
        <v>9</v>
      </c>
      <c r="C586" s="32" t="s">
        <v>114</v>
      </c>
      <c r="D586" s="42" t="s">
        <v>22</v>
      </c>
      <c r="E586" s="55">
        <v>58925</v>
      </c>
      <c r="F586" s="30">
        <v>0.27</v>
      </c>
      <c r="G586" s="6">
        <f t="shared" si="199"/>
        <v>15909.7</v>
      </c>
      <c r="H586" s="30">
        <v>0.38</v>
      </c>
      <c r="I586" s="6">
        <f t="shared" si="200"/>
        <v>22391.5</v>
      </c>
      <c r="J586" s="30">
        <v>0.53</v>
      </c>
      <c r="K586" s="6">
        <f t="shared" si="201"/>
        <v>31230.2</v>
      </c>
    </row>
    <row r="587" spans="2:11" ht="12.95" customHeight="1" x14ac:dyDescent="0.3">
      <c r="B587" s="21" t="s">
        <v>18</v>
      </c>
      <c r="C587" s="40"/>
      <c r="D587" s="40"/>
      <c r="E587" s="44"/>
      <c r="F587" s="47" t="s">
        <v>43</v>
      </c>
      <c r="G587" s="43">
        <f>TRUNC(SUM(G581:G586))</f>
        <v>74426</v>
      </c>
      <c r="H587" s="47" t="s">
        <v>43</v>
      </c>
      <c r="I587" s="43">
        <f>TRUNC(SUM(I581:I586))</f>
        <v>98524</v>
      </c>
      <c r="J587" s="47" t="s">
        <v>43</v>
      </c>
      <c r="K587" s="43">
        <f>TRUNC(SUM(K581:K586))</f>
        <v>141025</v>
      </c>
    </row>
    <row r="588" spans="2:11" ht="12.95" customHeight="1" x14ac:dyDescent="0.3">
      <c r="B588" s="39"/>
      <c r="C588" s="40"/>
      <c r="D588" s="40"/>
      <c r="E588" s="44"/>
      <c r="F588" s="47"/>
      <c r="G588" s="34"/>
      <c r="H588" s="47"/>
      <c r="I588" s="34"/>
      <c r="J588" s="47"/>
      <c r="K588" s="34"/>
    </row>
    <row r="589" spans="2:11" ht="12.95" customHeight="1" x14ac:dyDescent="0.3">
      <c r="B589" s="32" t="s">
        <v>9</v>
      </c>
      <c r="C589" s="32" t="s">
        <v>114</v>
      </c>
      <c r="D589" s="42" t="s">
        <v>22</v>
      </c>
      <c r="E589" s="55">
        <v>157250</v>
      </c>
      <c r="F589" s="30">
        <v>0.27</v>
      </c>
      <c r="G589" s="6">
        <f t="shared" ref="G589" si="202">TRUNC($E589*F589,1)</f>
        <v>42457.5</v>
      </c>
      <c r="H589" s="30">
        <v>0.38</v>
      </c>
      <c r="I589" s="6">
        <f t="shared" ref="I589" si="203">TRUNC($E589*H589,1)</f>
        <v>59755</v>
      </c>
      <c r="J589" s="30">
        <v>0.53</v>
      </c>
      <c r="K589" s="6">
        <f t="shared" ref="K589" si="204">TRUNC($E589*J589,1)</f>
        <v>83342.5</v>
      </c>
    </row>
    <row r="590" spans="2:11" ht="12.95" customHeight="1" x14ac:dyDescent="0.3">
      <c r="B590" s="24" t="s">
        <v>19</v>
      </c>
      <c r="C590" s="40"/>
      <c r="D590" s="40"/>
      <c r="E590" s="33"/>
      <c r="F590" s="35" t="s">
        <v>43</v>
      </c>
      <c r="G590" s="43">
        <f>TRUNC(SUM(G589:G589))</f>
        <v>42457</v>
      </c>
      <c r="H590" s="35" t="s">
        <v>43</v>
      </c>
      <c r="I590" s="43">
        <f>TRUNC(SUM(I589:I589))</f>
        <v>59755</v>
      </c>
      <c r="J590" s="35"/>
      <c r="K590" s="43">
        <f>TRUNC(SUM(K589:K589))</f>
        <v>83342</v>
      </c>
    </row>
    <row r="591" spans="2:11" ht="12.95" customHeight="1" x14ac:dyDescent="0.3">
      <c r="B591" s="11"/>
      <c r="C591" s="32"/>
      <c r="D591" s="32"/>
      <c r="E591" s="36"/>
      <c r="F591" s="30"/>
      <c r="G591" s="31"/>
      <c r="H591" s="30"/>
      <c r="I591" s="31"/>
      <c r="J591" s="30"/>
      <c r="K591" s="31"/>
    </row>
    <row r="592" spans="2:11" ht="12.95" customHeight="1" x14ac:dyDescent="0.3">
      <c r="B592" s="12" t="s">
        <v>20</v>
      </c>
      <c r="C592" s="41"/>
      <c r="D592" s="41"/>
      <c r="E592" s="37"/>
      <c r="F592" s="37"/>
      <c r="G592" s="38">
        <f>SUM(G579+G587+G590)</f>
        <v>140966</v>
      </c>
      <c r="H592" s="37"/>
      <c r="I592" s="38">
        <f>SUM(I579+I587+I590)</f>
        <v>192173</v>
      </c>
      <c r="J592" s="37"/>
      <c r="K592" s="38">
        <f>SUM(K579+K587+K590)</f>
        <v>271641</v>
      </c>
    </row>
    <row r="593" spans="2:11" ht="12.95" customHeight="1" x14ac:dyDescent="0.3">
      <c r="B593" s="79" t="s">
        <v>10</v>
      </c>
      <c r="C593" s="81" t="s">
        <v>21</v>
      </c>
      <c r="D593" s="73" t="s">
        <v>15</v>
      </c>
      <c r="E593" s="83" t="s">
        <v>11</v>
      </c>
      <c r="F593" s="77" t="s">
        <v>127</v>
      </c>
      <c r="G593" s="78"/>
      <c r="H593" s="78"/>
      <c r="I593" s="78"/>
      <c r="J593" s="78"/>
      <c r="K593" s="78"/>
    </row>
    <row r="594" spans="2:11" ht="12.95" customHeight="1" x14ac:dyDescent="0.3">
      <c r="B594" s="85"/>
      <c r="C594" s="86"/>
      <c r="D594" s="87"/>
      <c r="E594" s="88"/>
      <c r="F594" s="77" t="s">
        <v>109</v>
      </c>
      <c r="G594" s="78"/>
      <c r="H594" s="77" t="s">
        <v>110</v>
      </c>
      <c r="I594" s="78"/>
      <c r="J594" s="77" t="s">
        <v>111</v>
      </c>
      <c r="K594" s="78"/>
    </row>
    <row r="595" spans="2:11" ht="12.95" customHeight="1" x14ac:dyDescent="0.3">
      <c r="B595" s="80"/>
      <c r="C595" s="82"/>
      <c r="D595" s="74"/>
      <c r="E595" s="84"/>
      <c r="F595" s="51" t="s">
        <v>12</v>
      </c>
      <c r="G595" s="52" t="s">
        <v>13</v>
      </c>
      <c r="H595" s="51" t="s">
        <v>12</v>
      </c>
      <c r="I595" s="52" t="s">
        <v>13</v>
      </c>
      <c r="J595" s="51" t="s">
        <v>12</v>
      </c>
      <c r="K595" s="52" t="s">
        <v>13</v>
      </c>
    </row>
    <row r="596" spans="2:11" ht="12.95" customHeight="1" x14ac:dyDescent="0.3">
      <c r="B596" s="32" t="s">
        <v>123</v>
      </c>
      <c r="C596" s="32"/>
      <c r="D596" s="42" t="s">
        <v>33</v>
      </c>
      <c r="E596" s="54">
        <v>0</v>
      </c>
      <c r="F596" s="66">
        <v>1.1000000000000001E-3</v>
      </c>
      <c r="G596" s="6">
        <f t="shared" ref="G596:G599" si="205">TRUNC($E596*F596,1)</f>
        <v>0</v>
      </c>
      <c r="H596" s="66">
        <v>1.1000000000000001E-3</v>
      </c>
      <c r="I596" s="6">
        <f t="shared" ref="I596:I599" si="206">TRUNC($E596*H596,1)</f>
        <v>0</v>
      </c>
      <c r="J596" s="66">
        <v>1.1000000000000001E-3</v>
      </c>
      <c r="K596" s="6">
        <f t="shared" ref="K596:K599" si="207">TRUNC($E596*J596,1)</f>
        <v>0</v>
      </c>
    </row>
    <row r="597" spans="2:11" ht="12.95" customHeight="1" x14ac:dyDescent="0.3">
      <c r="B597" s="32" t="s">
        <v>124</v>
      </c>
      <c r="C597" s="32"/>
      <c r="D597" s="42" t="s">
        <v>33</v>
      </c>
      <c r="E597" s="54">
        <v>0</v>
      </c>
      <c r="F597" s="66">
        <v>4.3E-3</v>
      </c>
      <c r="G597" s="6">
        <f t="shared" si="205"/>
        <v>0</v>
      </c>
      <c r="H597" s="66">
        <v>4.3E-3</v>
      </c>
      <c r="I597" s="6">
        <f t="shared" si="206"/>
        <v>0</v>
      </c>
      <c r="J597" s="66">
        <v>4.3E-3</v>
      </c>
      <c r="K597" s="6">
        <f t="shared" si="207"/>
        <v>0</v>
      </c>
    </row>
    <row r="598" spans="2:11" ht="12.95" customHeight="1" x14ac:dyDescent="0.3">
      <c r="B598" s="32" t="s">
        <v>125</v>
      </c>
      <c r="C598" s="32"/>
      <c r="D598" s="42" t="s">
        <v>75</v>
      </c>
      <c r="E598" s="54">
        <v>0</v>
      </c>
      <c r="F598" s="30">
        <v>0.1</v>
      </c>
      <c r="G598" s="6">
        <f t="shared" si="205"/>
        <v>0</v>
      </c>
      <c r="H598" s="30">
        <v>0.24</v>
      </c>
      <c r="I598" s="6">
        <f t="shared" si="206"/>
        <v>0</v>
      </c>
      <c r="J598" s="30">
        <v>0.62</v>
      </c>
      <c r="K598" s="6">
        <f t="shared" si="207"/>
        <v>0</v>
      </c>
    </row>
    <row r="599" spans="2:11" ht="12.95" customHeight="1" x14ac:dyDescent="0.3">
      <c r="B599" s="32" t="s">
        <v>9</v>
      </c>
      <c r="C599" s="32" t="s">
        <v>114</v>
      </c>
      <c r="D599" s="42" t="s">
        <v>22</v>
      </c>
      <c r="E599" s="55">
        <v>89197</v>
      </c>
      <c r="F599" s="30">
        <v>0.26</v>
      </c>
      <c r="G599" s="6">
        <f t="shared" si="205"/>
        <v>23191.200000000001</v>
      </c>
      <c r="H599" s="30">
        <v>0.28999999999999998</v>
      </c>
      <c r="I599" s="6">
        <f t="shared" si="206"/>
        <v>25867.1</v>
      </c>
      <c r="J599" s="30">
        <v>0.31</v>
      </c>
      <c r="K599" s="6">
        <f t="shared" si="207"/>
        <v>27651</v>
      </c>
    </row>
    <row r="600" spans="2:11" ht="12.95" customHeight="1" x14ac:dyDescent="0.3">
      <c r="B600" s="24" t="s">
        <v>17</v>
      </c>
      <c r="C600" s="40"/>
      <c r="D600" s="40"/>
      <c r="E600" s="44"/>
      <c r="F600" s="47" t="s">
        <v>43</v>
      </c>
      <c r="G600" s="43">
        <f>TRUNC(SUM(G596:G599))</f>
        <v>23191</v>
      </c>
      <c r="H600" s="47"/>
      <c r="I600" s="43">
        <f>TRUNC(SUM(I596:I599))</f>
        <v>25867</v>
      </c>
      <c r="J600" s="47" t="s">
        <v>43</v>
      </c>
      <c r="K600" s="43">
        <f>TRUNC(SUM(K596:K599))</f>
        <v>27651</v>
      </c>
    </row>
    <row r="601" spans="2:11" ht="12.95" customHeight="1" x14ac:dyDescent="0.3">
      <c r="B601" s="39"/>
      <c r="C601" s="40"/>
      <c r="D601" s="40"/>
      <c r="E601" s="44"/>
      <c r="F601" s="47"/>
      <c r="G601" s="34"/>
      <c r="H601" s="47"/>
      <c r="I601" s="34"/>
      <c r="J601" s="47"/>
      <c r="K601" s="34"/>
    </row>
    <row r="602" spans="2:11" ht="12.95" customHeight="1" x14ac:dyDescent="0.3">
      <c r="B602" s="13" t="s">
        <v>3</v>
      </c>
      <c r="C602" s="8"/>
      <c r="D602" s="3" t="s">
        <v>16</v>
      </c>
      <c r="E602" s="55">
        <v>295138</v>
      </c>
      <c r="F602" s="30">
        <v>0.02</v>
      </c>
      <c r="G602" s="6">
        <f t="shared" ref="G602:G607" si="208">TRUNC($E602*F602,1)</f>
        <v>5902.7</v>
      </c>
      <c r="H602" s="30">
        <v>0.02</v>
      </c>
      <c r="I602" s="6">
        <f t="shared" ref="I602:I607" si="209">TRUNC($E602*H602,1)</f>
        <v>5902.7</v>
      </c>
      <c r="J602" s="30">
        <v>0.02</v>
      </c>
      <c r="K602" s="6">
        <f t="shared" ref="K602:K607" si="210">TRUNC($E602*J602,1)</f>
        <v>5902.7</v>
      </c>
    </row>
    <row r="603" spans="2:11" ht="12.95" customHeight="1" x14ac:dyDescent="0.3">
      <c r="B603" s="13" t="s">
        <v>7</v>
      </c>
      <c r="C603" s="8"/>
      <c r="D603" s="3" t="s">
        <v>16</v>
      </c>
      <c r="E603" s="55">
        <v>250087</v>
      </c>
      <c r="F603" s="30">
        <v>0.05</v>
      </c>
      <c r="G603" s="6">
        <f t="shared" si="208"/>
        <v>12504.3</v>
      </c>
      <c r="H603" s="30">
        <v>7.0000000000000007E-2</v>
      </c>
      <c r="I603" s="6">
        <f t="shared" si="209"/>
        <v>17506</v>
      </c>
      <c r="J603" s="30">
        <v>0.08</v>
      </c>
      <c r="K603" s="6">
        <f t="shared" si="210"/>
        <v>20006.900000000001</v>
      </c>
    </row>
    <row r="604" spans="2:11" ht="12.95" customHeight="1" x14ac:dyDescent="0.3">
      <c r="B604" s="13" t="s">
        <v>28</v>
      </c>
      <c r="C604" s="8"/>
      <c r="D604" s="3" t="s">
        <v>16</v>
      </c>
      <c r="E604" s="55">
        <v>232562</v>
      </c>
      <c r="F604" s="30">
        <v>0.05</v>
      </c>
      <c r="G604" s="6">
        <f t="shared" si="208"/>
        <v>11628.1</v>
      </c>
      <c r="H604" s="30">
        <v>7.0000000000000007E-2</v>
      </c>
      <c r="I604" s="6">
        <f t="shared" si="209"/>
        <v>16279.3</v>
      </c>
      <c r="J604" s="30">
        <v>0.08</v>
      </c>
      <c r="K604" s="6">
        <f t="shared" si="210"/>
        <v>18604.900000000001</v>
      </c>
    </row>
    <row r="605" spans="2:11" ht="12.95" customHeight="1" x14ac:dyDescent="0.3">
      <c r="B605" s="13" t="s">
        <v>23</v>
      </c>
      <c r="C605" s="8"/>
      <c r="D605" s="3" t="s">
        <v>16</v>
      </c>
      <c r="E605" s="55">
        <v>226122</v>
      </c>
      <c r="F605" s="30">
        <v>0.03</v>
      </c>
      <c r="G605" s="6">
        <f t="shared" si="208"/>
        <v>6783.6</v>
      </c>
      <c r="H605" s="30">
        <v>0.04</v>
      </c>
      <c r="I605" s="6">
        <f t="shared" si="209"/>
        <v>9044.7999999999993</v>
      </c>
      <c r="J605" s="30">
        <v>0.04</v>
      </c>
      <c r="K605" s="6">
        <f t="shared" si="210"/>
        <v>9044.7999999999993</v>
      </c>
    </row>
    <row r="606" spans="2:11" ht="12.95" customHeight="1" x14ac:dyDescent="0.3">
      <c r="B606" s="13" t="s">
        <v>0</v>
      </c>
      <c r="C606" s="8"/>
      <c r="D606" s="3" t="s">
        <v>16</v>
      </c>
      <c r="E606" s="55">
        <v>172068</v>
      </c>
      <c r="F606" s="30">
        <v>0.05</v>
      </c>
      <c r="G606" s="6">
        <f t="shared" si="208"/>
        <v>8603.4</v>
      </c>
      <c r="H606" s="30">
        <v>7.0000000000000007E-2</v>
      </c>
      <c r="I606" s="6">
        <f t="shared" si="209"/>
        <v>12044.7</v>
      </c>
      <c r="J606" s="30">
        <v>0.08</v>
      </c>
      <c r="K606" s="6">
        <f t="shared" si="210"/>
        <v>13765.4</v>
      </c>
    </row>
    <row r="607" spans="2:11" ht="12.95" customHeight="1" x14ac:dyDescent="0.3">
      <c r="B607" s="32" t="s">
        <v>9</v>
      </c>
      <c r="C607" s="32" t="s">
        <v>114</v>
      </c>
      <c r="D607" s="42" t="s">
        <v>22</v>
      </c>
      <c r="E607" s="55">
        <v>58925</v>
      </c>
      <c r="F607" s="30">
        <v>0.26</v>
      </c>
      <c r="G607" s="6">
        <f t="shared" si="208"/>
        <v>15320.5</v>
      </c>
      <c r="H607" s="30">
        <v>0.28999999999999998</v>
      </c>
      <c r="I607" s="6">
        <f t="shared" si="209"/>
        <v>17088.2</v>
      </c>
      <c r="J607" s="30">
        <v>0.31</v>
      </c>
      <c r="K607" s="6">
        <f t="shared" si="210"/>
        <v>18266.7</v>
      </c>
    </row>
    <row r="608" spans="2:11" ht="12.95" customHeight="1" x14ac:dyDescent="0.3">
      <c r="B608" s="21" t="s">
        <v>18</v>
      </c>
      <c r="C608" s="40"/>
      <c r="D608" s="40"/>
      <c r="E608" s="44"/>
      <c r="F608" s="47" t="s">
        <v>43</v>
      </c>
      <c r="G608" s="43">
        <f>TRUNC(SUM(G602:G607))</f>
        <v>60742</v>
      </c>
      <c r="H608" s="47" t="s">
        <v>43</v>
      </c>
      <c r="I608" s="43">
        <f>TRUNC(SUM(I602:I607))</f>
        <v>77865</v>
      </c>
      <c r="J608" s="47" t="s">
        <v>43</v>
      </c>
      <c r="K608" s="43">
        <f>TRUNC(SUM(K602:K607))</f>
        <v>85591</v>
      </c>
    </row>
    <row r="609" spans="2:11" ht="12.95" customHeight="1" x14ac:dyDescent="0.3">
      <c r="B609" s="39"/>
      <c r="C609" s="40"/>
      <c r="D609" s="40"/>
      <c r="E609" s="44"/>
      <c r="F609" s="47"/>
      <c r="G609" s="34"/>
      <c r="H609" s="47"/>
      <c r="I609" s="34"/>
      <c r="J609" s="47"/>
      <c r="K609" s="34"/>
    </row>
    <row r="610" spans="2:11" ht="12.95" customHeight="1" x14ac:dyDescent="0.3">
      <c r="B610" s="32" t="s">
        <v>9</v>
      </c>
      <c r="C610" s="32" t="s">
        <v>114</v>
      </c>
      <c r="D610" s="42" t="s">
        <v>22</v>
      </c>
      <c r="E610" s="55">
        <v>157250</v>
      </c>
      <c r="F610" s="30">
        <v>0.26</v>
      </c>
      <c r="G610" s="6">
        <f t="shared" ref="G610" si="211">TRUNC($E610*F610,1)</f>
        <v>40885</v>
      </c>
      <c r="H610" s="30">
        <v>0.28999999999999998</v>
      </c>
      <c r="I610" s="6">
        <f t="shared" ref="I610" si="212">TRUNC($E610*H610,1)</f>
        <v>45602.5</v>
      </c>
      <c r="J610" s="30">
        <v>0.31</v>
      </c>
      <c r="K610" s="6">
        <f t="shared" ref="K610" si="213">TRUNC($E610*J610,1)</f>
        <v>48747.5</v>
      </c>
    </row>
    <row r="611" spans="2:11" ht="12.95" customHeight="1" x14ac:dyDescent="0.3">
      <c r="B611" s="24" t="s">
        <v>19</v>
      </c>
      <c r="C611" s="40"/>
      <c r="D611" s="40"/>
      <c r="E611" s="33"/>
      <c r="F611" s="35" t="s">
        <v>43</v>
      </c>
      <c r="G611" s="43">
        <f>TRUNC(SUM(G610:G610))</f>
        <v>40885</v>
      </c>
      <c r="H611" s="35"/>
      <c r="I611" s="43">
        <f>TRUNC(SUM(I610:I610))</f>
        <v>45602</v>
      </c>
      <c r="J611" s="35" t="s">
        <v>43</v>
      </c>
      <c r="K611" s="43">
        <f>TRUNC(SUM(K610:K610))</f>
        <v>48747</v>
      </c>
    </row>
    <row r="612" spans="2:11" ht="12.95" customHeight="1" x14ac:dyDescent="0.3">
      <c r="B612" s="11"/>
      <c r="C612" s="32"/>
      <c r="D612" s="32"/>
      <c r="E612" s="36"/>
      <c r="F612" s="30"/>
      <c r="G612" s="31"/>
      <c r="H612" s="30"/>
      <c r="I612" s="31"/>
      <c r="J612" s="30"/>
      <c r="K612" s="31"/>
    </row>
    <row r="613" spans="2:11" ht="12.95" customHeight="1" x14ac:dyDescent="0.3">
      <c r="B613" s="12" t="s">
        <v>20</v>
      </c>
      <c r="C613" s="41"/>
      <c r="D613" s="41"/>
      <c r="E613" s="37"/>
      <c r="F613" s="37"/>
      <c r="G613" s="38">
        <f>SUM(G600+G608+G611)</f>
        <v>124818</v>
      </c>
      <c r="H613" s="37"/>
      <c r="I613" s="38">
        <f>SUM(I600+I608+I611)</f>
        <v>149334</v>
      </c>
      <c r="J613" s="37"/>
      <c r="K613" s="38">
        <f>SUM(K600+K608+K611)</f>
        <v>161989</v>
      </c>
    </row>
    <row r="614" spans="2:11" ht="12.95" customHeight="1" x14ac:dyDescent="0.3">
      <c r="B614" s="79" t="s">
        <v>10</v>
      </c>
      <c r="C614" s="81" t="s">
        <v>21</v>
      </c>
      <c r="D614" s="73" t="s">
        <v>15</v>
      </c>
      <c r="E614" s="83" t="s">
        <v>11</v>
      </c>
      <c r="F614" s="77" t="s">
        <v>127</v>
      </c>
      <c r="G614" s="78"/>
      <c r="H614" s="78"/>
      <c r="I614" s="78"/>
      <c r="J614" s="78"/>
      <c r="K614" s="78"/>
    </row>
    <row r="615" spans="2:11" ht="12.95" customHeight="1" x14ac:dyDescent="0.3">
      <c r="B615" s="85"/>
      <c r="C615" s="86"/>
      <c r="D615" s="87"/>
      <c r="E615" s="88"/>
      <c r="F615" s="77" t="s">
        <v>115</v>
      </c>
      <c r="G615" s="78"/>
      <c r="H615" s="77" t="s">
        <v>116</v>
      </c>
      <c r="I615" s="78"/>
      <c r="J615" s="77" t="s">
        <v>117</v>
      </c>
      <c r="K615" s="78"/>
    </row>
    <row r="616" spans="2:11" ht="12.95" customHeight="1" x14ac:dyDescent="0.3">
      <c r="B616" s="80"/>
      <c r="C616" s="82"/>
      <c r="D616" s="74"/>
      <c r="E616" s="84"/>
      <c r="F616" s="51" t="s">
        <v>12</v>
      </c>
      <c r="G616" s="52" t="s">
        <v>13</v>
      </c>
      <c r="H616" s="51" t="s">
        <v>12</v>
      </c>
      <c r="I616" s="52" t="s">
        <v>13</v>
      </c>
      <c r="J616" s="51" t="s">
        <v>12</v>
      </c>
      <c r="K616" s="52" t="s">
        <v>13</v>
      </c>
    </row>
    <row r="617" spans="2:11" ht="12.95" customHeight="1" x14ac:dyDescent="0.3">
      <c r="B617" s="32" t="s">
        <v>123</v>
      </c>
      <c r="C617" s="32"/>
      <c r="D617" s="42" t="s">
        <v>33</v>
      </c>
      <c r="E617" s="54">
        <v>0</v>
      </c>
      <c r="F617" s="66">
        <v>1.1000000000000001E-3</v>
      </c>
      <c r="G617" s="6">
        <f t="shared" ref="G617:G620" si="214">TRUNC($E617*F617,1)</f>
        <v>0</v>
      </c>
      <c r="H617" s="66">
        <v>1.1000000000000001E-3</v>
      </c>
      <c r="I617" s="6">
        <f t="shared" ref="I617:I620" si="215">TRUNC($E617*H617,1)</f>
        <v>0</v>
      </c>
      <c r="J617" s="66">
        <v>1.1000000000000001E-3</v>
      </c>
      <c r="K617" s="6">
        <f t="shared" ref="K617:K620" si="216">TRUNC($E617*J617,1)</f>
        <v>0</v>
      </c>
    </row>
    <row r="618" spans="2:11" ht="12.95" customHeight="1" x14ac:dyDescent="0.3">
      <c r="B618" s="32" t="s">
        <v>124</v>
      </c>
      <c r="C618" s="32"/>
      <c r="D618" s="42" t="s">
        <v>33</v>
      </c>
      <c r="E618" s="54">
        <v>0</v>
      </c>
      <c r="F618" s="66">
        <v>4.3E-3</v>
      </c>
      <c r="G618" s="6">
        <f t="shared" si="214"/>
        <v>0</v>
      </c>
      <c r="H618" s="66">
        <v>4.3E-3</v>
      </c>
      <c r="I618" s="6">
        <f t="shared" si="215"/>
        <v>0</v>
      </c>
      <c r="J618" s="66">
        <v>4.3E-3</v>
      </c>
      <c r="K618" s="6">
        <f t="shared" si="216"/>
        <v>0</v>
      </c>
    </row>
    <row r="619" spans="2:11" ht="12.95" customHeight="1" x14ac:dyDescent="0.3">
      <c r="B619" s="32" t="s">
        <v>125</v>
      </c>
      <c r="C619" s="32"/>
      <c r="D619" s="42" t="s">
        <v>75</v>
      </c>
      <c r="E619" s="54">
        <v>0</v>
      </c>
      <c r="F619" s="30">
        <v>1.61</v>
      </c>
      <c r="G619" s="6">
        <f t="shared" si="214"/>
        <v>0</v>
      </c>
      <c r="H619" s="30">
        <v>3.39</v>
      </c>
      <c r="I619" s="6">
        <f t="shared" si="215"/>
        <v>0</v>
      </c>
      <c r="J619" s="30">
        <v>8.73</v>
      </c>
      <c r="K619" s="6">
        <f t="shared" si="216"/>
        <v>0</v>
      </c>
    </row>
    <row r="620" spans="2:11" ht="12.95" customHeight="1" x14ac:dyDescent="0.3">
      <c r="B620" s="32" t="s">
        <v>9</v>
      </c>
      <c r="C620" s="32" t="s">
        <v>114</v>
      </c>
      <c r="D620" s="42" t="s">
        <v>22</v>
      </c>
      <c r="E620" s="55">
        <v>89197</v>
      </c>
      <c r="F620" s="30">
        <v>0.45</v>
      </c>
      <c r="G620" s="6">
        <f t="shared" si="214"/>
        <v>40138.6</v>
      </c>
      <c r="H620" s="30">
        <v>0.6</v>
      </c>
      <c r="I620" s="6">
        <f t="shared" si="215"/>
        <v>53518.2</v>
      </c>
      <c r="J620" s="30">
        <v>0.84</v>
      </c>
      <c r="K620" s="6">
        <f t="shared" si="216"/>
        <v>74925.399999999994</v>
      </c>
    </row>
    <row r="621" spans="2:11" ht="12.95" customHeight="1" x14ac:dyDescent="0.3">
      <c r="B621" s="24" t="s">
        <v>17</v>
      </c>
      <c r="C621" s="40"/>
      <c r="D621" s="40"/>
      <c r="E621" s="44"/>
      <c r="F621" s="47" t="s">
        <v>43</v>
      </c>
      <c r="G621" s="43">
        <f>TRUNC(SUM(G617:G620))</f>
        <v>40138</v>
      </c>
      <c r="H621" s="47"/>
      <c r="I621" s="43">
        <f>TRUNC(SUM(I617:I620))</f>
        <v>53518</v>
      </c>
      <c r="J621" s="47"/>
      <c r="K621" s="43">
        <f>TRUNC(SUM(K617:K620))</f>
        <v>74925</v>
      </c>
    </row>
    <row r="622" spans="2:11" ht="12.95" customHeight="1" x14ac:dyDescent="0.3">
      <c r="B622" s="39"/>
      <c r="C622" s="40"/>
      <c r="D622" s="40"/>
      <c r="E622" s="44"/>
      <c r="F622" s="47"/>
      <c r="G622" s="34"/>
      <c r="H622" s="47"/>
      <c r="I622" s="34"/>
      <c r="J622" s="47"/>
      <c r="K622" s="34"/>
    </row>
    <row r="623" spans="2:11" ht="12.95" customHeight="1" x14ac:dyDescent="0.3">
      <c r="B623" s="13" t="s">
        <v>3</v>
      </c>
      <c r="C623" s="8"/>
      <c r="D623" s="3" t="s">
        <v>16</v>
      </c>
      <c r="E623" s="55">
        <v>295138</v>
      </c>
      <c r="F623" s="30">
        <v>0.03</v>
      </c>
      <c r="G623" s="6">
        <f t="shared" ref="G623:G628" si="217">TRUNC($E623*F623,1)</f>
        <v>8854.1</v>
      </c>
      <c r="H623" s="30">
        <v>0.04</v>
      </c>
      <c r="I623" s="6">
        <f t="shared" ref="I623:I628" si="218">TRUNC($E623*H623,1)</f>
        <v>11805.5</v>
      </c>
      <c r="J623" s="30">
        <v>0.05</v>
      </c>
      <c r="K623" s="6">
        <f t="shared" ref="K623:K628" si="219">TRUNC($E623*J623,1)</f>
        <v>14756.9</v>
      </c>
    </row>
    <row r="624" spans="2:11" ht="12.95" customHeight="1" x14ac:dyDescent="0.3">
      <c r="B624" s="13" t="s">
        <v>7</v>
      </c>
      <c r="C624" s="8"/>
      <c r="D624" s="3" t="s">
        <v>16</v>
      </c>
      <c r="E624" s="55">
        <v>250087</v>
      </c>
      <c r="F624" s="30">
        <v>0.11</v>
      </c>
      <c r="G624" s="6">
        <f t="shared" si="217"/>
        <v>27509.5</v>
      </c>
      <c r="H624" s="30">
        <v>0.15</v>
      </c>
      <c r="I624" s="6">
        <f t="shared" si="218"/>
        <v>37513</v>
      </c>
      <c r="J624" s="30">
        <v>0.21</v>
      </c>
      <c r="K624" s="6">
        <f t="shared" si="219"/>
        <v>52518.2</v>
      </c>
    </row>
    <row r="625" spans="2:11" ht="12.95" customHeight="1" x14ac:dyDescent="0.3">
      <c r="B625" s="13" t="s">
        <v>28</v>
      </c>
      <c r="C625" s="8"/>
      <c r="D625" s="3" t="s">
        <v>16</v>
      </c>
      <c r="E625" s="55">
        <v>232562</v>
      </c>
      <c r="F625" s="30">
        <v>0.11</v>
      </c>
      <c r="G625" s="6">
        <f t="shared" si="217"/>
        <v>25581.8</v>
      </c>
      <c r="H625" s="30">
        <v>0.15</v>
      </c>
      <c r="I625" s="6">
        <f t="shared" si="218"/>
        <v>34884.300000000003</v>
      </c>
      <c r="J625" s="30">
        <v>0.21</v>
      </c>
      <c r="K625" s="6">
        <f t="shared" si="219"/>
        <v>48838</v>
      </c>
    </row>
    <row r="626" spans="2:11" ht="12.95" customHeight="1" x14ac:dyDescent="0.3">
      <c r="B626" s="13" t="s">
        <v>23</v>
      </c>
      <c r="C626" s="8"/>
      <c r="D626" s="3" t="s">
        <v>16</v>
      </c>
      <c r="E626" s="55">
        <v>226122</v>
      </c>
      <c r="F626" s="30">
        <v>0.06</v>
      </c>
      <c r="G626" s="6">
        <f t="shared" si="217"/>
        <v>13567.3</v>
      </c>
      <c r="H626" s="30">
        <v>0.08</v>
      </c>
      <c r="I626" s="6">
        <f t="shared" si="218"/>
        <v>18089.7</v>
      </c>
      <c r="J626" s="30">
        <v>0.11</v>
      </c>
      <c r="K626" s="6">
        <f t="shared" si="219"/>
        <v>24873.4</v>
      </c>
    </row>
    <row r="627" spans="2:11" ht="12.95" customHeight="1" x14ac:dyDescent="0.3">
      <c r="B627" s="13" t="s">
        <v>0</v>
      </c>
      <c r="C627" s="8"/>
      <c r="D627" s="3" t="s">
        <v>16</v>
      </c>
      <c r="E627" s="55">
        <v>172068</v>
      </c>
      <c r="F627" s="30">
        <v>0.11</v>
      </c>
      <c r="G627" s="6">
        <f t="shared" si="217"/>
        <v>18927.400000000001</v>
      </c>
      <c r="H627" s="30">
        <v>0.15</v>
      </c>
      <c r="I627" s="6">
        <f t="shared" si="218"/>
        <v>25810.2</v>
      </c>
      <c r="J627" s="30">
        <v>0.21</v>
      </c>
      <c r="K627" s="6">
        <f t="shared" si="219"/>
        <v>36134.199999999997</v>
      </c>
    </row>
    <row r="628" spans="2:11" ht="12.95" customHeight="1" x14ac:dyDescent="0.3">
      <c r="B628" s="32" t="s">
        <v>9</v>
      </c>
      <c r="C628" s="32" t="s">
        <v>114</v>
      </c>
      <c r="D628" s="42" t="s">
        <v>22</v>
      </c>
      <c r="E628" s="55">
        <v>58925</v>
      </c>
      <c r="F628" s="30">
        <v>0.45</v>
      </c>
      <c r="G628" s="6">
        <f t="shared" si="217"/>
        <v>26516.2</v>
      </c>
      <c r="H628" s="30">
        <v>0.6</v>
      </c>
      <c r="I628" s="6">
        <f t="shared" si="218"/>
        <v>35355</v>
      </c>
      <c r="J628" s="30">
        <v>0.84</v>
      </c>
      <c r="K628" s="6">
        <f t="shared" si="219"/>
        <v>49497</v>
      </c>
    </row>
    <row r="629" spans="2:11" ht="12.95" customHeight="1" x14ac:dyDescent="0.3">
      <c r="B629" s="21" t="s">
        <v>18</v>
      </c>
      <c r="C629" s="40"/>
      <c r="D629" s="40"/>
      <c r="E629" s="44"/>
      <c r="F629" s="47" t="s">
        <v>43</v>
      </c>
      <c r="G629" s="43">
        <f>TRUNC(SUM(G623:G628))</f>
        <v>120956</v>
      </c>
      <c r="H629" s="47" t="s">
        <v>43</v>
      </c>
      <c r="I629" s="43">
        <f>TRUNC(SUM(I623:I628))</f>
        <v>163457</v>
      </c>
      <c r="J629" s="47" t="s">
        <v>43</v>
      </c>
      <c r="K629" s="43">
        <f>TRUNC(SUM(K623:K628))</f>
        <v>226617</v>
      </c>
    </row>
    <row r="630" spans="2:11" ht="12.95" customHeight="1" x14ac:dyDescent="0.3">
      <c r="B630" s="39"/>
      <c r="C630" s="40"/>
      <c r="D630" s="40"/>
      <c r="E630" s="44"/>
      <c r="F630" s="47"/>
      <c r="G630" s="34"/>
      <c r="H630" s="47"/>
      <c r="I630" s="34"/>
      <c r="J630" s="47"/>
      <c r="K630" s="34"/>
    </row>
    <row r="631" spans="2:11" ht="12.95" customHeight="1" x14ac:dyDescent="0.3">
      <c r="B631" s="32" t="s">
        <v>9</v>
      </c>
      <c r="C631" s="32" t="s">
        <v>114</v>
      </c>
      <c r="D631" s="42" t="s">
        <v>22</v>
      </c>
      <c r="E631" s="55">
        <v>157250</v>
      </c>
      <c r="F631" s="30">
        <v>0.45</v>
      </c>
      <c r="G631" s="6">
        <f t="shared" ref="G631" si="220">TRUNC($E631*F631,1)</f>
        <v>70762.5</v>
      </c>
      <c r="H631" s="30">
        <v>0.6</v>
      </c>
      <c r="I631" s="6">
        <f t="shared" ref="I631" si="221">TRUNC($E631*H631,1)</f>
        <v>94350</v>
      </c>
      <c r="J631" s="30">
        <v>0.84</v>
      </c>
      <c r="K631" s="6">
        <f t="shared" ref="K631" si="222">TRUNC($E631*J631,1)</f>
        <v>132090</v>
      </c>
    </row>
    <row r="632" spans="2:11" ht="12.95" customHeight="1" x14ac:dyDescent="0.3">
      <c r="B632" s="24" t="s">
        <v>19</v>
      </c>
      <c r="C632" s="40"/>
      <c r="D632" s="40"/>
      <c r="E632" s="33"/>
      <c r="F632" s="35" t="s">
        <v>43</v>
      </c>
      <c r="G632" s="43">
        <f>TRUNC(SUM(G631:G631))</f>
        <v>70762</v>
      </c>
      <c r="H632" s="35" t="s">
        <v>43</v>
      </c>
      <c r="I632" s="43">
        <f>TRUNC(SUM(I631:I631))</f>
        <v>94350</v>
      </c>
      <c r="J632" s="35" t="s">
        <v>43</v>
      </c>
      <c r="K632" s="43">
        <f>TRUNC(SUM(K631:K631))</f>
        <v>132090</v>
      </c>
    </row>
    <row r="633" spans="2:11" ht="12.95" customHeight="1" x14ac:dyDescent="0.3">
      <c r="B633" s="11"/>
      <c r="C633" s="32"/>
      <c r="D633" s="32"/>
      <c r="E633" s="36"/>
      <c r="F633" s="30"/>
      <c r="G633" s="31"/>
      <c r="H633" s="30"/>
      <c r="I633" s="31"/>
      <c r="J633" s="30"/>
      <c r="K633" s="31"/>
    </row>
    <row r="634" spans="2:11" ht="12.95" customHeight="1" x14ac:dyDescent="0.3">
      <c r="B634" s="12" t="s">
        <v>20</v>
      </c>
      <c r="C634" s="41"/>
      <c r="D634" s="41"/>
      <c r="E634" s="37"/>
      <c r="F634" s="37"/>
      <c r="G634" s="38">
        <f>SUM(G621+G629+G632)</f>
        <v>231856</v>
      </c>
      <c r="H634" s="37"/>
      <c r="I634" s="38">
        <f>SUM(I621+I629+I632)</f>
        <v>311325</v>
      </c>
      <c r="J634" s="37"/>
      <c r="K634" s="38">
        <f>SUM(K621+K629+K632)</f>
        <v>433632</v>
      </c>
    </row>
    <row r="635" spans="2:11" ht="12.95" customHeight="1" x14ac:dyDescent="0.3">
      <c r="B635" s="79" t="s">
        <v>10</v>
      </c>
      <c r="C635" s="81" t="s">
        <v>21</v>
      </c>
      <c r="D635" s="73" t="s">
        <v>15</v>
      </c>
      <c r="E635" s="83" t="s">
        <v>11</v>
      </c>
      <c r="F635" s="77" t="s">
        <v>128</v>
      </c>
      <c r="G635" s="78"/>
      <c r="H635" s="78"/>
      <c r="I635" s="78"/>
      <c r="J635" s="78"/>
      <c r="K635" s="78"/>
    </row>
    <row r="636" spans="2:11" ht="12.95" customHeight="1" x14ac:dyDescent="0.3">
      <c r="B636" s="85"/>
      <c r="C636" s="86"/>
      <c r="D636" s="87"/>
      <c r="E636" s="88"/>
      <c r="F636" s="77" t="s">
        <v>109</v>
      </c>
      <c r="G636" s="78"/>
      <c r="H636" s="77" t="s">
        <v>110</v>
      </c>
      <c r="I636" s="78"/>
      <c r="J636" s="77" t="s">
        <v>111</v>
      </c>
      <c r="K636" s="78"/>
    </row>
    <row r="637" spans="2:11" ht="12.95" customHeight="1" x14ac:dyDescent="0.3">
      <c r="B637" s="80"/>
      <c r="C637" s="82"/>
      <c r="D637" s="74"/>
      <c r="E637" s="84"/>
      <c r="F637" s="51" t="s">
        <v>12</v>
      </c>
      <c r="G637" s="52" t="s">
        <v>13</v>
      </c>
      <c r="H637" s="51" t="s">
        <v>12</v>
      </c>
      <c r="I637" s="52" t="s">
        <v>13</v>
      </c>
      <c r="J637" s="51" t="s">
        <v>12</v>
      </c>
      <c r="K637" s="52" t="s">
        <v>13</v>
      </c>
    </row>
    <row r="638" spans="2:11" ht="12.95" customHeight="1" x14ac:dyDescent="0.3">
      <c r="B638" s="32" t="s">
        <v>123</v>
      </c>
      <c r="C638" s="32"/>
      <c r="D638" s="42" t="s">
        <v>33</v>
      </c>
      <c r="E638" s="54">
        <v>0</v>
      </c>
      <c r="F638" s="66">
        <v>3.3E-3</v>
      </c>
      <c r="G638" s="6">
        <f t="shared" ref="G638:G641" si="223">TRUNC($E638*F638,1)</f>
        <v>0</v>
      </c>
      <c r="H638" s="66">
        <v>3.3E-3</v>
      </c>
      <c r="I638" s="6">
        <f t="shared" ref="I638:I641" si="224">TRUNC($E638*H638,1)</f>
        <v>0</v>
      </c>
      <c r="J638" s="66">
        <v>3.3E-3</v>
      </c>
      <c r="K638" s="6">
        <f t="shared" ref="K638:K641" si="225">TRUNC($E638*J638,1)</f>
        <v>0</v>
      </c>
    </row>
    <row r="639" spans="2:11" ht="12.95" customHeight="1" x14ac:dyDescent="0.3">
      <c r="B639" s="32" t="s">
        <v>124</v>
      </c>
      <c r="C639" s="32"/>
      <c r="D639" s="42" t="s">
        <v>33</v>
      </c>
      <c r="E639" s="54">
        <v>0</v>
      </c>
      <c r="F639" s="66">
        <v>1.35E-2</v>
      </c>
      <c r="G639" s="6">
        <f t="shared" si="223"/>
        <v>0</v>
      </c>
      <c r="H639" s="66">
        <v>1.35E-2</v>
      </c>
      <c r="I639" s="6">
        <f t="shared" si="224"/>
        <v>0</v>
      </c>
      <c r="J639" s="66">
        <v>1.35E-2</v>
      </c>
      <c r="K639" s="6">
        <f t="shared" si="225"/>
        <v>0</v>
      </c>
    </row>
    <row r="640" spans="2:11" ht="12.95" customHeight="1" x14ac:dyDescent="0.3">
      <c r="B640" s="32" t="s">
        <v>125</v>
      </c>
      <c r="C640" s="32"/>
      <c r="D640" s="42" t="s">
        <v>75</v>
      </c>
      <c r="E640" s="54">
        <v>0</v>
      </c>
      <c r="F640" s="30">
        <v>0.18</v>
      </c>
      <c r="G640" s="6">
        <f t="shared" si="223"/>
        <v>0</v>
      </c>
      <c r="H640" s="30">
        <v>0.45</v>
      </c>
      <c r="I640" s="6">
        <f t="shared" si="224"/>
        <v>0</v>
      </c>
      <c r="J640" s="30">
        <v>1.1499999999999999</v>
      </c>
      <c r="K640" s="6">
        <f t="shared" si="225"/>
        <v>0</v>
      </c>
    </row>
    <row r="641" spans="2:11" ht="12.95" customHeight="1" x14ac:dyDescent="0.3">
      <c r="B641" s="32" t="s">
        <v>9</v>
      </c>
      <c r="C641" s="32" t="s">
        <v>114</v>
      </c>
      <c r="D641" s="42" t="s">
        <v>22</v>
      </c>
      <c r="E641" s="55">
        <v>89197</v>
      </c>
      <c r="F641" s="30">
        <v>0.28999999999999998</v>
      </c>
      <c r="G641" s="6">
        <f t="shared" si="223"/>
        <v>25867.1</v>
      </c>
      <c r="H641" s="30">
        <v>0.41</v>
      </c>
      <c r="I641" s="6">
        <f t="shared" si="224"/>
        <v>36570.699999999997</v>
      </c>
      <c r="J641" s="30">
        <v>0.57999999999999996</v>
      </c>
      <c r="K641" s="6">
        <f t="shared" si="225"/>
        <v>51734.2</v>
      </c>
    </row>
    <row r="642" spans="2:11" ht="12.95" customHeight="1" x14ac:dyDescent="0.3">
      <c r="B642" s="24" t="s">
        <v>17</v>
      </c>
      <c r="C642" s="40"/>
      <c r="D642" s="40"/>
      <c r="E642" s="44"/>
      <c r="F642" s="47" t="s">
        <v>43</v>
      </c>
      <c r="G642" s="43">
        <f>TRUNC(SUM(G638:G641))</f>
        <v>25867</v>
      </c>
      <c r="H642" s="47"/>
      <c r="I642" s="43">
        <f>TRUNC(SUM(I638:I641))</f>
        <v>36570</v>
      </c>
      <c r="J642" s="47" t="s">
        <v>43</v>
      </c>
      <c r="K642" s="43">
        <f>TRUNC(SUM(K638:K641))</f>
        <v>51734</v>
      </c>
    </row>
    <row r="643" spans="2:11" ht="12.95" customHeight="1" x14ac:dyDescent="0.3">
      <c r="B643" s="39"/>
      <c r="C643" s="40"/>
      <c r="D643" s="40"/>
      <c r="E643" s="44"/>
      <c r="F643" s="47"/>
      <c r="G643" s="34"/>
      <c r="H643" s="47"/>
      <c r="I643" s="34"/>
      <c r="J643" s="47"/>
      <c r="K643" s="34"/>
    </row>
    <row r="644" spans="2:11" ht="12.95" customHeight="1" x14ac:dyDescent="0.3">
      <c r="B644" s="13" t="s">
        <v>3</v>
      </c>
      <c r="C644" s="8"/>
      <c r="D644" s="3" t="s">
        <v>16</v>
      </c>
      <c r="E644" s="55">
        <v>295138</v>
      </c>
      <c r="F644" s="30">
        <v>0.02</v>
      </c>
      <c r="G644" s="6">
        <f t="shared" ref="G644:G649" si="226">TRUNC($E644*F644,1)</f>
        <v>5902.7</v>
      </c>
      <c r="H644" s="30">
        <v>0.03</v>
      </c>
      <c r="I644" s="6">
        <f t="shared" ref="I644:I649" si="227">TRUNC($E644*H644,1)</f>
        <v>8854.1</v>
      </c>
      <c r="J644" s="30">
        <v>0.04</v>
      </c>
      <c r="K644" s="6">
        <f t="shared" ref="K644:K649" si="228">TRUNC($E644*J644,1)</f>
        <v>11805.5</v>
      </c>
    </row>
    <row r="645" spans="2:11" ht="12.95" customHeight="1" x14ac:dyDescent="0.3">
      <c r="B645" s="13" t="s">
        <v>7</v>
      </c>
      <c r="C645" s="8"/>
      <c r="D645" s="3" t="s">
        <v>16</v>
      </c>
      <c r="E645" s="55">
        <v>250087</v>
      </c>
      <c r="F645" s="30">
        <v>7.0000000000000007E-2</v>
      </c>
      <c r="G645" s="6">
        <f t="shared" si="226"/>
        <v>17506</v>
      </c>
      <c r="H645" s="30">
        <v>0.1</v>
      </c>
      <c r="I645" s="6">
        <f t="shared" si="227"/>
        <v>25008.7</v>
      </c>
      <c r="J645" s="30">
        <v>0.15</v>
      </c>
      <c r="K645" s="6">
        <f t="shared" si="228"/>
        <v>37513</v>
      </c>
    </row>
    <row r="646" spans="2:11" ht="12.95" customHeight="1" x14ac:dyDescent="0.3">
      <c r="B646" s="13" t="s">
        <v>28</v>
      </c>
      <c r="C646" s="8"/>
      <c r="D646" s="3" t="s">
        <v>16</v>
      </c>
      <c r="E646" s="55">
        <v>232562</v>
      </c>
      <c r="F646" s="30">
        <v>7.0000000000000007E-2</v>
      </c>
      <c r="G646" s="6">
        <f t="shared" si="226"/>
        <v>16279.3</v>
      </c>
      <c r="H646" s="30">
        <v>0.1</v>
      </c>
      <c r="I646" s="6">
        <f t="shared" si="227"/>
        <v>23256.2</v>
      </c>
      <c r="J646" s="30">
        <v>0.15</v>
      </c>
      <c r="K646" s="6">
        <f t="shared" si="228"/>
        <v>34884.300000000003</v>
      </c>
    </row>
    <row r="647" spans="2:11" ht="12.95" customHeight="1" x14ac:dyDescent="0.3">
      <c r="B647" s="13" t="s">
        <v>23</v>
      </c>
      <c r="C647" s="8"/>
      <c r="D647" s="3" t="s">
        <v>16</v>
      </c>
      <c r="E647" s="55">
        <v>226122</v>
      </c>
      <c r="F647" s="30">
        <v>0.03</v>
      </c>
      <c r="G647" s="6">
        <f t="shared" si="226"/>
        <v>6783.6</v>
      </c>
      <c r="H647" s="30">
        <v>0.05</v>
      </c>
      <c r="I647" s="6">
        <f t="shared" si="227"/>
        <v>11306.1</v>
      </c>
      <c r="J647" s="30">
        <v>7.0000000000000007E-2</v>
      </c>
      <c r="K647" s="6">
        <f t="shared" si="228"/>
        <v>15828.5</v>
      </c>
    </row>
    <row r="648" spans="2:11" ht="12.95" customHeight="1" x14ac:dyDescent="0.3">
      <c r="B648" s="13" t="s">
        <v>0</v>
      </c>
      <c r="C648" s="8"/>
      <c r="D648" s="3" t="s">
        <v>16</v>
      </c>
      <c r="E648" s="55">
        <v>172068</v>
      </c>
      <c r="F648" s="30">
        <v>7.0000000000000007E-2</v>
      </c>
      <c r="G648" s="6">
        <f t="shared" si="226"/>
        <v>12044.7</v>
      </c>
      <c r="H648" s="30">
        <v>0.1</v>
      </c>
      <c r="I648" s="6">
        <f t="shared" si="227"/>
        <v>17206.8</v>
      </c>
      <c r="J648" s="30">
        <v>0.15</v>
      </c>
      <c r="K648" s="6">
        <f t="shared" si="228"/>
        <v>25810.2</v>
      </c>
    </row>
    <row r="649" spans="2:11" ht="12.95" customHeight="1" x14ac:dyDescent="0.3">
      <c r="B649" s="32" t="s">
        <v>9</v>
      </c>
      <c r="C649" s="32" t="s">
        <v>114</v>
      </c>
      <c r="D649" s="42" t="s">
        <v>22</v>
      </c>
      <c r="E649" s="55">
        <v>58925</v>
      </c>
      <c r="F649" s="30">
        <v>0.28999999999999998</v>
      </c>
      <c r="G649" s="6">
        <f t="shared" si="226"/>
        <v>17088.2</v>
      </c>
      <c r="H649" s="30">
        <v>0.41</v>
      </c>
      <c r="I649" s="6">
        <f t="shared" si="227"/>
        <v>24159.200000000001</v>
      </c>
      <c r="J649" s="30">
        <v>0.57999999999999996</v>
      </c>
      <c r="K649" s="6">
        <f t="shared" si="228"/>
        <v>34176.5</v>
      </c>
    </row>
    <row r="650" spans="2:11" ht="12.95" customHeight="1" x14ac:dyDescent="0.3">
      <c r="B650" s="21" t="s">
        <v>18</v>
      </c>
      <c r="C650" s="40"/>
      <c r="D650" s="40"/>
      <c r="E650" s="44"/>
      <c r="F650" s="47" t="s">
        <v>43</v>
      </c>
      <c r="G650" s="43">
        <f>TRUNC(SUM(G644:G649))</f>
        <v>75604</v>
      </c>
      <c r="H650" s="47" t="s">
        <v>43</v>
      </c>
      <c r="I650" s="43">
        <f>TRUNC(SUM(I644:I649))</f>
        <v>109791</v>
      </c>
      <c r="J650" s="47" t="s">
        <v>43</v>
      </c>
      <c r="K650" s="43">
        <f>TRUNC(SUM(K644:K649))</f>
        <v>160018</v>
      </c>
    </row>
    <row r="651" spans="2:11" ht="12.95" customHeight="1" x14ac:dyDescent="0.3">
      <c r="B651" s="39"/>
      <c r="C651" s="40"/>
      <c r="D651" s="40"/>
      <c r="E651" s="44"/>
      <c r="F651" s="47"/>
      <c r="G651" s="34"/>
      <c r="H651" s="47"/>
      <c r="I651" s="34"/>
      <c r="J651" s="47"/>
      <c r="K651" s="34"/>
    </row>
    <row r="652" spans="2:11" ht="12.95" customHeight="1" x14ac:dyDescent="0.3">
      <c r="B652" s="32" t="s">
        <v>9</v>
      </c>
      <c r="C652" s="32" t="s">
        <v>114</v>
      </c>
      <c r="D652" s="42" t="s">
        <v>22</v>
      </c>
      <c r="E652" s="55">
        <v>157250</v>
      </c>
      <c r="F652" s="30">
        <v>0.28999999999999998</v>
      </c>
      <c r="G652" s="6">
        <f t="shared" ref="G652" si="229">TRUNC($E652*F652,1)</f>
        <v>45602.5</v>
      </c>
      <c r="H652" s="30">
        <v>0.41</v>
      </c>
      <c r="I652" s="6">
        <f t="shared" ref="I652" si="230">TRUNC($E652*H652,1)</f>
        <v>64472.5</v>
      </c>
      <c r="J652" s="30">
        <v>0.57999999999999996</v>
      </c>
      <c r="K652" s="6">
        <f t="shared" ref="K652" si="231">TRUNC($E652*J652,1)</f>
        <v>91205</v>
      </c>
    </row>
    <row r="653" spans="2:11" ht="12.95" customHeight="1" x14ac:dyDescent="0.3">
      <c r="B653" s="24" t="s">
        <v>19</v>
      </c>
      <c r="C653" s="40"/>
      <c r="D653" s="40"/>
      <c r="E653" s="33"/>
      <c r="F653" s="35" t="s">
        <v>43</v>
      </c>
      <c r="G653" s="43">
        <f>TRUNC(SUM(G652:G652))</f>
        <v>45602</v>
      </c>
      <c r="H653" s="35"/>
      <c r="I653" s="43">
        <f>TRUNC(SUM(I652:I652))</f>
        <v>64472</v>
      </c>
      <c r="J653" s="35" t="s">
        <v>43</v>
      </c>
      <c r="K653" s="43">
        <f>TRUNC(SUM(K652:K652))</f>
        <v>91205</v>
      </c>
    </row>
    <row r="654" spans="2:11" ht="12.95" customHeight="1" x14ac:dyDescent="0.3">
      <c r="B654" s="11"/>
      <c r="C654" s="32"/>
      <c r="D654" s="32"/>
      <c r="E654" s="36"/>
      <c r="F654" s="30"/>
      <c r="G654" s="31"/>
      <c r="H654" s="30"/>
      <c r="I654" s="31"/>
      <c r="J654" s="30"/>
      <c r="K654" s="31"/>
    </row>
    <row r="655" spans="2:11" ht="12.95" customHeight="1" x14ac:dyDescent="0.3">
      <c r="B655" s="12" t="s">
        <v>20</v>
      </c>
      <c r="C655" s="41"/>
      <c r="D655" s="41"/>
      <c r="E655" s="37"/>
      <c r="F655" s="37"/>
      <c r="G655" s="38">
        <f>SUM(G642+G650+G653)</f>
        <v>147073</v>
      </c>
      <c r="H655" s="37"/>
      <c r="I655" s="38">
        <f>SUM(I642+I650+I653)</f>
        <v>210833</v>
      </c>
      <c r="J655" s="37"/>
      <c r="K655" s="38">
        <f>SUM(K642+K650+K653)</f>
        <v>302957</v>
      </c>
    </row>
    <row r="656" spans="2:11" ht="12.95" customHeight="1" x14ac:dyDescent="0.3">
      <c r="B656" s="79" t="s">
        <v>10</v>
      </c>
      <c r="C656" s="81" t="s">
        <v>21</v>
      </c>
      <c r="D656" s="73" t="s">
        <v>15</v>
      </c>
      <c r="E656" s="83" t="s">
        <v>11</v>
      </c>
      <c r="F656" s="77" t="s">
        <v>128</v>
      </c>
      <c r="G656" s="78"/>
      <c r="H656" s="78"/>
      <c r="I656" s="78"/>
    </row>
    <row r="657" spans="2:9" ht="12.95" customHeight="1" x14ac:dyDescent="0.3">
      <c r="B657" s="85"/>
      <c r="C657" s="86"/>
      <c r="D657" s="87"/>
      <c r="E657" s="88"/>
      <c r="F657" s="77" t="s">
        <v>115</v>
      </c>
      <c r="G657" s="78"/>
      <c r="H657" s="77" t="s">
        <v>116</v>
      </c>
      <c r="I657" s="78"/>
    </row>
    <row r="658" spans="2:9" ht="12.95" customHeight="1" x14ac:dyDescent="0.3">
      <c r="B658" s="80"/>
      <c r="C658" s="82"/>
      <c r="D658" s="74"/>
      <c r="E658" s="84"/>
      <c r="F658" s="51" t="s">
        <v>12</v>
      </c>
      <c r="G658" s="52" t="s">
        <v>13</v>
      </c>
      <c r="H658" s="51" t="s">
        <v>12</v>
      </c>
      <c r="I658" s="52" t="s">
        <v>13</v>
      </c>
    </row>
    <row r="659" spans="2:9" ht="12.95" customHeight="1" x14ac:dyDescent="0.3">
      <c r="B659" s="32" t="s">
        <v>123</v>
      </c>
      <c r="C659" s="32"/>
      <c r="D659" s="42" t="s">
        <v>33</v>
      </c>
      <c r="E659" s="54">
        <v>0</v>
      </c>
      <c r="F659" s="66">
        <v>3.3E-3</v>
      </c>
      <c r="G659" s="6">
        <f t="shared" ref="G659:G662" si="232">TRUNC($E659*F659,1)</f>
        <v>0</v>
      </c>
      <c r="H659" s="66">
        <v>3.3E-3</v>
      </c>
      <c r="I659" s="6">
        <f t="shared" ref="I659:I662" si="233">TRUNC($E659*H659,1)</f>
        <v>0</v>
      </c>
    </row>
    <row r="660" spans="2:9" ht="12.95" customHeight="1" x14ac:dyDescent="0.3">
      <c r="B660" s="32" t="s">
        <v>124</v>
      </c>
      <c r="C660" s="32"/>
      <c r="D660" s="42" t="s">
        <v>33</v>
      </c>
      <c r="E660" s="54">
        <v>0</v>
      </c>
      <c r="F660" s="66">
        <v>1.35E-2</v>
      </c>
      <c r="G660" s="6">
        <f t="shared" si="232"/>
        <v>0</v>
      </c>
      <c r="H660" s="66">
        <v>1.35E-2</v>
      </c>
      <c r="I660" s="6">
        <f t="shared" si="233"/>
        <v>0</v>
      </c>
    </row>
    <row r="661" spans="2:9" ht="12.95" customHeight="1" x14ac:dyDescent="0.3">
      <c r="B661" s="32" t="s">
        <v>125</v>
      </c>
      <c r="C661" s="32"/>
      <c r="D661" s="42" t="s">
        <v>75</v>
      </c>
      <c r="E661" s="54">
        <v>0</v>
      </c>
      <c r="F661" s="30">
        <v>2.95</v>
      </c>
      <c r="G661" s="6">
        <f t="shared" si="232"/>
        <v>0</v>
      </c>
      <c r="H661" s="30">
        <v>5.48</v>
      </c>
      <c r="I661" s="6">
        <f t="shared" si="233"/>
        <v>0</v>
      </c>
    </row>
    <row r="662" spans="2:9" ht="12.95" customHeight="1" x14ac:dyDescent="0.3">
      <c r="B662" s="32" t="s">
        <v>9</v>
      </c>
      <c r="C662" s="32" t="s">
        <v>114</v>
      </c>
      <c r="D662" s="42" t="s">
        <v>22</v>
      </c>
      <c r="E662" s="55">
        <v>89197</v>
      </c>
      <c r="F662" s="30">
        <v>0.82</v>
      </c>
      <c r="G662" s="6">
        <f t="shared" si="232"/>
        <v>73141.5</v>
      </c>
      <c r="H662" s="30">
        <v>0.98</v>
      </c>
      <c r="I662" s="6">
        <f t="shared" si="233"/>
        <v>87413</v>
      </c>
    </row>
    <row r="663" spans="2:9" ht="12.95" customHeight="1" x14ac:dyDescent="0.3">
      <c r="B663" s="24" t="s">
        <v>17</v>
      </c>
      <c r="C663" s="40"/>
      <c r="D663" s="40"/>
      <c r="E663" s="44"/>
      <c r="F663" s="47" t="s">
        <v>43</v>
      </c>
      <c r="G663" s="43">
        <f>TRUNC(SUM(G659:G662))</f>
        <v>73141</v>
      </c>
      <c r="H663" s="47" t="s">
        <v>43</v>
      </c>
      <c r="I663" s="43">
        <f>TRUNC(SUM(I659:I662))</f>
        <v>87413</v>
      </c>
    </row>
    <row r="664" spans="2:9" ht="12.95" customHeight="1" x14ac:dyDescent="0.3">
      <c r="B664" s="39"/>
      <c r="C664" s="40"/>
      <c r="D664" s="40"/>
      <c r="E664" s="44"/>
      <c r="F664" s="47"/>
      <c r="G664" s="34"/>
      <c r="H664" s="47"/>
      <c r="I664" s="34"/>
    </row>
    <row r="665" spans="2:9" ht="12.95" customHeight="1" x14ac:dyDescent="0.3">
      <c r="B665" s="13" t="s">
        <v>3</v>
      </c>
      <c r="C665" s="8"/>
      <c r="D665" s="3" t="s">
        <v>16</v>
      </c>
      <c r="E665" s="55">
        <v>295138</v>
      </c>
      <c r="F665" s="30">
        <v>0.05</v>
      </c>
      <c r="G665" s="6">
        <f t="shared" ref="G665:G670" si="234">TRUNC($E665*F665,1)</f>
        <v>14756.9</v>
      </c>
      <c r="H665" s="30">
        <v>0.06</v>
      </c>
      <c r="I665" s="6">
        <f t="shared" ref="I665:I670" si="235">TRUNC($E665*H665,1)</f>
        <v>17708.2</v>
      </c>
    </row>
    <row r="666" spans="2:9" ht="12.95" customHeight="1" x14ac:dyDescent="0.3">
      <c r="B666" s="13" t="s">
        <v>7</v>
      </c>
      <c r="C666" s="8"/>
      <c r="D666" s="3" t="s">
        <v>16</v>
      </c>
      <c r="E666" s="55">
        <v>250087</v>
      </c>
      <c r="F666" s="30">
        <v>0.2</v>
      </c>
      <c r="G666" s="6">
        <f t="shared" si="234"/>
        <v>50017.4</v>
      </c>
      <c r="H666" s="30">
        <v>0.24</v>
      </c>
      <c r="I666" s="6">
        <f t="shared" si="235"/>
        <v>60020.800000000003</v>
      </c>
    </row>
    <row r="667" spans="2:9" ht="12.95" customHeight="1" x14ac:dyDescent="0.3">
      <c r="B667" s="13" t="s">
        <v>28</v>
      </c>
      <c r="C667" s="8"/>
      <c r="D667" s="3" t="s">
        <v>16</v>
      </c>
      <c r="E667" s="55">
        <v>232562</v>
      </c>
      <c r="F667" s="30">
        <v>0.2</v>
      </c>
      <c r="G667" s="6">
        <f t="shared" si="234"/>
        <v>46512.4</v>
      </c>
      <c r="H667" s="30">
        <v>0.24</v>
      </c>
      <c r="I667" s="6">
        <f t="shared" si="235"/>
        <v>55814.8</v>
      </c>
    </row>
    <row r="668" spans="2:9" ht="12.95" customHeight="1" x14ac:dyDescent="0.3">
      <c r="B668" s="13" t="s">
        <v>23</v>
      </c>
      <c r="C668" s="8"/>
      <c r="D668" s="3" t="s">
        <v>16</v>
      </c>
      <c r="E668" s="55">
        <v>226122</v>
      </c>
      <c r="F668" s="30">
        <v>0.1</v>
      </c>
      <c r="G668" s="6">
        <f t="shared" si="234"/>
        <v>22612.2</v>
      </c>
      <c r="H668" s="30">
        <v>0.12</v>
      </c>
      <c r="I668" s="6">
        <f t="shared" si="235"/>
        <v>27134.6</v>
      </c>
    </row>
    <row r="669" spans="2:9" ht="12.95" customHeight="1" x14ac:dyDescent="0.3">
      <c r="B669" s="13" t="s">
        <v>0</v>
      </c>
      <c r="C669" s="8"/>
      <c r="D669" s="3" t="s">
        <v>16</v>
      </c>
      <c r="E669" s="55">
        <v>172068</v>
      </c>
      <c r="F669" s="30">
        <v>0.2</v>
      </c>
      <c r="G669" s="6">
        <f t="shared" si="234"/>
        <v>34413.599999999999</v>
      </c>
      <c r="H669" s="30">
        <v>0.24</v>
      </c>
      <c r="I669" s="6">
        <f t="shared" si="235"/>
        <v>41296.300000000003</v>
      </c>
    </row>
    <row r="670" spans="2:9" ht="12.95" customHeight="1" x14ac:dyDescent="0.3">
      <c r="B670" s="32" t="s">
        <v>9</v>
      </c>
      <c r="C670" s="32" t="s">
        <v>114</v>
      </c>
      <c r="D670" s="42" t="s">
        <v>22</v>
      </c>
      <c r="E670" s="55">
        <v>58925</v>
      </c>
      <c r="F670" s="30">
        <v>0.82</v>
      </c>
      <c r="G670" s="6">
        <f t="shared" si="234"/>
        <v>48318.5</v>
      </c>
      <c r="H670" s="30">
        <v>0.98</v>
      </c>
      <c r="I670" s="6">
        <f t="shared" si="235"/>
        <v>57746.5</v>
      </c>
    </row>
    <row r="671" spans="2:9" ht="12.95" customHeight="1" x14ac:dyDescent="0.3">
      <c r="B671" s="21" t="s">
        <v>18</v>
      </c>
      <c r="C671" s="40"/>
      <c r="D671" s="40"/>
      <c r="E671" s="44"/>
      <c r="F671" s="47" t="s">
        <v>43</v>
      </c>
      <c r="G671" s="43">
        <f>TRUNC(SUM(G665:G670))</f>
        <v>216631</v>
      </c>
      <c r="H671" s="47"/>
      <c r="I671" s="43">
        <f>TRUNC(SUM(I665:I670))</f>
        <v>259721</v>
      </c>
    </row>
    <row r="672" spans="2:9" ht="12.95" customHeight="1" x14ac:dyDescent="0.3">
      <c r="B672" s="39"/>
      <c r="C672" s="40"/>
      <c r="D672" s="40"/>
      <c r="E672" s="44"/>
      <c r="F672" s="47"/>
      <c r="G672" s="34"/>
      <c r="H672" s="47"/>
      <c r="I672" s="34"/>
    </row>
    <row r="673" spans="2:9" ht="12.95" customHeight="1" x14ac:dyDescent="0.3">
      <c r="B673" s="32" t="s">
        <v>9</v>
      </c>
      <c r="C673" s="32" t="s">
        <v>114</v>
      </c>
      <c r="D673" s="42" t="s">
        <v>22</v>
      </c>
      <c r="E673" s="55">
        <v>157250</v>
      </c>
      <c r="F673" s="30">
        <v>0.82</v>
      </c>
      <c r="G673" s="6">
        <f t="shared" ref="G673" si="236">TRUNC($E673*F673,1)</f>
        <v>128945</v>
      </c>
      <c r="H673" s="30">
        <v>0.98</v>
      </c>
      <c r="I673" s="6">
        <f t="shared" ref="I673" si="237">TRUNC($E673*H673,1)</f>
        <v>154105</v>
      </c>
    </row>
    <row r="674" spans="2:9" ht="12.95" customHeight="1" x14ac:dyDescent="0.3">
      <c r="B674" s="24" t="s">
        <v>19</v>
      </c>
      <c r="C674" s="40"/>
      <c r="D674" s="40"/>
      <c r="E674" s="33"/>
      <c r="F674" s="35" t="s">
        <v>43</v>
      </c>
      <c r="G674" s="43">
        <f>TRUNC(SUM(G673:G673))</f>
        <v>128945</v>
      </c>
      <c r="H674" s="35" t="s">
        <v>43</v>
      </c>
      <c r="I674" s="43">
        <f>TRUNC(SUM(I673:I673))</f>
        <v>154105</v>
      </c>
    </row>
    <row r="675" spans="2:9" ht="12.95" customHeight="1" x14ac:dyDescent="0.3">
      <c r="B675" s="11"/>
      <c r="C675" s="32"/>
      <c r="D675" s="32"/>
      <c r="E675" s="36"/>
      <c r="F675" s="30"/>
      <c r="G675" s="31"/>
      <c r="H675" s="30"/>
      <c r="I675" s="31"/>
    </row>
    <row r="676" spans="2:9" ht="12.95" customHeight="1" x14ac:dyDescent="0.3">
      <c r="B676" s="12" t="s">
        <v>20</v>
      </c>
      <c r="C676" s="41"/>
      <c r="D676" s="41"/>
      <c r="E676" s="37"/>
      <c r="F676" s="37"/>
      <c r="G676" s="38">
        <f>SUM(G663+G671+G674)</f>
        <v>418717</v>
      </c>
      <c r="H676" s="37"/>
      <c r="I676" s="38">
        <f>SUM(I663+I671+I674)</f>
        <v>501239</v>
      </c>
    </row>
    <row r="678" spans="2:9" ht="12.95" customHeight="1" x14ac:dyDescent="0.3">
      <c r="B678" s="2" t="s">
        <v>130</v>
      </c>
      <c r="G678" s="49" t="s">
        <v>129</v>
      </c>
    </row>
    <row r="679" spans="2:9" ht="12.95" customHeight="1" x14ac:dyDescent="0.3">
      <c r="B679" s="79" t="s">
        <v>10</v>
      </c>
      <c r="C679" s="81" t="s">
        <v>21</v>
      </c>
      <c r="D679" s="72" t="s">
        <v>15</v>
      </c>
      <c r="E679" s="83" t="s">
        <v>11</v>
      </c>
      <c r="F679" s="73" t="s">
        <v>12</v>
      </c>
      <c r="G679" s="75" t="s">
        <v>13</v>
      </c>
    </row>
    <row r="680" spans="2:9" ht="12.95" customHeight="1" x14ac:dyDescent="0.3">
      <c r="B680" s="80"/>
      <c r="C680" s="82"/>
      <c r="D680" s="72"/>
      <c r="E680" s="84"/>
      <c r="F680" s="74"/>
      <c r="G680" s="76"/>
    </row>
    <row r="681" spans="2:9" ht="12.95" customHeight="1" x14ac:dyDescent="0.3">
      <c r="B681" s="13" t="s">
        <v>3</v>
      </c>
      <c r="C681" s="8"/>
      <c r="D681" s="3" t="s">
        <v>16</v>
      </c>
      <c r="E681" s="55">
        <v>295138</v>
      </c>
      <c r="F681" s="56">
        <v>6.7000000000000004E-2</v>
      </c>
      <c r="G681" s="6">
        <f t="shared" ref="G681:G684" si="238">TRUNC($E681*F681,1)</f>
        <v>19774.2</v>
      </c>
    </row>
    <row r="682" spans="2:9" ht="12.95" customHeight="1" x14ac:dyDescent="0.3">
      <c r="B682" s="13" t="s">
        <v>7</v>
      </c>
      <c r="C682" s="8"/>
      <c r="D682" s="3" t="s">
        <v>16</v>
      </c>
      <c r="E682" s="55">
        <v>250087</v>
      </c>
      <c r="F682" s="56">
        <v>0.13300000000000001</v>
      </c>
      <c r="G682" s="6">
        <f t="shared" si="238"/>
        <v>33261.5</v>
      </c>
    </row>
    <row r="683" spans="2:9" ht="12.95" customHeight="1" x14ac:dyDescent="0.3">
      <c r="B683" s="13" t="s">
        <v>23</v>
      </c>
      <c r="C683" s="8"/>
      <c r="D683" s="3" t="s">
        <v>16</v>
      </c>
      <c r="E683" s="55">
        <v>226122</v>
      </c>
      <c r="F683" s="56">
        <v>0.26700000000000002</v>
      </c>
      <c r="G683" s="6">
        <f t="shared" si="238"/>
        <v>60374.5</v>
      </c>
    </row>
    <row r="684" spans="2:9" ht="12.95" customHeight="1" x14ac:dyDescent="0.3">
      <c r="B684" s="13" t="s">
        <v>0</v>
      </c>
      <c r="C684" s="8"/>
      <c r="D684" s="3" t="s">
        <v>16</v>
      </c>
      <c r="E684" s="55">
        <v>172068</v>
      </c>
      <c r="F684" s="56">
        <v>0.26700000000000002</v>
      </c>
      <c r="G684" s="6">
        <f t="shared" si="238"/>
        <v>45942.1</v>
      </c>
    </row>
    <row r="685" spans="2:9" ht="12.95" customHeight="1" x14ac:dyDescent="0.3">
      <c r="B685" s="21" t="s">
        <v>18</v>
      </c>
      <c r="C685" s="40"/>
      <c r="D685" s="40"/>
      <c r="E685" s="44"/>
      <c r="F685" s="47"/>
      <c r="G685" s="43">
        <f>TRUNC(SUM(G681:G684))</f>
        <v>159352</v>
      </c>
    </row>
    <row r="686" spans="2:9" ht="12.95" customHeight="1" x14ac:dyDescent="0.3">
      <c r="B686" s="11"/>
      <c r="C686" s="32"/>
      <c r="D686" s="32"/>
      <c r="E686" s="36"/>
      <c r="F686" s="30"/>
      <c r="G686" s="31"/>
    </row>
    <row r="687" spans="2:9" ht="12.95" customHeight="1" x14ac:dyDescent="0.3">
      <c r="B687" s="12" t="s">
        <v>20</v>
      </c>
      <c r="C687" s="41"/>
      <c r="D687" s="41"/>
      <c r="E687" s="37"/>
      <c r="F687" s="37"/>
      <c r="G687" s="38">
        <f>SUM(G685)</f>
        <v>159352</v>
      </c>
    </row>
  </sheetData>
  <mergeCells count="275">
    <mergeCell ref="B679:B680"/>
    <mergeCell ref="C679:C680"/>
    <mergeCell ref="D679:D680"/>
    <mergeCell ref="E679:E680"/>
    <mergeCell ref="F679:F680"/>
    <mergeCell ref="G679:G680"/>
    <mergeCell ref="B656:B658"/>
    <mergeCell ref="C656:C658"/>
    <mergeCell ref="D656:D658"/>
    <mergeCell ref="E656:E658"/>
    <mergeCell ref="F656:I656"/>
    <mergeCell ref="F657:G657"/>
    <mergeCell ref="H657:I657"/>
    <mergeCell ref="B635:B637"/>
    <mergeCell ref="C635:C637"/>
    <mergeCell ref="D635:D637"/>
    <mergeCell ref="E635:E637"/>
    <mergeCell ref="F635:K635"/>
    <mergeCell ref="F636:G636"/>
    <mergeCell ref="H636:I636"/>
    <mergeCell ref="J636:K636"/>
    <mergeCell ref="B614:B616"/>
    <mergeCell ref="C614:C616"/>
    <mergeCell ref="D614:D616"/>
    <mergeCell ref="E614:E616"/>
    <mergeCell ref="F614:K614"/>
    <mergeCell ref="F615:G615"/>
    <mergeCell ref="H615:I615"/>
    <mergeCell ref="J615:K615"/>
    <mergeCell ref="B593:B595"/>
    <mergeCell ref="C593:C595"/>
    <mergeCell ref="D593:D595"/>
    <mergeCell ref="E593:E595"/>
    <mergeCell ref="F593:K593"/>
    <mergeCell ref="F594:G594"/>
    <mergeCell ref="H594:I594"/>
    <mergeCell ref="J594:K594"/>
    <mergeCell ref="B572:B574"/>
    <mergeCell ref="C572:C574"/>
    <mergeCell ref="D572:D574"/>
    <mergeCell ref="E572:E574"/>
    <mergeCell ref="F572:K572"/>
    <mergeCell ref="F573:G573"/>
    <mergeCell ref="H573:I573"/>
    <mergeCell ref="J573:K573"/>
    <mergeCell ref="B551:B553"/>
    <mergeCell ref="C551:C553"/>
    <mergeCell ref="D551:D553"/>
    <mergeCell ref="E551:E553"/>
    <mergeCell ref="F551:K551"/>
    <mergeCell ref="F552:G552"/>
    <mergeCell ref="H552:I552"/>
    <mergeCell ref="J552:K552"/>
    <mergeCell ref="B531:B533"/>
    <mergeCell ref="C531:C533"/>
    <mergeCell ref="D531:D533"/>
    <mergeCell ref="E531:E533"/>
    <mergeCell ref="F531:K531"/>
    <mergeCell ref="F532:G532"/>
    <mergeCell ref="H532:I532"/>
    <mergeCell ref="J532:K532"/>
    <mergeCell ref="B511:B513"/>
    <mergeCell ref="C511:C513"/>
    <mergeCell ref="D511:D513"/>
    <mergeCell ref="E511:E513"/>
    <mergeCell ref="F511:K511"/>
    <mergeCell ref="F512:G512"/>
    <mergeCell ref="H512:I512"/>
    <mergeCell ref="J512:K512"/>
    <mergeCell ref="B491:B493"/>
    <mergeCell ref="C491:C493"/>
    <mergeCell ref="D491:D493"/>
    <mergeCell ref="E491:E493"/>
    <mergeCell ref="F491:K491"/>
    <mergeCell ref="F492:G492"/>
    <mergeCell ref="H492:I492"/>
    <mergeCell ref="J492:K492"/>
    <mergeCell ref="B469:B471"/>
    <mergeCell ref="C469:C471"/>
    <mergeCell ref="D469:D471"/>
    <mergeCell ref="E469:E471"/>
    <mergeCell ref="F469:K469"/>
    <mergeCell ref="F470:G470"/>
    <mergeCell ref="H470:I470"/>
    <mergeCell ref="J470:K470"/>
    <mergeCell ref="B449:B451"/>
    <mergeCell ref="C449:C451"/>
    <mergeCell ref="D449:D451"/>
    <mergeCell ref="E449:E451"/>
    <mergeCell ref="F449:K449"/>
    <mergeCell ref="F450:G450"/>
    <mergeCell ref="H450:I450"/>
    <mergeCell ref="J450:K450"/>
    <mergeCell ref="B429:B431"/>
    <mergeCell ref="C429:C431"/>
    <mergeCell ref="D429:D431"/>
    <mergeCell ref="E429:E431"/>
    <mergeCell ref="F429:K429"/>
    <mergeCell ref="F430:G430"/>
    <mergeCell ref="H430:I430"/>
    <mergeCell ref="J430:K430"/>
    <mergeCell ref="B409:B411"/>
    <mergeCell ref="C409:C411"/>
    <mergeCell ref="D409:D411"/>
    <mergeCell ref="E409:E411"/>
    <mergeCell ref="F409:K409"/>
    <mergeCell ref="F410:G410"/>
    <mergeCell ref="H410:I410"/>
    <mergeCell ref="J410:K410"/>
    <mergeCell ref="B389:B391"/>
    <mergeCell ref="C389:C391"/>
    <mergeCell ref="D389:D391"/>
    <mergeCell ref="E389:E391"/>
    <mergeCell ref="F389:K389"/>
    <mergeCell ref="F390:G390"/>
    <mergeCell ref="H390:I390"/>
    <mergeCell ref="J390:K390"/>
    <mergeCell ref="B369:B371"/>
    <mergeCell ref="C369:C371"/>
    <mergeCell ref="D369:D371"/>
    <mergeCell ref="E369:E371"/>
    <mergeCell ref="F369:K369"/>
    <mergeCell ref="F370:G370"/>
    <mergeCell ref="H370:I370"/>
    <mergeCell ref="J370:K370"/>
    <mergeCell ref="B349:B351"/>
    <mergeCell ref="C349:C351"/>
    <mergeCell ref="D349:D351"/>
    <mergeCell ref="E349:E351"/>
    <mergeCell ref="F349:K349"/>
    <mergeCell ref="F350:G350"/>
    <mergeCell ref="H350:I350"/>
    <mergeCell ref="J350:K350"/>
    <mergeCell ref="B329:B331"/>
    <mergeCell ref="C329:C331"/>
    <mergeCell ref="D329:D331"/>
    <mergeCell ref="E329:E331"/>
    <mergeCell ref="F329:K329"/>
    <mergeCell ref="F330:G330"/>
    <mergeCell ref="H330:I330"/>
    <mergeCell ref="J330:K330"/>
    <mergeCell ref="B309:B311"/>
    <mergeCell ref="C309:C311"/>
    <mergeCell ref="D309:D311"/>
    <mergeCell ref="E309:E311"/>
    <mergeCell ref="F309:K309"/>
    <mergeCell ref="F310:G310"/>
    <mergeCell ref="H310:I310"/>
    <mergeCell ref="J310:K310"/>
    <mergeCell ref="B289:B291"/>
    <mergeCell ref="C289:C291"/>
    <mergeCell ref="D289:D291"/>
    <mergeCell ref="E289:E291"/>
    <mergeCell ref="F289:K289"/>
    <mergeCell ref="F290:G290"/>
    <mergeCell ref="H290:I290"/>
    <mergeCell ref="J290:K290"/>
    <mergeCell ref="B269:B271"/>
    <mergeCell ref="C269:C271"/>
    <mergeCell ref="D269:D271"/>
    <mergeCell ref="E269:E271"/>
    <mergeCell ref="F269:K269"/>
    <mergeCell ref="F270:G270"/>
    <mergeCell ref="H270:I270"/>
    <mergeCell ref="J270:K270"/>
    <mergeCell ref="B249:B251"/>
    <mergeCell ref="C249:C251"/>
    <mergeCell ref="D249:D251"/>
    <mergeCell ref="E249:E251"/>
    <mergeCell ref="F249:K249"/>
    <mergeCell ref="F250:G250"/>
    <mergeCell ref="H250:I250"/>
    <mergeCell ref="J250:K250"/>
    <mergeCell ref="B235:B236"/>
    <mergeCell ref="C235:C236"/>
    <mergeCell ref="D235:D236"/>
    <mergeCell ref="E235:E236"/>
    <mergeCell ref="F235:F236"/>
    <mergeCell ref="G235:G236"/>
    <mergeCell ref="B222:B223"/>
    <mergeCell ref="C222:C223"/>
    <mergeCell ref="D222:D223"/>
    <mergeCell ref="E222:E223"/>
    <mergeCell ref="F222:F223"/>
    <mergeCell ref="G222:G223"/>
    <mergeCell ref="B210:B211"/>
    <mergeCell ref="C210:C211"/>
    <mergeCell ref="D210:D211"/>
    <mergeCell ref="E210:E211"/>
    <mergeCell ref="F210:F211"/>
    <mergeCell ref="G210:G211"/>
    <mergeCell ref="B197:B198"/>
    <mergeCell ref="C197:C198"/>
    <mergeCell ref="D197:D198"/>
    <mergeCell ref="E197:E198"/>
    <mergeCell ref="F197:F198"/>
    <mergeCell ref="G197:G198"/>
    <mergeCell ref="B187:B188"/>
    <mergeCell ref="C187:C188"/>
    <mergeCell ref="D187:D188"/>
    <mergeCell ref="E187:E188"/>
    <mergeCell ref="F187:F188"/>
    <mergeCell ref="G187:G188"/>
    <mergeCell ref="B174:B175"/>
    <mergeCell ref="C174:C175"/>
    <mergeCell ref="D174:D175"/>
    <mergeCell ref="E174:E175"/>
    <mergeCell ref="F174:F175"/>
    <mergeCell ref="G174:G175"/>
    <mergeCell ref="B158:B159"/>
    <mergeCell ref="C158:C159"/>
    <mergeCell ref="D158:D159"/>
    <mergeCell ref="E158:E159"/>
    <mergeCell ref="F158:F159"/>
    <mergeCell ref="G158:G159"/>
    <mergeCell ref="B138:B139"/>
    <mergeCell ref="C138:C139"/>
    <mergeCell ref="D138:D139"/>
    <mergeCell ref="E138:E139"/>
    <mergeCell ref="F138:F139"/>
    <mergeCell ref="G138:G139"/>
    <mergeCell ref="B121:B122"/>
    <mergeCell ref="C121:C122"/>
    <mergeCell ref="D121:D122"/>
    <mergeCell ref="E121:E122"/>
    <mergeCell ref="F121:F122"/>
    <mergeCell ref="G121:G122"/>
    <mergeCell ref="J84:K84"/>
    <mergeCell ref="B101:B102"/>
    <mergeCell ref="C101:C102"/>
    <mergeCell ref="D101:D102"/>
    <mergeCell ref="E101:E102"/>
    <mergeCell ref="F101:G101"/>
    <mergeCell ref="H101:I101"/>
    <mergeCell ref="B84:B85"/>
    <mergeCell ref="C84:C85"/>
    <mergeCell ref="D84:D85"/>
    <mergeCell ref="E84:E85"/>
    <mergeCell ref="F84:G84"/>
    <mergeCell ref="H84:I84"/>
    <mergeCell ref="J50:K50"/>
    <mergeCell ref="B67:B68"/>
    <mergeCell ref="C67:C68"/>
    <mergeCell ref="D67:D68"/>
    <mergeCell ref="E67:E68"/>
    <mergeCell ref="F67:G67"/>
    <mergeCell ref="H67:I67"/>
    <mergeCell ref="B50:B51"/>
    <mergeCell ref="C50:C51"/>
    <mergeCell ref="D50:D51"/>
    <mergeCell ref="E50:E51"/>
    <mergeCell ref="F50:G50"/>
    <mergeCell ref="H50:I50"/>
    <mergeCell ref="B4:B5"/>
    <mergeCell ref="C4:C5"/>
    <mergeCell ref="D4:D5"/>
    <mergeCell ref="E4:E5"/>
    <mergeCell ref="F4:F5"/>
    <mergeCell ref="G4:G5"/>
    <mergeCell ref="J14:K14"/>
    <mergeCell ref="L14:M14"/>
    <mergeCell ref="B31:B32"/>
    <mergeCell ref="C31:C32"/>
    <mergeCell ref="D31:D32"/>
    <mergeCell ref="E31:E32"/>
    <mergeCell ref="F31:G31"/>
    <mergeCell ref="H31:I31"/>
    <mergeCell ref="J31:K31"/>
    <mergeCell ref="L31:M31"/>
    <mergeCell ref="B14:B15"/>
    <mergeCell ref="C14:C15"/>
    <mergeCell ref="D14:D15"/>
    <mergeCell ref="E14:E15"/>
    <mergeCell ref="F14:G14"/>
    <mergeCell ref="H14:I14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지반조사(상반기)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2026-01-01T07:58:39Z</dcterms:modified>
</cp:coreProperties>
</file>