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54387F9F-B375-40B1-BD27-375E8F42C9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돌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" i="6" l="1"/>
  <c r="I199" i="6"/>
  <c r="I198" i="6"/>
  <c r="I186" i="6"/>
  <c r="I185" i="6"/>
  <c r="G185" i="6"/>
  <c r="I171" i="6"/>
  <c r="I170" i="6"/>
  <c r="I169" i="6"/>
  <c r="I166" i="6" s="1"/>
  <c r="I156" i="6"/>
  <c r="I155" i="6"/>
  <c r="I154" i="6"/>
  <c r="G140" i="6"/>
  <c r="I201" i="6" l="1"/>
  <c r="I195" i="6"/>
  <c r="I196" i="6" s="1"/>
  <c r="I203" i="6" s="1"/>
  <c r="I204" i="6" s="1"/>
  <c r="G199" i="6"/>
  <c r="G198" i="6"/>
  <c r="G200" i="6"/>
  <c r="G186" i="6"/>
  <c r="I187" i="6"/>
  <c r="I167" i="6"/>
  <c r="I172" i="6"/>
  <c r="G171" i="6"/>
  <c r="G169" i="6"/>
  <c r="G170" i="6"/>
  <c r="I157" i="6"/>
  <c r="I151" i="6"/>
  <c r="I152" i="6" s="1"/>
  <c r="G155" i="6"/>
  <c r="G156" i="6"/>
  <c r="G154" i="6"/>
  <c r="I140" i="6"/>
  <c r="G141" i="6"/>
  <c r="I141" i="6"/>
  <c r="G142" i="6"/>
  <c r="I142" i="6"/>
  <c r="G182" i="6" l="1"/>
  <c r="G183" i="6" s="1"/>
  <c r="G195" i="6"/>
  <c r="G196" i="6" s="1"/>
  <c r="G201" i="6"/>
  <c r="I182" i="6"/>
  <c r="I183" i="6" s="1"/>
  <c r="I189" i="6" s="1"/>
  <c r="I190" i="6" s="1"/>
  <c r="G187" i="6"/>
  <c r="I159" i="6"/>
  <c r="I160" i="6" s="1"/>
  <c r="G166" i="6"/>
  <c r="I174" i="6"/>
  <c r="I175" i="6" s="1"/>
  <c r="G172" i="6"/>
  <c r="G167" i="6"/>
  <c r="G174" i="6" s="1"/>
  <c r="G175" i="6" s="1"/>
  <c r="G137" i="6"/>
  <c r="G138" i="6" s="1"/>
  <c r="G157" i="6"/>
  <c r="G151" i="6"/>
  <c r="G152" i="6" s="1"/>
  <c r="I137" i="6"/>
  <c r="I138" i="6" s="1"/>
  <c r="G143" i="6"/>
  <c r="I143" i="6"/>
  <c r="G159" i="6" l="1"/>
  <c r="G160" i="6" s="1"/>
  <c r="G189" i="6"/>
  <c r="G190" i="6" s="1"/>
  <c r="G203" i="6"/>
  <c r="G204" i="6" s="1"/>
  <c r="I145" i="6"/>
  <c r="G145" i="6"/>
  <c r="G146" i="6" s="1"/>
  <c r="I146" i="6"/>
  <c r="G124" i="6" l="1"/>
  <c r="G123" i="6"/>
  <c r="G125" i="6" s="1"/>
  <c r="G120" i="6"/>
  <c r="G119" i="6"/>
  <c r="G118" i="6"/>
  <c r="G115" i="6"/>
  <c r="G116" i="6" s="1"/>
  <c r="G97" i="6"/>
  <c r="K77" i="6"/>
  <c r="K76" i="6"/>
  <c r="K73" i="6"/>
  <c r="K72" i="6"/>
  <c r="K71" i="6"/>
  <c r="K74" i="6" s="1"/>
  <c r="I68" i="6"/>
  <c r="I69" i="6" s="1"/>
  <c r="I57" i="6"/>
  <c r="K56" i="6"/>
  <c r="K53" i="6"/>
  <c r="K52" i="6"/>
  <c r="K51" i="6"/>
  <c r="I48" i="6"/>
  <c r="I49" i="6" s="1"/>
  <c r="K36" i="6"/>
  <c r="G35" i="6"/>
  <c r="I32" i="6"/>
  <c r="K31" i="6"/>
  <c r="G30" i="6"/>
  <c r="I27" i="6"/>
  <c r="I28" i="6" s="1"/>
  <c r="K16" i="6"/>
  <c r="K15" i="6"/>
  <c r="K17" i="6" s="1"/>
  <c r="K12" i="6"/>
  <c r="K11" i="6"/>
  <c r="K10" i="6"/>
  <c r="K7" i="6"/>
  <c r="K8" i="6" s="1"/>
  <c r="G121" i="6" l="1"/>
  <c r="G127" i="6" s="1"/>
  <c r="G128" i="6" s="1"/>
  <c r="G93" i="6"/>
  <c r="G91" i="6"/>
  <c r="G96" i="6"/>
  <c r="G98" i="6" s="1"/>
  <c r="G92" i="6"/>
  <c r="G88" i="6"/>
  <c r="G89" i="6" s="1"/>
  <c r="I77" i="6"/>
  <c r="K68" i="6"/>
  <c r="K69" i="6" s="1"/>
  <c r="K78" i="6"/>
  <c r="G77" i="6"/>
  <c r="I73" i="6"/>
  <c r="I71" i="6"/>
  <c r="K57" i="6"/>
  <c r="K58" i="6" s="1"/>
  <c r="G76" i="6"/>
  <c r="I76" i="6"/>
  <c r="G68" i="6"/>
  <c r="G69" i="6" s="1"/>
  <c r="I72" i="6"/>
  <c r="G73" i="6"/>
  <c r="G71" i="6"/>
  <c r="G72" i="6"/>
  <c r="K48" i="6"/>
  <c r="K49" i="6" s="1"/>
  <c r="K54" i="6"/>
  <c r="I10" i="6"/>
  <c r="G57" i="6"/>
  <c r="G51" i="6"/>
  <c r="I51" i="6"/>
  <c r="G52" i="6"/>
  <c r="I56" i="6"/>
  <c r="I58" i="6" s="1"/>
  <c r="G53" i="6"/>
  <c r="I53" i="6"/>
  <c r="G56" i="6"/>
  <c r="G48" i="6"/>
  <c r="G49" i="6" s="1"/>
  <c r="I52" i="6"/>
  <c r="I11" i="6"/>
  <c r="G36" i="6"/>
  <c r="G37" i="6" s="1"/>
  <c r="I36" i="6"/>
  <c r="K27" i="6"/>
  <c r="K28" i="6" s="1"/>
  <c r="I7" i="6"/>
  <c r="I8" i="6" s="1"/>
  <c r="I30" i="6"/>
  <c r="I15" i="6"/>
  <c r="I16" i="6"/>
  <c r="G31" i="6"/>
  <c r="I35" i="6"/>
  <c r="K32" i="6"/>
  <c r="K30" i="6"/>
  <c r="K13" i="6"/>
  <c r="K19" i="6" s="1"/>
  <c r="K20" i="6" s="1"/>
  <c r="G27" i="6"/>
  <c r="G28" i="6" s="1"/>
  <c r="I31" i="6"/>
  <c r="K35" i="6"/>
  <c r="K37" i="6" s="1"/>
  <c r="G32" i="6"/>
  <c r="I12" i="6"/>
  <c r="G16" i="6"/>
  <c r="G11" i="6"/>
  <c r="G12" i="6"/>
  <c r="G10" i="6"/>
  <c r="G7" i="6"/>
  <c r="G8" i="6" s="1"/>
  <c r="G15" i="6"/>
  <c r="I33" i="6" l="1"/>
  <c r="G78" i="6"/>
  <c r="I78" i="6"/>
  <c r="G94" i="6"/>
  <c r="G100" i="6" s="1"/>
  <c r="G101" i="6" s="1"/>
  <c r="I37" i="6"/>
  <c r="K80" i="6"/>
  <c r="K81" i="6" s="1"/>
  <c r="I74" i="6"/>
  <c r="G58" i="6"/>
  <c r="G33" i="6"/>
  <c r="G39" i="6" s="1"/>
  <c r="G40" i="6" s="1"/>
  <c r="G74" i="6"/>
  <c r="K60" i="6"/>
  <c r="K61" i="6" s="1"/>
  <c r="I13" i="6"/>
  <c r="G54" i="6"/>
  <c r="I54" i="6"/>
  <c r="I60" i="6" s="1"/>
  <c r="I61" i="6" s="1"/>
  <c r="K33" i="6"/>
  <c r="K39" i="6" s="1"/>
  <c r="K40" i="6" s="1"/>
  <c r="I17" i="6"/>
  <c r="G17" i="6"/>
  <c r="G13" i="6"/>
  <c r="G80" i="6" l="1"/>
  <c r="G81" i="6" s="1"/>
  <c r="I80" i="6"/>
  <c r="I81" i="6" s="1"/>
  <c r="I39" i="6"/>
  <c r="I40" i="6" s="1"/>
  <c r="G60" i="6"/>
  <c r="G61" i="6" s="1"/>
  <c r="I19" i="6"/>
  <c r="I20" i="6" s="1"/>
  <c r="G19" i="6"/>
  <c r="G20" i="6" s="1"/>
  <c r="G107" i="6" l="1"/>
  <c r="G108" i="6" l="1"/>
  <c r="G110" i="6" s="1"/>
</calcChain>
</file>

<file path=xl/sharedStrings.xml><?xml version="1.0" encoding="utf-8"?>
<sst xmlns="http://schemas.openxmlformats.org/spreadsheetml/2006/main" count="372" uniqueCount="61">
  <si>
    <t>보통인부</t>
  </si>
  <si>
    <t>철공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</si>
  <si>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</si>
  <si>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</si>
  <si>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</si>
  <si>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</si>
  <si>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</si>
  <si>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</si>
  <si>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공구손료</t>
    <phoneticPr fontId="5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</si>
  <si>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</si>
  <si>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</si>
  <si>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</si>
  <si>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</si>
  <si>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</si>
  <si>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합   계</t>
    <phoneticPr fontId="3" type="noConversion"/>
  </si>
  <si>
    <t>hr</t>
    <phoneticPr fontId="3" type="noConversion"/>
  </si>
  <si>
    <t>식</t>
    <phoneticPr fontId="3" type="noConversion"/>
  </si>
  <si>
    <t>규격</t>
    <phoneticPr fontId="5" type="noConversion"/>
  </si>
  <si>
    <t>용접공</t>
  </si>
  <si>
    <t>(㎡당)</t>
    <phoneticPr fontId="3" type="noConversion"/>
  </si>
  <si>
    <t>제7장 돌공사</t>
  </si>
  <si>
    <t>7-1-1 메쌓기</t>
    <phoneticPr fontId="3" type="noConversion"/>
  </si>
  <si>
    <t>7-1 돌쌓기</t>
  </si>
  <si>
    <t>0.6㎥</t>
    <phoneticPr fontId="3" type="noConversion"/>
  </si>
  <si>
    <t>부착용집게</t>
    <phoneticPr fontId="3" type="noConversion"/>
  </si>
  <si>
    <t>뒷길이 35㎝ 이하</t>
    <phoneticPr fontId="5" type="noConversion"/>
  </si>
  <si>
    <t>뒷길이 55㎝ 이하</t>
    <phoneticPr fontId="5" type="noConversion"/>
  </si>
  <si>
    <t>뒷길이 75㎝ 이하</t>
    <phoneticPr fontId="5" type="noConversion"/>
  </si>
  <si>
    <t>석공</t>
  </si>
  <si>
    <t>7-1-2 찰쌓기</t>
    <phoneticPr fontId="3" type="noConversion"/>
  </si>
  <si>
    <t>7-2 돌붙임</t>
  </si>
  <si>
    <t>7-2-1 메붙임</t>
    <phoneticPr fontId="3" type="noConversion"/>
  </si>
  <si>
    <t>7-2-2 찰붙임</t>
    <phoneticPr fontId="3" type="noConversion"/>
  </si>
  <si>
    <t>7-3 전석쌓기 및 깔기</t>
    <phoneticPr fontId="3" type="noConversion"/>
  </si>
  <si>
    <t>7-3-1 전석쌓기</t>
    <phoneticPr fontId="3" type="noConversion"/>
  </si>
  <si>
    <t>채움콘크리트</t>
    <phoneticPr fontId="3" type="noConversion"/>
  </si>
  <si>
    <t>7-3-2 전석깔기</t>
    <phoneticPr fontId="3" type="noConversion"/>
  </si>
  <si>
    <t>7-4 석재판 붙임</t>
  </si>
  <si>
    <t>7-4-1 습식공법</t>
    <phoneticPr fontId="3" type="noConversion"/>
  </si>
  <si>
    <t>테라조판</t>
    <phoneticPr fontId="3" type="noConversion"/>
  </si>
  <si>
    <t>화강석</t>
    <phoneticPr fontId="3" type="noConversion"/>
  </si>
  <si>
    <t>계단부</t>
    <phoneticPr fontId="5" type="noConversion"/>
  </si>
  <si>
    <t>7-4-3 강재트러스 지지공법</t>
    <phoneticPr fontId="3" type="noConversion"/>
  </si>
  <si>
    <t>굴착기(무한궤도)</t>
  </si>
  <si>
    <t>㎥</t>
    <phoneticPr fontId="3" type="noConversion"/>
  </si>
  <si>
    <t>수량</t>
    <phoneticPr fontId="3" type="noConversion"/>
  </si>
  <si>
    <t>금액</t>
    <phoneticPr fontId="3" type="noConversion"/>
  </si>
  <si>
    <t>※ 장비의 규격은 작업여건(작업범위, 위치 등)에 따라 변경할 수 있다.</t>
    <phoneticPr fontId="3" type="noConversion"/>
  </si>
  <si>
    <t>시공량(㎡)</t>
  </si>
  <si>
    <t>시공량(㎡)</t>
    <phoneticPr fontId="3" type="noConversion"/>
  </si>
  <si>
    <t>㎡당 단가</t>
    <phoneticPr fontId="3" type="noConversion"/>
  </si>
  <si>
    <t>(일당)</t>
    <phoneticPr fontId="3" type="noConversion"/>
  </si>
  <si>
    <t>※ 재료량은 다음을 참고하여 적용한다.</t>
    <phoneticPr fontId="3" type="noConversion"/>
  </si>
  <si>
    <t>인력품의 2%</t>
    <phoneticPr fontId="3" type="noConversion"/>
  </si>
  <si>
    <t>줄눈공</t>
    <phoneticPr fontId="3" type="noConversion"/>
  </si>
  <si>
    <t>바닥부</t>
    <phoneticPr fontId="5" type="noConversion"/>
  </si>
  <si>
    <t>0.3㎡이하</t>
    <phoneticPr fontId="5" type="noConversion"/>
  </si>
  <si>
    <t>0.3㎡초과~0.8㎡이하</t>
    <phoneticPr fontId="5" type="noConversion"/>
  </si>
  <si>
    <t>7-4-2 앵커 긴결공법</t>
  </si>
  <si>
    <t>하지철물 설치</t>
    <phoneticPr fontId="3" type="noConversion"/>
  </si>
  <si>
    <t>석재판 붙임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</si>
</sst>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4" formatCode="#,##0.00_);[Red]\(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</cellStyleXfs>
  <cellXfs count="9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9" fillId="0" borderId="3" xfId="3" applyFont="1" applyBorder="1" applyAlignment="1">
      <alignment vertical="center" shrinkToFit="1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4" xfId="3" applyFont="1" applyBorder="1" applyAlignment="1">
      <alignment vertical="center" shrinkToFit="1"/>
    </xf>
    <xf numFmtId="0" fontId="12" fillId="0" borderId="0" xfId="3" applyFont="1" applyAlignment="1">
      <alignment vertical="center"/>
    </xf>
    <xf numFmtId="0" fontId="13" fillId="0" borderId="0" xfId="6" applyFont="1" applyAlignment="1">
      <alignment vertical="center"/>
    </xf>
    <xf numFmtId="0" fontId="9" fillId="0" borderId="3" xfId="6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4" xfId="6" applyFont="1" applyBorder="1" applyAlignment="1">
      <alignment horizontal="right" vertical="center"/>
    </xf>
    <xf numFmtId="181" fontId="9" fillId="0" borderId="5" xfId="8" applyNumberFormat="1" applyFont="1" applyFill="1" applyBorder="1" applyAlignment="1">
      <alignment vertical="center"/>
    </xf>
    <xf numFmtId="0" fontId="9" fillId="0" borderId="3" xfId="6" applyFont="1" applyBorder="1" applyAlignment="1">
      <alignment horizontal="left" vertical="center"/>
    </xf>
    <xf numFmtId="0" fontId="9" fillId="0" borderId="5" xfId="6" applyFont="1" applyBorder="1" applyAlignment="1">
      <alignment vertical="center"/>
    </xf>
    <xf numFmtId="0" fontId="10" fillId="0" borderId="8" xfId="6" applyFont="1" applyBorder="1" applyAlignment="1">
      <alignment horizontal="left" vertical="center"/>
    </xf>
    <xf numFmtId="0" fontId="9" fillId="0" borderId="8" xfId="6" applyFont="1" applyBorder="1" applyAlignment="1">
      <alignment horizontal="left" vertical="center"/>
    </xf>
    <xf numFmtId="0" fontId="15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41" fontId="10" fillId="0" borderId="7" xfId="8" applyFont="1" applyFill="1" applyBorder="1" applyAlignment="1">
      <alignment horizontal="center" vertical="center"/>
    </xf>
    <xf numFmtId="0" fontId="12" fillId="0" borderId="3" xfId="3" applyFont="1" applyBorder="1" applyAlignment="1">
      <alignment vertical="center"/>
    </xf>
    <xf numFmtId="0" fontId="9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6" fillId="0" borderId="0" xfId="6" applyFont="1" applyAlignment="1">
      <alignment horizontal="centerContinuous" vertical="center"/>
    </xf>
    <xf numFmtId="41" fontId="16" fillId="0" borderId="0" xfId="8" applyFont="1" applyFill="1" applyBorder="1" applyAlignment="1">
      <alignment vertical="center"/>
    </xf>
    <xf numFmtId="0" fontId="13" fillId="0" borderId="0" xfId="0" applyFont="1">
      <alignment vertical="center"/>
    </xf>
    <xf numFmtId="0" fontId="9" fillId="0" borderId="0" xfId="6" applyFont="1" applyAlignment="1">
      <alignment horizontal="right" vertical="center"/>
    </xf>
    <xf numFmtId="0" fontId="17" fillId="0" borderId="3" xfId="3" applyFont="1" applyBorder="1" applyAlignment="1">
      <alignment vertical="center"/>
    </xf>
    <xf numFmtId="41" fontId="17" fillId="0" borderId="4" xfId="8" applyFont="1" applyFill="1" applyBorder="1" applyAlignment="1">
      <alignment vertical="center"/>
    </xf>
    <xf numFmtId="41" fontId="17" fillId="0" borderId="5" xfId="8" applyFont="1" applyFill="1" applyBorder="1" applyAlignment="1">
      <alignment vertical="center"/>
    </xf>
    <xf numFmtId="0" fontId="17" fillId="0" borderId="3" xfId="6" applyFont="1" applyBorder="1" applyAlignment="1">
      <alignment horizontal="left" vertical="center"/>
    </xf>
    <xf numFmtId="0" fontId="17" fillId="0" borderId="4" xfId="6" applyFont="1" applyBorder="1" applyAlignment="1">
      <alignment vertical="center"/>
    </xf>
    <xf numFmtId="0" fontId="18" fillId="0" borderId="4" xfId="3" applyFont="1" applyBorder="1" applyAlignment="1">
      <alignment horizontal="center" vertical="center"/>
    </xf>
    <xf numFmtId="0" fontId="18" fillId="0" borderId="3" xfId="6" applyFont="1" applyBorder="1" applyAlignment="1">
      <alignment horizontal="left" vertical="center"/>
    </xf>
    <xf numFmtId="0" fontId="18" fillId="0" borderId="3" xfId="3" applyFont="1" applyBorder="1" applyAlignment="1">
      <alignment horizontal="center"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9" fillId="0" borderId="6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2" fontId="9" fillId="0" borderId="4" xfId="9" applyNumberFormat="1" applyFont="1" applyBorder="1" applyAlignment="1">
      <alignment vertical="center"/>
    </xf>
    <xf numFmtId="41" fontId="9" fillId="0" borderId="4" xfId="9" applyFont="1" applyBorder="1" applyAlignment="1">
      <alignment vertical="center"/>
    </xf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176" fontId="11" fillId="0" borderId="9" xfId="7" applyNumberFormat="1" applyFont="1" applyBorder="1" applyAlignment="1">
      <alignment vertical="center"/>
    </xf>
    <xf numFmtId="41" fontId="11" fillId="0" borderId="4" xfId="10" applyNumberFormat="1" applyFont="1" applyBorder="1" applyAlignment="1">
      <alignment vertical="center"/>
    </xf>
    <xf numFmtId="41" fontId="11" fillId="0" borderId="4" xfId="7" applyNumberFormat="1" applyFont="1" applyBorder="1" applyAlignment="1">
      <alignment vertical="center"/>
    </xf>
    <xf numFmtId="176" fontId="11" fillId="0" borderId="4" xfId="7" applyNumberFormat="1" applyFont="1" applyBorder="1" applyAlignment="1">
      <alignment vertical="center"/>
    </xf>
    <xf numFmtId="176" fontId="9" fillId="0" borderId="4" xfId="7" applyNumberFormat="1" applyFont="1" applyBorder="1" applyAlignment="1">
      <alignment vertical="center"/>
    </xf>
    <xf numFmtId="184" fontId="19" fillId="0" borderId="0" xfId="4" applyNumberFormat="1" applyFont="1" applyAlignment="1">
      <alignment vertical="center"/>
    </xf>
    <xf numFmtId="0" fontId="6" fillId="0" borderId="0" xfId="0" applyFont="1" applyAlignment="1"/>
    <xf numFmtId="0" fontId="9" fillId="0" borderId="2" xfId="6" applyFont="1" applyBorder="1" applyAlignment="1">
      <alignment horizontal="center" vertical="center" wrapText="1"/>
    </xf>
    <xf numFmtId="1" fontId="9" fillId="0" borderId="11" xfId="6" applyNumberFormat="1" applyFont="1" applyBorder="1" applyAlignment="1">
      <alignment horizontal="center" vertical="center" wrapText="1"/>
    </xf>
    <xf numFmtId="41" fontId="11" fillId="0" borderId="4" xfId="11" applyNumberFormat="1" applyFont="1" applyBorder="1" applyAlignment="1">
      <alignment vertical="center"/>
    </xf>
    <xf numFmtId="41" fontId="17" fillId="0" borderId="4" xfId="1" applyFont="1" applyBorder="1" applyAlignment="1">
      <alignment vertical="center"/>
    </xf>
    <xf numFmtId="41" fontId="9" fillId="0" borderId="4" xfId="1" applyFont="1" applyBorder="1" applyAlignment="1">
      <alignment vertical="center"/>
    </xf>
    <xf numFmtId="41" fontId="20" fillId="0" borderId="4" xfId="2" applyNumberFormat="1" applyFont="1" applyBorder="1" applyAlignment="1">
      <alignment horizontal="center" vertical="center"/>
    </xf>
    <xf numFmtId="0" fontId="10" fillId="0" borderId="3" xfId="6" applyFont="1" applyBorder="1" applyAlignment="1">
      <alignment horizontal="left" vertical="center"/>
    </xf>
    <xf numFmtId="0" fontId="15" fillId="0" borderId="4" xfId="6" applyFont="1" applyBorder="1" applyAlignment="1">
      <alignment vertical="center"/>
    </xf>
    <xf numFmtId="0" fontId="10" fillId="0" borderId="4" xfId="6" applyFont="1" applyBorder="1" applyAlignment="1">
      <alignment vertical="center"/>
    </xf>
    <xf numFmtId="41" fontId="10" fillId="0" borderId="5" xfId="8" applyFont="1" applyFill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 shrinkToFit="1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9" xfId="3" applyFont="1" applyBorder="1" applyAlignment="1">
      <alignment horizontal="center" vertical="center" shrinkToFit="1"/>
    </xf>
    <xf numFmtId="0" fontId="9" fillId="0" borderId="4" xfId="3" applyFont="1" applyBorder="1" applyAlignment="1">
      <alignment horizontal="center" vertical="center" shrinkToFit="1"/>
    </xf>
    <xf numFmtId="0" fontId="9" fillId="0" borderId="6" xfId="3" applyFont="1" applyBorder="1" applyAlignment="1">
      <alignment horizontal="center" vertical="center" shrinkToFit="1"/>
    </xf>
    <xf numFmtId="0" fontId="12" fillId="0" borderId="1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6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1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</cellXfs>
  <cellStyles count="12">
    <cellStyle name="쉼표 [0]" xfId="1" builtinId="6"/>
    <cellStyle name="콤마 [0]_가설공사(1)" xfId="5" xr:uid="{00000000-0005-0000-0000-000002000000}"/>
    <cellStyle name="콤마 [0]_가설공사(2)" xfId="8" xr:uid="{00000000-0005-0000-0000-000003000000}"/>
    <cellStyle name="콤마 [0]_조경공사" xfId="9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기초공사" xfId="11" xr:uid="{3638174D-2DA6-473D-A49E-4485B31CDDA1}"/>
    <cellStyle name="표준_돌공사" xfId="10" xr:uid="{00000000-0005-0000-0000-000009000000}"/>
    <cellStyle name="표준_조경공사" xfId="2" xr:uid="{00000000-0005-0000-0000-00000A000000}"/>
    <cellStyle name="표준_토공사" xfId="7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CCE9-5A1B-49A3-B013-B85EE0DA99FD}">
  <sheetPr>
    <pageSetUpPr fitToPage="1"/>
  </sheetPr>
  <dimension ref="A1:P664"/>
  <sheetViews>
    <sheetView tabSelected="1" zoomScaleNormal="100" workbookViewId="0">
      <selection activeCell="M26" sqref="M26"/>
    </sheetView>
  </sheetViews>
  <sheetFormatPr defaultColWidth="9" defaultRowHeight="12.95" customHeight="1" x14ac:dyDescent="0.3"/>
  <cols>
    <col min="1" max="1" width="2.625" style="2" customWidth="1"/>
    <col min="2" max="2" width="15.625" style="2" customWidth="1"/>
    <col min="3" max="3" width="15.625" style="5" customWidth="1"/>
    <col min="4" max="4" width="4.625" style="2" customWidth="1"/>
    <col min="5" max="5" width="11.625" style="2" customWidth="1"/>
    <col min="6" max="6" width="8.625" style="2" customWidth="1"/>
    <col min="7" max="7" width="11.625" style="2" customWidth="1"/>
    <col min="8" max="8" width="8.625" style="2" customWidth="1"/>
    <col min="9" max="9" width="11.625" style="2" customWidth="1"/>
    <col min="10" max="10" width="8.625" style="2" customWidth="1"/>
    <col min="11" max="11" width="11.625" style="2" customWidth="1"/>
    <col min="12" max="12" width="8.625" style="2" customWidth="1"/>
    <col min="13" max="13" width="11.625" style="2" customWidth="1"/>
    <col min="14" max="14" width="2.625" style="2" customWidth="1"/>
    <col min="15" max="15" width="11.625" style="2" customWidth="1"/>
    <col min="16" max="16384" width="9" style="2"/>
  </cols>
  <sheetData>
    <row r="1" spans="1:11" ht="12.95" customHeight="1" x14ac:dyDescent="0.3">
      <c r="A1" s="53"/>
      <c r="B1" s="8" t="s">
        <v>20</v>
      </c>
      <c r="C1" s="4"/>
      <c r="D1" s="1"/>
    </row>
    <row r="2" spans="1:11" ht="12.95" customHeight="1" x14ac:dyDescent="0.15">
      <c r="A2" s="54"/>
      <c r="B2" s="1" t="s">
        <v>22</v>
      </c>
    </row>
    <row r="3" spans="1:11" ht="12.95" customHeight="1" x14ac:dyDescent="0.3">
      <c r="B3" s="38" t="s">
        <v>21</v>
      </c>
      <c r="C3" s="39"/>
      <c r="D3" s="24"/>
      <c r="E3" s="10"/>
      <c r="F3" s="11"/>
      <c r="G3" s="11"/>
      <c r="H3" s="11"/>
      <c r="I3" s="11"/>
      <c r="J3" s="11"/>
      <c r="K3" s="29" t="s">
        <v>51</v>
      </c>
    </row>
    <row r="4" spans="1:11" ht="12.95" customHeight="1" x14ac:dyDescent="0.3">
      <c r="B4" s="73" t="s">
        <v>2</v>
      </c>
      <c r="C4" s="70" t="s">
        <v>6</v>
      </c>
      <c r="D4" s="86" t="s">
        <v>7</v>
      </c>
      <c r="E4" s="83" t="s">
        <v>3</v>
      </c>
      <c r="F4" s="81" t="s">
        <v>25</v>
      </c>
      <c r="G4" s="82"/>
      <c r="H4" s="81" t="s">
        <v>26</v>
      </c>
      <c r="I4" s="82"/>
      <c r="J4" s="81" t="s">
        <v>27</v>
      </c>
      <c r="K4" s="82"/>
    </row>
    <row r="5" spans="1:11" ht="12.95" customHeight="1" x14ac:dyDescent="0.3">
      <c r="B5" s="74"/>
      <c r="C5" s="71"/>
      <c r="D5" s="87"/>
      <c r="E5" s="84"/>
      <c r="F5" s="55" t="s">
        <v>49</v>
      </c>
      <c r="G5" s="56">
        <v>23</v>
      </c>
      <c r="H5" s="55" t="s">
        <v>49</v>
      </c>
      <c r="I5" s="56">
        <v>26</v>
      </c>
      <c r="J5" s="55" t="s">
        <v>49</v>
      </c>
      <c r="K5" s="56">
        <v>28</v>
      </c>
    </row>
    <row r="6" spans="1:11" ht="12.95" customHeight="1" x14ac:dyDescent="0.3">
      <c r="B6" s="75"/>
      <c r="C6" s="72"/>
      <c r="D6" s="88"/>
      <c r="E6" s="85"/>
      <c r="F6" s="46" t="s">
        <v>45</v>
      </c>
      <c r="G6" s="47" t="s">
        <v>46</v>
      </c>
      <c r="H6" s="46" t="s">
        <v>45</v>
      </c>
      <c r="I6" s="47" t="s">
        <v>46</v>
      </c>
      <c r="J6" s="46" t="s">
        <v>45</v>
      </c>
      <c r="K6" s="47" t="s">
        <v>46</v>
      </c>
    </row>
    <row r="7" spans="1:11" ht="12.95" customHeight="1" x14ac:dyDescent="0.3">
      <c r="B7" s="12" t="s">
        <v>43</v>
      </c>
      <c r="C7" s="12" t="s">
        <v>23</v>
      </c>
      <c r="D7" s="41" t="s">
        <v>15</v>
      </c>
      <c r="E7" s="48">
        <v>18733</v>
      </c>
      <c r="F7" s="45">
        <v>8</v>
      </c>
      <c r="G7" s="7">
        <f t="shared" ref="G7" si="0">TRUNC($E7*F7,1)</f>
        <v>149864</v>
      </c>
      <c r="H7" s="45">
        <v>8</v>
      </c>
      <c r="I7" s="7">
        <f t="shared" ref="I7" si="1">TRUNC($E7*H7,1)</f>
        <v>149864</v>
      </c>
      <c r="J7" s="45">
        <v>8</v>
      </c>
      <c r="K7" s="7">
        <f t="shared" ref="K7" si="2">TRUNC($E7*J7,1)</f>
        <v>149864</v>
      </c>
    </row>
    <row r="8" spans="1:11" ht="12.95" customHeight="1" x14ac:dyDescent="0.3">
      <c r="B8" s="33" t="s">
        <v>10</v>
      </c>
      <c r="C8" s="36"/>
      <c r="D8" s="35"/>
      <c r="E8" s="34"/>
      <c r="F8" s="34"/>
      <c r="G8" s="32">
        <f>TRUNC(SUM(G7:G7))</f>
        <v>149864</v>
      </c>
      <c r="H8" s="34"/>
      <c r="I8" s="32">
        <f>TRUNC(SUM(I7:I7))</f>
        <v>149864</v>
      </c>
      <c r="J8" s="34"/>
      <c r="K8" s="32">
        <f>TRUNC(SUM(K7:K7))</f>
        <v>149864</v>
      </c>
    </row>
    <row r="9" spans="1:11" ht="12.95" customHeight="1" x14ac:dyDescent="0.3">
      <c r="B9" s="16"/>
      <c r="C9" s="16"/>
      <c r="D9" s="41"/>
      <c r="E9" s="13"/>
      <c r="F9" s="13"/>
      <c r="G9" s="17"/>
      <c r="H9" s="13"/>
      <c r="I9" s="17"/>
      <c r="J9" s="13"/>
      <c r="K9" s="17"/>
    </row>
    <row r="10" spans="1:11" ht="12.95" customHeight="1" x14ac:dyDescent="0.3">
      <c r="B10" s="23" t="s">
        <v>28</v>
      </c>
      <c r="C10" s="9"/>
      <c r="D10" s="3" t="s">
        <v>9</v>
      </c>
      <c r="E10" s="49">
        <v>268908</v>
      </c>
      <c r="F10" s="45">
        <v>3</v>
      </c>
      <c r="G10" s="7">
        <f t="shared" ref="G10:G12" si="3">TRUNC($E10*F10,1)</f>
        <v>806724</v>
      </c>
      <c r="H10" s="45">
        <v>3</v>
      </c>
      <c r="I10" s="7">
        <f t="shared" ref="I10:I12" si="4">TRUNC($E10*H10,1)</f>
        <v>806724</v>
      </c>
      <c r="J10" s="45">
        <v>3</v>
      </c>
      <c r="K10" s="7">
        <f t="shared" ref="K10:K12" si="5">TRUNC($E10*J10,1)</f>
        <v>806724</v>
      </c>
    </row>
    <row r="11" spans="1:11" ht="12.95" customHeight="1" x14ac:dyDescent="0.3">
      <c r="B11" s="23" t="s">
        <v>0</v>
      </c>
      <c r="C11" s="9"/>
      <c r="D11" s="3" t="s">
        <v>9</v>
      </c>
      <c r="E11" s="50">
        <v>172068</v>
      </c>
      <c r="F11" s="45">
        <v>1</v>
      </c>
      <c r="G11" s="7">
        <f t="shared" si="3"/>
        <v>172068</v>
      </c>
      <c r="H11" s="45">
        <v>1</v>
      </c>
      <c r="I11" s="7">
        <f t="shared" si="4"/>
        <v>172068</v>
      </c>
      <c r="J11" s="45">
        <v>1</v>
      </c>
      <c r="K11" s="7">
        <f t="shared" si="5"/>
        <v>172068</v>
      </c>
    </row>
    <row r="12" spans="1:11" ht="12.95" customHeight="1" x14ac:dyDescent="0.3">
      <c r="B12" s="12" t="s">
        <v>43</v>
      </c>
      <c r="C12" s="12" t="s">
        <v>23</v>
      </c>
      <c r="D12" s="41" t="s">
        <v>15</v>
      </c>
      <c r="E12" s="51">
        <v>58925</v>
      </c>
      <c r="F12" s="45">
        <v>8</v>
      </c>
      <c r="G12" s="7">
        <f t="shared" si="3"/>
        <v>471400</v>
      </c>
      <c r="H12" s="45">
        <v>8</v>
      </c>
      <c r="I12" s="7">
        <f t="shared" si="4"/>
        <v>471400</v>
      </c>
      <c r="J12" s="45">
        <v>8</v>
      </c>
      <c r="K12" s="7">
        <f t="shared" si="5"/>
        <v>471400</v>
      </c>
    </row>
    <row r="13" spans="1:11" ht="12.95" customHeight="1" x14ac:dyDescent="0.3">
      <c r="B13" s="30" t="s">
        <v>11</v>
      </c>
      <c r="C13" s="36"/>
      <c r="D13" s="35"/>
      <c r="E13" s="31"/>
      <c r="F13" s="58"/>
      <c r="G13" s="32">
        <f>TRUNC(SUM(G10:G12))</f>
        <v>1450192</v>
      </c>
      <c r="H13" s="58"/>
      <c r="I13" s="32">
        <f>TRUNC(SUM(I10:I12))</f>
        <v>1450192</v>
      </c>
      <c r="J13" s="58"/>
      <c r="K13" s="32">
        <f>TRUNC(SUM(K10:K12))</f>
        <v>1450192</v>
      </c>
    </row>
    <row r="14" spans="1:11" ht="12.95" customHeight="1" x14ac:dyDescent="0.3">
      <c r="B14" s="16"/>
      <c r="C14" s="16"/>
      <c r="D14" s="41"/>
      <c r="E14" s="13"/>
      <c r="F14" s="59"/>
      <c r="G14" s="17"/>
      <c r="H14" s="59"/>
      <c r="I14" s="17"/>
      <c r="J14" s="59"/>
      <c r="K14" s="17"/>
    </row>
    <row r="15" spans="1:11" ht="12.95" customHeight="1" x14ac:dyDescent="0.3">
      <c r="B15" s="12" t="s">
        <v>43</v>
      </c>
      <c r="C15" s="12" t="s">
        <v>23</v>
      </c>
      <c r="D15" s="41" t="s">
        <v>15</v>
      </c>
      <c r="E15" s="51">
        <v>23423</v>
      </c>
      <c r="F15" s="60">
        <v>8</v>
      </c>
      <c r="G15" s="7">
        <f t="shared" ref="G15:G16" si="6">TRUNC($E15*F15,1)</f>
        <v>187384</v>
      </c>
      <c r="H15" s="60">
        <v>8</v>
      </c>
      <c r="I15" s="7">
        <f t="shared" ref="I15:I16" si="7">TRUNC($E15*H15,1)</f>
        <v>187384</v>
      </c>
      <c r="J15" s="60">
        <v>8</v>
      </c>
      <c r="K15" s="7">
        <f t="shared" ref="K15:K16" si="8">TRUNC($E15*J15,1)</f>
        <v>187384</v>
      </c>
    </row>
    <row r="16" spans="1:11" ht="12.95" customHeight="1" x14ac:dyDescent="0.3">
      <c r="B16" s="12" t="s">
        <v>24</v>
      </c>
      <c r="C16" s="12" t="s">
        <v>23</v>
      </c>
      <c r="D16" s="41" t="s">
        <v>15</v>
      </c>
      <c r="E16" s="51">
        <v>5658</v>
      </c>
      <c r="F16" s="60">
        <v>8</v>
      </c>
      <c r="G16" s="7">
        <f t="shared" si="6"/>
        <v>45264</v>
      </c>
      <c r="H16" s="60">
        <v>8</v>
      </c>
      <c r="I16" s="7">
        <f t="shared" si="7"/>
        <v>45264</v>
      </c>
      <c r="J16" s="60">
        <v>8</v>
      </c>
      <c r="K16" s="7">
        <f t="shared" si="8"/>
        <v>45264</v>
      </c>
    </row>
    <row r="17" spans="2:13" ht="12.95" customHeight="1" x14ac:dyDescent="0.3">
      <c r="B17" s="33" t="s">
        <v>12</v>
      </c>
      <c r="C17" s="36"/>
      <c r="D17" s="37"/>
      <c r="E17" s="31"/>
      <c r="F17" s="34"/>
      <c r="G17" s="32">
        <f>TRUNC(SUM(G15:G16))</f>
        <v>232648</v>
      </c>
      <c r="H17" s="34"/>
      <c r="I17" s="32">
        <f>TRUNC(SUM(I15:I16))</f>
        <v>232648</v>
      </c>
      <c r="J17" s="34"/>
      <c r="K17" s="32">
        <f>TRUNC(SUM(K15:K16))</f>
        <v>232648</v>
      </c>
    </row>
    <row r="18" spans="2:13" ht="12.95" customHeight="1" x14ac:dyDescent="0.3">
      <c r="B18" s="16"/>
      <c r="C18" s="16"/>
      <c r="D18" s="41"/>
      <c r="E18" s="13"/>
      <c r="F18" s="13"/>
      <c r="G18" s="17"/>
      <c r="H18" s="13"/>
      <c r="I18" s="17"/>
      <c r="J18" s="13"/>
      <c r="K18" s="17"/>
    </row>
    <row r="19" spans="2:13" ht="12.95" customHeight="1" x14ac:dyDescent="0.3">
      <c r="B19" s="61" t="s">
        <v>14</v>
      </c>
      <c r="C19" s="16"/>
      <c r="D19" s="41"/>
      <c r="E19" s="62"/>
      <c r="F19" s="63"/>
      <c r="G19" s="64">
        <f>SUM(G8+G13+G17)</f>
        <v>1832704</v>
      </c>
      <c r="H19" s="63"/>
      <c r="I19" s="64">
        <f>SUM(I8+I13+I17)</f>
        <v>1832704</v>
      </c>
      <c r="J19" s="63"/>
      <c r="K19" s="64">
        <f>SUM(K8+K13+K17)</f>
        <v>1832704</v>
      </c>
    </row>
    <row r="20" spans="2:13" ht="12.95" customHeight="1" x14ac:dyDescent="0.3">
      <c r="B20" s="18" t="s">
        <v>50</v>
      </c>
      <c r="C20" s="19"/>
      <c r="D20" s="40"/>
      <c r="E20" s="20"/>
      <c r="F20" s="21"/>
      <c r="G20" s="22">
        <f>TRUNC((G19/G5))</f>
        <v>79682</v>
      </c>
      <c r="H20" s="21"/>
      <c r="I20" s="22">
        <f>TRUNC((I19/I5))</f>
        <v>70488</v>
      </c>
      <c r="J20" s="21"/>
      <c r="K20" s="22">
        <f>TRUNC((K19/K5))</f>
        <v>65453</v>
      </c>
    </row>
    <row r="21" spans="2:13" ht="12.95" customHeight="1" x14ac:dyDescent="0.3">
      <c r="B21" s="65" t="s">
        <v>47</v>
      </c>
      <c r="C21" s="66"/>
      <c r="D21" s="65"/>
      <c r="E21" s="67"/>
      <c r="F21" s="68"/>
      <c r="G21" s="68"/>
      <c r="H21" s="68"/>
      <c r="I21" s="68"/>
      <c r="K21" s="69"/>
      <c r="L21" s="43"/>
      <c r="M21" s="43"/>
    </row>
    <row r="22" spans="2:13" ht="12.95" customHeight="1" x14ac:dyDescent="0.3">
      <c r="L22" s="43"/>
      <c r="M22" s="43"/>
    </row>
    <row r="23" spans="2:13" ht="12.95" customHeight="1" x14ac:dyDescent="0.3">
      <c r="B23" s="38" t="s">
        <v>29</v>
      </c>
      <c r="C23" s="39"/>
      <c r="D23" s="24"/>
      <c r="E23" s="10"/>
      <c r="F23" s="11"/>
      <c r="G23" s="11"/>
      <c r="H23" s="11"/>
      <c r="I23" s="11"/>
      <c r="J23" s="11"/>
      <c r="K23" s="29" t="s">
        <v>51</v>
      </c>
    </row>
    <row r="24" spans="2:13" ht="12.95" customHeight="1" x14ac:dyDescent="0.3">
      <c r="B24" s="73" t="s">
        <v>2</v>
      </c>
      <c r="C24" s="70" t="s">
        <v>6</v>
      </c>
      <c r="D24" s="86" t="s">
        <v>7</v>
      </c>
      <c r="E24" s="83" t="s">
        <v>3</v>
      </c>
      <c r="F24" s="81" t="s">
        <v>25</v>
      </c>
      <c r="G24" s="82"/>
      <c r="H24" s="81" t="s">
        <v>26</v>
      </c>
      <c r="I24" s="82"/>
      <c r="J24" s="81" t="s">
        <v>27</v>
      </c>
      <c r="K24" s="82"/>
    </row>
    <row r="25" spans="2:13" ht="12.95" customHeight="1" x14ac:dyDescent="0.3">
      <c r="B25" s="74"/>
      <c r="C25" s="71"/>
      <c r="D25" s="87"/>
      <c r="E25" s="84"/>
      <c r="F25" s="55" t="s">
        <v>49</v>
      </c>
      <c r="G25" s="56">
        <v>27</v>
      </c>
      <c r="H25" s="55" t="s">
        <v>49</v>
      </c>
      <c r="I25" s="56">
        <v>30</v>
      </c>
      <c r="J25" s="55" t="s">
        <v>49</v>
      </c>
      <c r="K25" s="56">
        <v>34</v>
      </c>
    </row>
    <row r="26" spans="2:13" ht="12.95" customHeight="1" x14ac:dyDescent="0.3">
      <c r="B26" s="75"/>
      <c r="C26" s="72"/>
      <c r="D26" s="88"/>
      <c r="E26" s="85"/>
      <c r="F26" s="46" t="s">
        <v>45</v>
      </c>
      <c r="G26" s="47" t="s">
        <v>46</v>
      </c>
      <c r="H26" s="46" t="s">
        <v>45</v>
      </c>
      <c r="I26" s="47" t="s">
        <v>46</v>
      </c>
      <c r="J26" s="46" t="s">
        <v>45</v>
      </c>
      <c r="K26" s="47" t="s">
        <v>46</v>
      </c>
    </row>
    <row r="27" spans="2:13" ht="12.95" customHeight="1" x14ac:dyDescent="0.3">
      <c r="B27" s="12" t="s">
        <v>43</v>
      </c>
      <c r="C27" s="12" t="s">
        <v>23</v>
      </c>
      <c r="D27" s="41" t="s">
        <v>15</v>
      </c>
      <c r="E27" s="48">
        <v>18733</v>
      </c>
      <c r="F27" s="45">
        <v>8</v>
      </c>
      <c r="G27" s="7">
        <f t="shared" ref="G27" si="9">TRUNC($E27*F27,1)</f>
        <v>149864</v>
      </c>
      <c r="H27" s="45">
        <v>8</v>
      </c>
      <c r="I27" s="7">
        <f t="shared" ref="I27" si="10">TRUNC($E27*H27,1)</f>
        <v>149864</v>
      </c>
      <c r="J27" s="45">
        <v>8</v>
      </c>
      <c r="K27" s="7">
        <f t="shared" ref="K27" si="11">TRUNC($E27*J27,1)</f>
        <v>149864</v>
      </c>
    </row>
    <row r="28" spans="2:13" ht="12.95" customHeight="1" x14ac:dyDescent="0.3">
      <c r="B28" s="33" t="s">
        <v>10</v>
      </c>
      <c r="C28" s="36"/>
      <c r="D28" s="35"/>
      <c r="E28" s="34"/>
      <c r="F28" s="34"/>
      <c r="G28" s="32">
        <f>TRUNC(SUM(G27:G27))</f>
        <v>149864</v>
      </c>
      <c r="H28" s="34"/>
      <c r="I28" s="32">
        <f>TRUNC(SUM(I27:I27))</f>
        <v>149864</v>
      </c>
      <c r="J28" s="34"/>
      <c r="K28" s="32">
        <f>TRUNC(SUM(K27:K27))</f>
        <v>149864</v>
      </c>
    </row>
    <row r="29" spans="2:13" ht="12.95" customHeight="1" x14ac:dyDescent="0.3">
      <c r="B29" s="16"/>
      <c r="C29" s="16"/>
      <c r="D29" s="41"/>
      <c r="E29" s="13"/>
      <c r="F29" s="13"/>
      <c r="G29" s="17"/>
      <c r="H29" s="13"/>
      <c r="I29" s="17"/>
      <c r="J29" s="13"/>
      <c r="K29" s="17"/>
    </row>
    <row r="30" spans="2:13" ht="12.95" customHeight="1" x14ac:dyDescent="0.3">
      <c r="B30" s="23" t="s">
        <v>28</v>
      </c>
      <c r="C30" s="9"/>
      <c r="D30" s="3" t="s">
        <v>9</v>
      </c>
      <c r="E30" s="49">
        <v>268908</v>
      </c>
      <c r="F30" s="45">
        <v>3</v>
      </c>
      <c r="G30" s="7">
        <f t="shared" ref="G30:G32" si="12">TRUNC($E30*F30,1)</f>
        <v>806724</v>
      </c>
      <c r="H30" s="45">
        <v>3</v>
      </c>
      <c r="I30" s="7">
        <f t="shared" ref="I30:I32" si="13">TRUNC($E30*H30,1)</f>
        <v>806724</v>
      </c>
      <c r="J30" s="45">
        <v>3</v>
      </c>
      <c r="K30" s="7">
        <f t="shared" ref="K30:K32" si="14">TRUNC($E30*J30,1)</f>
        <v>806724</v>
      </c>
    </row>
    <row r="31" spans="2:13" ht="12.95" customHeight="1" x14ac:dyDescent="0.3">
      <c r="B31" s="23" t="s">
        <v>0</v>
      </c>
      <c r="C31" s="9"/>
      <c r="D31" s="3" t="s">
        <v>9</v>
      </c>
      <c r="E31" s="50">
        <v>172068</v>
      </c>
      <c r="F31" s="45">
        <v>1</v>
      </c>
      <c r="G31" s="7">
        <f t="shared" si="12"/>
        <v>172068</v>
      </c>
      <c r="H31" s="45">
        <v>1</v>
      </c>
      <c r="I31" s="7">
        <f t="shared" si="13"/>
        <v>172068</v>
      </c>
      <c r="J31" s="45">
        <v>1</v>
      </c>
      <c r="K31" s="7">
        <f t="shared" si="14"/>
        <v>172068</v>
      </c>
    </row>
    <row r="32" spans="2:13" ht="12.95" customHeight="1" x14ac:dyDescent="0.3">
      <c r="B32" s="12" t="s">
        <v>43</v>
      </c>
      <c r="C32" s="12" t="s">
        <v>23</v>
      </c>
      <c r="D32" s="41" t="s">
        <v>15</v>
      </c>
      <c r="E32" s="51">
        <v>58925</v>
      </c>
      <c r="F32" s="45">
        <v>8</v>
      </c>
      <c r="G32" s="7">
        <f t="shared" si="12"/>
        <v>471400</v>
      </c>
      <c r="H32" s="45">
        <v>8</v>
      </c>
      <c r="I32" s="7">
        <f t="shared" si="13"/>
        <v>471400</v>
      </c>
      <c r="J32" s="45">
        <v>8</v>
      </c>
      <c r="K32" s="7">
        <f t="shared" si="14"/>
        <v>471400</v>
      </c>
    </row>
    <row r="33" spans="2:13" ht="12.95" customHeight="1" x14ac:dyDescent="0.3">
      <c r="B33" s="30" t="s">
        <v>11</v>
      </c>
      <c r="C33" s="36"/>
      <c r="D33" s="35"/>
      <c r="E33" s="31"/>
      <c r="F33" s="58"/>
      <c r="G33" s="32">
        <f>TRUNC(SUM(G30:G32))</f>
        <v>1450192</v>
      </c>
      <c r="H33" s="58"/>
      <c r="I33" s="32">
        <f>TRUNC(SUM(I30:I32))</f>
        <v>1450192</v>
      </c>
      <c r="J33" s="58"/>
      <c r="K33" s="32">
        <f>TRUNC(SUM(K30:K32))</f>
        <v>1450192</v>
      </c>
    </row>
    <row r="34" spans="2:13" ht="12.95" customHeight="1" x14ac:dyDescent="0.3">
      <c r="B34" s="16"/>
      <c r="C34" s="16"/>
      <c r="D34" s="41"/>
      <c r="E34" s="13"/>
      <c r="F34" s="59"/>
      <c r="G34" s="17"/>
      <c r="H34" s="59"/>
      <c r="I34" s="17"/>
      <c r="J34" s="59"/>
      <c r="K34" s="17"/>
    </row>
    <row r="35" spans="2:13" ht="12.95" customHeight="1" x14ac:dyDescent="0.3">
      <c r="B35" s="12" t="s">
        <v>43</v>
      </c>
      <c r="C35" s="12" t="s">
        <v>23</v>
      </c>
      <c r="D35" s="41" t="s">
        <v>15</v>
      </c>
      <c r="E35" s="51">
        <v>23423</v>
      </c>
      <c r="F35" s="60">
        <v>8</v>
      </c>
      <c r="G35" s="7">
        <f t="shared" ref="G35:G36" si="15">TRUNC($E35*F35,1)</f>
        <v>187384</v>
      </c>
      <c r="H35" s="60">
        <v>8</v>
      </c>
      <c r="I35" s="7">
        <f t="shared" ref="I35:I36" si="16">TRUNC($E35*H35,1)</f>
        <v>187384</v>
      </c>
      <c r="J35" s="60">
        <v>8</v>
      </c>
      <c r="K35" s="7">
        <f t="shared" ref="K35:K36" si="17">TRUNC($E35*J35,1)</f>
        <v>187384</v>
      </c>
    </row>
    <row r="36" spans="2:13" ht="12.95" customHeight="1" x14ac:dyDescent="0.3">
      <c r="B36" s="12" t="s">
        <v>24</v>
      </c>
      <c r="C36" s="12" t="s">
        <v>23</v>
      </c>
      <c r="D36" s="41" t="s">
        <v>15</v>
      </c>
      <c r="E36" s="51">
        <v>5658</v>
      </c>
      <c r="F36" s="60">
        <v>8</v>
      </c>
      <c r="G36" s="7">
        <f t="shared" si="15"/>
        <v>45264</v>
      </c>
      <c r="H36" s="60">
        <v>8</v>
      </c>
      <c r="I36" s="7">
        <f t="shared" si="16"/>
        <v>45264</v>
      </c>
      <c r="J36" s="60">
        <v>8</v>
      </c>
      <c r="K36" s="7">
        <f t="shared" si="17"/>
        <v>45264</v>
      </c>
    </row>
    <row r="37" spans="2:13" ht="12.95" customHeight="1" x14ac:dyDescent="0.3">
      <c r="B37" s="33" t="s">
        <v>12</v>
      </c>
      <c r="C37" s="36"/>
      <c r="D37" s="37"/>
      <c r="E37" s="31"/>
      <c r="F37" s="34"/>
      <c r="G37" s="32">
        <f>TRUNC(SUM(G35:G36))</f>
        <v>232648</v>
      </c>
      <c r="H37" s="34"/>
      <c r="I37" s="32">
        <f>TRUNC(SUM(I35:I36))</f>
        <v>232648</v>
      </c>
      <c r="J37" s="34"/>
      <c r="K37" s="32">
        <f>TRUNC(SUM(K35:K36))</f>
        <v>232648</v>
      </c>
    </row>
    <row r="38" spans="2:13" ht="12.95" customHeight="1" x14ac:dyDescent="0.3">
      <c r="B38" s="16"/>
      <c r="C38" s="16"/>
      <c r="D38" s="41"/>
      <c r="E38" s="13"/>
      <c r="F38" s="13"/>
      <c r="G38" s="17"/>
      <c r="H38" s="13"/>
      <c r="I38" s="17"/>
      <c r="J38" s="13"/>
      <c r="K38" s="17"/>
    </row>
    <row r="39" spans="2:13" ht="12.95" customHeight="1" x14ac:dyDescent="0.3">
      <c r="B39" s="61" t="s">
        <v>14</v>
      </c>
      <c r="C39" s="16"/>
      <c r="D39" s="41"/>
      <c r="E39" s="62"/>
      <c r="F39" s="63"/>
      <c r="G39" s="64">
        <f>SUM(G28+G33+G37)</f>
        <v>1832704</v>
      </c>
      <c r="H39" s="63"/>
      <c r="I39" s="64">
        <f>SUM(I28+I33+I37)</f>
        <v>1832704</v>
      </c>
      <c r="J39" s="63"/>
      <c r="K39" s="64">
        <f>SUM(K28+K33+K37)</f>
        <v>1832704</v>
      </c>
    </row>
    <row r="40" spans="2:13" ht="12.95" customHeight="1" x14ac:dyDescent="0.3">
      <c r="B40" s="18" t="s">
        <v>50</v>
      </c>
      <c r="C40" s="19"/>
      <c r="D40" s="40"/>
      <c r="E40" s="20"/>
      <c r="F40" s="21"/>
      <c r="G40" s="22">
        <f>TRUNC((G39/G25))</f>
        <v>67877</v>
      </c>
      <c r="H40" s="21"/>
      <c r="I40" s="22">
        <f>TRUNC((I39/I25))</f>
        <v>61090</v>
      </c>
      <c r="J40" s="21"/>
      <c r="K40" s="22">
        <f>TRUNC((K39/K25))</f>
        <v>53903</v>
      </c>
    </row>
    <row r="41" spans="2:13" ht="12.95" customHeight="1" x14ac:dyDescent="0.3">
      <c r="B41" s="65" t="s">
        <v>47</v>
      </c>
      <c r="C41" s="66"/>
      <c r="D41" s="65"/>
      <c r="E41" s="67"/>
      <c r="F41" s="68"/>
      <c r="G41" s="68"/>
      <c r="H41" s="68"/>
      <c r="I41" s="68"/>
      <c r="K41" s="69"/>
      <c r="L41" s="43"/>
      <c r="M41" s="43"/>
    </row>
    <row r="42" spans="2:13" ht="12.95" customHeight="1" x14ac:dyDescent="0.3">
      <c r="L42" s="43"/>
      <c r="M42" s="43"/>
    </row>
    <row r="43" spans="2:13" ht="12.95" customHeight="1" x14ac:dyDescent="0.3">
      <c r="B43" s="1" t="s">
        <v>30</v>
      </c>
    </row>
    <row r="44" spans="2:13" ht="12.95" customHeight="1" x14ac:dyDescent="0.3">
      <c r="B44" s="38" t="s">
        <v>31</v>
      </c>
      <c r="C44" s="39"/>
      <c r="D44" s="24"/>
      <c r="E44" s="10"/>
      <c r="F44" s="11"/>
      <c r="G44" s="11"/>
      <c r="H44" s="11"/>
      <c r="I44" s="11"/>
      <c r="J44" s="11"/>
      <c r="K44" s="29" t="s">
        <v>51</v>
      </c>
    </row>
    <row r="45" spans="2:13" ht="12.95" customHeight="1" x14ac:dyDescent="0.3">
      <c r="B45" s="73" t="s">
        <v>2</v>
      </c>
      <c r="C45" s="70" t="s">
        <v>6</v>
      </c>
      <c r="D45" s="86" t="s">
        <v>7</v>
      </c>
      <c r="E45" s="83" t="s">
        <v>3</v>
      </c>
      <c r="F45" s="81" t="s">
        <v>25</v>
      </c>
      <c r="G45" s="82"/>
      <c r="H45" s="81" t="s">
        <v>26</v>
      </c>
      <c r="I45" s="82"/>
      <c r="J45" s="81" t="s">
        <v>27</v>
      </c>
      <c r="K45" s="82"/>
    </row>
    <row r="46" spans="2:13" ht="12.95" customHeight="1" x14ac:dyDescent="0.3">
      <c r="B46" s="74"/>
      <c r="C46" s="71"/>
      <c r="D46" s="87"/>
      <c r="E46" s="84"/>
      <c r="F46" s="55" t="s">
        <v>49</v>
      </c>
      <c r="G46" s="56">
        <v>26</v>
      </c>
      <c r="H46" s="55" t="s">
        <v>49</v>
      </c>
      <c r="I46" s="56">
        <v>29</v>
      </c>
      <c r="J46" s="55" t="s">
        <v>49</v>
      </c>
      <c r="K46" s="56">
        <v>32</v>
      </c>
    </row>
    <row r="47" spans="2:13" ht="12.95" customHeight="1" x14ac:dyDescent="0.3">
      <c r="B47" s="75"/>
      <c r="C47" s="72"/>
      <c r="D47" s="88"/>
      <c r="E47" s="85"/>
      <c r="F47" s="46" t="s">
        <v>45</v>
      </c>
      <c r="G47" s="47" t="s">
        <v>46</v>
      </c>
      <c r="H47" s="46" t="s">
        <v>45</v>
      </c>
      <c r="I47" s="47" t="s">
        <v>46</v>
      </c>
      <c r="J47" s="46" t="s">
        <v>45</v>
      </c>
      <c r="K47" s="47" t="s">
        <v>46</v>
      </c>
    </row>
    <row r="48" spans="2:13" ht="12.95" customHeight="1" x14ac:dyDescent="0.3">
      <c r="B48" s="12" t="s">
        <v>43</v>
      </c>
      <c r="C48" s="12" t="s">
        <v>23</v>
      </c>
      <c r="D48" s="41" t="s">
        <v>15</v>
      </c>
      <c r="E48" s="48">
        <v>18733</v>
      </c>
      <c r="F48" s="45">
        <v>8</v>
      </c>
      <c r="G48" s="7">
        <f t="shared" ref="G48" si="18">TRUNC($E48*F48,1)</f>
        <v>149864</v>
      </c>
      <c r="H48" s="45">
        <v>8</v>
      </c>
      <c r="I48" s="7">
        <f t="shared" ref="I48" si="19">TRUNC($E48*H48,1)</f>
        <v>149864</v>
      </c>
      <c r="J48" s="45">
        <v>8</v>
      </c>
      <c r="K48" s="7">
        <f t="shared" ref="K48" si="20">TRUNC($E48*J48,1)</f>
        <v>149864</v>
      </c>
    </row>
    <row r="49" spans="2:14" ht="12.95" customHeight="1" x14ac:dyDescent="0.3">
      <c r="B49" s="33" t="s">
        <v>10</v>
      </c>
      <c r="C49" s="36"/>
      <c r="D49" s="35"/>
      <c r="E49" s="34"/>
      <c r="F49" s="34"/>
      <c r="G49" s="32">
        <f>TRUNC(SUM(G48:G48))</f>
        <v>149864</v>
      </c>
      <c r="H49" s="34"/>
      <c r="I49" s="32">
        <f>TRUNC(SUM(I48:I48))</f>
        <v>149864</v>
      </c>
      <c r="J49" s="34"/>
      <c r="K49" s="32">
        <f>TRUNC(SUM(K48:K48))</f>
        <v>149864</v>
      </c>
    </row>
    <row r="50" spans="2:14" ht="12.95" customHeight="1" x14ac:dyDescent="0.3">
      <c r="B50" s="16"/>
      <c r="C50" s="16"/>
      <c r="D50" s="41"/>
      <c r="E50" s="13"/>
      <c r="F50" s="13"/>
      <c r="G50" s="17"/>
      <c r="H50" s="13"/>
      <c r="I50" s="17"/>
      <c r="J50" s="13"/>
      <c r="K50" s="17"/>
    </row>
    <row r="51" spans="2:14" ht="12.95" customHeight="1" x14ac:dyDescent="0.3">
      <c r="B51" s="23" t="s">
        <v>28</v>
      </c>
      <c r="C51" s="9"/>
      <c r="D51" s="3" t="s">
        <v>9</v>
      </c>
      <c r="E51" s="49">
        <v>268908</v>
      </c>
      <c r="F51" s="45">
        <v>3</v>
      </c>
      <c r="G51" s="7">
        <f t="shared" ref="G51:G53" si="21">TRUNC($E51*F51,1)</f>
        <v>806724</v>
      </c>
      <c r="H51" s="45">
        <v>3</v>
      </c>
      <c r="I51" s="7">
        <f t="shared" ref="I51:I53" si="22">TRUNC($E51*H51,1)</f>
        <v>806724</v>
      </c>
      <c r="J51" s="45">
        <v>3</v>
      </c>
      <c r="K51" s="7">
        <f t="shared" ref="K51:K53" si="23">TRUNC($E51*J51,1)</f>
        <v>806724</v>
      </c>
    </row>
    <row r="52" spans="2:14" ht="12.95" customHeight="1" x14ac:dyDescent="0.3">
      <c r="B52" s="23" t="s">
        <v>0</v>
      </c>
      <c r="C52" s="9"/>
      <c r="D52" s="3" t="s">
        <v>9</v>
      </c>
      <c r="E52" s="50">
        <v>172068</v>
      </c>
      <c r="F52" s="45">
        <v>1</v>
      </c>
      <c r="G52" s="7">
        <f t="shared" si="21"/>
        <v>172068</v>
      </c>
      <c r="H52" s="45">
        <v>1</v>
      </c>
      <c r="I52" s="7">
        <f t="shared" si="22"/>
        <v>172068</v>
      </c>
      <c r="J52" s="45">
        <v>1</v>
      </c>
      <c r="K52" s="7">
        <f t="shared" si="23"/>
        <v>172068</v>
      </c>
    </row>
    <row r="53" spans="2:14" ht="12.95" customHeight="1" x14ac:dyDescent="0.3">
      <c r="B53" s="12" t="s">
        <v>43</v>
      </c>
      <c r="C53" s="12" t="s">
        <v>23</v>
      </c>
      <c r="D53" s="41" t="s">
        <v>15</v>
      </c>
      <c r="E53" s="51">
        <v>58925</v>
      </c>
      <c r="F53" s="45">
        <v>8</v>
      </c>
      <c r="G53" s="7">
        <f t="shared" si="21"/>
        <v>471400</v>
      </c>
      <c r="H53" s="45">
        <v>8</v>
      </c>
      <c r="I53" s="7">
        <f t="shared" si="22"/>
        <v>471400</v>
      </c>
      <c r="J53" s="45">
        <v>8</v>
      </c>
      <c r="K53" s="7">
        <f t="shared" si="23"/>
        <v>471400</v>
      </c>
    </row>
    <row r="54" spans="2:14" ht="12.95" customHeight="1" x14ac:dyDescent="0.3">
      <c r="B54" s="30" t="s">
        <v>11</v>
      </c>
      <c r="C54" s="36"/>
      <c r="D54" s="35"/>
      <c r="E54" s="31"/>
      <c r="F54" s="58"/>
      <c r="G54" s="32">
        <f>TRUNC(SUM(G51:G53))</f>
        <v>1450192</v>
      </c>
      <c r="H54" s="58"/>
      <c r="I54" s="32">
        <f>TRUNC(SUM(I51:I53))</f>
        <v>1450192</v>
      </c>
      <c r="J54" s="58"/>
      <c r="K54" s="32">
        <f>TRUNC(SUM(K51:K53))</f>
        <v>1450192</v>
      </c>
    </row>
    <row r="55" spans="2:14" ht="12.95" customHeight="1" x14ac:dyDescent="0.3">
      <c r="B55" s="16"/>
      <c r="C55" s="16"/>
      <c r="D55" s="41"/>
      <c r="E55" s="13"/>
      <c r="F55" s="59"/>
      <c r="G55" s="17"/>
      <c r="H55" s="59"/>
      <c r="I55" s="17"/>
      <c r="J55" s="59"/>
      <c r="K55" s="17"/>
    </row>
    <row r="56" spans="2:14" ht="12.95" customHeight="1" x14ac:dyDescent="0.3">
      <c r="B56" s="12" t="s">
        <v>43</v>
      </c>
      <c r="C56" s="12" t="s">
        <v>23</v>
      </c>
      <c r="D56" s="41" t="s">
        <v>15</v>
      </c>
      <c r="E56" s="51">
        <v>23423</v>
      </c>
      <c r="F56" s="60">
        <v>8</v>
      </c>
      <c r="G56" s="7">
        <f t="shared" ref="G56:G57" si="24">TRUNC($E56*F56,1)</f>
        <v>187384</v>
      </c>
      <c r="H56" s="60">
        <v>8</v>
      </c>
      <c r="I56" s="7">
        <f t="shared" ref="I56:I57" si="25">TRUNC($E56*H56,1)</f>
        <v>187384</v>
      </c>
      <c r="J56" s="60">
        <v>8</v>
      </c>
      <c r="K56" s="7">
        <f t="shared" ref="K56:K57" si="26">TRUNC($E56*J56,1)</f>
        <v>187384</v>
      </c>
    </row>
    <row r="57" spans="2:14" ht="12.95" customHeight="1" x14ac:dyDescent="0.3">
      <c r="B57" s="12" t="s">
        <v>24</v>
      </c>
      <c r="C57" s="12" t="s">
        <v>23</v>
      </c>
      <c r="D57" s="41" t="s">
        <v>15</v>
      </c>
      <c r="E57" s="51">
        <v>5658</v>
      </c>
      <c r="F57" s="60">
        <v>8</v>
      </c>
      <c r="G57" s="7">
        <f t="shared" si="24"/>
        <v>45264</v>
      </c>
      <c r="H57" s="60">
        <v>8</v>
      </c>
      <c r="I57" s="7">
        <f t="shared" si="25"/>
        <v>45264</v>
      </c>
      <c r="J57" s="60">
        <v>8</v>
      </c>
      <c r="K57" s="7">
        <f t="shared" si="26"/>
        <v>45264</v>
      </c>
    </row>
    <row r="58" spans="2:14" ht="12.95" customHeight="1" x14ac:dyDescent="0.3">
      <c r="B58" s="33" t="s">
        <v>12</v>
      </c>
      <c r="C58" s="36"/>
      <c r="D58" s="37"/>
      <c r="E58" s="31"/>
      <c r="F58" s="34"/>
      <c r="G58" s="32">
        <f>TRUNC(SUM(G56:G57))</f>
        <v>232648</v>
      </c>
      <c r="H58" s="34"/>
      <c r="I58" s="32">
        <f>TRUNC(SUM(I56:I57))</f>
        <v>232648</v>
      </c>
      <c r="J58" s="34"/>
      <c r="K58" s="32">
        <f>TRUNC(SUM(K56:K57))</f>
        <v>232648</v>
      </c>
    </row>
    <row r="59" spans="2:14" ht="12.95" customHeight="1" x14ac:dyDescent="0.3">
      <c r="B59" s="16"/>
      <c r="C59" s="16"/>
      <c r="D59" s="41"/>
      <c r="E59" s="13"/>
      <c r="F59" s="13"/>
      <c r="G59" s="17"/>
      <c r="H59" s="13"/>
      <c r="I59" s="17"/>
      <c r="J59" s="13"/>
      <c r="K59" s="17"/>
      <c r="N59" s="43"/>
    </row>
    <row r="60" spans="2:14" ht="12.95" customHeight="1" x14ac:dyDescent="0.3">
      <c r="B60" s="61" t="s">
        <v>14</v>
      </c>
      <c r="C60" s="16"/>
      <c r="D60" s="41"/>
      <c r="E60" s="62"/>
      <c r="F60" s="63"/>
      <c r="G60" s="64">
        <f>SUM(G49+G54+G58)</f>
        <v>1832704</v>
      </c>
      <c r="H60" s="63"/>
      <c r="I60" s="64">
        <f>SUM(I49+I54+I58)</f>
        <v>1832704</v>
      </c>
      <c r="J60" s="63"/>
      <c r="K60" s="64">
        <f>SUM(K49+K54+K58)</f>
        <v>1832704</v>
      </c>
      <c r="N60" s="43"/>
    </row>
    <row r="61" spans="2:14" ht="12.95" customHeight="1" x14ac:dyDescent="0.3">
      <c r="B61" s="18" t="s">
        <v>50</v>
      </c>
      <c r="C61" s="19"/>
      <c r="D61" s="40"/>
      <c r="E61" s="20"/>
      <c r="F61" s="21"/>
      <c r="G61" s="22">
        <f>TRUNC((G60/G46))</f>
        <v>70488</v>
      </c>
      <c r="H61" s="21"/>
      <c r="I61" s="22">
        <f>TRUNC((I60/I46))</f>
        <v>63196</v>
      </c>
      <c r="J61" s="21"/>
      <c r="K61" s="22">
        <f>TRUNC((K60/K46))</f>
        <v>57272</v>
      </c>
      <c r="N61" s="43"/>
    </row>
    <row r="62" spans="2:14" ht="12.95" customHeight="1" x14ac:dyDescent="0.3">
      <c r="B62" s="65" t="s">
        <v>47</v>
      </c>
      <c r="C62" s="66"/>
      <c r="D62" s="65"/>
      <c r="E62" s="67"/>
      <c r="F62" s="68"/>
      <c r="G62" s="68"/>
      <c r="H62" s="68"/>
      <c r="I62" s="68"/>
      <c r="K62" s="69"/>
      <c r="L62" s="43"/>
      <c r="M62" s="43"/>
      <c r="N62" s="43"/>
    </row>
    <row r="63" spans="2:14" ht="12.95" customHeight="1" x14ac:dyDescent="0.3">
      <c r="L63" s="43"/>
      <c r="M63" s="43"/>
      <c r="N63" s="43"/>
    </row>
    <row r="64" spans="2:14" ht="12.95" customHeight="1" x14ac:dyDescent="0.3">
      <c r="B64" s="38" t="s">
        <v>32</v>
      </c>
      <c r="C64" s="39"/>
      <c r="D64" s="24"/>
      <c r="E64" s="10"/>
      <c r="F64" s="11"/>
      <c r="G64" s="11"/>
      <c r="H64" s="11"/>
      <c r="I64" s="11"/>
      <c r="J64" s="11"/>
      <c r="K64" s="29" t="s">
        <v>51</v>
      </c>
      <c r="N64" s="43"/>
    </row>
    <row r="65" spans="2:14" ht="12.95" customHeight="1" x14ac:dyDescent="0.3">
      <c r="B65" s="73" t="s">
        <v>2</v>
      </c>
      <c r="C65" s="70" t="s">
        <v>6</v>
      </c>
      <c r="D65" s="86" t="s">
        <v>7</v>
      </c>
      <c r="E65" s="83" t="s">
        <v>3</v>
      </c>
      <c r="F65" s="81" t="s">
        <v>25</v>
      </c>
      <c r="G65" s="82"/>
      <c r="H65" s="81" t="s">
        <v>26</v>
      </c>
      <c r="I65" s="82"/>
      <c r="J65" s="81" t="s">
        <v>27</v>
      </c>
      <c r="K65" s="82"/>
      <c r="N65" s="43"/>
    </row>
    <row r="66" spans="2:14" ht="12.95" customHeight="1" x14ac:dyDescent="0.3">
      <c r="B66" s="74"/>
      <c r="C66" s="71"/>
      <c r="D66" s="87"/>
      <c r="E66" s="84"/>
      <c r="F66" s="55" t="s">
        <v>49</v>
      </c>
      <c r="G66" s="56">
        <v>30</v>
      </c>
      <c r="H66" s="55" t="s">
        <v>49</v>
      </c>
      <c r="I66" s="56">
        <v>33</v>
      </c>
      <c r="J66" s="55" t="s">
        <v>49</v>
      </c>
      <c r="K66" s="56">
        <v>37</v>
      </c>
      <c r="N66" s="43"/>
    </row>
    <row r="67" spans="2:14" ht="12.95" customHeight="1" x14ac:dyDescent="0.3">
      <c r="B67" s="75"/>
      <c r="C67" s="72"/>
      <c r="D67" s="88"/>
      <c r="E67" s="85"/>
      <c r="F67" s="46" t="s">
        <v>45</v>
      </c>
      <c r="G67" s="47" t="s">
        <v>46</v>
      </c>
      <c r="H67" s="46" t="s">
        <v>45</v>
      </c>
      <c r="I67" s="47" t="s">
        <v>46</v>
      </c>
      <c r="J67" s="46" t="s">
        <v>45</v>
      </c>
      <c r="K67" s="47" t="s">
        <v>46</v>
      </c>
      <c r="N67" s="43"/>
    </row>
    <row r="68" spans="2:14" ht="12.95" customHeight="1" x14ac:dyDescent="0.3">
      <c r="B68" s="12" t="s">
        <v>43</v>
      </c>
      <c r="C68" s="12" t="s">
        <v>23</v>
      </c>
      <c r="D68" s="41" t="s">
        <v>15</v>
      </c>
      <c r="E68" s="48">
        <v>18733</v>
      </c>
      <c r="F68" s="45">
        <v>8</v>
      </c>
      <c r="G68" s="7">
        <f t="shared" ref="G68" si="27">TRUNC($E68*F68,1)</f>
        <v>149864</v>
      </c>
      <c r="H68" s="45">
        <v>8</v>
      </c>
      <c r="I68" s="7">
        <f t="shared" ref="I68" si="28">TRUNC($E68*H68,1)</f>
        <v>149864</v>
      </c>
      <c r="J68" s="45">
        <v>8</v>
      </c>
      <c r="K68" s="7">
        <f t="shared" ref="K68" si="29">TRUNC($E68*J68,1)</f>
        <v>149864</v>
      </c>
      <c r="N68" s="43"/>
    </row>
    <row r="69" spans="2:14" ht="12.95" customHeight="1" x14ac:dyDescent="0.3">
      <c r="B69" s="33" t="s">
        <v>10</v>
      </c>
      <c r="C69" s="36"/>
      <c r="D69" s="35"/>
      <c r="E69" s="34"/>
      <c r="F69" s="34"/>
      <c r="G69" s="32">
        <f>TRUNC(SUM(G68:G68))</f>
        <v>149864</v>
      </c>
      <c r="H69" s="34"/>
      <c r="I69" s="32">
        <f>TRUNC(SUM(I68:I68))</f>
        <v>149864</v>
      </c>
      <c r="J69" s="34"/>
      <c r="K69" s="32">
        <f>TRUNC(SUM(K68:K68))</f>
        <v>149864</v>
      </c>
    </row>
    <row r="70" spans="2:14" ht="12.95" customHeight="1" x14ac:dyDescent="0.3">
      <c r="B70" s="16"/>
      <c r="C70" s="16"/>
      <c r="D70" s="41"/>
      <c r="E70" s="13"/>
      <c r="F70" s="13"/>
      <c r="G70" s="17"/>
      <c r="H70" s="13"/>
      <c r="I70" s="17"/>
      <c r="J70" s="13"/>
      <c r="K70" s="17"/>
    </row>
    <row r="71" spans="2:14" ht="12.95" customHeight="1" x14ac:dyDescent="0.3">
      <c r="B71" s="23" t="s">
        <v>28</v>
      </c>
      <c r="C71" s="9"/>
      <c r="D71" s="3" t="s">
        <v>9</v>
      </c>
      <c r="E71" s="49">
        <v>268908</v>
      </c>
      <c r="F71" s="45">
        <v>3</v>
      </c>
      <c r="G71" s="7">
        <f t="shared" ref="G71:G73" si="30">TRUNC($E71*F71,1)</f>
        <v>806724</v>
      </c>
      <c r="H71" s="45">
        <v>3</v>
      </c>
      <c r="I71" s="7">
        <f t="shared" ref="I71:I73" si="31">TRUNC($E71*H71,1)</f>
        <v>806724</v>
      </c>
      <c r="J71" s="45">
        <v>3</v>
      </c>
      <c r="K71" s="7">
        <f t="shared" ref="K71:K73" si="32">TRUNC($E71*J71,1)</f>
        <v>806724</v>
      </c>
    </row>
    <row r="72" spans="2:14" ht="12.95" customHeight="1" x14ac:dyDescent="0.3">
      <c r="B72" s="23" t="s">
        <v>0</v>
      </c>
      <c r="C72" s="9"/>
      <c r="D72" s="3" t="s">
        <v>9</v>
      </c>
      <c r="E72" s="50">
        <v>172068</v>
      </c>
      <c r="F72" s="45">
        <v>1</v>
      </c>
      <c r="G72" s="7">
        <f t="shared" si="30"/>
        <v>172068</v>
      </c>
      <c r="H72" s="45">
        <v>1</v>
      </c>
      <c r="I72" s="7">
        <f t="shared" si="31"/>
        <v>172068</v>
      </c>
      <c r="J72" s="45">
        <v>1</v>
      </c>
      <c r="K72" s="7">
        <f t="shared" si="32"/>
        <v>172068</v>
      </c>
    </row>
    <row r="73" spans="2:14" ht="12.95" customHeight="1" x14ac:dyDescent="0.3">
      <c r="B73" s="12" t="s">
        <v>43</v>
      </c>
      <c r="C73" s="12" t="s">
        <v>23</v>
      </c>
      <c r="D73" s="41" t="s">
        <v>15</v>
      </c>
      <c r="E73" s="51">
        <v>58925</v>
      </c>
      <c r="F73" s="45">
        <v>8</v>
      </c>
      <c r="G73" s="7">
        <f t="shared" si="30"/>
        <v>471400</v>
      </c>
      <c r="H73" s="45">
        <v>8</v>
      </c>
      <c r="I73" s="7">
        <f t="shared" si="31"/>
        <v>471400</v>
      </c>
      <c r="J73" s="45">
        <v>8</v>
      </c>
      <c r="K73" s="7">
        <f t="shared" si="32"/>
        <v>471400</v>
      </c>
    </row>
    <row r="74" spans="2:14" ht="12.95" customHeight="1" x14ac:dyDescent="0.3">
      <c r="B74" s="30" t="s">
        <v>11</v>
      </c>
      <c r="C74" s="36"/>
      <c r="D74" s="35"/>
      <c r="E74" s="31"/>
      <c r="F74" s="58"/>
      <c r="G74" s="32">
        <f>TRUNC(SUM(G71:G73))</f>
        <v>1450192</v>
      </c>
      <c r="H74" s="58"/>
      <c r="I74" s="32">
        <f>TRUNC(SUM(I71:I73))</f>
        <v>1450192</v>
      </c>
      <c r="J74" s="58"/>
      <c r="K74" s="32">
        <f>TRUNC(SUM(K71:K73))</f>
        <v>1450192</v>
      </c>
    </row>
    <row r="75" spans="2:14" ht="12.95" customHeight="1" x14ac:dyDescent="0.3">
      <c r="B75" s="16"/>
      <c r="C75" s="16"/>
      <c r="D75" s="41"/>
      <c r="E75" s="13"/>
      <c r="F75" s="59"/>
      <c r="G75" s="17"/>
      <c r="H75" s="59"/>
      <c r="I75" s="17"/>
      <c r="J75" s="59"/>
      <c r="K75" s="17"/>
    </row>
    <row r="76" spans="2:14" ht="12.95" customHeight="1" x14ac:dyDescent="0.3">
      <c r="B76" s="12" t="s">
        <v>43</v>
      </c>
      <c r="C76" s="12" t="s">
        <v>23</v>
      </c>
      <c r="D76" s="41" t="s">
        <v>15</v>
      </c>
      <c r="E76" s="51">
        <v>23423</v>
      </c>
      <c r="F76" s="60">
        <v>8</v>
      </c>
      <c r="G76" s="7">
        <f t="shared" ref="G76:G77" si="33">TRUNC($E76*F76,1)</f>
        <v>187384</v>
      </c>
      <c r="H76" s="60">
        <v>8</v>
      </c>
      <c r="I76" s="7">
        <f t="shared" ref="I76:I77" si="34">TRUNC($E76*H76,1)</f>
        <v>187384</v>
      </c>
      <c r="J76" s="60">
        <v>8</v>
      </c>
      <c r="K76" s="7">
        <f t="shared" ref="K76:K77" si="35">TRUNC($E76*J76,1)</f>
        <v>187384</v>
      </c>
    </row>
    <row r="77" spans="2:14" ht="12.95" customHeight="1" x14ac:dyDescent="0.3">
      <c r="B77" s="12" t="s">
        <v>24</v>
      </c>
      <c r="C77" s="12" t="s">
        <v>23</v>
      </c>
      <c r="D77" s="41" t="s">
        <v>15</v>
      </c>
      <c r="E77" s="51">
        <v>5658</v>
      </c>
      <c r="F77" s="60">
        <v>8</v>
      </c>
      <c r="G77" s="7">
        <f t="shared" si="33"/>
        <v>45264</v>
      </c>
      <c r="H77" s="60">
        <v>8</v>
      </c>
      <c r="I77" s="7">
        <f t="shared" si="34"/>
        <v>45264</v>
      </c>
      <c r="J77" s="60">
        <v>8</v>
      </c>
      <c r="K77" s="7">
        <f t="shared" si="35"/>
        <v>45264</v>
      </c>
    </row>
    <row r="78" spans="2:14" ht="12.95" customHeight="1" x14ac:dyDescent="0.3">
      <c r="B78" s="33" t="s">
        <v>12</v>
      </c>
      <c r="C78" s="36"/>
      <c r="D78" s="37"/>
      <c r="E78" s="31"/>
      <c r="F78" s="34"/>
      <c r="G78" s="32">
        <f>TRUNC(SUM(G76:G77))</f>
        <v>232648</v>
      </c>
      <c r="H78" s="34"/>
      <c r="I78" s="32">
        <f>TRUNC(SUM(I76:I77))</f>
        <v>232648</v>
      </c>
      <c r="J78" s="34"/>
      <c r="K78" s="32">
        <f>TRUNC(SUM(K76:K77))</f>
        <v>232648</v>
      </c>
    </row>
    <row r="79" spans="2:14" ht="12.95" customHeight="1" x14ac:dyDescent="0.3">
      <c r="B79" s="16"/>
      <c r="C79" s="16"/>
      <c r="D79" s="41"/>
      <c r="E79" s="13"/>
      <c r="F79" s="13"/>
      <c r="G79" s="17"/>
      <c r="H79" s="13"/>
      <c r="I79" s="17"/>
      <c r="J79" s="13"/>
      <c r="K79" s="17"/>
    </row>
    <row r="80" spans="2:14" ht="12.95" customHeight="1" x14ac:dyDescent="0.3">
      <c r="B80" s="61" t="s">
        <v>14</v>
      </c>
      <c r="C80" s="16"/>
      <c r="D80" s="41"/>
      <c r="E80" s="62"/>
      <c r="F80" s="63"/>
      <c r="G80" s="64">
        <f>SUM(G69+G74+G78)</f>
        <v>1832704</v>
      </c>
      <c r="H80" s="63"/>
      <c r="I80" s="64">
        <f>SUM(I69+I74+I78)</f>
        <v>1832704</v>
      </c>
      <c r="J80" s="63"/>
      <c r="K80" s="64">
        <f>SUM(K69+K74+K78)</f>
        <v>1832704</v>
      </c>
    </row>
    <row r="81" spans="2:13" ht="12.95" customHeight="1" x14ac:dyDescent="0.3">
      <c r="B81" s="18" t="s">
        <v>50</v>
      </c>
      <c r="C81" s="19"/>
      <c r="D81" s="40"/>
      <c r="E81" s="20"/>
      <c r="F81" s="21"/>
      <c r="G81" s="22">
        <f>TRUNC((G80/G66))</f>
        <v>61090</v>
      </c>
      <c r="H81" s="21"/>
      <c r="I81" s="22">
        <f>TRUNC((I80/I66))</f>
        <v>55536</v>
      </c>
      <c r="J81" s="21"/>
      <c r="K81" s="22">
        <f>TRUNC((K80/K66))</f>
        <v>49532</v>
      </c>
    </row>
    <row r="82" spans="2:13" ht="12.95" customHeight="1" x14ac:dyDescent="0.3">
      <c r="B82" s="65" t="s">
        <v>47</v>
      </c>
      <c r="C82" s="66"/>
      <c r="D82" s="65"/>
      <c r="E82" s="67"/>
      <c r="F82" s="68"/>
      <c r="G82" s="68"/>
      <c r="H82" s="68"/>
      <c r="I82" s="68"/>
      <c r="K82" s="69"/>
      <c r="L82" s="43"/>
      <c r="M82" s="43"/>
    </row>
    <row r="83" spans="2:13" ht="12.95" customHeight="1" x14ac:dyDescent="0.3">
      <c r="L83" s="43"/>
      <c r="M83" s="43"/>
    </row>
    <row r="84" spans="2:13" ht="12.95" customHeight="1" x14ac:dyDescent="0.3">
      <c r="B84" s="1" t="s">
        <v>33</v>
      </c>
    </row>
    <row r="85" spans="2:13" ht="12.95" customHeight="1" x14ac:dyDescent="0.3">
      <c r="B85" s="38" t="s">
        <v>34</v>
      </c>
      <c r="C85" s="39"/>
      <c r="D85" s="24"/>
      <c r="E85" s="10"/>
      <c r="F85" s="11"/>
      <c r="G85" s="29" t="s">
        <v>51</v>
      </c>
    </row>
    <row r="86" spans="2:13" ht="12.95" customHeight="1" x14ac:dyDescent="0.3">
      <c r="B86" s="76" t="s">
        <v>2</v>
      </c>
      <c r="C86" s="78" t="s">
        <v>17</v>
      </c>
      <c r="D86" s="80" t="s">
        <v>7</v>
      </c>
      <c r="E86" s="89" t="s">
        <v>3</v>
      </c>
      <c r="F86" s="55" t="s">
        <v>49</v>
      </c>
      <c r="G86" s="56">
        <v>22</v>
      </c>
    </row>
    <row r="87" spans="2:13" ht="12.95" customHeight="1" x14ac:dyDescent="0.3">
      <c r="B87" s="77"/>
      <c r="C87" s="79"/>
      <c r="D87" s="80"/>
      <c r="E87" s="90"/>
      <c r="F87" s="46" t="s">
        <v>45</v>
      </c>
      <c r="G87" s="47" t="s">
        <v>46</v>
      </c>
    </row>
    <row r="88" spans="2:13" ht="12.95" customHeight="1" x14ac:dyDescent="0.3">
      <c r="B88" s="12" t="s">
        <v>43</v>
      </c>
      <c r="C88" s="12" t="s">
        <v>23</v>
      </c>
      <c r="D88" s="41" t="s">
        <v>15</v>
      </c>
      <c r="E88" s="48">
        <v>18733</v>
      </c>
      <c r="F88" s="45">
        <v>8</v>
      </c>
      <c r="G88" s="7">
        <f t="shared" ref="G88" si="36">TRUNC($E88*F88,1)</f>
        <v>149864</v>
      </c>
    </row>
    <row r="89" spans="2:13" ht="12.95" customHeight="1" x14ac:dyDescent="0.3">
      <c r="B89" s="33" t="s">
        <v>10</v>
      </c>
      <c r="C89" s="36"/>
      <c r="D89" s="35"/>
      <c r="E89" s="34"/>
      <c r="F89" s="34"/>
      <c r="G89" s="32">
        <f>TRUNC(SUM(G88:G88))</f>
        <v>149864</v>
      </c>
    </row>
    <row r="90" spans="2:13" ht="12.95" customHeight="1" x14ac:dyDescent="0.3">
      <c r="B90" s="16"/>
      <c r="C90" s="16"/>
      <c r="D90" s="41"/>
      <c r="E90" s="13"/>
      <c r="F90" s="13"/>
      <c r="G90" s="17"/>
    </row>
    <row r="91" spans="2:13" ht="12.95" customHeight="1" x14ac:dyDescent="0.3">
      <c r="B91" s="23" t="s">
        <v>28</v>
      </c>
      <c r="C91" s="9"/>
      <c r="D91" s="3" t="s">
        <v>9</v>
      </c>
      <c r="E91" s="49">
        <v>268908</v>
      </c>
      <c r="F91" s="45">
        <v>3</v>
      </c>
      <c r="G91" s="7">
        <f t="shared" ref="G91:G93" si="37">TRUNC($E91*F91,1)</f>
        <v>806724</v>
      </c>
    </row>
    <row r="92" spans="2:13" ht="12.95" customHeight="1" x14ac:dyDescent="0.3">
      <c r="B92" s="23" t="s">
        <v>0</v>
      </c>
      <c r="C92" s="9"/>
      <c r="D92" s="3" t="s">
        <v>9</v>
      </c>
      <c r="E92" s="50">
        <v>172068</v>
      </c>
      <c r="F92" s="45">
        <v>1</v>
      </c>
      <c r="G92" s="7">
        <f t="shared" si="37"/>
        <v>172068</v>
      </c>
    </row>
    <row r="93" spans="2:13" ht="12.95" customHeight="1" x14ac:dyDescent="0.3">
      <c r="B93" s="12" t="s">
        <v>43</v>
      </c>
      <c r="C93" s="12" t="s">
        <v>23</v>
      </c>
      <c r="D93" s="41" t="s">
        <v>15</v>
      </c>
      <c r="E93" s="51">
        <v>58925</v>
      </c>
      <c r="F93" s="45">
        <v>8</v>
      </c>
      <c r="G93" s="7">
        <f t="shared" si="37"/>
        <v>471400</v>
      </c>
    </row>
    <row r="94" spans="2:13" ht="12.95" customHeight="1" x14ac:dyDescent="0.3">
      <c r="B94" s="30" t="s">
        <v>11</v>
      </c>
      <c r="C94" s="36"/>
      <c r="D94" s="35"/>
      <c r="E94" s="31"/>
      <c r="F94" s="58"/>
      <c r="G94" s="32">
        <f>TRUNC(SUM(G91:G93))</f>
        <v>1450192</v>
      </c>
    </row>
    <row r="95" spans="2:13" ht="12.95" customHeight="1" x14ac:dyDescent="0.3">
      <c r="B95" s="16"/>
      <c r="C95" s="16"/>
      <c r="D95" s="41"/>
      <c r="E95" s="13"/>
      <c r="F95" s="59"/>
      <c r="G95" s="17"/>
    </row>
    <row r="96" spans="2:13" ht="12.95" customHeight="1" x14ac:dyDescent="0.3">
      <c r="B96" s="12" t="s">
        <v>43</v>
      </c>
      <c r="C96" s="12" t="s">
        <v>23</v>
      </c>
      <c r="D96" s="41" t="s">
        <v>15</v>
      </c>
      <c r="E96" s="51">
        <v>23423</v>
      </c>
      <c r="F96" s="60">
        <v>8</v>
      </c>
      <c r="G96" s="7">
        <f t="shared" ref="G96:G97" si="38">TRUNC($E96*F96,1)</f>
        <v>187384</v>
      </c>
    </row>
    <row r="97" spans="2:8" ht="12.95" customHeight="1" x14ac:dyDescent="0.3">
      <c r="B97" s="12" t="s">
        <v>24</v>
      </c>
      <c r="C97" s="12" t="s">
        <v>23</v>
      </c>
      <c r="D97" s="41" t="s">
        <v>15</v>
      </c>
      <c r="E97" s="51">
        <v>5658</v>
      </c>
      <c r="F97" s="60">
        <v>8</v>
      </c>
      <c r="G97" s="7">
        <f t="shared" si="38"/>
        <v>45264</v>
      </c>
    </row>
    <row r="98" spans="2:8" ht="12.95" customHeight="1" x14ac:dyDescent="0.3">
      <c r="B98" s="33" t="s">
        <v>12</v>
      </c>
      <c r="C98" s="36"/>
      <c r="D98" s="37"/>
      <c r="E98" s="31"/>
      <c r="F98" s="34"/>
      <c r="G98" s="32">
        <f>TRUNC(SUM(G96:G97))</f>
        <v>232648</v>
      </c>
    </row>
    <row r="99" spans="2:8" ht="12.95" customHeight="1" x14ac:dyDescent="0.3">
      <c r="B99" s="16"/>
      <c r="C99" s="16"/>
      <c r="D99" s="41"/>
      <c r="E99" s="13"/>
      <c r="F99" s="13"/>
      <c r="G99" s="17"/>
    </row>
    <row r="100" spans="2:8" ht="12.95" customHeight="1" x14ac:dyDescent="0.3">
      <c r="B100" s="61" t="s">
        <v>14</v>
      </c>
      <c r="C100" s="16"/>
      <c r="D100" s="41"/>
      <c r="E100" s="62"/>
      <c r="F100" s="63"/>
      <c r="G100" s="64">
        <f>SUM(G89+G94+G98)</f>
        <v>1832704</v>
      </c>
    </row>
    <row r="101" spans="2:8" ht="12.95" customHeight="1" x14ac:dyDescent="0.3">
      <c r="B101" s="18" t="s">
        <v>50</v>
      </c>
      <c r="C101" s="19"/>
      <c r="D101" s="40"/>
      <c r="E101" s="20"/>
      <c r="F101" s="21"/>
      <c r="G101" s="22">
        <f>TRUNC((G100/G86))</f>
        <v>83304</v>
      </c>
    </row>
    <row r="102" spans="2:8" ht="12.95" customHeight="1" x14ac:dyDescent="0.3">
      <c r="B102" s="65" t="s">
        <v>47</v>
      </c>
      <c r="C102" s="66"/>
      <c r="D102" s="65"/>
      <c r="E102" s="67"/>
      <c r="F102" s="68"/>
      <c r="G102" s="68"/>
      <c r="H102" s="43"/>
    </row>
    <row r="103" spans="2:8" ht="12.95" customHeight="1" x14ac:dyDescent="0.3">
      <c r="B103" s="65"/>
      <c r="C103" s="66"/>
      <c r="D103" s="65"/>
      <c r="E103" s="67"/>
      <c r="F103" s="68"/>
      <c r="G103" s="68"/>
      <c r="H103" s="43"/>
    </row>
    <row r="104" spans="2:8" ht="12.95" customHeight="1" x14ac:dyDescent="0.3">
      <c r="B104" s="65" t="s">
        <v>52</v>
      </c>
      <c r="C104" s="66"/>
      <c r="D104" s="65"/>
      <c r="E104" s="67"/>
      <c r="F104" s="68"/>
      <c r="G104" s="29" t="s">
        <v>19</v>
      </c>
      <c r="H104" s="43"/>
    </row>
    <row r="105" spans="2:8" ht="12.95" customHeight="1" x14ac:dyDescent="0.3">
      <c r="B105" s="76" t="s">
        <v>2</v>
      </c>
      <c r="C105" s="78" t="s">
        <v>17</v>
      </c>
      <c r="D105" s="80" t="s">
        <v>7</v>
      </c>
      <c r="E105" s="89" t="s">
        <v>3</v>
      </c>
      <c r="F105" s="89" t="s">
        <v>4</v>
      </c>
      <c r="G105" s="91" t="s">
        <v>5</v>
      </c>
    </row>
    <row r="106" spans="2:8" ht="12.95" customHeight="1" x14ac:dyDescent="0.3">
      <c r="B106" s="77"/>
      <c r="C106" s="79"/>
      <c r="D106" s="80"/>
      <c r="E106" s="90"/>
      <c r="F106" s="90"/>
      <c r="G106" s="92"/>
    </row>
    <row r="107" spans="2:8" ht="12.95" customHeight="1" x14ac:dyDescent="0.3">
      <c r="B107" s="12" t="s">
        <v>35</v>
      </c>
      <c r="C107" s="12"/>
      <c r="D107" s="41" t="s">
        <v>44</v>
      </c>
      <c r="E107" s="52">
        <v>0</v>
      </c>
      <c r="F107" s="44">
        <v>0.2</v>
      </c>
      <c r="G107" s="7">
        <f t="shared" ref="G107" si="39">TRUNC($E107*F107,1)</f>
        <v>0</v>
      </c>
    </row>
    <row r="108" spans="2:8" ht="12.95" customHeight="1" x14ac:dyDescent="0.3">
      <c r="B108" s="33" t="s">
        <v>10</v>
      </c>
      <c r="C108" s="36"/>
      <c r="D108" s="35"/>
      <c r="E108" s="34"/>
      <c r="F108" s="44"/>
      <c r="G108" s="32">
        <f>TRUNC(SUM(G107:G107))</f>
        <v>0</v>
      </c>
    </row>
    <row r="109" spans="2:8" ht="12.95" customHeight="1" x14ac:dyDescent="0.3">
      <c r="B109" s="16"/>
      <c r="C109" s="16"/>
      <c r="D109" s="41"/>
      <c r="E109" s="13"/>
      <c r="F109" s="13"/>
      <c r="G109" s="17"/>
      <c r="H109" s="43"/>
    </row>
    <row r="110" spans="2:8" ht="12.95" customHeight="1" x14ac:dyDescent="0.3">
      <c r="B110" s="18" t="s">
        <v>14</v>
      </c>
      <c r="C110" s="19"/>
      <c r="D110" s="40"/>
      <c r="E110" s="20"/>
      <c r="F110" s="21"/>
      <c r="G110" s="22">
        <f>SUM(G108)</f>
        <v>0</v>
      </c>
      <c r="H110" s="43"/>
    </row>
    <row r="111" spans="2:8" ht="12.95" customHeight="1" x14ac:dyDescent="0.3">
      <c r="H111" s="43"/>
    </row>
    <row r="112" spans="2:8" ht="12.95" customHeight="1" x14ac:dyDescent="0.3">
      <c r="B112" s="38" t="s">
        <v>36</v>
      </c>
      <c r="C112" s="39"/>
      <c r="D112" s="24"/>
      <c r="E112" s="10"/>
      <c r="F112" s="11"/>
      <c r="G112" s="29" t="s">
        <v>51</v>
      </c>
    </row>
    <row r="113" spans="2:7" ht="12.95" customHeight="1" x14ac:dyDescent="0.3">
      <c r="B113" s="76" t="s">
        <v>2</v>
      </c>
      <c r="C113" s="78" t="s">
        <v>17</v>
      </c>
      <c r="D113" s="80" t="s">
        <v>7</v>
      </c>
      <c r="E113" s="89" t="s">
        <v>3</v>
      </c>
      <c r="F113" s="55" t="s">
        <v>49</v>
      </c>
      <c r="G113" s="56">
        <v>50</v>
      </c>
    </row>
    <row r="114" spans="2:7" ht="12.95" customHeight="1" x14ac:dyDescent="0.3">
      <c r="B114" s="77"/>
      <c r="C114" s="79"/>
      <c r="D114" s="80"/>
      <c r="E114" s="90"/>
      <c r="F114" s="46" t="s">
        <v>45</v>
      </c>
      <c r="G114" s="47" t="s">
        <v>46</v>
      </c>
    </row>
    <row r="115" spans="2:7" ht="12.95" customHeight="1" x14ac:dyDescent="0.3">
      <c r="B115" s="12" t="s">
        <v>43</v>
      </c>
      <c r="C115" s="12" t="s">
        <v>23</v>
      </c>
      <c r="D115" s="41" t="s">
        <v>15</v>
      </c>
      <c r="E115" s="48">
        <v>18733</v>
      </c>
      <c r="F115" s="45">
        <v>8</v>
      </c>
      <c r="G115" s="7">
        <f t="shared" ref="G115" si="40">TRUNC($E115*F115,1)</f>
        <v>149864</v>
      </c>
    </row>
    <row r="116" spans="2:7" ht="12.95" customHeight="1" x14ac:dyDescent="0.3">
      <c r="B116" s="33" t="s">
        <v>10</v>
      </c>
      <c r="C116" s="36"/>
      <c r="D116" s="35"/>
      <c r="E116" s="34"/>
      <c r="F116" s="34"/>
      <c r="G116" s="32">
        <f>TRUNC(SUM(G115:G115))</f>
        <v>149864</v>
      </c>
    </row>
    <row r="117" spans="2:7" ht="12.95" customHeight="1" x14ac:dyDescent="0.3">
      <c r="B117" s="16"/>
      <c r="C117" s="16"/>
      <c r="D117" s="41"/>
      <c r="E117" s="13"/>
      <c r="F117" s="13"/>
      <c r="G117" s="17"/>
    </row>
    <row r="118" spans="2:7" ht="12.95" customHeight="1" x14ac:dyDescent="0.3">
      <c r="B118" s="23" t="s">
        <v>28</v>
      </c>
      <c r="C118" s="9"/>
      <c r="D118" s="3" t="s">
        <v>9</v>
      </c>
      <c r="E118" s="49">
        <v>268908</v>
      </c>
      <c r="F118" s="45">
        <v>3</v>
      </c>
      <c r="G118" s="7">
        <f t="shared" ref="G118:G120" si="41">TRUNC($E118*F118,1)</f>
        <v>806724</v>
      </c>
    </row>
    <row r="119" spans="2:7" ht="12.95" customHeight="1" x14ac:dyDescent="0.3">
      <c r="B119" s="23" t="s">
        <v>0</v>
      </c>
      <c r="C119" s="9"/>
      <c r="D119" s="3" t="s">
        <v>9</v>
      </c>
      <c r="E119" s="50">
        <v>172068</v>
      </c>
      <c r="F119" s="45">
        <v>1</v>
      </c>
      <c r="G119" s="7">
        <f t="shared" si="41"/>
        <v>172068</v>
      </c>
    </row>
    <row r="120" spans="2:7" ht="12.95" customHeight="1" x14ac:dyDescent="0.3">
      <c r="B120" s="12" t="s">
        <v>43</v>
      </c>
      <c r="C120" s="12" t="s">
        <v>23</v>
      </c>
      <c r="D120" s="41" t="s">
        <v>15</v>
      </c>
      <c r="E120" s="51">
        <v>58925</v>
      </c>
      <c r="F120" s="45">
        <v>8</v>
      </c>
      <c r="G120" s="7">
        <f t="shared" si="41"/>
        <v>471400</v>
      </c>
    </row>
    <row r="121" spans="2:7" ht="12.95" customHeight="1" x14ac:dyDescent="0.3">
      <c r="B121" s="30" t="s">
        <v>11</v>
      </c>
      <c r="C121" s="36"/>
      <c r="D121" s="35"/>
      <c r="E121" s="31"/>
      <c r="F121" s="58"/>
      <c r="G121" s="32">
        <f>TRUNC(SUM(G118:G120))</f>
        <v>1450192</v>
      </c>
    </row>
    <row r="122" spans="2:7" ht="12.95" customHeight="1" x14ac:dyDescent="0.3">
      <c r="B122" s="16"/>
      <c r="C122" s="16"/>
      <c r="D122" s="41"/>
      <c r="E122" s="13"/>
      <c r="F122" s="59"/>
      <c r="G122" s="17"/>
    </row>
    <row r="123" spans="2:7" ht="12.95" customHeight="1" x14ac:dyDescent="0.3">
      <c r="B123" s="12" t="s">
        <v>43</v>
      </c>
      <c r="C123" s="12" t="s">
        <v>23</v>
      </c>
      <c r="D123" s="41" t="s">
        <v>15</v>
      </c>
      <c r="E123" s="51">
        <v>23423</v>
      </c>
      <c r="F123" s="60">
        <v>8</v>
      </c>
      <c r="G123" s="7">
        <f t="shared" ref="G123:G124" si="42">TRUNC($E123*F123,1)</f>
        <v>187384</v>
      </c>
    </row>
    <row r="124" spans="2:7" ht="12.95" customHeight="1" x14ac:dyDescent="0.3">
      <c r="B124" s="12" t="s">
        <v>24</v>
      </c>
      <c r="C124" s="12" t="s">
        <v>23</v>
      </c>
      <c r="D124" s="41" t="s">
        <v>15</v>
      </c>
      <c r="E124" s="51">
        <v>5658</v>
      </c>
      <c r="F124" s="60">
        <v>8</v>
      </c>
      <c r="G124" s="7">
        <f t="shared" si="42"/>
        <v>45264</v>
      </c>
    </row>
    <row r="125" spans="2:7" ht="12.95" customHeight="1" x14ac:dyDescent="0.3">
      <c r="B125" s="33" t="s">
        <v>12</v>
      </c>
      <c r="C125" s="36"/>
      <c r="D125" s="37"/>
      <c r="E125" s="31"/>
      <c r="F125" s="34"/>
      <c r="G125" s="32">
        <f>TRUNC(SUM(G123:G124))</f>
        <v>232648</v>
      </c>
    </row>
    <row r="126" spans="2:7" ht="12.95" customHeight="1" x14ac:dyDescent="0.3">
      <c r="B126" s="16"/>
      <c r="C126" s="16"/>
      <c r="D126" s="41"/>
      <c r="E126" s="13"/>
      <c r="F126" s="13"/>
      <c r="G126" s="17"/>
    </row>
    <row r="127" spans="2:7" ht="12.95" customHeight="1" x14ac:dyDescent="0.3">
      <c r="B127" s="61" t="s">
        <v>14</v>
      </c>
      <c r="C127" s="16"/>
      <c r="D127" s="41"/>
      <c r="E127" s="62"/>
      <c r="F127" s="63"/>
      <c r="G127" s="64">
        <f>SUM(G116+G121+G125)</f>
        <v>1832704</v>
      </c>
    </row>
    <row r="128" spans="2:7" ht="12.95" customHeight="1" x14ac:dyDescent="0.3">
      <c r="B128" s="18" t="s">
        <v>50</v>
      </c>
      <c r="C128" s="19"/>
      <c r="D128" s="40"/>
      <c r="E128" s="20"/>
      <c r="F128" s="21"/>
      <c r="G128" s="22">
        <f>TRUNC((G127/G113))</f>
        <v>36654</v>
      </c>
    </row>
    <row r="129" spans="2:11" ht="12.95" customHeight="1" x14ac:dyDescent="0.3">
      <c r="B129" s="65" t="s">
        <v>47</v>
      </c>
      <c r="C129" s="66"/>
      <c r="D129" s="65"/>
      <c r="E129" s="67"/>
      <c r="F129" s="68"/>
      <c r="G129" s="68"/>
      <c r="H129" s="43"/>
    </row>
    <row r="130" spans="2:11" ht="12.95" customHeight="1" x14ac:dyDescent="0.3">
      <c r="H130" s="43"/>
    </row>
    <row r="131" spans="2:11" ht="12.95" customHeight="1" x14ac:dyDescent="0.3">
      <c r="B131" s="1" t="s">
        <v>37</v>
      </c>
    </row>
    <row r="132" spans="2:11" ht="12.95" customHeight="1" x14ac:dyDescent="0.3">
      <c r="B132" s="38" t="s">
        <v>38</v>
      </c>
      <c r="C132" s="39"/>
      <c r="D132" s="24"/>
      <c r="E132" s="10"/>
      <c r="F132" s="11"/>
      <c r="G132" s="11"/>
      <c r="H132" s="11"/>
      <c r="I132" s="29" t="s">
        <v>51</v>
      </c>
      <c r="K132" s="29"/>
    </row>
    <row r="133" spans="2:11" ht="12.95" customHeight="1" x14ac:dyDescent="0.3">
      <c r="B133" s="73" t="s">
        <v>2</v>
      </c>
      <c r="C133" s="70" t="s">
        <v>6</v>
      </c>
      <c r="D133" s="86" t="s">
        <v>7</v>
      </c>
      <c r="E133" s="83" t="s">
        <v>3</v>
      </c>
      <c r="F133" s="81" t="s">
        <v>39</v>
      </c>
      <c r="G133" s="82"/>
      <c r="H133" s="82"/>
      <c r="I133" s="82"/>
    </row>
    <row r="134" spans="2:11" ht="12.95" customHeight="1" x14ac:dyDescent="0.3">
      <c r="B134" s="74"/>
      <c r="C134" s="71"/>
      <c r="D134" s="87"/>
      <c r="E134" s="84"/>
      <c r="F134" s="81" t="s">
        <v>55</v>
      </c>
      <c r="G134" s="82"/>
      <c r="H134" s="81" t="s">
        <v>41</v>
      </c>
      <c r="I134" s="82"/>
    </row>
    <row r="135" spans="2:11" ht="12.95" customHeight="1" x14ac:dyDescent="0.3">
      <c r="B135" s="74"/>
      <c r="C135" s="71"/>
      <c r="D135" s="87"/>
      <c r="E135" s="84"/>
      <c r="F135" s="55" t="s">
        <v>49</v>
      </c>
      <c r="G135" s="56">
        <v>15</v>
      </c>
      <c r="H135" s="55" t="s">
        <v>49</v>
      </c>
      <c r="I135" s="56">
        <v>13</v>
      </c>
    </row>
    <row r="136" spans="2:11" ht="12.95" customHeight="1" x14ac:dyDescent="0.3">
      <c r="B136" s="75"/>
      <c r="C136" s="72"/>
      <c r="D136" s="88"/>
      <c r="E136" s="85"/>
      <c r="F136" s="46" t="s">
        <v>45</v>
      </c>
      <c r="G136" s="47" t="s">
        <v>46</v>
      </c>
      <c r="H136" s="46" t="s">
        <v>45</v>
      </c>
      <c r="I136" s="47" t="s">
        <v>46</v>
      </c>
    </row>
    <row r="137" spans="2:11" ht="12.95" customHeight="1" x14ac:dyDescent="0.3">
      <c r="B137" s="12" t="s">
        <v>8</v>
      </c>
      <c r="C137" s="6" t="s">
        <v>53</v>
      </c>
      <c r="D137" s="41" t="s">
        <v>16</v>
      </c>
      <c r="E137" s="14"/>
      <c r="F137" s="45">
        <v>1</v>
      </c>
      <c r="G137" s="15">
        <f>TRUNC(SUM(G140:G142)*0.02,1)</f>
        <v>27250.2</v>
      </c>
      <c r="H137" s="45">
        <v>1</v>
      </c>
      <c r="I137" s="15">
        <f>TRUNC(SUM(I140:I142)*0.02,1)</f>
        <v>27250.2</v>
      </c>
      <c r="J137" s="43"/>
      <c r="K137" s="43"/>
    </row>
    <row r="138" spans="2:11" ht="12.95" customHeight="1" x14ac:dyDescent="0.3">
      <c r="B138" s="33" t="s">
        <v>10</v>
      </c>
      <c r="C138" s="36"/>
      <c r="D138" s="35"/>
      <c r="E138" s="34"/>
      <c r="F138" s="34"/>
      <c r="G138" s="32">
        <f>TRUNC(SUM(G137:G137))</f>
        <v>27250</v>
      </c>
      <c r="H138" s="34"/>
      <c r="I138" s="32">
        <f>TRUNC(SUM(I137:I137))</f>
        <v>27250</v>
      </c>
    </row>
    <row r="139" spans="2:11" ht="12.95" customHeight="1" x14ac:dyDescent="0.3">
      <c r="B139" s="16"/>
      <c r="C139" s="16"/>
      <c r="D139" s="41"/>
      <c r="E139" s="13"/>
      <c r="F139" s="13"/>
      <c r="G139" s="17"/>
      <c r="H139" s="13"/>
      <c r="I139" s="17"/>
    </row>
    <row r="140" spans="2:11" ht="12.95" customHeight="1" x14ac:dyDescent="0.3">
      <c r="B140" s="23" t="s">
        <v>28</v>
      </c>
      <c r="C140" s="9"/>
      <c r="D140" s="3" t="s">
        <v>9</v>
      </c>
      <c r="E140" s="49">
        <v>268908</v>
      </c>
      <c r="F140" s="45">
        <v>3</v>
      </c>
      <c r="G140" s="7">
        <f t="shared" ref="G140:G142" si="43">TRUNC($E140*F140,1)</f>
        <v>806724</v>
      </c>
      <c r="H140" s="45">
        <v>3</v>
      </c>
      <c r="I140" s="7">
        <f t="shared" ref="I140:I142" si="44">TRUNC($E140*H140,1)</f>
        <v>806724</v>
      </c>
    </row>
    <row r="141" spans="2:11" ht="12.95" customHeight="1" x14ac:dyDescent="0.3">
      <c r="B141" s="23" t="s">
        <v>54</v>
      </c>
      <c r="C141" s="9"/>
      <c r="D141" s="3" t="s">
        <v>9</v>
      </c>
      <c r="E141" s="57">
        <v>211653</v>
      </c>
      <c r="F141" s="45">
        <v>1</v>
      </c>
      <c r="G141" s="7">
        <f t="shared" si="43"/>
        <v>211653</v>
      </c>
      <c r="H141" s="45">
        <v>1</v>
      </c>
      <c r="I141" s="7">
        <f t="shared" si="44"/>
        <v>211653</v>
      </c>
    </row>
    <row r="142" spans="2:11" ht="12.95" customHeight="1" x14ac:dyDescent="0.3">
      <c r="B142" s="23" t="s">
        <v>0</v>
      </c>
      <c r="C142" s="9"/>
      <c r="D142" s="3" t="s">
        <v>9</v>
      </c>
      <c r="E142" s="57">
        <v>172068</v>
      </c>
      <c r="F142" s="45">
        <v>2</v>
      </c>
      <c r="G142" s="7">
        <f t="shared" si="43"/>
        <v>344136</v>
      </c>
      <c r="H142" s="45">
        <v>2</v>
      </c>
      <c r="I142" s="7">
        <f t="shared" si="44"/>
        <v>344136</v>
      </c>
    </row>
    <row r="143" spans="2:11" ht="12.95" customHeight="1" x14ac:dyDescent="0.3">
      <c r="B143" s="30" t="s">
        <v>11</v>
      </c>
      <c r="C143" s="36"/>
      <c r="D143" s="35"/>
      <c r="E143" s="31"/>
      <c r="F143" s="58"/>
      <c r="G143" s="32">
        <f>TRUNC(SUM(G140:G142))</f>
        <v>1362513</v>
      </c>
      <c r="H143" s="58"/>
      <c r="I143" s="32">
        <f>TRUNC(SUM(I140:I142))</f>
        <v>1362513</v>
      </c>
    </row>
    <row r="144" spans="2:11" ht="12.95" customHeight="1" x14ac:dyDescent="0.3">
      <c r="B144" s="16"/>
      <c r="C144" s="16"/>
      <c r="D144" s="41"/>
      <c r="E144" s="13"/>
      <c r="F144" s="59"/>
      <c r="G144" s="17"/>
      <c r="H144" s="59"/>
      <c r="I144" s="17"/>
    </row>
    <row r="145" spans="2:11" ht="12.95" customHeight="1" x14ac:dyDescent="0.3">
      <c r="B145" s="61" t="s">
        <v>14</v>
      </c>
      <c r="C145" s="16"/>
      <c r="D145" s="41"/>
      <c r="E145" s="62"/>
      <c r="F145" s="63"/>
      <c r="G145" s="64">
        <f>SUM(G138+G143)</f>
        <v>1389763</v>
      </c>
      <c r="H145" s="63"/>
      <c r="I145" s="64">
        <f>SUM(I138+I143)</f>
        <v>1389763</v>
      </c>
    </row>
    <row r="146" spans="2:11" ht="12.95" customHeight="1" x14ac:dyDescent="0.3">
      <c r="B146" s="18" t="s">
        <v>50</v>
      </c>
      <c r="C146" s="19"/>
      <c r="D146" s="40"/>
      <c r="E146" s="20"/>
      <c r="F146" s="21"/>
      <c r="G146" s="22">
        <f>TRUNC((G145/G135))</f>
        <v>92650</v>
      </c>
      <c r="H146" s="21"/>
      <c r="I146" s="22">
        <f>TRUNC((I145/I135))</f>
        <v>106904</v>
      </c>
    </row>
    <row r="147" spans="2:11" ht="12.95" customHeight="1" x14ac:dyDescent="0.3">
      <c r="B147" s="73" t="s">
        <v>2</v>
      </c>
      <c r="C147" s="70" t="s">
        <v>6</v>
      </c>
      <c r="D147" s="86" t="s">
        <v>7</v>
      </c>
      <c r="E147" s="83" t="s">
        <v>3</v>
      </c>
      <c r="F147" s="81" t="s">
        <v>40</v>
      </c>
      <c r="G147" s="82"/>
      <c r="H147" s="82"/>
      <c r="I147" s="82"/>
    </row>
    <row r="148" spans="2:11" ht="12.95" customHeight="1" x14ac:dyDescent="0.3">
      <c r="B148" s="74"/>
      <c r="C148" s="71"/>
      <c r="D148" s="87"/>
      <c r="E148" s="84"/>
      <c r="F148" s="81" t="s">
        <v>55</v>
      </c>
      <c r="G148" s="82"/>
      <c r="H148" s="81" t="s">
        <v>41</v>
      </c>
      <c r="I148" s="82"/>
    </row>
    <row r="149" spans="2:11" ht="12.95" customHeight="1" x14ac:dyDescent="0.3">
      <c r="B149" s="74"/>
      <c r="C149" s="71"/>
      <c r="D149" s="87"/>
      <c r="E149" s="84"/>
      <c r="F149" s="55" t="s">
        <v>49</v>
      </c>
      <c r="G149" s="56">
        <v>12</v>
      </c>
      <c r="H149" s="55" t="s">
        <v>49</v>
      </c>
      <c r="I149" s="56">
        <v>11</v>
      </c>
    </row>
    <row r="150" spans="2:11" ht="12.95" customHeight="1" x14ac:dyDescent="0.3">
      <c r="B150" s="75"/>
      <c r="C150" s="72"/>
      <c r="D150" s="88"/>
      <c r="E150" s="85"/>
      <c r="F150" s="46" t="s">
        <v>45</v>
      </c>
      <c r="G150" s="47" t="s">
        <v>46</v>
      </c>
      <c r="H150" s="46" t="s">
        <v>45</v>
      </c>
      <c r="I150" s="47" t="s">
        <v>46</v>
      </c>
    </row>
    <row r="151" spans="2:11" ht="12.95" customHeight="1" x14ac:dyDescent="0.3">
      <c r="B151" s="12" t="s">
        <v>8</v>
      </c>
      <c r="C151" s="6" t="s">
        <v>53</v>
      </c>
      <c r="D151" s="41" t="s">
        <v>16</v>
      </c>
      <c r="E151" s="14"/>
      <c r="F151" s="45">
        <v>1</v>
      </c>
      <c r="G151" s="15">
        <f>TRUNC(SUM(G154:G156)*0.02,1)</f>
        <v>27250.2</v>
      </c>
      <c r="H151" s="45">
        <v>1</v>
      </c>
      <c r="I151" s="15">
        <f>TRUNC(SUM(I154:I156)*0.02,1)</f>
        <v>27250.2</v>
      </c>
      <c r="J151" s="43"/>
      <c r="K151" s="43"/>
    </row>
    <row r="152" spans="2:11" ht="12.95" customHeight="1" x14ac:dyDescent="0.3">
      <c r="B152" s="33" t="s">
        <v>10</v>
      </c>
      <c r="C152" s="36"/>
      <c r="D152" s="35"/>
      <c r="E152" s="34"/>
      <c r="F152" s="34"/>
      <c r="G152" s="32">
        <f>TRUNC(SUM(G151:G151))</f>
        <v>27250</v>
      </c>
      <c r="H152" s="34"/>
      <c r="I152" s="32">
        <f>TRUNC(SUM(I151:I151))</f>
        <v>27250</v>
      </c>
    </row>
    <row r="153" spans="2:11" ht="12.95" customHeight="1" x14ac:dyDescent="0.3">
      <c r="B153" s="16"/>
      <c r="C153" s="16"/>
      <c r="D153" s="41"/>
      <c r="E153" s="13"/>
      <c r="F153" s="13"/>
      <c r="G153" s="17"/>
      <c r="H153" s="13"/>
      <c r="I153" s="17"/>
    </row>
    <row r="154" spans="2:11" ht="12.95" customHeight="1" x14ac:dyDescent="0.3">
      <c r="B154" s="23" t="s">
        <v>28</v>
      </c>
      <c r="C154" s="9"/>
      <c r="D154" s="3" t="s">
        <v>9</v>
      </c>
      <c r="E154" s="49">
        <v>268908</v>
      </c>
      <c r="F154" s="45">
        <v>3</v>
      </c>
      <c r="G154" s="7">
        <f t="shared" ref="G154:G156" si="45">TRUNC($E154*F154,1)</f>
        <v>806724</v>
      </c>
      <c r="H154" s="45">
        <v>3</v>
      </c>
      <c r="I154" s="7">
        <f t="shared" ref="I154:I156" si="46">TRUNC($E154*H154,1)</f>
        <v>806724</v>
      </c>
    </row>
    <row r="155" spans="2:11" ht="12.95" customHeight="1" x14ac:dyDescent="0.3">
      <c r="B155" s="23" t="s">
        <v>54</v>
      </c>
      <c r="C155" s="9"/>
      <c r="D155" s="3" t="s">
        <v>9</v>
      </c>
      <c r="E155" s="57">
        <v>211653</v>
      </c>
      <c r="F155" s="45">
        <v>1</v>
      </c>
      <c r="G155" s="7">
        <f t="shared" si="45"/>
        <v>211653</v>
      </c>
      <c r="H155" s="45">
        <v>1</v>
      </c>
      <c r="I155" s="7">
        <f t="shared" si="46"/>
        <v>211653</v>
      </c>
    </row>
    <row r="156" spans="2:11" ht="12.95" customHeight="1" x14ac:dyDescent="0.3">
      <c r="B156" s="23" t="s">
        <v>0</v>
      </c>
      <c r="C156" s="9"/>
      <c r="D156" s="3" t="s">
        <v>9</v>
      </c>
      <c r="E156" s="57">
        <v>172068</v>
      </c>
      <c r="F156" s="45">
        <v>2</v>
      </c>
      <c r="G156" s="7">
        <f t="shared" si="45"/>
        <v>344136</v>
      </c>
      <c r="H156" s="45">
        <v>2</v>
      </c>
      <c r="I156" s="7">
        <f t="shared" si="46"/>
        <v>344136</v>
      </c>
    </row>
    <row r="157" spans="2:11" ht="12.95" customHeight="1" x14ac:dyDescent="0.3">
      <c r="B157" s="30" t="s">
        <v>11</v>
      </c>
      <c r="C157" s="36"/>
      <c r="D157" s="35"/>
      <c r="E157" s="31"/>
      <c r="F157" s="58"/>
      <c r="G157" s="32">
        <f>TRUNC(SUM(G154:G156))</f>
        <v>1362513</v>
      </c>
      <c r="H157" s="58"/>
      <c r="I157" s="32">
        <f>TRUNC(SUM(I154:I156))</f>
        <v>1362513</v>
      </c>
    </row>
    <row r="158" spans="2:11" ht="12.95" customHeight="1" x14ac:dyDescent="0.3">
      <c r="B158" s="16"/>
      <c r="C158" s="16"/>
      <c r="D158" s="41"/>
      <c r="E158" s="13"/>
      <c r="F158" s="59"/>
      <c r="G158" s="17"/>
      <c r="H158" s="59"/>
      <c r="I158" s="17"/>
    </row>
    <row r="159" spans="2:11" ht="12.95" customHeight="1" x14ac:dyDescent="0.3">
      <c r="B159" s="61" t="s">
        <v>14</v>
      </c>
      <c r="C159" s="16"/>
      <c r="D159" s="41"/>
      <c r="E159" s="62"/>
      <c r="F159" s="63"/>
      <c r="G159" s="64">
        <f>SUM(G152+G157)</f>
        <v>1389763</v>
      </c>
      <c r="H159" s="63"/>
      <c r="I159" s="64">
        <f>SUM(I152+I157)</f>
        <v>1389763</v>
      </c>
    </row>
    <row r="160" spans="2:11" ht="12.95" customHeight="1" x14ac:dyDescent="0.3">
      <c r="B160" s="18" t="s">
        <v>50</v>
      </c>
      <c r="C160" s="19"/>
      <c r="D160" s="40"/>
      <c r="E160" s="20"/>
      <c r="F160" s="21"/>
      <c r="G160" s="22">
        <f>TRUNC((G159/G149))</f>
        <v>115813</v>
      </c>
      <c r="H160" s="21"/>
      <c r="I160" s="22">
        <f>TRUNC((I159/I149))</f>
        <v>126342</v>
      </c>
    </row>
    <row r="162" spans="2:11" ht="12.95" customHeight="1" x14ac:dyDescent="0.3">
      <c r="B162" s="38" t="s">
        <v>58</v>
      </c>
      <c r="C162" s="39"/>
      <c r="D162" s="24"/>
      <c r="E162" s="10"/>
      <c r="F162" s="11"/>
      <c r="G162" s="11"/>
      <c r="H162" s="11"/>
      <c r="I162" s="29" t="s">
        <v>51</v>
      </c>
    </row>
    <row r="163" spans="2:11" ht="12.95" customHeight="1" x14ac:dyDescent="0.3">
      <c r="B163" s="93" t="s">
        <v>2</v>
      </c>
      <c r="C163" s="93" t="s">
        <v>6</v>
      </c>
      <c r="D163" s="89" t="s">
        <v>7</v>
      </c>
      <c r="E163" s="89" t="s">
        <v>3</v>
      </c>
      <c r="F163" s="81" t="s">
        <v>56</v>
      </c>
      <c r="G163" s="82"/>
      <c r="H163" s="81" t="s">
        <v>57</v>
      </c>
      <c r="I163" s="82"/>
    </row>
    <row r="164" spans="2:11" ht="12.95" customHeight="1" x14ac:dyDescent="0.3">
      <c r="B164" s="94"/>
      <c r="C164" s="94"/>
      <c r="D164" s="96"/>
      <c r="E164" s="96"/>
      <c r="F164" s="55" t="s">
        <v>48</v>
      </c>
      <c r="G164" s="56">
        <v>10</v>
      </c>
      <c r="H164" s="55" t="s">
        <v>48</v>
      </c>
      <c r="I164" s="56">
        <v>11</v>
      </c>
    </row>
    <row r="165" spans="2:11" ht="12.95" customHeight="1" x14ac:dyDescent="0.3">
      <c r="B165" s="95"/>
      <c r="C165" s="95"/>
      <c r="D165" s="90"/>
      <c r="E165" s="90"/>
      <c r="F165" s="46" t="s">
        <v>45</v>
      </c>
      <c r="G165" s="47" t="s">
        <v>46</v>
      </c>
      <c r="H165" s="46" t="s">
        <v>45</v>
      </c>
      <c r="I165" s="47" t="s">
        <v>46</v>
      </c>
    </row>
    <row r="166" spans="2:11" ht="12.95" customHeight="1" x14ac:dyDescent="0.3">
      <c r="B166" s="12" t="s">
        <v>8</v>
      </c>
      <c r="C166" s="6" t="s">
        <v>13</v>
      </c>
      <c r="D166" s="41" t="s">
        <v>16</v>
      </c>
      <c r="E166" s="14"/>
      <c r="F166" s="45">
        <v>1</v>
      </c>
      <c r="G166" s="15">
        <f>TRUNC(SUM(G169:G171)*0.03,1)</f>
        <v>40875.300000000003</v>
      </c>
      <c r="H166" s="45">
        <v>1</v>
      </c>
      <c r="I166" s="15">
        <f>TRUNC(SUM(I169:I171)*0.03,1)</f>
        <v>40875.300000000003</v>
      </c>
      <c r="J166" s="43"/>
      <c r="K166" s="43"/>
    </row>
    <row r="167" spans="2:11" ht="12.95" customHeight="1" x14ac:dyDescent="0.3">
      <c r="B167" s="33" t="s">
        <v>10</v>
      </c>
      <c r="C167" s="36"/>
      <c r="D167" s="35"/>
      <c r="E167" s="34"/>
      <c r="F167" s="34"/>
      <c r="G167" s="32">
        <f>TRUNC(SUM(G166:G166))</f>
        <v>40875</v>
      </c>
      <c r="H167" s="34"/>
      <c r="I167" s="32">
        <f>TRUNC(SUM(I166:I166))</f>
        <v>40875</v>
      </c>
    </row>
    <row r="168" spans="2:11" ht="12.95" customHeight="1" x14ac:dyDescent="0.3">
      <c r="B168" s="16"/>
      <c r="C168" s="16"/>
      <c r="D168" s="41"/>
      <c r="E168" s="13"/>
      <c r="F168" s="13"/>
      <c r="G168" s="17"/>
      <c r="H168" s="13"/>
      <c r="I168" s="17"/>
    </row>
    <row r="169" spans="2:11" ht="12.95" customHeight="1" x14ac:dyDescent="0.3">
      <c r="B169" s="23" t="s">
        <v>28</v>
      </c>
      <c r="C169" s="9"/>
      <c r="D169" s="3" t="s">
        <v>9</v>
      </c>
      <c r="E169" s="49">
        <v>268908</v>
      </c>
      <c r="F169" s="45">
        <v>3</v>
      </c>
      <c r="G169" s="7">
        <f t="shared" ref="G169:G171" si="47">TRUNC($E169*F169,1)</f>
        <v>806724</v>
      </c>
      <c r="H169" s="45">
        <v>3</v>
      </c>
      <c r="I169" s="7">
        <f t="shared" ref="I169:I171" si="48">TRUNC($E169*H169,1)</f>
        <v>806724</v>
      </c>
    </row>
    <row r="170" spans="2:11" ht="12.95" customHeight="1" x14ac:dyDescent="0.3">
      <c r="B170" s="23" t="s">
        <v>54</v>
      </c>
      <c r="C170" s="9"/>
      <c r="D170" s="3" t="s">
        <v>9</v>
      </c>
      <c r="E170" s="57">
        <v>211653</v>
      </c>
      <c r="F170" s="45">
        <v>1</v>
      </c>
      <c r="G170" s="7">
        <f t="shared" si="47"/>
        <v>211653</v>
      </c>
      <c r="H170" s="45">
        <v>1</v>
      </c>
      <c r="I170" s="7">
        <f t="shared" si="48"/>
        <v>211653</v>
      </c>
    </row>
    <row r="171" spans="2:11" ht="12.95" customHeight="1" x14ac:dyDescent="0.3">
      <c r="B171" s="23" t="s">
        <v>0</v>
      </c>
      <c r="C171" s="9"/>
      <c r="D171" s="3" t="s">
        <v>9</v>
      </c>
      <c r="E171" s="57">
        <v>172068</v>
      </c>
      <c r="F171" s="45">
        <v>2</v>
      </c>
      <c r="G171" s="7">
        <f t="shared" si="47"/>
        <v>344136</v>
      </c>
      <c r="H171" s="45">
        <v>2</v>
      </c>
      <c r="I171" s="7">
        <f t="shared" si="48"/>
        <v>344136</v>
      </c>
    </row>
    <row r="172" spans="2:11" ht="12.95" customHeight="1" x14ac:dyDescent="0.3">
      <c r="B172" s="30" t="s">
        <v>11</v>
      </c>
      <c r="C172" s="36"/>
      <c r="D172" s="35"/>
      <c r="E172" s="31"/>
      <c r="F172" s="58"/>
      <c r="G172" s="32">
        <f>TRUNC(SUM(G169:G171))</f>
        <v>1362513</v>
      </c>
      <c r="H172" s="58"/>
      <c r="I172" s="32">
        <f>TRUNC(SUM(I169:I171))</f>
        <v>1362513</v>
      </c>
    </row>
    <row r="173" spans="2:11" ht="12.95" customHeight="1" x14ac:dyDescent="0.3">
      <c r="B173" s="16"/>
      <c r="C173" s="16"/>
      <c r="D173" s="41"/>
      <c r="E173" s="13"/>
      <c r="F173" s="59"/>
      <c r="G173" s="17"/>
      <c r="H173" s="59"/>
      <c r="I173" s="17"/>
    </row>
    <row r="174" spans="2:11" ht="12.95" customHeight="1" x14ac:dyDescent="0.3">
      <c r="B174" s="61" t="s">
        <v>14</v>
      </c>
      <c r="C174" s="16"/>
      <c r="D174" s="41"/>
      <c r="E174" s="62"/>
      <c r="F174" s="63"/>
      <c r="G174" s="64">
        <f>SUM(G167+G172)</f>
        <v>1403388</v>
      </c>
      <c r="H174" s="63"/>
      <c r="I174" s="64">
        <f>SUM(I167+I172)</f>
        <v>1403388</v>
      </c>
    </row>
    <row r="175" spans="2:11" ht="12.95" customHeight="1" x14ac:dyDescent="0.3">
      <c r="B175" s="18" t="s">
        <v>50</v>
      </c>
      <c r="C175" s="19"/>
      <c r="D175" s="40"/>
      <c r="E175" s="20"/>
      <c r="F175" s="21"/>
      <c r="G175" s="22">
        <f>TRUNC((G174/G164))</f>
        <v>140338</v>
      </c>
      <c r="H175" s="21"/>
      <c r="I175" s="22">
        <f>TRUNC((I174/I164))</f>
        <v>127580</v>
      </c>
    </row>
    <row r="177" spans="2:13" ht="12.95" customHeight="1" x14ac:dyDescent="0.3">
      <c r="B177" s="38" t="s">
        <v>42</v>
      </c>
      <c r="C177" s="39"/>
      <c r="D177" s="24"/>
      <c r="E177" s="10"/>
      <c r="F177" s="11"/>
      <c r="G177" s="11"/>
      <c r="H177" s="11"/>
      <c r="I177" s="29" t="s">
        <v>51</v>
      </c>
      <c r="J177" s="11"/>
      <c r="K177" s="11"/>
      <c r="L177" s="11"/>
      <c r="M177" s="29"/>
    </row>
    <row r="178" spans="2:13" ht="12.95" customHeight="1" x14ac:dyDescent="0.3">
      <c r="B178" s="73" t="s">
        <v>2</v>
      </c>
      <c r="C178" s="70" t="s">
        <v>6</v>
      </c>
      <c r="D178" s="86" t="s">
        <v>7</v>
      </c>
      <c r="E178" s="83" t="s">
        <v>3</v>
      </c>
      <c r="F178" s="81" t="s">
        <v>59</v>
      </c>
      <c r="G178" s="82"/>
      <c r="H178" s="82"/>
      <c r="I178" s="82"/>
    </row>
    <row r="179" spans="2:13" ht="12.95" customHeight="1" x14ac:dyDescent="0.3">
      <c r="B179" s="74"/>
      <c r="C179" s="71"/>
      <c r="D179" s="87"/>
      <c r="E179" s="84"/>
      <c r="F179" s="81" t="s">
        <v>56</v>
      </c>
      <c r="G179" s="82"/>
      <c r="H179" s="81" t="s">
        <v>57</v>
      </c>
      <c r="I179" s="82"/>
    </row>
    <row r="180" spans="2:13" ht="12.95" customHeight="1" x14ac:dyDescent="0.3">
      <c r="B180" s="74"/>
      <c r="C180" s="71"/>
      <c r="D180" s="87"/>
      <c r="E180" s="84"/>
      <c r="F180" s="55" t="s">
        <v>48</v>
      </c>
      <c r="G180" s="56">
        <v>11</v>
      </c>
      <c r="H180" s="55" t="s">
        <v>49</v>
      </c>
      <c r="I180" s="56">
        <v>12</v>
      </c>
    </row>
    <row r="181" spans="2:13" ht="12.95" customHeight="1" x14ac:dyDescent="0.3">
      <c r="B181" s="75"/>
      <c r="C181" s="72"/>
      <c r="D181" s="88"/>
      <c r="E181" s="85"/>
      <c r="F181" s="46" t="s">
        <v>45</v>
      </c>
      <c r="G181" s="47" t="s">
        <v>46</v>
      </c>
      <c r="H181" s="46" t="s">
        <v>45</v>
      </c>
      <c r="I181" s="47" t="s">
        <v>46</v>
      </c>
    </row>
    <row r="182" spans="2:13" ht="12.95" customHeight="1" x14ac:dyDescent="0.3">
      <c r="B182" s="12" t="s">
        <v>8</v>
      </c>
      <c r="C182" s="6" t="s">
        <v>13</v>
      </c>
      <c r="D182" s="41" t="s">
        <v>16</v>
      </c>
      <c r="E182" s="14"/>
      <c r="F182" s="45">
        <v>1</v>
      </c>
      <c r="G182" s="15">
        <f>TRUNC(SUM(G185:G186)*0.03,1)</f>
        <v>24146.400000000001</v>
      </c>
      <c r="H182" s="45">
        <v>1</v>
      </c>
      <c r="I182" s="15">
        <f>TRUNC(SUM(I185:I186)*0.03,1)</f>
        <v>24146.400000000001</v>
      </c>
      <c r="J182" s="43"/>
      <c r="K182" s="43"/>
    </row>
    <row r="183" spans="2:13" ht="12.95" customHeight="1" x14ac:dyDescent="0.3">
      <c r="B183" s="33" t="s">
        <v>10</v>
      </c>
      <c r="C183" s="36"/>
      <c r="D183" s="35"/>
      <c r="E183" s="34"/>
      <c r="F183" s="34"/>
      <c r="G183" s="32">
        <f>TRUNC(SUM(G182:G182))</f>
        <v>24146</v>
      </c>
      <c r="H183" s="34"/>
      <c r="I183" s="32">
        <f>TRUNC(SUM(I182:I182))</f>
        <v>24146</v>
      </c>
    </row>
    <row r="184" spans="2:13" ht="12.95" customHeight="1" x14ac:dyDescent="0.3">
      <c r="B184" s="16"/>
      <c r="C184" s="16"/>
      <c r="D184" s="41"/>
      <c r="E184" s="13"/>
      <c r="F184" s="13"/>
      <c r="G184" s="17"/>
      <c r="H184" s="13"/>
      <c r="I184" s="17"/>
    </row>
    <row r="185" spans="2:13" ht="12.95" customHeight="1" x14ac:dyDescent="0.3">
      <c r="B185" s="23" t="s">
        <v>18</v>
      </c>
      <c r="C185" s="9"/>
      <c r="D185" s="3" t="s">
        <v>9</v>
      </c>
      <c r="E185" s="49">
        <v>282536</v>
      </c>
      <c r="F185" s="45">
        <v>2</v>
      </c>
      <c r="G185" s="7">
        <f t="shared" ref="G185:G186" si="49">TRUNC($E185*F185,1)</f>
        <v>565072</v>
      </c>
      <c r="H185" s="45">
        <v>2</v>
      </c>
      <c r="I185" s="7">
        <f t="shared" ref="I185:I186" si="50">TRUNC($E185*H185,1)</f>
        <v>565072</v>
      </c>
    </row>
    <row r="186" spans="2:13" ht="12.95" customHeight="1" x14ac:dyDescent="0.3">
      <c r="B186" s="23" t="s">
        <v>1</v>
      </c>
      <c r="C186" s="9"/>
      <c r="D186" s="3" t="s">
        <v>9</v>
      </c>
      <c r="E186" s="49">
        <v>239808</v>
      </c>
      <c r="F186" s="45">
        <v>1</v>
      </c>
      <c r="G186" s="7">
        <f t="shared" si="49"/>
        <v>239808</v>
      </c>
      <c r="H186" s="45">
        <v>1</v>
      </c>
      <c r="I186" s="7">
        <f t="shared" si="50"/>
        <v>239808</v>
      </c>
    </row>
    <row r="187" spans="2:13" ht="12.95" customHeight="1" x14ac:dyDescent="0.3">
      <c r="B187" s="30" t="s">
        <v>11</v>
      </c>
      <c r="C187" s="36"/>
      <c r="D187" s="35"/>
      <c r="E187" s="31"/>
      <c r="F187" s="58"/>
      <c r="G187" s="32">
        <f>TRUNC(SUM(G185:G186))</f>
        <v>804880</v>
      </c>
      <c r="H187" s="58"/>
      <c r="I187" s="32">
        <f>TRUNC(SUM(I185:I186))</f>
        <v>804880</v>
      </c>
    </row>
    <row r="188" spans="2:13" ht="12.95" customHeight="1" x14ac:dyDescent="0.3">
      <c r="B188" s="16"/>
      <c r="C188" s="16"/>
      <c r="D188" s="41"/>
      <c r="E188" s="13"/>
      <c r="F188" s="59"/>
      <c r="G188" s="17"/>
      <c r="H188" s="59"/>
      <c r="I188" s="17"/>
    </row>
    <row r="189" spans="2:13" ht="12.95" customHeight="1" x14ac:dyDescent="0.3">
      <c r="B189" s="61" t="s">
        <v>14</v>
      </c>
      <c r="C189" s="16"/>
      <c r="D189" s="41"/>
      <c r="E189" s="62"/>
      <c r="F189" s="63"/>
      <c r="G189" s="64">
        <f>SUM(G183+G187)</f>
        <v>829026</v>
      </c>
      <c r="H189" s="63"/>
      <c r="I189" s="64">
        <f>SUM(I183+I187)</f>
        <v>829026</v>
      </c>
    </row>
    <row r="190" spans="2:13" ht="12.95" customHeight="1" x14ac:dyDescent="0.3">
      <c r="B190" s="18" t="s">
        <v>50</v>
      </c>
      <c r="C190" s="19"/>
      <c r="D190" s="40"/>
      <c r="E190" s="20"/>
      <c r="F190" s="21"/>
      <c r="G190" s="22">
        <f>TRUNC((G189/G180))</f>
        <v>75366</v>
      </c>
      <c r="H190" s="21"/>
      <c r="I190" s="22">
        <f>TRUNC((I189/I180))</f>
        <v>69085</v>
      </c>
    </row>
    <row r="191" spans="2:13" ht="12.95" customHeight="1" x14ac:dyDescent="0.3">
      <c r="B191" s="73" t="s">
        <v>2</v>
      </c>
      <c r="C191" s="70" t="s">
        <v>6</v>
      </c>
      <c r="D191" s="86" t="s">
        <v>7</v>
      </c>
      <c r="E191" s="83" t="s">
        <v>3</v>
      </c>
      <c r="F191" s="81" t="s">
        <v>60</v>
      </c>
      <c r="G191" s="82"/>
      <c r="H191" s="82"/>
      <c r="I191" s="82"/>
    </row>
    <row r="192" spans="2:13" ht="12.95" customHeight="1" x14ac:dyDescent="0.3">
      <c r="B192" s="74"/>
      <c r="C192" s="71"/>
      <c r="D192" s="87"/>
      <c r="E192" s="84"/>
      <c r="F192" s="81" t="s">
        <v>56</v>
      </c>
      <c r="G192" s="82"/>
      <c r="H192" s="81" t="s">
        <v>57</v>
      </c>
      <c r="I192" s="82"/>
    </row>
    <row r="193" spans="2:11" ht="12.95" customHeight="1" x14ac:dyDescent="0.3">
      <c r="B193" s="74"/>
      <c r="C193" s="71"/>
      <c r="D193" s="87"/>
      <c r="E193" s="84"/>
      <c r="F193" s="55" t="s">
        <v>48</v>
      </c>
      <c r="G193" s="56">
        <v>13</v>
      </c>
      <c r="H193" s="55" t="s">
        <v>49</v>
      </c>
      <c r="I193" s="56">
        <v>15</v>
      </c>
    </row>
    <row r="194" spans="2:11" ht="12.95" customHeight="1" x14ac:dyDescent="0.3">
      <c r="B194" s="75"/>
      <c r="C194" s="72"/>
      <c r="D194" s="88"/>
      <c r="E194" s="85"/>
      <c r="F194" s="46" t="s">
        <v>45</v>
      </c>
      <c r="G194" s="47" t="s">
        <v>46</v>
      </c>
      <c r="H194" s="46" t="s">
        <v>45</v>
      </c>
      <c r="I194" s="47" t="s">
        <v>46</v>
      </c>
    </row>
    <row r="195" spans="2:11" ht="12.95" customHeight="1" x14ac:dyDescent="0.3">
      <c r="B195" s="12" t="s">
        <v>8</v>
      </c>
      <c r="C195" s="6" t="s">
        <v>13</v>
      </c>
      <c r="D195" s="41" t="s">
        <v>16</v>
      </c>
      <c r="E195" s="14"/>
      <c r="F195" s="45">
        <v>1</v>
      </c>
      <c r="G195" s="15">
        <f>TRUNC(SUM(G198:G200)*0.03,1)</f>
        <v>40875.300000000003</v>
      </c>
      <c r="H195" s="45">
        <v>1</v>
      </c>
      <c r="I195" s="15">
        <f>TRUNC(SUM(I198:I200)*0.03,1)</f>
        <v>40875.300000000003</v>
      </c>
      <c r="J195" s="43"/>
      <c r="K195" s="43"/>
    </row>
    <row r="196" spans="2:11" ht="12.95" customHeight="1" x14ac:dyDescent="0.3">
      <c r="B196" s="33" t="s">
        <v>10</v>
      </c>
      <c r="C196" s="36"/>
      <c r="D196" s="35"/>
      <c r="E196" s="34"/>
      <c r="F196" s="34"/>
      <c r="G196" s="32">
        <f>TRUNC(SUM(G195:G195))</f>
        <v>40875</v>
      </c>
      <c r="H196" s="34"/>
      <c r="I196" s="32">
        <f>TRUNC(SUM(I195:I195))</f>
        <v>40875</v>
      </c>
    </row>
    <row r="197" spans="2:11" ht="12.95" customHeight="1" x14ac:dyDescent="0.3">
      <c r="B197" s="16"/>
      <c r="C197" s="16"/>
      <c r="D197" s="41"/>
      <c r="E197" s="13"/>
      <c r="F197" s="13"/>
      <c r="G197" s="17"/>
      <c r="H197" s="13"/>
      <c r="I197" s="17"/>
    </row>
    <row r="198" spans="2:11" ht="12.95" customHeight="1" x14ac:dyDescent="0.3">
      <c r="B198" s="23" t="s">
        <v>28</v>
      </c>
      <c r="C198" s="9"/>
      <c r="D198" s="3" t="s">
        <v>9</v>
      </c>
      <c r="E198" s="49">
        <v>268908</v>
      </c>
      <c r="F198" s="45">
        <v>3</v>
      </c>
      <c r="G198" s="7">
        <f t="shared" ref="G198:G200" si="51">TRUNC($E198*F198,1)</f>
        <v>806724</v>
      </c>
      <c r="H198" s="45">
        <v>3</v>
      </c>
      <c r="I198" s="7">
        <f t="shared" ref="I198:I200" si="52">TRUNC($E198*H198,1)</f>
        <v>806724</v>
      </c>
    </row>
    <row r="199" spans="2:11" ht="12.95" customHeight="1" x14ac:dyDescent="0.3">
      <c r="B199" s="23" t="s">
        <v>54</v>
      </c>
      <c r="C199" s="9"/>
      <c r="D199" s="3" t="s">
        <v>9</v>
      </c>
      <c r="E199" s="57">
        <v>211653</v>
      </c>
      <c r="F199" s="45">
        <v>1</v>
      </c>
      <c r="G199" s="7">
        <f t="shared" si="51"/>
        <v>211653</v>
      </c>
      <c r="H199" s="45">
        <v>1</v>
      </c>
      <c r="I199" s="7">
        <f t="shared" si="52"/>
        <v>211653</v>
      </c>
    </row>
    <row r="200" spans="2:11" ht="12.95" customHeight="1" x14ac:dyDescent="0.3">
      <c r="B200" s="23" t="s">
        <v>0</v>
      </c>
      <c r="C200" s="9"/>
      <c r="D200" s="3" t="s">
        <v>9</v>
      </c>
      <c r="E200" s="57">
        <v>172068</v>
      </c>
      <c r="F200" s="45">
        <v>2</v>
      </c>
      <c r="G200" s="7">
        <f t="shared" si="51"/>
        <v>344136</v>
      </c>
      <c r="H200" s="45">
        <v>2</v>
      </c>
      <c r="I200" s="7">
        <f t="shared" si="52"/>
        <v>344136</v>
      </c>
    </row>
    <row r="201" spans="2:11" ht="12.95" customHeight="1" x14ac:dyDescent="0.3">
      <c r="B201" s="30" t="s">
        <v>11</v>
      </c>
      <c r="C201" s="36"/>
      <c r="D201" s="35"/>
      <c r="E201" s="31"/>
      <c r="F201" s="58"/>
      <c r="G201" s="32">
        <f>TRUNC(SUM(G198:G200))</f>
        <v>1362513</v>
      </c>
      <c r="H201" s="58"/>
      <c r="I201" s="32">
        <f>TRUNC(SUM(I198:I200))</f>
        <v>1362513</v>
      </c>
    </row>
    <row r="202" spans="2:11" ht="12.95" customHeight="1" x14ac:dyDescent="0.3">
      <c r="B202" s="16"/>
      <c r="C202" s="16"/>
      <c r="D202" s="41"/>
      <c r="E202" s="13"/>
      <c r="F202" s="59"/>
      <c r="G202" s="17"/>
      <c r="H202" s="59"/>
      <c r="I202" s="17"/>
    </row>
    <row r="203" spans="2:11" ht="12.95" customHeight="1" x14ac:dyDescent="0.3">
      <c r="B203" s="61" t="s">
        <v>14</v>
      </c>
      <c r="C203" s="16"/>
      <c r="D203" s="41"/>
      <c r="E203" s="62"/>
      <c r="F203" s="63"/>
      <c r="G203" s="64">
        <f>SUM(G196+G201)</f>
        <v>1403388</v>
      </c>
      <c r="H203" s="63"/>
      <c r="I203" s="64">
        <f>SUM(I196+I201)</f>
        <v>1403388</v>
      </c>
    </row>
    <row r="204" spans="2:11" ht="12.95" customHeight="1" x14ac:dyDescent="0.3">
      <c r="B204" s="18" t="s">
        <v>50</v>
      </c>
      <c r="C204" s="19"/>
      <c r="D204" s="40"/>
      <c r="E204" s="20"/>
      <c r="F204" s="21"/>
      <c r="G204" s="22">
        <f>TRUNC((G203/G193))</f>
        <v>107952</v>
      </c>
      <c r="H204" s="21"/>
      <c r="I204" s="22">
        <f>TRUNC((I203/I193))</f>
        <v>93559</v>
      </c>
    </row>
    <row r="287" spans="14:15" ht="12.95" customHeight="1" x14ac:dyDescent="0.3">
      <c r="N287" s="24"/>
      <c r="O287" s="24"/>
    </row>
    <row r="288" spans="14:15" ht="12.95" customHeight="1" x14ac:dyDescent="0.3">
      <c r="N288" s="24"/>
      <c r="O288" s="24"/>
    </row>
    <row r="291" spans="14:15" ht="12.95" customHeight="1" x14ac:dyDescent="0.3">
      <c r="N291" s="11"/>
      <c r="O291" s="11"/>
    </row>
    <row r="292" spans="14:15" ht="12.95" customHeight="1" x14ac:dyDescent="0.3">
      <c r="N292" s="11"/>
      <c r="O292" s="11"/>
    </row>
    <row r="293" spans="14:15" ht="12.95" customHeight="1" x14ac:dyDescent="0.3">
      <c r="N293" s="11"/>
      <c r="O293" s="11"/>
    </row>
    <row r="294" spans="14:15" ht="12.95" customHeight="1" x14ac:dyDescent="0.3">
      <c r="N294" s="11"/>
      <c r="O294" s="11"/>
    </row>
    <row r="295" spans="14:15" ht="12.95" customHeight="1" x14ac:dyDescent="0.3">
      <c r="N295" s="11"/>
      <c r="O295" s="11"/>
    </row>
    <row r="296" spans="14:15" ht="12.95" customHeight="1" x14ac:dyDescent="0.3">
      <c r="N296" s="11"/>
      <c r="O296" s="11"/>
    </row>
    <row r="297" spans="14:15" ht="12.95" customHeight="1" x14ac:dyDescent="0.3">
      <c r="N297" s="11"/>
      <c r="O297" s="11"/>
    </row>
    <row r="298" spans="14:15" ht="12.95" customHeight="1" x14ac:dyDescent="0.3">
      <c r="N298" s="11"/>
      <c r="O298" s="11"/>
    </row>
    <row r="299" spans="14:15" ht="12.95" customHeight="1" x14ac:dyDescent="0.3">
      <c r="N299" s="11"/>
      <c r="O299" s="11"/>
    </row>
    <row r="300" spans="14:15" ht="12.95" customHeight="1" x14ac:dyDescent="0.3">
      <c r="N300" s="11"/>
      <c r="O300" s="11"/>
    </row>
    <row r="301" spans="14:15" ht="12.95" customHeight="1" x14ac:dyDescent="0.3">
      <c r="N301" s="11"/>
      <c r="O301" s="11"/>
    </row>
    <row r="302" spans="14:15" ht="12.95" customHeight="1" x14ac:dyDescent="0.3">
      <c r="N302" s="11"/>
      <c r="O302" s="11"/>
    </row>
    <row r="303" spans="14:15" ht="12.95" customHeight="1" x14ac:dyDescent="0.3">
      <c r="N303" s="11"/>
      <c r="O303" s="11"/>
    </row>
    <row r="304" spans="14:15" ht="12.95" customHeight="1" x14ac:dyDescent="0.3">
      <c r="N304" s="11"/>
      <c r="O304" s="11"/>
    </row>
    <row r="305" spans="14:15" ht="12.95" customHeight="1" x14ac:dyDescent="0.3">
      <c r="N305" s="11"/>
      <c r="O305" s="11"/>
    </row>
    <row r="306" spans="14:15" ht="12.95" customHeight="1" x14ac:dyDescent="0.3">
      <c r="N306" s="11"/>
      <c r="O306" s="11"/>
    </row>
    <row r="307" spans="14:15" ht="12.95" customHeight="1" x14ac:dyDescent="0.3">
      <c r="N307" s="11"/>
      <c r="O307" s="11"/>
    </row>
    <row r="318" spans="14:15" ht="12.95" customHeight="1" x14ac:dyDescent="0.3">
      <c r="N318" s="24"/>
    </row>
    <row r="319" spans="14:15" ht="12.95" customHeight="1" x14ac:dyDescent="0.3">
      <c r="N319" s="24"/>
    </row>
    <row r="320" spans="14:15" ht="12.95" customHeight="1" x14ac:dyDescent="0.3">
      <c r="N320" s="24"/>
    </row>
    <row r="321" spans="14:14" ht="12.95" customHeight="1" x14ac:dyDescent="0.3">
      <c r="N321" s="24"/>
    </row>
    <row r="322" spans="14:14" ht="12.95" customHeight="1" x14ac:dyDescent="0.3">
      <c r="N322" s="24"/>
    </row>
    <row r="323" spans="14:14" ht="12.95" customHeight="1" x14ac:dyDescent="0.3">
      <c r="N323" s="24"/>
    </row>
    <row r="324" spans="14:14" ht="12.95" customHeight="1" x14ac:dyDescent="0.3">
      <c r="N324" s="24"/>
    </row>
    <row r="330" spans="14:14" ht="12.95" customHeight="1" x14ac:dyDescent="0.3">
      <c r="N330" s="11"/>
    </row>
    <row r="331" spans="14:14" ht="12.95" customHeight="1" x14ac:dyDescent="0.3">
      <c r="N331" s="11"/>
    </row>
    <row r="332" spans="14:14" ht="12.95" customHeight="1" x14ac:dyDescent="0.3">
      <c r="N332" s="11"/>
    </row>
    <row r="333" spans="14:14" ht="12.95" customHeight="1" x14ac:dyDescent="0.3">
      <c r="N333" s="11"/>
    </row>
    <row r="334" spans="14:14" ht="12.95" customHeight="1" x14ac:dyDescent="0.3">
      <c r="N334" s="11"/>
    </row>
    <row r="335" spans="14:14" ht="12.95" customHeight="1" x14ac:dyDescent="0.3">
      <c r="N335" s="11"/>
    </row>
    <row r="338" spans="14:15" ht="12.95" customHeight="1" x14ac:dyDescent="0.3">
      <c r="N338" s="24"/>
    </row>
    <row r="339" spans="14:15" ht="12.95" customHeight="1" x14ac:dyDescent="0.3">
      <c r="N339" s="24"/>
    </row>
    <row r="340" spans="14:15" ht="12.95" customHeight="1" x14ac:dyDescent="0.3">
      <c r="N340" s="24"/>
    </row>
    <row r="341" spans="14:15" ht="12.95" customHeight="1" x14ac:dyDescent="0.3">
      <c r="N341" s="24"/>
    </row>
    <row r="342" spans="14:15" ht="12.95" customHeight="1" x14ac:dyDescent="0.3">
      <c r="N342" s="24"/>
    </row>
    <row r="343" spans="14:15" ht="12.95" customHeight="1" x14ac:dyDescent="0.3">
      <c r="N343" s="11"/>
    </row>
    <row r="345" spans="14:15" ht="12.95" customHeight="1" x14ac:dyDescent="0.3">
      <c r="N345" s="28"/>
      <c r="O345" s="11"/>
    </row>
    <row r="346" spans="14:15" ht="12.95" customHeight="1" x14ac:dyDescent="0.3">
      <c r="N346" s="28"/>
      <c r="O346" s="11"/>
    </row>
    <row r="347" spans="14:15" ht="12.95" customHeight="1" x14ac:dyDescent="0.3">
      <c r="N347" s="28"/>
      <c r="O347" s="11"/>
    </row>
    <row r="348" spans="14:15" ht="12.95" customHeight="1" x14ac:dyDescent="0.3">
      <c r="N348" s="28"/>
      <c r="O348" s="11"/>
    </row>
    <row r="349" spans="14:15" ht="12.95" customHeight="1" x14ac:dyDescent="0.3">
      <c r="N349" s="28"/>
      <c r="O349" s="11"/>
    </row>
    <row r="350" spans="14:15" ht="12.95" customHeight="1" x14ac:dyDescent="0.3">
      <c r="N350" s="28"/>
      <c r="O350" s="11"/>
    </row>
    <row r="351" spans="14:15" ht="12.95" customHeight="1" x14ac:dyDescent="0.3">
      <c r="N351" s="28"/>
      <c r="O351" s="11"/>
    </row>
    <row r="352" spans="14:15" ht="12.95" customHeight="1" x14ac:dyDescent="0.3">
      <c r="N352" s="28"/>
      <c r="O352" s="11"/>
    </row>
    <row r="353" spans="14:16" ht="12.95" customHeight="1" x14ac:dyDescent="0.3">
      <c r="N353" s="28"/>
      <c r="O353" s="11"/>
    </row>
    <row r="354" spans="14:16" ht="12.95" customHeight="1" x14ac:dyDescent="0.3">
      <c r="N354" s="24"/>
      <c r="O354" s="28"/>
      <c r="P354" s="11"/>
    </row>
    <row r="355" spans="14:16" ht="12.95" customHeight="1" x14ac:dyDescent="0.3">
      <c r="N355" s="24"/>
      <c r="O355" s="28"/>
      <c r="P355" s="11"/>
    </row>
    <row r="356" spans="14:16" ht="12.95" customHeight="1" x14ac:dyDescent="0.3">
      <c r="N356" s="24"/>
      <c r="O356" s="28"/>
      <c r="P356" s="11"/>
    </row>
    <row r="357" spans="14:16" ht="12.95" customHeight="1" x14ac:dyDescent="0.3">
      <c r="N357" s="24"/>
      <c r="O357" s="25"/>
      <c r="P357" s="11"/>
    </row>
    <row r="358" spans="14:16" ht="12.95" customHeight="1" x14ac:dyDescent="0.3">
      <c r="N358" s="24"/>
      <c r="O358" s="25"/>
      <c r="P358" s="11"/>
    </row>
    <row r="359" spans="14:16" ht="12.95" customHeight="1" x14ac:dyDescent="0.3">
      <c r="N359" s="11"/>
      <c r="O359" s="26"/>
      <c r="P359" s="11"/>
    </row>
    <row r="360" spans="14:16" ht="12.95" customHeight="1" x14ac:dyDescent="0.3">
      <c r="N360" s="26"/>
      <c r="O360" s="11"/>
    </row>
    <row r="361" spans="14:16" ht="12.95" customHeight="1" x14ac:dyDescent="0.3">
      <c r="N361" s="11"/>
      <c r="O361" s="26"/>
      <c r="P361" s="11"/>
    </row>
    <row r="362" spans="14:16" ht="12.95" customHeight="1" x14ac:dyDescent="0.3">
      <c r="N362" s="11"/>
      <c r="O362" s="26"/>
      <c r="P362" s="11"/>
    </row>
    <row r="363" spans="14:16" ht="12.95" customHeight="1" x14ac:dyDescent="0.3">
      <c r="N363" s="11"/>
      <c r="O363" s="26"/>
      <c r="P363" s="11"/>
    </row>
    <row r="364" spans="14:16" ht="12.95" customHeight="1" x14ac:dyDescent="0.3">
      <c r="N364" s="11"/>
      <c r="O364" s="27"/>
      <c r="P364" s="11"/>
    </row>
    <row r="365" spans="14:16" ht="12.95" customHeight="1" x14ac:dyDescent="0.3">
      <c r="N365" s="11"/>
      <c r="O365" s="25"/>
      <c r="P365" s="11"/>
    </row>
    <row r="366" spans="14:16" ht="12.95" customHeight="1" x14ac:dyDescent="0.3">
      <c r="N366" s="11"/>
    </row>
    <row r="367" spans="14:16" ht="12.95" customHeight="1" x14ac:dyDescent="0.3">
      <c r="N367" s="11"/>
    </row>
    <row r="368" spans="14:16" ht="12.95" customHeight="1" x14ac:dyDescent="0.3">
      <c r="N368" s="11"/>
    </row>
    <row r="369" spans="14:14" ht="12.95" customHeight="1" x14ac:dyDescent="0.3">
      <c r="N369" s="11"/>
    </row>
    <row r="370" spans="14:14" ht="12.95" customHeight="1" x14ac:dyDescent="0.3">
      <c r="N370" s="11"/>
    </row>
    <row r="371" spans="14:14" ht="12.95" customHeight="1" x14ac:dyDescent="0.3">
      <c r="N371" s="11"/>
    </row>
    <row r="372" spans="14:14" ht="12.95" customHeight="1" x14ac:dyDescent="0.3">
      <c r="N372" s="11"/>
    </row>
    <row r="373" spans="14:14" ht="12.95" customHeight="1" x14ac:dyDescent="0.3">
      <c r="N373" s="11"/>
    </row>
    <row r="374" spans="14:14" ht="12.95" customHeight="1" x14ac:dyDescent="0.3">
      <c r="N374" s="11"/>
    </row>
    <row r="375" spans="14:14" ht="12.95" customHeight="1" x14ac:dyDescent="0.3">
      <c r="N375" s="11"/>
    </row>
    <row r="376" spans="14:14" ht="12.95" customHeight="1" x14ac:dyDescent="0.3">
      <c r="N376" s="11"/>
    </row>
    <row r="377" spans="14:14" ht="12.95" customHeight="1" x14ac:dyDescent="0.3">
      <c r="N377" s="11"/>
    </row>
    <row r="378" spans="14:14" ht="12.95" customHeight="1" x14ac:dyDescent="0.3">
      <c r="N378" s="11"/>
    </row>
    <row r="454" spans="14:15" ht="12.95" customHeight="1" x14ac:dyDescent="0.3">
      <c r="N454" s="11"/>
      <c r="O454" s="11"/>
    </row>
    <row r="455" spans="14:15" ht="12.95" customHeight="1" x14ac:dyDescent="0.3">
      <c r="N455" s="11"/>
      <c r="O455" s="11"/>
    </row>
    <row r="456" spans="14:15" ht="12.95" customHeight="1" x14ac:dyDescent="0.3">
      <c r="N456" s="11"/>
      <c r="O456" s="11"/>
    </row>
    <row r="521" spans="14:15" ht="12.95" customHeight="1" x14ac:dyDescent="0.3">
      <c r="N521" s="11"/>
      <c r="O521" s="11"/>
    </row>
    <row r="522" spans="14:15" ht="12.95" customHeight="1" x14ac:dyDescent="0.3">
      <c r="N522" s="11"/>
      <c r="O522" s="11"/>
    </row>
    <row r="523" spans="14:15" ht="12.95" customHeight="1" x14ac:dyDescent="0.3">
      <c r="N523" s="11"/>
      <c r="O523" s="11"/>
    </row>
    <row r="524" spans="14:15" ht="12.95" customHeight="1" x14ac:dyDescent="0.3">
      <c r="N524" s="11"/>
      <c r="O524" s="11"/>
    </row>
    <row r="525" spans="14:15" ht="12.95" customHeight="1" x14ac:dyDescent="0.3">
      <c r="N525" s="11"/>
      <c r="O525" s="11"/>
    </row>
    <row r="526" spans="14:15" ht="12.95" customHeight="1" x14ac:dyDescent="0.3">
      <c r="N526" s="11"/>
      <c r="O526" s="11"/>
    </row>
    <row r="527" spans="14:15" ht="12.95" customHeight="1" x14ac:dyDescent="0.3">
      <c r="N527" s="11"/>
      <c r="O527" s="11"/>
    </row>
    <row r="528" spans="14:15" ht="12.95" customHeight="1" x14ac:dyDescent="0.3">
      <c r="N528" s="11"/>
      <c r="O528" s="11"/>
    </row>
    <row r="529" spans="14:15" ht="12.95" customHeight="1" x14ac:dyDescent="0.3">
      <c r="N529" s="11"/>
      <c r="O529" s="11"/>
    </row>
    <row r="530" spans="14:15" ht="12.95" customHeight="1" x14ac:dyDescent="0.3">
      <c r="N530" s="11"/>
      <c r="O530" s="11"/>
    </row>
    <row r="531" spans="14:15" ht="12.95" customHeight="1" x14ac:dyDescent="0.3">
      <c r="N531" s="11"/>
      <c r="O531" s="11"/>
    </row>
    <row r="532" spans="14:15" ht="12.95" customHeight="1" x14ac:dyDescent="0.3">
      <c r="N532" s="11"/>
      <c r="O532" s="11"/>
    </row>
    <row r="533" spans="14:15" ht="12.95" customHeight="1" x14ac:dyDescent="0.3">
      <c r="N533" s="11"/>
      <c r="O533" s="11"/>
    </row>
    <row r="534" spans="14:15" ht="12.95" customHeight="1" x14ac:dyDescent="0.3">
      <c r="N534" s="11"/>
      <c r="O534" s="11"/>
    </row>
    <row r="535" spans="14:15" ht="12.95" customHeight="1" x14ac:dyDescent="0.3">
      <c r="N535" s="11"/>
      <c r="O535" s="11"/>
    </row>
    <row r="536" spans="14:15" ht="12.95" customHeight="1" x14ac:dyDescent="0.3">
      <c r="N536" s="11"/>
      <c r="O536" s="11"/>
    </row>
    <row r="537" spans="14:15" ht="12.95" customHeight="1" x14ac:dyDescent="0.3">
      <c r="N537" s="11"/>
      <c r="O537" s="11"/>
    </row>
    <row r="538" spans="14:15" ht="12.95" customHeight="1" x14ac:dyDescent="0.3">
      <c r="N538" s="11"/>
      <c r="O538" s="11"/>
    </row>
    <row r="539" spans="14:15" ht="12.95" customHeight="1" x14ac:dyDescent="0.3">
      <c r="N539" s="11"/>
      <c r="O539" s="11"/>
    </row>
    <row r="646" spans="14:15" ht="12.95" customHeight="1" x14ac:dyDescent="0.3">
      <c r="N646" s="42"/>
      <c r="O646" s="42"/>
    </row>
    <row r="647" spans="14:15" ht="12.95" customHeight="1" x14ac:dyDescent="0.3">
      <c r="N647" s="42"/>
      <c r="O647" s="42"/>
    </row>
    <row r="648" spans="14:15" ht="12.95" customHeight="1" x14ac:dyDescent="0.3">
      <c r="N648" s="42"/>
      <c r="O648" s="42"/>
    </row>
    <row r="649" spans="14:15" ht="12.95" customHeight="1" x14ac:dyDescent="0.3">
      <c r="N649" s="42"/>
      <c r="O649" s="42"/>
    </row>
    <row r="650" spans="14:15" ht="12.95" customHeight="1" x14ac:dyDescent="0.3">
      <c r="N650" s="42"/>
      <c r="O650" s="42"/>
    </row>
    <row r="651" spans="14:15" ht="12.95" customHeight="1" x14ac:dyDescent="0.3">
      <c r="N651" s="42"/>
      <c r="O651" s="42"/>
    </row>
    <row r="652" spans="14:15" ht="12.95" customHeight="1" x14ac:dyDescent="0.3">
      <c r="N652" s="42"/>
      <c r="O652" s="42"/>
    </row>
    <row r="653" spans="14:15" ht="12.95" customHeight="1" x14ac:dyDescent="0.3">
      <c r="N653" s="42"/>
      <c r="O653" s="42"/>
    </row>
    <row r="654" spans="14:15" ht="12.95" customHeight="1" x14ac:dyDescent="0.3">
      <c r="N654" s="42"/>
      <c r="O654" s="42"/>
    </row>
    <row r="655" spans="14:15" ht="12.95" customHeight="1" x14ac:dyDescent="0.3">
      <c r="N655" s="42"/>
      <c r="O655" s="42"/>
    </row>
    <row r="656" spans="14:15" ht="12.95" customHeight="1" x14ac:dyDescent="0.3">
      <c r="N656" s="42"/>
      <c r="O656" s="42"/>
    </row>
    <row r="657" spans="14:15" ht="12.95" customHeight="1" x14ac:dyDescent="0.3">
      <c r="N657" s="42"/>
      <c r="O657" s="42"/>
    </row>
    <row r="658" spans="14:15" ht="12.95" customHeight="1" x14ac:dyDescent="0.3">
      <c r="N658" s="42"/>
      <c r="O658" s="42"/>
    </row>
    <row r="659" spans="14:15" ht="12.95" customHeight="1" x14ac:dyDescent="0.3">
      <c r="N659" s="42"/>
      <c r="O659" s="42"/>
    </row>
    <row r="660" spans="14:15" ht="12.95" customHeight="1" x14ac:dyDescent="0.3">
      <c r="N660" s="42"/>
      <c r="O660" s="42"/>
    </row>
    <row r="661" spans="14:15" ht="12.95" customHeight="1" x14ac:dyDescent="0.3">
      <c r="N661" s="42"/>
      <c r="O661" s="42"/>
    </row>
    <row r="662" spans="14:15" ht="12.95" customHeight="1" x14ac:dyDescent="0.3">
      <c r="N662" s="42"/>
      <c r="O662" s="42"/>
    </row>
    <row r="663" spans="14:15" ht="12.95" customHeight="1" x14ac:dyDescent="0.3">
      <c r="N663" s="42"/>
      <c r="O663" s="42"/>
    </row>
    <row r="664" spans="14:15" ht="12.95" customHeight="1" x14ac:dyDescent="0.3">
      <c r="N664" s="42"/>
      <c r="O664" s="42"/>
    </row>
  </sheetData>
  <mergeCells count="76">
    <mergeCell ref="B191:B194"/>
    <mergeCell ref="C191:C194"/>
    <mergeCell ref="D191:D194"/>
    <mergeCell ref="E191:E194"/>
    <mergeCell ref="F191:I191"/>
    <mergeCell ref="F192:G192"/>
    <mergeCell ref="H192:I192"/>
    <mergeCell ref="B178:B181"/>
    <mergeCell ref="C178:C181"/>
    <mergeCell ref="D178:D181"/>
    <mergeCell ref="E178:E181"/>
    <mergeCell ref="F178:I178"/>
    <mergeCell ref="F179:G179"/>
    <mergeCell ref="H179:I179"/>
    <mergeCell ref="F163:G163"/>
    <mergeCell ref="H163:I163"/>
    <mergeCell ref="B163:B165"/>
    <mergeCell ref="C163:C165"/>
    <mergeCell ref="D163:D165"/>
    <mergeCell ref="E163:E165"/>
    <mergeCell ref="E133:E136"/>
    <mergeCell ref="F134:G134"/>
    <mergeCell ref="B147:B150"/>
    <mergeCell ref="C147:C150"/>
    <mergeCell ref="D147:D150"/>
    <mergeCell ref="E147:E150"/>
    <mergeCell ref="F147:I147"/>
    <mergeCell ref="F148:G148"/>
    <mergeCell ref="H148:I148"/>
    <mergeCell ref="H134:I134"/>
    <mergeCell ref="F133:I133"/>
    <mergeCell ref="B86:B87"/>
    <mergeCell ref="C86:C87"/>
    <mergeCell ref="D86:D87"/>
    <mergeCell ref="E86:E87"/>
    <mergeCell ref="E105:E106"/>
    <mergeCell ref="F105:F106"/>
    <mergeCell ref="G105:G106"/>
    <mergeCell ref="B113:B114"/>
    <mergeCell ref="C113:C114"/>
    <mergeCell ref="D113:D114"/>
    <mergeCell ref="E113:E114"/>
    <mergeCell ref="B133:B136"/>
    <mergeCell ref="C133:C136"/>
    <mergeCell ref="D133:D136"/>
    <mergeCell ref="E65:E67"/>
    <mergeCell ref="F65:G65"/>
    <mergeCell ref="H65:I65"/>
    <mergeCell ref="J65:K65"/>
    <mergeCell ref="B45:B47"/>
    <mergeCell ref="C45:C47"/>
    <mergeCell ref="D45:D47"/>
    <mergeCell ref="E45:E47"/>
    <mergeCell ref="F45:G45"/>
    <mergeCell ref="E24:E26"/>
    <mergeCell ref="F24:G24"/>
    <mergeCell ref="H24:I24"/>
    <mergeCell ref="J24:K24"/>
    <mergeCell ref="H45:I45"/>
    <mergeCell ref="J45:K45"/>
    <mergeCell ref="F4:G4"/>
    <mergeCell ref="H4:I4"/>
    <mergeCell ref="J4:K4"/>
    <mergeCell ref="E4:E6"/>
    <mergeCell ref="D4:D6"/>
    <mergeCell ref="C4:C6"/>
    <mergeCell ref="B4:B6"/>
    <mergeCell ref="B105:B106"/>
    <mergeCell ref="C105:C106"/>
    <mergeCell ref="D105:D106"/>
    <mergeCell ref="B24:B26"/>
    <mergeCell ref="C24:C26"/>
    <mergeCell ref="D24:D26"/>
    <mergeCell ref="B65:B67"/>
    <mergeCell ref="C65:C67"/>
    <mergeCell ref="D65:D67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돌공사(상반기)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2026-01-01T07:57:51Z</dcterms:modified>
</cp:coreProperties>
</file>