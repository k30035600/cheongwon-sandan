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1A962B31-344B-4A7A-878A-EC2C02BC46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지붕 및 홈통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6" l="1"/>
  <c r="G88" i="6"/>
  <c r="G51" i="6"/>
  <c r="I50" i="6"/>
  <c r="I25" i="6"/>
  <c r="I24" i="6"/>
  <c r="G11" i="6"/>
  <c r="I10" i="6"/>
  <c r="G120" i="6"/>
  <c r="G121" i="6" s="1"/>
  <c r="G98" i="6"/>
  <c r="G73" i="6"/>
  <c r="G85" i="6" l="1"/>
  <c r="G90" i="6"/>
  <c r="G86" i="6"/>
  <c r="G92" i="6" s="1"/>
  <c r="G93" i="6" s="1"/>
  <c r="G64" i="6"/>
  <c r="G63" i="6"/>
  <c r="G50" i="6"/>
  <c r="I51" i="6"/>
  <c r="I47" i="6" s="1"/>
  <c r="I48" i="6" s="1"/>
  <c r="I26" i="6"/>
  <c r="I21" i="6"/>
  <c r="I22" i="6" s="1"/>
  <c r="G24" i="6"/>
  <c r="G25" i="6"/>
  <c r="G10" i="6"/>
  <c r="G7" i="6" s="1"/>
  <c r="I11" i="6"/>
  <c r="G123" i="6"/>
  <c r="G125" i="6" s="1"/>
  <c r="G99" i="6"/>
  <c r="G101" i="6" s="1"/>
  <c r="G103" i="6" s="1"/>
  <c r="G74" i="6"/>
  <c r="G76" i="6" s="1"/>
  <c r="G78" i="6" s="1"/>
  <c r="G196" i="6"/>
  <c r="G195" i="6"/>
  <c r="G185" i="6"/>
  <c r="G184" i="6"/>
  <c r="G175" i="6"/>
  <c r="G174" i="6"/>
  <c r="G162" i="6"/>
  <c r="G161" i="6"/>
  <c r="G149" i="6"/>
  <c r="G148" i="6"/>
  <c r="G136" i="6"/>
  <c r="G135" i="6"/>
  <c r="G112" i="6"/>
  <c r="G38" i="6"/>
  <c r="G37" i="6"/>
  <c r="G60" i="6" l="1"/>
  <c r="G61" i="6" s="1"/>
  <c r="G65" i="6"/>
  <c r="I28" i="6"/>
  <c r="I29" i="6" s="1"/>
  <c r="G47" i="6"/>
  <c r="G48" i="6" s="1"/>
  <c r="G52" i="6"/>
  <c r="I52" i="6"/>
  <c r="I54" i="6" s="1"/>
  <c r="I55" i="6" s="1"/>
  <c r="G21" i="6"/>
  <c r="G22" i="6" s="1"/>
  <c r="G26" i="6"/>
  <c r="G186" i="6"/>
  <c r="G188" i="6" s="1"/>
  <c r="I7" i="6"/>
  <c r="I8" i="6" s="1"/>
  <c r="G8" i="6"/>
  <c r="G12" i="6"/>
  <c r="I12" i="6"/>
  <c r="G39" i="6"/>
  <c r="G113" i="6"/>
  <c r="G109" i="6"/>
  <c r="G110" i="6" s="1"/>
  <c r="G137" i="6"/>
  <c r="G132" i="6"/>
  <c r="G133" i="6" s="1"/>
  <c r="G163" i="6"/>
  <c r="G158" i="6"/>
  <c r="G159" i="6" s="1"/>
  <c r="G150" i="6"/>
  <c r="G145" i="6"/>
  <c r="G146" i="6" s="1"/>
  <c r="G176" i="6"/>
  <c r="G171" i="6"/>
  <c r="G172" i="6" s="1"/>
  <c r="G197" i="6"/>
  <c r="G199" i="6" s="1"/>
  <c r="G34" i="6"/>
  <c r="G35" i="6" s="1"/>
  <c r="G67" i="6" l="1"/>
  <c r="G68" i="6" s="1"/>
  <c r="G54" i="6"/>
  <c r="G55" i="6" s="1"/>
  <c r="G28" i="6"/>
  <c r="G29" i="6" s="1"/>
  <c r="I14" i="6"/>
  <c r="I15" i="6" s="1"/>
  <c r="G41" i="6"/>
  <c r="G14" i="6"/>
  <c r="G15" i="6" s="1"/>
  <c r="G115" i="6"/>
  <c r="G152" i="6"/>
  <c r="G165" i="6"/>
  <c r="G178" i="6"/>
  <c r="G139" i="6"/>
</calcChain>
</file>

<file path=xl/sharedStrings.xml><?xml version="1.0" encoding="utf-8"?>
<sst xmlns="http://schemas.openxmlformats.org/spreadsheetml/2006/main" count="309" uniqueCount="65">
  <si>
    <t>배관공</t>
  </si>
  <si>
    <t>보통인부</t>
  </si>
  <si>
    <t>지붕잇기공</t>
  </si>
  <si>
    <t>구분</t>
  </si>
  <si>
    <t>단가</t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</si>
  <si>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</si>
  <si>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</si>
  <si>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</si>
  <si>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</si>
  <si>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</si>
  <si>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</si>
  <si>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</si>
  <si>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인력품의 5%</t>
    <phoneticPr fontId="3" type="noConversion"/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</si>
  <si>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</si>
  <si>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</si>
  <si>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</si>
  <si>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</si>
  <si>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</si>
  <si>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(㎡당)</t>
    <phoneticPr fontId="3" type="noConversion"/>
  </si>
  <si>
    <t>%</t>
    <phoneticPr fontId="3" type="noConversion"/>
  </si>
  <si>
    <t>7-1 지붕</t>
  </si>
  <si>
    <t>제 7 장 지붕 및 홈통공사</t>
    <phoneticPr fontId="3" type="noConversion"/>
  </si>
  <si>
    <t>7-1-1 금속기와 잇기</t>
    <phoneticPr fontId="3" type="noConversion"/>
  </si>
  <si>
    <t>7-1-2 금속판 평잇기</t>
    <phoneticPr fontId="3" type="noConversion"/>
  </si>
  <si>
    <t>7-1-3 금속판 돌출잇기 현장제작</t>
    <phoneticPr fontId="3" type="noConversion"/>
  </si>
  <si>
    <t>7-1-4 금속판 돌출잇기</t>
  </si>
  <si>
    <t>아스팔트싱글</t>
  </si>
  <si>
    <t>336×1,000×3㎜</t>
  </si>
  <si>
    <t>매</t>
    <phoneticPr fontId="3" type="noConversion"/>
  </si>
  <si>
    <t>7-1-5 아스팔트싱글 설치</t>
    <phoneticPr fontId="3" type="noConversion"/>
  </si>
  <si>
    <t>주재료비의 %</t>
    <phoneticPr fontId="3" type="noConversion"/>
  </si>
  <si>
    <t>잡재료 및 소모재료</t>
    <phoneticPr fontId="3" type="noConversion"/>
  </si>
  <si>
    <t>(콘크리트 못 등)</t>
  </si>
  <si>
    <t>7-1-6 폴리카보네이트 설치</t>
    <phoneticPr fontId="3" type="noConversion"/>
  </si>
  <si>
    <t>폴리카보네이트</t>
  </si>
  <si>
    <t>㎡</t>
    <phoneticPr fontId="3" type="noConversion"/>
  </si>
  <si>
    <t>(몰딩, 실리콘, 덮개Bar 등)</t>
    <phoneticPr fontId="3" type="noConversion"/>
  </si>
  <si>
    <t>7-1-7 후레싱 설치</t>
    <phoneticPr fontId="3" type="noConversion"/>
  </si>
  <si>
    <t>(m당)</t>
    <phoneticPr fontId="3" type="noConversion"/>
  </si>
  <si>
    <t>m</t>
    <phoneticPr fontId="3" type="noConversion"/>
  </si>
  <si>
    <t>후레싱</t>
  </si>
  <si>
    <t>(못, 실리콘 등)</t>
    <phoneticPr fontId="3" type="noConversion"/>
  </si>
  <si>
    <t>7-2 홈통</t>
  </si>
  <si>
    <t>7-2-1 금속 처마홈통 설치</t>
    <phoneticPr fontId="3" type="noConversion"/>
  </si>
  <si>
    <t>7-2-2 염화비닐 처마홈통 설치</t>
  </si>
  <si>
    <t>7-2-3 금속 선홈통 설치</t>
    <phoneticPr fontId="3" type="noConversion"/>
  </si>
  <si>
    <t>7-2-4 염화비닐 선홈통 설치</t>
  </si>
  <si>
    <t>7-2-5 물받이홈통 설치</t>
    <phoneticPr fontId="3" type="noConversion"/>
  </si>
  <si>
    <t>(개소당)</t>
    <phoneticPr fontId="3" type="noConversion"/>
  </si>
  <si>
    <t>7-3 드레인</t>
  </si>
  <si>
    <t>7-3-1 루프드레인 설치</t>
    <phoneticPr fontId="3" type="noConversion"/>
  </si>
  <si>
    <t>1.0㎡이하</t>
    <phoneticPr fontId="3" type="noConversion"/>
  </si>
  <si>
    <t>1.0㎡초과</t>
    <phoneticPr fontId="3" type="noConversion"/>
  </si>
  <si>
    <t>[주] 재료량은 다음을 참고한다.</t>
    <phoneticPr fontId="3" type="noConversion"/>
  </si>
  <si>
    <t>※ 위 재료량은 할증(3%)이 포함되어 있다.</t>
  </si>
  <si>
    <t>※ 용마루 및 골에 사용하는 싱글의 재료량은 별도 계상한다.</t>
    <phoneticPr fontId="3" type="noConversion"/>
  </si>
  <si>
    <t>※ 위 재료량은 할증이 포함되어 있다.</t>
  </si>
  <si>
    <t>(일당)</t>
    <phoneticPr fontId="3" type="noConversion"/>
  </si>
  <si>
    <t>규격</t>
    <phoneticPr fontId="3" type="noConversion"/>
  </si>
  <si>
    <t>㎡당 단가</t>
    <phoneticPr fontId="3" type="noConversion"/>
  </si>
  <si>
    <t>시공량(㎡)</t>
  </si>
  <si>
    <t>지붕</t>
    <phoneticPr fontId="3" type="noConversion"/>
  </si>
  <si>
    <t>벽</t>
    <phoneticPr fontId="3" type="noConversion"/>
  </si>
  <si>
    <t>[참고자료] 재료량은 다음을 참고한다.</t>
    <phoneticPr fontId="3" type="noConversion"/>
  </si>
  <si>
    <t>[주] 장비(고소작업차 등)가 필요할 경우 기계경비는 별도 계상한다.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</si>
</sst>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_ * #,##0.0_ ;_ * \-#,##0.0_ ;_ * &quot;-&quot;_ ;_ @_ "/>
    <numFmt numFmtId="186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2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2" xfId="3" applyFont="1" applyBorder="1" applyAlignment="1">
      <alignment vertical="center" shrinkToFit="1"/>
    </xf>
    <xf numFmtId="180" fontId="9" fillId="0" borderId="4" xfId="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3" xfId="3" applyFont="1" applyBorder="1" applyAlignment="1">
      <alignment vertical="center" shrinkToFit="1"/>
    </xf>
    <xf numFmtId="0" fontId="12" fillId="0" borderId="0" xfId="6" applyFont="1" applyAlignment="1">
      <alignment vertical="center"/>
    </xf>
    <xf numFmtId="0" fontId="9" fillId="0" borderId="2" xfId="6" applyFont="1" applyBorder="1" applyAlignment="1">
      <alignment vertical="center"/>
    </xf>
    <xf numFmtId="0" fontId="9" fillId="0" borderId="3" xfId="6" applyFont="1" applyBorder="1" applyAlignment="1">
      <alignment horizontal="right" vertical="center"/>
    </xf>
    <xf numFmtId="181" fontId="9" fillId="0" borderId="4" xfId="7" applyNumberFormat="1" applyFont="1" applyFill="1" applyBorder="1" applyAlignment="1">
      <alignment vertical="center"/>
    </xf>
    <xf numFmtId="0" fontId="10" fillId="0" borderId="7" xfId="6" applyFont="1" applyBorder="1" applyAlignment="1">
      <alignment horizontal="left" vertical="center"/>
    </xf>
    <xf numFmtId="0" fontId="11" fillId="0" borderId="2" xfId="3" applyFont="1" applyBorder="1" applyAlignment="1">
      <alignment vertical="center"/>
    </xf>
    <xf numFmtId="0" fontId="14" fillId="0" borderId="2" xfId="3" applyFont="1" applyBorder="1" applyAlignment="1">
      <alignment vertical="center"/>
    </xf>
    <xf numFmtId="41" fontId="14" fillId="0" borderId="4" xfId="7" applyFont="1" applyFill="1" applyBorder="1" applyAlignment="1">
      <alignment vertical="center"/>
    </xf>
    <xf numFmtId="0" fontId="14" fillId="0" borderId="2" xfId="6" applyFont="1" applyBorder="1" applyAlignment="1">
      <alignment horizontal="left" vertical="center"/>
    </xf>
    <xf numFmtId="0" fontId="14" fillId="0" borderId="3" xfId="6" applyFont="1" applyBorder="1" applyAlignment="1">
      <alignment vertical="center"/>
    </xf>
    <xf numFmtId="0" fontId="15" fillId="0" borderId="3" xfId="3" applyFont="1" applyBorder="1" applyAlignment="1">
      <alignment horizontal="center" vertical="center"/>
    </xf>
    <xf numFmtId="0" fontId="15" fillId="0" borderId="2" xfId="6" applyFont="1" applyBorder="1" applyAlignment="1">
      <alignment horizontal="lef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3" xfId="8" applyNumberFormat="1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0" fontId="10" fillId="0" borderId="5" xfId="2" applyFont="1" applyBorder="1" applyAlignment="1">
      <alignment vertical="center"/>
    </xf>
    <xf numFmtId="41" fontId="10" fillId="0" borderId="6" xfId="8" applyFont="1" applyBorder="1" applyAlignment="1">
      <alignment vertical="center"/>
    </xf>
    <xf numFmtId="0" fontId="10" fillId="0" borderId="2" xfId="2" applyFont="1" applyBorder="1" applyAlignment="1">
      <alignment horizontal="left" vertical="center"/>
    </xf>
    <xf numFmtId="0" fontId="16" fillId="0" borderId="2" xfId="2" applyFont="1" applyBorder="1" applyAlignment="1">
      <alignment horizontal="left" vertical="center"/>
    </xf>
    <xf numFmtId="0" fontId="16" fillId="0" borderId="7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41" fontId="14" fillId="0" borderId="4" xfId="8" applyFont="1" applyBorder="1" applyAlignment="1">
      <alignment vertical="center"/>
    </xf>
    <xf numFmtId="41" fontId="10" fillId="0" borderId="3" xfId="1" applyFont="1" applyBorder="1" applyAlignment="1">
      <alignment vertical="center"/>
    </xf>
    <xf numFmtId="41" fontId="9" fillId="0" borderId="3" xfId="8" applyFont="1" applyBorder="1" applyAlignment="1">
      <alignment vertical="center"/>
    </xf>
    <xf numFmtId="183" fontId="10" fillId="0" borderId="3" xfId="8" applyNumberFormat="1" applyFont="1" applyBorder="1" applyAlignment="1">
      <alignment vertical="center"/>
    </xf>
    <xf numFmtId="180" fontId="9" fillId="0" borderId="3" xfId="8" applyNumberFormat="1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41" fontId="9" fillId="0" borderId="3" xfId="1" applyFont="1" applyBorder="1" applyAlignment="1">
      <alignment horizontal="right" vertical="center"/>
    </xf>
    <xf numFmtId="185" fontId="9" fillId="0" borderId="4" xfId="1" applyNumberFormat="1" applyFont="1" applyFill="1" applyBorder="1" applyAlignment="1">
      <alignment vertical="center"/>
    </xf>
    <xf numFmtId="41" fontId="15" fillId="0" borderId="3" xfId="0" applyNumberFormat="1" applyFont="1" applyBorder="1">
      <alignment vertical="center"/>
    </xf>
    <xf numFmtId="0" fontId="9" fillId="0" borderId="2" xfId="6" applyFont="1" applyBorder="1" applyAlignment="1">
      <alignment vertical="center" shrinkToFit="1"/>
    </xf>
    <xf numFmtId="186" fontId="17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6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12" xfId="6" applyFont="1" applyBorder="1" applyAlignment="1">
      <alignment horizontal="center" vertical="center" wrapText="1"/>
    </xf>
    <xf numFmtId="3" fontId="9" fillId="0" borderId="11" xfId="6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180" fontId="14" fillId="0" borderId="3" xfId="1" applyNumberFormat="1" applyFont="1" applyFill="1" applyBorder="1" applyAlignment="1">
      <alignment vertical="center"/>
    </xf>
    <xf numFmtId="41" fontId="14" fillId="0" borderId="4" xfId="1" applyFont="1" applyFill="1" applyBorder="1" applyAlignment="1">
      <alignment vertical="center"/>
    </xf>
    <xf numFmtId="0" fontId="9" fillId="0" borderId="2" xfId="0" applyFont="1" applyBorder="1">
      <alignment vertical="center"/>
    </xf>
    <xf numFmtId="41" fontId="18" fillId="0" borderId="3" xfId="0" applyNumberFormat="1" applyFont="1" applyBorder="1">
      <alignment vertical="center"/>
    </xf>
    <xf numFmtId="180" fontId="9" fillId="0" borderId="3" xfId="1" applyNumberFormat="1" applyFont="1" applyFill="1" applyBorder="1" applyAlignment="1">
      <alignment vertical="center"/>
    </xf>
    <xf numFmtId="180" fontId="9" fillId="0" borderId="4" xfId="1" applyNumberFormat="1" applyFont="1" applyFill="1" applyBorder="1" applyAlignment="1">
      <alignment vertical="center"/>
    </xf>
    <xf numFmtId="41" fontId="9" fillId="0" borderId="3" xfId="8" applyFont="1" applyFill="1" applyBorder="1" applyAlignment="1">
      <alignment vertical="center"/>
    </xf>
    <xf numFmtId="0" fontId="9" fillId="0" borderId="2" xfId="6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41" fontId="9" fillId="0" borderId="3" xfId="2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10" fillId="0" borderId="2" xfId="6" applyFont="1" applyBorder="1" applyAlignment="1">
      <alignment horizontal="left" vertical="center"/>
    </xf>
    <xf numFmtId="0" fontId="10" fillId="0" borderId="3" xfId="2" applyFont="1" applyBorder="1" applyAlignment="1">
      <alignment vertical="center"/>
    </xf>
    <xf numFmtId="41" fontId="10" fillId="0" borderId="4" xfId="8" applyFont="1" applyBorder="1" applyAlignment="1">
      <alignment vertical="center"/>
    </xf>
    <xf numFmtId="0" fontId="9" fillId="0" borderId="7" xfId="6" applyFont="1" applyBorder="1" applyAlignment="1">
      <alignment horizontal="left" vertical="center"/>
    </xf>
    <xf numFmtId="0" fontId="9" fillId="0" borderId="5" xfId="3" applyFont="1" applyBorder="1" applyAlignment="1">
      <alignment horizontal="center" vertical="center"/>
    </xf>
    <xf numFmtId="0" fontId="19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1" fillId="0" borderId="12" xfId="3" applyFont="1" applyBorder="1" applyAlignment="1">
      <alignment horizontal="center" vertical="center" shrinkToFit="1"/>
    </xf>
    <xf numFmtId="0" fontId="11" fillId="0" borderId="11" xfId="3" applyFont="1" applyBorder="1" applyAlignment="1">
      <alignment horizontal="center" vertical="center" shrinkToFit="1"/>
    </xf>
    <xf numFmtId="0" fontId="9" fillId="0" borderId="10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FACF-A4D2-451E-B843-06F8FAA14824}">
  <sheetPr>
    <pageSetUpPr fitToPage="1"/>
  </sheetPr>
  <dimension ref="A1:O317"/>
  <sheetViews>
    <sheetView tabSelected="1" zoomScaleNormal="100" workbookViewId="0">
      <selection activeCell="K26" sqref="K26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44"/>
      <c r="B1" s="8" t="s">
        <v>21</v>
      </c>
      <c r="C1" s="4"/>
      <c r="D1" s="1"/>
    </row>
    <row r="2" spans="1:15" ht="12.95" customHeight="1" x14ac:dyDescent="0.15">
      <c r="A2" s="45"/>
      <c r="B2" s="1" t="s">
        <v>20</v>
      </c>
      <c r="G2" s="22"/>
    </row>
    <row r="3" spans="1:15" ht="12.95" customHeight="1" x14ac:dyDescent="0.3">
      <c r="B3" s="31" t="s">
        <v>22</v>
      </c>
      <c r="C3" s="32"/>
      <c r="D3" s="22"/>
      <c r="E3" s="33"/>
      <c r="F3" s="22"/>
      <c r="G3" s="22"/>
      <c r="H3" s="22"/>
      <c r="I3" s="49" t="s">
        <v>57</v>
      </c>
    </row>
    <row r="4" spans="1:15" ht="12.95" customHeight="1" x14ac:dyDescent="0.3">
      <c r="B4" s="86" t="s">
        <v>3</v>
      </c>
      <c r="C4" s="86" t="s">
        <v>58</v>
      </c>
      <c r="D4" s="82" t="s">
        <v>5</v>
      </c>
      <c r="E4" s="82" t="s">
        <v>4</v>
      </c>
      <c r="F4" s="84" t="s">
        <v>51</v>
      </c>
      <c r="G4" s="85"/>
      <c r="H4" s="84" t="s">
        <v>52</v>
      </c>
      <c r="I4" s="85"/>
    </row>
    <row r="5" spans="1:15" ht="12.95" customHeight="1" x14ac:dyDescent="0.3">
      <c r="B5" s="87"/>
      <c r="C5" s="87"/>
      <c r="D5" s="89"/>
      <c r="E5" s="89"/>
      <c r="F5" s="50" t="s">
        <v>60</v>
      </c>
      <c r="G5" s="51">
        <v>65</v>
      </c>
      <c r="H5" s="50" t="s">
        <v>60</v>
      </c>
      <c r="I5" s="51">
        <v>80</v>
      </c>
    </row>
    <row r="6" spans="1:15" ht="12.95" customHeight="1" x14ac:dyDescent="0.3">
      <c r="B6" s="88"/>
      <c r="C6" s="88"/>
      <c r="D6" s="83"/>
      <c r="E6" s="83"/>
      <c r="F6" s="47" t="s">
        <v>13</v>
      </c>
      <c r="G6" s="46" t="s">
        <v>14</v>
      </c>
      <c r="H6" s="47" t="s">
        <v>13</v>
      </c>
      <c r="I6" s="46" t="s">
        <v>14</v>
      </c>
    </row>
    <row r="7" spans="1:15" ht="12.95" customHeight="1" x14ac:dyDescent="0.3">
      <c r="B7" s="11" t="s">
        <v>15</v>
      </c>
      <c r="C7" s="6" t="s">
        <v>16</v>
      </c>
      <c r="D7" s="39" t="s">
        <v>10</v>
      </c>
      <c r="E7" s="12"/>
      <c r="F7" s="36">
        <v>1</v>
      </c>
      <c r="G7" s="13">
        <f>TRUNC(SUM(G10:G11)*0.02,1)</f>
        <v>17436.3</v>
      </c>
      <c r="H7" s="36">
        <v>1</v>
      </c>
      <c r="I7" s="13">
        <f>TRUNC(SUM(I10:I11)*0.02,1)</f>
        <v>17436.3</v>
      </c>
    </row>
    <row r="8" spans="1:15" ht="12.95" customHeight="1" x14ac:dyDescent="0.3">
      <c r="B8" s="52" t="s">
        <v>7</v>
      </c>
      <c r="C8" s="53"/>
      <c r="D8" s="54"/>
      <c r="E8" s="55"/>
      <c r="F8" s="56"/>
      <c r="G8" s="57">
        <f>TRUNC(SUM(G7:G7))</f>
        <v>17436</v>
      </c>
      <c r="H8" s="56"/>
      <c r="I8" s="57">
        <f>TRUNC(SUM(I7:I7))</f>
        <v>17436</v>
      </c>
    </row>
    <row r="9" spans="1:15" ht="12.95" customHeight="1" x14ac:dyDescent="0.3">
      <c r="B9" s="58"/>
      <c r="C9" s="58"/>
      <c r="D9" s="48"/>
      <c r="E9" s="59"/>
      <c r="F9" s="60"/>
      <c r="G9" s="61"/>
      <c r="H9" s="60"/>
      <c r="I9" s="61"/>
    </row>
    <row r="10" spans="1:15" ht="12.95" customHeight="1" x14ac:dyDescent="0.3">
      <c r="B10" s="15" t="s">
        <v>2</v>
      </c>
      <c r="C10" s="9"/>
      <c r="D10" s="3" t="s">
        <v>6</v>
      </c>
      <c r="E10" s="42">
        <v>233250</v>
      </c>
      <c r="F10" s="62">
        <v>3</v>
      </c>
      <c r="G10" s="7">
        <f t="shared" ref="G10:G11" si="0">TRUNC($E10*F10,1)</f>
        <v>699750</v>
      </c>
      <c r="H10" s="62">
        <v>3</v>
      </c>
      <c r="I10" s="7">
        <f t="shared" ref="I10:I11" si="1">TRUNC($E10*H10,1)</f>
        <v>699750</v>
      </c>
    </row>
    <row r="11" spans="1:15" ht="12.95" customHeight="1" x14ac:dyDescent="0.3">
      <c r="B11" s="15" t="s">
        <v>1</v>
      </c>
      <c r="C11" s="9"/>
      <c r="D11" s="3" t="s">
        <v>6</v>
      </c>
      <c r="E11" s="42">
        <v>172068</v>
      </c>
      <c r="F11" s="62">
        <v>1</v>
      </c>
      <c r="G11" s="7">
        <f t="shared" si="0"/>
        <v>172068</v>
      </c>
      <c r="H11" s="62">
        <v>1</v>
      </c>
      <c r="I11" s="7">
        <f t="shared" si="1"/>
        <v>172068</v>
      </c>
    </row>
    <row r="12" spans="1:15" ht="12.95" customHeight="1" x14ac:dyDescent="0.3">
      <c r="B12" s="16" t="s">
        <v>8</v>
      </c>
      <c r="C12" s="29"/>
      <c r="D12" s="29"/>
      <c r="E12" s="35"/>
      <c r="F12" s="62"/>
      <c r="G12" s="34">
        <f>TRUNC(SUM(G10:G11))</f>
        <v>871818</v>
      </c>
      <c r="H12" s="62"/>
      <c r="I12" s="34">
        <f>TRUNC(SUM(I10:I11))</f>
        <v>871818</v>
      </c>
    </row>
    <row r="13" spans="1:15" ht="12.95" customHeight="1" x14ac:dyDescent="0.3">
      <c r="B13" s="63"/>
      <c r="C13" s="64"/>
      <c r="D13" s="64"/>
      <c r="E13" s="65"/>
      <c r="F13" s="24"/>
      <c r="G13" s="66"/>
      <c r="H13" s="24"/>
      <c r="I13" s="66"/>
      <c r="O13" s="23"/>
    </row>
    <row r="14" spans="1:15" ht="12.95" customHeight="1" x14ac:dyDescent="0.3">
      <c r="B14" s="67" t="s">
        <v>9</v>
      </c>
      <c r="C14" s="29"/>
      <c r="D14" s="29"/>
      <c r="E14" s="68"/>
      <c r="F14" s="68"/>
      <c r="G14" s="69">
        <f>SUM(G8+G12)</f>
        <v>889254</v>
      </c>
      <c r="H14" s="68"/>
      <c r="I14" s="69">
        <f>SUM(I8+I12)</f>
        <v>889254</v>
      </c>
      <c r="N14" s="23"/>
      <c r="O14" s="23"/>
    </row>
    <row r="15" spans="1:15" ht="12.95" customHeight="1" x14ac:dyDescent="0.3">
      <c r="B15" s="14" t="s">
        <v>59</v>
      </c>
      <c r="C15" s="70"/>
      <c r="D15" s="71"/>
      <c r="E15" s="72"/>
      <c r="F15" s="73"/>
      <c r="G15" s="74">
        <f>TRUNC(G14/G5)</f>
        <v>13680</v>
      </c>
      <c r="H15" s="73"/>
      <c r="I15" s="74">
        <f>TRUNC(I14/I5)</f>
        <v>11115</v>
      </c>
      <c r="N15" s="23"/>
      <c r="O15" s="23"/>
    </row>
    <row r="16" spans="1:15" ht="12.95" customHeight="1" x14ac:dyDescent="0.3">
      <c r="N16" s="23"/>
      <c r="O16" s="23"/>
    </row>
    <row r="17" spans="2:15" ht="12.95" customHeight="1" x14ac:dyDescent="0.3">
      <c r="B17" s="31" t="s">
        <v>23</v>
      </c>
      <c r="C17" s="32"/>
      <c r="D17" s="22"/>
      <c r="E17" s="33"/>
      <c r="F17" s="22"/>
      <c r="G17" s="33"/>
      <c r="I17" s="49" t="s">
        <v>57</v>
      </c>
      <c r="N17" s="23"/>
      <c r="O17" s="23"/>
    </row>
    <row r="18" spans="2:15" ht="12.95" customHeight="1" x14ac:dyDescent="0.3">
      <c r="B18" s="86" t="s">
        <v>3</v>
      </c>
      <c r="C18" s="86" t="s">
        <v>58</v>
      </c>
      <c r="D18" s="82" t="s">
        <v>5</v>
      </c>
      <c r="E18" s="82" t="s">
        <v>4</v>
      </c>
      <c r="F18" s="84" t="s">
        <v>61</v>
      </c>
      <c r="G18" s="85"/>
      <c r="H18" s="84" t="s">
        <v>62</v>
      </c>
      <c r="I18" s="85"/>
      <c r="N18" s="23"/>
      <c r="O18" s="23"/>
    </row>
    <row r="19" spans="2:15" ht="12.95" customHeight="1" x14ac:dyDescent="0.3">
      <c r="B19" s="87"/>
      <c r="C19" s="87"/>
      <c r="D19" s="89"/>
      <c r="E19" s="89"/>
      <c r="F19" s="50" t="s">
        <v>60</v>
      </c>
      <c r="G19" s="51">
        <v>50</v>
      </c>
      <c r="H19" s="50" t="s">
        <v>60</v>
      </c>
      <c r="I19" s="51">
        <v>45</v>
      </c>
      <c r="N19" s="23"/>
      <c r="O19" s="23"/>
    </row>
    <row r="20" spans="2:15" ht="12.95" customHeight="1" x14ac:dyDescent="0.3">
      <c r="B20" s="88"/>
      <c r="C20" s="88"/>
      <c r="D20" s="83"/>
      <c r="E20" s="83"/>
      <c r="F20" s="47" t="s">
        <v>13</v>
      </c>
      <c r="G20" s="46" t="s">
        <v>14</v>
      </c>
      <c r="H20" s="47" t="s">
        <v>13</v>
      </c>
      <c r="I20" s="46" t="s">
        <v>14</v>
      </c>
    </row>
    <row r="21" spans="2:15" ht="12.95" customHeight="1" x14ac:dyDescent="0.3">
      <c r="B21" s="11" t="s">
        <v>15</v>
      </c>
      <c r="C21" s="6" t="s">
        <v>16</v>
      </c>
      <c r="D21" s="39" t="s">
        <v>10</v>
      </c>
      <c r="E21" s="12"/>
      <c r="F21" s="36">
        <v>1</v>
      </c>
      <c r="G21" s="13">
        <f>TRUNC(SUM(G24:G25)*0.02,1)</f>
        <v>17436.3</v>
      </c>
      <c r="H21" s="36">
        <v>1</v>
      </c>
      <c r="I21" s="13">
        <f>TRUNC(SUM(I24:I25)*0.02,1)</f>
        <v>17436.3</v>
      </c>
    </row>
    <row r="22" spans="2:15" ht="12.95" customHeight="1" x14ac:dyDescent="0.3">
      <c r="B22" s="52" t="s">
        <v>7</v>
      </c>
      <c r="C22" s="53"/>
      <c r="D22" s="54"/>
      <c r="E22" s="55"/>
      <c r="F22" s="56"/>
      <c r="G22" s="57">
        <f>TRUNC(SUM(G21:G21))</f>
        <v>17436</v>
      </c>
      <c r="H22" s="56"/>
      <c r="I22" s="57">
        <f>TRUNC(SUM(I21:I21))</f>
        <v>17436</v>
      </c>
    </row>
    <row r="23" spans="2:15" ht="12.95" customHeight="1" x14ac:dyDescent="0.3">
      <c r="B23" s="58"/>
      <c r="C23" s="58"/>
      <c r="D23" s="48"/>
      <c r="E23" s="59"/>
      <c r="F23" s="60"/>
      <c r="G23" s="61"/>
      <c r="H23" s="60"/>
      <c r="I23" s="61"/>
    </row>
    <row r="24" spans="2:15" ht="12.95" customHeight="1" x14ac:dyDescent="0.3">
      <c r="B24" s="15" t="s">
        <v>2</v>
      </c>
      <c r="C24" s="9"/>
      <c r="D24" s="3" t="s">
        <v>6</v>
      </c>
      <c r="E24" s="42">
        <v>233250</v>
      </c>
      <c r="F24" s="62">
        <v>3</v>
      </c>
      <c r="G24" s="7">
        <f t="shared" ref="G24:G25" si="2">TRUNC($E24*F24,1)</f>
        <v>699750</v>
      </c>
      <c r="H24" s="62">
        <v>3</v>
      </c>
      <c r="I24" s="7">
        <f t="shared" ref="I24:I25" si="3">TRUNC($E24*H24,1)</f>
        <v>699750</v>
      </c>
    </row>
    <row r="25" spans="2:15" ht="12.95" customHeight="1" x14ac:dyDescent="0.3">
      <c r="B25" s="15" t="s">
        <v>1</v>
      </c>
      <c r="C25" s="9"/>
      <c r="D25" s="3" t="s">
        <v>6</v>
      </c>
      <c r="E25" s="42">
        <v>172068</v>
      </c>
      <c r="F25" s="62">
        <v>1</v>
      </c>
      <c r="G25" s="7">
        <f t="shared" si="2"/>
        <v>172068</v>
      </c>
      <c r="H25" s="62">
        <v>1</v>
      </c>
      <c r="I25" s="7">
        <f t="shared" si="3"/>
        <v>172068</v>
      </c>
    </row>
    <row r="26" spans="2:15" ht="12.95" customHeight="1" x14ac:dyDescent="0.3">
      <c r="B26" s="16" t="s">
        <v>8</v>
      </c>
      <c r="C26" s="29"/>
      <c r="D26" s="29"/>
      <c r="E26" s="35"/>
      <c r="F26" s="62"/>
      <c r="G26" s="34">
        <f>TRUNC(SUM(G24:G25))</f>
        <v>871818</v>
      </c>
      <c r="H26" s="62"/>
      <c r="I26" s="34">
        <f>TRUNC(SUM(I24:I25))</f>
        <v>871818</v>
      </c>
    </row>
    <row r="27" spans="2:15" ht="12.95" customHeight="1" x14ac:dyDescent="0.3">
      <c r="B27" s="63"/>
      <c r="C27" s="64"/>
      <c r="D27" s="64"/>
      <c r="E27" s="65"/>
      <c r="F27" s="24"/>
      <c r="G27" s="66"/>
      <c r="H27" s="24"/>
      <c r="I27" s="66"/>
    </row>
    <row r="28" spans="2:15" ht="12.95" customHeight="1" x14ac:dyDescent="0.3">
      <c r="B28" s="67" t="s">
        <v>9</v>
      </c>
      <c r="C28" s="29"/>
      <c r="D28" s="29"/>
      <c r="E28" s="68"/>
      <c r="F28" s="68"/>
      <c r="G28" s="69">
        <f>SUM(G22+G26)</f>
        <v>889254</v>
      </c>
      <c r="H28" s="68"/>
      <c r="I28" s="69">
        <f>SUM(I22+I26)</f>
        <v>889254</v>
      </c>
    </row>
    <row r="29" spans="2:15" ht="12.95" customHeight="1" x14ac:dyDescent="0.3">
      <c r="B29" s="14" t="s">
        <v>59</v>
      </c>
      <c r="C29" s="70"/>
      <c r="D29" s="71"/>
      <c r="E29" s="72"/>
      <c r="F29" s="73"/>
      <c r="G29" s="74">
        <f>TRUNC(G28/G19)</f>
        <v>17785</v>
      </c>
      <c r="H29" s="73"/>
      <c r="I29" s="74">
        <f>TRUNC(I28/I19)</f>
        <v>19761</v>
      </c>
    </row>
    <row r="31" spans="2:15" ht="12.95" customHeight="1" x14ac:dyDescent="0.3">
      <c r="B31" s="31" t="s">
        <v>24</v>
      </c>
      <c r="C31" s="32"/>
      <c r="D31" s="22"/>
      <c r="E31" s="33"/>
      <c r="F31" s="22"/>
      <c r="G31" s="33" t="s">
        <v>18</v>
      </c>
    </row>
    <row r="32" spans="2:15" ht="12.95" customHeight="1" x14ac:dyDescent="0.3">
      <c r="B32" s="77" t="s">
        <v>3</v>
      </c>
      <c r="C32" s="79" t="s">
        <v>11</v>
      </c>
      <c r="D32" s="81" t="s">
        <v>5</v>
      </c>
      <c r="E32" s="82" t="s">
        <v>4</v>
      </c>
      <c r="F32" s="81" t="s">
        <v>13</v>
      </c>
      <c r="G32" s="75" t="s">
        <v>14</v>
      </c>
    </row>
    <row r="33" spans="2:9" ht="12.95" customHeight="1" x14ac:dyDescent="0.3">
      <c r="B33" s="78"/>
      <c r="C33" s="80"/>
      <c r="D33" s="81"/>
      <c r="E33" s="83"/>
      <c r="F33" s="81"/>
      <c r="G33" s="76"/>
    </row>
    <row r="34" spans="2:9" ht="12.95" customHeight="1" x14ac:dyDescent="0.3">
      <c r="B34" s="11" t="s">
        <v>15</v>
      </c>
      <c r="C34" s="6" t="s">
        <v>16</v>
      </c>
      <c r="D34" s="39" t="s">
        <v>10</v>
      </c>
      <c r="E34" s="12"/>
      <c r="F34" s="36">
        <v>1</v>
      </c>
      <c r="G34" s="13">
        <f>TRUNC(SUM(G37:G38)*0.02,1)</f>
        <v>267.60000000000002</v>
      </c>
    </row>
    <row r="35" spans="2:9" ht="12.95" customHeight="1" x14ac:dyDescent="0.3">
      <c r="B35" s="18" t="s">
        <v>7</v>
      </c>
      <c r="C35" s="21"/>
      <c r="D35" s="20"/>
      <c r="E35" s="19"/>
      <c r="F35" s="24"/>
      <c r="G35" s="17">
        <f>TRUNC(SUM(G34:G34))</f>
        <v>267</v>
      </c>
    </row>
    <row r="36" spans="2:9" ht="12.95" customHeight="1" x14ac:dyDescent="0.3">
      <c r="B36" s="28"/>
      <c r="C36" s="29"/>
      <c r="D36" s="29"/>
      <c r="E36" s="35"/>
      <c r="F36" s="37"/>
      <c r="G36" s="25"/>
    </row>
    <row r="37" spans="2:9" ht="12.95" customHeight="1" x14ac:dyDescent="0.3">
      <c r="B37" s="15" t="s">
        <v>2</v>
      </c>
      <c r="C37" s="9"/>
      <c r="D37" s="3" t="s">
        <v>6</v>
      </c>
      <c r="E37" s="42">
        <v>233250</v>
      </c>
      <c r="F37" s="24">
        <v>0.05</v>
      </c>
      <c r="G37" s="7">
        <f t="shared" ref="G37:G38" si="4">TRUNC($E37*F37,1)</f>
        <v>11662.5</v>
      </c>
    </row>
    <row r="38" spans="2:9" ht="12.95" customHeight="1" x14ac:dyDescent="0.3">
      <c r="B38" s="15" t="s">
        <v>1</v>
      </c>
      <c r="C38" s="9"/>
      <c r="D38" s="3" t="s">
        <v>6</v>
      </c>
      <c r="E38" s="42">
        <v>172068</v>
      </c>
      <c r="F38" s="24">
        <v>0.01</v>
      </c>
      <c r="G38" s="7">
        <f t="shared" si="4"/>
        <v>1720.6</v>
      </c>
    </row>
    <row r="39" spans="2:9" ht="12.95" customHeight="1" x14ac:dyDescent="0.3">
      <c r="B39" s="16" t="s">
        <v>8</v>
      </c>
      <c r="C39" s="29"/>
      <c r="D39" s="29"/>
      <c r="E39" s="35"/>
      <c r="F39" s="37"/>
      <c r="G39" s="34">
        <f>TRUNC(SUM(G37:G38))</f>
        <v>13383</v>
      </c>
    </row>
    <row r="40" spans="2:9" ht="12.95" customHeight="1" x14ac:dyDescent="0.3">
      <c r="B40" s="28"/>
      <c r="C40" s="29"/>
      <c r="D40" s="29"/>
      <c r="E40" s="35"/>
      <c r="F40" s="37"/>
      <c r="G40" s="25"/>
    </row>
    <row r="41" spans="2:9" ht="12.95" customHeight="1" x14ac:dyDescent="0.3">
      <c r="B41" s="14" t="s">
        <v>9</v>
      </c>
      <c r="C41" s="30"/>
      <c r="D41" s="30"/>
      <c r="E41" s="26"/>
      <c r="F41" s="26"/>
      <c r="G41" s="27">
        <f>SUM(G35+G39)</f>
        <v>13650</v>
      </c>
    </row>
    <row r="43" spans="2:9" ht="12.95" customHeight="1" x14ac:dyDescent="0.3">
      <c r="B43" s="31" t="s">
        <v>25</v>
      </c>
      <c r="C43" s="32"/>
      <c r="D43" s="22"/>
      <c r="E43" s="33"/>
      <c r="F43" s="22"/>
      <c r="G43" s="33"/>
      <c r="I43" s="49" t="s">
        <v>57</v>
      </c>
    </row>
    <row r="44" spans="2:9" ht="12.95" customHeight="1" x14ac:dyDescent="0.3">
      <c r="B44" s="86" t="s">
        <v>3</v>
      </c>
      <c r="C44" s="86" t="s">
        <v>58</v>
      </c>
      <c r="D44" s="82" t="s">
        <v>5</v>
      </c>
      <c r="E44" s="82" t="s">
        <v>4</v>
      </c>
      <c r="F44" s="84" t="s">
        <v>61</v>
      </c>
      <c r="G44" s="85"/>
      <c r="H44" s="84" t="s">
        <v>62</v>
      </c>
      <c r="I44" s="85"/>
    </row>
    <row r="45" spans="2:9" ht="12.95" customHeight="1" x14ac:dyDescent="0.3">
      <c r="B45" s="87"/>
      <c r="C45" s="87"/>
      <c r="D45" s="89"/>
      <c r="E45" s="89"/>
      <c r="F45" s="50" t="s">
        <v>60</v>
      </c>
      <c r="G45" s="51">
        <v>55</v>
      </c>
      <c r="H45" s="50" t="s">
        <v>60</v>
      </c>
      <c r="I45" s="51">
        <v>50</v>
      </c>
    </row>
    <row r="46" spans="2:9" ht="12.95" customHeight="1" x14ac:dyDescent="0.3">
      <c r="B46" s="88"/>
      <c r="C46" s="88"/>
      <c r="D46" s="83"/>
      <c r="E46" s="83"/>
      <c r="F46" s="47" t="s">
        <v>13</v>
      </c>
      <c r="G46" s="46" t="s">
        <v>14</v>
      </c>
      <c r="H46" s="47" t="s">
        <v>13</v>
      </c>
      <c r="I46" s="46" t="s">
        <v>14</v>
      </c>
    </row>
    <row r="47" spans="2:9" ht="12.95" customHeight="1" x14ac:dyDescent="0.3">
      <c r="B47" s="11" t="s">
        <v>15</v>
      </c>
      <c r="C47" s="6" t="s">
        <v>16</v>
      </c>
      <c r="D47" s="39" t="s">
        <v>10</v>
      </c>
      <c r="E47" s="12"/>
      <c r="F47" s="36">
        <v>1</v>
      </c>
      <c r="G47" s="13">
        <f>TRUNC(SUM(G50:G51)*0.02,1)</f>
        <v>17436.3</v>
      </c>
      <c r="H47" s="36">
        <v>1</v>
      </c>
      <c r="I47" s="13">
        <f>TRUNC(SUM(I50:I51)*0.02,1)</f>
        <v>17436.3</v>
      </c>
    </row>
    <row r="48" spans="2:9" ht="12.95" customHeight="1" x14ac:dyDescent="0.3">
      <c r="B48" s="52" t="s">
        <v>7</v>
      </c>
      <c r="C48" s="53"/>
      <c r="D48" s="54"/>
      <c r="E48" s="55"/>
      <c r="F48" s="56"/>
      <c r="G48" s="57">
        <f>TRUNC(SUM(G47:G47))</f>
        <v>17436</v>
      </c>
      <c r="H48" s="56"/>
      <c r="I48" s="57">
        <f>TRUNC(SUM(I47:I47))</f>
        <v>17436</v>
      </c>
    </row>
    <row r="49" spans="2:9" ht="12.95" customHeight="1" x14ac:dyDescent="0.3">
      <c r="B49" s="58"/>
      <c r="C49" s="58"/>
      <c r="D49" s="48"/>
      <c r="E49" s="59"/>
      <c r="F49" s="60"/>
      <c r="G49" s="61"/>
      <c r="H49" s="60"/>
      <c r="I49" s="61"/>
    </row>
    <row r="50" spans="2:9" ht="12.95" customHeight="1" x14ac:dyDescent="0.3">
      <c r="B50" s="15" t="s">
        <v>2</v>
      </c>
      <c r="C50" s="9"/>
      <c r="D50" s="3" t="s">
        <v>6</v>
      </c>
      <c r="E50" s="42">
        <v>233250</v>
      </c>
      <c r="F50" s="62">
        <v>3</v>
      </c>
      <c r="G50" s="7">
        <f t="shared" ref="G50:G51" si="5">TRUNC($E50*F50,1)</f>
        <v>699750</v>
      </c>
      <c r="H50" s="62">
        <v>3</v>
      </c>
      <c r="I50" s="7">
        <f t="shared" ref="I50:I51" si="6">TRUNC($E50*H50,1)</f>
        <v>699750</v>
      </c>
    </row>
    <row r="51" spans="2:9" ht="12.95" customHeight="1" x14ac:dyDescent="0.3">
      <c r="B51" s="15" t="s">
        <v>1</v>
      </c>
      <c r="C51" s="9"/>
      <c r="D51" s="3" t="s">
        <v>6</v>
      </c>
      <c r="E51" s="42">
        <v>172068</v>
      </c>
      <c r="F51" s="62">
        <v>1</v>
      </c>
      <c r="G51" s="7">
        <f t="shared" si="5"/>
        <v>172068</v>
      </c>
      <c r="H51" s="62">
        <v>1</v>
      </c>
      <c r="I51" s="7">
        <f t="shared" si="6"/>
        <v>172068</v>
      </c>
    </row>
    <row r="52" spans="2:9" ht="12.95" customHeight="1" x14ac:dyDescent="0.3">
      <c r="B52" s="16" t="s">
        <v>8</v>
      </c>
      <c r="C52" s="29"/>
      <c r="D52" s="29"/>
      <c r="E52" s="35"/>
      <c r="F52" s="62"/>
      <c r="G52" s="34">
        <f>TRUNC(SUM(G50:G51))</f>
        <v>871818</v>
      </c>
      <c r="H52" s="62"/>
      <c r="I52" s="34">
        <f>TRUNC(SUM(I50:I51))</f>
        <v>871818</v>
      </c>
    </row>
    <row r="53" spans="2:9" ht="12.95" customHeight="1" x14ac:dyDescent="0.3">
      <c r="B53" s="63"/>
      <c r="C53" s="64"/>
      <c r="D53" s="64"/>
      <c r="E53" s="65"/>
      <c r="F53" s="24"/>
      <c r="G53" s="66"/>
      <c r="H53" s="24"/>
      <c r="I53" s="66"/>
    </row>
    <row r="54" spans="2:9" ht="12.95" customHeight="1" x14ac:dyDescent="0.3">
      <c r="B54" s="67" t="s">
        <v>9</v>
      </c>
      <c r="C54" s="29"/>
      <c r="D54" s="29"/>
      <c r="E54" s="68"/>
      <c r="F54" s="68"/>
      <c r="G54" s="69">
        <f>SUM(G48+G52)</f>
        <v>889254</v>
      </c>
      <c r="H54" s="68"/>
      <c r="I54" s="69">
        <f>SUM(I48+I52)</f>
        <v>889254</v>
      </c>
    </row>
    <row r="55" spans="2:9" ht="12.95" customHeight="1" x14ac:dyDescent="0.3">
      <c r="B55" s="14" t="s">
        <v>59</v>
      </c>
      <c r="C55" s="70"/>
      <c r="D55" s="71"/>
      <c r="E55" s="72"/>
      <c r="F55" s="73"/>
      <c r="G55" s="74">
        <f>TRUNC(G54/G45)</f>
        <v>16168</v>
      </c>
      <c r="H55" s="73"/>
      <c r="I55" s="74">
        <f>TRUNC(I54/I45)</f>
        <v>17785</v>
      </c>
    </row>
    <row r="57" spans="2:9" ht="12.95" customHeight="1" x14ac:dyDescent="0.3">
      <c r="B57" s="31" t="s">
        <v>29</v>
      </c>
      <c r="C57" s="32"/>
      <c r="D57" s="22"/>
      <c r="E57" s="33"/>
      <c r="F57" s="22"/>
      <c r="G57" s="49" t="s">
        <v>57</v>
      </c>
    </row>
    <row r="58" spans="2:9" ht="12.95" customHeight="1" x14ac:dyDescent="0.3">
      <c r="B58" s="77" t="s">
        <v>3</v>
      </c>
      <c r="C58" s="79" t="s">
        <v>11</v>
      </c>
      <c r="D58" s="81" t="s">
        <v>5</v>
      </c>
      <c r="E58" s="82" t="s">
        <v>4</v>
      </c>
      <c r="F58" s="50" t="s">
        <v>60</v>
      </c>
      <c r="G58" s="51">
        <v>50</v>
      </c>
    </row>
    <row r="59" spans="2:9" ht="12.95" customHeight="1" x14ac:dyDescent="0.3">
      <c r="B59" s="78"/>
      <c r="C59" s="80"/>
      <c r="D59" s="81"/>
      <c r="E59" s="83"/>
      <c r="F59" s="47" t="s">
        <v>13</v>
      </c>
      <c r="G59" s="46" t="s">
        <v>14</v>
      </c>
    </row>
    <row r="60" spans="2:9" ht="12.95" customHeight="1" x14ac:dyDescent="0.3">
      <c r="B60" s="11" t="s">
        <v>15</v>
      </c>
      <c r="C60" s="6" t="s">
        <v>16</v>
      </c>
      <c r="D60" s="39" t="s">
        <v>10</v>
      </c>
      <c r="E60" s="12"/>
      <c r="F60" s="36">
        <v>1</v>
      </c>
      <c r="G60" s="13">
        <f>TRUNC(SUM(G63:G64)*0.02,1)</f>
        <v>17436.3</v>
      </c>
    </row>
    <row r="61" spans="2:9" ht="12.95" customHeight="1" x14ac:dyDescent="0.3">
      <c r="B61" s="52" t="s">
        <v>7</v>
      </c>
      <c r="C61" s="53"/>
      <c r="D61" s="54"/>
      <c r="E61" s="55"/>
      <c r="F61" s="56"/>
      <c r="G61" s="57">
        <f>TRUNC(SUM(G60:G60))</f>
        <v>17436</v>
      </c>
    </row>
    <row r="62" spans="2:9" ht="12.95" customHeight="1" x14ac:dyDescent="0.3">
      <c r="B62" s="58"/>
      <c r="C62" s="58"/>
      <c r="D62" s="48"/>
      <c r="E62" s="59"/>
      <c r="F62" s="60"/>
      <c r="G62" s="61"/>
    </row>
    <row r="63" spans="2:9" ht="12.95" customHeight="1" x14ac:dyDescent="0.3">
      <c r="B63" s="15" t="s">
        <v>2</v>
      </c>
      <c r="C63" s="9"/>
      <c r="D63" s="3" t="s">
        <v>6</v>
      </c>
      <c r="E63" s="42">
        <v>233250</v>
      </c>
      <c r="F63" s="62">
        <v>3</v>
      </c>
      <c r="G63" s="7">
        <f t="shared" ref="G63:G64" si="7">TRUNC($E63*F63,1)</f>
        <v>699750</v>
      </c>
    </row>
    <row r="64" spans="2:9" ht="12.95" customHeight="1" x14ac:dyDescent="0.3">
      <c r="B64" s="15" t="s">
        <v>1</v>
      </c>
      <c r="C64" s="9"/>
      <c r="D64" s="3" t="s">
        <v>6</v>
      </c>
      <c r="E64" s="42">
        <v>172068</v>
      </c>
      <c r="F64" s="62">
        <v>1</v>
      </c>
      <c r="G64" s="7">
        <f t="shared" si="7"/>
        <v>172068</v>
      </c>
    </row>
    <row r="65" spans="2:7" ht="12.95" customHeight="1" x14ac:dyDescent="0.3">
      <c r="B65" s="16" t="s">
        <v>8</v>
      </c>
      <c r="C65" s="29"/>
      <c r="D65" s="29"/>
      <c r="E65" s="35"/>
      <c r="F65" s="62"/>
      <c r="G65" s="34">
        <f>TRUNC(SUM(G63:G64))</f>
        <v>871818</v>
      </c>
    </row>
    <row r="66" spans="2:7" ht="12.95" customHeight="1" x14ac:dyDescent="0.3">
      <c r="B66" s="63"/>
      <c r="C66" s="64"/>
      <c r="D66" s="64"/>
      <c r="E66" s="65"/>
      <c r="F66" s="24"/>
      <c r="G66" s="66"/>
    </row>
    <row r="67" spans="2:7" ht="12.95" customHeight="1" x14ac:dyDescent="0.3">
      <c r="B67" s="67" t="s">
        <v>9</v>
      </c>
      <c r="C67" s="29"/>
      <c r="D67" s="29"/>
      <c r="E67" s="68"/>
      <c r="F67" s="68"/>
      <c r="G67" s="69">
        <f>SUM(G61+G65)</f>
        <v>889254</v>
      </c>
    </row>
    <row r="68" spans="2:7" ht="12.95" customHeight="1" x14ac:dyDescent="0.3">
      <c r="B68" s="14" t="s">
        <v>59</v>
      </c>
      <c r="C68" s="70"/>
      <c r="D68" s="71"/>
      <c r="E68" s="72"/>
      <c r="F68" s="73"/>
      <c r="G68" s="74">
        <f>TRUNC(G67/G58)</f>
        <v>17785</v>
      </c>
    </row>
    <row r="70" spans="2:7" ht="12.95" customHeight="1" x14ac:dyDescent="0.3">
      <c r="B70" s="31" t="s">
        <v>63</v>
      </c>
      <c r="C70" s="32"/>
      <c r="D70" s="22"/>
      <c r="E70" s="33"/>
      <c r="F70" s="22"/>
      <c r="G70" s="33" t="s">
        <v>18</v>
      </c>
    </row>
    <row r="71" spans="2:7" ht="12.95" customHeight="1" x14ac:dyDescent="0.3">
      <c r="B71" s="77" t="s">
        <v>3</v>
      </c>
      <c r="C71" s="79" t="s">
        <v>11</v>
      </c>
      <c r="D71" s="81" t="s">
        <v>5</v>
      </c>
      <c r="E71" s="82" t="s">
        <v>4</v>
      </c>
      <c r="F71" s="81" t="s">
        <v>13</v>
      </c>
      <c r="G71" s="75" t="s">
        <v>14</v>
      </c>
    </row>
    <row r="72" spans="2:7" ht="12.95" customHeight="1" x14ac:dyDescent="0.3">
      <c r="B72" s="78"/>
      <c r="C72" s="80"/>
      <c r="D72" s="81"/>
      <c r="E72" s="83"/>
      <c r="F72" s="81"/>
      <c r="G72" s="76"/>
    </row>
    <row r="73" spans="2:7" ht="12.95" customHeight="1" x14ac:dyDescent="0.3">
      <c r="B73" s="11" t="s">
        <v>26</v>
      </c>
      <c r="C73" s="6" t="s">
        <v>27</v>
      </c>
      <c r="D73" s="39" t="s">
        <v>28</v>
      </c>
      <c r="E73" s="40">
        <v>0</v>
      </c>
      <c r="F73" s="38">
        <v>7.3</v>
      </c>
      <c r="G73" s="7">
        <f t="shared" ref="G73" si="8">TRUNC($E73*F73,1)</f>
        <v>0</v>
      </c>
    </row>
    <row r="74" spans="2:7" ht="12.95" customHeight="1" x14ac:dyDescent="0.3">
      <c r="B74" s="43" t="s">
        <v>31</v>
      </c>
      <c r="C74" s="6" t="s">
        <v>30</v>
      </c>
      <c r="D74" s="39" t="s">
        <v>19</v>
      </c>
      <c r="E74" s="12"/>
      <c r="F74" s="36">
        <v>3</v>
      </c>
      <c r="G74" s="41">
        <f>TRUNC(SUM(G73)*F74*0.01,1)</f>
        <v>0</v>
      </c>
    </row>
    <row r="75" spans="2:7" ht="12.95" customHeight="1" x14ac:dyDescent="0.3">
      <c r="B75" s="43" t="s">
        <v>32</v>
      </c>
      <c r="C75" s="6"/>
      <c r="D75" s="39"/>
      <c r="E75" s="12"/>
      <c r="F75" s="36"/>
      <c r="G75" s="41"/>
    </row>
    <row r="76" spans="2:7" ht="12.95" customHeight="1" x14ac:dyDescent="0.3">
      <c r="B76" s="18" t="s">
        <v>7</v>
      </c>
      <c r="C76" s="21"/>
      <c r="D76" s="20"/>
      <c r="E76" s="19"/>
      <c r="F76" s="24"/>
      <c r="G76" s="17">
        <f>TRUNC(SUM(G73:G74))</f>
        <v>0</v>
      </c>
    </row>
    <row r="77" spans="2:7" ht="12.95" customHeight="1" x14ac:dyDescent="0.3">
      <c r="B77" s="28"/>
      <c r="C77" s="29"/>
      <c r="D77" s="29"/>
      <c r="E77" s="35"/>
      <c r="F77" s="37"/>
      <c r="G77" s="25"/>
    </row>
    <row r="78" spans="2:7" ht="12.95" customHeight="1" x14ac:dyDescent="0.3">
      <c r="B78" s="14" t="s">
        <v>9</v>
      </c>
      <c r="C78" s="30"/>
      <c r="D78" s="30"/>
      <c r="E78" s="26"/>
      <c r="F78" s="26"/>
      <c r="G78" s="27">
        <f>SUM(G76)</f>
        <v>0</v>
      </c>
    </row>
    <row r="79" spans="2:7" ht="12.95" customHeight="1" x14ac:dyDescent="0.3">
      <c r="B79" s="2" t="s">
        <v>54</v>
      </c>
    </row>
    <row r="80" spans="2:7" ht="12.95" customHeight="1" x14ac:dyDescent="0.3">
      <c r="B80" s="2" t="s">
        <v>55</v>
      </c>
    </row>
    <row r="82" spans="2:7" ht="12.95" customHeight="1" x14ac:dyDescent="0.3">
      <c r="B82" s="31" t="s">
        <v>33</v>
      </c>
      <c r="C82" s="32"/>
      <c r="D82" s="22"/>
      <c r="E82" s="33"/>
      <c r="F82" s="22"/>
      <c r="G82" s="33" t="s">
        <v>18</v>
      </c>
    </row>
    <row r="83" spans="2:7" ht="12.95" customHeight="1" x14ac:dyDescent="0.3">
      <c r="B83" s="77" t="s">
        <v>3</v>
      </c>
      <c r="C83" s="79" t="s">
        <v>11</v>
      </c>
      <c r="D83" s="81" t="s">
        <v>5</v>
      </c>
      <c r="E83" s="82" t="s">
        <v>4</v>
      </c>
      <c r="F83" s="50" t="s">
        <v>60</v>
      </c>
      <c r="G83" s="51">
        <v>21</v>
      </c>
    </row>
    <row r="84" spans="2:7" ht="12.95" customHeight="1" x14ac:dyDescent="0.3">
      <c r="B84" s="78"/>
      <c r="C84" s="80"/>
      <c r="D84" s="81"/>
      <c r="E84" s="83"/>
      <c r="F84" s="47" t="s">
        <v>13</v>
      </c>
      <c r="G84" s="46" t="s">
        <v>14</v>
      </c>
    </row>
    <row r="85" spans="2:7" ht="12.95" customHeight="1" x14ac:dyDescent="0.3">
      <c r="B85" s="11" t="s">
        <v>15</v>
      </c>
      <c r="C85" s="6" t="s">
        <v>17</v>
      </c>
      <c r="D85" s="39" t="s">
        <v>10</v>
      </c>
      <c r="E85" s="12"/>
      <c r="F85" s="36">
        <v>1</v>
      </c>
      <c r="G85" s="13">
        <f>TRUNC(SUM(G88:G89)*0.03,1)</f>
        <v>26154.5</v>
      </c>
    </row>
    <row r="86" spans="2:7" ht="12.95" customHeight="1" x14ac:dyDescent="0.3">
      <c r="B86" s="52" t="s">
        <v>7</v>
      </c>
      <c r="C86" s="53"/>
      <c r="D86" s="54"/>
      <c r="E86" s="55"/>
      <c r="F86" s="56"/>
      <c r="G86" s="57">
        <f>TRUNC(SUM(G85:G85))</f>
        <v>26154</v>
      </c>
    </row>
    <row r="87" spans="2:7" ht="12.95" customHeight="1" x14ac:dyDescent="0.3">
      <c r="B87" s="58"/>
      <c r="C87" s="58"/>
      <c r="D87" s="48"/>
      <c r="E87" s="59"/>
      <c r="F87" s="60"/>
      <c r="G87" s="61"/>
    </row>
    <row r="88" spans="2:7" ht="12.95" customHeight="1" x14ac:dyDescent="0.3">
      <c r="B88" s="15" t="s">
        <v>2</v>
      </c>
      <c r="C88" s="9"/>
      <c r="D88" s="3" t="s">
        <v>6</v>
      </c>
      <c r="E88" s="42">
        <v>233250</v>
      </c>
      <c r="F88" s="62">
        <v>3</v>
      </c>
      <c r="G88" s="7">
        <f t="shared" ref="G88:G89" si="9">TRUNC($E88*F88,1)</f>
        <v>699750</v>
      </c>
    </row>
    <row r="89" spans="2:7" ht="12.95" customHeight="1" x14ac:dyDescent="0.3">
      <c r="B89" s="15" t="s">
        <v>1</v>
      </c>
      <c r="C89" s="9"/>
      <c r="D89" s="3" t="s">
        <v>6</v>
      </c>
      <c r="E89" s="42">
        <v>172068</v>
      </c>
      <c r="F89" s="62">
        <v>1</v>
      </c>
      <c r="G89" s="7">
        <f t="shared" si="9"/>
        <v>172068</v>
      </c>
    </row>
    <row r="90" spans="2:7" ht="12.95" customHeight="1" x14ac:dyDescent="0.3">
      <c r="B90" s="16" t="s">
        <v>8</v>
      </c>
      <c r="C90" s="29"/>
      <c r="D90" s="29"/>
      <c r="E90" s="35"/>
      <c r="F90" s="62"/>
      <c r="G90" s="34">
        <f>TRUNC(SUM(G88:G89))</f>
        <v>871818</v>
      </c>
    </row>
    <row r="91" spans="2:7" ht="12.95" customHeight="1" x14ac:dyDescent="0.3">
      <c r="B91" s="63"/>
      <c r="C91" s="64"/>
      <c r="D91" s="64"/>
      <c r="E91" s="65"/>
      <c r="F91" s="24"/>
      <c r="G91" s="66"/>
    </row>
    <row r="92" spans="2:7" ht="12.95" customHeight="1" x14ac:dyDescent="0.3">
      <c r="B92" s="67" t="s">
        <v>9</v>
      </c>
      <c r="C92" s="29"/>
      <c r="D92" s="29"/>
      <c r="E92" s="68"/>
      <c r="F92" s="68"/>
      <c r="G92" s="69">
        <f>SUM(G86+G90)</f>
        <v>897972</v>
      </c>
    </row>
    <row r="93" spans="2:7" ht="12.95" customHeight="1" x14ac:dyDescent="0.3">
      <c r="B93" s="14" t="s">
        <v>59</v>
      </c>
      <c r="C93" s="70"/>
      <c r="D93" s="71"/>
      <c r="E93" s="72"/>
      <c r="F93" s="73"/>
      <c r="G93" s="74">
        <f>TRUNC(G92/G83)</f>
        <v>42760</v>
      </c>
    </row>
    <row r="95" spans="2:7" ht="12.95" customHeight="1" x14ac:dyDescent="0.3">
      <c r="B95" s="31" t="s">
        <v>53</v>
      </c>
      <c r="C95" s="32"/>
      <c r="D95" s="22"/>
      <c r="E95" s="33"/>
      <c r="F95" s="22"/>
      <c r="G95" s="33"/>
    </row>
    <row r="96" spans="2:7" ht="12.95" customHeight="1" x14ac:dyDescent="0.3">
      <c r="B96" s="77" t="s">
        <v>3</v>
      </c>
      <c r="C96" s="79" t="s">
        <v>11</v>
      </c>
      <c r="D96" s="81" t="s">
        <v>5</v>
      </c>
      <c r="E96" s="82" t="s">
        <v>4</v>
      </c>
      <c r="F96" s="81" t="s">
        <v>13</v>
      </c>
      <c r="G96" s="75" t="s">
        <v>14</v>
      </c>
    </row>
    <row r="97" spans="2:7" ht="12.95" customHeight="1" x14ac:dyDescent="0.3">
      <c r="B97" s="78"/>
      <c r="C97" s="80"/>
      <c r="D97" s="81"/>
      <c r="E97" s="83"/>
      <c r="F97" s="81"/>
      <c r="G97" s="76"/>
    </row>
    <row r="98" spans="2:7" ht="12.95" customHeight="1" x14ac:dyDescent="0.3">
      <c r="B98" s="11" t="s">
        <v>34</v>
      </c>
      <c r="C98" s="6"/>
      <c r="D98" s="39" t="s">
        <v>35</v>
      </c>
      <c r="E98" s="40">
        <v>0</v>
      </c>
      <c r="F98" s="38">
        <v>1.1000000000000001</v>
      </c>
      <c r="G98" s="7">
        <f t="shared" ref="G98" si="10">TRUNC($E98*F98,1)</f>
        <v>0</v>
      </c>
    </row>
    <row r="99" spans="2:7" ht="12.95" customHeight="1" x14ac:dyDescent="0.3">
      <c r="B99" s="43" t="s">
        <v>31</v>
      </c>
      <c r="C99" s="6" t="s">
        <v>30</v>
      </c>
      <c r="D99" s="39" t="s">
        <v>19</v>
      </c>
      <c r="E99" s="12"/>
      <c r="F99" s="36">
        <v>10</v>
      </c>
      <c r="G99" s="41">
        <f>TRUNC(SUM(G98)*F99*0.01,1)</f>
        <v>0</v>
      </c>
    </row>
    <row r="100" spans="2:7" ht="12.95" customHeight="1" x14ac:dyDescent="0.3">
      <c r="B100" s="43" t="s">
        <v>36</v>
      </c>
      <c r="C100" s="6"/>
      <c r="D100" s="39"/>
      <c r="E100" s="12"/>
      <c r="F100" s="36"/>
      <c r="G100" s="41"/>
    </row>
    <row r="101" spans="2:7" ht="12.95" customHeight="1" x14ac:dyDescent="0.3">
      <c r="B101" s="18" t="s">
        <v>7</v>
      </c>
      <c r="C101" s="21"/>
      <c r="D101" s="20"/>
      <c r="E101" s="19"/>
      <c r="F101" s="24"/>
      <c r="G101" s="17">
        <f>TRUNC(SUM(G98:G100))</f>
        <v>0</v>
      </c>
    </row>
    <row r="102" spans="2:7" ht="12.95" customHeight="1" x14ac:dyDescent="0.3">
      <c r="B102" s="28"/>
      <c r="C102" s="29"/>
      <c r="D102" s="29"/>
      <c r="E102" s="35"/>
      <c r="F102" s="37"/>
      <c r="G102" s="25"/>
    </row>
    <row r="103" spans="2:7" ht="12.95" customHeight="1" x14ac:dyDescent="0.3">
      <c r="B103" s="14" t="s">
        <v>9</v>
      </c>
      <c r="C103" s="30"/>
      <c r="D103" s="30"/>
      <c r="E103" s="26"/>
      <c r="F103" s="26"/>
      <c r="G103" s="27">
        <f>SUM(G101)</f>
        <v>0</v>
      </c>
    </row>
    <row r="104" spans="2:7" ht="12.95" customHeight="1" x14ac:dyDescent="0.3">
      <c r="B104" s="2" t="s">
        <v>56</v>
      </c>
    </row>
    <row r="106" spans="2:7" ht="12.95" customHeight="1" x14ac:dyDescent="0.3">
      <c r="B106" s="31" t="s">
        <v>37</v>
      </c>
      <c r="C106" s="32"/>
      <c r="D106" s="22"/>
      <c r="E106" s="33"/>
      <c r="F106" s="22"/>
      <c r="G106" s="33" t="s">
        <v>38</v>
      </c>
    </row>
    <row r="107" spans="2:7" ht="12.95" customHeight="1" x14ac:dyDescent="0.3">
      <c r="B107" s="77" t="s">
        <v>3</v>
      </c>
      <c r="C107" s="79" t="s">
        <v>11</v>
      </c>
      <c r="D107" s="81" t="s">
        <v>5</v>
      </c>
      <c r="E107" s="82" t="s">
        <v>4</v>
      </c>
      <c r="F107" s="81" t="s">
        <v>13</v>
      </c>
      <c r="G107" s="75" t="s">
        <v>14</v>
      </c>
    </row>
    <row r="108" spans="2:7" ht="12.95" customHeight="1" x14ac:dyDescent="0.3">
      <c r="B108" s="78"/>
      <c r="C108" s="80"/>
      <c r="D108" s="81"/>
      <c r="E108" s="83"/>
      <c r="F108" s="81"/>
      <c r="G108" s="76"/>
    </row>
    <row r="109" spans="2:7" ht="12.95" customHeight="1" x14ac:dyDescent="0.3">
      <c r="B109" s="11" t="s">
        <v>15</v>
      </c>
      <c r="C109" s="6" t="s">
        <v>12</v>
      </c>
      <c r="D109" s="39" t="s">
        <v>10</v>
      </c>
      <c r="E109" s="12"/>
      <c r="F109" s="36">
        <v>1</v>
      </c>
      <c r="G109" s="13">
        <f>TRUNC(SUM(G112:G112)*0.05,1)</f>
        <v>233.2</v>
      </c>
    </row>
    <row r="110" spans="2:7" ht="12.95" customHeight="1" x14ac:dyDescent="0.3">
      <c r="B110" s="18" t="s">
        <v>7</v>
      </c>
      <c r="C110" s="21"/>
      <c r="D110" s="20"/>
      <c r="E110" s="19"/>
      <c r="F110" s="24"/>
      <c r="G110" s="17">
        <f>TRUNC(SUM(G109:G109))</f>
        <v>233</v>
      </c>
    </row>
    <row r="111" spans="2:7" ht="12.95" customHeight="1" x14ac:dyDescent="0.3">
      <c r="B111" s="28"/>
      <c r="C111" s="29"/>
      <c r="D111" s="29"/>
      <c r="E111" s="35"/>
      <c r="F111" s="37"/>
      <c r="G111" s="25"/>
    </row>
    <row r="112" spans="2:7" ht="12.95" customHeight="1" x14ac:dyDescent="0.3">
      <c r="B112" s="15" t="s">
        <v>2</v>
      </c>
      <c r="C112" s="9"/>
      <c r="D112" s="3" t="s">
        <v>6</v>
      </c>
      <c r="E112" s="42">
        <v>233250</v>
      </c>
      <c r="F112" s="24">
        <v>0.02</v>
      </c>
      <c r="G112" s="7">
        <f t="shared" ref="G112" si="11">TRUNC($E112*F112,1)</f>
        <v>4665</v>
      </c>
    </row>
    <row r="113" spans="2:7" ht="12.95" customHeight="1" x14ac:dyDescent="0.3">
      <c r="B113" s="16" t="s">
        <v>8</v>
      </c>
      <c r="C113" s="29"/>
      <c r="D113" s="29"/>
      <c r="E113" s="35"/>
      <c r="F113" s="37"/>
      <c r="G113" s="34">
        <f>TRUNC(SUM(G112:G112))</f>
        <v>4665</v>
      </c>
    </row>
    <row r="114" spans="2:7" ht="12.95" customHeight="1" x14ac:dyDescent="0.3">
      <c r="B114" s="28"/>
      <c r="C114" s="29"/>
      <c r="D114" s="29"/>
      <c r="E114" s="35"/>
      <c r="F114" s="37"/>
      <c r="G114" s="25"/>
    </row>
    <row r="115" spans="2:7" ht="12.95" customHeight="1" x14ac:dyDescent="0.3">
      <c r="B115" s="14" t="s">
        <v>9</v>
      </c>
      <c r="C115" s="30"/>
      <c r="D115" s="30"/>
      <c r="E115" s="26"/>
      <c r="F115" s="26"/>
      <c r="G115" s="27">
        <f>SUM(G110+G113)</f>
        <v>4898</v>
      </c>
    </row>
    <row r="117" spans="2:7" ht="12.95" customHeight="1" x14ac:dyDescent="0.3">
      <c r="B117" s="31" t="s">
        <v>53</v>
      </c>
      <c r="C117" s="32"/>
      <c r="D117" s="22"/>
      <c r="E117" s="33"/>
      <c r="F117" s="22"/>
      <c r="G117" s="33"/>
    </row>
    <row r="118" spans="2:7" ht="12.95" customHeight="1" x14ac:dyDescent="0.3">
      <c r="B118" s="77" t="s">
        <v>3</v>
      </c>
      <c r="C118" s="79" t="s">
        <v>11</v>
      </c>
      <c r="D118" s="81" t="s">
        <v>5</v>
      </c>
      <c r="E118" s="82" t="s">
        <v>4</v>
      </c>
      <c r="F118" s="81" t="s">
        <v>13</v>
      </c>
      <c r="G118" s="75" t="s">
        <v>14</v>
      </c>
    </row>
    <row r="119" spans="2:7" ht="12.95" customHeight="1" x14ac:dyDescent="0.3">
      <c r="B119" s="78"/>
      <c r="C119" s="80"/>
      <c r="D119" s="81"/>
      <c r="E119" s="83"/>
      <c r="F119" s="81"/>
      <c r="G119" s="76"/>
    </row>
    <row r="120" spans="2:7" ht="12.95" customHeight="1" x14ac:dyDescent="0.3">
      <c r="B120" s="11" t="s">
        <v>40</v>
      </c>
      <c r="C120" s="6"/>
      <c r="D120" s="39" t="s">
        <v>39</v>
      </c>
      <c r="E120" s="40">
        <v>0</v>
      </c>
      <c r="F120" s="38">
        <v>1.1000000000000001</v>
      </c>
      <c r="G120" s="7">
        <f t="shared" ref="G120" si="12">TRUNC($E120*F120,1)</f>
        <v>0</v>
      </c>
    </row>
    <row r="121" spans="2:7" ht="12.95" customHeight="1" x14ac:dyDescent="0.3">
      <c r="B121" s="43" t="s">
        <v>31</v>
      </c>
      <c r="C121" s="6" t="s">
        <v>30</v>
      </c>
      <c r="D121" s="39" t="s">
        <v>19</v>
      </c>
      <c r="E121" s="12"/>
      <c r="F121" s="36">
        <v>3</v>
      </c>
      <c r="G121" s="41">
        <f>TRUNC(SUM(G120)*F121*0.01,1)</f>
        <v>0</v>
      </c>
    </row>
    <row r="122" spans="2:7" ht="12.95" customHeight="1" x14ac:dyDescent="0.3">
      <c r="B122" s="43" t="s">
        <v>41</v>
      </c>
      <c r="C122" s="6"/>
      <c r="D122" s="39"/>
      <c r="E122" s="12"/>
      <c r="F122" s="36"/>
      <c r="G122" s="41"/>
    </row>
    <row r="123" spans="2:7" ht="12.95" customHeight="1" x14ac:dyDescent="0.3">
      <c r="B123" s="18" t="s">
        <v>7</v>
      </c>
      <c r="C123" s="21"/>
      <c r="D123" s="20"/>
      <c r="E123" s="19"/>
      <c r="F123" s="24"/>
      <c r="G123" s="17">
        <f>TRUNC(SUM(G120:G122))</f>
        <v>0</v>
      </c>
    </row>
    <row r="124" spans="2:7" ht="12.95" customHeight="1" x14ac:dyDescent="0.3">
      <c r="B124" s="28"/>
      <c r="C124" s="29"/>
      <c r="D124" s="29"/>
      <c r="E124" s="35"/>
      <c r="F124" s="37"/>
      <c r="G124" s="25"/>
    </row>
    <row r="125" spans="2:7" ht="12.95" customHeight="1" x14ac:dyDescent="0.3">
      <c r="B125" s="14" t="s">
        <v>9</v>
      </c>
      <c r="C125" s="30"/>
      <c r="D125" s="30"/>
      <c r="E125" s="26"/>
      <c r="F125" s="26"/>
      <c r="G125" s="27">
        <f>SUM(G123)</f>
        <v>0</v>
      </c>
    </row>
    <row r="126" spans="2:7" ht="12.95" customHeight="1" x14ac:dyDescent="0.3">
      <c r="B126" s="2" t="s">
        <v>56</v>
      </c>
    </row>
    <row r="128" spans="2:7" ht="12.95" customHeight="1" x14ac:dyDescent="0.3">
      <c r="B128" s="1" t="s">
        <v>42</v>
      </c>
      <c r="C128" s="2"/>
    </row>
    <row r="129" spans="2:7" ht="12.95" customHeight="1" x14ac:dyDescent="0.3">
      <c r="B129" s="31" t="s">
        <v>43</v>
      </c>
      <c r="C129" s="32"/>
      <c r="D129" s="22"/>
      <c r="E129" s="33"/>
      <c r="F129" s="22"/>
      <c r="G129" s="33" t="s">
        <v>38</v>
      </c>
    </row>
    <row r="130" spans="2:7" ht="12.95" customHeight="1" x14ac:dyDescent="0.3">
      <c r="B130" s="77" t="s">
        <v>3</v>
      </c>
      <c r="C130" s="79" t="s">
        <v>11</v>
      </c>
      <c r="D130" s="81" t="s">
        <v>5</v>
      </c>
      <c r="E130" s="82" t="s">
        <v>4</v>
      </c>
      <c r="F130" s="81" t="s">
        <v>13</v>
      </c>
      <c r="G130" s="75" t="s">
        <v>14</v>
      </c>
    </row>
    <row r="131" spans="2:7" ht="12.95" customHeight="1" x14ac:dyDescent="0.3">
      <c r="B131" s="78"/>
      <c r="C131" s="80"/>
      <c r="D131" s="81"/>
      <c r="E131" s="83"/>
      <c r="F131" s="81"/>
      <c r="G131" s="76"/>
    </row>
    <row r="132" spans="2:7" ht="12.95" customHeight="1" x14ac:dyDescent="0.3">
      <c r="B132" s="11" t="s">
        <v>15</v>
      </c>
      <c r="C132" s="6" t="s">
        <v>16</v>
      </c>
      <c r="D132" s="39" t="s">
        <v>10</v>
      </c>
      <c r="E132" s="12"/>
      <c r="F132" s="36">
        <v>1</v>
      </c>
      <c r="G132" s="13">
        <f>TRUNC(SUM(G135:G136)*0.02,1)</f>
        <v>331.8</v>
      </c>
    </row>
    <row r="133" spans="2:7" ht="12.95" customHeight="1" x14ac:dyDescent="0.3">
      <c r="B133" s="18" t="s">
        <v>7</v>
      </c>
      <c r="C133" s="21"/>
      <c r="D133" s="20"/>
      <c r="E133" s="19"/>
      <c r="F133" s="24"/>
      <c r="G133" s="17">
        <f>TRUNC(SUM(G132:G132))</f>
        <v>331</v>
      </c>
    </row>
    <row r="134" spans="2:7" ht="12.95" customHeight="1" x14ac:dyDescent="0.3">
      <c r="B134" s="28"/>
      <c r="C134" s="29"/>
      <c r="D134" s="29"/>
      <c r="E134" s="35"/>
      <c r="F134" s="37"/>
      <c r="G134" s="25"/>
    </row>
    <row r="135" spans="2:7" ht="12.95" customHeight="1" x14ac:dyDescent="0.3">
      <c r="B135" s="15" t="s">
        <v>0</v>
      </c>
      <c r="C135" s="9"/>
      <c r="D135" s="3" t="s">
        <v>6</v>
      </c>
      <c r="E135" s="42">
        <v>247897</v>
      </c>
      <c r="F135" s="24">
        <v>0.06</v>
      </c>
      <c r="G135" s="7">
        <f t="shared" ref="G135:G136" si="13">TRUNC($E135*F135,1)</f>
        <v>14873.8</v>
      </c>
    </row>
    <row r="136" spans="2:7" ht="12.95" customHeight="1" x14ac:dyDescent="0.3">
      <c r="B136" s="15" t="s">
        <v>1</v>
      </c>
      <c r="C136" s="9"/>
      <c r="D136" s="3" t="s">
        <v>6</v>
      </c>
      <c r="E136" s="42">
        <v>172068</v>
      </c>
      <c r="F136" s="24">
        <v>0.01</v>
      </c>
      <c r="G136" s="7">
        <f t="shared" si="13"/>
        <v>1720.6</v>
      </c>
    </row>
    <row r="137" spans="2:7" ht="12.95" customHeight="1" x14ac:dyDescent="0.3">
      <c r="B137" s="16" t="s">
        <v>8</v>
      </c>
      <c r="C137" s="29"/>
      <c r="D137" s="29"/>
      <c r="E137" s="35"/>
      <c r="F137" s="37"/>
      <c r="G137" s="34">
        <f>TRUNC(SUM(G135:G136))</f>
        <v>16594</v>
      </c>
    </row>
    <row r="138" spans="2:7" ht="12.95" customHeight="1" x14ac:dyDescent="0.3">
      <c r="B138" s="28"/>
      <c r="C138" s="29"/>
      <c r="D138" s="29"/>
      <c r="E138" s="35"/>
      <c r="F138" s="37"/>
      <c r="G138" s="25"/>
    </row>
    <row r="139" spans="2:7" ht="12.95" customHeight="1" x14ac:dyDescent="0.3">
      <c r="B139" s="14" t="s">
        <v>9</v>
      </c>
      <c r="C139" s="30"/>
      <c r="D139" s="30"/>
      <c r="E139" s="26"/>
      <c r="F139" s="26"/>
      <c r="G139" s="27">
        <f>SUM(G133+G137)</f>
        <v>16925</v>
      </c>
    </row>
    <row r="140" spans="2:7" ht="12.95" customHeight="1" x14ac:dyDescent="0.3">
      <c r="B140" s="31" t="s">
        <v>64</v>
      </c>
      <c r="C140" s="32"/>
      <c r="D140" s="22"/>
      <c r="E140" s="33"/>
      <c r="F140" s="22"/>
      <c r="G140" s="33"/>
    </row>
    <row r="142" spans="2:7" ht="12.95" customHeight="1" x14ac:dyDescent="0.3">
      <c r="B142" s="31" t="s">
        <v>44</v>
      </c>
      <c r="C142" s="32"/>
      <c r="D142" s="22"/>
      <c r="E142" s="33"/>
      <c r="F142" s="22"/>
      <c r="G142" s="33" t="s">
        <v>38</v>
      </c>
    </row>
    <row r="143" spans="2:7" ht="12.95" customHeight="1" x14ac:dyDescent="0.3">
      <c r="B143" s="77" t="s">
        <v>3</v>
      </c>
      <c r="C143" s="79" t="s">
        <v>11</v>
      </c>
      <c r="D143" s="81" t="s">
        <v>5</v>
      </c>
      <c r="E143" s="82" t="s">
        <v>4</v>
      </c>
      <c r="F143" s="81" t="s">
        <v>13</v>
      </c>
      <c r="G143" s="75" t="s">
        <v>14</v>
      </c>
    </row>
    <row r="144" spans="2:7" ht="12.95" customHeight="1" x14ac:dyDescent="0.3">
      <c r="B144" s="78"/>
      <c r="C144" s="80"/>
      <c r="D144" s="81"/>
      <c r="E144" s="83"/>
      <c r="F144" s="81"/>
      <c r="G144" s="76"/>
    </row>
    <row r="145" spans="2:7" ht="12.95" customHeight="1" x14ac:dyDescent="0.3">
      <c r="B145" s="11" t="s">
        <v>15</v>
      </c>
      <c r="C145" s="6" t="s">
        <v>16</v>
      </c>
      <c r="D145" s="39" t="s">
        <v>10</v>
      </c>
      <c r="E145" s="12"/>
      <c r="F145" s="36">
        <v>1</v>
      </c>
      <c r="G145" s="13">
        <f>TRUNC(SUM(G148:G149)*0.02,1)</f>
        <v>282.3</v>
      </c>
    </row>
    <row r="146" spans="2:7" ht="12.95" customHeight="1" x14ac:dyDescent="0.3">
      <c r="B146" s="18" t="s">
        <v>7</v>
      </c>
      <c r="C146" s="21"/>
      <c r="D146" s="20"/>
      <c r="E146" s="19"/>
      <c r="F146" s="24"/>
      <c r="G146" s="17">
        <f>TRUNC(SUM(G145:G145))</f>
        <v>282</v>
      </c>
    </row>
    <row r="147" spans="2:7" ht="12.95" customHeight="1" x14ac:dyDescent="0.3">
      <c r="B147" s="28"/>
      <c r="C147" s="29"/>
      <c r="D147" s="29"/>
      <c r="E147" s="35"/>
      <c r="F147" s="37"/>
      <c r="G147" s="25"/>
    </row>
    <row r="148" spans="2:7" ht="12.95" customHeight="1" x14ac:dyDescent="0.3">
      <c r="B148" s="15" t="s">
        <v>0</v>
      </c>
      <c r="C148" s="9"/>
      <c r="D148" s="3" t="s">
        <v>6</v>
      </c>
      <c r="E148" s="42">
        <v>247897</v>
      </c>
      <c r="F148" s="24">
        <v>0.05</v>
      </c>
      <c r="G148" s="7">
        <f t="shared" ref="G148:G149" si="14">TRUNC($E148*F148,1)</f>
        <v>12394.8</v>
      </c>
    </row>
    <row r="149" spans="2:7" ht="12.95" customHeight="1" x14ac:dyDescent="0.3">
      <c r="B149" s="15" t="s">
        <v>1</v>
      </c>
      <c r="C149" s="9"/>
      <c r="D149" s="3" t="s">
        <v>6</v>
      </c>
      <c r="E149" s="42">
        <v>172068</v>
      </c>
      <c r="F149" s="24">
        <v>0.01</v>
      </c>
      <c r="G149" s="7">
        <f t="shared" si="14"/>
        <v>1720.6</v>
      </c>
    </row>
    <row r="150" spans="2:7" ht="12.95" customHeight="1" x14ac:dyDescent="0.3">
      <c r="B150" s="16" t="s">
        <v>8</v>
      </c>
      <c r="C150" s="29"/>
      <c r="D150" s="29"/>
      <c r="E150" s="35"/>
      <c r="F150" s="37"/>
      <c r="G150" s="34">
        <f>TRUNC(SUM(G148:G149))</f>
        <v>14115</v>
      </c>
    </row>
    <row r="151" spans="2:7" ht="12.95" customHeight="1" x14ac:dyDescent="0.3">
      <c r="B151" s="28"/>
      <c r="C151" s="29"/>
      <c r="D151" s="29"/>
      <c r="E151" s="35"/>
      <c r="F151" s="37"/>
      <c r="G151" s="25"/>
    </row>
    <row r="152" spans="2:7" ht="12.95" customHeight="1" x14ac:dyDescent="0.3">
      <c r="B152" s="14" t="s">
        <v>9</v>
      </c>
      <c r="C152" s="30"/>
      <c r="D152" s="30"/>
      <c r="E152" s="26"/>
      <c r="F152" s="26"/>
      <c r="G152" s="27">
        <f>SUM(G146+G150)</f>
        <v>14397</v>
      </c>
    </row>
    <row r="153" spans="2:7" ht="12.95" customHeight="1" x14ac:dyDescent="0.3">
      <c r="B153" s="31" t="s">
        <v>64</v>
      </c>
      <c r="C153" s="32"/>
      <c r="D153" s="22"/>
      <c r="E153" s="33"/>
      <c r="F153" s="22"/>
      <c r="G153" s="33"/>
    </row>
    <row r="155" spans="2:7" ht="12.95" customHeight="1" x14ac:dyDescent="0.3">
      <c r="B155" s="31" t="s">
        <v>45</v>
      </c>
      <c r="C155" s="32"/>
      <c r="D155" s="22"/>
      <c r="E155" s="33"/>
      <c r="F155" s="22"/>
      <c r="G155" s="33" t="s">
        <v>38</v>
      </c>
    </row>
    <row r="156" spans="2:7" ht="12.95" customHeight="1" x14ac:dyDescent="0.3">
      <c r="B156" s="77" t="s">
        <v>3</v>
      </c>
      <c r="C156" s="79" t="s">
        <v>11</v>
      </c>
      <c r="D156" s="81" t="s">
        <v>5</v>
      </c>
      <c r="E156" s="82" t="s">
        <v>4</v>
      </c>
      <c r="F156" s="81" t="s">
        <v>13</v>
      </c>
      <c r="G156" s="75" t="s">
        <v>14</v>
      </c>
    </row>
    <row r="157" spans="2:7" ht="12.95" customHeight="1" x14ac:dyDescent="0.3">
      <c r="B157" s="78"/>
      <c r="C157" s="80"/>
      <c r="D157" s="81"/>
      <c r="E157" s="83"/>
      <c r="F157" s="81"/>
      <c r="G157" s="76"/>
    </row>
    <row r="158" spans="2:7" ht="12.95" customHeight="1" x14ac:dyDescent="0.3">
      <c r="B158" s="11" t="s">
        <v>15</v>
      </c>
      <c r="C158" s="6" t="s">
        <v>16</v>
      </c>
      <c r="D158" s="39" t="s">
        <v>10</v>
      </c>
      <c r="E158" s="12"/>
      <c r="F158" s="36">
        <v>1</v>
      </c>
      <c r="G158" s="13">
        <f>TRUNC(SUM(G161:G162)*0.02,1)</f>
        <v>515</v>
      </c>
    </row>
    <row r="159" spans="2:7" ht="12.95" customHeight="1" x14ac:dyDescent="0.3">
      <c r="B159" s="18" t="s">
        <v>7</v>
      </c>
      <c r="C159" s="21"/>
      <c r="D159" s="20"/>
      <c r="E159" s="19"/>
      <c r="F159" s="24"/>
      <c r="G159" s="17">
        <f>TRUNC(SUM(G158:G158))</f>
        <v>515</v>
      </c>
    </row>
    <row r="160" spans="2:7" ht="12.95" customHeight="1" x14ac:dyDescent="0.3">
      <c r="B160" s="28"/>
      <c r="C160" s="29"/>
      <c r="D160" s="29"/>
      <c r="E160" s="35"/>
      <c r="F160" s="37"/>
      <c r="G160" s="25"/>
    </row>
    <row r="161" spans="2:7" ht="12.95" customHeight="1" x14ac:dyDescent="0.3">
      <c r="B161" s="15" t="s">
        <v>0</v>
      </c>
      <c r="C161" s="9"/>
      <c r="D161" s="3" t="s">
        <v>6</v>
      </c>
      <c r="E161" s="42">
        <v>247897</v>
      </c>
      <c r="F161" s="24">
        <v>0.09</v>
      </c>
      <c r="G161" s="7">
        <f t="shared" ref="G161:G162" si="15">TRUNC($E161*F161,1)</f>
        <v>22310.7</v>
      </c>
    </row>
    <row r="162" spans="2:7" ht="12.95" customHeight="1" x14ac:dyDescent="0.3">
      <c r="B162" s="15" t="s">
        <v>1</v>
      </c>
      <c r="C162" s="9"/>
      <c r="D162" s="3" t="s">
        <v>6</v>
      </c>
      <c r="E162" s="42">
        <v>172068</v>
      </c>
      <c r="F162" s="24">
        <v>0.02</v>
      </c>
      <c r="G162" s="7">
        <f t="shared" si="15"/>
        <v>3441.3</v>
      </c>
    </row>
    <row r="163" spans="2:7" ht="12.95" customHeight="1" x14ac:dyDescent="0.3">
      <c r="B163" s="16" t="s">
        <v>8</v>
      </c>
      <c r="C163" s="29"/>
      <c r="D163" s="29"/>
      <c r="E163" s="35"/>
      <c r="F163" s="37"/>
      <c r="G163" s="34">
        <f>TRUNC(SUM(G161:G162))</f>
        <v>25752</v>
      </c>
    </row>
    <row r="164" spans="2:7" ht="12.95" customHeight="1" x14ac:dyDescent="0.3">
      <c r="B164" s="28"/>
      <c r="C164" s="29"/>
      <c r="D164" s="29"/>
      <c r="E164" s="35"/>
      <c r="F164" s="37"/>
      <c r="G164" s="25"/>
    </row>
    <row r="165" spans="2:7" ht="12.95" customHeight="1" x14ac:dyDescent="0.3">
      <c r="B165" s="14" t="s">
        <v>9</v>
      </c>
      <c r="C165" s="30"/>
      <c r="D165" s="30"/>
      <c r="E165" s="26"/>
      <c r="F165" s="26"/>
      <c r="G165" s="27">
        <f>SUM(G159+G163)</f>
        <v>26267</v>
      </c>
    </row>
    <row r="166" spans="2:7" ht="12.95" customHeight="1" x14ac:dyDescent="0.3">
      <c r="B166" s="31" t="s">
        <v>64</v>
      </c>
      <c r="C166" s="32"/>
      <c r="D166" s="22"/>
      <c r="E166" s="33"/>
      <c r="F166" s="22"/>
      <c r="G166" s="33"/>
    </row>
    <row r="168" spans="2:7" ht="12.95" customHeight="1" x14ac:dyDescent="0.3">
      <c r="B168" s="31" t="s">
        <v>46</v>
      </c>
      <c r="C168" s="32"/>
      <c r="D168" s="22"/>
      <c r="E168" s="33"/>
      <c r="F168" s="22"/>
      <c r="G168" s="33" t="s">
        <v>38</v>
      </c>
    </row>
    <row r="169" spans="2:7" ht="12.95" customHeight="1" x14ac:dyDescent="0.3">
      <c r="B169" s="77" t="s">
        <v>3</v>
      </c>
      <c r="C169" s="79" t="s">
        <v>11</v>
      </c>
      <c r="D169" s="81" t="s">
        <v>5</v>
      </c>
      <c r="E169" s="82" t="s">
        <v>4</v>
      </c>
      <c r="F169" s="81" t="s">
        <v>13</v>
      </c>
      <c r="G169" s="75" t="s">
        <v>14</v>
      </c>
    </row>
    <row r="170" spans="2:7" ht="12.95" customHeight="1" x14ac:dyDescent="0.3">
      <c r="B170" s="78"/>
      <c r="C170" s="80"/>
      <c r="D170" s="81"/>
      <c r="E170" s="83"/>
      <c r="F170" s="81"/>
      <c r="G170" s="76"/>
    </row>
    <row r="171" spans="2:7" ht="12.95" customHeight="1" x14ac:dyDescent="0.3">
      <c r="B171" s="11" t="s">
        <v>15</v>
      </c>
      <c r="C171" s="6" t="s">
        <v>16</v>
      </c>
      <c r="D171" s="39" t="s">
        <v>10</v>
      </c>
      <c r="E171" s="12"/>
      <c r="F171" s="36">
        <v>1</v>
      </c>
      <c r="G171" s="13">
        <f>TRUNC(SUM(G174:G175)*0.02,1)</f>
        <v>366.3</v>
      </c>
    </row>
    <row r="172" spans="2:7" ht="12.95" customHeight="1" x14ac:dyDescent="0.3">
      <c r="B172" s="18" t="s">
        <v>7</v>
      </c>
      <c r="C172" s="21"/>
      <c r="D172" s="20"/>
      <c r="E172" s="19"/>
      <c r="F172" s="24"/>
      <c r="G172" s="17">
        <f>TRUNC(SUM(G171:G171))</f>
        <v>366</v>
      </c>
    </row>
    <row r="173" spans="2:7" ht="12.95" customHeight="1" x14ac:dyDescent="0.3">
      <c r="B173" s="28"/>
      <c r="C173" s="29"/>
      <c r="D173" s="29"/>
      <c r="E173" s="35"/>
      <c r="F173" s="37"/>
      <c r="G173" s="25"/>
    </row>
    <row r="174" spans="2:7" ht="12.95" customHeight="1" x14ac:dyDescent="0.3">
      <c r="B174" s="15" t="s">
        <v>0</v>
      </c>
      <c r="C174" s="9"/>
      <c r="D174" s="3" t="s">
        <v>6</v>
      </c>
      <c r="E174" s="42">
        <v>247897</v>
      </c>
      <c r="F174" s="24">
        <v>0.06</v>
      </c>
      <c r="G174" s="7">
        <f t="shared" ref="G174:G175" si="16">TRUNC($E174*F174,1)</f>
        <v>14873.8</v>
      </c>
    </row>
    <row r="175" spans="2:7" ht="12.95" customHeight="1" x14ac:dyDescent="0.3">
      <c r="B175" s="15" t="s">
        <v>1</v>
      </c>
      <c r="C175" s="9"/>
      <c r="D175" s="3" t="s">
        <v>6</v>
      </c>
      <c r="E175" s="42">
        <v>172068</v>
      </c>
      <c r="F175" s="24">
        <v>0.02</v>
      </c>
      <c r="G175" s="7">
        <f t="shared" si="16"/>
        <v>3441.3</v>
      </c>
    </row>
    <row r="176" spans="2:7" ht="12.95" customHeight="1" x14ac:dyDescent="0.3">
      <c r="B176" s="16" t="s">
        <v>8</v>
      </c>
      <c r="C176" s="29"/>
      <c r="D176" s="29"/>
      <c r="E176" s="35"/>
      <c r="F176" s="37"/>
      <c r="G176" s="34">
        <f>TRUNC(SUM(G174:G175))</f>
        <v>18315</v>
      </c>
    </row>
    <row r="177" spans="2:7" ht="12.95" customHeight="1" x14ac:dyDescent="0.3">
      <c r="B177" s="28"/>
      <c r="C177" s="29"/>
      <c r="D177" s="29"/>
      <c r="E177" s="35"/>
      <c r="F177" s="37"/>
      <c r="G177" s="25"/>
    </row>
    <row r="178" spans="2:7" ht="12.95" customHeight="1" x14ac:dyDescent="0.3">
      <c r="B178" s="14" t="s">
        <v>9</v>
      </c>
      <c r="C178" s="30"/>
      <c r="D178" s="30"/>
      <c r="E178" s="26"/>
      <c r="F178" s="26"/>
      <c r="G178" s="27">
        <f>SUM(G172+G176)</f>
        <v>18681</v>
      </c>
    </row>
    <row r="179" spans="2:7" ht="12.95" customHeight="1" x14ac:dyDescent="0.3">
      <c r="B179" s="31" t="s">
        <v>64</v>
      </c>
      <c r="C179" s="32"/>
      <c r="D179" s="22"/>
      <c r="E179" s="33"/>
      <c r="F179" s="22"/>
      <c r="G179" s="33"/>
    </row>
    <row r="181" spans="2:7" ht="12.95" customHeight="1" x14ac:dyDescent="0.3">
      <c r="B181" s="31" t="s">
        <v>47</v>
      </c>
      <c r="C181" s="32"/>
      <c r="D181" s="22"/>
      <c r="E181" s="33"/>
      <c r="F181" s="22"/>
      <c r="G181" s="33" t="s">
        <v>48</v>
      </c>
    </row>
    <row r="182" spans="2:7" ht="12.95" customHeight="1" x14ac:dyDescent="0.3">
      <c r="B182" s="77" t="s">
        <v>3</v>
      </c>
      <c r="C182" s="79" t="s">
        <v>11</v>
      </c>
      <c r="D182" s="81" t="s">
        <v>5</v>
      </c>
      <c r="E182" s="82" t="s">
        <v>4</v>
      </c>
      <c r="F182" s="81" t="s">
        <v>13</v>
      </c>
      <c r="G182" s="75" t="s">
        <v>14</v>
      </c>
    </row>
    <row r="183" spans="2:7" ht="12.95" customHeight="1" x14ac:dyDescent="0.3">
      <c r="B183" s="78"/>
      <c r="C183" s="80"/>
      <c r="D183" s="81"/>
      <c r="E183" s="83"/>
      <c r="F183" s="81"/>
      <c r="G183" s="76"/>
    </row>
    <row r="184" spans="2:7" ht="12.95" customHeight="1" x14ac:dyDescent="0.3">
      <c r="B184" s="15" t="s">
        <v>0</v>
      </c>
      <c r="C184" s="9"/>
      <c r="D184" s="3" t="s">
        <v>6</v>
      </c>
      <c r="E184" s="42">
        <v>247897</v>
      </c>
      <c r="F184" s="24">
        <v>0.08</v>
      </c>
      <c r="G184" s="7">
        <f t="shared" ref="G184:G185" si="17">TRUNC($E184*F184,1)</f>
        <v>19831.7</v>
      </c>
    </row>
    <row r="185" spans="2:7" ht="12.95" customHeight="1" x14ac:dyDescent="0.3">
      <c r="B185" s="15" t="s">
        <v>1</v>
      </c>
      <c r="C185" s="9"/>
      <c r="D185" s="3" t="s">
        <v>6</v>
      </c>
      <c r="E185" s="42">
        <v>172068</v>
      </c>
      <c r="F185" s="24">
        <v>0.02</v>
      </c>
      <c r="G185" s="7">
        <f t="shared" si="17"/>
        <v>3441.3</v>
      </c>
    </row>
    <row r="186" spans="2:7" ht="12.95" customHeight="1" x14ac:dyDescent="0.3">
      <c r="B186" s="16" t="s">
        <v>8</v>
      </c>
      <c r="C186" s="29"/>
      <c r="D186" s="29"/>
      <c r="E186" s="35"/>
      <c r="F186" s="37"/>
      <c r="G186" s="34">
        <f>TRUNC(SUM(G184:G185))</f>
        <v>23273</v>
      </c>
    </row>
    <row r="187" spans="2:7" ht="12.95" customHeight="1" x14ac:dyDescent="0.3">
      <c r="B187" s="28"/>
      <c r="C187" s="29"/>
      <c r="D187" s="29"/>
      <c r="E187" s="35"/>
      <c r="F187" s="37"/>
      <c r="G187" s="25"/>
    </row>
    <row r="188" spans="2:7" ht="12.95" customHeight="1" x14ac:dyDescent="0.3">
      <c r="B188" s="14" t="s">
        <v>9</v>
      </c>
      <c r="C188" s="30"/>
      <c r="D188" s="30"/>
      <c r="E188" s="26"/>
      <c r="F188" s="26"/>
      <c r="G188" s="27">
        <f>SUM(G186)</f>
        <v>23273</v>
      </c>
    </row>
    <row r="189" spans="2:7" ht="12.95" customHeight="1" x14ac:dyDescent="0.3">
      <c r="B189" s="31" t="s">
        <v>64</v>
      </c>
      <c r="C189" s="32"/>
      <c r="D189" s="22"/>
      <c r="E189" s="33"/>
      <c r="F189" s="22"/>
      <c r="G189" s="33"/>
    </row>
    <row r="191" spans="2:7" ht="12.95" customHeight="1" x14ac:dyDescent="0.3">
      <c r="B191" s="1" t="s">
        <v>49</v>
      </c>
      <c r="C191" s="2"/>
    </row>
    <row r="192" spans="2:7" ht="12.95" customHeight="1" x14ac:dyDescent="0.3">
      <c r="B192" s="31" t="s">
        <v>50</v>
      </c>
      <c r="C192" s="32"/>
      <c r="D192" s="22"/>
      <c r="E192" s="33"/>
      <c r="F192" s="22"/>
      <c r="G192" s="33" t="s">
        <v>48</v>
      </c>
    </row>
    <row r="193" spans="2:7" ht="12.95" customHeight="1" x14ac:dyDescent="0.3">
      <c r="B193" s="77" t="s">
        <v>3</v>
      </c>
      <c r="C193" s="79" t="s">
        <v>11</v>
      </c>
      <c r="D193" s="81" t="s">
        <v>5</v>
      </c>
      <c r="E193" s="82" t="s">
        <v>4</v>
      </c>
      <c r="F193" s="81" t="s">
        <v>13</v>
      </c>
      <c r="G193" s="75" t="s">
        <v>14</v>
      </c>
    </row>
    <row r="194" spans="2:7" ht="12.95" customHeight="1" x14ac:dyDescent="0.3">
      <c r="B194" s="78"/>
      <c r="C194" s="80"/>
      <c r="D194" s="81"/>
      <c r="E194" s="83"/>
      <c r="F194" s="81"/>
      <c r="G194" s="76"/>
    </row>
    <row r="195" spans="2:7" ht="12.95" customHeight="1" x14ac:dyDescent="0.3">
      <c r="B195" s="15" t="s">
        <v>0</v>
      </c>
      <c r="C195" s="9"/>
      <c r="D195" s="3" t="s">
        <v>6</v>
      </c>
      <c r="E195" s="42">
        <v>247897</v>
      </c>
      <c r="F195" s="24">
        <v>0.17</v>
      </c>
      <c r="G195" s="7">
        <f t="shared" ref="G195:G196" si="18">TRUNC($E195*F195,1)</f>
        <v>42142.400000000001</v>
      </c>
    </row>
    <row r="196" spans="2:7" ht="12.95" customHeight="1" x14ac:dyDescent="0.3">
      <c r="B196" s="15" t="s">
        <v>1</v>
      </c>
      <c r="C196" s="9"/>
      <c r="D196" s="3" t="s">
        <v>6</v>
      </c>
      <c r="E196" s="42">
        <v>172068</v>
      </c>
      <c r="F196" s="24">
        <v>0.04</v>
      </c>
      <c r="G196" s="7">
        <f t="shared" si="18"/>
        <v>6882.7</v>
      </c>
    </row>
    <row r="197" spans="2:7" ht="12.95" customHeight="1" x14ac:dyDescent="0.3">
      <c r="B197" s="16" t="s">
        <v>8</v>
      </c>
      <c r="C197" s="29"/>
      <c r="D197" s="29"/>
      <c r="E197" s="35"/>
      <c r="F197" s="37"/>
      <c r="G197" s="34">
        <f>TRUNC(SUM(G195:G196))</f>
        <v>49025</v>
      </c>
    </row>
    <row r="198" spans="2:7" ht="12.95" customHeight="1" x14ac:dyDescent="0.3">
      <c r="B198" s="28"/>
      <c r="C198" s="29"/>
      <c r="D198" s="29"/>
      <c r="E198" s="35"/>
      <c r="F198" s="37"/>
      <c r="G198" s="25"/>
    </row>
    <row r="199" spans="2:7" ht="12.95" customHeight="1" x14ac:dyDescent="0.3">
      <c r="B199" s="14" t="s">
        <v>9</v>
      </c>
      <c r="C199" s="30"/>
      <c r="D199" s="30"/>
      <c r="E199" s="26"/>
      <c r="F199" s="26"/>
      <c r="G199" s="27">
        <f>SUM(G197)</f>
        <v>49025</v>
      </c>
    </row>
    <row r="201" spans="2:7" ht="12.95" customHeight="1" x14ac:dyDescent="0.3">
      <c r="C201" s="2"/>
    </row>
    <row r="202" spans="2:7" ht="12.95" customHeight="1" x14ac:dyDescent="0.3">
      <c r="C202" s="2"/>
    </row>
    <row r="203" spans="2:7" ht="12.95" customHeight="1" x14ac:dyDescent="0.3">
      <c r="C203" s="2"/>
    </row>
    <row r="204" spans="2:7" ht="12.95" customHeight="1" x14ac:dyDescent="0.3">
      <c r="C204" s="2"/>
    </row>
    <row r="205" spans="2:7" ht="12.95" customHeight="1" x14ac:dyDescent="0.3">
      <c r="C205" s="2"/>
    </row>
    <row r="206" spans="2:7" ht="12.95" customHeight="1" x14ac:dyDescent="0.3">
      <c r="C206" s="2"/>
    </row>
    <row r="207" spans="2:7" ht="12.95" customHeight="1" x14ac:dyDescent="0.3">
      <c r="C207" s="2"/>
    </row>
    <row r="208" spans="2:7" ht="12.95" customHeight="1" x14ac:dyDescent="0.3">
      <c r="C208" s="2"/>
    </row>
    <row r="209" spans="3:3" ht="12.95" customHeight="1" x14ac:dyDescent="0.3">
      <c r="C209" s="2"/>
    </row>
    <row r="210" spans="3:3" ht="12.95" customHeight="1" x14ac:dyDescent="0.3">
      <c r="C210" s="2"/>
    </row>
    <row r="211" spans="3:3" ht="12.95" customHeight="1" x14ac:dyDescent="0.3">
      <c r="C211" s="2"/>
    </row>
    <row r="212" spans="3:3" ht="12.95" customHeight="1" x14ac:dyDescent="0.3">
      <c r="C212" s="2"/>
    </row>
    <row r="291" spans="14:15" ht="12.95" customHeight="1" x14ac:dyDescent="0.3">
      <c r="O291" s="10"/>
    </row>
    <row r="292" spans="14:15" ht="12.95" customHeight="1" x14ac:dyDescent="0.3">
      <c r="N292" s="10"/>
      <c r="O292" s="10"/>
    </row>
    <row r="293" spans="14:15" ht="12.95" customHeight="1" x14ac:dyDescent="0.3">
      <c r="N293" s="10"/>
      <c r="O293" s="10"/>
    </row>
    <row r="294" spans="14:15" ht="12.95" customHeight="1" x14ac:dyDescent="0.3">
      <c r="N294" s="10"/>
      <c r="O294" s="10"/>
    </row>
    <row r="295" spans="14:15" ht="12.95" customHeight="1" x14ac:dyDescent="0.3">
      <c r="N295" s="10"/>
      <c r="O295" s="10"/>
    </row>
    <row r="296" spans="14:15" ht="12.95" customHeight="1" x14ac:dyDescent="0.3">
      <c r="N296" s="10"/>
      <c r="O296" s="10"/>
    </row>
    <row r="297" spans="14:15" ht="12.95" customHeight="1" x14ac:dyDescent="0.3">
      <c r="N297" s="10"/>
      <c r="O297" s="10"/>
    </row>
    <row r="298" spans="14:15" ht="12.95" customHeight="1" x14ac:dyDescent="0.3">
      <c r="N298" s="10"/>
      <c r="O298" s="10"/>
    </row>
    <row r="299" spans="14:15" ht="12.95" customHeight="1" x14ac:dyDescent="0.3">
      <c r="N299" s="10"/>
      <c r="O299" s="10"/>
    </row>
    <row r="300" spans="14:15" ht="12.95" customHeight="1" x14ac:dyDescent="0.3">
      <c r="N300" s="10"/>
      <c r="O300" s="10"/>
    </row>
    <row r="301" spans="14:15" ht="12.95" customHeight="1" x14ac:dyDescent="0.3">
      <c r="N301" s="10"/>
      <c r="O301" s="10"/>
    </row>
    <row r="302" spans="14:15" ht="12.95" customHeight="1" x14ac:dyDescent="0.3">
      <c r="N302" s="10"/>
      <c r="O302" s="10"/>
    </row>
    <row r="303" spans="14:15" ht="12.95" customHeight="1" x14ac:dyDescent="0.3">
      <c r="N303" s="10"/>
      <c r="O303" s="10"/>
    </row>
    <row r="304" spans="14:15" ht="12.95" customHeight="1" x14ac:dyDescent="0.3">
      <c r="N304" s="10"/>
      <c r="O304" s="10"/>
    </row>
    <row r="305" spans="3:15" ht="12.95" customHeight="1" x14ac:dyDescent="0.3">
      <c r="N305" s="10"/>
      <c r="O305" s="10"/>
    </row>
    <row r="306" spans="3:15" ht="12.95" customHeight="1" x14ac:dyDescent="0.3">
      <c r="C306" s="2"/>
      <c r="N306" s="10"/>
      <c r="O306" s="10"/>
    </row>
    <row r="307" spans="3:15" ht="12.95" customHeight="1" x14ac:dyDescent="0.3">
      <c r="C307" s="2"/>
      <c r="N307" s="10"/>
      <c r="O307" s="10"/>
    </row>
    <row r="308" spans="3:15" ht="12.95" customHeight="1" x14ac:dyDescent="0.3">
      <c r="C308" s="2"/>
      <c r="N308" s="10"/>
    </row>
    <row r="309" spans="3:15" ht="12.95" customHeight="1" x14ac:dyDescent="0.3">
      <c r="C309" s="2"/>
    </row>
    <row r="310" spans="3:15" ht="12.95" customHeight="1" x14ac:dyDescent="0.3">
      <c r="C310" s="2"/>
    </row>
    <row r="311" spans="3:15" ht="12.95" customHeight="1" x14ac:dyDescent="0.3">
      <c r="C311" s="2"/>
    </row>
    <row r="312" spans="3:15" ht="12.95" customHeight="1" x14ac:dyDescent="0.3">
      <c r="C312" s="2"/>
      <c r="L312" s="23"/>
      <c r="M312" s="23"/>
    </row>
    <row r="313" spans="3:15" ht="12.95" customHeight="1" x14ac:dyDescent="0.3">
      <c r="C313" s="2"/>
      <c r="L313" s="23"/>
      <c r="M313" s="23"/>
    </row>
    <row r="314" spans="3:15" ht="12.95" customHeight="1" x14ac:dyDescent="0.3">
      <c r="C314" s="2"/>
      <c r="L314" s="23"/>
      <c r="M314" s="23"/>
    </row>
    <row r="315" spans="3:15" ht="12.95" customHeight="1" x14ac:dyDescent="0.3">
      <c r="C315" s="2"/>
      <c r="L315" s="23"/>
      <c r="M315" s="23"/>
    </row>
    <row r="316" spans="3:15" ht="12.95" customHeight="1" x14ac:dyDescent="0.3">
      <c r="C316" s="2"/>
    </row>
    <row r="317" spans="3:15" ht="12.95" customHeight="1" x14ac:dyDescent="0.3">
      <c r="C317" s="2"/>
    </row>
  </sheetData>
  <mergeCells count="92">
    <mergeCell ref="B58:B59"/>
    <mergeCell ref="C58:C59"/>
    <mergeCell ref="D58:D59"/>
    <mergeCell ref="E58:E59"/>
    <mergeCell ref="B83:B84"/>
    <mergeCell ref="C83:C84"/>
    <mergeCell ref="D83:D84"/>
    <mergeCell ref="E83:E84"/>
    <mergeCell ref="H44:I44"/>
    <mergeCell ref="B44:B46"/>
    <mergeCell ref="C44:C46"/>
    <mergeCell ref="D44:D46"/>
    <mergeCell ref="E44:E46"/>
    <mergeCell ref="F44:G44"/>
    <mergeCell ref="H4:I4"/>
    <mergeCell ref="B18:B20"/>
    <mergeCell ref="C18:C20"/>
    <mergeCell ref="D18:D20"/>
    <mergeCell ref="E18:E20"/>
    <mergeCell ref="B4:B6"/>
    <mergeCell ref="C4:C6"/>
    <mergeCell ref="D4:D6"/>
    <mergeCell ref="E4:E6"/>
    <mergeCell ref="F4:G4"/>
    <mergeCell ref="F18:G18"/>
    <mergeCell ref="H18:I18"/>
    <mergeCell ref="G193:G194"/>
    <mergeCell ref="B182:B183"/>
    <mergeCell ref="C182:C183"/>
    <mergeCell ref="D182:D183"/>
    <mergeCell ref="E182:E183"/>
    <mergeCell ref="F182:F183"/>
    <mergeCell ref="G182:G183"/>
    <mergeCell ref="B193:B194"/>
    <mergeCell ref="C193:C194"/>
    <mergeCell ref="D193:D194"/>
    <mergeCell ref="E193:E194"/>
    <mergeCell ref="F193:F194"/>
    <mergeCell ref="G169:G170"/>
    <mergeCell ref="B156:B157"/>
    <mergeCell ref="C156:C157"/>
    <mergeCell ref="D156:D157"/>
    <mergeCell ref="E156:E157"/>
    <mergeCell ref="F156:F157"/>
    <mergeCell ref="G156:G157"/>
    <mergeCell ref="B169:B170"/>
    <mergeCell ref="C169:C170"/>
    <mergeCell ref="D169:D170"/>
    <mergeCell ref="E169:E170"/>
    <mergeCell ref="F169:F170"/>
    <mergeCell ref="G143:G144"/>
    <mergeCell ref="B130:B131"/>
    <mergeCell ref="C130:C131"/>
    <mergeCell ref="D130:D131"/>
    <mergeCell ref="E130:E131"/>
    <mergeCell ref="F130:F131"/>
    <mergeCell ref="G130:G131"/>
    <mergeCell ref="B143:B144"/>
    <mergeCell ref="C143:C144"/>
    <mergeCell ref="D143:D144"/>
    <mergeCell ref="E143:E144"/>
    <mergeCell ref="F143:F144"/>
    <mergeCell ref="G107:G108"/>
    <mergeCell ref="B107:B108"/>
    <mergeCell ref="C107:C108"/>
    <mergeCell ref="D107:D108"/>
    <mergeCell ref="E107:E108"/>
    <mergeCell ref="F107:F108"/>
    <mergeCell ref="G32:G33"/>
    <mergeCell ref="B32:B33"/>
    <mergeCell ref="C32:C33"/>
    <mergeCell ref="D32:D33"/>
    <mergeCell ref="E32:E33"/>
    <mergeCell ref="F32:F33"/>
    <mergeCell ref="G71:G72"/>
    <mergeCell ref="B96:B97"/>
    <mergeCell ref="C96:C97"/>
    <mergeCell ref="D96:D97"/>
    <mergeCell ref="E96:E97"/>
    <mergeCell ref="F96:F97"/>
    <mergeCell ref="G96:G97"/>
    <mergeCell ref="B71:B72"/>
    <mergeCell ref="C71:C72"/>
    <mergeCell ref="D71:D72"/>
    <mergeCell ref="E71:E72"/>
    <mergeCell ref="F71:F72"/>
    <mergeCell ref="G118:G119"/>
    <mergeCell ref="B118:B119"/>
    <mergeCell ref="C118:C119"/>
    <mergeCell ref="D118:D119"/>
    <mergeCell ref="E118:E119"/>
    <mergeCell ref="F118:F119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지붕 및 홈통공사(상반기)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2026-01-01T08:03:50Z</dcterms:modified>
</cp:coreProperties>
</file>