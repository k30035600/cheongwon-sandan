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2.토목부문(2026년)\"/>
    </mc:Choice>
  </mc:AlternateContent>
  <xr:revisionPtr revIDLastSave="0" documentId="13_ncr:1_{5185BFC8-B5B5-4698-827F-A05101822DF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궤도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7" i="6" l="1"/>
  <c r="G366" i="6"/>
  <c r="G368" i="6" s="1"/>
  <c r="G370" i="6" s="1"/>
  <c r="G358" i="6"/>
  <c r="G357" i="6"/>
  <c r="G349" i="6"/>
  <c r="G348" i="6"/>
  <c r="G350" i="6" s="1"/>
  <c r="G345" i="6"/>
  <c r="G344" i="6"/>
  <c r="G343" i="6"/>
  <c r="G340" i="6"/>
  <c r="G341" i="6" s="1"/>
  <c r="G332" i="6"/>
  <c r="G331" i="6"/>
  <c r="G333" i="6" s="1"/>
  <c r="G335" i="6" s="1"/>
  <c r="G323" i="6"/>
  <c r="G324" i="6" s="1"/>
  <c r="G320" i="6"/>
  <c r="G309" i="6"/>
  <c r="G310" i="6" s="1"/>
  <c r="G305" i="6"/>
  <c r="G294" i="6"/>
  <c r="G295" i="6" s="1"/>
  <c r="G291" i="6"/>
  <c r="G280" i="6"/>
  <c r="G281" i="6" s="1"/>
  <c r="G277" i="6"/>
  <c r="G276" i="6"/>
  <c r="G265" i="6"/>
  <c r="G266" i="6" s="1"/>
  <c r="K261" i="6"/>
  <c r="M250" i="6"/>
  <c r="M251" i="6" s="1"/>
  <c r="M253" i="6" s="1"/>
  <c r="M236" i="6"/>
  <c r="M237" i="6" s="1"/>
  <c r="M239" i="6" s="1"/>
  <c r="M229" i="6"/>
  <c r="M230" i="6" s="1"/>
  <c r="M232" i="6" s="1"/>
  <c r="I219" i="6"/>
  <c r="I217" i="6"/>
  <c r="G209" i="6"/>
  <c r="G208" i="6"/>
  <c r="G207" i="6"/>
  <c r="G199" i="6"/>
  <c r="I198" i="6"/>
  <c r="G188" i="6"/>
  <c r="G189" i="6" s="1"/>
  <c r="G184" i="6"/>
  <c r="I183" i="6"/>
  <c r="I182" i="6"/>
  <c r="I179" i="6"/>
  <c r="I180" i="6" s="1"/>
  <c r="G171" i="6"/>
  <c r="G170" i="6"/>
  <c r="G169" i="6"/>
  <c r="G166" i="6"/>
  <c r="G165" i="6"/>
  <c r="G164" i="6"/>
  <c r="G163" i="6"/>
  <c r="G162" i="6"/>
  <c r="G159" i="6"/>
  <c r="G158" i="6"/>
  <c r="G160" i="6" s="1"/>
  <c r="G148" i="6"/>
  <c r="G149" i="6" s="1"/>
  <c r="G145" i="6"/>
  <c r="G144" i="6"/>
  <c r="G143" i="6"/>
  <c r="G142" i="6"/>
  <c r="G139" i="6"/>
  <c r="G140" i="6" s="1"/>
  <c r="I127" i="6"/>
  <c r="I125" i="6"/>
  <c r="I124" i="6"/>
  <c r="I121" i="6"/>
  <c r="I122" i="6" s="1"/>
  <c r="I110" i="6"/>
  <c r="I108" i="6"/>
  <c r="I107" i="6"/>
  <c r="I104" i="6"/>
  <c r="I105" i="6" s="1"/>
  <c r="I93" i="6"/>
  <c r="G92" i="6"/>
  <c r="G89" i="6"/>
  <c r="G88" i="6"/>
  <c r="I87" i="6"/>
  <c r="I85" i="6"/>
  <c r="G85" i="6"/>
  <c r="I81" i="6"/>
  <c r="G70" i="6"/>
  <c r="G69" i="6"/>
  <c r="G71" i="6" s="1"/>
  <c r="G66" i="6"/>
  <c r="G65" i="6"/>
  <c r="G64" i="6"/>
  <c r="G61" i="6"/>
  <c r="G62" i="6" s="1"/>
  <c r="G52" i="6"/>
  <c r="G51" i="6"/>
  <c r="G53" i="6" s="1"/>
  <c r="G48" i="6"/>
  <c r="G47" i="6"/>
  <c r="G49" i="6" s="1"/>
  <c r="G55" i="6" s="1"/>
  <c r="G56" i="6" s="1"/>
  <c r="G38" i="6"/>
  <c r="G39" i="6" s="1"/>
  <c r="G35" i="6"/>
  <c r="G34" i="6"/>
  <c r="G33" i="6"/>
  <c r="G32" i="6"/>
  <c r="G29" i="6"/>
  <c r="G30" i="6" s="1"/>
  <c r="I19" i="6"/>
  <c r="I18" i="6"/>
  <c r="I15" i="6"/>
  <c r="G14" i="6"/>
  <c r="I13" i="6"/>
  <c r="I11" i="6"/>
  <c r="G11" i="6"/>
  <c r="G7" i="6"/>
  <c r="G121" i="6" l="1"/>
  <c r="G122" i="6" s="1"/>
  <c r="I199" i="6"/>
  <c r="I7" i="6"/>
  <c r="G18" i="6"/>
  <c r="I92" i="6"/>
  <c r="G182" i="6"/>
  <c r="G250" i="6"/>
  <c r="G251" i="6" s="1"/>
  <c r="G253" i="6" s="1"/>
  <c r="G124" i="6"/>
  <c r="I250" i="6"/>
  <c r="I251" i="6" s="1"/>
  <c r="I253" i="6" s="1"/>
  <c r="G219" i="6"/>
  <c r="G179" i="6"/>
  <c r="G180" i="6" s="1"/>
  <c r="I89" i="6"/>
  <c r="G81" i="6"/>
  <c r="G217" i="6"/>
  <c r="K250" i="6"/>
  <c r="K251" i="6" s="1"/>
  <c r="K253" i="6" s="1"/>
  <c r="G15" i="6"/>
  <c r="G292" i="6"/>
  <c r="G288" i="6"/>
  <c r="G289" i="6" s="1"/>
  <c r="G297" i="6" s="1"/>
  <c r="G36" i="6"/>
  <c r="G41" i="6" s="1"/>
  <c r="G42" i="6" s="1"/>
  <c r="G108" i="6"/>
  <c r="G229" i="6"/>
  <c r="G230" i="6" s="1"/>
  <c r="G232" i="6" s="1"/>
  <c r="I309" i="6"/>
  <c r="I310" i="6" s="1"/>
  <c r="G359" i="6"/>
  <c r="G361" i="6" s="1"/>
  <c r="I14" i="6"/>
  <c r="G19" i="6"/>
  <c r="I88" i="6"/>
  <c r="G93" i="6"/>
  <c r="G104" i="6"/>
  <c r="G105" i="6" s="1"/>
  <c r="G107" i="6"/>
  <c r="G125" i="6"/>
  <c r="G146" i="6"/>
  <c r="G151" i="6" s="1"/>
  <c r="G152" i="6" s="1"/>
  <c r="G167" i="6"/>
  <c r="G172" i="6"/>
  <c r="G183" i="6"/>
  <c r="I184" i="6"/>
  <c r="I188" i="6"/>
  <c r="I189" i="6" s="1"/>
  <c r="I229" i="6"/>
  <c r="I230" i="6" s="1"/>
  <c r="I232" i="6" s="1"/>
  <c r="I305" i="6"/>
  <c r="G67" i="6"/>
  <c r="G73" i="6" s="1"/>
  <c r="G74" i="6" s="1"/>
  <c r="G87" i="6"/>
  <c r="G210" i="6"/>
  <c r="G212" i="6" s="1"/>
  <c r="G273" i="6"/>
  <c r="G274" i="6" s="1"/>
  <c r="G278" i="6"/>
  <c r="I20" i="6"/>
  <c r="I21" i="6" s="1"/>
  <c r="G20" i="6"/>
  <c r="G21" i="6" s="1"/>
  <c r="I126" i="6"/>
  <c r="I128" i="6" s="1"/>
  <c r="G126" i="6"/>
  <c r="I130" i="6"/>
  <c r="I131" i="6" s="1"/>
  <c r="G130" i="6"/>
  <c r="G131" i="6" s="1"/>
  <c r="I109" i="6"/>
  <c r="I111" i="6" s="1"/>
  <c r="G109" i="6"/>
  <c r="I113" i="6"/>
  <c r="I114" i="6" s="1"/>
  <c r="G113" i="6"/>
  <c r="G114" i="6" s="1"/>
  <c r="G198" i="6"/>
  <c r="I8" i="6"/>
  <c r="I9" i="6" s="1"/>
  <c r="G8" i="6"/>
  <c r="G9" i="6" s="1"/>
  <c r="I86" i="6"/>
  <c r="G86" i="6"/>
  <c r="G127" i="6"/>
  <c r="I12" i="6"/>
  <c r="G12" i="6"/>
  <c r="I82" i="6"/>
  <c r="I83" i="6" s="1"/>
  <c r="G82" i="6"/>
  <c r="G83" i="6" s="1"/>
  <c r="K265" i="6"/>
  <c r="K266" i="6" s="1"/>
  <c r="I265" i="6"/>
  <c r="I266" i="6" s="1"/>
  <c r="I306" i="6"/>
  <c r="I302" i="6" s="1"/>
  <c r="I303" i="6" s="1"/>
  <c r="G306" i="6"/>
  <c r="G307" i="6" s="1"/>
  <c r="I243" i="6"/>
  <c r="I244" i="6" s="1"/>
  <c r="I246" i="6" s="1"/>
  <c r="G243" i="6"/>
  <c r="G244" i="6" s="1"/>
  <c r="G246" i="6" s="1"/>
  <c r="I262" i="6"/>
  <c r="G262" i="6"/>
  <c r="G346" i="6"/>
  <c r="G352" i="6" s="1"/>
  <c r="G13" i="6"/>
  <c r="I94" i="6"/>
  <c r="G94" i="6"/>
  <c r="I218" i="6"/>
  <c r="I220" i="6" s="1"/>
  <c r="I222" i="6" s="1"/>
  <c r="G218" i="6"/>
  <c r="K236" i="6"/>
  <c r="K237" i="6" s="1"/>
  <c r="K239" i="6" s="1"/>
  <c r="I236" i="6"/>
  <c r="I237" i="6" s="1"/>
  <c r="I239" i="6" s="1"/>
  <c r="K243" i="6"/>
  <c r="K244" i="6" s="1"/>
  <c r="K246" i="6" s="1"/>
  <c r="K262" i="6"/>
  <c r="K263" i="6" s="1"/>
  <c r="G317" i="6"/>
  <c r="G318" i="6" s="1"/>
  <c r="G321" i="6"/>
  <c r="G110" i="6"/>
  <c r="I185" i="6"/>
  <c r="G185" i="6"/>
  <c r="I197" i="6"/>
  <c r="I200" i="6" s="1"/>
  <c r="I202" i="6" s="1"/>
  <c r="G197" i="6"/>
  <c r="G236" i="6"/>
  <c r="G237" i="6" s="1"/>
  <c r="G239" i="6" s="1"/>
  <c r="M243" i="6"/>
  <c r="M244" i="6" s="1"/>
  <c r="M246" i="6" s="1"/>
  <c r="I261" i="6"/>
  <c r="G261" i="6"/>
  <c r="I307" i="6"/>
  <c r="K229" i="6"/>
  <c r="K230" i="6" s="1"/>
  <c r="K232" i="6" s="1"/>
  <c r="I16" i="6" l="1"/>
  <c r="I90" i="6"/>
  <c r="G174" i="6"/>
  <c r="G220" i="6"/>
  <c r="G222" i="6" s="1"/>
  <c r="I95" i="6"/>
  <c r="G186" i="6"/>
  <c r="G191" i="6" s="1"/>
  <c r="I97" i="6"/>
  <c r="I98" i="6" s="1"/>
  <c r="I116" i="6"/>
  <c r="I117" i="6" s="1"/>
  <c r="G90" i="6"/>
  <c r="G97" i="6" s="1"/>
  <c r="G98" i="6" s="1"/>
  <c r="G111" i="6"/>
  <c r="G116" i="6" s="1"/>
  <c r="G117" i="6" s="1"/>
  <c r="I186" i="6"/>
  <c r="I191" i="6" s="1"/>
  <c r="G326" i="6"/>
  <c r="G95" i="6"/>
  <c r="G16" i="6"/>
  <c r="G23" i="6" s="1"/>
  <c r="G24" i="6" s="1"/>
  <c r="G128" i="6"/>
  <c r="G133" i="6" s="1"/>
  <c r="G134" i="6" s="1"/>
  <c r="K258" i="6"/>
  <c r="K259" i="6" s="1"/>
  <c r="K268" i="6" s="1"/>
  <c r="G302" i="6"/>
  <c r="G303" i="6" s="1"/>
  <c r="G312" i="6" s="1"/>
  <c r="I133" i="6"/>
  <c r="I134" i="6" s="1"/>
  <c r="I263" i="6"/>
  <c r="I258" i="6"/>
  <c r="I259" i="6" s="1"/>
  <c r="I268" i="6" s="1"/>
  <c r="G283" i="6"/>
  <c r="I312" i="6"/>
  <c r="G258" i="6"/>
  <c r="G259" i="6" s="1"/>
  <c r="G263" i="6"/>
  <c r="G200" i="6"/>
  <c r="G202" i="6" s="1"/>
  <c r="I23" i="6"/>
  <c r="I24" i="6" s="1"/>
  <c r="G268" i="6" l="1"/>
</calcChain>
</file>

<file path=xl/sharedStrings.xml><?xml version="1.0" encoding="utf-8"?>
<sst xmlns="http://schemas.openxmlformats.org/spreadsheetml/2006/main" count="675" uniqueCount="121">
  <si>
    <t>보통인부</t>
  </si>
  <si>
    <t>절단기</t>
  </si>
  <si>
    <t>0.2㎥</t>
  </si>
  <si>
    <t>지게차</t>
  </si>
  <si>
    <t>부착용집게</t>
  </si>
  <si>
    <t>40.64㎝</t>
  </si>
  <si>
    <t>양로기</t>
  </si>
  <si>
    <t>11.19㎾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</si>
  <si>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</si>
  <si>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</si>
  <si>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</si>
  <si>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</si>
  <si>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</si>
  <si>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</si>
  <si>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</si>
  <si>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</si>
  <si>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</si>
  <si>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</si>
  <si>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</si>
  <si>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5ton</t>
  </si>
  <si>
    <t>식</t>
    <phoneticPr fontId="3" type="noConversion"/>
  </si>
  <si>
    <t>규격</t>
    <phoneticPr fontId="5" type="noConversion"/>
  </si>
  <si>
    <t>hr</t>
  </si>
  <si>
    <t>특별인부</t>
  </si>
  <si>
    <t>(일당)</t>
    <phoneticPr fontId="3" type="noConversion"/>
  </si>
  <si>
    <t>살수차</t>
  </si>
  <si>
    <t>인력품의 5%</t>
    <phoneticPr fontId="3" type="noConversion"/>
  </si>
  <si>
    <t>잡재료비</t>
    <phoneticPr fontId="5" type="noConversion"/>
  </si>
  <si>
    <t>크레인(무한궤도)</t>
    <phoneticPr fontId="3" type="noConversion"/>
  </si>
  <si>
    <t>용접공</t>
  </si>
  <si>
    <t>50ton</t>
  </si>
  <si>
    <t>hr</t>
    <phoneticPr fontId="5" type="noConversion"/>
  </si>
  <si>
    <t>제 4 장 궤도공사</t>
  </si>
  <si>
    <t>궤도공</t>
  </si>
  <si>
    <t>측량중급기술자</t>
  </si>
  <si>
    <t>모터카</t>
  </si>
  <si>
    <t>자갈화차</t>
  </si>
  <si>
    <t>30㎥</t>
  </si>
  <si>
    <t>4-2-1 궤광조립</t>
    <phoneticPr fontId="3" type="noConversion"/>
  </si>
  <si>
    <t>16,000ℓ</t>
    <phoneticPr fontId="3" type="noConversion"/>
  </si>
  <si>
    <t>수량</t>
    <phoneticPr fontId="3" type="noConversion"/>
  </si>
  <si>
    <t>금액</t>
    <phoneticPr fontId="3" type="noConversion"/>
  </si>
  <si>
    <t>20ton</t>
    <phoneticPr fontId="3" type="noConversion"/>
  </si>
  <si>
    <t>일단</t>
    <phoneticPr fontId="3" type="noConversion"/>
  </si>
  <si>
    <t>양단</t>
    <phoneticPr fontId="3" type="noConversion"/>
  </si>
  <si>
    <t>(개소당)</t>
    <phoneticPr fontId="3" type="noConversion"/>
  </si>
  <si>
    <t>(틀당)</t>
    <phoneticPr fontId="3" type="noConversion"/>
  </si>
  <si>
    <t>레일규격 50㎏</t>
    <phoneticPr fontId="3" type="noConversion"/>
  </si>
  <si>
    <t>레일규격 60㎏</t>
    <phoneticPr fontId="3" type="noConversion"/>
  </si>
  <si>
    <t>레일(50~60㎏)</t>
    <phoneticPr fontId="3" type="noConversion"/>
  </si>
  <si>
    <t>레일인장법</t>
    <phoneticPr fontId="3" type="noConversion"/>
  </si>
  <si>
    <t>(km당)</t>
    <phoneticPr fontId="3" type="noConversion"/>
  </si>
  <si>
    <t>자연대기온도법</t>
    <phoneticPr fontId="3" type="noConversion"/>
  </si>
  <si>
    <t>(㎥당)</t>
    <phoneticPr fontId="3" type="noConversion"/>
  </si>
  <si>
    <t>50m</t>
    <phoneticPr fontId="3" type="noConversion"/>
  </si>
  <si>
    <t>100m</t>
    <phoneticPr fontId="3" type="noConversion"/>
  </si>
  <si>
    <t>150m</t>
    <phoneticPr fontId="3" type="noConversion"/>
  </si>
  <si>
    <t>200m</t>
    <phoneticPr fontId="3" type="noConversion"/>
  </si>
  <si>
    <t>부순자갈현장채집 (채집)</t>
    <phoneticPr fontId="3" type="noConversion"/>
  </si>
  <si>
    <t>250m</t>
    <phoneticPr fontId="3" type="noConversion"/>
  </si>
  <si>
    <t>300m</t>
    <phoneticPr fontId="3" type="noConversion"/>
  </si>
  <si>
    <t>350m</t>
    <phoneticPr fontId="3" type="noConversion"/>
  </si>
  <si>
    <t>400m</t>
    <phoneticPr fontId="3" type="noConversion"/>
  </si>
  <si>
    <t>부순자갈현장채집 (운반)</t>
    <phoneticPr fontId="3" type="noConversion"/>
  </si>
  <si>
    <t>레일규격 : 37㎏</t>
    <phoneticPr fontId="3" type="noConversion"/>
  </si>
  <si>
    <t>레일규격 : 50㎏</t>
    <phoneticPr fontId="3" type="noConversion"/>
  </si>
  <si>
    <t>레일규격 : 60㎏</t>
    <phoneticPr fontId="3" type="noConversion"/>
  </si>
  <si>
    <t>(공당)</t>
    <phoneticPr fontId="3" type="noConversion"/>
  </si>
  <si>
    <t>레일천공기</t>
    <phoneticPr fontId="5" type="noConversion"/>
  </si>
  <si>
    <t>1.49㎾</t>
    <phoneticPr fontId="5" type="noConversion"/>
  </si>
  <si>
    <t>37㎏~60㎏</t>
    <phoneticPr fontId="3" type="noConversion"/>
  </si>
  <si>
    <t>침목천공기</t>
    <phoneticPr fontId="5" type="noConversion"/>
  </si>
  <si>
    <t>2.46㎾</t>
    <phoneticPr fontId="5" type="noConversion"/>
  </si>
  <si>
    <t>(침목 개소당)</t>
    <phoneticPr fontId="3" type="noConversion"/>
  </si>
  <si>
    <t>조임</t>
    <phoneticPr fontId="3" type="noConversion"/>
  </si>
  <si>
    <t>해체</t>
    <phoneticPr fontId="3" type="noConversion"/>
  </si>
  <si>
    <t>파워렌치</t>
    <phoneticPr fontId="5" type="noConversion"/>
  </si>
  <si>
    <t>6.6㎾</t>
    <phoneticPr fontId="5" type="noConversion"/>
  </si>
  <si>
    <t>타이템퍼</t>
    <phoneticPr fontId="5" type="noConversion"/>
  </si>
  <si>
    <t>3,400회/min</t>
    <phoneticPr fontId="5" type="noConversion"/>
  </si>
  <si>
    <t>(10m당)</t>
    <phoneticPr fontId="3" type="noConversion"/>
  </si>
  <si>
    <t>(개당)</t>
    <phoneticPr fontId="3" type="noConversion"/>
  </si>
  <si>
    <t>m당 단가</t>
    <phoneticPr fontId="3" type="noConversion"/>
  </si>
  <si>
    <t>시공량(m)</t>
    <phoneticPr fontId="3" type="noConversion"/>
  </si>
  <si>
    <t>복선</t>
    <phoneticPr fontId="3" type="noConversion"/>
  </si>
  <si>
    <t>단선</t>
    <phoneticPr fontId="3" type="noConversion"/>
  </si>
  <si>
    <t>㎥당 단가</t>
    <phoneticPr fontId="3" type="noConversion"/>
  </si>
  <si>
    <t>시공량(㎥)</t>
    <phoneticPr fontId="3" type="noConversion"/>
  </si>
  <si>
    <t>도상정리작업</t>
    <phoneticPr fontId="3" type="noConversion"/>
  </si>
  <si>
    <t>궤광조립대설치</t>
    <phoneticPr fontId="3" type="noConversion"/>
  </si>
  <si>
    <t>궤광높이기</t>
    <phoneticPr fontId="3" type="noConversion"/>
  </si>
  <si>
    <t>궤광정정 및 타설준비</t>
    <phoneticPr fontId="3" type="noConversion"/>
  </si>
  <si>
    <t>굴착기(무한궤도)</t>
  </si>
  <si>
    <t>4-3 콘크리트 궤도</t>
    <phoneticPr fontId="3" type="noConversion"/>
  </si>
  <si>
    <t>4-3-1 궤광조립</t>
    <phoneticPr fontId="3" type="noConversion"/>
  </si>
  <si>
    <t>4-2 자갈궤도</t>
    <phoneticPr fontId="3" type="noConversion"/>
  </si>
  <si>
    <t>4-2-2 궤도양로</t>
    <phoneticPr fontId="3" type="noConversion"/>
  </si>
  <si>
    <t>4-2-4 자갈고르기</t>
    <phoneticPr fontId="3" type="noConversion"/>
  </si>
  <si>
    <t>4-2-3 자갈살포</t>
    <phoneticPr fontId="3" type="noConversion"/>
  </si>
  <si>
    <t>4-3-2 궤광거치</t>
    <phoneticPr fontId="3" type="noConversion"/>
  </si>
  <si>
    <t>4-3-3 타설후 정리</t>
    <phoneticPr fontId="3" type="noConversion"/>
  </si>
  <si>
    <t>4-4 분기기</t>
    <phoneticPr fontId="3" type="noConversion"/>
  </si>
  <si>
    <t>4-4-1 분기기 부설</t>
    <phoneticPr fontId="3" type="noConversion"/>
  </si>
  <si>
    <t>4-4-2 신축이음매 부설</t>
    <phoneticPr fontId="3" type="noConversion"/>
  </si>
  <si>
    <t>4-5 궤도용접</t>
    <phoneticPr fontId="3" type="noConversion"/>
  </si>
  <si>
    <t>4-5-1 가스압접</t>
    <phoneticPr fontId="5" type="noConversion"/>
  </si>
  <si>
    <t>4-5-2 테르밋 용접</t>
    <phoneticPr fontId="5" type="noConversion"/>
  </si>
  <si>
    <t>4-5-3 장대레일 설정</t>
    <phoneticPr fontId="5" type="noConversion"/>
  </si>
  <si>
    <t>4-6 부대공사</t>
    <phoneticPr fontId="3" type="noConversion"/>
  </si>
  <si>
    <t>4-6-1 자갈채집 및 운반</t>
    <phoneticPr fontId="5" type="noConversion"/>
  </si>
  <si>
    <t>4-6-2 레일 절단</t>
    <phoneticPr fontId="3" type="noConversion"/>
  </si>
  <si>
    <t>4-6-3 레일 천공</t>
    <phoneticPr fontId="3" type="noConversion"/>
  </si>
  <si>
    <t>4-6-4 침목천공</t>
    <phoneticPr fontId="3" type="noConversion"/>
  </si>
  <si>
    <t>4-6-5 파워렌치 조임 및 해체</t>
    <phoneticPr fontId="3" type="noConversion"/>
  </si>
  <si>
    <t>4-6-6 타이템퍼 다짐</t>
    <phoneticPr fontId="3" type="noConversion"/>
  </si>
  <si>
    <t>4-6-7 교상발판 설치</t>
    <phoneticPr fontId="5" type="noConversion"/>
  </si>
  <si>
    <t>4-6-8 교상가드레일 설치</t>
    <phoneticPr fontId="3" type="noConversion"/>
  </si>
  <si>
    <t>4-6-9 교량침목고정장치 설치</t>
    <phoneticPr fontId="5" type="noConversion"/>
  </si>
  <si>
    <t>4-6-10 목침목 탄성체결장치 설치</t>
    <phoneticPr fontId="5" type="noConversion"/>
  </si>
  <si>
    <t>침목매립식(분리형)</t>
    <phoneticPr fontId="3" type="noConversion"/>
  </si>
  <si>
    <t>침목매립식(직결형)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</si>
</sst>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0" xfId="3" applyFont="1" applyAlignment="1">
      <alignment horizontal="left" vertical="center" shrinkToFit="1"/>
    </xf>
    <xf numFmtId="0" fontId="9" fillId="0" borderId="4" xfId="3" applyFont="1" applyBorder="1" applyAlignment="1">
      <alignment vertical="center" shrinkToFit="1"/>
    </xf>
    <xf numFmtId="180" fontId="9" fillId="0" borderId="6" xfId="1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9" fillId="0" borderId="0" xfId="3" applyFont="1" applyAlignment="1">
      <alignment horizontal="center" vertical="center"/>
    </xf>
    <xf numFmtId="0" fontId="9" fillId="0" borderId="5" xfId="3" applyFont="1" applyBorder="1" applyAlignment="1">
      <alignment vertical="center" shrinkToFit="1"/>
    </xf>
    <xf numFmtId="0" fontId="9" fillId="0" borderId="7" xfId="3" applyFont="1" applyBorder="1" applyAlignment="1">
      <alignment vertical="center" shrinkToFit="1"/>
    </xf>
    <xf numFmtId="0" fontId="14" fillId="0" borderId="0" xfId="6" applyFont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5" xfId="6" applyFont="1" applyBorder="1" applyAlignment="1">
      <alignment horizontal="right" vertical="center"/>
    </xf>
    <xf numFmtId="181" fontId="9" fillId="0" borderId="6" xfId="7" applyNumberFormat="1" applyFont="1" applyFill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10" fillId="0" borderId="9" xfId="6" applyFont="1" applyBorder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2" fillId="0" borderId="4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0" fontId="13" fillId="0" borderId="7" xfId="3" applyFont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0" fontId="12" fillId="0" borderId="0" xfId="3" applyFont="1" applyAlignment="1">
      <alignment vertical="center"/>
    </xf>
    <xf numFmtId="0" fontId="9" fillId="0" borderId="0" xfId="0" applyFont="1" applyAlignment="1">
      <alignment horizontal="left" vertical="center"/>
    </xf>
    <xf numFmtId="0" fontId="16" fillId="0" borderId="0" xfId="6" applyFont="1" applyAlignment="1">
      <alignment vertical="center"/>
    </xf>
    <xf numFmtId="0" fontId="16" fillId="0" borderId="0" xfId="6" applyFont="1" applyAlignment="1">
      <alignment horizontal="centerContinuous" vertical="center"/>
    </xf>
    <xf numFmtId="0" fontId="14" fillId="0" borderId="0" xfId="0" applyFont="1">
      <alignment vertical="center"/>
    </xf>
    <xf numFmtId="0" fontId="17" fillId="0" borderId="4" xfId="3" applyFont="1" applyBorder="1" applyAlignment="1">
      <alignment vertical="center"/>
    </xf>
    <xf numFmtId="0" fontId="18" fillId="0" borderId="5" xfId="3" applyFont="1" applyBorder="1" applyAlignment="1">
      <alignment vertical="center"/>
    </xf>
    <xf numFmtId="41" fontId="18" fillId="0" borderId="5" xfId="5" applyFont="1" applyFill="1" applyBorder="1" applyAlignment="1">
      <alignment vertical="center"/>
    </xf>
    <xf numFmtId="41" fontId="18" fillId="0" borderId="6" xfId="5" applyFont="1" applyFill="1" applyBorder="1" applyAlignment="1">
      <alignment vertical="center"/>
    </xf>
    <xf numFmtId="41" fontId="17" fillId="0" borderId="6" xfId="7" applyFont="1" applyFill="1" applyBorder="1" applyAlignment="1">
      <alignment vertical="center"/>
    </xf>
    <xf numFmtId="0" fontId="17" fillId="0" borderId="4" xfId="6" applyFont="1" applyBorder="1" applyAlignment="1">
      <alignment horizontal="left" vertical="center"/>
    </xf>
    <xf numFmtId="0" fontId="17" fillId="0" borderId="5" xfId="6" applyFont="1" applyBorder="1" applyAlignment="1">
      <alignment vertical="center"/>
    </xf>
    <xf numFmtId="0" fontId="19" fillId="0" borderId="5" xfId="3" applyFont="1" applyBorder="1" applyAlignment="1">
      <alignment horizontal="center" vertical="center"/>
    </xf>
    <xf numFmtId="0" fontId="19" fillId="0" borderId="5" xfId="3" applyFont="1" applyBorder="1" applyAlignment="1">
      <alignment vertical="center" shrinkToFit="1"/>
    </xf>
    <xf numFmtId="0" fontId="19" fillId="0" borderId="4" xfId="6" applyFont="1" applyBorder="1" applyAlignment="1">
      <alignment horizontal="left" vertical="center"/>
    </xf>
    <xf numFmtId="0" fontId="19" fillId="0" borderId="4" xfId="3" applyFont="1" applyBorder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9" fillId="0" borderId="9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2" fontId="9" fillId="0" borderId="5" xfId="8" applyNumberFormat="1" applyFont="1" applyBorder="1" applyAlignment="1">
      <alignment vertical="center"/>
    </xf>
    <xf numFmtId="180" fontId="9" fillId="0" borderId="0" xfId="8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0" fontId="10" fillId="0" borderId="5" xfId="2" applyFont="1" applyBorder="1" applyAlignment="1">
      <alignment vertical="center"/>
    </xf>
    <xf numFmtId="41" fontId="10" fillId="0" borderId="0" xfId="8" applyFont="1" applyBorder="1" applyAlignment="1">
      <alignment vertical="center"/>
    </xf>
    <xf numFmtId="183" fontId="10" fillId="0" borderId="5" xfId="8" applyNumberFormat="1" applyFont="1" applyFill="1" applyBorder="1" applyAlignment="1">
      <alignment vertical="center"/>
    </xf>
    <xf numFmtId="41" fontId="9" fillId="0" borderId="5" xfId="2" applyNumberFormat="1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41" fontId="10" fillId="0" borderId="8" xfId="8" applyFont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20" fillId="0" borderId="4" xfId="2" applyFont="1" applyBorder="1" applyAlignment="1">
      <alignment horizontal="left" vertical="center"/>
    </xf>
    <xf numFmtId="0" fontId="20" fillId="0" borderId="9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9" fillId="0" borderId="4" xfId="2" applyFont="1" applyBorder="1" applyAlignment="1">
      <alignment horizontal="center" vertical="center"/>
    </xf>
    <xf numFmtId="41" fontId="17" fillId="0" borderId="6" xfId="8" applyFont="1" applyBorder="1" applyAlignment="1">
      <alignment vertical="center"/>
    </xf>
    <xf numFmtId="41" fontId="17" fillId="0" borderId="6" xfId="8" applyFont="1" applyFill="1" applyBorder="1" applyAlignment="1">
      <alignment vertical="center"/>
    </xf>
    <xf numFmtId="41" fontId="10" fillId="0" borderId="5" xfId="1" applyFont="1" applyBorder="1" applyAlignment="1">
      <alignment vertical="center"/>
    </xf>
    <xf numFmtId="41" fontId="9" fillId="0" borderId="5" xfId="8" applyFont="1" applyBorder="1" applyAlignment="1">
      <alignment vertical="center"/>
    </xf>
    <xf numFmtId="41" fontId="10" fillId="0" borderId="5" xfId="8" applyFont="1" applyBorder="1" applyAlignment="1">
      <alignment vertical="center"/>
    </xf>
    <xf numFmtId="41" fontId="9" fillId="0" borderId="5" xfId="8" applyFont="1" applyFill="1" applyBorder="1" applyAlignment="1">
      <alignment vertical="center"/>
    </xf>
    <xf numFmtId="0" fontId="9" fillId="0" borderId="4" xfId="2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41" fontId="11" fillId="0" borderId="10" xfId="1" applyFont="1" applyFill="1" applyBorder="1" applyAlignment="1">
      <alignment vertical="center"/>
    </xf>
    <xf numFmtId="41" fontId="11" fillId="0" borderId="5" xfId="1" applyFont="1" applyFill="1" applyBorder="1" applyAlignment="1">
      <alignment vertical="center"/>
    </xf>
    <xf numFmtId="41" fontId="11" fillId="0" borderId="5" xfId="1" applyFont="1" applyFill="1" applyBorder="1" applyAlignment="1">
      <alignment horizontal="right" vertical="center"/>
    </xf>
    <xf numFmtId="182" fontId="10" fillId="0" borderId="5" xfId="8" applyNumberFormat="1" applyFont="1" applyBorder="1" applyAlignment="1">
      <alignment vertical="center"/>
    </xf>
    <xf numFmtId="182" fontId="9" fillId="0" borderId="5" xfId="8" applyNumberFormat="1" applyFont="1" applyFill="1" applyBorder="1" applyAlignment="1">
      <alignment vertical="center"/>
    </xf>
    <xf numFmtId="41" fontId="11" fillId="0" borderId="10" xfId="3" applyNumberFormat="1" applyFont="1" applyBorder="1" applyAlignment="1">
      <alignment vertical="center"/>
    </xf>
    <xf numFmtId="41" fontId="11" fillId="0" borderId="5" xfId="3" applyNumberFormat="1" applyFont="1" applyBorder="1" applyAlignment="1">
      <alignment vertical="center"/>
    </xf>
    <xf numFmtId="180" fontId="12" fillId="0" borderId="5" xfId="1" applyNumberFormat="1" applyFont="1" applyBorder="1" applyAlignment="1">
      <alignment vertical="center"/>
    </xf>
    <xf numFmtId="182" fontId="12" fillId="0" borderId="5" xfId="1" applyNumberFormat="1" applyFont="1" applyBorder="1" applyAlignment="1">
      <alignment vertical="center"/>
    </xf>
    <xf numFmtId="41" fontId="11" fillId="0" borderId="10" xfId="3" applyNumberFormat="1" applyFont="1" applyBorder="1" applyAlignment="1">
      <alignment horizontal="right" vertical="center"/>
    </xf>
    <xf numFmtId="183" fontId="9" fillId="0" borderId="5" xfId="8" applyNumberFormat="1" applyFont="1" applyBorder="1" applyAlignment="1">
      <alignment vertical="center"/>
    </xf>
    <xf numFmtId="183" fontId="10" fillId="0" borderId="5" xfId="8" applyNumberFormat="1" applyFont="1" applyBorder="1" applyAlignment="1">
      <alignment vertical="center"/>
    </xf>
    <xf numFmtId="183" fontId="9" fillId="0" borderId="5" xfId="8" applyNumberFormat="1" applyFont="1" applyFill="1" applyBorder="1" applyAlignment="1">
      <alignment vertical="center"/>
    </xf>
    <xf numFmtId="0" fontId="9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/>
    </xf>
    <xf numFmtId="180" fontId="9" fillId="0" borderId="5" xfId="1" applyNumberFormat="1" applyFont="1" applyBorder="1" applyAlignment="1">
      <alignment vertical="center"/>
    </xf>
    <xf numFmtId="180" fontId="9" fillId="0" borderId="5" xfId="1" applyNumberFormat="1" applyFont="1" applyFill="1" applyBorder="1" applyAlignment="1">
      <alignment vertical="center"/>
    </xf>
    <xf numFmtId="185" fontId="21" fillId="0" borderId="0" xfId="4" applyNumberFormat="1" applyFont="1" applyAlignment="1">
      <alignment vertical="center"/>
    </xf>
    <xf numFmtId="0" fontId="6" fillId="0" borderId="0" xfId="0" applyFont="1" applyAlignment="1"/>
    <xf numFmtId="0" fontId="12" fillId="0" borderId="3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 shrinkToFit="1"/>
    </xf>
    <xf numFmtId="0" fontId="10" fillId="0" borderId="4" xfId="6" applyFont="1" applyBorder="1" applyAlignment="1">
      <alignment horizontal="left" vertical="center"/>
    </xf>
    <xf numFmtId="41" fontId="10" fillId="0" borderId="6" xfId="8" applyFont="1" applyBorder="1" applyAlignment="1">
      <alignment vertical="center"/>
    </xf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 shrinkToFit="1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 shrinkToFit="1"/>
    </xf>
    <xf numFmtId="0" fontId="12" fillId="0" borderId="1" xfId="3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8B43-0121-4DBE-89D0-861972A9B8E4}">
  <sheetPr>
    <pageSetUpPr fitToPage="1"/>
  </sheetPr>
  <dimension ref="A1:P665"/>
  <sheetViews>
    <sheetView tabSelected="1" zoomScaleNormal="100" workbookViewId="0">
      <selection activeCell="J26" sqref="J26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8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94"/>
      <c r="B1" s="12" t="s">
        <v>32</v>
      </c>
      <c r="C1" s="7"/>
      <c r="D1" s="1"/>
    </row>
    <row r="2" spans="1:15" ht="12.95" customHeight="1" x14ac:dyDescent="0.15">
      <c r="A2" s="95"/>
      <c r="B2" s="1" t="s">
        <v>95</v>
      </c>
    </row>
    <row r="3" spans="1:15" ht="12.95" customHeight="1" x14ac:dyDescent="0.3">
      <c r="B3" s="64" t="s">
        <v>38</v>
      </c>
      <c r="C3" s="65"/>
      <c r="D3" s="50"/>
      <c r="E3" s="66"/>
      <c r="F3" s="50"/>
      <c r="G3" s="50"/>
      <c r="H3" s="50"/>
      <c r="I3" s="47" t="s">
        <v>24</v>
      </c>
      <c r="J3" s="50"/>
      <c r="K3" s="50"/>
      <c r="L3" s="50"/>
      <c r="M3" s="50"/>
    </row>
    <row r="4" spans="1:15" ht="12.95" customHeight="1" x14ac:dyDescent="0.3">
      <c r="B4" s="107" t="s">
        <v>8</v>
      </c>
      <c r="C4" s="109" t="s">
        <v>21</v>
      </c>
      <c r="D4" s="123" t="s">
        <v>13</v>
      </c>
      <c r="E4" s="111" t="s">
        <v>9</v>
      </c>
      <c r="F4" s="113" t="s">
        <v>85</v>
      </c>
      <c r="G4" s="114"/>
      <c r="H4" s="113" t="s">
        <v>84</v>
      </c>
      <c r="I4" s="114"/>
      <c r="J4" s="51"/>
      <c r="K4" s="51"/>
      <c r="L4" s="51"/>
      <c r="M4" s="51"/>
    </row>
    <row r="5" spans="1:15" ht="12.95" customHeight="1" x14ac:dyDescent="0.3">
      <c r="B5" s="121"/>
      <c r="C5" s="122"/>
      <c r="D5" s="124"/>
      <c r="E5" s="118"/>
      <c r="F5" s="96" t="s">
        <v>83</v>
      </c>
      <c r="G5" s="97">
        <v>250</v>
      </c>
      <c r="H5" s="96" t="s">
        <v>83</v>
      </c>
      <c r="I5" s="97">
        <v>270</v>
      </c>
      <c r="J5" s="51"/>
      <c r="K5" s="51"/>
      <c r="L5" s="51"/>
      <c r="M5" s="51"/>
    </row>
    <row r="6" spans="1:15" ht="12.95" customHeight="1" x14ac:dyDescent="0.3">
      <c r="B6" s="108"/>
      <c r="C6" s="110"/>
      <c r="D6" s="125"/>
      <c r="E6" s="112"/>
      <c r="F6" s="75" t="s">
        <v>10</v>
      </c>
      <c r="G6" s="76" t="s">
        <v>11</v>
      </c>
      <c r="H6" s="75" t="s">
        <v>10</v>
      </c>
      <c r="I6" s="76" t="s">
        <v>11</v>
      </c>
      <c r="J6" s="51"/>
      <c r="K6" s="51"/>
      <c r="L6" s="51"/>
      <c r="M6" s="51"/>
    </row>
    <row r="7" spans="1:15" ht="12.95" customHeight="1" x14ac:dyDescent="0.3">
      <c r="B7" s="54" t="s">
        <v>3</v>
      </c>
      <c r="C7" s="54" t="s">
        <v>19</v>
      </c>
      <c r="D7" s="67" t="s">
        <v>22</v>
      </c>
      <c r="E7" s="77">
        <v>11755</v>
      </c>
      <c r="F7" s="71">
        <v>8</v>
      </c>
      <c r="G7" s="11">
        <f t="shared" ref="G7:G8" si="0">TRUNC($E7*F7,1)</f>
        <v>94040</v>
      </c>
      <c r="H7" s="71">
        <v>8</v>
      </c>
      <c r="I7" s="11">
        <f t="shared" ref="I7:I8" si="1">TRUNC($E7*H7,1)</f>
        <v>94040</v>
      </c>
      <c r="J7" s="51"/>
      <c r="K7" s="51"/>
      <c r="L7" s="51"/>
      <c r="M7" s="51"/>
    </row>
    <row r="8" spans="1:15" ht="12.95" customHeight="1" x14ac:dyDescent="0.3">
      <c r="B8" s="74" t="s">
        <v>92</v>
      </c>
      <c r="C8" s="54" t="s">
        <v>2</v>
      </c>
      <c r="D8" s="67" t="s">
        <v>22</v>
      </c>
      <c r="E8" s="78">
        <v>9107</v>
      </c>
      <c r="F8" s="71">
        <v>8</v>
      </c>
      <c r="G8" s="11">
        <f t="shared" si="0"/>
        <v>72856</v>
      </c>
      <c r="H8" s="71">
        <v>8</v>
      </c>
      <c r="I8" s="11">
        <f t="shared" si="1"/>
        <v>72856</v>
      </c>
      <c r="J8" s="51"/>
      <c r="K8" s="51"/>
      <c r="L8" s="51"/>
      <c r="M8" s="51"/>
    </row>
    <row r="9" spans="1:15" ht="12.95" customHeight="1" x14ac:dyDescent="0.3">
      <c r="B9" s="41" t="s">
        <v>15</v>
      </c>
      <c r="C9" s="62"/>
      <c r="D9" s="62"/>
      <c r="E9" s="70"/>
      <c r="F9" s="72"/>
      <c r="G9" s="68">
        <f>TRUNC(SUM(G7:G8))</f>
        <v>166896</v>
      </c>
      <c r="H9" s="72"/>
      <c r="I9" s="68">
        <f>TRUNC(SUM(I7:I8))</f>
        <v>166896</v>
      </c>
      <c r="J9" s="51"/>
      <c r="K9" s="51"/>
      <c r="L9" s="51"/>
      <c r="M9" s="51"/>
    </row>
    <row r="10" spans="1:15" ht="12.95" customHeight="1" x14ac:dyDescent="0.3">
      <c r="B10" s="61"/>
      <c r="C10" s="62"/>
      <c r="D10" s="62"/>
      <c r="E10" s="70"/>
      <c r="F10" s="72"/>
      <c r="G10" s="56"/>
      <c r="H10" s="72"/>
      <c r="I10" s="56"/>
      <c r="J10" s="51"/>
      <c r="K10" s="51"/>
      <c r="L10" s="51"/>
      <c r="M10" s="51"/>
    </row>
    <row r="11" spans="1:15" ht="12.95" customHeight="1" x14ac:dyDescent="0.3">
      <c r="B11" s="23" t="s">
        <v>33</v>
      </c>
      <c r="C11" s="14"/>
      <c r="D11" s="6" t="s">
        <v>14</v>
      </c>
      <c r="E11" s="79">
        <v>218933</v>
      </c>
      <c r="F11" s="71">
        <v>16</v>
      </c>
      <c r="G11" s="11">
        <f t="shared" ref="G11:G15" si="2">TRUNC($E11*F11,1)</f>
        <v>3502928</v>
      </c>
      <c r="H11" s="71">
        <v>16</v>
      </c>
      <c r="I11" s="11">
        <f t="shared" ref="I11:I15" si="3">TRUNC($E11*H11,1)</f>
        <v>3502928</v>
      </c>
      <c r="J11" s="51"/>
      <c r="K11" s="51"/>
      <c r="L11" s="51"/>
      <c r="M11" s="51"/>
    </row>
    <row r="12" spans="1:15" ht="12.95" customHeight="1" x14ac:dyDescent="0.3">
      <c r="B12" s="23" t="s">
        <v>0</v>
      </c>
      <c r="C12" s="14"/>
      <c r="D12" s="6" t="s">
        <v>14</v>
      </c>
      <c r="E12" s="78">
        <v>172068</v>
      </c>
      <c r="F12" s="71">
        <v>4</v>
      </c>
      <c r="G12" s="11">
        <f t="shared" si="2"/>
        <v>688272</v>
      </c>
      <c r="H12" s="71">
        <v>4</v>
      </c>
      <c r="I12" s="11">
        <f t="shared" si="3"/>
        <v>688272</v>
      </c>
      <c r="J12" s="51"/>
      <c r="K12" s="51"/>
      <c r="L12" s="51"/>
      <c r="M12" s="51"/>
    </row>
    <row r="13" spans="1:15" ht="12.95" customHeight="1" x14ac:dyDescent="0.3">
      <c r="B13" s="54" t="s">
        <v>34</v>
      </c>
      <c r="C13" s="54"/>
      <c r="D13" s="6" t="s">
        <v>14</v>
      </c>
      <c r="E13" s="78">
        <v>251596</v>
      </c>
      <c r="F13" s="71">
        <v>1</v>
      </c>
      <c r="G13" s="11">
        <f t="shared" si="2"/>
        <v>251596</v>
      </c>
      <c r="H13" s="71">
        <v>1</v>
      </c>
      <c r="I13" s="11">
        <f t="shared" si="3"/>
        <v>251596</v>
      </c>
      <c r="J13" s="51"/>
      <c r="K13" s="51"/>
      <c r="L13" s="51"/>
      <c r="M13" s="51"/>
      <c r="O13" s="51"/>
    </row>
    <row r="14" spans="1:15" ht="12.95" customHeight="1" x14ac:dyDescent="0.3">
      <c r="B14" s="74" t="s">
        <v>3</v>
      </c>
      <c r="C14" s="54" t="s">
        <v>19</v>
      </c>
      <c r="D14" s="67" t="s">
        <v>22</v>
      </c>
      <c r="E14" s="78">
        <v>58925</v>
      </c>
      <c r="F14" s="71">
        <v>8</v>
      </c>
      <c r="G14" s="11">
        <f t="shared" si="2"/>
        <v>471400</v>
      </c>
      <c r="H14" s="71">
        <v>8</v>
      </c>
      <c r="I14" s="11">
        <f t="shared" si="3"/>
        <v>471400</v>
      </c>
      <c r="J14" s="51"/>
      <c r="K14" s="51"/>
      <c r="L14" s="51"/>
      <c r="M14" s="51"/>
      <c r="N14" s="51"/>
      <c r="O14" s="51"/>
    </row>
    <row r="15" spans="1:15" ht="12.95" customHeight="1" x14ac:dyDescent="0.3">
      <c r="B15" s="74" t="s">
        <v>92</v>
      </c>
      <c r="C15" s="54" t="s">
        <v>2</v>
      </c>
      <c r="D15" s="67" t="s">
        <v>22</v>
      </c>
      <c r="E15" s="78">
        <v>58925</v>
      </c>
      <c r="F15" s="71">
        <v>8</v>
      </c>
      <c r="G15" s="11">
        <f t="shared" si="2"/>
        <v>471400</v>
      </c>
      <c r="H15" s="71">
        <v>8</v>
      </c>
      <c r="I15" s="11">
        <f t="shared" si="3"/>
        <v>471400</v>
      </c>
      <c r="J15" s="51"/>
      <c r="K15" s="51"/>
      <c r="L15" s="51"/>
      <c r="M15" s="51"/>
      <c r="N15" s="51"/>
      <c r="O15" s="51"/>
    </row>
    <row r="16" spans="1:15" ht="12.95" customHeight="1" x14ac:dyDescent="0.3">
      <c r="B16" s="36" t="s">
        <v>16</v>
      </c>
      <c r="C16" s="62"/>
      <c r="D16" s="62"/>
      <c r="E16" s="70"/>
      <c r="F16" s="72"/>
      <c r="G16" s="68">
        <f>TRUNC(SUM(G11:G15))</f>
        <v>5385596</v>
      </c>
      <c r="H16" s="72"/>
      <c r="I16" s="68">
        <f>TRUNC(SUM(I11:I15))</f>
        <v>5385596</v>
      </c>
      <c r="J16" s="51"/>
      <c r="K16" s="51"/>
      <c r="L16" s="51"/>
      <c r="M16" s="51"/>
      <c r="N16" s="51"/>
      <c r="O16" s="51"/>
    </row>
    <row r="17" spans="2:15" ht="12.95" customHeight="1" x14ac:dyDescent="0.3">
      <c r="B17" s="61"/>
      <c r="C17" s="62"/>
      <c r="D17" s="62"/>
      <c r="E17" s="70"/>
      <c r="F17" s="72"/>
      <c r="G17" s="56"/>
      <c r="H17" s="72"/>
      <c r="I17" s="56"/>
      <c r="J17" s="51"/>
      <c r="K17" s="51"/>
      <c r="L17" s="51"/>
      <c r="M17" s="51"/>
      <c r="N17" s="51"/>
      <c r="O17" s="51"/>
    </row>
    <row r="18" spans="2:15" ht="12.95" customHeight="1" x14ac:dyDescent="0.3">
      <c r="B18" s="54" t="s">
        <v>3</v>
      </c>
      <c r="C18" s="54" t="s">
        <v>19</v>
      </c>
      <c r="D18" s="67" t="s">
        <v>22</v>
      </c>
      <c r="E18" s="78">
        <v>7157</v>
      </c>
      <c r="F18" s="73">
        <v>8</v>
      </c>
      <c r="G18" s="11">
        <f t="shared" ref="G18:G20" si="4">TRUNC($E18*F18,1)</f>
        <v>57256</v>
      </c>
      <c r="H18" s="73">
        <v>8</v>
      </c>
      <c r="I18" s="11">
        <f t="shared" ref="I18:I20" si="5">TRUNC($E18*H18,1)</f>
        <v>57256</v>
      </c>
      <c r="J18" s="51"/>
      <c r="K18" s="51"/>
      <c r="L18" s="51"/>
      <c r="M18" s="51"/>
      <c r="N18" s="51"/>
      <c r="O18" s="51"/>
    </row>
    <row r="19" spans="2:15" ht="12.95" customHeight="1" x14ac:dyDescent="0.3">
      <c r="B19" s="74" t="s">
        <v>92</v>
      </c>
      <c r="C19" s="54" t="s">
        <v>2</v>
      </c>
      <c r="D19" s="67" t="s">
        <v>22</v>
      </c>
      <c r="E19" s="78">
        <v>13873</v>
      </c>
      <c r="F19" s="73">
        <v>8</v>
      </c>
      <c r="G19" s="11">
        <f t="shared" si="4"/>
        <v>110984</v>
      </c>
      <c r="H19" s="73">
        <v>8</v>
      </c>
      <c r="I19" s="11">
        <f t="shared" si="5"/>
        <v>110984</v>
      </c>
      <c r="J19" s="51"/>
      <c r="K19" s="51"/>
      <c r="L19" s="51"/>
      <c r="M19" s="51"/>
      <c r="N19" s="51"/>
      <c r="O19" s="51"/>
    </row>
    <row r="20" spans="2:15" ht="12.95" customHeight="1" x14ac:dyDescent="0.3">
      <c r="B20" s="54" t="s">
        <v>4</v>
      </c>
      <c r="C20" s="54" t="s">
        <v>2</v>
      </c>
      <c r="D20" s="67" t="s">
        <v>22</v>
      </c>
      <c r="E20" s="78">
        <v>3593</v>
      </c>
      <c r="F20" s="73">
        <v>8</v>
      </c>
      <c r="G20" s="11">
        <f t="shared" si="4"/>
        <v>28744</v>
      </c>
      <c r="H20" s="73">
        <v>8</v>
      </c>
      <c r="I20" s="11">
        <f t="shared" si="5"/>
        <v>28744</v>
      </c>
      <c r="J20" s="51"/>
      <c r="K20" s="51"/>
      <c r="L20" s="51"/>
      <c r="M20" s="51"/>
      <c r="N20" s="51"/>
      <c r="O20" s="51"/>
    </row>
    <row r="21" spans="2:15" ht="12.95" customHeight="1" x14ac:dyDescent="0.3">
      <c r="B21" s="41" t="s">
        <v>17</v>
      </c>
      <c r="C21" s="62"/>
      <c r="D21" s="62"/>
      <c r="E21" s="55"/>
      <c r="F21" s="57"/>
      <c r="G21" s="69">
        <f>TRUNC(SUM(G18:G20))</f>
        <v>196984</v>
      </c>
      <c r="H21" s="57"/>
      <c r="I21" s="69">
        <f>TRUNC(SUM(I18:I20))</f>
        <v>196984</v>
      </c>
      <c r="J21" s="51"/>
      <c r="K21" s="51"/>
      <c r="L21" s="51"/>
      <c r="M21" s="51"/>
      <c r="N21" s="51"/>
      <c r="O21" s="51"/>
    </row>
    <row r="22" spans="2:15" ht="12.95" customHeight="1" x14ac:dyDescent="0.3">
      <c r="B22" s="20"/>
      <c r="C22" s="54"/>
      <c r="D22" s="54"/>
      <c r="E22" s="58"/>
      <c r="F22" s="52"/>
      <c r="G22" s="53"/>
      <c r="H22" s="52"/>
      <c r="I22" s="53"/>
      <c r="J22" s="51"/>
      <c r="K22" s="51"/>
      <c r="L22" s="51"/>
      <c r="M22" s="51"/>
      <c r="N22" s="51"/>
      <c r="O22" s="51"/>
    </row>
    <row r="23" spans="2:15" ht="12.95" customHeight="1" x14ac:dyDescent="0.3">
      <c r="B23" s="98" t="s">
        <v>18</v>
      </c>
      <c r="C23" s="62"/>
      <c r="D23" s="62"/>
      <c r="E23" s="55"/>
      <c r="F23" s="55"/>
      <c r="G23" s="99">
        <f>SUM(G9+G16+G21)</f>
        <v>5749476</v>
      </c>
      <c r="H23" s="55"/>
      <c r="I23" s="99">
        <f>SUM(I9+I16+I21)</f>
        <v>5749476</v>
      </c>
      <c r="J23" s="51"/>
      <c r="K23" s="51"/>
      <c r="L23" s="51"/>
      <c r="M23" s="51"/>
      <c r="N23" s="51"/>
      <c r="O23" s="51"/>
    </row>
    <row r="24" spans="2:15" ht="12.95" customHeight="1" x14ac:dyDescent="0.3">
      <c r="B24" s="21" t="s">
        <v>82</v>
      </c>
      <c r="C24" s="63"/>
      <c r="D24" s="63"/>
      <c r="E24" s="59"/>
      <c r="F24" s="59"/>
      <c r="G24" s="60">
        <f>TRUNC(G23/G5)</f>
        <v>22997</v>
      </c>
      <c r="H24" s="59"/>
      <c r="I24" s="60">
        <f>TRUNC(I23/I5)</f>
        <v>21294</v>
      </c>
      <c r="J24" s="51"/>
      <c r="K24" s="51"/>
      <c r="L24" s="51"/>
      <c r="M24" s="51"/>
    </row>
    <row r="25" spans="2:15" ht="12.95" customHeight="1" x14ac:dyDescent="0.3">
      <c r="B25" s="32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</row>
    <row r="26" spans="2:15" ht="12.95" customHeight="1" x14ac:dyDescent="0.3">
      <c r="B26" s="64" t="s">
        <v>96</v>
      </c>
      <c r="C26" s="65"/>
      <c r="D26" s="50"/>
      <c r="E26" s="66"/>
      <c r="F26" s="50"/>
      <c r="G26" s="47" t="s">
        <v>24</v>
      </c>
      <c r="H26" s="50"/>
      <c r="I26" s="50"/>
      <c r="J26" s="50"/>
      <c r="K26" s="51"/>
      <c r="L26" s="51"/>
    </row>
    <row r="27" spans="2:15" ht="12.95" customHeight="1" x14ac:dyDescent="0.3">
      <c r="B27" s="107" t="s">
        <v>8</v>
      </c>
      <c r="C27" s="109" t="s">
        <v>21</v>
      </c>
      <c r="D27" s="104" t="s">
        <v>13</v>
      </c>
      <c r="E27" s="111" t="s">
        <v>9</v>
      </c>
      <c r="F27" s="96" t="s">
        <v>83</v>
      </c>
      <c r="G27" s="97">
        <v>250</v>
      </c>
      <c r="H27" s="51"/>
      <c r="I27" s="51"/>
      <c r="J27" s="51"/>
      <c r="K27" s="51"/>
      <c r="L27" s="51"/>
    </row>
    <row r="28" spans="2:15" ht="12.95" customHeight="1" x14ac:dyDescent="0.3">
      <c r="B28" s="108"/>
      <c r="C28" s="110"/>
      <c r="D28" s="104"/>
      <c r="E28" s="112"/>
      <c r="F28" s="75" t="s">
        <v>10</v>
      </c>
      <c r="G28" s="76" t="s">
        <v>11</v>
      </c>
      <c r="H28" s="51"/>
      <c r="I28" s="51"/>
      <c r="J28" s="51"/>
      <c r="K28" s="51"/>
      <c r="L28" s="51"/>
    </row>
    <row r="29" spans="2:15" ht="12.95" customHeight="1" x14ac:dyDescent="0.3">
      <c r="B29" s="54" t="s">
        <v>6</v>
      </c>
      <c r="C29" s="54" t="s">
        <v>7</v>
      </c>
      <c r="D29" s="67" t="s">
        <v>22</v>
      </c>
      <c r="E29" s="77">
        <v>2794</v>
      </c>
      <c r="F29" s="71">
        <v>8</v>
      </c>
      <c r="G29" s="11">
        <f t="shared" ref="G29" si="6">TRUNC($E29*F29,1)</f>
        <v>22352</v>
      </c>
      <c r="H29" s="51"/>
      <c r="I29" s="51"/>
      <c r="J29" s="51"/>
      <c r="K29" s="51"/>
      <c r="L29" s="51"/>
    </row>
    <row r="30" spans="2:15" ht="12.95" customHeight="1" x14ac:dyDescent="0.3">
      <c r="B30" s="41" t="s">
        <v>15</v>
      </c>
      <c r="C30" s="62"/>
      <c r="D30" s="62"/>
      <c r="E30" s="70"/>
      <c r="F30" s="72"/>
      <c r="G30" s="68">
        <f>TRUNC(SUM(G29:G29))</f>
        <v>22352</v>
      </c>
      <c r="H30" s="51"/>
      <c r="I30" s="51"/>
      <c r="J30" s="51"/>
      <c r="K30" s="51"/>
      <c r="L30" s="51"/>
    </row>
    <row r="31" spans="2:15" ht="12.95" customHeight="1" x14ac:dyDescent="0.3">
      <c r="B31" s="61"/>
      <c r="C31" s="62"/>
      <c r="D31" s="62"/>
      <c r="E31" s="70"/>
      <c r="F31" s="72"/>
      <c r="G31" s="56"/>
      <c r="H31" s="51"/>
      <c r="I31" s="51"/>
      <c r="J31" s="51"/>
      <c r="K31" s="51"/>
      <c r="L31" s="51"/>
    </row>
    <row r="32" spans="2:15" ht="12.95" customHeight="1" x14ac:dyDescent="0.3">
      <c r="B32" s="23" t="s">
        <v>33</v>
      </c>
      <c r="C32" s="14"/>
      <c r="D32" s="6" t="s">
        <v>14</v>
      </c>
      <c r="E32" s="79">
        <v>218933</v>
      </c>
      <c r="F32" s="71">
        <v>4</v>
      </c>
      <c r="G32" s="11">
        <f t="shared" ref="G32:G35" si="7">TRUNC($E32*F32,1)</f>
        <v>875732</v>
      </c>
      <c r="H32" s="51"/>
      <c r="I32" s="51"/>
      <c r="J32" s="51"/>
      <c r="K32" s="51"/>
      <c r="L32" s="51"/>
    </row>
    <row r="33" spans="2:13" ht="12.95" customHeight="1" x14ac:dyDescent="0.3">
      <c r="B33" s="23" t="s">
        <v>0</v>
      </c>
      <c r="C33" s="14"/>
      <c r="D33" s="6" t="s">
        <v>14</v>
      </c>
      <c r="E33" s="78">
        <v>172068</v>
      </c>
      <c r="F33" s="71">
        <v>2</v>
      </c>
      <c r="G33" s="11">
        <f t="shared" si="7"/>
        <v>344136</v>
      </c>
      <c r="H33" s="51"/>
      <c r="I33" s="51"/>
      <c r="J33" s="51"/>
      <c r="K33" s="51"/>
      <c r="L33" s="51"/>
    </row>
    <row r="34" spans="2:13" ht="12.95" customHeight="1" x14ac:dyDescent="0.3">
      <c r="B34" s="54" t="s">
        <v>34</v>
      </c>
      <c r="C34" s="54"/>
      <c r="D34" s="6" t="s">
        <v>14</v>
      </c>
      <c r="E34" s="78">
        <v>251596</v>
      </c>
      <c r="F34" s="71">
        <v>1</v>
      </c>
      <c r="G34" s="11">
        <f t="shared" si="7"/>
        <v>251596</v>
      </c>
      <c r="H34" s="51"/>
      <c r="I34" s="51"/>
      <c r="J34" s="51"/>
      <c r="K34" s="51"/>
      <c r="L34" s="51"/>
    </row>
    <row r="35" spans="2:13" ht="12.95" customHeight="1" x14ac:dyDescent="0.3">
      <c r="B35" s="54" t="s">
        <v>6</v>
      </c>
      <c r="C35" s="54" t="s">
        <v>7</v>
      </c>
      <c r="D35" s="67" t="s">
        <v>22</v>
      </c>
      <c r="E35" s="78">
        <v>36190</v>
      </c>
      <c r="F35" s="71">
        <v>8</v>
      </c>
      <c r="G35" s="11">
        <f t="shared" si="7"/>
        <v>289520</v>
      </c>
      <c r="H35" s="51"/>
      <c r="I35" s="51"/>
      <c r="J35" s="51"/>
      <c r="K35" s="51"/>
    </row>
    <row r="36" spans="2:13" ht="12.95" customHeight="1" x14ac:dyDescent="0.3">
      <c r="B36" s="36" t="s">
        <v>16</v>
      </c>
      <c r="C36" s="62"/>
      <c r="D36" s="62"/>
      <c r="E36" s="70"/>
      <c r="F36" s="72"/>
      <c r="G36" s="68">
        <f>TRUNC(SUM(G32:G35))</f>
        <v>1760984</v>
      </c>
      <c r="H36" s="51"/>
      <c r="I36" s="51"/>
      <c r="J36" s="51"/>
    </row>
    <row r="37" spans="2:13" ht="12.95" customHeight="1" x14ac:dyDescent="0.3">
      <c r="B37" s="61"/>
      <c r="C37" s="62"/>
      <c r="D37" s="62"/>
      <c r="E37" s="70"/>
      <c r="F37" s="72"/>
      <c r="G37" s="56"/>
      <c r="H37" s="51"/>
      <c r="I37" s="51"/>
      <c r="J37" s="51"/>
    </row>
    <row r="38" spans="2:13" ht="12.95" customHeight="1" x14ac:dyDescent="0.3">
      <c r="B38" s="54" t="s">
        <v>6</v>
      </c>
      <c r="C38" s="54" t="s">
        <v>7</v>
      </c>
      <c r="D38" s="67" t="s">
        <v>22</v>
      </c>
      <c r="E38" s="78">
        <v>9245</v>
      </c>
      <c r="F38" s="73">
        <v>8</v>
      </c>
      <c r="G38" s="11">
        <f t="shared" ref="G38" si="8">TRUNC($E38*F38,1)</f>
        <v>73960</v>
      </c>
      <c r="H38" s="51"/>
      <c r="I38" s="51"/>
      <c r="J38" s="51"/>
    </row>
    <row r="39" spans="2:13" ht="12.95" customHeight="1" x14ac:dyDescent="0.3">
      <c r="B39" s="41" t="s">
        <v>17</v>
      </c>
      <c r="C39" s="62"/>
      <c r="D39" s="62"/>
      <c r="E39" s="55"/>
      <c r="F39" s="57"/>
      <c r="G39" s="69">
        <f>TRUNC(SUM(G38:G38))</f>
        <v>73960</v>
      </c>
      <c r="H39" s="51"/>
      <c r="I39" s="51"/>
      <c r="J39" s="51"/>
    </row>
    <row r="40" spans="2:13" ht="12.95" customHeight="1" x14ac:dyDescent="0.3">
      <c r="B40" s="20"/>
      <c r="C40" s="54"/>
      <c r="D40" s="54"/>
      <c r="E40" s="58"/>
      <c r="F40" s="52"/>
      <c r="G40" s="53"/>
      <c r="H40" s="51"/>
      <c r="I40" s="51"/>
      <c r="J40" s="51"/>
    </row>
    <row r="41" spans="2:13" ht="12.95" customHeight="1" x14ac:dyDescent="0.3">
      <c r="B41" s="98" t="s">
        <v>18</v>
      </c>
      <c r="C41" s="62"/>
      <c r="D41" s="62"/>
      <c r="E41" s="55"/>
      <c r="F41" s="55"/>
      <c r="G41" s="99">
        <f>SUM(G30+G36+G39)</f>
        <v>1857296</v>
      </c>
      <c r="H41" s="51"/>
      <c r="I41" s="51"/>
      <c r="J41" s="51"/>
    </row>
    <row r="42" spans="2:13" ht="12.95" customHeight="1" x14ac:dyDescent="0.3">
      <c r="B42" s="21" t="s">
        <v>82</v>
      </c>
      <c r="C42" s="63"/>
      <c r="D42" s="63"/>
      <c r="E42" s="59"/>
      <c r="F42" s="59"/>
      <c r="G42" s="60">
        <f>TRUNC(G41/G27)</f>
        <v>7429</v>
      </c>
      <c r="H42" s="51"/>
      <c r="I42" s="51"/>
      <c r="J42" s="51"/>
      <c r="K42" s="51"/>
      <c r="L42" s="51"/>
      <c r="M42" s="51"/>
    </row>
    <row r="43" spans="2:13" ht="12.95" customHeight="1" x14ac:dyDescent="0.3">
      <c r="B43" s="32"/>
      <c r="C43" s="51"/>
      <c r="D43" s="51"/>
      <c r="E43" s="51"/>
      <c r="F43" s="51"/>
      <c r="G43" s="51"/>
      <c r="H43" s="51"/>
      <c r="I43" s="51"/>
      <c r="J43" s="51"/>
    </row>
    <row r="44" spans="2:13" ht="12.95" customHeight="1" x14ac:dyDescent="0.3">
      <c r="B44" s="64" t="s">
        <v>98</v>
      </c>
      <c r="C44" s="65"/>
      <c r="D44" s="50"/>
      <c r="E44" s="66"/>
      <c r="F44" s="50"/>
      <c r="G44" s="47" t="s">
        <v>24</v>
      </c>
      <c r="H44" s="50"/>
      <c r="I44" s="50"/>
    </row>
    <row r="45" spans="2:13" ht="12.95" customHeight="1" x14ac:dyDescent="0.3">
      <c r="B45" s="107" t="s">
        <v>8</v>
      </c>
      <c r="C45" s="109" t="s">
        <v>21</v>
      </c>
      <c r="D45" s="104" t="s">
        <v>13</v>
      </c>
      <c r="E45" s="111" t="s">
        <v>9</v>
      </c>
      <c r="F45" s="96" t="s">
        <v>87</v>
      </c>
      <c r="G45" s="97">
        <v>240</v>
      </c>
      <c r="H45" s="51"/>
      <c r="I45" s="51"/>
    </row>
    <row r="46" spans="2:13" ht="12.95" customHeight="1" x14ac:dyDescent="0.3">
      <c r="B46" s="108"/>
      <c r="C46" s="110"/>
      <c r="D46" s="104"/>
      <c r="E46" s="112"/>
      <c r="F46" s="75" t="s">
        <v>10</v>
      </c>
      <c r="G46" s="76" t="s">
        <v>11</v>
      </c>
      <c r="H46" s="51"/>
      <c r="I46" s="51"/>
    </row>
    <row r="47" spans="2:13" ht="12.95" customHeight="1" x14ac:dyDescent="0.3">
      <c r="B47" s="23" t="s">
        <v>33</v>
      </c>
      <c r="C47" s="14"/>
      <c r="D47" s="6" t="s">
        <v>14</v>
      </c>
      <c r="E47" s="79">
        <v>218933</v>
      </c>
      <c r="F47" s="71">
        <v>1</v>
      </c>
      <c r="G47" s="11">
        <f t="shared" ref="G47:G48" si="9">TRUNC($E47*F47,1)</f>
        <v>218933</v>
      </c>
      <c r="H47" s="51"/>
      <c r="I47" s="51"/>
    </row>
    <row r="48" spans="2:13" ht="12.95" customHeight="1" x14ac:dyDescent="0.3">
      <c r="B48" s="23" t="s">
        <v>0</v>
      </c>
      <c r="C48" s="14"/>
      <c r="D48" s="6" t="s">
        <v>14</v>
      </c>
      <c r="E48" s="78">
        <v>172068</v>
      </c>
      <c r="F48" s="71">
        <v>1</v>
      </c>
      <c r="G48" s="11">
        <f t="shared" si="9"/>
        <v>172068</v>
      </c>
      <c r="H48" s="51"/>
      <c r="I48" s="51"/>
    </row>
    <row r="49" spans="2:13" ht="12.95" customHeight="1" x14ac:dyDescent="0.3">
      <c r="B49" s="36" t="s">
        <v>16</v>
      </c>
      <c r="C49" s="62"/>
      <c r="D49" s="62"/>
      <c r="E49" s="70"/>
      <c r="F49" s="72"/>
      <c r="G49" s="68">
        <f>TRUNC(SUM(G47:G48))</f>
        <v>391001</v>
      </c>
      <c r="H49" s="51"/>
      <c r="I49" s="51"/>
    </row>
    <row r="50" spans="2:13" ht="12.95" customHeight="1" x14ac:dyDescent="0.3">
      <c r="B50" s="61"/>
      <c r="C50" s="62"/>
      <c r="D50" s="62"/>
      <c r="E50" s="70"/>
      <c r="F50" s="72"/>
      <c r="G50" s="56"/>
      <c r="H50" s="51"/>
      <c r="I50" s="51"/>
    </row>
    <row r="51" spans="2:13" ht="12.95" customHeight="1" x14ac:dyDescent="0.3">
      <c r="B51" s="54" t="s">
        <v>35</v>
      </c>
      <c r="C51" s="54"/>
      <c r="D51" s="67" t="s">
        <v>22</v>
      </c>
      <c r="E51" s="78">
        <v>0</v>
      </c>
      <c r="F51" s="73">
        <v>8</v>
      </c>
      <c r="G51" s="11">
        <f t="shared" ref="G51:G52" si="10">TRUNC($E51*F51,1)</f>
        <v>0</v>
      </c>
      <c r="H51" s="51"/>
      <c r="I51" s="51"/>
    </row>
    <row r="52" spans="2:13" ht="12.95" customHeight="1" x14ac:dyDescent="0.3">
      <c r="B52" s="74" t="s">
        <v>36</v>
      </c>
      <c r="C52" s="54" t="s">
        <v>37</v>
      </c>
      <c r="D52" s="67" t="s">
        <v>22</v>
      </c>
      <c r="E52" s="78">
        <v>0</v>
      </c>
      <c r="F52" s="73">
        <v>8</v>
      </c>
      <c r="G52" s="11">
        <f t="shared" si="10"/>
        <v>0</v>
      </c>
      <c r="H52" s="51"/>
      <c r="I52" s="51"/>
    </row>
    <row r="53" spans="2:13" ht="12.95" customHeight="1" x14ac:dyDescent="0.3">
      <c r="B53" s="41" t="s">
        <v>17</v>
      </c>
      <c r="C53" s="62"/>
      <c r="D53" s="62"/>
      <c r="E53" s="55"/>
      <c r="F53" s="57"/>
      <c r="G53" s="69">
        <f>TRUNC(SUM(G51:G52))</f>
        <v>0</v>
      </c>
      <c r="H53" s="51"/>
      <c r="I53" s="51"/>
    </row>
    <row r="54" spans="2:13" ht="12.95" customHeight="1" x14ac:dyDescent="0.3">
      <c r="B54" s="20"/>
      <c r="C54" s="54"/>
      <c r="D54" s="54"/>
      <c r="E54" s="58"/>
      <c r="F54" s="52"/>
      <c r="G54" s="53"/>
      <c r="H54" s="51"/>
      <c r="I54" s="51"/>
    </row>
    <row r="55" spans="2:13" ht="12.95" customHeight="1" x14ac:dyDescent="0.3">
      <c r="B55" s="98" t="s">
        <v>18</v>
      </c>
      <c r="C55" s="62"/>
      <c r="D55" s="62"/>
      <c r="E55" s="55"/>
      <c r="F55" s="55"/>
      <c r="G55" s="99">
        <f>SUM(G49+G53)</f>
        <v>391001</v>
      </c>
      <c r="H55" s="51"/>
      <c r="I55" s="51"/>
    </row>
    <row r="56" spans="2:13" ht="12.95" customHeight="1" x14ac:dyDescent="0.3">
      <c r="B56" s="21" t="s">
        <v>86</v>
      </c>
      <c r="C56" s="63"/>
      <c r="D56" s="63"/>
      <c r="E56" s="59"/>
      <c r="F56" s="59"/>
      <c r="G56" s="60">
        <f>TRUNC(G55/G45)</f>
        <v>1629</v>
      </c>
      <c r="H56" s="51"/>
      <c r="I56" s="51"/>
      <c r="J56" s="51"/>
      <c r="K56" s="51"/>
      <c r="L56" s="51"/>
      <c r="M56" s="51"/>
    </row>
    <row r="57" spans="2:13" ht="12.95" customHeight="1" x14ac:dyDescent="0.3">
      <c r="B57" s="32"/>
      <c r="C57" s="51"/>
      <c r="D57" s="51"/>
      <c r="E57" s="51"/>
      <c r="F57" s="51"/>
      <c r="G57" s="51"/>
      <c r="H57" s="51"/>
      <c r="I57" s="51"/>
    </row>
    <row r="58" spans="2:13" ht="12.95" customHeight="1" x14ac:dyDescent="0.3">
      <c r="B58" s="64" t="s">
        <v>97</v>
      </c>
      <c r="C58" s="65"/>
      <c r="D58" s="50"/>
      <c r="E58" s="66"/>
      <c r="F58" s="50"/>
      <c r="G58" s="47" t="s">
        <v>24</v>
      </c>
      <c r="H58" s="50"/>
      <c r="I58" s="50"/>
    </row>
    <row r="59" spans="2:13" ht="12.95" customHeight="1" x14ac:dyDescent="0.3">
      <c r="B59" s="107" t="s">
        <v>8</v>
      </c>
      <c r="C59" s="109" t="s">
        <v>21</v>
      </c>
      <c r="D59" s="104" t="s">
        <v>13</v>
      </c>
      <c r="E59" s="111" t="s">
        <v>9</v>
      </c>
      <c r="F59" s="96" t="s">
        <v>87</v>
      </c>
      <c r="G59" s="97">
        <v>240</v>
      </c>
      <c r="H59" s="51"/>
      <c r="I59" s="51"/>
    </row>
    <row r="60" spans="2:13" ht="12.95" customHeight="1" x14ac:dyDescent="0.3">
      <c r="B60" s="108"/>
      <c r="C60" s="110"/>
      <c r="D60" s="104"/>
      <c r="E60" s="112"/>
      <c r="F60" s="75" t="s">
        <v>10</v>
      </c>
      <c r="G60" s="76" t="s">
        <v>11</v>
      </c>
      <c r="H60" s="51"/>
      <c r="I60" s="51"/>
    </row>
    <row r="61" spans="2:13" ht="12.95" customHeight="1" x14ac:dyDescent="0.3">
      <c r="B61" s="74" t="s">
        <v>92</v>
      </c>
      <c r="C61" s="54" t="s">
        <v>2</v>
      </c>
      <c r="D61" s="67" t="s">
        <v>22</v>
      </c>
      <c r="E61" s="78">
        <v>9107</v>
      </c>
      <c r="F61" s="71">
        <v>8</v>
      </c>
      <c r="G61" s="11">
        <f t="shared" ref="G61" si="11">TRUNC($E61*F61,1)</f>
        <v>72856</v>
      </c>
      <c r="H61" s="51"/>
      <c r="I61" s="51"/>
    </row>
    <row r="62" spans="2:13" ht="12.95" customHeight="1" x14ac:dyDescent="0.3">
      <c r="B62" s="41" t="s">
        <v>15</v>
      </c>
      <c r="C62" s="62"/>
      <c r="D62" s="62"/>
      <c r="E62" s="70"/>
      <c r="F62" s="72"/>
      <c r="G62" s="68">
        <f>TRUNC(SUM(G61:G61))</f>
        <v>72856</v>
      </c>
      <c r="H62" s="51"/>
      <c r="I62" s="51"/>
    </row>
    <row r="63" spans="2:13" ht="12.95" customHeight="1" x14ac:dyDescent="0.3">
      <c r="B63" s="61"/>
      <c r="C63" s="62"/>
      <c r="D63" s="62"/>
      <c r="E63" s="70"/>
      <c r="F63" s="72"/>
      <c r="G63" s="56"/>
      <c r="H63" s="51"/>
      <c r="I63" s="51"/>
    </row>
    <row r="64" spans="2:13" ht="12.95" customHeight="1" x14ac:dyDescent="0.3">
      <c r="B64" s="23" t="s">
        <v>33</v>
      </c>
      <c r="C64" s="14"/>
      <c r="D64" s="6" t="s">
        <v>14</v>
      </c>
      <c r="E64" s="79">
        <v>218933</v>
      </c>
      <c r="F64" s="71">
        <v>1</v>
      </c>
      <c r="G64" s="11">
        <f t="shared" ref="G64:G66" si="12">TRUNC($E64*F64,1)</f>
        <v>218933</v>
      </c>
      <c r="H64" s="51"/>
      <c r="I64" s="51"/>
    </row>
    <row r="65" spans="2:13" ht="12.95" customHeight="1" x14ac:dyDescent="0.3">
      <c r="B65" s="23" t="s">
        <v>0</v>
      </c>
      <c r="C65" s="14"/>
      <c r="D65" s="6" t="s">
        <v>14</v>
      </c>
      <c r="E65" s="78">
        <v>172068</v>
      </c>
      <c r="F65" s="71">
        <v>1</v>
      </c>
      <c r="G65" s="11">
        <f t="shared" si="12"/>
        <v>172068</v>
      </c>
      <c r="H65" s="51"/>
      <c r="I65" s="51"/>
    </row>
    <row r="66" spans="2:13" ht="12.95" customHeight="1" x14ac:dyDescent="0.3">
      <c r="B66" s="74" t="s">
        <v>92</v>
      </c>
      <c r="C66" s="54" t="s">
        <v>2</v>
      </c>
      <c r="D66" s="67" t="s">
        <v>22</v>
      </c>
      <c r="E66" s="78">
        <v>58925</v>
      </c>
      <c r="F66" s="71">
        <v>8</v>
      </c>
      <c r="G66" s="11">
        <f t="shared" si="12"/>
        <v>471400</v>
      </c>
      <c r="H66" s="51"/>
      <c r="I66" s="51"/>
    </row>
    <row r="67" spans="2:13" ht="12.95" customHeight="1" x14ac:dyDescent="0.3">
      <c r="B67" s="36" t="s">
        <v>16</v>
      </c>
      <c r="C67" s="62"/>
      <c r="D67" s="62"/>
      <c r="E67" s="70"/>
      <c r="F67" s="72"/>
      <c r="G67" s="68">
        <f>TRUNC(SUM(G64:G66))</f>
        <v>862401</v>
      </c>
      <c r="H67" s="51"/>
      <c r="I67" s="51"/>
    </row>
    <row r="68" spans="2:13" ht="12.95" customHeight="1" x14ac:dyDescent="0.3">
      <c r="B68" s="61"/>
      <c r="C68" s="62"/>
      <c r="D68" s="62"/>
      <c r="E68" s="70"/>
      <c r="F68" s="72"/>
      <c r="G68" s="56"/>
      <c r="H68" s="51"/>
      <c r="I68" s="51"/>
    </row>
    <row r="69" spans="2:13" ht="12.95" customHeight="1" x14ac:dyDescent="0.3">
      <c r="B69" s="74" t="s">
        <v>92</v>
      </c>
      <c r="C69" s="54" t="s">
        <v>2</v>
      </c>
      <c r="D69" s="67" t="s">
        <v>22</v>
      </c>
      <c r="E69" s="78">
        <v>13873</v>
      </c>
      <c r="F69" s="73">
        <v>8</v>
      </c>
      <c r="G69" s="11">
        <f t="shared" ref="G69:G70" si="13">TRUNC($E69*F69,1)</f>
        <v>110984</v>
      </c>
      <c r="H69" s="51"/>
      <c r="I69" s="51"/>
    </row>
    <row r="70" spans="2:13" ht="12.95" customHeight="1" x14ac:dyDescent="0.3">
      <c r="B70" s="54" t="s">
        <v>4</v>
      </c>
      <c r="C70" s="54" t="s">
        <v>2</v>
      </c>
      <c r="D70" s="67" t="s">
        <v>22</v>
      </c>
      <c r="E70" s="78">
        <v>3593</v>
      </c>
      <c r="F70" s="73">
        <v>8</v>
      </c>
      <c r="G70" s="11">
        <f t="shared" si="13"/>
        <v>28744</v>
      </c>
      <c r="H70" s="51"/>
      <c r="I70" s="51"/>
    </row>
    <row r="71" spans="2:13" ht="12.95" customHeight="1" x14ac:dyDescent="0.3">
      <c r="B71" s="41" t="s">
        <v>17</v>
      </c>
      <c r="C71" s="62"/>
      <c r="D71" s="62"/>
      <c r="E71" s="55"/>
      <c r="F71" s="57"/>
      <c r="G71" s="69">
        <f>TRUNC(SUM(G69:G70))</f>
        <v>139728</v>
      </c>
      <c r="H71" s="51"/>
      <c r="I71" s="51"/>
    </row>
    <row r="72" spans="2:13" ht="12.95" customHeight="1" x14ac:dyDescent="0.3">
      <c r="B72" s="20"/>
      <c r="C72" s="54"/>
      <c r="D72" s="54"/>
      <c r="E72" s="58"/>
      <c r="F72" s="52"/>
      <c r="G72" s="53"/>
      <c r="H72" s="51"/>
      <c r="I72" s="51"/>
    </row>
    <row r="73" spans="2:13" ht="12.95" customHeight="1" x14ac:dyDescent="0.3">
      <c r="B73" s="98" t="s">
        <v>18</v>
      </c>
      <c r="C73" s="62"/>
      <c r="D73" s="62"/>
      <c r="E73" s="55"/>
      <c r="F73" s="55"/>
      <c r="G73" s="99">
        <f>SUM(G62+G67+G71)</f>
        <v>1074985</v>
      </c>
      <c r="H73" s="51"/>
      <c r="I73" s="51"/>
    </row>
    <row r="74" spans="2:13" ht="12.95" customHeight="1" x14ac:dyDescent="0.3">
      <c r="B74" s="21" t="s">
        <v>86</v>
      </c>
      <c r="C74" s="63"/>
      <c r="D74" s="63"/>
      <c r="E74" s="59"/>
      <c r="F74" s="59"/>
      <c r="G74" s="60">
        <f>TRUNC(G73/G59)</f>
        <v>4479</v>
      </c>
      <c r="H74" s="51"/>
      <c r="I74" s="51"/>
      <c r="J74" s="51"/>
      <c r="K74" s="51"/>
      <c r="L74" s="51"/>
      <c r="M74" s="51"/>
    </row>
    <row r="75" spans="2:13" ht="12.95" customHeight="1" x14ac:dyDescent="0.3">
      <c r="B75" s="32"/>
      <c r="C75" s="51"/>
      <c r="D75" s="51"/>
      <c r="E75" s="51"/>
      <c r="F75" s="51"/>
      <c r="G75" s="51"/>
      <c r="H75" s="51"/>
      <c r="I75" s="51"/>
    </row>
    <row r="76" spans="2:13" ht="12.95" customHeight="1" x14ac:dyDescent="0.3">
      <c r="B76" s="1" t="s">
        <v>93</v>
      </c>
    </row>
    <row r="77" spans="2:13" ht="12.95" customHeight="1" x14ac:dyDescent="0.3">
      <c r="B77" s="64" t="s">
        <v>94</v>
      </c>
      <c r="C77" s="65"/>
      <c r="D77" s="50"/>
      <c r="E77" s="66"/>
      <c r="F77" s="50"/>
      <c r="G77" s="50"/>
      <c r="H77" s="50"/>
      <c r="I77" s="47" t="s">
        <v>24</v>
      </c>
      <c r="J77" s="50"/>
      <c r="K77" s="50"/>
      <c r="L77" s="50"/>
      <c r="M77" s="50"/>
    </row>
    <row r="78" spans="2:13" ht="12.95" customHeight="1" x14ac:dyDescent="0.3">
      <c r="B78" s="107" t="s">
        <v>8</v>
      </c>
      <c r="C78" s="109" t="s">
        <v>21</v>
      </c>
      <c r="D78" s="123" t="s">
        <v>13</v>
      </c>
      <c r="E78" s="111" t="s">
        <v>9</v>
      </c>
      <c r="F78" s="113" t="s">
        <v>119</v>
      </c>
      <c r="G78" s="114"/>
      <c r="H78" s="113" t="s">
        <v>120</v>
      </c>
      <c r="I78" s="114"/>
      <c r="J78" s="51"/>
      <c r="K78" s="51"/>
      <c r="L78" s="51"/>
      <c r="M78" s="51"/>
    </row>
    <row r="79" spans="2:13" ht="12.95" customHeight="1" x14ac:dyDescent="0.3">
      <c r="B79" s="121"/>
      <c r="C79" s="122"/>
      <c r="D79" s="124"/>
      <c r="E79" s="118"/>
      <c r="F79" s="96" t="s">
        <v>83</v>
      </c>
      <c r="G79" s="97">
        <v>250</v>
      </c>
      <c r="H79" s="96" t="s">
        <v>83</v>
      </c>
      <c r="I79" s="97">
        <v>250</v>
      </c>
      <c r="J79" s="51"/>
      <c r="K79" s="51"/>
      <c r="L79" s="51"/>
      <c r="M79" s="51"/>
    </row>
    <row r="80" spans="2:13" ht="12.95" customHeight="1" x14ac:dyDescent="0.3">
      <c r="B80" s="108"/>
      <c r="C80" s="110"/>
      <c r="D80" s="125"/>
      <c r="E80" s="112"/>
      <c r="F80" s="75" t="s">
        <v>10</v>
      </c>
      <c r="G80" s="76" t="s">
        <v>11</v>
      </c>
      <c r="H80" s="75" t="s">
        <v>10</v>
      </c>
      <c r="I80" s="76" t="s">
        <v>11</v>
      </c>
      <c r="J80" s="51"/>
      <c r="K80" s="51"/>
      <c r="L80" s="51"/>
      <c r="M80" s="51"/>
    </row>
    <row r="81" spans="2:13" ht="12.95" customHeight="1" x14ac:dyDescent="0.3">
      <c r="B81" s="54" t="s">
        <v>3</v>
      </c>
      <c r="C81" s="54" t="s">
        <v>19</v>
      </c>
      <c r="D81" s="67" t="s">
        <v>22</v>
      </c>
      <c r="E81" s="77">
        <v>11755</v>
      </c>
      <c r="F81" s="71">
        <v>8</v>
      </c>
      <c r="G81" s="11">
        <f t="shared" ref="G81:G82" si="14">TRUNC($E81*F81,1)</f>
        <v>94040</v>
      </c>
      <c r="H81" s="71">
        <v>8</v>
      </c>
      <c r="I81" s="11">
        <f t="shared" ref="I81:I82" si="15">TRUNC($E81*H81,1)</f>
        <v>94040</v>
      </c>
      <c r="J81" s="51"/>
      <c r="K81" s="51"/>
      <c r="L81" s="51"/>
      <c r="M81" s="51"/>
    </row>
    <row r="82" spans="2:13" ht="12.95" customHeight="1" x14ac:dyDescent="0.3">
      <c r="B82" s="74" t="s">
        <v>92</v>
      </c>
      <c r="C82" s="54" t="s">
        <v>2</v>
      </c>
      <c r="D82" s="67" t="s">
        <v>22</v>
      </c>
      <c r="E82" s="78">
        <v>9107</v>
      </c>
      <c r="F82" s="71">
        <v>8</v>
      </c>
      <c r="G82" s="11">
        <f t="shared" si="14"/>
        <v>72856</v>
      </c>
      <c r="H82" s="71">
        <v>4</v>
      </c>
      <c r="I82" s="11">
        <f t="shared" si="15"/>
        <v>36428</v>
      </c>
      <c r="J82" s="51"/>
      <c r="K82" s="51"/>
      <c r="L82" s="51"/>
      <c r="M82" s="51"/>
    </row>
    <row r="83" spans="2:13" ht="12.95" customHeight="1" x14ac:dyDescent="0.3">
      <c r="B83" s="41" t="s">
        <v>15</v>
      </c>
      <c r="C83" s="62"/>
      <c r="D83" s="62"/>
      <c r="E83" s="70"/>
      <c r="F83" s="72"/>
      <c r="G83" s="68">
        <f>TRUNC(SUM(G81:G82))</f>
        <v>166896</v>
      </c>
      <c r="H83" s="72"/>
      <c r="I83" s="68">
        <f>TRUNC(SUM(I81:I82))</f>
        <v>130468</v>
      </c>
      <c r="J83" s="51"/>
      <c r="K83" s="51"/>
      <c r="L83" s="51"/>
      <c r="M83" s="51"/>
    </row>
    <row r="84" spans="2:13" ht="12.95" customHeight="1" x14ac:dyDescent="0.3">
      <c r="B84" s="61"/>
      <c r="C84" s="62"/>
      <c r="D84" s="62"/>
      <c r="E84" s="70"/>
      <c r="F84" s="72"/>
      <c r="G84" s="56"/>
      <c r="H84" s="72"/>
      <c r="I84" s="56"/>
      <c r="J84" s="51"/>
      <c r="K84" s="51"/>
      <c r="L84" s="51"/>
      <c r="M84" s="51"/>
    </row>
    <row r="85" spans="2:13" ht="12.95" customHeight="1" x14ac:dyDescent="0.3">
      <c r="B85" s="23" t="s">
        <v>33</v>
      </c>
      <c r="C85" s="14"/>
      <c r="D85" s="6" t="s">
        <v>14</v>
      </c>
      <c r="E85" s="79">
        <v>218933</v>
      </c>
      <c r="F85" s="71">
        <v>16</v>
      </c>
      <c r="G85" s="11">
        <f t="shared" ref="G85:G89" si="16">TRUNC($E85*F85,1)</f>
        <v>3502928</v>
      </c>
      <c r="H85" s="71">
        <v>16</v>
      </c>
      <c r="I85" s="11">
        <f t="shared" ref="I85:I89" si="17">TRUNC($E85*H85,1)</f>
        <v>3502928</v>
      </c>
      <c r="J85" s="51"/>
      <c r="K85" s="51"/>
      <c r="L85" s="51"/>
      <c r="M85" s="51"/>
    </row>
    <row r="86" spans="2:13" ht="12.95" customHeight="1" x14ac:dyDescent="0.3">
      <c r="B86" s="23" t="s">
        <v>0</v>
      </c>
      <c r="C86" s="14"/>
      <c r="D86" s="6" t="s">
        <v>14</v>
      </c>
      <c r="E86" s="78">
        <v>172068</v>
      </c>
      <c r="F86" s="71">
        <v>4</v>
      </c>
      <c r="G86" s="11">
        <f t="shared" si="16"/>
        <v>688272</v>
      </c>
      <c r="H86" s="71">
        <v>6</v>
      </c>
      <c r="I86" s="11">
        <f t="shared" si="17"/>
        <v>1032408</v>
      </c>
      <c r="J86" s="51"/>
      <c r="K86" s="51"/>
      <c r="L86" s="51"/>
      <c r="M86" s="51"/>
    </row>
    <row r="87" spans="2:13" ht="12.95" customHeight="1" x14ac:dyDescent="0.3">
      <c r="B87" s="54" t="s">
        <v>34</v>
      </c>
      <c r="C87" s="54"/>
      <c r="D87" s="6" t="s">
        <v>14</v>
      </c>
      <c r="E87" s="78">
        <v>251596</v>
      </c>
      <c r="F87" s="71">
        <v>1</v>
      </c>
      <c r="G87" s="11">
        <f t="shared" si="16"/>
        <v>251596</v>
      </c>
      <c r="H87" s="71">
        <v>1</v>
      </c>
      <c r="I87" s="11">
        <f t="shared" si="17"/>
        <v>251596</v>
      </c>
      <c r="J87" s="51"/>
      <c r="K87" s="51"/>
      <c r="L87" s="51"/>
      <c r="M87" s="51"/>
    </row>
    <row r="88" spans="2:13" ht="12.95" customHeight="1" x14ac:dyDescent="0.3">
      <c r="B88" s="74" t="s">
        <v>3</v>
      </c>
      <c r="C88" s="54" t="s">
        <v>19</v>
      </c>
      <c r="D88" s="67" t="s">
        <v>22</v>
      </c>
      <c r="E88" s="78">
        <v>58925</v>
      </c>
      <c r="F88" s="71">
        <v>8</v>
      </c>
      <c r="G88" s="11">
        <f t="shared" si="16"/>
        <v>471400</v>
      </c>
      <c r="H88" s="71">
        <v>8</v>
      </c>
      <c r="I88" s="11">
        <f t="shared" si="17"/>
        <v>471400</v>
      </c>
      <c r="J88" s="51"/>
      <c r="K88" s="51"/>
      <c r="L88" s="51"/>
      <c r="M88" s="51"/>
    </row>
    <row r="89" spans="2:13" ht="12.95" customHeight="1" x14ac:dyDescent="0.3">
      <c r="B89" s="74" t="s">
        <v>92</v>
      </c>
      <c r="C89" s="54" t="s">
        <v>2</v>
      </c>
      <c r="D89" s="67" t="s">
        <v>22</v>
      </c>
      <c r="E89" s="78">
        <v>58925</v>
      </c>
      <c r="F89" s="71">
        <v>8</v>
      </c>
      <c r="G89" s="11">
        <f t="shared" si="16"/>
        <v>471400</v>
      </c>
      <c r="H89" s="71">
        <v>4</v>
      </c>
      <c r="I89" s="11">
        <f t="shared" si="17"/>
        <v>235700</v>
      </c>
      <c r="J89" s="51"/>
      <c r="K89" s="51"/>
      <c r="L89" s="51"/>
      <c r="M89" s="51"/>
    </row>
    <row r="90" spans="2:13" ht="12.95" customHeight="1" x14ac:dyDescent="0.3">
      <c r="B90" s="36" t="s">
        <v>16</v>
      </c>
      <c r="C90" s="62"/>
      <c r="D90" s="62"/>
      <c r="E90" s="70"/>
      <c r="F90" s="72"/>
      <c r="G90" s="68">
        <f>TRUNC(SUM(G85:G89))</f>
        <v>5385596</v>
      </c>
      <c r="H90" s="72"/>
      <c r="I90" s="68">
        <f>TRUNC(SUM(I85:I89))</f>
        <v>5494032</v>
      </c>
      <c r="J90" s="51"/>
      <c r="K90" s="51"/>
      <c r="L90" s="51"/>
      <c r="M90" s="51"/>
    </row>
    <row r="91" spans="2:13" ht="12.95" customHeight="1" x14ac:dyDescent="0.3">
      <c r="B91" s="61"/>
      <c r="C91" s="62"/>
      <c r="D91" s="62"/>
      <c r="E91" s="70"/>
      <c r="F91" s="72"/>
      <c r="G91" s="56"/>
      <c r="H91" s="72"/>
      <c r="I91" s="56"/>
      <c r="J91" s="51"/>
      <c r="K91" s="51"/>
      <c r="L91" s="51"/>
      <c r="M91" s="51"/>
    </row>
    <row r="92" spans="2:13" ht="12.95" customHeight="1" x14ac:dyDescent="0.3">
      <c r="B92" s="54" t="s">
        <v>3</v>
      </c>
      <c r="C92" s="54" t="s">
        <v>19</v>
      </c>
      <c r="D92" s="67" t="s">
        <v>22</v>
      </c>
      <c r="E92" s="78">
        <v>7157</v>
      </c>
      <c r="F92" s="73">
        <v>8</v>
      </c>
      <c r="G92" s="11">
        <f t="shared" ref="G92:G94" si="18">TRUNC($E92*F92,1)</f>
        <v>57256</v>
      </c>
      <c r="H92" s="73">
        <v>8</v>
      </c>
      <c r="I92" s="11">
        <f t="shared" ref="I92:I94" si="19">TRUNC($E92*H92,1)</f>
        <v>57256</v>
      </c>
      <c r="J92" s="51"/>
      <c r="K92" s="51"/>
      <c r="L92" s="51"/>
      <c r="M92" s="51"/>
    </row>
    <row r="93" spans="2:13" ht="12.95" customHeight="1" x14ac:dyDescent="0.3">
      <c r="B93" s="74" t="s">
        <v>92</v>
      </c>
      <c r="C93" s="54" t="s">
        <v>2</v>
      </c>
      <c r="D93" s="67" t="s">
        <v>22</v>
      </c>
      <c r="E93" s="78">
        <v>13873</v>
      </c>
      <c r="F93" s="73">
        <v>8</v>
      </c>
      <c r="G93" s="11">
        <f t="shared" si="18"/>
        <v>110984</v>
      </c>
      <c r="H93" s="73">
        <v>4</v>
      </c>
      <c r="I93" s="11">
        <f t="shared" si="19"/>
        <v>55492</v>
      </c>
      <c r="J93" s="51"/>
      <c r="K93" s="51"/>
      <c r="L93" s="51"/>
      <c r="M93" s="51"/>
    </row>
    <row r="94" spans="2:13" ht="12.95" customHeight="1" x14ac:dyDescent="0.3">
      <c r="B94" s="54" t="s">
        <v>4</v>
      </c>
      <c r="C94" s="54" t="s">
        <v>2</v>
      </c>
      <c r="D94" s="67" t="s">
        <v>22</v>
      </c>
      <c r="E94" s="78">
        <v>3593</v>
      </c>
      <c r="F94" s="73">
        <v>8</v>
      </c>
      <c r="G94" s="11">
        <f t="shared" si="18"/>
        <v>28744</v>
      </c>
      <c r="H94" s="73">
        <v>4</v>
      </c>
      <c r="I94" s="11">
        <f t="shared" si="19"/>
        <v>14372</v>
      </c>
      <c r="J94" s="51"/>
      <c r="K94" s="51"/>
      <c r="L94" s="51"/>
      <c r="M94" s="51"/>
    </row>
    <row r="95" spans="2:13" ht="12.95" customHeight="1" x14ac:dyDescent="0.3">
      <c r="B95" s="41" t="s">
        <v>17</v>
      </c>
      <c r="C95" s="62"/>
      <c r="D95" s="62"/>
      <c r="E95" s="55"/>
      <c r="F95" s="57"/>
      <c r="G95" s="69">
        <f>TRUNC(SUM(G92:G94))</f>
        <v>196984</v>
      </c>
      <c r="H95" s="57"/>
      <c r="I95" s="69">
        <f>TRUNC(SUM(I92:I94))</f>
        <v>127120</v>
      </c>
      <c r="J95" s="51"/>
      <c r="K95" s="51"/>
      <c r="L95" s="51"/>
      <c r="M95" s="51"/>
    </row>
    <row r="96" spans="2:13" ht="12.95" customHeight="1" x14ac:dyDescent="0.3">
      <c r="B96" s="20"/>
      <c r="C96" s="54"/>
      <c r="D96" s="54"/>
      <c r="E96" s="58"/>
      <c r="F96" s="52"/>
      <c r="G96" s="53"/>
      <c r="H96" s="52"/>
      <c r="I96" s="53"/>
      <c r="J96" s="51"/>
      <c r="K96" s="51"/>
      <c r="L96" s="51"/>
      <c r="M96" s="51"/>
    </row>
    <row r="97" spans="2:13" ht="12.95" customHeight="1" x14ac:dyDescent="0.3">
      <c r="B97" s="98" t="s">
        <v>18</v>
      </c>
      <c r="C97" s="62"/>
      <c r="D97" s="62"/>
      <c r="E97" s="55"/>
      <c r="F97" s="55"/>
      <c r="G97" s="99">
        <f>SUM(G83+G90+G95)</f>
        <v>5749476</v>
      </c>
      <c r="H97" s="55"/>
      <c r="I97" s="99">
        <f>SUM(I83+I90+I95)</f>
        <v>5751620</v>
      </c>
      <c r="J97" s="51"/>
      <c r="K97" s="51"/>
      <c r="L97" s="51"/>
      <c r="M97" s="51"/>
    </row>
    <row r="98" spans="2:13" ht="12.95" customHeight="1" x14ac:dyDescent="0.3">
      <c r="B98" s="21" t="s">
        <v>82</v>
      </c>
      <c r="C98" s="63"/>
      <c r="D98" s="63"/>
      <c r="E98" s="59"/>
      <c r="F98" s="59"/>
      <c r="G98" s="60">
        <f>TRUNC(G97/G79)</f>
        <v>22997</v>
      </c>
      <c r="H98" s="59"/>
      <c r="I98" s="60">
        <f>TRUNC(I97/I79)</f>
        <v>23006</v>
      </c>
      <c r="J98" s="51"/>
      <c r="K98" s="51"/>
      <c r="L98" s="51"/>
      <c r="M98" s="51"/>
    </row>
    <row r="99" spans="2:13" ht="12.95" customHeight="1" x14ac:dyDescent="0.3">
      <c r="B99" s="32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</row>
    <row r="100" spans="2:13" ht="12.95" customHeight="1" x14ac:dyDescent="0.3">
      <c r="B100" s="64" t="s">
        <v>99</v>
      </c>
      <c r="C100" s="65"/>
      <c r="D100" s="50"/>
      <c r="E100" s="66"/>
      <c r="F100" s="50"/>
      <c r="G100" s="50"/>
      <c r="H100" s="50"/>
      <c r="I100" s="47" t="s">
        <v>24</v>
      </c>
      <c r="J100" s="50"/>
      <c r="K100" s="50"/>
      <c r="L100" s="50"/>
      <c r="M100" s="50"/>
    </row>
    <row r="101" spans="2:13" ht="12.95" customHeight="1" x14ac:dyDescent="0.3">
      <c r="B101" s="107" t="s">
        <v>8</v>
      </c>
      <c r="C101" s="109" t="s">
        <v>21</v>
      </c>
      <c r="D101" s="123" t="s">
        <v>13</v>
      </c>
      <c r="E101" s="111" t="s">
        <v>9</v>
      </c>
      <c r="F101" s="113" t="s">
        <v>88</v>
      </c>
      <c r="G101" s="114"/>
      <c r="H101" s="113" t="s">
        <v>89</v>
      </c>
      <c r="I101" s="114"/>
      <c r="J101" s="51"/>
      <c r="K101" s="51"/>
      <c r="L101" s="51"/>
      <c r="M101" s="51"/>
    </row>
    <row r="102" spans="2:13" ht="12.95" customHeight="1" x14ac:dyDescent="0.3">
      <c r="B102" s="121"/>
      <c r="C102" s="122"/>
      <c r="D102" s="124"/>
      <c r="E102" s="118"/>
      <c r="F102" s="96" t="s">
        <v>83</v>
      </c>
      <c r="G102" s="97">
        <v>250</v>
      </c>
      <c r="H102" s="96" t="s">
        <v>83</v>
      </c>
      <c r="I102" s="97">
        <v>250</v>
      </c>
      <c r="J102" s="51"/>
      <c r="K102" s="51"/>
      <c r="L102" s="51"/>
      <c r="M102" s="51"/>
    </row>
    <row r="103" spans="2:13" ht="12.95" customHeight="1" x14ac:dyDescent="0.3">
      <c r="B103" s="108"/>
      <c r="C103" s="110"/>
      <c r="D103" s="125"/>
      <c r="E103" s="112"/>
      <c r="F103" s="75" t="s">
        <v>10</v>
      </c>
      <c r="G103" s="76" t="s">
        <v>11</v>
      </c>
      <c r="H103" s="75" t="s">
        <v>10</v>
      </c>
      <c r="I103" s="76" t="s">
        <v>11</v>
      </c>
      <c r="J103" s="51"/>
      <c r="K103" s="51"/>
      <c r="L103" s="51"/>
      <c r="M103" s="51"/>
    </row>
    <row r="104" spans="2:13" ht="12.95" customHeight="1" x14ac:dyDescent="0.3">
      <c r="B104" s="54" t="s">
        <v>25</v>
      </c>
      <c r="C104" s="54" t="s">
        <v>39</v>
      </c>
      <c r="D104" s="67" t="s">
        <v>22</v>
      </c>
      <c r="E104" s="77">
        <v>25246</v>
      </c>
      <c r="F104" s="71">
        <v>8</v>
      </c>
      <c r="G104" s="11">
        <f t="shared" ref="G104" si="20">TRUNC($E104*F104,1)</f>
        <v>201968</v>
      </c>
      <c r="H104" s="71">
        <v>0</v>
      </c>
      <c r="I104" s="11">
        <f t="shared" ref="I104" si="21">TRUNC($E104*H104,1)</f>
        <v>0</v>
      </c>
      <c r="J104" s="51"/>
      <c r="K104" s="51"/>
      <c r="L104" s="51"/>
      <c r="M104" s="51"/>
    </row>
    <row r="105" spans="2:13" ht="12.95" customHeight="1" x14ac:dyDescent="0.3">
      <c r="B105" s="41" t="s">
        <v>15</v>
      </c>
      <c r="C105" s="62"/>
      <c r="D105" s="62"/>
      <c r="E105" s="70"/>
      <c r="F105" s="72"/>
      <c r="G105" s="68">
        <f>TRUNC(SUM(G104:G104))</f>
        <v>201968</v>
      </c>
      <c r="H105" s="72"/>
      <c r="I105" s="68">
        <f>TRUNC(SUM(I104:I104))</f>
        <v>0</v>
      </c>
      <c r="J105" s="51"/>
      <c r="K105" s="51"/>
      <c r="L105" s="51"/>
      <c r="M105" s="51"/>
    </row>
    <row r="106" spans="2:13" ht="12.95" customHeight="1" x14ac:dyDescent="0.3">
      <c r="B106" s="61"/>
      <c r="C106" s="62"/>
      <c r="D106" s="62"/>
      <c r="E106" s="70"/>
      <c r="F106" s="72"/>
      <c r="G106" s="56"/>
      <c r="H106" s="72"/>
      <c r="I106" s="56"/>
      <c r="J106" s="51"/>
      <c r="K106" s="51"/>
      <c r="L106" s="51"/>
      <c r="M106" s="51"/>
    </row>
    <row r="107" spans="2:13" ht="12.95" customHeight="1" x14ac:dyDescent="0.3">
      <c r="B107" s="23" t="s">
        <v>33</v>
      </c>
      <c r="C107" s="14"/>
      <c r="D107" s="6" t="s">
        <v>14</v>
      </c>
      <c r="E107" s="79">
        <v>218933</v>
      </c>
      <c r="F107" s="71">
        <v>0</v>
      </c>
      <c r="G107" s="11">
        <f t="shared" ref="G107:G110" si="22">TRUNC($E107*F107,1)</f>
        <v>0</v>
      </c>
      <c r="H107" s="71">
        <v>7</v>
      </c>
      <c r="I107" s="11">
        <f t="shared" ref="I107:I110" si="23">TRUNC($E107*H107,1)</f>
        <v>1532531</v>
      </c>
      <c r="J107" s="51"/>
      <c r="K107" s="51"/>
      <c r="L107" s="51"/>
      <c r="M107" s="51"/>
    </row>
    <row r="108" spans="2:13" ht="12.95" customHeight="1" x14ac:dyDescent="0.3">
      <c r="B108" s="23" t="s">
        <v>0</v>
      </c>
      <c r="C108" s="14"/>
      <c r="D108" s="6" t="s">
        <v>14</v>
      </c>
      <c r="E108" s="78">
        <v>172068</v>
      </c>
      <c r="F108" s="71">
        <v>9</v>
      </c>
      <c r="G108" s="11">
        <f t="shared" si="22"/>
        <v>1548612</v>
      </c>
      <c r="H108" s="71">
        <v>3</v>
      </c>
      <c r="I108" s="11">
        <f t="shared" si="23"/>
        <v>516204</v>
      </c>
      <c r="J108" s="51"/>
      <c r="K108" s="51"/>
      <c r="L108" s="51"/>
      <c r="M108" s="51"/>
    </row>
    <row r="109" spans="2:13" ht="12.95" customHeight="1" x14ac:dyDescent="0.3">
      <c r="B109" s="23" t="s">
        <v>23</v>
      </c>
      <c r="C109" s="14"/>
      <c r="D109" s="6" t="s">
        <v>14</v>
      </c>
      <c r="E109" s="78">
        <v>226122</v>
      </c>
      <c r="F109" s="71">
        <v>1</v>
      </c>
      <c r="G109" s="11">
        <f t="shared" si="22"/>
        <v>226122</v>
      </c>
      <c r="H109" s="71">
        <v>0</v>
      </c>
      <c r="I109" s="11">
        <f t="shared" si="23"/>
        <v>0</v>
      </c>
      <c r="J109" s="51"/>
      <c r="K109" s="51"/>
      <c r="L109" s="51"/>
      <c r="M109" s="51"/>
    </row>
    <row r="110" spans="2:13" ht="12.95" customHeight="1" x14ac:dyDescent="0.3">
      <c r="B110" s="54" t="s">
        <v>25</v>
      </c>
      <c r="C110" s="54" t="s">
        <v>39</v>
      </c>
      <c r="D110" s="67" t="s">
        <v>22</v>
      </c>
      <c r="E110" s="78">
        <v>49698</v>
      </c>
      <c r="F110" s="71">
        <v>8</v>
      </c>
      <c r="G110" s="11">
        <f t="shared" si="22"/>
        <v>397584</v>
      </c>
      <c r="H110" s="71">
        <v>0</v>
      </c>
      <c r="I110" s="11">
        <f t="shared" si="23"/>
        <v>0</v>
      </c>
      <c r="J110" s="51"/>
      <c r="K110" s="51"/>
      <c r="L110" s="51"/>
      <c r="M110" s="51"/>
    </row>
    <row r="111" spans="2:13" ht="12.95" customHeight="1" x14ac:dyDescent="0.3">
      <c r="B111" s="36" t="s">
        <v>16</v>
      </c>
      <c r="C111" s="62"/>
      <c r="D111" s="62"/>
      <c r="E111" s="70"/>
      <c r="F111" s="72"/>
      <c r="G111" s="68">
        <f>TRUNC(SUM(G107:G110))</f>
        <v>2172318</v>
      </c>
      <c r="H111" s="72"/>
      <c r="I111" s="68">
        <f>TRUNC(SUM(I107:I110))</f>
        <v>2048735</v>
      </c>
      <c r="J111" s="51"/>
      <c r="K111" s="51"/>
      <c r="L111" s="51"/>
      <c r="M111" s="51"/>
    </row>
    <row r="112" spans="2:13" ht="12.95" customHeight="1" x14ac:dyDescent="0.3">
      <c r="B112" s="61"/>
      <c r="C112" s="62"/>
      <c r="D112" s="62"/>
      <c r="E112" s="70"/>
      <c r="F112" s="72"/>
      <c r="G112" s="56"/>
      <c r="H112" s="72"/>
      <c r="I112" s="56"/>
      <c r="J112" s="51"/>
      <c r="K112" s="51"/>
      <c r="L112" s="51"/>
      <c r="M112" s="51"/>
    </row>
    <row r="113" spans="2:13" ht="12.95" customHeight="1" x14ac:dyDescent="0.3">
      <c r="B113" s="54" t="s">
        <v>25</v>
      </c>
      <c r="C113" s="54" t="s">
        <v>39</v>
      </c>
      <c r="D113" s="67" t="s">
        <v>22</v>
      </c>
      <c r="E113" s="78">
        <v>19154</v>
      </c>
      <c r="F113" s="73">
        <v>8</v>
      </c>
      <c r="G113" s="11">
        <f t="shared" ref="G113" si="24">TRUNC($E113*F113,1)</f>
        <v>153232</v>
      </c>
      <c r="H113" s="73">
        <v>0</v>
      </c>
      <c r="I113" s="11">
        <f t="shared" ref="I113" si="25">TRUNC($E113*H113,1)</f>
        <v>0</v>
      </c>
      <c r="J113" s="51"/>
      <c r="K113" s="51"/>
      <c r="L113" s="51"/>
      <c r="M113" s="51"/>
    </row>
    <row r="114" spans="2:13" ht="12.95" customHeight="1" x14ac:dyDescent="0.3">
      <c r="B114" s="41" t="s">
        <v>17</v>
      </c>
      <c r="C114" s="62"/>
      <c r="D114" s="62"/>
      <c r="E114" s="55"/>
      <c r="F114" s="57"/>
      <c r="G114" s="69">
        <f>TRUNC(SUM(G113:G113))</f>
        <v>153232</v>
      </c>
      <c r="H114" s="57"/>
      <c r="I114" s="69">
        <f>TRUNC(SUM(I113:I113))</f>
        <v>0</v>
      </c>
      <c r="J114" s="51"/>
      <c r="K114" s="51"/>
      <c r="L114" s="51"/>
      <c r="M114" s="51"/>
    </row>
    <row r="115" spans="2:13" ht="12.95" customHeight="1" x14ac:dyDescent="0.3">
      <c r="B115" s="20"/>
      <c r="C115" s="54"/>
      <c r="D115" s="54"/>
      <c r="E115" s="58"/>
      <c r="F115" s="52"/>
      <c r="G115" s="53"/>
      <c r="H115" s="52"/>
      <c r="I115" s="53"/>
      <c r="J115" s="51"/>
      <c r="K115" s="51"/>
      <c r="L115" s="51"/>
      <c r="M115" s="51"/>
    </row>
    <row r="116" spans="2:13" ht="12.95" customHeight="1" x14ac:dyDescent="0.3">
      <c r="B116" s="98" t="s">
        <v>18</v>
      </c>
      <c r="C116" s="62"/>
      <c r="D116" s="62"/>
      <c r="E116" s="55"/>
      <c r="F116" s="55"/>
      <c r="G116" s="99">
        <f>SUM(G105+G111+G114)</f>
        <v>2527518</v>
      </c>
      <c r="H116" s="55"/>
      <c r="I116" s="99">
        <f>SUM(I105+I111+I114)</f>
        <v>2048735</v>
      </c>
      <c r="J116" s="51"/>
      <c r="K116" s="51"/>
      <c r="L116" s="51"/>
      <c r="M116" s="51"/>
    </row>
    <row r="117" spans="2:13" ht="12.95" customHeight="1" x14ac:dyDescent="0.3">
      <c r="B117" s="21" t="s">
        <v>82</v>
      </c>
      <c r="C117" s="63"/>
      <c r="D117" s="63"/>
      <c r="E117" s="59"/>
      <c r="F117" s="59"/>
      <c r="G117" s="60">
        <f>TRUNC(G116/G102)</f>
        <v>10110</v>
      </c>
      <c r="H117" s="59"/>
      <c r="I117" s="60">
        <f>TRUNC(I116/I102)</f>
        <v>8194</v>
      </c>
      <c r="J117" s="51"/>
      <c r="K117" s="51"/>
      <c r="L117" s="51"/>
      <c r="M117" s="51"/>
    </row>
    <row r="118" spans="2:13" ht="12.95" customHeight="1" x14ac:dyDescent="0.3">
      <c r="B118" s="107" t="s">
        <v>8</v>
      </c>
      <c r="C118" s="109" t="s">
        <v>21</v>
      </c>
      <c r="D118" s="123" t="s">
        <v>13</v>
      </c>
      <c r="E118" s="111" t="s">
        <v>9</v>
      </c>
      <c r="F118" s="113" t="s">
        <v>90</v>
      </c>
      <c r="G118" s="114"/>
      <c r="H118" s="113" t="s">
        <v>91</v>
      </c>
      <c r="I118" s="114"/>
      <c r="J118" s="51"/>
      <c r="K118" s="51"/>
      <c r="L118" s="51"/>
      <c r="M118" s="51"/>
    </row>
    <row r="119" spans="2:13" ht="12.95" customHeight="1" x14ac:dyDescent="0.3">
      <c r="B119" s="121"/>
      <c r="C119" s="122"/>
      <c r="D119" s="124"/>
      <c r="E119" s="118"/>
      <c r="F119" s="96" t="s">
        <v>83</v>
      </c>
      <c r="G119" s="97">
        <v>250</v>
      </c>
      <c r="H119" s="96" t="s">
        <v>83</v>
      </c>
      <c r="I119" s="97">
        <v>250</v>
      </c>
      <c r="J119" s="51"/>
      <c r="K119" s="51"/>
      <c r="L119" s="51"/>
      <c r="M119" s="51"/>
    </row>
    <row r="120" spans="2:13" ht="12.95" customHeight="1" x14ac:dyDescent="0.3">
      <c r="B120" s="108"/>
      <c r="C120" s="110"/>
      <c r="D120" s="125"/>
      <c r="E120" s="112"/>
      <c r="F120" s="75" t="s">
        <v>10</v>
      </c>
      <c r="G120" s="76" t="s">
        <v>11</v>
      </c>
      <c r="H120" s="75" t="s">
        <v>10</v>
      </c>
      <c r="I120" s="76" t="s">
        <v>11</v>
      </c>
      <c r="J120" s="51"/>
      <c r="K120" s="51"/>
      <c r="L120" s="51"/>
      <c r="M120" s="51"/>
    </row>
    <row r="121" spans="2:13" ht="12.95" customHeight="1" x14ac:dyDescent="0.3">
      <c r="B121" s="54" t="s">
        <v>6</v>
      </c>
      <c r="C121" s="54" t="s">
        <v>7</v>
      </c>
      <c r="D121" s="67" t="s">
        <v>22</v>
      </c>
      <c r="E121" s="78">
        <v>2794</v>
      </c>
      <c r="F121" s="71">
        <v>8</v>
      </c>
      <c r="G121" s="11">
        <f t="shared" ref="G121" si="26">TRUNC($E121*F121,1)</f>
        <v>22352</v>
      </c>
      <c r="H121" s="71">
        <v>0</v>
      </c>
      <c r="I121" s="11">
        <f t="shared" ref="I121" si="27">TRUNC($E121*H121,1)</f>
        <v>0</v>
      </c>
      <c r="J121" s="51"/>
      <c r="K121" s="51"/>
      <c r="L121" s="51"/>
      <c r="M121" s="51"/>
    </row>
    <row r="122" spans="2:13" ht="12.95" customHeight="1" x14ac:dyDescent="0.3">
      <c r="B122" s="41" t="s">
        <v>15</v>
      </c>
      <c r="C122" s="62"/>
      <c r="D122" s="62"/>
      <c r="E122" s="70"/>
      <c r="F122" s="72"/>
      <c r="G122" s="68">
        <f>TRUNC(SUM(G121:G121))</f>
        <v>22352</v>
      </c>
      <c r="H122" s="72"/>
      <c r="I122" s="68">
        <f>TRUNC(SUM(I121:I121))</f>
        <v>0</v>
      </c>
      <c r="J122" s="51"/>
      <c r="K122" s="51"/>
      <c r="L122" s="51"/>
      <c r="M122" s="51"/>
    </row>
    <row r="123" spans="2:13" ht="12.95" customHeight="1" x14ac:dyDescent="0.3">
      <c r="B123" s="61"/>
      <c r="C123" s="62"/>
      <c r="D123" s="62"/>
      <c r="E123" s="70"/>
      <c r="F123" s="72"/>
      <c r="G123" s="56"/>
      <c r="H123" s="72"/>
      <c r="I123" s="56"/>
      <c r="J123" s="51"/>
      <c r="K123" s="51"/>
      <c r="L123" s="51"/>
      <c r="M123" s="51"/>
    </row>
    <row r="124" spans="2:13" ht="12.95" customHeight="1" x14ac:dyDescent="0.3">
      <c r="B124" s="23" t="s">
        <v>33</v>
      </c>
      <c r="C124" s="14"/>
      <c r="D124" s="6" t="s">
        <v>14</v>
      </c>
      <c r="E124" s="79">
        <v>218933</v>
      </c>
      <c r="F124" s="71">
        <v>7</v>
      </c>
      <c r="G124" s="11">
        <f t="shared" ref="G124:G127" si="28">TRUNC($E124*F124,1)</f>
        <v>1532531</v>
      </c>
      <c r="H124" s="71">
        <v>8</v>
      </c>
      <c r="I124" s="11">
        <f t="shared" ref="I124:I127" si="29">TRUNC($E124*H124,1)</f>
        <v>1751464</v>
      </c>
      <c r="J124" s="51"/>
      <c r="K124" s="51"/>
      <c r="L124" s="51"/>
      <c r="M124" s="51"/>
    </row>
    <row r="125" spans="2:13" ht="12.95" customHeight="1" x14ac:dyDescent="0.3">
      <c r="B125" s="23" t="s">
        <v>0</v>
      </c>
      <c r="C125" s="14"/>
      <c r="D125" s="6" t="s">
        <v>14</v>
      </c>
      <c r="E125" s="78">
        <v>172068</v>
      </c>
      <c r="F125" s="71">
        <v>3</v>
      </c>
      <c r="G125" s="11">
        <f t="shared" si="28"/>
        <v>516204</v>
      </c>
      <c r="H125" s="71">
        <v>2</v>
      </c>
      <c r="I125" s="11">
        <f t="shared" si="29"/>
        <v>344136</v>
      </c>
      <c r="J125" s="51"/>
      <c r="K125" s="51"/>
      <c r="L125" s="51"/>
      <c r="M125" s="51"/>
    </row>
    <row r="126" spans="2:13" ht="12.95" customHeight="1" x14ac:dyDescent="0.3">
      <c r="B126" s="54" t="s">
        <v>34</v>
      </c>
      <c r="C126" s="54"/>
      <c r="D126" s="6" t="s">
        <v>14</v>
      </c>
      <c r="E126" s="78">
        <v>251596</v>
      </c>
      <c r="F126" s="71">
        <v>1</v>
      </c>
      <c r="G126" s="11">
        <f t="shared" si="28"/>
        <v>251596</v>
      </c>
      <c r="H126" s="71">
        <v>1</v>
      </c>
      <c r="I126" s="11">
        <f t="shared" si="29"/>
        <v>251596</v>
      </c>
      <c r="J126" s="51"/>
      <c r="K126" s="51"/>
      <c r="L126" s="51"/>
      <c r="M126" s="51"/>
    </row>
    <row r="127" spans="2:13" ht="12.95" customHeight="1" x14ac:dyDescent="0.3">
      <c r="B127" s="54" t="s">
        <v>6</v>
      </c>
      <c r="C127" s="54" t="s">
        <v>7</v>
      </c>
      <c r="D127" s="67" t="s">
        <v>22</v>
      </c>
      <c r="E127" s="78">
        <v>36190</v>
      </c>
      <c r="F127" s="71">
        <v>8</v>
      </c>
      <c r="G127" s="11">
        <f t="shared" si="28"/>
        <v>289520</v>
      </c>
      <c r="H127" s="71">
        <v>0</v>
      </c>
      <c r="I127" s="11">
        <f t="shared" si="29"/>
        <v>0</v>
      </c>
      <c r="J127" s="51"/>
      <c r="K127" s="51"/>
      <c r="L127" s="51"/>
      <c r="M127" s="51"/>
    </row>
    <row r="128" spans="2:13" ht="12.95" customHeight="1" x14ac:dyDescent="0.3">
      <c r="B128" s="36" t="s">
        <v>16</v>
      </c>
      <c r="C128" s="62"/>
      <c r="D128" s="62"/>
      <c r="E128" s="70"/>
      <c r="F128" s="72"/>
      <c r="G128" s="68">
        <f>TRUNC(SUM(G124:G127))</f>
        <v>2589851</v>
      </c>
      <c r="H128" s="72"/>
      <c r="I128" s="68">
        <f>TRUNC(SUM(I124:I127))</f>
        <v>2347196</v>
      </c>
      <c r="J128" s="51"/>
      <c r="K128" s="51"/>
      <c r="L128" s="51"/>
      <c r="M128" s="51"/>
    </row>
    <row r="129" spans="2:13" ht="12.95" customHeight="1" x14ac:dyDescent="0.3">
      <c r="B129" s="61"/>
      <c r="C129" s="62"/>
      <c r="D129" s="62"/>
      <c r="E129" s="70"/>
      <c r="F129" s="72"/>
      <c r="G129" s="56"/>
      <c r="H129" s="72"/>
      <c r="I129" s="56"/>
      <c r="J129" s="51"/>
      <c r="K129" s="51"/>
      <c r="L129" s="51"/>
      <c r="M129" s="51"/>
    </row>
    <row r="130" spans="2:13" ht="12.95" customHeight="1" x14ac:dyDescent="0.3">
      <c r="B130" s="54" t="s">
        <v>6</v>
      </c>
      <c r="C130" s="54" t="s">
        <v>7</v>
      </c>
      <c r="D130" s="67" t="s">
        <v>22</v>
      </c>
      <c r="E130" s="78">
        <v>9245</v>
      </c>
      <c r="F130" s="73">
        <v>8</v>
      </c>
      <c r="G130" s="11">
        <f t="shared" ref="G130" si="30">TRUNC($E130*F130,1)</f>
        <v>73960</v>
      </c>
      <c r="H130" s="73">
        <v>0</v>
      </c>
      <c r="I130" s="11">
        <f t="shared" ref="I130" si="31">TRUNC($E130*H130,1)</f>
        <v>0</v>
      </c>
      <c r="J130" s="51"/>
      <c r="K130" s="51"/>
      <c r="L130" s="51"/>
      <c r="M130" s="51"/>
    </row>
    <row r="131" spans="2:13" ht="12.95" customHeight="1" x14ac:dyDescent="0.3">
      <c r="B131" s="41" t="s">
        <v>17</v>
      </c>
      <c r="C131" s="62"/>
      <c r="D131" s="62"/>
      <c r="E131" s="55"/>
      <c r="F131" s="57"/>
      <c r="G131" s="69">
        <f>TRUNC(SUM(G130:G130))</f>
        <v>73960</v>
      </c>
      <c r="H131" s="57"/>
      <c r="I131" s="69">
        <f>TRUNC(SUM(I130:I130))</f>
        <v>0</v>
      </c>
      <c r="J131" s="51"/>
      <c r="K131" s="51"/>
      <c r="L131" s="51"/>
      <c r="M131" s="51"/>
    </row>
    <row r="132" spans="2:13" ht="12.95" customHeight="1" x14ac:dyDescent="0.3">
      <c r="B132" s="20"/>
      <c r="C132" s="54"/>
      <c r="D132" s="54"/>
      <c r="E132" s="58"/>
      <c r="F132" s="52"/>
      <c r="G132" s="53"/>
      <c r="H132" s="52"/>
      <c r="I132" s="53"/>
      <c r="J132" s="51"/>
      <c r="K132" s="51"/>
      <c r="L132" s="51"/>
      <c r="M132" s="51"/>
    </row>
    <row r="133" spans="2:13" ht="12.95" customHeight="1" x14ac:dyDescent="0.3">
      <c r="B133" s="98" t="s">
        <v>18</v>
      </c>
      <c r="C133" s="62"/>
      <c r="D133" s="62"/>
      <c r="E133" s="55"/>
      <c r="F133" s="55"/>
      <c r="G133" s="99">
        <f>SUM(G122+G128+G131)</f>
        <v>2686163</v>
      </c>
      <c r="H133" s="55"/>
      <c r="I133" s="99">
        <f>SUM(I122+I128+I131)</f>
        <v>2347196</v>
      </c>
      <c r="J133" s="51"/>
      <c r="K133" s="51"/>
      <c r="L133" s="51"/>
      <c r="M133" s="51"/>
    </row>
    <row r="134" spans="2:13" ht="12.95" customHeight="1" x14ac:dyDescent="0.3">
      <c r="B134" s="21" t="s">
        <v>82</v>
      </c>
      <c r="C134" s="63"/>
      <c r="D134" s="63"/>
      <c r="E134" s="59"/>
      <c r="F134" s="59"/>
      <c r="G134" s="60">
        <f>TRUNC(G133/G119)</f>
        <v>10744</v>
      </c>
      <c r="H134" s="59"/>
      <c r="I134" s="60">
        <f>TRUNC(I133/I119)</f>
        <v>9388</v>
      </c>
      <c r="J134" s="51"/>
      <c r="K134" s="51"/>
      <c r="L134" s="51"/>
      <c r="M134" s="51"/>
    </row>
    <row r="135" spans="2:13" ht="12.95" customHeight="1" x14ac:dyDescent="0.3">
      <c r="B135" s="32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</row>
    <row r="136" spans="2:13" ht="12.95" customHeight="1" x14ac:dyDescent="0.3">
      <c r="B136" s="64" t="s">
        <v>100</v>
      </c>
      <c r="C136" s="65"/>
      <c r="D136" s="50"/>
      <c r="E136" s="66"/>
      <c r="F136" s="50"/>
      <c r="G136" s="47" t="s">
        <v>24</v>
      </c>
    </row>
    <row r="137" spans="2:13" ht="12.95" customHeight="1" x14ac:dyDescent="0.3">
      <c r="B137" s="107" t="s">
        <v>8</v>
      </c>
      <c r="C137" s="109" t="s">
        <v>21</v>
      </c>
      <c r="D137" s="104" t="s">
        <v>13</v>
      </c>
      <c r="E137" s="111" t="s">
        <v>9</v>
      </c>
      <c r="F137" s="96" t="s">
        <v>83</v>
      </c>
      <c r="G137" s="97">
        <v>250</v>
      </c>
      <c r="H137" s="51"/>
      <c r="I137" s="51"/>
      <c r="J137" s="51"/>
    </row>
    <row r="138" spans="2:13" ht="12.95" customHeight="1" x14ac:dyDescent="0.3">
      <c r="B138" s="108"/>
      <c r="C138" s="110"/>
      <c r="D138" s="104"/>
      <c r="E138" s="112"/>
      <c r="F138" s="75" t="s">
        <v>10</v>
      </c>
      <c r="G138" s="76" t="s">
        <v>11</v>
      </c>
      <c r="H138" s="51"/>
      <c r="I138" s="51"/>
      <c r="J138" s="51"/>
    </row>
    <row r="139" spans="2:13" ht="12.95" customHeight="1" x14ac:dyDescent="0.3">
      <c r="B139" s="54" t="s">
        <v>6</v>
      </c>
      <c r="C139" s="54" t="s">
        <v>7</v>
      </c>
      <c r="D139" s="67" t="s">
        <v>22</v>
      </c>
      <c r="E139" s="78">
        <v>2794</v>
      </c>
      <c r="F139" s="71">
        <v>8</v>
      </c>
      <c r="G139" s="11">
        <f t="shared" ref="G139" si="32">TRUNC($E139*F139,1)</f>
        <v>22352</v>
      </c>
      <c r="H139" s="51"/>
      <c r="I139" s="51"/>
      <c r="J139" s="51"/>
    </row>
    <row r="140" spans="2:13" ht="12.95" customHeight="1" x14ac:dyDescent="0.3">
      <c r="B140" s="41" t="s">
        <v>15</v>
      </c>
      <c r="C140" s="62"/>
      <c r="D140" s="62"/>
      <c r="E140" s="70"/>
      <c r="F140" s="72"/>
      <c r="G140" s="68">
        <f>TRUNC(SUM(G139:G139))</f>
        <v>22352</v>
      </c>
      <c r="H140" s="51"/>
      <c r="I140" s="51"/>
      <c r="J140" s="51"/>
    </row>
    <row r="141" spans="2:13" ht="12.95" customHeight="1" x14ac:dyDescent="0.3">
      <c r="B141" s="61"/>
      <c r="C141" s="62"/>
      <c r="D141" s="62"/>
      <c r="E141" s="70"/>
      <c r="F141" s="72"/>
      <c r="G141" s="56"/>
      <c r="H141" s="51"/>
      <c r="I141" s="51"/>
      <c r="J141" s="51"/>
    </row>
    <row r="142" spans="2:13" ht="12.95" customHeight="1" x14ac:dyDescent="0.3">
      <c r="B142" s="23" t="s">
        <v>33</v>
      </c>
      <c r="C142" s="14"/>
      <c r="D142" s="6" t="s">
        <v>14</v>
      </c>
      <c r="E142" s="79">
        <v>218933</v>
      </c>
      <c r="F142" s="71">
        <v>9</v>
      </c>
      <c r="G142" s="11">
        <f t="shared" ref="G142:G145" si="33">TRUNC($E142*F142,1)</f>
        <v>1970397</v>
      </c>
      <c r="H142" s="51"/>
      <c r="I142" s="51"/>
      <c r="J142" s="51"/>
    </row>
    <row r="143" spans="2:13" ht="12.95" customHeight="1" x14ac:dyDescent="0.3">
      <c r="B143" s="23" t="s">
        <v>0</v>
      </c>
      <c r="C143" s="14"/>
      <c r="D143" s="6" t="s">
        <v>14</v>
      </c>
      <c r="E143" s="78">
        <v>172068</v>
      </c>
      <c r="F143" s="71">
        <v>6</v>
      </c>
      <c r="G143" s="11">
        <f t="shared" si="33"/>
        <v>1032408</v>
      </c>
      <c r="H143" s="51"/>
      <c r="I143" s="51"/>
      <c r="J143" s="51"/>
    </row>
    <row r="144" spans="2:13" ht="12.95" customHeight="1" x14ac:dyDescent="0.3">
      <c r="B144" s="54" t="s">
        <v>34</v>
      </c>
      <c r="C144" s="54"/>
      <c r="D144" s="6" t="s">
        <v>14</v>
      </c>
      <c r="E144" s="78">
        <v>251596</v>
      </c>
      <c r="F144" s="71">
        <v>1</v>
      </c>
      <c r="G144" s="11">
        <f t="shared" si="33"/>
        <v>251596</v>
      </c>
      <c r="H144" s="51"/>
      <c r="I144" s="51"/>
      <c r="J144" s="51"/>
    </row>
    <row r="145" spans="2:13" ht="12.95" customHeight="1" x14ac:dyDescent="0.3">
      <c r="B145" s="54" t="s">
        <v>6</v>
      </c>
      <c r="C145" s="54" t="s">
        <v>7</v>
      </c>
      <c r="D145" s="67" t="s">
        <v>22</v>
      </c>
      <c r="E145" s="78">
        <v>36190</v>
      </c>
      <c r="F145" s="71">
        <v>8</v>
      </c>
      <c r="G145" s="11">
        <f t="shared" si="33"/>
        <v>289520</v>
      </c>
      <c r="H145" s="51"/>
      <c r="I145" s="51"/>
      <c r="J145" s="51"/>
    </row>
    <row r="146" spans="2:13" ht="12.95" customHeight="1" x14ac:dyDescent="0.3">
      <c r="B146" s="36" t="s">
        <v>16</v>
      </c>
      <c r="C146" s="62"/>
      <c r="D146" s="62"/>
      <c r="E146" s="70"/>
      <c r="F146" s="72"/>
      <c r="G146" s="68">
        <f>TRUNC(SUM(G142:G145))</f>
        <v>3543921</v>
      </c>
      <c r="H146" s="51"/>
      <c r="I146" s="51"/>
      <c r="J146" s="51"/>
    </row>
    <row r="147" spans="2:13" ht="12.95" customHeight="1" x14ac:dyDescent="0.3">
      <c r="B147" s="61"/>
      <c r="C147" s="62"/>
      <c r="D147" s="62"/>
      <c r="E147" s="70"/>
      <c r="F147" s="72"/>
      <c r="G147" s="56"/>
      <c r="H147" s="51"/>
      <c r="I147" s="51"/>
      <c r="J147" s="51"/>
    </row>
    <row r="148" spans="2:13" ht="12.95" customHeight="1" x14ac:dyDescent="0.3">
      <c r="B148" s="54" t="s">
        <v>6</v>
      </c>
      <c r="C148" s="54" t="s">
        <v>7</v>
      </c>
      <c r="D148" s="67" t="s">
        <v>22</v>
      </c>
      <c r="E148" s="78">
        <v>9245</v>
      </c>
      <c r="F148" s="73">
        <v>8</v>
      </c>
      <c r="G148" s="11">
        <f t="shared" ref="G148" si="34">TRUNC($E148*F148,1)</f>
        <v>73960</v>
      </c>
      <c r="H148" s="51"/>
      <c r="I148" s="51"/>
      <c r="J148" s="51"/>
    </row>
    <row r="149" spans="2:13" ht="12.95" customHeight="1" x14ac:dyDescent="0.3">
      <c r="B149" s="41" t="s">
        <v>17</v>
      </c>
      <c r="C149" s="62"/>
      <c r="D149" s="62"/>
      <c r="E149" s="55"/>
      <c r="F149" s="57"/>
      <c r="G149" s="69">
        <f>TRUNC(SUM(G148:G148))</f>
        <v>73960</v>
      </c>
      <c r="H149" s="51"/>
      <c r="I149" s="51"/>
      <c r="J149" s="51"/>
    </row>
    <row r="150" spans="2:13" ht="12.95" customHeight="1" x14ac:dyDescent="0.3">
      <c r="B150" s="20"/>
      <c r="C150" s="54"/>
      <c r="D150" s="54"/>
      <c r="E150" s="58"/>
      <c r="F150" s="52"/>
      <c r="G150" s="53"/>
      <c r="H150" s="51"/>
      <c r="I150" s="51"/>
      <c r="J150" s="51"/>
    </row>
    <row r="151" spans="2:13" ht="12.95" customHeight="1" x14ac:dyDescent="0.3">
      <c r="B151" s="98" t="s">
        <v>18</v>
      </c>
      <c r="C151" s="62"/>
      <c r="D151" s="62"/>
      <c r="E151" s="55"/>
      <c r="F151" s="55"/>
      <c r="G151" s="99">
        <f>SUM(G140+G146+G149)</f>
        <v>3640233</v>
      </c>
      <c r="H151" s="51"/>
      <c r="I151" s="51"/>
      <c r="J151" s="51"/>
    </row>
    <row r="152" spans="2:13" ht="12.95" customHeight="1" x14ac:dyDescent="0.3">
      <c r="B152" s="21" t="s">
        <v>82</v>
      </c>
      <c r="C152" s="63"/>
      <c r="D152" s="63"/>
      <c r="E152" s="59"/>
      <c r="F152" s="59"/>
      <c r="G152" s="60">
        <f>TRUNC(G151/G137)</f>
        <v>14560</v>
      </c>
      <c r="H152" s="51"/>
      <c r="I152" s="51"/>
      <c r="J152" s="51"/>
      <c r="K152" s="51"/>
      <c r="L152" s="51"/>
      <c r="M152" s="51"/>
    </row>
    <row r="153" spans="2:13" ht="12.95" customHeight="1" x14ac:dyDescent="0.3">
      <c r="B153" s="32"/>
      <c r="C153" s="51"/>
      <c r="D153" s="51"/>
      <c r="E153" s="51"/>
      <c r="F153" s="51"/>
      <c r="G153" s="51"/>
      <c r="H153" s="51"/>
      <c r="I153" s="51"/>
      <c r="J153" s="51"/>
    </row>
    <row r="154" spans="2:13" ht="12.95" customHeight="1" x14ac:dyDescent="0.3">
      <c r="B154" s="1" t="s">
        <v>101</v>
      </c>
    </row>
    <row r="155" spans="2:13" ht="12.95" customHeight="1" x14ac:dyDescent="0.3">
      <c r="B155" s="64" t="s">
        <v>102</v>
      </c>
      <c r="C155" s="65"/>
      <c r="D155" s="50"/>
      <c r="E155" s="66"/>
      <c r="F155" s="50"/>
      <c r="G155" s="47" t="s">
        <v>46</v>
      </c>
      <c r="H155" s="50"/>
      <c r="I155" s="50"/>
      <c r="J155" s="50"/>
    </row>
    <row r="156" spans="2:13" ht="12.95" customHeight="1" x14ac:dyDescent="0.3">
      <c r="B156" s="107" t="s">
        <v>8</v>
      </c>
      <c r="C156" s="109" t="s">
        <v>21</v>
      </c>
      <c r="D156" s="104" t="s">
        <v>13</v>
      </c>
      <c r="E156" s="111" t="s">
        <v>9</v>
      </c>
      <c r="F156" s="104" t="s">
        <v>40</v>
      </c>
      <c r="G156" s="105" t="s">
        <v>41</v>
      </c>
      <c r="H156" s="51"/>
      <c r="I156" s="51"/>
      <c r="J156" s="51"/>
    </row>
    <row r="157" spans="2:13" ht="12.95" customHeight="1" x14ac:dyDescent="0.3">
      <c r="B157" s="108"/>
      <c r="C157" s="110"/>
      <c r="D157" s="104"/>
      <c r="E157" s="112"/>
      <c r="F157" s="104"/>
      <c r="G157" s="106"/>
      <c r="H157" s="51"/>
      <c r="I157" s="51"/>
      <c r="J157" s="51"/>
    </row>
    <row r="158" spans="2:13" ht="12.95" customHeight="1" x14ac:dyDescent="0.3">
      <c r="B158" s="54" t="s">
        <v>28</v>
      </c>
      <c r="C158" s="54" t="s">
        <v>30</v>
      </c>
      <c r="D158" s="67" t="s">
        <v>22</v>
      </c>
      <c r="E158" s="77">
        <v>21678</v>
      </c>
      <c r="F158" s="73">
        <v>3</v>
      </c>
      <c r="G158" s="11">
        <f t="shared" ref="G158:G159" si="35">TRUNC($E158*F158,1)</f>
        <v>65034</v>
      </c>
      <c r="H158" s="51"/>
      <c r="I158" s="51"/>
      <c r="J158" s="51"/>
    </row>
    <row r="159" spans="2:13" ht="12.95" customHeight="1" x14ac:dyDescent="0.3">
      <c r="B159" s="74" t="s">
        <v>92</v>
      </c>
      <c r="C159" s="54" t="s">
        <v>2</v>
      </c>
      <c r="D159" s="67" t="s">
        <v>22</v>
      </c>
      <c r="E159" s="78">
        <v>9107</v>
      </c>
      <c r="F159" s="73">
        <v>12</v>
      </c>
      <c r="G159" s="11">
        <f t="shared" si="35"/>
        <v>109284</v>
      </c>
      <c r="H159" s="51"/>
      <c r="I159" s="51"/>
      <c r="J159" s="51"/>
    </row>
    <row r="160" spans="2:13" ht="12.95" customHeight="1" x14ac:dyDescent="0.3">
      <c r="B160" s="41" t="s">
        <v>15</v>
      </c>
      <c r="C160" s="62"/>
      <c r="D160" s="62"/>
      <c r="E160" s="70"/>
      <c r="F160" s="72"/>
      <c r="G160" s="68">
        <f>TRUNC(SUM(G158:G159))</f>
        <v>174318</v>
      </c>
      <c r="H160" s="51"/>
      <c r="I160" s="51"/>
      <c r="J160" s="51"/>
    </row>
    <row r="161" spans="2:10" ht="12.95" customHeight="1" x14ac:dyDescent="0.3">
      <c r="B161" s="61"/>
      <c r="C161" s="62"/>
      <c r="D161" s="62"/>
      <c r="E161" s="70"/>
      <c r="F161" s="72"/>
      <c r="G161" s="56"/>
      <c r="H161" s="51"/>
      <c r="I161" s="51"/>
      <c r="J161" s="51"/>
    </row>
    <row r="162" spans="2:10" ht="12.95" customHeight="1" x14ac:dyDescent="0.3">
      <c r="B162" s="23" t="s">
        <v>33</v>
      </c>
      <c r="C162" s="14"/>
      <c r="D162" s="6" t="s">
        <v>14</v>
      </c>
      <c r="E162" s="79">
        <v>218933</v>
      </c>
      <c r="F162" s="71">
        <v>9</v>
      </c>
      <c r="G162" s="11">
        <f t="shared" ref="G162:G166" si="36">TRUNC($E162*F162,1)</f>
        <v>1970397</v>
      </c>
      <c r="H162" s="51"/>
      <c r="I162" s="51"/>
      <c r="J162" s="51"/>
    </row>
    <row r="163" spans="2:10" ht="12.95" customHeight="1" x14ac:dyDescent="0.3">
      <c r="B163" s="23" t="s">
        <v>0</v>
      </c>
      <c r="C163" s="14"/>
      <c r="D163" s="6" t="s">
        <v>14</v>
      </c>
      <c r="E163" s="78">
        <v>172068</v>
      </c>
      <c r="F163" s="71">
        <v>3</v>
      </c>
      <c r="G163" s="11">
        <f t="shared" si="36"/>
        <v>516204</v>
      </c>
      <c r="H163" s="51"/>
      <c r="I163" s="51"/>
      <c r="J163" s="51"/>
    </row>
    <row r="164" spans="2:10" ht="12.95" customHeight="1" x14ac:dyDescent="0.3">
      <c r="B164" s="54" t="s">
        <v>34</v>
      </c>
      <c r="C164" s="54"/>
      <c r="D164" s="6" t="s">
        <v>14</v>
      </c>
      <c r="E164" s="78">
        <v>251596</v>
      </c>
      <c r="F164" s="71">
        <v>1</v>
      </c>
      <c r="G164" s="11">
        <f t="shared" si="36"/>
        <v>251596</v>
      </c>
      <c r="H164" s="51"/>
      <c r="I164" s="51"/>
      <c r="J164" s="51"/>
    </row>
    <row r="165" spans="2:10" ht="12.95" customHeight="1" x14ac:dyDescent="0.3">
      <c r="B165" s="54" t="s">
        <v>28</v>
      </c>
      <c r="C165" s="54" t="s">
        <v>30</v>
      </c>
      <c r="D165" s="67" t="s">
        <v>22</v>
      </c>
      <c r="E165" s="78">
        <v>58925</v>
      </c>
      <c r="F165" s="73">
        <v>3</v>
      </c>
      <c r="G165" s="11">
        <f t="shared" si="36"/>
        <v>176775</v>
      </c>
      <c r="H165" s="51"/>
      <c r="I165" s="51"/>
      <c r="J165" s="51"/>
    </row>
    <row r="166" spans="2:10" ht="12.95" customHeight="1" x14ac:dyDescent="0.3">
      <c r="B166" s="74" t="s">
        <v>92</v>
      </c>
      <c r="C166" s="54" t="s">
        <v>2</v>
      </c>
      <c r="D166" s="67" t="s">
        <v>22</v>
      </c>
      <c r="E166" s="78">
        <v>58925</v>
      </c>
      <c r="F166" s="73">
        <v>12</v>
      </c>
      <c r="G166" s="11">
        <f t="shared" si="36"/>
        <v>707100</v>
      </c>
      <c r="H166" s="51"/>
      <c r="I166" s="51"/>
      <c r="J166" s="51"/>
    </row>
    <row r="167" spans="2:10" ht="12.95" customHeight="1" x14ac:dyDescent="0.3">
      <c r="B167" s="36" t="s">
        <v>16</v>
      </c>
      <c r="C167" s="62"/>
      <c r="D167" s="62"/>
      <c r="E167" s="70"/>
      <c r="F167" s="72"/>
      <c r="G167" s="68">
        <f>TRUNC(SUM(G162:G166))</f>
        <v>3622072</v>
      </c>
      <c r="H167" s="51"/>
      <c r="I167" s="51"/>
      <c r="J167" s="51"/>
    </row>
    <row r="168" spans="2:10" ht="12.95" customHeight="1" x14ac:dyDescent="0.3">
      <c r="B168" s="61"/>
      <c r="C168" s="62"/>
      <c r="D168" s="62"/>
      <c r="E168" s="70"/>
      <c r="F168" s="72"/>
      <c r="G168" s="56"/>
      <c r="H168" s="51"/>
      <c r="I168" s="51"/>
      <c r="J168" s="51"/>
    </row>
    <row r="169" spans="2:10" ht="12.95" customHeight="1" x14ac:dyDescent="0.3">
      <c r="B169" s="54" t="s">
        <v>28</v>
      </c>
      <c r="C169" s="54" t="s">
        <v>30</v>
      </c>
      <c r="D169" s="67" t="s">
        <v>22</v>
      </c>
      <c r="E169" s="78">
        <v>73019</v>
      </c>
      <c r="F169" s="73">
        <v>3</v>
      </c>
      <c r="G169" s="11">
        <f t="shared" ref="G169:G171" si="37">TRUNC($E169*F169,1)</f>
        <v>219057</v>
      </c>
      <c r="H169" s="51"/>
      <c r="I169" s="51"/>
      <c r="J169" s="51"/>
    </row>
    <row r="170" spans="2:10" ht="12.95" customHeight="1" x14ac:dyDescent="0.3">
      <c r="B170" s="74" t="s">
        <v>92</v>
      </c>
      <c r="C170" s="54" t="s">
        <v>2</v>
      </c>
      <c r="D170" s="67" t="s">
        <v>22</v>
      </c>
      <c r="E170" s="78">
        <v>13873</v>
      </c>
      <c r="F170" s="73">
        <v>12</v>
      </c>
      <c r="G170" s="11">
        <f t="shared" si="37"/>
        <v>166476</v>
      </c>
      <c r="H170" s="51"/>
      <c r="I170" s="51"/>
      <c r="J170" s="51"/>
    </row>
    <row r="171" spans="2:10" ht="12.95" customHeight="1" x14ac:dyDescent="0.3">
      <c r="B171" s="54" t="s">
        <v>4</v>
      </c>
      <c r="C171" s="54" t="s">
        <v>2</v>
      </c>
      <c r="D171" s="67" t="s">
        <v>22</v>
      </c>
      <c r="E171" s="78">
        <v>3593</v>
      </c>
      <c r="F171" s="73">
        <v>12</v>
      </c>
      <c r="G171" s="11">
        <f t="shared" si="37"/>
        <v>43116</v>
      </c>
      <c r="H171" s="51"/>
      <c r="I171" s="51"/>
      <c r="J171" s="51"/>
    </row>
    <row r="172" spans="2:10" ht="12.95" customHeight="1" x14ac:dyDescent="0.3">
      <c r="B172" s="41" t="s">
        <v>17</v>
      </c>
      <c r="C172" s="62"/>
      <c r="D172" s="62"/>
      <c r="E172" s="55"/>
      <c r="F172" s="57"/>
      <c r="G172" s="69">
        <f>TRUNC(SUM(G169:G171))</f>
        <v>428649</v>
      </c>
      <c r="H172" s="51"/>
      <c r="I172" s="51"/>
      <c r="J172" s="51"/>
    </row>
    <row r="173" spans="2:10" ht="12.95" customHeight="1" x14ac:dyDescent="0.3">
      <c r="B173" s="20"/>
      <c r="C173" s="54"/>
      <c r="D173" s="54"/>
      <c r="E173" s="58"/>
      <c r="F173" s="52"/>
      <c r="G173" s="53"/>
      <c r="H173" s="51"/>
      <c r="I173" s="51"/>
      <c r="J173" s="51"/>
    </row>
    <row r="174" spans="2:10" ht="12.95" customHeight="1" x14ac:dyDescent="0.3">
      <c r="B174" s="21" t="s">
        <v>18</v>
      </c>
      <c r="C174" s="63"/>
      <c r="D174" s="63"/>
      <c r="E174" s="59"/>
      <c r="F174" s="59"/>
      <c r="G174" s="60">
        <f>SUM(G160+G167+G172)</f>
        <v>4225039</v>
      </c>
      <c r="H174" s="51"/>
      <c r="I174" s="51"/>
      <c r="J174" s="51"/>
    </row>
    <row r="175" spans="2:10" ht="12.95" customHeight="1" x14ac:dyDescent="0.3">
      <c r="B175" s="32"/>
      <c r="C175" s="51"/>
      <c r="D175" s="51"/>
      <c r="E175" s="51"/>
      <c r="F175" s="51"/>
      <c r="G175" s="51"/>
      <c r="H175" s="51"/>
      <c r="I175" s="51"/>
      <c r="J175" s="51"/>
    </row>
    <row r="176" spans="2:10" ht="12.95" customHeight="1" x14ac:dyDescent="0.3">
      <c r="B176" s="64" t="s">
        <v>103</v>
      </c>
      <c r="C176" s="65"/>
      <c r="D176" s="50"/>
      <c r="E176" s="66"/>
      <c r="F176" s="50"/>
      <c r="G176" s="50"/>
      <c r="I176" s="47" t="s">
        <v>46</v>
      </c>
    </row>
    <row r="177" spans="2:10" ht="12.95" customHeight="1" x14ac:dyDescent="0.3">
      <c r="B177" s="107" t="s">
        <v>8</v>
      </c>
      <c r="C177" s="109" t="s">
        <v>21</v>
      </c>
      <c r="D177" s="104" t="s">
        <v>13</v>
      </c>
      <c r="E177" s="111" t="s">
        <v>9</v>
      </c>
      <c r="F177" s="113" t="s">
        <v>43</v>
      </c>
      <c r="G177" s="114"/>
      <c r="H177" s="113" t="s">
        <v>44</v>
      </c>
      <c r="I177" s="114"/>
      <c r="J177" s="51"/>
    </row>
    <row r="178" spans="2:10" ht="12.95" customHeight="1" x14ac:dyDescent="0.3">
      <c r="B178" s="108"/>
      <c r="C178" s="110"/>
      <c r="D178" s="104"/>
      <c r="E178" s="112"/>
      <c r="F178" s="75" t="s">
        <v>10</v>
      </c>
      <c r="G178" s="76" t="s">
        <v>11</v>
      </c>
      <c r="H178" s="75" t="s">
        <v>10</v>
      </c>
      <c r="I178" s="76" t="s">
        <v>11</v>
      </c>
      <c r="J178" s="51"/>
    </row>
    <row r="179" spans="2:10" ht="12.95" customHeight="1" x14ac:dyDescent="0.3">
      <c r="B179" s="54" t="s">
        <v>28</v>
      </c>
      <c r="C179" s="54" t="s">
        <v>42</v>
      </c>
      <c r="D179" s="67" t="s">
        <v>22</v>
      </c>
      <c r="E179" s="78">
        <v>15536</v>
      </c>
      <c r="F179" s="52">
        <v>0.33</v>
      </c>
      <c r="G179" s="11">
        <f t="shared" ref="G179" si="38">TRUNC($E179*F179,1)</f>
        <v>5126.8</v>
      </c>
      <c r="H179" s="52">
        <v>0.66</v>
      </c>
      <c r="I179" s="11">
        <f t="shared" ref="I179" si="39">TRUNC($E179*H179,1)</f>
        <v>10253.700000000001</v>
      </c>
      <c r="J179" s="51"/>
    </row>
    <row r="180" spans="2:10" ht="12.95" customHeight="1" x14ac:dyDescent="0.3">
      <c r="B180" s="41" t="s">
        <v>15</v>
      </c>
      <c r="C180" s="62"/>
      <c r="D180" s="62"/>
      <c r="E180" s="70"/>
      <c r="F180" s="80"/>
      <c r="G180" s="68">
        <f>TRUNC(SUM(G179:G179))</f>
        <v>5126</v>
      </c>
      <c r="H180" s="80"/>
      <c r="I180" s="68">
        <f>TRUNC(SUM(I179:I179))</f>
        <v>10253</v>
      </c>
      <c r="J180" s="51"/>
    </row>
    <row r="181" spans="2:10" ht="12.95" customHeight="1" x14ac:dyDescent="0.3">
      <c r="B181" s="61"/>
      <c r="C181" s="62"/>
      <c r="D181" s="62"/>
      <c r="E181" s="70"/>
      <c r="F181" s="80"/>
      <c r="G181" s="56"/>
      <c r="H181" s="80"/>
      <c r="I181" s="56"/>
      <c r="J181" s="51"/>
    </row>
    <row r="182" spans="2:10" ht="12.95" customHeight="1" x14ac:dyDescent="0.3">
      <c r="B182" s="23" t="s">
        <v>33</v>
      </c>
      <c r="C182" s="14"/>
      <c r="D182" s="6" t="s">
        <v>14</v>
      </c>
      <c r="E182" s="79">
        <v>218933</v>
      </c>
      <c r="F182" s="52">
        <v>0.25</v>
      </c>
      <c r="G182" s="11">
        <f t="shared" ref="G182:G185" si="40">TRUNC($E182*F182,1)</f>
        <v>54733.2</v>
      </c>
      <c r="H182" s="52">
        <v>0.5</v>
      </c>
      <c r="I182" s="11">
        <f t="shared" ref="I182:I185" si="41">TRUNC($E182*H182,1)</f>
        <v>109466.5</v>
      </c>
      <c r="J182" s="51"/>
    </row>
    <row r="183" spans="2:10" ht="12.95" customHeight="1" x14ac:dyDescent="0.3">
      <c r="B183" s="23" t="s">
        <v>0</v>
      </c>
      <c r="C183" s="14"/>
      <c r="D183" s="6" t="s">
        <v>14</v>
      </c>
      <c r="E183" s="78">
        <v>172068</v>
      </c>
      <c r="F183" s="52">
        <v>0.13</v>
      </c>
      <c r="G183" s="11">
        <f t="shared" si="40"/>
        <v>22368.799999999999</v>
      </c>
      <c r="H183" s="52">
        <v>0.25</v>
      </c>
      <c r="I183" s="11">
        <f t="shared" si="41"/>
        <v>43017</v>
      </c>
      <c r="J183" s="51"/>
    </row>
    <row r="184" spans="2:10" ht="12.95" customHeight="1" x14ac:dyDescent="0.3">
      <c r="B184" s="54" t="s">
        <v>34</v>
      </c>
      <c r="C184" s="54"/>
      <c r="D184" s="6" t="s">
        <v>14</v>
      </c>
      <c r="E184" s="78">
        <v>251596</v>
      </c>
      <c r="F184" s="52">
        <v>0.06</v>
      </c>
      <c r="G184" s="11">
        <f t="shared" si="40"/>
        <v>15095.7</v>
      </c>
      <c r="H184" s="52">
        <v>0.13</v>
      </c>
      <c r="I184" s="11">
        <f t="shared" si="41"/>
        <v>32707.4</v>
      </c>
      <c r="J184" s="51"/>
    </row>
    <row r="185" spans="2:10" ht="12.95" customHeight="1" x14ac:dyDescent="0.3">
      <c r="B185" s="54" t="s">
        <v>28</v>
      </c>
      <c r="C185" s="54" t="s">
        <v>42</v>
      </c>
      <c r="D185" s="67" t="s">
        <v>22</v>
      </c>
      <c r="E185" s="78">
        <v>58925</v>
      </c>
      <c r="F185" s="52">
        <v>0.33</v>
      </c>
      <c r="G185" s="11">
        <f t="shared" si="40"/>
        <v>19445.2</v>
      </c>
      <c r="H185" s="52">
        <v>0.66</v>
      </c>
      <c r="I185" s="11">
        <f t="shared" si="41"/>
        <v>38890.5</v>
      </c>
      <c r="J185" s="51"/>
    </row>
    <row r="186" spans="2:10" ht="12.95" customHeight="1" x14ac:dyDescent="0.3">
      <c r="B186" s="36" t="s">
        <v>16</v>
      </c>
      <c r="C186" s="62"/>
      <c r="D186" s="62"/>
      <c r="E186" s="70"/>
      <c r="F186" s="80"/>
      <c r="G186" s="68">
        <f>TRUNC(SUM(G182:G185))</f>
        <v>111642</v>
      </c>
      <c r="H186" s="80"/>
      <c r="I186" s="68">
        <f>TRUNC(SUM(I182:I185))</f>
        <v>224081</v>
      </c>
      <c r="J186" s="51"/>
    </row>
    <row r="187" spans="2:10" ht="12.95" customHeight="1" x14ac:dyDescent="0.3">
      <c r="B187" s="61"/>
      <c r="C187" s="62"/>
      <c r="D187" s="62"/>
      <c r="E187" s="70"/>
      <c r="F187" s="80"/>
      <c r="G187" s="56"/>
      <c r="H187" s="80"/>
      <c r="I187" s="56"/>
      <c r="J187" s="51"/>
    </row>
    <row r="188" spans="2:10" ht="12.95" customHeight="1" x14ac:dyDescent="0.3">
      <c r="B188" s="54" t="s">
        <v>28</v>
      </c>
      <c r="C188" s="54" t="s">
        <v>42</v>
      </c>
      <c r="D188" s="67" t="s">
        <v>22</v>
      </c>
      <c r="E188" s="78">
        <v>26776</v>
      </c>
      <c r="F188" s="81">
        <v>0.33</v>
      </c>
      <c r="G188" s="11">
        <f t="shared" ref="G188" si="42">TRUNC($E188*F188,1)</f>
        <v>8836</v>
      </c>
      <c r="H188" s="81">
        <v>0.66</v>
      </c>
      <c r="I188" s="11">
        <f t="shared" ref="I188" si="43">TRUNC($E188*H188,1)</f>
        <v>17672.099999999999</v>
      </c>
      <c r="J188" s="51"/>
    </row>
    <row r="189" spans="2:10" ht="12.95" customHeight="1" x14ac:dyDescent="0.3">
      <c r="B189" s="41" t="s">
        <v>17</v>
      </c>
      <c r="C189" s="62"/>
      <c r="D189" s="62"/>
      <c r="E189" s="55"/>
      <c r="F189" s="57"/>
      <c r="G189" s="69">
        <f>TRUNC(SUM(G188:G188))</f>
        <v>8836</v>
      </c>
      <c r="H189" s="57"/>
      <c r="I189" s="69">
        <f>TRUNC(SUM(I188:I188))</f>
        <v>17672</v>
      </c>
      <c r="J189" s="51"/>
    </row>
    <row r="190" spans="2:10" ht="12.95" customHeight="1" x14ac:dyDescent="0.3">
      <c r="B190" s="20"/>
      <c r="C190" s="54"/>
      <c r="D190" s="54"/>
      <c r="E190" s="58"/>
      <c r="F190" s="52"/>
      <c r="G190" s="53"/>
      <c r="H190" s="52"/>
      <c r="I190" s="53"/>
      <c r="J190" s="51"/>
    </row>
    <row r="191" spans="2:10" ht="12.95" customHeight="1" x14ac:dyDescent="0.3">
      <c r="B191" s="21" t="s">
        <v>18</v>
      </c>
      <c r="C191" s="63"/>
      <c r="D191" s="63"/>
      <c r="E191" s="59"/>
      <c r="F191" s="59"/>
      <c r="G191" s="60">
        <f>SUM(G180+G186+G189)</f>
        <v>125604</v>
      </c>
      <c r="H191" s="59"/>
      <c r="I191" s="60">
        <f>SUM(I180+I186+I189)</f>
        <v>252006</v>
      </c>
      <c r="J191" s="51"/>
    </row>
    <row r="192" spans="2:10" ht="12.95" customHeight="1" x14ac:dyDescent="0.3">
      <c r="B192" s="32"/>
      <c r="C192" s="51"/>
      <c r="D192" s="51"/>
      <c r="E192" s="51"/>
      <c r="F192" s="51"/>
      <c r="G192" s="51"/>
      <c r="H192" s="51"/>
      <c r="I192" s="51"/>
      <c r="J192" s="51"/>
    </row>
    <row r="193" spans="2:9" ht="12.95" customHeight="1" x14ac:dyDescent="0.3">
      <c r="B193" s="1" t="s">
        <v>104</v>
      </c>
    </row>
    <row r="194" spans="2:9" ht="12.95" customHeight="1" x14ac:dyDescent="0.3">
      <c r="B194" s="22" t="s">
        <v>105</v>
      </c>
      <c r="C194" s="31"/>
      <c r="D194" s="31"/>
      <c r="E194" s="31"/>
      <c r="F194" s="31"/>
      <c r="G194" s="31"/>
      <c r="H194" s="31"/>
      <c r="I194" s="47" t="s">
        <v>45</v>
      </c>
    </row>
    <row r="195" spans="2:9" ht="12.95" customHeight="1" x14ac:dyDescent="0.3">
      <c r="B195" s="100" t="s">
        <v>8</v>
      </c>
      <c r="C195" s="101" t="s">
        <v>12</v>
      </c>
      <c r="D195" s="102" t="s">
        <v>13</v>
      </c>
      <c r="E195" s="103" t="s">
        <v>9</v>
      </c>
      <c r="F195" s="120" t="s">
        <v>47</v>
      </c>
      <c r="G195" s="113"/>
      <c r="H195" s="113" t="s">
        <v>48</v>
      </c>
      <c r="I195" s="114"/>
    </row>
    <row r="196" spans="2:9" ht="12.95" customHeight="1" x14ac:dyDescent="0.3">
      <c r="B196" s="100"/>
      <c r="C196" s="101"/>
      <c r="D196" s="102"/>
      <c r="E196" s="103"/>
      <c r="F196" s="75" t="s">
        <v>10</v>
      </c>
      <c r="G196" s="76" t="s">
        <v>11</v>
      </c>
      <c r="H196" s="75" t="s">
        <v>10</v>
      </c>
      <c r="I196" s="76" t="s">
        <v>11</v>
      </c>
    </row>
    <row r="197" spans="2:9" ht="12.95" customHeight="1" x14ac:dyDescent="0.3">
      <c r="B197" s="23" t="s">
        <v>29</v>
      </c>
      <c r="C197" s="14"/>
      <c r="D197" s="6" t="s">
        <v>14</v>
      </c>
      <c r="E197" s="82">
        <v>282536</v>
      </c>
      <c r="F197" s="85">
        <v>0.25</v>
      </c>
      <c r="G197" s="5">
        <f t="shared" ref="G197:G199" si="44">TRUNC($E197*F197,1)</f>
        <v>70634</v>
      </c>
      <c r="H197" s="85">
        <v>0.28000000000000003</v>
      </c>
      <c r="I197" s="11">
        <f t="shared" ref="I197:I199" si="45">TRUNC($E197*H197,1)</f>
        <v>79110</v>
      </c>
    </row>
    <row r="198" spans="2:9" ht="12.95" customHeight="1" x14ac:dyDescent="0.3">
      <c r="B198" s="23" t="s">
        <v>33</v>
      </c>
      <c r="C198" s="14"/>
      <c r="D198" s="6" t="s">
        <v>14</v>
      </c>
      <c r="E198" s="79">
        <v>218933</v>
      </c>
      <c r="F198" s="85">
        <v>0.15</v>
      </c>
      <c r="G198" s="5">
        <f t="shared" si="44"/>
        <v>32839.9</v>
      </c>
      <c r="H198" s="85">
        <v>0.17</v>
      </c>
      <c r="I198" s="11">
        <f t="shared" si="45"/>
        <v>37218.6</v>
      </c>
    </row>
    <row r="199" spans="2:9" ht="12.95" customHeight="1" x14ac:dyDescent="0.3">
      <c r="B199" s="23" t="s">
        <v>0</v>
      </c>
      <c r="C199" s="14"/>
      <c r="D199" s="6" t="s">
        <v>14</v>
      </c>
      <c r="E199" s="83">
        <v>172068</v>
      </c>
      <c r="F199" s="85">
        <v>0.13</v>
      </c>
      <c r="G199" s="5">
        <f t="shared" si="44"/>
        <v>22368.799999999999</v>
      </c>
      <c r="H199" s="85">
        <v>0.14000000000000001</v>
      </c>
      <c r="I199" s="11">
        <f t="shared" si="45"/>
        <v>24089.5</v>
      </c>
    </row>
    <row r="200" spans="2:9" ht="12.95" customHeight="1" x14ac:dyDescent="0.3">
      <c r="B200" s="36" t="s">
        <v>16</v>
      </c>
      <c r="C200" s="44"/>
      <c r="D200" s="46"/>
      <c r="E200" s="37"/>
      <c r="F200" s="37"/>
      <c r="G200" s="38">
        <f>TRUNC(SUM(G197:G199))</f>
        <v>125842</v>
      </c>
      <c r="H200" s="37"/>
      <c r="I200" s="39">
        <f>TRUNC(SUM(I197:I199))</f>
        <v>140418</v>
      </c>
    </row>
    <row r="201" spans="2:9" ht="12.95" customHeight="1" x14ac:dyDescent="0.3">
      <c r="B201" s="24"/>
      <c r="C201" s="14"/>
      <c r="D201" s="6"/>
      <c r="E201" s="25"/>
      <c r="F201" s="25"/>
      <c r="G201" s="26"/>
      <c r="H201" s="25"/>
      <c r="I201" s="27"/>
    </row>
    <row r="202" spans="2:9" ht="12.95" customHeight="1" x14ac:dyDescent="0.3">
      <c r="B202" s="21" t="s">
        <v>18</v>
      </c>
      <c r="C202" s="15"/>
      <c r="D202" s="48"/>
      <c r="E202" s="28"/>
      <c r="F202" s="28"/>
      <c r="G202" s="29">
        <f>SUM(G200)</f>
        <v>125842</v>
      </c>
      <c r="H202" s="28"/>
      <c r="I202" s="29">
        <f>SUM(I200)</f>
        <v>140418</v>
      </c>
    </row>
    <row r="203" spans="2:9" ht="12.95" customHeight="1" x14ac:dyDescent="0.3">
      <c r="B203" s="3"/>
      <c r="C203" s="9"/>
      <c r="D203" s="3"/>
      <c r="E203" s="13"/>
      <c r="F203" s="4"/>
      <c r="G203" s="4"/>
      <c r="H203" s="4"/>
      <c r="I203" s="4"/>
    </row>
    <row r="204" spans="2:9" ht="12.95" customHeight="1" x14ac:dyDescent="0.3">
      <c r="B204" s="22" t="s">
        <v>106</v>
      </c>
      <c r="C204" s="31"/>
      <c r="D204" s="31"/>
      <c r="E204" s="31"/>
      <c r="F204" s="31"/>
      <c r="G204" s="47" t="s">
        <v>45</v>
      </c>
    </row>
    <row r="205" spans="2:9" ht="12.95" customHeight="1" x14ac:dyDescent="0.3">
      <c r="B205" s="100" t="s">
        <v>8</v>
      </c>
      <c r="C205" s="101" t="s">
        <v>12</v>
      </c>
      <c r="D205" s="102" t="s">
        <v>13</v>
      </c>
      <c r="E205" s="103" t="s">
        <v>9</v>
      </c>
      <c r="F205" s="120" t="s">
        <v>49</v>
      </c>
      <c r="G205" s="113"/>
    </row>
    <row r="206" spans="2:9" ht="12.95" customHeight="1" x14ac:dyDescent="0.3">
      <c r="B206" s="100"/>
      <c r="C206" s="101"/>
      <c r="D206" s="102"/>
      <c r="E206" s="103"/>
      <c r="F206" s="75" t="s">
        <v>10</v>
      </c>
      <c r="G206" s="76" t="s">
        <v>11</v>
      </c>
    </row>
    <row r="207" spans="2:9" ht="12.95" customHeight="1" x14ac:dyDescent="0.3">
      <c r="B207" s="23" t="s">
        <v>29</v>
      </c>
      <c r="C207" s="14"/>
      <c r="D207" s="6" t="s">
        <v>14</v>
      </c>
      <c r="E207" s="82">
        <v>282536</v>
      </c>
      <c r="F207" s="85">
        <v>0.34</v>
      </c>
      <c r="G207" s="11">
        <f t="shared" ref="G207:G209" si="46">TRUNC($E207*F207,1)</f>
        <v>96062.2</v>
      </c>
    </row>
    <row r="208" spans="2:9" ht="12.95" customHeight="1" x14ac:dyDescent="0.3">
      <c r="B208" s="23" t="s">
        <v>33</v>
      </c>
      <c r="C208" s="14"/>
      <c r="D208" s="6" t="s">
        <v>14</v>
      </c>
      <c r="E208" s="79">
        <v>218933</v>
      </c>
      <c r="F208" s="85">
        <v>0.23</v>
      </c>
      <c r="G208" s="11">
        <f t="shared" si="46"/>
        <v>50354.5</v>
      </c>
    </row>
    <row r="209" spans="2:9" ht="12.95" customHeight="1" x14ac:dyDescent="0.3">
      <c r="B209" s="23" t="s">
        <v>0</v>
      </c>
      <c r="C209" s="14"/>
      <c r="D209" s="6" t="s">
        <v>14</v>
      </c>
      <c r="E209" s="83">
        <v>172068</v>
      </c>
      <c r="F209" s="85">
        <v>0.12</v>
      </c>
      <c r="G209" s="11">
        <f t="shared" si="46"/>
        <v>20648.099999999999</v>
      </c>
    </row>
    <row r="210" spans="2:9" ht="12.95" customHeight="1" x14ac:dyDescent="0.3">
      <c r="B210" s="36" t="s">
        <v>16</v>
      </c>
      <c r="C210" s="44"/>
      <c r="D210" s="46"/>
      <c r="E210" s="37"/>
      <c r="F210" s="37"/>
      <c r="G210" s="39">
        <f>TRUNC(SUM(G207:G209))</f>
        <v>167064</v>
      </c>
    </row>
    <row r="211" spans="2:9" ht="12.95" customHeight="1" x14ac:dyDescent="0.3">
      <c r="B211" s="24"/>
      <c r="C211" s="14"/>
      <c r="D211" s="6"/>
      <c r="E211" s="25"/>
      <c r="F211" s="25"/>
      <c r="G211" s="27"/>
    </row>
    <row r="212" spans="2:9" ht="12.95" customHeight="1" x14ac:dyDescent="0.3">
      <c r="B212" s="21" t="s">
        <v>18</v>
      </c>
      <c r="C212" s="15"/>
      <c r="D212" s="48"/>
      <c r="E212" s="28"/>
      <c r="F212" s="28"/>
      <c r="G212" s="29">
        <f>SUM(G210)</f>
        <v>167064</v>
      </c>
    </row>
    <row r="213" spans="2:9" ht="12.95" customHeight="1" x14ac:dyDescent="0.3">
      <c r="B213" s="3"/>
      <c r="C213" s="9"/>
      <c r="D213" s="3"/>
      <c r="E213" s="13"/>
      <c r="F213" s="4"/>
      <c r="G213" s="4"/>
    </row>
    <row r="214" spans="2:9" ht="12.95" customHeight="1" x14ac:dyDescent="0.3">
      <c r="B214" s="22" t="s">
        <v>107</v>
      </c>
      <c r="C214" s="31"/>
      <c r="D214" s="31"/>
      <c r="E214" s="31"/>
      <c r="F214" s="31"/>
      <c r="G214" s="31"/>
      <c r="H214" s="31"/>
      <c r="I214" s="47" t="s">
        <v>51</v>
      </c>
    </row>
    <row r="215" spans="2:9" ht="12.95" customHeight="1" x14ac:dyDescent="0.3">
      <c r="B215" s="100" t="s">
        <v>8</v>
      </c>
      <c r="C215" s="101" t="s">
        <v>12</v>
      </c>
      <c r="D215" s="102" t="s">
        <v>13</v>
      </c>
      <c r="E215" s="103" t="s">
        <v>9</v>
      </c>
      <c r="F215" s="120" t="s">
        <v>50</v>
      </c>
      <c r="G215" s="113"/>
      <c r="H215" s="113" t="s">
        <v>52</v>
      </c>
      <c r="I215" s="114"/>
    </row>
    <row r="216" spans="2:9" ht="12.95" customHeight="1" x14ac:dyDescent="0.3">
      <c r="B216" s="100"/>
      <c r="C216" s="101"/>
      <c r="D216" s="102"/>
      <c r="E216" s="103"/>
      <c r="F216" s="75" t="s">
        <v>10</v>
      </c>
      <c r="G216" s="76" t="s">
        <v>11</v>
      </c>
      <c r="H216" s="75" t="s">
        <v>10</v>
      </c>
      <c r="I216" s="76" t="s">
        <v>11</v>
      </c>
    </row>
    <row r="217" spans="2:9" ht="12.95" customHeight="1" x14ac:dyDescent="0.3">
      <c r="B217" s="23" t="s">
        <v>33</v>
      </c>
      <c r="C217" s="14"/>
      <c r="D217" s="6" t="s">
        <v>14</v>
      </c>
      <c r="E217" s="86">
        <v>218933</v>
      </c>
      <c r="F217" s="84">
        <v>16.600000000000001</v>
      </c>
      <c r="G217" s="5">
        <f t="shared" ref="G217:G219" si="47">TRUNC($E217*F217,1)</f>
        <v>3634287.8</v>
      </c>
      <c r="H217" s="84">
        <v>16.600000000000001</v>
      </c>
      <c r="I217" s="11">
        <f t="shared" ref="I217:I219" si="48">TRUNC($E217*H217,1)</f>
        <v>3634287.8</v>
      </c>
    </row>
    <row r="218" spans="2:9" ht="12.95" customHeight="1" x14ac:dyDescent="0.3">
      <c r="B218" s="23" t="s">
        <v>23</v>
      </c>
      <c r="C218" s="14"/>
      <c r="D218" s="6" t="s">
        <v>14</v>
      </c>
      <c r="E218" s="78">
        <v>226122</v>
      </c>
      <c r="F218" s="84">
        <v>2.2000000000000002</v>
      </c>
      <c r="G218" s="5">
        <f t="shared" si="47"/>
        <v>497468.4</v>
      </c>
      <c r="H218" s="84">
        <v>0</v>
      </c>
      <c r="I218" s="11">
        <f t="shared" si="48"/>
        <v>0</v>
      </c>
    </row>
    <row r="219" spans="2:9" ht="12.95" customHeight="1" x14ac:dyDescent="0.3">
      <c r="B219" s="23" t="s">
        <v>0</v>
      </c>
      <c r="C219" s="14"/>
      <c r="D219" s="6" t="s">
        <v>14</v>
      </c>
      <c r="E219" s="83">
        <v>172068</v>
      </c>
      <c r="F219" s="84">
        <v>6.7</v>
      </c>
      <c r="G219" s="5">
        <f t="shared" si="47"/>
        <v>1152855.6000000001</v>
      </c>
      <c r="H219" s="84">
        <v>6.7</v>
      </c>
      <c r="I219" s="11">
        <f t="shared" si="48"/>
        <v>1152855.6000000001</v>
      </c>
    </row>
    <row r="220" spans="2:9" ht="12.95" customHeight="1" x14ac:dyDescent="0.3">
      <c r="B220" s="36" t="s">
        <v>16</v>
      </c>
      <c r="C220" s="44"/>
      <c r="D220" s="46"/>
      <c r="E220" s="37"/>
      <c r="F220" s="37"/>
      <c r="G220" s="38">
        <f>TRUNC(SUM(G217:G219))</f>
        <v>5284611</v>
      </c>
      <c r="H220" s="37"/>
      <c r="I220" s="39">
        <f>TRUNC(SUM(I217:I219))</f>
        <v>4787143</v>
      </c>
    </row>
    <row r="221" spans="2:9" ht="12.95" customHeight="1" x14ac:dyDescent="0.3">
      <c r="B221" s="24"/>
      <c r="C221" s="14"/>
      <c r="D221" s="6"/>
      <c r="E221" s="25"/>
      <c r="F221" s="25"/>
      <c r="G221" s="26"/>
      <c r="H221" s="25"/>
      <c r="I221" s="27"/>
    </row>
    <row r="222" spans="2:9" ht="12.95" customHeight="1" x14ac:dyDescent="0.3">
      <c r="B222" s="21" t="s">
        <v>18</v>
      </c>
      <c r="C222" s="15"/>
      <c r="D222" s="48"/>
      <c r="E222" s="28"/>
      <c r="F222" s="28"/>
      <c r="G222" s="29">
        <f>SUM(G220)</f>
        <v>5284611</v>
      </c>
      <c r="H222" s="28"/>
      <c r="I222" s="29">
        <f>SUM(I220)</f>
        <v>4787143</v>
      </c>
    </row>
    <row r="223" spans="2:9" ht="12.95" customHeight="1" x14ac:dyDescent="0.3">
      <c r="B223" s="3"/>
      <c r="C223" s="9"/>
      <c r="D223" s="3"/>
      <c r="E223" s="13"/>
      <c r="F223" s="4"/>
      <c r="G223" s="4"/>
      <c r="H223" s="4"/>
      <c r="I223" s="4"/>
    </row>
    <row r="224" spans="2:9" ht="12.95" customHeight="1" x14ac:dyDescent="0.3">
      <c r="B224" s="1" t="s">
        <v>108</v>
      </c>
    </row>
    <row r="225" spans="2:13" ht="12.95" customHeight="1" x14ac:dyDescent="0.3">
      <c r="B225" s="22" t="s">
        <v>109</v>
      </c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47" t="s">
        <v>53</v>
      </c>
    </row>
    <row r="226" spans="2:13" ht="12.95" customHeight="1" x14ac:dyDescent="0.3">
      <c r="B226" s="115" t="s">
        <v>8</v>
      </c>
      <c r="C226" s="115" t="s">
        <v>12</v>
      </c>
      <c r="D226" s="111" t="s">
        <v>13</v>
      </c>
      <c r="E226" s="111" t="s">
        <v>9</v>
      </c>
      <c r="F226" s="113" t="s">
        <v>58</v>
      </c>
      <c r="G226" s="114"/>
      <c r="H226" s="114"/>
      <c r="I226" s="114"/>
      <c r="J226" s="114"/>
      <c r="K226" s="114"/>
      <c r="L226" s="114"/>
      <c r="M226" s="114"/>
    </row>
    <row r="227" spans="2:13" ht="12.95" customHeight="1" x14ac:dyDescent="0.3">
      <c r="B227" s="116"/>
      <c r="C227" s="116"/>
      <c r="D227" s="118"/>
      <c r="E227" s="118"/>
      <c r="F227" s="113" t="s">
        <v>54</v>
      </c>
      <c r="G227" s="119"/>
      <c r="H227" s="113" t="s">
        <v>55</v>
      </c>
      <c r="I227" s="119"/>
      <c r="J227" s="113" t="s">
        <v>56</v>
      </c>
      <c r="K227" s="119"/>
      <c r="L227" s="113" t="s">
        <v>57</v>
      </c>
      <c r="M227" s="114"/>
    </row>
    <row r="228" spans="2:13" ht="12.95" customHeight="1" x14ac:dyDescent="0.3">
      <c r="B228" s="117"/>
      <c r="C228" s="117"/>
      <c r="D228" s="112"/>
      <c r="E228" s="112"/>
      <c r="F228" s="75" t="s">
        <v>10</v>
      </c>
      <c r="G228" s="76" t="s">
        <v>11</v>
      </c>
      <c r="H228" s="75" t="s">
        <v>10</v>
      </c>
      <c r="I228" s="76" t="s">
        <v>11</v>
      </c>
      <c r="J228" s="75" t="s">
        <v>10</v>
      </c>
      <c r="K228" s="76" t="s">
        <v>11</v>
      </c>
      <c r="L228" s="75" t="s">
        <v>10</v>
      </c>
      <c r="M228" s="76" t="s">
        <v>11</v>
      </c>
    </row>
    <row r="229" spans="2:13" ht="12.95" customHeight="1" x14ac:dyDescent="0.3">
      <c r="B229" s="23" t="s">
        <v>0</v>
      </c>
      <c r="C229" s="14"/>
      <c r="D229" s="6" t="s">
        <v>14</v>
      </c>
      <c r="E229" s="83">
        <v>172068</v>
      </c>
      <c r="F229" s="85">
        <v>0.79</v>
      </c>
      <c r="G229" s="5">
        <f t="shared" ref="G229" si="49">TRUNC($E229*F229,1)</f>
        <v>135933.70000000001</v>
      </c>
      <c r="H229" s="85">
        <v>0.79</v>
      </c>
      <c r="I229" s="11">
        <f t="shared" ref="I229" si="50">TRUNC($E229*H229,1)</f>
        <v>135933.70000000001</v>
      </c>
      <c r="J229" s="85">
        <v>0.79</v>
      </c>
      <c r="K229" s="5">
        <f t="shared" ref="K229" si="51">TRUNC($E229*J229,1)</f>
        <v>135933.70000000001</v>
      </c>
      <c r="L229" s="85">
        <v>0.79</v>
      </c>
      <c r="M229" s="11">
        <f t="shared" ref="M229" si="52">TRUNC($E229*L229,1)</f>
        <v>135933.70000000001</v>
      </c>
    </row>
    <row r="230" spans="2:13" ht="12.95" customHeight="1" x14ac:dyDescent="0.3">
      <c r="B230" s="36" t="s">
        <v>16</v>
      </c>
      <c r="C230" s="44"/>
      <c r="D230" s="46"/>
      <c r="E230" s="37"/>
      <c r="F230" s="37"/>
      <c r="G230" s="38">
        <f>TRUNC(SUM(G229:G229))</f>
        <v>135933</v>
      </c>
      <c r="H230" s="37"/>
      <c r="I230" s="39">
        <f>TRUNC(SUM(I229:I229))</f>
        <v>135933</v>
      </c>
      <c r="J230" s="37"/>
      <c r="K230" s="38">
        <f>TRUNC(SUM(K229:K229))</f>
        <v>135933</v>
      </c>
      <c r="L230" s="37"/>
      <c r="M230" s="39">
        <f>TRUNC(SUM(M229:M229))</f>
        <v>135933</v>
      </c>
    </row>
    <row r="231" spans="2:13" ht="12.95" customHeight="1" x14ac:dyDescent="0.3">
      <c r="B231" s="24"/>
      <c r="C231" s="14"/>
      <c r="D231" s="6"/>
      <c r="E231" s="25"/>
      <c r="F231" s="25"/>
      <c r="G231" s="26"/>
      <c r="H231" s="25"/>
      <c r="I231" s="27"/>
      <c r="J231" s="25"/>
      <c r="K231" s="26"/>
      <c r="L231" s="25"/>
      <c r="M231" s="27"/>
    </row>
    <row r="232" spans="2:13" ht="12.95" customHeight="1" x14ac:dyDescent="0.3">
      <c r="B232" s="21" t="s">
        <v>18</v>
      </c>
      <c r="C232" s="15"/>
      <c r="D232" s="48"/>
      <c r="E232" s="28"/>
      <c r="F232" s="28"/>
      <c r="G232" s="29">
        <f>SUM(G230)</f>
        <v>135933</v>
      </c>
      <c r="H232" s="28"/>
      <c r="I232" s="29">
        <f>SUM(I230)</f>
        <v>135933</v>
      </c>
      <c r="J232" s="28"/>
      <c r="K232" s="29">
        <f>SUM(K230)</f>
        <v>135933</v>
      </c>
      <c r="L232" s="28"/>
      <c r="M232" s="29">
        <f>SUM(M230)</f>
        <v>135933</v>
      </c>
    </row>
    <row r="233" spans="2:13" ht="12.95" customHeight="1" x14ac:dyDescent="0.3">
      <c r="B233" s="115" t="s">
        <v>8</v>
      </c>
      <c r="C233" s="115" t="s">
        <v>12</v>
      </c>
      <c r="D233" s="111" t="s">
        <v>13</v>
      </c>
      <c r="E233" s="111" t="s">
        <v>9</v>
      </c>
      <c r="F233" s="113" t="s">
        <v>58</v>
      </c>
      <c r="G233" s="114"/>
      <c r="H233" s="114"/>
      <c r="I233" s="114"/>
      <c r="J233" s="114"/>
      <c r="K233" s="114"/>
      <c r="L233" s="114"/>
      <c r="M233" s="114"/>
    </row>
    <row r="234" spans="2:13" ht="12.95" customHeight="1" x14ac:dyDescent="0.3">
      <c r="B234" s="116"/>
      <c r="C234" s="116"/>
      <c r="D234" s="118"/>
      <c r="E234" s="118"/>
      <c r="F234" s="113" t="s">
        <v>59</v>
      </c>
      <c r="G234" s="119"/>
      <c r="H234" s="113" t="s">
        <v>60</v>
      </c>
      <c r="I234" s="119"/>
      <c r="J234" s="113" t="s">
        <v>61</v>
      </c>
      <c r="K234" s="119"/>
      <c r="L234" s="113" t="s">
        <v>62</v>
      </c>
      <c r="M234" s="114"/>
    </row>
    <row r="235" spans="2:13" ht="12.95" customHeight="1" x14ac:dyDescent="0.3">
      <c r="B235" s="117"/>
      <c r="C235" s="117"/>
      <c r="D235" s="112"/>
      <c r="E235" s="112"/>
      <c r="F235" s="75" t="s">
        <v>10</v>
      </c>
      <c r="G235" s="76" t="s">
        <v>11</v>
      </c>
      <c r="H235" s="75" t="s">
        <v>10</v>
      </c>
      <c r="I235" s="76" t="s">
        <v>11</v>
      </c>
      <c r="J235" s="75" t="s">
        <v>10</v>
      </c>
      <c r="K235" s="76" t="s">
        <v>11</v>
      </c>
      <c r="L235" s="75" t="s">
        <v>10</v>
      </c>
      <c r="M235" s="76" t="s">
        <v>11</v>
      </c>
    </row>
    <row r="236" spans="2:13" ht="12.95" customHeight="1" x14ac:dyDescent="0.3">
      <c r="B236" s="23" t="s">
        <v>0</v>
      </c>
      <c r="C236" s="14"/>
      <c r="D236" s="6" t="s">
        <v>14</v>
      </c>
      <c r="E236" s="83">
        <v>172068</v>
      </c>
      <c r="F236" s="85">
        <v>0.79</v>
      </c>
      <c r="G236" s="5">
        <f t="shared" ref="G236" si="53">TRUNC($E236*F236,1)</f>
        <v>135933.70000000001</v>
      </c>
      <c r="H236" s="85">
        <v>0.79</v>
      </c>
      <c r="I236" s="11">
        <f t="shared" ref="I236" si="54">TRUNC($E236*H236,1)</f>
        <v>135933.70000000001</v>
      </c>
      <c r="J236" s="85">
        <v>0.79</v>
      </c>
      <c r="K236" s="5">
        <f t="shared" ref="K236" si="55">TRUNC($E236*J236,1)</f>
        <v>135933.70000000001</v>
      </c>
      <c r="L236" s="85">
        <v>0.79</v>
      </c>
      <c r="M236" s="11">
        <f t="shared" ref="M236" si="56">TRUNC($E236*L236,1)</f>
        <v>135933.70000000001</v>
      </c>
    </row>
    <row r="237" spans="2:13" ht="12.95" customHeight="1" x14ac:dyDescent="0.3">
      <c r="B237" s="36" t="s">
        <v>16</v>
      </c>
      <c r="C237" s="44"/>
      <c r="D237" s="46"/>
      <c r="E237" s="37"/>
      <c r="F237" s="37"/>
      <c r="G237" s="38">
        <f>TRUNC(SUM(G236:G236))</f>
        <v>135933</v>
      </c>
      <c r="H237" s="37"/>
      <c r="I237" s="39">
        <f>TRUNC(SUM(I236:I236))</f>
        <v>135933</v>
      </c>
      <c r="J237" s="37"/>
      <c r="K237" s="38">
        <f>TRUNC(SUM(K236:K236))</f>
        <v>135933</v>
      </c>
      <c r="L237" s="37"/>
      <c r="M237" s="39">
        <f>TRUNC(SUM(M236:M236))</f>
        <v>135933</v>
      </c>
    </row>
    <row r="238" spans="2:13" ht="12.95" customHeight="1" x14ac:dyDescent="0.3">
      <c r="B238" s="24"/>
      <c r="C238" s="14"/>
      <c r="D238" s="6"/>
      <c r="E238" s="25"/>
      <c r="F238" s="25"/>
      <c r="G238" s="26"/>
      <c r="H238" s="25"/>
      <c r="I238" s="27"/>
      <c r="J238" s="25"/>
      <c r="K238" s="26"/>
      <c r="L238" s="25"/>
      <c r="M238" s="27"/>
    </row>
    <row r="239" spans="2:13" ht="12.95" customHeight="1" x14ac:dyDescent="0.3">
      <c r="B239" s="21" t="s">
        <v>18</v>
      </c>
      <c r="C239" s="15"/>
      <c r="D239" s="48"/>
      <c r="E239" s="28"/>
      <c r="F239" s="28"/>
      <c r="G239" s="29">
        <f>SUM(G237)</f>
        <v>135933</v>
      </c>
      <c r="H239" s="28"/>
      <c r="I239" s="29">
        <f>SUM(I237)</f>
        <v>135933</v>
      </c>
      <c r="J239" s="28"/>
      <c r="K239" s="29">
        <f>SUM(K237)</f>
        <v>135933</v>
      </c>
      <c r="L239" s="28"/>
      <c r="M239" s="29">
        <f>SUM(M237)</f>
        <v>135933</v>
      </c>
    </row>
    <row r="240" spans="2:13" ht="12.95" customHeight="1" x14ac:dyDescent="0.3">
      <c r="B240" s="115" t="s">
        <v>8</v>
      </c>
      <c r="C240" s="115" t="s">
        <v>12</v>
      </c>
      <c r="D240" s="111" t="s">
        <v>13</v>
      </c>
      <c r="E240" s="111" t="s">
        <v>9</v>
      </c>
      <c r="F240" s="113" t="s">
        <v>63</v>
      </c>
      <c r="G240" s="114"/>
      <c r="H240" s="114"/>
      <c r="I240" s="114"/>
      <c r="J240" s="114"/>
      <c r="K240" s="114"/>
      <c r="L240" s="114"/>
      <c r="M240" s="114"/>
    </row>
    <row r="241" spans="2:13" ht="12.95" customHeight="1" x14ac:dyDescent="0.3">
      <c r="B241" s="116"/>
      <c r="C241" s="116"/>
      <c r="D241" s="118"/>
      <c r="E241" s="118"/>
      <c r="F241" s="113" t="s">
        <v>54</v>
      </c>
      <c r="G241" s="119"/>
      <c r="H241" s="113" t="s">
        <v>55</v>
      </c>
      <c r="I241" s="119"/>
      <c r="J241" s="113" t="s">
        <v>56</v>
      </c>
      <c r="K241" s="119"/>
      <c r="L241" s="113" t="s">
        <v>57</v>
      </c>
      <c r="M241" s="114"/>
    </row>
    <row r="242" spans="2:13" ht="12.95" customHeight="1" x14ac:dyDescent="0.3">
      <c r="B242" s="117"/>
      <c r="C242" s="117"/>
      <c r="D242" s="112"/>
      <c r="E242" s="112"/>
      <c r="F242" s="75" t="s">
        <v>10</v>
      </c>
      <c r="G242" s="76" t="s">
        <v>11</v>
      </c>
      <c r="H242" s="75" t="s">
        <v>10</v>
      </c>
      <c r="I242" s="76" t="s">
        <v>11</v>
      </c>
      <c r="J242" s="75" t="s">
        <v>10</v>
      </c>
      <c r="K242" s="76" t="s">
        <v>11</v>
      </c>
      <c r="L242" s="75" t="s">
        <v>10</v>
      </c>
      <c r="M242" s="76" t="s">
        <v>11</v>
      </c>
    </row>
    <row r="243" spans="2:13" ht="12.95" customHeight="1" x14ac:dyDescent="0.3">
      <c r="B243" s="23" t="s">
        <v>0</v>
      </c>
      <c r="C243" s="14"/>
      <c r="D243" s="6" t="s">
        <v>14</v>
      </c>
      <c r="E243" s="83">
        <v>172068</v>
      </c>
      <c r="F243" s="85">
        <v>0.22</v>
      </c>
      <c r="G243" s="5">
        <f t="shared" ref="G243" si="57">TRUNC($E243*F243,1)</f>
        <v>37854.9</v>
      </c>
      <c r="H243" s="85">
        <v>0.27</v>
      </c>
      <c r="I243" s="11">
        <f t="shared" ref="I243" si="58">TRUNC($E243*H243,1)</f>
        <v>46458.3</v>
      </c>
      <c r="J243" s="85">
        <v>0.34</v>
      </c>
      <c r="K243" s="5">
        <f t="shared" ref="K243" si="59">TRUNC($E243*J243,1)</f>
        <v>58503.1</v>
      </c>
      <c r="L243" s="85">
        <v>0.4</v>
      </c>
      <c r="M243" s="11">
        <f t="shared" ref="M243" si="60">TRUNC($E243*L243,1)</f>
        <v>68827.199999999997</v>
      </c>
    </row>
    <row r="244" spans="2:13" ht="12.95" customHeight="1" x14ac:dyDescent="0.3">
      <c r="B244" s="36" t="s">
        <v>16</v>
      </c>
      <c r="C244" s="44"/>
      <c r="D244" s="46"/>
      <c r="E244" s="37"/>
      <c r="F244" s="37"/>
      <c r="G244" s="38">
        <f>TRUNC(SUM(G243:G243))</f>
        <v>37854</v>
      </c>
      <c r="H244" s="37"/>
      <c r="I244" s="39">
        <f>TRUNC(SUM(I243:I243))</f>
        <v>46458</v>
      </c>
      <c r="J244" s="37"/>
      <c r="K244" s="38">
        <f>TRUNC(SUM(K243:K243))</f>
        <v>58503</v>
      </c>
      <c r="L244" s="37"/>
      <c r="M244" s="39">
        <f>TRUNC(SUM(M243:M243))</f>
        <v>68827</v>
      </c>
    </row>
    <row r="245" spans="2:13" ht="12.95" customHeight="1" x14ac:dyDescent="0.3">
      <c r="B245" s="24"/>
      <c r="C245" s="14"/>
      <c r="D245" s="6"/>
      <c r="E245" s="25"/>
      <c r="F245" s="25"/>
      <c r="G245" s="26"/>
      <c r="H245" s="25"/>
      <c r="I245" s="27"/>
      <c r="J245" s="25"/>
      <c r="K245" s="26"/>
      <c r="L245" s="25"/>
      <c r="M245" s="27"/>
    </row>
    <row r="246" spans="2:13" ht="12.95" customHeight="1" x14ac:dyDescent="0.3">
      <c r="B246" s="21" t="s">
        <v>18</v>
      </c>
      <c r="C246" s="15"/>
      <c r="D246" s="48"/>
      <c r="E246" s="28"/>
      <c r="F246" s="28"/>
      <c r="G246" s="29">
        <f>SUM(G244)</f>
        <v>37854</v>
      </c>
      <c r="H246" s="28"/>
      <c r="I246" s="29">
        <f>SUM(I244)</f>
        <v>46458</v>
      </c>
      <c r="J246" s="28"/>
      <c r="K246" s="29">
        <f>SUM(K244)</f>
        <v>58503</v>
      </c>
      <c r="L246" s="28"/>
      <c r="M246" s="29">
        <f>SUM(M244)</f>
        <v>68827</v>
      </c>
    </row>
    <row r="247" spans="2:13" ht="12.95" customHeight="1" x14ac:dyDescent="0.3">
      <c r="B247" s="115" t="s">
        <v>8</v>
      </c>
      <c r="C247" s="115" t="s">
        <v>12</v>
      </c>
      <c r="D247" s="111" t="s">
        <v>13</v>
      </c>
      <c r="E247" s="111" t="s">
        <v>9</v>
      </c>
      <c r="F247" s="113" t="s">
        <v>63</v>
      </c>
      <c r="G247" s="114"/>
      <c r="H247" s="114"/>
      <c r="I247" s="114"/>
      <c r="J247" s="114"/>
      <c r="K247" s="114"/>
      <c r="L247" s="114"/>
      <c r="M247" s="114"/>
    </row>
    <row r="248" spans="2:13" ht="12.95" customHeight="1" x14ac:dyDescent="0.3">
      <c r="B248" s="116"/>
      <c r="C248" s="116"/>
      <c r="D248" s="118"/>
      <c r="E248" s="118"/>
      <c r="F248" s="113" t="s">
        <v>59</v>
      </c>
      <c r="G248" s="119"/>
      <c r="H248" s="113" t="s">
        <v>60</v>
      </c>
      <c r="I248" s="119"/>
      <c r="J248" s="113" t="s">
        <v>61</v>
      </c>
      <c r="K248" s="119"/>
      <c r="L248" s="113" t="s">
        <v>62</v>
      </c>
      <c r="M248" s="114"/>
    </row>
    <row r="249" spans="2:13" ht="12.95" customHeight="1" x14ac:dyDescent="0.3">
      <c r="B249" s="117"/>
      <c r="C249" s="117"/>
      <c r="D249" s="112"/>
      <c r="E249" s="112"/>
      <c r="F249" s="75" t="s">
        <v>10</v>
      </c>
      <c r="G249" s="76" t="s">
        <v>11</v>
      </c>
      <c r="H249" s="75" t="s">
        <v>10</v>
      </c>
      <c r="I249" s="76" t="s">
        <v>11</v>
      </c>
      <c r="J249" s="75" t="s">
        <v>10</v>
      </c>
      <c r="K249" s="76" t="s">
        <v>11</v>
      </c>
      <c r="L249" s="75" t="s">
        <v>10</v>
      </c>
      <c r="M249" s="76" t="s">
        <v>11</v>
      </c>
    </row>
    <row r="250" spans="2:13" ht="12.95" customHeight="1" x14ac:dyDescent="0.3">
      <c r="B250" s="23" t="s">
        <v>0</v>
      </c>
      <c r="C250" s="14"/>
      <c r="D250" s="6" t="s">
        <v>14</v>
      </c>
      <c r="E250" s="83">
        <v>172068</v>
      </c>
      <c r="F250" s="85">
        <v>0.46</v>
      </c>
      <c r="G250" s="5">
        <f t="shared" ref="G250" si="61">TRUNC($E250*F250,1)</f>
        <v>79151.199999999997</v>
      </c>
      <c r="H250" s="85">
        <v>0.52</v>
      </c>
      <c r="I250" s="11">
        <f t="shared" ref="I250" si="62">TRUNC($E250*H250,1)</f>
        <v>89475.3</v>
      </c>
      <c r="J250" s="85">
        <v>0.59</v>
      </c>
      <c r="K250" s="5">
        <f t="shared" ref="K250" si="63">TRUNC($E250*J250,1)</f>
        <v>101520.1</v>
      </c>
      <c r="L250" s="85">
        <v>0.65</v>
      </c>
      <c r="M250" s="11">
        <f t="shared" ref="M250" si="64">TRUNC($E250*L250,1)</f>
        <v>111844.2</v>
      </c>
    </row>
    <row r="251" spans="2:13" ht="12.95" customHeight="1" x14ac:dyDescent="0.3">
      <c r="B251" s="36" t="s">
        <v>16</v>
      </c>
      <c r="C251" s="44"/>
      <c r="D251" s="46"/>
      <c r="E251" s="37"/>
      <c r="F251" s="37"/>
      <c r="G251" s="38">
        <f>TRUNC(SUM(G250:G250))</f>
        <v>79151</v>
      </c>
      <c r="H251" s="37"/>
      <c r="I251" s="39">
        <f>TRUNC(SUM(I250:I250))</f>
        <v>89475</v>
      </c>
      <c r="J251" s="37"/>
      <c r="K251" s="38">
        <f>TRUNC(SUM(K250:K250))</f>
        <v>101520</v>
      </c>
      <c r="L251" s="37"/>
      <c r="M251" s="39">
        <f>TRUNC(SUM(M250:M250))</f>
        <v>111844</v>
      </c>
    </row>
    <row r="252" spans="2:13" ht="12.95" customHeight="1" x14ac:dyDescent="0.3">
      <c r="B252" s="24"/>
      <c r="C252" s="14"/>
      <c r="D252" s="6"/>
      <c r="E252" s="25"/>
      <c r="F252" s="25"/>
      <c r="G252" s="26"/>
      <c r="H252" s="25"/>
      <c r="I252" s="27"/>
      <c r="J252" s="25"/>
      <c r="K252" s="26"/>
      <c r="L252" s="25"/>
      <c r="M252" s="27"/>
    </row>
    <row r="253" spans="2:13" ht="12.95" customHeight="1" x14ac:dyDescent="0.3">
      <c r="B253" s="21" t="s">
        <v>18</v>
      </c>
      <c r="C253" s="15"/>
      <c r="D253" s="48"/>
      <c r="E253" s="28"/>
      <c r="F253" s="28"/>
      <c r="G253" s="29">
        <f>SUM(G251)</f>
        <v>79151</v>
      </c>
      <c r="H253" s="28"/>
      <c r="I253" s="29">
        <f>SUM(I251)</f>
        <v>89475</v>
      </c>
      <c r="J253" s="28"/>
      <c r="K253" s="29">
        <f>SUM(K251)</f>
        <v>101520</v>
      </c>
      <c r="L253" s="28"/>
      <c r="M253" s="29">
        <f>SUM(M251)</f>
        <v>111844</v>
      </c>
    </row>
    <row r="255" spans="2:13" ht="12.95" customHeight="1" x14ac:dyDescent="0.3">
      <c r="B255" s="64" t="s">
        <v>110</v>
      </c>
      <c r="C255" s="65"/>
      <c r="D255" s="50"/>
      <c r="E255" s="66"/>
      <c r="F255" s="50"/>
      <c r="G255" s="50"/>
      <c r="K255" s="47" t="s">
        <v>45</v>
      </c>
    </row>
    <row r="256" spans="2:13" ht="12.95" customHeight="1" x14ac:dyDescent="0.3">
      <c r="B256" s="107" t="s">
        <v>8</v>
      </c>
      <c r="C256" s="109" t="s">
        <v>21</v>
      </c>
      <c r="D256" s="104" t="s">
        <v>13</v>
      </c>
      <c r="E256" s="111" t="s">
        <v>9</v>
      </c>
      <c r="F256" s="113" t="s">
        <v>64</v>
      </c>
      <c r="G256" s="114"/>
      <c r="H256" s="113" t="s">
        <v>65</v>
      </c>
      <c r="I256" s="114"/>
      <c r="J256" s="113" t="s">
        <v>66</v>
      </c>
      <c r="K256" s="114"/>
    </row>
    <row r="257" spans="2:11" ht="12.95" customHeight="1" x14ac:dyDescent="0.3">
      <c r="B257" s="108"/>
      <c r="C257" s="110"/>
      <c r="D257" s="104"/>
      <c r="E257" s="112"/>
      <c r="F257" s="75" t="s">
        <v>10</v>
      </c>
      <c r="G257" s="76" t="s">
        <v>11</v>
      </c>
      <c r="H257" s="75" t="s">
        <v>10</v>
      </c>
      <c r="I257" s="76" t="s">
        <v>11</v>
      </c>
      <c r="J257" s="75" t="s">
        <v>10</v>
      </c>
      <c r="K257" s="76" t="s">
        <v>11</v>
      </c>
    </row>
    <row r="258" spans="2:11" ht="12.95" customHeight="1" x14ac:dyDescent="0.3">
      <c r="B258" s="17" t="s">
        <v>27</v>
      </c>
      <c r="C258" s="10" t="s">
        <v>26</v>
      </c>
      <c r="D258" s="49" t="s">
        <v>20</v>
      </c>
      <c r="E258" s="18"/>
      <c r="F258" s="71">
        <v>1</v>
      </c>
      <c r="G258" s="19">
        <f>TRUNC(SUM(G261:G262)*0.05,1)</f>
        <v>469.1</v>
      </c>
      <c r="H258" s="71">
        <v>1</v>
      </c>
      <c r="I258" s="19">
        <f>TRUNC(SUM(I261:I262)*0.05,1)</f>
        <v>488.7</v>
      </c>
      <c r="J258" s="71">
        <v>1</v>
      </c>
      <c r="K258" s="19">
        <f>TRUNC(SUM(K261:K262)*0.05,1)</f>
        <v>527.79999999999995</v>
      </c>
    </row>
    <row r="259" spans="2:11" ht="12.95" customHeight="1" x14ac:dyDescent="0.3">
      <c r="B259" s="41" t="s">
        <v>15</v>
      </c>
      <c r="C259" s="45"/>
      <c r="D259" s="43"/>
      <c r="E259" s="42"/>
      <c r="F259" s="52"/>
      <c r="G259" s="40">
        <f>TRUNC(SUM(G258))</f>
        <v>469</v>
      </c>
      <c r="H259" s="52"/>
      <c r="I259" s="40">
        <f>TRUNC(SUM(I258))</f>
        <v>488</v>
      </c>
      <c r="J259" s="52"/>
      <c r="K259" s="40">
        <f>TRUNC(SUM(K258))</f>
        <v>527</v>
      </c>
    </row>
    <row r="260" spans="2:11" ht="12.95" customHeight="1" x14ac:dyDescent="0.3">
      <c r="B260" s="61"/>
      <c r="C260" s="62"/>
      <c r="D260" s="62"/>
      <c r="E260" s="70"/>
      <c r="F260" s="88"/>
      <c r="G260" s="56"/>
      <c r="H260" s="88"/>
      <c r="I260" s="56"/>
      <c r="J260" s="88"/>
      <c r="K260" s="56"/>
    </row>
    <row r="261" spans="2:11" ht="12.95" customHeight="1" x14ac:dyDescent="0.3">
      <c r="B261" s="23" t="s">
        <v>33</v>
      </c>
      <c r="C261" s="14"/>
      <c r="D261" s="6" t="s">
        <v>14</v>
      </c>
      <c r="E261" s="79">
        <v>218933</v>
      </c>
      <c r="F261" s="87">
        <v>2.4E-2</v>
      </c>
      <c r="G261" s="11">
        <f t="shared" ref="G261:K262" si="65">TRUNC($E261*F261,1)</f>
        <v>5254.3</v>
      </c>
      <c r="H261" s="87">
        <v>2.5000000000000001E-2</v>
      </c>
      <c r="I261" s="11">
        <f t="shared" si="65"/>
        <v>5473.3</v>
      </c>
      <c r="J261" s="87">
        <v>2.7E-2</v>
      </c>
      <c r="K261" s="11">
        <f t="shared" si="65"/>
        <v>5911.1</v>
      </c>
    </row>
    <row r="262" spans="2:11" ht="12.95" customHeight="1" x14ac:dyDescent="0.3">
      <c r="B262" s="23" t="s">
        <v>0</v>
      </c>
      <c r="C262" s="14"/>
      <c r="D262" s="6" t="s">
        <v>14</v>
      </c>
      <c r="E262" s="78">
        <v>172068</v>
      </c>
      <c r="F262" s="87">
        <v>2.4E-2</v>
      </c>
      <c r="G262" s="11">
        <f t="shared" si="65"/>
        <v>4129.6000000000004</v>
      </c>
      <c r="H262" s="87">
        <v>2.5000000000000001E-2</v>
      </c>
      <c r="I262" s="11">
        <f t="shared" si="65"/>
        <v>4301.7</v>
      </c>
      <c r="J262" s="87">
        <v>2.7E-2</v>
      </c>
      <c r="K262" s="11">
        <f t="shared" si="65"/>
        <v>4645.8</v>
      </c>
    </row>
    <row r="263" spans="2:11" ht="12.95" customHeight="1" x14ac:dyDescent="0.3">
      <c r="B263" s="36" t="s">
        <v>16</v>
      </c>
      <c r="C263" s="62"/>
      <c r="D263" s="62"/>
      <c r="E263" s="70"/>
      <c r="F263" s="88"/>
      <c r="G263" s="68">
        <f>TRUNC(SUM(G261:G262))</f>
        <v>9383</v>
      </c>
      <c r="H263" s="88"/>
      <c r="I263" s="68">
        <f>TRUNC(SUM(I261:I262))</f>
        <v>9775</v>
      </c>
      <c r="J263" s="88"/>
      <c r="K263" s="68">
        <f>TRUNC(SUM(K261:K262))</f>
        <v>10556</v>
      </c>
    </row>
    <row r="264" spans="2:11" ht="12.95" customHeight="1" x14ac:dyDescent="0.3">
      <c r="B264" s="61"/>
      <c r="C264" s="62"/>
      <c r="D264" s="62"/>
      <c r="E264" s="70"/>
      <c r="F264" s="88"/>
      <c r="G264" s="56"/>
      <c r="H264" s="88"/>
      <c r="I264" s="56"/>
      <c r="J264" s="88"/>
      <c r="K264" s="56"/>
    </row>
    <row r="265" spans="2:11" ht="12.95" customHeight="1" x14ac:dyDescent="0.3">
      <c r="B265" s="54" t="s">
        <v>1</v>
      </c>
      <c r="C265" s="54" t="s">
        <v>5</v>
      </c>
      <c r="D265" s="67" t="s">
        <v>22</v>
      </c>
      <c r="E265" s="78">
        <v>1232</v>
      </c>
      <c r="F265" s="89">
        <v>0.19400000000000001</v>
      </c>
      <c r="G265" s="11">
        <f t="shared" ref="G265:K265" si="66">TRUNC($E265*F265,1)</f>
        <v>239</v>
      </c>
      <c r="H265" s="89">
        <v>0.20100000000000001</v>
      </c>
      <c r="I265" s="11">
        <f t="shared" si="66"/>
        <v>247.6</v>
      </c>
      <c r="J265" s="89">
        <v>0.215</v>
      </c>
      <c r="K265" s="11">
        <f t="shared" si="66"/>
        <v>264.8</v>
      </c>
    </row>
    <row r="266" spans="2:11" ht="12.95" customHeight="1" x14ac:dyDescent="0.3">
      <c r="B266" s="41" t="s">
        <v>17</v>
      </c>
      <c r="C266" s="62"/>
      <c r="D266" s="62"/>
      <c r="E266" s="55"/>
      <c r="F266" s="57"/>
      <c r="G266" s="69">
        <f>TRUNC(SUM(G265:G265))</f>
        <v>239</v>
      </c>
      <c r="H266" s="57"/>
      <c r="I266" s="69">
        <f>TRUNC(SUM(I265:I265))</f>
        <v>247</v>
      </c>
      <c r="J266" s="57"/>
      <c r="K266" s="69">
        <f>TRUNC(SUM(K265:K265))</f>
        <v>264</v>
      </c>
    </row>
    <row r="267" spans="2:11" ht="12.95" customHeight="1" x14ac:dyDescent="0.3">
      <c r="B267" s="20"/>
      <c r="C267" s="54"/>
      <c r="D267" s="54"/>
      <c r="E267" s="58"/>
      <c r="F267" s="52"/>
      <c r="G267" s="53"/>
      <c r="H267" s="52"/>
      <c r="I267" s="53"/>
      <c r="J267" s="52"/>
      <c r="K267" s="53"/>
    </row>
    <row r="268" spans="2:11" ht="12.95" customHeight="1" x14ac:dyDescent="0.3">
      <c r="B268" s="21" t="s">
        <v>18</v>
      </c>
      <c r="C268" s="63"/>
      <c r="D268" s="63"/>
      <c r="E268" s="59"/>
      <c r="F268" s="59"/>
      <c r="G268" s="60">
        <f>SUM(G259+G263+G266)</f>
        <v>10091</v>
      </c>
      <c r="H268" s="59"/>
      <c r="I268" s="60">
        <f>SUM(I259+I263+I266)</f>
        <v>10510</v>
      </c>
      <c r="J268" s="59"/>
      <c r="K268" s="60">
        <f>SUM(K259+K263+K266)</f>
        <v>11347</v>
      </c>
    </row>
    <row r="269" spans="2:11" ht="12.95" customHeight="1" x14ac:dyDescent="0.3">
      <c r="B269" s="32"/>
      <c r="C269" s="51"/>
      <c r="D269" s="51"/>
      <c r="E269" s="51"/>
      <c r="F269" s="51"/>
      <c r="G269" s="51"/>
      <c r="H269" s="51"/>
      <c r="I269" s="51"/>
      <c r="J269" s="51"/>
    </row>
    <row r="270" spans="2:11" ht="12.95" customHeight="1" x14ac:dyDescent="0.3">
      <c r="B270" s="64" t="s">
        <v>111</v>
      </c>
      <c r="C270" s="65"/>
      <c r="D270" s="50"/>
      <c r="E270" s="66"/>
      <c r="F270" s="50"/>
      <c r="G270" s="47" t="s">
        <v>67</v>
      </c>
    </row>
    <row r="271" spans="2:11" ht="12.95" customHeight="1" x14ac:dyDescent="0.3">
      <c r="B271" s="107" t="s">
        <v>8</v>
      </c>
      <c r="C271" s="109" t="s">
        <v>21</v>
      </c>
      <c r="D271" s="104" t="s">
        <v>13</v>
      </c>
      <c r="E271" s="111" t="s">
        <v>9</v>
      </c>
      <c r="F271" s="113" t="s">
        <v>70</v>
      </c>
      <c r="G271" s="114"/>
    </row>
    <row r="272" spans="2:11" ht="12.95" customHeight="1" x14ac:dyDescent="0.3">
      <c r="B272" s="108"/>
      <c r="C272" s="110"/>
      <c r="D272" s="104"/>
      <c r="E272" s="112"/>
      <c r="F272" s="75" t="s">
        <v>10</v>
      </c>
      <c r="G272" s="76" t="s">
        <v>11</v>
      </c>
    </row>
    <row r="273" spans="2:15" ht="12.95" customHeight="1" x14ac:dyDescent="0.3">
      <c r="B273" s="17" t="s">
        <v>27</v>
      </c>
      <c r="C273" s="10" t="s">
        <v>26</v>
      </c>
      <c r="D273" s="49" t="s">
        <v>20</v>
      </c>
      <c r="E273" s="18"/>
      <c r="F273" s="71">
        <v>1</v>
      </c>
      <c r="G273" s="19">
        <f>TRUNC(SUM(G276:G277)*0.05,1)</f>
        <v>117.2</v>
      </c>
    </row>
    <row r="274" spans="2:15" ht="12.95" customHeight="1" x14ac:dyDescent="0.3">
      <c r="B274" s="41" t="s">
        <v>15</v>
      </c>
      <c r="C274" s="45"/>
      <c r="D274" s="43"/>
      <c r="E274" s="42"/>
      <c r="F274" s="52"/>
      <c r="G274" s="40">
        <f>TRUNC(SUM(G273))</f>
        <v>117</v>
      </c>
    </row>
    <row r="275" spans="2:15" ht="12.95" customHeight="1" x14ac:dyDescent="0.3">
      <c r="B275" s="61"/>
      <c r="C275" s="62"/>
      <c r="D275" s="62"/>
      <c r="E275" s="70"/>
      <c r="F275" s="88"/>
      <c r="G275" s="56"/>
    </row>
    <row r="276" spans="2:15" ht="12.95" customHeight="1" x14ac:dyDescent="0.3">
      <c r="B276" s="23" t="s">
        <v>33</v>
      </c>
      <c r="C276" s="14"/>
      <c r="D276" s="6" t="s">
        <v>14</v>
      </c>
      <c r="E276" s="79">
        <v>218933</v>
      </c>
      <c r="F276" s="87">
        <v>6.0000000000000001E-3</v>
      </c>
      <c r="G276" s="11">
        <f t="shared" ref="G276:G277" si="67">TRUNC($E276*F276,1)</f>
        <v>1313.5</v>
      </c>
    </row>
    <row r="277" spans="2:15" ht="12.95" customHeight="1" x14ac:dyDescent="0.3">
      <c r="B277" s="23" t="s">
        <v>0</v>
      </c>
      <c r="C277" s="14"/>
      <c r="D277" s="6" t="s">
        <v>14</v>
      </c>
      <c r="E277" s="78">
        <v>172068</v>
      </c>
      <c r="F277" s="87">
        <v>6.0000000000000001E-3</v>
      </c>
      <c r="G277" s="11">
        <f t="shared" si="67"/>
        <v>1032.4000000000001</v>
      </c>
    </row>
    <row r="278" spans="2:15" ht="12.95" customHeight="1" x14ac:dyDescent="0.3">
      <c r="B278" s="36" t="s">
        <v>16</v>
      </c>
      <c r="C278" s="62"/>
      <c r="D278" s="62"/>
      <c r="E278" s="70"/>
      <c r="F278" s="88"/>
      <c r="G278" s="68">
        <f>TRUNC(SUM(G276:G277))</f>
        <v>2345</v>
      </c>
    </row>
    <row r="279" spans="2:15" ht="12.95" customHeight="1" x14ac:dyDescent="0.3">
      <c r="B279" s="61"/>
      <c r="C279" s="62"/>
      <c r="D279" s="62"/>
      <c r="E279" s="70"/>
      <c r="F279" s="88"/>
      <c r="G279" s="56"/>
    </row>
    <row r="280" spans="2:15" ht="12.95" customHeight="1" x14ac:dyDescent="0.3">
      <c r="B280" s="90" t="s">
        <v>68</v>
      </c>
      <c r="C280" s="91" t="s">
        <v>69</v>
      </c>
      <c r="D280" s="49" t="s">
        <v>31</v>
      </c>
      <c r="E280" s="78">
        <v>1007</v>
      </c>
      <c r="F280" s="89">
        <v>4.9000000000000002E-2</v>
      </c>
      <c r="G280" s="11">
        <f t="shared" ref="G280" si="68">TRUNC($E280*F280,1)</f>
        <v>49.3</v>
      </c>
    </row>
    <row r="281" spans="2:15" ht="12.95" customHeight="1" x14ac:dyDescent="0.3">
      <c r="B281" s="41" t="s">
        <v>17</v>
      </c>
      <c r="C281" s="62"/>
      <c r="D281" s="62"/>
      <c r="E281" s="55"/>
      <c r="F281" s="57"/>
      <c r="G281" s="69">
        <f>TRUNC(SUM(G280:G280))</f>
        <v>49</v>
      </c>
    </row>
    <row r="282" spans="2:15" ht="12.95" customHeight="1" x14ac:dyDescent="0.3">
      <c r="B282" s="20"/>
      <c r="C282" s="54"/>
      <c r="D282" s="54"/>
      <c r="E282" s="58"/>
      <c r="F282" s="52"/>
      <c r="G282" s="53"/>
    </row>
    <row r="283" spans="2:15" ht="12.95" customHeight="1" x14ac:dyDescent="0.3">
      <c r="B283" s="21" t="s">
        <v>18</v>
      </c>
      <c r="C283" s="63"/>
      <c r="D283" s="63"/>
      <c r="E283" s="59"/>
      <c r="F283" s="59"/>
      <c r="G283" s="60">
        <f>SUM(G274+G278+G281)</f>
        <v>2511</v>
      </c>
    </row>
    <row r="284" spans="2:15" ht="12.95" customHeight="1" x14ac:dyDescent="0.3">
      <c r="B284" s="32"/>
      <c r="C284" s="51"/>
      <c r="D284" s="51"/>
      <c r="E284" s="51"/>
      <c r="F284" s="51"/>
      <c r="G284" s="51"/>
    </row>
    <row r="285" spans="2:15" ht="12.95" customHeight="1" x14ac:dyDescent="0.3">
      <c r="B285" s="64" t="s">
        <v>112</v>
      </c>
      <c r="C285" s="65"/>
      <c r="D285" s="50"/>
      <c r="E285" s="66"/>
      <c r="F285" s="50"/>
      <c r="G285" s="47" t="s">
        <v>73</v>
      </c>
    </row>
    <row r="286" spans="2:15" ht="12.95" customHeight="1" x14ac:dyDescent="0.3">
      <c r="B286" s="107" t="s">
        <v>8</v>
      </c>
      <c r="C286" s="109" t="s">
        <v>21</v>
      </c>
      <c r="D286" s="104" t="s">
        <v>13</v>
      </c>
      <c r="E286" s="111" t="s">
        <v>9</v>
      </c>
      <c r="F286" s="104" t="s">
        <v>40</v>
      </c>
      <c r="G286" s="105" t="s">
        <v>41</v>
      </c>
    </row>
    <row r="287" spans="2:15" ht="12.95" customHeight="1" x14ac:dyDescent="0.3">
      <c r="B287" s="108"/>
      <c r="C287" s="110"/>
      <c r="D287" s="104"/>
      <c r="E287" s="112"/>
      <c r="F287" s="104"/>
      <c r="G287" s="106"/>
      <c r="O287" s="30"/>
    </row>
    <row r="288" spans="2:15" ht="12.95" customHeight="1" x14ac:dyDescent="0.3">
      <c r="B288" s="17" t="s">
        <v>27</v>
      </c>
      <c r="C288" s="10" t="s">
        <v>26</v>
      </c>
      <c r="D288" s="49" t="s">
        <v>20</v>
      </c>
      <c r="E288" s="18"/>
      <c r="F288" s="71">
        <v>1</v>
      </c>
      <c r="G288" s="19">
        <f>TRUNC(SUM(G291:G291)*0.05,1)</f>
        <v>120.4</v>
      </c>
      <c r="N288" s="30"/>
      <c r="O288" s="30"/>
    </row>
    <row r="289" spans="2:15" ht="12.95" customHeight="1" x14ac:dyDescent="0.3">
      <c r="B289" s="41" t="s">
        <v>15</v>
      </c>
      <c r="C289" s="45"/>
      <c r="D289" s="43"/>
      <c r="E289" s="42"/>
      <c r="F289" s="52"/>
      <c r="G289" s="40">
        <f>TRUNC(SUM(G288))</f>
        <v>120</v>
      </c>
      <c r="N289" s="30"/>
    </row>
    <row r="290" spans="2:15" ht="12.95" customHeight="1" x14ac:dyDescent="0.3">
      <c r="B290" s="61"/>
      <c r="C290" s="62"/>
      <c r="D290" s="62"/>
      <c r="E290" s="70"/>
      <c r="F290" s="88"/>
      <c r="G290" s="56"/>
    </row>
    <row r="291" spans="2:15" ht="12.95" customHeight="1" x14ac:dyDescent="0.3">
      <c r="B291" s="23" t="s">
        <v>33</v>
      </c>
      <c r="C291" s="14"/>
      <c r="D291" s="6" t="s">
        <v>14</v>
      </c>
      <c r="E291" s="79">
        <v>218933</v>
      </c>
      <c r="F291" s="87">
        <v>1.0999999999999999E-2</v>
      </c>
      <c r="G291" s="11">
        <f t="shared" ref="G291" si="69">TRUNC($E291*F291,1)</f>
        <v>2408.1999999999998</v>
      </c>
      <c r="O291" s="16"/>
    </row>
    <row r="292" spans="2:15" ht="12.95" customHeight="1" x14ac:dyDescent="0.3">
      <c r="B292" s="36" t="s">
        <v>16</v>
      </c>
      <c r="C292" s="62"/>
      <c r="D292" s="62"/>
      <c r="E292" s="70"/>
      <c r="F292" s="88"/>
      <c r="G292" s="68">
        <f>TRUNC(SUM(G291:G291))</f>
        <v>2408</v>
      </c>
      <c r="N292" s="16"/>
      <c r="O292" s="16"/>
    </row>
    <row r="293" spans="2:15" ht="12.95" customHeight="1" x14ac:dyDescent="0.3">
      <c r="B293" s="61"/>
      <c r="C293" s="62"/>
      <c r="D293" s="62"/>
      <c r="E293" s="70"/>
      <c r="F293" s="88"/>
      <c r="G293" s="56"/>
      <c r="N293" s="16"/>
      <c r="O293" s="16"/>
    </row>
    <row r="294" spans="2:15" ht="12.95" customHeight="1" x14ac:dyDescent="0.3">
      <c r="B294" s="90" t="s">
        <v>71</v>
      </c>
      <c r="C294" s="91" t="s">
        <v>72</v>
      </c>
      <c r="D294" s="49" t="s">
        <v>31</v>
      </c>
      <c r="E294" s="78">
        <v>321</v>
      </c>
      <c r="F294" s="89">
        <v>0.09</v>
      </c>
      <c r="G294" s="11">
        <f t="shared" ref="G294" si="70">TRUNC($E294*F294,1)</f>
        <v>28.8</v>
      </c>
      <c r="N294" s="16"/>
      <c r="O294" s="16"/>
    </row>
    <row r="295" spans="2:15" ht="12.95" customHeight="1" x14ac:dyDescent="0.3">
      <c r="B295" s="41" t="s">
        <v>17</v>
      </c>
      <c r="C295" s="62"/>
      <c r="D295" s="62"/>
      <c r="E295" s="55"/>
      <c r="F295" s="57"/>
      <c r="G295" s="69">
        <f>TRUNC(SUM(G294:G294))</f>
        <v>28</v>
      </c>
      <c r="N295" s="16"/>
      <c r="O295" s="16"/>
    </row>
    <row r="296" spans="2:15" ht="12.95" customHeight="1" x14ac:dyDescent="0.3">
      <c r="B296" s="20"/>
      <c r="C296" s="54"/>
      <c r="D296" s="54"/>
      <c r="E296" s="58"/>
      <c r="F296" s="52"/>
      <c r="G296" s="53"/>
      <c r="N296" s="16"/>
      <c r="O296" s="16"/>
    </row>
    <row r="297" spans="2:15" ht="12.95" customHeight="1" x14ac:dyDescent="0.3">
      <c r="B297" s="21" t="s">
        <v>18</v>
      </c>
      <c r="C297" s="63"/>
      <c r="D297" s="63"/>
      <c r="E297" s="59"/>
      <c r="F297" s="59"/>
      <c r="G297" s="60">
        <f>SUM(G289+G292+G295)</f>
        <v>2556</v>
      </c>
      <c r="N297" s="16"/>
      <c r="O297" s="16"/>
    </row>
    <row r="298" spans="2:15" ht="12.95" customHeight="1" x14ac:dyDescent="0.3">
      <c r="B298" s="32"/>
      <c r="C298" s="51"/>
      <c r="D298" s="51"/>
      <c r="E298" s="51"/>
      <c r="F298" s="51"/>
      <c r="G298" s="51"/>
      <c r="N298" s="16"/>
      <c r="O298" s="16"/>
    </row>
    <row r="299" spans="2:15" ht="12.95" customHeight="1" x14ac:dyDescent="0.3">
      <c r="B299" s="64" t="s">
        <v>113</v>
      </c>
      <c r="C299" s="65"/>
      <c r="D299" s="50"/>
      <c r="E299" s="66"/>
      <c r="F299" s="50"/>
      <c r="G299" s="50"/>
      <c r="I299" s="47" t="s">
        <v>73</v>
      </c>
      <c r="N299" s="16"/>
      <c r="O299" s="16"/>
    </row>
    <row r="300" spans="2:15" ht="12.95" customHeight="1" x14ac:dyDescent="0.3">
      <c r="B300" s="107" t="s">
        <v>8</v>
      </c>
      <c r="C300" s="109" t="s">
        <v>21</v>
      </c>
      <c r="D300" s="104" t="s">
        <v>13</v>
      </c>
      <c r="E300" s="111" t="s">
        <v>9</v>
      </c>
      <c r="F300" s="113" t="s">
        <v>74</v>
      </c>
      <c r="G300" s="114"/>
      <c r="H300" s="113" t="s">
        <v>75</v>
      </c>
      <c r="I300" s="114"/>
      <c r="N300" s="16"/>
      <c r="O300" s="16"/>
    </row>
    <row r="301" spans="2:15" ht="12.95" customHeight="1" x14ac:dyDescent="0.3">
      <c r="B301" s="108"/>
      <c r="C301" s="110"/>
      <c r="D301" s="104"/>
      <c r="E301" s="112"/>
      <c r="F301" s="75" t="s">
        <v>10</v>
      </c>
      <c r="G301" s="76" t="s">
        <v>11</v>
      </c>
      <c r="H301" s="75" t="s">
        <v>10</v>
      </c>
      <c r="I301" s="76" t="s">
        <v>11</v>
      </c>
      <c r="N301" s="16"/>
      <c r="O301" s="16"/>
    </row>
    <row r="302" spans="2:15" ht="12.95" customHeight="1" x14ac:dyDescent="0.3">
      <c r="B302" s="17" t="s">
        <v>27</v>
      </c>
      <c r="C302" s="10" t="s">
        <v>26</v>
      </c>
      <c r="D302" s="49" t="s">
        <v>20</v>
      </c>
      <c r="E302" s="18"/>
      <c r="F302" s="71">
        <v>1</v>
      </c>
      <c r="G302" s="19">
        <f>TRUNC(SUM(G305:G306)*0.05,1)</f>
        <v>195.4</v>
      </c>
      <c r="H302" s="71">
        <v>1</v>
      </c>
      <c r="I302" s="19">
        <f>TRUNC(SUM(I305:I306)*0.05,1)</f>
        <v>195.4</v>
      </c>
      <c r="N302" s="16"/>
      <c r="O302" s="16"/>
    </row>
    <row r="303" spans="2:15" ht="12.95" customHeight="1" x14ac:dyDescent="0.3">
      <c r="B303" s="41" t="s">
        <v>15</v>
      </c>
      <c r="C303" s="45"/>
      <c r="D303" s="43"/>
      <c r="E303" s="42"/>
      <c r="F303" s="52"/>
      <c r="G303" s="40">
        <f>TRUNC(SUM(G302))</f>
        <v>195</v>
      </c>
      <c r="H303" s="52"/>
      <c r="I303" s="40">
        <f>TRUNC(SUM(I302))</f>
        <v>195</v>
      </c>
      <c r="N303" s="16"/>
      <c r="O303" s="16"/>
    </row>
    <row r="304" spans="2:15" ht="12.95" customHeight="1" x14ac:dyDescent="0.3">
      <c r="B304" s="61"/>
      <c r="C304" s="62"/>
      <c r="D304" s="62"/>
      <c r="E304" s="70"/>
      <c r="F304" s="88"/>
      <c r="G304" s="56"/>
      <c r="H304" s="88"/>
      <c r="I304" s="56"/>
      <c r="N304" s="16"/>
      <c r="O304" s="16"/>
    </row>
    <row r="305" spans="2:15" ht="12.95" customHeight="1" x14ac:dyDescent="0.3">
      <c r="B305" s="23" t="s">
        <v>33</v>
      </c>
      <c r="C305" s="14"/>
      <c r="D305" s="6" t="s">
        <v>14</v>
      </c>
      <c r="E305" s="79">
        <v>218933</v>
      </c>
      <c r="F305" s="87">
        <v>0.01</v>
      </c>
      <c r="G305" s="11">
        <f t="shared" ref="G305:G306" si="71">TRUNC($E305*F305,1)</f>
        <v>2189.3000000000002</v>
      </c>
      <c r="H305" s="87">
        <v>0.01</v>
      </c>
      <c r="I305" s="11">
        <f t="shared" ref="I305:I306" si="72">TRUNC($E305*H305,1)</f>
        <v>2189.3000000000002</v>
      </c>
      <c r="N305" s="16"/>
      <c r="O305" s="16"/>
    </row>
    <row r="306" spans="2:15" ht="12.95" customHeight="1" x14ac:dyDescent="0.3">
      <c r="B306" s="23" t="s">
        <v>0</v>
      </c>
      <c r="C306" s="14"/>
      <c r="D306" s="6" t="s">
        <v>14</v>
      </c>
      <c r="E306" s="78">
        <v>172068</v>
      </c>
      <c r="F306" s="87">
        <v>0.01</v>
      </c>
      <c r="G306" s="11">
        <f t="shared" si="71"/>
        <v>1720.6</v>
      </c>
      <c r="H306" s="87">
        <v>0.01</v>
      </c>
      <c r="I306" s="11">
        <f t="shared" si="72"/>
        <v>1720.6</v>
      </c>
      <c r="N306" s="16"/>
      <c r="O306" s="16"/>
    </row>
    <row r="307" spans="2:15" ht="12.95" customHeight="1" x14ac:dyDescent="0.3">
      <c r="B307" s="36" t="s">
        <v>16</v>
      </c>
      <c r="C307" s="62"/>
      <c r="D307" s="62"/>
      <c r="E307" s="70"/>
      <c r="F307" s="88"/>
      <c r="G307" s="68">
        <f>TRUNC(SUM(G305:G306))</f>
        <v>3909</v>
      </c>
      <c r="H307" s="88"/>
      <c r="I307" s="68">
        <f>TRUNC(SUM(I305:I306))</f>
        <v>3909</v>
      </c>
      <c r="N307" s="16"/>
      <c r="O307" s="16"/>
    </row>
    <row r="308" spans="2:15" ht="12.95" customHeight="1" x14ac:dyDescent="0.3">
      <c r="B308" s="61"/>
      <c r="C308" s="62"/>
      <c r="D308" s="62"/>
      <c r="E308" s="70"/>
      <c r="F308" s="88"/>
      <c r="G308" s="56"/>
      <c r="H308" s="88"/>
      <c r="I308" s="56"/>
      <c r="N308" s="16"/>
    </row>
    <row r="309" spans="2:15" ht="12.95" customHeight="1" x14ac:dyDescent="0.3">
      <c r="B309" s="90" t="s">
        <v>76</v>
      </c>
      <c r="C309" s="91" t="s">
        <v>77</v>
      </c>
      <c r="D309" s="49" t="s">
        <v>31</v>
      </c>
      <c r="E309" s="78">
        <v>2101</v>
      </c>
      <c r="F309" s="89">
        <v>7.5999999999999998E-2</v>
      </c>
      <c r="G309" s="11">
        <f t="shared" ref="G309" si="73">TRUNC($E309*F309,1)</f>
        <v>159.6</v>
      </c>
      <c r="H309" s="89">
        <v>7.5999999999999998E-2</v>
      </c>
      <c r="I309" s="11">
        <f t="shared" ref="I309" si="74">TRUNC($E309*H309,1)</f>
        <v>159.6</v>
      </c>
    </row>
    <row r="310" spans="2:15" ht="12.95" customHeight="1" x14ac:dyDescent="0.3">
      <c r="B310" s="41" t="s">
        <v>17</v>
      </c>
      <c r="C310" s="62"/>
      <c r="D310" s="62"/>
      <c r="E310" s="55"/>
      <c r="F310" s="57"/>
      <c r="G310" s="69">
        <f>TRUNC(SUM(G309:G309))</f>
        <v>159</v>
      </c>
      <c r="H310" s="57"/>
      <c r="I310" s="69">
        <f>TRUNC(SUM(I309:I309))</f>
        <v>159</v>
      </c>
    </row>
    <row r="311" spans="2:15" ht="12.95" customHeight="1" x14ac:dyDescent="0.3">
      <c r="B311" s="20"/>
      <c r="C311" s="54"/>
      <c r="D311" s="54"/>
      <c r="E311" s="58"/>
      <c r="F311" s="52"/>
      <c r="G311" s="53"/>
      <c r="H311" s="52"/>
      <c r="I311" s="53"/>
    </row>
    <row r="312" spans="2:15" ht="12.95" customHeight="1" x14ac:dyDescent="0.3">
      <c r="B312" s="21" t="s">
        <v>18</v>
      </c>
      <c r="C312" s="63"/>
      <c r="D312" s="63"/>
      <c r="E312" s="59"/>
      <c r="F312" s="59"/>
      <c r="G312" s="60">
        <f>SUM(G303+G307+G310)</f>
        <v>4263</v>
      </c>
      <c r="H312" s="59"/>
      <c r="I312" s="60">
        <f>SUM(I303+I307+I310)</f>
        <v>4263</v>
      </c>
    </row>
    <row r="313" spans="2:15" ht="12.95" customHeight="1" x14ac:dyDescent="0.3">
      <c r="B313" s="32"/>
      <c r="C313" s="51"/>
      <c r="D313" s="51"/>
      <c r="E313" s="51"/>
      <c r="F313" s="51"/>
      <c r="G313" s="51"/>
    </row>
    <row r="314" spans="2:15" ht="12.95" customHeight="1" x14ac:dyDescent="0.3">
      <c r="B314" s="64" t="s">
        <v>114</v>
      </c>
      <c r="C314" s="65"/>
      <c r="D314" s="50"/>
      <c r="E314" s="66"/>
      <c r="F314" s="50"/>
      <c r="G314" s="47" t="s">
        <v>53</v>
      </c>
    </row>
    <row r="315" spans="2:15" ht="12.95" customHeight="1" x14ac:dyDescent="0.3">
      <c r="B315" s="107" t="s">
        <v>8</v>
      </c>
      <c r="C315" s="109" t="s">
        <v>21</v>
      </c>
      <c r="D315" s="104" t="s">
        <v>13</v>
      </c>
      <c r="E315" s="111" t="s">
        <v>9</v>
      </c>
      <c r="F315" s="104" t="s">
        <v>40</v>
      </c>
      <c r="G315" s="105" t="s">
        <v>41</v>
      </c>
    </row>
    <row r="316" spans="2:15" ht="12.95" customHeight="1" x14ac:dyDescent="0.3">
      <c r="B316" s="108"/>
      <c r="C316" s="110"/>
      <c r="D316" s="104"/>
      <c r="E316" s="112"/>
      <c r="F316" s="104"/>
      <c r="G316" s="106"/>
    </row>
    <row r="317" spans="2:15" ht="12.95" customHeight="1" x14ac:dyDescent="0.3">
      <c r="B317" s="17" t="s">
        <v>27</v>
      </c>
      <c r="C317" s="10" t="s">
        <v>26</v>
      </c>
      <c r="D317" s="49" t="s">
        <v>20</v>
      </c>
      <c r="E317" s="18"/>
      <c r="F317" s="71">
        <v>1</v>
      </c>
      <c r="G317" s="19">
        <f>TRUNC(SUM(G320:G320)*0.05,1)</f>
        <v>153.19999999999999</v>
      </c>
    </row>
    <row r="318" spans="2:15" ht="12.95" customHeight="1" x14ac:dyDescent="0.3">
      <c r="B318" s="41" t="s">
        <v>15</v>
      </c>
      <c r="C318" s="45"/>
      <c r="D318" s="43"/>
      <c r="E318" s="42"/>
      <c r="F318" s="52"/>
      <c r="G318" s="40">
        <f>TRUNC(SUM(G317))</f>
        <v>153</v>
      </c>
    </row>
    <row r="319" spans="2:15" ht="12.95" customHeight="1" x14ac:dyDescent="0.3">
      <c r="B319" s="61"/>
      <c r="C319" s="62"/>
      <c r="D319" s="62"/>
      <c r="E319" s="70"/>
      <c r="F319" s="88"/>
      <c r="G319" s="56"/>
      <c r="N319" s="30"/>
    </row>
    <row r="320" spans="2:15" ht="12.95" customHeight="1" x14ac:dyDescent="0.3">
      <c r="B320" s="23" t="s">
        <v>33</v>
      </c>
      <c r="C320" s="14"/>
      <c r="D320" s="6" t="s">
        <v>14</v>
      </c>
      <c r="E320" s="79">
        <v>218933</v>
      </c>
      <c r="F320" s="87">
        <v>1.4E-2</v>
      </c>
      <c r="G320" s="11">
        <f t="shared" ref="G320" si="75">TRUNC($E320*F320,1)</f>
        <v>3065</v>
      </c>
      <c r="N320" s="30"/>
    </row>
    <row r="321" spans="2:14" ht="12.95" customHeight="1" x14ac:dyDescent="0.3">
      <c r="B321" s="36" t="s">
        <v>16</v>
      </c>
      <c r="C321" s="62"/>
      <c r="D321" s="62"/>
      <c r="E321" s="70"/>
      <c r="F321" s="88"/>
      <c r="G321" s="68">
        <f>TRUNC(SUM(G320:G320))</f>
        <v>3065</v>
      </c>
      <c r="N321" s="30"/>
    </row>
    <row r="322" spans="2:14" ht="12.95" customHeight="1" x14ac:dyDescent="0.3">
      <c r="B322" s="61"/>
      <c r="C322" s="62"/>
      <c r="D322" s="62"/>
      <c r="E322" s="70"/>
      <c r="F322" s="88"/>
      <c r="G322" s="56"/>
      <c r="N322" s="30"/>
    </row>
    <row r="323" spans="2:14" ht="12.95" customHeight="1" x14ac:dyDescent="0.3">
      <c r="B323" s="90" t="s">
        <v>78</v>
      </c>
      <c r="C323" s="91" t="s">
        <v>79</v>
      </c>
      <c r="D323" s="49" t="s">
        <v>31</v>
      </c>
      <c r="E323" s="78">
        <v>9262</v>
      </c>
      <c r="F323" s="89">
        <v>0.111</v>
      </c>
      <c r="G323" s="11">
        <f t="shared" ref="G323" si="76">TRUNC($E323*F323,1)</f>
        <v>1028</v>
      </c>
      <c r="N323" s="30"/>
    </row>
    <row r="324" spans="2:14" ht="12.95" customHeight="1" x14ac:dyDescent="0.3">
      <c r="B324" s="41" t="s">
        <v>17</v>
      </c>
      <c r="C324" s="62"/>
      <c r="D324" s="62"/>
      <c r="E324" s="55"/>
      <c r="F324" s="57"/>
      <c r="G324" s="69">
        <f>TRUNC(SUM(G323:G323))</f>
        <v>1028</v>
      </c>
      <c r="N324" s="30"/>
    </row>
    <row r="325" spans="2:14" ht="12.95" customHeight="1" x14ac:dyDescent="0.3">
      <c r="B325" s="20"/>
      <c r="C325" s="54"/>
      <c r="D325" s="54"/>
      <c r="E325" s="58"/>
      <c r="F325" s="52"/>
      <c r="G325" s="53"/>
      <c r="N325" s="30"/>
    </row>
    <row r="326" spans="2:14" ht="12.95" customHeight="1" x14ac:dyDescent="0.3">
      <c r="B326" s="21" t="s">
        <v>18</v>
      </c>
      <c r="C326" s="63"/>
      <c r="D326" s="63"/>
      <c r="E326" s="59"/>
      <c r="F326" s="59"/>
      <c r="G326" s="60">
        <f>SUM(G318+G321+G324)</f>
        <v>4246</v>
      </c>
    </row>
    <row r="327" spans="2:14" ht="12.95" customHeight="1" x14ac:dyDescent="0.3">
      <c r="B327" s="32"/>
      <c r="C327" s="51"/>
      <c r="D327" s="51"/>
      <c r="E327" s="51"/>
      <c r="F327" s="51"/>
      <c r="G327" s="51"/>
    </row>
    <row r="328" spans="2:14" ht="12.95" customHeight="1" x14ac:dyDescent="0.3">
      <c r="B328" s="22" t="s">
        <v>115</v>
      </c>
      <c r="C328" s="31"/>
      <c r="D328" s="31"/>
      <c r="E328" s="31"/>
      <c r="F328" s="31"/>
      <c r="G328" s="47" t="s">
        <v>80</v>
      </c>
    </row>
    <row r="329" spans="2:14" ht="12.95" customHeight="1" x14ac:dyDescent="0.3">
      <c r="B329" s="100" t="s">
        <v>8</v>
      </c>
      <c r="C329" s="101" t="s">
        <v>12</v>
      </c>
      <c r="D329" s="102" t="s">
        <v>13</v>
      </c>
      <c r="E329" s="103" t="s">
        <v>9</v>
      </c>
      <c r="F329" s="104" t="s">
        <v>40</v>
      </c>
      <c r="G329" s="105" t="s">
        <v>41</v>
      </c>
    </row>
    <row r="330" spans="2:14" ht="12.95" customHeight="1" x14ac:dyDescent="0.3">
      <c r="B330" s="100"/>
      <c r="C330" s="101"/>
      <c r="D330" s="102"/>
      <c r="E330" s="103"/>
      <c r="F330" s="104"/>
      <c r="G330" s="106"/>
    </row>
    <row r="331" spans="2:14" ht="12.95" customHeight="1" x14ac:dyDescent="0.3">
      <c r="B331" s="23" t="s">
        <v>33</v>
      </c>
      <c r="C331" s="14"/>
      <c r="D331" s="6" t="s">
        <v>14</v>
      </c>
      <c r="E331" s="79">
        <v>218933</v>
      </c>
      <c r="F331" s="87">
        <v>0.68700000000000006</v>
      </c>
      <c r="G331" s="11">
        <f t="shared" ref="G331:G332" si="77">TRUNC($E331*F331,1)</f>
        <v>150406.9</v>
      </c>
      <c r="N331" s="16"/>
    </row>
    <row r="332" spans="2:14" ht="12.95" customHeight="1" x14ac:dyDescent="0.3">
      <c r="B332" s="23" t="s">
        <v>0</v>
      </c>
      <c r="C332" s="14"/>
      <c r="D332" s="6" t="s">
        <v>14</v>
      </c>
      <c r="E332" s="83">
        <v>172068</v>
      </c>
      <c r="F332" s="87">
        <v>0.34399999999999997</v>
      </c>
      <c r="G332" s="11">
        <f t="shared" si="77"/>
        <v>59191.3</v>
      </c>
      <c r="N332" s="16"/>
    </row>
    <row r="333" spans="2:14" ht="12.95" customHeight="1" x14ac:dyDescent="0.3">
      <c r="B333" s="36" t="s">
        <v>16</v>
      </c>
      <c r="C333" s="44"/>
      <c r="D333" s="46"/>
      <c r="E333" s="37"/>
      <c r="F333" s="37"/>
      <c r="G333" s="39">
        <f>TRUNC(SUM(G331:G332))</f>
        <v>209598</v>
      </c>
      <c r="N333" s="16"/>
    </row>
    <row r="334" spans="2:14" ht="12.95" customHeight="1" x14ac:dyDescent="0.3">
      <c r="B334" s="24"/>
      <c r="C334" s="14"/>
      <c r="D334" s="6"/>
      <c r="E334" s="25"/>
      <c r="F334" s="25"/>
      <c r="G334" s="27"/>
      <c r="N334" s="16"/>
    </row>
    <row r="335" spans="2:14" ht="12.95" customHeight="1" x14ac:dyDescent="0.3">
      <c r="B335" s="21" t="s">
        <v>18</v>
      </c>
      <c r="C335" s="15"/>
      <c r="D335" s="48"/>
      <c r="E335" s="28"/>
      <c r="F335" s="28"/>
      <c r="G335" s="29">
        <f>SUM(G333)</f>
        <v>209598</v>
      </c>
      <c r="N335" s="16"/>
    </row>
    <row r="336" spans="2:14" ht="12.95" customHeight="1" x14ac:dyDescent="0.3">
      <c r="B336" s="3"/>
      <c r="C336" s="9"/>
      <c r="D336" s="3"/>
      <c r="E336" s="13"/>
      <c r="F336" s="4"/>
      <c r="G336" s="4"/>
      <c r="N336" s="16"/>
    </row>
    <row r="337" spans="2:15" ht="12.95" customHeight="1" x14ac:dyDescent="0.3">
      <c r="B337" s="64" t="s">
        <v>116</v>
      </c>
      <c r="C337" s="65"/>
      <c r="D337" s="50"/>
      <c r="E337" s="66"/>
      <c r="F337" s="50"/>
      <c r="G337" s="47" t="s">
        <v>51</v>
      </c>
      <c r="H337" s="50"/>
      <c r="I337" s="50"/>
      <c r="J337" s="50"/>
    </row>
    <row r="338" spans="2:15" ht="12.95" customHeight="1" x14ac:dyDescent="0.3">
      <c r="B338" s="107" t="s">
        <v>8</v>
      </c>
      <c r="C338" s="109" t="s">
        <v>21</v>
      </c>
      <c r="D338" s="104" t="s">
        <v>13</v>
      </c>
      <c r="E338" s="111" t="s">
        <v>9</v>
      </c>
      <c r="F338" s="104" t="s">
        <v>40</v>
      </c>
      <c r="G338" s="105" t="s">
        <v>41</v>
      </c>
      <c r="H338" s="51"/>
      <c r="I338" s="51"/>
      <c r="J338" s="51"/>
    </row>
    <row r="339" spans="2:15" ht="12.95" customHeight="1" x14ac:dyDescent="0.3">
      <c r="B339" s="108"/>
      <c r="C339" s="110"/>
      <c r="D339" s="104"/>
      <c r="E339" s="112"/>
      <c r="F339" s="104"/>
      <c r="G339" s="106"/>
      <c r="H339" s="51"/>
      <c r="I339" s="51"/>
      <c r="J339" s="51"/>
      <c r="N339" s="30"/>
    </row>
    <row r="340" spans="2:15" ht="12.95" customHeight="1" x14ac:dyDescent="0.3">
      <c r="B340" s="74" t="s">
        <v>92</v>
      </c>
      <c r="C340" s="54" t="s">
        <v>2</v>
      </c>
      <c r="D340" s="67" t="s">
        <v>22</v>
      </c>
      <c r="E340" s="78">
        <v>9107</v>
      </c>
      <c r="F340" s="93">
        <v>46.7</v>
      </c>
      <c r="G340" s="11">
        <f t="shared" ref="G340" si="78">TRUNC($E340*F340,1)</f>
        <v>425296.9</v>
      </c>
      <c r="H340" s="51"/>
      <c r="I340" s="51"/>
      <c r="J340" s="51"/>
      <c r="N340" s="30"/>
    </row>
    <row r="341" spans="2:15" ht="12.95" customHeight="1" x14ac:dyDescent="0.3">
      <c r="B341" s="41" t="s">
        <v>15</v>
      </c>
      <c r="C341" s="62"/>
      <c r="D341" s="62"/>
      <c r="E341" s="70"/>
      <c r="F341" s="72"/>
      <c r="G341" s="68">
        <f>TRUNC(SUM(G340:G340))</f>
        <v>425296</v>
      </c>
      <c r="H341" s="51"/>
      <c r="I341" s="51"/>
      <c r="J341" s="51"/>
      <c r="N341" s="30"/>
    </row>
    <row r="342" spans="2:15" ht="12.95" customHeight="1" x14ac:dyDescent="0.3">
      <c r="B342" s="61"/>
      <c r="C342" s="62"/>
      <c r="D342" s="62"/>
      <c r="E342" s="70"/>
      <c r="F342" s="72"/>
      <c r="G342" s="56"/>
      <c r="H342" s="51"/>
      <c r="I342" s="51"/>
      <c r="J342" s="51"/>
      <c r="N342" s="30"/>
    </row>
    <row r="343" spans="2:15" ht="12.95" customHeight="1" x14ac:dyDescent="0.3">
      <c r="B343" s="23" t="s">
        <v>33</v>
      </c>
      <c r="C343" s="14"/>
      <c r="D343" s="6" t="s">
        <v>14</v>
      </c>
      <c r="E343" s="79">
        <v>218933</v>
      </c>
      <c r="F343" s="92">
        <v>36</v>
      </c>
      <c r="G343" s="11">
        <f t="shared" ref="G343:G345" si="79">TRUNC($E343*F343,1)</f>
        <v>7881588</v>
      </c>
      <c r="H343" s="51"/>
      <c r="I343" s="51"/>
      <c r="J343" s="51"/>
      <c r="N343" s="30"/>
    </row>
    <row r="344" spans="2:15" ht="12.95" customHeight="1" x14ac:dyDescent="0.3">
      <c r="B344" s="23" t="s">
        <v>0</v>
      </c>
      <c r="C344" s="14"/>
      <c r="D344" s="6" t="s">
        <v>14</v>
      </c>
      <c r="E344" s="78">
        <v>172068</v>
      </c>
      <c r="F344" s="92">
        <v>14</v>
      </c>
      <c r="G344" s="11">
        <f t="shared" si="79"/>
        <v>2408952</v>
      </c>
      <c r="H344" s="51"/>
      <c r="I344" s="51"/>
      <c r="J344" s="51"/>
      <c r="N344" s="16"/>
    </row>
    <row r="345" spans="2:15" ht="12.95" customHeight="1" x14ac:dyDescent="0.3">
      <c r="B345" s="74" t="s">
        <v>92</v>
      </c>
      <c r="C345" s="54" t="s">
        <v>2</v>
      </c>
      <c r="D345" s="67" t="s">
        <v>22</v>
      </c>
      <c r="E345" s="78">
        <v>58925</v>
      </c>
      <c r="F345" s="93">
        <v>46.7</v>
      </c>
      <c r="G345" s="11">
        <f t="shared" si="79"/>
        <v>2751797.5</v>
      </c>
      <c r="H345" s="51"/>
      <c r="I345" s="51"/>
      <c r="J345" s="51"/>
      <c r="O345" s="16"/>
    </row>
    <row r="346" spans="2:15" ht="12.95" customHeight="1" x14ac:dyDescent="0.3">
      <c r="B346" s="36" t="s">
        <v>16</v>
      </c>
      <c r="C346" s="62"/>
      <c r="D346" s="62"/>
      <c r="E346" s="70"/>
      <c r="F346" s="72"/>
      <c r="G346" s="68">
        <f>TRUNC(SUM(G343:G345))</f>
        <v>13042337</v>
      </c>
      <c r="H346" s="51"/>
      <c r="I346" s="51"/>
      <c r="J346" s="51"/>
      <c r="N346" s="35"/>
      <c r="O346" s="16"/>
    </row>
    <row r="347" spans="2:15" ht="12.95" customHeight="1" x14ac:dyDescent="0.3">
      <c r="B347" s="61"/>
      <c r="C347" s="62"/>
      <c r="D347" s="62"/>
      <c r="E347" s="70"/>
      <c r="F347" s="72"/>
      <c r="G347" s="56"/>
      <c r="H347" s="51"/>
      <c r="I347" s="51"/>
      <c r="J347" s="51"/>
      <c r="N347" s="35"/>
      <c r="O347" s="16"/>
    </row>
    <row r="348" spans="2:15" ht="12.95" customHeight="1" x14ac:dyDescent="0.3">
      <c r="B348" s="74" t="s">
        <v>92</v>
      </c>
      <c r="C348" s="54" t="s">
        <v>2</v>
      </c>
      <c r="D348" s="67" t="s">
        <v>22</v>
      </c>
      <c r="E348" s="78">
        <v>13873</v>
      </c>
      <c r="F348" s="93">
        <v>46.7</v>
      </c>
      <c r="G348" s="11">
        <f t="shared" ref="G348:G349" si="80">TRUNC($E348*F348,1)</f>
        <v>647869.1</v>
      </c>
      <c r="H348" s="51"/>
      <c r="I348" s="51"/>
      <c r="J348" s="51"/>
      <c r="N348" s="35"/>
      <c r="O348" s="16"/>
    </row>
    <row r="349" spans="2:15" ht="12.95" customHeight="1" x14ac:dyDescent="0.3">
      <c r="B349" s="54" t="s">
        <v>4</v>
      </c>
      <c r="C349" s="54" t="s">
        <v>2</v>
      </c>
      <c r="D349" s="67" t="s">
        <v>22</v>
      </c>
      <c r="E349" s="78">
        <v>3593</v>
      </c>
      <c r="F349" s="93">
        <v>46.7</v>
      </c>
      <c r="G349" s="11">
        <f t="shared" si="80"/>
        <v>167793.1</v>
      </c>
      <c r="H349" s="51"/>
      <c r="I349" s="51"/>
      <c r="J349" s="51"/>
      <c r="N349" s="35"/>
      <c r="O349" s="16"/>
    </row>
    <row r="350" spans="2:15" ht="12.95" customHeight="1" x14ac:dyDescent="0.3">
      <c r="B350" s="41" t="s">
        <v>17</v>
      </c>
      <c r="C350" s="62"/>
      <c r="D350" s="62"/>
      <c r="E350" s="55"/>
      <c r="F350" s="57"/>
      <c r="G350" s="69">
        <f>TRUNC(SUM(G348:G349))</f>
        <v>815662</v>
      </c>
      <c r="H350" s="51"/>
      <c r="I350" s="51"/>
      <c r="J350" s="51"/>
      <c r="N350" s="35"/>
      <c r="O350" s="16"/>
    </row>
    <row r="351" spans="2:15" ht="12.95" customHeight="1" x14ac:dyDescent="0.3">
      <c r="B351" s="20"/>
      <c r="C351" s="54"/>
      <c r="D351" s="54"/>
      <c r="E351" s="58"/>
      <c r="F351" s="52"/>
      <c r="G351" s="53"/>
      <c r="H351" s="51"/>
      <c r="I351" s="51"/>
      <c r="J351" s="51"/>
      <c r="N351" s="35"/>
      <c r="O351" s="16"/>
    </row>
    <row r="352" spans="2:15" ht="12.95" customHeight="1" x14ac:dyDescent="0.3">
      <c r="B352" s="21" t="s">
        <v>18</v>
      </c>
      <c r="C352" s="63"/>
      <c r="D352" s="63"/>
      <c r="E352" s="59"/>
      <c r="F352" s="59"/>
      <c r="G352" s="60">
        <f>SUM(G341+G346+G350)</f>
        <v>14283295</v>
      </c>
      <c r="H352" s="51"/>
      <c r="I352" s="51"/>
      <c r="J352" s="51"/>
      <c r="N352" s="35"/>
      <c r="O352" s="16"/>
    </row>
    <row r="353" spans="2:16" ht="12.95" customHeight="1" x14ac:dyDescent="0.3">
      <c r="B353" s="32"/>
      <c r="C353" s="51"/>
      <c r="D353" s="51"/>
      <c r="E353" s="51"/>
      <c r="F353" s="51"/>
      <c r="G353" s="51"/>
      <c r="H353" s="51"/>
      <c r="I353" s="51"/>
      <c r="J353" s="51"/>
      <c r="N353" s="35"/>
      <c r="O353" s="16"/>
    </row>
    <row r="354" spans="2:16" ht="12.95" customHeight="1" x14ac:dyDescent="0.3">
      <c r="B354" s="22" t="s">
        <v>117</v>
      </c>
      <c r="C354" s="31"/>
      <c r="D354" s="31"/>
      <c r="E354" s="31"/>
      <c r="F354" s="31"/>
      <c r="G354" s="47" t="s">
        <v>81</v>
      </c>
      <c r="N354" s="35"/>
      <c r="O354" s="35"/>
      <c r="P354" s="16"/>
    </row>
    <row r="355" spans="2:16" ht="12.95" customHeight="1" x14ac:dyDescent="0.3">
      <c r="B355" s="100" t="s">
        <v>8</v>
      </c>
      <c r="C355" s="101" t="s">
        <v>12</v>
      </c>
      <c r="D355" s="102" t="s">
        <v>13</v>
      </c>
      <c r="E355" s="103" t="s">
        <v>9</v>
      </c>
      <c r="F355" s="104" t="s">
        <v>40</v>
      </c>
      <c r="G355" s="105" t="s">
        <v>41</v>
      </c>
      <c r="N355" s="30"/>
      <c r="O355" s="35"/>
      <c r="P355" s="16"/>
    </row>
    <row r="356" spans="2:16" ht="12.95" customHeight="1" x14ac:dyDescent="0.3">
      <c r="B356" s="100"/>
      <c r="C356" s="101"/>
      <c r="D356" s="102"/>
      <c r="E356" s="103"/>
      <c r="F356" s="104"/>
      <c r="G356" s="106"/>
      <c r="N356" s="30"/>
      <c r="O356" s="35"/>
      <c r="P356" s="16"/>
    </row>
    <row r="357" spans="2:16" ht="12.95" customHeight="1" x14ac:dyDescent="0.3">
      <c r="B357" s="23" t="s">
        <v>33</v>
      </c>
      <c r="C357" s="14"/>
      <c r="D357" s="6" t="s">
        <v>14</v>
      </c>
      <c r="E357" s="79">
        <v>218933</v>
      </c>
      <c r="F357" s="87">
        <v>2.5000000000000001E-2</v>
      </c>
      <c r="G357" s="11">
        <f t="shared" ref="G357:G358" si="81">TRUNC($E357*F357,1)</f>
        <v>5473.3</v>
      </c>
      <c r="N357" s="30"/>
      <c r="O357" s="33"/>
      <c r="P357" s="16"/>
    </row>
    <row r="358" spans="2:16" ht="12.95" customHeight="1" x14ac:dyDescent="0.3">
      <c r="B358" s="23" t="s">
        <v>0</v>
      </c>
      <c r="C358" s="14"/>
      <c r="D358" s="6" t="s">
        <v>14</v>
      </c>
      <c r="E358" s="83">
        <v>172068</v>
      </c>
      <c r="F358" s="87">
        <v>1.2E-2</v>
      </c>
      <c r="G358" s="11">
        <f t="shared" si="81"/>
        <v>2064.8000000000002</v>
      </c>
      <c r="N358" s="30"/>
      <c r="O358" s="33"/>
      <c r="P358" s="16"/>
    </row>
    <row r="359" spans="2:16" ht="12.95" customHeight="1" x14ac:dyDescent="0.3">
      <c r="B359" s="36" t="s">
        <v>16</v>
      </c>
      <c r="C359" s="44"/>
      <c r="D359" s="46"/>
      <c r="E359" s="37"/>
      <c r="F359" s="37"/>
      <c r="G359" s="39">
        <f>TRUNC(SUM(G357:G358))</f>
        <v>7538</v>
      </c>
      <c r="N359" s="30"/>
      <c r="O359" s="34"/>
      <c r="P359" s="16"/>
    </row>
    <row r="360" spans="2:16" ht="12.95" customHeight="1" x14ac:dyDescent="0.3">
      <c r="B360" s="24"/>
      <c r="C360" s="14"/>
      <c r="D360" s="6"/>
      <c r="E360" s="25"/>
      <c r="F360" s="25"/>
      <c r="G360" s="27"/>
      <c r="N360" s="16"/>
      <c r="O360" s="16"/>
    </row>
    <row r="361" spans="2:16" ht="12.95" customHeight="1" x14ac:dyDescent="0.3">
      <c r="B361" s="21" t="s">
        <v>18</v>
      </c>
      <c r="C361" s="15"/>
      <c r="D361" s="48"/>
      <c r="E361" s="28"/>
      <c r="F361" s="28"/>
      <c r="G361" s="29">
        <f>SUM(G359)</f>
        <v>7538</v>
      </c>
    </row>
    <row r="362" spans="2:16" ht="12.95" customHeight="1" x14ac:dyDescent="0.3">
      <c r="B362" s="3"/>
      <c r="C362" s="9"/>
      <c r="D362" s="3"/>
      <c r="E362" s="13"/>
      <c r="F362" s="4"/>
      <c r="G362" s="4"/>
    </row>
    <row r="363" spans="2:16" ht="12.95" customHeight="1" x14ac:dyDescent="0.3">
      <c r="B363" s="22" t="s">
        <v>118</v>
      </c>
      <c r="C363" s="31"/>
      <c r="D363" s="31"/>
      <c r="E363" s="31"/>
      <c r="F363" s="31"/>
      <c r="G363" s="47" t="s">
        <v>73</v>
      </c>
    </row>
    <row r="364" spans="2:16" ht="12.95" customHeight="1" x14ac:dyDescent="0.3">
      <c r="B364" s="100" t="s">
        <v>8</v>
      </c>
      <c r="C364" s="101" t="s">
        <v>12</v>
      </c>
      <c r="D364" s="102" t="s">
        <v>13</v>
      </c>
      <c r="E364" s="103" t="s">
        <v>9</v>
      </c>
      <c r="F364" s="104" t="s">
        <v>40</v>
      </c>
      <c r="G364" s="105" t="s">
        <v>41</v>
      </c>
    </row>
    <row r="365" spans="2:16" ht="12.95" customHeight="1" x14ac:dyDescent="0.3">
      <c r="B365" s="100"/>
      <c r="C365" s="101"/>
      <c r="D365" s="102"/>
      <c r="E365" s="103"/>
      <c r="F365" s="104"/>
      <c r="G365" s="106"/>
    </row>
    <row r="366" spans="2:16" ht="12.95" customHeight="1" x14ac:dyDescent="0.3">
      <c r="B366" s="23" t="s">
        <v>33</v>
      </c>
      <c r="C366" s="14"/>
      <c r="D366" s="6" t="s">
        <v>14</v>
      </c>
      <c r="E366" s="79">
        <v>218933</v>
      </c>
      <c r="F366" s="87">
        <v>2.8000000000000001E-2</v>
      </c>
      <c r="G366" s="11">
        <f t="shared" ref="G366:G367" si="82">TRUNC($E366*F366,1)</f>
        <v>6130.1</v>
      </c>
    </row>
    <row r="367" spans="2:16" ht="12.95" customHeight="1" x14ac:dyDescent="0.3">
      <c r="B367" s="23" t="s">
        <v>0</v>
      </c>
      <c r="C367" s="14"/>
      <c r="D367" s="6" t="s">
        <v>14</v>
      </c>
      <c r="E367" s="83">
        <v>172068</v>
      </c>
      <c r="F367" s="87">
        <v>2.1999999999999999E-2</v>
      </c>
      <c r="G367" s="11">
        <f t="shared" si="82"/>
        <v>3785.4</v>
      </c>
    </row>
    <row r="368" spans="2:16" ht="12.95" customHeight="1" x14ac:dyDescent="0.3">
      <c r="B368" s="36" t="s">
        <v>16</v>
      </c>
      <c r="C368" s="44"/>
      <c r="D368" s="46"/>
      <c r="E368" s="37"/>
      <c r="F368" s="37"/>
      <c r="G368" s="39">
        <f>TRUNC(SUM(G366:G367))</f>
        <v>9915</v>
      </c>
    </row>
    <row r="369" spans="2:7" ht="12.95" customHeight="1" x14ac:dyDescent="0.3">
      <c r="B369" s="24"/>
      <c r="C369" s="14"/>
      <c r="D369" s="6"/>
      <c r="E369" s="25"/>
      <c r="F369" s="25"/>
      <c r="G369" s="27"/>
    </row>
    <row r="370" spans="2:7" ht="12.95" customHeight="1" x14ac:dyDescent="0.3">
      <c r="B370" s="21" t="s">
        <v>18</v>
      </c>
      <c r="C370" s="15"/>
      <c r="D370" s="48"/>
      <c r="E370" s="28"/>
      <c r="F370" s="28"/>
      <c r="G370" s="29">
        <f>SUM(G368)</f>
        <v>9915</v>
      </c>
    </row>
    <row r="371" spans="2:7" ht="12.95" customHeight="1" x14ac:dyDescent="0.3">
      <c r="B371" s="3"/>
      <c r="C371" s="9"/>
      <c r="D371" s="3"/>
      <c r="E371" s="13"/>
      <c r="F371" s="4"/>
      <c r="G371" s="4"/>
    </row>
    <row r="423" spans="14:14" ht="12.95" customHeight="1" x14ac:dyDescent="0.3">
      <c r="N423" s="16"/>
    </row>
    <row r="424" spans="14:14" ht="12.95" customHeight="1" x14ac:dyDescent="0.3">
      <c r="N424" s="16"/>
    </row>
    <row r="425" spans="14:14" ht="12.95" customHeight="1" x14ac:dyDescent="0.3">
      <c r="N425" s="16"/>
    </row>
    <row r="426" spans="14:14" ht="12.95" customHeight="1" x14ac:dyDescent="0.3">
      <c r="N426" s="16"/>
    </row>
    <row r="427" spans="14:14" ht="12.95" customHeight="1" x14ac:dyDescent="0.3">
      <c r="N427" s="16"/>
    </row>
    <row r="428" spans="14:14" ht="12.95" customHeight="1" x14ac:dyDescent="0.3">
      <c r="N428" s="16"/>
    </row>
    <row r="429" spans="14:14" ht="12.95" customHeight="1" x14ac:dyDescent="0.3">
      <c r="N429" s="16"/>
    </row>
    <row r="521" spans="14:15" ht="12.95" customHeight="1" x14ac:dyDescent="0.3">
      <c r="O521" s="16"/>
    </row>
    <row r="522" spans="14:15" ht="12.95" customHeight="1" x14ac:dyDescent="0.3">
      <c r="N522" s="16"/>
      <c r="O522" s="16"/>
    </row>
    <row r="523" spans="14:15" ht="12.95" customHeight="1" x14ac:dyDescent="0.3">
      <c r="N523" s="16"/>
      <c r="O523" s="16"/>
    </row>
    <row r="524" spans="14:15" ht="12.95" customHeight="1" x14ac:dyDescent="0.3">
      <c r="N524" s="16"/>
      <c r="O524" s="16"/>
    </row>
    <row r="525" spans="14:15" ht="12.95" customHeight="1" x14ac:dyDescent="0.3">
      <c r="N525" s="16"/>
      <c r="O525" s="16"/>
    </row>
    <row r="526" spans="14:15" ht="12.95" customHeight="1" x14ac:dyDescent="0.3">
      <c r="N526" s="16"/>
      <c r="O526" s="16"/>
    </row>
    <row r="527" spans="14:15" ht="12.95" customHeight="1" x14ac:dyDescent="0.3">
      <c r="N527" s="16"/>
      <c r="O527" s="16"/>
    </row>
    <row r="538" spans="14:15" ht="12.95" customHeight="1" x14ac:dyDescent="0.3">
      <c r="N538" s="16"/>
      <c r="O538" s="16"/>
    </row>
    <row r="539" spans="14:15" ht="12.95" customHeight="1" x14ac:dyDescent="0.3">
      <c r="N539" s="16"/>
      <c r="O539" s="16"/>
    </row>
    <row r="540" spans="14:15" ht="12.95" customHeight="1" x14ac:dyDescent="0.3">
      <c r="N540" s="16"/>
    </row>
    <row r="647" spans="14:15" ht="12.95" customHeight="1" x14ac:dyDescent="0.3">
      <c r="N647" s="50"/>
      <c r="O647" s="50"/>
    </row>
    <row r="648" spans="14:15" ht="12.95" customHeight="1" x14ac:dyDescent="0.3">
      <c r="N648" s="50"/>
      <c r="O648" s="50"/>
    </row>
    <row r="649" spans="14:15" ht="12.95" customHeight="1" x14ac:dyDescent="0.3">
      <c r="N649" s="50"/>
      <c r="O649" s="50"/>
    </row>
    <row r="650" spans="14:15" ht="12.95" customHeight="1" x14ac:dyDescent="0.3">
      <c r="N650" s="50"/>
      <c r="O650" s="50"/>
    </row>
    <row r="651" spans="14:15" ht="12.95" customHeight="1" x14ac:dyDescent="0.3">
      <c r="N651" s="50"/>
      <c r="O651" s="50"/>
    </row>
    <row r="652" spans="14:15" ht="12.95" customHeight="1" x14ac:dyDescent="0.3">
      <c r="N652" s="50"/>
      <c r="O652" s="50"/>
    </row>
    <row r="653" spans="14:15" ht="12.95" customHeight="1" x14ac:dyDescent="0.3">
      <c r="N653" s="50"/>
      <c r="O653" s="50"/>
    </row>
    <row r="654" spans="14:15" ht="12.95" customHeight="1" x14ac:dyDescent="0.3">
      <c r="N654" s="50"/>
      <c r="O654" s="50"/>
    </row>
    <row r="655" spans="14:15" ht="12.95" customHeight="1" x14ac:dyDescent="0.3">
      <c r="N655" s="50"/>
      <c r="O655" s="50"/>
    </row>
    <row r="656" spans="14:15" ht="12.95" customHeight="1" x14ac:dyDescent="0.3">
      <c r="N656" s="50"/>
      <c r="O656" s="50"/>
    </row>
    <row r="657" spans="14:15" ht="12.95" customHeight="1" x14ac:dyDescent="0.3">
      <c r="N657" s="50"/>
      <c r="O657" s="50"/>
    </row>
    <row r="658" spans="14:15" ht="12.95" customHeight="1" x14ac:dyDescent="0.3">
      <c r="N658" s="50"/>
      <c r="O658" s="50"/>
    </row>
    <row r="659" spans="14:15" ht="12.95" customHeight="1" x14ac:dyDescent="0.3">
      <c r="N659" s="50"/>
      <c r="O659" s="50"/>
    </row>
    <row r="660" spans="14:15" ht="12.95" customHeight="1" x14ac:dyDescent="0.3">
      <c r="N660" s="50"/>
      <c r="O660" s="50"/>
    </row>
    <row r="661" spans="14:15" ht="12.95" customHeight="1" x14ac:dyDescent="0.3">
      <c r="N661" s="50"/>
      <c r="O661" s="50"/>
    </row>
    <row r="662" spans="14:15" ht="12.95" customHeight="1" x14ac:dyDescent="0.3">
      <c r="N662" s="50"/>
      <c r="O662" s="50"/>
    </row>
    <row r="663" spans="14:15" ht="12.95" customHeight="1" x14ac:dyDescent="0.3">
      <c r="N663" s="50"/>
      <c r="O663" s="50"/>
    </row>
    <row r="664" spans="14:15" ht="12.95" customHeight="1" x14ac:dyDescent="0.3">
      <c r="N664" s="50"/>
      <c r="O664" s="50"/>
    </row>
    <row r="665" spans="14:15" ht="12.95" customHeight="1" x14ac:dyDescent="0.3">
      <c r="N665" s="50"/>
    </row>
  </sheetData>
  <mergeCells count="159">
    <mergeCell ref="F4:G4"/>
    <mergeCell ref="H4:I4"/>
    <mergeCell ref="B59:B60"/>
    <mergeCell ref="C59:C60"/>
    <mergeCell ref="D59:D60"/>
    <mergeCell ref="E59:E60"/>
    <mergeCell ref="B27:B28"/>
    <mergeCell ref="C27:C28"/>
    <mergeCell ref="D27:D28"/>
    <mergeCell ref="E27:E28"/>
    <mergeCell ref="B45:B46"/>
    <mergeCell ref="C45:C46"/>
    <mergeCell ref="D45:D46"/>
    <mergeCell ref="E45:E46"/>
    <mergeCell ref="B4:B6"/>
    <mergeCell ref="C4:C6"/>
    <mergeCell ref="D4:D6"/>
    <mergeCell ref="E4:E6"/>
    <mergeCell ref="F118:G118"/>
    <mergeCell ref="H118:I118"/>
    <mergeCell ref="F78:G78"/>
    <mergeCell ref="H78:I78"/>
    <mergeCell ref="B101:B103"/>
    <mergeCell ref="C101:C103"/>
    <mergeCell ref="D101:D103"/>
    <mergeCell ref="E101:E103"/>
    <mergeCell ref="F101:G101"/>
    <mergeCell ref="H101:I101"/>
    <mergeCell ref="B78:B80"/>
    <mergeCell ref="C78:C80"/>
    <mergeCell ref="D78:D80"/>
    <mergeCell ref="E78:E80"/>
    <mergeCell ref="B137:B138"/>
    <mergeCell ref="C137:C138"/>
    <mergeCell ref="D137:D138"/>
    <mergeCell ref="E137:E138"/>
    <mergeCell ref="B156:B157"/>
    <mergeCell ref="C156:C157"/>
    <mergeCell ref="D156:D157"/>
    <mergeCell ref="E156:E157"/>
    <mergeCell ref="B118:B120"/>
    <mergeCell ref="C118:C120"/>
    <mergeCell ref="D118:D120"/>
    <mergeCell ref="E118:E120"/>
    <mergeCell ref="H177:I177"/>
    <mergeCell ref="B195:B196"/>
    <mergeCell ref="C195:C196"/>
    <mergeCell ref="D195:D196"/>
    <mergeCell ref="E195:E196"/>
    <mergeCell ref="F195:G195"/>
    <mergeCell ref="H195:I195"/>
    <mergeCell ref="F156:F157"/>
    <mergeCell ref="G156:G157"/>
    <mergeCell ref="B177:B178"/>
    <mergeCell ref="C177:C178"/>
    <mergeCell ref="D177:D178"/>
    <mergeCell ref="E177:E178"/>
    <mergeCell ref="F177:G177"/>
    <mergeCell ref="B205:B206"/>
    <mergeCell ref="C205:C206"/>
    <mergeCell ref="D205:D206"/>
    <mergeCell ref="E205:E206"/>
    <mergeCell ref="F205:G205"/>
    <mergeCell ref="B215:B216"/>
    <mergeCell ref="C215:C216"/>
    <mergeCell ref="D215:D216"/>
    <mergeCell ref="E215:E216"/>
    <mergeCell ref="F215:G215"/>
    <mergeCell ref="H215:I215"/>
    <mergeCell ref="B226:B228"/>
    <mergeCell ref="C226:C228"/>
    <mergeCell ref="D226:D228"/>
    <mergeCell ref="E226:E228"/>
    <mergeCell ref="F226:M226"/>
    <mergeCell ref="F227:G227"/>
    <mergeCell ref="H227:I227"/>
    <mergeCell ref="J227:K227"/>
    <mergeCell ref="L227:M227"/>
    <mergeCell ref="B233:B235"/>
    <mergeCell ref="C233:C235"/>
    <mergeCell ref="D233:D235"/>
    <mergeCell ref="E233:E235"/>
    <mergeCell ref="F233:M233"/>
    <mergeCell ref="F234:G234"/>
    <mergeCell ref="H234:I234"/>
    <mergeCell ref="J234:K234"/>
    <mergeCell ref="L234:M234"/>
    <mergeCell ref="B240:B242"/>
    <mergeCell ref="C240:C242"/>
    <mergeCell ref="D240:D242"/>
    <mergeCell ref="E240:E242"/>
    <mergeCell ref="F240:M240"/>
    <mergeCell ref="F241:G241"/>
    <mergeCell ref="H241:I241"/>
    <mergeCell ref="J241:K241"/>
    <mergeCell ref="L241:M241"/>
    <mergeCell ref="B247:B249"/>
    <mergeCell ref="C247:C249"/>
    <mergeCell ref="D247:D249"/>
    <mergeCell ref="E247:E249"/>
    <mergeCell ref="F247:M247"/>
    <mergeCell ref="F248:G248"/>
    <mergeCell ref="H248:I248"/>
    <mergeCell ref="J248:K248"/>
    <mergeCell ref="L248:M248"/>
    <mergeCell ref="H300:I300"/>
    <mergeCell ref="B286:B287"/>
    <mergeCell ref="C286:C287"/>
    <mergeCell ref="D286:D287"/>
    <mergeCell ref="E286:E287"/>
    <mergeCell ref="F286:F287"/>
    <mergeCell ref="G286:G287"/>
    <mergeCell ref="J256:K256"/>
    <mergeCell ref="B271:B272"/>
    <mergeCell ref="C271:C272"/>
    <mergeCell ref="D271:D272"/>
    <mergeCell ref="E271:E272"/>
    <mergeCell ref="F271:G271"/>
    <mergeCell ref="B256:B257"/>
    <mergeCell ref="C256:C257"/>
    <mergeCell ref="D256:D257"/>
    <mergeCell ref="E256:E257"/>
    <mergeCell ref="F256:G256"/>
    <mergeCell ref="H256:I256"/>
    <mergeCell ref="B315:B316"/>
    <mergeCell ref="C315:C316"/>
    <mergeCell ref="D315:D316"/>
    <mergeCell ref="E315:E316"/>
    <mergeCell ref="F315:F316"/>
    <mergeCell ref="G315:G316"/>
    <mergeCell ref="B300:B301"/>
    <mergeCell ref="C300:C301"/>
    <mergeCell ref="D300:D301"/>
    <mergeCell ref="E300:E301"/>
    <mergeCell ref="F300:G300"/>
    <mergeCell ref="B338:B339"/>
    <mergeCell ref="C338:C339"/>
    <mergeCell ref="D338:D339"/>
    <mergeCell ref="E338:E339"/>
    <mergeCell ref="F338:F339"/>
    <mergeCell ref="G338:G339"/>
    <mergeCell ref="B329:B330"/>
    <mergeCell ref="C329:C330"/>
    <mergeCell ref="D329:D330"/>
    <mergeCell ref="E329:E330"/>
    <mergeCell ref="F329:F330"/>
    <mergeCell ref="G329:G330"/>
    <mergeCell ref="B364:B365"/>
    <mergeCell ref="C364:C365"/>
    <mergeCell ref="D364:D365"/>
    <mergeCell ref="E364:E365"/>
    <mergeCell ref="F364:F365"/>
    <mergeCell ref="G364:G365"/>
    <mergeCell ref="B355:B356"/>
    <mergeCell ref="C355:C356"/>
    <mergeCell ref="D355:D356"/>
    <mergeCell ref="E355:E356"/>
    <mergeCell ref="F355:F356"/>
    <mergeCell ref="G355:G356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궤도공사(상반기)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2026-01-01T07:59:16Z</dcterms:modified>
</cp:coreProperties>
</file>