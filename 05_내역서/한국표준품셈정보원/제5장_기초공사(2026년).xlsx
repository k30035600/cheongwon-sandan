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454C2998-E0C8-4F03-B9AA-8B56B6216F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기초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9" i="6" l="1"/>
  <c r="M688" i="6"/>
  <c r="M687" i="6"/>
  <c r="M686" i="6"/>
  <c r="K689" i="6"/>
  <c r="K688" i="6"/>
  <c r="K687" i="6"/>
  <c r="K686" i="6"/>
  <c r="K690" i="6" s="1"/>
  <c r="K692" i="6" s="1"/>
  <c r="I689" i="6"/>
  <c r="I688" i="6"/>
  <c r="I687" i="6"/>
  <c r="I686" i="6"/>
  <c r="I690" i="6" s="1"/>
  <c r="I692" i="6" s="1"/>
  <c r="G689" i="6"/>
  <c r="G688" i="6"/>
  <c r="G677" i="6"/>
  <c r="G678" i="6" s="1"/>
  <c r="G674" i="6"/>
  <c r="G668" i="6"/>
  <c r="I660" i="6"/>
  <c r="I661" i="6" s="1"/>
  <c r="G657" i="6"/>
  <c r="K651" i="6"/>
  <c r="G673" i="6"/>
  <c r="G672" i="6"/>
  <c r="G669" i="6" s="1"/>
  <c r="K656" i="6"/>
  <c r="K655" i="6"/>
  <c r="I635" i="6"/>
  <c r="I617" i="6"/>
  <c r="I640" i="6"/>
  <c r="I641" i="6" s="1"/>
  <c r="I637" i="6"/>
  <c r="I636" i="6"/>
  <c r="G630" i="6"/>
  <c r="I622" i="6"/>
  <c r="I623" i="6" s="1"/>
  <c r="G619" i="6"/>
  <c r="K618" i="6"/>
  <c r="K612" i="6"/>
  <c r="G585" i="6"/>
  <c r="G586" i="6" s="1"/>
  <c r="G582" i="6"/>
  <c r="I581" i="6"/>
  <c r="I580" i="6"/>
  <c r="I575" i="6"/>
  <c r="I563" i="6"/>
  <c r="I562" i="6"/>
  <c r="K567" i="6"/>
  <c r="K568" i="6" s="1"/>
  <c r="G564" i="6"/>
  <c r="I557" i="6"/>
  <c r="G524" i="6"/>
  <c r="G525" i="6" s="1"/>
  <c r="G521" i="6"/>
  <c r="I515" i="6"/>
  <c r="I520" i="6"/>
  <c r="K519" i="6"/>
  <c r="G462" i="6"/>
  <c r="G463" i="6"/>
  <c r="G449" i="6"/>
  <c r="G450" i="6"/>
  <c r="G364" i="6"/>
  <c r="G365" i="6" s="1"/>
  <c r="I361" i="6"/>
  <c r="I360" i="6"/>
  <c r="G359" i="6"/>
  <c r="I355" i="6"/>
  <c r="I344" i="6"/>
  <c r="I345" i="6" s="1"/>
  <c r="G341" i="6"/>
  <c r="I340" i="6"/>
  <c r="G339" i="6"/>
  <c r="I338" i="6"/>
  <c r="I334" i="6"/>
  <c r="K325" i="6"/>
  <c r="K326" i="6" s="1"/>
  <c r="G322" i="6"/>
  <c r="I321" i="6"/>
  <c r="K320" i="6"/>
  <c r="G319" i="6"/>
  <c r="K315" i="6"/>
  <c r="G306" i="6"/>
  <c r="G307" i="6" s="1"/>
  <c r="G303" i="6"/>
  <c r="I302" i="6"/>
  <c r="G301" i="6"/>
  <c r="I300" i="6"/>
  <c r="I296" i="6"/>
  <c r="K287" i="6"/>
  <c r="K288" i="6" s="1"/>
  <c r="K284" i="6"/>
  <c r="I283" i="6"/>
  <c r="G282" i="6"/>
  <c r="K281" i="6"/>
  <c r="I277" i="6"/>
  <c r="I265" i="6"/>
  <c r="I266" i="6" s="1"/>
  <c r="I262" i="6"/>
  <c r="G261" i="6"/>
  <c r="G260" i="6"/>
  <c r="I259" i="6"/>
  <c r="I255" i="6"/>
  <c r="K246" i="6"/>
  <c r="K247" i="6" s="1"/>
  <c r="K243" i="6"/>
  <c r="K242" i="6"/>
  <c r="K241" i="6"/>
  <c r="G240" i="6"/>
  <c r="I236" i="6"/>
  <c r="I227" i="6"/>
  <c r="I228" i="6" s="1"/>
  <c r="I224" i="6"/>
  <c r="I223" i="6"/>
  <c r="I222" i="6"/>
  <c r="I221" i="6"/>
  <c r="I217" i="6"/>
  <c r="K208" i="6"/>
  <c r="K209" i="6" s="1"/>
  <c r="I205" i="6"/>
  <c r="K204" i="6"/>
  <c r="I203" i="6"/>
  <c r="G202" i="6"/>
  <c r="K198" i="6"/>
  <c r="I186" i="6"/>
  <c r="I187" i="6" s="1"/>
  <c r="G183" i="6"/>
  <c r="G182" i="6"/>
  <c r="I181" i="6"/>
  <c r="I180" i="6"/>
  <c r="I176" i="6"/>
  <c r="K167" i="6"/>
  <c r="K168" i="6" s="1"/>
  <c r="G164" i="6"/>
  <c r="G163" i="6"/>
  <c r="K162" i="6"/>
  <c r="G161" i="6"/>
  <c r="K157" i="6"/>
  <c r="I148" i="6"/>
  <c r="I149" i="6" s="1"/>
  <c r="I145" i="6"/>
  <c r="I144" i="6"/>
  <c r="I143" i="6"/>
  <c r="I142" i="6"/>
  <c r="I138" i="6"/>
  <c r="K129" i="6"/>
  <c r="K130" i="6" s="1"/>
  <c r="G126" i="6"/>
  <c r="I125" i="6"/>
  <c r="I124" i="6"/>
  <c r="G123" i="6"/>
  <c r="K119" i="6"/>
  <c r="I107" i="6"/>
  <c r="I108" i="6" s="1"/>
  <c r="G104" i="6"/>
  <c r="G103" i="6"/>
  <c r="I102" i="6"/>
  <c r="G101" i="6"/>
  <c r="I97" i="6"/>
  <c r="K88" i="6"/>
  <c r="K89" i="6" s="1"/>
  <c r="G85" i="6"/>
  <c r="K84" i="6"/>
  <c r="I83" i="6"/>
  <c r="G82" i="6"/>
  <c r="K78" i="6"/>
  <c r="G69" i="6"/>
  <c r="G70" i="6" s="1"/>
  <c r="I66" i="6"/>
  <c r="I65" i="6"/>
  <c r="I64" i="6"/>
  <c r="I63" i="6"/>
  <c r="I59" i="6"/>
  <c r="I46" i="6"/>
  <c r="K45" i="6"/>
  <c r="K44" i="6"/>
  <c r="G50" i="6"/>
  <c r="G51" i="6" s="1"/>
  <c r="I47" i="6"/>
  <c r="K40" i="6"/>
  <c r="K27" i="6"/>
  <c r="K23" i="6"/>
  <c r="K17" i="6"/>
  <c r="K28" i="6"/>
  <c r="K24" i="6"/>
  <c r="I18" i="6"/>
  <c r="I22" i="6"/>
  <c r="K21" i="6"/>
  <c r="G8" i="6"/>
  <c r="I545" i="6"/>
  <c r="I547" i="6"/>
  <c r="I546" i="6"/>
  <c r="I544" i="6"/>
  <c r="M690" i="6" l="1"/>
  <c r="M692" i="6" s="1"/>
  <c r="K652" i="6"/>
  <c r="I612" i="6"/>
  <c r="K653" i="6"/>
  <c r="K657" i="6"/>
  <c r="K658" i="6" s="1"/>
  <c r="K660" i="6"/>
  <c r="K661" i="6" s="1"/>
  <c r="I657" i="6"/>
  <c r="I618" i="6"/>
  <c r="I613" i="6" s="1"/>
  <c r="G675" i="6"/>
  <c r="I619" i="6"/>
  <c r="I656" i="6"/>
  <c r="G651" i="6"/>
  <c r="I655" i="6"/>
  <c r="G575" i="6"/>
  <c r="G580" i="6"/>
  <c r="G656" i="6"/>
  <c r="I651" i="6"/>
  <c r="G655" i="6"/>
  <c r="G652" i="6" s="1"/>
  <c r="G660" i="6"/>
  <c r="G661" i="6" s="1"/>
  <c r="K619" i="6"/>
  <c r="I585" i="6"/>
  <c r="I586" i="6" s="1"/>
  <c r="I582" i="6"/>
  <c r="I583" i="6" s="1"/>
  <c r="K557" i="6"/>
  <c r="G635" i="6"/>
  <c r="G636" i="6"/>
  <c r="G637" i="6"/>
  <c r="G640" i="6"/>
  <c r="G641" i="6" s="1"/>
  <c r="I564" i="6"/>
  <c r="I565" i="6" s="1"/>
  <c r="I567" i="6"/>
  <c r="I568" i="6" s="1"/>
  <c r="K617" i="6"/>
  <c r="I638" i="6"/>
  <c r="I632" i="6"/>
  <c r="I631" i="6"/>
  <c r="I630" i="6"/>
  <c r="K622" i="6"/>
  <c r="K623" i="6" s="1"/>
  <c r="I576" i="6"/>
  <c r="I577" i="6"/>
  <c r="K562" i="6"/>
  <c r="G618" i="6"/>
  <c r="K563" i="6"/>
  <c r="G622" i="6"/>
  <c r="G623" i="6" s="1"/>
  <c r="K564" i="6"/>
  <c r="G612" i="6"/>
  <c r="G581" i="6"/>
  <c r="G617" i="6"/>
  <c r="I559" i="6"/>
  <c r="I558" i="6"/>
  <c r="I560" i="6" s="1"/>
  <c r="G557" i="6"/>
  <c r="G567" i="6"/>
  <c r="G568" i="6" s="1"/>
  <c r="G562" i="6"/>
  <c r="G563" i="6"/>
  <c r="G535" i="6"/>
  <c r="I535" i="6"/>
  <c r="G533" i="6"/>
  <c r="G534" i="6"/>
  <c r="I534" i="6"/>
  <c r="I533" i="6"/>
  <c r="K520" i="6"/>
  <c r="K516" i="6" s="1"/>
  <c r="K515" i="6"/>
  <c r="I519" i="6"/>
  <c r="I516" i="6" s="1"/>
  <c r="I517" i="6" s="1"/>
  <c r="I521" i="6"/>
  <c r="K521" i="6"/>
  <c r="K524" i="6"/>
  <c r="K525" i="6" s="1"/>
  <c r="I524" i="6"/>
  <c r="I525" i="6" s="1"/>
  <c r="G519" i="6"/>
  <c r="G515" i="6"/>
  <c r="G520" i="6"/>
  <c r="G464" i="6"/>
  <c r="G499" i="6"/>
  <c r="G459" i="6"/>
  <c r="G460" i="6" s="1"/>
  <c r="G502" i="6"/>
  <c r="G503" i="6" s="1"/>
  <c r="G497" i="6"/>
  <c r="G493" i="6"/>
  <c r="G498" i="6"/>
  <c r="I449" i="6"/>
  <c r="I450" i="6"/>
  <c r="G361" i="6"/>
  <c r="G451" i="6"/>
  <c r="G453" i="6" s="1"/>
  <c r="G360" i="6"/>
  <c r="G356" i="6" s="1"/>
  <c r="I364" i="6"/>
  <c r="I365" i="6" s="1"/>
  <c r="G355" i="6"/>
  <c r="I359" i="6"/>
  <c r="I202" i="6"/>
  <c r="I322" i="6"/>
  <c r="G302" i="6"/>
  <c r="I303" i="6"/>
  <c r="K322" i="6"/>
  <c r="I240" i="6"/>
  <c r="K240" i="6"/>
  <c r="K244" i="6" s="1"/>
  <c r="K202" i="6"/>
  <c r="I261" i="6"/>
  <c r="I319" i="6"/>
  <c r="K205" i="6"/>
  <c r="G281" i="6"/>
  <c r="K319" i="6"/>
  <c r="G340" i="6"/>
  <c r="I281" i="6"/>
  <c r="G223" i="6"/>
  <c r="G284" i="6"/>
  <c r="G262" i="6"/>
  <c r="I284" i="6"/>
  <c r="G243" i="6"/>
  <c r="G224" i="6"/>
  <c r="I243" i="6"/>
  <c r="G205" i="6"/>
  <c r="I341" i="6"/>
  <c r="I218" i="6"/>
  <c r="I219" i="6" s="1"/>
  <c r="I225" i="6"/>
  <c r="G315" i="6"/>
  <c r="G300" i="6"/>
  <c r="I315" i="6"/>
  <c r="G203" i="6"/>
  <c r="K277" i="6"/>
  <c r="G320" i="6"/>
  <c r="G265" i="6"/>
  <c r="G266" i="6" s="1"/>
  <c r="G344" i="6"/>
  <c r="G345" i="6" s="1"/>
  <c r="K203" i="6"/>
  <c r="G222" i="6"/>
  <c r="I306" i="6"/>
  <c r="I307" i="6" s="1"/>
  <c r="G208" i="6"/>
  <c r="G209" i="6" s="1"/>
  <c r="G246" i="6"/>
  <c r="G247" i="6" s="1"/>
  <c r="I260" i="6"/>
  <c r="G287" i="6"/>
  <c r="G288" i="6" s="1"/>
  <c r="I301" i="6"/>
  <c r="I297" i="6" s="1"/>
  <c r="I298" i="6" s="1"/>
  <c r="G325" i="6"/>
  <c r="G326" i="6" s="1"/>
  <c r="I339" i="6"/>
  <c r="G204" i="6"/>
  <c r="I208" i="6"/>
  <c r="I209" i="6" s="1"/>
  <c r="G217" i="6"/>
  <c r="G242" i="6"/>
  <c r="I246" i="6"/>
  <c r="I247" i="6" s="1"/>
  <c r="G255" i="6"/>
  <c r="G283" i="6"/>
  <c r="I287" i="6"/>
  <c r="I288" i="6" s="1"/>
  <c r="G296" i="6"/>
  <c r="G321" i="6"/>
  <c r="I325" i="6"/>
  <c r="I326" i="6" s="1"/>
  <c r="G334" i="6"/>
  <c r="G198" i="6"/>
  <c r="I164" i="6"/>
  <c r="G338" i="6"/>
  <c r="K164" i="6"/>
  <c r="K236" i="6"/>
  <c r="G227" i="6"/>
  <c r="G228" i="6" s="1"/>
  <c r="I282" i="6"/>
  <c r="I278" i="6" s="1"/>
  <c r="I279" i="6" s="1"/>
  <c r="I320" i="6"/>
  <c r="I242" i="6"/>
  <c r="I161" i="6"/>
  <c r="K321" i="6"/>
  <c r="G236" i="6"/>
  <c r="I198" i="6"/>
  <c r="G259" i="6"/>
  <c r="K282" i="6"/>
  <c r="K283" i="6"/>
  <c r="K161" i="6"/>
  <c r="I183" i="6"/>
  <c r="G277" i="6"/>
  <c r="G221" i="6"/>
  <c r="G241" i="6"/>
  <c r="I241" i="6"/>
  <c r="I204" i="6"/>
  <c r="I157" i="6"/>
  <c r="G180" i="6"/>
  <c r="G162" i="6"/>
  <c r="G158" i="6" s="1"/>
  <c r="K126" i="6"/>
  <c r="I162" i="6"/>
  <c r="G186" i="6"/>
  <c r="G187" i="6" s="1"/>
  <c r="G181" i="6"/>
  <c r="G167" i="6"/>
  <c r="G168" i="6" s="1"/>
  <c r="I167" i="6"/>
  <c r="I168" i="6" s="1"/>
  <c r="I163" i="6"/>
  <c r="K163" i="6"/>
  <c r="I182" i="6"/>
  <c r="I126" i="6"/>
  <c r="G176" i="6"/>
  <c r="G157" i="6"/>
  <c r="G145" i="6"/>
  <c r="I123" i="6"/>
  <c r="I120" i="6" s="1"/>
  <c r="K123" i="6"/>
  <c r="I60" i="6"/>
  <c r="I61" i="6" s="1"/>
  <c r="G144" i="6"/>
  <c r="I17" i="6"/>
  <c r="I19" i="6" s="1"/>
  <c r="I139" i="6"/>
  <c r="I140" i="6" s="1"/>
  <c r="I146" i="6"/>
  <c r="I119" i="6"/>
  <c r="G142" i="6"/>
  <c r="G148" i="6"/>
  <c r="G149" i="6" s="1"/>
  <c r="K124" i="6"/>
  <c r="G143" i="6"/>
  <c r="G129" i="6"/>
  <c r="G130" i="6" s="1"/>
  <c r="G125" i="6"/>
  <c r="I129" i="6"/>
  <c r="I130" i="6" s="1"/>
  <c r="G138" i="6"/>
  <c r="G124" i="6"/>
  <c r="G119" i="6"/>
  <c r="K85" i="6"/>
  <c r="I82" i="6"/>
  <c r="K125" i="6"/>
  <c r="I85" i="6"/>
  <c r="K82" i="6"/>
  <c r="I104" i="6"/>
  <c r="I78" i="6"/>
  <c r="G83" i="6"/>
  <c r="I101" i="6"/>
  <c r="G107" i="6"/>
  <c r="G108" i="6" s="1"/>
  <c r="K83" i="6"/>
  <c r="G102" i="6"/>
  <c r="G98" i="6" s="1"/>
  <c r="G84" i="6"/>
  <c r="G97" i="6"/>
  <c r="I103" i="6"/>
  <c r="G78" i="6"/>
  <c r="G88" i="6"/>
  <c r="G89" i="6" s="1"/>
  <c r="I88" i="6"/>
  <c r="I89" i="6" s="1"/>
  <c r="I84" i="6"/>
  <c r="I69" i="6"/>
  <c r="I70" i="6" s="1"/>
  <c r="K47" i="6"/>
  <c r="K46" i="6"/>
  <c r="K41" i="6" s="1"/>
  <c r="K42" i="6" s="1"/>
  <c r="I67" i="6"/>
  <c r="I40" i="6"/>
  <c r="I45" i="6"/>
  <c r="G65" i="6"/>
  <c r="I44" i="6"/>
  <c r="G59" i="6"/>
  <c r="G44" i="6"/>
  <c r="G64" i="6"/>
  <c r="K50" i="6"/>
  <c r="K51" i="6" s="1"/>
  <c r="G63" i="6"/>
  <c r="G66" i="6"/>
  <c r="I50" i="6"/>
  <c r="I51" i="6" s="1"/>
  <c r="G45" i="6"/>
  <c r="G47" i="6"/>
  <c r="I23" i="6"/>
  <c r="G40" i="6"/>
  <c r="I27" i="6"/>
  <c r="G46" i="6"/>
  <c r="I28" i="6"/>
  <c r="K22" i="6"/>
  <c r="K25" i="6" s="1"/>
  <c r="I21" i="6"/>
  <c r="K29" i="6"/>
  <c r="I24" i="6"/>
  <c r="K18" i="6"/>
  <c r="K19" i="6" s="1"/>
  <c r="G28" i="6"/>
  <c r="G24" i="6"/>
  <c r="G18" i="6"/>
  <c r="G17" i="6"/>
  <c r="G27" i="6"/>
  <c r="G22" i="6"/>
  <c r="G23" i="6"/>
  <c r="G21" i="6"/>
  <c r="I8" i="6"/>
  <c r="K8" i="6"/>
  <c r="G9" i="6"/>
  <c r="G11" i="6" s="1"/>
  <c r="G12" i="6" s="1"/>
  <c r="I548" i="6"/>
  <c r="I550" i="6" s="1"/>
  <c r="G545" i="6"/>
  <c r="G544" i="6"/>
  <c r="G546" i="6"/>
  <c r="G547" i="6"/>
  <c r="I478" i="6"/>
  <c r="I477" i="6"/>
  <c r="I480" i="6"/>
  <c r="I473" i="6"/>
  <c r="G687" i="6"/>
  <c r="G686" i="6"/>
  <c r="G690" i="6" s="1"/>
  <c r="I602" i="6"/>
  <c r="G602" i="6"/>
  <c r="I601" i="6"/>
  <c r="G601" i="6"/>
  <c r="K595" i="6"/>
  <c r="I595" i="6"/>
  <c r="G595" i="6"/>
  <c r="K594" i="6"/>
  <c r="I594" i="6"/>
  <c r="G594" i="6"/>
  <c r="G439" i="6"/>
  <c r="G440" i="6" s="1"/>
  <c r="G436" i="6"/>
  <c r="G435" i="6"/>
  <c r="G434" i="6"/>
  <c r="G433" i="6"/>
  <c r="G421" i="6"/>
  <c r="G420" i="6"/>
  <c r="G417" i="6"/>
  <c r="G416" i="6"/>
  <c r="G415" i="6"/>
  <c r="I404" i="6"/>
  <c r="I402" i="6"/>
  <c r="I398" i="6"/>
  <c r="I396" i="6"/>
  <c r="G394" i="6"/>
  <c r="G390" i="6"/>
  <c r="G382" i="6"/>
  <c r="G383" i="6" s="1"/>
  <c r="G379" i="6"/>
  <c r="G378" i="6"/>
  <c r="G377" i="6"/>
  <c r="G374" i="6"/>
  <c r="G375" i="6" s="1"/>
  <c r="I620" i="6" l="1"/>
  <c r="I652" i="6"/>
  <c r="K663" i="6"/>
  <c r="K664" i="6" s="1"/>
  <c r="I614" i="6"/>
  <c r="I615" i="6" s="1"/>
  <c r="I625" i="6" s="1"/>
  <c r="I626" i="6" s="1"/>
  <c r="G670" i="6"/>
  <c r="G680" i="6" s="1"/>
  <c r="G681" i="6" s="1"/>
  <c r="G658" i="6"/>
  <c r="I658" i="6"/>
  <c r="G653" i="6"/>
  <c r="G663" i="6" s="1"/>
  <c r="G664" i="6" s="1"/>
  <c r="G583" i="6"/>
  <c r="I633" i="6"/>
  <c r="I643" i="6" s="1"/>
  <c r="I644" i="6" s="1"/>
  <c r="I570" i="6"/>
  <c r="I571" i="6" s="1"/>
  <c r="G638" i="6"/>
  <c r="G632" i="6"/>
  <c r="K620" i="6"/>
  <c r="K614" i="6"/>
  <c r="K613" i="6"/>
  <c r="K615" i="6" s="1"/>
  <c r="K625" i="6" s="1"/>
  <c r="K626" i="6" s="1"/>
  <c r="G631" i="6"/>
  <c r="G614" i="6"/>
  <c r="I578" i="6"/>
  <c r="I588" i="6" s="1"/>
  <c r="I589" i="6" s="1"/>
  <c r="G620" i="6"/>
  <c r="G613" i="6"/>
  <c r="K565" i="6"/>
  <c r="K559" i="6"/>
  <c r="K558" i="6"/>
  <c r="G577" i="6"/>
  <c r="G576" i="6"/>
  <c r="G559" i="6"/>
  <c r="G558" i="6"/>
  <c r="G560" i="6" s="1"/>
  <c r="G565" i="6"/>
  <c r="I536" i="6"/>
  <c r="I538" i="6" s="1"/>
  <c r="I539" i="6" s="1"/>
  <c r="G536" i="6"/>
  <c r="G538" i="6" s="1"/>
  <c r="K522" i="6"/>
  <c r="I522" i="6"/>
  <c r="I527" i="6" s="1"/>
  <c r="I528" i="6" s="1"/>
  <c r="K517" i="6"/>
  <c r="G516" i="6"/>
  <c r="G517" i="6" s="1"/>
  <c r="G466" i="6"/>
  <c r="G467" i="6" s="1"/>
  <c r="G522" i="6"/>
  <c r="G362" i="6"/>
  <c r="G494" i="6"/>
  <c r="G495" i="6" s="1"/>
  <c r="G500" i="6"/>
  <c r="I451" i="6"/>
  <c r="G454" i="6"/>
  <c r="G357" i="6"/>
  <c r="K285" i="6"/>
  <c r="I230" i="6"/>
  <c r="I231" i="6" s="1"/>
  <c r="G285" i="6"/>
  <c r="I356" i="6"/>
  <c r="I357" i="6" s="1"/>
  <c r="I362" i="6"/>
  <c r="I206" i="6"/>
  <c r="I244" i="6"/>
  <c r="K237" i="6"/>
  <c r="K238" i="6" s="1"/>
  <c r="K249" i="6" s="1"/>
  <c r="K250" i="6" s="1"/>
  <c r="I316" i="6"/>
  <c r="I317" i="6" s="1"/>
  <c r="I263" i="6"/>
  <c r="G278" i="6"/>
  <c r="G279" i="6" s="1"/>
  <c r="K278" i="6"/>
  <c r="K279" i="6" s="1"/>
  <c r="K206" i="6"/>
  <c r="K316" i="6"/>
  <c r="K317" i="6" s="1"/>
  <c r="K199" i="6"/>
  <c r="K200" i="6" s="1"/>
  <c r="I342" i="6"/>
  <c r="K323" i="6"/>
  <c r="I158" i="6"/>
  <c r="I159" i="6" s="1"/>
  <c r="I256" i="6"/>
  <c r="I257" i="6" s="1"/>
  <c r="I127" i="6"/>
  <c r="I285" i="6"/>
  <c r="I290" i="6" s="1"/>
  <c r="I291" i="6" s="1"/>
  <c r="I199" i="6"/>
  <c r="I200" i="6" s="1"/>
  <c r="I335" i="6"/>
  <c r="I336" i="6" s="1"/>
  <c r="I237" i="6"/>
  <c r="I238" i="6" s="1"/>
  <c r="G323" i="6"/>
  <c r="G316" i="6"/>
  <c r="G317" i="6" s="1"/>
  <c r="G218" i="6"/>
  <c r="G219" i="6" s="1"/>
  <c r="G225" i="6"/>
  <c r="G206" i="6"/>
  <c r="G199" i="6"/>
  <c r="G200" i="6" s="1"/>
  <c r="I323" i="6"/>
  <c r="I304" i="6"/>
  <c r="I309" i="6" s="1"/>
  <c r="I310" i="6" s="1"/>
  <c r="K158" i="6"/>
  <c r="K159" i="6" s="1"/>
  <c r="G335" i="6"/>
  <c r="G336" i="6" s="1"/>
  <c r="G342" i="6"/>
  <c r="I184" i="6"/>
  <c r="G304" i="6"/>
  <c r="G297" i="6"/>
  <c r="G298" i="6" s="1"/>
  <c r="G127" i="6"/>
  <c r="I165" i="6"/>
  <c r="I121" i="6"/>
  <c r="G256" i="6"/>
  <c r="G257" i="6" s="1"/>
  <c r="G263" i="6"/>
  <c r="G237" i="6"/>
  <c r="G238" i="6" s="1"/>
  <c r="G244" i="6"/>
  <c r="G159" i="6"/>
  <c r="K165" i="6"/>
  <c r="G177" i="6"/>
  <c r="G178" i="6" s="1"/>
  <c r="G184" i="6"/>
  <c r="I177" i="6"/>
  <c r="I178" i="6" s="1"/>
  <c r="G165" i="6"/>
  <c r="G120" i="6"/>
  <c r="G121" i="6" s="1"/>
  <c r="K86" i="6"/>
  <c r="I151" i="6"/>
  <c r="I152" i="6" s="1"/>
  <c r="G86" i="6"/>
  <c r="K127" i="6"/>
  <c r="I79" i="6"/>
  <c r="I80" i="6" s="1"/>
  <c r="G146" i="6"/>
  <c r="G139" i="6"/>
  <c r="G140" i="6" s="1"/>
  <c r="K48" i="6"/>
  <c r="K53" i="6" s="1"/>
  <c r="K54" i="6" s="1"/>
  <c r="K79" i="6"/>
  <c r="K80" i="6" s="1"/>
  <c r="G105" i="6"/>
  <c r="K120" i="6"/>
  <c r="K121" i="6" s="1"/>
  <c r="I105" i="6"/>
  <c r="I98" i="6"/>
  <c r="I99" i="6" s="1"/>
  <c r="G99" i="6"/>
  <c r="I72" i="6"/>
  <c r="I73" i="6" s="1"/>
  <c r="I86" i="6"/>
  <c r="G79" i="6"/>
  <c r="G80" i="6" s="1"/>
  <c r="I25" i="6"/>
  <c r="I48" i="6"/>
  <c r="I41" i="6"/>
  <c r="I42" i="6" s="1"/>
  <c r="G60" i="6"/>
  <c r="G61" i="6" s="1"/>
  <c r="G67" i="6"/>
  <c r="G41" i="6"/>
  <c r="G42" i="6" s="1"/>
  <c r="G48" i="6"/>
  <c r="I29" i="6"/>
  <c r="K31" i="6"/>
  <c r="K32" i="6" s="1"/>
  <c r="G29" i="6"/>
  <c r="G25" i="6"/>
  <c r="G19" i="6"/>
  <c r="I9" i="6"/>
  <c r="I11" i="6" s="1"/>
  <c r="I12" i="6" s="1"/>
  <c r="K9" i="6"/>
  <c r="K11" i="6" s="1"/>
  <c r="K12" i="6" s="1"/>
  <c r="G548" i="6"/>
  <c r="G550" i="6" s="1"/>
  <c r="I394" i="6"/>
  <c r="I390" i="6"/>
  <c r="G437" i="6"/>
  <c r="G473" i="6"/>
  <c r="G404" i="6"/>
  <c r="G396" i="6"/>
  <c r="G402" i="6"/>
  <c r="G380" i="6"/>
  <c r="G385" i="6" s="1"/>
  <c r="G477" i="6"/>
  <c r="G478" i="6"/>
  <c r="G422" i="6"/>
  <c r="G398" i="6"/>
  <c r="I479" i="6"/>
  <c r="I481" i="6" s="1"/>
  <c r="G479" i="6"/>
  <c r="I483" i="6"/>
  <c r="I484" i="6" s="1"/>
  <c r="G483" i="6"/>
  <c r="G484" i="6" s="1"/>
  <c r="I397" i="6"/>
  <c r="G397" i="6"/>
  <c r="I603" i="6"/>
  <c r="I605" i="6" s="1"/>
  <c r="G480" i="6"/>
  <c r="I391" i="6"/>
  <c r="G391" i="6"/>
  <c r="G392" i="6" s="1"/>
  <c r="I403" i="6"/>
  <c r="I405" i="6" s="1"/>
  <c r="G403" i="6"/>
  <c r="I395" i="6"/>
  <c r="G395" i="6"/>
  <c r="G430" i="6"/>
  <c r="G431" i="6" s="1"/>
  <c r="I399" i="6"/>
  <c r="G399" i="6"/>
  <c r="G418" i="6"/>
  <c r="G412" i="6"/>
  <c r="G413" i="6" s="1"/>
  <c r="G633" i="6" l="1"/>
  <c r="G643" i="6" s="1"/>
  <c r="G644" i="6" s="1"/>
  <c r="G578" i="6"/>
  <c r="G588" i="6"/>
  <c r="G589" i="6" s="1"/>
  <c r="K560" i="6"/>
  <c r="K570" i="6" s="1"/>
  <c r="K571" i="6" s="1"/>
  <c r="I653" i="6"/>
  <c r="I663" i="6" s="1"/>
  <c r="I664" i="6" s="1"/>
  <c r="G615" i="6"/>
  <c r="G625" i="6" s="1"/>
  <c r="G626" i="6" s="1"/>
  <c r="K527" i="6"/>
  <c r="K528" i="6" s="1"/>
  <c r="G570" i="6"/>
  <c r="G571" i="6" s="1"/>
  <c r="G367" i="6"/>
  <c r="G368" i="6" s="1"/>
  <c r="G539" i="6"/>
  <c r="G527" i="6"/>
  <c r="G528" i="6" s="1"/>
  <c r="G328" i="6"/>
  <c r="G329" i="6" s="1"/>
  <c r="G505" i="6"/>
  <c r="G506" i="6" s="1"/>
  <c r="I453" i="6"/>
  <c r="I454" i="6" s="1"/>
  <c r="I91" i="6"/>
  <c r="I92" i="6" s="1"/>
  <c r="K290" i="6"/>
  <c r="K291" i="6" s="1"/>
  <c r="G290" i="6"/>
  <c r="G291" i="6" s="1"/>
  <c r="K211" i="6"/>
  <c r="K212" i="6" s="1"/>
  <c r="G151" i="6"/>
  <c r="G152" i="6" s="1"/>
  <c r="I249" i="6"/>
  <c r="I250" i="6" s="1"/>
  <c r="I211" i="6"/>
  <c r="I212" i="6" s="1"/>
  <c r="I367" i="6"/>
  <c r="I368" i="6" s="1"/>
  <c r="I268" i="6"/>
  <c r="I269" i="6" s="1"/>
  <c r="K328" i="6"/>
  <c r="K329" i="6" s="1"/>
  <c r="I170" i="6"/>
  <c r="I171" i="6" s="1"/>
  <c r="I189" i="6"/>
  <c r="I190" i="6" s="1"/>
  <c r="G309" i="6"/>
  <c r="G310" i="6" s="1"/>
  <c r="G347" i="6"/>
  <c r="G348" i="6" s="1"/>
  <c r="G230" i="6"/>
  <c r="G231" i="6" s="1"/>
  <c r="G249" i="6"/>
  <c r="G250" i="6" s="1"/>
  <c r="G268" i="6"/>
  <c r="G269" i="6" s="1"/>
  <c r="G132" i="6"/>
  <c r="G133" i="6" s="1"/>
  <c r="I132" i="6"/>
  <c r="I133" i="6" s="1"/>
  <c r="I328" i="6"/>
  <c r="I329" i="6" s="1"/>
  <c r="I347" i="6"/>
  <c r="I348" i="6" s="1"/>
  <c r="G91" i="6"/>
  <c r="G92" i="6" s="1"/>
  <c r="G189" i="6"/>
  <c r="G190" i="6" s="1"/>
  <c r="K170" i="6"/>
  <c r="K171" i="6" s="1"/>
  <c r="G211" i="6"/>
  <c r="G212" i="6" s="1"/>
  <c r="K91" i="6"/>
  <c r="K92" i="6" s="1"/>
  <c r="G170" i="6"/>
  <c r="G171" i="6" s="1"/>
  <c r="G72" i="6"/>
  <c r="G73" i="6" s="1"/>
  <c r="K132" i="6"/>
  <c r="K133" i="6" s="1"/>
  <c r="G110" i="6"/>
  <c r="G111" i="6" s="1"/>
  <c r="I110" i="6"/>
  <c r="I111" i="6" s="1"/>
  <c r="I31" i="6"/>
  <c r="I32" i="6" s="1"/>
  <c r="I53" i="6"/>
  <c r="I54" i="6" s="1"/>
  <c r="G53" i="6"/>
  <c r="G54" i="6" s="1"/>
  <c r="G31" i="6"/>
  <c r="G32" i="6" s="1"/>
  <c r="G603" i="6"/>
  <c r="G605" i="6" s="1"/>
  <c r="G442" i="6"/>
  <c r="G443" i="6" s="1"/>
  <c r="I392" i="6"/>
  <c r="G405" i="6"/>
  <c r="I596" i="6"/>
  <c r="I598" i="6" s="1"/>
  <c r="G474" i="6"/>
  <c r="I474" i="6"/>
  <c r="G596" i="6"/>
  <c r="G598" i="6" s="1"/>
  <c r="I400" i="6"/>
  <c r="G481" i="6"/>
  <c r="G424" i="6"/>
  <c r="G425" i="6" s="1"/>
  <c r="K596" i="6"/>
  <c r="K598" i="6" s="1"/>
  <c r="G400" i="6"/>
  <c r="G692" i="6"/>
  <c r="I407" i="6" l="1"/>
  <c r="G407" i="6"/>
  <c r="I475" i="6"/>
  <c r="I486" i="6" s="1"/>
  <c r="I487" i="6" s="1"/>
  <c r="G475" i="6"/>
  <c r="G486" i="6" s="1"/>
  <c r="G487" i="6" s="1"/>
</calcChain>
</file>

<file path=xl/sharedStrings.xml><?xml version="1.0" encoding="utf-8"?>
<sst xmlns="http://schemas.openxmlformats.org/spreadsheetml/2006/main" count="1347" uniqueCount="168">
  <si>
    <t>그라우팅펌프</t>
  </si>
  <si>
    <t>1.0㎥</t>
  </si>
  <si>
    <t>할석공</t>
  </si>
  <si>
    <t>형틀목공</t>
  </si>
  <si>
    <t>방수공</t>
  </si>
  <si>
    <t>보통인부</t>
  </si>
  <si>
    <t>중급기술자</t>
  </si>
  <si>
    <t>철골공</t>
  </si>
  <si>
    <t>0.2㎥</t>
  </si>
  <si>
    <t>그라우팅믹서</t>
  </si>
  <si>
    <t>강연선인장기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</si>
  <si>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</si>
  <si>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</si>
  <si>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</si>
  <si>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</si>
  <si>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</si>
  <si>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</si>
  <si>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공구손료</t>
    <phoneticPr fontId="5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</si>
  <si>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</si>
  <si>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</si>
  <si>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</si>
  <si>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</si>
  <si>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인력품의 3%</t>
    <phoneticPr fontId="3" type="noConversion"/>
  </si>
  <si>
    <t>합   계</t>
    <phoneticPr fontId="3" type="noConversion"/>
  </si>
  <si>
    <t>5ton</t>
  </si>
  <si>
    <t>hr</t>
    <phoneticPr fontId="3" type="noConversion"/>
  </si>
  <si>
    <t>식</t>
    <phoneticPr fontId="3" type="noConversion"/>
  </si>
  <si>
    <t>㎏</t>
    <phoneticPr fontId="3" type="noConversion"/>
  </si>
  <si>
    <t>크레인(타이어)</t>
    <phoneticPr fontId="3" type="noConversion"/>
  </si>
  <si>
    <t>25ton</t>
    <phoneticPr fontId="3" type="noConversion"/>
  </si>
  <si>
    <t>쌓기</t>
    <phoneticPr fontId="5" type="noConversion"/>
  </si>
  <si>
    <t>특별인부</t>
  </si>
  <si>
    <t>제5장 기초공사</t>
    <phoneticPr fontId="3" type="noConversion"/>
  </si>
  <si>
    <t>5-1 흙막이 및 물막이</t>
    <phoneticPr fontId="3" type="noConversion"/>
  </si>
  <si>
    <r>
      <t>5-1-1 P.P마대 및 톤마대 쌓기</t>
    </r>
    <r>
      <rPr>
        <sz val="9"/>
        <color theme="1"/>
        <rFont val="Yu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헐기</t>
    </r>
    <phoneticPr fontId="3" type="noConversion"/>
  </si>
  <si>
    <t>P.P 마대(0.024㎥/개)</t>
    <phoneticPr fontId="3" type="noConversion"/>
  </si>
  <si>
    <t>톤마대(0.7㎥/개)</t>
    <phoneticPr fontId="3" type="noConversion"/>
  </si>
  <si>
    <t>만들기</t>
    <phoneticPr fontId="5" type="noConversion"/>
  </si>
  <si>
    <t>헐기</t>
    <phoneticPr fontId="5" type="noConversion"/>
  </si>
  <si>
    <t>5m이하</t>
    <phoneticPr fontId="5" type="noConversion"/>
  </si>
  <si>
    <t>9∼11m</t>
    <phoneticPr fontId="5" type="noConversion"/>
  </si>
  <si>
    <t>용접공</t>
  </si>
  <si>
    <t>12∼14m</t>
    <phoneticPr fontId="5" type="noConversion"/>
  </si>
  <si>
    <t>15∼18m</t>
    <phoneticPr fontId="5" type="noConversion"/>
  </si>
  <si>
    <t>크레인(타이어)</t>
  </si>
  <si>
    <t>설치</t>
    <phoneticPr fontId="5" type="noConversion"/>
  </si>
  <si>
    <t>철거</t>
    <phoneticPr fontId="5" type="noConversion"/>
  </si>
  <si>
    <r>
      <t>1. 장비조립</t>
    </r>
    <r>
      <rPr>
        <sz val="9"/>
        <color theme="1"/>
        <rFont val="Yu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해체</t>
    </r>
    <phoneticPr fontId="3" type="noConversion"/>
  </si>
  <si>
    <t>(회당)</t>
    <phoneticPr fontId="3" type="noConversion"/>
  </si>
  <si>
    <t>수량</t>
    <phoneticPr fontId="3" type="noConversion"/>
  </si>
  <si>
    <t>금액</t>
    <phoneticPr fontId="3" type="noConversion"/>
  </si>
  <si>
    <t>트럽탑재형크레인</t>
  </si>
  <si>
    <t>2. 인력 및 장비 편성</t>
    <phoneticPr fontId="3" type="noConversion"/>
  </si>
  <si>
    <t>(일당)</t>
    <phoneticPr fontId="3" type="noConversion"/>
  </si>
  <si>
    <t>타격식</t>
    <phoneticPr fontId="5" type="noConversion"/>
  </si>
  <si>
    <t>회전식</t>
    <phoneticPr fontId="5" type="noConversion"/>
  </si>
  <si>
    <t>보링공</t>
  </si>
  <si>
    <t>크롤러드릴(공기식)</t>
    <phoneticPr fontId="3" type="noConversion"/>
  </si>
  <si>
    <t>공기압축기</t>
    <phoneticPr fontId="3" type="noConversion"/>
  </si>
  <si>
    <t>크롤러드릴(탑승유압식)</t>
    <phoneticPr fontId="3" type="noConversion"/>
  </si>
  <si>
    <t>21㎥/min</t>
    <phoneticPr fontId="3" type="noConversion"/>
  </si>
  <si>
    <t>110㎾</t>
    <phoneticPr fontId="3" type="noConversion"/>
  </si>
  <si>
    <t>17㎥/min</t>
    <phoneticPr fontId="3" type="noConversion"/>
  </si>
  <si>
    <t>4. 그라우팅</t>
  </si>
  <si>
    <t>인력품의 11%</t>
    <phoneticPr fontId="3" type="noConversion"/>
  </si>
  <si>
    <t>기계설비공</t>
  </si>
  <si>
    <t>190×2ℓ</t>
  </si>
  <si>
    <t>30~60ℓ/min</t>
  </si>
  <si>
    <t>5. 인장</t>
    <phoneticPr fontId="3" type="noConversion"/>
  </si>
  <si>
    <t>인력품의 9%</t>
    <phoneticPr fontId="3" type="noConversion"/>
  </si>
  <si>
    <t>60ton</t>
    <phoneticPr fontId="3" type="noConversion"/>
  </si>
  <si>
    <t>5-2 연약지반처리</t>
    <phoneticPr fontId="3" type="noConversion"/>
  </si>
  <si>
    <t>(100㎡당)</t>
    <phoneticPr fontId="3" type="noConversion"/>
  </si>
  <si>
    <t>5-2-1 매트부설</t>
    <phoneticPr fontId="5" type="noConversion"/>
  </si>
  <si>
    <t>연약지반</t>
    <phoneticPr fontId="5" type="noConversion"/>
  </si>
  <si>
    <t>잠수부</t>
    <phoneticPr fontId="3" type="noConversion"/>
  </si>
  <si>
    <t>4인 1조</t>
    <phoneticPr fontId="3" type="noConversion"/>
  </si>
  <si>
    <t>사면용</t>
    <phoneticPr fontId="5" type="noConversion"/>
  </si>
  <si>
    <t>5-3-3 말뚝두부정리(강관)</t>
    <phoneticPr fontId="3" type="noConversion"/>
  </si>
  <si>
    <t>ø400</t>
    <phoneticPr fontId="5" type="noConversion"/>
  </si>
  <si>
    <t>ø500</t>
    <phoneticPr fontId="5" type="noConversion"/>
  </si>
  <si>
    <t>ø600</t>
    <phoneticPr fontId="5" type="noConversion"/>
  </si>
  <si>
    <t>산소</t>
  </si>
  <si>
    <t>LPG</t>
  </si>
  <si>
    <t>ℓ</t>
    <phoneticPr fontId="3" type="noConversion"/>
  </si>
  <si>
    <t>인력품의 4%</t>
    <phoneticPr fontId="3" type="noConversion"/>
  </si>
  <si>
    <t>ø700</t>
    <phoneticPr fontId="5" type="noConversion"/>
  </si>
  <si>
    <t>ø800</t>
    <phoneticPr fontId="5" type="noConversion"/>
  </si>
  <si>
    <t>5-3-4 말뚝두부정리(콘크리트)</t>
    <phoneticPr fontId="3" type="noConversion"/>
  </si>
  <si>
    <t>잡재료비</t>
    <phoneticPr fontId="5" type="noConversion"/>
  </si>
  <si>
    <t>5-4 차수</t>
    <phoneticPr fontId="3" type="noConversion"/>
  </si>
  <si>
    <t>5-4-1 차수재공</t>
  </si>
  <si>
    <t>㎡</t>
    <phoneticPr fontId="3" type="noConversion"/>
  </si>
  <si>
    <t>30ton</t>
    <phoneticPr fontId="3" type="noConversion"/>
  </si>
  <si>
    <t>부직포</t>
    <phoneticPr fontId="3" type="noConversion"/>
  </si>
  <si>
    <t>부직포</t>
    <phoneticPr fontId="5" type="noConversion"/>
  </si>
  <si>
    <t>지오콤포지트</t>
    <phoneticPr fontId="3" type="noConversion"/>
  </si>
  <si>
    <t>지오콤포지트</t>
    <phoneticPr fontId="5" type="noConversion"/>
  </si>
  <si>
    <t>벤토나이트매트</t>
    <phoneticPr fontId="3" type="noConversion"/>
  </si>
  <si>
    <t>벤토나이트매트</t>
    <phoneticPr fontId="5" type="noConversion"/>
  </si>
  <si>
    <t>HDPE시트</t>
    <phoneticPr fontId="3" type="noConversion"/>
  </si>
  <si>
    <t>HDPE시트</t>
    <phoneticPr fontId="5" type="noConversion"/>
  </si>
  <si>
    <t>사면</t>
    <phoneticPr fontId="5" type="noConversion"/>
  </si>
  <si>
    <t>연약지반(도로/철도)</t>
    <phoneticPr fontId="5" type="noConversion"/>
  </si>
  <si>
    <t>연약지반(매립지)</t>
    <phoneticPr fontId="5" type="noConversion"/>
  </si>
  <si>
    <t>0.4㎥</t>
    <phoneticPr fontId="3" type="noConversion"/>
  </si>
  <si>
    <t>㎥당 단가</t>
    <phoneticPr fontId="3" type="noConversion"/>
  </si>
  <si>
    <t>시공량(㎥)</t>
    <phoneticPr fontId="5" type="noConversion"/>
  </si>
  <si>
    <t>시공량(개소)</t>
    <phoneticPr fontId="5" type="noConversion"/>
  </si>
  <si>
    <t>개소당 단가</t>
    <phoneticPr fontId="3" type="noConversion"/>
  </si>
  <si>
    <t>굴착기(무한궤도)</t>
  </si>
  <si>
    <t>시공량(㎡)</t>
  </si>
  <si>
    <t>시공량(㎡)</t>
    <phoneticPr fontId="3" type="noConversion"/>
  </si>
  <si>
    <t>㎡당 단가</t>
    <phoneticPr fontId="3" type="noConversion"/>
  </si>
  <si>
    <t>[주] 크레인 규격은 작업여건(시공높이, 시공위치 등) 및 안전율(적정하중, 작업반경 등)을 고려하여 적합한 규격을 적용한다.</t>
    <phoneticPr fontId="3" type="noConversion"/>
  </si>
  <si>
    <t>[참고자료] 매트고정이 필요한 경우 재료량은 다음을 참고한다.</t>
    <phoneticPr fontId="3" type="noConversion"/>
  </si>
  <si>
    <t>※ 재료량은 할증이 포함되어 있다.</t>
    <phoneticPr fontId="3" type="noConversion"/>
  </si>
  <si>
    <t>매트</t>
    <phoneticPr fontId="3" type="noConversion"/>
  </si>
  <si>
    <t>모래주머니</t>
    <phoneticPr fontId="3" type="noConversion"/>
  </si>
  <si>
    <t>철근</t>
    <phoneticPr fontId="3" type="noConversion"/>
  </si>
  <si>
    <t>9㎜</t>
    <phoneticPr fontId="3" type="noConversion"/>
  </si>
  <si>
    <t>P.P로프</t>
    <phoneticPr fontId="3" type="noConversion"/>
  </si>
  <si>
    <t>㎡</t>
  </si>
  <si>
    <t>m</t>
  </si>
  <si>
    <t>개</t>
  </si>
  <si>
    <t>육상부설</t>
  </si>
  <si>
    <t>수중부설</t>
  </si>
  <si>
    <t>시공량(개)</t>
  </si>
  <si>
    <t>10개당 단가</t>
    <phoneticPr fontId="3" type="noConversion"/>
  </si>
  <si>
    <t>m당 단가</t>
    <phoneticPr fontId="3" type="noConversion"/>
  </si>
  <si>
    <t>시공량(m)</t>
    <phoneticPr fontId="3" type="noConversion"/>
  </si>
  <si>
    <t>H=250∼500</t>
    <phoneticPr fontId="3" type="noConversion"/>
  </si>
  <si>
    <t>6~8m</t>
    <phoneticPr fontId="5" type="noConversion"/>
  </si>
  <si>
    <t>5-1-2 H-Beam 설치(띠장)</t>
  </si>
  <si>
    <t>H=600∼800</t>
    <phoneticPr fontId="3" type="noConversion"/>
  </si>
  <si>
    <t>5-1-3 H-Beam 설치(버팀보)</t>
  </si>
  <si>
    <t>본당 단가</t>
    <phoneticPr fontId="3" type="noConversion"/>
  </si>
  <si>
    <t>시공량(본)</t>
    <phoneticPr fontId="3" type="noConversion"/>
  </si>
  <si>
    <t>5-1-4 H-Beam 해체(띠장)</t>
  </si>
  <si>
    <t>5-1-5 H-Beam 해체(버팀보)</t>
    <phoneticPr fontId="3" type="noConversion"/>
  </si>
  <si>
    <r>
      <t>5-1-6 흙막이판 설치</t>
    </r>
    <r>
      <rPr>
        <sz val="9"/>
        <color theme="1"/>
        <rFont val="Yu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철거</t>
    </r>
    <phoneticPr fontId="3" type="noConversion"/>
  </si>
  <si>
    <t>10㎡당 단가</t>
    <phoneticPr fontId="3" type="noConversion"/>
  </si>
  <si>
    <t>5-1-7 어스앵커 공법</t>
  </si>
  <si>
    <t>설치</t>
    <phoneticPr fontId="3" type="noConversion"/>
  </si>
  <si>
    <t>해체</t>
    <phoneticPr fontId="3" type="noConversion"/>
  </si>
  <si>
    <t>철공</t>
    <phoneticPr fontId="3" type="noConversion"/>
  </si>
  <si>
    <t>[주] 좌대 설치 및 해체가 필요한 경우 다음 품을 적용한다.</t>
    <phoneticPr fontId="3" type="noConversion"/>
  </si>
  <si>
    <t>6. PC강선 제거</t>
  </si>
  <si>
    <t>5-1-8 복공판 설치·철거</t>
    <phoneticPr fontId="3" type="noConversion"/>
  </si>
  <si>
    <t>5-1-11 직선형 기준틀 설치 및 해체</t>
  </si>
  <si>
    <t>시공량(2열,m)</t>
    <phoneticPr fontId="3" type="noConversion"/>
  </si>
  <si>
    <t>2열,m당 단가</t>
    <phoneticPr fontId="3" type="noConversion"/>
  </si>
  <si>
    <t>※ 장비(굴착기)의 규격은 다음을 기준하나, 작업여건을 고려하여 적합한 규격을 선정하여 계상한다.</t>
    <phoneticPr fontId="3" type="noConversion"/>
  </si>
  <si>
    <t>※ 장비(크레인)의 규격은 작업여건(시공높이, 시공위치 등) 및 안전율(적정하중, 작업반경 등)을 고려하여 적합한 규격을 적용한다.</t>
    <phoneticPr fontId="3" type="noConversion"/>
  </si>
  <si>
    <t>100㎡당 단가</t>
    <phoneticPr fontId="3" type="noConversion"/>
  </si>
  <si>
    <t>육상</t>
    <phoneticPr fontId="5" type="noConversion"/>
  </si>
  <si>
    <t>수중</t>
    <phoneticPr fontId="5" type="noConversion"/>
  </si>
  <si>
    <t>인력품의 6%</t>
    <phoneticPr fontId="3" type="noConversion"/>
  </si>
  <si>
    <t>[주] 절단자재 소모량은 다음 기준을 적용한다.</t>
    <phoneticPr fontId="3" type="noConversion"/>
  </si>
  <si>
    <t>※ 산소량은 대기압상태의 기준량이며, 압축산소는 35℃에서 150기압으로 압축용기에 넣어 사용하는 것을 기준한다.</t>
    <phoneticPr fontId="3" type="noConversion"/>
  </si>
  <si>
    <t>인력품의 13%</t>
    <phoneticPr fontId="3" type="noConversion"/>
  </si>
  <si>
    <t>인력품의 2%</t>
    <phoneticPr fontId="3" type="noConversion"/>
  </si>
  <si>
    <t>인력품의 5%</t>
    <phoneticPr fontId="3" type="noConversion"/>
  </si>
  <si>
    <t>6.0㎜</t>
    <phoneticPr fontId="3" type="noConversion"/>
  </si>
  <si>
    <t>2∼2.5㎜</t>
    <phoneticPr fontId="3" type="noConversion"/>
  </si>
  <si>
    <t>[주] 장비(크레인)의 규격은 작업여건(시공높이, 시공위치 등) 및 안전율(적정하중, 작업반경 등)을 고려하여 적합한 규격을 적용한다.</t>
    <phoneticPr fontId="3" type="noConversion"/>
  </si>
  <si>
    <t>[주] 재료량은 다음을 참고한다.</t>
    <phoneticPr fontId="3" type="noConversion"/>
  </si>
  <si>
    <t>※ 재료의 할증은 포함되어 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</si>
</sst>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77" formatCode="#,##0_ 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theme="1"/>
      <name val="Yu Gothic"/>
      <family val="3"/>
      <charset val="128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12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0" xfId="3" applyFont="1" applyAlignment="1">
      <alignment horizontal="left" vertical="center" shrinkToFit="1"/>
    </xf>
    <xf numFmtId="0" fontId="9" fillId="0" borderId="4" xfId="3" applyFont="1" applyBorder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0" borderId="0" xfId="3" applyFont="1" applyAlignment="1">
      <alignment horizontal="center"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14" fillId="0" borderId="0" xfId="6" applyFont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5" xfId="6" applyFont="1" applyBorder="1" applyAlignment="1">
      <alignment vertical="center"/>
    </xf>
    <xf numFmtId="0" fontId="9" fillId="0" borderId="5" xfId="6" applyFont="1" applyBorder="1" applyAlignment="1">
      <alignment horizontal="right" vertical="center"/>
    </xf>
    <xf numFmtId="181" fontId="9" fillId="0" borderId="6" xfId="8" applyNumberFormat="1" applyFont="1" applyFill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9" fillId="0" borderId="6" xfId="6" applyFont="1" applyBorder="1" applyAlignment="1">
      <alignment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16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41" fontId="10" fillId="0" borderId="8" xfId="8" applyFont="1" applyFill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0" fontId="13" fillId="0" borderId="7" xfId="3" applyFont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2" fillId="0" borderId="0" xfId="3" applyFont="1" applyAlignment="1">
      <alignment vertical="center"/>
    </xf>
    <xf numFmtId="0" fontId="18" fillId="0" borderId="0" xfId="6" applyFont="1" applyAlignment="1">
      <alignment vertical="center"/>
    </xf>
    <xf numFmtId="0" fontId="18" fillId="0" borderId="0" xfId="6" applyFont="1" applyAlignment="1">
      <alignment horizontal="centerContinuous" vertical="center"/>
    </xf>
    <xf numFmtId="41" fontId="18" fillId="0" borderId="0" xfId="8" applyFont="1" applyFill="1" applyBorder="1" applyAlignment="1">
      <alignment vertical="center"/>
    </xf>
    <xf numFmtId="0" fontId="14" fillId="0" borderId="0" xfId="0" applyFont="1">
      <alignment vertical="center"/>
    </xf>
    <xf numFmtId="0" fontId="19" fillId="0" borderId="4" xfId="3" applyFont="1" applyBorder="1" applyAlignment="1">
      <alignment vertical="center"/>
    </xf>
    <xf numFmtId="0" fontId="20" fillId="0" borderId="5" xfId="3" applyFont="1" applyBorder="1" applyAlignment="1">
      <alignment vertical="center"/>
    </xf>
    <xf numFmtId="41" fontId="20" fillId="0" borderId="5" xfId="5" applyFont="1" applyFill="1" applyBorder="1" applyAlignment="1">
      <alignment vertical="center"/>
    </xf>
    <xf numFmtId="41" fontId="20" fillId="0" borderId="6" xfId="5" applyFont="1" applyFill="1" applyBorder="1" applyAlignment="1">
      <alignment vertical="center"/>
    </xf>
    <xf numFmtId="41" fontId="19" fillId="0" borderId="5" xfId="8" applyFont="1" applyFill="1" applyBorder="1" applyAlignment="1">
      <alignment vertical="center"/>
    </xf>
    <xf numFmtId="41" fontId="19" fillId="0" borderId="6" xfId="8" applyFont="1" applyFill="1" applyBorder="1" applyAlignment="1">
      <alignment vertical="center"/>
    </xf>
    <xf numFmtId="0" fontId="19" fillId="0" borderId="4" xfId="6" applyFont="1" applyBorder="1" applyAlignment="1">
      <alignment horizontal="left" vertical="center"/>
    </xf>
    <xf numFmtId="0" fontId="19" fillId="0" borderId="5" xfId="6" applyFont="1" applyBorder="1" applyAlignment="1">
      <alignment vertical="center"/>
    </xf>
    <xf numFmtId="0" fontId="21" fillId="0" borderId="5" xfId="3" applyFont="1" applyBorder="1" applyAlignment="1">
      <alignment horizontal="center" vertical="center"/>
    </xf>
    <xf numFmtId="0" fontId="21" fillId="0" borderId="5" xfId="3" applyFont="1" applyBorder="1" applyAlignment="1">
      <alignment vertical="center" shrinkToFit="1"/>
    </xf>
    <xf numFmtId="0" fontId="21" fillId="0" borderId="4" xfId="6" applyFont="1" applyBorder="1" applyAlignment="1">
      <alignment horizontal="left" vertical="center"/>
    </xf>
    <xf numFmtId="0" fontId="21" fillId="0" borderId="4" xfId="3" applyFont="1" applyBorder="1" applyAlignment="1">
      <alignment horizontal="center" vertical="center"/>
    </xf>
    <xf numFmtId="0" fontId="12" fillId="0" borderId="0" xfId="3" applyFont="1" applyAlignment="1">
      <alignment horizontal="right" vertical="center"/>
    </xf>
    <xf numFmtId="41" fontId="9" fillId="0" borderId="5" xfId="1" applyFont="1" applyBorder="1" applyAlignment="1">
      <alignment vertical="center"/>
    </xf>
    <xf numFmtId="0" fontId="9" fillId="0" borderId="7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0" xfId="0" applyFont="1">
      <alignment vertical="center"/>
    </xf>
    <xf numFmtId="41" fontId="11" fillId="0" borderId="5" xfId="2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41" fontId="9" fillId="0" borderId="5" xfId="9" applyFont="1" applyBorder="1" applyAlignment="1">
      <alignment vertical="center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41" fontId="11" fillId="0" borderId="5" xfId="10" applyNumberFormat="1" applyFont="1" applyBorder="1" applyAlignment="1">
      <alignment vertical="center"/>
    </xf>
    <xf numFmtId="41" fontId="9" fillId="0" borderId="5" xfId="10" applyNumberFormat="1" applyFont="1" applyBorder="1" applyAlignment="1">
      <alignment vertical="center"/>
    </xf>
    <xf numFmtId="41" fontId="17" fillId="0" borderId="5" xfId="2" applyNumberFormat="1" applyFont="1" applyBorder="1" applyAlignment="1">
      <alignment horizontal="center" vertical="center"/>
    </xf>
    <xf numFmtId="41" fontId="19" fillId="0" borderId="5" xfId="6" applyNumberFormat="1" applyFont="1" applyBorder="1" applyAlignment="1">
      <alignment vertical="center"/>
    </xf>
    <xf numFmtId="41" fontId="9" fillId="0" borderId="5" xfId="6" applyNumberFormat="1" applyFont="1" applyBorder="1" applyAlignment="1">
      <alignment vertical="center"/>
    </xf>
    <xf numFmtId="41" fontId="19" fillId="0" borderId="5" xfId="1" applyFont="1" applyBorder="1" applyAlignment="1">
      <alignment vertical="center"/>
    </xf>
    <xf numFmtId="41" fontId="11" fillId="0" borderId="5" xfId="7" applyNumberFormat="1" applyFont="1" applyBorder="1" applyAlignment="1">
      <alignment vertical="center"/>
    </xf>
    <xf numFmtId="0" fontId="10" fillId="0" borderId="5" xfId="7" applyFont="1" applyBorder="1" applyAlignment="1">
      <alignment vertical="center"/>
    </xf>
    <xf numFmtId="0" fontId="9" fillId="0" borderId="4" xfId="6" applyFont="1" applyBorder="1" applyAlignment="1">
      <alignment vertical="center" shrinkToFit="1"/>
    </xf>
    <xf numFmtId="41" fontId="11" fillId="0" borderId="5" xfId="11" applyFont="1" applyFill="1" applyBorder="1" applyAlignment="1">
      <alignment horizontal="center" vertical="center"/>
    </xf>
    <xf numFmtId="0" fontId="16" fillId="0" borderId="0" xfId="3" applyFont="1" applyAlignment="1">
      <alignment horizontal="left" vertical="center"/>
    </xf>
    <xf numFmtId="183" fontId="17" fillId="0" borderId="5" xfId="2" applyNumberFormat="1" applyFont="1" applyBorder="1" applyAlignment="1">
      <alignment horizontal="center" vertical="center"/>
    </xf>
    <xf numFmtId="183" fontId="19" fillId="0" borderId="5" xfId="6" applyNumberFormat="1" applyFont="1" applyBorder="1" applyAlignment="1">
      <alignment vertical="center"/>
    </xf>
    <xf numFmtId="183" fontId="9" fillId="0" borderId="5" xfId="6" applyNumberFormat="1" applyFont="1" applyBorder="1" applyAlignment="1">
      <alignment vertical="center"/>
    </xf>
    <xf numFmtId="180" fontId="9" fillId="0" borderId="5" xfId="10" applyNumberFormat="1" applyFont="1" applyBorder="1" applyAlignment="1">
      <alignment vertical="center"/>
    </xf>
    <xf numFmtId="185" fontId="23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3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10" fillId="0" borderId="4" xfId="6" applyFont="1" applyBorder="1" applyAlignment="1">
      <alignment horizontal="left" vertical="center"/>
    </xf>
    <xf numFmtId="0" fontId="16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41" fontId="10" fillId="0" borderId="6" xfId="8" applyFont="1" applyFill="1" applyBorder="1" applyAlignment="1">
      <alignment horizontal="center" vertical="center"/>
    </xf>
    <xf numFmtId="0" fontId="9" fillId="0" borderId="3" xfId="6" applyFont="1" applyBorder="1" applyAlignment="1">
      <alignment horizontal="center" vertical="center" shrinkToFit="1"/>
    </xf>
    <xf numFmtId="41" fontId="9" fillId="0" borderId="5" xfId="9" applyFont="1" applyFill="1" applyBorder="1" applyAlignment="1">
      <alignment vertical="center"/>
    </xf>
    <xf numFmtId="182" fontId="19" fillId="0" borderId="5" xfId="1" applyNumberFormat="1" applyFont="1" applyFill="1" applyBorder="1" applyAlignment="1">
      <alignment vertical="center"/>
    </xf>
    <xf numFmtId="182" fontId="9" fillId="0" borderId="5" xfId="1" applyNumberFormat="1" applyFont="1" applyFill="1" applyBorder="1" applyAlignment="1">
      <alignment vertical="center"/>
    </xf>
    <xf numFmtId="41" fontId="12" fillId="0" borderId="5" xfId="1" applyFont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41" fontId="9" fillId="0" borderId="5" xfId="7" applyNumberFormat="1" applyFont="1" applyBorder="1" applyAlignment="1">
      <alignment vertical="center"/>
    </xf>
    <xf numFmtId="1" fontId="9" fillId="0" borderId="11" xfId="6" applyNumberFormat="1" applyFont="1" applyBorder="1" applyAlignment="1">
      <alignment horizontal="center" vertical="center" wrapText="1"/>
    </xf>
    <xf numFmtId="177" fontId="9" fillId="0" borderId="11" xfId="6" applyNumberFormat="1" applyFont="1" applyBorder="1" applyAlignment="1">
      <alignment horizontal="center" vertical="center" wrapText="1"/>
    </xf>
    <xf numFmtId="41" fontId="9" fillId="0" borderId="0" xfId="9" applyFont="1" applyBorder="1" applyAlignment="1">
      <alignment vertical="center"/>
    </xf>
    <xf numFmtId="181" fontId="9" fillId="0" borderId="0" xfId="8" applyNumberFormat="1" applyFont="1" applyFill="1" applyBorder="1" applyAlignment="1">
      <alignment vertical="center"/>
    </xf>
    <xf numFmtId="0" fontId="9" fillId="0" borderId="3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9" fillId="0" borderId="7" xfId="3" applyFont="1" applyBorder="1" applyAlignment="1">
      <alignment horizontal="center" vertical="center" shrinkToFit="1"/>
    </xf>
    <xf numFmtId="0" fontId="9" fillId="0" borderId="10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</cellXfs>
  <cellStyles count="12">
    <cellStyle name="쉼표 [0]" xfId="1" builtinId="6"/>
    <cellStyle name="콤마 [0]_가설공사(1)" xfId="5" xr:uid="{00000000-0005-0000-0000-000002000000}"/>
    <cellStyle name="콤마 [0]_가설공사(2)" xfId="8" xr:uid="{00000000-0005-0000-0000-000003000000}"/>
    <cellStyle name="콤마 [0]_조경공사" xfId="9" xr:uid="{00000000-0005-0000-0000-000004000000}"/>
    <cellStyle name="콤마 [0]_토공사" xfId="11" xr:uid="{00000000-0005-0000-0000-000005000000}"/>
    <cellStyle name="표준" xfId="0" builtinId="0"/>
    <cellStyle name="표준_Sheet1" xfId="4" xr:uid="{00000000-0005-0000-0000-000007000000}"/>
    <cellStyle name="표준_가설공사(1)" xfId="3" xr:uid="{00000000-0005-0000-0000-000008000000}"/>
    <cellStyle name="표준_가설공사(2)" xfId="6" xr:uid="{00000000-0005-0000-0000-000009000000}"/>
    <cellStyle name="표준_기초공사" xfId="10" xr:uid="{00000000-0005-0000-0000-00000A000000}"/>
    <cellStyle name="표준_조경공사" xfId="2" xr:uid="{00000000-0005-0000-0000-00000B000000}"/>
    <cellStyle name="표준_토공사" xfId="7" xr:uid="{00000000-0005-0000-0000-00000C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6BDB-58D3-4F62-96F8-9E3FBCBBF65C}">
  <sheetPr>
    <pageSetUpPr fitToPage="1"/>
  </sheetPr>
  <dimension ref="A1:P693"/>
  <sheetViews>
    <sheetView tabSelected="1" zoomScaleNormal="100" workbookViewId="0">
      <selection activeCell="L25" sqref="L25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8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1" ht="12.95" customHeight="1" x14ac:dyDescent="0.3">
      <c r="A1" s="80"/>
      <c r="B1" s="12" t="s">
        <v>32</v>
      </c>
      <c r="C1" s="7"/>
      <c r="D1" s="1"/>
    </row>
    <row r="2" spans="1:11" ht="12.95" customHeight="1" x14ac:dyDescent="0.15">
      <c r="A2" s="81"/>
      <c r="B2" s="1" t="s">
        <v>33</v>
      </c>
    </row>
    <row r="3" spans="1:11" ht="12.95" customHeight="1" x14ac:dyDescent="0.3">
      <c r="B3" s="2" t="s">
        <v>34</v>
      </c>
      <c r="K3" s="61" t="s">
        <v>53</v>
      </c>
    </row>
    <row r="4" spans="1:11" ht="12.95" customHeight="1" x14ac:dyDescent="0.3">
      <c r="B4" s="107" t="s">
        <v>11</v>
      </c>
      <c r="C4" s="110" t="s">
        <v>15</v>
      </c>
      <c r="D4" s="113" t="s">
        <v>16</v>
      </c>
      <c r="E4" s="116" t="s">
        <v>12</v>
      </c>
      <c r="F4" s="123" t="s">
        <v>35</v>
      </c>
      <c r="G4" s="124"/>
      <c r="H4" s="124"/>
      <c r="I4" s="124"/>
      <c r="J4" s="124"/>
      <c r="K4" s="124"/>
    </row>
    <row r="5" spans="1:11" ht="12.95" customHeight="1" x14ac:dyDescent="0.3">
      <c r="B5" s="108"/>
      <c r="C5" s="111"/>
      <c r="D5" s="114"/>
      <c r="E5" s="117"/>
      <c r="F5" s="99" t="s">
        <v>37</v>
      </c>
      <c r="G5" s="100"/>
      <c r="H5" s="99" t="s">
        <v>30</v>
      </c>
      <c r="I5" s="100"/>
      <c r="J5" s="99" t="s">
        <v>38</v>
      </c>
      <c r="K5" s="100"/>
    </row>
    <row r="6" spans="1:11" ht="12.95" customHeight="1" x14ac:dyDescent="0.3">
      <c r="B6" s="108"/>
      <c r="C6" s="111"/>
      <c r="D6" s="114"/>
      <c r="E6" s="117"/>
      <c r="F6" s="82" t="s">
        <v>127</v>
      </c>
      <c r="G6" s="95">
        <v>130</v>
      </c>
      <c r="H6" s="82" t="s">
        <v>127</v>
      </c>
      <c r="I6" s="95">
        <v>320</v>
      </c>
      <c r="J6" s="82" t="s">
        <v>127</v>
      </c>
      <c r="K6" s="95">
        <v>320</v>
      </c>
    </row>
    <row r="7" spans="1:11" ht="12.95" customHeight="1" x14ac:dyDescent="0.3">
      <c r="B7" s="109"/>
      <c r="C7" s="112"/>
      <c r="D7" s="115"/>
      <c r="E7" s="118"/>
      <c r="F7" s="63" t="s">
        <v>49</v>
      </c>
      <c r="G7" s="64" t="s">
        <v>50</v>
      </c>
      <c r="H7" s="63" t="s">
        <v>49</v>
      </c>
      <c r="I7" s="64" t="s">
        <v>50</v>
      </c>
      <c r="J7" s="63" t="s">
        <v>49</v>
      </c>
      <c r="K7" s="64" t="s">
        <v>50</v>
      </c>
    </row>
    <row r="8" spans="1:11" ht="12.95" customHeight="1" x14ac:dyDescent="0.3">
      <c r="B8" s="29" t="s">
        <v>5</v>
      </c>
      <c r="C8" s="14"/>
      <c r="D8" s="6" t="s">
        <v>18</v>
      </c>
      <c r="E8" s="60">
        <v>172068</v>
      </c>
      <c r="F8" s="62">
        <v>2</v>
      </c>
      <c r="G8" s="11">
        <f t="shared" ref="G8" si="0">TRUNC($E8*F8,1)</f>
        <v>344136</v>
      </c>
      <c r="H8" s="62">
        <v>2</v>
      </c>
      <c r="I8" s="11">
        <f t="shared" ref="I8" si="1">TRUNC($E8*H8,1)</f>
        <v>344136</v>
      </c>
      <c r="J8" s="62">
        <v>2</v>
      </c>
      <c r="K8" s="11">
        <f t="shared" ref="K8" si="2">TRUNC($E8*J8,1)</f>
        <v>344136</v>
      </c>
    </row>
    <row r="9" spans="1:11" ht="12.95" customHeight="1" x14ac:dyDescent="0.3">
      <c r="B9" s="42" t="s">
        <v>20</v>
      </c>
      <c r="C9" s="52"/>
      <c r="D9" s="50"/>
      <c r="E9" s="46"/>
      <c r="F9" s="70"/>
      <c r="G9" s="47">
        <f>TRUNC(SUM(G8:G8))</f>
        <v>344136</v>
      </c>
      <c r="H9" s="70"/>
      <c r="I9" s="47">
        <f>TRUNC(SUM(I8:I8))</f>
        <v>344136</v>
      </c>
      <c r="J9" s="70"/>
      <c r="K9" s="47">
        <f>TRUNC(SUM(K8:K8))</f>
        <v>344136</v>
      </c>
    </row>
    <row r="10" spans="1:11" ht="12.95" customHeight="1" x14ac:dyDescent="0.3">
      <c r="B10" s="21"/>
      <c r="C10" s="21"/>
      <c r="D10" s="58"/>
      <c r="E10" s="18"/>
      <c r="F10" s="18"/>
      <c r="G10" s="22"/>
      <c r="H10" s="18"/>
      <c r="I10" s="22"/>
      <c r="J10" s="18"/>
      <c r="K10" s="22"/>
    </row>
    <row r="11" spans="1:11" ht="12.95" customHeight="1" x14ac:dyDescent="0.3">
      <c r="B11" s="84" t="s">
        <v>23</v>
      </c>
      <c r="C11" s="21"/>
      <c r="D11" s="58"/>
      <c r="E11" s="85"/>
      <c r="F11" s="86"/>
      <c r="G11" s="87">
        <f>SUM(G9)</f>
        <v>344136</v>
      </c>
      <c r="H11" s="86"/>
      <c r="I11" s="87">
        <f>SUM(I9)</f>
        <v>344136</v>
      </c>
      <c r="J11" s="86"/>
      <c r="K11" s="87">
        <f>SUM(K9)</f>
        <v>344136</v>
      </c>
    </row>
    <row r="12" spans="1:11" ht="12.95" customHeight="1" x14ac:dyDescent="0.3">
      <c r="B12" s="23" t="s">
        <v>128</v>
      </c>
      <c r="C12" s="24"/>
      <c r="D12" s="56"/>
      <c r="E12" s="25"/>
      <c r="F12" s="26"/>
      <c r="G12" s="27">
        <f>TRUNC((G11/G6)*10)</f>
        <v>26472</v>
      </c>
      <c r="H12" s="26"/>
      <c r="I12" s="27">
        <f>TRUNC((I11/I6)*10)</f>
        <v>10754</v>
      </c>
      <c r="J12" s="26"/>
      <c r="K12" s="27">
        <f>TRUNC((K11/K6)*10)</f>
        <v>10754</v>
      </c>
    </row>
    <row r="13" spans="1:11" ht="12.95" customHeight="1" x14ac:dyDescent="0.3">
      <c r="B13" s="107" t="s">
        <v>11</v>
      </c>
      <c r="C13" s="110" t="s">
        <v>15</v>
      </c>
      <c r="D13" s="113" t="s">
        <v>16</v>
      </c>
      <c r="E13" s="116" t="s">
        <v>12</v>
      </c>
      <c r="F13" s="99" t="s">
        <v>36</v>
      </c>
      <c r="G13" s="100"/>
      <c r="H13" s="100"/>
      <c r="I13" s="100"/>
      <c r="J13" s="100"/>
      <c r="K13" s="100"/>
    </row>
    <row r="14" spans="1:11" ht="12.95" customHeight="1" x14ac:dyDescent="0.3">
      <c r="B14" s="108"/>
      <c r="C14" s="111"/>
      <c r="D14" s="114"/>
      <c r="E14" s="117"/>
      <c r="F14" s="99" t="s">
        <v>37</v>
      </c>
      <c r="G14" s="100"/>
      <c r="H14" s="99" t="s">
        <v>30</v>
      </c>
      <c r="I14" s="100"/>
      <c r="J14" s="99" t="s">
        <v>38</v>
      </c>
      <c r="K14" s="100"/>
    </row>
    <row r="15" spans="1:11" ht="12.95" customHeight="1" x14ac:dyDescent="0.3">
      <c r="B15" s="108"/>
      <c r="C15" s="111"/>
      <c r="D15" s="114"/>
      <c r="E15" s="117"/>
      <c r="F15" s="82" t="s">
        <v>127</v>
      </c>
      <c r="G15" s="95">
        <v>70</v>
      </c>
      <c r="H15" s="82" t="s">
        <v>127</v>
      </c>
      <c r="I15" s="95">
        <v>110</v>
      </c>
      <c r="J15" s="82" t="s">
        <v>127</v>
      </c>
      <c r="K15" s="95">
        <v>110</v>
      </c>
    </row>
    <row r="16" spans="1:11" ht="12.95" customHeight="1" x14ac:dyDescent="0.3">
      <c r="B16" s="109"/>
      <c r="C16" s="112"/>
      <c r="D16" s="115"/>
      <c r="E16" s="118"/>
      <c r="F16" s="63" t="s">
        <v>49</v>
      </c>
      <c r="G16" s="64" t="s">
        <v>50</v>
      </c>
      <c r="H16" s="63" t="s">
        <v>49</v>
      </c>
      <c r="I16" s="64" t="s">
        <v>50</v>
      </c>
      <c r="J16" s="63" t="s">
        <v>49</v>
      </c>
      <c r="K16" s="64" t="s">
        <v>50</v>
      </c>
    </row>
    <row r="17" spans="2:15" ht="12.95" customHeight="1" x14ac:dyDescent="0.3">
      <c r="B17" s="17" t="s">
        <v>110</v>
      </c>
      <c r="C17" s="17" t="s">
        <v>8</v>
      </c>
      <c r="D17" s="58" t="s">
        <v>25</v>
      </c>
      <c r="E17" s="65">
        <v>9107</v>
      </c>
      <c r="F17" s="62">
        <v>8</v>
      </c>
      <c r="G17" s="11">
        <f t="shared" ref="G17:K17" si="3">TRUNC($E17*F17,1)</f>
        <v>72856</v>
      </c>
      <c r="H17" s="62">
        <v>0</v>
      </c>
      <c r="I17" s="11">
        <f t="shared" si="3"/>
        <v>0</v>
      </c>
      <c r="J17" s="62">
        <v>0</v>
      </c>
      <c r="K17" s="11">
        <f t="shared" si="3"/>
        <v>0</v>
      </c>
    </row>
    <row r="18" spans="2:15" ht="12.95" customHeight="1" x14ac:dyDescent="0.3">
      <c r="B18" s="17" t="s">
        <v>110</v>
      </c>
      <c r="C18" s="17" t="s">
        <v>1</v>
      </c>
      <c r="D18" s="58" t="s">
        <v>25</v>
      </c>
      <c r="E18" s="65">
        <v>35814</v>
      </c>
      <c r="F18" s="62">
        <v>0</v>
      </c>
      <c r="G18" s="11">
        <f t="shared" ref="G18:K18" si="4">TRUNC($E18*F18,1)</f>
        <v>0</v>
      </c>
      <c r="H18" s="62">
        <v>8</v>
      </c>
      <c r="I18" s="11">
        <f t="shared" si="4"/>
        <v>286512</v>
      </c>
      <c r="J18" s="62">
        <v>8</v>
      </c>
      <c r="K18" s="11">
        <f t="shared" si="4"/>
        <v>286512</v>
      </c>
    </row>
    <row r="19" spans="2:15" ht="12.95" customHeight="1" x14ac:dyDescent="0.3">
      <c r="B19" s="48" t="s">
        <v>19</v>
      </c>
      <c r="C19" s="52"/>
      <c r="D19" s="50"/>
      <c r="E19" s="49"/>
      <c r="F19" s="49"/>
      <c r="G19" s="47">
        <f>TRUNC(SUM(G17:G18))</f>
        <v>72856</v>
      </c>
      <c r="H19" s="49"/>
      <c r="I19" s="47">
        <f>TRUNC(SUM(I17:I18))</f>
        <v>286512</v>
      </c>
      <c r="J19" s="49"/>
      <c r="K19" s="47">
        <f>TRUNC(SUM(K17:K18))</f>
        <v>286512</v>
      </c>
    </row>
    <row r="20" spans="2:15" ht="12.95" customHeight="1" x14ac:dyDescent="0.3">
      <c r="B20" s="21"/>
      <c r="C20" s="21"/>
      <c r="D20" s="58"/>
      <c r="E20" s="18"/>
      <c r="F20" s="18"/>
      <c r="G20" s="22"/>
      <c r="H20" s="18"/>
      <c r="I20" s="22"/>
      <c r="J20" s="18"/>
      <c r="K20" s="22"/>
    </row>
    <row r="21" spans="2:15" ht="12.95" customHeight="1" x14ac:dyDescent="0.3">
      <c r="B21" s="29" t="s">
        <v>31</v>
      </c>
      <c r="C21" s="14"/>
      <c r="D21" s="6" t="s">
        <v>18</v>
      </c>
      <c r="E21" s="65">
        <v>226122</v>
      </c>
      <c r="F21" s="62">
        <v>1</v>
      </c>
      <c r="G21" s="11">
        <f t="shared" ref="G21:K23" si="5">TRUNC($E21*F21,1)</f>
        <v>226122</v>
      </c>
      <c r="H21" s="62">
        <v>1</v>
      </c>
      <c r="I21" s="11">
        <f t="shared" si="5"/>
        <v>226122</v>
      </c>
      <c r="J21" s="62">
        <v>1</v>
      </c>
      <c r="K21" s="11">
        <f t="shared" si="5"/>
        <v>226122</v>
      </c>
    </row>
    <row r="22" spans="2:15" ht="12.95" customHeight="1" x14ac:dyDescent="0.3">
      <c r="B22" s="29" t="s">
        <v>5</v>
      </c>
      <c r="C22" s="14"/>
      <c r="D22" s="6" t="s">
        <v>18</v>
      </c>
      <c r="E22" s="65">
        <v>172068</v>
      </c>
      <c r="F22" s="62">
        <v>2</v>
      </c>
      <c r="G22" s="11">
        <f t="shared" si="5"/>
        <v>344136</v>
      </c>
      <c r="H22" s="62">
        <v>2</v>
      </c>
      <c r="I22" s="11">
        <f t="shared" si="5"/>
        <v>344136</v>
      </c>
      <c r="J22" s="62">
        <v>2</v>
      </c>
      <c r="K22" s="11">
        <f t="shared" si="5"/>
        <v>344136</v>
      </c>
    </row>
    <row r="23" spans="2:15" ht="12.95" customHeight="1" x14ac:dyDescent="0.3">
      <c r="B23" s="17" t="s">
        <v>110</v>
      </c>
      <c r="C23" s="17" t="s">
        <v>8</v>
      </c>
      <c r="D23" s="58" t="s">
        <v>25</v>
      </c>
      <c r="E23" s="65">
        <v>58925</v>
      </c>
      <c r="F23" s="62">
        <v>8</v>
      </c>
      <c r="G23" s="11">
        <f t="shared" si="5"/>
        <v>471400</v>
      </c>
      <c r="H23" s="62">
        <v>0</v>
      </c>
      <c r="I23" s="11">
        <f t="shared" si="5"/>
        <v>0</v>
      </c>
      <c r="J23" s="62">
        <v>0</v>
      </c>
      <c r="K23" s="11">
        <f t="shared" si="5"/>
        <v>0</v>
      </c>
    </row>
    <row r="24" spans="2:15" ht="12.95" customHeight="1" x14ac:dyDescent="0.3">
      <c r="B24" s="17" t="s">
        <v>110</v>
      </c>
      <c r="C24" s="17" t="s">
        <v>1</v>
      </c>
      <c r="D24" s="58" t="s">
        <v>25</v>
      </c>
      <c r="E24" s="65">
        <v>58925</v>
      </c>
      <c r="F24" s="62">
        <v>0</v>
      </c>
      <c r="G24" s="11">
        <f t="shared" ref="G24:K24" si="6">TRUNC($E24*F24,1)</f>
        <v>0</v>
      </c>
      <c r="H24" s="62">
        <v>8</v>
      </c>
      <c r="I24" s="11">
        <f t="shared" si="6"/>
        <v>471400</v>
      </c>
      <c r="J24" s="62">
        <v>8</v>
      </c>
      <c r="K24" s="11">
        <f t="shared" si="6"/>
        <v>471400</v>
      </c>
    </row>
    <row r="25" spans="2:15" ht="12.95" customHeight="1" x14ac:dyDescent="0.3">
      <c r="B25" s="42" t="s">
        <v>20</v>
      </c>
      <c r="C25" s="52"/>
      <c r="D25" s="50"/>
      <c r="E25" s="46"/>
      <c r="F25" s="70"/>
      <c r="G25" s="47">
        <f>TRUNC(SUM(G21:G24))</f>
        <v>1041658</v>
      </c>
      <c r="H25" s="70"/>
      <c r="I25" s="47">
        <f>TRUNC(SUM(I21:I24))</f>
        <v>1041658</v>
      </c>
      <c r="J25" s="70"/>
      <c r="K25" s="47">
        <f>TRUNC(SUM(K21:K24))</f>
        <v>1041658</v>
      </c>
    </row>
    <row r="26" spans="2:15" ht="12.95" customHeight="1" x14ac:dyDescent="0.3">
      <c r="B26" s="21"/>
      <c r="C26" s="21"/>
      <c r="D26" s="58"/>
      <c r="E26" s="18"/>
      <c r="F26" s="55"/>
      <c r="G26" s="22"/>
      <c r="H26" s="55"/>
      <c r="I26" s="22"/>
      <c r="J26" s="55"/>
      <c r="K26" s="22"/>
    </row>
    <row r="27" spans="2:15" ht="12.95" customHeight="1" x14ac:dyDescent="0.3">
      <c r="B27" s="17" t="s">
        <v>110</v>
      </c>
      <c r="C27" s="17" t="s">
        <v>8</v>
      </c>
      <c r="D27" s="58" t="s">
        <v>25</v>
      </c>
      <c r="E27" s="65">
        <v>13873</v>
      </c>
      <c r="F27" s="67">
        <v>8</v>
      </c>
      <c r="G27" s="11">
        <f t="shared" ref="G27:K27" si="7">TRUNC($E27*F27,1)</f>
        <v>110984</v>
      </c>
      <c r="H27" s="67">
        <v>0</v>
      </c>
      <c r="I27" s="11">
        <f t="shared" si="7"/>
        <v>0</v>
      </c>
      <c r="J27" s="67">
        <v>0</v>
      </c>
      <c r="K27" s="11">
        <f t="shared" si="7"/>
        <v>0</v>
      </c>
    </row>
    <row r="28" spans="2:15" ht="12.95" customHeight="1" x14ac:dyDescent="0.3">
      <c r="B28" s="17" t="s">
        <v>110</v>
      </c>
      <c r="C28" s="17" t="s">
        <v>1</v>
      </c>
      <c r="D28" s="58" t="s">
        <v>25</v>
      </c>
      <c r="E28" s="65">
        <v>29621</v>
      </c>
      <c r="F28" s="67">
        <v>0</v>
      </c>
      <c r="G28" s="11">
        <f t="shared" ref="G28:K28" si="8">TRUNC($E28*F28,1)</f>
        <v>0</v>
      </c>
      <c r="H28" s="67">
        <v>8</v>
      </c>
      <c r="I28" s="11">
        <f t="shared" si="8"/>
        <v>236968</v>
      </c>
      <c r="J28" s="67">
        <v>8</v>
      </c>
      <c r="K28" s="11">
        <f t="shared" si="8"/>
        <v>236968</v>
      </c>
    </row>
    <row r="29" spans="2:15" ht="12.95" customHeight="1" x14ac:dyDescent="0.3">
      <c r="B29" s="48" t="s">
        <v>21</v>
      </c>
      <c r="C29" s="52"/>
      <c r="D29" s="53"/>
      <c r="E29" s="46"/>
      <c r="F29" s="49"/>
      <c r="G29" s="47">
        <f>TRUNC(SUM(G27:G28))</f>
        <v>110984</v>
      </c>
      <c r="H29" s="49"/>
      <c r="I29" s="47">
        <f>TRUNC(SUM(I27:I28))</f>
        <v>236968</v>
      </c>
      <c r="J29" s="49"/>
      <c r="K29" s="47">
        <f>TRUNC(SUM(K27:K28))</f>
        <v>236968</v>
      </c>
    </row>
    <row r="30" spans="2:15" ht="12.95" customHeight="1" x14ac:dyDescent="0.3">
      <c r="B30" s="21"/>
      <c r="C30" s="21"/>
      <c r="D30" s="58"/>
      <c r="E30" s="18"/>
      <c r="F30" s="18"/>
      <c r="G30" s="22"/>
      <c r="H30" s="18"/>
      <c r="I30" s="22"/>
      <c r="J30" s="18"/>
      <c r="K30" s="22"/>
      <c r="N30" s="59"/>
      <c r="O30" s="59"/>
    </row>
    <row r="31" spans="2:15" ht="12.95" customHeight="1" x14ac:dyDescent="0.3">
      <c r="B31" s="84" t="s">
        <v>23</v>
      </c>
      <c r="C31" s="21"/>
      <c r="D31" s="58"/>
      <c r="E31" s="85"/>
      <c r="F31" s="86"/>
      <c r="G31" s="87">
        <f>SUM(G19+G25+G29)</f>
        <v>1225498</v>
      </c>
      <c r="H31" s="86"/>
      <c r="I31" s="87">
        <f>SUM(I19+I25+I29)</f>
        <v>1565138</v>
      </c>
      <c r="J31" s="86"/>
      <c r="K31" s="87">
        <f>SUM(K19+K25+K29)</f>
        <v>1565138</v>
      </c>
      <c r="N31" s="59"/>
      <c r="O31" s="59"/>
    </row>
    <row r="32" spans="2:15" ht="12.95" customHeight="1" x14ac:dyDescent="0.3">
      <c r="B32" s="23" t="s">
        <v>128</v>
      </c>
      <c r="C32" s="24"/>
      <c r="D32" s="56"/>
      <c r="E32" s="25"/>
      <c r="F32" s="26"/>
      <c r="G32" s="27">
        <f>TRUNC((G31/G15)*10)</f>
        <v>175071</v>
      </c>
      <c r="H32" s="26"/>
      <c r="I32" s="27">
        <f>TRUNC((I31/I15)*10)</f>
        <v>142285</v>
      </c>
      <c r="J32" s="26"/>
      <c r="K32" s="27">
        <f>TRUNC((K31/K15)*10)</f>
        <v>142285</v>
      </c>
      <c r="N32" s="59"/>
      <c r="O32" s="59"/>
    </row>
    <row r="33" spans="2:13" ht="12.95" customHeight="1" x14ac:dyDescent="0.3">
      <c r="B33" s="3" t="s">
        <v>152</v>
      </c>
      <c r="C33" s="9"/>
      <c r="D33" s="3"/>
      <c r="E33" s="13"/>
      <c r="F33" s="4"/>
      <c r="G33" s="4"/>
      <c r="H33" s="4"/>
      <c r="I33" s="4"/>
      <c r="K33" s="61"/>
      <c r="L33" s="59"/>
      <c r="M33" s="59"/>
    </row>
    <row r="34" spans="2:13" ht="12.95" customHeight="1" x14ac:dyDescent="0.3">
      <c r="B34" s="3"/>
      <c r="C34" s="9"/>
      <c r="D34" s="3"/>
      <c r="E34" s="13"/>
      <c r="F34" s="4"/>
      <c r="G34" s="4"/>
      <c r="H34" s="4"/>
      <c r="I34" s="4"/>
      <c r="L34" s="59"/>
      <c r="M34" s="59"/>
    </row>
    <row r="35" spans="2:13" ht="12.95" customHeight="1" x14ac:dyDescent="0.3">
      <c r="B35" s="3" t="s">
        <v>133</v>
      </c>
      <c r="C35" s="9"/>
      <c r="D35" s="3"/>
      <c r="E35" s="13"/>
      <c r="F35" s="4"/>
      <c r="G35" s="4"/>
      <c r="H35" s="4"/>
      <c r="I35" s="4"/>
      <c r="K35" s="61" t="s">
        <v>53</v>
      </c>
      <c r="L35" s="59"/>
      <c r="M35" s="59"/>
    </row>
    <row r="36" spans="2:13" ht="12.95" customHeight="1" x14ac:dyDescent="0.3">
      <c r="B36" s="107" t="s">
        <v>11</v>
      </c>
      <c r="C36" s="110" t="s">
        <v>15</v>
      </c>
      <c r="D36" s="113" t="s">
        <v>16</v>
      </c>
      <c r="E36" s="116" t="s">
        <v>12</v>
      </c>
      <c r="F36" s="99" t="s">
        <v>131</v>
      </c>
      <c r="G36" s="100"/>
      <c r="H36" s="100"/>
      <c r="I36" s="100"/>
      <c r="J36" s="100"/>
      <c r="K36" s="100"/>
    </row>
    <row r="37" spans="2:13" ht="12.95" customHeight="1" x14ac:dyDescent="0.3">
      <c r="B37" s="108"/>
      <c r="C37" s="111"/>
      <c r="D37" s="114"/>
      <c r="E37" s="117"/>
      <c r="F37" s="99" t="s">
        <v>39</v>
      </c>
      <c r="G37" s="100"/>
      <c r="H37" s="99" t="s">
        <v>132</v>
      </c>
      <c r="I37" s="100"/>
      <c r="J37" s="99" t="s">
        <v>40</v>
      </c>
      <c r="K37" s="100"/>
    </row>
    <row r="38" spans="2:13" ht="12.95" customHeight="1" x14ac:dyDescent="0.3">
      <c r="B38" s="108"/>
      <c r="C38" s="111"/>
      <c r="D38" s="114"/>
      <c r="E38" s="117"/>
      <c r="F38" s="82" t="s">
        <v>130</v>
      </c>
      <c r="G38" s="95">
        <v>50</v>
      </c>
      <c r="H38" s="82" t="s">
        <v>130</v>
      </c>
      <c r="I38" s="95">
        <v>65</v>
      </c>
      <c r="J38" s="82" t="s">
        <v>130</v>
      </c>
      <c r="K38" s="95">
        <v>80</v>
      </c>
    </row>
    <row r="39" spans="2:13" ht="12.95" customHeight="1" x14ac:dyDescent="0.3">
      <c r="B39" s="109"/>
      <c r="C39" s="112"/>
      <c r="D39" s="115"/>
      <c r="E39" s="118"/>
      <c r="F39" s="63" t="s">
        <v>49</v>
      </c>
      <c r="G39" s="64" t="s">
        <v>50</v>
      </c>
      <c r="H39" s="63" t="s">
        <v>49</v>
      </c>
      <c r="I39" s="64" t="s">
        <v>50</v>
      </c>
      <c r="J39" s="63" t="s">
        <v>49</v>
      </c>
      <c r="K39" s="64" t="s">
        <v>50</v>
      </c>
    </row>
    <row r="40" spans="2:13" ht="12.95" customHeight="1" x14ac:dyDescent="0.3">
      <c r="B40" s="17" t="s">
        <v>28</v>
      </c>
      <c r="C40" s="17" t="s">
        <v>29</v>
      </c>
      <c r="D40" s="58" t="s">
        <v>25</v>
      </c>
      <c r="E40" s="65">
        <v>12764</v>
      </c>
      <c r="F40" s="62">
        <v>8</v>
      </c>
      <c r="G40" s="11">
        <f t="shared" ref="G40" si="9">TRUNC($E40*F40,1)</f>
        <v>102112</v>
      </c>
      <c r="H40" s="62">
        <v>8</v>
      </c>
      <c r="I40" s="11">
        <f t="shared" ref="I40" si="10">TRUNC($E40*H40,1)</f>
        <v>102112</v>
      </c>
      <c r="J40" s="62">
        <v>8</v>
      </c>
      <c r="K40" s="11">
        <f t="shared" ref="K40" si="11">TRUNC($E40*J40,1)</f>
        <v>102112</v>
      </c>
    </row>
    <row r="41" spans="2:13" ht="12.95" customHeight="1" x14ac:dyDescent="0.3">
      <c r="B41" s="17" t="s">
        <v>17</v>
      </c>
      <c r="C41" s="10" t="s">
        <v>22</v>
      </c>
      <c r="D41" s="58" t="s">
        <v>26</v>
      </c>
      <c r="E41" s="19"/>
      <c r="F41" s="62">
        <v>1</v>
      </c>
      <c r="G41" s="20">
        <f>TRUNC(SUM(G44:G46)*0.03,1)</f>
        <v>45748.7</v>
      </c>
      <c r="H41" s="62">
        <v>1</v>
      </c>
      <c r="I41" s="20">
        <f>TRUNC(SUM(I44:I46)*0.03,1)</f>
        <v>45748.7</v>
      </c>
      <c r="J41" s="62">
        <v>1</v>
      </c>
      <c r="K41" s="20">
        <f>TRUNC(SUM(K44:K46)*0.03,1)</f>
        <v>45748.7</v>
      </c>
      <c r="L41" s="59"/>
      <c r="M41" s="59"/>
    </row>
    <row r="42" spans="2:13" ht="12.95" customHeight="1" x14ac:dyDescent="0.3">
      <c r="B42" s="48" t="s">
        <v>19</v>
      </c>
      <c r="C42" s="52"/>
      <c r="D42" s="50"/>
      <c r="E42" s="49"/>
      <c r="F42" s="49"/>
      <c r="G42" s="47">
        <f>TRUNC(SUM(G40:G41))</f>
        <v>147860</v>
      </c>
      <c r="H42" s="49"/>
      <c r="I42" s="47">
        <f>TRUNC(SUM(I40:I41))</f>
        <v>147860</v>
      </c>
      <c r="J42" s="49"/>
      <c r="K42" s="47">
        <f>TRUNC(SUM(K40:K41))</f>
        <v>147860</v>
      </c>
    </row>
    <row r="43" spans="2:13" ht="12.95" customHeight="1" x14ac:dyDescent="0.3">
      <c r="B43" s="21"/>
      <c r="C43" s="21"/>
      <c r="D43" s="58"/>
      <c r="E43" s="18"/>
      <c r="F43" s="18"/>
      <c r="G43" s="22"/>
      <c r="H43" s="18"/>
      <c r="I43" s="22"/>
      <c r="J43" s="18"/>
      <c r="K43" s="22"/>
    </row>
    <row r="44" spans="2:13" ht="12.95" customHeight="1" x14ac:dyDescent="0.3">
      <c r="B44" s="29" t="s">
        <v>7</v>
      </c>
      <c r="C44" s="14"/>
      <c r="D44" s="6" t="s">
        <v>18</v>
      </c>
      <c r="E44" s="65">
        <v>252641</v>
      </c>
      <c r="F44" s="62">
        <v>2</v>
      </c>
      <c r="G44" s="11">
        <f t="shared" ref="G44:G47" si="12">TRUNC($E44*F44,1)</f>
        <v>505282</v>
      </c>
      <c r="H44" s="62">
        <v>2</v>
      </c>
      <c r="I44" s="11">
        <f t="shared" ref="I44:I47" si="13">TRUNC($E44*H44,1)</f>
        <v>505282</v>
      </c>
      <c r="J44" s="62">
        <v>2</v>
      </c>
      <c r="K44" s="11">
        <f t="shared" ref="K44:K47" si="14">TRUNC($E44*J44,1)</f>
        <v>505282</v>
      </c>
    </row>
    <row r="45" spans="2:13" ht="12.95" customHeight="1" x14ac:dyDescent="0.3">
      <c r="B45" s="29" t="s">
        <v>41</v>
      </c>
      <c r="C45" s="14"/>
      <c r="D45" s="6" t="s">
        <v>18</v>
      </c>
      <c r="E45" s="65">
        <v>282536</v>
      </c>
      <c r="F45" s="62">
        <v>3</v>
      </c>
      <c r="G45" s="11">
        <f t="shared" ref="G45" si="15">TRUNC($E45*F45,1)</f>
        <v>847608</v>
      </c>
      <c r="H45" s="62">
        <v>3</v>
      </c>
      <c r="I45" s="11">
        <f t="shared" si="13"/>
        <v>847608</v>
      </c>
      <c r="J45" s="62">
        <v>3</v>
      </c>
      <c r="K45" s="11">
        <f t="shared" si="14"/>
        <v>847608</v>
      </c>
    </row>
    <row r="46" spans="2:13" ht="12.95" customHeight="1" x14ac:dyDescent="0.3">
      <c r="B46" s="29" t="s">
        <v>5</v>
      </c>
      <c r="C46" s="14"/>
      <c r="D46" s="6" t="s">
        <v>18</v>
      </c>
      <c r="E46" s="65">
        <v>172068</v>
      </c>
      <c r="F46" s="62">
        <v>1</v>
      </c>
      <c r="G46" s="11">
        <f t="shared" si="12"/>
        <v>172068</v>
      </c>
      <c r="H46" s="62">
        <v>1</v>
      </c>
      <c r="I46" s="11">
        <f t="shared" si="13"/>
        <v>172068</v>
      </c>
      <c r="J46" s="62">
        <v>1</v>
      </c>
      <c r="K46" s="11">
        <f t="shared" si="14"/>
        <v>172068</v>
      </c>
    </row>
    <row r="47" spans="2:13" ht="12.95" customHeight="1" x14ac:dyDescent="0.3">
      <c r="B47" s="17" t="s">
        <v>44</v>
      </c>
      <c r="C47" s="17" t="s">
        <v>29</v>
      </c>
      <c r="D47" s="58" t="s">
        <v>25</v>
      </c>
      <c r="E47" s="65">
        <v>58925</v>
      </c>
      <c r="F47" s="62">
        <v>8</v>
      </c>
      <c r="G47" s="11">
        <f t="shared" si="12"/>
        <v>471400</v>
      </c>
      <c r="H47" s="62">
        <v>8</v>
      </c>
      <c r="I47" s="11">
        <f t="shared" si="13"/>
        <v>471400</v>
      </c>
      <c r="J47" s="62">
        <v>8</v>
      </c>
      <c r="K47" s="11">
        <f t="shared" si="14"/>
        <v>471400</v>
      </c>
    </row>
    <row r="48" spans="2:13" ht="12.95" customHeight="1" x14ac:dyDescent="0.3">
      <c r="B48" s="42" t="s">
        <v>20</v>
      </c>
      <c r="C48" s="52"/>
      <c r="D48" s="50"/>
      <c r="E48" s="46"/>
      <c r="F48" s="70"/>
      <c r="G48" s="47">
        <f>TRUNC(SUM(G44:G47))</f>
        <v>1996358</v>
      </c>
      <c r="H48" s="70"/>
      <c r="I48" s="47">
        <f>TRUNC(SUM(I44:I47))</f>
        <v>1996358</v>
      </c>
      <c r="J48" s="70"/>
      <c r="K48" s="47">
        <f>TRUNC(SUM(K44:K47))</f>
        <v>1996358</v>
      </c>
    </row>
    <row r="49" spans="2:11" ht="12.95" customHeight="1" x14ac:dyDescent="0.3">
      <c r="B49" s="21"/>
      <c r="C49" s="21"/>
      <c r="D49" s="58"/>
      <c r="E49" s="18"/>
      <c r="F49" s="55"/>
      <c r="G49" s="22"/>
      <c r="H49" s="55"/>
      <c r="I49" s="22"/>
      <c r="J49" s="55"/>
      <c r="K49" s="22"/>
    </row>
    <row r="50" spans="2:11" ht="12.95" customHeight="1" x14ac:dyDescent="0.3">
      <c r="B50" s="17" t="s">
        <v>44</v>
      </c>
      <c r="C50" s="17" t="s">
        <v>29</v>
      </c>
      <c r="D50" s="58" t="s">
        <v>25</v>
      </c>
      <c r="E50" s="65">
        <v>59751</v>
      </c>
      <c r="F50" s="67">
        <v>8</v>
      </c>
      <c r="G50" s="11">
        <f t="shared" ref="G50" si="16">TRUNC($E50*F50,1)</f>
        <v>478008</v>
      </c>
      <c r="H50" s="67">
        <v>8</v>
      </c>
      <c r="I50" s="11">
        <f t="shared" ref="I50" si="17">TRUNC($E50*H50,1)</f>
        <v>478008</v>
      </c>
      <c r="J50" s="67">
        <v>8</v>
      </c>
      <c r="K50" s="11">
        <f t="shared" ref="K50" si="18">TRUNC($E50*J50,1)</f>
        <v>478008</v>
      </c>
    </row>
    <row r="51" spans="2:11" ht="12.95" customHeight="1" x14ac:dyDescent="0.3">
      <c r="B51" s="48" t="s">
        <v>21</v>
      </c>
      <c r="C51" s="52"/>
      <c r="D51" s="53"/>
      <c r="E51" s="46"/>
      <c r="F51" s="49"/>
      <c r="G51" s="47">
        <f>TRUNC(SUM(G50:G50))</f>
        <v>478008</v>
      </c>
      <c r="H51" s="49"/>
      <c r="I51" s="47">
        <f>TRUNC(SUM(I50:I50))</f>
        <v>478008</v>
      </c>
      <c r="J51" s="49"/>
      <c r="K51" s="47">
        <f>TRUNC(SUM(K50:K50))</f>
        <v>478008</v>
      </c>
    </row>
    <row r="52" spans="2:11" ht="12.95" customHeight="1" x14ac:dyDescent="0.3">
      <c r="B52" s="21"/>
      <c r="C52" s="21"/>
      <c r="D52" s="58"/>
      <c r="E52" s="18"/>
      <c r="F52" s="18"/>
      <c r="G52" s="22"/>
      <c r="H52" s="18"/>
      <c r="I52" s="22"/>
      <c r="J52" s="18"/>
      <c r="K52" s="22"/>
    </row>
    <row r="53" spans="2:11" ht="12.95" customHeight="1" x14ac:dyDescent="0.3">
      <c r="B53" s="84" t="s">
        <v>23</v>
      </c>
      <c r="C53" s="21"/>
      <c r="D53" s="58"/>
      <c r="E53" s="85"/>
      <c r="F53" s="86"/>
      <c r="G53" s="87">
        <f>SUM(G42+G48+G51)</f>
        <v>2622226</v>
      </c>
      <c r="H53" s="86"/>
      <c r="I53" s="87">
        <f>SUM(I42+I48+I51)</f>
        <v>2622226</v>
      </c>
      <c r="J53" s="86"/>
      <c r="K53" s="87">
        <f>SUM(K42+K48+K51)</f>
        <v>2622226</v>
      </c>
    </row>
    <row r="54" spans="2:11" ht="12.95" customHeight="1" x14ac:dyDescent="0.3">
      <c r="B54" s="23" t="s">
        <v>129</v>
      </c>
      <c r="C54" s="24"/>
      <c r="D54" s="56"/>
      <c r="E54" s="25"/>
      <c r="F54" s="26"/>
      <c r="G54" s="27">
        <f>TRUNC((G53/G38))</f>
        <v>52444</v>
      </c>
      <c r="H54" s="26"/>
      <c r="I54" s="27">
        <f>TRUNC((I53/I38))</f>
        <v>40341</v>
      </c>
      <c r="J54" s="26"/>
      <c r="K54" s="27">
        <f>TRUNC((K53/K38))</f>
        <v>32777</v>
      </c>
    </row>
    <row r="55" spans="2:11" ht="12.95" customHeight="1" x14ac:dyDescent="0.3">
      <c r="B55" s="107" t="s">
        <v>11</v>
      </c>
      <c r="C55" s="110" t="s">
        <v>15</v>
      </c>
      <c r="D55" s="113" t="s">
        <v>16</v>
      </c>
      <c r="E55" s="116" t="s">
        <v>12</v>
      </c>
      <c r="F55" s="99" t="s">
        <v>131</v>
      </c>
      <c r="G55" s="100"/>
      <c r="H55" s="100"/>
      <c r="I55" s="100"/>
    </row>
    <row r="56" spans="2:11" ht="12.95" customHeight="1" x14ac:dyDescent="0.3">
      <c r="B56" s="108"/>
      <c r="C56" s="111"/>
      <c r="D56" s="114"/>
      <c r="E56" s="117"/>
      <c r="F56" s="99" t="s">
        <v>42</v>
      </c>
      <c r="G56" s="100"/>
      <c r="H56" s="99" t="s">
        <v>43</v>
      </c>
      <c r="I56" s="100"/>
    </row>
    <row r="57" spans="2:11" ht="12.95" customHeight="1" x14ac:dyDescent="0.3">
      <c r="B57" s="108"/>
      <c r="C57" s="111"/>
      <c r="D57" s="114"/>
      <c r="E57" s="117"/>
      <c r="F57" s="82" t="s">
        <v>130</v>
      </c>
      <c r="G57" s="95">
        <v>90</v>
      </c>
      <c r="H57" s="82" t="s">
        <v>130</v>
      </c>
      <c r="I57" s="95">
        <v>100</v>
      </c>
    </row>
    <row r="58" spans="2:11" ht="12.95" customHeight="1" x14ac:dyDescent="0.3">
      <c r="B58" s="109"/>
      <c r="C58" s="112"/>
      <c r="D58" s="115"/>
      <c r="E58" s="118"/>
      <c r="F58" s="63" t="s">
        <v>49</v>
      </c>
      <c r="G58" s="64" t="s">
        <v>50</v>
      </c>
      <c r="H58" s="63" t="s">
        <v>49</v>
      </c>
      <c r="I58" s="64" t="s">
        <v>50</v>
      </c>
    </row>
    <row r="59" spans="2:11" ht="12.95" customHeight="1" x14ac:dyDescent="0.3">
      <c r="B59" s="17" t="s">
        <v>28</v>
      </c>
      <c r="C59" s="17" t="s">
        <v>29</v>
      </c>
      <c r="D59" s="58" t="s">
        <v>25</v>
      </c>
      <c r="E59" s="65">
        <v>12764</v>
      </c>
      <c r="F59" s="62">
        <v>8</v>
      </c>
      <c r="G59" s="11">
        <f t="shared" ref="G59" si="19">TRUNC($E59*F59,1)</f>
        <v>102112</v>
      </c>
      <c r="H59" s="62">
        <v>8</v>
      </c>
      <c r="I59" s="11">
        <f t="shared" ref="I59" si="20">TRUNC($E59*H59,1)</f>
        <v>102112</v>
      </c>
    </row>
    <row r="60" spans="2:11" ht="12.95" customHeight="1" x14ac:dyDescent="0.3">
      <c r="B60" s="17" t="s">
        <v>17</v>
      </c>
      <c r="C60" s="10" t="s">
        <v>22</v>
      </c>
      <c r="D60" s="58" t="s">
        <v>26</v>
      </c>
      <c r="E60" s="19"/>
      <c r="F60" s="62">
        <v>1</v>
      </c>
      <c r="G60" s="20">
        <f>TRUNC(SUM(G63:G65)*0.03,1)</f>
        <v>45748.7</v>
      </c>
      <c r="H60" s="62">
        <v>1</v>
      </c>
      <c r="I60" s="20">
        <f>TRUNC(SUM(I63:I65)*0.03,1)</f>
        <v>45748.7</v>
      </c>
    </row>
    <row r="61" spans="2:11" ht="12.95" customHeight="1" x14ac:dyDescent="0.3">
      <c r="B61" s="48" t="s">
        <v>19</v>
      </c>
      <c r="C61" s="52"/>
      <c r="D61" s="50"/>
      <c r="E61" s="49"/>
      <c r="F61" s="49"/>
      <c r="G61" s="47">
        <f>TRUNC(SUM(G59:G60))</f>
        <v>147860</v>
      </c>
      <c r="H61" s="49"/>
      <c r="I61" s="47">
        <f>TRUNC(SUM(I59:I60))</f>
        <v>147860</v>
      </c>
    </row>
    <row r="62" spans="2:11" ht="12.95" customHeight="1" x14ac:dyDescent="0.3">
      <c r="B62" s="21"/>
      <c r="C62" s="21"/>
      <c r="D62" s="58"/>
      <c r="E62" s="18"/>
      <c r="F62" s="18"/>
      <c r="G62" s="22"/>
      <c r="H62" s="18"/>
      <c r="I62" s="22"/>
    </row>
    <row r="63" spans="2:11" ht="12.95" customHeight="1" x14ac:dyDescent="0.3">
      <c r="B63" s="29" t="s">
        <v>7</v>
      </c>
      <c r="C63" s="14"/>
      <c r="D63" s="6" t="s">
        <v>18</v>
      </c>
      <c r="E63" s="65">
        <v>252641</v>
      </c>
      <c r="F63" s="62">
        <v>2</v>
      </c>
      <c r="G63" s="11">
        <f t="shared" ref="G63:G66" si="21">TRUNC($E63*F63,1)</f>
        <v>505282</v>
      </c>
      <c r="H63" s="62">
        <v>2</v>
      </c>
      <c r="I63" s="11">
        <f t="shared" ref="I63:I66" si="22">TRUNC($E63*H63,1)</f>
        <v>505282</v>
      </c>
    </row>
    <row r="64" spans="2:11" ht="12.95" customHeight="1" x14ac:dyDescent="0.3">
      <c r="B64" s="29" t="s">
        <v>41</v>
      </c>
      <c r="C64" s="14"/>
      <c r="D64" s="6" t="s">
        <v>18</v>
      </c>
      <c r="E64" s="65">
        <v>282536</v>
      </c>
      <c r="F64" s="62">
        <v>3</v>
      </c>
      <c r="G64" s="11">
        <f t="shared" si="21"/>
        <v>847608</v>
      </c>
      <c r="H64" s="62">
        <v>3</v>
      </c>
      <c r="I64" s="11">
        <f t="shared" si="22"/>
        <v>847608</v>
      </c>
    </row>
    <row r="65" spans="2:13" ht="12.95" customHeight="1" x14ac:dyDescent="0.3">
      <c r="B65" s="29" t="s">
        <v>5</v>
      </c>
      <c r="C65" s="14"/>
      <c r="D65" s="6" t="s">
        <v>18</v>
      </c>
      <c r="E65" s="65">
        <v>172068</v>
      </c>
      <c r="F65" s="62">
        <v>1</v>
      </c>
      <c r="G65" s="11">
        <f t="shared" si="21"/>
        <v>172068</v>
      </c>
      <c r="H65" s="62">
        <v>1</v>
      </c>
      <c r="I65" s="11">
        <f t="shared" si="22"/>
        <v>172068</v>
      </c>
    </row>
    <row r="66" spans="2:13" ht="12.95" customHeight="1" x14ac:dyDescent="0.3">
      <c r="B66" s="17" t="s">
        <v>44</v>
      </c>
      <c r="C66" s="17" t="s">
        <v>29</v>
      </c>
      <c r="D66" s="58" t="s">
        <v>25</v>
      </c>
      <c r="E66" s="65">
        <v>58925</v>
      </c>
      <c r="F66" s="62">
        <v>8</v>
      </c>
      <c r="G66" s="11">
        <f t="shared" si="21"/>
        <v>471400</v>
      </c>
      <c r="H66" s="62">
        <v>8</v>
      </c>
      <c r="I66" s="11">
        <f t="shared" si="22"/>
        <v>471400</v>
      </c>
    </row>
    <row r="67" spans="2:13" ht="12.95" customHeight="1" x14ac:dyDescent="0.3">
      <c r="B67" s="42" t="s">
        <v>20</v>
      </c>
      <c r="C67" s="52"/>
      <c r="D67" s="50"/>
      <c r="E67" s="46"/>
      <c r="F67" s="70"/>
      <c r="G67" s="47">
        <f>TRUNC(SUM(G63:G66))</f>
        <v>1996358</v>
      </c>
      <c r="H67" s="70"/>
      <c r="I67" s="47">
        <f>TRUNC(SUM(I63:I66))</f>
        <v>1996358</v>
      </c>
    </row>
    <row r="68" spans="2:13" ht="12.95" customHeight="1" x14ac:dyDescent="0.3">
      <c r="B68" s="21"/>
      <c r="C68" s="21"/>
      <c r="D68" s="58"/>
      <c r="E68" s="18"/>
      <c r="F68" s="55"/>
      <c r="G68" s="22"/>
      <c r="H68" s="55"/>
      <c r="I68" s="22"/>
    </row>
    <row r="69" spans="2:13" ht="12.95" customHeight="1" x14ac:dyDescent="0.3">
      <c r="B69" s="17" t="s">
        <v>44</v>
      </c>
      <c r="C69" s="17" t="s">
        <v>29</v>
      </c>
      <c r="D69" s="58" t="s">
        <v>25</v>
      </c>
      <c r="E69" s="65">
        <v>59751</v>
      </c>
      <c r="F69" s="67">
        <v>8</v>
      </c>
      <c r="G69" s="11">
        <f t="shared" ref="G69" si="23">TRUNC($E69*F69,1)</f>
        <v>478008</v>
      </c>
      <c r="H69" s="67">
        <v>8</v>
      </c>
      <c r="I69" s="11">
        <f t="shared" ref="I69" si="24">TRUNC($E69*H69,1)</f>
        <v>478008</v>
      </c>
    </row>
    <row r="70" spans="2:13" ht="12.95" customHeight="1" x14ac:dyDescent="0.3">
      <c r="B70" s="48" t="s">
        <v>21</v>
      </c>
      <c r="C70" s="52"/>
      <c r="D70" s="53"/>
      <c r="E70" s="46"/>
      <c r="F70" s="49"/>
      <c r="G70" s="47">
        <f>TRUNC(SUM(G69:G69))</f>
        <v>478008</v>
      </c>
      <c r="H70" s="49"/>
      <c r="I70" s="47">
        <f>TRUNC(SUM(I69:I69))</f>
        <v>478008</v>
      </c>
    </row>
    <row r="71" spans="2:13" ht="12.95" customHeight="1" x14ac:dyDescent="0.3">
      <c r="B71" s="21"/>
      <c r="C71" s="21"/>
      <c r="D71" s="58"/>
      <c r="E71" s="18"/>
      <c r="F71" s="18"/>
      <c r="G71" s="22"/>
      <c r="H71" s="18"/>
      <c r="I71" s="22"/>
    </row>
    <row r="72" spans="2:13" ht="12.95" customHeight="1" x14ac:dyDescent="0.3">
      <c r="B72" s="84" t="s">
        <v>23</v>
      </c>
      <c r="C72" s="21"/>
      <c r="D72" s="58"/>
      <c r="E72" s="85"/>
      <c r="F72" s="86"/>
      <c r="G72" s="87">
        <f>SUM(G61+G67+G70)</f>
        <v>2622226</v>
      </c>
      <c r="H72" s="86"/>
      <c r="I72" s="87">
        <f>SUM(I61+I67+I70)</f>
        <v>2622226</v>
      </c>
    </row>
    <row r="73" spans="2:13" ht="12.95" customHeight="1" x14ac:dyDescent="0.3">
      <c r="B73" s="23" t="s">
        <v>129</v>
      </c>
      <c r="C73" s="24"/>
      <c r="D73" s="56"/>
      <c r="E73" s="25"/>
      <c r="F73" s="26"/>
      <c r="G73" s="27">
        <f>TRUNC((G72/G57))</f>
        <v>29135</v>
      </c>
      <c r="H73" s="26"/>
      <c r="I73" s="27">
        <f>TRUNC((I72/I57))</f>
        <v>26222</v>
      </c>
    </row>
    <row r="74" spans="2:13" ht="12.95" customHeight="1" x14ac:dyDescent="0.3">
      <c r="B74" s="107" t="s">
        <v>11</v>
      </c>
      <c r="C74" s="110" t="s">
        <v>15</v>
      </c>
      <c r="D74" s="113" t="s">
        <v>16</v>
      </c>
      <c r="E74" s="116" t="s">
        <v>12</v>
      </c>
      <c r="F74" s="99" t="s">
        <v>134</v>
      </c>
      <c r="G74" s="100"/>
      <c r="H74" s="100"/>
      <c r="I74" s="100"/>
      <c r="J74" s="100"/>
      <c r="K74" s="100"/>
    </row>
    <row r="75" spans="2:13" ht="12.95" customHeight="1" x14ac:dyDescent="0.3">
      <c r="B75" s="108"/>
      <c r="C75" s="111"/>
      <c r="D75" s="114"/>
      <c r="E75" s="117"/>
      <c r="F75" s="99" t="s">
        <v>39</v>
      </c>
      <c r="G75" s="100"/>
      <c r="H75" s="99" t="s">
        <v>132</v>
      </c>
      <c r="I75" s="100"/>
      <c r="J75" s="99" t="s">
        <v>40</v>
      </c>
      <c r="K75" s="100"/>
    </row>
    <row r="76" spans="2:13" ht="12.95" customHeight="1" x14ac:dyDescent="0.3">
      <c r="B76" s="108"/>
      <c r="C76" s="111"/>
      <c r="D76" s="114"/>
      <c r="E76" s="117"/>
      <c r="F76" s="82" t="s">
        <v>130</v>
      </c>
      <c r="G76" s="95">
        <v>45</v>
      </c>
      <c r="H76" s="82" t="s">
        <v>130</v>
      </c>
      <c r="I76" s="95">
        <v>55</v>
      </c>
      <c r="J76" s="82" t="s">
        <v>130</v>
      </c>
      <c r="K76" s="95">
        <v>65</v>
      </c>
    </row>
    <row r="77" spans="2:13" ht="12.95" customHeight="1" x14ac:dyDescent="0.3">
      <c r="B77" s="109"/>
      <c r="C77" s="112"/>
      <c r="D77" s="115"/>
      <c r="E77" s="118"/>
      <c r="F77" s="63" t="s">
        <v>49</v>
      </c>
      <c r="G77" s="64" t="s">
        <v>50</v>
      </c>
      <c r="H77" s="63" t="s">
        <v>49</v>
      </c>
      <c r="I77" s="64" t="s">
        <v>50</v>
      </c>
      <c r="J77" s="63" t="s">
        <v>49</v>
      </c>
      <c r="K77" s="64" t="s">
        <v>50</v>
      </c>
    </row>
    <row r="78" spans="2:13" ht="12.95" customHeight="1" x14ac:dyDescent="0.3">
      <c r="B78" s="17" t="s">
        <v>28</v>
      </c>
      <c r="C78" s="17" t="s">
        <v>29</v>
      </c>
      <c r="D78" s="58" t="s">
        <v>25</v>
      </c>
      <c r="E78" s="65">
        <v>12764</v>
      </c>
      <c r="F78" s="62">
        <v>8</v>
      </c>
      <c r="G78" s="11">
        <f t="shared" ref="G78" si="25">TRUNC($E78*F78,1)</f>
        <v>102112</v>
      </c>
      <c r="H78" s="62">
        <v>8</v>
      </c>
      <c r="I78" s="11">
        <f t="shared" ref="I78" si="26">TRUNC($E78*H78,1)</f>
        <v>102112</v>
      </c>
      <c r="J78" s="62">
        <v>8</v>
      </c>
      <c r="K78" s="11">
        <f t="shared" ref="K78" si="27">TRUNC($E78*J78,1)</f>
        <v>102112</v>
      </c>
    </row>
    <row r="79" spans="2:13" ht="12.95" customHeight="1" x14ac:dyDescent="0.3">
      <c r="B79" s="17" t="s">
        <v>17</v>
      </c>
      <c r="C79" s="10" t="s">
        <v>22</v>
      </c>
      <c r="D79" s="58" t="s">
        <v>26</v>
      </c>
      <c r="E79" s="19"/>
      <c r="F79" s="62">
        <v>1</v>
      </c>
      <c r="G79" s="20">
        <f>TRUNC(SUM(G82:G84)*0.03,1)</f>
        <v>45748.7</v>
      </c>
      <c r="H79" s="62">
        <v>1</v>
      </c>
      <c r="I79" s="20">
        <f>TRUNC(SUM(I82:I84)*0.03,1)</f>
        <v>45748.7</v>
      </c>
      <c r="J79" s="62">
        <v>1</v>
      </c>
      <c r="K79" s="20">
        <f>TRUNC(SUM(K82:K84)*0.03,1)</f>
        <v>45748.7</v>
      </c>
      <c r="L79" s="59"/>
      <c r="M79" s="59"/>
    </row>
    <row r="80" spans="2:13" ht="12.95" customHeight="1" x14ac:dyDescent="0.3">
      <c r="B80" s="48" t="s">
        <v>19</v>
      </c>
      <c r="C80" s="52"/>
      <c r="D80" s="50"/>
      <c r="E80" s="49"/>
      <c r="F80" s="49"/>
      <c r="G80" s="47">
        <f>TRUNC(SUM(G78:G79))</f>
        <v>147860</v>
      </c>
      <c r="H80" s="49"/>
      <c r="I80" s="47">
        <f>TRUNC(SUM(I78:I79))</f>
        <v>147860</v>
      </c>
      <c r="J80" s="49"/>
      <c r="K80" s="47">
        <f>TRUNC(SUM(K78:K79))</f>
        <v>147860</v>
      </c>
    </row>
    <row r="81" spans="2:11" ht="12.95" customHeight="1" x14ac:dyDescent="0.3">
      <c r="B81" s="21"/>
      <c r="C81" s="21"/>
      <c r="D81" s="58"/>
      <c r="E81" s="18"/>
      <c r="F81" s="18"/>
      <c r="G81" s="22"/>
      <c r="H81" s="18"/>
      <c r="I81" s="22"/>
      <c r="J81" s="18"/>
      <c r="K81" s="22"/>
    </row>
    <row r="82" spans="2:11" ht="12.95" customHeight="1" x14ac:dyDescent="0.3">
      <c r="B82" s="29" t="s">
        <v>7</v>
      </c>
      <c r="C82" s="14"/>
      <c r="D82" s="6" t="s">
        <v>18</v>
      </c>
      <c r="E82" s="65">
        <v>252641</v>
      </c>
      <c r="F82" s="62">
        <v>2</v>
      </c>
      <c r="G82" s="11">
        <f t="shared" ref="G82:G85" si="28">TRUNC($E82*F82,1)</f>
        <v>505282</v>
      </c>
      <c r="H82" s="62">
        <v>2</v>
      </c>
      <c r="I82" s="11">
        <f t="shared" ref="I82:I85" si="29">TRUNC($E82*H82,1)</f>
        <v>505282</v>
      </c>
      <c r="J82" s="62">
        <v>2</v>
      </c>
      <c r="K82" s="11">
        <f t="shared" ref="K82:K85" si="30">TRUNC($E82*J82,1)</f>
        <v>505282</v>
      </c>
    </row>
    <row r="83" spans="2:11" ht="12.95" customHeight="1" x14ac:dyDescent="0.3">
      <c r="B83" s="29" t="s">
        <v>41</v>
      </c>
      <c r="C83" s="14"/>
      <c r="D83" s="6" t="s">
        <v>18</v>
      </c>
      <c r="E83" s="65">
        <v>282536</v>
      </c>
      <c r="F83" s="62">
        <v>3</v>
      </c>
      <c r="G83" s="11">
        <f t="shared" si="28"/>
        <v>847608</v>
      </c>
      <c r="H83" s="62">
        <v>3</v>
      </c>
      <c r="I83" s="11">
        <f t="shared" si="29"/>
        <v>847608</v>
      </c>
      <c r="J83" s="62">
        <v>3</v>
      </c>
      <c r="K83" s="11">
        <f t="shared" si="30"/>
        <v>847608</v>
      </c>
    </row>
    <row r="84" spans="2:11" ht="12.95" customHeight="1" x14ac:dyDescent="0.3">
      <c r="B84" s="29" t="s">
        <v>5</v>
      </c>
      <c r="C84" s="14"/>
      <c r="D84" s="6" t="s">
        <v>18</v>
      </c>
      <c r="E84" s="65">
        <v>172068</v>
      </c>
      <c r="F84" s="62">
        <v>1</v>
      </c>
      <c r="G84" s="11">
        <f t="shared" si="28"/>
        <v>172068</v>
      </c>
      <c r="H84" s="62">
        <v>1</v>
      </c>
      <c r="I84" s="11">
        <f t="shared" si="29"/>
        <v>172068</v>
      </c>
      <c r="J84" s="62">
        <v>1</v>
      </c>
      <c r="K84" s="11">
        <f t="shared" si="30"/>
        <v>172068</v>
      </c>
    </row>
    <row r="85" spans="2:11" ht="12.95" customHeight="1" x14ac:dyDescent="0.3">
      <c r="B85" s="17" t="s">
        <v>44</v>
      </c>
      <c r="C85" s="17" t="s">
        <v>29</v>
      </c>
      <c r="D85" s="58" t="s">
        <v>25</v>
      </c>
      <c r="E85" s="65">
        <v>58925</v>
      </c>
      <c r="F85" s="62">
        <v>8</v>
      </c>
      <c r="G85" s="11">
        <f t="shared" si="28"/>
        <v>471400</v>
      </c>
      <c r="H85" s="62">
        <v>8</v>
      </c>
      <c r="I85" s="11">
        <f t="shared" si="29"/>
        <v>471400</v>
      </c>
      <c r="J85" s="62">
        <v>8</v>
      </c>
      <c r="K85" s="11">
        <f t="shared" si="30"/>
        <v>471400</v>
      </c>
    </row>
    <row r="86" spans="2:11" ht="12.95" customHeight="1" x14ac:dyDescent="0.3">
      <c r="B86" s="42" t="s">
        <v>20</v>
      </c>
      <c r="C86" s="52"/>
      <c r="D86" s="50"/>
      <c r="E86" s="46"/>
      <c r="F86" s="70"/>
      <c r="G86" s="47">
        <f>TRUNC(SUM(G82:G85))</f>
        <v>1996358</v>
      </c>
      <c r="H86" s="70"/>
      <c r="I86" s="47">
        <f>TRUNC(SUM(I82:I85))</f>
        <v>1996358</v>
      </c>
      <c r="J86" s="70"/>
      <c r="K86" s="47">
        <f>TRUNC(SUM(K82:K85))</f>
        <v>1996358</v>
      </c>
    </row>
    <row r="87" spans="2:11" ht="12.95" customHeight="1" x14ac:dyDescent="0.3">
      <c r="B87" s="21"/>
      <c r="C87" s="21"/>
      <c r="D87" s="58"/>
      <c r="E87" s="18"/>
      <c r="F87" s="55"/>
      <c r="G87" s="22"/>
      <c r="H87" s="55"/>
      <c r="I87" s="22"/>
      <c r="J87" s="55"/>
      <c r="K87" s="22"/>
    </row>
    <row r="88" spans="2:11" ht="12.95" customHeight="1" x14ac:dyDescent="0.3">
      <c r="B88" s="17" t="s">
        <v>44</v>
      </c>
      <c r="C88" s="17" t="s">
        <v>29</v>
      </c>
      <c r="D88" s="58" t="s">
        <v>25</v>
      </c>
      <c r="E88" s="65">
        <v>59751</v>
      </c>
      <c r="F88" s="67">
        <v>8</v>
      </c>
      <c r="G88" s="11">
        <f t="shared" ref="G88" si="31">TRUNC($E88*F88,1)</f>
        <v>478008</v>
      </c>
      <c r="H88" s="67">
        <v>8</v>
      </c>
      <c r="I88" s="11">
        <f t="shared" ref="I88" si="32">TRUNC($E88*H88,1)</f>
        <v>478008</v>
      </c>
      <c r="J88" s="67">
        <v>8</v>
      </c>
      <c r="K88" s="11">
        <f t="shared" ref="K88" si="33">TRUNC($E88*J88,1)</f>
        <v>478008</v>
      </c>
    </row>
    <row r="89" spans="2:11" ht="12.95" customHeight="1" x14ac:dyDescent="0.3">
      <c r="B89" s="48" t="s">
        <v>21</v>
      </c>
      <c r="C89" s="52"/>
      <c r="D89" s="53"/>
      <c r="E89" s="46"/>
      <c r="F89" s="49"/>
      <c r="G89" s="47">
        <f>TRUNC(SUM(G88:G88))</f>
        <v>478008</v>
      </c>
      <c r="H89" s="49"/>
      <c r="I89" s="47">
        <f>TRUNC(SUM(I88:I88))</f>
        <v>478008</v>
      </c>
      <c r="J89" s="49"/>
      <c r="K89" s="47">
        <f>TRUNC(SUM(K88:K88))</f>
        <v>478008</v>
      </c>
    </row>
    <row r="90" spans="2:11" ht="12.95" customHeight="1" x14ac:dyDescent="0.3">
      <c r="B90" s="21"/>
      <c r="C90" s="21"/>
      <c r="D90" s="58"/>
      <c r="E90" s="18"/>
      <c r="F90" s="18"/>
      <c r="G90" s="22"/>
      <c r="H90" s="18"/>
      <c r="I90" s="22"/>
      <c r="J90" s="18"/>
      <c r="K90" s="22"/>
    </row>
    <row r="91" spans="2:11" ht="12.95" customHeight="1" x14ac:dyDescent="0.3">
      <c r="B91" s="84" t="s">
        <v>23</v>
      </c>
      <c r="C91" s="21"/>
      <c r="D91" s="58"/>
      <c r="E91" s="85"/>
      <c r="F91" s="86"/>
      <c r="G91" s="87">
        <f>SUM(G80+G86+G89)</f>
        <v>2622226</v>
      </c>
      <c r="H91" s="86"/>
      <c r="I91" s="87">
        <f>SUM(I80+I86+I89)</f>
        <v>2622226</v>
      </c>
      <c r="J91" s="86"/>
      <c r="K91" s="87">
        <f>SUM(K80+K86+K89)</f>
        <v>2622226</v>
      </c>
    </row>
    <row r="92" spans="2:11" ht="12.95" customHeight="1" x14ac:dyDescent="0.3">
      <c r="B92" s="23" t="s">
        <v>129</v>
      </c>
      <c r="C92" s="24"/>
      <c r="D92" s="56"/>
      <c r="E92" s="25"/>
      <c r="F92" s="26"/>
      <c r="G92" s="27">
        <f>TRUNC((G91/G76))</f>
        <v>58271</v>
      </c>
      <c r="H92" s="26"/>
      <c r="I92" s="27">
        <f>TRUNC((I91/I76))</f>
        <v>47676</v>
      </c>
      <c r="J92" s="26"/>
      <c r="K92" s="27">
        <f>TRUNC((K91/K76))</f>
        <v>40341</v>
      </c>
    </row>
    <row r="93" spans="2:11" ht="12.95" customHeight="1" x14ac:dyDescent="0.3">
      <c r="B93" s="107" t="s">
        <v>11</v>
      </c>
      <c r="C93" s="110" t="s">
        <v>15</v>
      </c>
      <c r="D93" s="113" t="s">
        <v>16</v>
      </c>
      <c r="E93" s="116" t="s">
        <v>12</v>
      </c>
      <c r="F93" s="99" t="s">
        <v>134</v>
      </c>
      <c r="G93" s="100"/>
      <c r="H93" s="100"/>
      <c r="I93" s="100"/>
    </row>
    <row r="94" spans="2:11" ht="12.95" customHeight="1" x14ac:dyDescent="0.3">
      <c r="B94" s="108"/>
      <c r="C94" s="111"/>
      <c r="D94" s="114"/>
      <c r="E94" s="117"/>
      <c r="F94" s="99" t="s">
        <v>42</v>
      </c>
      <c r="G94" s="100"/>
      <c r="H94" s="99" t="s">
        <v>43</v>
      </c>
      <c r="I94" s="100"/>
    </row>
    <row r="95" spans="2:11" ht="12.95" customHeight="1" x14ac:dyDescent="0.3">
      <c r="B95" s="108"/>
      <c r="C95" s="111"/>
      <c r="D95" s="114"/>
      <c r="E95" s="117"/>
      <c r="F95" s="82" t="s">
        <v>130</v>
      </c>
      <c r="G95" s="95">
        <v>75</v>
      </c>
      <c r="H95" s="82" t="s">
        <v>130</v>
      </c>
      <c r="I95" s="95">
        <v>85</v>
      </c>
    </row>
    <row r="96" spans="2:11" ht="12.95" customHeight="1" x14ac:dyDescent="0.3">
      <c r="B96" s="109"/>
      <c r="C96" s="112"/>
      <c r="D96" s="115"/>
      <c r="E96" s="118"/>
      <c r="F96" s="63" t="s">
        <v>49</v>
      </c>
      <c r="G96" s="64" t="s">
        <v>50</v>
      </c>
      <c r="H96" s="63" t="s">
        <v>49</v>
      </c>
      <c r="I96" s="64" t="s">
        <v>50</v>
      </c>
    </row>
    <row r="97" spans="2:13" ht="12.95" customHeight="1" x14ac:dyDescent="0.3">
      <c r="B97" s="17" t="s">
        <v>28</v>
      </c>
      <c r="C97" s="17" t="s">
        <v>29</v>
      </c>
      <c r="D97" s="58" t="s">
        <v>25</v>
      </c>
      <c r="E97" s="65">
        <v>12764</v>
      </c>
      <c r="F97" s="62">
        <v>8</v>
      </c>
      <c r="G97" s="11">
        <f t="shared" ref="G97" si="34">TRUNC($E97*F97,1)</f>
        <v>102112</v>
      </c>
      <c r="H97" s="62">
        <v>8</v>
      </c>
      <c r="I97" s="11">
        <f t="shared" ref="I97" si="35">TRUNC($E97*H97,1)</f>
        <v>102112</v>
      </c>
    </row>
    <row r="98" spans="2:13" ht="12.95" customHeight="1" x14ac:dyDescent="0.3">
      <c r="B98" s="17" t="s">
        <v>17</v>
      </c>
      <c r="C98" s="10" t="s">
        <v>22</v>
      </c>
      <c r="D98" s="58" t="s">
        <v>26</v>
      </c>
      <c r="E98" s="19"/>
      <c r="F98" s="62">
        <v>1</v>
      </c>
      <c r="G98" s="20">
        <f>TRUNC(SUM(G101:G103)*0.03,1)</f>
        <v>45748.7</v>
      </c>
      <c r="H98" s="62">
        <v>1</v>
      </c>
      <c r="I98" s="20">
        <f>TRUNC(SUM(I101:I103)*0.03,1)</f>
        <v>45748.7</v>
      </c>
    </row>
    <row r="99" spans="2:13" ht="12.95" customHeight="1" x14ac:dyDescent="0.3">
      <c r="B99" s="48" t="s">
        <v>19</v>
      </c>
      <c r="C99" s="52"/>
      <c r="D99" s="50"/>
      <c r="E99" s="49"/>
      <c r="F99" s="49"/>
      <c r="G99" s="47">
        <f>TRUNC(SUM(G97:G98))</f>
        <v>147860</v>
      </c>
      <c r="H99" s="49"/>
      <c r="I99" s="47">
        <f>TRUNC(SUM(I97:I98))</f>
        <v>147860</v>
      </c>
    </row>
    <row r="100" spans="2:13" ht="12.95" customHeight="1" x14ac:dyDescent="0.3">
      <c r="B100" s="21"/>
      <c r="C100" s="21"/>
      <c r="D100" s="58"/>
      <c r="E100" s="18"/>
      <c r="F100" s="18"/>
      <c r="G100" s="22"/>
      <c r="H100" s="18"/>
      <c r="I100" s="22"/>
    </row>
    <row r="101" spans="2:13" ht="12.95" customHeight="1" x14ac:dyDescent="0.3">
      <c r="B101" s="29" t="s">
        <v>7</v>
      </c>
      <c r="C101" s="14"/>
      <c r="D101" s="6" t="s">
        <v>18</v>
      </c>
      <c r="E101" s="65">
        <v>252641</v>
      </c>
      <c r="F101" s="62">
        <v>2</v>
      </c>
      <c r="G101" s="11">
        <f t="shared" ref="G101:G104" si="36">TRUNC($E101*F101,1)</f>
        <v>505282</v>
      </c>
      <c r="H101" s="62">
        <v>2</v>
      </c>
      <c r="I101" s="11">
        <f t="shared" ref="I101:I104" si="37">TRUNC($E101*H101,1)</f>
        <v>505282</v>
      </c>
    </row>
    <row r="102" spans="2:13" ht="12.95" customHeight="1" x14ac:dyDescent="0.3">
      <c r="B102" s="29" t="s">
        <v>41</v>
      </c>
      <c r="C102" s="14"/>
      <c r="D102" s="6" t="s">
        <v>18</v>
      </c>
      <c r="E102" s="65">
        <v>282536</v>
      </c>
      <c r="F102" s="62">
        <v>3</v>
      </c>
      <c r="G102" s="11">
        <f t="shared" si="36"/>
        <v>847608</v>
      </c>
      <c r="H102" s="62">
        <v>3</v>
      </c>
      <c r="I102" s="11">
        <f t="shared" si="37"/>
        <v>847608</v>
      </c>
    </row>
    <row r="103" spans="2:13" ht="12.95" customHeight="1" x14ac:dyDescent="0.3">
      <c r="B103" s="29" t="s">
        <v>5</v>
      </c>
      <c r="C103" s="14"/>
      <c r="D103" s="6" t="s">
        <v>18</v>
      </c>
      <c r="E103" s="65">
        <v>172068</v>
      </c>
      <c r="F103" s="62">
        <v>1</v>
      </c>
      <c r="G103" s="11">
        <f t="shared" si="36"/>
        <v>172068</v>
      </c>
      <c r="H103" s="62">
        <v>1</v>
      </c>
      <c r="I103" s="11">
        <f t="shared" si="37"/>
        <v>172068</v>
      </c>
    </row>
    <row r="104" spans="2:13" ht="12.95" customHeight="1" x14ac:dyDescent="0.3">
      <c r="B104" s="17" t="s">
        <v>44</v>
      </c>
      <c r="C104" s="17" t="s">
        <v>29</v>
      </c>
      <c r="D104" s="58" t="s">
        <v>25</v>
      </c>
      <c r="E104" s="65">
        <v>58925</v>
      </c>
      <c r="F104" s="62">
        <v>8</v>
      </c>
      <c r="G104" s="11">
        <f t="shared" si="36"/>
        <v>471400</v>
      </c>
      <c r="H104" s="62">
        <v>8</v>
      </c>
      <c r="I104" s="11">
        <f t="shared" si="37"/>
        <v>471400</v>
      </c>
    </row>
    <row r="105" spans="2:13" ht="12.95" customHeight="1" x14ac:dyDescent="0.3">
      <c r="B105" s="42" t="s">
        <v>20</v>
      </c>
      <c r="C105" s="52"/>
      <c r="D105" s="50"/>
      <c r="E105" s="46"/>
      <c r="F105" s="70"/>
      <c r="G105" s="47">
        <f>TRUNC(SUM(G101:G104))</f>
        <v>1996358</v>
      </c>
      <c r="H105" s="70"/>
      <c r="I105" s="47">
        <f>TRUNC(SUM(I101:I104))</f>
        <v>1996358</v>
      </c>
    </row>
    <row r="106" spans="2:13" ht="12.95" customHeight="1" x14ac:dyDescent="0.3">
      <c r="B106" s="21"/>
      <c r="C106" s="21"/>
      <c r="D106" s="58"/>
      <c r="E106" s="18"/>
      <c r="F106" s="55"/>
      <c r="G106" s="22"/>
      <c r="H106" s="55"/>
      <c r="I106" s="22"/>
    </row>
    <row r="107" spans="2:13" ht="12.95" customHeight="1" x14ac:dyDescent="0.3">
      <c r="B107" s="17" t="s">
        <v>44</v>
      </c>
      <c r="C107" s="17" t="s">
        <v>29</v>
      </c>
      <c r="D107" s="58" t="s">
        <v>25</v>
      </c>
      <c r="E107" s="65">
        <v>59751</v>
      </c>
      <c r="F107" s="67">
        <v>8</v>
      </c>
      <c r="G107" s="11">
        <f t="shared" ref="G107" si="38">TRUNC($E107*F107,1)</f>
        <v>478008</v>
      </c>
      <c r="H107" s="67">
        <v>8</v>
      </c>
      <c r="I107" s="11">
        <f t="shared" ref="I107" si="39">TRUNC($E107*H107,1)</f>
        <v>478008</v>
      </c>
    </row>
    <row r="108" spans="2:13" ht="12.95" customHeight="1" x14ac:dyDescent="0.3">
      <c r="B108" s="48" t="s">
        <v>21</v>
      </c>
      <c r="C108" s="52"/>
      <c r="D108" s="53"/>
      <c r="E108" s="46"/>
      <c r="F108" s="49"/>
      <c r="G108" s="47">
        <f>TRUNC(SUM(G107:G107))</f>
        <v>478008</v>
      </c>
      <c r="H108" s="49"/>
      <c r="I108" s="47">
        <f>TRUNC(SUM(I107:I107))</f>
        <v>478008</v>
      </c>
    </row>
    <row r="109" spans="2:13" ht="12.95" customHeight="1" x14ac:dyDescent="0.3">
      <c r="B109" s="21"/>
      <c r="C109" s="21"/>
      <c r="D109" s="58"/>
      <c r="E109" s="18"/>
      <c r="F109" s="18"/>
      <c r="G109" s="22"/>
      <c r="H109" s="18"/>
      <c r="I109" s="22"/>
    </row>
    <row r="110" spans="2:13" ht="12.95" customHeight="1" x14ac:dyDescent="0.3">
      <c r="B110" s="84" t="s">
        <v>23</v>
      </c>
      <c r="C110" s="21"/>
      <c r="D110" s="58"/>
      <c r="E110" s="85"/>
      <c r="F110" s="86"/>
      <c r="G110" s="87">
        <f>SUM(G99+G105+G108)</f>
        <v>2622226</v>
      </c>
      <c r="H110" s="86"/>
      <c r="I110" s="87">
        <f>SUM(I99+I105+I108)</f>
        <v>2622226</v>
      </c>
    </row>
    <row r="111" spans="2:13" ht="12.95" customHeight="1" x14ac:dyDescent="0.3">
      <c r="B111" s="23" t="s">
        <v>129</v>
      </c>
      <c r="C111" s="24"/>
      <c r="D111" s="56"/>
      <c r="E111" s="25"/>
      <c r="F111" s="26"/>
      <c r="G111" s="27">
        <f>TRUNC((G110/G95))</f>
        <v>34963</v>
      </c>
      <c r="H111" s="26"/>
      <c r="I111" s="27">
        <f>TRUNC((I110/I95))</f>
        <v>30849</v>
      </c>
    </row>
    <row r="112" spans="2:13" ht="12.95" customHeight="1" x14ac:dyDescent="0.3">
      <c r="B112" s="3" t="s">
        <v>153</v>
      </c>
      <c r="C112" s="9"/>
      <c r="D112" s="3"/>
      <c r="E112" s="13"/>
      <c r="F112" s="4"/>
      <c r="G112" s="4"/>
      <c r="H112" s="4"/>
      <c r="I112" s="4"/>
      <c r="K112" s="61"/>
      <c r="L112" s="59"/>
      <c r="M112" s="59"/>
    </row>
    <row r="113" spans="2:13" ht="12.95" customHeight="1" x14ac:dyDescent="0.3">
      <c r="B113" s="3"/>
      <c r="C113" s="9"/>
      <c r="D113" s="3"/>
      <c r="E113" s="13"/>
      <c r="F113" s="4"/>
      <c r="G113" s="4"/>
      <c r="H113" s="4"/>
      <c r="I113" s="4"/>
      <c r="J113" s="59"/>
    </row>
    <row r="114" spans="2:13" ht="12.95" customHeight="1" x14ac:dyDescent="0.3">
      <c r="B114" s="3" t="s">
        <v>135</v>
      </c>
      <c r="C114" s="9"/>
      <c r="D114" s="3"/>
      <c r="E114" s="13"/>
      <c r="F114" s="4"/>
      <c r="G114" s="4"/>
      <c r="H114" s="4"/>
      <c r="I114" s="4"/>
      <c r="K114" s="61" t="s">
        <v>53</v>
      </c>
      <c r="L114" s="59"/>
      <c r="M114" s="59"/>
    </row>
    <row r="115" spans="2:13" ht="12.95" customHeight="1" x14ac:dyDescent="0.3">
      <c r="B115" s="107" t="s">
        <v>11</v>
      </c>
      <c r="C115" s="110" t="s">
        <v>15</v>
      </c>
      <c r="D115" s="113" t="s">
        <v>16</v>
      </c>
      <c r="E115" s="116" t="s">
        <v>12</v>
      </c>
      <c r="F115" s="99" t="s">
        <v>131</v>
      </c>
      <c r="G115" s="100"/>
      <c r="H115" s="100"/>
      <c r="I115" s="100"/>
      <c r="J115" s="100"/>
      <c r="K115" s="100"/>
    </row>
    <row r="116" spans="2:13" ht="12.95" customHeight="1" x14ac:dyDescent="0.3">
      <c r="B116" s="108"/>
      <c r="C116" s="111"/>
      <c r="D116" s="114"/>
      <c r="E116" s="117"/>
      <c r="F116" s="99" t="s">
        <v>39</v>
      </c>
      <c r="G116" s="100"/>
      <c r="H116" s="99" t="s">
        <v>132</v>
      </c>
      <c r="I116" s="100"/>
      <c r="J116" s="99" t="s">
        <v>40</v>
      </c>
      <c r="K116" s="100"/>
    </row>
    <row r="117" spans="2:13" ht="12.95" customHeight="1" x14ac:dyDescent="0.3">
      <c r="B117" s="108"/>
      <c r="C117" s="111"/>
      <c r="D117" s="114"/>
      <c r="E117" s="117"/>
      <c r="F117" s="82" t="s">
        <v>137</v>
      </c>
      <c r="G117" s="95">
        <v>12</v>
      </c>
      <c r="H117" s="82" t="s">
        <v>137</v>
      </c>
      <c r="I117" s="95">
        <v>11</v>
      </c>
      <c r="J117" s="82" t="s">
        <v>137</v>
      </c>
      <c r="K117" s="95">
        <v>10</v>
      </c>
    </row>
    <row r="118" spans="2:13" ht="12.95" customHeight="1" x14ac:dyDescent="0.3">
      <c r="B118" s="109"/>
      <c r="C118" s="112"/>
      <c r="D118" s="115"/>
      <c r="E118" s="118"/>
      <c r="F118" s="63" t="s">
        <v>49</v>
      </c>
      <c r="G118" s="64" t="s">
        <v>50</v>
      </c>
      <c r="H118" s="63" t="s">
        <v>49</v>
      </c>
      <c r="I118" s="64" t="s">
        <v>50</v>
      </c>
      <c r="J118" s="63" t="s">
        <v>49</v>
      </c>
      <c r="K118" s="64" t="s">
        <v>50</v>
      </c>
    </row>
    <row r="119" spans="2:13" ht="12.95" customHeight="1" x14ac:dyDescent="0.3">
      <c r="B119" s="17" t="s">
        <v>28</v>
      </c>
      <c r="C119" s="17" t="s">
        <v>29</v>
      </c>
      <c r="D119" s="58" t="s">
        <v>25</v>
      </c>
      <c r="E119" s="65">
        <v>12764</v>
      </c>
      <c r="F119" s="62">
        <v>8</v>
      </c>
      <c r="G119" s="11">
        <f t="shared" ref="G119" si="40">TRUNC($E119*F119,1)</f>
        <v>102112</v>
      </c>
      <c r="H119" s="62">
        <v>8</v>
      </c>
      <c r="I119" s="11">
        <f t="shared" ref="I119" si="41">TRUNC($E119*H119,1)</f>
        <v>102112</v>
      </c>
      <c r="J119" s="62">
        <v>8</v>
      </c>
      <c r="K119" s="11">
        <f t="shared" ref="K119" si="42">TRUNC($E119*J119,1)</f>
        <v>102112</v>
      </c>
    </row>
    <row r="120" spans="2:13" ht="12.95" customHeight="1" x14ac:dyDescent="0.3">
      <c r="B120" s="17" t="s">
        <v>17</v>
      </c>
      <c r="C120" s="10" t="s">
        <v>22</v>
      </c>
      <c r="D120" s="58" t="s">
        <v>26</v>
      </c>
      <c r="E120" s="19"/>
      <c r="F120" s="62">
        <v>1</v>
      </c>
      <c r="G120" s="20">
        <f>TRUNC(SUM(G123:G125)*0.03,1)</f>
        <v>44851.8</v>
      </c>
      <c r="H120" s="62">
        <v>1</v>
      </c>
      <c r="I120" s="20">
        <f>TRUNC(SUM(I123:I125)*0.03,1)</f>
        <v>44851.8</v>
      </c>
      <c r="J120" s="62">
        <v>1</v>
      </c>
      <c r="K120" s="20">
        <f>TRUNC(SUM(K123:K125)*0.03,1)</f>
        <v>44851.8</v>
      </c>
      <c r="L120" s="59"/>
      <c r="M120" s="59"/>
    </row>
    <row r="121" spans="2:13" ht="12.95" customHeight="1" x14ac:dyDescent="0.3">
      <c r="B121" s="48" t="s">
        <v>19</v>
      </c>
      <c r="C121" s="52"/>
      <c r="D121" s="50"/>
      <c r="E121" s="49"/>
      <c r="F121" s="49"/>
      <c r="G121" s="47">
        <f>TRUNC(SUM(G119:G120))</f>
        <v>146963</v>
      </c>
      <c r="H121" s="49"/>
      <c r="I121" s="47">
        <f>TRUNC(SUM(I119:I120))</f>
        <v>146963</v>
      </c>
      <c r="J121" s="49"/>
      <c r="K121" s="47">
        <f>TRUNC(SUM(K119:K120))</f>
        <v>146963</v>
      </c>
    </row>
    <row r="122" spans="2:13" ht="12.95" customHeight="1" x14ac:dyDescent="0.3">
      <c r="B122" s="21"/>
      <c r="C122" s="21"/>
      <c r="D122" s="58"/>
      <c r="E122" s="18"/>
      <c r="F122" s="18"/>
      <c r="G122" s="22"/>
      <c r="H122" s="18"/>
      <c r="I122" s="22"/>
      <c r="J122" s="18"/>
      <c r="K122" s="22"/>
    </row>
    <row r="123" spans="2:13" ht="12.95" customHeight="1" x14ac:dyDescent="0.3">
      <c r="B123" s="29" t="s">
        <v>7</v>
      </c>
      <c r="C123" s="14"/>
      <c r="D123" s="6" t="s">
        <v>18</v>
      </c>
      <c r="E123" s="65">
        <v>252641</v>
      </c>
      <c r="F123" s="62">
        <v>3</v>
      </c>
      <c r="G123" s="11">
        <f t="shared" ref="G123:G126" si="43">TRUNC($E123*F123,1)</f>
        <v>757923</v>
      </c>
      <c r="H123" s="62">
        <v>3</v>
      </c>
      <c r="I123" s="11">
        <f t="shared" ref="I123:I126" si="44">TRUNC($E123*H123,1)</f>
        <v>757923</v>
      </c>
      <c r="J123" s="62">
        <v>3</v>
      </c>
      <c r="K123" s="11">
        <f t="shared" ref="K123:K126" si="45">TRUNC($E123*J123,1)</f>
        <v>757923</v>
      </c>
    </row>
    <row r="124" spans="2:13" ht="12.95" customHeight="1" x14ac:dyDescent="0.3">
      <c r="B124" s="29" t="s">
        <v>41</v>
      </c>
      <c r="C124" s="14"/>
      <c r="D124" s="6" t="s">
        <v>18</v>
      </c>
      <c r="E124" s="65">
        <v>282536</v>
      </c>
      <c r="F124" s="62">
        <v>2</v>
      </c>
      <c r="G124" s="11">
        <f t="shared" si="43"/>
        <v>565072</v>
      </c>
      <c r="H124" s="62">
        <v>2</v>
      </c>
      <c r="I124" s="11">
        <f t="shared" si="44"/>
        <v>565072</v>
      </c>
      <c r="J124" s="62">
        <v>2</v>
      </c>
      <c r="K124" s="11">
        <f t="shared" si="45"/>
        <v>565072</v>
      </c>
    </row>
    <row r="125" spans="2:13" ht="12.95" customHeight="1" x14ac:dyDescent="0.3">
      <c r="B125" s="29" t="s">
        <v>5</v>
      </c>
      <c r="C125" s="14"/>
      <c r="D125" s="6" t="s">
        <v>18</v>
      </c>
      <c r="E125" s="65">
        <v>172068</v>
      </c>
      <c r="F125" s="62">
        <v>1</v>
      </c>
      <c r="G125" s="11">
        <f t="shared" si="43"/>
        <v>172068</v>
      </c>
      <c r="H125" s="62">
        <v>1</v>
      </c>
      <c r="I125" s="11">
        <f t="shared" si="44"/>
        <v>172068</v>
      </c>
      <c r="J125" s="62">
        <v>1</v>
      </c>
      <c r="K125" s="11">
        <f t="shared" si="45"/>
        <v>172068</v>
      </c>
    </row>
    <row r="126" spans="2:13" ht="12.95" customHeight="1" x14ac:dyDescent="0.3">
      <c r="B126" s="17" t="s">
        <v>44</v>
      </c>
      <c r="C126" s="17" t="s">
        <v>29</v>
      </c>
      <c r="D126" s="58" t="s">
        <v>25</v>
      </c>
      <c r="E126" s="65">
        <v>58925</v>
      </c>
      <c r="F126" s="62">
        <v>8</v>
      </c>
      <c r="G126" s="11">
        <f t="shared" si="43"/>
        <v>471400</v>
      </c>
      <c r="H126" s="62">
        <v>8</v>
      </c>
      <c r="I126" s="11">
        <f t="shared" si="44"/>
        <v>471400</v>
      </c>
      <c r="J126" s="62">
        <v>8</v>
      </c>
      <c r="K126" s="11">
        <f t="shared" si="45"/>
        <v>471400</v>
      </c>
    </row>
    <row r="127" spans="2:13" ht="12.95" customHeight="1" x14ac:dyDescent="0.3">
      <c r="B127" s="42" t="s">
        <v>20</v>
      </c>
      <c r="C127" s="52"/>
      <c r="D127" s="50"/>
      <c r="E127" s="46"/>
      <c r="F127" s="70"/>
      <c r="G127" s="47">
        <f>TRUNC(SUM(G123:G126))</f>
        <v>1966463</v>
      </c>
      <c r="H127" s="70"/>
      <c r="I127" s="47">
        <f>TRUNC(SUM(I123:I126))</f>
        <v>1966463</v>
      </c>
      <c r="J127" s="70"/>
      <c r="K127" s="47">
        <f>TRUNC(SUM(K123:K126))</f>
        <v>1966463</v>
      </c>
    </row>
    <row r="128" spans="2:13" ht="12.95" customHeight="1" x14ac:dyDescent="0.3">
      <c r="B128" s="21"/>
      <c r="C128" s="21"/>
      <c r="D128" s="58"/>
      <c r="E128" s="18"/>
      <c r="F128" s="55"/>
      <c r="G128" s="22"/>
      <c r="H128" s="55"/>
      <c r="I128" s="22"/>
      <c r="J128" s="55"/>
      <c r="K128" s="22"/>
    </row>
    <row r="129" spans="2:11" ht="12.95" customHeight="1" x14ac:dyDescent="0.3">
      <c r="B129" s="17" t="s">
        <v>44</v>
      </c>
      <c r="C129" s="17" t="s">
        <v>29</v>
      </c>
      <c r="D129" s="58" t="s">
        <v>25</v>
      </c>
      <c r="E129" s="65">
        <v>59751</v>
      </c>
      <c r="F129" s="67">
        <v>8</v>
      </c>
      <c r="G129" s="11">
        <f t="shared" ref="G129" si="46">TRUNC($E129*F129,1)</f>
        <v>478008</v>
      </c>
      <c r="H129" s="67">
        <v>8</v>
      </c>
      <c r="I129" s="11">
        <f t="shared" ref="I129" si="47">TRUNC($E129*H129,1)</f>
        <v>478008</v>
      </c>
      <c r="J129" s="67">
        <v>8</v>
      </c>
      <c r="K129" s="11">
        <f t="shared" ref="K129" si="48">TRUNC($E129*J129,1)</f>
        <v>478008</v>
      </c>
    </row>
    <row r="130" spans="2:11" ht="12.95" customHeight="1" x14ac:dyDescent="0.3">
      <c r="B130" s="48" t="s">
        <v>21</v>
      </c>
      <c r="C130" s="52"/>
      <c r="D130" s="53"/>
      <c r="E130" s="46"/>
      <c r="F130" s="49"/>
      <c r="G130" s="47">
        <f>TRUNC(SUM(G129:G129))</f>
        <v>478008</v>
      </c>
      <c r="H130" s="49"/>
      <c r="I130" s="47">
        <f>TRUNC(SUM(I129:I129))</f>
        <v>478008</v>
      </c>
      <c r="J130" s="49"/>
      <c r="K130" s="47">
        <f>TRUNC(SUM(K129:K129))</f>
        <v>478008</v>
      </c>
    </row>
    <row r="131" spans="2:11" ht="12.95" customHeight="1" x14ac:dyDescent="0.3">
      <c r="B131" s="21"/>
      <c r="C131" s="21"/>
      <c r="D131" s="58"/>
      <c r="E131" s="18"/>
      <c r="F131" s="18"/>
      <c r="G131" s="22"/>
      <c r="H131" s="18"/>
      <c r="I131" s="22"/>
      <c r="J131" s="18"/>
      <c r="K131" s="22"/>
    </row>
    <row r="132" spans="2:11" ht="12.95" customHeight="1" x14ac:dyDescent="0.3">
      <c r="B132" s="84" t="s">
        <v>23</v>
      </c>
      <c r="C132" s="21"/>
      <c r="D132" s="58"/>
      <c r="E132" s="85"/>
      <c r="F132" s="86"/>
      <c r="G132" s="87">
        <f>SUM(G121+G127+G130)</f>
        <v>2591434</v>
      </c>
      <c r="H132" s="86"/>
      <c r="I132" s="87">
        <f>SUM(I121+I127+I130)</f>
        <v>2591434</v>
      </c>
      <c r="J132" s="86"/>
      <c r="K132" s="87">
        <f>SUM(K121+K127+K130)</f>
        <v>2591434</v>
      </c>
    </row>
    <row r="133" spans="2:11" ht="12.95" customHeight="1" x14ac:dyDescent="0.3">
      <c r="B133" s="23" t="s">
        <v>136</v>
      </c>
      <c r="C133" s="24"/>
      <c r="D133" s="56"/>
      <c r="E133" s="25"/>
      <c r="F133" s="26"/>
      <c r="G133" s="27">
        <f>TRUNC((G132/G117))</f>
        <v>215952</v>
      </c>
      <c r="H133" s="26"/>
      <c r="I133" s="27">
        <f>TRUNC((I132/I117))</f>
        <v>235584</v>
      </c>
      <c r="J133" s="26"/>
      <c r="K133" s="27">
        <f>TRUNC((K132/K117))</f>
        <v>259143</v>
      </c>
    </row>
    <row r="134" spans="2:11" ht="12.95" customHeight="1" x14ac:dyDescent="0.3">
      <c r="B134" s="107" t="s">
        <v>11</v>
      </c>
      <c r="C134" s="110" t="s">
        <v>15</v>
      </c>
      <c r="D134" s="113" t="s">
        <v>16</v>
      </c>
      <c r="E134" s="116" t="s">
        <v>12</v>
      </c>
      <c r="F134" s="99" t="s">
        <v>131</v>
      </c>
      <c r="G134" s="100"/>
      <c r="H134" s="100"/>
      <c r="I134" s="100"/>
    </row>
    <row r="135" spans="2:11" ht="12.95" customHeight="1" x14ac:dyDescent="0.3">
      <c r="B135" s="108"/>
      <c r="C135" s="111"/>
      <c r="D135" s="114"/>
      <c r="E135" s="117"/>
      <c r="F135" s="99" t="s">
        <v>42</v>
      </c>
      <c r="G135" s="100"/>
      <c r="H135" s="99" t="s">
        <v>43</v>
      </c>
      <c r="I135" s="100"/>
    </row>
    <row r="136" spans="2:11" ht="12.95" customHeight="1" x14ac:dyDescent="0.3">
      <c r="B136" s="108"/>
      <c r="C136" s="111"/>
      <c r="D136" s="114"/>
      <c r="E136" s="117"/>
      <c r="F136" s="82" t="s">
        <v>137</v>
      </c>
      <c r="G136" s="95">
        <v>9</v>
      </c>
      <c r="H136" s="82" t="s">
        <v>137</v>
      </c>
      <c r="I136" s="95">
        <v>8</v>
      </c>
    </row>
    <row r="137" spans="2:11" ht="12.95" customHeight="1" x14ac:dyDescent="0.3">
      <c r="B137" s="109"/>
      <c r="C137" s="112"/>
      <c r="D137" s="115"/>
      <c r="E137" s="118"/>
      <c r="F137" s="63" t="s">
        <v>49</v>
      </c>
      <c r="G137" s="64" t="s">
        <v>50</v>
      </c>
      <c r="H137" s="63" t="s">
        <v>49</v>
      </c>
      <c r="I137" s="64" t="s">
        <v>50</v>
      </c>
    </row>
    <row r="138" spans="2:11" ht="12.95" customHeight="1" x14ac:dyDescent="0.3">
      <c r="B138" s="17" t="s">
        <v>28</v>
      </c>
      <c r="C138" s="17" t="s">
        <v>29</v>
      </c>
      <c r="D138" s="58" t="s">
        <v>25</v>
      </c>
      <c r="E138" s="65">
        <v>12764</v>
      </c>
      <c r="F138" s="62">
        <v>8</v>
      </c>
      <c r="G138" s="11">
        <f t="shared" ref="G138" si="49">TRUNC($E138*F138,1)</f>
        <v>102112</v>
      </c>
      <c r="H138" s="62">
        <v>8</v>
      </c>
      <c r="I138" s="11">
        <f t="shared" ref="I138" si="50">TRUNC($E138*H138,1)</f>
        <v>102112</v>
      </c>
    </row>
    <row r="139" spans="2:11" ht="12.95" customHeight="1" x14ac:dyDescent="0.3">
      <c r="B139" s="17" t="s">
        <v>17</v>
      </c>
      <c r="C139" s="10" t="s">
        <v>22</v>
      </c>
      <c r="D139" s="58" t="s">
        <v>26</v>
      </c>
      <c r="E139" s="19"/>
      <c r="F139" s="62">
        <v>1</v>
      </c>
      <c r="G139" s="20">
        <f>TRUNC(SUM(G142:G144)*0.03,1)</f>
        <v>44851.8</v>
      </c>
      <c r="H139" s="62">
        <v>1</v>
      </c>
      <c r="I139" s="20">
        <f>TRUNC(SUM(I142:I144)*0.03,1)</f>
        <v>44851.8</v>
      </c>
    </row>
    <row r="140" spans="2:11" ht="12.95" customHeight="1" x14ac:dyDescent="0.3">
      <c r="B140" s="48" t="s">
        <v>19</v>
      </c>
      <c r="C140" s="52"/>
      <c r="D140" s="50"/>
      <c r="E140" s="49"/>
      <c r="F140" s="49"/>
      <c r="G140" s="47">
        <f>TRUNC(SUM(G138:G139))</f>
        <v>146963</v>
      </c>
      <c r="H140" s="49"/>
      <c r="I140" s="47">
        <f>TRUNC(SUM(I138:I139))</f>
        <v>146963</v>
      </c>
    </row>
    <row r="141" spans="2:11" ht="12.95" customHeight="1" x14ac:dyDescent="0.3">
      <c r="B141" s="21"/>
      <c r="C141" s="21"/>
      <c r="D141" s="58"/>
      <c r="E141" s="18"/>
      <c r="F141" s="18"/>
      <c r="G141" s="22"/>
      <c r="H141" s="18"/>
      <c r="I141" s="22"/>
    </row>
    <row r="142" spans="2:11" ht="12.95" customHeight="1" x14ac:dyDescent="0.3">
      <c r="B142" s="29" t="s">
        <v>7</v>
      </c>
      <c r="C142" s="14"/>
      <c r="D142" s="6" t="s">
        <v>18</v>
      </c>
      <c r="E142" s="65">
        <v>252641</v>
      </c>
      <c r="F142" s="62">
        <v>3</v>
      </c>
      <c r="G142" s="11">
        <f t="shared" ref="G142:G145" si="51">TRUNC($E142*F142,1)</f>
        <v>757923</v>
      </c>
      <c r="H142" s="62">
        <v>3</v>
      </c>
      <c r="I142" s="11">
        <f t="shared" ref="I142:I145" si="52">TRUNC($E142*H142,1)</f>
        <v>757923</v>
      </c>
    </row>
    <row r="143" spans="2:11" ht="12.95" customHeight="1" x14ac:dyDescent="0.3">
      <c r="B143" s="29" t="s">
        <v>41</v>
      </c>
      <c r="C143" s="14"/>
      <c r="D143" s="6" t="s">
        <v>18</v>
      </c>
      <c r="E143" s="65">
        <v>282536</v>
      </c>
      <c r="F143" s="62">
        <v>2</v>
      </c>
      <c r="G143" s="11">
        <f t="shared" si="51"/>
        <v>565072</v>
      </c>
      <c r="H143" s="62">
        <v>2</v>
      </c>
      <c r="I143" s="11">
        <f t="shared" si="52"/>
        <v>565072</v>
      </c>
    </row>
    <row r="144" spans="2:11" ht="12.95" customHeight="1" x14ac:dyDescent="0.3">
      <c r="B144" s="29" t="s">
        <v>5</v>
      </c>
      <c r="C144" s="14"/>
      <c r="D144" s="6" t="s">
        <v>18</v>
      </c>
      <c r="E144" s="65">
        <v>172068</v>
      </c>
      <c r="F144" s="62">
        <v>1</v>
      </c>
      <c r="G144" s="11">
        <f t="shared" si="51"/>
        <v>172068</v>
      </c>
      <c r="H144" s="62">
        <v>1</v>
      </c>
      <c r="I144" s="11">
        <f t="shared" si="52"/>
        <v>172068</v>
      </c>
    </row>
    <row r="145" spans="2:13" ht="12.95" customHeight="1" x14ac:dyDescent="0.3">
      <c r="B145" s="17" t="s">
        <v>44</v>
      </c>
      <c r="C145" s="17" t="s">
        <v>29</v>
      </c>
      <c r="D145" s="58" t="s">
        <v>25</v>
      </c>
      <c r="E145" s="65">
        <v>58925</v>
      </c>
      <c r="F145" s="62">
        <v>8</v>
      </c>
      <c r="G145" s="11">
        <f t="shared" si="51"/>
        <v>471400</v>
      </c>
      <c r="H145" s="62">
        <v>8</v>
      </c>
      <c r="I145" s="11">
        <f t="shared" si="52"/>
        <v>471400</v>
      </c>
    </row>
    <row r="146" spans="2:13" ht="12.95" customHeight="1" x14ac:dyDescent="0.3">
      <c r="B146" s="42" t="s">
        <v>20</v>
      </c>
      <c r="C146" s="52"/>
      <c r="D146" s="50"/>
      <c r="E146" s="46"/>
      <c r="F146" s="70"/>
      <c r="G146" s="47">
        <f>TRUNC(SUM(G142:G145))</f>
        <v>1966463</v>
      </c>
      <c r="H146" s="70"/>
      <c r="I146" s="47">
        <f>TRUNC(SUM(I142:I145))</f>
        <v>1966463</v>
      </c>
    </row>
    <row r="147" spans="2:13" ht="12.95" customHeight="1" x14ac:dyDescent="0.3">
      <c r="B147" s="21"/>
      <c r="C147" s="21"/>
      <c r="D147" s="58"/>
      <c r="E147" s="18"/>
      <c r="F147" s="55"/>
      <c r="G147" s="22"/>
      <c r="H147" s="55"/>
      <c r="I147" s="22"/>
    </row>
    <row r="148" spans="2:13" ht="12.95" customHeight="1" x14ac:dyDescent="0.3">
      <c r="B148" s="17" t="s">
        <v>44</v>
      </c>
      <c r="C148" s="17" t="s">
        <v>29</v>
      </c>
      <c r="D148" s="58" t="s">
        <v>25</v>
      </c>
      <c r="E148" s="65">
        <v>59751</v>
      </c>
      <c r="F148" s="67">
        <v>8</v>
      </c>
      <c r="G148" s="11">
        <f t="shared" ref="G148" si="53">TRUNC($E148*F148,1)</f>
        <v>478008</v>
      </c>
      <c r="H148" s="67">
        <v>8</v>
      </c>
      <c r="I148" s="11">
        <f t="shared" ref="I148" si="54">TRUNC($E148*H148,1)</f>
        <v>478008</v>
      </c>
    </row>
    <row r="149" spans="2:13" ht="12.95" customHeight="1" x14ac:dyDescent="0.3">
      <c r="B149" s="48" t="s">
        <v>21</v>
      </c>
      <c r="C149" s="52"/>
      <c r="D149" s="53"/>
      <c r="E149" s="46"/>
      <c r="F149" s="49"/>
      <c r="G149" s="47">
        <f>TRUNC(SUM(G148:G148))</f>
        <v>478008</v>
      </c>
      <c r="H149" s="49"/>
      <c r="I149" s="47">
        <f>TRUNC(SUM(I148:I148))</f>
        <v>478008</v>
      </c>
    </row>
    <row r="150" spans="2:13" ht="12.95" customHeight="1" x14ac:dyDescent="0.3">
      <c r="B150" s="21"/>
      <c r="C150" s="21"/>
      <c r="D150" s="58"/>
      <c r="E150" s="18"/>
      <c r="F150" s="18"/>
      <c r="G150" s="22"/>
      <c r="H150" s="18"/>
      <c r="I150" s="22"/>
    </row>
    <row r="151" spans="2:13" ht="12.95" customHeight="1" x14ac:dyDescent="0.3">
      <c r="B151" s="84" t="s">
        <v>23</v>
      </c>
      <c r="C151" s="21"/>
      <c r="D151" s="58"/>
      <c r="E151" s="85"/>
      <c r="F151" s="86"/>
      <c r="G151" s="87">
        <f>SUM(G140+G146+G149)</f>
        <v>2591434</v>
      </c>
      <c r="H151" s="86"/>
      <c r="I151" s="87">
        <f>SUM(I140+I146+I149)</f>
        <v>2591434</v>
      </c>
    </row>
    <row r="152" spans="2:13" ht="12.95" customHeight="1" x14ac:dyDescent="0.3">
      <c r="B152" s="23" t="s">
        <v>136</v>
      </c>
      <c r="C152" s="24"/>
      <c r="D152" s="56"/>
      <c r="E152" s="25"/>
      <c r="F152" s="26"/>
      <c r="G152" s="27">
        <f>TRUNC((G151/G136))</f>
        <v>287937</v>
      </c>
      <c r="H152" s="26"/>
      <c r="I152" s="27">
        <f>TRUNC((I151/I136))</f>
        <v>323929</v>
      </c>
    </row>
    <row r="153" spans="2:13" ht="12.95" customHeight="1" x14ac:dyDescent="0.3">
      <c r="B153" s="107" t="s">
        <v>11</v>
      </c>
      <c r="C153" s="110" t="s">
        <v>15</v>
      </c>
      <c r="D153" s="113" t="s">
        <v>16</v>
      </c>
      <c r="E153" s="116" t="s">
        <v>12</v>
      </c>
      <c r="F153" s="99" t="s">
        <v>134</v>
      </c>
      <c r="G153" s="100"/>
      <c r="H153" s="100"/>
      <c r="I153" s="100"/>
      <c r="J153" s="100"/>
      <c r="K153" s="100"/>
    </row>
    <row r="154" spans="2:13" ht="12.95" customHeight="1" x14ac:dyDescent="0.3">
      <c r="B154" s="108"/>
      <c r="C154" s="111"/>
      <c r="D154" s="114"/>
      <c r="E154" s="117"/>
      <c r="F154" s="99" t="s">
        <v>39</v>
      </c>
      <c r="G154" s="100"/>
      <c r="H154" s="99" t="s">
        <v>132</v>
      </c>
      <c r="I154" s="100"/>
      <c r="J154" s="99" t="s">
        <v>40</v>
      </c>
      <c r="K154" s="100"/>
    </row>
    <row r="155" spans="2:13" ht="12.95" customHeight="1" x14ac:dyDescent="0.3">
      <c r="B155" s="108"/>
      <c r="C155" s="111"/>
      <c r="D155" s="114"/>
      <c r="E155" s="117"/>
      <c r="F155" s="82" t="s">
        <v>137</v>
      </c>
      <c r="G155" s="95">
        <v>10</v>
      </c>
      <c r="H155" s="82" t="s">
        <v>137</v>
      </c>
      <c r="I155" s="95">
        <v>9</v>
      </c>
      <c r="J155" s="82" t="s">
        <v>137</v>
      </c>
      <c r="K155" s="95">
        <v>8</v>
      </c>
    </row>
    <row r="156" spans="2:13" ht="12.95" customHeight="1" x14ac:dyDescent="0.3">
      <c r="B156" s="109"/>
      <c r="C156" s="112"/>
      <c r="D156" s="115"/>
      <c r="E156" s="118"/>
      <c r="F156" s="63" t="s">
        <v>49</v>
      </c>
      <c r="G156" s="64" t="s">
        <v>50</v>
      </c>
      <c r="H156" s="63" t="s">
        <v>49</v>
      </c>
      <c r="I156" s="64" t="s">
        <v>50</v>
      </c>
      <c r="J156" s="63" t="s">
        <v>49</v>
      </c>
      <c r="K156" s="64" t="s">
        <v>50</v>
      </c>
    </row>
    <row r="157" spans="2:13" ht="12.95" customHeight="1" x14ac:dyDescent="0.3">
      <c r="B157" s="17" t="s">
        <v>28</v>
      </c>
      <c r="C157" s="17" t="s">
        <v>29</v>
      </c>
      <c r="D157" s="58" t="s">
        <v>25</v>
      </c>
      <c r="E157" s="65">
        <v>12764</v>
      </c>
      <c r="F157" s="62">
        <v>8</v>
      </c>
      <c r="G157" s="11">
        <f t="shared" ref="G157" si="55">TRUNC($E157*F157,1)</f>
        <v>102112</v>
      </c>
      <c r="H157" s="62">
        <v>8</v>
      </c>
      <c r="I157" s="11">
        <f t="shared" ref="I157" si="56">TRUNC($E157*H157,1)</f>
        <v>102112</v>
      </c>
      <c r="J157" s="62">
        <v>8</v>
      </c>
      <c r="K157" s="11">
        <f t="shared" ref="K157" si="57">TRUNC($E157*J157,1)</f>
        <v>102112</v>
      </c>
    </row>
    <row r="158" spans="2:13" ht="12.95" customHeight="1" x14ac:dyDescent="0.3">
      <c r="B158" s="17" t="s">
        <v>17</v>
      </c>
      <c r="C158" s="10" t="s">
        <v>22</v>
      </c>
      <c r="D158" s="58" t="s">
        <v>26</v>
      </c>
      <c r="E158" s="19"/>
      <c r="F158" s="62">
        <v>1</v>
      </c>
      <c r="G158" s="20">
        <f>TRUNC(SUM(G161:G163)*0.03,1)</f>
        <v>44851.8</v>
      </c>
      <c r="H158" s="62">
        <v>1</v>
      </c>
      <c r="I158" s="20">
        <f>TRUNC(SUM(I161:I163)*0.03,1)</f>
        <v>44851.8</v>
      </c>
      <c r="J158" s="62">
        <v>1</v>
      </c>
      <c r="K158" s="20">
        <f>TRUNC(SUM(K161:K163)*0.03,1)</f>
        <v>44851.8</v>
      </c>
      <c r="L158" s="59"/>
      <c r="M158" s="59"/>
    </row>
    <row r="159" spans="2:13" ht="12.95" customHeight="1" x14ac:dyDescent="0.3">
      <c r="B159" s="48" t="s">
        <v>19</v>
      </c>
      <c r="C159" s="52"/>
      <c r="D159" s="50"/>
      <c r="E159" s="49"/>
      <c r="F159" s="49"/>
      <c r="G159" s="47">
        <f>TRUNC(SUM(G157:G158))</f>
        <v>146963</v>
      </c>
      <c r="H159" s="49"/>
      <c r="I159" s="47">
        <f>TRUNC(SUM(I157:I158))</f>
        <v>146963</v>
      </c>
      <c r="J159" s="49"/>
      <c r="K159" s="47">
        <f>TRUNC(SUM(K157:K158))</f>
        <v>146963</v>
      </c>
    </row>
    <row r="160" spans="2:13" ht="12.95" customHeight="1" x14ac:dyDescent="0.3">
      <c r="B160" s="21"/>
      <c r="C160" s="21"/>
      <c r="D160" s="58"/>
      <c r="E160" s="18"/>
      <c r="F160" s="18"/>
      <c r="G160" s="22"/>
      <c r="H160" s="18"/>
      <c r="I160" s="22"/>
      <c r="J160" s="18"/>
      <c r="K160" s="22"/>
    </row>
    <row r="161" spans="2:11" ht="12.95" customHeight="1" x14ac:dyDescent="0.3">
      <c r="B161" s="29" t="s">
        <v>7</v>
      </c>
      <c r="C161" s="14"/>
      <c r="D161" s="6" t="s">
        <v>18</v>
      </c>
      <c r="E161" s="65">
        <v>252641</v>
      </c>
      <c r="F161" s="62">
        <v>3</v>
      </c>
      <c r="G161" s="11">
        <f t="shared" ref="G161:G164" si="58">TRUNC($E161*F161,1)</f>
        <v>757923</v>
      </c>
      <c r="H161" s="62">
        <v>3</v>
      </c>
      <c r="I161" s="11">
        <f t="shared" ref="I161:I164" si="59">TRUNC($E161*H161,1)</f>
        <v>757923</v>
      </c>
      <c r="J161" s="62">
        <v>3</v>
      </c>
      <c r="K161" s="11">
        <f t="shared" ref="K161:K164" si="60">TRUNC($E161*J161,1)</f>
        <v>757923</v>
      </c>
    </row>
    <row r="162" spans="2:11" ht="12.95" customHeight="1" x14ac:dyDescent="0.3">
      <c r="B162" s="29" t="s">
        <v>41</v>
      </c>
      <c r="C162" s="14"/>
      <c r="D162" s="6" t="s">
        <v>18</v>
      </c>
      <c r="E162" s="65">
        <v>282536</v>
      </c>
      <c r="F162" s="62">
        <v>2</v>
      </c>
      <c r="G162" s="11">
        <f t="shared" si="58"/>
        <v>565072</v>
      </c>
      <c r="H162" s="62">
        <v>2</v>
      </c>
      <c r="I162" s="11">
        <f t="shared" si="59"/>
        <v>565072</v>
      </c>
      <c r="J162" s="62">
        <v>2</v>
      </c>
      <c r="K162" s="11">
        <f t="shared" si="60"/>
        <v>565072</v>
      </c>
    </row>
    <row r="163" spans="2:11" ht="12.95" customHeight="1" x14ac:dyDescent="0.3">
      <c r="B163" s="29" t="s">
        <v>5</v>
      </c>
      <c r="C163" s="14"/>
      <c r="D163" s="6" t="s">
        <v>18</v>
      </c>
      <c r="E163" s="65">
        <v>172068</v>
      </c>
      <c r="F163" s="62">
        <v>1</v>
      </c>
      <c r="G163" s="11">
        <f t="shared" si="58"/>
        <v>172068</v>
      </c>
      <c r="H163" s="62">
        <v>1</v>
      </c>
      <c r="I163" s="11">
        <f t="shared" si="59"/>
        <v>172068</v>
      </c>
      <c r="J163" s="62">
        <v>1</v>
      </c>
      <c r="K163" s="11">
        <f t="shared" si="60"/>
        <v>172068</v>
      </c>
    </row>
    <row r="164" spans="2:11" ht="12.95" customHeight="1" x14ac:dyDescent="0.3">
      <c r="B164" s="17" t="s">
        <v>44</v>
      </c>
      <c r="C164" s="17" t="s">
        <v>29</v>
      </c>
      <c r="D164" s="58" t="s">
        <v>25</v>
      </c>
      <c r="E164" s="65">
        <v>58925</v>
      </c>
      <c r="F164" s="62">
        <v>8</v>
      </c>
      <c r="G164" s="11">
        <f t="shared" si="58"/>
        <v>471400</v>
      </c>
      <c r="H164" s="62">
        <v>8</v>
      </c>
      <c r="I164" s="11">
        <f t="shared" si="59"/>
        <v>471400</v>
      </c>
      <c r="J164" s="62">
        <v>8</v>
      </c>
      <c r="K164" s="11">
        <f t="shared" si="60"/>
        <v>471400</v>
      </c>
    </row>
    <row r="165" spans="2:11" ht="12.95" customHeight="1" x14ac:dyDescent="0.3">
      <c r="B165" s="42" t="s">
        <v>20</v>
      </c>
      <c r="C165" s="52"/>
      <c r="D165" s="50"/>
      <c r="E165" s="46"/>
      <c r="F165" s="70"/>
      <c r="G165" s="47">
        <f>TRUNC(SUM(G161:G164))</f>
        <v>1966463</v>
      </c>
      <c r="H165" s="70"/>
      <c r="I165" s="47">
        <f>TRUNC(SUM(I161:I164))</f>
        <v>1966463</v>
      </c>
      <c r="J165" s="70"/>
      <c r="K165" s="47">
        <f>TRUNC(SUM(K161:K164))</f>
        <v>1966463</v>
      </c>
    </row>
    <row r="166" spans="2:11" ht="12.95" customHeight="1" x14ac:dyDescent="0.3">
      <c r="B166" s="21"/>
      <c r="C166" s="21"/>
      <c r="D166" s="58"/>
      <c r="E166" s="18"/>
      <c r="F166" s="55"/>
      <c r="G166" s="22"/>
      <c r="H166" s="55"/>
      <c r="I166" s="22"/>
      <c r="J166" s="55"/>
      <c r="K166" s="22"/>
    </row>
    <row r="167" spans="2:11" ht="12.95" customHeight="1" x14ac:dyDescent="0.3">
      <c r="B167" s="17" t="s">
        <v>44</v>
      </c>
      <c r="C167" s="17" t="s">
        <v>29</v>
      </c>
      <c r="D167" s="58" t="s">
        <v>25</v>
      </c>
      <c r="E167" s="65">
        <v>59751</v>
      </c>
      <c r="F167" s="67">
        <v>8</v>
      </c>
      <c r="G167" s="11">
        <f t="shared" ref="G167" si="61">TRUNC($E167*F167,1)</f>
        <v>478008</v>
      </c>
      <c r="H167" s="67">
        <v>8</v>
      </c>
      <c r="I167" s="11">
        <f t="shared" ref="I167" si="62">TRUNC($E167*H167,1)</f>
        <v>478008</v>
      </c>
      <c r="J167" s="67">
        <v>8</v>
      </c>
      <c r="K167" s="11">
        <f t="shared" ref="K167" si="63">TRUNC($E167*J167,1)</f>
        <v>478008</v>
      </c>
    </row>
    <row r="168" spans="2:11" ht="12.95" customHeight="1" x14ac:dyDescent="0.3">
      <c r="B168" s="48" t="s">
        <v>21</v>
      </c>
      <c r="C168" s="52"/>
      <c r="D168" s="53"/>
      <c r="E168" s="46"/>
      <c r="F168" s="49"/>
      <c r="G168" s="47">
        <f>TRUNC(SUM(G167:G167))</f>
        <v>478008</v>
      </c>
      <c r="H168" s="49"/>
      <c r="I168" s="47">
        <f>TRUNC(SUM(I167:I167))</f>
        <v>478008</v>
      </c>
      <c r="J168" s="49"/>
      <c r="K168" s="47">
        <f>TRUNC(SUM(K167:K167))</f>
        <v>478008</v>
      </c>
    </row>
    <row r="169" spans="2:11" ht="12.95" customHeight="1" x14ac:dyDescent="0.3">
      <c r="B169" s="21"/>
      <c r="C169" s="21"/>
      <c r="D169" s="58"/>
      <c r="E169" s="18"/>
      <c r="F169" s="18"/>
      <c r="G169" s="22"/>
      <c r="H169" s="18"/>
      <c r="I169" s="22"/>
      <c r="J169" s="18"/>
      <c r="K169" s="22"/>
    </row>
    <row r="170" spans="2:11" ht="12.95" customHeight="1" x14ac:dyDescent="0.3">
      <c r="B170" s="84" t="s">
        <v>23</v>
      </c>
      <c r="C170" s="21"/>
      <c r="D170" s="58"/>
      <c r="E170" s="85"/>
      <c r="F170" s="86"/>
      <c r="G170" s="87">
        <f>SUM(G159+G165+G168)</f>
        <v>2591434</v>
      </c>
      <c r="H170" s="86"/>
      <c r="I170" s="87">
        <f>SUM(I159+I165+I168)</f>
        <v>2591434</v>
      </c>
      <c r="J170" s="86"/>
      <c r="K170" s="87">
        <f>SUM(K159+K165+K168)</f>
        <v>2591434</v>
      </c>
    </row>
    <row r="171" spans="2:11" ht="12.95" customHeight="1" x14ac:dyDescent="0.3">
      <c r="B171" s="23" t="s">
        <v>136</v>
      </c>
      <c r="C171" s="24"/>
      <c r="D171" s="56"/>
      <c r="E171" s="25"/>
      <c r="F171" s="26"/>
      <c r="G171" s="27">
        <f>TRUNC((G170/G155))</f>
        <v>259143</v>
      </c>
      <c r="H171" s="26"/>
      <c r="I171" s="27">
        <f>TRUNC((I170/I155))</f>
        <v>287937</v>
      </c>
      <c r="J171" s="26"/>
      <c r="K171" s="27">
        <f>TRUNC((K170/K155))</f>
        <v>323929</v>
      </c>
    </row>
    <row r="172" spans="2:11" ht="12.95" customHeight="1" x14ac:dyDescent="0.3">
      <c r="B172" s="107" t="s">
        <v>11</v>
      </c>
      <c r="C172" s="110" t="s">
        <v>15</v>
      </c>
      <c r="D172" s="113" t="s">
        <v>16</v>
      </c>
      <c r="E172" s="116" t="s">
        <v>12</v>
      </c>
      <c r="F172" s="99" t="s">
        <v>134</v>
      </c>
      <c r="G172" s="100"/>
      <c r="H172" s="100"/>
      <c r="I172" s="100"/>
    </row>
    <row r="173" spans="2:11" ht="12.95" customHeight="1" x14ac:dyDescent="0.3">
      <c r="B173" s="108"/>
      <c r="C173" s="111"/>
      <c r="D173" s="114"/>
      <c r="E173" s="117"/>
      <c r="F173" s="99" t="s">
        <v>42</v>
      </c>
      <c r="G173" s="100"/>
      <c r="H173" s="99" t="s">
        <v>43</v>
      </c>
      <c r="I173" s="100"/>
    </row>
    <row r="174" spans="2:11" ht="12.95" customHeight="1" x14ac:dyDescent="0.3">
      <c r="B174" s="108"/>
      <c r="C174" s="111"/>
      <c r="D174" s="114"/>
      <c r="E174" s="117"/>
      <c r="F174" s="82" t="s">
        <v>137</v>
      </c>
      <c r="G174" s="95">
        <v>7</v>
      </c>
      <c r="H174" s="82" t="s">
        <v>137</v>
      </c>
      <c r="I174" s="95">
        <v>6</v>
      </c>
    </row>
    <row r="175" spans="2:11" ht="12.95" customHeight="1" x14ac:dyDescent="0.3">
      <c r="B175" s="109"/>
      <c r="C175" s="112"/>
      <c r="D175" s="115"/>
      <c r="E175" s="118"/>
      <c r="F175" s="63" t="s">
        <v>49</v>
      </c>
      <c r="G175" s="64" t="s">
        <v>50</v>
      </c>
      <c r="H175" s="63" t="s">
        <v>49</v>
      </c>
      <c r="I175" s="64" t="s">
        <v>50</v>
      </c>
    </row>
    <row r="176" spans="2:11" ht="12.95" customHeight="1" x14ac:dyDescent="0.3">
      <c r="B176" s="17" t="s">
        <v>28</v>
      </c>
      <c r="C176" s="17" t="s">
        <v>29</v>
      </c>
      <c r="D176" s="58" t="s">
        <v>25</v>
      </c>
      <c r="E176" s="65">
        <v>12764</v>
      </c>
      <c r="F176" s="62">
        <v>8</v>
      </c>
      <c r="G176" s="11">
        <f t="shared" ref="G176" si="64">TRUNC($E176*F176,1)</f>
        <v>102112</v>
      </c>
      <c r="H176" s="62">
        <v>8</v>
      </c>
      <c r="I176" s="11">
        <f t="shared" ref="I176" si="65">TRUNC($E176*H176,1)</f>
        <v>102112</v>
      </c>
    </row>
    <row r="177" spans="2:13" ht="12.95" customHeight="1" x14ac:dyDescent="0.3">
      <c r="B177" s="17" t="s">
        <v>17</v>
      </c>
      <c r="C177" s="10" t="s">
        <v>22</v>
      </c>
      <c r="D177" s="58" t="s">
        <v>26</v>
      </c>
      <c r="E177" s="19"/>
      <c r="F177" s="62">
        <v>1</v>
      </c>
      <c r="G177" s="20">
        <f>TRUNC(SUM(G180:G182)*0.03,1)</f>
        <v>44851.8</v>
      </c>
      <c r="H177" s="62">
        <v>1</v>
      </c>
      <c r="I177" s="20">
        <f>TRUNC(SUM(I180:I182)*0.03,1)</f>
        <v>44851.8</v>
      </c>
    </row>
    <row r="178" spans="2:13" ht="12.95" customHeight="1" x14ac:dyDescent="0.3">
      <c r="B178" s="48" t="s">
        <v>19</v>
      </c>
      <c r="C178" s="52"/>
      <c r="D178" s="50"/>
      <c r="E178" s="49"/>
      <c r="F178" s="49"/>
      <c r="G178" s="47">
        <f>TRUNC(SUM(G176:G177))</f>
        <v>146963</v>
      </c>
      <c r="H178" s="49"/>
      <c r="I178" s="47">
        <f>TRUNC(SUM(I176:I177))</f>
        <v>146963</v>
      </c>
    </row>
    <row r="179" spans="2:13" ht="12.95" customHeight="1" x14ac:dyDescent="0.3">
      <c r="B179" s="21"/>
      <c r="C179" s="21"/>
      <c r="D179" s="58"/>
      <c r="E179" s="18"/>
      <c r="F179" s="18"/>
      <c r="G179" s="22"/>
      <c r="H179" s="18"/>
      <c r="I179" s="22"/>
    </row>
    <row r="180" spans="2:13" ht="12.95" customHeight="1" x14ac:dyDescent="0.3">
      <c r="B180" s="29" t="s">
        <v>7</v>
      </c>
      <c r="C180" s="14"/>
      <c r="D180" s="6" t="s">
        <v>18</v>
      </c>
      <c r="E180" s="65">
        <v>252641</v>
      </c>
      <c r="F180" s="62">
        <v>3</v>
      </c>
      <c r="G180" s="11">
        <f t="shared" ref="G180:G183" si="66">TRUNC($E180*F180,1)</f>
        <v>757923</v>
      </c>
      <c r="H180" s="62">
        <v>3</v>
      </c>
      <c r="I180" s="11">
        <f t="shared" ref="I180:I183" si="67">TRUNC($E180*H180,1)</f>
        <v>757923</v>
      </c>
    </row>
    <row r="181" spans="2:13" ht="12.95" customHeight="1" x14ac:dyDescent="0.3">
      <c r="B181" s="29" t="s">
        <v>41</v>
      </c>
      <c r="C181" s="14"/>
      <c r="D181" s="6" t="s">
        <v>18</v>
      </c>
      <c r="E181" s="65">
        <v>282536</v>
      </c>
      <c r="F181" s="62">
        <v>2</v>
      </c>
      <c r="G181" s="11">
        <f t="shared" si="66"/>
        <v>565072</v>
      </c>
      <c r="H181" s="62">
        <v>2</v>
      </c>
      <c r="I181" s="11">
        <f t="shared" si="67"/>
        <v>565072</v>
      </c>
    </row>
    <row r="182" spans="2:13" ht="12.95" customHeight="1" x14ac:dyDescent="0.3">
      <c r="B182" s="29" t="s">
        <v>5</v>
      </c>
      <c r="C182" s="14"/>
      <c r="D182" s="6" t="s">
        <v>18</v>
      </c>
      <c r="E182" s="65">
        <v>172068</v>
      </c>
      <c r="F182" s="62">
        <v>1</v>
      </c>
      <c r="G182" s="11">
        <f t="shared" si="66"/>
        <v>172068</v>
      </c>
      <c r="H182" s="62">
        <v>1</v>
      </c>
      <c r="I182" s="11">
        <f t="shared" si="67"/>
        <v>172068</v>
      </c>
    </row>
    <row r="183" spans="2:13" ht="12.95" customHeight="1" x14ac:dyDescent="0.3">
      <c r="B183" s="17" t="s">
        <v>44</v>
      </c>
      <c r="C183" s="17" t="s">
        <v>29</v>
      </c>
      <c r="D183" s="58" t="s">
        <v>25</v>
      </c>
      <c r="E183" s="65">
        <v>58925</v>
      </c>
      <c r="F183" s="62">
        <v>8</v>
      </c>
      <c r="G183" s="11">
        <f t="shared" si="66"/>
        <v>471400</v>
      </c>
      <c r="H183" s="62">
        <v>8</v>
      </c>
      <c r="I183" s="11">
        <f t="shared" si="67"/>
        <v>471400</v>
      </c>
    </row>
    <row r="184" spans="2:13" ht="12.95" customHeight="1" x14ac:dyDescent="0.3">
      <c r="B184" s="42" t="s">
        <v>20</v>
      </c>
      <c r="C184" s="52"/>
      <c r="D184" s="50"/>
      <c r="E184" s="46"/>
      <c r="F184" s="70"/>
      <c r="G184" s="47">
        <f>TRUNC(SUM(G180:G183))</f>
        <v>1966463</v>
      </c>
      <c r="H184" s="70"/>
      <c r="I184" s="47">
        <f>TRUNC(SUM(I180:I183))</f>
        <v>1966463</v>
      </c>
    </row>
    <row r="185" spans="2:13" ht="12.95" customHeight="1" x14ac:dyDescent="0.3">
      <c r="B185" s="21"/>
      <c r="C185" s="21"/>
      <c r="D185" s="58"/>
      <c r="E185" s="18"/>
      <c r="F185" s="55"/>
      <c r="G185" s="22"/>
      <c r="H185" s="55"/>
      <c r="I185" s="22"/>
    </row>
    <row r="186" spans="2:13" ht="12.95" customHeight="1" x14ac:dyDescent="0.3">
      <c r="B186" s="17" t="s">
        <v>44</v>
      </c>
      <c r="C186" s="17" t="s">
        <v>29</v>
      </c>
      <c r="D186" s="58" t="s">
        <v>25</v>
      </c>
      <c r="E186" s="65">
        <v>59751</v>
      </c>
      <c r="F186" s="67">
        <v>8</v>
      </c>
      <c r="G186" s="11">
        <f t="shared" ref="G186" si="68">TRUNC($E186*F186,1)</f>
        <v>478008</v>
      </c>
      <c r="H186" s="67">
        <v>8</v>
      </c>
      <c r="I186" s="11">
        <f t="shared" ref="I186" si="69">TRUNC($E186*H186,1)</f>
        <v>478008</v>
      </c>
    </row>
    <row r="187" spans="2:13" ht="12.95" customHeight="1" x14ac:dyDescent="0.3">
      <c r="B187" s="48" t="s">
        <v>21</v>
      </c>
      <c r="C187" s="52"/>
      <c r="D187" s="53"/>
      <c r="E187" s="46"/>
      <c r="F187" s="49"/>
      <c r="G187" s="47">
        <f>TRUNC(SUM(G186:G186))</f>
        <v>478008</v>
      </c>
      <c r="H187" s="49"/>
      <c r="I187" s="47">
        <f>TRUNC(SUM(I186:I186))</f>
        <v>478008</v>
      </c>
    </row>
    <row r="188" spans="2:13" ht="12.95" customHeight="1" x14ac:dyDescent="0.3">
      <c r="B188" s="21"/>
      <c r="C188" s="21"/>
      <c r="D188" s="58"/>
      <c r="E188" s="18"/>
      <c r="F188" s="18"/>
      <c r="G188" s="22"/>
      <c r="H188" s="18"/>
      <c r="I188" s="22"/>
    </row>
    <row r="189" spans="2:13" ht="12.95" customHeight="1" x14ac:dyDescent="0.3">
      <c r="B189" s="84" t="s">
        <v>23</v>
      </c>
      <c r="C189" s="21"/>
      <c r="D189" s="58"/>
      <c r="E189" s="85"/>
      <c r="F189" s="86"/>
      <c r="G189" s="87">
        <f>SUM(G178+G184+G187)</f>
        <v>2591434</v>
      </c>
      <c r="H189" s="86"/>
      <c r="I189" s="87">
        <f>SUM(I178+I184+I187)</f>
        <v>2591434</v>
      </c>
    </row>
    <row r="190" spans="2:13" ht="12.95" customHeight="1" x14ac:dyDescent="0.3">
      <c r="B190" s="23" t="s">
        <v>136</v>
      </c>
      <c r="C190" s="24"/>
      <c r="D190" s="56"/>
      <c r="E190" s="25"/>
      <c r="F190" s="26"/>
      <c r="G190" s="27">
        <f>TRUNC((G189/G174))</f>
        <v>370204</v>
      </c>
      <c r="H190" s="26"/>
      <c r="I190" s="27">
        <f>TRUNC((I189/I174))</f>
        <v>431905</v>
      </c>
    </row>
    <row r="191" spans="2:13" ht="12.95" customHeight="1" x14ac:dyDescent="0.3">
      <c r="B191" s="3" t="s">
        <v>153</v>
      </c>
      <c r="C191" s="9"/>
      <c r="D191" s="3"/>
      <c r="E191" s="13"/>
      <c r="F191" s="4"/>
      <c r="G191" s="4"/>
      <c r="H191" s="4"/>
      <c r="I191" s="4"/>
      <c r="K191" s="61"/>
      <c r="L191" s="59"/>
      <c r="M191" s="59"/>
    </row>
    <row r="192" spans="2:13" ht="12.95" customHeight="1" x14ac:dyDescent="0.3">
      <c r="B192" s="3"/>
      <c r="C192" s="9"/>
      <c r="D192" s="3"/>
      <c r="E192" s="13"/>
      <c r="F192" s="4"/>
      <c r="G192" s="4"/>
      <c r="H192" s="4"/>
      <c r="I192" s="4"/>
      <c r="J192" s="59"/>
    </row>
    <row r="193" spans="2:13" ht="12.95" customHeight="1" x14ac:dyDescent="0.3">
      <c r="B193" s="3" t="s">
        <v>138</v>
      </c>
      <c r="C193" s="9"/>
      <c r="D193" s="3"/>
      <c r="E193" s="13"/>
      <c r="F193" s="4"/>
      <c r="G193" s="4"/>
      <c r="H193" s="4"/>
      <c r="I193" s="4"/>
      <c r="K193" s="61" t="s">
        <v>53</v>
      </c>
      <c r="L193" s="59"/>
      <c r="M193" s="59"/>
    </row>
    <row r="194" spans="2:13" ht="12.95" customHeight="1" x14ac:dyDescent="0.3">
      <c r="B194" s="107" t="s">
        <v>11</v>
      </c>
      <c r="C194" s="110" t="s">
        <v>15</v>
      </c>
      <c r="D194" s="113" t="s">
        <v>16</v>
      </c>
      <c r="E194" s="116" t="s">
        <v>12</v>
      </c>
      <c r="F194" s="99" t="s">
        <v>131</v>
      </c>
      <c r="G194" s="100"/>
      <c r="H194" s="100"/>
      <c r="I194" s="100"/>
      <c r="J194" s="100"/>
      <c r="K194" s="100"/>
    </row>
    <row r="195" spans="2:13" ht="12.95" customHeight="1" x14ac:dyDescent="0.3">
      <c r="B195" s="108"/>
      <c r="C195" s="111"/>
      <c r="D195" s="114"/>
      <c r="E195" s="117"/>
      <c r="F195" s="99" t="s">
        <v>39</v>
      </c>
      <c r="G195" s="100"/>
      <c r="H195" s="99" t="s">
        <v>132</v>
      </c>
      <c r="I195" s="100"/>
      <c r="J195" s="99" t="s">
        <v>40</v>
      </c>
      <c r="K195" s="100"/>
    </row>
    <row r="196" spans="2:13" ht="12.95" customHeight="1" x14ac:dyDescent="0.3">
      <c r="B196" s="108"/>
      <c r="C196" s="111"/>
      <c r="D196" s="114"/>
      <c r="E196" s="117"/>
      <c r="F196" s="82" t="s">
        <v>130</v>
      </c>
      <c r="G196" s="95">
        <v>70</v>
      </c>
      <c r="H196" s="82" t="s">
        <v>130</v>
      </c>
      <c r="I196" s="95">
        <v>90</v>
      </c>
      <c r="J196" s="82" t="s">
        <v>130</v>
      </c>
      <c r="K196" s="95">
        <v>110</v>
      </c>
    </row>
    <row r="197" spans="2:13" ht="12.95" customHeight="1" x14ac:dyDescent="0.3">
      <c r="B197" s="109"/>
      <c r="C197" s="112"/>
      <c r="D197" s="115"/>
      <c r="E197" s="118"/>
      <c r="F197" s="63" t="s">
        <v>49</v>
      </c>
      <c r="G197" s="64" t="s">
        <v>50</v>
      </c>
      <c r="H197" s="63" t="s">
        <v>49</v>
      </c>
      <c r="I197" s="64" t="s">
        <v>50</v>
      </c>
      <c r="J197" s="63" t="s">
        <v>49</v>
      </c>
      <c r="K197" s="64" t="s">
        <v>50</v>
      </c>
    </row>
    <row r="198" spans="2:13" ht="12.95" customHeight="1" x14ac:dyDescent="0.3">
      <c r="B198" s="17" t="s">
        <v>28</v>
      </c>
      <c r="C198" s="17" t="s">
        <v>29</v>
      </c>
      <c r="D198" s="58" t="s">
        <v>25</v>
      </c>
      <c r="E198" s="65">
        <v>12764</v>
      </c>
      <c r="F198" s="62">
        <v>8</v>
      </c>
      <c r="G198" s="11">
        <f t="shared" ref="G198" si="70">TRUNC($E198*F198,1)</f>
        <v>102112</v>
      </c>
      <c r="H198" s="62">
        <v>8</v>
      </c>
      <c r="I198" s="11">
        <f t="shared" ref="I198" si="71">TRUNC($E198*H198,1)</f>
        <v>102112</v>
      </c>
      <c r="J198" s="62">
        <v>8</v>
      </c>
      <c r="K198" s="11">
        <f t="shared" ref="K198" si="72">TRUNC($E198*J198,1)</f>
        <v>102112</v>
      </c>
    </row>
    <row r="199" spans="2:13" ht="12.95" customHeight="1" x14ac:dyDescent="0.3">
      <c r="B199" s="17" t="s">
        <v>17</v>
      </c>
      <c r="C199" s="10" t="s">
        <v>22</v>
      </c>
      <c r="D199" s="58" t="s">
        <v>26</v>
      </c>
      <c r="E199" s="19"/>
      <c r="F199" s="62">
        <v>1</v>
      </c>
      <c r="G199" s="20">
        <f>TRUNC(SUM(G202:G204)*0.03,1)</f>
        <v>29693.4</v>
      </c>
      <c r="H199" s="62">
        <v>1</v>
      </c>
      <c r="I199" s="20">
        <f>TRUNC(SUM(I202:I204)*0.03,1)</f>
        <v>29693.4</v>
      </c>
      <c r="J199" s="62">
        <v>1</v>
      </c>
      <c r="K199" s="20">
        <f>TRUNC(SUM(K202:K204)*0.03,1)</f>
        <v>29693.4</v>
      </c>
      <c r="L199" s="59"/>
      <c r="M199" s="59"/>
    </row>
    <row r="200" spans="2:13" ht="12.95" customHeight="1" x14ac:dyDescent="0.3">
      <c r="B200" s="48" t="s">
        <v>19</v>
      </c>
      <c r="C200" s="52"/>
      <c r="D200" s="50"/>
      <c r="E200" s="49"/>
      <c r="F200" s="49"/>
      <c r="G200" s="47">
        <f>TRUNC(SUM(G198:G199))</f>
        <v>131805</v>
      </c>
      <c r="H200" s="49"/>
      <c r="I200" s="47">
        <f>TRUNC(SUM(I198:I199))</f>
        <v>131805</v>
      </c>
      <c r="J200" s="49"/>
      <c r="K200" s="47">
        <f>TRUNC(SUM(K198:K199))</f>
        <v>131805</v>
      </c>
    </row>
    <row r="201" spans="2:13" ht="12.95" customHeight="1" x14ac:dyDescent="0.3">
      <c r="B201" s="21"/>
      <c r="C201" s="21"/>
      <c r="D201" s="58"/>
      <c r="E201" s="18"/>
      <c r="F201" s="18"/>
      <c r="G201" s="22"/>
      <c r="H201" s="18"/>
      <c r="I201" s="22"/>
      <c r="J201" s="18"/>
      <c r="K201" s="22"/>
    </row>
    <row r="202" spans="2:13" ht="12.95" customHeight="1" x14ac:dyDescent="0.3">
      <c r="B202" s="29" t="s">
        <v>7</v>
      </c>
      <c r="C202" s="14"/>
      <c r="D202" s="6" t="s">
        <v>18</v>
      </c>
      <c r="E202" s="65">
        <v>252641</v>
      </c>
      <c r="F202" s="62">
        <v>1</v>
      </c>
      <c r="G202" s="11">
        <f t="shared" ref="G202:G205" si="73">TRUNC($E202*F202,1)</f>
        <v>252641</v>
      </c>
      <c r="H202" s="62">
        <v>1</v>
      </c>
      <c r="I202" s="11">
        <f t="shared" ref="I202:I205" si="74">TRUNC($E202*H202,1)</f>
        <v>252641</v>
      </c>
      <c r="J202" s="62">
        <v>1</v>
      </c>
      <c r="K202" s="11">
        <f t="shared" ref="K202:K205" si="75">TRUNC($E202*J202,1)</f>
        <v>252641</v>
      </c>
    </row>
    <row r="203" spans="2:13" ht="12.95" customHeight="1" x14ac:dyDescent="0.3">
      <c r="B203" s="29" t="s">
        <v>41</v>
      </c>
      <c r="C203" s="14"/>
      <c r="D203" s="6" t="s">
        <v>18</v>
      </c>
      <c r="E203" s="65">
        <v>282536</v>
      </c>
      <c r="F203" s="62">
        <v>2</v>
      </c>
      <c r="G203" s="11">
        <f t="shared" si="73"/>
        <v>565072</v>
      </c>
      <c r="H203" s="62">
        <v>2</v>
      </c>
      <c r="I203" s="11">
        <f t="shared" si="74"/>
        <v>565072</v>
      </c>
      <c r="J203" s="62">
        <v>2</v>
      </c>
      <c r="K203" s="11">
        <f t="shared" si="75"/>
        <v>565072</v>
      </c>
    </row>
    <row r="204" spans="2:13" ht="12.95" customHeight="1" x14ac:dyDescent="0.3">
      <c r="B204" s="29" t="s">
        <v>5</v>
      </c>
      <c r="C204" s="14"/>
      <c r="D204" s="6" t="s">
        <v>18</v>
      </c>
      <c r="E204" s="65">
        <v>172068</v>
      </c>
      <c r="F204" s="62">
        <v>1</v>
      </c>
      <c r="G204" s="11">
        <f t="shared" si="73"/>
        <v>172068</v>
      </c>
      <c r="H204" s="62">
        <v>1</v>
      </c>
      <c r="I204" s="11">
        <f t="shared" si="74"/>
        <v>172068</v>
      </c>
      <c r="J204" s="62">
        <v>1</v>
      </c>
      <c r="K204" s="11">
        <f t="shared" si="75"/>
        <v>172068</v>
      </c>
    </row>
    <row r="205" spans="2:13" ht="12.95" customHeight="1" x14ac:dyDescent="0.3">
      <c r="B205" s="17" t="s">
        <v>44</v>
      </c>
      <c r="C205" s="17" t="s">
        <v>29</v>
      </c>
      <c r="D205" s="58" t="s">
        <v>25</v>
      </c>
      <c r="E205" s="65">
        <v>58925</v>
      </c>
      <c r="F205" s="62">
        <v>8</v>
      </c>
      <c r="G205" s="11">
        <f t="shared" si="73"/>
        <v>471400</v>
      </c>
      <c r="H205" s="62">
        <v>8</v>
      </c>
      <c r="I205" s="11">
        <f t="shared" si="74"/>
        <v>471400</v>
      </c>
      <c r="J205" s="62">
        <v>8</v>
      </c>
      <c r="K205" s="11">
        <f t="shared" si="75"/>
        <v>471400</v>
      </c>
    </row>
    <row r="206" spans="2:13" ht="12.95" customHeight="1" x14ac:dyDescent="0.3">
      <c r="B206" s="42" t="s">
        <v>20</v>
      </c>
      <c r="C206" s="52"/>
      <c r="D206" s="50"/>
      <c r="E206" s="46"/>
      <c r="F206" s="70"/>
      <c r="G206" s="47">
        <f>TRUNC(SUM(G202:G205))</f>
        <v>1461181</v>
      </c>
      <c r="H206" s="70"/>
      <c r="I206" s="47">
        <f>TRUNC(SUM(I202:I205))</f>
        <v>1461181</v>
      </c>
      <c r="J206" s="70"/>
      <c r="K206" s="47">
        <f>TRUNC(SUM(K202:K205))</f>
        <v>1461181</v>
      </c>
    </row>
    <row r="207" spans="2:13" ht="12.95" customHeight="1" x14ac:dyDescent="0.3">
      <c r="B207" s="21"/>
      <c r="C207" s="21"/>
      <c r="D207" s="58"/>
      <c r="E207" s="18"/>
      <c r="F207" s="55"/>
      <c r="G207" s="22"/>
      <c r="H207" s="55"/>
      <c r="I207" s="22"/>
      <c r="J207" s="55"/>
      <c r="K207" s="22"/>
    </row>
    <row r="208" spans="2:13" ht="12.95" customHeight="1" x14ac:dyDescent="0.3">
      <c r="B208" s="17" t="s">
        <v>44</v>
      </c>
      <c r="C208" s="17" t="s">
        <v>29</v>
      </c>
      <c r="D208" s="58" t="s">
        <v>25</v>
      </c>
      <c r="E208" s="65">
        <v>59751</v>
      </c>
      <c r="F208" s="67">
        <v>8</v>
      </c>
      <c r="G208" s="11">
        <f t="shared" ref="G208" si="76">TRUNC($E208*F208,1)</f>
        <v>478008</v>
      </c>
      <c r="H208" s="67">
        <v>8</v>
      </c>
      <c r="I208" s="11">
        <f t="shared" ref="I208" si="77">TRUNC($E208*H208,1)</f>
        <v>478008</v>
      </c>
      <c r="J208" s="67">
        <v>8</v>
      </c>
      <c r="K208" s="11">
        <f t="shared" ref="K208" si="78">TRUNC($E208*J208,1)</f>
        <v>478008</v>
      </c>
    </row>
    <row r="209" spans="2:11" ht="12.95" customHeight="1" x14ac:dyDescent="0.3">
      <c r="B209" s="48" t="s">
        <v>21</v>
      </c>
      <c r="C209" s="52"/>
      <c r="D209" s="53"/>
      <c r="E209" s="46"/>
      <c r="F209" s="49"/>
      <c r="G209" s="47">
        <f>TRUNC(SUM(G208:G208))</f>
        <v>478008</v>
      </c>
      <c r="H209" s="49"/>
      <c r="I209" s="47">
        <f>TRUNC(SUM(I208:I208))</f>
        <v>478008</v>
      </c>
      <c r="J209" s="49"/>
      <c r="K209" s="47">
        <f>TRUNC(SUM(K208:K208))</f>
        <v>478008</v>
      </c>
    </row>
    <row r="210" spans="2:11" ht="12.95" customHeight="1" x14ac:dyDescent="0.3">
      <c r="B210" s="21"/>
      <c r="C210" s="21"/>
      <c r="D210" s="58"/>
      <c r="E210" s="18"/>
      <c r="F210" s="18"/>
      <c r="G210" s="22"/>
      <c r="H210" s="18"/>
      <c r="I210" s="22"/>
      <c r="J210" s="18"/>
      <c r="K210" s="22"/>
    </row>
    <row r="211" spans="2:11" ht="12.95" customHeight="1" x14ac:dyDescent="0.3">
      <c r="B211" s="84" t="s">
        <v>23</v>
      </c>
      <c r="C211" s="21"/>
      <c r="D211" s="58"/>
      <c r="E211" s="85"/>
      <c r="F211" s="86"/>
      <c r="G211" s="87">
        <f>SUM(G200+G206+G209)</f>
        <v>2070994</v>
      </c>
      <c r="H211" s="86"/>
      <c r="I211" s="87">
        <f>SUM(I200+I206+I209)</f>
        <v>2070994</v>
      </c>
      <c r="J211" s="86"/>
      <c r="K211" s="87">
        <f>SUM(K200+K206+K209)</f>
        <v>2070994</v>
      </c>
    </row>
    <row r="212" spans="2:11" ht="12.95" customHeight="1" x14ac:dyDescent="0.3">
      <c r="B212" s="23" t="s">
        <v>129</v>
      </c>
      <c r="C212" s="24"/>
      <c r="D212" s="56"/>
      <c r="E212" s="25"/>
      <c r="F212" s="26"/>
      <c r="G212" s="27">
        <f>TRUNC((G211/G196))</f>
        <v>29585</v>
      </c>
      <c r="H212" s="26"/>
      <c r="I212" s="27">
        <f>TRUNC((I211/I196))</f>
        <v>23011</v>
      </c>
      <c r="J212" s="26"/>
      <c r="K212" s="27">
        <f>TRUNC((K211/K196))</f>
        <v>18827</v>
      </c>
    </row>
    <row r="213" spans="2:11" ht="12.95" customHeight="1" x14ac:dyDescent="0.3">
      <c r="B213" s="107" t="s">
        <v>11</v>
      </c>
      <c r="C213" s="110" t="s">
        <v>15</v>
      </c>
      <c r="D213" s="113" t="s">
        <v>16</v>
      </c>
      <c r="E213" s="116" t="s">
        <v>12</v>
      </c>
      <c r="F213" s="99" t="s">
        <v>131</v>
      </c>
      <c r="G213" s="100"/>
      <c r="H213" s="100"/>
      <c r="I213" s="100"/>
    </row>
    <row r="214" spans="2:11" ht="12.95" customHeight="1" x14ac:dyDescent="0.3">
      <c r="B214" s="108"/>
      <c r="C214" s="111"/>
      <c r="D214" s="114"/>
      <c r="E214" s="117"/>
      <c r="F214" s="99" t="s">
        <v>42</v>
      </c>
      <c r="G214" s="100"/>
      <c r="H214" s="99" t="s">
        <v>43</v>
      </c>
      <c r="I214" s="100"/>
    </row>
    <row r="215" spans="2:11" ht="12.95" customHeight="1" x14ac:dyDescent="0.3">
      <c r="B215" s="108"/>
      <c r="C215" s="111"/>
      <c r="D215" s="114"/>
      <c r="E215" s="117"/>
      <c r="F215" s="82" t="s">
        <v>130</v>
      </c>
      <c r="G215" s="95">
        <v>130</v>
      </c>
      <c r="H215" s="82" t="s">
        <v>130</v>
      </c>
      <c r="I215" s="95">
        <v>140</v>
      </c>
    </row>
    <row r="216" spans="2:11" ht="12.95" customHeight="1" x14ac:dyDescent="0.3">
      <c r="B216" s="109"/>
      <c r="C216" s="112"/>
      <c r="D216" s="115"/>
      <c r="E216" s="118"/>
      <c r="F216" s="63" t="s">
        <v>49</v>
      </c>
      <c r="G216" s="64" t="s">
        <v>50</v>
      </c>
      <c r="H216" s="63" t="s">
        <v>49</v>
      </c>
      <c r="I216" s="64" t="s">
        <v>50</v>
      </c>
    </row>
    <row r="217" spans="2:11" ht="12.95" customHeight="1" x14ac:dyDescent="0.3">
      <c r="B217" s="17" t="s">
        <v>28</v>
      </c>
      <c r="C217" s="17" t="s">
        <v>29</v>
      </c>
      <c r="D217" s="58" t="s">
        <v>25</v>
      </c>
      <c r="E217" s="65">
        <v>12764</v>
      </c>
      <c r="F217" s="62">
        <v>8</v>
      </c>
      <c r="G217" s="11">
        <f t="shared" ref="G217" si="79">TRUNC($E217*F217,1)</f>
        <v>102112</v>
      </c>
      <c r="H217" s="62">
        <v>8</v>
      </c>
      <c r="I217" s="11">
        <f t="shared" ref="I217" si="80">TRUNC($E217*H217,1)</f>
        <v>102112</v>
      </c>
    </row>
    <row r="218" spans="2:11" ht="12.95" customHeight="1" x14ac:dyDescent="0.3">
      <c r="B218" s="17" t="s">
        <v>17</v>
      </c>
      <c r="C218" s="10" t="s">
        <v>22</v>
      </c>
      <c r="D218" s="58" t="s">
        <v>26</v>
      </c>
      <c r="E218" s="19"/>
      <c r="F218" s="62">
        <v>1</v>
      </c>
      <c r="G218" s="20">
        <f>TRUNC(SUM(G221:G223)*0.03,1)</f>
        <v>29693.4</v>
      </c>
      <c r="H218" s="62">
        <v>1</v>
      </c>
      <c r="I218" s="20">
        <f>TRUNC(SUM(I221:I223)*0.03,1)</f>
        <v>29693.4</v>
      </c>
    </row>
    <row r="219" spans="2:11" ht="12.95" customHeight="1" x14ac:dyDescent="0.3">
      <c r="B219" s="48" t="s">
        <v>19</v>
      </c>
      <c r="C219" s="52"/>
      <c r="D219" s="50"/>
      <c r="E219" s="49"/>
      <c r="F219" s="49"/>
      <c r="G219" s="47">
        <f>TRUNC(SUM(G217:G218))</f>
        <v>131805</v>
      </c>
      <c r="H219" s="49"/>
      <c r="I219" s="47">
        <f>TRUNC(SUM(I217:I218))</f>
        <v>131805</v>
      </c>
    </row>
    <row r="220" spans="2:11" ht="12.95" customHeight="1" x14ac:dyDescent="0.3">
      <c r="B220" s="21"/>
      <c r="C220" s="21"/>
      <c r="D220" s="58"/>
      <c r="E220" s="18"/>
      <c r="F220" s="18"/>
      <c r="G220" s="22"/>
      <c r="H220" s="18"/>
      <c r="I220" s="22"/>
    </row>
    <row r="221" spans="2:11" ht="12.95" customHeight="1" x14ac:dyDescent="0.3">
      <c r="B221" s="29" t="s">
        <v>7</v>
      </c>
      <c r="C221" s="14"/>
      <c r="D221" s="6" t="s">
        <v>18</v>
      </c>
      <c r="E221" s="65">
        <v>252641</v>
      </c>
      <c r="F221" s="62">
        <v>1</v>
      </c>
      <c r="G221" s="11">
        <f t="shared" ref="G221:G224" si="81">TRUNC($E221*F221,1)</f>
        <v>252641</v>
      </c>
      <c r="H221" s="62">
        <v>1</v>
      </c>
      <c r="I221" s="11">
        <f t="shared" ref="I221:I224" si="82">TRUNC($E221*H221,1)</f>
        <v>252641</v>
      </c>
    </row>
    <row r="222" spans="2:11" ht="12.95" customHeight="1" x14ac:dyDescent="0.3">
      <c r="B222" s="29" t="s">
        <v>41</v>
      </c>
      <c r="C222" s="14"/>
      <c r="D222" s="6" t="s">
        <v>18</v>
      </c>
      <c r="E222" s="65">
        <v>282536</v>
      </c>
      <c r="F222" s="62">
        <v>2</v>
      </c>
      <c r="G222" s="11">
        <f t="shared" si="81"/>
        <v>565072</v>
      </c>
      <c r="H222" s="62">
        <v>2</v>
      </c>
      <c r="I222" s="11">
        <f t="shared" si="82"/>
        <v>565072</v>
      </c>
    </row>
    <row r="223" spans="2:11" ht="12.95" customHeight="1" x14ac:dyDescent="0.3">
      <c r="B223" s="29" t="s">
        <v>5</v>
      </c>
      <c r="C223" s="14"/>
      <c r="D223" s="6" t="s">
        <v>18</v>
      </c>
      <c r="E223" s="65">
        <v>172068</v>
      </c>
      <c r="F223" s="62">
        <v>1</v>
      </c>
      <c r="G223" s="11">
        <f t="shared" si="81"/>
        <v>172068</v>
      </c>
      <c r="H223" s="62">
        <v>1</v>
      </c>
      <c r="I223" s="11">
        <f t="shared" si="82"/>
        <v>172068</v>
      </c>
    </row>
    <row r="224" spans="2:11" ht="12.95" customHeight="1" x14ac:dyDescent="0.3">
      <c r="B224" s="17" t="s">
        <v>44</v>
      </c>
      <c r="C224" s="17" t="s">
        <v>29</v>
      </c>
      <c r="D224" s="58" t="s">
        <v>25</v>
      </c>
      <c r="E224" s="65">
        <v>58925</v>
      </c>
      <c r="F224" s="62">
        <v>8</v>
      </c>
      <c r="G224" s="11">
        <f t="shared" si="81"/>
        <v>471400</v>
      </c>
      <c r="H224" s="62">
        <v>8</v>
      </c>
      <c r="I224" s="11">
        <f t="shared" si="82"/>
        <v>471400</v>
      </c>
    </row>
    <row r="225" spans="2:13" ht="12.95" customHeight="1" x14ac:dyDescent="0.3">
      <c r="B225" s="42" t="s">
        <v>20</v>
      </c>
      <c r="C225" s="52"/>
      <c r="D225" s="50"/>
      <c r="E225" s="46"/>
      <c r="F225" s="70"/>
      <c r="G225" s="47">
        <f>TRUNC(SUM(G221:G224))</f>
        <v>1461181</v>
      </c>
      <c r="H225" s="70"/>
      <c r="I225" s="47">
        <f>TRUNC(SUM(I221:I224))</f>
        <v>1461181</v>
      </c>
    </row>
    <row r="226" spans="2:13" ht="12.95" customHeight="1" x14ac:dyDescent="0.3">
      <c r="B226" s="21"/>
      <c r="C226" s="21"/>
      <c r="D226" s="58"/>
      <c r="E226" s="18"/>
      <c r="F226" s="55"/>
      <c r="G226" s="22"/>
      <c r="H226" s="55"/>
      <c r="I226" s="22"/>
    </row>
    <row r="227" spans="2:13" ht="12.95" customHeight="1" x14ac:dyDescent="0.3">
      <c r="B227" s="17" t="s">
        <v>44</v>
      </c>
      <c r="C227" s="17" t="s">
        <v>29</v>
      </c>
      <c r="D227" s="58" t="s">
        <v>25</v>
      </c>
      <c r="E227" s="65">
        <v>59751</v>
      </c>
      <c r="F227" s="67">
        <v>8</v>
      </c>
      <c r="G227" s="11">
        <f t="shared" ref="G227" si="83">TRUNC($E227*F227,1)</f>
        <v>478008</v>
      </c>
      <c r="H227" s="67">
        <v>8</v>
      </c>
      <c r="I227" s="11">
        <f t="shared" ref="I227" si="84">TRUNC($E227*H227,1)</f>
        <v>478008</v>
      </c>
    </row>
    <row r="228" spans="2:13" ht="12.95" customHeight="1" x14ac:dyDescent="0.3">
      <c r="B228" s="48" t="s">
        <v>21</v>
      </c>
      <c r="C228" s="52"/>
      <c r="D228" s="53"/>
      <c r="E228" s="46"/>
      <c r="F228" s="49"/>
      <c r="G228" s="47">
        <f>TRUNC(SUM(G227:G227))</f>
        <v>478008</v>
      </c>
      <c r="H228" s="49"/>
      <c r="I228" s="47">
        <f>TRUNC(SUM(I227:I227))</f>
        <v>478008</v>
      </c>
    </row>
    <row r="229" spans="2:13" ht="12.95" customHeight="1" x14ac:dyDescent="0.3">
      <c r="B229" s="21"/>
      <c r="C229" s="21"/>
      <c r="D229" s="58"/>
      <c r="E229" s="18"/>
      <c r="F229" s="18"/>
      <c r="G229" s="22"/>
      <c r="H229" s="18"/>
      <c r="I229" s="22"/>
    </row>
    <row r="230" spans="2:13" ht="12.95" customHeight="1" x14ac:dyDescent="0.3">
      <c r="B230" s="84" t="s">
        <v>23</v>
      </c>
      <c r="C230" s="21"/>
      <c r="D230" s="58"/>
      <c r="E230" s="85"/>
      <c r="F230" s="86"/>
      <c r="G230" s="87">
        <f>SUM(G219+G225+G228)</f>
        <v>2070994</v>
      </c>
      <c r="H230" s="86"/>
      <c r="I230" s="87">
        <f>SUM(I219+I225+I228)</f>
        <v>2070994</v>
      </c>
    </row>
    <row r="231" spans="2:13" ht="12.95" customHeight="1" x14ac:dyDescent="0.3">
      <c r="B231" s="23" t="s">
        <v>129</v>
      </c>
      <c r="C231" s="24"/>
      <c r="D231" s="56"/>
      <c r="E231" s="25"/>
      <c r="F231" s="26"/>
      <c r="G231" s="27">
        <f>TRUNC((G230/G215))</f>
        <v>15930</v>
      </c>
      <c r="H231" s="26"/>
      <c r="I231" s="27">
        <f>TRUNC((I230/I215))</f>
        <v>14792</v>
      </c>
    </row>
    <row r="232" spans="2:13" ht="12.95" customHeight="1" x14ac:dyDescent="0.3">
      <c r="B232" s="107" t="s">
        <v>11</v>
      </c>
      <c r="C232" s="110" t="s">
        <v>15</v>
      </c>
      <c r="D232" s="113" t="s">
        <v>16</v>
      </c>
      <c r="E232" s="116" t="s">
        <v>12</v>
      </c>
      <c r="F232" s="99" t="s">
        <v>134</v>
      </c>
      <c r="G232" s="100"/>
      <c r="H232" s="100"/>
      <c r="I232" s="100"/>
      <c r="J232" s="100"/>
      <c r="K232" s="100"/>
    </row>
    <row r="233" spans="2:13" ht="12.95" customHeight="1" x14ac:dyDescent="0.3">
      <c r="B233" s="108"/>
      <c r="C233" s="111"/>
      <c r="D233" s="114"/>
      <c r="E233" s="117"/>
      <c r="F233" s="99" t="s">
        <v>39</v>
      </c>
      <c r="G233" s="100"/>
      <c r="H233" s="99" t="s">
        <v>132</v>
      </c>
      <c r="I233" s="100"/>
      <c r="J233" s="99" t="s">
        <v>40</v>
      </c>
      <c r="K233" s="100"/>
    </row>
    <row r="234" spans="2:13" ht="12.95" customHeight="1" x14ac:dyDescent="0.3">
      <c r="B234" s="108"/>
      <c r="C234" s="111"/>
      <c r="D234" s="114"/>
      <c r="E234" s="117"/>
      <c r="F234" s="82" t="s">
        <v>130</v>
      </c>
      <c r="G234" s="95">
        <v>55</v>
      </c>
      <c r="H234" s="82" t="s">
        <v>130</v>
      </c>
      <c r="I234" s="95">
        <v>70</v>
      </c>
      <c r="J234" s="82" t="s">
        <v>130</v>
      </c>
      <c r="K234" s="95">
        <v>85</v>
      </c>
    </row>
    <row r="235" spans="2:13" ht="12.95" customHeight="1" x14ac:dyDescent="0.3">
      <c r="B235" s="109"/>
      <c r="C235" s="112"/>
      <c r="D235" s="115"/>
      <c r="E235" s="118"/>
      <c r="F235" s="63" t="s">
        <v>49</v>
      </c>
      <c r="G235" s="64" t="s">
        <v>50</v>
      </c>
      <c r="H235" s="63" t="s">
        <v>49</v>
      </c>
      <c r="I235" s="64" t="s">
        <v>50</v>
      </c>
      <c r="J235" s="63" t="s">
        <v>49</v>
      </c>
      <c r="K235" s="64" t="s">
        <v>50</v>
      </c>
    </row>
    <row r="236" spans="2:13" ht="12.95" customHeight="1" x14ac:dyDescent="0.3">
      <c r="B236" s="17" t="s">
        <v>28</v>
      </c>
      <c r="C236" s="17" t="s">
        <v>29</v>
      </c>
      <c r="D236" s="58" t="s">
        <v>25</v>
      </c>
      <c r="E236" s="65">
        <v>12764</v>
      </c>
      <c r="F236" s="62">
        <v>8</v>
      </c>
      <c r="G236" s="11">
        <f t="shared" ref="G236" si="85">TRUNC($E236*F236,1)</f>
        <v>102112</v>
      </c>
      <c r="H236" s="62">
        <v>8</v>
      </c>
      <c r="I236" s="11">
        <f t="shared" ref="I236" si="86">TRUNC($E236*H236,1)</f>
        <v>102112</v>
      </c>
      <c r="J236" s="62">
        <v>8</v>
      </c>
      <c r="K236" s="11">
        <f t="shared" ref="K236" si="87">TRUNC($E236*J236,1)</f>
        <v>102112</v>
      </c>
    </row>
    <row r="237" spans="2:13" ht="12.95" customHeight="1" x14ac:dyDescent="0.3">
      <c r="B237" s="17" t="s">
        <v>17</v>
      </c>
      <c r="C237" s="10" t="s">
        <v>22</v>
      </c>
      <c r="D237" s="58" t="s">
        <v>26</v>
      </c>
      <c r="E237" s="19"/>
      <c r="F237" s="62">
        <v>1</v>
      </c>
      <c r="G237" s="20">
        <f>TRUNC(SUM(G240:G242)*0.03,1)</f>
        <v>29693.4</v>
      </c>
      <c r="H237" s="62">
        <v>1</v>
      </c>
      <c r="I237" s="20">
        <f>TRUNC(SUM(I240:I242)*0.03,1)</f>
        <v>29693.4</v>
      </c>
      <c r="J237" s="62">
        <v>1</v>
      </c>
      <c r="K237" s="20">
        <f>TRUNC(SUM(K240:K242)*0.03,1)</f>
        <v>29693.4</v>
      </c>
      <c r="L237" s="59"/>
      <c r="M237" s="59"/>
    </row>
    <row r="238" spans="2:13" ht="12.95" customHeight="1" x14ac:dyDescent="0.3">
      <c r="B238" s="48" t="s">
        <v>19</v>
      </c>
      <c r="C238" s="52"/>
      <c r="D238" s="50"/>
      <c r="E238" s="49"/>
      <c r="F238" s="49"/>
      <c r="G238" s="47">
        <f>TRUNC(SUM(G236:G237))</f>
        <v>131805</v>
      </c>
      <c r="H238" s="49"/>
      <c r="I238" s="47">
        <f>TRUNC(SUM(I236:I237))</f>
        <v>131805</v>
      </c>
      <c r="J238" s="49"/>
      <c r="K238" s="47">
        <f>TRUNC(SUM(K236:K237))</f>
        <v>131805</v>
      </c>
    </row>
    <row r="239" spans="2:13" ht="12.95" customHeight="1" x14ac:dyDescent="0.3">
      <c r="B239" s="21"/>
      <c r="C239" s="21"/>
      <c r="D239" s="58"/>
      <c r="E239" s="18"/>
      <c r="F239" s="18"/>
      <c r="G239" s="22"/>
      <c r="H239" s="18"/>
      <c r="I239" s="22"/>
      <c r="J239" s="18"/>
      <c r="K239" s="22"/>
    </row>
    <row r="240" spans="2:13" ht="12.95" customHeight="1" x14ac:dyDescent="0.3">
      <c r="B240" s="29" t="s">
        <v>7</v>
      </c>
      <c r="C240" s="14"/>
      <c r="D240" s="6" t="s">
        <v>18</v>
      </c>
      <c r="E240" s="65">
        <v>252641</v>
      </c>
      <c r="F240" s="62">
        <v>1</v>
      </c>
      <c r="G240" s="11">
        <f t="shared" ref="G240:G243" si="88">TRUNC($E240*F240,1)</f>
        <v>252641</v>
      </c>
      <c r="H240" s="62">
        <v>1</v>
      </c>
      <c r="I240" s="11">
        <f t="shared" ref="I240:I243" si="89">TRUNC($E240*H240,1)</f>
        <v>252641</v>
      </c>
      <c r="J240" s="62">
        <v>1</v>
      </c>
      <c r="K240" s="11">
        <f t="shared" ref="K240:K243" si="90">TRUNC($E240*J240,1)</f>
        <v>252641</v>
      </c>
    </row>
    <row r="241" spans="2:11" ht="12.95" customHeight="1" x14ac:dyDescent="0.3">
      <c r="B241" s="29" t="s">
        <v>41</v>
      </c>
      <c r="C241" s="14"/>
      <c r="D241" s="6" t="s">
        <v>18</v>
      </c>
      <c r="E241" s="65">
        <v>282536</v>
      </c>
      <c r="F241" s="62">
        <v>2</v>
      </c>
      <c r="G241" s="11">
        <f t="shared" si="88"/>
        <v>565072</v>
      </c>
      <c r="H241" s="62">
        <v>2</v>
      </c>
      <c r="I241" s="11">
        <f t="shared" si="89"/>
        <v>565072</v>
      </c>
      <c r="J241" s="62">
        <v>2</v>
      </c>
      <c r="K241" s="11">
        <f t="shared" si="90"/>
        <v>565072</v>
      </c>
    </row>
    <row r="242" spans="2:11" ht="12.95" customHeight="1" x14ac:dyDescent="0.3">
      <c r="B242" s="29" t="s">
        <v>5</v>
      </c>
      <c r="C242" s="14"/>
      <c r="D242" s="6" t="s">
        <v>18</v>
      </c>
      <c r="E242" s="65">
        <v>172068</v>
      </c>
      <c r="F242" s="62">
        <v>1</v>
      </c>
      <c r="G242" s="11">
        <f t="shared" si="88"/>
        <v>172068</v>
      </c>
      <c r="H242" s="62">
        <v>1</v>
      </c>
      <c r="I242" s="11">
        <f t="shared" si="89"/>
        <v>172068</v>
      </c>
      <c r="J242" s="62">
        <v>1</v>
      </c>
      <c r="K242" s="11">
        <f t="shared" si="90"/>
        <v>172068</v>
      </c>
    </row>
    <row r="243" spans="2:11" ht="12.95" customHeight="1" x14ac:dyDescent="0.3">
      <c r="B243" s="17" t="s">
        <v>44</v>
      </c>
      <c r="C243" s="17" t="s">
        <v>29</v>
      </c>
      <c r="D243" s="58" t="s">
        <v>25</v>
      </c>
      <c r="E243" s="65">
        <v>58925</v>
      </c>
      <c r="F243" s="62">
        <v>8</v>
      </c>
      <c r="G243" s="11">
        <f t="shared" si="88"/>
        <v>471400</v>
      </c>
      <c r="H243" s="62">
        <v>8</v>
      </c>
      <c r="I243" s="11">
        <f t="shared" si="89"/>
        <v>471400</v>
      </c>
      <c r="J243" s="62">
        <v>8</v>
      </c>
      <c r="K243" s="11">
        <f t="shared" si="90"/>
        <v>471400</v>
      </c>
    </row>
    <row r="244" spans="2:11" ht="12.95" customHeight="1" x14ac:dyDescent="0.3">
      <c r="B244" s="42" t="s">
        <v>20</v>
      </c>
      <c r="C244" s="52"/>
      <c r="D244" s="50"/>
      <c r="E244" s="46"/>
      <c r="F244" s="70"/>
      <c r="G244" s="47">
        <f>TRUNC(SUM(G240:G243))</f>
        <v>1461181</v>
      </c>
      <c r="H244" s="70"/>
      <c r="I244" s="47">
        <f>TRUNC(SUM(I240:I243))</f>
        <v>1461181</v>
      </c>
      <c r="J244" s="70"/>
      <c r="K244" s="47">
        <f>TRUNC(SUM(K240:K243))</f>
        <v>1461181</v>
      </c>
    </row>
    <row r="245" spans="2:11" ht="12.95" customHeight="1" x14ac:dyDescent="0.3">
      <c r="B245" s="21"/>
      <c r="C245" s="21"/>
      <c r="D245" s="58"/>
      <c r="E245" s="18"/>
      <c r="F245" s="55"/>
      <c r="G245" s="22"/>
      <c r="H245" s="55"/>
      <c r="I245" s="22"/>
      <c r="J245" s="55"/>
      <c r="K245" s="22"/>
    </row>
    <row r="246" spans="2:11" ht="12.95" customHeight="1" x14ac:dyDescent="0.3">
      <c r="B246" s="17" t="s">
        <v>44</v>
      </c>
      <c r="C246" s="17" t="s">
        <v>29</v>
      </c>
      <c r="D246" s="58" t="s">
        <v>25</v>
      </c>
      <c r="E246" s="65">
        <v>59751</v>
      </c>
      <c r="F246" s="67">
        <v>8</v>
      </c>
      <c r="G246" s="11">
        <f t="shared" ref="G246" si="91">TRUNC($E246*F246,1)</f>
        <v>478008</v>
      </c>
      <c r="H246" s="67">
        <v>8</v>
      </c>
      <c r="I246" s="11">
        <f t="shared" ref="I246" si="92">TRUNC($E246*H246,1)</f>
        <v>478008</v>
      </c>
      <c r="J246" s="67">
        <v>8</v>
      </c>
      <c r="K246" s="11">
        <f t="shared" ref="K246" si="93">TRUNC($E246*J246,1)</f>
        <v>478008</v>
      </c>
    </row>
    <row r="247" spans="2:11" ht="12.95" customHeight="1" x14ac:dyDescent="0.3">
      <c r="B247" s="48" t="s">
        <v>21</v>
      </c>
      <c r="C247" s="52"/>
      <c r="D247" s="53"/>
      <c r="E247" s="46"/>
      <c r="F247" s="49"/>
      <c r="G247" s="47">
        <f>TRUNC(SUM(G246:G246))</f>
        <v>478008</v>
      </c>
      <c r="H247" s="49"/>
      <c r="I247" s="47">
        <f>TRUNC(SUM(I246:I246))</f>
        <v>478008</v>
      </c>
      <c r="J247" s="49"/>
      <c r="K247" s="47">
        <f>TRUNC(SUM(K246:K246))</f>
        <v>478008</v>
      </c>
    </row>
    <row r="248" spans="2:11" ht="12.95" customHeight="1" x14ac:dyDescent="0.3">
      <c r="B248" s="21"/>
      <c r="C248" s="21"/>
      <c r="D248" s="58"/>
      <c r="E248" s="18"/>
      <c r="F248" s="18"/>
      <c r="G248" s="22"/>
      <c r="H248" s="18"/>
      <c r="I248" s="22"/>
      <c r="J248" s="18"/>
      <c r="K248" s="22"/>
    </row>
    <row r="249" spans="2:11" ht="12.95" customHeight="1" x14ac:dyDescent="0.3">
      <c r="B249" s="84" t="s">
        <v>23</v>
      </c>
      <c r="C249" s="21"/>
      <c r="D249" s="58"/>
      <c r="E249" s="85"/>
      <c r="F249" s="86"/>
      <c r="G249" s="87">
        <f>SUM(G238+G244+G247)</f>
        <v>2070994</v>
      </c>
      <c r="H249" s="86"/>
      <c r="I249" s="87">
        <f>SUM(I238+I244+I247)</f>
        <v>2070994</v>
      </c>
      <c r="J249" s="86"/>
      <c r="K249" s="87">
        <f>SUM(K238+K244+K247)</f>
        <v>2070994</v>
      </c>
    </row>
    <row r="250" spans="2:11" ht="12.95" customHeight="1" x14ac:dyDescent="0.3">
      <c r="B250" s="23" t="s">
        <v>129</v>
      </c>
      <c r="C250" s="24"/>
      <c r="D250" s="56"/>
      <c r="E250" s="25"/>
      <c r="F250" s="26"/>
      <c r="G250" s="27">
        <f>TRUNC((G249/G234))</f>
        <v>37654</v>
      </c>
      <c r="H250" s="26"/>
      <c r="I250" s="27">
        <f>TRUNC((I249/I234))</f>
        <v>29585</v>
      </c>
      <c r="J250" s="26"/>
      <c r="K250" s="27">
        <f>TRUNC((K249/K234))</f>
        <v>24364</v>
      </c>
    </row>
    <row r="251" spans="2:11" ht="12.95" customHeight="1" x14ac:dyDescent="0.3">
      <c r="B251" s="107" t="s">
        <v>11</v>
      </c>
      <c r="C251" s="110" t="s">
        <v>15</v>
      </c>
      <c r="D251" s="113" t="s">
        <v>16</v>
      </c>
      <c r="E251" s="116" t="s">
        <v>12</v>
      </c>
      <c r="F251" s="99" t="s">
        <v>134</v>
      </c>
      <c r="G251" s="100"/>
      <c r="H251" s="100"/>
      <c r="I251" s="100"/>
    </row>
    <row r="252" spans="2:11" ht="12.95" customHeight="1" x14ac:dyDescent="0.3">
      <c r="B252" s="108"/>
      <c r="C252" s="111"/>
      <c r="D252" s="114"/>
      <c r="E252" s="117"/>
      <c r="F252" s="99" t="s">
        <v>42</v>
      </c>
      <c r="G252" s="100"/>
      <c r="H252" s="99" t="s">
        <v>43</v>
      </c>
      <c r="I252" s="100"/>
    </row>
    <row r="253" spans="2:11" ht="12.95" customHeight="1" x14ac:dyDescent="0.3">
      <c r="B253" s="108"/>
      <c r="C253" s="111"/>
      <c r="D253" s="114"/>
      <c r="E253" s="117"/>
      <c r="F253" s="82" t="s">
        <v>130</v>
      </c>
      <c r="G253" s="95">
        <v>100</v>
      </c>
      <c r="H253" s="82" t="s">
        <v>130</v>
      </c>
      <c r="I253" s="95">
        <v>110</v>
      </c>
    </row>
    <row r="254" spans="2:11" ht="12.95" customHeight="1" x14ac:dyDescent="0.3">
      <c r="B254" s="109"/>
      <c r="C254" s="112"/>
      <c r="D254" s="115"/>
      <c r="E254" s="118"/>
      <c r="F254" s="63" t="s">
        <v>49</v>
      </c>
      <c r="G254" s="64" t="s">
        <v>50</v>
      </c>
      <c r="H254" s="63" t="s">
        <v>49</v>
      </c>
      <c r="I254" s="64" t="s">
        <v>50</v>
      </c>
    </row>
    <row r="255" spans="2:11" ht="12.95" customHeight="1" x14ac:dyDescent="0.3">
      <c r="B255" s="17" t="s">
        <v>28</v>
      </c>
      <c r="C255" s="17" t="s">
        <v>29</v>
      </c>
      <c r="D255" s="58" t="s">
        <v>25</v>
      </c>
      <c r="E255" s="65">
        <v>12764</v>
      </c>
      <c r="F255" s="62">
        <v>8</v>
      </c>
      <c r="G255" s="11">
        <f t="shared" ref="G255" si="94">TRUNC($E255*F255,1)</f>
        <v>102112</v>
      </c>
      <c r="H255" s="62">
        <v>8</v>
      </c>
      <c r="I255" s="11">
        <f t="shared" ref="I255" si="95">TRUNC($E255*H255,1)</f>
        <v>102112</v>
      </c>
    </row>
    <row r="256" spans="2:11" ht="12.95" customHeight="1" x14ac:dyDescent="0.3">
      <c r="B256" s="17" t="s">
        <v>17</v>
      </c>
      <c r="C256" s="10" t="s">
        <v>22</v>
      </c>
      <c r="D256" s="58" t="s">
        <v>26</v>
      </c>
      <c r="E256" s="19"/>
      <c r="F256" s="62">
        <v>1</v>
      </c>
      <c r="G256" s="20">
        <f>TRUNC(SUM(G259:G261)*0.03,1)</f>
        <v>29693.4</v>
      </c>
      <c r="H256" s="62">
        <v>1</v>
      </c>
      <c r="I256" s="20">
        <f>TRUNC(SUM(I259:I261)*0.03,1)</f>
        <v>29693.4</v>
      </c>
    </row>
    <row r="257" spans="2:13" ht="12.95" customHeight="1" x14ac:dyDescent="0.3">
      <c r="B257" s="48" t="s">
        <v>19</v>
      </c>
      <c r="C257" s="52"/>
      <c r="D257" s="50"/>
      <c r="E257" s="49"/>
      <c r="F257" s="49"/>
      <c r="G257" s="47">
        <f>TRUNC(SUM(G255:G256))</f>
        <v>131805</v>
      </c>
      <c r="H257" s="49"/>
      <c r="I257" s="47">
        <f>TRUNC(SUM(I255:I256))</f>
        <v>131805</v>
      </c>
    </row>
    <row r="258" spans="2:13" ht="12.95" customHeight="1" x14ac:dyDescent="0.3">
      <c r="B258" s="21"/>
      <c r="C258" s="21"/>
      <c r="D258" s="58"/>
      <c r="E258" s="18"/>
      <c r="F258" s="18"/>
      <c r="G258" s="22"/>
      <c r="H258" s="18"/>
      <c r="I258" s="22"/>
    </row>
    <row r="259" spans="2:13" ht="12.95" customHeight="1" x14ac:dyDescent="0.3">
      <c r="B259" s="29" t="s">
        <v>7</v>
      </c>
      <c r="C259" s="14"/>
      <c r="D259" s="6" t="s">
        <v>18</v>
      </c>
      <c r="E259" s="65">
        <v>252641</v>
      </c>
      <c r="F259" s="62">
        <v>1</v>
      </c>
      <c r="G259" s="11">
        <f t="shared" ref="G259:G262" si="96">TRUNC($E259*F259,1)</f>
        <v>252641</v>
      </c>
      <c r="H259" s="62">
        <v>1</v>
      </c>
      <c r="I259" s="11">
        <f t="shared" ref="I259:I262" si="97">TRUNC($E259*H259,1)</f>
        <v>252641</v>
      </c>
    </row>
    <row r="260" spans="2:13" ht="12.95" customHeight="1" x14ac:dyDescent="0.3">
      <c r="B260" s="29" t="s">
        <v>41</v>
      </c>
      <c r="C260" s="14"/>
      <c r="D260" s="6" t="s">
        <v>18</v>
      </c>
      <c r="E260" s="65">
        <v>282536</v>
      </c>
      <c r="F260" s="62">
        <v>2</v>
      </c>
      <c r="G260" s="11">
        <f t="shared" si="96"/>
        <v>565072</v>
      </c>
      <c r="H260" s="62">
        <v>2</v>
      </c>
      <c r="I260" s="11">
        <f t="shared" si="97"/>
        <v>565072</v>
      </c>
    </row>
    <row r="261" spans="2:13" ht="12.95" customHeight="1" x14ac:dyDescent="0.3">
      <c r="B261" s="29" t="s">
        <v>5</v>
      </c>
      <c r="C261" s="14"/>
      <c r="D261" s="6" t="s">
        <v>18</v>
      </c>
      <c r="E261" s="65">
        <v>172068</v>
      </c>
      <c r="F261" s="62">
        <v>1</v>
      </c>
      <c r="G261" s="11">
        <f t="shared" si="96"/>
        <v>172068</v>
      </c>
      <c r="H261" s="62">
        <v>1</v>
      </c>
      <c r="I261" s="11">
        <f t="shared" si="97"/>
        <v>172068</v>
      </c>
    </row>
    <row r="262" spans="2:13" ht="12.95" customHeight="1" x14ac:dyDescent="0.3">
      <c r="B262" s="17" t="s">
        <v>44</v>
      </c>
      <c r="C262" s="17" t="s">
        <v>29</v>
      </c>
      <c r="D262" s="58" t="s">
        <v>25</v>
      </c>
      <c r="E262" s="65">
        <v>58925</v>
      </c>
      <c r="F262" s="62">
        <v>8</v>
      </c>
      <c r="G262" s="11">
        <f t="shared" si="96"/>
        <v>471400</v>
      </c>
      <c r="H262" s="62">
        <v>8</v>
      </c>
      <c r="I262" s="11">
        <f t="shared" si="97"/>
        <v>471400</v>
      </c>
    </row>
    <row r="263" spans="2:13" ht="12.95" customHeight="1" x14ac:dyDescent="0.3">
      <c r="B263" s="42" t="s">
        <v>20</v>
      </c>
      <c r="C263" s="52"/>
      <c r="D263" s="50"/>
      <c r="E263" s="46"/>
      <c r="F263" s="70"/>
      <c r="G263" s="47">
        <f>TRUNC(SUM(G259:G262))</f>
        <v>1461181</v>
      </c>
      <c r="H263" s="70"/>
      <c r="I263" s="47">
        <f>TRUNC(SUM(I259:I262))</f>
        <v>1461181</v>
      </c>
    </row>
    <row r="264" spans="2:13" ht="12.95" customHeight="1" x14ac:dyDescent="0.3">
      <c r="B264" s="21"/>
      <c r="C264" s="21"/>
      <c r="D264" s="58"/>
      <c r="E264" s="18"/>
      <c r="F264" s="55"/>
      <c r="G264" s="22"/>
      <c r="H264" s="55"/>
      <c r="I264" s="22"/>
    </row>
    <row r="265" spans="2:13" ht="12.95" customHeight="1" x14ac:dyDescent="0.3">
      <c r="B265" s="17" t="s">
        <v>44</v>
      </c>
      <c r="C265" s="17" t="s">
        <v>29</v>
      </c>
      <c r="D265" s="58" t="s">
        <v>25</v>
      </c>
      <c r="E265" s="65">
        <v>59751</v>
      </c>
      <c r="F265" s="67">
        <v>8</v>
      </c>
      <c r="G265" s="11">
        <f t="shared" ref="G265" si="98">TRUNC($E265*F265,1)</f>
        <v>478008</v>
      </c>
      <c r="H265" s="67">
        <v>8</v>
      </c>
      <c r="I265" s="11">
        <f t="shared" ref="I265" si="99">TRUNC($E265*H265,1)</f>
        <v>478008</v>
      </c>
    </row>
    <row r="266" spans="2:13" ht="12.95" customHeight="1" x14ac:dyDescent="0.3">
      <c r="B266" s="48" t="s">
        <v>21</v>
      </c>
      <c r="C266" s="52"/>
      <c r="D266" s="53"/>
      <c r="E266" s="46"/>
      <c r="F266" s="49"/>
      <c r="G266" s="47">
        <f>TRUNC(SUM(G265:G265))</f>
        <v>478008</v>
      </c>
      <c r="H266" s="49"/>
      <c r="I266" s="47">
        <f>TRUNC(SUM(I265:I265))</f>
        <v>478008</v>
      </c>
    </row>
    <row r="267" spans="2:13" ht="12.95" customHeight="1" x14ac:dyDescent="0.3">
      <c r="B267" s="21"/>
      <c r="C267" s="21"/>
      <c r="D267" s="58"/>
      <c r="E267" s="18"/>
      <c r="F267" s="18"/>
      <c r="G267" s="22"/>
      <c r="H267" s="18"/>
      <c r="I267" s="22"/>
    </row>
    <row r="268" spans="2:13" ht="12.95" customHeight="1" x14ac:dyDescent="0.3">
      <c r="B268" s="84" t="s">
        <v>23</v>
      </c>
      <c r="C268" s="21"/>
      <c r="D268" s="58"/>
      <c r="E268" s="85"/>
      <c r="F268" s="86"/>
      <c r="G268" s="87">
        <f>SUM(G257+G263+G266)</f>
        <v>2070994</v>
      </c>
      <c r="H268" s="86"/>
      <c r="I268" s="87">
        <f>SUM(I257+I263+I266)</f>
        <v>2070994</v>
      </c>
    </row>
    <row r="269" spans="2:13" ht="12.95" customHeight="1" x14ac:dyDescent="0.3">
      <c r="B269" s="23" t="s">
        <v>129</v>
      </c>
      <c r="C269" s="24"/>
      <c r="D269" s="56"/>
      <c r="E269" s="25"/>
      <c r="F269" s="26"/>
      <c r="G269" s="27">
        <f>TRUNC((G268/G253))</f>
        <v>20709</v>
      </c>
      <c r="H269" s="26"/>
      <c r="I269" s="27">
        <f>TRUNC((I268/I253))</f>
        <v>18827</v>
      </c>
    </row>
    <row r="270" spans="2:13" ht="12.95" customHeight="1" x14ac:dyDescent="0.3">
      <c r="B270" s="3" t="s">
        <v>153</v>
      </c>
      <c r="C270" s="9"/>
      <c r="D270" s="3"/>
      <c r="E270" s="13"/>
      <c r="F270" s="4"/>
      <c r="G270" s="4"/>
      <c r="H270" s="4"/>
      <c r="I270" s="4"/>
      <c r="K270" s="61"/>
      <c r="L270" s="59"/>
      <c r="M270" s="59"/>
    </row>
    <row r="271" spans="2:13" ht="12.95" customHeight="1" x14ac:dyDescent="0.3">
      <c r="B271" s="3"/>
      <c r="C271" s="9"/>
      <c r="D271" s="3"/>
      <c r="E271" s="13"/>
      <c r="F271" s="4"/>
      <c r="G271" s="4"/>
      <c r="H271" s="4"/>
      <c r="I271" s="4"/>
      <c r="J271" s="59"/>
    </row>
    <row r="272" spans="2:13" ht="12.95" customHeight="1" x14ac:dyDescent="0.3">
      <c r="B272" s="3" t="s">
        <v>139</v>
      </c>
      <c r="C272" s="9"/>
      <c r="D272" s="3"/>
      <c r="E272" s="13"/>
      <c r="F272" s="4"/>
      <c r="G272" s="4"/>
      <c r="H272" s="4"/>
      <c r="I272" s="4"/>
      <c r="K272" s="61" t="s">
        <v>53</v>
      </c>
      <c r="L272" s="59"/>
      <c r="M272" s="59"/>
    </row>
    <row r="273" spans="2:15" ht="12.95" customHeight="1" x14ac:dyDescent="0.3">
      <c r="B273" s="107" t="s">
        <v>11</v>
      </c>
      <c r="C273" s="110" t="s">
        <v>15</v>
      </c>
      <c r="D273" s="113" t="s">
        <v>16</v>
      </c>
      <c r="E273" s="116" t="s">
        <v>12</v>
      </c>
      <c r="F273" s="99" t="s">
        <v>131</v>
      </c>
      <c r="G273" s="100"/>
      <c r="H273" s="100"/>
      <c r="I273" s="100"/>
      <c r="J273" s="100"/>
      <c r="K273" s="100"/>
    </row>
    <row r="274" spans="2:15" ht="12.95" customHeight="1" x14ac:dyDescent="0.3">
      <c r="B274" s="108"/>
      <c r="C274" s="111"/>
      <c r="D274" s="114"/>
      <c r="E274" s="117"/>
      <c r="F274" s="99" t="s">
        <v>39</v>
      </c>
      <c r="G274" s="100"/>
      <c r="H274" s="99" t="s">
        <v>132</v>
      </c>
      <c r="I274" s="100"/>
      <c r="J274" s="99" t="s">
        <v>40</v>
      </c>
      <c r="K274" s="100"/>
    </row>
    <row r="275" spans="2:15" ht="12.95" customHeight="1" x14ac:dyDescent="0.3">
      <c r="B275" s="108"/>
      <c r="C275" s="111"/>
      <c r="D275" s="114"/>
      <c r="E275" s="117"/>
      <c r="F275" s="82" t="s">
        <v>137</v>
      </c>
      <c r="G275" s="95">
        <v>16</v>
      </c>
      <c r="H275" s="82" t="s">
        <v>137</v>
      </c>
      <c r="I275" s="95">
        <v>15</v>
      </c>
      <c r="J275" s="82" t="s">
        <v>137</v>
      </c>
      <c r="K275" s="95">
        <v>13</v>
      </c>
    </row>
    <row r="276" spans="2:15" ht="12.95" customHeight="1" x14ac:dyDescent="0.3">
      <c r="B276" s="109"/>
      <c r="C276" s="112"/>
      <c r="D276" s="115"/>
      <c r="E276" s="118"/>
      <c r="F276" s="63" t="s">
        <v>49</v>
      </c>
      <c r="G276" s="64" t="s">
        <v>50</v>
      </c>
      <c r="H276" s="63" t="s">
        <v>49</v>
      </c>
      <c r="I276" s="64" t="s">
        <v>50</v>
      </c>
      <c r="J276" s="63" t="s">
        <v>49</v>
      </c>
      <c r="K276" s="64" t="s">
        <v>50</v>
      </c>
    </row>
    <row r="277" spans="2:15" ht="12.95" customHeight="1" x14ac:dyDescent="0.3">
      <c r="B277" s="17" t="s">
        <v>28</v>
      </c>
      <c r="C277" s="17" t="s">
        <v>29</v>
      </c>
      <c r="D277" s="58" t="s">
        <v>25</v>
      </c>
      <c r="E277" s="65">
        <v>12764</v>
      </c>
      <c r="F277" s="62">
        <v>8</v>
      </c>
      <c r="G277" s="11">
        <f t="shared" ref="G277" si="100">TRUNC($E277*F277,1)</f>
        <v>102112</v>
      </c>
      <c r="H277" s="62">
        <v>8</v>
      </c>
      <c r="I277" s="11">
        <f t="shared" ref="I277" si="101">TRUNC($E277*H277,1)</f>
        <v>102112</v>
      </c>
      <c r="J277" s="62">
        <v>8</v>
      </c>
      <c r="K277" s="11">
        <f t="shared" ref="K277" si="102">TRUNC($E277*J277,1)</f>
        <v>102112</v>
      </c>
    </row>
    <row r="278" spans="2:15" ht="12.95" customHeight="1" x14ac:dyDescent="0.3">
      <c r="B278" s="17" t="s">
        <v>17</v>
      </c>
      <c r="C278" s="10" t="s">
        <v>22</v>
      </c>
      <c r="D278" s="58" t="s">
        <v>26</v>
      </c>
      <c r="E278" s="19"/>
      <c r="F278" s="62">
        <v>1</v>
      </c>
      <c r="G278" s="20">
        <f>TRUNC(SUM(G281:G283)*0.03,1)</f>
        <v>28796.5</v>
      </c>
      <c r="H278" s="62">
        <v>1</v>
      </c>
      <c r="I278" s="20">
        <f>TRUNC(SUM(I281:I283)*0.03,1)</f>
        <v>28796.5</v>
      </c>
      <c r="J278" s="62">
        <v>1</v>
      </c>
      <c r="K278" s="20">
        <f>TRUNC(SUM(K281:K283)*0.03,1)</f>
        <v>28796.5</v>
      </c>
      <c r="L278" s="59"/>
      <c r="M278" s="59"/>
    </row>
    <row r="279" spans="2:15" ht="12.95" customHeight="1" x14ac:dyDescent="0.3">
      <c r="B279" s="48" t="s">
        <v>19</v>
      </c>
      <c r="C279" s="52"/>
      <c r="D279" s="50"/>
      <c r="E279" s="49"/>
      <c r="F279" s="49"/>
      <c r="G279" s="47">
        <f>TRUNC(SUM(G277:G278))</f>
        <v>130908</v>
      </c>
      <c r="H279" s="49"/>
      <c r="I279" s="47">
        <f>TRUNC(SUM(I277:I278))</f>
        <v>130908</v>
      </c>
      <c r="J279" s="49"/>
      <c r="K279" s="47">
        <f>TRUNC(SUM(K277:K278))</f>
        <v>130908</v>
      </c>
    </row>
    <row r="280" spans="2:15" ht="12.95" customHeight="1" x14ac:dyDescent="0.3">
      <c r="B280" s="21"/>
      <c r="C280" s="21"/>
      <c r="D280" s="58"/>
      <c r="E280" s="18"/>
      <c r="F280" s="18"/>
      <c r="G280" s="22"/>
      <c r="H280" s="18"/>
      <c r="I280" s="22"/>
      <c r="J280" s="18"/>
      <c r="K280" s="22"/>
    </row>
    <row r="281" spans="2:15" ht="12.95" customHeight="1" x14ac:dyDescent="0.3">
      <c r="B281" s="29" t="s">
        <v>7</v>
      </c>
      <c r="C281" s="14"/>
      <c r="D281" s="6" t="s">
        <v>18</v>
      </c>
      <c r="E281" s="65">
        <v>252641</v>
      </c>
      <c r="F281" s="62">
        <v>2</v>
      </c>
      <c r="G281" s="11">
        <f t="shared" ref="G281:G284" si="103">TRUNC($E281*F281,1)</f>
        <v>505282</v>
      </c>
      <c r="H281" s="62">
        <v>2</v>
      </c>
      <c r="I281" s="11">
        <f t="shared" ref="I281:I284" si="104">TRUNC($E281*H281,1)</f>
        <v>505282</v>
      </c>
      <c r="J281" s="62">
        <v>2</v>
      </c>
      <c r="K281" s="11">
        <f t="shared" ref="K281:K284" si="105">TRUNC($E281*J281,1)</f>
        <v>505282</v>
      </c>
    </row>
    <row r="282" spans="2:15" ht="12.95" customHeight="1" x14ac:dyDescent="0.3">
      <c r="B282" s="29" t="s">
        <v>41</v>
      </c>
      <c r="C282" s="14"/>
      <c r="D282" s="6" t="s">
        <v>18</v>
      </c>
      <c r="E282" s="65">
        <v>282536</v>
      </c>
      <c r="F282" s="62">
        <v>1</v>
      </c>
      <c r="G282" s="11">
        <f t="shared" si="103"/>
        <v>282536</v>
      </c>
      <c r="H282" s="62">
        <v>1</v>
      </c>
      <c r="I282" s="11">
        <f t="shared" si="104"/>
        <v>282536</v>
      </c>
      <c r="J282" s="62">
        <v>1</v>
      </c>
      <c r="K282" s="11">
        <f t="shared" si="105"/>
        <v>282536</v>
      </c>
    </row>
    <row r="283" spans="2:15" ht="12.95" customHeight="1" x14ac:dyDescent="0.3">
      <c r="B283" s="29" t="s">
        <v>5</v>
      </c>
      <c r="C283" s="14"/>
      <c r="D283" s="6" t="s">
        <v>18</v>
      </c>
      <c r="E283" s="65">
        <v>172068</v>
      </c>
      <c r="F283" s="62">
        <v>1</v>
      </c>
      <c r="G283" s="11">
        <f t="shared" si="103"/>
        <v>172068</v>
      </c>
      <c r="H283" s="62">
        <v>1</v>
      </c>
      <c r="I283" s="11">
        <f t="shared" si="104"/>
        <v>172068</v>
      </c>
      <c r="J283" s="62">
        <v>1</v>
      </c>
      <c r="K283" s="11">
        <f t="shared" si="105"/>
        <v>172068</v>
      </c>
    </row>
    <row r="284" spans="2:15" ht="12.95" customHeight="1" x14ac:dyDescent="0.3">
      <c r="B284" s="17" t="s">
        <v>44</v>
      </c>
      <c r="C284" s="17" t="s">
        <v>29</v>
      </c>
      <c r="D284" s="58" t="s">
        <v>25</v>
      </c>
      <c r="E284" s="65">
        <v>58925</v>
      </c>
      <c r="F284" s="62">
        <v>8</v>
      </c>
      <c r="G284" s="11">
        <f t="shared" si="103"/>
        <v>471400</v>
      </c>
      <c r="H284" s="62">
        <v>8</v>
      </c>
      <c r="I284" s="11">
        <f t="shared" si="104"/>
        <v>471400</v>
      </c>
      <c r="J284" s="62">
        <v>8</v>
      </c>
      <c r="K284" s="11">
        <f t="shared" si="105"/>
        <v>471400</v>
      </c>
    </row>
    <row r="285" spans="2:15" ht="12.95" customHeight="1" x14ac:dyDescent="0.3">
      <c r="B285" s="42" t="s">
        <v>20</v>
      </c>
      <c r="C285" s="52"/>
      <c r="D285" s="50"/>
      <c r="E285" s="46"/>
      <c r="F285" s="70"/>
      <c r="G285" s="47">
        <f>TRUNC(SUM(G281:G284))</f>
        <v>1431286</v>
      </c>
      <c r="H285" s="70"/>
      <c r="I285" s="47">
        <f>TRUNC(SUM(I281:I284))</f>
        <v>1431286</v>
      </c>
      <c r="J285" s="70"/>
      <c r="K285" s="47">
        <f>TRUNC(SUM(K281:K284))</f>
        <v>1431286</v>
      </c>
    </row>
    <row r="286" spans="2:15" ht="12.95" customHeight="1" x14ac:dyDescent="0.3">
      <c r="B286" s="21"/>
      <c r="C286" s="21"/>
      <c r="D286" s="58"/>
      <c r="E286" s="18"/>
      <c r="F286" s="55"/>
      <c r="G286" s="22"/>
      <c r="H286" s="55"/>
      <c r="I286" s="22"/>
      <c r="J286" s="55"/>
      <c r="K286" s="22"/>
    </row>
    <row r="287" spans="2:15" ht="12.95" customHeight="1" x14ac:dyDescent="0.3">
      <c r="B287" s="17" t="s">
        <v>44</v>
      </c>
      <c r="C287" s="17" t="s">
        <v>29</v>
      </c>
      <c r="D287" s="58" t="s">
        <v>25</v>
      </c>
      <c r="E287" s="65">
        <v>59751</v>
      </c>
      <c r="F287" s="67">
        <v>8</v>
      </c>
      <c r="G287" s="11">
        <f t="shared" ref="G287" si="106">TRUNC($E287*F287,1)</f>
        <v>478008</v>
      </c>
      <c r="H287" s="67">
        <v>8</v>
      </c>
      <c r="I287" s="11">
        <f t="shared" ref="I287" si="107">TRUNC($E287*H287,1)</f>
        <v>478008</v>
      </c>
      <c r="J287" s="67">
        <v>8</v>
      </c>
      <c r="K287" s="11">
        <f t="shared" ref="K287" si="108">TRUNC($E287*J287,1)</f>
        <v>478008</v>
      </c>
      <c r="N287" s="36"/>
      <c r="O287" s="36"/>
    </row>
    <row r="288" spans="2:15" ht="12.95" customHeight="1" x14ac:dyDescent="0.3">
      <c r="B288" s="48" t="s">
        <v>21</v>
      </c>
      <c r="C288" s="52"/>
      <c r="D288" s="53"/>
      <c r="E288" s="46"/>
      <c r="F288" s="49"/>
      <c r="G288" s="47">
        <f>TRUNC(SUM(G287:G287))</f>
        <v>478008</v>
      </c>
      <c r="H288" s="49"/>
      <c r="I288" s="47">
        <f>TRUNC(SUM(I287:I287))</f>
        <v>478008</v>
      </c>
      <c r="J288" s="49"/>
      <c r="K288" s="47">
        <f>TRUNC(SUM(K287:K287))</f>
        <v>478008</v>
      </c>
      <c r="N288" s="36"/>
      <c r="O288" s="36"/>
    </row>
    <row r="289" spans="2:15" ht="12.95" customHeight="1" x14ac:dyDescent="0.3">
      <c r="B289" s="21"/>
      <c r="C289" s="21"/>
      <c r="D289" s="58"/>
      <c r="E289" s="18"/>
      <c r="F289" s="18"/>
      <c r="G289" s="22"/>
      <c r="H289" s="18"/>
      <c r="I289" s="22"/>
      <c r="J289" s="18"/>
      <c r="K289" s="22"/>
    </row>
    <row r="290" spans="2:15" ht="12.95" customHeight="1" x14ac:dyDescent="0.3">
      <c r="B290" s="84" t="s">
        <v>23</v>
      </c>
      <c r="C290" s="21"/>
      <c r="D290" s="58"/>
      <c r="E290" s="85"/>
      <c r="F290" s="86"/>
      <c r="G290" s="87">
        <f>SUM(G279+G285+G288)</f>
        <v>2040202</v>
      </c>
      <c r="H290" s="86"/>
      <c r="I290" s="87">
        <f>SUM(I279+I285+I288)</f>
        <v>2040202</v>
      </c>
      <c r="J290" s="86"/>
      <c r="K290" s="87">
        <f>SUM(K279+K285+K288)</f>
        <v>2040202</v>
      </c>
    </row>
    <row r="291" spans="2:15" ht="12.95" customHeight="1" x14ac:dyDescent="0.3">
      <c r="B291" s="23" t="s">
        <v>136</v>
      </c>
      <c r="C291" s="24"/>
      <c r="D291" s="56"/>
      <c r="E291" s="25"/>
      <c r="F291" s="26"/>
      <c r="G291" s="27">
        <f>TRUNC((G290/G275))</f>
        <v>127512</v>
      </c>
      <c r="H291" s="26"/>
      <c r="I291" s="27">
        <f>TRUNC((I290/I275))</f>
        <v>136013</v>
      </c>
      <c r="J291" s="26"/>
      <c r="K291" s="27">
        <f>TRUNC((K290/K275))</f>
        <v>156938</v>
      </c>
      <c r="N291" s="16"/>
      <c r="O291" s="16"/>
    </row>
    <row r="292" spans="2:15" ht="12.95" customHeight="1" x14ac:dyDescent="0.3">
      <c r="B292" s="107" t="s">
        <v>11</v>
      </c>
      <c r="C292" s="110" t="s">
        <v>15</v>
      </c>
      <c r="D292" s="113" t="s">
        <v>16</v>
      </c>
      <c r="E292" s="116" t="s">
        <v>12</v>
      </c>
      <c r="F292" s="99" t="s">
        <v>131</v>
      </c>
      <c r="G292" s="100"/>
      <c r="H292" s="100"/>
      <c r="I292" s="100"/>
      <c r="N292" s="16"/>
      <c r="O292" s="16"/>
    </row>
    <row r="293" spans="2:15" ht="12.95" customHeight="1" x14ac:dyDescent="0.3">
      <c r="B293" s="108"/>
      <c r="C293" s="111"/>
      <c r="D293" s="114"/>
      <c r="E293" s="117"/>
      <c r="F293" s="99" t="s">
        <v>42</v>
      </c>
      <c r="G293" s="100"/>
      <c r="H293" s="99" t="s">
        <v>43</v>
      </c>
      <c r="I293" s="100"/>
      <c r="N293" s="16"/>
      <c r="O293" s="16"/>
    </row>
    <row r="294" spans="2:15" ht="12.95" customHeight="1" x14ac:dyDescent="0.3">
      <c r="B294" s="108"/>
      <c r="C294" s="111"/>
      <c r="D294" s="114"/>
      <c r="E294" s="117"/>
      <c r="F294" s="82" t="s">
        <v>137</v>
      </c>
      <c r="G294" s="95">
        <v>12</v>
      </c>
      <c r="H294" s="82" t="s">
        <v>137</v>
      </c>
      <c r="I294" s="95">
        <v>11</v>
      </c>
      <c r="N294" s="16"/>
      <c r="O294" s="16"/>
    </row>
    <row r="295" spans="2:15" ht="12.95" customHeight="1" x14ac:dyDescent="0.3">
      <c r="B295" s="109"/>
      <c r="C295" s="112"/>
      <c r="D295" s="115"/>
      <c r="E295" s="118"/>
      <c r="F295" s="63" t="s">
        <v>49</v>
      </c>
      <c r="G295" s="64" t="s">
        <v>50</v>
      </c>
      <c r="H295" s="63" t="s">
        <v>49</v>
      </c>
      <c r="I295" s="64" t="s">
        <v>50</v>
      </c>
      <c r="N295" s="16"/>
      <c r="O295" s="16"/>
    </row>
    <row r="296" spans="2:15" ht="12.95" customHeight="1" x14ac:dyDescent="0.3">
      <c r="B296" s="17" t="s">
        <v>28</v>
      </c>
      <c r="C296" s="17" t="s">
        <v>29</v>
      </c>
      <c r="D296" s="58" t="s">
        <v>25</v>
      </c>
      <c r="E296" s="65">
        <v>12764</v>
      </c>
      <c r="F296" s="62">
        <v>8</v>
      </c>
      <c r="G296" s="11">
        <f t="shared" ref="G296" si="109">TRUNC($E296*F296,1)</f>
        <v>102112</v>
      </c>
      <c r="H296" s="62">
        <v>8</v>
      </c>
      <c r="I296" s="11">
        <f t="shared" ref="I296" si="110">TRUNC($E296*H296,1)</f>
        <v>102112</v>
      </c>
      <c r="N296" s="16"/>
      <c r="O296" s="16"/>
    </row>
    <row r="297" spans="2:15" ht="12.95" customHeight="1" x14ac:dyDescent="0.3">
      <c r="B297" s="17" t="s">
        <v>17</v>
      </c>
      <c r="C297" s="10" t="s">
        <v>22</v>
      </c>
      <c r="D297" s="58" t="s">
        <v>26</v>
      </c>
      <c r="E297" s="19"/>
      <c r="F297" s="62">
        <v>1</v>
      </c>
      <c r="G297" s="20">
        <f>TRUNC(SUM(G300:G302)*0.03,1)</f>
        <v>28796.5</v>
      </c>
      <c r="H297" s="62">
        <v>1</v>
      </c>
      <c r="I297" s="20">
        <f>TRUNC(SUM(I300:I302)*0.03,1)</f>
        <v>28796.5</v>
      </c>
      <c r="N297" s="16"/>
      <c r="O297" s="16"/>
    </row>
    <row r="298" spans="2:15" ht="12.95" customHeight="1" x14ac:dyDescent="0.3">
      <c r="B298" s="48" t="s">
        <v>19</v>
      </c>
      <c r="C298" s="52"/>
      <c r="D298" s="50"/>
      <c r="E298" s="49"/>
      <c r="F298" s="49"/>
      <c r="G298" s="47">
        <f>TRUNC(SUM(G296:G297))</f>
        <v>130908</v>
      </c>
      <c r="H298" s="49"/>
      <c r="I298" s="47">
        <f>TRUNC(SUM(I296:I297))</f>
        <v>130908</v>
      </c>
      <c r="N298" s="16"/>
      <c r="O298" s="16"/>
    </row>
    <row r="299" spans="2:15" ht="12.95" customHeight="1" x14ac:dyDescent="0.3">
      <c r="B299" s="21"/>
      <c r="C299" s="21"/>
      <c r="D299" s="58"/>
      <c r="E299" s="18"/>
      <c r="F299" s="18"/>
      <c r="G299" s="22"/>
      <c r="H299" s="18"/>
      <c r="I299" s="22"/>
      <c r="N299" s="16"/>
      <c r="O299" s="16"/>
    </row>
    <row r="300" spans="2:15" ht="12.95" customHeight="1" x14ac:dyDescent="0.3">
      <c r="B300" s="29" t="s">
        <v>7</v>
      </c>
      <c r="C300" s="14"/>
      <c r="D300" s="6" t="s">
        <v>18</v>
      </c>
      <c r="E300" s="65">
        <v>252641</v>
      </c>
      <c r="F300" s="62">
        <v>2</v>
      </c>
      <c r="G300" s="11">
        <f t="shared" ref="G300:G303" si="111">TRUNC($E300*F300,1)</f>
        <v>505282</v>
      </c>
      <c r="H300" s="62">
        <v>2</v>
      </c>
      <c r="I300" s="11">
        <f t="shared" ref="I300:I303" si="112">TRUNC($E300*H300,1)</f>
        <v>505282</v>
      </c>
      <c r="N300" s="16"/>
      <c r="O300" s="16"/>
    </row>
    <row r="301" spans="2:15" ht="12.95" customHeight="1" x14ac:dyDescent="0.3">
      <c r="B301" s="29" t="s">
        <v>41</v>
      </c>
      <c r="C301" s="14"/>
      <c r="D301" s="6" t="s">
        <v>18</v>
      </c>
      <c r="E301" s="65">
        <v>282536</v>
      </c>
      <c r="F301" s="62">
        <v>1</v>
      </c>
      <c r="G301" s="11">
        <f t="shared" si="111"/>
        <v>282536</v>
      </c>
      <c r="H301" s="62">
        <v>1</v>
      </c>
      <c r="I301" s="11">
        <f t="shared" si="112"/>
        <v>282536</v>
      </c>
      <c r="N301" s="16"/>
      <c r="O301" s="16"/>
    </row>
    <row r="302" spans="2:15" ht="12.95" customHeight="1" x14ac:dyDescent="0.3">
      <c r="B302" s="29" t="s">
        <v>5</v>
      </c>
      <c r="C302" s="14"/>
      <c r="D302" s="6" t="s">
        <v>18</v>
      </c>
      <c r="E302" s="65">
        <v>172068</v>
      </c>
      <c r="F302" s="62">
        <v>1</v>
      </c>
      <c r="G302" s="11">
        <f t="shared" si="111"/>
        <v>172068</v>
      </c>
      <c r="H302" s="62">
        <v>1</v>
      </c>
      <c r="I302" s="11">
        <f t="shared" si="112"/>
        <v>172068</v>
      </c>
      <c r="N302" s="16"/>
      <c r="O302" s="16"/>
    </row>
    <row r="303" spans="2:15" ht="12.95" customHeight="1" x14ac:dyDescent="0.3">
      <c r="B303" s="17" t="s">
        <v>44</v>
      </c>
      <c r="C303" s="17" t="s">
        <v>29</v>
      </c>
      <c r="D303" s="58" t="s">
        <v>25</v>
      </c>
      <c r="E303" s="65">
        <v>58925</v>
      </c>
      <c r="F303" s="62">
        <v>8</v>
      </c>
      <c r="G303" s="11">
        <f t="shared" si="111"/>
        <v>471400</v>
      </c>
      <c r="H303" s="62">
        <v>8</v>
      </c>
      <c r="I303" s="11">
        <f t="shared" si="112"/>
        <v>471400</v>
      </c>
      <c r="N303" s="16"/>
      <c r="O303" s="16"/>
    </row>
    <row r="304" spans="2:15" ht="12.95" customHeight="1" x14ac:dyDescent="0.3">
      <c r="B304" s="42" t="s">
        <v>20</v>
      </c>
      <c r="C304" s="52"/>
      <c r="D304" s="50"/>
      <c r="E304" s="46"/>
      <c r="F304" s="70"/>
      <c r="G304" s="47">
        <f>TRUNC(SUM(G300:G303))</f>
        <v>1431286</v>
      </c>
      <c r="H304" s="70"/>
      <c r="I304" s="47">
        <f>TRUNC(SUM(I300:I303))</f>
        <v>1431286</v>
      </c>
      <c r="N304" s="16"/>
      <c r="O304" s="16"/>
    </row>
    <row r="305" spans="2:13" ht="12.95" customHeight="1" x14ac:dyDescent="0.3">
      <c r="B305" s="21"/>
      <c r="C305" s="21"/>
      <c r="D305" s="58"/>
      <c r="E305" s="18"/>
      <c r="F305" s="55"/>
      <c r="G305" s="22"/>
      <c r="H305" s="55"/>
      <c r="I305" s="22"/>
    </row>
    <row r="306" spans="2:13" ht="12.95" customHeight="1" x14ac:dyDescent="0.3">
      <c r="B306" s="17" t="s">
        <v>44</v>
      </c>
      <c r="C306" s="17" t="s">
        <v>29</v>
      </c>
      <c r="D306" s="58" t="s">
        <v>25</v>
      </c>
      <c r="E306" s="65">
        <v>59751</v>
      </c>
      <c r="F306" s="67">
        <v>8</v>
      </c>
      <c r="G306" s="11">
        <f t="shared" ref="G306" si="113">TRUNC($E306*F306,1)</f>
        <v>478008</v>
      </c>
      <c r="H306" s="67">
        <v>8</v>
      </c>
      <c r="I306" s="11">
        <f t="shared" ref="I306" si="114">TRUNC($E306*H306,1)</f>
        <v>478008</v>
      </c>
    </row>
    <row r="307" spans="2:13" ht="12.95" customHeight="1" x14ac:dyDescent="0.3">
      <c r="B307" s="48" t="s">
        <v>21</v>
      </c>
      <c r="C307" s="52"/>
      <c r="D307" s="53"/>
      <c r="E307" s="46"/>
      <c r="F307" s="49"/>
      <c r="G307" s="47">
        <f>TRUNC(SUM(G306:G306))</f>
        <v>478008</v>
      </c>
      <c r="H307" s="49"/>
      <c r="I307" s="47">
        <f>TRUNC(SUM(I306:I306))</f>
        <v>478008</v>
      </c>
    </row>
    <row r="308" spans="2:13" ht="12.95" customHeight="1" x14ac:dyDescent="0.3">
      <c r="B308" s="21"/>
      <c r="C308" s="21"/>
      <c r="D308" s="58"/>
      <c r="E308" s="18"/>
      <c r="F308" s="18"/>
      <c r="G308" s="22"/>
      <c r="H308" s="18"/>
      <c r="I308" s="22"/>
    </row>
    <row r="309" spans="2:13" ht="12.95" customHeight="1" x14ac:dyDescent="0.3">
      <c r="B309" s="84" t="s">
        <v>23</v>
      </c>
      <c r="C309" s="21"/>
      <c r="D309" s="58"/>
      <c r="E309" s="85"/>
      <c r="F309" s="86"/>
      <c r="G309" s="87">
        <f>SUM(G298+G304+G307)</f>
        <v>2040202</v>
      </c>
      <c r="H309" s="86"/>
      <c r="I309" s="87">
        <f>SUM(I298+I304+I307)</f>
        <v>2040202</v>
      </c>
    </row>
    <row r="310" spans="2:13" ht="12.95" customHeight="1" x14ac:dyDescent="0.3">
      <c r="B310" s="23" t="s">
        <v>136</v>
      </c>
      <c r="C310" s="24"/>
      <c r="D310" s="56"/>
      <c r="E310" s="25"/>
      <c r="F310" s="26"/>
      <c r="G310" s="27">
        <f>TRUNC((G309/G294))</f>
        <v>170016</v>
      </c>
      <c r="H310" s="26"/>
      <c r="I310" s="27">
        <f>TRUNC((I309/I294))</f>
        <v>185472</v>
      </c>
    </row>
    <row r="311" spans="2:13" ht="12.95" customHeight="1" x14ac:dyDescent="0.3">
      <c r="B311" s="107" t="s">
        <v>11</v>
      </c>
      <c r="C311" s="110" t="s">
        <v>15</v>
      </c>
      <c r="D311" s="113" t="s">
        <v>16</v>
      </c>
      <c r="E311" s="116" t="s">
        <v>12</v>
      </c>
      <c r="F311" s="99" t="s">
        <v>134</v>
      </c>
      <c r="G311" s="100"/>
      <c r="H311" s="100"/>
      <c r="I311" s="100"/>
      <c r="J311" s="100"/>
      <c r="K311" s="100"/>
    </row>
    <row r="312" spans="2:13" ht="12.95" customHeight="1" x14ac:dyDescent="0.3">
      <c r="B312" s="108"/>
      <c r="C312" s="111"/>
      <c r="D312" s="114"/>
      <c r="E312" s="117"/>
      <c r="F312" s="99" t="s">
        <v>39</v>
      </c>
      <c r="G312" s="100"/>
      <c r="H312" s="99" t="s">
        <v>132</v>
      </c>
      <c r="I312" s="100"/>
      <c r="J312" s="99" t="s">
        <v>40</v>
      </c>
      <c r="K312" s="100"/>
    </row>
    <row r="313" spans="2:13" ht="12.95" customHeight="1" x14ac:dyDescent="0.3">
      <c r="B313" s="108"/>
      <c r="C313" s="111"/>
      <c r="D313" s="114"/>
      <c r="E313" s="117"/>
      <c r="F313" s="82" t="s">
        <v>137</v>
      </c>
      <c r="G313" s="95">
        <v>12</v>
      </c>
      <c r="H313" s="82" t="s">
        <v>137</v>
      </c>
      <c r="I313" s="95">
        <v>11</v>
      </c>
      <c r="J313" s="82" t="s">
        <v>137</v>
      </c>
      <c r="K313" s="95">
        <v>10</v>
      </c>
    </row>
    <row r="314" spans="2:13" ht="12.95" customHeight="1" x14ac:dyDescent="0.3">
      <c r="B314" s="109"/>
      <c r="C314" s="112"/>
      <c r="D314" s="115"/>
      <c r="E314" s="118"/>
      <c r="F314" s="63" t="s">
        <v>49</v>
      </c>
      <c r="G314" s="64" t="s">
        <v>50</v>
      </c>
      <c r="H314" s="63" t="s">
        <v>49</v>
      </c>
      <c r="I314" s="64" t="s">
        <v>50</v>
      </c>
      <c r="J314" s="63" t="s">
        <v>49</v>
      </c>
      <c r="K314" s="64" t="s">
        <v>50</v>
      </c>
    </row>
    <row r="315" spans="2:13" ht="12.95" customHeight="1" x14ac:dyDescent="0.3">
      <c r="B315" s="17" t="s">
        <v>28</v>
      </c>
      <c r="C315" s="17" t="s">
        <v>29</v>
      </c>
      <c r="D315" s="58" t="s">
        <v>25</v>
      </c>
      <c r="E315" s="65">
        <v>12764</v>
      </c>
      <c r="F315" s="62">
        <v>8</v>
      </c>
      <c r="G315" s="11">
        <f t="shared" ref="G315" si="115">TRUNC($E315*F315,1)</f>
        <v>102112</v>
      </c>
      <c r="H315" s="62">
        <v>8</v>
      </c>
      <c r="I315" s="11">
        <f t="shared" ref="I315" si="116">TRUNC($E315*H315,1)</f>
        <v>102112</v>
      </c>
      <c r="J315" s="62">
        <v>8</v>
      </c>
      <c r="K315" s="11">
        <f t="shared" ref="K315" si="117">TRUNC($E315*J315,1)</f>
        <v>102112</v>
      </c>
    </row>
    <row r="316" spans="2:13" ht="12.95" customHeight="1" x14ac:dyDescent="0.3">
      <c r="B316" s="17" t="s">
        <v>17</v>
      </c>
      <c r="C316" s="10" t="s">
        <v>22</v>
      </c>
      <c r="D316" s="58" t="s">
        <v>26</v>
      </c>
      <c r="E316" s="19"/>
      <c r="F316" s="62">
        <v>1</v>
      </c>
      <c r="G316" s="20">
        <f>TRUNC(SUM(G319:G321)*0.03,1)</f>
        <v>28796.5</v>
      </c>
      <c r="H316" s="62">
        <v>1</v>
      </c>
      <c r="I316" s="20">
        <f>TRUNC(SUM(I319:I321)*0.03,1)</f>
        <v>28796.5</v>
      </c>
      <c r="J316" s="62">
        <v>1</v>
      </c>
      <c r="K316" s="20">
        <f>TRUNC(SUM(K319:K321)*0.03,1)</f>
        <v>28796.5</v>
      </c>
      <c r="L316" s="59"/>
      <c r="M316" s="59"/>
    </row>
    <row r="317" spans="2:13" ht="12.95" customHeight="1" x14ac:dyDescent="0.3">
      <c r="B317" s="48" t="s">
        <v>19</v>
      </c>
      <c r="C317" s="52"/>
      <c r="D317" s="50"/>
      <c r="E317" s="49"/>
      <c r="F317" s="49"/>
      <c r="G317" s="47">
        <f>TRUNC(SUM(G315:G316))</f>
        <v>130908</v>
      </c>
      <c r="H317" s="49"/>
      <c r="I317" s="47">
        <f>TRUNC(SUM(I315:I316))</f>
        <v>130908</v>
      </c>
      <c r="J317" s="49"/>
      <c r="K317" s="47">
        <f>TRUNC(SUM(K315:K316))</f>
        <v>130908</v>
      </c>
    </row>
    <row r="318" spans="2:13" ht="12.95" customHeight="1" x14ac:dyDescent="0.3">
      <c r="B318" s="21"/>
      <c r="C318" s="21"/>
      <c r="D318" s="58"/>
      <c r="E318" s="18"/>
      <c r="F318" s="18"/>
      <c r="G318" s="22"/>
      <c r="H318" s="18"/>
      <c r="I318" s="22"/>
      <c r="J318" s="18"/>
      <c r="K318" s="22"/>
    </row>
    <row r="319" spans="2:13" ht="12.95" customHeight="1" x14ac:dyDescent="0.3">
      <c r="B319" s="29" t="s">
        <v>7</v>
      </c>
      <c r="C319" s="14"/>
      <c r="D319" s="6" t="s">
        <v>18</v>
      </c>
      <c r="E319" s="65">
        <v>252641</v>
      </c>
      <c r="F319" s="62">
        <v>2</v>
      </c>
      <c r="G319" s="11">
        <f t="shared" ref="G319:G322" si="118">TRUNC($E319*F319,1)</f>
        <v>505282</v>
      </c>
      <c r="H319" s="62">
        <v>2</v>
      </c>
      <c r="I319" s="11">
        <f t="shared" ref="I319:I322" si="119">TRUNC($E319*H319,1)</f>
        <v>505282</v>
      </c>
      <c r="J319" s="62">
        <v>2</v>
      </c>
      <c r="K319" s="11">
        <f t="shared" ref="K319:K322" si="120">TRUNC($E319*J319,1)</f>
        <v>505282</v>
      </c>
    </row>
    <row r="320" spans="2:13" ht="12.95" customHeight="1" x14ac:dyDescent="0.3">
      <c r="B320" s="29" t="s">
        <v>41</v>
      </c>
      <c r="C320" s="14"/>
      <c r="D320" s="6" t="s">
        <v>18</v>
      </c>
      <c r="E320" s="65">
        <v>282536</v>
      </c>
      <c r="F320" s="62">
        <v>1</v>
      </c>
      <c r="G320" s="11">
        <f t="shared" si="118"/>
        <v>282536</v>
      </c>
      <c r="H320" s="62">
        <v>1</v>
      </c>
      <c r="I320" s="11">
        <f t="shared" si="119"/>
        <v>282536</v>
      </c>
      <c r="J320" s="62">
        <v>1</v>
      </c>
      <c r="K320" s="11">
        <f t="shared" si="120"/>
        <v>282536</v>
      </c>
    </row>
    <row r="321" spans="2:14" ht="12.95" customHeight="1" x14ac:dyDescent="0.3">
      <c r="B321" s="29" t="s">
        <v>5</v>
      </c>
      <c r="C321" s="14"/>
      <c r="D321" s="6" t="s">
        <v>18</v>
      </c>
      <c r="E321" s="65">
        <v>172068</v>
      </c>
      <c r="F321" s="62">
        <v>1</v>
      </c>
      <c r="G321" s="11">
        <f t="shared" si="118"/>
        <v>172068</v>
      </c>
      <c r="H321" s="62">
        <v>1</v>
      </c>
      <c r="I321" s="11">
        <f t="shared" si="119"/>
        <v>172068</v>
      </c>
      <c r="J321" s="62">
        <v>1</v>
      </c>
      <c r="K321" s="11">
        <f t="shared" si="120"/>
        <v>172068</v>
      </c>
    </row>
    <row r="322" spans="2:14" ht="12.95" customHeight="1" x14ac:dyDescent="0.3">
      <c r="B322" s="17" t="s">
        <v>44</v>
      </c>
      <c r="C322" s="17" t="s">
        <v>29</v>
      </c>
      <c r="D322" s="58" t="s">
        <v>25</v>
      </c>
      <c r="E322" s="65">
        <v>58925</v>
      </c>
      <c r="F322" s="62">
        <v>8</v>
      </c>
      <c r="G322" s="11">
        <f t="shared" si="118"/>
        <v>471400</v>
      </c>
      <c r="H322" s="62">
        <v>8</v>
      </c>
      <c r="I322" s="11">
        <f t="shared" si="119"/>
        <v>471400</v>
      </c>
      <c r="J322" s="62">
        <v>8</v>
      </c>
      <c r="K322" s="11">
        <f t="shared" si="120"/>
        <v>471400</v>
      </c>
    </row>
    <row r="323" spans="2:14" ht="12.95" customHeight="1" x14ac:dyDescent="0.3">
      <c r="B323" s="42" t="s">
        <v>20</v>
      </c>
      <c r="C323" s="52"/>
      <c r="D323" s="50"/>
      <c r="E323" s="46"/>
      <c r="F323" s="70"/>
      <c r="G323" s="47">
        <f>TRUNC(SUM(G319:G322))</f>
        <v>1431286</v>
      </c>
      <c r="H323" s="70"/>
      <c r="I323" s="47">
        <f>TRUNC(SUM(I319:I322))</f>
        <v>1431286</v>
      </c>
      <c r="J323" s="70"/>
      <c r="K323" s="47">
        <f>TRUNC(SUM(K319:K322))</f>
        <v>1431286</v>
      </c>
      <c r="N323" s="36"/>
    </row>
    <row r="324" spans="2:14" ht="12.95" customHeight="1" x14ac:dyDescent="0.3">
      <c r="B324" s="21"/>
      <c r="C324" s="21"/>
      <c r="D324" s="58"/>
      <c r="E324" s="18"/>
      <c r="F324" s="55"/>
      <c r="G324" s="22"/>
      <c r="H324" s="55"/>
      <c r="I324" s="22"/>
      <c r="J324" s="55"/>
      <c r="K324" s="22"/>
    </row>
    <row r="325" spans="2:14" ht="12.95" customHeight="1" x14ac:dyDescent="0.3">
      <c r="B325" s="17" t="s">
        <v>44</v>
      </c>
      <c r="C325" s="17" t="s">
        <v>29</v>
      </c>
      <c r="D325" s="58" t="s">
        <v>25</v>
      </c>
      <c r="E325" s="65">
        <v>59751</v>
      </c>
      <c r="F325" s="67">
        <v>8</v>
      </c>
      <c r="G325" s="11">
        <f t="shared" ref="G325" si="121">TRUNC($E325*F325,1)</f>
        <v>478008</v>
      </c>
      <c r="H325" s="67">
        <v>8</v>
      </c>
      <c r="I325" s="11">
        <f t="shared" ref="I325" si="122">TRUNC($E325*H325,1)</f>
        <v>478008</v>
      </c>
      <c r="J325" s="67">
        <v>8</v>
      </c>
      <c r="K325" s="11">
        <f t="shared" ref="K325" si="123">TRUNC($E325*J325,1)</f>
        <v>478008</v>
      </c>
    </row>
    <row r="326" spans="2:14" ht="12.95" customHeight="1" x14ac:dyDescent="0.3">
      <c r="B326" s="48" t="s">
        <v>21</v>
      </c>
      <c r="C326" s="52"/>
      <c r="D326" s="53"/>
      <c r="E326" s="46"/>
      <c r="F326" s="49"/>
      <c r="G326" s="47">
        <f>TRUNC(SUM(G325:G325))</f>
        <v>478008</v>
      </c>
      <c r="H326" s="49"/>
      <c r="I326" s="47">
        <f>TRUNC(SUM(I325:I325))</f>
        <v>478008</v>
      </c>
      <c r="J326" s="49"/>
      <c r="K326" s="47">
        <f>TRUNC(SUM(K325:K325))</f>
        <v>478008</v>
      </c>
    </row>
    <row r="327" spans="2:14" ht="12.95" customHeight="1" x14ac:dyDescent="0.3">
      <c r="B327" s="21"/>
      <c r="C327" s="21"/>
      <c r="D327" s="58"/>
      <c r="E327" s="18"/>
      <c r="F327" s="18"/>
      <c r="G327" s="22"/>
      <c r="H327" s="18"/>
      <c r="I327" s="22"/>
      <c r="J327" s="18"/>
      <c r="K327" s="22"/>
    </row>
    <row r="328" spans="2:14" ht="12.95" customHeight="1" x14ac:dyDescent="0.3">
      <c r="B328" s="84" t="s">
        <v>23</v>
      </c>
      <c r="C328" s="21"/>
      <c r="D328" s="58"/>
      <c r="E328" s="85"/>
      <c r="F328" s="86"/>
      <c r="G328" s="87">
        <f>SUM(G317+G323+G326)</f>
        <v>2040202</v>
      </c>
      <c r="H328" s="86"/>
      <c r="I328" s="87">
        <f>SUM(I317+I323+I326)</f>
        <v>2040202</v>
      </c>
      <c r="J328" s="86"/>
      <c r="K328" s="87">
        <f>SUM(K317+K323+K326)</f>
        <v>2040202</v>
      </c>
    </row>
    <row r="329" spans="2:14" ht="12.95" customHeight="1" x14ac:dyDescent="0.3">
      <c r="B329" s="23" t="s">
        <v>136</v>
      </c>
      <c r="C329" s="24"/>
      <c r="D329" s="56"/>
      <c r="E329" s="25"/>
      <c r="F329" s="26"/>
      <c r="G329" s="27">
        <f>TRUNC((G328/G313))</f>
        <v>170016</v>
      </c>
      <c r="H329" s="26"/>
      <c r="I329" s="27">
        <f>TRUNC((I328/I313))</f>
        <v>185472</v>
      </c>
      <c r="J329" s="26"/>
      <c r="K329" s="27">
        <f>TRUNC((K328/K313))</f>
        <v>204020</v>
      </c>
    </row>
    <row r="330" spans="2:14" ht="12.95" customHeight="1" x14ac:dyDescent="0.3">
      <c r="B330" s="107" t="s">
        <v>11</v>
      </c>
      <c r="C330" s="110" t="s">
        <v>15</v>
      </c>
      <c r="D330" s="113" t="s">
        <v>16</v>
      </c>
      <c r="E330" s="116" t="s">
        <v>12</v>
      </c>
      <c r="F330" s="99" t="s">
        <v>134</v>
      </c>
      <c r="G330" s="100"/>
      <c r="H330" s="100"/>
      <c r="I330" s="100"/>
    </row>
    <row r="331" spans="2:14" ht="12.95" customHeight="1" x14ac:dyDescent="0.3">
      <c r="B331" s="108"/>
      <c r="C331" s="111"/>
      <c r="D331" s="114"/>
      <c r="E331" s="117"/>
      <c r="F331" s="99" t="s">
        <v>42</v>
      </c>
      <c r="G331" s="100"/>
      <c r="H331" s="99" t="s">
        <v>43</v>
      </c>
      <c r="I331" s="100"/>
    </row>
    <row r="332" spans="2:14" ht="12.95" customHeight="1" x14ac:dyDescent="0.3">
      <c r="B332" s="108"/>
      <c r="C332" s="111"/>
      <c r="D332" s="114"/>
      <c r="E332" s="117"/>
      <c r="F332" s="82" t="s">
        <v>137</v>
      </c>
      <c r="G332" s="95">
        <v>9</v>
      </c>
      <c r="H332" s="82" t="s">
        <v>137</v>
      </c>
      <c r="I332" s="95">
        <v>8</v>
      </c>
    </row>
    <row r="333" spans="2:14" ht="12.95" customHeight="1" x14ac:dyDescent="0.3">
      <c r="B333" s="109"/>
      <c r="C333" s="112"/>
      <c r="D333" s="115"/>
      <c r="E333" s="118"/>
      <c r="F333" s="63" t="s">
        <v>49</v>
      </c>
      <c r="G333" s="64" t="s">
        <v>50</v>
      </c>
      <c r="H333" s="63" t="s">
        <v>49</v>
      </c>
      <c r="I333" s="64" t="s">
        <v>50</v>
      </c>
    </row>
    <row r="334" spans="2:14" ht="12.95" customHeight="1" x14ac:dyDescent="0.3">
      <c r="B334" s="17" t="s">
        <v>28</v>
      </c>
      <c r="C334" s="17" t="s">
        <v>29</v>
      </c>
      <c r="D334" s="58" t="s">
        <v>25</v>
      </c>
      <c r="E334" s="65">
        <v>12764</v>
      </c>
      <c r="F334" s="62">
        <v>8</v>
      </c>
      <c r="G334" s="11">
        <f t="shared" ref="G334" si="124">TRUNC($E334*F334,1)</f>
        <v>102112</v>
      </c>
      <c r="H334" s="62">
        <v>8</v>
      </c>
      <c r="I334" s="11">
        <f t="shared" ref="I334" si="125">TRUNC($E334*H334,1)</f>
        <v>102112</v>
      </c>
    </row>
    <row r="335" spans="2:14" ht="12.95" customHeight="1" x14ac:dyDescent="0.3">
      <c r="B335" s="17" t="s">
        <v>17</v>
      </c>
      <c r="C335" s="10" t="s">
        <v>22</v>
      </c>
      <c r="D335" s="58" t="s">
        <v>26</v>
      </c>
      <c r="E335" s="19"/>
      <c r="F335" s="62">
        <v>1</v>
      </c>
      <c r="G335" s="20">
        <f>TRUNC(SUM(G338:G340)*0.03,1)</f>
        <v>28796.5</v>
      </c>
      <c r="H335" s="62">
        <v>1</v>
      </c>
      <c r="I335" s="20">
        <f>TRUNC(SUM(I338:I340)*0.03,1)</f>
        <v>28796.5</v>
      </c>
    </row>
    <row r="336" spans="2:14" ht="12.95" customHeight="1" x14ac:dyDescent="0.3">
      <c r="B336" s="48" t="s">
        <v>19</v>
      </c>
      <c r="C336" s="52"/>
      <c r="D336" s="50"/>
      <c r="E336" s="49"/>
      <c r="F336" s="49"/>
      <c r="G336" s="47">
        <f>TRUNC(SUM(G334:G335))</f>
        <v>130908</v>
      </c>
      <c r="H336" s="49"/>
      <c r="I336" s="47">
        <f>TRUNC(SUM(I334:I335))</f>
        <v>130908</v>
      </c>
    </row>
    <row r="337" spans="2:15" ht="12.95" customHeight="1" x14ac:dyDescent="0.3">
      <c r="B337" s="21"/>
      <c r="C337" s="21"/>
      <c r="D337" s="58"/>
      <c r="E337" s="18"/>
      <c r="F337" s="18"/>
      <c r="G337" s="22"/>
      <c r="H337" s="18"/>
      <c r="I337" s="22"/>
    </row>
    <row r="338" spans="2:15" ht="12.95" customHeight="1" x14ac:dyDescent="0.3">
      <c r="B338" s="29" t="s">
        <v>7</v>
      </c>
      <c r="C338" s="14"/>
      <c r="D338" s="6" t="s">
        <v>18</v>
      </c>
      <c r="E338" s="65">
        <v>252641</v>
      </c>
      <c r="F338" s="62">
        <v>2</v>
      </c>
      <c r="G338" s="11">
        <f t="shared" ref="G338:G341" si="126">TRUNC($E338*F338,1)</f>
        <v>505282</v>
      </c>
      <c r="H338" s="62">
        <v>2</v>
      </c>
      <c r="I338" s="11">
        <f t="shared" ref="I338:I341" si="127">TRUNC($E338*H338,1)</f>
        <v>505282</v>
      </c>
    </row>
    <row r="339" spans="2:15" ht="12.95" customHeight="1" x14ac:dyDescent="0.3">
      <c r="B339" s="29" t="s">
        <v>41</v>
      </c>
      <c r="C339" s="14"/>
      <c r="D339" s="6" t="s">
        <v>18</v>
      </c>
      <c r="E339" s="65">
        <v>282536</v>
      </c>
      <c r="F339" s="62">
        <v>1</v>
      </c>
      <c r="G339" s="11">
        <f t="shared" si="126"/>
        <v>282536</v>
      </c>
      <c r="H339" s="62">
        <v>1</v>
      </c>
      <c r="I339" s="11">
        <f t="shared" si="127"/>
        <v>282536</v>
      </c>
    </row>
    <row r="340" spans="2:15" ht="12.95" customHeight="1" x14ac:dyDescent="0.3">
      <c r="B340" s="29" t="s">
        <v>5</v>
      </c>
      <c r="C340" s="14"/>
      <c r="D340" s="6" t="s">
        <v>18</v>
      </c>
      <c r="E340" s="65">
        <v>172068</v>
      </c>
      <c r="F340" s="62">
        <v>1</v>
      </c>
      <c r="G340" s="11">
        <f t="shared" si="126"/>
        <v>172068</v>
      </c>
      <c r="H340" s="62">
        <v>1</v>
      </c>
      <c r="I340" s="11">
        <f t="shared" si="127"/>
        <v>172068</v>
      </c>
    </row>
    <row r="341" spans="2:15" ht="12.95" customHeight="1" x14ac:dyDescent="0.3">
      <c r="B341" s="17" t="s">
        <v>44</v>
      </c>
      <c r="C341" s="17" t="s">
        <v>29</v>
      </c>
      <c r="D341" s="58" t="s">
        <v>25</v>
      </c>
      <c r="E341" s="65">
        <v>58925</v>
      </c>
      <c r="F341" s="62">
        <v>8</v>
      </c>
      <c r="G341" s="11">
        <f t="shared" si="126"/>
        <v>471400</v>
      </c>
      <c r="H341" s="62">
        <v>8</v>
      </c>
      <c r="I341" s="11">
        <f t="shared" si="127"/>
        <v>471400</v>
      </c>
    </row>
    <row r="342" spans="2:15" ht="12.95" customHeight="1" x14ac:dyDescent="0.3">
      <c r="B342" s="42" t="s">
        <v>20</v>
      </c>
      <c r="C342" s="52"/>
      <c r="D342" s="50"/>
      <c r="E342" s="46"/>
      <c r="F342" s="70"/>
      <c r="G342" s="47">
        <f>TRUNC(SUM(G338:G341))</f>
        <v>1431286</v>
      </c>
      <c r="H342" s="70"/>
      <c r="I342" s="47">
        <f>TRUNC(SUM(I338:I341))</f>
        <v>1431286</v>
      </c>
    </row>
    <row r="343" spans="2:15" ht="12.95" customHeight="1" x14ac:dyDescent="0.3">
      <c r="B343" s="21"/>
      <c r="C343" s="21"/>
      <c r="D343" s="58"/>
      <c r="E343" s="18"/>
      <c r="F343" s="55"/>
      <c r="G343" s="22"/>
      <c r="H343" s="55"/>
      <c r="I343" s="22"/>
      <c r="N343" s="16"/>
    </row>
    <row r="344" spans="2:15" ht="12.95" customHeight="1" x14ac:dyDescent="0.3">
      <c r="B344" s="17" t="s">
        <v>44</v>
      </c>
      <c r="C344" s="17" t="s">
        <v>29</v>
      </c>
      <c r="D344" s="58" t="s">
        <v>25</v>
      </c>
      <c r="E344" s="65">
        <v>59751</v>
      </c>
      <c r="F344" s="67">
        <v>8</v>
      </c>
      <c r="G344" s="11">
        <f t="shared" ref="G344" si="128">TRUNC($E344*F344,1)</f>
        <v>478008</v>
      </c>
      <c r="H344" s="67">
        <v>8</v>
      </c>
      <c r="I344" s="11">
        <f t="shared" ref="I344" si="129">TRUNC($E344*H344,1)</f>
        <v>478008</v>
      </c>
    </row>
    <row r="345" spans="2:15" ht="12.95" customHeight="1" x14ac:dyDescent="0.3">
      <c r="B345" s="48" t="s">
        <v>21</v>
      </c>
      <c r="C345" s="52"/>
      <c r="D345" s="53"/>
      <c r="E345" s="46"/>
      <c r="F345" s="49"/>
      <c r="G345" s="47">
        <f>TRUNC(SUM(G344:G344))</f>
        <v>478008</v>
      </c>
      <c r="H345" s="49"/>
      <c r="I345" s="47">
        <f>TRUNC(SUM(I344:I344))</f>
        <v>478008</v>
      </c>
      <c r="N345" s="41"/>
      <c r="O345" s="16"/>
    </row>
    <row r="346" spans="2:15" ht="12.95" customHeight="1" x14ac:dyDescent="0.3">
      <c r="B346" s="21"/>
      <c r="C346" s="21"/>
      <c r="D346" s="58"/>
      <c r="E346" s="18"/>
      <c r="F346" s="18"/>
      <c r="G346" s="22"/>
      <c r="H346" s="18"/>
      <c r="I346" s="22"/>
      <c r="N346" s="41"/>
      <c r="O346" s="16"/>
    </row>
    <row r="347" spans="2:15" ht="12.95" customHeight="1" x14ac:dyDescent="0.3">
      <c r="B347" s="84" t="s">
        <v>23</v>
      </c>
      <c r="C347" s="21"/>
      <c r="D347" s="58"/>
      <c r="E347" s="85"/>
      <c r="F347" s="86"/>
      <c r="G347" s="87">
        <f>SUM(G336+G342+G345)</f>
        <v>2040202</v>
      </c>
      <c r="H347" s="86"/>
      <c r="I347" s="87">
        <f>SUM(I336+I342+I345)</f>
        <v>2040202</v>
      </c>
      <c r="N347" s="41"/>
      <c r="O347" s="16"/>
    </row>
    <row r="348" spans="2:15" ht="12.95" customHeight="1" x14ac:dyDescent="0.3">
      <c r="B348" s="23" t="s">
        <v>136</v>
      </c>
      <c r="C348" s="24"/>
      <c r="D348" s="56"/>
      <c r="E348" s="25"/>
      <c r="F348" s="26"/>
      <c r="G348" s="27">
        <f>TRUNC((G347/G332))</f>
        <v>226689</v>
      </c>
      <c r="H348" s="26"/>
      <c r="I348" s="27">
        <f>TRUNC((I347/I332))</f>
        <v>255025</v>
      </c>
      <c r="N348" s="41"/>
      <c r="O348" s="16"/>
    </row>
    <row r="349" spans="2:15" ht="12.95" customHeight="1" x14ac:dyDescent="0.3">
      <c r="B349" s="3" t="s">
        <v>153</v>
      </c>
      <c r="C349" s="9"/>
      <c r="D349" s="3"/>
      <c r="E349" s="13"/>
      <c r="F349" s="4"/>
      <c r="G349" s="4"/>
      <c r="H349" s="4"/>
      <c r="I349" s="4"/>
      <c r="K349" s="61"/>
      <c r="L349" s="59"/>
      <c r="M349" s="59"/>
      <c r="N349" s="41"/>
      <c r="O349" s="16"/>
    </row>
    <row r="350" spans="2:15" ht="12.95" customHeight="1" x14ac:dyDescent="0.3">
      <c r="B350" s="3"/>
      <c r="C350" s="9"/>
      <c r="D350" s="3"/>
      <c r="E350" s="13"/>
      <c r="F350" s="4"/>
      <c r="G350" s="4"/>
      <c r="H350" s="4"/>
      <c r="I350" s="4"/>
      <c r="N350" s="41"/>
      <c r="O350" s="16"/>
    </row>
    <row r="351" spans="2:15" ht="12.95" customHeight="1" x14ac:dyDescent="0.3">
      <c r="B351" s="2" t="s">
        <v>140</v>
      </c>
      <c r="I351" s="61" t="s">
        <v>53</v>
      </c>
      <c r="K351" s="16"/>
      <c r="L351" s="16"/>
      <c r="N351" s="41"/>
      <c r="O351" s="16"/>
    </row>
    <row r="352" spans="2:15" ht="12.95" customHeight="1" x14ac:dyDescent="0.3">
      <c r="B352" s="107" t="s">
        <v>11</v>
      </c>
      <c r="C352" s="110" t="s">
        <v>15</v>
      </c>
      <c r="D352" s="113" t="s">
        <v>16</v>
      </c>
      <c r="E352" s="116" t="s">
        <v>12</v>
      </c>
      <c r="F352" s="99" t="s">
        <v>45</v>
      </c>
      <c r="G352" s="100"/>
      <c r="H352" s="99" t="s">
        <v>46</v>
      </c>
      <c r="I352" s="100"/>
      <c r="N352" s="41"/>
      <c r="O352" s="16"/>
    </row>
    <row r="353" spans="2:16" ht="12.95" customHeight="1" x14ac:dyDescent="0.3">
      <c r="B353" s="108"/>
      <c r="C353" s="111"/>
      <c r="D353" s="114"/>
      <c r="E353" s="117"/>
      <c r="F353" s="82" t="s">
        <v>111</v>
      </c>
      <c r="G353" s="95">
        <v>30</v>
      </c>
      <c r="H353" s="82" t="s">
        <v>112</v>
      </c>
      <c r="I353" s="95">
        <v>40</v>
      </c>
      <c r="N353" s="41"/>
      <c r="O353" s="16"/>
    </row>
    <row r="354" spans="2:16" ht="12.95" customHeight="1" x14ac:dyDescent="0.3">
      <c r="B354" s="109"/>
      <c r="C354" s="112"/>
      <c r="D354" s="115"/>
      <c r="E354" s="118"/>
      <c r="F354" s="63" t="s">
        <v>49</v>
      </c>
      <c r="G354" s="64" t="s">
        <v>50</v>
      </c>
      <c r="H354" s="63" t="s">
        <v>49</v>
      </c>
      <c r="I354" s="64" t="s">
        <v>50</v>
      </c>
      <c r="N354" s="36"/>
      <c r="O354" s="41"/>
      <c r="P354" s="16"/>
    </row>
    <row r="355" spans="2:16" ht="12.95" customHeight="1" x14ac:dyDescent="0.3">
      <c r="B355" s="17" t="s">
        <v>110</v>
      </c>
      <c r="C355" s="17" t="s">
        <v>8</v>
      </c>
      <c r="D355" s="58" t="s">
        <v>25</v>
      </c>
      <c r="E355" s="65">
        <v>9107</v>
      </c>
      <c r="F355" s="62">
        <v>8</v>
      </c>
      <c r="G355" s="11">
        <f t="shared" ref="G355" si="130">TRUNC($E355*F355,1)</f>
        <v>72856</v>
      </c>
      <c r="H355" s="62">
        <v>8</v>
      </c>
      <c r="I355" s="11">
        <f t="shared" ref="I355" si="131">TRUNC($E355*H355,1)</f>
        <v>72856</v>
      </c>
      <c r="N355" s="36"/>
      <c r="O355" s="41"/>
      <c r="P355" s="16"/>
    </row>
    <row r="356" spans="2:16" ht="12.95" customHeight="1" x14ac:dyDescent="0.3">
      <c r="B356" s="17" t="s">
        <v>17</v>
      </c>
      <c r="C356" s="10" t="s">
        <v>22</v>
      </c>
      <c r="D356" s="58" t="s">
        <v>26</v>
      </c>
      <c r="E356" s="19"/>
      <c r="F356" s="62">
        <v>1</v>
      </c>
      <c r="G356" s="20">
        <f>TRUNC(SUM(G359:G360)*0.03,1)</f>
        <v>21709.4</v>
      </c>
      <c r="H356" s="62">
        <v>1</v>
      </c>
      <c r="I356" s="20">
        <f>TRUNC(SUM(I359:I360)*0.03,1)</f>
        <v>21709.4</v>
      </c>
      <c r="N356" s="36"/>
      <c r="O356" s="41"/>
      <c r="P356" s="16"/>
    </row>
    <row r="357" spans="2:16" ht="12.95" customHeight="1" x14ac:dyDescent="0.3">
      <c r="B357" s="48" t="s">
        <v>19</v>
      </c>
      <c r="C357" s="52"/>
      <c r="D357" s="50"/>
      <c r="E357" s="49"/>
      <c r="F357" s="49"/>
      <c r="G357" s="47">
        <f>TRUNC(SUM(G355:G356))</f>
        <v>94565</v>
      </c>
      <c r="H357" s="49"/>
      <c r="I357" s="47">
        <f>TRUNC(SUM(I355:I356))</f>
        <v>94565</v>
      </c>
      <c r="N357" s="36"/>
      <c r="O357" s="38"/>
      <c r="P357" s="16"/>
    </row>
    <row r="358" spans="2:16" ht="12.95" customHeight="1" x14ac:dyDescent="0.3">
      <c r="B358" s="21"/>
      <c r="C358" s="21"/>
      <c r="D358" s="58"/>
      <c r="E358" s="18"/>
      <c r="F358" s="18"/>
      <c r="G358" s="22"/>
      <c r="H358" s="18"/>
      <c r="I358" s="22"/>
      <c r="N358" s="36"/>
      <c r="O358" s="38"/>
      <c r="P358" s="16"/>
    </row>
    <row r="359" spans="2:16" ht="12.95" customHeight="1" x14ac:dyDescent="0.3">
      <c r="B359" s="29" t="s">
        <v>3</v>
      </c>
      <c r="C359" s="14"/>
      <c r="D359" s="6" t="s">
        <v>18</v>
      </c>
      <c r="E359" s="65">
        <v>275790</v>
      </c>
      <c r="F359" s="62">
        <v>2</v>
      </c>
      <c r="G359" s="11">
        <f t="shared" ref="G359:G361" si="132">TRUNC($E359*F359,1)</f>
        <v>551580</v>
      </c>
      <c r="H359" s="62">
        <v>2</v>
      </c>
      <c r="I359" s="11">
        <f t="shared" ref="I359:I361" si="133">TRUNC($E359*H359,1)</f>
        <v>551580</v>
      </c>
      <c r="N359" s="16"/>
      <c r="O359" s="39"/>
      <c r="P359" s="16"/>
    </row>
    <row r="360" spans="2:16" ht="12.95" customHeight="1" x14ac:dyDescent="0.3">
      <c r="B360" s="29" t="s">
        <v>5</v>
      </c>
      <c r="C360" s="14"/>
      <c r="D360" s="6" t="s">
        <v>18</v>
      </c>
      <c r="E360" s="65">
        <v>172068</v>
      </c>
      <c r="F360" s="62">
        <v>1</v>
      </c>
      <c r="G360" s="11">
        <f t="shared" si="132"/>
        <v>172068</v>
      </c>
      <c r="H360" s="62">
        <v>1</v>
      </c>
      <c r="I360" s="11">
        <f t="shared" si="133"/>
        <v>172068</v>
      </c>
      <c r="N360" s="39"/>
      <c r="O360" s="16"/>
    </row>
    <row r="361" spans="2:16" ht="12.95" customHeight="1" x14ac:dyDescent="0.3">
      <c r="B361" s="17" t="s">
        <v>110</v>
      </c>
      <c r="C361" s="17" t="s">
        <v>8</v>
      </c>
      <c r="D361" s="58" t="s">
        <v>25</v>
      </c>
      <c r="E361" s="65">
        <v>58925</v>
      </c>
      <c r="F361" s="62">
        <v>8</v>
      </c>
      <c r="G361" s="11">
        <f t="shared" si="132"/>
        <v>471400</v>
      </c>
      <c r="H361" s="62">
        <v>8</v>
      </c>
      <c r="I361" s="11">
        <f t="shared" si="133"/>
        <v>471400</v>
      </c>
      <c r="N361" s="16"/>
      <c r="O361" s="39"/>
      <c r="P361" s="16"/>
    </row>
    <row r="362" spans="2:16" ht="12.95" customHeight="1" x14ac:dyDescent="0.3">
      <c r="B362" s="42" t="s">
        <v>20</v>
      </c>
      <c r="C362" s="52"/>
      <c r="D362" s="50"/>
      <c r="E362" s="46"/>
      <c r="F362" s="70"/>
      <c r="G362" s="47">
        <f>TRUNC(SUM(G359:G361))</f>
        <v>1195048</v>
      </c>
      <c r="H362" s="70"/>
      <c r="I362" s="47">
        <f>TRUNC(SUM(I359:I361))</f>
        <v>1195048</v>
      </c>
      <c r="N362" s="16"/>
      <c r="O362" s="39"/>
      <c r="P362" s="16"/>
    </row>
    <row r="363" spans="2:16" ht="12.95" customHeight="1" x14ac:dyDescent="0.3">
      <c r="B363" s="21"/>
      <c r="C363" s="21"/>
      <c r="D363" s="58"/>
      <c r="E363" s="18"/>
      <c r="F363" s="55"/>
      <c r="G363" s="22"/>
      <c r="H363" s="55"/>
      <c r="I363" s="22"/>
    </row>
    <row r="364" spans="2:16" ht="12.95" customHeight="1" x14ac:dyDescent="0.3">
      <c r="B364" s="17" t="s">
        <v>110</v>
      </c>
      <c r="C364" s="17" t="s">
        <v>8</v>
      </c>
      <c r="D364" s="58" t="s">
        <v>25</v>
      </c>
      <c r="E364" s="65">
        <v>13873</v>
      </c>
      <c r="F364" s="67">
        <v>8</v>
      </c>
      <c r="G364" s="11">
        <f t="shared" ref="G364" si="134">TRUNC($E364*F364,1)</f>
        <v>110984</v>
      </c>
      <c r="H364" s="67">
        <v>8</v>
      </c>
      <c r="I364" s="11">
        <f t="shared" ref="I364" si="135">TRUNC($E364*H364,1)</f>
        <v>110984</v>
      </c>
    </row>
    <row r="365" spans="2:16" ht="12.95" customHeight="1" x14ac:dyDescent="0.3">
      <c r="B365" s="48" t="s">
        <v>21</v>
      </c>
      <c r="C365" s="52"/>
      <c r="D365" s="53"/>
      <c r="E365" s="46"/>
      <c r="F365" s="49"/>
      <c r="G365" s="47">
        <f>TRUNC(SUM(G364:G364))</f>
        <v>110984</v>
      </c>
      <c r="H365" s="49"/>
      <c r="I365" s="47">
        <f>TRUNC(SUM(I364:I364))</f>
        <v>110984</v>
      </c>
    </row>
    <row r="366" spans="2:16" ht="12.95" customHeight="1" x14ac:dyDescent="0.3">
      <c r="B366" s="21"/>
      <c r="C366" s="21"/>
      <c r="D366" s="58"/>
      <c r="E366" s="18"/>
      <c r="F366" s="18"/>
      <c r="G366" s="22"/>
      <c r="H366" s="18"/>
      <c r="I366" s="22"/>
    </row>
    <row r="367" spans="2:16" ht="12.95" customHeight="1" x14ac:dyDescent="0.3">
      <c r="B367" s="84" t="s">
        <v>23</v>
      </c>
      <c r="C367" s="21"/>
      <c r="D367" s="58"/>
      <c r="E367" s="85"/>
      <c r="F367" s="86"/>
      <c r="G367" s="87">
        <f>SUM(G357+G362+G365)</f>
        <v>1400597</v>
      </c>
      <c r="H367" s="86"/>
      <c r="I367" s="87">
        <f>SUM(I357+I362+I365)</f>
        <v>1400597</v>
      </c>
    </row>
    <row r="368" spans="2:16" ht="12.95" customHeight="1" x14ac:dyDescent="0.3">
      <c r="B368" s="23" t="s">
        <v>141</v>
      </c>
      <c r="C368" s="24"/>
      <c r="D368" s="56"/>
      <c r="E368" s="25"/>
      <c r="F368" s="26"/>
      <c r="G368" s="27">
        <f>TRUNC((G367/G353)*10)</f>
        <v>466865</v>
      </c>
      <c r="H368" s="26"/>
      <c r="I368" s="27">
        <f>TRUNC((I367/I353)*10)</f>
        <v>350149</v>
      </c>
    </row>
    <row r="369" spans="2:11" ht="12.95" customHeight="1" x14ac:dyDescent="0.3">
      <c r="B369" s="3"/>
      <c r="C369" s="9"/>
      <c r="D369" s="3"/>
      <c r="E369" s="13"/>
      <c r="F369" s="4"/>
      <c r="G369" s="4"/>
      <c r="H369" s="4"/>
      <c r="I369" s="4"/>
      <c r="J369" s="59"/>
      <c r="K369" s="36"/>
    </row>
    <row r="370" spans="2:11" ht="12.95" customHeight="1" x14ac:dyDescent="0.3">
      <c r="B370" s="2" t="s">
        <v>142</v>
      </c>
      <c r="C370" s="9"/>
      <c r="D370" s="3"/>
      <c r="E370" s="13"/>
      <c r="F370" s="4"/>
      <c r="G370" s="4"/>
      <c r="H370" s="4"/>
      <c r="I370" s="4"/>
    </row>
    <row r="371" spans="2:11" ht="12.95" customHeight="1" x14ac:dyDescent="0.3">
      <c r="B371" s="2" t="s">
        <v>47</v>
      </c>
      <c r="G371" s="61" t="s">
        <v>48</v>
      </c>
      <c r="I371" s="36"/>
    </row>
    <row r="372" spans="2:11" ht="12.95" customHeight="1" x14ac:dyDescent="0.3">
      <c r="B372" s="119" t="s">
        <v>11</v>
      </c>
      <c r="C372" s="120" t="s">
        <v>15</v>
      </c>
      <c r="D372" s="121" t="s">
        <v>16</v>
      </c>
      <c r="E372" s="122" t="s">
        <v>12</v>
      </c>
      <c r="F372" s="121" t="s">
        <v>49</v>
      </c>
      <c r="G372" s="123" t="s">
        <v>50</v>
      </c>
    </row>
    <row r="373" spans="2:11" ht="12.95" customHeight="1" x14ac:dyDescent="0.3">
      <c r="B373" s="119"/>
      <c r="C373" s="120"/>
      <c r="D373" s="121"/>
      <c r="E373" s="122"/>
      <c r="F373" s="121"/>
      <c r="G373" s="123"/>
    </row>
    <row r="374" spans="2:11" ht="12.95" customHeight="1" x14ac:dyDescent="0.3">
      <c r="B374" s="17" t="s">
        <v>51</v>
      </c>
      <c r="C374" s="17" t="s">
        <v>24</v>
      </c>
      <c r="D374" s="58" t="s">
        <v>25</v>
      </c>
      <c r="E374" s="65">
        <v>9213</v>
      </c>
      <c r="F374" s="67">
        <v>8</v>
      </c>
      <c r="G374" s="11">
        <f t="shared" ref="G374" si="136">TRUNC($E374*F374,1)</f>
        <v>73704</v>
      </c>
    </row>
    <row r="375" spans="2:11" ht="12.95" customHeight="1" x14ac:dyDescent="0.3">
      <c r="B375" s="48" t="s">
        <v>19</v>
      </c>
      <c r="C375" s="52"/>
      <c r="D375" s="50"/>
      <c r="E375" s="49"/>
      <c r="F375" s="68"/>
      <c r="G375" s="47">
        <f>TRUNC(SUM(G374:G374))</f>
        <v>73704</v>
      </c>
      <c r="I375" s="16"/>
    </row>
    <row r="376" spans="2:11" ht="12.95" customHeight="1" x14ac:dyDescent="0.3">
      <c r="B376" s="21"/>
      <c r="C376" s="21"/>
      <c r="D376" s="58"/>
      <c r="E376" s="18"/>
      <c r="F376" s="69"/>
      <c r="G376" s="22"/>
      <c r="I376" s="16"/>
    </row>
    <row r="377" spans="2:11" ht="12.95" customHeight="1" x14ac:dyDescent="0.3">
      <c r="B377" s="29" t="s">
        <v>31</v>
      </c>
      <c r="C377" s="14"/>
      <c r="D377" s="6" t="s">
        <v>18</v>
      </c>
      <c r="E377" s="65">
        <v>226122</v>
      </c>
      <c r="F377" s="62">
        <v>1</v>
      </c>
      <c r="G377" s="11">
        <f t="shared" ref="G377:G379" si="137">TRUNC($E377*F377,1)</f>
        <v>226122</v>
      </c>
      <c r="I377" s="16"/>
    </row>
    <row r="378" spans="2:11" ht="12.95" customHeight="1" x14ac:dyDescent="0.3">
      <c r="B378" s="29" t="s">
        <v>5</v>
      </c>
      <c r="C378" s="14"/>
      <c r="D378" s="6" t="s">
        <v>18</v>
      </c>
      <c r="E378" s="65">
        <v>172068</v>
      </c>
      <c r="F378" s="62">
        <v>3</v>
      </c>
      <c r="G378" s="11">
        <f t="shared" si="137"/>
        <v>516204</v>
      </c>
      <c r="I378" s="16"/>
    </row>
    <row r="379" spans="2:11" ht="12.95" customHeight="1" x14ac:dyDescent="0.3">
      <c r="B379" s="17" t="s">
        <v>51</v>
      </c>
      <c r="C379" s="17" t="s">
        <v>24</v>
      </c>
      <c r="D379" s="58" t="s">
        <v>25</v>
      </c>
      <c r="E379" s="65">
        <v>49698</v>
      </c>
      <c r="F379" s="67">
        <v>8</v>
      </c>
      <c r="G379" s="11">
        <f t="shared" si="137"/>
        <v>397584</v>
      </c>
      <c r="I379" s="16"/>
    </row>
    <row r="380" spans="2:11" ht="12.95" customHeight="1" x14ac:dyDescent="0.3">
      <c r="B380" s="42" t="s">
        <v>20</v>
      </c>
      <c r="C380" s="52"/>
      <c r="D380" s="50"/>
      <c r="E380" s="46"/>
      <c r="F380" s="70"/>
      <c r="G380" s="47">
        <f>TRUNC(SUM(G377:G379))</f>
        <v>1139910</v>
      </c>
    </row>
    <row r="381" spans="2:11" ht="12.95" customHeight="1" x14ac:dyDescent="0.3">
      <c r="B381" s="21"/>
      <c r="C381" s="21"/>
      <c r="D381" s="58"/>
      <c r="E381" s="18"/>
      <c r="F381" s="55"/>
      <c r="G381" s="22"/>
    </row>
    <row r="382" spans="2:11" ht="12.95" customHeight="1" x14ac:dyDescent="0.3">
      <c r="B382" s="17" t="s">
        <v>51</v>
      </c>
      <c r="C382" s="17" t="s">
        <v>24</v>
      </c>
      <c r="D382" s="58" t="s">
        <v>25</v>
      </c>
      <c r="E382" s="65">
        <v>11117</v>
      </c>
      <c r="F382" s="67">
        <v>8</v>
      </c>
      <c r="G382" s="11">
        <f t="shared" ref="G382" si="138">TRUNC($E382*F382,1)</f>
        <v>88936</v>
      </c>
      <c r="I382" s="36"/>
    </row>
    <row r="383" spans="2:11" ht="12.95" customHeight="1" x14ac:dyDescent="0.3">
      <c r="B383" s="48" t="s">
        <v>21</v>
      </c>
      <c r="C383" s="52"/>
      <c r="D383" s="53"/>
      <c r="E383" s="46"/>
      <c r="F383" s="49"/>
      <c r="G383" s="47">
        <f>TRUNC(SUM(G382:G382))</f>
        <v>88936</v>
      </c>
      <c r="I383" s="36"/>
    </row>
    <row r="384" spans="2:11" ht="12.95" customHeight="1" x14ac:dyDescent="0.3">
      <c r="B384" s="21"/>
      <c r="C384" s="21"/>
      <c r="D384" s="58"/>
      <c r="E384" s="18"/>
      <c r="F384" s="18"/>
      <c r="G384" s="22"/>
      <c r="I384" s="36"/>
    </row>
    <row r="385" spans="2:12" ht="12.95" customHeight="1" x14ac:dyDescent="0.3">
      <c r="B385" s="23" t="s">
        <v>23</v>
      </c>
      <c r="C385" s="24"/>
      <c r="D385" s="56"/>
      <c r="E385" s="25"/>
      <c r="F385" s="26"/>
      <c r="G385" s="27">
        <f>SUM(G375+G380+G383)</f>
        <v>1302550</v>
      </c>
      <c r="I385" s="36"/>
    </row>
    <row r="386" spans="2:12" ht="12.95" customHeight="1" x14ac:dyDescent="0.3">
      <c r="B386" s="3"/>
      <c r="C386" s="9"/>
      <c r="D386" s="3"/>
      <c r="E386" s="13"/>
      <c r="F386" s="4"/>
      <c r="G386" s="4"/>
      <c r="I386" s="36"/>
    </row>
    <row r="387" spans="2:12" ht="12.95" customHeight="1" x14ac:dyDescent="0.3">
      <c r="B387" s="2" t="s">
        <v>52</v>
      </c>
      <c r="I387" s="61" t="s">
        <v>53</v>
      </c>
      <c r="K387" s="16"/>
      <c r="L387" s="16"/>
    </row>
    <row r="388" spans="2:12" ht="12.95" customHeight="1" x14ac:dyDescent="0.3">
      <c r="B388" s="119" t="s">
        <v>11</v>
      </c>
      <c r="C388" s="120" t="s">
        <v>15</v>
      </c>
      <c r="D388" s="121" t="s">
        <v>16</v>
      </c>
      <c r="E388" s="122" t="s">
        <v>12</v>
      </c>
      <c r="F388" s="99" t="s">
        <v>54</v>
      </c>
      <c r="G388" s="100"/>
      <c r="H388" s="99" t="s">
        <v>55</v>
      </c>
      <c r="I388" s="100"/>
      <c r="J388" s="59"/>
      <c r="K388" s="16"/>
      <c r="L388" s="16"/>
    </row>
    <row r="389" spans="2:12" ht="12.95" customHeight="1" x14ac:dyDescent="0.3">
      <c r="B389" s="119"/>
      <c r="C389" s="120"/>
      <c r="D389" s="121"/>
      <c r="E389" s="122"/>
      <c r="F389" s="63" t="s">
        <v>49</v>
      </c>
      <c r="G389" s="64" t="s">
        <v>50</v>
      </c>
      <c r="H389" s="63" t="s">
        <v>13</v>
      </c>
      <c r="I389" s="64" t="s">
        <v>14</v>
      </c>
      <c r="J389" s="59"/>
      <c r="K389" s="16"/>
      <c r="L389" s="16"/>
    </row>
    <row r="390" spans="2:12" ht="12.95" customHeight="1" x14ac:dyDescent="0.3">
      <c r="B390" s="17" t="s">
        <v>58</v>
      </c>
      <c r="C390" s="17" t="s">
        <v>60</v>
      </c>
      <c r="D390" s="58" t="s">
        <v>25</v>
      </c>
      <c r="E390" s="71">
        <v>48198</v>
      </c>
      <c r="F390" s="67">
        <v>8</v>
      </c>
      <c r="G390" s="11">
        <f t="shared" ref="G390:G391" si="139">TRUNC($E390*F390,1)</f>
        <v>385584</v>
      </c>
      <c r="H390" s="67">
        <v>0</v>
      </c>
      <c r="I390" s="11">
        <f t="shared" ref="I390:I391" si="140">TRUNC($E390*H390,1)</f>
        <v>0</v>
      </c>
      <c r="J390" s="59"/>
    </row>
    <row r="391" spans="2:12" ht="12.95" customHeight="1" x14ac:dyDescent="0.3">
      <c r="B391" s="73" t="s">
        <v>59</v>
      </c>
      <c r="C391" s="17" t="s">
        <v>61</v>
      </c>
      <c r="D391" s="58" t="s">
        <v>25</v>
      </c>
      <c r="E391" s="71">
        <v>34441</v>
      </c>
      <c r="F391" s="67">
        <v>0</v>
      </c>
      <c r="G391" s="11">
        <f t="shared" si="139"/>
        <v>0</v>
      </c>
      <c r="H391" s="67">
        <v>8</v>
      </c>
      <c r="I391" s="11">
        <f t="shared" si="140"/>
        <v>275528</v>
      </c>
      <c r="J391" s="59"/>
    </row>
    <row r="392" spans="2:12" ht="12.95" customHeight="1" x14ac:dyDescent="0.3">
      <c r="B392" s="48" t="s">
        <v>19</v>
      </c>
      <c r="C392" s="52"/>
      <c r="D392" s="50"/>
      <c r="E392" s="65"/>
      <c r="F392" s="68"/>
      <c r="G392" s="47">
        <f>TRUNC(SUM(G390:G391))</f>
        <v>385584</v>
      </c>
      <c r="H392" s="68"/>
      <c r="I392" s="47">
        <f>TRUNC(SUM(I390:I391))</f>
        <v>275528</v>
      </c>
      <c r="J392" s="59"/>
    </row>
    <row r="393" spans="2:12" ht="12.95" customHeight="1" x14ac:dyDescent="0.3">
      <c r="B393" s="21"/>
      <c r="C393" s="21"/>
      <c r="D393" s="58"/>
      <c r="E393" s="72"/>
      <c r="F393" s="69"/>
      <c r="G393" s="22"/>
      <c r="H393" s="69"/>
      <c r="I393" s="22"/>
      <c r="J393" s="59"/>
    </row>
    <row r="394" spans="2:12" ht="12.95" customHeight="1" x14ac:dyDescent="0.3">
      <c r="B394" s="29" t="s">
        <v>56</v>
      </c>
      <c r="C394" s="14"/>
      <c r="D394" s="6" t="s">
        <v>18</v>
      </c>
      <c r="E394" s="71">
        <v>232562</v>
      </c>
      <c r="F394" s="62">
        <v>1</v>
      </c>
      <c r="G394" s="11">
        <f t="shared" ref="G394:G399" si="141">TRUNC($E394*F394,1)</f>
        <v>232562</v>
      </c>
      <c r="H394" s="62">
        <v>1</v>
      </c>
      <c r="I394" s="11">
        <f t="shared" ref="I394:I399" si="142">TRUNC($E394*H394,1)</f>
        <v>232562</v>
      </c>
      <c r="J394" s="59"/>
    </row>
    <row r="395" spans="2:12" ht="12.95" customHeight="1" x14ac:dyDescent="0.3">
      <c r="B395" s="29" t="s">
        <v>31</v>
      </c>
      <c r="C395" s="14"/>
      <c r="D395" s="6" t="s">
        <v>18</v>
      </c>
      <c r="E395" s="71">
        <v>226122</v>
      </c>
      <c r="F395" s="62">
        <v>2</v>
      </c>
      <c r="G395" s="11">
        <f t="shared" si="141"/>
        <v>452244</v>
      </c>
      <c r="H395" s="62">
        <v>3</v>
      </c>
      <c r="I395" s="11">
        <f t="shared" si="142"/>
        <v>678366</v>
      </c>
      <c r="J395" s="59"/>
    </row>
    <row r="396" spans="2:12" ht="12.95" customHeight="1" x14ac:dyDescent="0.3">
      <c r="B396" s="29" t="s">
        <v>5</v>
      </c>
      <c r="C396" s="14"/>
      <c r="D396" s="6" t="s">
        <v>18</v>
      </c>
      <c r="E396" s="71">
        <v>172068</v>
      </c>
      <c r="F396" s="62">
        <v>1</v>
      </c>
      <c r="G396" s="11">
        <f t="shared" si="141"/>
        <v>172068</v>
      </c>
      <c r="H396" s="62">
        <v>1</v>
      </c>
      <c r="I396" s="11">
        <f t="shared" si="142"/>
        <v>172068</v>
      </c>
      <c r="J396" s="59"/>
    </row>
    <row r="397" spans="2:12" ht="12.95" customHeight="1" x14ac:dyDescent="0.3">
      <c r="B397" s="17" t="s">
        <v>57</v>
      </c>
      <c r="C397" s="17" t="s">
        <v>62</v>
      </c>
      <c r="D397" s="58" t="s">
        <v>25</v>
      </c>
      <c r="E397" s="71">
        <v>58925</v>
      </c>
      <c r="F397" s="67">
        <v>8</v>
      </c>
      <c r="G397" s="11">
        <f t="shared" si="141"/>
        <v>471400</v>
      </c>
      <c r="H397" s="67">
        <v>0</v>
      </c>
      <c r="I397" s="11">
        <f t="shared" si="142"/>
        <v>0</v>
      </c>
      <c r="J397" s="59"/>
    </row>
    <row r="398" spans="2:12" ht="12.95" customHeight="1" x14ac:dyDescent="0.3">
      <c r="B398" s="17" t="s">
        <v>58</v>
      </c>
      <c r="C398" s="17" t="s">
        <v>60</v>
      </c>
      <c r="D398" s="58" t="s">
        <v>25</v>
      </c>
      <c r="E398" s="71">
        <v>58925</v>
      </c>
      <c r="F398" s="67">
        <v>8</v>
      </c>
      <c r="G398" s="11">
        <f t="shared" si="141"/>
        <v>471400</v>
      </c>
      <c r="H398" s="67">
        <v>0</v>
      </c>
      <c r="I398" s="11">
        <f t="shared" si="142"/>
        <v>0</v>
      </c>
      <c r="J398" s="59"/>
    </row>
    <row r="399" spans="2:12" ht="12.95" customHeight="1" x14ac:dyDescent="0.3">
      <c r="B399" s="73" t="s">
        <v>59</v>
      </c>
      <c r="C399" s="17" t="s">
        <v>61</v>
      </c>
      <c r="D399" s="58" t="s">
        <v>25</v>
      </c>
      <c r="E399" s="71">
        <v>58925</v>
      </c>
      <c r="F399" s="67">
        <v>0</v>
      </c>
      <c r="G399" s="11">
        <f t="shared" si="141"/>
        <v>0</v>
      </c>
      <c r="H399" s="67">
        <v>8</v>
      </c>
      <c r="I399" s="11">
        <f t="shared" si="142"/>
        <v>471400</v>
      </c>
      <c r="J399" s="59"/>
    </row>
    <row r="400" spans="2:12" ht="12.95" customHeight="1" x14ac:dyDescent="0.3">
      <c r="B400" s="42" t="s">
        <v>20</v>
      </c>
      <c r="C400" s="52"/>
      <c r="D400" s="50"/>
      <c r="E400" s="72"/>
      <c r="F400" s="70"/>
      <c r="G400" s="47">
        <f>TRUNC(SUM(G394:G399))</f>
        <v>1799674</v>
      </c>
      <c r="H400" s="70"/>
      <c r="I400" s="47">
        <f>TRUNC(SUM(I394:I399))</f>
        <v>1554396</v>
      </c>
      <c r="J400" s="59"/>
    </row>
    <row r="401" spans="2:11" ht="12.95" customHeight="1" x14ac:dyDescent="0.3">
      <c r="B401" s="21"/>
      <c r="C401" s="21"/>
      <c r="D401" s="58"/>
      <c r="E401" s="72"/>
      <c r="F401" s="55"/>
      <c r="G401" s="22"/>
      <c r="H401" s="55"/>
      <c r="I401" s="22"/>
      <c r="J401" s="59"/>
    </row>
    <row r="402" spans="2:11" ht="12.95" customHeight="1" x14ac:dyDescent="0.3">
      <c r="B402" s="17" t="s">
        <v>57</v>
      </c>
      <c r="C402" s="17" t="s">
        <v>62</v>
      </c>
      <c r="D402" s="58" t="s">
        <v>25</v>
      </c>
      <c r="E402" s="71">
        <v>13065</v>
      </c>
      <c r="F402" s="67">
        <v>8</v>
      </c>
      <c r="G402" s="11">
        <f t="shared" ref="G402:G404" si="143">TRUNC($E402*F402,1)</f>
        <v>104520</v>
      </c>
      <c r="H402" s="67">
        <v>0</v>
      </c>
      <c r="I402" s="11">
        <f t="shared" ref="I402:I404" si="144">TRUNC($E402*H402,1)</f>
        <v>0</v>
      </c>
      <c r="J402" s="59"/>
    </row>
    <row r="403" spans="2:11" ht="12.95" customHeight="1" x14ac:dyDescent="0.3">
      <c r="B403" s="17" t="s">
        <v>58</v>
      </c>
      <c r="C403" s="17" t="s">
        <v>60</v>
      </c>
      <c r="D403" s="58" t="s">
        <v>25</v>
      </c>
      <c r="E403" s="71">
        <v>7914</v>
      </c>
      <c r="F403" s="67">
        <v>8</v>
      </c>
      <c r="G403" s="11">
        <f t="shared" si="143"/>
        <v>63312</v>
      </c>
      <c r="H403" s="67">
        <v>0</v>
      </c>
      <c r="I403" s="11">
        <f t="shared" si="144"/>
        <v>0</v>
      </c>
      <c r="J403" s="59"/>
    </row>
    <row r="404" spans="2:11" ht="12.95" customHeight="1" x14ac:dyDescent="0.3">
      <c r="B404" s="73" t="s">
        <v>59</v>
      </c>
      <c r="C404" s="17" t="s">
        <v>61</v>
      </c>
      <c r="D404" s="58" t="s">
        <v>25</v>
      </c>
      <c r="E404" s="71">
        <v>25136</v>
      </c>
      <c r="F404" s="67">
        <v>0</v>
      </c>
      <c r="G404" s="11">
        <f t="shared" si="143"/>
        <v>0</v>
      </c>
      <c r="H404" s="67">
        <v>8</v>
      </c>
      <c r="I404" s="11">
        <f t="shared" si="144"/>
        <v>201088</v>
      </c>
      <c r="J404" s="59"/>
    </row>
    <row r="405" spans="2:11" ht="12.95" customHeight="1" x14ac:dyDescent="0.3">
      <c r="B405" s="48" t="s">
        <v>21</v>
      </c>
      <c r="C405" s="52"/>
      <c r="D405" s="53"/>
      <c r="E405" s="46"/>
      <c r="F405" s="49"/>
      <c r="G405" s="47">
        <f>TRUNC(SUM(G402:G404))</f>
        <v>167832</v>
      </c>
      <c r="H405" s="49"/>
      <c r="I405" s="47">
        <f>TRUNC(SUM(I402:I404))</f>
        <v>201088</v>
      </c>
      <c r="J405" s="59"/>
      <c r="K405" s="36"/>
    </row>
    <row r="406" spans="2:11" ht="12.95" customHeight="1" x14ac:dyDescent="0.3">
      <c r="B406" s="21"/>
      <c r="C406" s="21"/>
      <c r="D406" s="58"/>
      <c r="E406" s="18"/>
      <c r="F406" s="18"/>
      <c r="G406" s="22"/>
      <c r="H406" s="18"/>
      <c r="I406" s="22"/>
      <c r="J406" s="59"/>
      <c r="K406" s="36"/>
    </row>
    <row r="407" spans="2:11" ht="12.95" customHeight="1" x14ac:dyDescent="0.3">
      <c r="B407" s="23" t="s">
        <v>23</v>
      </c>
      <c r="C407" s="24"/>
      <c r="D407" s="56"/>
      <c r="E407" s="25"/>
      <c r="F407" s="26"/>
      <c r="G407" s="27">
        <f>SUM(G392+G400+G405)</f>
        <v>2353090</v>
      </c>
      <c r="H407" s="26"/>
      <c r="I407" s="27">
        <f>SUM(I392+I400+I405)</f>
        <v>2031012</v>
      </c>
      <c r="J407" s="59"/>
      <c r="K407" s="36"/>
    </row>
    <row r="408" spans="2:11" ht="12.95" customHeight="1" x14ac:dyDescent="0.3">
      <c r="B408" s="3"/>
      <c r="C408" s="9"/>
      <c r="D408" s="3"/>
      <c r="E408" s="13"/>
      <c r="F408" s="4"/>
      <c r="G408" s="4"/>
      <c r="H408" s="4"/>
      <c r="I408" s="4"/>
      <c r="J408" s="59"/>
      <c r="K408" s="36"/>
    </row>
    <row r="409" spans="2:11" ht="12.95" customHeight="1" x14ac:dyDescent="0.3">
      <c r="B409" s="2" t="s">
        <v>63</v>
      </c>
      <c r="G409" s="61" t="s">
        <v>53</v>
      </c>
      <c r="H409" s="16"/>
      <c r="I409" s="39"/>
      <c r="J409" s="16"/>
    </row>
    <row r="410" spans="2:11" ht="12.95" customHeight="1" x14ac:dyDescent="0.3">
      <c r="B410" s="119" t="s">
        <v>11</v>
      </c>
      <c r="C410" s="120" t="s">
        <v>15</v>
      </c>
      <c r="D410" s="121" t="s">
        <v>16</v>
      </c>
      <c r="E410" s="122" t="s">
        <v>12</v>
      </c>
      <c r="F410" s="82" t="s">
        <v>107</v>
      </c>
      <c r="G410" s="83">
        <v>3.2</v>
      </c>
      <c r="H410" s="16"/>
      <c r="I410" s="40"/>
      <c r="J410" s="16"/>
    </row>
    <row r="411" spans="2:11" ht="12.95" customHeight="1" x14ac:dyDescent="0.3">
      <c r="B411" s="119"/>
      <c r="C411" s="120"/>
      <c r="D411" s="121"/>
      <c r="E411" s="122"/>
      <c r="F411" s="63" t="s">
        <v>49</v>
      </c>
      <c r="G411" s="64" t="s">
        <v>50</v>
      </c>
      <c r="H411" s="16"/>
      <c r="I411" s="38"/>
      <c r="J411" s="16"/>
    </row>
    <row r="412" spans="2:11" ht="12.95" customHeight="1" x14ac:dyDescent="0.3">
      <c r="B412" s="17" t="s">
        <v>17</v>
      </c>
      <c r="C412" s="10" t="s">
        <v>64</v>
      </c>
      <c r="D412" s="58" t="s">
        <v>26</v>
      </c>
      <c r="E412" s="19"/>
      <c r="F412" s="62">
        <v>1</v>
      </c>
      <c r="G412" s="20">
        <f>TRUNC(SUM(G415:G417)*0.11,1)</f>
        <v>101915.4</v>
      </c>
      <c r="H412" s="16"/>
    </row>
    <row r="413" spans="2:11" ht="12.95" customHeight="1" x14ac:dyDescent="0.3">
      <c r="B413" s="48" t="s">
        <v>19</v>
      </c>
      <c r="C413" s="52"/>
      <c r="D413" s="50"/>
      <c r="E413" s="49"/>
      <c r="F413" s="49"/>
      <c r="G413" s="47">
        <f>TRUNC(SUM(G412:G412))</f>
        <v>101915</v>
      </c>
      <c r="H413" s="16"/>
    </row>
    <row r="414" spans="2:11" ht="12.95" customHeight="1" x14ac:dyDescent="0.3">
      <c r="B414" s="21"/>
      <c r="C414" s="21"/>
      <c r="D414" s="58"/>
      <c r="E414" s="18"/>
      <c r="F414" s="18"/>
      <c r="G414" s="22"/>
      <c r="H414" s="16"/>
    </row>
    <row r="415" spans="2:11" ht="12.95" customHeight="1" x14ac:dyDescent="0.3">
      <c r="B415" s="29" t="s">
        <v>56</v>
      </c>
      <c r="C415" s="14"/>
      <c r="D415" s="6" t="s">
        <v>18</v>
      </c>
      <c r="E415" s="71">
        <v>232562</v>
      </c>
      <c r="F415" s="62">
        <v>1</v>
      </c>
      <c r="G415" s="11">
        <f t="shared" ref="G415:G417" si="145">TRUNC($E415*F415,1)</f>
        <v>232562</v>
      </c>
      <c r="H415" s="16"/>
    </row>
    <row r="416" spans="2:11" ht="12.95" customHeight="1" x14ac:dyDescent="0.3">
      <c r="B416" s="29" t="s">
        <v>65</v>
      </c>
      <c r="C416" s="14"/>
      <c r="D416" s="6" t="s">
        <v>18</v>
      </c>
      <c r="E416" s="60">
        <v>241698</v>
      </c>
      <c r="F416" s="62">
        <v>1</v>
      </c>
      <c r="G416" s="11">
        <f t="shared" si="145"/>
        <v>241698</v>
      </c>
      <c r="H416" s="16"/>
    </row>
    <row r="417" spans="2:14" ht="12.95" customHeight="1" x14ac:dyDescent="0.3">
      <c r="B417" s="29" t="s">
        <v>31</v>
      </c>
      <c r="C417" s="14"/>
      <c r="D417" s="6" t="s">
        <v>18</v>
      </c>
      <c r="E417" s="71">
        <v>226122</v>
      </c>
      <c r="F417" s="62">
        <v>2</v>
      </c>
      <c r="G417" s="11">
        <f t="shared" si="145"/>
        <v>452244</v>
      </c>
      <c r="H417" s="16"/>
    </row>
    <row r="418" spans="2:14" ht="12.95" customHeight="1" x14ac:dyDescent="0.3">
      <c r="B418" s="42" t="s">
        <v>20</v>
      </c>
      <c r="C418" s="52"/>
      <c r="D418" s="50"/>
      <c r="E418" s="46"/>
      <c r="F418" s="70"/>
      <c r="G418" s="47">
        <f>TRUNC(SUM(G415:G417))</f>
        <v>926504</v>
      </c>
      <c r="H418" s="16"/>
    </row>
    <row r="419" spans="2:14" ht="12.95" customHeight="1" x14ac:dyDescent="0.3">
      <c r="B419" s="21"/>
      <c r="C419" s="21"/>
      <c r="D419" s="58"/>
      <c r="E419" s="18"/>
      <c r="F419" s="55"/>
      <c r="G419" s="22"/>
      <c r="H419" s="16"/>
    </row>
    <row r="420" spans="2:14" ht="12.95" customHeight="1" x14ac:dyDescent="0.3">
      <c r="B420" s="17" t="s">
        <v>9</v>
      </c>
      <c r="C420" s="17" t="s">
        <v>66</v>
      </c>
      <c r="D420" s="58" t="s">
        <v>25</v>
      </c>
      <c r="E420" s="74">
        <v>1262</v>
      </c>
      <c r="F420" s="67">
        <v>8</v>
      </c>
      <c r="G420" s="11">
        <f t="shared" ref="G420:G421" si="146">TRUNC($E420*F420,1)</f>
        <v>10096</v>
      </c>
      <c r="H420" s="16"/>
    </row>
    <row r="421" spans="2:14" ht="12.95" customHeight="1" x14ac:dyDescent="0.3">
      <c r="B421" s="17" t="s">
        <v>0</v>
      </c>
      <c r="C421" s="17" t="s">
        <v>67</v>
      </c>
      <c r="D421" s="58" t="s">
        <v>25</v>
      </c>
      <c r="E421" s="74">
        <v>1779</v>
      </c>
      <c r="F421" s="67">
        <v>8</v>
      </c>
      <c r="G421" s="11">
        <f t="shared" si="146"/>
        <v>14232</v>
      </c>
      <c r="H421" s="16"/>
    </row>
    <row r="422" spans="2:14" ht="12.95" customHeight="1" x14ac:dyDescent="0.3">
      <c r="B422" s="48" t="s">
        <v>21</v>
      </c>
      <c r="C422" s="52"/>
      <c r="D422" s="53"/>
      <c r="E422" s="46"/>
      <c r="F422" s="49"/>
      <c r="G422" s="47">
        <f>TRUNC(SUM(G420:G421))</f>
        <v>24328</v>
      </c>
      <c r="H422" s="16"/>
      <c r="N422" s="16"/>
    </row>
    <row r="423" spans="2:14" ht="12.95" customHeight="1" x14ac:dyDescent="0.3">
      <c r="B423" s="21"/>
      <c r="C423" s="21"/>
      <c r="D423" s="58"/>
      <c r="E423" s="18"/>
      <c r="F423" s="18"/>
      <c r="G423" s="22"/>
      <c r="N423" s="16"/>
    </row>
    <row r="424" spans="2:14" ht="12.95" customHeight="1" x14ac:dyDescent="0.3">
      <c r="B424" s="84" t="s">
        <v>23</v>
      </c>
      <c r="C424" s="21"/>
      <c r="D424" s="58"/>
      <c r="E424" s="85"/>
      <c r="F424" s="86"/>
      <c r="G424" s="87">
        <f>SUM(G413+G418+G422)</f>
        <v>1052747</v>
      </c>
      <c r="N424" s="16"/>
    </row>
    <row r="425" spans="2:14" ht="12.95" customHeight="1" x14ac:dyDescent="0.3">
      <c r="B425" s="23" t="s">
        <v>106</v>
      </c>
      <c r="C425" s="24"/>
      <c r="D425" s="56"/>
      <c r="E425" s="25"/>
      <c r="F425" s="26"/>
      <c r="G425" s="27">
        <f>TRUNC(G424/G410)</f>
        <v>328983</v>
      </c>
      <c r="N425" s="16"/>
    </row>
    <row r="426" spans="2:14" ht="12.95" customHeight="1" x14ac:dyDescent="0.3">
      <c r="B426" s="3"/>
      <c r="C426" s="9"/>
      <c r="D426" s="3"/>
      <c r="E426" s="13"/>
      <c r="F426" s="4"/>
      <c r="G426" s="4"/>
      <c r="N426" s="16"/>
    </row>
    <row r="427" spans="2:14" ht="12.95" customHeight="1" x14ac:dyDescent="0.3">
      <c r="B427" s="2" t="s">
        <v>68</v>
      </c>
      <c r="G427" s="61" t="s">
        <v>53</v>
      </c>
      <c r="H427" s="16"/>
      <c r="I427" s="39"/>
      <c r="J427" s="16"/>
      <c r="N427" s="16"/>
    </row>
    <row r="428" spans="2:14" ht="12.95" customHeight="1" x14ac:dyDescent="0.3">
      <c r="B428" s="119" t="s">
        <v>11</v>
      </c>
      <c r="C428" s="120" t="s">
        <v>15</v>
      </c>
      <c r="D428" s="121" t="s">
        <v>16</v>
      </c>
      <c r="E428" s="122" t="s">
        <v>12</v>
      </c>
      <c r="F428" s="88" t="s">
        <v>108</v>
      </c>
      <c r="G428" s="83">
        <v>15</v>
      </c>
      <c r="H428" s="16"/>
      <c r="I428" s="40"/>
      <c r="J428" s="16"/>
      <c r="N428" s="16"/>
    </row>
    <row r="429" spans="2:14" ht="12.95" customHeight="1" x14ac:dyDescent="0.3">
      <c r="B429" s="119"/>
      <c r="C429" s="120"/>
      <c r="D429" s="121"/>
      <c r="E429" s="122"/>
      <c r="F429" s="63" t="s">
        <v>49</v>
      </c>
      <c r="G429" s="64" t="s">
        <v>50</v>
      </c>
      <c r="H429" s="16"/>
      <c r="I429" s="38"/>
      <c r="J429" s="16"/>
    </row>
    <row r="430" spans="2:14" ht="12.95" customHeight="1" x14ac:dyDescent="0.3">
      <c r="B430" s="17" t="s">
        <v>17</v>
      </c>
      <c r="C430" s="10" t="s">
        <v>69</v>
      </c>
      <c r="D430" s="58" t="s">
        <v>26</v>
      </c>
      <c r="E430" s="19"/>
      <c r="F430" s="62">
        <v>1</v>
      </c>
      <c r="G430" s="20">
        <f>TRUNC(SUM(G433:G436)*0.09,1)</f>
        <v>103681</v>
      </c>
      <c r="H430" s="16"/>
    </row>
    <row r="431" spans="2:14" ht="12.95" customHeight="1" x14ac:dyDescent="0.3">
      <c r="B431" s="48" t="s">
        <v>19</v>
      </c>
      <c r="C431" s="52"/>
      <c r="D431" s="50"/>
      <c r="E431" s="49"/>
      <c r="F431" s="49"/>
      <c r="G431" s="47">
        <f>TRUNC(SUM(G430:G430))</f>
        <v>103681</v>
      </c>
      <c r="H431" s="16"/>
    </row>
    <row r="432" spans="2:14" ht="12.95" customHeight="1" x14ac:dyDescent="0.3">
      <c r="B432" s="21"/>
      <c r="C432" s="21"/>
      <c r="D432" s="58"/>
      <c r="E432" s="18"/>
      <c r="F432" s="18"/>
      <c r="G432" s="22"/>
      <c r="H432" s="16"/>
    </row>
    <row r="433" spans="2:10" ht="12.95" customHeight="1" x14ac:dyDescent="0.3">
      <c r="B433" s="29" t="s">
        <v>6</v>
      </c>
      <c r="C433" s="14"/>
      <c r="D433" s="6" t="s">
        <v>18</v>
      </c>
      <c r="E433" s="71">
        <v>295138</v>
      </c>
      <c r="F433" s="62">
        <v>1</v>
      </c>
      <c r="G433" s="11">
        <f t="shared" ref="G433:G436" si="147">TRUNC($E433*F433,1)</f>
        <v>295138</v>
      </c>
      <c r="H433" s="16"/>
    </row>
    <row r="434" spans="2:10" ht="12.95" customHeight="1" x14ac:dyDescent="0.3">
      <c r="B434" s="29" t="s">
        <v>56</v>
      </c>
      <c r="C434" s="14"/>
      <c r="D434" s="6" t="s">
        <v>18</v>
      </c>
      <c r="E434" s="71">
        <v>232562</v>
      </c>
      <c r="F434" s="62">
        <v>1</v>
      </c>
      <c r="G434" s="11">
        <f t="shared" si="147"/>
        <v>232562</v>
      </c>
      <c r="H434" s="16"/>
    </row>
    <row r="435" spans="2:10" ht="12.95" customHeight="1" x14ac:dyDescent="0.3">
      <c r="B435" s="29" t="s">
        <v>31</v>
      </c>
      <c r="C435" s="14"/>
      <c r="D435" s="6" t="s">
        <v>18</v>
      </c>
      <c r="E435" s="71">
        <v>226122</v>
      </c>
      <c r="F435" s="62">
        <v>2</v>
      </c>
      <c r="G435" s="11">
        <f t="shared" si="147"/>
        <v>452244</v>
      </c>
      <c r="H435" s="16"/>
    </row>
    <row r="436" spans="2:10" ht="12.95" customHeight="1" x14ac:dyDescent="0.3">
      <c r="B436" s="29" t="s">
        <v>5</v>
      </c>
      <c r="C436" s="14"/>
      <c r="D436" s="6" t="s">
        <v>18</v>
      </c>
      <c r="E436" s="71">
        <v>172068</v>
      </c>
      <c r="F436" s="62">
        <v>1</v>
      </c>
      <c r="G436" s="11">
        <f t="shared" si="147"/>
        <v>172068</v>
      </c>
      <c r="H436" s="16"/>
    </row>
    <row r="437" spans="2:10" ht="12.95" customHeight="1" x14ac:dyDescent="0.3">
      <c r="B437" s="42" t="s">
        <v>20</v>
      </c>
      <c r="C437" s="52"/>
      <c r="D437" s="50"/>
      <c r="E437" s="46"/>
      <c r="F437" s="70"/>
      <c r="G437" s="47">
        <f>TRUNC(SUM(G433:G436))</f>
        <v>1152012</v>
      </c>
      <c r="H437" s="16"/>
    </row>
    <row r="438" spans="2:10" ht="12.95" customHeight="1" x14ac:dyDescent="0.3">
      <c r="B438" s="21"/>
      <c r="C438" s="21"/>
      <c r="D438" s="58"/>
      <c r="E438" s="18"/>
      <c r="F438" s="55"/>
      <c r="G438" s="22"/>
      <c r="H438" s="16"/>
    </row>
    <row r="439" spans="2:10" ht="12.95" customHeight="1" x14ac:dyDescent="0.3">
      <c r="B439" s="17" t="s">
        <v>10</v>
      </c>
      <c r="C439" s="17" t="s">
        <v>70</v>
      </c>
      <c r="D439" s="58" t="s">
        <v>25</v>
      </c>
      <c r="E439" s="74">
        <v>3212</v>
      </c>
      <c r="F439" s="67">
        <v>8</v>
      </c>
      <c r="G439" s="11">
        <f t="shared" ref="G439" si="148">TRUNC($E439*F439,1)</f>
        <v>25696</v>
      </c>
      <c r="H439" s="16"/>
    </row>
    <row r="440" spans="2:10" ht="12.95" customHeight="1" x14ac:dyDescent="0.3">
      <c r="B440" s="48" t="s">
        <v>21</v>
      </c>
      <c r="C440" s="52"/>
      <c r="D440" s="53"/>
      <c r="E440" s="46"/>
      <c r="F440" s="49"/>
      <c r="G440" s="47">
        <f>TRUNC(SUM(G439:G439))</f>
        <v>25696</v>
      </c>
      <c r="H440" s="16"/>
    </row>
    <row r="441" spans="2:10" ht="12.95" customHeight="1" x14ac:dyDescent="0.3">
      <c r="B441" s="21"/>
      <c r="C441" s="21"/>
      <c r="D441" s="58"/>
      <c r="E441" s="18"/>
      <c r="F441" s="18"/>
      <c r="G441" s="22"/>
    </row>
    <row r="442" spans="2:10" ht="12.95" customHeight="1" x14ac:dyDescent="0.3">
      <c r="B442" s="84" t="s">
        <v>23</v>
      </c>
      <c r="C442" s="21"/>
      <c r="D442" s="58"/>
      <c r="E442" s="85"/>
      <c r="F442" s="86"/>
      <c r="G442" s="87">
        <f>SUM(G431+G437+G440)</f>
        <v>1281389</v>
      </c>
    </row>
    <row r="443" spans="2:10" ht="12.95" customHeight="1" x14ac:dyDescent="0.3">
      <c r="B443" s="23" t="s">
        <v>109</v>
      </c>
      <c r="C443" s="24"/>
      <c r="D443" s="56"/>
      <c r="E443" s="25"/>
      <c r="F443" s="26"/>
      <c r="G443" s="27">
        <f>TRUNC(G442/G428)</f>
        <v>85425</v>
      </c>
    </row>
    <row r="444" spans="2:10" ht="12.95" customHeight="1" x14ac:dyDescent="0.3">
      <c r="B444" s="3"/>
      <c r="C444" s="9"/>
      <c r="D444" s="3"/>
      <c r="E444" s="13"/>
      <c r="F444" s="4"/>
      <c r="G444" s="4"/>
    </row>
    <row r="445" spans="2:10" ht="12.95" customHeight="1" x14ac:dyDescent="0.3">
      <c r="B445" s="3" t="s">
        <v>146</v>
      </c>
      <c r="C445" s="9"/>
      <c r="D445" s="3"/>
      <c r="E445" s="13"/>
      <c r="F445" s="4"/>
      <c r="G445" s="4"/>
      <c r="I445" s="61" t="s">
        <v>53</v>
      </c>
    </row>
    <row r="446" spans="2:10" ht="12.95" customHeight="1" x14ac:dyDescent="0.3">
      <c r="B446" s="107" t="s">
        <v>11</v>
      </c>
      <c r="C446" s="110" t="s">
        <v>15</v>
      </c>
      <c r="D446" s="113" t="s">
        <v>16</v>
      </c>
      <c r="E446" s="116" t="s">
        <v>12</v>
      </c>
      <c r="F446" s="125" t="s">
        <v>143</v>
      </c>
      <c r="G446" s="127"/>
      <c r="H446" s="125" t="s">
        <v>144</v>
      </c>
      <c r="I446" s="126"/>
      <c r="J446" s="16"/>
    </row>
    <row r="447" spans="2:10" ht="12.95" customHeight="1" x14ac:dyDescent="0.3">
      <c r="B447" s="108"/>
      <c r="C447" s="111"/>
      <c r="D447" s="114"/>
      <c r="E447" s="117"/>
      <c r="F447" s="88" t="s">
        <v>108</v>
      </c>
      <c r="G447" s="83">
        <v>18</v>
      </c>
      <c r="H447" s="88" t="s">
        <v>108</v>
      </c>
      <c r="I447" s="83">
        <v>35</v>
      </c>
      <c r="J447" s="16"/>
    </row>
    <row r="448" spans="2:10" ht="12.95" customHeight="1" x14ac:dyDescent="0.3">
      <c r="B448" s="109"/>
      <c r="C448" s="112"/>
      <c r="D448" s="115"/>
      <c r="E448" s="118"/>
      <c r="F448" s="63" t="s">
        <v>49</v>
      </c>
      <c r="G448" s="64" t="s">
        <v>50</v>
      </c>
      <c r="H448" s="63" t="s">
        <v>49</v>
      </c>
      <c r="I448" s="64" t="s">
        <v>50</v>
      </c>
      <c r="J448" s="16"/>
    </row>
    <row r="449" spans="2:13" ht="12.95" customHeight="1" x14ac:dyDescent="0.3">
      <c r="B449" s="29" t="s">
        <v>145</v>
      </c>
      <c r="C449" s="14"/>
      <c r="D449" s="6" t="s">
        <v>18</v>
      </c>
      <c r="E449" s="71">
        <v>239808</v>
      </c>
      <c r="F449" s="62">
        <v>1</v>
      </c>
      <c r="G449" s="11">
        <f t="shared" ref="G449:G450" si="149">TRUNC($E449*F449,1)</f>
        <v>239808</v>
      </c>
      <c r="H449" s="62">
        <v>1</v>
      </c>
      <c r="I449" s="11">
        <f t="shared" ref="I449:I450" si="150">TRUNC($E449*H449,1)</f>
        <v>239808</v>
      </c>
    </row>
    <row r="450" spans="2:13" ht="12.95" customHeight="1" x14ac:dyDescent="0.3">
      <c r="B450" s="29" t="s">
        <v>5</v>
      </c>
      <c r="C450" s="14"/>
      <c r="D450" s="6" t="s">
        <v>18</v>
      </c>
      <c r="E450" s="71">
        <v>172068</v>
      </c>
      <c r="F450" s="62">
        <v>1</v>
      </c>
      <c r="G450" s="11">
        <f t="shared" si="149"/>
        <v>172068</v>
      </c>
      <c r="H450" s="62">
        <v>1</v>
      </c>
      <c r="I450" s="11">
        <f t="shared" si="150"/>
        <v>172068</v>
      </c>
    </row>
    <row r="451" spans="2:13" ht="12.95" customHeight="1" x14ac:dyDescent="0.3">
      <c r="B451" s="42" t="s">
        <v>20</v>
      </c>
      <c r="C451" s="52"/>
      <c r="D451" s="50"/>
      <c r="E451" s="46"/>
      <c r="F451" s="70"/>
      <c r="G451" s="47">
        <f>TRUNC(SUM(G449:G450))</f>
        <v>411876</v>
      </c>
      <c r="H451" s="70"/>
      <c r="I451" s="47">
        <f>TRUNC(SUM(I449:I450))</f>
        <v>411876</v>
      </c>
    </row>
    <row r="452" spans="2:13" ht="12.95" customHeight="1" x14ac:dyDescent="0.3">
      <c r="B452" s="21"/>
      <c r="C452" s="21"/>
      <c r="D452" s="58"/>
      <c r="E452" s="18"/>
      <c r="F452" s="55"/>
      <c r="G452" s="22"/>
      <c r="H452" s="55"/>
      <c r="I452" s="22"/>
    </row>
    <row r="453" spans="2:13" ht="12.95" customHeight="1" x14ac:dyDescent="0.3">
      <c r="B453" s="84" t="s">
        <v>23</v>
      </c>
      <c r="C453" s="21"/>
      <c r="D453" s="58"/>
      <c r="E453" s="85"/>
      <c r="F453" s="86"/>
      <c r="G453" s="87">
        <f>SUM(G451)</f>
        <v>411876</v>
      </c>
      <c r="H453" s="86"/>
      <c r="I453" s="87">
        <f>SUM(I451)</f>
        <v>411876</v>
      </c>
    </row>
    <row r="454" spans="2:13" ht="12.95" customHeight="1" x14ac:dyDescent="0.3">
      <c r="B454" s="23" t="s">
        <v>109</v>
      </c>
      <c r="C454" s="24"/>
      <c r="D454" s="56"/>
      <c r="E454" s="25"/>
      <c r="F454" s="26"/>
      <c r="G454" s="27">
        <f>TRUNC(G453/G447)</f>
        <v>22882</v>
      </c>
      <c r="H454" s="26"/>
      <c r="I454" s="27">
        <f>TRUNC(I453/I447)</f>
        <v>11767</v>
      </c>
    </row>
    <row r="455" spans="2:13" ht="12.95" customHeight="1" x14ac:dyDescent="0.3">
      <c r="B455" s="3"/>
      <c r="C455" s="9"/>
      <c r="D455" s="3"/>
      <c r="E455" s="13"/>
      <c r="F455" s="4"/>
      <c r="G455" s="4"/>
    </row>
    <row r="456" spans="2:13" ht="12.95" customHeight="1" x14ac:dyDescent="0.3">
      <c r="B456" s="3" t="s">
        <v>147</v>
      </c>
      <c r="C456" s="9"/>
      <c r="D456" s="3"/>
      <c r="E456" s="13"/>
      <c r="F456" s="4"/>
      <c r="G456" s="61" t="s">
        <v>53</v>
      </c>
    </row>
    <row r="457" spans="2:13" ht="12.95" customHeight="1" x14ac:dyDescent="0.3">
      <c r="B457" s="107" t="s">
        <v>11</v>
      </c>
      <c r="C457" s="110" t="s">
        <v>15</v>
      </c>
      <c r="D457" s="113" t="s">
        <v>16</v>
      </c>
      <c r="E457" s="116" t="s">
        <v>12</v>
      </c>
      <c r="F457" s="88" t="s">
        <v>108</v>
      </c>
      <c r="G457" s="83">
        <v>35</v>
      </c>
      <c r="H457" s="16"/>
    </row>
    <row r="458" spans="2:13" ht="12.95" customHeight="1" x14ac:dyDescent="0.3">
      <c r="B458" s="109"/>
      <c r="C458" s="112"/>
      <c r="D458" s="115"/>
      <c r="E458" s="118"/>
      <c r="F458" s="63" t="s">
        <v>49</v>
      </c>
      <c r="G458" s="64" t="s">
        <v>50</v>
      </c>
      <c r="H458" s="16"/>
    </row>
    <row r="459" spans="2:13" ht="12.95" customHeight="1" x14ac:dyDescent="0.3">
      <c r="B459" s="17" t="s">
        <v>17</v>
      </c>
      <c r="C459" s="10" t="s">
        <v>22</v>
      </c>
      <c r="D459" s="58" t="s">
        <v>26</v>
      </c>
      <c r="E459" s="19"/>
      <c r="F459" s="62">
        <v>1</v>
      </c>
      <c r="G459" s="20">
        <f>TRUNC(SUM(G462:G463)*0.03,1)</f>
        <v>11945.7</v>
      </c>
      <c r="H459" s="16"/>
    </row>
    <row r="460" spans="2:13" ht="12.95" customHeight="1" x14ac:dyDescent="0.3">
      <c r="B460" s="48" t="s">
        <v>19</v>
      </c>
      <c r="C460" s="52"/>
      <c r="D460" s="50"/>
      <c r="E460" s="49"/>
      <c r="F460" s="49"/>
      <c r="G460" s="47">
        <f>TRUNC(SUM(G459:G459))</f>
        <v>11945</v>
      </c>
      <c r="H460" s="16"/>
    </row>
    <row r="461" spans="2:13" ht="12.95" customHeight="1" x14ac:dyDescent="0.3">
      <c r="B461" s="21"/>
      <c r="C461" s="21"/>
      <c r="D461" s="58"/>
      <c r="E461" s="18"/>
      <c r="F461" s="18"/>
      <c r="G461" s="22"/>
      <c r="H461" s="16"/>
    </row>
    <row r="462" spans="2:13" ht="12.95" customHeight="1" x14ac:dyDescent="0.3">
      <c r="B462" s="29" t="s">
        <v>31</v>
      </c>
      <c r="C462" s="14"/>
      <c r="D462" s="6" t="s">
        <v>18</v>
      </c>
      <c r="E462" s="71">
        <v>226122</v>
      </c>
      <c r="F462" s="62">
        <v>1</v>
      </c>
      <c r="G462" s="11">
        <f t="shared" ref="G462:G463" si="151">TRUNC($E462*F462,1)</f>
        <v>226122</v>
      </c>
      <c r="L462" s="16"/>
      <c r="M462" s="16"/>
    </row>
    <row r="463" spans="2:13" ht="12.95" customHeight="1" x14ac:dyDescent="0.3">
      <c r="B463" s="29" t="s">
        <v>5</v>
      </c>
      <c r="C463" s="14"/>
      <c r="D463" s="6" t="s">
        <v>18</v>
      </c>
      <c r="E463" s="71">
        <v>172068</v>
      </c>
      <c r="F463" s="62">
        <v>1</v>
      </c>
      <c r="G463" s="11">
        <f t="shared" si="151"/>
        <v>172068</v>
      </c>
      <c r="L463" s="16"/>
      <c r="M463" s="16"/>
    </row>
    <row r="464" spans="2:13" ht="12.95" customHeight="1" x14ac:dyDescent="0.3">
      <c r="B464" s="42" t="s">
        <v>20</v>
      </c>
      <c r="C464" s="52"/>
      <c r="D464" s="50"/>
      <c r="E464" s="46"/>
      <c r="F464" s="70"/>
      <c r="G464" s="47">
        <f>TRUNC(SUM(G462:G463))</f>
        <v>398190</v>
      </c>
      <c r="L464" s="16"/>
      <c r="M464" s="16"/>
    </row>
    <row r="465" spans="2:12" ht="12.95" customHeight="1" x14ac:dyDescent="0.3">
      <c r="B465" s="21"/>
      <c r="C465" s="21"/>
      <c r="D465" s="58"/>
      <c r="E465" s="18"/>
      <c r="F465" s="55"/>
      <c r="G465" s="22"/>
    </row>
    <row r="466" spans="2:12" ht="12.95" customHeight="1" x14ac:dyDescent="0.3">
      <c r="B466" s="84" t="s">
        <v>23</v>
      </c>
      <c r="C466" s="21"/>
      <c r="D466" s="58"/>
      <c r="E466" s="85"/>
      <c r="F466" s="86"/>
      <c r="G466" s="87">
        <f>SUM(G460+G464)</f>
        <v>410135</v>
      </c>
    </row>
    <row r="467" spans="2:12" ht="12.95" customHeight="1" x14ac:dyDescent="0.3">
      <c r="B467" s="23" t="s">
        <v>109</v>
      </c>
      <c r="C467" s="24"/>
      <c r="D467" s="56"/>
      <c r="E467" s="25"/>
      <c r="F467" s="26"/>
      <c r="G467" s="27">
        <f>TRUNC(G466/G457)</f>
        <v>11718</v>
      </c>
    </row>
    <row r="468" spans="2:12" ht="12.95" customHeight="1" x14ac:dyDescent="0.3">
      <c r="B468" s="3"/>
      <c r="C468" s="9"/>
      <c r="D468" s="3"/>
      <c r="E468" s="13"/>
      <c r="F468" s="4"/>
      <c r="G468" s="4"/>
    </row>
    <row r="469" spans="2:12" ht="12.95" customHeight="1" x14ac:dyDescent="0.3">
      <c r="B469" s="2" t="s">
        <v>148</v>
      </c>
      <c r="I469" s="61" t="s">
        <v>53</v>
      </c>
      <c r="K469" s="16"/>
      <c r="L469" s="16"/>
    </row>
    <row r="470" spans="2:12" ht="12.95" customHeight="1" x14ac:dyDescent="0.3">
      <c r="B470" s="101" t="s">
        <v>11</v>
      </c>
      <c r="C470" s="101" t="s">
        <v>15</v>
      </c>
      <c r="D470" s="104" t="s">
        <v>16</v>
      </c>
      <c r="E470" s="104" t="s">
        <v>12</v>
      </c>
      <c r="F470" s="99" t="s">
        <v>45</v>
      </c>
      <c r="G470" s="100"/>
      <c r="H470" s="99" t="s">
        <v>46</v>
      </c>
      <c r="I470" s="100"/>
      <c r="J470" s="59"/>
      <c r="K470" s="16"/>
      <c r="L470" s="16"/>
    </row>
    <row r="471" spans="2:12" ht="12.95" customHeight="1" x14ac:dyDescent="0.3">
      <c r="B471" s="102"/>
      <c r="C471" s="102"/>
      <c r="D471" s="105"/>
      <c r="E471" s="105"/>
      <c r="F471" s="88" t="s">
        <v>112</v>
      </c>
      <c r="G471" s="83">
        <v>120</v>
      </c>
      <c r="H471" s="88" t="s">
        <v>111</v>
      </c>
      <c r="I471" s="83">
        <v>170</v>
      </c>
      <c r="J471" s="59"/>
      <c r="K471" s="16"/>
      <c r="L471" s="16"/>
    </row>
    <row r="472" spans="2:12" ht="12.95" customHeight="1" x14ac:dyDescent="0.3">
      <c r="B472" s="103"/>
      <c r="C472" s="103"/>
      <c r="D472" s="106"/>
      <c r="E472" s="106"/>
      <c r="F472" s="63" t="s">
        <v>13</v>
      </c>
      <c r="G472" s="64" t="s">
        <v>14</v>
      </c>
      <c r="H472" s="63" t="s">
        <v>13</v>
      </c>
      <c r="I472" s="64" t="s">
        <v>14</v>
      </c>
      <c r="J472" s="59"/>
      <c r="K472" s="16"/>
      <c r="L472" s="16"/>
    </row>
    <row r="473" spans="2:12" ht="12.95" customHeight="1" x14ac:dyDescent="0.3">
      <c r="B473" s="17" t="s">
        <v>44</v>
      </c>
      <c r="C473" s="17" t="s">
        <v>29</v>
      </c>
      <c r="D473" s="58" t="s">
        <v>25</v>
      </c>
      <c r="E473" s="65">
        <v>12764</v>
      </c>
      <c r="F473" s="89">
        <v>8</v>
      </c>
      <c r="G473" s="11">
        <f t="shared" ref="G473" si="152">TRUNC($E473*F473,1)</f>
        <v>102112</v>
      </c>
      <c r="H473" s="89">
        <v>8</v>
      </c>
      <c r="I473" s="11">
        <f t="shared" ref="I473" si="153">TRUNC($E473*H473,1)</f>
        <v>102112</v>
      </c>
      <c r="J473" s="59"/>
    </row>
    <row r="474" spans="2:12" ht="12.95" customHeight="1" x14ac:dyDescent="0.3">
      <c r="B474" s="17" t="s">
        <v>17</v>
      </c>
      <c r="C474" s="10" t="s">
        <v>22</v>
      </c>
      <c r="D474" s="58" t="s">
        <v>26</v>
      </c>
      <c r="E474" s="19"/>
      <c r="F474" s="89">
        <v>1</v>
      </c>
      <c r="G474" s="20">
        <f>TRUNC(SUM(G477:G479)*0.03,1)</f>
        <v>37272.6</v>
      </c>
      <c r="H474" s="89">
        <v>1</v>
      </c>
      <c r="I474" s="20">
        <f>TRUNC(SUM(I477:I479)*0.03,1)</f>
        <v>37272.6</v>
      </c>
      <c r="J474" s="59"/>
    </row>
    <row r="475" spans="2:12" ht="12.95" customHeight="1" x14ac:dyDescent="0.3">
      <c r="B475" s="48" t="s">
        <v>19</v>
      </c>
      <c r="C475" s="52"/>
      <c r="D475" s="50"/>
      <c r="E475" s="49"/>
      <c r="F475" s="49"/>
      <c r="G475" s="47">
        <f>TRUNC(SUM(G473:G474))</f>
        <v>139384</v>
      </c>
      <c r="H475" s="49"/>
      <c r="I475" s="47">
        <f>TRUNC(SUM(I473:I474))</f>
        <v>139384</v>
      </c>
      <c r="J475" s="59"/>
    </row>
    <row r="476" spans="2:12" ht="12.95" customHeight="1" x14ac:dyDescent="0.3">
      <c r="B476" s="21"/>
      <c r="C476" s="21"/>
      <c r="D476" s="58"/>
      <c r="E476" s="18"/>
      <c r="F476" s="18"/>
      <c r="G476" s="22"/>
      <c r="H476" s="18"/>
      <c r="I476" s="22"/>
      <c r="J476" s="59"/>
    </row>
    <row r="477" spans="2:12" ht="12.95" customHeight="1" x14ac:dyDescent="0.3">
      <c r="B477" s="29" t="s">
        <v>7</v>
      </c>
      <c r="C477" s="14"/>
      <c r="D477" s="6" t="s">
        <v>18</v>
      </c>
      <c r="E477" s="65">
        <v>252641</v>
      </c>
      <c r="F477" s="89">
        <v>2</v>
      </c>
      <c r="G477" s="11">
        <f t="shared" ref="G477:G480" si="154">TRUNC($E477*F477,1)</f>
        <v>505282</v>
      </c>
      <c r="H477" s="89">
        <v>2</v>
      </c>
      <c r="I477" s="11">
        <f t="shared" ref="I477:I480" si="155">TRUNC($E477*H477,1)</f>
        <v>505282</v>
      </c>
      <c r="J477" s="59"/>
    </row>
    <row r="478" spans="2:12" ht="12.95" customHeight="1" x14ac:dyDescent="0.3">
      <c r="B478" s="29" t="s">
        <v>41</v>
      </c>
      <c r="C478" s="14"/>
      <c r="D478" s="6" t="s">
        <v>18</v>
      </c>
      <c r="E478" s="65">
        <v>282536</v>
      </c>
      <c r="F478" s="89">
        <v>2</v>
      </c>
      <c r="G478" s="11">
        <f t="shared" ref="G478" si="156">TRUNC($E478*F478,1)</f>
        <v>565072</v>
      </c>
      <c r="H478" s="89">
        <v>2</v>
      </c>
      <c r="I478" s="11">
        <f t="shared" ref="I478" si="157">TRUNC($E478*H478,1)</f>
        <v>565072</v>
      </c>
      <c r="J478" s="59"/>
    </row>
    <row r="479" spans="2:12" ht="12.95" customHeight="1" x14ac:dyDescent="0.3">
      <c r="B479" s="29" t="s">
        <v>5</v>
      </c>
      <c r="C479" s="14"/>
      <c r="D479" s="6" t="s">
        <v>18</v>
      </c>
      <c r="E479" s="65">
        <v>172068</v>
      </c>
      <c r="F479" s="89">
        <v>1</v>
      </c>
      <c r="G479" s="11">
        <f t="shared" si="154"/>
        <v>172068</v>
      </c>
      <c r="H479" s="89">
        <v>1</v>
      </c>
      <c r="I479" s="11">
        <f t="shared" si="155"/>
        <v>172068</v>
      </c>
      <c r="J479" s="59"/>
    </row>
    <row r="480" spans="2:12" ht="12.95" customHeight="1" x14ac:dyDescent="0.3">
      <c r="B480" s="17" t="s">
        <v>44</v>
      </c>
      <c r="C480" s="17" t="s">
        <v>29</v>
      </c>
      <c r="D480" s="58" t="s">
        <v>25</v>
      </c>
      <c r="E480" s="65">
        <v>58925</v>
      </c>
      <c r="F480" s="89">
        <v>8</v>
      </c>
      <c r="G480" s="11">
        <f t="shared" si="154"/>
        <v>471400</v>
      </c>
      <c r="H480" s="89">
        <v>8</v>
      </c>
      <c r="I480" s="11">
        <f t="shared" si="155"/>
        <v>471400</v>
      </c>
      <c r="J480" s="59"/>
    </row>
    <row r="481" spans="2:11" ht="12.95" customHeight="1" x14ac:dyDescent="0.3">
      <c r="B481" s="42" t="s">
        <v>20</v>
      </c>
      <c r="C481" s="52"/>
      <c r="D481" s="50"/>
      <c r="E481" s="46"/>
      <c r="F481" s="90"/>
      <c r="G481" s="47">
        <f>TRUNC(SUM(G477:G480))</f>
        <v>1713822</v>
      </c>
      <c r="H481" s="90"/>
      <c r="I481" s="47">
        <f>TRUNC(SUM(I477:I480))</f>
        <v>1713822</v>
      </c>
      <c r="J481" s="59"/>
    </row>
    <row r="482" spans="2:11" ht="12.95" customHeight="1" x14ac:dyDescent="0.3">
      <c r="B482" s="21"/>
      <c r="C482" s="21"/>
      <c r="D482" s="58"/>
      <c r="E482" s="18"/>
      <c r="F482" s="91"/>
      <c r="G482" s="22"/>
      <c r="H482" s="91"/>
      <c r="I482" s="22"/>
      <c r="J482" s="59"/>
    </row>
    <row r="483" spans="2:11" ht="12.95" customHeight="1" x14ac:dyDescent="0.3">
      <c r="B483" s="17" t="s">
        <v>44</v>
      </c>
      <c r="C483" s="17" t="s">
        <v>29</v>
      </c>
      <c r="D483" s="58" t="s">
        <v>25</v>
      </c>
      <c r="E483" s="65">
        <v>59751</v>
      </c>
      <c r="F483" s="89">
        <v>8</v>
      </c>
      <c r="G483" s="11">
        <f t="shared" ref="G483" si="158">TRUNC($E483*F483,1)</f>
        <v>478008</v>
      </c>
      <c r="H483" s="89">
        <v>8</v>
      </c>
      <c r="I483" s="11">
        <f t="shared" ref="I483" si="159">TRUNC($E483*H483,1)</f>
        <v>478008</v>
      </c>
      <c r="J483" s="59"/>
    </row>
    <row r="484" spans="2:11" ht="12.95" customHeight="1" x14ac:dyDescent="0.3">
      <c r="B484" s="48" t="s">
        <v>21</v>
      </c>
      <c r="C484" s="52"/>
      <c r="D484" s="53"/>
      <c r="E484" s="46"/>
      <c r="F484" s="49"/>
      <c r="G484" s="47">
        <f>TRUNC(SUM(G483:G483))</f>
        <v>478008</v>
      </c>
      <c r="H484" s="49"/>
      <c r="I484" s="47">
        <f>TRUNC(SUM(I483:I483))</f>
        <v>478008</v>
      </c>
      <c r="J484" s="59"/>
      <c r="K484" s="36"/>
    </row>
    <row r="485" spans="2:11" ht="12.95" customHeight="1" x14ac:dyDescent="0.3">
      <c r="B485" s="21"/>
      <c r="C485" s="21"/>
      <c r="D485" s="58"/>
      <c r="E485" s="18"/>
      <c r="F485" s="18"/>
      <c r="G485" s="22"/>
      <c r="H485" s="18"/>
      <c r="I485" s="22"/>
      <c r="J485" s="59"/>
      <c r="K485" s="36"/>
    </row>
    <row r="486" spans="2:11" ht="12.95" customHeight="1" x14ac:dyDescent="0.3">
      <c r="B486" s="84" t="s">
        <v>23</v>
      </c>
      <c r="C486" s="21"/>
      <c r="D486" s="58"/>
      <c r="E486" s="85"/>
      <c r="F486" s="86"/>
      <c r="G486" s="87">
        <f>SUM(G475+G481+G484)</f>
        <v>2331214</v>
      </c>
      <c r="H486" s="86"/>
      <c r="I486" s="87">
        <f>SUM(I475+I481+I484)</f>
        <v>2331214</v>
      </c>
      <c r="J486" s="59"/>
      <c r="K486" s="36"/>
    </row>
    <row r="487" spans="2:11" ht="12.95" customHeight="1" x14ac:dyDescent="0.3">
      <c r="B487" s="23" t="s">
        <v>113</v>
      </c>
      <c r="C487" s="24"/>
      <c r="D487" s="56"/>
      <c r="E487" s="25"/>
      <c r="F487" s="26"/>
      <c r="G487" s="27">
        <f>TRUNC((G486/G471))</f>
        <v>19426</v>
      </c>
      <c r="H487" s="26"/>
      <c r="I487" s="27">
        <f>TRUNC((I486/I471))</f>
        <v>13713</v>
      </c>
      <c r="J487" s="59"/>
      <c r="K487" s="36"/>
    </row>
    <row r="488" spans="2:11" ht="12.95" customHeight="1" x14ac:dyDescent="0.3">
      <c r="B488" s="3" t="s">
        <v>114</v>
      </c>
      <c r="C488" s="9"/>
      <c r="D488" s="3"/>
      <c r="E488" s="13"/>
      <c r="F488" s="4"/>
      <c r="G488" s="4"/>
      <c r="H488" s="4"/>
      <c r="I488" s="4"/>
      <c r="J488" s="59"/>
      <c r="K488" s="36"/>
    </row>
    <row r="489" spans="2:11" ht="12.95" customHeight="1" x14ac:dyDescent="0.3">
      <c r="B489" s="3"/>
      <c r="C489" s="9"/>
      <c r="D489" s="3"/>
      <c r="E489" s="13"/>
      <c r="F489" s="4"/>
      <c r="G489" s="4"/>
      <c r="H489" s="4"/>
      <c r="I489" s="4"/>
      <c r="J489" s="59"/>
      <c r="K489" s="36"/>
    </row>
    <row r="490" spans="2:11" ht="12.95" customHeight="1" x14ac:dyDescent="0.3">
      <c r="B490" s="2" t="s">
        <v>149</v>
      </c>
      <c r="G490" s="61" t="s">
        <v>53</v>
      </c>
      <c r="I490" s="16"/>
      <c r="J490" s="16"/>
    </row>
    <row r="491" spans="2:11" ht="12.95" customHeight="1" x14ac:dyDescent="0.3">
      <c r="B491" s="107" t="s">
        <v>11</v>
      </c>
      <c r="C491" s="110" t="s">
        <v>15</v>
      </c>
      <c r="D491" s="113" t="s">
        <v>16</v>
      </c>
      <c r="E491" s="116" t="s">
        <v>12</v>
      </c>
      <c r="F491" s="88" t="s">
        <v>150</v>
      </c>
      <c r="G491" s="83">
        <v>50</v>
      </c>
      <c r="H491" s="59"/>
      <c r="I491" s="16"/>
      <c r="J491" s="16"/>
    </row>
    <row r="492" spans="2:11" ht="12.95" customHeight="1" x14ac:dyDescent="0.3">
      <c r="B492" s="109"/>
      <c r="C492" s="112"/>
      <c r="D492" s="115"/>
      <c r="E492" s="118"/>
      <c r="F492" s="63" t="s">
        <v>13</v>
      </c>
      <c r="G492" s="64" t="s">
        <v>14</v>
      </c>
      <c r="H492" s="59"/>
      <c r="I492" s="16"/>
      <c r="J492" s="16"/>
    </row>
    <row r="493" spans="2:11" ht="12.95" customHeight="1" x14ac:dyDescent="0.3">
      <c r="B493" s="17" t="s">
        <v>44</v>
      </c>
      <c r="C493" s="17" t="s">
        <v>29</v>
      </c>
      <c r="D493" s="58" t="s">
        <v>25</v>
      </c>
      <c r="E493" s="65">
        <v>12764</v>
      </c>
      <c r="F493" s="89">
        <v>4</v>
      </c>
      <c r="G493" s="11">
        <f t="shared" ref="G493" si="160">TRUNC($E493*F493,1)</f>
        <v>51056</v>
      </c>
      <c r="H493" s="59"/>
    </row>
    <row r="494" spans="2:11" ht="12.95" customHeight="1" x14ac:dyDescent="0.3">
      <c r="B494" s="17" t="s">
        <v>17</v>
      </c>
      <c r="C494" s="10" t="s">
        <v>22</v>
      </c>
      <c r="D494" s="58" t="s">
        <v>26</v>
      </c>
      <c r="E494" s="19"/>
      <c r="F494" s="89">
        <v>1</v>
      </c>
      <c r="G494" s="20">
        <f>TRUNC(SUM(G497:G498)*0.03,1)</f>
        <v>19550.5</v>
      </c>
      <c r="H494" s="59"/>
    </row>
    <row r="495" spans="2:11" ht="12.95" customHeight="1" x14ac:dyDescent="0.3">
      <c r="B495" s="48" t="s">
        <v>19</v>
      </c>
      <c r="C495" s="52"/>
      <c r="D495" s="50"/>
      <c r="E495" s="49"/>
      <c r="F495" s="49"/>
      <c r="G495" s="47">
        <f>TRUNC(SUM(G493:G494))</f>
        <v>70606</v>
      </c>
      <c r="H495" s="59"/>
    </row>
    <row r="496" spans="2:11" ht="12.95" customHeight="1" x14ac:dyDescent="0.3">
      <c r="B496" s="21"/>
      <c r="C496" s="21"/>
      <c r="D496" s="58"/>
      <c r="E496" s="18"/>
      <c r="F496" s="18"/>
      <c r="G496" s="22"/>
      <c r="H496" s="59"/>
    </row>
    <row r="497" spans="2:12" ht="12.95" customHeight="1" x14ac:dyDescent="0.3">
      <c r="B497" s="29" t="s">
        <v>145</v>
      </c>
      <c r="C497" s="14"/>
      <c r="D497" s="6" t="s">
        <v>18</v>
      </c>
      <c r="E497" s="71">
        <v>239808</v>
      </c>
      <c r="F497" s="89">
        <v>2</v>
      </c>
      <c r="G497" s="11">
        <f t="shared" ref="G497:G499" si="161">TRUNC($E497*F497,1)</f>
        <v>479616</v>
      </c>
      <c r="H497" s="59"/>
    </row>
    <row r="498" spans="2:12" ht="12.95" customHeight="1" x14ac:dyDescent="0.3">
      <c r="B498" s="29" t="s">
        <v>5</v>
      </c>
      <c r="C498" s="14"/>
      <c r="D498" s="6" t="s">
        <v>18</v>
      </c>
      <c r="E498" s="65">
        <v>172068</v>
      </c>
      <c r="F498" s="89">
        <v>1</v>
      </c>
      <c r="G498" s="11">
        <f t="shared" si="161"/>
        <v>172068</v>
      </c>
      <c r="H498" s="59"/>
    </row>
    <row r="499" spans="2:12" ht="12.95" customHeight="1" x14ac:dyDescent="0.3">
      <c r="B499" s="17" t="s">
        <v>44</v>
      </c>
      <c r="C499" s="17" t="s">
        <v>29</v>
      </c>
      <c r="D499" s="58" t="s">
        <v>25</v>
      </c>
      <c r="E499" s="65">
        <v>58925</v>
      </c>
      <c r="F499" s="89">
        <v>4</v>
      </c>
      <c r="G499" s="11">
        <f t="shared" si="161"/>
        <v>235700</v>
      </c>
      <c r="H499" s="59"/>
    </row>
    <row r="500" spans="2:12" ht="12.95" customHeight="1" x14ac:dyDescent="0.3">
      <c r="B500" s="42" t="s">
        <v>20</v>
      </c>
      <c r="C500" s="52"/>
      <c r="D500" s="50"/>
      <c r="E500" s="46"/>
      <c r="F500" s="90"/>
      <c r="G500" s="47">
        <f>TRUNC(SUM(G497:G499))</f>
        <v>887384</v>
      </c>
      <c r="H500" s="59"/>
    </row>
    <row r="501" spans="2:12" ht="12.95" customHeight="1" x14ac:dyDescent="0.3">
      <c r="B501" s="21"/>
      <c r="C501" s="21"/>
      <c r="D501" s="58"/>
      <c r="E501" s="18"/>
      <c r="F501" s="91"/>
      <c r="G501" s="22"/>
      <c r="H501" s="59"/>
    </row>
    <row r="502" spans="2:12" ht="12.95" customHeight="1" x14ac:dyDescent="0.3">
      <c r="B502" s="17" t="s">
        <v>44</v>
      </c>
      <c r="C502" s="17" t="s">
        <v>29</v>
      </c>
      <c r="D502" s="58" t="s">
        <v>25</v>
      </c>
      <c r="E502" s="65">
        <v>59751</v>
      </c>
      <c r="F502" s="89">
        <v>4</v>
      </c>
      <c r="G502" s="11">
        <f t="shared" ref="G502" si="162">TRUNC($E502*F502,1)</f>
        <v>239004</v>
      </c>
      <c r="H502" s="59"/>
    </row>
    <row r="503" spans="2:12" ht="12.95" customHeight="1" x14ac:dyDescent="0.3">
      <c r="B503" s="48" t="s">
        <v>21</v>
      </c>
      <c r="C503" s="52"/>
      <c r="D503" s="53"/>
      <c r="E503" s="46"/>
      <c r="F503" s="49"/>
      <c r="G503" s="47">
        <f>TRUNC(SUM(G502:G502))</f>
        <v>239004</v>
      </c>
      <c r="H503" s="59"/>
      <c r="I503" s="36"/>
    </row>
    <row r="504" spans="2:12" ht="12.95" customHeight="1" x14ac:dyDescent="0.3">
      <c r="B504" s="21"/>
      <c r="C504" s="21"/>
      <c r="D504" s="58"/>
      <c r="E504" s="18"/>
      <c r="F504" s="18"/>
      <c r="G504" s="22"/>
      <c r="H504" s="59"/>
      <c r="I504" s="36"/>
    </row>
    <row r="505" spans="2:12" ht="12.95" customHeight="1" x14ac:dyDescent="0.3">
      <c r="B505" s="84" t="s">
        <v>23</v>
      </c>
      <c r="C505" s="21"/>
      <c r="D505" s="58"/>
      <c r="E505" s="85"/>
      <c r="F505" s="86"/>
      <c r="G505" s="87">
        <f>SUM(G495+G500+G503)</f>
        <v>1196994</v>
      </c>
      <c r="H505" s="59"/>
      <c r="I505" s="36"/>
    </row>
    <row r="506" spans="2:12" ht="12.95" customHeight="1" x14ac:dyDescent="0.3">
      <c r="B506" s="23" t="s">
        <v>151</v>
      </c>
      <c r="C506" s="24"/>
      <c r="D506" s="56"/>
      <c r="E506" s="25"/>
      <c r="F506" s="26"/>
      <c r="G506" s="27">
        <f>TRUNC((G505/G491))</f>
        <v>23939</v>
      </c>
      <c r="H506" s="59"/>
      <c r="I506" s="36"/>
    </row>
    <row r="507" spans="2:12" ht="12.95" customHeight="1" x14ac:dyDescent="0.3">
      <c r="B507" s="3" t="s">
        <v>114</v>
      </c>
      <c r="C507" s="9"/>
      <c r="D507" s="3"/>
      <c r="E507" s="13"/>
      <c r="F507" s="4"/>
      <c r="G507" s="4"/>
      <c r="H507" s="4"/>
      <c r="I507" s="4"/>
      <c r="J507" s="59"/>
      <c r="K507" s="36"/>
    </row>
    <row r="508" spans="2:12" ht="12.95" customHeight="1" x14ac:dyDescent="0.3">
      <c r="B508" s="3"/>
      <c r="C508" s="9"/>
      <c r="D508" s="3"/>
      <c r="E508" s="13"/>
      <c r="F508" s="4"/>
      <c r="G508" s="4"/>
      <c r="H508" s="4"/>
      <c r="I508" s="4"/>
      <c r="J508" s="59"/>
      <c r="K508" s="36"/>
    </row>
    <row r="509" spans="2:12" ht="12.95" customHeight="1" x14ac:dyDescent="0.3">
      <c r="B509" s="75" t="s">
        <v>71</v>
      </c>
      <c r="C509" s="9"/>
      <c r="D509" s="3"/>
      <c r="E509" s="13"/>
      <c r="F509" s="4"/>
      <c r="G509" s="4"/>
      <c r="H509" s="4"/>
      <c r="I509" s="4"/>
    </row>
    <row r="510" spans="2:12" ht="12.95" customHeight="1" x14ac:dyDescent="0.3">
      <c r="B510" s="28" t="s">
        <v>73</v>
      </c>
      <c r="C510" s="37"/>
      <c r="D510" s="37"/>
      <c r="E510" s="37"/>
      <c r="F510" s="37"/>
      <c r="G510" s="37"/>
      <c r="H510" s="37"/>
      <c r="I510" s="37"/>
      <c r="K510" s="61" t="s">
        <v>53</v>
      </c>
    </row>
    <row r="511" spans="2:12" ht="12.95" customHeight="1" x14ac:dyDescent="0.3">
      <c r="B511" s="101" t="s">
        <v>11</v>
      </c>
      <c r="C511" s="104" t="s">
        <v>15</v>
      </c>
      <c r="D511" s="104" t="s">
        <v>16</v>
      </c>
      <c r="E511" s="104" t="s">
        <v>12</v>
      </c>
      <c r="F511" s="99" t="s">
        <v>155</v>
      </c>
      <c r="G511" s="100"/>
      <c r="H511" s="100"/>
      <c r="I511" s="100"/>
      <c r="J511" s="100"/>
      <c r="K511" s="100"/>
      <c r="L511" s="16"/>
    </row>
    <row r="512" spans="2:12" ht="12.95" customHeight="1" x14ac:dyDescent="0.3">
      <c r="B512" s="102"/>
      <c r="C512" s="105"/>
      <c r="D512" s="105"/>
      <c r="E512" s="105"/>
      <c r="F512" s="99" t="s">
        <v>102</v>
      </c>
      <c r="G512" s="100"/>
      <c r="H512" s="99" t="s">
        <v>103</v>
      </c>
      <c r="I512" s="100"/>
      <c r="J512" s="99" t="s">
        <v>104</v>
      </c>
      <c r="K512" s="100"/>
      <c r="L512" s="16"/>
    </row>
    <row r="513" spans="2:15" ht="12.95" customHeight="1" x14ac:dyDescent="0.3">
      <c r="B513" s="102"/>
      <c r="C513" s="105"/>
      <c r="D513" s="105"/>
      <c r="E513" s="105"/>
      <c r="F513" s="88" t="s">
        <v>111</v>
      </c>
      <c r="G513" s="96">
        <v>4800</v>
      </c>
      <c r="H513" s="88" t="s">
        <v>111</v>
      </c>
      <c r="I513" s="96">
        <v>3600</v>
      </c>
      <c r="J513" s="88" t="s">
        <v>111</v>
      </c>
      <c r="K513" s="96">
        <v>3200</v>
      </c>
      <c r="L513" s="16"/>
    </row>
    <row r="514" spans="2:15" ht="12.95" customHeight="1" x14ac:dyDescent="0.3">
      <c r="B514" s="103"/>
      <c r="C514" s="106"/>
      <c r="D514" s="106"/>
      <c r="E514" s="106"/>
      <c r="F514" s="63" t="s">
        <v>13</v>
      </c>
      <c r="G514" s="64" t="s">
        <v>14</v>
      </c>
      <c r="H514" s="63" t="s">
        <v>13</v>
      </c>
      <c r="I514" s="64" t="s">
        <v>14</v>
      </c>
      <c r="J514" s="63" t="s">
        <v>13</v>
      </c>
      <c r="K514" s="64" t="s">
        <v>14</v>
      </c>
      <c r="L514" s="16"/>
    </row>
    <row r="515" spans="2:15" ht="12.95" customHeight="1" x14ac:dyDescent="0.3">
      <c r="B515" s="17" t="s">
        <v>110</v>
      </c>
      <c r="C515" s="17" t="s">
        <v>105</v>
      </c>
      <c r="D515" s="58" t="s">
        <v>25</v>
      </c>
      <c r="E515" s="65">
        <v>18182</v>
      </c>
      <c r="F515" s="89">
        <v>8</v>
      </c>
      <c r="G515" s="11">
        <f t="shared" ref="G515" si="163">TRUNC($E515*F515,1)</f>
        <v>145456</v>
      </c>
      <c r="H515" s="89">
        <v>8</v>
      </c>
      <c r="I515" s="11">
        <f t="shared" ref="I515" si="164">TRUNC($E515*H515,1)</f>
        <v>145456</v>
      </c>
      <c r="J515" s="89">
        <v>8</v>
      </c>
      <c r="K515" s="11">
        <f t="shared" ref="K515" si="165">TRUNC($E515*J515,1)</f>
        <v>145456</v>
      </c>
    </row>
    <row r="516" spans="2:15" ht="12.95" customHeight="1" x14ac:dyDescent="0.3">
      <c r="B516" s="17" t="s">
        <v>17</v>
      </c>
      <c r="C516" s="10" t="s">
        <v>85</v>
      </c>
      <c r="D516" s="58" t="s">
        <v>26</v>
      </c>
      <c r="E516" s="19"/>
      <c r="F516" s="89">
        <v>1</v>
      </c>
      <c r="G516" s="20">
        <f>TRUNC(SUM(G519:G520)*0.04,1)</f>
        <v>34017.300000000003</v>
      </c>
      <c r="H516" s="89">
        <v>1</v>
      </c>
      <c r="I516" s="20">
        <f>TRUNC(SUM(I519:I520)*0.04,1)</f>
        <v>24972.400000000001</v>
      </c>
      <c r="J516" s="89">
        <v>1</v>
      </c>
      <c r="K516" s="20">
        <f>TRUNC(SUM(K519:K520)*0.04,1)</f>
        <v>24972.400000000001</v>
      </c>
    </row>
    <row r="517" spans="2:15" ht="12.95" customHeight="1" x14ac:dyDescent="0.3">
      <c r="B517" s="48" t="s">
        <v>19</v>
      </c>
      <c r="C517" s="52"/>
      <c r="D517" s="50"/>
      <c r="E517" s="49"/>
      <c r="F517" s="49"/>
      <c r="G517" s="47">
        <f>TRUNC(SUM(G515:G516))</f>
        <v>179473</v>
      </c>
      <c r="H517" s="49"/>
      <c r="I517" s="47">
        <f>TRUNC(SUM(I515:I516))</f>
        <v>170428</v>
      </c>
      <c r="J517" s="49"/>
      <c r="K517" s="47">
        <f>TRUNC(SUM(K515:K516))</f>
        <v>170428</v>
      </c>
    </row>
    <row r="518" spans="2:15" ht="12.95" customHeight="1" x14ac:dyDescent="0.3">
      <c r="B518" s="21"/>
      <c r="C518" s="21"/>
      <c r="D518" s="58"/>
      <c r="E518" s="18"/>
      <c r="F518" s="18"/>
      <c r="G518" s="22"/>
      <c r="H518" s="18"/>
      <c r="I518" s="22"/>
      <c r="J518" s="18"/>
      <c r="K518" s="22"/>
    </row>
    <row r="519" spans="2:15" ht="12.95" customHeight="1" x14ac:dyDescent="0.3">
      <c r="B519" s="29" t="s">
        <v>31</v>
      </c>
      <c r="C519" s="14"/>
      <c r="D519" s="6" t="s">
        <v>18</v>
      </c>
      <c r="E519" s="65">
        <v>226122</v>
      </c>
      <c r="F519" s="89">
        <v>3</v>
      </c>
      <c r="G519" s="11">
        <f t="shared" ref="G519:G521" si="166">TRUNC($E519*F519,1)</f>
        <v>678366</v>
      </c>
      <c r="H519" s="89">
        <v>2</v>
      </c>
      <c r="I519" s="11">
        <f t="shared" ref="I519:I521" si="167">TRUNC($E519*H519,1)</f>
        <v>452244</v>
      </c>
      <c r="J519" s="89">
        <v>2</v>
      </c>
      <c r="K519" s="11">
        <f t="shared" ref="K519:K521" si="168">TRUNC($E519*J519,1)</f>
        <v>452244</v>
      </c>
    </row>
    <row r="520" spans="2:15" ht="12.95" customHeight="1" x14ac:dyDescent="0.3">
      <c r="B520" s="29" t="s">
        <v>5</v>
      </c>
      <c r="C520" s="14"/>
      <c r="D520" s="6" t="s">
        <v>18</v>
      </c>
      <c r="E520" s="65">
        <v>172068</v>
      </c>
      <c r="F520" s="89">
        <v>1</v>
      </c>
      <c r="G520" s="11">
        <f t="shared" si="166"/>
        <v>172068</v>
      </c>
      <c r="H520" s="89">
        <v>1</v>
      </c>
      <c r="I520" s="11">
        <f t="shared" si="167"/>
        <v>172068</v>
      </c>
      <c r="J520" s="89">
        <v>1</v>
      </c>
      <c r="K520" s="11">
        <f t="shared" si="168"/>
        <v>172068</v>
      </c>
    </row>
    <row r="521" spans="2:15" ht="12.95" customHeight="1" x14ac:dyDescent="0.3">
      <c r="B521" s="17" t="s">
        <v>110</v>
      </c>
      <c r="C521" s="17" t="s">
        <v>105</v>
      </c>
      <c r="D521" s="58" t="s">
        <v>25</v>
      </c>
      <c r="E521" s="65">
        <v>58925</v>
      </c>
      <c r="F521" s="89">
        <v>8</v>
      </c>
      <c r="G521" s="11">
        <f t="shared" si="166"/>
        <v>471400</v>
      </c>
      <c r="H521" s="89">
        <v>8</v>
      </c>
      <c r="I521" s="11">
        <f t="shared" si="167"/>
        <v>471400</v>
      </c>
      <c r="J521" s="89">
        <v>8</v>
      </c>
      <c r="K521" s="11">
        <f t="shared" si="168"/>
        <v>471400</v>
      </c>
    </row>
    <row r="522" spans="2:15" ht="12.95" customHeight="1" x14ac:dyDescent="0.3">
      <c r="B522" s="42" t="s">
        <v>20</v>
      </c>
      <c r="C522" s="52"/>
      <c r="D522" s="50"/>
      <c r="E522" s="46"/>
      <c r="F522" s="90"/>
      <c r="G522" s="47">
        <f>TRUNC(SUM(G519:G521))</f>
        <v>1321834</v>
      </c>
      <c r="H522" s="90"/>
      <c r="I522" s="47">
        <f>TRUNC(SUM(I519:I521))</f>
        <v>1095712</v>
      </c>
      <c r="J522" s="90"/>
      <c r="K522" s="47">
        <f>TRUNC(SUM(K519:K521))</f>
        <v>1095712</v>
      </c>
    </row>
    <row r="523" spans="2:15" ht="12.95" customHeight="1" x14ac:dyDescent="0.3">
      <c r="B523" s="21"/>
      <c r="C523" s="21"/>
      <c r="D523" s="58"/>
      <c r="E523" s="18"/>
      <c r="F523" s="91"/>
      <c r="G523" s="22"/>
      <c r="H523" s="91"/>
      <c r="I523" s="22"/>
      <c r="J523" s="91"/>
      <c r="K523" s="22"/>
    </row>
    <row r="524" spans="2:15" ht="12.95" customHeight="1" x14ac:dyDescent="0.3">
      <c r="B524" s="17" t="s">
        <v>110</v>
      </c>
      <c r="C524" s="17" t="s">
        <v>105</v>
      </c>
      <c r="D524" s="58" t="s">
        <v>25</v>
      </c>
      <c r="E524" s="65">
        <v>17514</v>
      </c>
      <c r="F524" s="89">
        <v>8</v>
      </c>
      <c r="G524" s="11">
        <f t="shared" ref="G524" si="169">TRUNC($E524*F524,1)</f>
        <v>140112</v>
      </c>
      <c r="H524" s="89">
        <v>8</v>
      </c>
      <c r="I524" s="11">
        <f t="shared" ref="I524" si="170">TRUNC($E524*H524,1)</f>
        <v>140112</v>
      </c>
      <c r="J524" s="89">
        <v>8</v>
      </c>
      <c r="K524" s="11">
        <f t="shared" ref="K524" si="171">TRUNC($E524*J524,1)</f>
        <v>140112</v>
      </c>
    </row>
    <row r="525" spans="2:15" ht="12.95" customHeight="1" x14ac:dyDescent="0.3">
      <c r="B525" s="48" t="s">
        <v>21</v>
      </c>
      <c r="C525" s="52"/>
      <c r="D525" s="53"/>
      <c r="E525" s="46"/>
      <c r="F525" s="49"/>
      <c r="G525" s="47">
        <f>TRUNC(SUM(G524:G524))</f>
        <v>140112</v>
      </c>
      <c r="H525" s="49"/>
      <c r="I525" s="47">
        <f>TRUNC(SUM(I524:I524))</f>
        <v>140112</v>
      </c>
      <c r="J525" s="49"/>
      <c r="K525" s="47">
        <f>TRUNC(SUM(K524:K524))</f>
        <v>140112</v>
      </c>
    </row>
    <row r="526" spans="2:15" ht="12.95" customHeight="1" x14ac:dyDescent="0.3">
      <c r="B526" s="21"/>
      <c r="C526" s="21"/>
      <c r="D526" s="58"/>
      <c r="E526" s="18"/>
      <c r="F526" s="18"/>
      <c r="G526" s="22"/>
      <c r="H526" s="18"/>
      <c r="I526" s="22"/>
      <c r="J526" s="18"/>
      <c r="K526" s="22"/>
    </row>
    <row r="527" spans="2:15" ht="12.95" customHeight="1" x14ac:dyDescent="0.3">
      <c r="B527" s="84" t="s">
        <v>23</v>
      </c>
      <c r="C527" s="21"/>
      <c r="D527" s="58"/>
      <c r="E527" s="85"/>
      <c r="F527" s="86"/>
      <c r="G527" s="87">
        <f>SUM(G517+G522+G525)</f>
        <v>1641419</v>
      </c>
      <c r="H527" s="86"/>
      <c r="I527" s="87">
        <f>SUM(I517+I522+I525)</f>
        <v>1406252</v>
      </c>
      <c r="J527" s="86"/>
      <c r="K527" s="87">
        <f>SUM(K517+K522+K525)</f>
        <v>1406252</v>
      </c>
      <c r="N527" s="16"/>
      <c r="O527" s="16"/>
    </row>
    <row r="528" spans="2:15" ht="12.95" customHeight="1" x14ac:dyDescent="0.3">
      <c r="B528" s="23" t="s">
        <v>154</v>
      </c>
      <c r="C528" s="24"/>
      <c r="D528" s="56"/>
      <c r="E528" s="25"/>
      <c r="F528" s="26"/>
      <c r="G528" s="27">
        <f>TRUNC((G527/G513)*100)</f>
        <v>34196</v>
      </c>
      <c r="H528" s="26"/>
      <c r="I528" s="27">
        <f>TRUNC((I527/I513)*100)</f>
        <v>39062</v>
      </c>
      <c r="J528" s="26"/>
      <c r="K528" s="27">
        <f>TRUNC((K527/K513)*100)</f>
        <v>43945</v>
      </c>
    </row>
    <row r="529" spans="2:10" ht="12.95" customHeight="1" x14ac:dyDescent="0.3">
      <c r="B529" s="101" t="s">
        <v>11</v>
      </c>
      <c r="C529" s="104" t="s">
        <v>15</v>
      </c>
      <c r="D529" s="104" t="s">
        <v>16</v>
      </c>
      <c r="E529" s="104" t="s">
        <v>12</v>
      </c>
      <c r="F529" s="99" t="s">
        <v>156</v>
      </c>
      <c r="G529" s="100"/>
      <c r="H529" s="100"/>
      <c r="I529" s="100"/>
      <c r="J529" s="16"/>
    </row>
    <row r="530" spans="2:10" ht="12.95" customHeight="1" x14ac:dyDescent="0.3">
      <c r="B530" s="102"/>
      <c r="C530" s="105"/>
      <c r="D530" s="105"/>
      <c r="E530" s="105"/>
      <c r="F530" s="99" t="s">
        <v>77</v>
      </c>
      <c r="G530" s="100"/>
      <c r="H530" s="99" t="s">
        <v>74</v>
      </c>
      <c r="I530" s="100"/>
      <c r="J530" s="16"/>
    </row>
    <row r="531" spans="2:10" ht="12.95" customHeight="1" x14ac:dyDescent="0.3">
      <c r="B531" s="102"/>
      <c r="C531" s="105"/>
      <c r="D531" s="105"/>
      <c r="E531" s="105"/>
      <c r="F531" s="88" t="s">
        <v>111</v>
      </c>
      <c r="G531" s="96">
        <v>1150</v>
      </c>
      <c r="H531" s="88" t="s">
        <v>111</v>
      </c>
      <c r="I531" s="96">
        <v>700</v>
      </c>
      <c r="J531" s="16"/>
    </row>
    <row r="532" spans="2:10" ht="12.95" customHeight="1" x14ac:dyDescent="0.3">
      <c r="B532" s="103"/>
      <c r="C532" s="106"/>
      <c r="D532" s="106"/>
      <c r="E532" s="106"/>
      <c r="F532" s="63" t="s">
        <v>13</v>
      </c>
      <c r="G532" s="64" t="s">
        <v>14</v>
      </c>
      <c r="H532" s="63" t="s">
        <v>13</v>
      </c>
      <c r="I532" s="64" t="s">
        <v>14</v>
      </c>
      <c r="J532" s="16"/>
    </row>
    <row r="533" spans="2:10" ht="12.95" customHeight="1" x14ac:dyDescent="0.3">
      <c r="B533" s="29" t="s">
        <v>31</v>
      </c>
      <c r="C533" s="14"/>
      <c r="D533" s="6" t="s">
        <v>18</v>
      </c>
      <c r="E533" s="71">
        <v>226122</v>
      </c>
      <c r="F533" s="89">
        <v>2</v>
      </c>
      <c r="G533" s="11">
        <f t="shared" ref="G533:G535" si="172">TRUNC($E533*F533,1)</f>
        <v>452244</v>
      </c>
      <c r="H533" s="89">
        <v>2</v>
      </c>
      <c r="I533" s="11">
        <f t="shared" ref="I533:I535" si="173">TRUNC($E533*H533,1)</f>
        <v>452244</v>
      </c>
    </row>
    <row r="534" spans="2:10" ht="12.95" customHeight="1" x14ac:dyDescent="0.3">
      <c r="B534" s="29" t="s">
        <v>5</v>
      </c>
      <c r="C534" s="14"/>
      <c r="D534" s="6" t="s">
        <v>18</v>
      </c>
      <c r="E534" s="71">
        <v>172068</v>
      </c>
      <c r="F534" s="89">
        <v>1</v>
      </c>
      <c r="G534" s="11">
        <f t="shared" si="172"/>
        <v>172068</v>
      </c>
      <c r="H534" s="89">
        <v>1</v>
      </c>
      <c r="I534" s="11">
        <f t="shared" si="173"/>
        <v>172068</v>
      </c>
    </row>
    <row r="535" spans="2:10" ht="12.95" customHeight="1" x14ac:dyDescent="0.3">
      <c r="B535" s="29" t="s">
        <v>75</v>
      </c>
      <c r="C535" s="14" t="s">
        <v>76</v>
      </c>
      <c r="D535" s="6" t="s">
        <v>18</v>
      </c>
      <c r="E535" s="60">
        <v>387342</v>
      </c>
      <c r="F535" s="89">
        <v>4</v>
      </c>
      <c r="G535" s="11">
        <f t="shared" si="172"/>
        <v>1549368</v>
      </c>
      <c r="H535" s="89">
        <v>4</v>
      </c>
      <c r="I535" s="11">
        <f t="shared" si="173"/>
        <v>1549368</v>
      </c>
    </row>
    <row r="536" spans="2:10" ht="12.95" customHeight="1" x14ac:dyDescent="0.3">
      <c r="B536" s="42" t="s">
        <v>20</v>
      </c>
      <c r="C536" s="52"/>
      <c r="D536" s="50"/>
      <c r="E536" s="46"/>
      <c r="F536" s="90"/>
      <c r="G536" s="47">
        <f>TRUNC(SUM(G533:G535))</f>
        <v>2173680</v>
      </c>
      <c r="H536" s="90"/>
      <c r="I536" s="47">
        <f>TRUNC(SUM(I533:I535))</f>
        <v>2173680</v>
      </c>
    </row>
    <row r="537" spans="2:10" ht="12.95" customHeight="1" x14ac:dyDescent="0.3">
      <c r="B537" s="21"/>
      <c r="C537" s="21"/>
      <c r="D537" s="58"/>
      <c r="E537" s="18"/>
      <c r="F537" s="91"/>
      <c r="G537" s="22"/>
      <c r="H537" s="91"/>
      <c r="I537" s="22"/>
    </row>
    <row r="538" spans="2:10" ht="12.95" customHeight="1" x14ac:dyDescent="0.3">
      <c r="B538" s="84" t="s">
        <v>23</v>
      </c>
      <c r="C538" s="21"/>
      <c r="D538" s="58"/>
      <c r="E538" s="85"/>
      <c r="F538" s="86"/>
      <c r="G538" s="87">
        <f>SUM(G536)</f>
        <v>2173680</v>
      </c>
      <c r="H538" s="86"/>
      <c r="I538" s="87">
        <f>SUM(I536)</f>
        <v>2173680</v>
      </c>
    </row>
    <row r="539" spans="2:10" ht="12.95" customHeight="1" x14ac:dyDescent="0.3">
      <c r="B539" s="23" t="s">
        <v>154</v>
      </c>
      <c r="C539" s="24"/>
      <c r="D539" s="56"/>
      <c r="E539" s="25"/>
      <c r="F539" s="26"/>
      <c r="G539" s="27">
        <f>TRUNC((G538/G531)*100)</f>
        <v>189015</v>
      </c>
      <c r="H539" s="26"/>
      <c r="I539" s="27">
        <f>TRUNC((I538/I531)*100)</f>
        <v>310525</v>
      </c>
    </row>
    <row r="540" spans="2:10" ht="12.95" customHeight="1" x14ac:dyDescent="0.3">
      <c r="B540" s="3"/>
      <c r="C540" s="9"/>
      <c r="D540" s="3"/>
      <c r="E540" s="13"/>
      <c r="F540" s="4"/>
      <c r="G540" s="4"/>
      <c r="H540" s="4"/>
      <c r="I540" s="4"/>
    </row>
    <row r="541" spans="2:10" ht="12.95" customHeight="1" x14ac:dyDescent="0.3">
      <c r="B541" s="3" t="s">
        <v>115</v>
      </c>
      <c r="C541" s="9"/>
      <c r="D541" s="3"/>
      <c r="E541" s="13"/>
      <c r="F541" s="4"/>
      <c r="G541" s="4"/>
      <c r="H541" s="4"/>
      <c r="I541" s="54" t="s">
        <v>72</v>
      </c>
    </row>
    <row r="542" spans="2:10" ht="12.95" customHeight="1" x14ac:dyDescent="0.3">
      <c r="B542" s="101" t="s">
        <v>11</v>
      </c>
      <c r="C542" s="104" t="s">
        <v>15</v>
      </c>
      <c r="D542" s="104" t="s">
        <v>16</v>
      </c>
      <c r="E542" s="104" t="s">
        <v>12</v>
      </c>
      <c r="F542" s="99" t="s">
        <v>125</v>
      </c>
      <c r="G542" s="100"/>
      <c r="H542" s="99" t="s">
        <v>126</v>
      </c>
      <c r="I542" s="100"/>
    </row>
    <row r="543" spans="2:10" ht="12.95" customHeight="1" x14ac:dyDescent="0.3">
      <c r="B543" s="103"/>
      <c r="C543" s="106"/>
      <c r="D543" s="106"/>
      <c r="E543" s="106"/>
      <c r="F543" s="63" t="s">
        <v>13</v>
      </c>
      <c r="G543" s="64" t="s">
        <v>14</v>
      </c>
      <c r="H543" s="63" t="s">
        <v>13</v>
      </c>
      <c r="I543" s="64" t="s">
        <v>14</v>
      </c>
      <c r="J543" s="59"/>
    </row>
    <row r="544" spans="2:10" ht="12.95" customHeight="1" x14ac:dyDescent="0.3">
      <c r="B544" s="29" t="s">
        <v>117</v>
      </c>
      <c r="C544" s="14"/>
      <c r="D544" s="6" t="s">
        <v>122</v>
      </c>
      <c r="E544" s="93">
        <v>0</v>
      </c>
      <c r="F544" s="92">
        <v>110</v>
      </c>
      <c r="G544" s="5">
        <f t="shared" ref="G544:G547" si="174">TRUNC($E544*F544,1)</f>
        <v>0</v>
      </c>
      <c r="H544" s="92">
        <v>115</v>
      </c>
      <c r="I544" s="11">
        <f t="shared" ref="I544:I547" si="175">TRUNC($E544*H544,1)</f>
        <v>0</v>
      </c>
    </row>
    <row r="545" spans="2:12" ht="12.95" customHeight="1" x14ac:dyDescent="0.3">
      <c r="B545" s="29" t="s">
        <v>121</v>
      </c>
      <c r="C545" s="14" t="s">
        <v>120</v>
      </c>
      <c r="D545" s="6" t="s">
        <v>123</v>
      </c>
      <c r="E545" s="94">
        <v>0</v>
      </c>
      <c r="F545" s="92">
        <v>98</v>
      </c>
      <c r="G545" s="5">
        <f t="shared" ref="G545" si="176">TRUNC($E545*F545,1)</f>
        <v>0</v>
      </c>
      <c r="H545" s="92">
        <v>53</v>
      </c>
      <c r="I545" s="11">
        <f t="shared" ref="I545" si="177">TRUNC($E545*H545,1)</f>
        <v>0</v>
      </c>
    </row>
    <row r="546" spans="2:12" ht="12.95" customHeight="1" x14ac:dyDescent="0.3">
      <c r="B546" s="29" t="s">
        <v>118</v>
      </c>
      <c r="C546" s="14"/>
      <c r="D546" s="6" t="s">
        <v>124</v>
      </c>
      <c r="E546" s="94">
        <v>0</v>
      </c>
      <c r="F546" s="92">
        <v>64</v>
      </c>
      <c r="G546" s="5">
        <f t="shared" si="174"/>
        <v>0</v>
      </c>
      <c r="H546" s="92">
        <v>38</v>
      </c>
      <c r="I546" s="11">
        <f t="shared" si="175"/>
        <v>0</v>
      </c>
    </row>
    <row r="547" spans="2:12" ht="12.95" customHeight="1" x14ac:dyDescent="0.3">
      <c r="B547" s="29" t="s">
        <v>119</v>
      </c>
      <c r="C547" s="14"/>
      <c r="D547" s="6" t="s">
        <v>123</v>
      </c>
      <c r="E547" s="94">
        <v>0</v>
      </c>
      <c r="F547" s="92">
        <v>19</v>
      </c>
      <c r="G547" s="5">
        <f t="shared" si="174"/>
        <v>0</v>
      </c>
      <c r="H547" s="92">
        <v>11</v>
      </c>
      <c r="I547" s="11">
        <f t="shared" si="175"/>
        <v>0</v>
      </c>
    </row>
    <row r="548" spans="2:12" ht="12.95" customHeight="1" x14ac:dyDescent="0.3">
      <c r="B548" s="42" t="s">
        <v>19</v>
      </c>
      <c r="C548" s="51"/>
      <c r="D548" s="53"/>
      <c r="E548" s="43"/>
      <c r="F548" s="43"/>
      <c r="G548" s="44">
        <f>TRUNC(SUM(G544:G547))</f>
        <v>0</v>
      </c>
      <c r="H548" s="43"/>
      <c r="I548" s="45">
        <f>TRUNC(SUM(I544:I547))</f>
        <v>0</v>
      </c>
    </row>
    <row r="549" spans="2:12" ht="12.95" customHeight="1" x14ac:dyDescent="0.3">
      <c r="B549" s="30"/>
      <c r="C549" s="14"/>
      <c r="D549" s="6"/>
      <c r="E549" s="31"/>
      <c r="F549" s="31"/>
      <c r="G549" s="32"/>
      <c r="H549" s="31"/>
      <c r="I549" s="33"/>
    </row>
    <row r="550" spans="2:12" ht="12.95" customHeight="1" x14ac:dyDescent="0.3">
      <c r="B550" s="23" t="s">
        <v>23</v>
      </c>
      <c r="C550" s="15"/>
      <c r="D550" s="57"/>
      <c r="E550" s="34"/>
      <c r="F550" s="34"/>
      <c r="G550" s="35">
        <f>SUM(G548)</f>
        <v>0</v>
      </c>
      <c r="H550" s="34"/>
      <c r="I550" s="35">
        <f>SUM(I548)</f>
        <v>0</v>
      </c>
    </row>
    <row r="551" spans="2:12" ht="12.95" customHeight="1" x14ac:dyDescent="0.3">
      <c r="B551" s="3" t="s">
        <v>116</v>
      </c>
      <c r="C551" s="9"/>
      <c r="D551" s="3"/>
      <c r="E551" s="13"/>
      <c r="F551" s="4"/>
      <c r="G551" s="4"/>
      <c r="H551" s="4"/>
      <c r="I551" s="4"/>
    </row>
    <row r="552" spans="2:12" ht="12.95" customHeight="1" x14ac:dyDescent="0.3">
      <c r="B552" s="3"/>
      <c r="C552" s="9"/>
      <c r="D552" s="3"/>
      <c r="E552" s="13"/>
      <c r="F552" s="4"/>
      <c r="G552" s="4"/>
      <c r="H552" s="4"/>
      <c r="I552" s="4"/>
      <c r="L552" s="16"/>
    </row>
    <row r="553" spans="2:12" ht="12.95" customHeight="1" x14ac:dyDescent="0.3">
      <c r="B553" s="2" t="s">
        <v>78</v>
      </c>
      <c r="I553" s="61"/>
      <c r="K553" s="54" t="s">
        <v>53</v>
      </c>
      <c r="L553" s="16"/>
    </row>
    <row r="554" spans="2:12" ht="12.95" customHeight="1" x14ac:dyDescent="0.3">
      <c r="B554" s="107" t="s">
        <v>11</v>
      </c>
      <c r="C554" s="110" t="s">
        <v>15</v>
      </c>
      <c r="D554" s="113" t="s">
        <v>16</v>
      </c>
      <c r="E554" s="116" t="s">
        <v>12</v>
      </c>
      <c r="F554" s="99" t="s">
        <v>79</v>
      </c>
      <c r="G554" s="100"/>
      <c r="H554" s="99" t="s">
        <v>80</v>
      </c>
      <c r="I554" s="100"/>
      <c r="J554" s="99" t="s">
        <v>81</v>
      </c>
      <c r="K554" s="100"/>
    </row>
    <row r="555" spans="2:12" ht="12.95" customHeight="1" x14ac:dyDescent="0.3">
      <c r="B555" s="108"/>
      <c r="C555" s="111"/>
      <c r="D555" s="114"/>
      <c r="E555" s="117"/>
      <c r="F555" s="82" t="s">
        <v>137</v>
      </c>
      <c r="G555" s="95">
        <v>35</v>
      </c>
      <c r="H555" s="82" t="s">
        <v>137</v>
      </c>
      <c r="I555" s="95">
        <v>30</v>
      </c>
      <c r="J555" s="82" t="s">
        <v>137</v>
      </c>
      <c r="K555" s="95">
        <v>24</v>
      </c>
    </row>
    <row r="556" spans="2:12" ht="12.95" customHeight="1" x14ac:dyDescent="0.3">
      <c r="B556" s="109"/>
      <c r="C556" s="112"/>
      <c r="D556" s="115"/>
      <c r="E556" s="118"/>
      <c r="F556" s="63" t="s">
        <v>49</v>
      </c>
      <c r="G556" s="64" t="s">
        <v>50</v>
      </c>
      <c r="H556" s="63" t="s">
        <v>49</v>
      </c>
      <c r="I556" s="64" t="s">
        <v>50</v>
      </c>
      <c r="J556" s="63" t="s">
        <v>49</v>
      </c>
      <c r="K556" s="64" t="s">
        <v>50</v>
      </c>
    </row>
    <row r="557" spans="2:12" ht="12.95" customHeight="1" x14ac:dyDescent="0.3">
      <c r="B557" s="17" t="s">
        <v>110</v>
      </c>
      <c r="C557" s="17" t="s">
        <v>8</v>
      </c>
      <c r="D557" s="58" t="s">
        <v>25</v>
      </c>
      <c r="E557" s="65">
        <v>9107</v>
      </c>
      <c r="F557" s="62">
        <v>4</v>
      </c>
      <c r="G557" s="11">
        <f t="shared" ref="G557:K557" si="178">TRUNC($E557*F557,1)</f>
        <v>36428</v>
      </c>
      <c r="H557" s="62">
        <v>4</v>
      </c>
      <c r="I557" s="11">
        <f t="shared" si="178"/>
        <v>36428</v>
      </c>
      <c r="J557" s="62">
        <v>4</v>
      </c>
      <c r="K557" s="11">
        <f t="shared" si="178"/>
        <v>36428</v>
      </c>
    </row>
    <row r="558" spans="2:12" ht="12.95" customHeight="1" x14ac:dyDescent="0.3">
      <c r="B558" s="17" t="s">
        <v>17</v>
      </c>
      <c r="C558" s="10" t="s">
        <v>85</v>
      </c>
      <c r="D558" s="58" t="s">
        <v>26</v>
      </c>
      <c r="E558" s="19"/>
      <c r="F558" s="62">
        <v>1</v>
      </c>
      <c r="G558" s="20">
        <f>TRUNC(SUM(G562:G563)*0.04,1)</f>
        <v>18184.099999999999</v>
      </c>
      <c r="H558" s="62">
        <v>1</v>
      </c>
      <c r="I558" s="20">
        <f>TRUNC(SUM(I562:I563)*0.04,1)</f>
        <v>18184.099999999999</v>
      </c>
      <c r="J558" s="62">
        <v>1</v>
      </c>
      <c r="K558" s="20">
        <f>TRUNC(SUM(K562:K563)*0.04,1)</f>
        <v>18184.099999999999</v>
      </c>
    </row>
    <row r="559" spans="2:12" ht="12.95" customHeight="1" x14ac:dyDescent="0.3">
      <c r="B559" s="17" t="s">
        <v>89</v>
      </c>
      <c r="C559" s="10" t="s">
        <v>157</v>
      </c>
      <c r="D559" s="58" t="s">
        <v>26</v>
      </c>
      <c r="E559" s="19"/>
      <c r="F559" s="62">
        <v>1</v>
      </c>
      <c r="G559" s="20">
        <f>TRUNC(SUM(G562:G563)*0.06,1)</f>
        <v>27276.2</v>
      </c>
      <c r="H559" s="62">
        <v>1</v>
      </c>
      <c r="I559" s="20">
        <f>TRUNC(SUM(I562:I563)*0.06,1)</f>
        <v>27276.2</v>
      </c>
      <c r="J559" s="62">
        <v>1</v>
      </c>
      <c r="K559" s="20">
        <f>TRUNC(SUM(K562:K563)*0.06,1)</f>
        <v>27276.2</v>
      </c>
    </row>
    <row r="560" spans="2:12" ht="12.95" customHeight="1" x14ac:dyDescent="0.3">
      <c r="B560" s="48" t="s">
        <v>19</v>
      </c>
      <c r="C560" s="52"/>
      <c r="D560" s="50"/>
      <c r="E560" s="49"/>
      <c r="F560" s="49"/>
      <c r="G560" s="47">
        <f>TRUNC(SUM(G557:G559))</f>
        <v>81888</v>
      </c>
      <c r="H560" s="49"/>
      <c r="I560" s="47">
        <f>TRUNC(SUM(I557:I559))</f>
        <v>81888</v>
      </c>
      <c r="J560" s="49"/>
      <c r="K560" s="47">
        <f>TRUNC(SUM(K557:K559))</f>
        <v>81888</v>
      </c>
    </row>
    <row r="561" spans="2:11" ht="12.95" customHeight="1" x14ac:dyDescent="0.3">
      <c r="B561" s="21"/>
      <c r="C561" s="21"/>
      <c r="D561" s="58"/>
      <c r="E561" s="18"/>
      <c r="F561" s="18"/>
      <c r="G561" s="22"/>
      <c r="H561" s="18"/>
      <c r="I561" s="22"/>
      <c r="J561" s="18"/>
      <c r="K561" s="22"/>
    </row>
    <row r="562" spans="2:11" ht="12.95" customHeight="1" x14ac:dyDescent="0.3">
      <c r="B562" s="29" t="s">
        <v>41</v>
      </c>
      <c r="C562" s="14"/>
      <c r="D562" s="6" t="s">
        <v>18</v>
      </c>
      <c r="E562" s="65">
        <v>282536</v>
      </c>
      <c r="F562" s="62">
        <v>1</v>
      </c>
      <c r="G562" s="11">
        <f t="shared" ref="G562:K564" si="179">TRUNC($E562*F562,1)</f>
        <v>282536</v>
      </c>
      <c r="H562" s="62">
        <v>1</v>
      </c>
      <c r="I562" s="11">
        <f t="shared" si="179"/>
        <v>282536</v>
      </c>
      <c r="J562" s="62">
        <v>1</v>
      </c>
      <c r="K562" s="11">
        <f t="shared" si="179"/>
        <v>282536</v>
      </c>
    </row>
    <row r="563" spans="2:11" ht="12.95" customHeight="1" x14ac:dyDescent="0.3">
      <c r="B563" s="29" t="s">
        <v>5</v>
      </c>
      <c r="C563" s="14"/>
      <c r="D563" s="6" t="s">
        <v>18</v>
      </c>
      <c r="E563" s="65">
        <v>172068</v>
      </c>
      <c r="F563" s="62">
        <v>1</v>
      </c>
      <c r="G563" s="11">
        <f t="shared" si="179"/>
        <v>172068</v>
      </c>
      <c r="H563" s="62">
        <v>1</v>
      </c>
      <c r="I563" s="11">
        <f t="shared" si="179"/>
        <v>172068</v>
      </c>
      <c r="J563" s="62">
        <v>1</v>
      </c>
      <c r="K563" s="11">
        <f t="shared" si="179"/>
        <v>172068</v>
      </c>
    </row>
    <row r="564" spans="2:11" ht="12.95" customHeight="1" x14ac:dyDescent="0.3">
      <c r="B564" s="17" t="s">
        <v>110</v>
      </c>
      <c r="C564" s="17" t="s">
        <v>8</v>
      </c>
      <c r="D564" s="58" t="s">
        <v>25</v>
      </c>
      <c r="E564" s="65">
        <v>58925</v>
      </c>
      <c r="F564" s="62">
        <v>4</v>
      </c>
      <c r="G564" s="11">
        <f t="shared" si="179"/>
        <v>235700</v>
      </c>
      <c r="H564" s="62">
        <v>4</v>
      </c>
      <c r="I564" s="11">
        <f t="shared" si="179"/>
        <v>235700</v>
      </c>
      <c r="J564" s="62">
        <v>4</v>
      </c>
      <c r="K564" s="11">
        <f t="shared" si="179"/>
        <v>235700</v>
      </c>
    </row>
    <row r="565" spans="2:11" ht="12.95" customHeight="1" x14ac:dyDescent="0.3">
      <c r="B565" s="42" t="s">
        <v>20</v>
      </c>
      <c r="C565" s="52"/>
      <c r="D565" s="50"/>
      <c r="E565" s="46"/>
      <c r="F565" s="70"/>
      <c r="G565" s="47">
        <f>TRUNC(SUM(G562:G564))</f>
        <v>690304</v>
      </c>
      <c r="H565" s="70"/>
      <c r="I565" s="47">
        <f>TRUNC(SUM(I562:I564))</f>
        <v>690304</v>
      </c>
      <c r="J565" s="70"/>
      <c r="K565" s="47">
        <f>TRUNC(SUM(K562:K564))</f>
        <v>690304</v>
      </c>
    </row>
    <row r="566" spans="2:11" ht="12.95" customHeight="1" x14ac:dyDescent="0.3">
      <c r="B566" s="21"/>
      <c r="C566" s="21"/>
      <c r="D566" s="58"/>
      <c r="E566" s="18"/>
      <c r="F566" s="55"/>
      <c r="G566" s="22"/>
      <c r="H566" s="55"/>
      <c r="I566" s="22"/>
      <c r="J566" s="55"/>
      <c r="K566" s="22"/>
    </row>
    <row r="567" spans="2:11" ht="12.95" customHeight="1" x14ac:dyDescent="0.3">
      <c r="B567" s="17" t="s">
        <v>110</v>
      </c>
      <c r="C567" s="17" t="s">
        <v>8</v>
      </c>
      <c r="D567" s="58" t="s">
        <v>25</v>
      </c>
      <c r="E567" s="65">
        <v>13873</v>
      </c>
      <c r="F567" s="62">
        <v>4</v>
      </c>
      <c r="G567" s="11">
        <f t="shared" ref="G567:K567" si="180">TRUNC($E567*F567,1)</f>
        <v>55492</v>
      </c>
      <c r="H567" s="62">
        <v>4</v>
      </c>
      <c r="I567" s="11">
        <f t="shared" si="180"/>
        <v>55492</v>
      </c>
      <c r="J567" s="62">
        <v>4</v>
      </c>
      <c r="K567" s="11">
        <f t="shared" si="180"/>
        <v>55492</v>
      </c>
    </row>
    <row r="568" spans="2:11" ht="12.95" customHeight="1" x14ac:dyDescent="0.3">
      <c r="B568" s="48" t="s">
        <v>21</v>
      </c>
      <c r="C568" s="52"/>
      <c r="D568" s="53"/>
      <c r="E568" s="46"/>
      <c r="F568" s="49"/>
      <c r="G568" s="47">
        <f>TRUNC(SUM(G567:G567))</f>
        <v>55492</v>
      </c>
      <c r="H568" s="49"/>
      <c r="I568" s="47">
        <f>TRUNC(SUM(I567:I567))</f>
        <v>55492</v>
      </c>
      <c r="J568" s="49"/>
      <c r="K568" s="47">
        <f>TRUNC(SUM(K567:K567))</f>
        <v>55492</v>
      </c>
    </row>
    <row r="569" spans="2:11" ht="12.95" customHeight="1" x14ac:dyDescent="0.3">
      <c r="B569" s="21"/>
      <c r="C569" s="21"/>
      <c r="D569" s="58"/>
      <c r="E569" s="18"/>
      <c r="F569" s="18"/>
      <c r="G569" s="22"/>
      <c r="H569" s="18"/>
      <c r="I569" s="22"/>
      <c r="J569" s="18"/>
      <c r="K569" s="22"/>
    </row>
    <row r="570" spans="2:11" ht="12.95" customHeight="1" x14ac:dyDescent="0.3">
      <c r="B570" s="84" t="s">
        <v>23</v>
      </c>
      <c r="C570" s="21"/>
      <c r="D570" s="58"/>
      <c r="E570" s="85"/>
      <c r="F570" s="86"/>
      <c r="G570" s="87">
        <f>SUM(G560+G565+G568)</f>
        <v>827684</v>
      </c>
      <c r="H570" s="86"/>
      <c r="I570" s="87">
        <f>SUM(I560+I565+I568)</f>
        <v>827684</v>
      </c>
      <c r="J570" s="86"/>
      <c r="K570" s="87">
        <f>SUM(K560+K565+K568)</f>
        <v>827684</v>
      </c>
    </row>
    <row r="571" spans="2:11" ht="12.95" customHeight="1" x14ac:dyDescent="0.3">
      <c r="B571" s="23" t="s">
        <v>136</v>
      </c>
      <c r="C571" s="24"/>
      <c r="D571" s="56"/>
      <c r="E571" s="25"/>
      <c r="F571" s="26"/>
      <c r="G571" s="27">
        <f>TRUNC((G570/G555))</f>
        <v>23648</v>
      </c>
      <c r="H571" s="26"/>
      <c r="I571" s="27">
        <f>TRUNC((I570/I555))</f>
        <v>27589</v>
      </c>
      <c r="J571" s="26"/>
      <c r="K571" s="27">
        <f>TRUNC((K570/K555))</f>
        <v>34486</v>
      </c>
    </row>
    <row r="572" spans="2:11" ht="12.95" customHeight="1" x14ac:dyDescent="0.3">
      <c r="B572" s="107" t="s">
        <v>11</v>
      </c>
      <c r="C572" s="110" t="s">
        <v>15</v>
      </c>
      <c r="D572" s="113" t="s">
        <v>16</v>
      </c>
      <c r="E572" s="116" t="s">
        <v>12</v>
      </c>
      <c r="F572" s="99" t="s">
        <v>86</v>
      </c>
      <c r="G572" s="100"/>
      <c r="H572" s="99" t="s">
        <v>87</v>
      </c>
      <c r="I572" s="100"/>
    </row>
    <row r="573" spans="2:11" ht="12.95" customHeight="1" x14ac:dyDescent="0.3">
      <c r="B573" s="108"/>
      <c r="C573" s="111"/>
      <c r="D573" s="114"/>
      <c r="E573" s="117"/>
      <c r="F573" s="82" t="s">
        <v>137</v>
      </c>
      <c r="G573" s="95">
        <v>20</v>
      </c>
      <c r="H573" s="82" t="s">
        <v>137</v>
      </c>
      <c r="I573" s="95">
        <v>18</v>
      </c>
    </row>
    <row r="574" spans="2:11" ht="12.95" customHeight="1" x14ac:dyDescent="0.3">
      <c r="B574" s="109"/>
      <c r="C574" s="112"/>
      <c r="D574" s="115"/>
      <c r="E574" s="118"/>
      <c r="F574" s="63" t="s">
        <v>49</v>
      </c>
      <c r="G574" s="64" t="s">
        <v>50</v>
      </c>
      <c r="H574" s="63" t="s">
        <v>49</v>
      </c>
      <c r="I574" s="64" t="s">
        <v>50</v>
      </c>
    </row>
    <row r="575" spans="2:11" ht="12.95" customHeight="1" x14ac:dyDescent="0.3">
      <c r="B575" s="17" t="s">
        <v>110</v>
      </c>
      <c r="C575" s="17" t="s">
        <v>8</v>
      </c>
      <c r="D575" s="58" t="s">
        <v>25</v>
      </c>
      <c r="E575" s="65">
        <v>9107</v>
      </c>
      <c r="F575" s="62">
        <v>4</v>
      </c>
      <c r="G575" s="11">
        <f t="shared" ref="G575" si="181">TRUNC($E575*F575,1)</f>
        <v>36428</v>
      </c>
      <c r="H575" s="62">
        <v>4</v>
      </c>
      <c r="I575" s="11">
        <f t="shared" ref="I575" si="182">TRUNC($E575*H575,1)</f>
        <v>36428</v>
      </c>
    </row>
    <row r="576" spans="2:11" ht="12.95" customHeight="1" x14ac:dyDescent="0.3">
      <c r="B576" s="17" t="s">
        <v>17</v>
      </c>
      <c r="C576" s="10" t="s">
        <v>85</v>
      </c>
      <c r="D576" s="58" t="s">
        <v>26</v>
      </c>
      <c r="E576" s="19"/>
      <c r="F576" s="62">
        <v>1</v>
      </c>
      <c r="G576" s="20">
        <f>TRUNC(SUM(G580:G581)*0.04,1)</f>
        <v>18184.099999999999</v>
      </c>
      <c r="H576" s="62">
        <v>1</v>
      </c>
      <c r="I576" s="20">
        <f>TRUNC(SUM(I580:I581)*0.04,1)</f>
        <v>18184.099999999999</v>
      </c>
    </row>
    <row r="577" spans="2:12" ht="12.95" customHeight="1" x14ac:dyDescent="0.3">
      <c r="B577" s="17" t="s">
        <v>89</v>
      </c>
      <c r="C577" s="10" t="s">
        <v>157</v>
      </c>
      <c r="D577" s="58" t="s">
        <v>26</v>
      </c>
      <c r="E577" s="19"/>
      <c r="F577" s="62">
        <v>1</v>
      </c>
      <c r="G577" s="20">
        <f>TRUNC(SUM(G580:G581)*0.06,1)</f>
        <v>27276.2</v>
      </c>
      <c r="H577" s="62">
        <v>1</v>
      </c>
      <c r="I577" s="20">
        <f>TRUNC(SUM(I580:I581)*0.06,1)</f>
        <v>27276.2</v>
      </c>
      <c r="J577" s="97"/>
      <c r="K577" s="98"/>
    </row>
    <row r="578" spans="2:12" ht="12.95" customHeight="1" x14ac:dyDescent="0.3">
      <c r="B578" s="48" t="s">
        <v>19</v>
      </c>
      <c r="C578" s="52"/>
      <c r="D578" s="50"/>
      <c r="E578" s="49"/>
      <c r="F578" s="49"/>
      <c r="G578" s="47">
        <f>TRUNC(SUM(G575:G577))</f>
        <v>81888</v>
      </c>
      <c r="H578" s="49"/>
      <c r="I578" s="47">
        <f>TRUNC(SUM(I575:I577))</f>
        <v>81888</v>
      </c>
    </row>
    <row r="579" spans="2:12" ht="12.95" customHeight="1" x14ac:dyDescent="0.3">
      <c r="B579" s="21"/>
      <c r="C579" s="21"/>
      <c r="D579" s="58"/>
      <c r="E579" s="18"/>
      <c r="F579" s="18"/>
      <c r="G579" s="22"/>
      <c r="H579" s="18"/>
      <c r="I579" s="22"/>
    </row>
    <row r="580" spans="2:12" ht="12.95" customHeight="1" x14ac:dyDescent="0.3">
      <c r="B580" s="29" t="s">
        <v>41</v>
      </c>
      <c r="C580" s="14"/>
      <c r="D580" s="6" t="s">
        <v>18</v>
      </c>
      <c r="E580" s="65">
        <v>282536</v>
      </c>
      <c r="F580" s="62">
        <v>1</v>
      </c>
      <c r="G580" s="11">
        <f t="shared" ref="G580:G582" si="183">TRUNC($E580*F580,1)</f>
        <v>282536</v>
      </c>
      <c r="H580" s="62">
        <v>1</v>
      </c>
      <c r="I580" s="11">
        <f t="shared" ref="I580:I582" si="184">TRUNC($E580*H580,1)</f>
        <v>282536</v>
      </c>
    </row>
    <row r="581" spans="2:12" ht="12.95" customHeight="1" x14ac:dyDescent="0.3">
      <c r="B581" s="29" t="s">
        <v>5</v>
      </c>
      <c r="C581" s="14"/>
      <c r="D581" s="6" t="s">
        <v>18</v>
      </c>
      <c r="E581" s="65">
        <v>172068</v>
      </c>
      <c r="F581" s="62">
        <v>1</v>
      </c>
      <c r="G581" s="11">
        <f t="shared" si="183"/>
        <v>172068</v>
      </c>
      <c r="H581" s="62">
        <v>1</v>
      </c>
      <c r="I581" s="11">
        <f t="shared" si="184"/>
        <v>172068</v>
      </c>
    </row>
    <row r="582" spans="2:12" ht="12.95" customHeight="1" x14ac:dyDescent="0.3">
      <c r="B582" s="17" t="s">
        <v>110</v>
      </c>
      <c r="C582" s="17" t="s">
        <v>8</v>
      </c>
      <c r="D582" s="58" t="s">
        <v>25</v>
      </c>
      <c r="E582" s="65">
        <v>58925</v>
      </c>
      <c r="F582" s="62">
        <v>4</v>
      </c>
      <c r="G582" s="11">
        <f t="shared" si="183"/>
        <v>235700</v>
      </c>
      <c r="H582" s="62">
        <v>4</v>
      </c>
      <c r="I582" s="11">
        <f t="shared" si="184"/>
        <v>235700</v>
      </c>
    </row>
    <row r="583" spans="2:12" ht="12.95" customHeight="1" x14ac:dyDescent="0.3">
      <c r="B583" s="42" t="s">
        <v>20</v>
      </c>
      <c r="C583" s="52"/>
      <c r="D583" s="50"/>
      <c r="E583" s="46"/>
      <c r="F583" s="70"/>
      <c r="G583" s="47">
        <f>TRUNC(SUM(G580:G582))</f>
        <v>690304</v>
      </c>
      <c r="H583" s="70"/>
      <c r="I583" s="47">
        <f>TRUNC(SUM(I580:I582))</f>
        <v>690304</v>
      </c>
    </row>
    <row r="584" spans="2:12" ht="12.95" customHeight="1" x14ac:dyDescent="0.3">
      <c r="B584" s="21"/>
      <c r="C584" s="21"/>
      <c r="D584" s="58"/>
      <c r="E584" s="18"/>
      <c r="F584" s="55"/>
      <c r="G584" s="22"/>
      <c r="H584" s="55"/>
      <c r="I584" s="22"/>
    </row>
    <row r="585" spans="2:12" ht="12.95" customHeight="1" x14ac:dyDescent="0.3">
      <c r="B585" s="17" t="s">
        <v>110</v>
      </c>
      <c r="C585" s="17" t="s">
        <v>8</v>
      </c>
      <c r="D585" s="58" t="s">
        <v>25</v>
      </c>
      <c r="E585" s="65">
        <v>13873</v>
      </c>
      <c r="F585" s="62">
        <v>4</v>
      </c>
      <c r="G585" s="11">
        <f t="shared" ref="G585" si="185">TRUNC($E585*F585,1)</f>
        <v>55492</v>
      </c>
      <c r="H585" s="62">
        <v>4</v>
      </c>
      <c r="I585" s="11">
        <f t="shared" ref="I585" si="186">TRUNC($E585*H585,1)</f>
        <v>55492</v>
      </c>
    </row>
    <row r="586" spans="2:12" ht="12.95" customHeight="1" x14ac:dyDescent="0.3">
      <c r="B586" s="48" t="s">
        <v>21</v>
      </c>
      <c r="C586" s="52"/>
      <c r="D586" s="53"/>
      <c r="E586" s="46"/>
      <c r="F586" s="49"/>
      <c r="G586" s="47">
        <f>TRUNC(SUM(G585:G585))</f>
        <v>55492</v>
      </c>
      <c r="H586" s="49"/>
      <c r="I586" s="47">
        <f>TRUNC(SUM(I585:I585))</f>
        <v>55492</v>
      </c>
    </row>
    <row r="587" spans="2:12" ht="12.95" customHeight="1" x14ac:dyDescent="0.3">
      <c r="B587" s="21"/>
      <c r="C587" s="21"/>
      <c r="D587" s="58"/>
      <c r="E587" s="18"/>
      <c r="F587" s="18"/>
      <c r="G587" s="22"/>
      <c r="H587" s="18"/>
      <c r="I587" s="22"/>
    </row>
    <row r="588" spans="2:12" ht="12.95" customHeight="1" x14ac:dyDescent="0.3">
      <c r="B588" s="84" t="s">
        <v>23</v>
      </c>
      <c r="C588" s="21"/>
      <c r="D588" s="58"/>
      <c r="E588" s="85"/>
      <c r="F588" s="86"/>
      <c r="G588" s="87">
        <f>SUM(G578+G583+G586)</f>
        <v>827684</v>
      </c>
      <c r="H588" s="86"/>
      <c r="I588" s="87">
        <f>SUM(I578+I583+I586)</f>
        <v>827684</v>
      </c>
    </row>
    <row r="589" spans="2:12" ht="12.95" customHeight="1" x14ac:dyDescent="0.3">
      <c r="B589" s="23" t="s">
        <v>136</v>
      </c>
      <c r="C589" s="24"/>
      <c r="D589" s="56"/>
      <c r="E589" s="25"/>
      <c r="F589" s="26"/>
      <c r="G589" s="27">
        <f>TRUNC((G588/G573))</f>
        <v>41384</v>
      </c>
      <c r="H589" s="26"/>
      <c r="I589" s="27">
        <f>TRUNC((I588/I573))</f>
        <v>45982</v>
      </c>
    </row>
    <row r="590" spans="2:12" ht="12.95" customHeight="1" x14ac:dyDescent="0.3">
      <c r="B590" s="3"/>
      <c r="C590" s="9"/>
      <c r="D590" s="3"/>
      <c r="E590" s="13"/>
      <c r="F590" s="4"/>
      <c r="G590" s="4"/>
      <c r="H590" s="4"/>
      <c r="I590" s="54"/>
    </row>
    <row r="591" spans="2:12" ht="12.95" customHeight="1" x14ac:dyDescent="0.3">
      <c r="B591" s="3" t="s">
        <v>158</v>
      </c>
      <c r="C591" s="9"/>
      <c r="D591" s="3"/>
      <c r="E591" s="13"/>
      <c r="F591" s="4"/>
      <c r="G591" s="4"/>
      <c r="H591" s="4"/>
      <c r="I591" s="54"/>
    </row>
    <row r="592" spans="2:12" ht="12.95" customHeight="1" x14ac:dyDescent="0.3">
      <c r="B592" s="119" t="s">
        <v>11</v>
      </c>
      <c r="C592" s="120" t="s">
        <v>15</v>
      </c>
      <c r="D592" s="121" t="s">
        <v>16</v>
      </c>
      <c r="E592" s="122" t="s">
        <v>12</v>
      </c>
      <c r="F592" s="99" t="s">
        <v>79</v>
      </c>
      <c r="G592" s="100"/>
      <c r="H592" s="99" t="s">
        <v>80</v>
      </c>
      <c r="I592" s="100"/>
      <c r="J592" s="99" t="s">
        <v>81</v>
      </c>
      <c r="K592" s="100"/>
      <c r="L592" s="16"/>
    </row>
    <row r="593" spans="2:12" ht="12.95" customHeight="1" x14ac:dyDescent="0.3">
      <c r="B593" s="119"/>
      <c r="C593" s="120"/>
      <c r="D593" s="121"/>
      <c r="E593" s="122"/>
      <c r="F593" s="63" t="s">
        <v>49</v>
      </c>
      <c r="G593" s="64" t="s">
        <v>50</v>
      </c>
      <c r="H593" s="63" t="s">
        <v>13</v>
      </c>
      <c r="I593" s="64" t="s">
        <v>14</v>
      </c>
      <c r="J593" s="63" t="s">
        <v>13</v>
      </c>
      <c r="K593" s="64" t="s">
        <v>14</v>
      </c>
    </row>
    <row r="594" spans="2:12" ht="12.95" customHeight="1" x14ac:dyDescent="0.3">
      <c r="B594" s="17" t="s">
        <v>82</v>
      </c>
      <c r="C594" s="17"/>
      <c r="D594" s="58" t="s">
        <v>84</v>
      </c>
      <c r="E594" s="79">
        <v>0</v>
      </c>
      <c r="F594" s="76">
        <v>95</v>
      </c>
      <c r="G594" s="11">
        <f t="shared" ref="G594:G595" si="187">TRUNC($E594*F594,1)</f>
        <v>0</v>
      </c>
      <c r="H594" s="76">
        <v>113</v>
      </c>
      <c r="I594" s="11">
        <f t="shared" ref="I594:I595" si="188">TRUNC($E594*H594,1)</f>
        <v>0</v>
      </c>
      <c r="J594" s="76">
        <v>138</v>
      </c>
      <c r="K594" s="11">
        <f t="shared" ref="K594:K595" si="189">TRUNC($E594*J594,1)</f>
        <v>0</v>
      </c>
    </row>
    <row r="595" spans="2:12" ht="12.95" customHeight="1" x14ac:dyDescent="0.3">
      <c r="B595" s="17" t="s">
        <v>83</v>
      </c>
      <c r="C595" s="17"/>
      <c r="D595" s="58" t="s">
        <v>27</v>
      </c>
      <c r="E595" s="79">
        <v>0</v>
      </c>
      <c r="F595" s="76">
        <v>0.1</v>
      </c>
      <c r="G595" s="11">
        <f t="shared" si="187"/>
        <v>0</v>
      </c>
      <c r="H595" s="76">
        <v>0.13</v>
      </c>
      <c r="I595" s="11">
        <f t="shared" si="188"/>
        <v>0</v>
      </c>
      <c r="J595" s="76">
        <v>0.15</v>
      </c>
      <c r="K595" s="11">
        <f t="shared" si="189"/>
        <v>0</v>
      </c>
    </row>
    <row r="596" spans="2:12" ht="12.95" customHeight="1" x14ac:dyDescent="0.3">
      <c r="B596" s="48" t="s">
        <v>19</v>
      </c>
      <c r="C596" s="52"/>
      <c r="D596" s="50"/>
      <c r="E596" s="65"/>
      <c r="F596" s="77"/>
      <c r="G596" s="47">
        <f>TRUNC(SUM(G594:G595))</f>
        <v>0</v>
      </c>
      <c r="H596" s="77"/>
      <c r="I596" s="47">
        <f>TRUNC(SUM(I594:I595))</f>
        <v>0</v>
      </c>
      <c r="J596" s="77"/>
      <c r="K596" s="47">
        <f>TRUNC(SUM(K594:K595))</f>
        <v>0</v>
      </c>
    </row>
    <row r="597" spans="2:12" ht="12.95" customHeight="1" x14ac:dyDescent="0.3">
      <c r="B597" s="21"/>
      <c r="C597" s="21"/>
      <c r="D597" s="58"/>
      <c r="E597" s="18"/>
      <c r="F597" s="18"/>
      <c r="G597" s="22"/>
      <c r="H597" s="18"/>
      <c r="I597" s="22"/>
      <c r="J597" s="18"/>
      <c r="K597" s="22"/>
    </row>
    <row r="598" spans="2:12" ht="12.95" customHeight="1" x14ac:dyDescent="0.3">
      <c r="B598" s="23" t="s">
        <v>23</v>
      </c>
      <c r="C598" s="24"/>
      <c r="D598" s="56"/>
      <c r="E598" s="25"/>
      <c r="F598" s="26"/>
      <c r="G598" s="27">
        <f>SUM(G596)</f>
        <v>0</v>
      </c>
      <c r="H598" s="26"/>
      <c r="I598" s="27">
        <f>SUM(I596)</f>
        <v>0</v>
      </c>
      <c r="J598" s="26"/>
      <c r="K598" s="27">
        <f>SUM(K596)</f>
        <v>0</v>
      </c>
    </row>
    <row r="599" spans="2:12" ht="12.95" customHeight="1" x14ac:dyDescent="0.3">
      <c r="B599" s="119" t="s">
        <v>11</v>
      </c>
      <c r="C599" s="120" t="s">
        <v>15</v>
      </c>
      <c r="D599" s="121" t="s">
        <v>16</v>
      </c>
      <c r="E599" s="122" t="s">
        <v>12</v>
      </c>
      <c r="F599" s="99" t="s">
        <v>86</v>
      </c>
      <c r="G599" s="100"/>
      <c r="H599" s="99" t="s">
        <v>87</v>
      </c>
      <c r="I599" s="100"/>
      <c r="J599" s="16"/>
    </row>
    <row r="600" spans="2:12" ht="12.95" customHeight="1" x14ac:dyDescent="0.3">
      <c r="B600" s="119"/>
      <c r="C600" s="120"/>
      <c r="D600" s="121"/>
      <c r="E600" s="122"/>
      <c r="F600" s="63" t="s">
        <v>49</v>
      </c>
      <c r="G600" s="64" t="s">
        <v>50</v>
      </c>
      <c r="H600" s="63" t="s">
        <v>13</v>
      </c>
      <c r="I600" s="64" t="s">
        <v>14</v>
      </c>
      <c r="J600" s="16"/>
    </row>
    <row r="601" spans="2:12" ht="12.95" customHeight="1" x14ac:dyDescent="0.3">
      <c r="B601" s="17" t="s">
        <v>82</v>
      </c>
      <c r="C601" s="17"/>
      <c r="D601" s="58" t="s">
        <v>84</v>
      </c>
      <c r="E601" s="79">
        <v>0</v>
      </c>
      <c r="F601" s="76">
        <v>185</v>
      </c>
      <c r="G601" s="11">
        <f t="shared" ref="G601:G602" si="190">TRUNC($E601*F601,1)</f>
        <v>0</v>
      </c>
      <c r="H601" s="76">
        <v>220</v>
      </c>
      <c r="I601" s="11">
        <f t="shared" ref="I601:I602" si="191">TRUNC($E601*H601,1)</f>
        <v>0</v>
      </c>
    </row>
    <row r="602" spans="2:12" ht="12.95" customHeight="1" x14ac:dyDescent="0.3">
      <c r="B602" s="17" t="s">
        <v>83</v>
      </c>
      <c r="C602" s="17"/>
      <c r="D602" s="58" t="s">
        <v>27</v>
      </c>
      <c r="E602" s="79">
        <v>0</v>
      </c>
      <c r="F602" s="76">
        <v>0.18</v>
      </c>
      <c r="G602" s="11">
        <f t="shared" si="190"/>
        <v>0</v>
      </c>
      <c r="H602" s="76">
        <v>0.21</v>
      </c>
      <c r="I602" s="11">
        <f t="shared" si="191"/>
        <v>0</v>
      </c>
    </row>
    <row r="603" spans="2:12" ht="12.95" customHeight="1" x14ac:dyDescent="0.3">
      <c r="B603" s="48" t="s">
        <v>19</v>
      </c>
      <c r="C603" s="52"/>
      <c r="D603" s="50"/>
      <c r="E603" s="65"/>
      <c r="F603" s="77"/>
      <c r="G603" s="47">
        <f>TRUNC(SUM(G601:G602))</f>
        <v>0</v>
      </c>
      <c r="H603" s="77"/>
      <c r="I603" s="47">
        <f>TRUNC(SUM(I601:I602))</f>
        <v>0</v>
      </c>
    </row>
    <row r="604" spans="2:12" ht="12.95" customHeight="1" x14ac:dyDescent="0.3">
      <c r="B604" s="21"/>
      <c r="C604" s="21"/>
      <c r="D604" s="58"/>
      <c r="E604" s="72"/>
      <c r="F604" s="78"/>
      <c r="G604" s="22"/>
      <c r="H604" s="78"/>
      <c r="I604" s="22"/>
    </row>
    <row r="605" spans="2:12" ht="12.95" customHeight="1" x14ac:dyDescent="0.3">
      <c r="B605" s="23" t="s">
        <v>23</v>
      </c>
      <c r="C605" s="24"/>
      <c r="D605" s="56"/>
      <c r="E605" s="25"/>
      <c r="F605" s="26"/>
      <c r="G605" s="27">
        <f>SUM(G603)</f>
        <v>0</v>
      </c>
      <c r="H605" s="26"/>
      <c r="I605" s="27">
        <f>SUM(I603)</f>
        <v>0</v>
      </c>
    </row>
    <row r="606" spans="2:12" ht="12.95" customHeight="1" x14ac:dyDescent="0.3">
      <c r="B606" s="3" t="s">
        <v>159</v>
      </c>
      <c r="C606" s="9"/>
      <c r="D606" s="3"/>
      <c r="E606" s="13"/>
      <c r="F606" s="4"/>
      <c r="G606" s="4"/>
      <c r="H606" s="4"/>
      <c r="I606" s="4"/>
      <c r="L606" s="16"/>
    </row>
    <row r="607" spans="2:12" ht="12.95" customHeight="1" x14ac:dyDescent="0.3">
      <c r="B607" s="3"/>
      <c r="C607" s="9"/>
      <c r="D607" s="3"/>
      <c r="E607" s="13"/>
      <c r="F607" s="4"/>
      <c r="G607" s="4"/>
      <c r="H607" s="4"/>
      <c r="I607" s="54"/>
    </row>
    <row r="608" spans="2:12" ht="12.95" customHeight="1" x14ac:dyDescent="0.3">
      <c r="B608" s="2" t="s">
        <v>88</v>
      </c>
      <c r="I608" s="61"/>
      <c r="K608" s="61" t="s">
        <v>53</v>
      </c>
      <c r="L608" s="16"/>
    </row>
    <row r="609" spans="2:11" ht="12.95" customHeight="1" x14ac:dyDescent="0.3">
      <c r="B609" s="107" t="s">
        <v>11</v>
      </c>
      <c r="C609" s="110" t="s">
        <v>15</v>
      </c>
      <c r="D609" s="113" t="s">
        <v>16</v>
      </c>
      <c r="E609" s="116" t="s">
        <v>12</v>
      </c>
      <c r="F609" s="99" t="s">
        <v>79</v>
      </c>
      <c r="G609" s="100"/>
      <c r="H609" s="99" t="s">
        <v>80</v>
      </c>
      <c r="I609" s="100"/>
      <c r="J609" s="99" t="s">
        <v>81</v>
      </c>
      <c r="K609" s="100"/>
    </row>
    <row r="610" spans="2:11" ht="12.95" customHeight="1" x14ac:dyDescent="0.3">
      <c r="B610" s="108"/>
      <c r="C610" s="111"/>
      <c r="D610" s="114"/>
      <c r="E610" s="117"/>
      <c r="F610" s="82" t="s">
        <v>137</v>
      </c>
      <c r="G610" s="95">
        <v>55</v>
      </c>
      <c r="H610" s="82" t="s">
        <v>137</v>
      </c>
      <c r="I610" s="95">
        <v>45</v>
      </c>
      <c r="J610" s="82" t="s">
        <v>137</v>
      </c>
      <c r="K610" s="95">
        <v>35</v>
      </c>
    </row>
    <row r="611" spans="2:11" ht="12.95" customHeight="1" x14ac:dyDescent="0.3">
      <c r="B611" s="109"/>
      <c r="C611" s="112"/>
      <c r="D611" s="115"/>
      <c r="E611" s="118"/>
      <c r="F611" s="63" t="s">
        <v>49</v>
      </c>
      <c r="G611" s="64" t="s">
        <v>50</v>
      </c>
      <c r="H611" s="63" t="s">
        <v>49</v>
      </c>
      <c r="I611" s="64" t="s">
        <v>50</v>
      </c>
      <c r="J611" s="63" t="s">
        <v>49</v>
      </c>
      <c r="K611" s="64" t="s">
        <v>50</v>
      </c>
    </row>
    <row r="612" spans="2:11" ht="12.95" customHeight="1" x14ac:dyDescent="0.3">
      <c r="B612" s="17" t="s">
        <v>110</v>
      </c>
      <c r="C612" s="17" t="s">
        <v>8</v>
      </c>
      <c r="D612" s="58" t="s">
        <v>25</v>
      </c>
      <c r="E612" s="65">
        <v>9107</v>
      </c>
      <c r="F612" s="62">
        <v>8</v>
      </c>
      <c r="G612" s="11">
        <f t="shared" ref="G612" si="192">TRUNC($E612*F612,1)</f>
        <v>72856</v>
      </c>
      <c r="H612" s="62">
        <v>8</v>
      </c>
      <c r="I612" s="11">
        <f t="shared" ref="I612" si="193">TRUNC($E612*H612,1)</f>
        <v>72856</v>
      </c>
      <c r="J612" s="62">
        <v>8</v>
      </c>
      <c r="K612" s="11">
        <f t="shared" ref="K612" si="194">TRUNC($E612*J612,1)</f>
        <v>72856</v>
      </c>
    </row>
    <row r="613" spans="2:11" ht="12.95" customHeight="1" x14ac:dyDescent="0.3">
      <c r="B613" s="17" t="s">
        <v>17</v>
      </c>
      <c r="C613" s="10" t="s">
        <v>85</v>
      </c>
      <c r="D613" s="58" t="s">
        <v>26</v>
      </c>
      <c r="E613" s="19"/>
      <c r="F613" s="62">
        <v>1</v>
      </c>
      <c r="G613" s="20">
        <f>TRUNC(SUM(G617:G618)*0.04,1)</f>
        <v>16560</v>
      </c>
      <c r="H613" s="62">
        <v>1</v>
      </c>
      <c r="I613" s="20">
        <f>TRUNC(SUM(I617:I618)*0.04,1)</f>
        <v>16560</v>
      </c>
      <c r="J613" s="62">
        <v>1</v>
      </c>
      <c r="K613" s="20">
        <f>TRUNC(SUM(K617:K618)*0.04,1)</f>
        <v>16560</v>
      </c>
    </row>
    <row r="614" spans="2:11" ht="12.95" customHeight="1" x14ac:dyDescent="0.3">
      <c r="B614" s="17" t="s">
        <v>89</v>
      </c>
      <c r="C614" s="10" t="s">
        <v>160</v>
      </c>
      <c r="D614" s="58" t="s">
        <v>26</v>
      </c>
      <c r="E614" s="19"/>
      <c r="F614" s="62">
        <v>1</v>
      </c>
      <c r="G614" s="20">
        <f>TRUNC(SUM(G617:G618)*0.13,1)</f>
        <v>53820</v>
      </c>
      <c r="H614" s="62">
        <v>1</v>
      </c>
      <c r="I614" s="20">
        <f>TRUNC(SUM(I617:I618)*0.13,1)</f>
        <v>53820</v>
      </c>
      <c r="J614" s="62">
        <v>1</v>
      </c>
      <c r="K614" s="20">
        <f>TRUNC(SUM(K617:K618)*0.13,1)</f>
        <v>53820</v>
      </c>
    </row>
    <row r="615" spans="2:11" ht="12.95" customHeight="1" x14ac:dyDescent="0.3">
      <c r="B615" s="48" t="s">
        <v>19</v>
      </c>
      <c r="C615" s="52"/>
      <c r="D615" s="50"/>
      <c r="E615" s="49"/>
      <c r="F615" s="49"/>
      <c r="G615" s="47">
        <f>TRUNC(SUM(G612:G614))</f>
        <v>143236</v>
      </c>
      <c r="H615" s="49"/>
      <c r="I615" s="47">
        <f>TRUNC(SUM(I612:I614))</f>
        <v>143236</v>
      </c>
      <c r="J615" s="49"/>
      <c r="K615" s="47">
        <f>TRUNC(SUM(K612:K614))</f>
        <v>143236</v>
      </c>
    </row>
    <row r="616" spans="2:11" ht="12.95" customHeight="1" x14ac:dyDescent="0.3">
      <c r="B616" s="21"/>
      <c r="C616" s="21"/>
      <c r="D616" s="58"/>
      <c r="E616" s="18"/>
      <c r="F616" s="18"/>
      <c r="G616" s="22"/>
      <c r="H616" s="18"/>
      <c r="I616" s="22"/>
      <c r="J616" s="18"/>
      <c r="K616" s="22"/>
    </row>
    <row r="617" spans="2:11" ht="12.95" customHeight="1" x14ac:dyDescent="0.3">
      <c r="B617" s="29" t="s">
        <v>2</v>
      </c>
      <c r="C617" s="14"/>
      <c r="D617" s="6" t="s">
        <v>18</v>
      </c>
      <c r="E617" s="65">
        <v>241932</v>
      </c>
      <c r="F617" s="62">
        <v>1</v>
      </c>
      <c r="G617" s="11">
        <f t="shared" ref="G617:G619" si="195">TRUNC($E617*F617,1)</f>
        <v>241932</v>
      </c>
      <c r="H617" s="62">
        <v>1</v>
      </c>
      <c r="I617" s="11">
        <f t="shared" ref="I617:I619" si="196">TRUNC($E617*H617,1)</f>
        <v>241932</v>
      </c>
      <c r="J617" s="62">
        <v>1</v>
      </c>
      <c r="K617" s="11">
        <f t="shared" ref="K617:K619" si="197">TRUNC($E617*J617,1)</f>
        <v>241932</v>
      </c>
    </row>
    <row r="618" spans="2:11" ht="12.95" customHeight="1" x14ac:dyDescent="0.3">
      <c r="B618" s="29" t="s">
        <v>5</v>
      </c>
      <c r="C618" s="14"/>
      <c r="D618" s="6" t="s">
        <v>18</v>
      </c>
      <c r="E618" s="65">
        <v>172068</v>
      </c>
      <c r="F618" s="62">
        <v>1</v>
      </c>
      <c r="G618" s="11">
        <f t="shared" si="195"/>
        <v>172068</v>
      </c>
      <c r="H618" s="62">
        <v>1</v>
      </c>
      <c r="I618" s="11">
        <f t="shared" si="196"/>
        <v>172068</v>
      </c>
      <c r="J618" s="62">
        <v>1</v>
      </c>
      <c r="K618" s="11">
        <f t="shared" si="197"/>
        <v>172068</v>
      </c>
    </row>
    <row r="619" spans="2:11" ht="12.95" customHeight="1" x14ac:dyDescent="0.3">
      <c r="B619" s="17" t="s">
        <v>110</v>
      </c>
      <c r="C619" s="17" t="s">
        <v>8</v>
      </c>
      <c r="D619" s="58" t="s">
        <v>25</v>
      </c>
      <c r="E619" s="65">
        <v>58925</v>
      </c>
      <c r="F619" s="62">
        <v>8</v>
      </c>
      <c r="G619" s="11">
        <f t="shared" si="195"/>
        <v>471400</v>
      </c>
      <c r="H619" s="62">
        <v>8</v>
      </c>
      <c r="I619" s="11">
        <f t="shared" si="196"/>
        <v>471400</v>
      </c>
      <c r="J619" s="62">
        <v>8</v>
      </c>
      <c r="K619" s="11">
        <f t="shared" si="197"/>
        <v>471400</v>
      </c>
    </row>
    <row r="620" spans="2:11" ht="12.95" customHeight="1" x14ac:dyDescent="0.3">
      <c r="B620" s="42" t="s">
        <v>20</v>
      </c>
      <c r="C620" s="52"/>
      <c r="D620" s="50"/>
      <c r="E620" s="46"/>
      <c r="F620" s="70"/>
      <c r="G620" s="47">
        <f>TRUNC(SUM(G617:G619))</f>
        <v>885400</v>
      </c>
      <c r="H620" s="70"/>
      <c r="I620" s="47">
        <f>TRUNC(SUM(I617:I619))</f>
        <v>885400</v>
      </c>
      <c r="J620" s="70"/>
      <c r="K620" s="47">
        <f>TRUNC(SUM(K617:K619))</f>
        <v>885400</v>
      </c>
    </row>
    <row r="621" spans="2:11" ht="12.95" customHeight="1" x14ac:dyDescent="0.3">
      <c r="B621" s="21"/>
      <c r="C621" s="21"/>
      <c r="D621" s="58"/>
      <c r="E621" s="18"/>
      <c r="F621" s="55"/>
      <c r="G621" s="22"/>
      <c r="H621" s="55"/>
      <c r="I621" s="22"/>
      <c r="J621" s="55"/>
      <c r="K621" s="22"/>
    </row>
    <row r="622" spans="2:11" ht="12.95" customHeight="1" x14ac:dyDescent="0.3">
      <c r="B622" s="17" t="s">
        <v>110</v>
      </c>
      <c r="C622" s="17" t="s">
        <v>8</v>
      </c>
      <c r="D622" s="58" t="s">
        <v>25</v>
      </c>
      <c r="E622" s="65">
        <v>13873</v>
      </c>
      <c r="F622" s="62">
        <v>8</v>
      </c>
      <c r="G622" s="11">
        <f t="shared" ref="G622" si="198">TRUNC($E622*F622,1)</f>
        <v>110984</v>
      </c>
      <c r="H622" s="62">
        <v>8</v>
      </c>
      <c r="I622" s="11">
        <f t="shared" ref="I622" si="199">TRUNC($E622*H622,1)</f>
        <v>110984</v>
      </c>
      <c r="J622" s="62">
        <v>8</v>
      </c>
      <c r="K622" s="11">
        <f t="shared" ref="K622" si="200">TRUNC($E622*J622,1)</f>
        <v>110984</v>
      </c>
    </row>
    <row r="623" spans="2:11" ht="12.95" customHeight="1" x14ac:dyDescent="0.3">
      <c r="B623" s="48" t="s">
        <v>21</v>
      </c>
      <c r="C623" s="52"/>
      <c r="D623" s="53"/>
      <c r="E623" s="46"/>
      <c r="F623" s="49"/>
      <c r="G623" s="47">
        <f>TRUNC(SUM(G622:G622))</f>
        <v>110984</v>
      </c>
      <c r="H623" s="49"/>
      <c r="I623" s="47">
        <f>TRUNC(SUM(I622:I622))</f>
        <v>110984</v>
      </c>
      <c r="J623" s="49"/>
      <c r="K623" s="47">
        <f>TRUNC(SUM(K622:K622))</f>
        <v>110984</v>
      </c>
    </row>
    <row r="624" spans="2:11" ht="12.95" customHeight="1" x14ac:dyDescent="0.3">
      <c r="B624" s="21"/>
      <c r="C624" s="21"/>
      <c r="D624" s="58"/>
      <c r="E624" s="18"/>
      <c r="F624" s="18"/>
      <c r="G624" s="22"/>
      <c r="H624" s="18"/>
      <c r="I624" s="22"/>
      <c r="J624" s="18"/>
      <c r="K624" s="22"/>
    </row>
    <row r="625" spans="2:11" ht="12.95" customHeight="1" x14ac:dyDescent="0.3">
      <c r="B625" s="84" t="s">
        <v>23</v>
      </c>
      <c r="C625" s="21"/>
      <c r="D625" s="58"/>
      <c r="E625" s="85"/>
      <c r="F625" s="86"/>
      <c r="G625" s="87">
        <f>SUM(G615+G620+G623)</f>
        <v>1139620</v>
      </c>
      <c r="H625" s="86"/>
      <c r="I625" s="87">
        <f>SUM(I615+I620+I623)</f>
        <v>1139620</v>
      </c>
      <c r="J625" s="86"/>
      <c r="K625" s="87">
        <f>SUM(K615+K620+K623)</f>
        <v>1139620</v>
      </c>
    </row>
    <row r="626" spans="2:11" ht="12.95" customHeight="1" x14ac:dyDescent="0.3">
      <c r="B626" s="23" t="s">
        <v>136</v>
      </c>
      <c r="C626" s="24"/>
      <c r="D626" s="56"/>
      <c r="E626" s="25"/>
      <c r="F626" s="26"/>
      <c r="G626" s="27">
        <f>TRUNC((G625/G610))</f>
        <v>20720</v>
      </c>
      <c r="H626" s="26"/>
      <c r="I626" s="27">
        <f>TRUNC((I625/I610))</f>
        <v>25324</v>
      </c>
      <c r="J626" s="26"/>
      <c r="K626" s="27">
        <f>TRUNC((K625/K610))</f>
        <v>32560</v>
      </c>
    </row>
    <row r="627" spans="2:11" ht="12.95" customHeight="1" x14ac:dyDescent="0.3">
      <c r="B627" s="107" t="s">
        <v>11</v>
      </c>
      <c r="C627" s="110" t="s">
        <v>15</v>
      </c>
      <c r="D627" s="113" t="s">
        <v>16</v>
      </c>
      <c r="E627" s="116" t="s">
        <v>12</v>
      </c>
      <c r="F627" s="99" t="s">
        <v>86</v>
      </c>
      <c r="G627" s="100"/>
      <c r="H627" s="99" t="s">
        <v>87</v>
      </c>
      <c r="I627" s="100"/>
    </row>
    <row r="628" spans="2:11" ht="12.95" customHeight="1" x14ac:dyDescent="0.3">
      <c r="B628" s="108"/>
      <c r="C628" s="111"/>
      <c r="D628" s="114"/>
      <c r="E628" s="117"/>
      <c r="F628" s="82" t="s">
        <v>137</v>
      </c>
      <c r="G628" s="95">
        <v>30</v>
      </c>
      <c r="H628" s="82" t="s">
        <v>137</v>
      </c>
      <c r="I628" s="95">
        <v>25</v>
      </c>
    </row>
    <row r="629" spans="2:11" ht="12.95" customHeight="1" x14ac:dyDescent="0.3">
      <c r="B629" s="109"/>
      <c r="C629" s="112"/>
      <c r="D629" s="115"/>
      <c r="E629" s="118"/>
      <c r="F629" s="63" t="s">
        <v>49</v>
      </c>
      <c r="G629" s="64" t="s">
        <v>50</v>
      </c>
      <c r="H629" s="63" t="s">
        <v>49</v>
      </c>
      <c r="I629" s="64" t="s">
        <v>50</v>
      </c>
    </row>
    <row r="630" spans="2:11" ht="12.95" customHeight="1" x14ac:dyDescent="0.3">
      <c r="B630" s="17" t="s">
        <v>110</v>
      </c>
      <c r="C630" s="17" t="s">
        <v>8</v>
      </c>
      <c r="D630" s="58" t="s">
        <v>25</v>
      </c>
      <c r="E630" s="65">
        <v>9107</v>
      </c>
      <c r="F630" s="62">
        <v>8</v>
      </c>
      <c r="G630" s="11">
        <f t="shared" ref="G630" si="201">TRUNC($E630*F630,1)</f>
        <v>72856</v>
      </c>
      <c r="H630" s="62">
        <v>8</v>
      </c>
      <c r="I630" s="11">
        <f t="shared" ref="I630" si="202">TRUNC($E630*H630,1)</f>
        <v>72856</v>
      </c>
    </row>
    <row r="631" spans="2:11" ht="12.95" customHeight="1" x14ac:dyDescent="0.3">
      <c r="B631" s="17" t="s">
        <v>17</v>
      </c>
      <c r="C631" s="10" t="s">
        <v>85</v>
      </c>
      <c r="D631" s="58" t="s">
        <v>26</v>
      </c>
      <c r="E631" s="19"/>
      <c r="F631" s="62">
        <v>1</v>
      </c>
      <c r="G631" s="20">
        <f>TRUNC(SUM(G635:G636)*0.04,1)</f>
        <v>16560</v>
      </c>
      <c r="H631" s="62">
        <v>1</v>
      </c>
      <c r="I631" s="20">
        <f>TRUNC(SUM(I635:I636)*0.04,1)</f>
        <v>16560</v>
      </c>
    </row>
    <row r="632" spans="2:11" ht="12.95" customHeight="1" x14ac:dyDescent="0.3">
      <c r="B632" s="17" t="s">
        <v>89</v>
      </c>
      <c r="C632" s="10" t="s">
        <v>160</v>
      </c>
      <c r="D632" s="58" t="s">
        <v>26</v>
      </c>
      <c r="E632" s="19"/>
      <c r="F632" s="62">
        <v>1</v>
      </c>
      <c r="G632" s="20">
        <f>TRUNC(SUM(G635:G636)*0.13,1)</f>
        <v>53820</v>
      </c>
      <c r="H632" s="62">
        <v>1</v>
      </c>
      <c r="I632" s="20">
        <f>TRUNC(SUM(I635:I636)*0.13,1)</f>
        <v>53820</v>
      </c>
      <c r="J632" s="97"/>
      <c r="K632" s="98"/>
    </row>
    <row r="633" spans="2:11" ht="12.95" customHeight="1" x14ac:dyDescent="0.3">
      <c r="B633" s="48" t="s">
        <v>19</v>
      </c>
      <c r="C633" s="52"/>
      <c r="D633" s="50"/>
      <c r="E633" s="49"/>
      <c r="F633" s="49"/>
      <c r="G633" s="47">
        <f>TRUNC(SUM(G630:G632))</f>
        <v>143236</v>
      </c>
      <c r="H633" s="49"/>
      <c r="I633" s="47">
        <f>TRUNC(SUM(I630:I632))</f>
        <v>143236</v>
      </c>
    </row>
    <row r="634" spans="2:11" ht="12.95" customHeight="1" x14ac:dyDescent="0.3">
      <c r="B634" s="21"/>
      <c r="C634" s="21"/>
      <c r="D634" s="58"/>
      <c r="E634" s="18"/>
      <c r="F634" s="18"/>
      <c r="G634" s="22"/>
      <c r="H634" s="18"/>
      <c r="I634" s="22"/>
    </row>
    <row r="635" spans="2:11" ht="12.95" customHeight="1" x14ac:dyDescent="0.3">
      <c r="B635" s="29" t="s">
        <v>2</v>
      </c>
      <c r="C635" s="14"/>
      <c r="D635" s="6" t="s">
        <v>18</v>
      </c>
      <c r="E635" s="65">
        <v>241932</v>
      </c>
      <c r="F635" s="62">
        <v>1</v>
      </c>
      <c r="G635" s="11">
        <f t="shared" ref="G635:G637" si="203">TRUNC($E635*F635,1)</f>
        <v>241932</v>
      </c>
      <c r="H635" s="62">
        <v>1</v>
      </c>
      <c r="I635" s="11">
        <f t="shared" ref="I635:I637" si="204">TRUNC($E635*H635,1)</f>
        <v>241932</v>
      </c>
    </row>
    <row r="636" spans="2:11" ht="12.95" customHeight="1" x14ac:dyDescent="0.3">
      <c r="B636" s="29" t="s">
        <v>5</v>
      </c>
      <c r="C636" s="14"/>
      <c r="D636" s="6" t="s">
        <v>18</v>
      </c>
      <c r="E636" s="65">
        <v>172068</v>
      </c>
      <c r="F636" s="62">
        <v>1</v>
      </c>
      <c r="G636" s="11">
        <f t="shared" si="203"/>
        <v>172068</v>
      </c>
      <c r="H636" s="62">
        <v>1</v>
      </c>
      <c r="I636" s="11">
        <f t="shared" si="204"/>
        <v>172068</v>
      </c>
    </row>
    <row r="637" spans="2:11" ht="12.95" customHeight="1" x14ac:dyDescent="0.3">
      <c r="B637" s="17" t="s">
        <v>110</v>
      </c>
      <c r="C637" s="17" t="s">
        <v>8</v>
      </c>
      <c r="D637" s="58" t="s">
        <v>25</v>
      </c>
      <c r="E637" s="65">
        <v>58925</v>
      </c>
      <c r="F637" s="62">
        <v>8</v>
      </c>
      <c r="G637" s="11">
        <f t="shared" si="203"/>
        <v>471400</v>
      </c>
      <c r="H637" s="62">
        <v>8</v>
      </c>
      <c r="I637" s="11">
        <f t="shared" si="204"/>
        <v>471400</v>
      </c>
    </row>
    <row r="638" spans="2:11" ht="12.95" customHeight="1" x14ac:dyDescent="0.3">
      <c r="B638" s="42" t="s">
        <v>20</v>
      </c>
      <c r="C638" s="52"/>
      <c r="D638" s="50"/>
      <c r="E638" s="46"/>
      <c r="F638" s="70"/>
      <c r="G638" s="47">
        <f>TRUNC(SUM(G635:G637))</f>
        <v>885400</v>
      </c>
      <c r="H638" s="70"/>
      <c r="I638" s="47">
        <f>TRUNC(SUM(I635:I637))</f>
        <v>885400</v>
      </c>
    </row>
    <row r="639" spans="2:11" ht="12.95" customHeight="1" x14ac:dyDescent="0.3">
      <c r="B639" s="21"/>
      <c r="C639" s="21"/>
      <c r="D639" s="58"/>
      <c r="E639" s="18"/>
      <c r="F639" s="55"/>
      <c r="G639" s="22"/>
      <c r="H639" s="55"/>
      <c r="I639" s="22"/>
    </row>
    <row r="640" spans="2:11" ht="12.95" customHeight="1" x14ac:dyDescent="0.3">
      <c r="B640" s="17" t="s">
        <v>110</v>
      </c>
      <c r="C640" s="17" t="s">
        <v>8</v>
      </c>
      <c r="D640" s="58" t="s">
        <v>25</v>
      </c>
      <c r="E640" s="65">
        <v>13873</v>
      </c>
      <c r="F640" s="62">
        <v>8</v>
      </c>
      <c r="G640" s="11">
        <f t="shared" ref="G640" si="205">TRUNC($E640*F640,1)</f>
        <v>110984</v>
      </c>
      <c r="H640" s="62">
        <v>8</v>
      </c>
      <c r="I640" s="11">
        <f t="shared" ref="I640" si="206">TRUNC($E640*H640,1)</f>
        <v>110984</v>
      </c>
    </row>
    <row r="641" spans="2:11" ht="12.95" customHeight="1" x14ac:dyDescent="0.3">
      <c r="B641" s="48" t="s">
        <v>21</v>
      </c>
      <c r="C641" s="52"/>
      <c r="D641" s="53"/>
      <c r="E641" s="46"/>
      <c r="F641" s="49"/>
      <c r="G641" s="47">
        <f>TRUNC(SUM(G640:G640))</f>
        <v>110984</v>
      </c>
      <c r="H641" s="49"/>
      <c r="I641" s="47">
        <f>TRUNC(SUM(I640:I640))</f>
        <v>110984</v>
      </c>
    </row>
    <row r="642" spans="2:11" ht="12.95" customHeight="1" x14ac:dyDescent="0.3">
      <c r="B642" s="21"/>
      <c r="C642" s="21"/>
      <c r="D642" s="58"/>
      <c r="E642" s="18"/>
      <c r="F642" s="18"/>
      <c r="G642" s="22"/>
      <c r="H642" s="18"/>
      <c r="I642" s="22"/>
    </row>
    <row r="643" spans="2:11" ht="12.95" customHeight="1" x14ac:dyDescent="0.3">
      <c r="B643" s="84" t="s">
        <v>23</v>
      </c>
      <c r="C643" s="21"/>
      <c r="D643" s="58"/>
      <c r="E643" s="85"/>
      <c r="F643" s="86"/>
      <c r="G643" s="87">
        <f>SUM(G633+G638+G641)</f>
        <v>1139620</v>
      </c>
      <c r="H643" s="86"/>
      <c r="I643" s="87">
        <f>SUM(I633+I638+I641)</f>
        <v>1139620</v>
      </c>
    </row>
    <row r="644" spans="2:11" ht="12.95" customHeight="1" x14ac:dyDescent="0.3">
      <c r="B644" s="23" t="s">
        <v>136</v>
      </c>
      <c r="C644" s="24"/>
      <c r="D644" s="56"/>
      <c r="E644" s="25"/>
      <c r="F644" s="26"/>
      <c r="G644" s="27">
        <f>TRUNC((G643/G628))</f>
        <v>37987</v>
      </c>
      <c r="H644" s="26"/>
      <c r="I644" s="27">
        <f>TRUNC((I643/I628))</f>
        <v>45584</v>
      </c>
    </row>
    <row r="645" spans="2:11" ht="12.95" customHeight="1" x14ac:dyDescent="0.3">
      <c r="B645" s="3"/>
      <c r="C645" s="9"/>
      <c r="D645" s="3"/>
      <c r="E645" s="13"/>
      <c r="F645" s="4"/>
      <c r="G645" s="4"/>
      <c r="H645" s="4"/>
      <c r="I645" s="4"/>
    </row>
    <row r="646" spans="2:11" ht="12.95" customHeight="1" x14ac:dyDescent="0.3">
      <c r="B646" s="75" t="s">
        <v>90</v>
      </c>
      <c r="C646" s="9"/>
      <c r="D646" s="3"/>
      <c r="E646" s="13"/>
      <c r="F646" s="4"/>
      <c r="G646" s="4"/>
      <c r="H646" s="4"/>
      <c r="I646" s="4"/>
    </row>
    <row r="647" spans="2:11" ht="12.95" customHeight="1" x14ac:dyDescent="0.3">
      <c r="B647" s="2" t="s">
        <v>91</v>
      </c>
      <c r="I647" s="61"/>
      <c r="K647" s="61" t="s">
        <v>53</v>
      </c>
    </row>
    <row r="648" spans="2:11" ht="12.95" customHeight="1" x14ac:dyDescent="0.3">
      <c r="B648" s="107" t="s">
        <v>11</v>
      </c>
      <c r="C648" s="110" t="s">
        <v>15</v>
      </c>
      <c r="D648" s="113" t="s">
        <v>16</v>
      </c>
      <c r="E648" s="116" t="s">
        <v>12</v>
      </c>
      <c r="F648" s="99" t="s">
        <v>95</v>
      </c>
      <c r="G648" s="100"/>
      <c r="H648" s="99" t="s">
        <v>97</v>
      </c>
      <c r="I648" s="100"/>
      <c r="J648" s="99" t="s">
        <v>99</v>
      </c>
      <c r="K648" s="100"/>
    </row>
    <row r="649" spans="2:11" ht="12.95" customHeight="1" x14ac:dyDescent="0.3">
      <c r="B649" s="108"/>
      <c r="C649" s="111"/>
      <c r="D649" s="114"/>
      <c r="E649" s="117"/>
      <c r="F649" s="82" t="s">
        <v>137</v>
      </c>
      <c r="G649" s="96">
        <v>3000</v>
      </c>
      <c r="H649" s="82" t="s">
        <v>137</v>
      </c>
      <c r="I649" s="96">
        <v>2000</v>
      </c>
      <c r="J649" s="82" t="s">
        <v>137</v>
      </c>
      <c r="K649" s="96">
        <v>2000</v>
      </c>
    </row>
    <row r="650" spans="2:11" ht="12.95" customHeight="1" x14ac:dyDescent="0.3">
      <c r="B650" s="109"/>
      <c r="C650" s="112"/>
      <c r="D650" s="115"/>
      <c r="E650" s="118"/>
      <c r="F650" s="63" t="s">
        <v>49</v>
      </c>
      <c r="G650" s="64" t="s">
        <v>50</v>
      </c>
      <c r="H650" s="63" t="s">
        <v>49</v>
      </c>
      <c r="I650" s="64" t="s">
        <v>50</v>
      </c>
      <c r="J650" s="63" t="s">
        <v>49</v>
      </c>
      <c r="K650" s="64" t="s">
        <v>50</v>
      </c>
    </row>
    <row r="651" spans="2:11" ht="12.95" customHeight="1" x14ac:dyDescent="0.3">
      <c r="B651" s="17" t="s">
        <v>28</v>
      </c>
      <c r="C651" s="17" t="s">
        <v>93</v>
      </c>
      <c r="D651" s="58" t="s">
        <v>25</v>
      </c>
      <c r="E651" s="65">
        <v>16112</v>
      </c>
      <c r="F651" s="62">
        <v>8</v>
      </c>
      <c r="G651" s="11">
        <f t="shared" ref="G651" si="207">TRUNC($E651*F651,1)</f>
        <v>128896</v>
      </c>
      <c r="H651" s="62">
        <v>8</v>
      </c>
      <c r="I651" s="11">
        <f t="shared" ref="I651" si="208">TRUNC($E651*H651,1)</f>
        <v>128896</v>
      </c>
      <c r="J651" s="62">
        <v>8</v>
      </c>
      <c r="K651" s="11">
        <f t="shared" ref="K651" si="209">TRUNC($E651*J651,1)</f>
        <v>128896</v>
      </c>
    </row>
    <row r="652" spans="2:11" ht="12.95" customHeight="1" x14ac:dyDescent="0.3">
      <c r="B652" s="17" t="s">
        <v>17</v>
      </c>
      <c r="C652" s="10" t="s">
        <v>161</v>
      </c>
      <c r="D652" s="58" t="s">
        <v>26</v>
      </c>
      <c r="E652" s="19"/>
      <c r="F652" s="62">
        <v>1</v>
      </c>
      <c r="G652" s="20">
        <f>TRUNC(SUM(G655:G656)*0.02,1)</f>
        <v>34277</v>
      </c>
      <c r="H652" s="62">
        <v>1</v>
      </c>
      <c r="I652" s="20">
        <f>TRUNC(SUM(I655:I656)*0.02,1)</f>
        <v>34277</v>
      </c>
      <c r="J652" s="62">
        <v>1</v>
      </c>
      <c r="K652" s="20">
        <f>TRUNC(SUM(K655:K656)*0.02,1)</f>
        <v>34277</v>
      </c>
    </row>
    <row r="653" spans="2:11" ht="12.95" customHeight="1" x14ac:dyDescent="0.3">
      <c r="B653" s="48" t="s">
        <v>19</v>
      </c>
      <c r="C653" s="52"/>
      <c r="D653" s="50"/>
      <c r="E653" s="49"/>
      <c r="F653" s="49"/>
      <c r="G653" s="47">
        <f>TRUNC(SUM(G651:G652))</f>
        <v>163173</v>
      </c>
      <c r="H653" s="49"/>
      <c r="I653" s="47">
        <f>TRUNC(SUM(I651:I652))</f>
        <v>163173</v>
      </c>
      <c r="J653" s="49"/>
      <c r="K653" s="47">
        <f>TRUNC(SUM(K651:K652))</f>
        <v>163173</v>
      </c>
    </row>
    <row r="654" spans="2:11" ht="12.95" customHeight="1" x14ac:dyDescent="0.3">
      <c r="B654" s="21"/>
      <c r="C654" s="21"/>
      <c r="D654" s="58"/>
      <c r="E654" s="18"/>
      <c r="F654" s="18"/>
      <c r="G654" s="22"/>
      <c r="H654" s="18"/>
      <c r="I654" s="22"/>
      <c r="J654" s="18"/>
      <c r="K654" s="22"/>
    </row>
    <row r="655" spans="2:11" ht="12.95" customHeight="1" x14ac:dyDescent="0.3">
      <c r="B655" s="29" t="s">
        <v>4</v>
      </c>
      <c r="C655" s="14"/>
      <c r="D655" s="6" t="s">
        <v>18</v>
      </c>
      <c r="E655" s="65">
        <v>228286</v>
      </c>
      <c r="F655" s="62">
        <v>6</v>
      </c>
      <c r="G655" s="11">
        <f t="shared" ref="G655:G657" si="210">TRUNC($E655*F655,1)</f>
        <v>1369716</v>
      </c>
      <c r="H655" s="62">
        <v>6</v>
      </c>
      <c r="I655" s="11">
        <f t="shared" ref="I655:I657" si="211">TRUNC($E655*H655,1)</f>
        <v>1369716</v>
      </c>
      <c r="J655" s="62">
        <v>6</v>
      </c>
      <c r="K655" s="11">
        <f t="shared" ref="K655:K657" si="212">TRUNC($E655*J655,1)</f>
        <v>1369716</v>
      </c>
    </row>
    <row r="656" spans="2:11" ht="12.95" customHeight="1" x14ac:dyDescent="0.3">
      <c r="B656" s="29" t="s">
        <v>5</v>
      </c>
      <c r="C656" s="14"/>
      <c r="D656" s="6" t="s">
        <v>18</v>
      </c>
      <c r="E656" s="65">
        <v>172068</v>
      </c>
      <c r="F656" s="62">
        <v>2</v>
      </c>
      <c r="G656" s="11">
        <f t="shared" si="210"/>
        <v>344136</v>
      </c>
      <c r="H656" s="62">
        <v>2</v>
      </c>
      <c r="I656" s="11">
        <f t="shared" si="211"/>
        <v>344136</v>
      </c>
      <c r="J656" s="62">
        <v>2</v>
      </c>
      <c r="K656" s="11">
        <f t="shared" si="212"/>
        <v>344136</v>
      </c>
    </row>
    <row r="657" spans="2:11" ht="12.95" customHeight="1" x14ac:dyDescent="0.3">
      <c r="B657" s="17" t="s">
        <v>28</v>
      </c>
      <c r="C657" s="17" t="s">
        <v>93</v>
      </c>
      <c r="D657" s="58" t="s">
        <v>25</v>
      </c>
      <c r="E657" s="65">
        <v>58925</v>
      </c>
      <c r="F657" s="62">
        <v>8</v>
      </c>
      <c r="G657" s="11">
        <f t="shared" si="210"/>
        <v>471400</v>
      </c>
      <c r="H657" s="62">
        <v>8</v>
      </c>
      <c r="I657" s="11">
        <f t="shared" si="211"/>
        <v>471400</v>
      </c>
      <c r="J657" s="62">
        <v>8</v>
      </c>
      <c r="K657" s="11">
        <f t="shared" si="212"/>
        <v>471400</v>
      </c>
    </row>
    <row r="658" spans="2:11" ht="12.95" customHeight="1" x14ac:dyDescent="0.3">
      <c r="B658" s="42" t="s">
        <v>20</v>
      </c>
      <c r="C658" s="52"/>
      <c r="D658" s="50"/>
      <c r="E658" s="46"/>
      <c r="F658" s="70"/>
      <c r="G658" s="47">
        <f>TRUNC(SUM(G655:G657))</f>
        <v>2185252</v>
      </c>
      <c r="H658" s="70"/>
      <c r="I658" s="47">
        <f>TRUNC(SUM(I655:I657))</f>
        <v>2185252</v>
      </c>
      <c r="J658" s="70"/>
      <c r="K658" s="47">
        <f>TRUNC(SUM(K655:K657))</f>
        <v>2185252</v>
      </c>
    </row>
    <row r="659" spans="2:11" ht="12.95" customHeight="1" x14ac:dyDescent="0.3">
      <c r="B659" s="21"/>
      <c r="C659" s="21"/>
      <c r="D659" s="58"/>
      <c r="E659" s="18"/>
      <c r="F659" s="55"/>
      <c r="G659" s="22"/>
      <c r="H659" s="55"/>
      <c r="I659" s="22"/>
      <c r="J659" s="55"/>
      <c r="K659" s="22"/>
    </row>
    <row r="660" spans="2:11" ht="12.95" customHeight="1" x14ac:dyDescent="0.3">
      <c r="B660" s="17" t="s">
        <v>28</v>
      </c>
      <c r="C660" s="17" t="s">
        <v>93</v>
      </c>
      <c r="D660" s="58" t="s">
        <v>25</v>
      </c>
      <c r="E660" s="65">
        <v>57685</v>
      </c>
      <c r="F660" s="62">
        <v>8</v>
      </c>
      <c r="G660" s="11">
        <f t="shared" ref="G660" si="213">TRUNC($E660*F660,1)</f>
        <v>461480</v>
      </c>
      <c r="H660" s="62">
        <v>8</v>
      </c>
      <c r="I660" s="11">
        <f t="shared" ref="I660" si="214">TRUNC($E660*H660,1)</f>
        <v>461480</v>
      </c>
      <c r="J660" s="62">
        <v>8</v>
      </c>
      <c r="K660" s="11">
        <f t="shared" ref="K660" si="215">TRUNC($E660*J660,1)</f>
        <v>461480</v>
      </c>
    </row>
    <row r="661" spans="2:11" ht="12.95" customHeight="1" x14ac:dyDescent="0.3">
      <c r="B661" s="48" t="s">
        <v>21</v>
      </c>
      <c r="C661" s="52"/>
      <c r="D661" s="53"/>
      <c r="E661" s="46"/>
      <c r="F661" s="49"/>
      <c r="G661" s="47">
        <f>TRUNC(SUM(G660:G660))</f>
        <v>461480</v>
      </c>
      <c r="H661" s="49"/>
      <c r="I661" s="47">
        <f>TRUNC(SUM(I660:I660))</f>
        <v>461480</v>
      </c>
      <c r="J661" s="49"/>
      <c r="K661" s="47">
        <f>TRUNC(SUM(K660:K660))</f>
        <v>461480</v>
      </c>
    </row>
    <row r="662" spans="2:11" ht="12.95" customHeight="1" x14ac:dyDescent="0.3">
      <c r="B662" s="21"/>
      <c r="C662" s="21"/>
      <c r="D662" s="58"/>
      <c r="E662" s="18"/>
      <c r="F662" s="18"/>
      <c r="G662" s="22"/>
      <c r="H662" s="18"/>
      <c r="I662" s="22"/>
      <c r="J662" s="18"/>
      <c r="K662" s="22"/>
    </row>
    <row r="663" spans="2:11" ht="12.95" customHeight="1" x14ac:dyDescent="0.3">
      <c r="B663" s="84" t="s">
        <v>23</v>
      </c>
      <c r="C663" s="21"/>
      <c r="D663" s="58"/>
      <c r="E663" s="85"/>
      <c r="F663" s="86"/>
      <c r="G663" s="87">
        <f>SUM(G653+G658+G661)</f>
        <v>2809905</v>
      </c>
      <c r="H663" s="86"/>
      <c r="I663" s="87">
        <f>SUM(I653+I658+I661)</f>
        <v>2809905</v>
      </c>
      <c r="J663" s="86"/>
      <c r="K663" s="87">
        <f>SUM(K653+K658+K661)</f>
        <v>2809905</v>
      </c>
    </row>
    <row r="664" spans="2:11" ht="12.95" customHeight="1" x14ac:dyDescent="0.3">
      <c r="B664" s="23" t="s">
        <v>113</v>
      </c>
      <c r="C664" s="24"/>
      <c r="D664" s="56"/>
      <c r="E664" s="25"/>
      <c r="F664" s="26"/>
      <c r="G664" s="27">
        <f>TRUNC((G663/G649))</f>
        <v>936</v>
      </c>
      <c r="H664" s="26"/>
      <c r="I664" s="27">
        <f>TRUNC((I663/I649))</f>
        <v>1404</v>
      </c>
      <c r="J664" s="26"/>
      <c r="K664" s="27">
        <f>TRUNC((K663/K649))</f>
        <v>1404</v>
      </c>
    </row>
    <row r="665" spans="2:11" ht="12.95" customHeight="1" x14ac:dyDescent="0.3">
      <c r="B665" s="107" t="s">
        <v>11</v>
      </c>
      <c r="C665" s="110" t="s">
        <v>15</v>
      </c>
      <c r="D665" s="113" t="s">
        <v>16</v>
      </c>
      <c r="E665" s="116" t="s">
        <v>12</v>
      </c>
      <c r="F665" s="99" t="s">
        <v>101</v>
      </c>
      <c r="G665" s="100"/>
    </row>
    <row r="666" spans="2:11" ht="12.95" customHeight="1" x14ac:dyDescent="0.3">
      <c r="B666" s="108"/>
      <c r="C666" s="111"/>
      <c r="D666" s="114"/>
      <c r="E666" s="117"/>
      <c r="F666" s="82" t="s">
        <v>137</v>
      </c>
      <c r="G666" s="96">
        <v>800</v>
      </c>
    </row>
    <row r="667" spans="2:11" ht="12.95" customHeight="1" x14ac:dyDescent="0.3">
      <c r="B667" s="109"/>
      <c r="C667" s="112"/>
      <c r="D667" s="115"/>
      <c r="E667" s="118"/>
      <c r="F667" s="63" t="s">
        <v>49</v>
      </c>
      <c r="G667" s="64" t="s">
        <v>50</v>
      </c>
    </row>
    <row r="668" spans="2:11" ht="12.95" customHeight="1" x14ac:dyDescent="0.3">
      <c r="B668" s="17" t="s">
        <v>28</v>
      </c>
      <c r="C668" s="17" t="s">
        <v>93</v>
      </c>
      <c r="D668" s="58" t="s">
        <v>25</v>
      </c>
      <c r="E668" s="65">
        <v>16112</v>
      </c>
      <c r="F668" s="62">
        <v>8</v>
      </c>
      <c r="G668" s="11">
        <f t="shared" ref="G668" si="216">TRUNC($E668*F668,1)</f>
        <v>128896</v>
      </c>
    </row>
    <row r="669" spans="2:11" ht="12.95" customHeight="1" x14ac:dyDescent="0.3">
      <c r="B669" s="17" t="s">
        <v>17</v>
      </c>
      <c r="C669" s="10" t="s">
        <v>162</v>
      </c>
      <c r="D669" s="58" t="s">
        <v>26</v>
      </c>
      <c r="E669" s="19"/>
      <c r="F669" s="62">
        <v>1</v>
      </c>
      <c r="G669" s="20">
        <f>TRUNC(SUM(G672:G673)*0.05,1)</f>
        <v>85692.6</v>
      </c>
    </row>
    <row r="670" spans="2:11" ht="12.95" customHeight="1" x14ac:dyDescent="0.3">
      <c r="B670" s="48" t="s">
        <v>19</v>
      </c>
      <c r="C670" s="52"/>
      <c r="D670" s="50"/>
      <c r="E670" s="49"/>
      <c r="F670" s="49"/>
      <c r="G670" s="47">
        <f>TRUNC(SUM(G668:G669))</f>
        <v>214588</v>
      </c>
    </row>
    <row r="671" spans="2:11" ht="12.95" customHeight="1" x14ac:dyDescent="0.3">
      <c r="B671" s="21"/>
      <c r="C671" s="21"/>
      <c r="D671" s="58"/>
      <c r="E671" s="18"/>
      <c r="F671" s="18"/>
      <c r="G671" s="22"/>
    </row>
    <row r="672" spans="2:11" ht="12.95" customHeight="1" x14ac:dyDescent="0.3">
      <c r="B672" s="29" t="s">
        <v>4</v>
      </c>
      <c r="C672" s="14"/>
      <c r="D672" s="6" t="s">
        <v>18</v>
      </c>
      <c r="E672" s="65">
        <v>228286</v>
      </c>
      <c r="F672" s="62">
        <v>6</v>
      </c>
      <c r="G672" s="11">
        <f t="shared" ref="G672:G674" si="217">TRUNC($E672*F672,1)</f>
        <v>1369716</v>
      </c>
    </row>
    <row r="673" spans="2:13" ht="12.95" customHeight="1" x14ac:dyDescent="0.3">
      <c r="B673" s="29" t="s">
        <v>5</v>
      </c>
      <c r="C673" s="14"/>
      <c r="D673" s="6" t="s">
        <v>18</v>
      </c>
      <c r="E673" s="65">
        <v>172068</v>
      </c>
      <c r="F673" s="62">
        <v>2</v>
      </c>
      <c r="G673" s="11">
        <f t="shared" si="217"/>
        <v>344136</v>
      </c>
    </row>
    <row r="674" spans="2:13" ht="12.95" customHeight="1" x14ac:dyDescent="0.3">
      <c r="B674" s="17" t="s">
        <v>28</v>
      </c>
      <c r="C674" s="17" t="s">
        <v>93</v>
      </c>
      <c r="D674" s="58" t="s">
        <v>25</v>
      </c>
      <c r="E674" s="65">
        <v>58925</v>
      </c>
      <c r="F674" s="62">
        <v>8</v>
      </c>
      <c r="G674" s="11">
        <f t="shared" si="217"/>
        <v>471400</v>
      </c>
    </row>
    <row r="675" spans="2:13" ht="12.95" customHeight="1" x14ac:dyDescent="0.3">
      <c r="B675" s="42" t="s">
        <v>20</v>
      </c>
      <c r="C675" s="52"/>
      <c r="D675" s="50"/>
      <c r="E675" s="46"/>
      <c r="F675" s="70"/>
      <c r="G675" s="47">
        <f>TRUNC(SUM(G672:G674))</f>
        <v>2185252</v>
      </c>
    </row>
    <row r="676" spans="2:13" ht="12.95" customHeight="1" x14ac:dyDescent="0.3">
      <c r="B676" s="21"/>
      <c r="C676" s="21"/>
      <c r="D676" s="58"/>
      <c r="E676" s="18"/>
      <c r="F676" s="55"/>
      <c r="G676" s="22"/>
    </row>
    <row r="677" spans="2:13" ht="12.95" customHeight="1" x14ac:dyDescent="0.3">
      <c r="B677" s="17" t="s">
        <v>28</v>
      </c>
      <c r="C677" s="17" t="s">
        <v>93</v>
      </c>
      <c r="D677" s="58" t="s">
        <v>25</v>
      </c>
      <c r="E677" s="65">
        <v>57685</v>
      </c>
      <c r="F677" s="62">
        <v>8</v>
      </c>
      <c r="G677" s="11">
        <f t="shared" ref="G677" si="218">TRUNC($E677*F677,1)</f>
        <v>461480</v>
      </c>
    </row>
    <row r="678" spans="2:13" ht="12.95" customHeight="1" x14ac:dyDescent="0.3">
      <c r="B678" s="48" t="s">
        <v>21</v>
      </c>
      <c r="C678" s="52"/>
      <c r="D678" s="53"/>
      <c r="E678" s="46"/>
      <c r="F678" s="49"/>
      <c r="G678" s="47">
        <f>TRUNC(SUM(G677:G677))</f>
        <v>461480</v>
      </c>
    </row>
    <row r="679" spans="2:13" ht="12.95" customHeight="1" x14ac:dyDescent="0.3">
      <c r="B679" s="21"/>
      <c r="C679" s="21"/>
      <c r="D679" s="58"/>
      <c r="E679" s="18"/>
      <c r="F679" s="18"/>
      <c r="G679" s="22"/>
    </row>
    <row r="680" spans="2:13" ht="12.95" customHeight="1" x14ac:dyDescent="0.3">
      <c r="B680" s="84" t="s">
        <v>23</v>
      </c>
      <c r="C680" s="21"/>
      <c r="D680" s="58"/>
      <c r="E680" s="85"/>
      <c r="F680" s="86"/>
      <c r="G680" s="87">
        <f>SUM(G670+G675+G678)</f>
        <v>2861320</v>
      </c>
    </row>
    <row r="681" spans="2:13" ht="12.95" customHeight="1" x14ac:dyDescent="0.3">
      <c r="B681" s="23" t="s">
        <v>113</v>
      </c>
      <c r="C681" s="24"/>
      <c r="D681" s="56"/>
      <c r="E681" s="25"/>
      <c r="F681" s="26"/>
      <c r="G681" s="27">
        <f>TRUNC((G680/G666))</f>
        <v>3576</v>
      </c>
    </row>
    <row r="682" spans="2:13" ht="12.95" customHeight="1" x14ac:dyDescent="0.3">
      <c r="B682" s="2" t="s">
        <v>165</v>
      </c>
    </row>
    <row r="683" spans="2:13" ht="12.95" customHeight="1" x14ac:dyDescent="0.3">
      <c r="B683" s="2" t="s">
        <v>166</v>
      </c>
    </row>
    <row r="684" spans="2:13" ht="12.95" customHeight="1" x14ac:dyDescent="0.3">
      <c r="B684" s="119" t="s">
        <v>11</v>
      </c>
      <c r="C684" s="120" t="s">
        <v>15</v>
      </c>
      <c r="D684" s="121" t="s">
        <v>16</v>
      </c>
      <c r="E684" s="122" t="s">
        <v>12</v>
      </c>
      <c r="F684" s="99" t="s">
        <v>95</v>
      </c>
      <c r="G684" s="100"/>
      <c r="H684" s="99" t="s">
        <v>97</v>
      </c>
      <c r="I684" s="100"/>
      <c r="J684" s="99" t="s">
        <v>99</v>
      </c>
      <c r="K684" s="100"/>
      <c r="L684" s="99" t="s">
        <v>101</v>
      </c>
      <c r="M684" s="100"/>
    </row>
    <row r="685" spans="2:13" ht="12.95" customHeight="1" x14ac:dyDescent="0.3">
      <c r="B685" s="119"/>
      <c r="C685" s="120"/>
      <c r="D685" s="121"/>
      <c r="E685" s="122"/>
      <c r="F685" s="63" t="s">
        <v>49</v>
      </c>
      <c r="G685" s="64" t="s">
        <v>50</v>
      </c>
      <c r="H685" s="63" t="s">
        <v>13</v>
      </c>
      <c r="I685" s="64" t="s">
        <v>14</v>
      </c>
      <c r="J685" s="63" t="s">
        <v>49</v>
      </c>
      <c r="K685" s="64" t="s">
        <v>50</v>
      </c>
      <c r="L685" s="63" t="s">
        <v>13</v>
      </c>
      <c r="M685" s="64" t="s">
        <v>14</v>
      </c>
    </row>
    <row r="686" spans="2:13" ht="12.95" customHeight="1" x14ac:dyDescent="0.3">
      <c r="B686" s="17" t="s">
        <v>94</v>
      </c>
      <c r="C686" s="17"/>
      <c r="D686" s="58" t="s">
        <v>92</v>
      </c>
      <c r="E686" s="66">
        <v>0</v>
      </c>
      <c r="F686" s="76">
        <v>1.1000000000000001</v>
      </c>
      <c r="G686" s="11">
        <f t="shared" ref="G686:M687" si="219">TRUNC($E686*F686,1)</f>
        <v>0</v>
      </c>
      <c r="H686" s="76">
        <v>0</v>
      </c>
      <c r="I686" s="11">
        <f t="shared" si="219"/>
        <v>0</v>
      </c>
      <c r="J686" s="76">
        <v>0</v>
      </c>
      <c r="K686" s="11">
        <f t="shared" si="219"/>
        <v>0</v>
      </c>
      <c r="L686" s="76">
        <v>0</v>
      </c>
      <c r="M686" s="11">
        <f t="shared" si="219"/>
        <v>0</v>
      </c>
    </row>
    <row r="687" spans="2:13" ht="12.95" customHeight="1" x14ac:dyDescent="0.3">
      <c r="B687" s="17" t="s">
        <v>96</v>
      </c>
      <c r="C687" s="17" t="s">
        <v>163</v>
      </c>
      <c r="D687" s="58" t="s">
        <v>92</v>
      </c>
      <c r="E687" s="66">
        <v>0</v>
      </c>
      <c r="F687" s="76">
        <v>0</v>
      </c>
      <c r="G687" s="11">
        <f t="shared" si="219"/>
        <v>0</v>
      </c>
      <c r="H687" s="76">
        <v>1.1000000000000001</v>
      </c>
      <c r="I687" s="11">
        <f t="shared" si="219"/>
        <v>0</v>
      </c>
      <c r="J687" s="76">
        <v>0</v>
      </c>
      <c r="K687" s="11">
        <f t="shared" si="219"/>
        <v>0</v>
      </c>
      <c r="L687" s="76">
        <v>0</v>
      </c>
      <c r="M687" s="11">
        <f t="shared" si="219"/>
        <v>0</v>
      </c>
    </row>
    <row r="688" spans="2:13" ht="12.95" customHeight="1" x14ac:dyDescent="0.3">
      <c r="B688" s="17" t="s">
        <v>98</v>
      </c>
      <c r="C688" s="17" t="s">
        <v>163</v>
      </c>
      <c r="D688" s="58" t="s">
        <v>92</v>
      </c>
      <c r="E688" s="66">
        <v>0</v>
      </c>
      <c r="F688" s="76">
        <v>0</v>
      </c>
      <c r="G688" s="11">
        <f t="shared" ref="G688:M689" si="220">TRUNC($E688*F688,1)</f>
        <v>0</v>
      </c>
      <c r="H688" s="76">
        <v>0</v>
      </c>
      <c r="I688" s="11">
        <f t="shared" si="220"/>
        <v>0</v>
      </c>
      <c r="J688" s="76">
        <v>1.1000000000000001</v>
      </c>
      <c r="K688" s="11">
        <f t="shared" si="220"/>
        <v>0</v>
      </c>
      <c r="L688" s="76">
        <v>0</v>
      </c>
      <c r="M688" s="11">
        <f t="shared" si="220"/>
        <v>0</v>
      </c>
    </row>
    <row r="689" spans="2:13" ht="12.95" customHeight="1" x14ac:dyDescent="0.3">
      <c r="B689" s="17" t="s">
        <v>100</v>
      </c>
      <c r="C689" s="17" t="s">
        <v>164</v>
      </c>
      <c r="D689" s="58" t="s">
        <v>92</v>
      </c>
      <c r="E689" s="66">
        <v>0</v>
      </c>
      <c r="F689" s="76">
        <v>0</v>
      </c>
      <c r="G689" s="11">
        <f t="shared" si="220"/>
        <v>0</v>
      </c>
      <c r="H689" s="76">
        <v>0</v>
      </c>
      <c r="I689" s="11">
        <f t="shared" si="220"/>
        <v>0</v>
      </c>
      <c r="J689" s="76">
        <v>0</v>
      </c>
      <c r="K689" s="11">
        <f t="shared" si="220"/>
        <v>0</v>
      </c>
      <c r="L689" s="76">
        <v>1.1000000000000001</v>
      </c>
      <c r="M689" s="11">
        <f t="shared" si="220"/>
        <v>0</v>
      </c>
    </row>
    <row r="690" spans="2:13" ht="12.95" customHeight="1" x14ac:dyDescent="0.3">
      <c r="B690" s="48" t="s">
        <v>19</v>
      </c>
      <c r="C690" s="52"/>
      <c r="D690" s="50"/>
      <c r="E690" s="65"/>
      <c r="F690" s="77"/>
      <c r="G690" s="47">
        <f>TRUNC(SUM(G686:G689))</f>
        <v>0</v>
      </c>
      <c r="H690" s="77"/>
      <c r="I690" s="47">
        <f>TRUNC(SUM(I686:I689))</f>
        <v>0</v>
      </c>
      <c r="J690" s="77"/>
      <c r="K690" s="47">
        <f>TRUNC(SUM(K686:K689))</f>
        <v>0</v>
      </c>
      <c r="L690" s="77"/>
      <c r="M690" s="47">
        <f>TRUNC(SUM(M686:M689))</f>
        <v>0</v>
      </c>
    </row>
    <row r="691" spans="2:13" ht="12.95" customHeight="1" x14ac:dyDescent="0.3">
      <c r="B691" s="21"/>
      <c r="C691" s="21"/>
      <c r="D691" s="58"/>
      <c r="E691" s="72"/>
      <c r="F691" s="78"/>
      <c r="G691" s="22"/>
      <c r="H691" s="78"/>
      <c r="I691" s="22"/>
      <c r="J691" s="78"/>
      <c r="K691" s="22"/>
      <c r="L691" s="78"/>
      <c r="M691" s="22"/>
    </row>
    <row r="692" spans="2:13" ht="12.95" customHeight="1" x14ac:dyDescent="0.3">
      <c r="B692" s="23" t="s">
        <v>23</v>
      </c>
      <c r="C692" s="24"/>
      <c r="D692" s="56"/>
      <c r="E692" s="25"/>
      <c r="F692" s="26"/>
      <c r="G692" s="27">
        <f>SUM(G690)</f>
        <v>0</v>
      </c>
      <c r="H692" s="26"/>
      <c r="I692" s="27">
        <f>SUM(I690)</f>
        <v>0</v>
      </c>
      <c r="J692" s="26"/>
      <c r="K692" s="27">
        <f>SUM(K690)</f>
        <v>0</v>
      </c>
      <c r="L692" s="26"/>
      <c r="M692" s="27">
        <f>SUM(M690)</f>
        <v>0</v>
      </c>
    </row>
    <row r="693" spans="2:13" ht="12.95" customHeight="1" x14ac:dyDescent="0.3">
      <c r="B693" s="2" t="s">
        <v>167</v>
      </c>
    </row>
  </sheetData>
  <mergeCells count="262">
    <mergeCell ref="B665:B667"/>
    <mergeCell ref="C665:C667"/>
    <mergeCell ref="D665:D667"/>
    <mergeCell ref="E665:E667"/>
    <mergeCell ref="F665:G665"/>
    <mergeCell ref="J684:K684"/>
    <mergeCell ref="L684:M684"/>
    <mergeCell ref="J554:K554"/>
    <mergeCell ref="B572:B574"/>
    <mergeCell ref="C572:C574"/>
    <mergeCell ref="D572:D574"/>
    <mergeCell ref="E572:E574"/>
    <mergeCell ref="F572:G572"/>
    <mergeCell ref="H572:I572"/>
    <mergeCell ref="B609:B611"/>
    <mergeCell ref="C609:C611"/>
    <mergeCell ref="D609:D611"/>
    <mergeCell ref="E609:E611"/>
    <mergeCell ref="F609:G609"/>
    <mergeCell ref="H609:I609"/>
    <mergeCell ref="J609:K609"/>
    <mergeCell ref="J648:K648"/>
    <mergeCell ref="J592:K592"/>
    <mergeCell ref="E599:E600"/>
    <mergeCell ref="F529:I529"/>
    <mergeCell ref="B554:B556"/>
    <mergeCell ref="C554:C556"/>
    <mergeCell ref="D554:D556"/>
    <mergeCell ref="E554:E556"/>
    <mergeCell ref="F554:G554"/>
    <mergeCell ref="H554:I554"/>
    <mergeCell ref="F511:K511"/>
    <mergeCell ref="E511:E514"/>
    <mergeCell ref="D511:D514"/>
    <mergeCell ref="C511:C514"/>
    <mergeCell ref="B511:B514"/>
    <mergeCell ref="B529:B532"/>
    <mergeCell ref="C529:C532"/>
    <mergeCell ref="D529:D532"/>
    <mergeCell ref="E529:E532"/>
    <mergeCell ref="F530:G530"/>
    <mergeCell ref="H530:I530"/>
    <mergeCell ref="F512:G512"/>
    <mergeCell ref="H512:I512"/>
    <mergeCell ref="J512:K512"/>
    <mergeCell ref="F542:G542"/>
    <mergeCell ref="H542:I542"/>
    <mergeCell ref="B542:B543"/>
    <mergeCell ref="C542:C543"/>
    <mergeCell ref="D542:D543"/>
    <mergeCell ref="E542:E543"/>
    <mergeCell ref="B684:B685"/>
    <mergeCell ref="C684:C685"/>
    <mergeCell ref="D684:D685"/>
    <mergeCell ref="E684:E685"/>
    <mergeCell ref="F684:G684"/>
    <mergeCell ref="H684:I684"/>
    <mergeCell ref="B627:B629"/>
    <mergeCell ref="C627:C629"/>
    <mergeCell ref="D627:D629"/>
    <mergeCell ref="E627:E629"/>
    <mergeCell ref="F627:G627"/>
    <mergeCell ref="H627:I627"/>
    <mergeCell ref="B648:B650"/>
    <mergeCell ref="C648:C650"/>
    <mergeCell ref="D648:D650"/>
    <mergeCell ref="E648:E650"/>
    <mergeCell ref="F648:G648"/>
    <mergeCell ref="H648:I648"/>
    <mergeCell ref="B599:B600"/>
    <mergeCell ref="C599:C600"/>
    <mergeCell ref="D599:D600"/>
    <mergeCell ref="F599:G599"/>
    <mergeCell ref="H599:I599"/>
    <mergeCell ref="B592:B593"/>
    <mergeCell ref="C592:C593"/>
    <mergeCell ref="D592:D593"/>
    <mergeCell ref="E592:E593"/>
    <mergeCell ref="F592:G592"/>
    <mergeCell ref="H592:I592"/>
    <mergeCell ref="D428:D429"/>
    <mergeCell ref="E428:E429"/>
    <mergeCell ref="C457:C458"/>
    <mergeCell ref="B457:B458"/>
    <mergeCell ref="B491:B492"/>
    <mergeCell ref="C491:C492"/>
    <mergeCell ref="D491:D492"/>
    <mergeCell ref="E491:E492"/>
    <mergeCell ref="H446:I446"/>
    <mergeCell ref="E457:E458"/>
    <mergeCell ref="D457:D458"/>
    <mergeCell ref="B446:B448"/>
    <mergeCell ref="C446:C448"/>
    <mergeCell ref="D446:D448"/>
    <mergeCell ref="E446:E448"/>
    <mergeCell ref="F446:G446"/>
    <mergeCell ref="H195:I195"/>
    <mergeCell ref="B194:B197"/>
    <mergeCell ref="C194:C197"/>
    <mergeCell ref="D194:D197"/>
    <mergeCell ref="E194:E197"/>
    <mergeCell ref="F194:K194"/>
    <mergeCell ref="J195:K195"/>
    <mergeCell ref="F388:G388"/>
    <mergeCell ref="H388:I388"/>
    <mergeCell ref="B372:B373"/>
    <mergeCell ref="C372:C373"/>
    <mergeCell ref="D372:D373"/>
    <mergeCell ref="E372:E373"/>
    <mergeCell ref="F372:F373"/>
    <mergeCell ref="G372:G373"/>
    <mergeCell ref="B213:B216"/>
    <mergeCell ref="C213:C216"/>
    <mergeCell ref="D213:D216"/>
    <mergeCell ref="E213:E216"/>
    <mergeCell ref="C428:C429"/>
    <mergeCell ref="H5:I5"/>
    <mergeCell ref="J5:K5"/>
    <mergeCell ref="F4:K4"/>
    <mergeCell ref="B13:B16"/>
    <mergeCell ref="C13:C16"/>
    <mergeCell ref="D13:D16"/>
    <mergeCell ref="E13:E16"/>
    <mergeCell ref="F13:K13"/>
    <mergeCell ref="F14:G14"/>
    <mergeCell ref="H14:I14"/>
    <mergeCell ref="J14:K14"/>
    <mergeCell ref="B4:B7"/>
    <mergeCell ref="C4:C7"/>
    <mergeCell ref="D4:D7"/>
    <mergeCell ref="E4:E7"/>
    <mergeCell ref="F5:G5"/>
    <mergeCell ref="C36:C39"/>
    <mergeCell ref="D36:D39"/>
    <mergeCell ref="B388:B389"/>
    <mergeCell ref="C388:C389"/>
    <mergeCell ref="D388:D389"/>
    <mergeCell ref="E388:E389"/>
    <mergeCell ref="F195:G195"/>
    <mergeCell ref="E36:E39"/>
    <mergeCell ref="F36:K36"/>
    <mergeCell ref="F37:G37"/>
    <mergeCell ref="H37:I37"/>
    <mergeCell ref="J37:K37"/>
    <mergeCell ref="B55:B58"/>
    <mergeCell ref="C55:C58"/>
    <mergeCell ref="D55:D58"/>
    <mergeCell ref="E55:E58"/>
    <mergeCell ref="F56:G56"/>
    <mergeCell ref="H56:I56"/>
    <mergeCell ref="F55:I55"/>
    <mergeCell ref="B36:B39"/>
    <mergeCell ref="B74:B77"/>
    <mergeCell ref="C74:C77"/>
    <mergeCell ref="D74:D77"/>
    <mergeCell ref="E74:E77"/>
    <mergeCell ref="B93:B96"/>
    <mergeCell ref="C93:C96"/>
    <mergeCell ref="D93:D96"/>
    <mergeCell ref="E93:E96"/>
    <mergeCell ref="F93:I93"/>
    <mergeCell ref="F94:G94"/>
    <mergeCell ref="H94:I94"/>
    <mergeCell ref="F74:K74"/>
    <mergeCell ref="F75:G75"/>
    <mergeCell ref="H75:I75"/>
    <mergeCell ref="J75:K75"/>
    <mergeCell ref="F115:K115"/>
    <mergeCell ref="F116:G116"/>
    <mergeCell ref="H116:I116"/>
    <mergeCell ref="J116:K116"/>
    <mergeCell ref="B134:B137"/>
    <mergeCell ref="C134:C137"/>
    <mergeCell ref="D134:D137"/>
    <mergeCell ref="E134:E137"/>
    <mergeCell ref="F134:I134"/>
    <mergeCell ref="F135:G135"/>
    <mergeCell ref="H135:I135"/>
    <mergeCell ref="B115:B118"/>
    <mergeCell ref="C115:C118"/>
    <mergeCell ref="D115:D118"/>
    <mergeCell ref="E115:E118"/>
    <mergeCell ref="B153:B156"/>
    <mergeCell ref="C153:C156"/>
    <mergeCell ref="D153:D156"/>
    <mergeCell ref="E153:E156"/>
    <mergeCell ref="F153:K153"/>
    <mergeCell ref="F154:G154"/>
    <mergeCell ref="H154:I154"/>
    <mergeCell ref="J154:K154"/>
    <mergeCell ref="B172:B175"/>
    <mergeCell ref="C172:C175"/>
    <mergeCell ref="D172:D175"/>
    <mergeCell ref="E172:E175"/>
    <mergeCell ref="F172:I172"/>
    <mergeCell ref="F173:G173"/>
    <mergeCell ref="H173:I173"/>
    <mergeCell ref="F213:I213"/>
    <mergeCell ref="F214:G214"/>
    <mergeCell ref="H214:I214"/>
    <mergeCell ref="B232:B235"/>
    <mergeCell ref="C232:C235"/>
    <mergeCell ref="D232:D235"/>
    <mergeCell ref="E232:E235"/>
    <mergeCell ref="F232:K232"/>
    <mergeCell ref="F233:G233"/>
    <mergeCell ref="H233:I233"/>
    <mergeCell ref="J233:K233"/>
    <mergeCell ref="B251:B254"/>
    <mergeCell ref="C251:C254"/>
    <mergeCell ref="D251:D254"/>
    <mergeCell ref="E251:E254"/>
    <mergeCell ref="F251:I251"/>
    <mergeCell ref="F252:G252"/>
    <mergeCell ref="H252:I252"/>
    <mergeCell ref="B273:B276"/>
    <mergeCell ref="C273:C276"/>
    <mergeCell ref="D273:D276"/>
    <mergeCell ref="E273:E276"/>
    <mergeCell ref="F273:K273"/>
    <mergeCell ref="F274:G274"/>
    <mergeCell ref="H274:I274"/>
    <mergeCell ref="J274:K274"/>
    <mergeCell ref="B292:B295"/>
    <mergeCell ref="C292:C295"/>
    <mergeCell ref="D292:D295"/>
    <mergeCell ref="E292:E295"/>
    <mergeCell ref="F292:I292"/>
    <mergeCell ref="F293:G293"/>
    <mergeCell ref="H293:I293"/>
    <mergeCell ref="B311:B314"/>
    <mergeCell ref="C311:C314"/>
    <mergeCell ref="D311:D314"/>
    <mergeCell ref="E311:E314"/>
    <mergeCell ref="F311:K311"/>
    <mergeCell ref="F312:G312"/>
    <mergeCell ref="H312:I312"/>
    <mergeCell ref="J312:K312"/>
    <mergeCell ref="F470:G470"/>
    <mergeCell ref="H470:I470"/>
    <mergeCell ref="B470:B472"/>
    <mergeCell ref="C470:C472"/>
    <mergeCell ref="D470:D472"/>
    <mergeCell ref="E470:E472"/>
    <mergeCell ref="B330:B333"/>
    <mergeCell ref="C330:C333"/>
    <mergeCell ref="D330:D333"/>
    <mergeCell ref="E330:E333"/>
    <mergeCell ref="F330:I330"/>
    <mergeCell ref="F331:G331"/>
    <mergeCell ref="H331:I331"/>
    <mergeCell ref="F352:G352"/>
    <mergeCell ref="H352:I352"/>
    <mergeCell ref="E352:E354"/>
    <mergeCell ref="D352:D354"/>
    <mergeCell ref="C352:C354"/>
    <mergeCell ref="B352:B354"/>
    <mergeCell ref="B410:B411"/>
    <mergeCell ref="C410:C411"/>
    <mergeCell ref="D410:D411"/>
    <mergeCell ref="E410:E411"/>
    <mergeCell ref="B428:B429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기초공사(상반기)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2026-01-01T07:57:25Z</dcterms:modified>
</cp:coreProperties>
</file>