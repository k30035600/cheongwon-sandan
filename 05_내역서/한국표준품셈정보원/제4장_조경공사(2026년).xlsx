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1.공통부문(2026년)\"/>
    </mc:Choice>
  </mc:AlternateContent>
  <xr:revisionPtr revIDLastSave="0" documentId="13_ncr:1_{969F690C-534D-477E-AA11-5D34CF45C5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조경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3" i="6" l="1"/>
  <c r="G452" i="6"/>
  <c r="G454" i="6" s="1"/>
  <c r="G456" i="6" s="1"/>
  <c r="G457" i="6" s="1"/>
  <c r="G443" i="6" l="1"/>
  <c r="G442" i="6"/>
  <c r="G444" i="6" s="1"/>
  <c r="G446" i="6" s="1"/>
  <c r="G447" i="6" s="1"/>
  <c r="G25" i="6"/>
  <c r="G26" i="6" s="1"/>
  <c r="G22" i="6"/>
  <c r="G17" i="6"/>
  <c r="G18" i="6" s="1"/>
  <c r="I268" i="6"/>
  <c r="I264" i="6"/>
  <c r="G21" i="6"/>
  <c r="G20" i="6"/>
  <c r="G433" i="6"/>
  <c r="G422" i="6"/>
  <c r="G421" i="6"/>
  <c r="G418" i="6"/>
  <c r="G417" i="6"/>
  <c r="G416" i="6"/>
  <c r="G415" i="6"/>
  <c r="G412" i="6"/>
  <c r="G411" i="6"/>
  <c r="G402" i="6"/>
  <c r="G403" i="6" s="1"/>
  <c r="G399" i="6"/>
  <c r="G398" i="6"/>
  <c r="G397" i="6"/>
  <c r="G394" i="6"/>
  <c r="G395" i="6" s="1"/>
  <c r="M386" i="6"/>
  <c r="M387" i="6" s="1"/>
  <c r="M383" i="6"/>
  <c r="M378" i="6"/>
  <c r="G367" i="6"/>
  <c r="I366" i="6"/>
  <c r="G363" i="6"/>
  <c r="I362" i="6"/>
  <c r="G360" i="6"/>
  <c r="G356" i="6"/>
  <c r="G346" i="6"/>
  <c r="G342" i="6"/>
  <c r="G341" i="6"/>
  <c r="G337" i="6"/>
  <c r="I336" i="6"/>
  <c r="M327" i="6"/>
  <c r="M328" i="6" s="1"/>
  <c r="M324" i="6"/>
  <c r="M323" i="6"/>
  <c r="G322" i="6"/>
  <c r="M319" i="6"/>
  <c r="M320" i="6" s="1"/>
  <c r="G310" i="6"/>
  <c r="I309" i="6"/>
  <c r="G298" i="6"/>
  <c r="G299" i="6" s="1"/>
  <c r="K295" i="6"/>
  <c r="K294" i="6"/>
  <c r="K293" i="6"/>
  <c r="K281" i="6"/>
  <c r="K280" i="6"/>
  <c r="G269" i="6"/>
  <c r="I265" i="6"/>
  <c r="I263" i="6"/>
  <c r="I259" i="6"/>
  <c r="I249" i="6"/>
  <c r="I245" i="6"/>
  <c r="G243" i="6"/>
  <c r="I242" i="6"/>
  <c r="I239" i="6"/>
  <c r="G238" i="6"/>
  <c r="I229" i="6"/>
  <c r="I230" i="6" s="1"/>
  <c r="G226" i="6"/>
  <c r="G225" i="6"/>
  <c r="G224" i="6"/>
  <c r="I221" i="6"/>
  <c r="I222" i="6" s="1"/>
  <c r="I212" i="6"/>
  <c r="I213" i="6" s="1"/>
  <c r="G209" i="6"/>
  <c r="G208" i="6"/>
  <c r="G207" i="6"/>
  <c r="G204" i="6"/>
  <c r="G205" i="6" s="1"/>
  <c r="I194" i="6"/>
  <c r="G183" i="6"/>
  <c r="G184" i="6" s="1"/>
  <c r="G180" i="6"/>
  <c r="G179" i="6"/>
  <c r="G178" i="6"/>
  <c r="G175" i="6"/>
  <c r="G176" i="6" s="1"/>
  <c r="G167" i="6"/>
  <c r="G166" i="6"/>
  <c r="I157" i="6"/>
  <c r="I156" i="6"/>
  <c r="I158" i="6" s="1"/>
  <c r="I160" i="6" s="1"/>
  <c r="K150" i="6"/>
  <c r="K149" i="6"/>
  <c r="K151" i="6" s="1"/>
  <c r="K153" i="6" s="1"/>
  <c r="G143" i="6"/>
  <c r="I142" i="6"/>
  <c r="K136" i="6"/>
  <c r="M135" i="6"/>
  <c r="G129" i="6"/>
  <c r="I128" i="6"/>
  <c r="K122" i="6"/>
  <c r="M121" i="6"/>
  <c r="G111" i="6"/>
  <c r="I110" i="6"/>
  <c r="K100" i="6"/>
  <c r="M99" i="6"/>
  <c r="G89" i="6"/>
  <c r="I88" i="6"/>
  <c r="G77" i="6"/>
  <c r="G76" i="6"/>
  <c r="I67" i="6"/>
  <c r="I66" i="6"/>
  <c r="G58" i="6"/>
  <c r="G60" i="6" s="1"/>
  <c r="G44" i="6"/>
  <c r="G43" i="6"/>
  <c r="G42" i="6"/>
  <c r="G39" i="6"/>
  <c r="G38" i="6"/>
  <c r="G37" i="6"/>
  <c r="G34" i="6"/>
  <c r="G35" i="6" s="1"/>
  <c r="I8" i="6"/>
  <c r="G7" i="6"/>
  <c r="G413" i="6" l="1"/>
  <c r="M110" i="6"/>
  <c r="I341" i="6"/>
  <c r="K179" i="6"/>
  <c r="K208" i="6"/>
  <c r="I7" i="6"/>
  <c r="I9" i="6" s="1"/>
  <c r="I11" i="6" s="1"/>
  <c r="I12" i="6" s="1"/>
  <c r="G268" i="6"/>
  <c r="G270" i="6" s="1"/>
  <c r="I324" i="6"/>
  <c r="K209" i="6"/>
  <c r="M322" i="6"/>
  <c r="M325" i="6" s="1"/>
  <c r="M330" i="6" s="1"/>
  <c r="M331" i="6" s="1"/>
  <c r="K324" i="6"/>
  <c r="I179" i="6"/>
  <c r="I208" i="6"/>
  <c r="I363" i="6"/>
  <c r="I136" i="6"/>
  <c r="I295" i="6"/>
  <c r="I310" i="6"/>
  <c r="I311" i="6" s="1"/>
  <c r="I313" i="6" s="1"/>
  <c r="I314" i="6" s="1"/>
  <c r="I337" i="6"/>
  <c r="I338" i="6" s="1"/>
  <c r="K111" i="6"/>
  <c r="G135" i="6"/>
  <c r="I167" i="6"/>
  <c r="K180" i="6"/>
  <c r="G229" i="6"/>
  <c r="G230" i="6" s="1"/>
  <c r="I269" i="6"/>
  <c r="I270" i="6" s="1"/>
  <c r="I327" i="6"/>
  <c r="I328" i="6" s="1"/>
  <c r="I356" i="6"/>
  <c r="I121" i="6"/>
  <c r="K110" i="6"/>
  <c r="M111" i="6"/>
  <c r="M112" i="6" s="1"/>
  <c r="M114" i="6" s="1"/>
  <c r="M115" i="6" s="1"/>
  <c r="I135" i="6"/>
  <c r="K167" i="6"/>
  <c r="K383" i="6"/>
  <c r="M128" i="6"/>
  <c r="G149" i="6"/>
  <c r="G150" i="6"/>
  <c r="I166" i="6"/>
  <c r="I168" i="6" s="1"/>
  <c r="I170" i="6" s="1"/>
  <c r="I171" i="6" s="1"/>
  <c r="I178" i="6"/>
  <c r="I207" i="6"/>
  <c r="I225" i="6"/>
  <c r="K296" i="6"/>
  <c r="G309" i="6"/>
  <c r="G311" i="6" s="1"/>
  <c r="G313" i="6" s="1"/>
  <c r="G314" i="6" s="1"/>
  <c r="I346" i="6"/>
  <c r="I433" i="6"/>
  <c r="G122" i="6"/>
  <c r="M142" i="6"/>
  <c r="I149" i="6"/>
  <c r="I150" i="6"/>
  <c r="G157" i="6"/>
  <c r="K166" i="6"/>
  <c r="K178" i="6"/>
  <c r="K207" i="6"/>
  <c r="I298" i="6"/>
  <c r="I299" i="6" s="1"/>
  <c r="I319" i="6"/>
  <c r="I320" i="6" s="1"/>
  <c r="I342" i="6"/>
  <c r="I386" i="6"/>
  <c r="I387" i="6" s="1"/>
  <c r="G110" i="6"/>
  <c r="G112" i="6" s="1"/>
  <c r="G114" i="6" s="1"/>
  <c r="G115" i="6" s="1"/>
  <c r="I111" i="6"/>
  <c r="I112" i="6" s="1"/>
  <c r="I114" i="6" s="1"/>
  <c r="I115" i="6" s="1"/>
  <c r="G121" i="6"/>
  <c r="I122" i="6"/>
  <c r="I123" i="6" s="1"/>
  <c r="I125" i="6" s="1"/>
  <c r="G136" i="6"/>
  <c r="G137" i="6" s="1"/>
  <c r="G139" i="6" s="1"/>
  <c r="K157" i="6"/>
  <c r="I180" i="6"/>
  <c r="I209" i="6"/>
  <c r="I238" i="6"/>
  <c r="I240" i="6" s="1"/>
  <c r="G249" i="6"/>
  <c r="G295" i="6"/>
  <c r="K298" i="6"/>
  <c r="K299" i="6" s="1"/>
  <c r="G324" i="6"/>
  <c r="G327" i="6"/>
  <c r="G328" i="6" s="1"/>
  <c r="I360" i="6"/>
  <c r="I383" i="6"/>
  <c r="G23" i="6"/>
  <c r="G28" i="6" s="1"/>
  <c r="G29" i="6" s="1"/>
  <c r="G419" i="6"/>
  <c r="G168" i="6"/>
  <c r="G170" i="6" s="1"/>
  <c r="G171" i="6" s="1"/>
  <c r="G181" i="6"/>
  <c r="G186" i="6" s="1"/>
  <c r="G187" i="6" s="1"/>
  <c r="G210" i="6"/>
  <c r="G221" i="6"/>
  <c r="G222" i="6" s="1"/>
  <c r="I224" i="6"/>
  <c r="G245" i="6"/>
  <c r="G265" i="6"/>
  <c r="K282" i="6"/>
  <c r="K284" i="6" s="1"/>
  <c r="K285" i="6" s="1"/>
  <c r="G281" i="6"/>
  <c r="G45" i="6"/>
  <c r="K66" i="6"/>
  <c r="I99" i="6"/>
  <c r="K121" i="6"/>
  <c r="K123" i="6" s="1"/>
  <c r="K125" i="6" s="1"/>
  <c r="M129" i="6"/>
  <c r="K135" i="6"/>
  <c r="M143" i="6"/>
  <c r="K156" i="6"/>
  <c r="I226" i="6"/>
  <c r="G239" i="6"/>
  <c r="G240" i="6" s="1"/>
  <c r="G242" i="6"/>
  <c r="I243" i="6"/>
  <c r="G264" i="6"/>
  <c r="G280" i="6"/>
  <c r="I281" i="6"/>
  <c r="G293" i="6"/>
  <c r="I294" i="6"/>
  <c r="I367" i="6"/>
  <c r="I368" i="6" s="1"/>
  <c r="G423" i="6"/>
  <c r="G227" i="6"/>
  <c r="G400" i="6"/>
  <c r="G405" i="6" s="1"/>
  <c r="G406" i="6" s="1"/>
  <c r="G66" i="6"/>
  <c r="G99" i="6"/>
  <c r="M100" i="6"/>
  <c r="M101" i="6" s="1"/>
  <c r="M103" i="6" s="1"/>
  <c r="M104" i="6" s="1"/>
  <c r="G156" i="6"/>
  <c r="K194" i="6"/>
  <c r="G294" i="6"/>
  <c r="I68" i="6"/>
  <c r="I70" i="6" s="1"/>
  <c r="I71" i="6" s="1"/>
  <c r="K99" i="6"/>
  <c r="K101" i="6" s="1"/>
  <c r="K103" i="6" s="1"/>
  <c r="K104" i="6" s="1"/>
  <c r="I280" i="6"/>
  <c r="I293" i="6"/>
  <c r="I296" i="6" s="1"/>
  <c r="G319" i="6"/>
  <c r="G320" i="6" s="1"/>
  <c r="G366" i="6"/>
  <c r="G368" i="6" s="1"/>
  <c r="G383" i="6"/>
  <c r="G386" i="6"/>
  <c r="G387" i="6" s="1"/>
  <c r="G40" i="6"/>
  <c r="G78" i="6"/>
  <c r="G80" i="6" s="1"/>
  <c r="G81" i="6" s="1"/>
  <c r="I262" i="6"/>
  <c r="I266" i="6" s="1"/>
  <c r="G262" i="6"/>
  <c r="I432" i="6"/>
  <c r="G432" i="6"/>
  <c r="G434" i="6" s="1"/>
  <c r="G436" i="6" s="1"/>
  <c r="G437" i="6" s="1"/>
  <c r="I89" i="6"/>
  <c r="I90" i="6" s="1"/>
  <c r="I92" i="6" s="1"/>
  <c r="I93" i="6" s="1"/>
  <c r="I258" i="6"/>
  <c r="I260" i="6" s="1"/>
  <c r="G258" i="6"/>
  <c r="I343" i="6"/>
  <c r="G343" i="6"/>
  <c r="I361" i="6"/>
  <c r="G361" i="6"/>
  <c r="I382" i="6"/>
  <c r="G382" i="6"/>
  <c r="M382" i="6"/>
  <c r="K382" i="6"/>
  <c r="G8" i="6"/>
  <c r="G9" i="6" s="1"/>
  <c r="G11" i="6" s="1"/>
  <c r="G12" i="6" s="1"/>
  <c r="G67" i="6"/>
  <c r="K88" i="6"/>
  <c r="K89" i="6"/>
  <c r="G100" i="6"/>
  <c r="M122" i="6"/>
  <c r="M123" i="6" s="1"/>
  <c r="M125" i="6" s="1"/>
  <c r="G128" i="6"/>
  <c r="G130" i="6" s="1"/>
  <c r="G132" i="6" s="1"/>
  <c r="I129" i="6"/>
  <c r="I130" i="6" s="1"/>
  <c r="I132" i="6" s="1"/>
  <c r="K137" i="6"/>
  <c r="K139" i="6" s="1"/>
  <c r="M136" i="6"/>
  <c r="M137" i="6" s="1"/>
  <c r="M139" i="6" s="1"/>
  <c r="G142" i="6"/>
  <c r="G144" i="6" s="1"/>
  <c r="G146" i="6" s="1"/>
  <c r="I143" i="6"/>
  <c r="I144" i="6" s="1"/>
  <c r="I146" i="6" s="1"/>
  <c r="K175" i="6"/>
  <c r="K176" i="6" s="1"/>
  <c r="I175" i="6"/>
  <c r="I176" i="6" s="1"/>
  <c r="K183" i="6"/>
  <c r="K184" i="6" s="1"/>
  <c r="I183" i="6"/>
  <c r="I184" i="6" s="1"/>
  <c r="I195" i="6"/>
  <c r="I196" i="6" s="1"/>
  <c r="I198" i="6" s="1"/>
  <c r="I199" i="6" s="1"/>
  <c r="K195" i="6"/>
  <c r="G195" i="6"/>
  <c r="G336" i="6"/>
  <c r="G338" i="6" s="1"/>
  <c r="I340" i="6"/>
  <c r="G340" i="6"/>
  <c r="G88" i="6"/>
  <c r="G90" i="6" s="1"/>
  <c r="G92" i="6" s="1"/>
  <c r="G93" i="6" s="1"/>
  <c r="K67" i="6"/>
  <c r="M88" i="6"/>
  <c r="M89" i="6"/>
  <c r="I100" i="6"/>
  <c r="K128" i="6"/>
  <c r="K129" i="6"/>
  <c r="K142" i="6"/>
  <c r="K143" i="6"/>
  <c r="K204" i="6"/>
  <c r="K205" i="6" s="1"/>
  <c r="I204" i="6"/>
  <c r="I205" i="6" s="1"/>
  <c r="G212" i="6"/>
  <c r="G213" i="6" s="1"/>
  <c r="K212" i="6"/>
  <c r="K213" i="6" s="1"/>
  <c r="K290" i="6"/>
  <c r="K291" i="6" s="1"/>
  <c r="I290" i="6"/>
  <c r="I291" i="6" s="1"/>
  <c r="I323" i="6"/>
  <c r="G323" i="6"/>
  <c r="K378" i="6"/>
  <c r="I378" i="6"/>
  <c r="G194" i="6"/>
  <c r="I244" i="6"/>
  <c r="G244" i="6"/>
  <c r="I248" i="6"/>
  <c r="I250" i="6" s="1"/>
  <c r="G248" i="6"/>
  <c r="G259" i="6"/>
  <c r="G263" i="6"/>
  <c r="G290" i="6"/>
  <c r="G291" i="6" s="1"/>
  <c r="K322" i="6"/>
  <c r="I322" i="6"/>
  <c r="K323" i="6"/>
  <c r="I347" i="6"/>
  <c r="I348" i="6" s="1"/>
  <c r="G347" i="6"/>
  <c r="G348" i="6" s="1"/>
  <c r="I357" i="6"/>
  <c r="I358" i="6" s="1"/>
  <c r="G357" i="6"/>
  <c r="G358" i="6" s="1"/>
  <c r="G362" i="6"/>
  <c r="G378" i="6"/>
  <c r="K319" i="6"/>
  <c r="K320" i="6" s="1"/>
  <c r="K327" i="6"/>
  <c r="K328" i="6" s="1"/>
  <c r="K386" i="6"/>
  <c r="K387" i="6" s="1"/>
  <c r="I364" i="6" l="1"/>
  <c r="K196" i="6"/>
  <c r="K198" i="6" s="1"/>
  <c r="K199" i="6" s="1"/>
  <c r="I282" i="6"/>
  <c r="I284" i="6" s="1"/>
  <c r="I285" i="6" s="1"/>
  <c r="G425" i="6"/>
  <c r="G426" i="6" s="1"/>
  <c r="G68" i="6"/>
  <c r="G70" i="6" s="1"/>
  <c r="G71" i="6" s="1"/>
  <c r="I137" i="6"/>
  <c r="I139" i="6" s="1"/>
  <c r="M144" i="6"/>
  <c r="M146" i="6" s="1"/>
  <c r="K181" i="6"/>
  <c r="K186" i="6" s="1"/>
  <c r="K187" i="6" s="1"/>
  <c r="G246" i="6"/>
  <c r="G252" i="6" s="1"/>
  <c r="G253" i="6" s="1"/>
  <c r="K112" i="6"/>
  <c r="K114" i="6" s="1"/>
  <c r="K115" i="6" s="1"/>
  <c r="K210" i="6"/>
  <c r="K215" i="6" s="1"/>
  <c r="K216" i="6" s="1"/>
  <c r="G158" i="6"/>
  <c r="G160" i="6" s="1"/>
  <c r="G123" i="6"/>
  <c r="G125" i="6" s="1"/>
  <c r="K168" i="6"/>
  <c r="K170" i="6" s="1"/>
  <c r="K171" i="6" s="1"/>
  <c r="I344" i="6"/>
  <c r="I350" i="6" s="1"/>
  <c r="I351" i="6" s="1"/>
  <c r="I101" i="6"/>
  <c r="I103" i="6" s="1"/>
  <c r="I104" i="6" s="1"/>
  <c r="I434" i="6"/>
  <c r="I436" i="6" s="1"/>
  <c r="I437" i="6" s="1"/>
  <c r="M130" i="6"/>
  <c r="M132" i="6" s="1"/>
  <c r="I181" i="6"/>
  <c r="I186" i="6" s="1"/>
  <c r="I187" i="6" s="1"/>
  <c r="I325" i="6"/>
  <c r="I330" i="6" s="1"/>
  <c r="I331" i="6" s="1"/>
  <c r="G296" i="6"/>
  <c r="G301" i="6" s="1"/>
  <c r="G302" i="6" s="1"/>
  <c r="K158" i="6"/>
  <c r="K160" i="6" s="1"/>
  <c r="I151" i="6"/>
  <c r="I153" i="6" s="1"/>
  <c r="K325" i="6"/>
  <c r="K330" i="6" s="1"/>
  <c r="K331" i="6" s="1"/>
  <c r="I227" i="6"/>
  <c r="I232" i="6" s="1"/>
  <c r="I233" i="6" s="1"/>
  <c r="K68" i="6"/>
  <c r="K70" i="6" s="1"/>
  <c r="K71" i="6" s="1"/>
  <c r="G250" i="6"/>
  <c r="G325" i="6"/>
  <c r="G330" i="6" s="1"/>
  <c r="G331" i="6" s="1"/>
  <c r="K301" i="6"/>
  <c r="K302" i="6" s="1"/>
  <c r="G215" i="6"/>
  <c r="G216" i="6" s="1"/>
  <c r="G260" i="6"/>
  <c r="G47" i="6"/>
  <c r="G48" i="6" s="1"/>
  <c r="I210" i="6"/>
  <c r="I215" i="6" s="1"/>
  <c r="I216" i="6" s="1"/>
  <c r="G151" i="6"/>
  <c r="G153" i="6" s="1"/>
  <c r="K130" i="6"/>
  <c r="K132" i="6" s="1"/>
  <c r="K90" i="6"/>
  <c r="K92" i="6" s="1"/>
  <c r="K93" i="6" s="1"/>
  <c r="G364" i="6"/>
  <c r="G370" i="6" s="1"/>
  <c r="G371" i="6" s="1"/>
  <c r="I246" i="6"/>
  <c r="I252" i="6" s="1"/>
  <c r="I253" i="6" s="1"/>
  <c r="I301" i="6"/>
  <c r="I302" i="6" s="1"/>
  <c r="G282" i="6"/>
  <c r="G284" i="6" s="1"/>
  <c r="G285" i="6" s="1"/>
  <c r="G232" i="6"/>
  <c r="G233" i="6" s="1"/>
  <c r="G196" i="6"/>
  <c r="G198" i="6" s="1"/>
  <c r="G199" i="6" s="1"/>
  <c r="G101" i="6"/>
  <c r="G103" i="6" s="1"/>
  <c r="G104" i="6" s="1"/>
  <c r="M384" i="6"/>
  <c r="M379" i="6"/>
  <c r="M380" i="6" s="1"/>
  <c r="K144" i="6"/>
  <c r="K146" i="6" s="1"/>
  <c r="G344" i="6"/>
  <c r="G350" i="6" s="1"/>
  <c r="G351" i="6" s="1"/>
  <c r="I379" i="6"/>
  <c r="I380" i="6" s="1"/>
  <c r="I384" i="6"/>
  <c r="I272" i="6"/>
  <c r="I273" i="6" s="1"/>
  <c r="G266" i="6"/>
  <c r="I370" i="6"/>
  <c r="I371" i="6" s="1"/>
  <c r="G384" i="6"/>
  <c r="G379" i="6"/>
  <c r="G380" i="6" s="1"/>
  <c r="M90" i="6"/>
  <c r="M92" i="6" s="1"/>
  <c r="M93" i="6" s="1"/>
  <c r="K379" i="6"/>
  <c r="K380" i="6" s="1"/>
  <c r="K384" i="6"/>
  <c r="G272" i="6" l="1"/>
  <c r="G273" i="6" s="1"/>
  <c r="M389" i="6"/>
  <c r="I389" i="6"/>
  <c r="K389" i="6"/>
  <c r="G389" i="6"/>
</calcChain>
</file>

<file path=xl/sharedStrings.xml><?xml version="1.0" encoding="utf-8"?>
<sst xmlns="http://schemas.openxmlformats.org/spreadsheetml/2006/main" count="955" uniqueCount="156">
  <si>
    <t>0.7㎥</t>
  </si>
  <si>
    <t>보통인부</t>
  </si>
  <si>
    <t>조경공</t>
  </si>
  <si>
    <t>트럭탑재형크레인</t>
  </si>
  <si>
    <t>펌프</t>
  </si>
  <si>
    <t>4.5톤</t>
  </si>
  <si>
    <t>0.6㎥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</si>
  <si>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</si>
  <si>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</si>
  <si>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</si>
  <si>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</si>
  <si>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</si>
  <si>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</si>
  <si>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공구손료</t>
    <phoneticPr fontId="5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</si>
  <si>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</si>
  <si>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</si>
  <si>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</si>
  <si>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</si>
  <si>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인력품의 3%</t>
    <phoneticPr fontId="3" type="noConversion"/>
  </si>
  <si>
    <t>합   계</t>
    <phoneticPr fontId="3" type="noConversion"/>
  </si>
  <si>
    <t>hr</t>
    <phoneticPr fontId="3" type="noConversion"/>
  </si>
  <si>
    <t>식</t>
    <phoneticPr fontId="3" type="noConversion"/>
  </si>
  <si>
    <t>규격</t>
    <phoneticPr fontId="5" type="noConversion"/>
  </si>
  <si>
    <t>15ton</t>
    <phoneticPr fontId="3" type="noConversion"/>
  </si>
  <si>
    <t>㎏</t>
    <phoneticPr fontId="3" type="noConversion"/>
  </si>
  <si>
    <t>hr</t>
  </si>
  <si>
    <t>(100㎡당)</t>
  </si>
  <si>
    <t>제4장 조경공사</t>
    <phoneticPr fontId="3" type="noConversion"/>
  </si>
  <si>
    <t>4-1 잔디 및 초화류</t>
    <phoneticPr fontId="3" type="noConversion"/>
  </si>
  <si>
    <t>종자</t>
  </si>
  <si>
    <t>비료</t>
  </si>
  <si>
    <t>피복제</t>
  </si>
  <si>
    <t>침식방지안정제</t>
  </si>
  <si>
    <t>색소</t>
  </si>
  <si>
    <t>조경공</t>
    <phoneticPr fontId="5" type="noConversion"/>
  </si>
  <si>
    <t>복합비료</t>
    <phoneticPr fontId="3" type="noConversion"/>
  </si>
  <si>
    <t>화이버/펄프류</t>
    <phoneticPr fontId="3" type="noConversion"/>
  </si>
  <si>
    <t>합성접착제</t>
    <phoneticPr fontId="3" type="noConversion"/>
  </si>
  <si>
    <t>착색제</t>
    <phoneticPr fontId="3" type="noConversion"/>
  </si>
  <si>
    <t>트럭</t>
    <phoneticPr fontId="5" type="noConversion"/>
  </si>
  <si>
    <t>취부기</t>
    <phoneticPr fontId="5" type="noConversion"/>
  </si>
  <si>
    <t>11.94㎾</t>
  </si>
  <si>
    <t>ø50㎜</t>
    <phoneticPr fontId="3" type="noConversion"/>
  </si>
  <si>
    <t>양호</t>
    <phoneticPr fontId="3" type="noConversion"/>
  </si>
  <si>
    <t>보통</t>
    <phoneticPr fontId="3" type="noConversion"/>
  </si>
  <si>
    <t>불량</t>
    <phoneticPr fontId="3" type="noConversion"/>
  </si>
  <si>
    <t>4-2 관목</t>
  </si>
  <si>
    <t>4-2-1 굴취</t>
    <phoneticPr fontId="5" type="noConversion"/>
  </si>
  <si>
    <t>나무높이 0.3m미만</t>
    <phoneticPr fontId="3" type="noConversion"/>
  </si>
  <si>
    <t>나무높이 0.3~0.7m이하</t>
    <phoneticPr fontId="3" type="noConversion"/>
  </si>
  <si>
    <t>나무높이 0.8~1.1m이하</t>
    <phoneticPr fontId="3" type="noConversion"/>
  </si>
  <si>
    <t>나무높이 1.2~1.5m이하</t>
    <phoneticPr fontId="3" type="noConversion"/>
  </si>
  <si>
    <t>4-2-2 식재(단식(單植))</t>
    <phoneticPr fontId="5" type="noConversion"/>
  </si>
  <si>
    <t>4-2-3 식재(군식(群植))</t>
    <phoneticPr fontId="5" type="noConversion"/>
  </si>
  <si>
    <t>4-3 교목</t>
  </si>
  <si>
    <t>4-3-1 뿌리돌림</t>
    <phoneticPr fontId="3" type="noConversion"/>
  </si>
  <si>
    <t>(주당)</t>
  </si>
  <si>
    <t>근원직경 3㎝</t>
    <phoneticPr fontId="3" type="noConversion"/>
  </si>
  <si>
    <t>근원직경 5㎝</t>
    <phoneticPr fontId="3" type="noConversion"/>
  </si>
  <si>
    <t>근원직경 7㎝</t>
    <phoneticPr fontId="3" type="noConversion"/>
  </si>
  <si>
    <t>근원직경 9㎝</t>
    <phoneticPr fontId="3" type="noConversion"/>
  </si>
  <si>
    <t>근원직경 11㎝</t>
    <phoneticPr fontId="3" type="noConversion"/>
  </si>
  <si>
    <t>근원직경 13㎝</t>
    <phoneticPr fontId="3" type="noConversion"/>
  </si>
  <si>
    <t>근원직경 15㎝</t>
    <phoneticPr fontId="3" type="noConversion"/>
  </si>
  <si>
    <t>근원직경 18㎝</t>
    <phoneticPr fontId="3" type="noConversion"/>
  </si>
  <si>
    <t>근원직경 21㎝</t>
    <phoneticPr fontId="3" type="noConversion"/>
  </si>
  <si>
    <t>근원직경 24㎝</t>
    <phoneticPr fontId="3" type="noConversion"/>
  </si>
  <si>
    <t>근원직경 30㎝</t>
    <phoneticPr fontId="3" type="noConversion"/>
  </si>
  <si>
    <t>근원직경 36㎝</t>
    <phoneticPr fontId="3" type="noConversion"/>
  </si>
  <si>
    <t>근원직경 42㎝</t>
    <phoneticPr fontId="3" type="noConversion"/>
  </si>
  <si>
    <t>근원직경 48㎝</t>
    <phoneticPr fontId="3" type="noConversion"/>
  </si>
  <si>
    <t>근원직경 54㎝</t>
    <phoneticPr fontId="3" type="noConversion"/>
  </si>
  <si>
    <t>근원직경 60㎝</t>
    <phoneticPr fontId="3" type="noConversion"/>
  </si>
  <si>
    <t>근원직경 66㎝</t>
    <phoneticPr fontId="3" type="noConversion"/>
  </si>
  <si>
    <t>근원직경 72㎝</t>
    <phoneticPr fontId="3" type="noConversion"/>
  </si>
  <si>
    <t>근원직경 78㎝</t>
    <phoneticPr fontId="3" type="noConversion"/>
  </si>
  <si>
    <t>근원직경 84㎝</t>
    <phoneticPr fontId="3" type="noConversion"/>
  </si>
  <si>
    <t>근원직경 90㎝</t>
    <phoneticPr fontId="3" type="noConversion"/>
  </si>
  <si>
    <t>근원직경 100㎝</t>
    <phoneticPr fontId="3" type="noConversion"/>
  </si>
  <si>
    <t>4-3-2 굴취(나무높이)</t>
    <phoneticPr fontId="3" type="noConversion"/>
  </si>
  <si>
    <t>6∼7(5∼6)</t>
    <phoneticPr fontId="5" type="noConversion"/>
  </si>
  <si>
    <t>8∼9(7∼8)</t>
    <phoneticPr fontId="5" type="noConversion"/>
  </si>
  <si>
    <t>0.4㎥</t>
    <phoneticPr fontId="3" type="noConversion"/>
  </si>
  <si>
    <t>4-3-3 굴취(근원직경)</t>
    <phoneticPr fontId="3" type="noConversion"/>
  </si>
  <si>
    <t>크레인(타이어)</t>
    <phoneticPr fontId="3" type="noConversion"/>
  </si>
  <si>
    <t>25ton</t>
    <phoneticPr fontId="3" type="noConversion"/>
  </si>
  <si>
    <t>4-3-4 식재(나무높이)</t>
    <phoneticPr fontId="3" type="noConversion"/>
  </si>
  <si>
    <t>4-3-5 식재(흉고직경)</t>
    <phoneticPr fontId="3" type="noConversion"/>
  </si>
  <si>
    <t>0.7㎥</t>
    <phoneticPr fontId="3" type="noConversion"/>
  </si>
  <si>
    <t>4-4-1 정원석 쌓기 및 놓기</t>
    <phoneticPr fontId="3" type="noConversion"/>
  </si>
  <si>
    <t>(ton당)</t>
    <phoneticPr fontId="5" type="noConversion"/>
  </si>
  <si>
    <t>쌓기</t>
    <phoneticPr fontId="5" type="noConversion"/>
  </si>
  <si>
    <t>놓기</t>
    <phoneticPr fontId="5" type="noConversion"/>
  </si>
  <si>
    <t>20ton 미만</t>
    <phoneticPr fontId="5" type="noConversion"/>
  </si>
  <si>
    <t>20ton 이상</t>
    <phoneticPr fontId="5" type="noConversion"/>
  </si>
  <si>
    <t>4-4-2 조경유용석 쌓기 및 놓기</t>
    <phoneticPr fontId="3" type="noConversion"/>
  </si>
  <si>
    <t>석공</t>
  </si>
  <si>
    <t>플레이트콤팩터</t>
  </si>
  <si>
    <t>1.5ton</t>
  </si>
  <si>
    <t>4-4-3 잔디블록 포장</t>
    <phoneticPr fontId="3" type="noConversion"/>
  </si>
  <si>
    <t>4-4-4 야자섬유매트포장</t>
  </si>
  <si>
    <t>폭 1.5m 이하</t>
    <phoneticPr fontId="3" type="noConversion"/>
  </si>
  <si>
    <t>폭 2.0m 이하</t>
    <phoneticPr fontId="3" type="noConversion"/>
  </si>
  <si>
    <t>(일당)</t>
    <phoneticPr fontId="3" type="noConversion"/>
  </si>
  <si>
    <t>수량</t>
    <phoneticPr fontId="3" type="noConversion"/>
  </si>
  <si>
    <t>금액</t>
    <phoneticPr fontId="3" type="noConversion"/>
  </si>
  <si>
    <t>시공량(㎡)</t>
    <phoneticPr fontId="5" type="noConversion"/>
  </si>
  <si>
    <t>㎡당 단가</t>
    <phoneticPr fontId="3" type="noConversion"/>
  </si>
  <si>
    <t>줄떼</t>
    <phoneticPr fontId="5" type="noConversion"/>
  </si>
  <si>
    <t>평떼</t>
    <phoneticPr fontId="5" type="noConversion"/>
  </si>
  <si>
    <t>4-1-1 잔디붙임</t>
    <phoneticPr fontId="3" type="noConversion"/>
  </si>
  <si>
    <t>100㎡당 단가</t>
    <phoneticPr fontId="3" type="noConversion"/>
  </si>
  <si>
    <t>[참고자료] 초류종자 살포(기계살포) 재료량</t>
    <phoneticPr fontId="3" type="noConversion"/>
  </si>
  <si>
    <t>2~3</t>
    <phoneticPr fontId="3" type="noConversion"/>
  </si>
  <si>
    <t>5∼15</t>
    <phoneticPr fontId="3" type="noConversion"/>
  </si>
  <si>
    <t>100주당 단가</t>
    <phoneticPr fontId="3" type="noConversion"/>
  </si>
  <si>
    <t>시공량(주)</t>
    <phoneticPr fontId="5" type="noConversion"/>
  </si>
  <si>
    <t>10주당 단가</t>
    <phoneticPr fontId="3" type="noConversion"/>
  </si>
  <si>
    <t>주당 단가</t>
    <phoneticPr fontId="3" type="noConversion"/>
  </si>
  <si>
    <t>나무높이 2.0m 이하</t>
    <phoneticPr fontId="3" type="noConversion"/>
  </si>
  <si>
    <t>나무높이 3.0m 이하</t>
    <phoneticPr fontId="3" type="noConversion"/>
  </si>
  <si>
    <t>나무높이 5.0m 이하</t>
    <phoneticPr fontId="3" type="noConversion"/>
  </si>
  <si>
    <t>5(4)이하</t>
    <phoneticPr fontId="5" type="noConversion"/>
  </si>
  <si>
    <t>인력시공:근원(흉고)직경(㎝)</t>
    <phoneticPr fontId="3" type="noConversion"/>
  </si>
  <si>
    <t>기계시공:근원(흉고)직경(㎝)</t>
    <phoneticPr fontId="3" type="noConversion"/>
  </si>
  <si>
    <t>10~14(8~12)</t>
    <phoneticPr fontId="5" type="noConversion"/>
  </si>
  <si>
    <t>15~19(13~16)</t>
    <phoneticPr fontId="5" type="noConversion"/>
  </si>
  <si>
    <t>20~29(17~24)</t>
    <phoneticPr fontId="5" type="noConversion"/>
  </si>
  <si>
    <t>30~39(25~32)</t>
    <phoneticPr fontId="5" type="noConversion"/>
  </si>
  <si>
    <t>40~49(33~41)</t>
    <phoneticPr fontId="5" type="noConversion"/>
  </si>
  <si>
    <t>나무높이 2.0m 이하</t>
    <phoneticPr fontId="5" type="noConversion"/>
  </si>
  <si>
    <t>나무높이 3.0m 이하</t>
    <phoneticPr fontId="5" type="noConversion"/>
  </si>
  <si>
    <t>나무높이 5.0m 이하</t>
    <phoneticPr fontId="5" type="noConversion"/>
  </si>
  <si>
    <t>5(6)이하</t>
    <phoneticPr fontId="5" type="noConversion"/>
  </si>
  <si>
    <t>6~7(7~8)</t>
    <phoneticPr fontId="5" type="noConversion"/>
  </si>
  <si>
    <t>8~9(9~11)</t>
    <phoneticPr fontId="5" type="noConversion"/>
  </si>
  <si>
    <t>10~17(12~20)</t>
    <phoneticPr fontId="5" type="noConversion"/>
  </si>
  <si>
    <t>18~24(21~29)</t>
    <phoneticPr fontId="5" type="noConversion"/>
  </si>
  <si>
    <t>25~34(30~41)</t>
    <phoneticPr fontId="5" type="noConversion"/>
  </si>
  <si>
    <t>35~44(42~53)</t>
    <phoneticPr fontId="5" type="noConversion"/>
  </si>
  <si>
    <t>45~50(54~60)</t>
    <phoneticPr fontId="5" type="noConversion"/>
  </si>
  <si>
    <t>시공량(ton)</t>
    <phoneticPr fontId="5" type="noConversion"/>
  </si>
  <si>
    <t>10ton당 단가</t>
    <phoneticPr fontId="3" type="noConversion"/>
  </si>
  <si>
    <t>10㎡당 단가</t>
    <phoneticPr fontId="3" type="noConversion"/>
  </si>
  <si>
    <t>50~60(42~50)</t>
    <phoneticPr fontId="5" type="noConversion"/>
  </si>
  <si>
    <t>굴착기(무한궤도)</t>
  </si>
  <si>
    <t>4-1-3 초류종자 살포(기계살포)</t>
    <phoneticPr fontId="3" type="noConversion"/>
  </si>
  <si>
    <t>4-1-4 초화류 식재</t>
    <phoneticPr fontId="5" type="noConversion"/>
  </si>
  <si>
    <t>4-1-5 거적덮기</t>
    <phoneticPr fontId="5" type="noConversion"/>
  </si>
  <si>
    <t>4-1-2 판형잔디붙임</t>
    <phoneticPr fontId="3" type="noConversion"/>
  </si>
  <si>
    <t>4-4 조경시설물</t>
    <phoneticPr fontId="3" type="noConversion"/>
  </si>
  <si>
    <t>4-4-5 녹지경계분리재 설치</t>
    <phoneticPr fontId="5" type="noConversion"/>
  </si>
  <si>
    <t>시공량(m)</t>
    <phoneticPr fontId="5" type="noConversion"/>
  </si>
  <si>
    <t>m당 단가</t>
    <phoneticPr fontId="3" type="noConversion"/>
  </si>
  <si>
    <t>4-4-6 인공식재지 배수판 설치</t>
  </si>
  <si>
    <t>시공량(㎡)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</si>
</sst>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0" xfId="3" applyFont="1" applyAlignment="1">
      <alignment horizontal="left" vertical="center" shrinkToFit="1"/>
    </xf>
    <xf numFmtId="0" fontId="9" fillId="0" borderId="4" xfId="3" applyFont="1" applyBorder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9" fillId="0" borderId="0" xfId="3" applyFont="1" applyAlignment="1">
      <alignment horizontal="center" vertical="center"/>
    </xf>
    <xf numFmtId="0" fontId="9" fillId="0" borderId="5" xfId="3" applyFont="1" applyBorder="1" applyAlignment="1">
      <alignment vertical="center" shrinkToFit="1"/>
    </xf>
    <xf numFmtId="0" fontId="9" fillId="0" borderId="7" xfId="3" applyFont="1" applyBorder="1" applyAlignment="1">
      <alignment vertical="center" shrinkToFit="1"/>
    </xf>
    <xf numFmtId="0" fontId="9" fillId="0" borderId="9" xfId="3" applyFont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4" fillId="0" borderId="0" xfId="6" applyFont="1" applyAlignment="1">
      <alignment vertical="center"/>
    </xf>
    <xf numFmtId="0" fontId="9" fillId="0" borderId="4" xfId="6" applyFont="1" applyBorder="1" applyAlignment="1">
      <alignment vertical="center"/>
    </xf>
    <xf numFmtId="41" fontId="11" fillId="0" borderId="5" xfId="7" applyFont="1" applyFill="1" applyBorder="1" applyAlignment="1">
      <alignment horizontal="center" vertical="center"/>
    </xf>
    <xf numFmtId="0" fontId="9" fillId="0" borderId="5" xfId="6" applyFont="1" applyBorder="1" applyAlignment="1">
      <alignment vertical="center"/>
    </xf>
    <xf numFmtId="0" fontId="9" fillId="0" borderId="5" xfId="6" applyFont="1" applyBorder="1" applyAlignment="1">
      <alignment horizontal="right" vertical="center"/>
    </xf>
    <xf numFmtId="181" fontId="9" fillId="0" borderId="6" xfId="7" applyNumberFormat="1" applyFont="1" applyFill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9" fillId="0" borderId="6" xfId="6" applyFont="1" applyBorder="1" applyAlignment="1">
      <alignment vertical="center"/>
    </xf>
    <xf numFmtId="0" fontId="10" fillId="0" borderId="9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16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41" fontId="10" fillId="0" borderId="8" xfId="7" applyFont="1" applyFill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12" fillId="0" borderId="4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0" fontId="13" fillId="0" borderId="7" xfId="3" applyFont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8" fillId="0" borderId="0" xfId="6" applyFont="1" applyAlignment="1">
      <alignment vertical="center"/>
    </xf>
    <xf numFmtId="0" fontId="18" fillId="0" borderId="0" xfId="6" applyFont="1" applyAlignment="1">
      <alignment horizontal="centerContinuous" vertical="center"/>
    </xf>
    <xf numFmtId="41" fontId="18" fillId="0" borderId="0" xfId="7" applyFont="1" applyFill="1" applyBorder="1" applyAlignment="1">
      <alignment vertical="center"/>
    </xf>
    <xf numFmtId="41" fontId="9" fillId="0" borderId="5" xfId="1" applyFont="1" applyFill="1" applyBorder="1" applyAlignment="1">
      <alignment vertical="center"/>
    </xf>
    <xf numFmtId="0" fontId="14" fillId="0" borderId="0" xfId="0" applyFont="1">
      <alignment vertical="center"/>
    </xf>
    <xf numFmtId="0" fontId="9" fillId="0" borderId="0" xfId="6" applyFont="1" applyAlignment="1">
      <alignment horizontal="right" vertical="center"/>
    </xf>
    <xf numFmtId="0" fontId="19" fillId="0" borderId="4" xfId="3" applyFont="1" applyBorder="1" applyAlignment="1">
      <alignment vertical="center"/>
    </xf>
    <xf numFmtId="0" fontId="20" fillId="0" borderId="5" xfId="3" applyFont="1" applyBorder="1" applyAlignment="1">
      <alignment vertical="center"/>
    </xf>
    <xf numFmtId="41" fontId="20" fillId="0" borderId="5" xfId="5" applyFont="1" applyFill="1" applyBorder="1" applyAlignment="1">
      <alignment vertical="center"/>
    </xf>
    <xf numFmtId="41" fontId="20" fillId="0" borderId="6" xfId="5" applyFont="1" applyFill="1" applyBorder="1" applyAlignment="1">
      <alignment vertical="center"/>
    </xf>
    <xf numFmtId="41" fontId="19" fillId="0" borderId="5" xfId="7" applyFont="1" applyFill="1" applyBorder="1" applyAlignment="1">
      <alignment vertical="center"/>
    </xf>
    <xf numFmtId="41" fontId="19" fillId="0" borderId="6" xfId="7" applyFont="1" applyFill="1" applyBorder="1" applyAlignment="1">
      <alignment vertical="center"/>
    </xf>
    <xf numFmtId="0" fontId="19" fillId="0" borderId="4" xfId="6" applyFont="1" applyBorder="1" applyAlignment="1">
      <alignment horizontal="left" vertical="center"/>
    </xf>
    <xf numFmtId="0" fontId="19" fillId="0" borderId="5" xfId="6" applyFont="1" applyBorder="1" applyAlignment="1">
      <alignment vertical="center"/>
    </xf>
    <xf numFmtId="0" fontId="21" fillId="0" borderId="5" xfId="3" applyFont="1" applyBorder="1" applyAlignment="1">
      <alignment horizontal="center" vertical="center"/>
    </xf>
    <xf numFmtId="0" fontId="21" fillId="0" borderId="5" xfId="3" applyFont="1" applyBorder="1" applyAlignment="1">
      <alignment vertical="center" shrinkToFit="1"/>
    </xf>
    <xf numFmtId="0" fontId="21" fillId="0" borderId="4" xfId="6" applyFont="1" applyBorder="1" applyAlignment="1">
      <alignment horizontal="left" vertical="center"/>
    </xf>
    <xf numFmtId="0" fontId="21" fillId="0" borderId="4" xfId="3" applyFont="1" applyBorder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9" fillId="0" borderId="0" xfId="6" applyFont="1" applyAlignment="1">
      <alignment horizontal="left" vertical="center"/>
    </xf>
    <xf numFmtId="0" fontId="9" fillId="0" borderId="0" xfId="6" applyFont="1" applyAlignment="1">
      <alignment horizontal="centerContinuous" vertical="center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49" fontId="17" fillId="0" borderId="0" xfId="2" applyNumberFormat="1" applyFont="1" applyAlignment="1">
      <alignment horizontal="centerContinuous" vertical="center"/>
    </xf>
    <xf numFmtId="0" fontId="17" fillId="0" borderId="0" xfId="2" applyFont="1" applyAlignment="1">
      <alignment horizontal="centerContinuous" vertical="center"/>
    </xf>
    <xf numFmtId="0" fontId="9" fillId="0" borderId="0" xfId="0" applyFont="1">
      <alignment vertical="center"/>
    </xf>
    <xf numFmtId="182" fontId="9" fillId="0" borderId="5" xfId="8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83" fontId="9" fillId="0" borderId="0" xfId="8" applyNumberFormat="1" applyFont="1" applyBorder="1" applyAlignment="1">
      <alignment vertical="center"/>
    </xf>
    <xf numFmtId="180" fontId="9" fillId="0" borderId="0" xfId="8" applyNumberFormat="1" applyFont="1" applyBorder="1" applyAlignment="1">
      <alignment vertical="center"/>
    </xf>
    <xf numFmtId="0" fontId="9" fillId="0" borderId="4" xfId="2" applyFont="1" applyBorder="1" applyAlignment="1">
      <alignment horizontal="left" vertical="center"/>
    </xf>
    <xf numFmtId="41" fontId="11" fillId="0" borderId="5" xfId="2" applyNumberFormat="1" applyFont="1" applyBorder="1" applyAlignment="1">
      <alignment vertical="center"/>
    </xf>
    <xf numFmtId="0" fontId="10" fillId="0" borderId="5" xfId="2" applyFont="1" applyBorder="1" applyAlignment="1">
      <alignment vertical="center"/>
    </xf>
    <xf numFmtId="183" fontId="10" fillId="0" borderId="5" xfId="8" applyNumberFormat="1" applyFont="1" applyBorder="1" applyAlignment="1">
      <alignment vertical="center"/>
    </xf>
    <xf numFmtId="182" fontId="9" fillId="0" borderId="0" xfId="8" applyNumberFormat="1" applyFont="1" applyBorder="1" applyAlignment="1">
      <alignment vertical="center"/>
    </xf>
    <xf numFmtId="41" fontId="10" fillId="0" borderId="0" xfId="8" applyFont="1" applyBorder="1" applyAlignment="1">
      <alignment vertical="center"/>
    </xf>
    <xf numFmtId="0" fontId="10" fillId="0" borderId="0" xfId="2" applyFont="1" applyAlignment="1">
      <alignment vertical="center"/>
    </xf>
    <xf numFmtId="183" fontId="10" fillId="0" borderId="0" xfId="8" applyNumberFormat="1" applyFont="1" applyBorder="1" applyAlignment="1">
      <alignment vertical="center"/>
    </xf>
    <xf numFmtId="183" fontId="10" fillId="0" borderId="5" xfId="8" applyNumberFormat="1" applyFont="1" applyFill="1" applyBorder="1" applyAlignment="1">
      <alignment vertical="center"/>
    </xf>
    <xf numFmtId="41" fontId="9" fillId="0" borderId="5" xfId="2" applyNumberFormat="1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41" fontId="10" fillId="0" borderId="8" xfId="8" applyFont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22" fillId="0" borderId="4" xfId="2" applyFont="1" applyBorder="1" applyAlignment="1">
      <alignment horizontal="left" vertical="center"/>
    </xf>
    <xf numFmtId="0" fontId="22" fillId="0" borderId="9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4" xfId="2" applyFont="1" applyBorder="1" applyAlignment="1">
      <alignment horizontal="center" vertical="center"/>
    </xf>
    <xf numFmtId="41" fontId="19" fillId="0" borderId="6" xfId="8" applyFont="1" applyBorder="1" applyAlignment="1">
      <alignment vertical="center"/>
    </xf>
    <xf numFmtId="41" fontId="19" fillId="0" borderId="6" xfId="8" applyFont="1" applyFill="1" applyBorder="1" applyAlignment="1">
      <alignment vertical="center"/>
    </xf>
    <xf numFmtId="41" fontId="9" fillId="0" borderId="5" xfId="1" applyFont="1" applyBorder="1" applyAlignment="1">
      <alignment horizontal="right" vertical="center"/>
    </xf>
    <xf numFmtId="41" fontId="11" fillId="0" borderId="5" xfId="1" applyFont="1" applyBorder="1" applyAlignment="1">
      <alignment vertical="center"/>
    </xf>
    <xf numFmtId="41" fontId="10" fillId="0" borderId="5" xfId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14" xfId="0" applyFont="1" applyBorder="1">
      <alignment vertical="center"/>
    </xf>
    <xf numFmtId="183" fontId="9" fillId="0" borderId="5" xfId="8" applyNumberFormat="1" applyFont="1" applyBorder="1" applyAlignment="1">
      <alignment vertical="center"/>
    </xf>
    <xf numFmtId="41" fontId="9" fillId="0" borderId="5" xfId="8" applyFont="1" applyBorder="1" applyAlignment="1">
      <alignment vertical="center"/>
    </xf>
    <xf numFmtId="185" fontId="23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3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41" fontId="19" fillId="0" borderId="5" xfId="1" applyFont="1" applyBorder="1" applyAlignment="1">
      <alignment vertical="center"/>
    </xf>
    <xf numFmtId="41" fontId="9" fillId="0" borderId="5" xfId="1" applyFont="1" applyBorder="1" applyAlignment="1">
      <alignment vertical="center"/>
    </xf>
    <xf numFmtId="0" fontId="10" fillId="0" borderId="4" xfId="6" applyFont="1" applyBorder="1" applyAlignment="1">
      <alignment horizontal="left" vertical="center"/>
    </xf>
    <xf numFmtId="0" fontId="16" fillId="0" borderId="5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41" fontId="10" fillId="0" borderId="6" xfId="7" applyFont="1" applyFill="1" applyBorder="1" applyAlignment="1">
      <alignment horizontal="center" vertical="center"/>
    </xf>
    <xf numFmtId="3" fontId="9" fillId="0" borderId="12" xfId="6" applyNumberFormat="1" applyFont="1" applyBorder="1" applyAlignment="1">
      <alignment horizontal="center" vertical="center" wrapText="1"/>
    </xf>
    <xf numFmtId="182" fontId="9" fillId="0" borderId="5" xfId="8" applyNumberFormat="1" applyFont="1" applyBorder="1" applyAlignment="1">
      <alignment horizontal="right" vertical="center"/>
    </xf>
    <xf numFmtId="180" fontId="9" fillId="0" borderId="5" xfId="8" applyNumberFormat="1" applyFont="1" applyBorder="1" applyAlignment="1">
      <alignment vertical="center"/>
    </xf>
    <xf numFmtId="41" fontId="10" fillId="0" borderId="6" xfId="8" applyFont="1" applyBorder="1" applyAlignment="1">
      <alignment vertical="center"/>
    </xf>
    <xf numFmtId="41" fontId="10" fillId="0" borderId="5" xfId="8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EB3A-2166-484C-AA7F-0B9E1F45C095}">
  <sheetPr>
    <pageSetUpPr fitToPage="1"/>
  </sheetPr>
  <dimension ref="A1:P664"/>
  <sheetViews>
    <sheetView tabSelected="1" zoomScaleNormal="100" workbookViewId="0">
      <selection activeCell="K26" sqref="K26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8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105"/>
      <c r="B1" s="12" t="s">
        <v>27</v>
      </c>
      <c r="C1" s="7"/>
      <c r="D1" s="1"/>
    </row>
    <row r="2" spans="1:15" ht="12.95" customHeight="1" x14ac:dyDescent="0.15">
      <c r="A2" s="106"/>
      <c r="B2" s="1" t="s">
        <v>28</v>
      </c>
    </row>
    <row r="3" spans="1:15" ht="12.95" customHeight="1" x14ac:dyDescent="0.3">
      <c r="B3" s="2" t="s">
        <v>110</v>
      </c>
      <c r="I3" s="101" t="s">
        <v>103</v>
      </c>
      <c r="J3" s="18"/>
    </row>
    <row r="4" spans="1:15" ht="12.95" customHeight="1" x14ac:dyDescent="0.3">
      <c r="B4" s="127" t="s">
        <v>7</v>
      </c>
      <c r="C4" s="127" t="s">
        <v>11</v>
      </c>
      <c r="D4" s="125" t="s">
        <v>12</v>
      </c>
      <c r="E4" s="125" t="s">
        <v>8</v>
      </c>
      <c r="F4" s="136" t="s">
        <v>108</v>
      </c>
      <c r="G4" s="137"/>
      <c r="H4" s="136" t="s">
        <v>109</v>
      </c>
      <c r="I4" s="137"/>
    </row>
    <row r="5" spans="1:15" ht="12.95" customHeight="1" x14ac:dyDescent="0.3">
      <c r="B5" s="128"/>
      <c r="C5" s="128"/>
      <c r="D5" s="130"/>
      <c r="E5" s="130"/>
      <c r="F5" s="107" t="s">
        <v>106</v>
      </c>
      <c r="G5" s="108">
        <v>170</v>
      </c>
      <c r="H5" s="107" t="s">
        <v>106</v>
      </c>
      <c r="I5" s="108">
        <v>150</v>
      </c>
      <c r="J5" s="18"/>
    </row>
    <row r="6" spans="1:15" ht="12.95" customHeight="1" x14ac:dyDescent="0.3">
      <c r="B6" s="129"/>
      <c r="C6" s="129"/>
      <c r="D6" s="126"/>
      <c r="E6" s="126"/>
      <c r="F6" s="63" t="s">
        <v>104</v>
      </c>
      <c r="G6" s="64" t="s">
        <v>105</v>
      </c>
      <c r="H6" s="63" t="s">
        <v>104</v>
      </c>
      <c r="I6" s="64" t="s">
        <v>105</v>
      </c>
      <c r="J6" s="18"/>
    </row>
    <row r="7" spans="1:15" ht="12.95" customHeight="1" x14ac:dyDescent="0.3">
      <c r="B7" s="32" t="s">
        <v>2</v>
      </c>
      <c r="C7" s="14"/>
      <c r="D7" s="6" t="s">
        <v>14</v>
      </c>
      <c r="E7" s="78">
        <v>235204</v>
      </c>
      <c r="F7" s="104">
        <v>1</v>
      </c>
      <c r="G7" s="11">
        <f t="shared" ref="G7:G8" si="0">TRUNC($E7*F7,1)</f>
        <v>235204</v>
      </c>
      <c r="H7" s="104">
        <v>1</v>
      </c>
      <c r="I7" s="11">
        <f t="shared" ref="I7:I8" si="1">TRUNC($E7*H7,1)</f>
        <v>235204</v>
      </c>
    </row>
    <row r="8" spans="1:15" ht="12.95" customHeight="1" x14ac:dyDescent="0.3">
      <c r="B8" s="32" t="s">
        <v>1</v>
      </c>
      <c r="C8" s="14"/>
      <c r="D8" s="6" t="s">
        <v>14</v>
      </c>
      <c r="E8" s="78">
        <v>172068</v>
      </c>
      <c r="F8" s="104">
        <v>4</v>
      </c>
      <c r="G8" s="11">
        <f t="shared" si="0"/>
        <v>688272</v>
      </c>
      <c r="H8" s="104">
        <v>4</v>
      </c>
      <c r="I8" s="11">
        <f t="shared" si="1"/>
        <v>688272</v>
      </c>
    </row>
    <row r="9" spans="1:15" ht="12.95" customHeight="1" x14ac:dyDescent="0.3">
      <c r="B9" s="48" t="s">
        <v>16</v>
      </c>
      <c r="C9" s="58"/>
      <c r="D9" s="56"/>
      <c r="E9" s="52"/>
      <c r="F9" s="109"/>
      <c r="G9" s="53">
        <f>TRUNC(SUM(G7:G8))</f>
        <v>923476</v>
      </c>
      <c r="H9" s="109"/>
      <c r="I9" s="53">
        <f>TRUNC(SUM(I7:I8))</f>
        <v>923476</v>
      </c>
    </row>
    <row r="10" spans="1:15" ht="12.95" customHeight="1" x14ac:dyDescent="0.3">
      <c r="B10" s="24"/>
      <c r="C10" s="24"/>
      <c r="D10" s="67"/>
      <c r="E10" s="21"/>
      <c r="F10" s="110"/>
      <c r="G10" s="25"/>
      <c r="H10" s="110"/>
      <c r="I10" s="25"/>
    </row>
    <row r="11" spans="1:15" ht="12.95" customHeight="1" x14ac:dyDescent="0.3">
      <c r="B11" s="111" t="s">
        <v>19</v>
      </c>
      <c r="C11" s="24"/>
      <c r="D11" s="67"/>
      <c r="E11" s="112"/>
      <c r="F11" s="113"/>
      <c r="G11" s="114">
        <f>SUM(G9)</f>
        <v>923476</v>
      </c>
      <c r="H11" s="113"/>
      <c r="I11" s="114">
        <f>SUM(I9)</f>
        <v>923476</v>
      </c>
    </row>
    <row r="12" spans="1:15" ht="12.95" customHeight="1" x14ac:dyDescent="0.3">
      <c r="B12" s="26" t="s">
        <v>111</v>
      </c>
      <c r="C12" s="27"/>
      <c r="D12" s="66"/>
      <c r="E12" s="28"/>
      <c r="F12" s="29"/>
      <c r="G12" s="30">
        <f>TRUNC((G11/G5)*100)</f>
        <v>543221</v>
      </c>
      <c r="H12" s="29"/>
      <c r="I12" s="30">
        <f>TRUNC((I11/I5)*100)</f>
        <v>615650</v>
      </c>
    </row>
    <row r="13" spans="1:15" ht="12.95" customHeight="1" x14ac:dyDescent="0.3">
      <c r="B13" s="3"/>
      <c r="C13" s="9"/>
      <c r="D13" s="3"/>
      <c r="E13" s="13"/>
      <c r="F13" s="4"/>
      <c r="G13" s="4"/>
      <c r="N13" s="71"/>
      <c r="O13" s="71"/>
    </row>
    <row r="14" spans="1:15" ht="12.95" customHeight="1" x14ac:dyDescent="0.3">
      <c r="B14" s="92" t="s">
        <v>149</v>
      </c>
      <c r="C14" s="93"/>
      <c r="D14" s="68"/>
      <c r="E14" s="94"/>
      <c r="F14" s="68"/>
      <c r="G14" s="101" t="s">
        <v>103</v>
      </c>
      <c r="H14" s="68"/>
      <c r="I14" s="68"/>
      <c r="J14" s="68"/>
      <c r="K14" s="68"/>
      <c r="L14" s="68"/>
      <c r="M14" s="68"/>
      <c r="N14" s="71"/>
      <c r="O14" s="71"/>
    </row>
    <row r="15" spans="1:15" ht="12.95" customHeight="1" x14ac:dyDescent="0.3">
      <c r="B15" s="120" t="s">
        <v>7</v>
      </c>
      <c r="C15" s="122" t="s">
        <v>22</v>
      </c>
      <c r="D15" s="134" t="s">
        <v>12</v>
      </c>
      <c r="E15" s="125" t="s">
        <v>8</v>
      </c>
      <c r="F15" s="107" t="s">
        <v>106</v>
      </c>
      <c r="G15" s="115">
        <v>185</v>
      </c>
      <c r="H15" s="69"/>
      <c r="I15" s="70"/>
      <c r="J15" s="71"/>
      <c r="K15" s="71"/>
      <c r="L15" s="71"/>
      <c r="M15" s="71"/>
      <c r="N15" s="71"/>
      <c r="O15" s="71"/>
    </row>
    <row r="16" spans="1:15" ht="12.95" customHeight="1" x14ac:dyDescent="0.3">
      <c r="B16" s="121"/>
      <c r="C16" s="123"/>
      <c r="D16" s="135"/>
      <c r="E16" s="126"/>
      <c r="F16" s="63" t="s">
        <v>104</v>
      </c>
      <c r="G16" s="64" t="s">
        <v>105</v>
      </c>
      <c r="H16" s="69"/>
      <c r="I16" s="70"/>
      <c r="J16" s="71"/>
      <c r="K16" s="71"/>
      <c r="L16" s="71"/>
      <c r="M16" s="71"/>
      <c r="N16" s="71"/>
      <c r="O16" s="71"/>
    </row>
    <row r="17" spans="2:15" ht="12.95" customHeight="1" x14ac:dyDescent="0.3">
      <c r="B17" s="19" t="s">
        <v>145</v>
      </c>
      <c r="C17" s="19" t="s">
        <v>6</v>
      </c>
      <c r="D17" s="67" t="s">
        <v>20</v>
      </c>
      <c r="E17" s="99">
        <v>18733</v>
      </c>
      <c r="F17" s="104">
        <v>8</v>
      </c>
      <c r="G17" s="11">
        <f t="shared" ref="G17" si="2">TRUNC($E17*F17,1)</f>
        <v>149864</v>
      </c>
      <c r="H17" s="68"/>
      <c r="I17" s="68"/>
      <c r="J17" s="71"/>
      <c r="K17" s="71"/>
      <c r="L17" s="71"/>
      <c r="M17" s="71"/>
      <c r="N17" s="71"/>
      <c r="O17" s="71"/>
    </row>
    <row r="18" spans="2:15" ht="12.95" customHeight="1" x14ac:dyDescent="0.3">
      <c r="B18" s="54" t="s">
        <v>15</v>
      </c>
      <c r="C18" s="90"/>
      <c r="D18" s="90"/>
      <c r="E18" s="100"/>
      <c r="F18" s="119"/>
      <c r="G18" s="96">
        <f>TRUNC(SUM(G17:G17))</f>
        <v>149864</v>
      </c>
      <c r="H18" s="81"/>
      <c r="I18" s="73"/>
      <c r="J18" s="71"/>
      <c r="K18" s="71"/>
      <c r="L18" s="71"/>
      <c r="M18" s="71"/>
      <c r="N18" s="71"/>
      <c r="O18" s="71"/>
    </row>
    <row r="19" spans="2:15" ht="12.95" customHeight="1" x14ac:dyDescent="0.3">
      <c r="B19" s="89"/>
      <c r="C19" s="90"/>
      <c r="D19" s="90"/>
      <c r="E19" s="100"/>
      <c r="F19" s="119"/>
      <c r="G19" s="82"/>
      <c r="H19" s="81"/>
      <c r="I19" s="73"/>
      <c r="J19" s="71"/>
      <c r="K19" s="71"/>
      <c r="L19" s="71"/>
      <c r="M19" s="71"/>
      <c r="N19" s="71"/>
      <c r="O19" s="71"/>
    </row>
    <row r="20" spans="2:15" ht="12.95" customHeight="1" x14ac:dyDescent="0.3">
      <c r="B20" s="77" t="s">
        <v>34</v>
      </c>
      <c r="C20" s="77"/>
      <c r="D20" s="6" t="s">
        <v>14</v>
      </c>
      <c r="E20" s="99">
        <v>235204</v>
      </c>
      <c r="F20" s="104">
        <v>1</v>
      </c>
      <c r="G20" s="11">
        <f t="shared" ref="G20:G22" si="3">TRUNC($E20*F20,1)</f>
        <v>235204</v>
      </c>
      <c r="H20" s="68"/>
      <c r="I20" s="68"/>
      <c r="J20" s="71"/>
      <c r="K20" s="71"/>
      <c r="L20" s="71"/>
      <c r="M20" s="71"/>
      <c r="N20" s="71"/>
      <c r="O20" s="71"/>
    </row>
    <row r="21" spans="2:15" ht="12.95" customHeight="1" x14ac:dyDescent="0.3">
      <c r="B21" s="77" t="s">
        <v>1</v>
      </c>
      <c r="C21" s="77"/>
      <c r="D21" s="6" t="s">
        <v>14</v>
      </c>
      <c r="E21" s="99">
        <v>172068</v>
      </c>
      <c r="F21" s="104">
        <v>3</v>
      </c>
      <c r="G21" s="11">
        <f t="shared" si="3"/>
        <v>516204</v>
      </c>
      <c r="H21" s="83"/>
      <c r="I21" s="82"/>
      <c r="J21" s="71"/>
      <c r="K21" s="71"/>
      <c r="L21" s="71"/>
      <c r="M21" s="71"/>
      <c r="N21" s="71"/>
      <c r="O21" s="71"/>
    </row>
    <row r="22" spans="2:15" ht="12.95" customHeight="1" x14ac:dyDescent="0.3">
      <c r="B22" s="19" t="s">
        <v>145</v>
      </c>
      <c r="C22" s="19" t="s">
        <v>6</v>
      </c>
      <c r="D22" s="67" t="s">
        <v>20</v>
      </c>
      <c r="E22" s="99">
        <v>58925</v>
      </c>
      <c r="F22" s="104">
        <v>8</v>
      </c>
      <c r="G22" s="11">
        <f t="shared" si="3"/>
        <v>471400</v>
      </c>
      <c r="H22" s="83"/>
      <c r="I22" s="82"/>
      <c r="J22" s="71"/>
      <c r="K22" s="71"/>
      <c r="L22" s="71"/>
      <c r="M22" s="71"/>
      <c r="N22" s="71"/>
      <c r="O22" s="71"/>
    </row>
    <row r="23" spans="2:15" ht="12.95" customHeight="1" x14ac:dyDescent="0.3">
      <c r="B23" s="48" t="s">
        <v>16</v>
      </c>
      <c r="C23" s="90"/>
      <c r="D23" s="90"/>
      <c r="E23" s="100"/>
      <c r="F23" s="119"/>
      <c r="G23" s="96">
        <f>TRUNC(SUM(G20:G22))</f>
        <v>1222808</v>
      </c>
      <c r="H23" s="71"/>
      <c r="I23" s="71"/>
      <c r="J23" s="71"/>
      <c r="K23" s="71"/>
      <c r="L23" s="71"/>
      <c r="M23" s="71"/>
      <c r="N23" s="71"/>
      <c r="O23" s="71"/>
    </row>
    <row r="24" spans="2:15" ht="12.95" customHeight="1" x14ac:dyDescent="0.3">
      <c r="B24" s="89"/>
      <c r="C24" s="90"/>
      <c r="D24" s="90"/>
      <c r="E24" s="100"/>
      <c r="F24" s="119"/>
      <c r="G24" s="82"/>
      <c r="H24" s="71"/>
      <c r="I24" s="71"/>
      <c r="J24" s="71"/>
      <c r="K24" s="71"/>
      <c r="L24" s="71"/>
      <c r="M24" s="71"/>
      <c r="N24" s="71"/>
      <c r="O24" s="71"/>
    </row>
    <row r="25" spans="2:15" ht="12.95" customHeight="1" x14ac:dyDescent="0.3">
      <c r="B25" s="19" t="s">
        <v>145</v>
      </c>
      <c r="C25" s="19" t="s">
        <v>6</v>
      </c>
      <c r="D25" s="67" t="s">
        <v>20</v>
      </c>
      <c r="E25" s="99">
        <v>23423</v>
      </c>
      <c r="F25" s="104">
        <v>8</v>
      </c>
      <c r="G25" s="11">
        <f t="shared" ref="G25" si="4">TRUNC($E25*F25,1)</f>
        <v>187384</v>
      </c>
      <c r="H25" s="71"/>
      <c r="I25" s="71"/>
      <c r="J25" s="71"/>
      <c r="K25" s="71"/>
      <c r="L25" s="71"/>
      <c r="M25" s="71"/>
      <c r="N25" s="71"/>
      <c r="O25" s="71"/>
    </row>
    <row r="26" spans="2:15" ht="12.95" customHeight="1" x14ac:dyDescent="0.3">
      <c r="B26" s="54" t="s">
        <v>17</v>
      </c>
      <c r="C26" s="90"/>
      <c r="D26" s="90"/>
      <c r="E26" s="79"/>
      <c r="F26" s="85"/>
      <c r="G26" s="97">
        <f>TRUNC(SUM(G25:G25))</f>
        <v>187384</v>
      </c>
      <c r="H26" s="71"/>
      <c r="I26" s="71"/>
      <c r="J26" s="71"/>
      <c r="K26" s="71"/>
      <c r="L26" s="71"/>
      <c r="M26" s="71"/>
      <c r="N26" s="71"/>
      <c r="O26" s="71"/>
    </row>
    <row r="27" spans="2:15" ht="12.95" customHeight="1" x14ac:dyDescent="0.3">
      <c r="B27" s="24"/>
      <c r="C27" s="77"/>
      <c r="D27" s="77"/>
      <c r="E27" s="86"/>
      <c r="F27" s="72"/>
      <c r="G27" s="73"/>
      <c r="H27" s="83"/>
      <c r="I27" s="82"/>
      <c r="J27" s="71"/>
      <c r="K27" s="71"/>
      <c r="L27" s="71"/>
      <c r="M27" s="71"/>
      <c r="N27" s="71"/>
      <c r="O27" s="71"/>
    </row>
    <row r="28" spans="2:15" ht="12.95" customHeight="1" x14ac:dyDescent="0.3">
      <c r="B28" s="111" t="s">
        <v>19</v>
      </c>
      <c r="C28" s="90"/>
      <c r="D28" s="90"/>
      <c r="E28" s="79"/>
      <c r="F28" s="79"/>
      <c r="G28" s="118">
        <f>SUM(G18+G23+G26)</f>
        <v>1560056</v>
      </c>
      <c r="H28" s="71"/>
      <c r="I28" s="71"/>
      <c r="J28" s="71"/>
      <c r="K28" s="71"/>
      <c r="L28" s="71"/>
      <c r="M28" s="71"/>
      <c r="N28" s="71"/>
      <c r="O28" s="71"/>
    </row>
    <row r="29" spans="2:15" ht="12.95" customHeight="1" x14ac:dyDescent="0.3">
      <c r="B29" s="26" t="s">
        <v>111</v>
      </c>
      <c r="C29" s="27"/>
      <c r="D29" s="66"/>
      <c r="E29" s="28"/>
      <c r="F29" s="29"/>
      <c r="G29" s="30">
        <f>TRUNC((G28/G15)*100)</f>
        <v>843273</v>
      </c>
      <c r="H29" s="71"/>
      <c r="I29" s="71"/>
      <c r="J29" s="71"/>
      <c r="K29" s="71"/>
      <c r="L29" s="71"/>
      <c r="M29" s="71"/>
      <c r="N29" s="71"/>
      <c r="O29" s="71"/>
    </row>
    <row r="30" spans="2:15" ht="12.95" customHeight="1" x14ac:dyDescent="0.3">
      <c r="B30" s="3"/>
      <c r="C30" s="9"/>
      <c r="D30" s="3"/>
      <c r="E30" s="13"/>
      <c r="F30" s="4"/>
      <c r="G30" s="4"/>
      <c r="N30" s="71"/>
      <c r="O30" s="71"/>
    </row>
    <row r="31" spans="2:15" ht="12.95" customHeight="1" x14ac:dyDescent="0.3">
      <c r="B31" s="92" t="s">
        <v>146</v>
      </c>
      <c r="C31" s="93"/>
      <c r="D31" s="68"/>
      <c r="E31" s="94"/>
      <c r="F31" s="68"/>
      <c r="G31" s="101" t="s">
        <v>103</v>
      </c>
      <c r="H31" s="68"/>
      <c r="I31" s="68"/>
      <c r="J31" s="68"/>
      <c r="K31" s="68"/>
      <c r="L31" s="68"/>
      <c r="M31" s="68"/>
      <c r="N31" s="71"/>
      <c r="O31" s="71"/>
    </row>
    <row r="32" spans="2:15" ht="12.95" customHeight="1" x14ac:dyDescent="0.3">
      <c r="B32" s="120" t="s">
        <v>7</v>
      </c>
      <c r="C32" s="122" t="s">
        <v>22</v>
      </c>
      <c r="D32" s="134" t="s">
        <v>12</v>
      </c>
      <c r="E32" s="125" t="s">
        <v>8</v>
      </c>
      <c r="F32" s="107" t="s">
        <v>106</v>
      </c>
      <c r="G32" s="115">
        <v>3100</v>
      </c>
      <c r="H32" s="69"/>
      <c r="I32" s="70"/>
      <c r="J32" s="71"/>
      <c r="K32" s="71"/>
      <c r="L32" s="71"/>
      <c r="M32" s="71"/>
      <c r="N32" s="71"/>
      <c r="O32" s="71"/>
    </row>
    <row r="33" spans="2:13" ht="12.95" customHeight="1" x14ac:dyDescent="0.3">
      <c r="B33" s="121"/>
      <c r="C33" s="123"/>
      <c r="D33" s="135"/>
      <c r="E33" s="126"/>
      <c r="F33" s="63" t="s">
        <v>104</v>
      </c>
      <c r="G33" s="64" t="s">
        <v>105</v>
      </c>
      <c r="H33" s="69"/>
      <c r="I33" s="70"/>
      <c r="J33" s="71"/>
      <c r="K33" s="71"/>
      <c r="L33" s="71"/>
      <c r="M33" s="71"/>
    </row>
    <row r="34" spans="2:13" ht="12.95" customHeight="1" x14ac:dyDescent="0.3">
      <c r="B34" s="77" t="s">
        <v>39</v>
      </c>
      <c r="C34" s="77" t="s">
        <v>5</v>
      </c>
      <c r="D34" s="95" t="s">
        <v>25</v>
      </c>
      <c r="E34" s="99">
        <v>10387</v>
      </c>
      <c r="F34" s="104">
        <v>8</v>
      </c>
      <c r="G34" s="11">
        <f t="shared" ref="G34" si="5">TRUNC($E34*F34,1)</f>
        <v>83096</v>
      </c>
      <c r="H34" s="68"/>
      <c r="I34" s="68"/>
      <c r="J34" s="71"/>
      <c r="K34" s="71"/>
      <c r="L34" s="71"/>
      <c r="M34" s="71"/>
    </row>
    <row r="35" spans="2:13" ht="12.95" customHeight="1" x14ac:dyDescent="0.3">
      <c r="B35" s="54" t="s">
        <v>15</v>
      </c>
      <c r="C35" s="90"/>
      <c r="D35" s="90"/>
      <c r="E35" s="100"/>
      <c r="F35" s="119"/>
      <c r="G35" s="96">
        <f>TRUNC(SUM(G34:G34))</f>
        <v>83096</v>
      </c>
      <c r="H35" s="81"/>
      <c r="I35" s="73"/>
      <c r="J35" s="71"/>
      <c r="K35" s="71"/>
      <c r="L35" s="71"/>
      <c r="M35" s="71"/>
    </row>
    <row r="36" spans="2:13" ht="12.95" customHeight="1" x14ac:dyDescent="0.3">
      <c r="B36" s="89"/>
      <c r="C36" s="90"/>
      <c r="D36" s="90"/>
      <c r="E36" s="100"/>
      <c r="F36" s="119"/>
      <c r="G36" s="82"/>
      <c r="H36" s="81"/>
      <c r="I36" s="73"/>
      <c r="J36" s="71"/>
      <c r="K36" s="71"/>
      <c r="L36" s="71"/>
      <c r="M36" s="71"/>
    </row>
    <row r="37" spans="2:13" ht="12.95" customHeight="1" x14ac:dyDescent="0.3">
      <c r="B37" s="77" t="s">
        <v>34</v>
      </c>
      <c r="C37" s="77"/>
      <c r="D37" s="6" t="s">
        <v>14</v>
      </c>
      <c r="E37" s="99">
        <v>235204</v>
      </c>
      <c r="F37" s="104">
        <v>2</v>
      </c>
      <c r="G37" s="11">
        <f t="shared" ref="G37:G39" si="6">TRUNC($E37*F37,1)</f>
        <v>470408</v>
      </c>
      <c r="H37" s="68"/>
      <c r="I37" s="68"/>
      <c r="J37" s="71"/>
      <c r="K37" s="71"/>
      <c r="L37" s="71"/>
      <c r="M37" s="71"/>
    </row>
    <row r="38" spans="2:13" ht="12.95" customHeight="1" x14ac:dyDescent="0.3">
      <c r="B38" s="77" t="s">
        <v>1</v>
      </c>
      <c r="C38" s="77"/>
      <c r="D38" s="6" t="s">
        <v>14</v>
      </c>
      <c r="E38" s="99">
        <v>172068</v>
      </c>
      <c r="F38" s="104">
        <v>1</v>
      </c>
      <c r="G38" s="11">
        <f t="shared" si="6"/>
        <v>172068</v>
      </c>
      <c r="H38" s="83"/>
      <c r="I38" s="82"/>
      <c r="J38" s="71"/>
      <c r="K38" s="71"/>
      <c r="L38" s="71"/>
      <c r="M38" s="71"/>
    </row>
    <row r="39" spans="2:13" ht="12.95" customHeight="1" x14ac:dyDescent="0.3">
      <c r="B39" s="77" t="s">
        <v>39</v>
      </c>
      <c r="C39" s="77" t="s">
        <v>5</v>
      </c>
      <c r="D39" s="95" t="s">
        <v>25</v>
      </c>
      <c r="E39" s="99">
        <v>49698</v>
      </c>
      <c r="F39" s="104">
        <v>8</v>
      </c>
      <c r="G39" s="11">
        <f t="shared" si="6"/>
        <v>397584</v>
      </c>
      <c r="H39" s="83"/>
      <c r="I39" s="82"/>
      <c r="J39" s="71"/>
      <c r="K39" s="71"/>
      <c r="L39" s="71"/>
      <c r="M39" s="71"/>
    </row>
    <row r="40" spans="2:13" ht="12.95" customHeight="1" x14ac:dyDescent="0.3">
      <c r="B40" s="48" t="s">
        <v>16</v>
      </c>
      <c r="C40" s="90"/>
      <c r="D40" s="90"/>
      <c r="E40" s="100"/>
      <c r="F40" s="119"/>
      <c r="G40" s="96">
        <f>TRUNC(SUM(G37:G39))</f>
        <v>1040060</v>
      </c>
      <c r="H40" s="71"/>
      <c r="I40" s="71"/>
      <c r="J40" s="71"/>
      <c r="K40" s="71"/>
      <c r="L40" s="71"/>
      <c r="M40" s="71"/>
    </row>
    <row r="41" spans="2:13" ht="12.95" customHeight="1" x14ac:dyDescent="0.3">
      <c r="B41" s="89"/>
      <c r="C41" s="90"/>
      <c r="D41" s="90"/>
      <c r="E41" s="100"/>
      <c r="F41" s="119"/>
      <c r="G41" s="82"/>
      <c r="H41" s="71"/>
      <c r="I41" s="71"/>
      <c r="J41" s="71"/>
      <c r="K41" s="71"/>
      <c r="L41" s="71"/>
      <c r="M41" s="71"/>
    </row>
    <row r="42" spans="2:13" ht="12.95" customHeight="1" x14ac:dyDescent="0.3">
      <c r="B42" s="77" t="s">
        <v>40</v>
      </c>
      <c r="C42" s="77" t="s">
        <v>41</v>
      </c>
      <c r="D42" s="95" t="s">
        <v>25</v>
      </c>
      <c r="E42" s="99">
        <v>20295</v>
      </c>
      <c r="F42" s="104">
        <v>8</v>
      </c>
      <c r="G42" s="11">
        <f t="shared" ref="G42:G44" si="7">TRUNC($E42*F42,1)</f>
        <v>162360</v>
      </c>
      <c r="H42" s="71"/>
      <c r="I42" s="71"/>
      <c r="J42" s="71"/>
      <c r="K42" s="71"/>
      <c r="L42" s="71"/>
      <c r="M42" s="71"/>
    </row>
    <row r="43" spans="2:13" ht="12.95" customHeight="1" x14ac:dyDescent="0.3">
      <c r="B43" s="77" t="s">
        <v>39</v>
      </c>
      <c r="C43" s="77" t="s">
        <v>5</v>
      </c>
      <c r="D43" s="95" t="s">
        <v>25</v>
      </c>
      <c r="E43" s="99">
        <v>7613</v>
      </c>
      <c r="F43" s="104">
        <v>8</v>
      </c>
      <c r="G43" s="11">
        <f t="shared" si="7"/>
        <v>60904</v>
      </c>
      <c r="H43" s="71"/>
      <c r="I43" s="71"/>
      <c r="J43" s="71"/>
      <c r="K43" s="71"/>
      <c r="L43" s="71"/>
      <c r="M43" s="71"/>
    </row>
    <row r="44" spans="2:13" ht="12.95" customHeight="1" x14ac:dyDescent="0.3">
      <c r="B44" s="77" t="s">
        <v>4</v>
      </c>
      <c r="C44" s="77" t="s">
        <v>42</v>
      </c>
      <c r="D44" s="95" t="s">
        <v>25</v>
      </c>
      <c r="E44" s="99">
        <v>71</v>
      </c>
      <c r="F44" s="104">
        <v>8</v>
      </c>
      <c r="G44" s="11">
        <f t="shared" si="7"/>
        <v>568</v>
      </c>
      <c r="H44" s="84"/>
      <c r="I44" s="82"/>
      <c r="J44" s="71"/>
      <c r="K44" s="71"/>
      <c r="L44" s="71"/>
      <c r="M44" s="71"/>
    </row>
    <row r="45" spans="2:13" ht="12.95" customHeight="1" x14ac:dyDescent="0.3">
      <c r="B45" s="54" t="s">
        <v>17</v>
      </c>
      <c r="C45" s="90"/>
      <c r="D45" s="90"/>
      <c r="E45" s="79"/>
      <c r="F45" s="85"/>
      <c r="G45" s="97">
        <f>TRUNC(SUM(G42:G44))</f>
        <v>223832</v>
      </c>
      <c r="H45" s="71"/>
      <c r="I45" s="71"/>
      <c r="J45" s="71"/>
      <c r="K45" s="71"/>
      <c r="L45" s="71"/>
      <c r="M45" s="71"/>
    </row>
    <row r="46" spans="2:13" ht="12.95" customHeight="1" x14ac:dyDescent="0.3">
      <c r="B46" s="24"/>
      <c r="C46" s="77"/>
      <c r="D46" s="77"/>
      <c r="E46" s="86"/>
      <c r="F46" s="72"/>
      <c r="G46" s="73"/>
      <c r="H46" s="83"/>
      <c r="I46" s="82"/>
      <c r="J46" s="71"/>
      <c r="K46" s="71"/>
      <c r="L46" s="71"/>
      <c r="M46" s="71"/>
    </row>
    <row r="47" spans="2:13" ht="12.95" customHeight="1" x14ac:dyDescent="0.3">
      <c r="B47" s="111" t="s">
        <v>19</v>
      </c>
      <c r="C47" s="90"/>
      <c r="D47" s="90"/>
      <c r="E47" s="79"/>
      <c r="F47" s="79"/>
      <c r="G47" s="118">
        <f>SUM(G35+G40+G45)</f>
        <v>1346988</v>
      </c>
      <c r="H47" s="71"/>
      <c r="I47" s="71"/>
      <c r="J47" s="71"/>
      <c r="K47" s="71"/>
      <c r="L47" s="71"/>
      <c r="M47" s="71"/>
    </row>
    <row r="48" spans="2:13" ht="12.95" customHeight="1" x14ac:dyDescent="0.3">
      <c r="B48" s="26" t="s">
        <v>111</v>
      </c>
      <c r="C48" s="27"/>
      <c r="D48" s="66"/>
      <c r="E48" s="28"/>
      <c r="F48" s="29"/>
      <c r="G48" s="30">
        <f>TRUNC((G47/G32)*100)</f>
        <v>43451</v>
      </c>
      <c r="H48" s="71"/>
      <c r="I48" s="71"/>
      <c r="J48" s="71"/>
      <c r="K48" s="71"/>
      <c r="L48" s="71"/>
      <c r="M48" s="71"/>
    </row>
    <row r="49" spans="2:13" ht="12.95" customHeight="1" x14ac:dyDescent="0.3">
      <c r="B49" s="3"/>
      <c r="C49" s="9"/>
      <c r="D49" s="3"/>
      <c r="E49" s="13"/>
      <c r="F49" s="4"/>
      <c r="G49" s="4"/>
    </row>
    <row r="50" spans="2:13" ht="12.95" customHeight="1" x14ac:dyDescent="0.3">
      <c r="B50" s="41" t="s">
        <v>112</v>
      </c>
      <c r="C50" s="71"/>
      <c r="D50" s="71"/>
      <c r="E50" s="71"/>
      <c r="F50" s="17"/>
      <c r="G50" s="60" t="s">
        <v>26</v>
      </c>
      <c r="H50" s="71"/>
      <c r="I50" s="71"/>
      <c r="J50" s="71"/>
      <c r="K50" s="71"/>
      <c r="L50" s="71"/>
      <c r="M50" s="71"/>
    </row>
    <row r="51" spans="2:13" ht="12.95" customHeight="1" x14ac:dyDescent="0.3">
      <c r="B51" s="120" t="s">
        <v>7</v>
      </c>
      <c r="C51" s="122" t="s">
        <v>22</v>
      </c>
      <c r="D51" s="134" t="s">
        <v>12</v>
      </c>
      <c r="E51" s="125" t="s">
        <v>8</v>
      </c>
      <c r="F51" s="125" t="s">
        <v>9</v>
      </c>
      <c r="G51" s="141" t="s">
        <v>10</v>
      </c>
      <c r="H51" s="69"/>
      <c r="I51" s="70"/>
      <c r="J51" s="71"/>
      <c r="K51" s="71"/>
      <c r="L51" s="71"/>
      <c r="M51" s="71"/>
    </row>
    <row r="52" spans="2:13" ht="12.95" customHeight="1" x14ac:dyDescent="0.3">
      <c r="B52" s="121"/>
      <c r="C52" s="123"/>
      <c r="D52" s="135"/>
      <c r="E52" s="126"/>
      <c r="F52" s="126"/>
      <c r="G52" s="142"/>
      <c r="H52" s="69"/>
      <c r="I52" s="70"/>
      <c r="J52" s="71"/>
      <c r="K52" s="71"/>
      <c r="L52" s="71"/>
      <c r="M52" s="71"/>
    </row>
    <row r="53" spans="2:13" ht="12.95" customHeight="1" x14ac:dyDescent="0.3">
      <c r="B53" s="77" t="s">
        <v>29</v>
      </c>
      <c r="C53" s="77"/>
      <c r="D53" s="95" t="s">
        <v>24</v>
      </c>
      <c r="E53" s="45">
        <v>0</v>
      </c>
      <c r="F53" s="116" t="s">
        <v>113</v>
      </c>
      <c r="G53" s="11">
        <v>0</v>
      </c>
      <c r="H53" s="74"/>
      <c r="I53" s="74"/>
      <c r="J53" s="71"/>
      <c r="K53" s="71"/>
      <c r="L53" s="71"/>
      <c r="M53" s="71"/>
    </row>
    <row r="54" spans="2:13" ht="12.95" customHeight="1" x14ac:dyDescent="0.3">
      <c r="B54" s="77" t="s">
        <v>30</v>
      </c>
      <c r="C54" s="77" t="s">
        <v>35</v>
      </c>
      <c r="D54" s="95" t="s">
        <v>24</v>
      </c>
      <c r="E54" s="45">
        <v>0</v>
      </c>
      <c r="F54" s="104">
        <v>10</v>
      </c>
      <c r="G54" s="11">
        <v>0</v>
      </c>
      <c r="H54" s="75"/>
      <c r="I54" s="73"/>
      <c r="J54" s="71"/>
      <c r="K54" s="71"/>
      <c r="L54" s="71"/>
      <c r="M54" s="71"/>
    </row>
    <row r="55" spans="2:13" ht="12.95" customHeight="1" x14ac:dyDescent="0.3">
      <c r="B55" s="77" t="s">
        <v>31</v>
      </c>
      <c r="C55" s="77" t="s">
        <v>36</v>
      </c>
      <c r="D55" s="95" t="s">
        <v>24</v>
      </c>
      <c r="E55" s="45">
        <v>0</v>
      </c>
      <c r="F55" s="104">
        <v>18</v>
      </c>
      <c r="G55" s="11">
        <v>0</v>
      </c>
      <c r="H55" s="76"/>
      <c r="I55" s="73"/>
      <c r="J55" s="71"/>
      <c r="K55" s="71"/>
      <c r="L55" s="71"/>
      <c r="M55" s="71"/>
    </row>
    <row r="56" spans="2:13" ht="12.95" customHeight="1" x14ac:dyDescent="0.3">
      <c r="B56" s="77" t="s">
        <v>32</v>
      </c>
      <c r="C56" s="77" t="s">
        <v>37</v>
      </c>
      <c r="D56" s="95" t="s">
        <v>24</v>
      </c>
      <c r="E56" s="98">
        <v>0</v>
      </c>
      <c r="F56" s="116" t="s">
        <v>114</v>
      </c>
      <c r="G56" s="11">
        <v>0</v>
      </c>
      <c r="H56" s="76"/>
      <c r="I56" s="73"/>
      <c r="J56" s="71"/>
      <c r="K56" s="71"/>
      <c r="L56" s="71"/>
      <c r="M56" s="71"/>
    </row>
    <row r="57" spans="2:13" ht="12.95" customHeight="1" x14ac:dyDescent="0.3">
      <c r="B57" s="77" t="s">
        <v>33</v>
      </c>
      <c r="C57" s="77" t="s">
        <v>38</v>
      </c>
      <c r="D57" s="95" t="s">
        <v>24</v>
      </c>
      <c r="E57" s="45">
        <v>0</v>
      </c>
      <c r="F57" s="117">
        <v>0.2</v>
      </c>
      <c r="G57" s="11">
        <v>0</v>
      </c>
      <c r="H57" s="76"/>
      <c r="I57" s="73"/>
      <c r="J57" s="71"/>
      <c r="K57" s="71"/>
      <c r="L57" s="71"/>
      <c r="M57" s="71"/>
    </row>
    <row r="58" spans="2:13" ht="12.95" customHeight="1" x14ac:dyDescent="0.3">
      <c r="B58" s="54" t="s">
        <v>15</v>
      </c>
      <c r="C58" s="90"/>
      <c r="D58" s="90"/>
      <c r="E58" s="100"/>
      <c r="F58" s="80"/>
      <c r="G58" s="96">
        <f>TRUNC(SUM(G53:G57))</f>
        <v>0</v>
      </c>
      <c r="H58" s="81"/>
      <c r="I58" s="73"/>
      <c r="J58" s="71"/>
      <c r="K58" s="71"/>
      <c r="L58" s="71"/>
      <c r="M58" s="71"/>
    </row>
    <row r="59" spans="2:13" ht="12.95" customHeight="1" x14ac:dyDescent="0.3">
      <c r="B59" s="24"/>
      <c r="C59" s="77"/>
      <c r="D59" s="77"/>
      <c r="E59" s="86"/>
      <c r="F59" s="72"/>
      <c r="G59" s="73"/>
      <c r="H59" s="83"/>
      <c r="I59" s="82"/>
      <c r="J59" s="71"/>
      <c r="K59" s="71"/>
      <c r="L59" s="71"/>
      <c r="M59" s="71"/>
    </row>
    <row r="60" spans="2:13" ht="12.95" customHeight="1" x14ac:dyDescent="0.3">
      <c r="B60" s="26" t="s">
        <v>19</v>
      </c>
      <c r="C60" s="91"/>
      <c r="D60" s="91"/>
      <c r="E60" s="87"/>
      <c r="F60" s="87"/>
      <c r="G60" s="88">
        <f>SUM(G58)</f>
        <v>0</v>
      </c>
      <c r="H60" s="71"/>
      <c r="I60" s="71"/>
      <c r="J60" s="71"/>
      <c r="K60" s="71"/>
      <c r="L60" s="71"/>
      <c r="M60" s="71"/>
    </row>
    <row r="61" spans="2:13" ht="12.95" customHeight="1" x14ac:dyDescent="0.3">
      <c r="B61" s="4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spans="2:13" ht="12.95" customHeight="1" x14ac:dyDescent="0.3">
      <c r="B62" s="31" t="s">
        <v>147</v>
      </c>
      <c r="K62" s="101" t="s">
        <v>103</v>
      </c>
    </row>
    <row r="63" spans="2:13" ht="12.95" customHeight="1" x14ac:dyDescent="0.3">
      <c r="B63" s="127" t="s">
        <v>7</v>
      </c>
      <c r="C63" s="127" t="s">
        <v>11</v>
      </c>
      <c r="D63" s="125" t="s">
        <v>12</v>
      </c>
      <c r="E63" s="125" t="s">
        <v>8</v>
      </c>
      <c r="F63" s="131" t="s">
        <v>43</v>
      </c>
      <c r="G63" s="132"/>
      <c r="H63" s="131" t="s">
        <v>44</v>
      </c>
      <c r="I63" s="133"/>
      <c r="J63" s="131" t="s">
        <v>45</v>
      </c>
      <c r="K63" s="133"/>
    </row>
    <row r="64" spans="2:13" ht="12.95" customHeight="1" x14ac:dyDescent="0.3">
      <c r="B64" s="128"/>
      <c r="C64" s="128"/>
      <c r="D64" s="130"/>
      <c r="E64" s="130"/>
      <c r="F64" s="107" t="s">
        <v>116</v>
      </c>
      <c r="G64" s="115">
        <v>2700</v>
      </c>
      <c r="H64" s="107" t="s">
        <v>116</v>
      </c>
      <c r="I64" s="115">
        <v>1800</v>
      </c>
      <c r="J64" s="107" t="s">
        <v>116</v>
      </c>
      <c r="K64" s="115">
        <v>1100</v>
      </c>
    </row>
    <row r="65" spans="2:11" ht="12.95" customHeight="1" x14ac:dyDescent="0.3">
      <c r="B65" s="129"/>
      <c r="C65" s="129"/>
      <c r="D65" s="126"/>
      <c r="E65" s="126"/>
      <c r="F65" s="63" t="s">
        <v>104</v>
      </c>
      <c r="G65" s="64" t="s">
        <v>105</v>
      </c>
      <c r="H65" s="63" t="s">
        <v>104</v>
      </c>
      <c r="I65" s="64" t="s">
        <v>105</v>
      </c>
      <c r="J65" s="63" t="s">
        <v>104</v>
      </c>
      <c r="K65" s="64" t="s">
        <v>105</v>
      </c>
    </row>
    <row r="66" spans="2:11" ht="12.95" customHeight="1" x14ac:dyDescent="0.3">
      <c r="B66" s="32" t="s">
        <v>2</v>
      </c>
      <c r="C66" s="14"/>
      <c r="D66" s="6" t="s">
        <v>14</v>
      </c>
      <c r="E66" s="78">
        <v>235204</v>
      </c>
      <c r="F66" s="104">
        <v>3</v>
      </c>
      <c r="G66" s="11">
        <f t="shared" ref="G66:G67" si="8">TRUNC($E66*F66,1)</f>
        <v>705612</v>
      </c>
      <c r="H66" s="104">
        <v>3</v>
      </c>
      <c r="I66" s="11">
        <f t="shared" ref="I66:I67" si="9">TRUNC($E66*H66,1)</f>
        <v>705612</v>
      </c>
      <c r="J66" s="104">
        <v>3</v>
      </c>
      <c r="K66" s="11">
        <f t="shared" ref="K66:K67" si="10">TRUNC($E66*J66,1)</f>
        <v>705612</v>
      </c>
    </row>
    <row r="67" spans="2:11" ht="12.95" customHeight="1" x14ac:dyDescent="0.3">
      <c r="B67" s="32" t="s">
        <v>1</v>
      </c>
      <c r="C67" s="14"/>
      <c r="D67" s="6" t="s">
        <v>14</v>
      </c>
      <c r="E67" s="78">
        <v>172068</v>
      </c>
      <c r="F67" s="104">
        <v>1</v>
      </c>
      <c r="G67" s="11">
        <f t="shared" si="8"/>
        <v>172068</v>
      </c>
      <c r="H67" s="104">
        <v>1</v>
      </c>
      <c r="I67" s="11">
        <f t="shared" si="9"/>
        <v>172068</v>
      </c>
      <c r="J67" s="104">
        <v>1</v>
      </c>
      <c r="K67" s="11">
        <f t="shared" si="10"/>
        <v>172068</v>
      </c>
    </row>
    <row r="68" spans="2:11" ht="12.95" customHeight="1" x14ac:dyDescent="0.3">
      <c r="B68" s="48" t="s">
        <v>16</v>
      </c>
      <c r="C68" s="58"/>
      <c r="D68" s="56"/>
      <c r="E68" s="52"/>
      <c r="F68" s="109"/>
      <c r="G68" s="53">
        <f>TRUNC(SUM(G66:G67))</f>
        <v>877680</v>
      </c>
      <c r="H68" s="109"/>
      <c r="I68" s="53">
        <f>TRUNC(SUM(I66:I67))</f>
        <v>877680</v>
      </c>
      <c r="J68" s="109"/>
      <c r="K68" s="53">
        <f>TRUNC(SUM(K66:K67))</f>
        <v>877680</v>
      </c>
    </row>
    <row r="69" spans="2:11" ht="12.95" customHeight="1" x14ac:dyDescent="0.3">
      <c r="B69" s="24"/>
      <c r="C69" s="24"/>
      <c r="D69" s="67"/>
      <c r="E69" s="21"/>
      <c r="F69" s="110"/>
      <c r="G69" s="25"/>
      <c r="H69" s="110"/>
      <c r="I69" s="25"/>
      <c r="J69" s="110"/>
      <c r="K69" s="25"/>
    </row>
    <row r="70" spans="2:11" ht="12.95" customHeight="1" x14ac:dyDescent="0.3">
      <c r="B70" s="111" t="s">
        <v>19</v>
      </c>
      <c r="C70" s="24"/>
      <c r="D70" s="67"/>
      <c r="E70" s="112"/>
      <c r="F70" s="113"/>
      <c r="G70" s="114">
        <f>SUM(G68)</f>
        <v>877680</v>
      </c>
      <c r="H70" s="113"/>
      <c r="I70" s="114">
        <f>SUM(I68)</f>
        <v>877680</v>
      </c>
      <c r="J70" s="113"/>
      <c r="K70" s="114">
        <f>SUM(K68)</f>
        <v>877680</v>
      </c>
    </row>
    <row r="71" spans="2:11" ht="12.95" customHeight="1" x14ac:dyDescent="0.3">
      <c r="B71" s="26" t="s">
        <v>115</v>
      </c>
      <c r="C71" s="27"/>
      <c r="D71" s="66"/>
      <c r="E71" s="28"/>
      <c r="F71" s="29"/>
      <c r="G71" s="30">
        <f>TRUNC((G70/G64)*100)</f>
        <v>32506</v>
      </c>
      <c r="H71" s="29"/>
      <c r="I71" s="30">
        <f>TRUNC((I70/I64)*100)</f>
        <v>48760</v>
      </c>
      <c r="J71" s="29"/>
      <c r="K71" s="30">
        <f>TRUNC((K70/K64)*100)</f>
        <v>79789</v>
      </c>
    </row>
    <row r="72" spans="2:11" ht="12.95" customHeight="1" x14ac:dyDescent="0.3">
      <c r="B72" s="3"/>
      <c r="C72" s="9"/>
      <c r="D72" s="3"/>
      <c r="E72" s="13"/>
      <c r="F72" s="4"/>
      <c r="G72" s="4"/>
    </row>
    <row r="73" spans="2:11" ht="12.95" customHeight="1" x14ac:dyDescent="0.3">
      <c r="B73" s="31" t="s">
        <v>148</v>
      </c>
      <c r="G73" s="101" t="s">
        <v>103</v>
      </c>
    </row>
    <row r="74" spans="2:11" ht="12.95" customHeight="1" x14ac:dyDescent="0.3">
      <c r="B74" s="120" t="s">
        <v>7</v>
      </c>
      <c r="C74" s="122" t="s">
        <v>22</v>
      </c>
      <c r="D74" s="124" t="s">
        <v>12</v>
      </c>
      <c r="E74" s="125" t="s">
        <v>8</v>
      </c>
      <c r="F74" s="107" t="s">
        <v>106</v>
      </c>
      <c r="G74" s="115">
        <v>1600</v>
      </c>
    </row>
    <row r="75" spans="2:11" ht="12.95" customHeight="1" x14ac:dyDescent="0.3">
      <c r="B75" s="121"/>
      <c r="C75" s="123"/>
      <c r="D75" s="124"/>
      <c r="E75" s="126"/>
      <c r="F75" s="63" t="s">
        <v>104</v>
      </c>
      <c r="G75" s="64" t="s">
        <v>105</v>
      </c>
    </row>
    <row r="76" spans="2:11" ht="12.95" customHeight="1" x14ac:dyDescent="0.3">
      <c r="B76" s="32" t="s">
        <v>2</v>
      </c>
      <c r="C76" s="14"/>
      <c r="D76" s="6" t="s">
        <v>14</v>
      </c>
      <c r="E76" s="78">
        <v>235204</v>
      </c>
      <c r="F76" s="104">
        <v>3</v>
      </c>
      <c r="G76" s="11">
        <f t="shared" ref="G76:G77" si="11">TRUNC($E76*F76,1)</f>
        <v>705612</v>
      </c>
    </row>
    <row r="77" spans="2:11" ht="12.95" customHeight="1" x14ac:dyDescent="0.3">
      <c r="B77" s="32" t="s">
        <v>1</v>
      </c>
      <c r="C77" s="14"/>
      <c r="D77" s="6" t="s">
        <v>14</v>
      </c>
      <c r="E77" s="78">
        <v>172068</v>
      </c>
      <c r="F77" s="104">
        <v>1</v>
      </c>
      <c r="G77" s="11">
        <f t="shared" si="11"/>
        <v>172068</v>
      </c>
    </row>
    <row r="78" spans="2:11" ht="12.95" customHeight="1" x14ac:dyDescent="0.3">
      <c r="B78" s="48" t="s">
        <v>16</v>
      </c>
      <c r="C78" s="58"/>
      <c r="D78" s="56"/>
      <c r="E78" s="52"/>
      <c r="F78" s="109"/>
      <c r="G78" s="53">
        <f>TRUNC(SUM(G76:G77))</f>
        <v>877680</v>
      </c>
    </row>
    <row r="79" spans="2:11" ht="12.95" customHeight="1" x14ac:dyDescent="0.3">
      <c r="B79" s="24"/>
      <c r="C79" s="24"/>
      <c r="D79" s="67"/>
      <c r="E79" s="21"/>
      <c r="F79" s="110"/>
      <c r="G79" s="25"/>
    </row>
    <row r="80" spans="2:11" ht="12.95" customHeight="1" x14ac:dyDescent="0.3">
      <c r="B80" s="111" t="s">
        <v>19</v>
      </c>
      <c r="C80" s="24"/>
      <c r="D80" s="67"/>
      <c r="E80" s="112"/>
      <c r="F80" s="113"/>
      <c r="G80" s="114">
        <f>SUM(G78)</f>
        <v>877680</v>
      </c>
    </row>
    <row r="81" spans="2:13" ht="12.95" customHeight="1" x14ac:dyDescent="0.3">
      <c r="B81" s="26" t="s">
        <v>111</v>
      </c>
      <c r="C81" s="27"/>
      <c r="D81" s="66"/>
      <c r="E81" s="28"/>
      <c r="F81" s="29"/>
      <c r="G81" s="30">
        <f>TRUNC((G80/G74)*100)</f>
        <v>54855</v>
      </c>
    </row>
    <row r="82" spans="2:13" ht="12.95" customHeight="1" x14ac:dyDescent="0.3">
      <c r="B82" s="3"/>
      <c r="C82" s="9"/>
      <c r="D82" s="3"/>
      <c r="E82" s="13"/>
    </row>
    <row r="83" spans="2:13" ht="12.95" customHeight="1" x14ac:dyDescent="0.3">
      <c r="B83" s="1" t="s">
        <v>46</v>
      </c>
    </row>
    <row r="84" spans="2:13" ht="12.95" customHeight="1" x14ac:dyDescent="0.3">
      <c r="B84" s="31" t="s">
        <v>47</v>
      </c>
      <c r="M84" s="101" t="s">
        <v>103</v>
      </c>
    </row>
    <row r="85" spans="2:13" ht="12.95" customHeight="1" x14ac:dyDescent="0.3">
      <c r="B85" s="127" t="s">
        <v>7</v>
      </c>
      <c r="C85" s="127" t="s">
        <v>11</v>
      </c>
      <c r="D85" s="125" t="s">
        <v>12</v>
      </c>
      <c r="E85" s="125" t="s">
        <v>8</v>
      </c>
      <c r="F85" s="131" t="s">
        <v>48</v>
      </c>
      <c r="G85" s="132"/>
      <c r="H85" s="131" t="s">
        <v>49</v>
      </c>
      <c r="I85" s="132"/>
      <c r="J85" s="131" t="s">
        <v>50</v>
      </c>
      <c r="K85" s="132"/>
      <c r="L85" s="131" t="s">
        <v>51</v>
      </c>
      <c r="M85" s="133"/>
    </row>
    <row r="86" spans="2:13" ht="12.95" customHeight="1" x14ac:dyDescent="0.3">
      <c r="B86" s="128"/>
      <c r="C86" s="128"/>
      <c r="D86" s="130"/>
      <c r="E86" s="130"/>
      <c r="F86" s="107" t="s">
        <v>116</v>
      </c>
      <c r="G86" s="115">
        <v>480</v>
      </c>
      <c r="H86" s="107" t="s">
        <v>116</v>
      </c>
      <c r="I86" s="115">
        <v>230</v>
      </c>
      <c r="J86" s="107" t="s">
        <v>116</v>
      </c>
      <c r="K86" s="115">
        <v>150</v>
      </c>
      <c r="L86" s="107" t="s">
        <v>116</v>
      </c>
      <c r="M86" s="115">
        <v>100</v>
      </c>
    </row>
    <row r="87" spans="2:13" ht="12.95" customHeight="1" x14ac:dyDescent="0.3">
      <c r="B87" s="129"/>
      <c r="C87" s="129"/>
      <c r="D87" s="126"/>
      <c r="E87" s="126"/>
      <c r="F87" s="63" t="s">
        <v>104</v>
      </c>
      <c r="G87" s="64" t="s">
        <v>105</v>
      </c>
      <c r="H87" s="63" t="s">
        <v>104</v>
      </c>
      <c r="I87" s="64" t="s">
        <v>105</v>
      </c>
      <c r="J87" s="63" t="s">
        <v>104</v>
      </c>
      <c r="K87" s="64" t="s">
        <v>105</v>
      </c>
      <c r="L87" s="63" t="s">
        <v>104</v>
      </c>
      <c r="M87" s="64" t="s">
        <v>105</v>
      </c>
    </row>
    <row r="88" spans="2:13" ht="12.95" customHeight="1" x14ac:dyDescent="0.3">
      <c r="B88" s="32" t="s">
        <v>2</v>
      </c>
      <c r="C88" s="14"/>
      <c r="D88" s="6" t="s">
        <v>14</v>
      </c>
      <c r="E88" s="78">
        <v>235204</v>
      </c>
      <c r="F88" s="104">
        <v>3</v>
      </c>
      <c r="G88" s="11">
        <f t="shared" ref="G88:G89" si="12">TRUNC($E88*F88,1)</f>
        <v>705612</v>
      </c>
      <c r="H88" s="104">
        <v>3</v>
      </c>
      <c r="I88" s="11">
        <f t="shared" ref="I88:I89" si="13">TRUNC($E88*H88,1)</f>
        <v>705612</v>
      </c>
      <c r="J88" s="104">
        <v>3</v>
      </c>
      <c r="K88" s="11">
        <f t="shared" ref="K88:K89" si="14">TRUNC($E88*J88,1)</f>
        <v>705612</v>
      </c>
      <c r="L88" s="104">
        <v>3</v>
      </c>
      <c r="M88" s="11">
        <f t="shared" ref="M88:M89" si="15">TRUNC($E88*L88,1)</f>
        <v>705612</v>
      </c>
    </row>
    <row r="89" spans="2:13" ht="12.95" customHeight="1" x14ac:dyDescent="0.3">
      <c r="B89" s="32" t="s">
        <v>1</v>
      </c>
      <c r="C89" s="14"/>
      <c r="D89" s="6" t="s">
        <v>14</v>
      </c>
      <c r="E89" s="78">
        <v>172068</v>
      </c>
      <c r="F89" s="104">
        <v>1</v>
      </c>
      <c r="G89" s="11">
        <f t="shared" si="12"/>
        <v>172068</v>
      </c>
      <c r="H89" s="104">
        <v>1</v>
      </c>
      <c r="I89" s="11">
        <f t="shared" si="13"/>
        <v>172068</v>
      </c>
      <c r="J89" s="104">
        <v>1</v>
      </c>
      <c r="K89" s="11">
        <f t="shared" si="14"/>
        <v>172068</v>
      </c>
      <c r="L89" s="104">
        <v>1</v>
      </c>
      <c r="M89" s="11">
        <f t="shared" si="15"/>
        <v>172068</v>
      </c>
    </row>
    <row r="90" spans="2:13" ht="12.95" customHeight="1" x14ac:dyDescent="0.3">
      <c r="B90" s="48" t="s">
        <v>16</v>
      </c>
      <c r="C90" s="58"/>
      <c r="D90" s="56"/>
      <c r="E90" s="52"/>
      <c r="F90" s="109"/>
      <c r="G90" s="53">
        <f>TRUNC(SUM(G88:G89))</f>
        <v>877680</v>
      </c>
      <c r="H90" s="109"/>
      <c r="I90" s="53">
        <f>TRUNC(SUM(I88:I89))</f>
        <v>877680</v>
      </c>
      <c r="J90" s="109"/>
      <c r="K90" s="53">
        <f>TRUNC(SUM(K88:K89))</f>
        <v>877680</v>
      </c>
      <c r="L90" s="109"/>
      <c r="M90" s="53">
        <f>TRUNC(SUM(M88:M89))</f>
        <v>877680</v>
      </c>
    </row>
    <row r="91" spans="2:13" ht="12.95" customHeight="1" x14ac:dyDescent="0.3">
      <c r="B91" s="24"/>
      <c r="C91" s="24"/>
      <c r="D91" s="67"/>
      <c r="E91" s="21"/>
      <c r="F91" s="110"/>
      <c r="G91" s="25"/>
      <c r="H91" s="110"/>
      <c r="I91" s="25"/>
      <c r="J91" s="110"/>
      <c r="K91" s="25"/>
      <c r="L91" s="110"/>
      <c r="M91" s="25"/>
    </row>
    <row r="92" spans="2:13" ht="12.95" customHeight="1" x14ac:dyDescent="0.3">
      <c r="B92" s="111" t="s">
        <v>19</v>
      </c>
      <c r="C92" s="24"/>
      <c r="D92" s="67"/>
      <c r="E92" s="112"/>
      <c r="F92" s="113"/>
      <c r="G92" s="114">
        <f>SUM(G90)</f>
        <v>877680</v>
      </c>
      <c r="H92" s="113"/>
      <c r="I92" s="114">
        <f>SUM(I90)</f>
        <v>877680</v>
      </c>
      <c r="J92" s="113"/>
      <c r="K92" s="114">
        <f>SUM(K90)</f>
        <v>877680</v>
      </c>
      <c r="L92" s="113"/>
      <c r="M92" s="114">
        <f>SUM(M90)</f>
        <v>877680</v>
      </c>
    </row>
    <row r="93" spans="2:13" ht="12.95" customHeight="1" x14ac:dyDescent="0.3">
      <c r="B93" s="26" t="s">
        <v>117</v>
      </c>
      <c r="C93" s="27"/>
      <c r="D93" s="66"/>
      <c r="E93" s="28"/>
      <c r="F93" s="29"/>
      <c r="G93" s="30">
        <f>TRUNC((G92/G86)*10)</f>
        <v>18285</v>
      </c>
      <c r="H93" s="29"/>
      <c r="I93" s="30">
        <f>TRUNC((I92/I86)*10)</f>
        <v>38160</v>
      </c>
      <c r="J93" s="29"/>
      <c r="K93" s="30">
        <f>TRUNC((K92/K86)*10)</f>
        <v>58512</v>
      </c>
      <c r="L93" s="29"/>
      <c r="M93" s="30">
        <f>TRUNC((M92/M86)*10)</f>
        <v>87768</v>
      </c>
    </row>
    <row r="94" spans="2:13" ht="12.95" customHeight="1" x14ac:dyDescent="0.3">
      <c r="B94" s="3"/>
      <c r="C94" s="9"/>
      <c r="D94" s="3"/>
      <c r="E94" s="13"/>
      <c r="F94" s="4"/>
      <c r="G94" s="4"/>
    </row>
    <row r="95" spans="2:13" ht="12.95" customHeight="1" x14ac:dyDescent="0.3">
      <c r="B95" s="31" t="s">
        <v>52</v>
      </c>
      <c r="M95" s="101" t="s">
        <v>103</v>
      </c>
    </row>
    <row r="96" spans="2:13" ht="12.95" customHeight="1" x14ac:dyDescent="0.3">
      <c r="B96" s="127" t="s">
        <v>7</v>
      </c>
      <c r="C96" s="127" t="s">
        <v>11</v>
      </c>
      <c r="D96" s="125" t="s">
        <v>12</v>
      </c>
      <c r="E96" s="125" t="s">
        <v>8</v>
      </c>
      <c r="F96" s="131" t="s">
        <v>48</v>
      </c>
      <c r="G96" s="132"/>
      <c r="H96" s="131" t="s">
        <v>49</v>
      </c>
      <c r="I96" s="132"/>
      <c r="J96" s="131" t="s">
        <v>50</v>
      </c>
      <c r="K96" s="132"/>
      <c r="L96" s="131" t="s">
        <v>51</v>
      </c>
      <c r="M96" s="133"/>
    </row>
    <row r="97" spans="2:13" ht="12.95" customHeight="1" x14ac:dyDescent="0.3">
      <c r="B97" s="128"/>
      <c r="C97" s="128"/>
      <c r="D97" s="130"/>
      <c r="E97" s="130"/>
      <c r="F97" s="107" t="s">
        <v>116</v>
      </c>
      <c r="G97" s="115">
        <v>160</v>
      </c>
      <c r="H97" s="107" t="s">
        <v>116</v>
      </c>
      <c r="I97" s="115">
        <v>125</v>
      </c>
      <c r="J97" s="107" t="s">
        <v>116</v>
      </c>
      <c r="K97" s="115">
        <v>75</v>
      </c>
      <c r="L97" s="107" t="s">
        <v>116</v>
      </c>
      <c r="M97" s="115">
        <v>55</v>
      </c>
    </row>
    <row r="98" spans="2:13" ht="12.95" customHeight="1" x14ac:dyDescent="0.3">
      <c r="B98" s="129"/>
      <c r="C98" s="129"/>
      <c r="D98" s="126"/>
      <c r="E98" s="126"/>
      <c r="F98" s="63" t="s">
        <v>104</v>
      </c>
      <c r="G98" s="64" t="s">
        <v>105</v>
      </c>
      <c r="H98" s="63" t="s">
        <v>104</v>
      </c>
      <c r="I98" s="64" t="s">
        <v>105</v>
      </c>
      <c r="J98" s="63" t="s">
        <v>104</v>
      </c>
      <c r="K98" s="64" t="s">
        <v>105</v>
      </c>
      <c r="L98" s="63" t="s">
        <v>104</v>
      </c>
      <c r="M98" s="64" t="s">
        <v>105</v>
      </c>
    </row>
    <row r="99" spans="2:13" ht="12.95" customHeight="1" x14ac:dyDescent="0.3">
      <c r="B99" s="32" t="s">
        <v>2</v>
      </c>
      <c r="C99" s="14"/>
      <c r="D99" s="6" t="s">
        <v>14</v>
      </c>
      <c r="E99" s="78">
        <v>235204</v>
      </c>
      <c r="F99" s="104">
        <v>3</v>
      </c>
      <c r="G99" s="11">
        <f t="shared" ref="G99:G100" si="16">TRUNC($E99*F99,1)</f>
        <v>705612</v>
      </c>
      <c r="H99" s="104">
        <v>3</v>
      </c>
      <c r="I99" s="11">
        <f t="shared" ref="I99:I100" si="17">TRUNC($E99*H99,1)</f>
        <v>705612</v>
      </c>
      <c r="J99" s="104">
        <v>3</v>
      </c>
      <c r="K99" s="11">
        <f t="shared" ref="K99:K100" si="18">TRUNC($E99*J99,1)</f>
        <v>705612</v>
      </c>
      <c r="L99" s="104">
        <v>3</v>
      </c>
      <c r="M99" s="11">
        <f t="shared" ref="M99:M100" si="19">TRUNC($E99*L99,1)</f>
        <v>705612</v>
      </c>
    </row>
    <row r="100" spans="2:13" ht="12.95" customHeight="1" x14ac:dyDescent="0.3">
      <c r="B100" s="32" t="s">
        <v>1</v>
      </c>
      <c r="C100" s="14"/>
      <c r="D100" s="6" t="s">
        <v>14</v>
      </c>
      <c r="E100" s="78">
        <v>172068</v>
      </c>
      <c r="F100" s="104">
        <v>1</v>
      </c>
      <c r="G100" s="11">
        <f t="shared" si="16"/>
        <v>172068</v>
      </c>
      <c r="H100" s="104">
        <v>1</v>
      </c>
      <c r="I100" s="11">
        <f t="shared" si="17"/>
        <v>172068</v>
      </c>
      <c r="J100" s="104">
        <v>1</v>
      </c>
      <c r="K100" s="11">
        <f t="shared" si="18"/>
        <v>172068</v>
      </c>
      <c r="L100" s="104">
        <v>1</v>
      </c>
      <c r="M100" s="11">
        <f t="shared" si="19"/>
        <v>172068</v>
      </c>
    </row>
    <row r="101" spans="2:13" ht="12.95" customHeight="1" x14ac:dyDescent="0.3">
      <c r="B101" s="48" t="s">
        <v>16</v>
      </c>
      <c r="C101" s="58"/>
      <c r="D101" s="56"/>
      <c r="E101" s="52"/>
      <c r="F101" s="109"/>
      <c r="G101" s="53">
        <f>TRUNC(SUM(G99:G100))</f>
        <v>877680</v>
      </c>
      <c r="H101" s="109"/>
      <c r="I101" s="53">
        <f>TRUNC(SUM(I99:I100))</f>
        <v>877680</v>
      </c>
      <c r="J101" s="109"/>
      <c r="K101" s="53">
        <f>TRUNC(SUM(K99:K100))</f>
        <v>877680</v>
      </c>
      <c r="L101" s="109"/>
      <c r="M101" s="53">
        <f>TRUNC(SUM(M99:M100))</f>
        <v>877680</v>
      </c>
    </row>
    <row r="102" spans="2:13" ht="12.95" customHeight="1" x14ac:dyDescent="0.3">
      <c r="B102" s="24"/>
      <c r="C102" s="24"/>
      <c r="D102" s="67"/>
      <c r="E102" s="21"/>
      <c r="F102" s="110"/>
      <c r="G102" s="25"/>
      <c r="H102" s="110"/>
      <c r="I102" s="25"/>
      <c r="J102" s="110"/>
      <c r="K102" s="25"/>
      <c r="L102" s="110"/>
      <c r="M102" s="25"/>
    </row>
    <row r="103" spans="2:13" ht="12.95" customHeight="1" x14ac:dyDescent="0.3">
      <c r="B103" s="111" t="s">
        <v>19</v>
      </c>
      <c r="C103" s="24"/>
      <c r="D103" s="67"/>
      <c r="E103" s="112"/>
      <c r="F103" s="113"/>
      <c r="G103" s="114">
        <f>SUM(G101)</f>
        <v>877680</v>
      </c>
      <c r="H103" s="113"/>
      <c r="I103" s="114">
        <f>SUM(I101)</f>
        <v>877680</v>
      </c>
      <c r="J103" s="113"/>
      <c r="K103" s="114">
        <f>SUM(K101)</f>
        <v>877680</v>
      </c>
      <c r="L103" s="113"/>
      <c r="M103" s="114">
        <f>SUM(M101)</f>
        <v>877680</v>
      </c>
    </row>
    <row r="104" spans="2:13" ht="12.95" customHeight="1" x14ac:dyDescent="0.3">
      <c r="B104" s="26" t="s">
        <v>117</v>
      </c>
      <c r="C104" s="27"/>
      <c r="D104" s="66"/>
      <c r="E104" s="28"/>
      <c r="F104" s="29"/>
      <c r="G104" s="30">
        <f>TRUNC((G103/G97)*10)</f>
        <v>54855</v>
      </c>
      <c r="H104" s="29"/>
      <c r="I104" s="30">
        <f>TRUNC((I103/I97)*10)</f>
        <v>70214</v>
      </c>
      <c r="J104" s="29"/>
      <c r="K104" s="30">
        <f>TRUNC((K103/K97)*10)</f>
        <v>117024</v>
      </c>
      <c r="L104" s="29"/>
      <c r="M104" s="30">
        <f>TRUNC((M103/M97)*10)</f>
        <v>159578</v>
      </c>
    </row>
    <row r="105" spans="2:13" ht="12.95" customHeight="1" x14ac:dyDescent="0.3">
      <c r="B105" s="3"/>
      <c r="C105" s="9"/>
      <c r="D105" s="3"/>
      <c r="E105" s="13"/>
      <c r="F105" s="4"/>
      <c r="G105" s="4"/>
    </row>
    <row r="106" spans="2:13" ht="12.95" customHeight="1" x14ac:dyDescent="0.3">
      <c r="B106" s="31" t="s">
        <v>53</v>
      </c>
      <c r="M106" s="101" t="s">
        <v>103</v>
      </c>
    </row>
    <row r="107" spans="2:13" ht="12.95" customHeight="1" x14ac:dyDescent="0.3">
      <c r="B107" s="127" t="s">
        <v>7</v>
      </c>
      <c r="C107" s="127" t="s">
        <v>11</v>
      </c>
      <c r="D107" s="125" t="s">
        <v>12</v>
      </c>
      <c r="E107" s="125" t="s">
        <v>8</v>
      </c>
      <c r="F107" s="131" t="s">
        <v>48</v>
      </c>
      <c r="G107" s="132"/>
      <c r="H107" s="131" t="s">
        <v>49</v>
      </c>
      <c r="I107" s="132"/>
      <c r="J107" s="131" t="s">
        <v>50</v>
      </c>
      <c r="K107" s="132"/>
      <c r="L107" s="131" t="s">
        <v>51</v>
      </c>
      <c r="M107" s="133"/>
    </row>
    <row r="108" spans="2:13" ht="12.95" customHeight="1" x14ac:dyDescent="0.3">
      <c r="B108" s="128"/>
      <c r="C108" s="128"/>
      <c r="D108" s="130"/>
      <c r="E108" s="130"/>
      <c r="F108" s="107" t="s">
        <v>116</v>
      </c>
      <c r="G108" s="115">
        <v>440</v>
      </c>
      <c r="H108" s="107" t="s">
        <v>116</v>
      </c>
      <c r="I108" s="115">
        <v>300</v>
      </c>
      <c r="J108" s="107" t="s">
        <v>116</v>
      </c>
      <c r="K108" s="115">
        <v>200</v>
      </c>
      <c r="L108" s="107" t="s">
        <v>116</v>
      </c>
      <c r="M108" s="115">
        <v>140</v>
      </c>
    </row>
    <row r="109" spans="2:13" ht="12.95" customHeight="1" x14ac:dyDescent="0.3">
      <c r="B109" s="129"/>
      <c r="C109" s="129"/>
      <c r="D109" s="126"/>
      <c r="E109" s="126"/>
      <c r="F109" s="63" t="s">
        <v>104</v>
      </c>
      <c r="G109" s="64" t="s">
        <v>105</v>
      </c>
      <c r="H109" s="63" t="s">
        <v>104</v>
      </c>
      <c r="I109" s="64" t="s">
        <v>105</v>
      </c>
      <c r="J109" s="63" t="s">
        <v>104</v>
      </c>
      <c r="K109" s="64" t="s">
        <v>105</v>
      </c>
      <c r="L109" s="63" t="s">
        <v>104</v>
      </c>
      <c r="M109" s="64" t="s">
        <v>105</v>
      </c>
    </row>
    <row r="110" spans="2:13" ht="12.95" customHeight="1" x14ac:dyDescent="0.3">
      <c r="B110" s="32" t="s">
        <v>2</v>
      </c>
      <c r="C110" s="14"/>
      <c r="D110" s="6" t="s">
        <v>14</v>
      </c>
      <c r="E110" s="78">
        <v>235204</v>
      </c>
      <c r="F110" s="104">
        <v>3</v>
      </c>
      <c r="G110" s="11">
        <f t="shared" ref="G110:G111" si="20">TRUNC($E110*F110,1)</f>
        <v>705612</v>
      </c>
      <c r="H110" s="104">
        <v>3</v>
      </c>
      <c r="I110" s="11">
        <f t="shared" ref="I110:I111" si="21">TRUNC($E110*H110,1)</f>
        <v>705612</v>
      </c>
      <c r="J110" s="104">
        <v>3</v>
      </c>
      <c r="K110" s="11">
        <f t="shared" ref="K110:K111" si="22">TRUNC($E110*J110,1)</f>
        <v>705612</v>
      </c>
      <c r="L110" s="104">
        <v>3</v>
      </c>
      <c r="M110" s="11">
        <f t="shared" ref="M110:M111" si="23">TRUNC($E110*L110,1)</f>
        <v>705612</v>
      </c>
    </row>
    <row r="111" spans="2:13" ht="12.95" customHeight="1" x14ac:dyDescent="0.3">
      <c r="B111" s="32" t="s">
        <v>1</v>
      </c>
      <c r="C111" s="14"/>
      <c r="D111" s="6" t="s">
        <v>14</v>
      </c>
      <c r="E111" s="78">
        <v>172068</v>
      </c>
      <c r="F111" s="104">
        <v>1</v>
      </c>
      <c r="G111" s="11">
        <f t="shared" si="20"/>
        <v>172068</v>
      </c>
      <c r="H111" s="104">
        <v>1</v>
      </c>
      <c r="I111" s="11">
        <f t="shared" si="21"/>
        <v>172068</v>
      </c>
      <c r="J111" s="104">
        <v>1</v>
      </c>
      <c r="K111" s="11">
        <f t="shared" si="22"/>
        <v>172068</v>
      </c>
      <c r="L111" s="104">
        <v>1</v>
      </c>
      <c r="M111" s="11">
        <f t="shared" si="23"/>
        <v>172068</v>
      </c>
    </row>
    <row r="112" spans="2:13" ht="12.95" customHeight="1" x14ac:dyDescent="0.3">
      <c r="B112" s="48" t="s">
        <v>16</v>
      </c>
      <c r="C112" s="58"/>
      <c r="D112" s="56"/>
      <c r="E112" s="52"/>
      <c r="F112" s="109"/>
      <c r="G112" s="53">
        <f>TRUNC(SUM(G110:G111))</f>
        <v>877680</v>
      </c>
      <c r="H112" s="109"/>
      <c r="I112" s="53">
        <f>TRUNC(SUM(I110:I111))</f>
        <v>877680</v>
      </c>
      <c r="J112" s="109"/>
      <c r="K112" s="53">
        <f>TRUNC(SUM(K110:K111))</f>
        <v>877680</v>
      </c>
      <c r="L112" s="109"/>
      <c r="M112" s="53">
        <f>TRUNC(SUM(M110:M111))</f>
        <v>877680</v>
      </c>
    </row>
    <row r="113" spans="2:13" ht="12.95" customHeight="1" x14ac:dyDescent="0.3">
      <c r="B113" s="24"/>
      <c r="C113" s="24"/>
      <c r="D113" s="67"/>
      <c r="E113" s="21"/>
      <c r="F113" s="110"/>
      <c r="G113" s="25"/>
      <c r="H113" s="110"/>
      <c r="I113" s="25"/>
      <c r="J113" s="110"/>
      <c r="K113" s="25"/>
      <c r="L113" s="110"/>
      <c r="M113" s="25"/>
    </row>
    <row r="114" spans="2:13" ht="12.95" customHeight="1" x14ac:dyDescent="0.3">
      <c r="B114" s="111" t="s">
        <v>19</v>
      </c>
      <c r="C114" s="24"/>
      <c r="D114" s="67"/>
      <c r="E114" s="112"/>
      <c r="F114" s="113"/>
      <c r="G114" s="114">
        <f>SUM(G112)</f>
        <v>877680</v>
      </c>
      <c r="H114" s="113"/>
      <c r="I114" s="114">
        <f>SUM(I112)</f>
        <v>877680</v>
      </c>
      <c r="J114" s="113"/>
      <c r="K114" s="114">
        <f>SUM(K112)</f>
        <v>877680</v>
      </c>
      <c r="L114" s="113"/>
      <c r="M114" s="114">
        <f>SUM(M112)</f>
        <v>877680</v>
      </c>
    </row>
    <row r="115" spans="2:13" ht="12.95" customHeight="1" x14ac:dyDescent="0.3">
      <c r="B115" s="26" t="s">
        <v>117</v>
      </c>
      <c r="C115" s="27"/>
      <c r="D115" s="66"/>
      <c r="E115" s="28"/>
      <c r="F115" s="29"/>
      <c r="G115" s="30">
        <f>TRUNC((G114/G108)*10)</f>
        <v>19947</v>
      </c>
      <c r="H115" s="29"/>
      <c r="I115" s="30">
        <f>TRUNC((I114/I108)*10)</f>
        <v>29256</v>
      </c>
      <c r="J115" s="29"/>
      <c r="K115" s="30">
        <f>TRUNC((K114/K108)*10)</f>
        <v>43884</v>
      </c>
      <c r="L115" s="29"/>
      <c r="M115" s="30">
        <f>TRUNC((M114/M108)*10)</f>
        <v>62691</v>
      </c>
    </row>
    <row r="116" spans="2:13" ht="12.95" customHeight="1" x14ac:dyDescent="0.3">
      <c r="B116" s="3"/>
      <c r="C116" s="9"/>
      <c r="D116" s="3"/>
      <c r="E116" s="13"/>
      <c r="F116" s="4"/>
      <c r="G116" s="4"/>
    </row>
    <row r="117" spans="2:13" ht="12.95" customHeight="1" x14ac:dyDescent="0.3">
      <c r="B117" s="1" t="s">
        <v>54</v>
      </c>
    </row>
    <row r="118" spans="2:13" ht="12.95" customHeight="1" x14ac:dyDescent="0.3">
      <c r="B118" s="2" t="s">
        <v>55</v>
      </c>
      <c r="M118" s="101" t="s">
        <v>56</v>
      </c>
    </row>
    <row r="119" spans="2:13" ht="12.95" customHeight="1" x14ac:dyDescent="0.3">
      <c r="B119" s="132" t="s">
        <v>7</v>
      </c>
      <c r="C119" s="139" t="s">
        <v>11</v>
      </c>
      <c r="D119" s="140" t="s">
        <v>12</v>
      </c>
      <c r="E119" s="124" t="s">
        <v>8</v>
      </c>
      <c r="F119" s="131" t="s">
        <v>57</v>
      </c>
      <c r="G119" s="132"/>
      <c r="H119" s="131" t="s">
        <v>58</v>
      </c>
      <c r="I119" s="132"/>
      <c r="J119" s="131" t="s">
        <v>59</v>
      </c>
      <c r="K119" s="132"/>
      <c r="L119" s="131" t="s">
        <v>60</v>
      </c>
      <c r="M119" s="133"/>
    </row>
    <row r="120" spans="2:13" ht="12.95" customHeight="1" x14ac:dyDescent="0.3">
      <c r="B120" s="132"/>
      <c r="C120" s="139"/>
      <c r="D120" s="140"/>
      <c r="E120" s="124"/>
      <c r="F120" s="40" t="s">
        <v>9</v>
      </c>
      <c r="G120" s="40" t="s">
        <v>10</v>
      </c>
      <c r="H120" s="40" t="s">
        <v>9</v>
      </c>
      <c r="I120" s="65" t="s">
        <v>10</v>
      </c>
      <c r="J120" s="40" t="s">
        <v>9</v>
      </c>
      <c r="K120" s="65" t="s">
        <v>10</v>
      </c>
      <c r="L120" s="40" t="s">
        <v>9</v>
      </c>
      <c r="M120" s="65" t="s">
        <v>10</v>
      </c>
    </row>
    <row r="121" spans="2:13" ht="12.95" customHeight="1" x14ac:dyDescent="0.3">
      <c r="B121" s="32" t="s">
        <v>2</v>
      </c>
      <c r="C121" s="14"/>
      <c r="D121" s="6" t="s">
        <v>14</v>
      </c>
      <c r="E121" s="78">
        <v>235204</v>
      </c>
      <c r="F121" s="72">
        <v>0.03</v>
      </c>
      <c r="G121" s="5">
        <f t="shared" ref="G121:G122" si="24">TRUNC($E121*F121,1)</f>
        <v>7056.1</v>
      </c>
      <c r="H121" s="72">
        <v>0.06</v>
      </c>
      <c r="I121" s="11">
        <f t="shared" ref="I121:I122" si="25">TRUNC($E121*H121,1)</f>
        <v>14112.2</v>
      </c>
      <c r="J121" s="72">
        <v>0.11</v>
      </c>
      <c r="K121" s="11">
        <f t="shared" ref="K121:K122" si="26">TRUNC($E121*J121,1)</f>
        <v>25872.400000000001</v>
      </c>
      <c r="L121" s="72">
        <v>0.17</v>
      </c>
      <c r="M121" s="11">
        <f t="shared" ref="M121:M122" si="27">TRUNC($E121*L121,1)</f>
        <v>39984.6</v>
      </c>
    </row>
    <row r="122" spans="2:13" ht="12.95" customHeight="1" x14ac:dyDescent="0.3">
      <c r="B122" s="32" t="s">
        <v>1</v>
      </c>
      <c r="C122" s="14"/>
      <c r="D122" s="6" t="s">
        <v>14</v>
      </c>
      <c r="E122" s="78">
        <v>172068</v>
      </c>
      <c r="F122" s="72">
        <v>0.01</v>
      </c>
      <c r="G122" s="5">
        <f t="shared" si="24"/>
        <v>1720.6</v>
      </c>
      <c r="H122" s="72">
        <v>0.01</v>
      </c>
      <c r="I122" s="11">
        <f t="shared" si="25"/>
        <v>1720.6</v>
      </c>
      <c r="J122" s="72">
        <v>0.01</v>
      </c>
      <c r="K122" s="11">
        <f t="shared" si="26"/>
        <v>1720.6</v>
      </c>
      <c r="L122" s="72">
        <v>0.02</v>
      </c>
      <c r="M122" s="11">
        <f t="shared" si="27"/>
        <v>3441.3</v>
      </c>
    </row>
    <row r="123" spans="2:13" ht="12.95" customHeight="1" x14ac:dyDescent="0.3">
      <c r="B123" s="48" t="s">
        <v>16</v>
      </c>
      <c r="C123" s="57"/>
      <c r="D123" s="59"/>
      <c r="E123" s="49"/>
      <c r="F123" s="49"/>
      <c r="G123" s="50">
        <f>TRUNC(SUM(G121:G122))</f>
        <v>8776</v>
      </c>
      <c r="H123" s="49"/>
      <c r="I123" s="51">
        <f>TRUNC(SUM(I121:I122))</f>
        <v>15832</v>
      </c>
      <c r="J123" s="49"/>
      <c r="K123" s="51">
        <f>TRUNC(SUM(K121:K122))</f>
        <v>27593</v>
      </c>
      <c r="L123" s="49"/>
      <c r="M123" s="51">
        <f>TRUNC(SUM(M121:M122))</f>
        <v>43425</v>
      </c>
    </row>
    <row r="124" spans="2:13" ht="12.95" customHeight="1" x14ac:dyDescent="0.3">
      <c r="B124" s="33"/>
      <c r="C124" s="14"/>
      <c r="D124" s="6"/>
      <c r="E124" s="34"/>
      <c r="F124" s="34"/>
      <c r="G124" s="35"/>
      <c r="H124" s="34"/>
      <c r="I124" s="36"/>
      <c r="J124" s="34"/>
      <c r="K124" s="36"/>
      <c r="L124" s="34"/>
      <c r="M124" s="36"/>
    </row>
    <row r="125" spans="2:13" ht="12.95" customHeight="1" x14ac:dyDescent="0.3">
      <c r="B125" s="26" t="s">
        <v>19</v>
      </c>
      <c r="C125" s="15"/>
      <c r="D125" s="16"/>
      <c r="E125" s="37"/>
      <c r="F125" s="37"/>
      <c r="G125" s="38">
        <f>SUM(G123)</f>
        <v>8776</v>
      </c>
      <c r="H125" s="37"/>
      <c r="I125" s="38">
        <f>SUM(I123)</f>
        <v>15832</v>
      </c>
      <c r="J125" s="37"/>
      <c r="K125" s="38">
        <f>SUM(K123)</f>
        <v>27593</v>
      </c>
      <c r="L125" s="37"/>
      <c r="M125" s="38">
        <f>SUM(M123)</f>
        <v>43425</v>
      </c>
    </row>
    <row r="126" spans="2:13" ht="12.95" customHeight="1" x14ac:dyDescent="0.3">
      <c r="B126" s="132" t="s">
        <v>7</v>
      </c>
      <c r="C126" s="139" t="s">
        <v>11</v>
      </c>
      <c r="D126" s="140" t="s">
        <v>12</v>
      </c>
      <c r="E126" s="124" t="s">
        <v>8</v>
      </c>
      <c r="F126" s="131" t="s">
        <v>61</v>
      </c>
      <c r="G126" s="132"/>
      <c r="H126" s="131" t="s">
        <v>62</v>
      </c>
      <c r="I126" s="132"/>
      <c r="J126" s="131" t="s">
        <v>63</v>
      </c>
      <c r="K126" s="132"/>
      <c r="L126" s="131" t="s">
        <v>64</v>
      </c>
      <c r="M126" s="133"/>
    </row>
    <row r="127" spans="2:13" ht="12.95" customHeight="1" x14ac:dyDescent="0.3">
      <c r="B127" s="132"/>
      <c r="C127" s="139"/>
      <c r="D127" s="140"/>
      <c r="E127" s="124"/>
      <c r="F127" s="40" t="s">
        <v>9</v>
      </c>
      <c r="G127" s="40" t="s">
        <v>10</v>
      </c>
      <c r="H127" s="40" t="s">
        <v>9</v>
      </c>
      <c r="I127" s="65" t="s">
        <v>10</v>
      </c>
      <c r="J127" s="40" t="s">
        <v>9</v>
      </c>
      <c r="K127" s="65" t="s">
        <v>10</v>
      </c>
      <c r="L127" s="40" t="s">
        <v>9</v>
      </c>
      <c r="M127" s="65" t="s">
        <v>10</v>
      </c>
    </row>
    <row r="128" spans="2:13" ht="12.95" customHeight="1" x14ac:dyDescent="0.3">
      <c r="B128" s="32" t="s">
        <v>2</v>
      </c>
      <c r="C128" s="14"/>
      <c r="D128" s="6" t="s">
        <v>14</v>
      </c>
      <c r="E128" s="78">
        <v>235204</v>
      </c>
      <c r="F128" s="72">
        <v>0.23</v>
      </c>
      <c r="G128" s="5">
        <f t="shared" ref="G128:G129" si="28">TRUNC($E128*F128,1)</f>
        <v>54096.9</v>
      </c>
      <c r="H128" s="72">
        <v>0.3</v>
      </c>
      <c r="I128" s="11">
        <f t="shared" ref="I128:I129" si="29">TRUNC($E128*H128,1)</f>
        <v>70561.2</v>
      </c>
      <c r="J128" s="72">
        <v>0.37</v>
      </c>
      <c r="K128" s="11">
        <f t="shared" ref="K128:K129" si="30">TRUNC($E128*J128,1)</f>
        <v>87025.4</v>
      </c>
      <c r="L128" s="72">
        <v>0.56000000000000005</v>
      </c>
      <c r="M128" s="11">
        <f t="shared" ref="M128:M129" si="31">TRUNC($E128*L128,1)</f>
        <v>131714.20000000001</v>
      </c>
    </row>
    <row r="129" spans="2:13" ht="12.95" customHeight="1" x14ac:dyDescent="0.3">
      <c r="B129" s="32" t="s">
        <v>1</v>
      </c>
      <c r="C129" s="14"/>
      <c r="D129" s="6" t="s">
        <v>14</v>
      </c>
      <c r="E129" s="78">
        <v>172068</v>
      </c>
      <c r="F129" s="72">
        <v>0.03</v>
      </c>
      <c r="G129" s="5">
        <f t="shared" si="28"/>
        <v>5162</v>
      </c>
      <c r="H129" s="72">
        <v>0.03</v>
      </c>
      <c r="I129" s="11">
        <f t="shared" si="29"/>
        <v>5162</v>
      </c>
      <c r="J129" s="72">
        <v>0.05</v>
      </c>
      <c r="K129" s="11">
        <f t="shared" si="30"/>
        <v>8603.4</v>
      </c>
      <c r="L129" s="72">
        <v>0.06</v>
      </c>
      <c r="M129" s="11">
        <f t="shared" si="31"/>
        <v>10324</v>
      </c>
    </row>
    <row r="130" spans="2:13" ht="12.95" customHeight="1" x14ac:dyDescent="0.3">
      <c r="B130" s="48" t="s">
        <v>16</v>
      </c>
      <c r="C130" s="57"/>
      <c r="D130" s="59"/>
      <c r="E130" s="49"/>
      <c r="F130" s="49"/>
      <c r="G130" s="50">
        <f>TRUNC(SUM(G128:G129))</f>
        <v>59258</v>
      </c>
      <c r="H130" s="49"/>
      <c r="I130" s="51">
        <f>TRUNC(SUM(I128:I129))</f>
        <v>75723</v>
      </c>
      <c r="J130" s="49"/>
      <c r="K130" s="51">
        <f>TRUNC(SUM(K128:K129))</f>
        <v>95628</v>
      </c>
      <c r="L130" s="49"/>
      <c r="M130" s="51">
        <f>TRUNC(SUM(M128:M129))</f>
        <v>142038</v>
      </c>
    </row>
    <row r="131" spans="2:13" ht="12.95" customHeight="1" x14ac:dyDescent="0.3">
      <c r="B131" s="33"/>
      <c r="C131" s="14"/>
      <c r="D131" s="6"/>
      <c r="E131" s="34"/>
      <c r="F131" s="34"/>
      <c r="G131" s="35"/>
      <c r="H131" s="34"/>
      <c r="I131" s="36"/>
      <c r="J131" s="34"/>
      <c r="K131" s="36"/>
      <c r="L131" s="34"/>
      <c r="M131" s="36"/>
    </row>
    <row r="132" spans="2:13" ht="12.95" customHeight="1" x14ac:dyDescent="0.3">
      <c r="B132" s="26" t="s">
        <v>19</v>
      </c>
      <c r="C132" s="15"/>
      <c r="D132" s="16"/>
      <c r="E132" s="37"/>
      <c r="F132" s="37"/>
      <c r="G132" s="38">
        <f>SUM(G130)</f>
        <v>59258</v>
      </c>
      <c r="H132" s="37"/>
      <c r="I132" s="38">
        <f>SUM(I130)</f>
        <v>75723</v>
      </c>
      <c r="J132" s="37"/>
      <c r="K132" s="38">
        <f>SUM(K130)</f>
        <v>95628</v>
      </c>
      <c r="L132" s="37"/>
      <c r="M132" s="38">
        <f>SUM(M130)</f>
        <v>142038</v>
      </c>
    </row>
    <row r="133" spans="2:13" ht="12.95" customHeight="1" x14ac:dyDescent="0.3">
      <c r="B133" s="132" t="s">
        <v>7</v>
      </c>
      <c r="C133" s="139" t="s">
        <v>11</v>
      </c>
      <c r="D133" s="140" t="s">
        <v>12</v>
      </c>
      <c r="E133" s="124" t="s">
        <v>8</v>
      </c>
      <c r="F133" s="131" t="s">
        <v>65</v>
      </c>
      <c r="G133" s="132"/>
      <c r="H133" s="131" t="s">
        <v>66</v>
      </c>
      <c r="I133" s="132"/>
      <c r="J133" s="131" t="s">
        <v>67</v>
      </c>
      <c r="K133" s="132"/>
      <c r="L133" s="131" t="s">
        <v>68</v>
      </c>
      <c r="M133" s="133"/>
    </row>
    <row r="134" spans="2:13" ht="12.95" customHeight="1" x14ac:dyDescent="0.3">
      <c r="B134" s="132"/>
      <c r="C134" s="139"/>
      <c r="D134" s="140"/>
      <c r="E134" s="124"/>
      <c r="F134" s="40" t="s">
        <v>9</v>
      </c>
      <c r="G134" s="40" t="s">
        <v>10</v>
      </c>
      <c r="H134" s="40" t="s">
        <v>9</v>
      </c>
      <c r="I134" s="65" t="s">
        <v>10</v>
      </c>
      <c r="J134" s="40" t="s">
        <v>9</v>
      </c>
      <c r="K134" s="65" t="s">
        <v>10</v>
      </c>
      <c r="L134" s="40" t="s">
        <v>9</v>
      </c>
      <c r="M134" s="65" t="s">
        <v>10</v>
      </c>
    </row>
    <row r="135" spans="2:13" ht="12.95" customHeight="1" x14ac:dyDescent="0.3">
      <c r="B135" s="32" t="s">
        <v>2</v>
      </c>
      <c r="C135" s="14"/>
      <c r="D135" s="6" t="s">
        <v>14</v>
      </c>
      <c r="E135" s="78">
        <v>235204</v>
      </c>
      <c r="F135" s="72">
        <v>0.65</v>
      </c>
      <c r="G135" s="5">
        <f t="shared" ref="G135:G136" si="32">TRUNC($E135*F135,1)</f>
        <v>152882.6</v>
      </c>
      <c r="H135" s="72">
        <v>0.74</v>
      </c>
      <c r="I135" s="11">
        <f t="shared" ref="I135:I136" si="33">TRUNC($E135*H135,1)</f>
        <v>174050.9</v>
      </c>
      <c r="J135" s="72">
        <v>1.58</v>
      </c>
      <c r="K135" s="11">
        <f t="shared" ref="K135:K136" si="34">TRUNC($E135*J135,1)</f>
        <v>371622.3</v>
      </c>
      <c r="L135" s="72">
        <v>1.86</v>
      </c>
      <c r="M135" s="11">
        <f t="shared" ref="M135:M136" si="35">TRUNC($E135*L135,1)</f>
        <v>437479.4</v>
      </c>
    </row>
    <row r="136" spans="2:13" ht="12.95" customHeight="1" x14ac:dyDescent="0.3">
      <c r="B136" s="32" t="s">
        <v>1</v>
      </c>
      <c r="C136" s="14"/>
      <c r="D136" s="6" t="s">
        <v>14</v>
      </c>
      <c r="E136" s="78">
        <v>172068</v>
      </c>
      <c r="F136" s="72">
        <v>0.08</v>
      </c>
      <c r="G136" s="5">
        <f t="shared" si="32"/>
        <v>13765.4</v>
      </c>
      <c r="H136" s="72">
        <v>0.09</v>
      </c>
      <c r="I136" s="11">
        <f t="shared" si="33"/>
        <v>15486.1</v>
      </c>
      <c r="J136" s="72">
        <v>0.19</v>
      </c>
      <c r="K136" s="11">
        <f t="shared" si="34"/>
        <v>32692.9</v>
      </c>
      <c r="L136" s="72">
        <v>0.22</v>
      </c>
      <c r="M136" s="11">
        <f t="shared" si="35"/>
        <v>37854.9</v>
      </c>
    </row>
    <row r="137" spans="2:13" ht="12.95" customHeight="1" x14ac:dyDescent="0.3">
      <c r="B137" s="48" t="s">
        <v>16</v>
      </c>
      <c r="C137" s="57"/>
      <c r="D137" s="59"/>
      <c r="E137" s="49"/>
      <c r="F137" s="49"/>
      <c r="G137" s="50">
        <f>TRUNC(SUM(G135:G136))</f>
        <v>166648</v>
      </c>
      <c r="H137" s="49"/>
      <c r="I137" s="51">
        <f>TRUNC(SUM(I135:I136))</f>
        <v>189537</v>
      </c>
      <c r="J137" s="49"/>
      <c r="K137" s="51">
        <f>TRUNC(SUM(K135:K136))</f>
        <v>404315</v>
      </c>
      <c r="L137" s="49"/>
      <c r="M137" s="51">
        <f>TRUNC(SUM(M135:M136))</f>
        <v>475334</v>
      </c>
    </row>
    <row r="138" spans="2:13" ht="12.95" customHeight="1" x14ac:dyDescent="0.3">
      <c r="B138" s="33"/>
      <c r="C138" s="14"/>
      <c r="D138" s="6"/>
      <c r="E138" s="34"/>
      <c r="F138" s="34"/>
      <c r="G138" s="35"/>
      <c r="H138" s="34"/>
      <c r="I138" s="36"/>
      <c r="J138" s="34"/>
      <c r="K138" s="36"/>
      <c r="L138" s="34"/>
      <c r="M138" s="36"/>
    </row>
    <row r="139" spans="2:13" ht="12.95" customHeight="1" x14ac:dyDescent="0.3">
      <c r="B139" s="26" t="s">
        <v>19</v>
      </c>
      <c r="C139" s="15"/>
      <c r="D139" s="16"/>
      <c r="E139" s="37"/>
      <c r="F139" s="37"/>
      <c r="G139" s="38">
        <f>SUM(G137)</f>
        <v>166648</v>
      </c>
      <c r="H139" s="37"/>
      <c r="I139" s="38">
        <f>SUM(I137)</f>
        <v>189537</v>
      </c>
      <c r="J139" s="37"/>
      <c r="K139" s="38">
        <f>SUM(K137)</f>
        <v>404315</v>
      </c>
      <c r="L139" s="37"/>
      <c r="M139" s="38">
        <f>SUM(M137)</f>
        <v>475334</v>
      </c>
    </row>
    <row r="140" spans="2:13" ht="12.95" customHeight="1" x14ac:dyDescent="0.3">
      <c r="B140" s="132" t="s">
        <v>7</v>
      </c>
      <c r="C140" s="139" t="s">
        <v>11</v>
      </c>
      <c r="D140" s="140" t="s">
        <v>12</v>
      </c>
      <c r="E140" s="124" t="s">
        <v>8</v>
      </c>
      <c r="F140" s="131" t="s">
        <v>69</v>
      </c>
      <c r="G140" s="132"/>
      <c r="H140" s="131" t="s">
        <v>70</v>
      </c>
      <c r="I140" s="132"/>
      <c r="J140" s="131" t="s">
        <v>71</v>
      </c>
      <c r="K140" s="132"/>
      <c r="L140" s="131" t="s">
        <v>72</v>
      </c>
      <c r="M140" s="133"/>
    </row>
    <row r="141" spans="2:13" ht="12.95" customHeight="1" x14ac:dyDescent="0.3">
      <c r="B141" s="132"/>
      <c r="C141" s="139"/>
      <c r="D141" s="140"/>
      <c r="E141" s="124"/>
      <c r="F141" s="40" t="s">
        <v>9</v>
      </c>
      <c r="G141" s="40" t="s">
        <v>10</v>
      </c>
      <c r="H141" s="40" t="s">
        <v>9</v>
      </c>
      <c r="I141" s="65" t="s">
        <v>10</v>
      </c>
      <c r="J141" s="40" t="s">
        <v>9</v>
      </c>
      <c r="K141" s="65" t="s">
        <v>10</v>
      </c>
      <c r="L141" s="40" t="s">
        <v>9</v>
      </c>
      <c r="M141" s="65" t="s">
        <v>10</v>
      </c>
    </row>
    <row r="142" spans="2:13" ht="12.95" customHeight="1" x14ac:dyDescent="0.3">
      <c r="B142" s="32" t="s">
        <v>2</v>
      </c>
      <c r="C142" s="14"/>
      <c r="D142" s="6" t="s">
        <v>14</v>
      </c>
      <c r="E142" s="78">
        <v>235204</v>
      </c>
      <c r="F142" s="72">
        <v>2.04</v>
      </c>
      <c r="G142" s="5">
        <f t="shared" ref="G142:G143" si="36">TRUNC($E142*F142,1)</f>
        <v>479816.1</v>
      </c>
      <c r="H142" s="72">
        <v>2.3199999999999998</v>
      </c>
      <c r="I142" s="11">
        <f t="shared" ref="I142:I143" si="37">TRUNC($E142*H142,1)</f>
        <v>545673.19999999995</v>
      </c>
      <c r="J142" s="72">
        <v>2.79</v>
      </c>
      <c r="K142" s="11">
        <f t="shared" ref="K142:K143" si="38">TRUNC($E142*J142,1)</f>
        <v>656219.1</v>
      </c>
      <c r="L142" s="72">
        <v>3.07</v>
      </c>
      <c r="M142" s="11">
        <f t="shared" ref="M142:M143" si="39">TRUNC($E142*L142,1)</f>
        <v>722076.2</v>
      </c>
    </row>
    <row r="143" spans="2:13" ht="12.95" customHeight="1" x14ac:dyDescent="0.3">
      <c r="B143" s="32" t="s">
        <v>1</v>
      </c>
      <c r="C143" s="14"/>
      <c r="D143" s="6" t="s">
        <v>14</v>
      </c>
      <c r="E143" s="78">
        <v>172068</v>
      </c>
      <c r="F143" s="72">
        <v>0.25</v>
      </c>
      <c r="G143" s="5">
        <f t="shared" si="36"/>
        <v>43017</v>
      </c>
      <c r="H143" s="72">
        <v>0.28000000000000003</v>
      </c>
      <c r="I143" s="11">
        <f t="shared" si="37"/>
        <v>48179</v>
      </c>
      <c r="J143" s="72">
        <v>0.33</v>
      </c>
      <c r="K143" s="11">
        <f t="shared" si="38"/>
        <v>56782.400000000001</v>
      </c>
      <c r="L143" s="72">
        <v>0.36</v>
      </c>
      <c r="M143" s="11">
        <f t="shared" si="39"/>
        <v>61944.4</v>
      </c>
    </row>
    <row r="144" spans="2:13" ht="12.95" customHeight="1" x14ac:dyDescent="0.3">
      <c r="B144" s="48" t="s">
        <v>16</v>
      </c>
      <c r="C144" s="57"/>
      <c r="D144" s="59"/>
      <c r="E144" s="49"/>
      <c r="F144" s="49"/>
      <c r="G144" s="50">
        <f>TRUNC(SUM(G142:G143))</f>
        <v>522833</v>
      </c>
      <c r="H144" s="49"/>
      <c r="I144" s="51">
        <f>TRUNC(SUM(I142:I143))</f>
        <v>593852</v>
      </c>
      <c r="J144" s="49"/>
      <c r="K144" s="51">
        <f>TRUNC(SUM(K142:K143))</f>
        <v>713001</v>
      </c>
      <c r="L144" s="49"/>
      <c r="M144" s="51">
        <f>TRUNC(SUM(M142:M143))</f>
        <v>784020</v>
      </c>
    </row>
    <row r="145" spans="2:13" ht="12.95" customHeight="1" x14ac:dyDescent="0.3">
      <c r="B145" s="33"/>
      <c r="C145" s="14"/>
      <c r="D145" s="6"/>
      <c r="E145" s="34"/>
      <c r="F145" s="34"/>
      <c r="G145" s="35"/>
      <c r="H145" s="34"/>
      <c r="I145" s="36"/>
      <c r="J145" s="34"/>
      <c r="K145" s="36"/>
      <c r="L145" s="34"/>
      <c r="M145" s="36"/>
    </row>
    <row r="146" spans="2:13" ht="12.95" customHeight="1" x14ac:dyDescent="0.3">
      <c r="B146" s="26" t="s">
        <v>19</v>
      </c>
      <c r="C146" s="15"/>
      <c r="D146" s="16"/>
      <c r="E146" s="37"/>
      <c r="F146" s="37"/>
      <c r="G146" s="38">
        <f>SUM(G144)</f>
        <v>522833</v>
      </c>
      <c r="H146" s="37"/>
      <c r="I146" s="38">
        <f>SUM(I144)</f>
        <v>593852</v>
      </c>
      <c r="J146" s="37"/>
      <c r="K146" s="38">
        <f>SUM(K144)</f>
        <v>713001</v>
      </c>
      <c r="L146" s="37"/>
      <c r="M146" s="38">
        <f>SUM(M144)</f>
        <v>784020</v>
      </c>
    </row>
    <row r="147" spans="2:13" ht="12.95" customHeight="1" x14ac:dyDescent="0.3">
      <c r="B147" s="132" t="s">
        <v>7</v>
      </c>
      <c r="C147" s="139" t="s">
        <v>11</v>
      </c>
      <c r="D147" s="140" t="s">
        <v>12</v>
      </c>
      <c r="E147" s="124" t="s">
        <v>8</v>
      </c>
      <c r="F147" s="131" t="s">
        <v>73</v>
      </c>
      <c r="G147" s="132"/>
      <c r="H147" s="131" t="s">
        <v>74</v>
      </c>
      <c r="I147" s="132"/>
      <c r="J147" s="131" t="s">
        <v>75</v>
      </c>
      <c r="K147" s="133"/>
      <c r="L147" s="102"/>
    </row>
    <row r="148" spans="2:13" ht="12.95" customHeight="1" x14ac:dyDescent="0.3">
      <c r="B148" s="132"/>
      <c r="C148" s="139"/>
      <c r="D148" s="140"/>
      <c r="E148" s="124"/>
      <c r="F148" s="40" t="s">
        <v>9</v>
      </c>
      <c r="G148" s="40" t="s">
        <v>10</v>
      </c>
      <c r="H148" s="40" t="s">
        <v>9</v>
      </c>
      <c r="I148" s="65" t="s">
        <v>10</v>
      </c>
      <c r="J148" s="40" t="s">
        <v>9</v>
      </c>
      <c r="K148" s="65" t="s">
        <v>10</v>
      </c>
    </row>
    <row r="149" spans="2:13" ht="12.95" customHeight="1" x14ac:dyDescent="0.3">
      <c r="B149" s="32" t="s">
        <v>2</v>
      </c>
      <c r="C149" s="14"/>
      <c r="D149" s="6" t="s">
        <v>14</v>
      </c>
      <c r="E149" s="78">
        <v>235204</v>
      </c>
      <c r="F149" s="72">
        <v>4.18</v>
      </c>
      <c r="G149" s="5">
        <f t="shared" ref="G149:G150" si="40">TRUNC($E149*F149,1)</f>
        <v>983152.7</v>
      </c>
      <c r="H149" s="72">
        <v>4.6500000000000004</v>
      </c>
      <c r="I149" s="11">
        <f t="shared" ref="I149:I150" si="41">TRUNC($E149*H149,1)</f>
        <v>1093698.6000000001</v>
      </c>
      <c r="J149" s="72">
        <v>5.21</v>
      </c>
      <c r="K149" s="11">
        <f t="shared" ref="K149:K150" si="42">TRUNC($E149*J149,1)</f>
        <v>1225412.8</v>
      </c>
    </row>
    <row r="150" spans="2:13" ht="12.95" customHeight="1" x14ac:dyDescent="0.3">
      <c r="B150" s="32" t="s">
        <v>1</v>
      </c>
      <c r="C150" s="14"/>
      <c r="D150" s="6" t="s">
        <v>14</v>
      </c>
      <c r="E150" s="78">
        <v>172068</v>
      </c>
      <c r="F150" s="72">
        <v>0.5</v>
      </c>
      <c r="G150" s="5">
        <f t="shared" si="40"/>
        <v>86034</v>
      </c>
      <c r="H150" s="72">
        <v>0.55000000000000004</v>
      </c>
      <c r="I150" s="11">
        <f t="shared" si="41"/>
        <v>94637.4</v>
      </c>
      <c r="J150" s="72">
        <v>0.62</v>
      </c>
      <c r="K150" s="11">
        <f t="shared" si="42"/>
        <v>106682.1</v>
      </c>
    </row>
    <row r="151" spans="2:13" ht="12.95" customHeight="1" x14ac:dyDescent="0.3">
      <c r="B151" s="48" t="s">
        <v>16</v>
      </c>
      <c r="C151" s="57"/>
      <c r="D151" s="59"/>
      <c r="E151" s="49"/>
      <c r="F151" s="49"/>
      <c r="G151" s="50">
        <f>TRUNC(SUM(G149:G150))</f>
        <v>1069186</v>
      </c>
      <c r="H151" s="49"/>
      <c r="I151" s="51">
        <f>TRUNC(SUM(I149:I150))</f>
        <v>1188336</v>
      </c>
      <c r="J151" s="49"/>
      <c r="K151" s="51">
        <f>TRUNC(SUM(K149:K150))</f>
        <v>1332094</v>
      </c>
    </row>
    <row r="152" spans="2:13" ht="12.95" customHeight="1" x14ac:dyDescent="0.3">
      <c r="B152" s="33"/>
      <c r="C152" s="14"/>
      <c r="D152" s="6"/>
      <c r="E152" s="34"/>
      <c r="F152" s="34"/>
      <c r="G152" s="35"/>
      <c r="H152" s="34"/>
      <c r="I152" s="36"/>
      <c r="J152" s="34"/>
      <c r="K152" s="36"/>
    </row>
    <row r="153" spans="2:13" ht="12.95" customHeight="1" x14ac:dyDescent="0.3">
      <c r="B153" s="26" t="s">
        <v>19</v>
      </c>
      <c r="C153" s="15"/>
      <c r="D153" s="16"/>
      <c r="E153" s="37"/>
      <c r="F153" s="37"/>
      <c r="G153" s="38">
        <f>SUM(G151)</f>
        <v>1069186</v>
      </c>
      <c r="H153" s="37"/>
      <c r="I153" s="38">
        <f>SUM(I151)</f>
        <v>1188336</v>
      </c>
      <c r="J153" s="37"/>
      <c r="K153" s="38">
        <f>SUM(K151)</f>
        <v>1332094</v>
      </c>
    </row>
    <row r="154" spans="2:13" ht="12.95" customHeight="1" x14ac:dyDescent="0.3">
      <c r="B154" s="132" t="s">
        <v>7</v>
      </c>
      <c r="C154" s="139" t="s">
        <v>11</v>
      </c>
      <c r="D154" s="140" t="s">
        <v>12</v>
      </c>
      <c r="E154" s="124" t="s">
        <v>8</v>
      </c>
      <c r="F154" s="131" t="s">
        <v>76</v>
      </c>
      <c r="G154" s="132"/>
      <c r="H154" s="131" t="s">
        <v>77</v>
      </c>
      <c r="I154" s="132"/>
      <c r="J154" s="131" t="s">
        <v>78</v>
      </c>
      <c r="K154" s="133"/>
    </row>
    <row r="155" spans="2:13" ht="12.95" customHeight="1" x14ac:dyDescent="0.3">
      <c r="B155" s="132"/>
      <c r="C155" s="139"/>
      <c r="D155" s="140"/>
      <c r="E155" s="124"/>
      <c r="F155" s="40" t="s">
        <v>9</v>
      </c>
      <c r="G155" s="40" t="s">
        <v>10</v>
      </c>
      <c r="H155" s="40" t="s">
        <v>9</v>
      </c>
      <c r="I155" s="65" t="s">
        <v>10</v>
      </c>
      <c r="J155" s="40" t="s">
        <v>9</v>
      </c>
      <c r="K155" s="65" t="s">
        <v>10</v>
      </c>
    </row>
    <row r="156" spans="2:13" ht="12.95" customHeight="1" x14ac:dyDescent="0.3">
      <c r="B156" s="32" t="s">
        <v>2</v>
      </c>
      <c r="C156" s="14"/>
      <c r="D156" s="6" t="s">
        <v>14</v>
      </c>
      <c r="E156" s="78">
        <v>235204</v>
      </c>
      <c r="F156" s="72">
        <v>6.51</v>
      </c>
      <c r="G156" s="5">
        <f t="shared" ref="G156:G157" si="43">TRUNC($E156*F156,1)</f>
        <v>1531178</v>
      </c>
      <c r="H156" s="72">
        <v>7.06</v>
      </c>
      <c r="I156" s="11">
        <f t="shared" ref="I156:I157" si="44">TRUNC($E156*H156,1)</f>
        <v>1660540.2</v>
      </c>
      <c r="J156" s="72">
        <v>7.9</v>
      </c>
      <c r="K156" s="11">
        <f t="shared" ref="K156:K157" si="45">TRUNC($E156*J156,1)</f>
        <v>1858111.6</v>
      </c>
    </row>
    <row r="157" spans="2:13" ht="12.95" customHeight="1" x14ac:dyDescent="0.3">
      <c r="B157" s="32" t="s">
        <v>1</v>
      </c>
      <c r="C157" s="14"/>
      <c r="D157" s="6" t="s">
        <v>14</v>
      </c>
      <c r="E157" s="78">
        <v>172068</v>
      </c>
      <c r="F157" s="72">
        <v>0.78</v>
      </c>
      <c r="G157" s="5">
        <f t="shared" si="43"/>
        <v>134213</v>
      </c>
      <c r="H157" s="72">
        <v>0.85</v>
      </c>
      <c r="I157" s="11">
        <f t="shared" si="44"/>
        <v>146257.79999999999</v>
      </c>
      <c r="J157" s="72">
        <v>0.95</v>
      </c>
      <c r="K157" s="11">
        <f t="shared" si="45"/>
        <v>163464.6</v>
      </c>
    </row>
    <row r="158" spans="2:13" ht="12.95" customHeight="1" x14ac:dyDescent="0.3">
      <c r="B158" s="48" t="s">
        <v>16</v>
      </c>
      <c r="C158" s="57"/>
      <c r="D158" s="59"/>
      <c r="E158" s="49"/>
      <c r="F158" s="49"/>
      <c r="G158" s="50">
        <f>TRUNC(SUM(G156:G157))</f>
        <v>1665391</v>
      </c>
      <c r="H158" s="49"/>
      <c r="I158" s="51">
        <f>TRUNC(SUM(I156:I157))</f>
        <v>1806798</v>
      </c>
      <c r="J158" s="49"/>
      <c r="K158" s="51">
        <f>TRUNC(SUM(K156:K157))</f>
        <v>2021576</v>
      </c>
    </row>
    <row r="159" spans="2:13" ht="12.95" customHeight="1" x14ac:dyDescent="0.3">
      <c r="B159" s="33"/>
      <c r="C159" s="14"/>
      <c r="D159" s="6"/>
      <c r="E159" s="34"/>
      <c r="F159" s="34"/>
      <c r="G159" s="35"/>
      <c r="H159" s="34"/>
      <c r="I159" s="36"/>
      <c r="J159" s="34"/>
      <c r="K159" s="36"/>
    </row>
    <row r="160" spans="2:13" ht="12.95" customHeight="1" x14ac:dyDescent="0.3">
      <c r="B160" s="26" t="s">
        <v>19</v>
      </c>
      <c r="C160" s="15"/>
      <c r="D160" s="16"/>
      <c r="E160" s="37"/>
      <c r="F160" s="37"/>
      <c r="G160" s="38">
        <f>SUM(G158)</f>
        <v>1665391</v>
      </c>
      <c r="H160" s="37"/>
      <c r="I160" s="38">
        <f>SUM(I158)</f>
        <v>1806798</v>
      </c>
      <c r="J160" s="37"/>
      <c r="K160" s="38">
        <f>SUM(K158)</f>
        <v>2021576</v>
      </c>
    </row>
    <row r="161" spans="2:13" ht="12.95" customHeight="1" x14ac:dyDescent="0.3">
      <c r="B161" s="3"/>
      <c r="C161" s="9"/>
      <c r="D161" s="3"/>
      <c r="E161" s="13"/>
      <c r="F161" s="4"/>
      <c r="G161" s="4"/>
      <c r="H161" s="4"/>
      <c r="I161" s="4"/>
    </row>
    <row r="162" spans="2:13" ht="12.95" customHeight="1" x14ac:dyDescent="0.3">
      <c r="B162" s="2" t="s">
        <v>79</v>
      </c>
      <c r="C162" s="93"/>
      <c r="D162" s="68"/>
      <c r="E162" s="94"/>
      <c r="F162" s="68"/>
      <c r="G162" s="68"/>
      <c r="H162" s="68"/>
      <c r="I162" s="68"/>
      <c r="J162" s="68"/>
      <c r="K162" s="101" t="s">
        <v>103</v>
      </c>
      <c r="L162" s="71"/>
      <c r="M162" s="71"/>
    </row>
    <row r="163" spans="2:13" ht="12.95" customHeight="1" x14ac:dyDescent="0.3">
      <c r="B163" s="127" t="s">
        <v>7</v>
      </c>
      <c r="C163" s="127" t="s">
        <v>11</v>
      </c>
      <c r="D163" s="125" t="s">
        <v>12</v>
      </c>
      <c r="E163" s="125" t="s">
        <v>8</v>
      </c>
      <c r="F163" s="131" t="s">
        <v>119</v>
      </c>
      <c r="G163" s="132"/>
      <c r="H163" s="131" t="s">
        <v>120</v>
      </c>
      <c r="I163" s="132"/>
      <c r="J163" s="131" t="s">
        <v>121</v>
      </c>
      <c r="K163" s="133"/>
      <c r="L163" s="71"/>
      <c r="M163" s="71"/>
    </row>
    <row r="164" spans="2:13" ht="12.95" customHeight="1" x14ac:dyDescent="0.3">
      <c r="B164" s="128"/>
      <c r="C164" s="128"/>
      <c r="D164" s="130"/>
      <c r="E164" s="130"/>
      <c r="F164" s="107" t="s">
        <v>116</v>
      </c>
      <c r="G164" s="115">
        <v>70</v>
      </c>
      <c r="H164" s="107" t="s">
        <v>116</v>
      </c>
      <c r="I164" s="115">
        <v>45</v>
      </c>
      <c r="J164" s="107" t="s">
        <v>116</v>
      </c>
      <c r="K164" s="115">
        <v>30</v>
      </c>
      <c r="L164" s="71"/>
      <c r="M164" s="71"/>
    </row>
    <row r="165" spans="2:13" ht="12.95" customHeight="1" x14ac:dyDescent="0.3">
      <c r="B165" s="129"/>
      <c r="C165" s="129"/>
      <c r="D165" s="126"/>
      <c r="E165" s="126"/>
      <c r="F165" s="63" t="s">
        <v>104</v>
      </c>
      <c r="G165" s="64" t="s">
        <v>105</v>
      </c>
      <c r="H165" s="63" t="s">
        <v>104</v>
      </c>
      <c r="I165" s="64" t="s">
        <v>105</v>
      </c>
      <c r="J165" s="63" t="s">
        <v>104</v>
      </c>
      <c r="K165" s="64" t="s">
        <v>105</v>
      </c>
      <c r="L165" s="71"/>
      <c r="M165" s="71"/>
    </row>
    <row r="166" spans="2:13" ht="12.95" customHeight="1" x14ac:dyDescent="0.3">
      <c r="B166" s="77" t="s">
        <v>34</v>
      </c>
      <c r="C166" s="77"/>
      <c r="D166" s="6" t="s">
        <v>14</v>
      </c>
      <c r="E166" s="99">
        <v>235204</v>
      </c>
      <c r="F166" s="104">
        <v>4</v>
      </c>
      <c r="G166" s="11">
        <f t="shared" ref="G166:G167" si="46">TRUNC($E166*F166,1)</f>
        <v>940816</v>
      </c>
      <c r="H166" s="104">
        <v>4</v>
      </c>
      <c r="I166" s="11">
        <f t="shared" ref="I166:I167" si="47">TRUNC($E166*H166,1)</f>
        <v>940816</v>
      </c>
      <c r="J166" s="104">
        <v>4</v>
      </c>
      <c r="K166" s="11">
        <f t="shared" ref="K166:K167" si="48">TRUNC($E166*J166,1)</f>
        <v>940816</v>
      </c>
      <c r="L166" s="71"/>
      <c r="M166" s="71"/>
    </row>
    <row r="167" spans="2:13" ht="12.95" customHeight="1" x14ac:dyDescent="0.3">
      <c r="B167" s="77" t="s">
        <v>1</v>
      </c>
      <c r="C167" s="77"/>
      <c r="D167" s="6" t="s">
        <v>14</v>
      </c>
      <c r="E167" s="99">
        <v>172068</v>
      </c>
      <c r="F167" s="104">
        <v>2</v>
      </c>
      <c r="G167" s="11">
        <f t="shared" si="46"/>
        <v>344136</v>
      </c>
      <c r="H167" s="104">
        <v>2</v>
      </c>
      <c r="I167" s="11">
        <f t="shared" si="47"/>
        <v>344136</v>
      </c>
      <c r="J167" s="104">
        <v>2</v>
      </c>
      <c r="K167" s="11">
        <f t="shared" si="48"/>
        <v>344136</v>
      </c>
      <c r="L167" s="71"/>
      <c r="M167" s="71"/>
    </row>
    <row r="168" spans="2:13" ht="12.95" customHeight="1" x14ac:dyDescent="0.3">
      <c r="B168" s="48" t="s">
        <v>16</v>
      </c>
      <c r="C168" s="90"/>
      <c r="D168" s="90"/>
      <c r="E168" s="100"/>
      <c r="F168" s="119"/>
      <c r="G168" s="96">
        <f>TRUNC(SUM(G166:G167))</f>
        <v>1284952</v>
      </c>
      <c r="H168" s="119"/>
      <c r="I168" s="96">
        <f>TRUNC(SUM(I166:I167))</f>
        <v>1284952</v>
      </c>
      <c r="J168" s="119"/>
      <c r="K168" s="96">
        <f>TRUNC(SUM(K166:K167))</f>
        <v>1284952</v>
      </c>
      <c r="L168" s="71"/>
      <c r="M168" s="71"/>
    </row>
    <row r="169" spans="2:13" ht="12.95" customHeight="1" x14ac:dyDescent="0.3">
      <c r="B169" s="24"/>
      <c r="C169" s="77"/>
      <c r="D169" s="77"/>
      <c r="E169" s="86"/>
      <c r="F169" s="72"/>
      <c r="G169" s="73"/>
      <c r="H169" s="72"/>
      <c r="I169" s="73"/>
      <c r="J169" s="72"/>
      <c r="K169" s="73"/>
      <c r="L169" s="71"/>
      <c r="M169" s="71"/>
    </row>
    <row r="170" spans="2:13" ht="12.95" customHeight="1" x14ac:dyDescent="0.3">
      <c r="B170" s="111" t="s">
        <v>19</v>
      </c>
      <c r="C170" s="90"/>
      <c r="D170" s="90"/>
      <c r="E170" s="79"/>
      <c r="F170" s="79"/>
      <c r="G170" s="118">
        <f>SUM(G168)</f>
        <v>1284952</v>
      </c>
      <c r="H170" s="79"/>
      <c r="I170" s="118">
        <f>SUM(I168)</f>
        <v>1284952</v>
      </c>
      <c r="J170" s="79"/>
      <c r="K170" s="118">
        <f>SUM(K168)</f>
        <v>1284952</v>
      </c>
      <c r="L170" s="71"/>
      <c r="M170" s="71"/>
    </row>
    <row r="171" spans="2:13" ht="12.95" customHeight="1" x14ac:dyDescent="0.3">
      <c r="B171" s="26" t="s">
        <v>118</v>
      </c>
      <c r="C171" s="27"/>
      <c r="D171" s="66"/>
      <c r="E171" s="28"/>
      <c r="F171" s="29"/>
      <c r="G171" s="30">
        <f>TRUNC(G170/G164)</f>
        <v>18356</v>
      </c>
      <c r="H171" s="29"/>
      <c r="I171" s="30">
        <f>TRUNC(I170/I164)</f>
        <v>28554</v>
      </c>
      <c r="J171" s="29"/>
      <c r="K171" s="30">
        <f>TRUNC(K170/K164)</f>
        <v>42831</v>
      </c>
      <c r="L171" s="71"/>
      <c r="M171" s="71"/>
    </row>
    <row r="172" spans="2:13" ht="12.95" customHeight="1" x14ac:dyDescent="0.3">
      <c r="B172" s="127" t="s">
        <v>7</v>
      </c>
      <c r="C172" s="127" t="s">
        <v>11</v>
      </c>
      <c r="D172" s="125" t="s">
        <v>12</v>
      </c>
      <c r="E172" s="125" t="s">
        <v>8</v>
      </c>
      <c r="F172" s="131" t="s">
        <v>119</v>
      </c>
      <c r="G172" s="132"/>
      <c r="H172" s="131" t="s">
        <v>120</v>
      </c>
      <c r="I172" s="132"/>
      <c r="J172" s="131" t="s">
        <v>121</v>
      </c>
      <c r="K172" s="133"/>
      <c r="L172" s="71"/>
      <c r="M172" s="71"/>
    </row>
    <row r="173" spans="2:13" ht="12.95" customHeight="1" x14ac:dyDescent="0.3">
      <c r="B173" s="128"/>
      <c r="C173" s="128"/>
      <c r="D173" s="130"/>
      <c r="E173" s="130"/>
      <c r="F173" s="107" t="s">
        <v>116</v>
      </c>
      <c r="G173" s="115">
        <v>90</v>
      </c>
      <c r="H173" s="107" t="s">
        <v>116</v>
      </c>
      <c r="I173" s="115">
        <v>60</v>
      </c>
      <c r="J173" s="107" t="s">
        <v>116</v>
      </c>
      <c r="K173" s="115">
        <v>40</v>
      </c>
      <c r="L173" s="71"/>
      <c r="M173" s="71"/>
    </row>
    <row r="174" spans="2:13" ht="12.95" customHeight="1" x14ac:dyDescent="0.3">
      <c r="B174" s="129"/>
      <c r="C174" s="129"/>
      <c r="D174" s="126"/>
      <c r="E174" s="126"/>
      <c r="F174" s="63" t="s">
        <v>104</v>
      </c>
      <c r="G174" s="64" t="s">
        <v>105</v>
      </c>
      <c r="H174" s="63" t="s">
        <v>104</v>
      </c>
      <c r="I174" s="64" t="s">
        <v>105</v>
      </c>
      <c r="J174" s="63" t="s">
        <v>104</v>
      </c>
      <c r="K174" s="64" t="s">
        <v>105</v>
      </c>
      <c r="L174" s="71"/>
      <c r="M174" s="71"/>
    </row>
    <row r="175" spans="2:13" ht="12.95" customHeight="1" x14ac:dyDescent="0.3">
      <c r="B175" s="77" t="s">
        <v>145</v>
      </c>
      <c r="C175" s="77" t="s">
        <v>82</v>
      </c>
      <c r="D175" s="95" t="s">
        <v>25</v>
      </c>
      <c r="E175" s="99">
        <v>18182</v>
      </c>
      <c r="F175" s="104">
        <v>8</v>
      </c>
      <c r="G175" s="11">
        <f t="shared" ref="G175" si="49">TRUNC($E175*F175,1)</f>
        <v>145456</v>
      </c>
      <c r="H175" s="104">
        <v>8</v>
      </c>
      <c r="I175" s="11">
        <f t="shared" ref="I175" si="50">TRUNC($E175*H175,1)</f>
        <v>145456</v>
      </c>
      <c r="J175" s="104">
        <v>8</v>
      </c>
      <c r="K175" s="11">
        <f t="shared" ref="K175" si="51">TRUNC($E175*J175,1)</f>
        <v>145456</v>
      </c>
      <c r="L175" s="71"/>
      <c r="M175" s="71"/>
    </row>
    <row r="176" spans="2:13" ht="12.95" customHeight="1" x14ac:dyDescent="0.3">
      <c r="B176" s="54" t="s">
        <v>15</v>
      </c>
      <c r="C176" s="90"/>
      <c r="D176" s="90"/>
      <c r="E176" s="100"/>
      <c r="F176" s="119"/>
      <c r="G176" s="96">
        <f>TRUNC(SUM(G175:G175))</f>
        <v>145456</v>
      </c>
      <c r="H176" s="119"/>
      <c r="I176" s="96">
        <f>TRUNC(SUM(I175:I175))</f>
        <v>145456</v>
      </c>
      <c r="J176" s="119"/>
      <c r="K176" s="96">
        <f>TRUNC(SUM(K175:K175))</f>
        <v>145456</v>
      </c>
      <c r="L176" s="71"/>
      <c r="M176" s="71"/>
    </row>
    <row r="177" spans="2:13" ht="12.95" customHeight="1" x14ac:dyDescent="0.3">
      <c r="B177" s="89"/>
      <c r="C177" s="90"/>
      <c r="D177" s="90"/>
      <c r="E177" s="100"/>
      <c r="F177" s="119"/>
      <c r="G177" s="82"/>
      <c r="H177" s="119"/>
      <c r="I177" s="82"/>
      <c r="J177" s="119"/>
      <c r="K177" s="82"/>
      <c r="L177" s="71"/>
      <c r="M177" s="71"/>
    </row>
    <row r="178" spans="2:13" ht="12.95" customHeight="1" x14ac:dyDescent="0.3">
      <c r="B178" s="77" t="s">
        <v>34</v>
      </c>
      <c r="C178" s="77"/>
      <c r="D178" s="6" t="s">
        <v>14</v>
      </c>
      <c r="E178" s="99">
        <v>235204</v>
      </c>
      <c r="F178" s="104">
        <v>3</v>
      </c>
      <c r="G178" s="11">
        <f t="shared" ref="G178:G180" si="52">TRUNC($E178*F178,1)</f>
        <v>705612</v>
      </c>
      <c r="H178" s="104">
        <v>3</v>
      </c>
      <c r="I178" s="11">
        <f t="shared" ref="I178:I180" si="53">TRUNC($E178*H178,1)</f>
        <v>705612</v>
      </c>
      <c r="J178" s="104">
        <v>3</v>
      </c>
      <c r="K178" s="11">
        <f t="shared" ref="K178:K180" si="54">TRUNC($E178*J178,1)</f>
        <v>705612</v>
      </c>
      <c r="L178" s="71"/>
      <c r="M178" s="71"/>
    </row>
    <row r="179" spans="2:13" ht="12.95" customHeight="1" x14ac:dyDescent="0.3">
      <c r="B179" s="77" t="s">
        <v>1</v>
      </c>
      <c r="C179" s="77"/>
      <c r="D179" s="6" t="s">
        <v>14</v>
      </c>
      <c r="E179" s="99">
        <v>172068</v>
      </c>
      <c r="F179" s="104">
        <v>1</v>
      </c>
      <c r="G179" s="11">
        <f t="shared" si="52"/>
        <v>172068</v>
      </c>
      <c r="H179" s="104">
        <v>1</v>
      </c>
      <c r="I179" s="11">
        <f t="shared" si="53"/>
        <v>172068</v>
      </c>
      <c r="J179" s="104">
        <v>1</v>
      </c>
      <c r="K179" s="11">
        <f t="shared" si="54"/>
        <v>172068</v>
      </c>
      <c r="L179" s="71"/>
      <c r="M179" s="71"/>
    </row>
    <row r="180" spans="2:13" ht="12.95" customHeight="1" x14ac:dyDescent="0.3">
      <c r="B180" s="77" t="s">
        <v>145</v>
      </c>
      <c r="C180" s="77" t="s">
        <v>82</v>
      </c>
      <c r="D180" s="95" t="s">
        <v>25</v>
      </c>
      <c r="E180" s="99">
        <v>58925</v>
      </c>
      <c r="F180" s="104">
        <v>8</v>
      </c>
      <c r="G180" s="11">
        <f t="shared" si="52"/>
        <v>471400</v>
      </c>
      <c r="H180" s="104">
        <v>8</v>
      </c>
      <c r="I180" s="11">
        <f t="shared" si="53"/>
        <v>471400</v>
      </c>
      <c r="J180" s="104">
        <v>8</v>
      </c>
      <c r="K180" s="11">
        <f t="shared" si="54"/>
        <v>471400</v>
      </c>
      <c r="L180" s="71"/>
      <c r="M180" s="71"/>
    </row>
    <row r="181" spans="2:13" ht="12.95" customHeight="1" x14ac:dyDescent="0.3">
      <c r="B181" s="48" t="s">
        <v>16</v>
      </c>
      <c r="C181" s="90"/>
      <c r="D181" s="90"/>
      <c r="E181" s="100"/>
      <c r="F181" s="119"/>
      <c r="G181" s="96">
        <f>TRUNC(SUM(G178:G180))</f>
        <v>1349080</v>
      </c>
      <c r="H181" s="119"/>
      <c r="I181" s="96">
        <f>TRUNC(SUM(I178:I180))</f>
        <v>1349080</v>
      </c>
      <c r="J181" s="119"/>
      <c r="K181" s="96">
        <f>TRUNC(SUM(K178:K180))</f>
        <v>1349080</v>
      </c>
      <c r="L181" s="71"/>
      <c r="M181" s="71"/>
    </row>
    <row r="182" spans="2:13" ht="12.95" customHeight="1" x14ac:dyDescent="0.3">
      <c r="B182" s="89"/>
      <c r="C182" s="90"/>
      <c r="D182" s="90"/>
      <c r="E182" s="100"/>
      <c r="F182" s="119"/>
      <c r="G182" s="82"/>
      <c r="H182" s="119"/>
      <c r="I182" s="82"/>
      <c r="J182" s="119"/>
      <c r="K182" s="82"/>
      <c r="L182" s="71"/>
      <c r="M182" s="71"/>
    </row>
    <row r="183" spans="2:13" ht="12.95" customHeight="1" x14ac:dyDescent="0.3">
      <c r="B183" s="77" t="s">
        <v>145</v>
      </c>
      <c r="C183" s="77" t="s">
        <v>82</v>
      </c>
      <c r="D183" s="95" t="s">
        <v>25</v>
      </c>
      <c r="E183" s="99">
        <v>17514</v>
      </c>
      <c r="F183" s="104">
        <v>8</v>
      </c>
      <c r="G183" s="11">
        <f t="shared" ref="G183" si="55">TRUNC($E183*F183,1)</f>
        <v>140112</v>
      </c>
      <c r="H183" s="104">
        <v>8</v>
      </c>
      <c r="I183" s="11">
        <f t="shared" ref="I183" si="56">TRUNC($E183*H183,1)</f>
        <v>140112</v>
      </c>
      <c r="J183" s="104">
        <v>8</v>
      </c>
      <c r="K183" s="11">
        <f t="shared" ref="K183" si="57">TRUNC($E183*J183,1)</f>
        <v>140112</v>
      </c>
      <c r="L183" s="71"/>
      <c r="M183" s="71"/>
    </row>
    <row r="184" spans="2:13" ht="12.95" customHeight="1" x14ac:dyDescent="0.3">
      <c r="B184" s="54" t="s">
        <v>17</v>
      </c>
      <c r="C184" s="90"/>
      <c r="D184" s="90"/>
      <c r="E184" s="79"/>
      <c r="F184" s="85"/>
      <c r="G184" s="97">
        <f>TRUNC(SUM(G183:G183))</f>
        <v>140112</v>
      </c>
      <c r="H184" s="85"/>
      <c r="I184" s="97">
        <f>TRUNC(SUM(I183:I183))</f>
        <v>140112</v>
      </c>
      <c r="J184" s="85"/>
      <c r="K184" s="97">
        <f>TRUNC(SUM(K183:K183))</f>
        <v>140112</v>
      </c>
      <c r="L184" s="71"/>
      <c r="M184" s="71"/>
    </row>
    <row r="185" spans="2:13" ht="12.95" customHeight="1" x14ac:dyDescent="0.3">
      <c r="B185" s="24"/>
      <c r="C185" s="77"/>
      <c r="D185" s="77"/>
      <c r="E185" s="86"/>
      <c r="F185" s="72"/>
      <c r="G185" s="73"/>
      <c r="H185" s="72"/>
      <c r="I185" s="73"/>
      <c r="J185" s="72"/>
      <c r="K185" s="73"/>
      <c r="L185" s="71"/>
      <c r="M185" s="71"/>
    </row>
    <row r="186" spans="2:13" ht="12.95" customHeight="1" x14ac:dyDescent="0.3">
      <c r="B186" s="111" t="s">
        <v>19</v>
      </c>
      <c r="C186" s="90"/>
      <c r="D186" s="90"/>
      <c r="E186" s="79"/>
      <c r="F186" s="79"/>
      <c r="G186" s="118">
        <f>SUM(G176+G181+G184)</f>
        <v>1634648</v>
      </c>
      <c r="H186" s="79"/>
      <c r="I186" s="118">
        <f>SUM(I176+I181+I184)</f>
        <v>1634648</v>
      </c>
      <c r="J186" s="79"/>
      <c r="K186" s="118">
        <f>SUM(K176+K181+K184)</f>
        <v>1634648</v>
      </c>
      <c r="L186" s="71"/>
      <c r="M186" s="71"/>
    </row>
    <row r="187" spans="2:13" ht="12.95" customHeight="1" x14ac:dyDescent="0.3">
      <c r="B187" s="26" t="s">
        <v>118</v>
      </c>
      <c r="C187" s="27"/>
      <c r="D187" s="66"/>
      <c r="E187" s="28"/>
      <c r="F187" s="29"/>
      <c r="G187" s="30">
        <f>TRUNC(G186/G173)</f>
        <v>18162</v>
      </c>
      <c r="H187" s="29"/>
      <c r="I187" s="30">
        <f>TRUNC(I186/I173)</f>
        <v>27244</v>
      </c>
      <c r="J187" s="29"/>
      <c r="K187" s="30">
        <f>TRUNC(K186/K173)</f>
        <v>40866</v>
      </c>
      <c r="L187" s="71"/>
      <c r="M187" s="71"/>
    </row>
    <row r="188" spans="2:13" ht="12.95" customHeight="1" x14ac:dyDescent="0.3">
      <c r="B188" s="3"/>
      <c r="C188" s="9"/>
      <c r="D188" s="3"/>
      <c r="E188" s="13"/>
      <c r="F188" s="4"/>
      <c r="G188" s="4"/>
    </row>
    <row r="189" spans="2:13" ht="12.95" customHeight="1" x14ac:dyDescent="0.3">
      <c r="B189" s="2" t="s">
        <v>83</v>
      </c>
      <c r="C189" s="93"/>
      <c r="D189" s="68"/>
      <c r="E189" s="94"/>
      <c r="F189" s="68"/>
      <c r="G189" s="68"/>
      <c r="H189" s="68"/>
      <c r="I189" s="68"/>
      <c r="J189" s="68"/>
      <c r="K189" s="101" t="s">
        <v>103</v>
      </c>
    </row>
    <row r="190" spans="2:13" ht="12.95" customHeight="1" x14ac:dyDescent="0.3">
      <c r="B190" s="127" t="s">
        <v>7</v>
      </c>
      <c r="C190" s="125" t="s">
        <v>11</v>
      </c>
      <c r="D190" s="125" t="s">
        <v>12</v>
      </c>
      <c r="E190" s="125" t="s">
        <v>8</v>
      </c>
      <c r="F190" s="131" t="s">
        <v>123</v>
      </c>
      <c r="G190" s="133"/>
      <c r="H190" s="133"/>
      <c r="I190" s="133"/>
      <c r="J190" s="133"/>
      <c r="K190" s="133"/>
    </row>
    <row r="191" spans="2:13" ht="12.95" customHeight="1" x14ac:dyDescent="0.3">
      <c r="B191" s="128"/>
      <c r="C191" s="130"/>
      <c r="D191" s="130"/>
      <c r="E191" s="130"/>
      <c r="F191" s="136" t="s">
        <v>122</v>
      </c>
      <c r="G191" s="137"/>
      <c r="H191" s="136" t="s">
        <v>80</v>
      </c>
      <c r="I191" s="137"/>
      <c r="J191" s="136" t="s">
        <v>81</v>
      </c>
      <c r="K191" s="137"/>
    </row>
    <row r="192" spans="2:13" ht="12.95" customHeight="1" x14ac:dyDescent="0.3">
      <c r="B192" s="128"/>
      <c r="C192" s="130"/>
      <c r="D192" s="130"/>
      <c r="E192" s="130"/>
      <c r="F192" s="107" t="s">
        <v>116</v>
      </c>
      <c r="G192" s="115">
        <v>50</v>
      </c>
      <c r="H192" s="107" t="s">
        <v>116</v>
      </c>
      <c r="I192" s="115">
        <v>30</v>
      </c>
      <c r="J192" s="107" t="s">
        <v>116</v>
      </c>
      <c r="K192" s="115">
        <v>15</v>
      </c>
    </row>
    <row r="193" spans="2:13" ht="12.95" customHeight="1" x14ac:dyDescent="0.3">
      <c r="B193" s="129"/>
      <c r="C193" s="126"/>
      <c r="D193" s="126"/>
      <c r="E193" s="126"/>
      <c r="F193" s="63" t="s">
        <v>104</v>
      </c>
      <c r="G193" s="64" t="s">
        <v>105</v>
      </c>
      <c r="H193" s="63" t="s">
        <v>104</v>
      </c>
      <c r="I193" s="64" t="s">
        <v>105</v>
      </c>
      <c r="J193" s="63" t="s">
        <v>104</v>
      </c>
      <c r="K193" s="64" t="s">
        <v>105</v>
      </c>
    </row>
    <row r="194" spans="2:13" ht="12.95" customHeight="1" x14ac:dyDescent="0.3">
      <c r="B194" s="77" t="s">
        <v>34</v>
      </c>
      <c r="C194" s="77"/>
      <c r="D194" s="6" t="s">
        <v>14</v>
      </c>
      <c r="E194" s="99">
        <v>235204</v>
      </c>
      <c r="F194" s="104">
        <v>4</v>
      </c>
      <c r="G194" s="11">
        <f t="shared" ref="G194:G195" si="58">TRUNC($E194*F194,1)</f>
        <v>940816</v>
      </c>
      <c r="H194" s="104">
        <v>4</v>
      </c>
      <c r="I194" s="11">
        <f t="shared" ref="I194:I195" si="59">TRUNC($E194*H194,1)</f>
        <v>940816</v>
      </c>
      <c r="J194" s="104">
        <v>4</v>
      </c>
      <c r="K194" s="11">
        <f t="shared" ref="K194:K195" si="60">TRUNC($E194*J194,1)</f>
        <v>940816</v>
      </c>
    </row>
    <row r="195" spans="2:13" ht="12.95" customHeight="1" x14ac:dyDescent="0.3">
      <c r="B195" s="77" t="s">
        <v>1</v>
      </c>
      <c r="C195" s="77"/>
      <c r="D195" s="6" t="s">
        <v>14</v>
      </c>
      <c r="E195" s="99">
        <v>172068</v>
      </c>
      <c r="F195" s="104">
        <v>2</v>
      </c>
      <c r="G195" s="11">
        <f t="shared" si="58"/>
        <v>344136</v>
      </c>
      <c r="H195" s="104">
        <v>2</v>
      </c>
      <c r="I195" s="11">
        <f t="shared" si="59"/>
        <v>344136</v>
      </c>
      <c r="J195" s="104">
        <v>2</v>
      </c>
      <c r="K195" s="11">
        <f t="shared" si="60"/>
        <v>344136</v>
      </c>
    </row>
    <row r="196" spans="2:13" ht="12.95" customHeight="1" x14ac:dyDescent="0.3">
      <c r="B196" s="48" t="s">
        <v>16</v>
      </c>
      <c r="C196" s="90"/>
      <c r="D196" s="90"/>
      <c r="E196" s="100"/>
      <c r="F196" s="119"/>
      <c r="G196" s="96">
        <f>TRUNC(SUM(G194:G195))</f>
        <v>1284952</v>
      </c>
      <c r="H196" s="119"/>
      <c r="I196" s="96">
        <f>TRUNC(SUM(I194:I195))</f>
        <v>1284952</v>
      </c>
      <c r="J196" s="119"/>
      <c r="K196" s="96">
        <f>TRUNC(SUM(K194:K195))</f>
        <v>1284952</v>
      </c>
    </row>
    <row r="197" spans="2:13" ht="12.95" customHeight="1" x14ac:dyDescent="0.3">
      <c r="B197" s="24"/>
      <c r="C197" s="77"/>
      <c r="D197" s="77"/>
      <c r="E197" s="86"/>
      <c r="F197" s="72"/>
      <c r="G197" s="73"/>
      <c r="H197" s="72"/>
      <c r="I197" s="73"/>
      <c r="J197" s="72"/>
      <c r="K197" s="73"/>
    </row>
    <row r="198" spans="2:13" ht="12.95" customHeight="1" x14ac:dyDescent="0.3">
      <c r="B198" s="111" t="s">
        <v>19</v>
      </c>
      <c r="C198" s="90"/>
      <c r="D198" s="90"/>
      <c r="E198" s="79"/>
      <c r="F198" s="79"/>
      <c r="G198" s="118">
        <f>SUM(G196)</f>
        <v>1284952</v>
      </c>
      <c r="H198" s="79"/>
      <c r="I198" s="118">
        <f>SUM(I196)</f>
        <v>1284952</v>
      </c>
      <c r="J198" s="79"/>
      <c r="K198" s="118">
        <f>SUM(K196)</f>
        <v>1284952</v>
      </c>
    </row>
    <row r="199" spans="2:13" ht="12.95" customHeight="1" x14ac:dyDescent="0.3">
      <c r="B199" s="26" t="s">
        <v>118</v>
      </c>
      <c r="C199" s="27"/>
      <c r="D199" s="66"/>
      <c r="E199" s="28"/>
      <c r="F199" s="29"/>
      <c r="G199" s="30">
        <f>TRUNC(G198/G192)</f>
        <v>25699</v>
      </c>
      <c r="H199" s="29"/>
      <c r="I199" s="30">
        <f>TRUNC(I198/I192)</f>
        <v>42831</v>
      </c>
      <c r="J199" s="29"/>
      <c r="K199" s="30">
        <f>TRUNC(K198/K192)</f>
        <v>85663</v>
      </c>
    </row>
    <row r="200" spans="2:13" ht="12.95" customHeight="1" x14ac:dyDescent="0.3">
      <c r="B200" s="127" t="s">
        <v>7</v>
      </c>
      <c r="C200" s="125" t="s">
        <v>11</v>
      </c>
      <c r="D200" s="125" t="s">
        <v>12</v>
      </c>
      <c r="E200" s="125" t="s">
        <v>8</v>
      </c>
      <c r="F200" s="131" t="s">
        <v>124</v>
      </c>
      <c r="G200" s="133"/>
      <c r="H200" s="133"/>
      <c r="I200" s="133"/>
      <c r="J200" s="133"/>
      <c r="K200" s="133"/>
    </row>
    <row r="201" spans="2:13" ht="12.95" customHeight="1" x14ac:dyDescent="0.3">
      <c r="B201" s="128"/>
      <c r="C201" s="130"/>
      <c r="D201" s="130"/>
      <c r="E201" s="130"/>
      <c r="F201" s="136" t="s">
        <v>122</v>
      </c>
      <c r="G201" s="137"/>
      <c r="H201" s="136" t="s">
        <v>80</v>
      </c>
      <c r="I201" s="137"/>
      <c r="J201" s="136" t="s">
        <v>81</v>
      </c>
      <c r="K201" s="137"/>
    </row>
    <row r="202" spans="2:13" ht="12.95" customHeight="1" x14ac:dyDescent="0.3">
      <c r="B202" s="128"/>
      <c r="C202" s="130"/>
      <c r="D202" s="130"/>
      <c r="E202" s="130"/>
      <c r="F202" s="107" t="s">
        <v>116</v>
      </c>
      <c r="G202" s="115">
        <v>70</v>
      </c>
      <c r="H202" s="107" t="s">
        <v>116</v>
      </c>
      <c r="I202" s="115">
        <v>40</v>
      </c>
      <c r="J202" s="107" t="s">
        <v>116</v>
      </c>
      <c r="K202" s="115">
        <v>25</v>
      </c>
    </row>
    <row r="203" spans="2:13" ht="12.95" customHeight="1" x14ac:dyDescent="0.3">
      <c r="B203" s="129"/>
      <c r="C203" s="126"/>
      <c r="D203" s="126"/>
      <c r="E203" s="126"/>
      <c r="F203" s="63" t="s">
        <v>104</v>
      </c>
      <c r="G203" s="64" t="s">
        <v>105</v>
      </c>
      <c r="H203" s="63" t="s">
        <v>104</v>
      </c>
      <c r="I203" s="64" t="s">
        <v>105</v>
      </c>
      <c r="J203" s="63" t="s">
        <v>104</v>
      </c>
      <c r="K203" s="64" t="s">
        <v>105</v>
      </c>
      <c r="L203" s="71"/>
      <c r="M203" s="71"/>
    </row>
    <row r="204" spans="2:13" ht="12.95" customHeight="1" x14ac:dyDescent="0.3">
      <c r="B204" s="77" t="s">
        <v>145</v>
      </c>
      <c r="C204" s="77" t="s">
        <v>82</v>
      </c>
      <c r="D204" s="95" t="s">
        <v>25</v>
      </c>
      <c r="E204" s="99">
        <v>18182</v>
      </c>
      <c r="F204" s="104">
        <v>8</v>
      </c>
      <c r="G204" s="11">
        <f t="shared" ref="G204" si="61">TRUNC($E204*F204,1)</f>
        <v>145456</v>
      </c>
      <c r="H204" s="104">
        <v>8</v>
      </c>
      <c r="I204" s="11">
        <f t="shared" ref="I204" si="62">TRUNC($E204*H204,1)</f>
        <v>145456</v>
      </c>
      <c r="J204" s="104">
        <v>8</v>
      </c>
      <c r="K204" s="11">
        <f t="shared" ref="K204" si="63">TRUNC($E204*J204,1)</f>
        <v>145456</v>
      </c>
      <c r="L204" s="71"/>
      <c r="M204" s="71"/>
    </row>
    <row r="205" spans="2:13" ht="12.95" customHeight="1" x14ac:dyDescent="0.3">
      <c r="B205" s="54" t="s">
        <v>15</v>
      </c>
      <c r="C205" s="90"/>
      <c r="D205" s="90"/>
      <c r="E205" s="100"/>
      <c r="F205" s="119"/>
      <c r="G205" s="96">
        <f>TRUNC(SUM(G204:G204))</f>
        <v>145456</v>
      </c>
      <c r="H205" s="119"/>
      <c r="I205" s="96">
        <f>TRUNC(SUM(I204:I204))</f>
        <v>145456</v>
      </c>
      <c r="J205" s="119"/>
      <c r="K205" s="96">
        <f>TRUNC(SUM(K204:K204))</f>
        <v>145456</v>
      </c>
      <c r="L205" s="71"/>
      <c r="M205" s="71"/>
    </row>
    <row r="206" spans="2:13" ht="12.95" customHeight="1" x14ac:dyDescent="0.3">
      <c r="B206" s="89"/>
      <c r="C206" s="90"/>
      <c r="D206" s="90"/>
      <c r="E206" s="100"/>
      <c r="F206" s="119"/>
      <c r="G206" s="82"/>
      <c r="H206" s="119"/>
      <c r="I206" s="82"/>
      <c r="J206" s="119"/>
      <c r="K206" s="82"/>
      <c r="L206" s="71"/>
      <c r="M206" s="71"/>
    </row>
    <row r="207" spans="2:13" ht="12.95" customHeight="1" x14ac:dyDescent="0.3">
      <c r="B207" s="77" t="s">
        <v>34</v>
      </c>
      <c r="C207" s="77"/>
      <c r="D207" s="6" t="s">
        <v>14</v>
      </c>
      <c r="E207" s="99">
        <v>235204</v>
      </c>
      <c r="F207" s="104">
        <v>3</v>
      </c>
      <c r="G207" s="11">
        <f t="shared" ref="G207:G209" si="64">TRUNC($E207*F207,1)</f>
        <v>705612</v>
      </c>
      <c r="H207" s="104">
        <v>3</v>
      </c>
      <c r="I207" s="11">
        <f t="shared" ref="I207:I209" si="65">TRUNC($E207*H207,1)</f>
        <v>705612</v>
      </c>
      <c r="J207" s="104">
        <v>3</v>
      </c>
      <c r="K207" s="11">
        <f t="shared" ref="K207:K209" si="66">TRUNC($E207*J207,1)</f>
        <v>705612</v>
      </c>
      <c r="L207" s="71"/>
      <c r="M207" s="71"/>
    </row>
    <row r="208" spans="2:13" ht="12.95" customHeight="1" x14ac:dyDescent="0.3">
      <c r="B208" s="77" t="s">
        <v>1</v>
      </c>
      <c r="C208" s="77"/>
      <c r="D208" s="6" t="s">
        <v>14</v>
      </c>
      <c r="E208" s="99">
        <v>172068</v>
      </c>
      <c r="F208" s="104">
        <v>1</v>
      </c>
      <c r="G208" s="11">
        <f t="shared" si="64"/>
        <v>172068</v>
      </c>
      <c r="H208" s="104">
        <v>1</v>
      </c>
      <c r="I208" s="11">
        <f t="shared" si="65"/>
        <v>172068</v>
      </c>
      <c r="J208" s="104">
        <v>1</v>
      </c>
      <c r="K208" s="11">
        <f t="shared" si="66"/>
        <v>172068</v>
      </c>
      <c r="L208" s="71"/>
      <c r="M208" s="71"/>
    </row>
    <row r="209" spans="2:13" ht="12.95" customHeight="1" x14ac:dyDescent="0.3">
      <c r="B209" s="77" t="s">
        <v>145</v>
      </c>
      <c r="C209" s="77" t="s">
        <v>82</v>
      </c>
      <c r="D209" s="95" t="s">
        <v>25</v>
      </c>
      <c r="E209" s="99">
        <v>58925</v>
      </c>
      <c r="F209" s="104">
        <v>8</v>
      </c>
      <c r="G209" s="11">
        <f t="shared" si="64"/>
        <v>471400</v>
      </c>
      <c r="H209" s="104">
        <v>8</v>
      </c>
      <c r="I209" s="11">
        <f t="shared" si="65"/>
        <v>471400</v>
      </c>
      <c r="J209" s="104">
        <v>8</v>
      </c>
      <c r="K209" s="11">
        <f t="shared" si="66"/>
        <v>471400</v>
      </c>
      <c r="L209" s="71"/>
      <c r="M209" s="71"/>
    </row>
    <row r="210" spans="2:13" ht="12.95" customHeight="1" x14ac:dyDescent="0.3">
      <c r="B210" s="48" t="s">
        <v>16</v>
      </c>
      <c r="C210" s="90"/>
      <c r="D210" s="90"/>
      <c r="E210" s="100"/>
      <c r="F210" s="119"/>
      <c r="G210" s="96">
        <f>TRUNC(SUM(G207:G209))</f>
        <v>1349080</v>
      </c>
      <c r="H210" s="119"/>
      <c r="I210" s="96">
        <f>TRUNC(SUM(I207:I209))</f>
        <v>1349080</v>
      </c>
      <c r="J210" s="119"/>
      <c r="K210" s="96">
        <f>TRUNC(SUM(K207:K209))</f>
        <v>1349080</v>
      </c>
      <c r="L210" s="71"/>
      <c r="M210" s="71"/>
    </row>
    <row r="211" spans="2:13" ht="12.95" customHeight="1" x14ac:dyDescent="0.3">
      <c r="B211" s="89"/>
      <c r="C211" s="90"/>
      <c r="D211" s="90"/>
      <c r="E211" s="100"/>
      <c r="F211" s="119"/>
      <c r="G211" s="82"/>
      <c r="H211" s="119"/>
      <c r="I211" s="82"/>
      <c r="J211" s="119"/>
      <c r="K211" s="82"/>
      <c r="L211" s="71"/>
      <c r="M211" s="71"/>
    </row>
    <row r="212" spans="2:13" ht="12.95" customHeight="1" x14ac:dyDescent="0.3">
      <c r="B212" s="77" t="s">
        <v>145</v>
      </c>
      <c r="C212" s="77" t="s">
        <v>82</v>
      </c>
      <c r="D212" s="95" t="s">
        <v>25</v>
      </c>
      <c r="E212" s="99">
        <v>17514</v>
      </c>
      <c r="F212" s="104">
        <v>8</v>
      </c>
      <c r="G212" s="11">
        <f t="shared" ref="G212" si="67">TRUNC($E212*F212,1)</f>
        <v>140112</v>
      </c>
      <c r="H212" s="104">
        <v>8</v>
      </c>
      <c r="I212" s="11">
        <f t="shared" ref="I212" si="68">TRUNC($E212*H212,1)</f>
        <v>140112</v>
      </c>
      <c r="J212" s="104">
        <v>8</v>
      </c>
      <c r="K212" s="11">
        <f t="shared" ref="K212" si="69">TRUNC($E212*J212,1)</f>
        <v>140112</v>
      </c>
      <c r="L212" s="71"/>
      <c r="M212" s="71"/>
    </row>
    <row r="213" spans="2:13" ht="12.95" customHeight="1" x14ac:dyDescent="0.3">
      <c r="B213" s="54" t="s">
        <v>17</v>
      </c>
      <c r="C213" s="90"/>
      <c r="D213" s="90"/>
      <c r="E213" s="79"/>
      <c r="F213" s="85"/>
      <c r="G213" s="97">
        <f>TRUNC(SUM(G212:G212))</f>
        <v>140112</v>
      </c>
      <c r="H213" s="85"/>
      <c r="I213" s="97">
        <f>TRUNC(SUM(I212:I212))</f>
        <v>140112</v>
      </c>
      <c r="J213" s="85"/>
      <c r="K213" s="97">
        <f>TRUNC(SUM(K212:K212))</f>
        <v>140112</v>
      </c>
      <c r="L213" s="71"/>
      <c r="M213" s="71"/>
    </row>
    <row r="214" spans="2:13" ht="12.95" customHeight="1" x14ac:dyDescent="0.3">
      <c r="B214" s="24"/>
      <c r="C214" s="77"/>
      <c r="D214" s="77"/>
      <c r="E214" s="86"/>
      <c r="F214" s="72"/>
      <c r="G214" s="73"/>
      <c r="H214" s="72"/>
      <c r="I214" s="73"/>
      <c r="J214" s="72"/>
      <c r="K214" s="73"/>
      <c r="L214" s="71"/>
      <c r="M214" s="71"/>
    </row>
    <row r="215" spans="2:13" ht="12.95" customHeight="1" x14ac:dyDescent="0.3">
      <c r="B215" s="111" t="s">
        <v>19</v>
      </c>
      <c r="C215" s="90"/>
      <c r="D215" s="90"/>
      <c r="E215" s="79"/>
      <c r="F215" s="79"/>
      <c r="G215" s="118">
        <f>SUM(G205+G210+G213)</f>
        <v>1634648</v>
      </c>
      <c r="H215" s="79"/>
      <c r="I215" s="118">
        <f>SUM(I205+I210+I213)</f>
        <v>1634648</v>
      </c>
      <c r="J215" s="79"/>
      <c r="K215" s="118">
        <f>SUM(K205+K210+K213)</f>
        <v>1634648</v>
      </c>
      <c r="L215" s="71"/>
      <c r="M215" s="71"/>
    </row>
    <row r="216" spans="2:13" ht="12.95" customHeight="1" x14ac:dyDescent="0.3">
      <c r="B216" s="26" t="s">
        <v>118</v>
      </c>
      <c r="C216" s="27"/>
      <c r="D216" s="66"/>
      <c r="E216" s="28"/>
      <c r="F216" s="29"/>
      <c r="G216" s="30">
        <f>TRUNC(G215/G202)</f>
        <v>23352</v>
      </c>
      <c r="H216" s="29"/>
      <c r="I216" s="30">
        <f>TRUNC(I215/I202)</f>
        <v>40866</v>
      </c>
      <c r="J216" s="29"/>
      <c r="K216" s="30">
        <f>TRUNC(K215/K202)</f>
        <v>65385</v>
      </c>
      <c r="L216" s="71"/>
      <c r="M216" s="71"/>
    </row>
    <row r="217" spans="2:13" ht="12.95" customHeight="1" x14ac:dyDescent="0.3">
      <c r="B217" s="127" t="s">
        <v>7</v>
      </c>
      <c r="C217" s="125" t="s">
        <v>11</v>
      </c>
      <c r="D217" s="125" t="s">
        <v>12</v>
      </c>
      <c r="E217" s="125" t="s">
        <v>8</v>
      </c>
      <c r="F217" s="131" t="s">
        <v>124</v>
      </c>
      <c r="G217" s="133"/>
      <c r="H217" s="133"/>
      <c r="I217" s="133"/>
    </row>
    <row r="218" spans="2:13" ht="12.95" customHeight="1" x14ac:dyDescent="0.3">
      <c r="B218" s="128"/>
      <c r="C218" s="130"/>
      <c r="D218" s="130"/>
      <c r="E218" s="130"/>
      <c r="F218" s="136" t="s">
        <v>125</v>
      </c>
      <c r="G218" s="137"/>
      <c r="H218" s="136" t="s">
        <v>126</v>
      </c>
      <c r="I218" s="137"/>
    </row>
    <row r="219" spans="2:13" ht="12.95" customHeight="1" x14ac:dyDescent="0.3">
      <c r="B219" s="128"/>
      <c r="C219" s="130"/>
      <c r="D219" s="130"/>
      <c r="E219" s="130"/>
      <c r="F219" s="107" t="s">
        <v>116</v>
      </c>
      <c r="G219" s="115">
        <v>15</v>
      </c>
      <c r="H219" s="107" t="s">
        <v>116</v>
      </c>
      <c r="I219" s="115">
        <v>10</v>
      </c>
    </row>
    <row r="220" spans="2:13" ht="12.95" customHeight="1" x14ac:dyDescent="0.3">
      <c r="B220" s="129"/>
      <c r="C220" s="126"/>
      <c r="D220" s="126"/>
      <c r="E220" s="126"/>
      <c r="F220" s="63" t="s">
        <v>104</v>
      </c>
      <c r="G220" s="64" t="s">
        <v>105</v>
      </c>
      <c r="H220" s="63" t="s">
        <v>104</v>
      </c>
      <c r="I220" s="64" t="s">
        <v>105</v>
      </c>
      <c r="J220" s="71"/>
      <c r="K220" s="71"/>
    </row>
    <row r="221" spans="2:13" ht="12.95" customHeight="1" x14ac:dyDescent="0.3">
      <c r="B221" s="77" t="s">
        <v>145</v>
      </c>
      <c r="C221" s="77" t="s">
        <v>82</v>
      </c>
      <c r="D221" s="95" t="s">
        <v>25</v>
      </c>
      <c r="E221" s="99">
        <v>18182</v>
      </c>
      <c r="F221" s="104">
        <v>8</v>
      </c>
      <c r="G221" s="11">
        <f t="shared" ref="G221" si="70">TRUNC($E221*F221,1)</f>
        <v>145456</v>
      </c>
      <c r="H221" s="104">
        <v>8</v>
      </c>
      <c r="I221" s="11">
        <f t="shared" ref="I221" si="71">TRUNC($E221*H221,1)</f>
        <v>145456</v>
      </c>
      <c r="J221" s="71"/>
      <c r="K221" s="71"/>
    </row>
    <row r="222" spans="2:13" ht="12.95" customHeight="1" x14ac:dyDescent="0.3">
      <c r="B222" s="54" t="s">
        <v>15</v>
      </c>
      <c r="C222" s="90"/>
      <c r="D222" s="90"/>
      <c r="E222" s="100"/>
      <c r="F222" s="119"/>
      <c r="G222" s="96">
        <f>TRUNC(SUM(G221:G221))</f>
        <v>145456</v>
      </c>
      <c r="H222" s="119"/>
      <c r="I222" s="96">
        <f>TRUNC(SUM(I221:I221))</f>
        <v>145456</v>
      </c>
      <c r="J222" s="71"/>
      <c r="K222" s="71"/>
    </row>
    <row r="223" spans="2:13" ht="12.95" customHeight="1" x14ac:dyDescent="0.3">
      <c r="B223" s="89"/>
      <c r="C223" s="90"/>
      <c r="D223" s="90"/>
      <c r="E223" s="100"/>
      <c r="F223" s="119"/>
      <c r="G223" s="82"/>
      <c r="H223" s="119"/>
      <c r="I223" s="82"/>
      <c r="J223" s="71"/>
      <c r="K223" s="71"/>
    </row>
    <row r="224" spans="2:13" ht="12.95" customHeight="1" x14ac:dyDescent="0.3">
      <c r="B224" s="77" t="s">
        <v>34</v>
      </c>
      <c r="C224" s="77"/>
      <c r="D224" s="6" t="s">
        <v>14</v>
      </c>
      <c r="E224" s="99">
        <v>235204</v>
      </c>
      <c r="F224" s="104">
        <v>3</v>
      </c>
      <c r="G224" s="11">
        <f t="shared" ref="G224:G226" si="72">TRUNC($E224*F224,1)</f>
        <v>705612</v>
      </c>
      <c r="H224" s="104">
        <v>3</v>
      </c>
      <c r="I224" s="11">
        <f t="shared" ref="I224:I226" si="73">TRUNC($E224*H224,1)</f>
        <v>705612</v>
      </c>
      <c r="J224" s="71"/>
      <c r="K224" s="71"/>
    </row>
    <row r="225" spans="2:11" ht="12.95" customHeight="1" x14ac:dyDescent="0.3">
      <c r="B225" s="77" t="s">
        <v>1</v>
      </c>
      <c r="C225" s="77"/>
      <c r="D225" s="6" t="s">
        <v>14</v>
      </c>
      <c r="E225" s="99">
        <v>172068</v>
      </c>
      <c r="F225" s="104">
        <v>1</v>
      </c>
      <c r="G225" s="11">
        <f t="shared" si="72"/>
        <v>172068</v>
      </c>
      <c r="H225" s="104">
        <v>1</v>
      </c>
      <c r="I225" s="11">
        <f t="shared" si="73"/>
        <v>172068</v>
      </c>
      <c r="J225" s="71"/>
      <c r="K225" s="71"/>
    </row>
    <row r="226" spans="2:11" ht="12.95" customHeight="1" x14ac:dyDescent="0.3">
      <c r="B226" s="77" t="s">
        <v>145</v>
      </c>
      <c r="C226" s="77" t="s">
        <v>82</v>
      </c>
      <c r="D226" s="95" t="s">
        <v>25</v>
      </c>
      <c r="E226" s="99">
        <v>58925</v>
      </c>
      <c r="F226" s="104">
        <v>8</v>
      </c>
      <c r="G226" s="11">
        <f t="shared" si="72"/>
        <v>471400</v>
      </c>
      <c r="H226" s="104">
        <v>8</v>
      </c>
      <c r="I226" s="11">
        <f t="shared" si="73"/>
        <v>471400</v>
      </c>
      <c r="J226" s="71"/>
      <c r="K226" s="71"/>
    </row>
    <row r="227" spans="2:11" ht="12.95" customHeight="1" x14ac:dyDescent="0.3">
      <c r="B227" s="48" t="s">
        <v>16</v>
      </c>
      <c r="C227" s="90"/>
      <c r="D227" s="90"/>
      <c r="E227" s="100"/>
      <c r="F227" s="119"/>
      <c r="G227" s="96">
        <f>TRUNC(SUM(G224:G226))</f>
        <v>1349080</v>
      </c>
      <c r="H227" s="119"/>
      <c r="I227" s="96">
        <f>TRUNC(SUM(I224:I226))</f>
        <v>1349080</v>
      </c>
      <c r="J227" s="71"/>
      <c r="K227" s="71"/>
    </row>
    <row r="228" spans="2:11" ht="12.95" customHeight="1" x14ac:dyDescent="0.3">
      <c r="B228" s="89"/>
      <c r="C228" s="90"/>
      <c r="D228" s="90"/>
      <c r="E228" s="100"/>
      <c r="F228" s="119"/>
      <c r="G228" s="82"/>
      <c r="H228" s="119"/>
      <c r="I228" s="82"/>
      <c r="J228" s="71"/>
      <c r="K228" s="71"/>
    </row>
    <row r="229" spans="2:11" ht="12.95" customHeight="1" x14ac:dyDescent="0.3">
      <c r="B229" s="77" t="s">
        <v>145</v>
      </c>
      <c r="C229" s="77" t="s">
        <v>82</v>
      </c>
      <c r="D229" s="95" t="s">
        <v>25</v>
      </c>
      <c r="E229" s="99">
        <v>17514</v>
      </c>
      <c r="F229" s="104">
        <v>8</v>
      </c>
      <c r="G229" s="11">
        <f t="shared" ref="G229" si="74">TRUNC($E229*F229,1)</f>
        <v>140112</v>
      </c>
      <c r="H229" s="104">
        <v>8</v>
      </c>
      <c r="I229" s="11">
        <f t="shared" ref="I229" si="75">TRUNC($E229*H229,1)</f>
        <v>140112</v>
      </c>
      <c r="J229" s="71"/>
      <c r="K229" s="71"/>
    </row>
    <row r="230" spans="2:11" ht="12.95" customHeight="1" x14ac:dyDescent="0.3">
      <c r="B230" s="54" t="s">
        <v>17</v>
      </c>
      <c r="C230" s="90"/>
      <c r="D230" s="90"/>
      <c r="E230" s="79"/>
      <c r="F230" s="85"/>
      <c r="G230" s="97">
        <f>TRUNC(SUM(G229:G229))</f>
        <v>140112</v>
      </c>
      <c r="H230" s="85"/>
      <c r="I230" s="97">
        <f>TRUNC(SUM(I229:I229))</f>
        <v>140112</v>
      </c>
      <c r="J230" s="71"/>
      <c r="K230" s="71"/>
    </row>
    <row r="231" spans="2:11" ht="12.95" customHeight="1" x14ac:dyDescent="0.3">
      <c r="B231" s="24"/>
      <c r="C231" s="77"/>
      <c r="D231" s="77"/>
      <c r="E231" s="86"/>
      <c r="F231" s="72"/>
      <c r="G231" s="73"/>
      <c r="H231" s="72"/>
      <c r="I231" s="73"/>
      <c r="J231" s="71"/>
      <c r="K231" s="71"/>
    </row>
    <row r="232" spans="2:11" ht="12.95" customHeight="1" x14ac:dyDescent="0.3">
      <c r="B232" s="111" t="s">
        <v>19</v>
      </c>
      <c r="C232" s="90"/>
      <c r="D232" s="90"/>
      <c r="E232" s="79"/>
      <c r="F232" s="79"/>
      <c r="G232" s="118">
        <f>SUM(G222+G227+G230)</f>
        <v>1634648</v>
      </c>
      <c r="H232" s="79"/>
      <c r="I232" s="118">
        <f>SUM(I222+I227+I230)</f>
        <v>1634648</v>
      </c>
      <c r="J232" s="71"/>
      <c r="K232" s="71"/>
    </row>
    <row r="233" spans="2:11" ht="12.95" customHeight="1" x14ac:dyDescent="0.3">
      <c r="B233" s="26" t="s">
        <v>118</v>
      </c>
      <c r="C233" s="27"/>
      <c r="D233" s="66"/>
      <c r="E233" s="28"/>
      <c r="F233" s="29"/>
      <c r="G233" s="30">
        <f>TRUNC(G232/G219)</f>
        <v>108976</v>
      </c>
      <c r="H233" s="29"/>
      <c r="I233" s="30">
        <f>TRUNC(I232/I219)</f>
        <v>163464</v>
      </c>
      <c r="J233" s="71"/>
      <c r="K233" s="71"/>
    </row>
    <row r="234" spans="2:11" ht="12.95" customHeight="1" x14ac:dyDescent="0.3">
      <c r="B234" s="127" t="s">
        <v>7</v>
      </c>
      <c r="C234" s="125" t="s">
        <v>11</v>
      </c>
      <c r="D234" s="125" t="s">
        <v>12</v>
      </c>
      <c r="E234" s="125" t="s">
        <v>8</v>
      </c>
      <c r="F234" s="131" t="s">
        <v>124</v>
      </c>
      <c r="G234" s="133"/>
      <c r="H234" s="133"/>
      <c r="I234" s="133"/>
    </row>
    <row r="235" spans="2:11" ht="12.95" customHeight="1" x14ac:dyDescent="0.3">
      <c r="B235" s="128"/>
      <c r="C235" s="130"/>
      <c r="D235" s="130"/>
      <c r="E235" s="130"/>
      <c r="F235" s="136" t="s">
        <v>127</v>
      </c>
      <c r="G235" s="137"/>
      <c r="H235" s="136" t="s">
        <v>128</v>
      </c>
      <c r="I235" s="137"/>
    </row>
    <row r="236" spans="2:11" ht="12.95" customHeight="1" x14ac:dyDescent="0.3">
      <c r="B236" s="128"/>
      <c r="C236" s="130"/>
      <c r="D236" s="130"/>
      <c r="E236" s="130"/>
      <c r="F236" s="107" t="s">
        <v>116</v>
      </c>
      <c r="G236" s="115">
        <v>7</v>
      </c>
      <c r="H236" s="107" t="s">
        <v>116</v>
      </c>
      <c r="I236" s="115">
        <v>5</v>
      </c>
    </row>
    <row r="237" spans="2:11" ht="12.95" customHeight="1" x14ac:dyDescent="0.3">
      <c r="B237" s="129"/>
      <c r="C237" s="126"/>
      <c r="D237" s="126"/>
      <c r="E237" s="126"/>
      <c r="F237" s="63" t="s">
        <v>104</v>
      </c>
      <c r="G237" s="64" t="s">
        <v>105</v>
      </c>
      <c r="H237" s="63" t="s">
        <v>104</v>
      </c>
      <c r="I237" s="64" t="s">
        <v>105</v>
      </c>
    </row>
    <row r="238" spans="2:11" ht="12.95" customHeight="1" x14ac:dyDescent="0.3">
      <c r="B238" s="19" t="s">
        <v>145</v>
      </c>
      <c r="C238" s="19" t="s">
        <v>6</v>
      </c>
      <c r="D238" s="67" t="s">
        <v>20</v>
      </c>
      <c r="E238" s="99">
        <v>18733</v>
      </c>
      <c r="F238" s="104">
        <v>8</v>
      </c>
      <c r="G238" s="11">
        <f t="shared" ref="G238:I239" si="76">TRUNC($E238*F238,1)</f>
        <v>149864</v>
      </c>
      <c r="H238" s="104">
        <v>8</v>
      </c>
      <c r="I238" s="11">
        <f t="shared" si="76"/>
        <v>149864</v>
      </c>
    </row>
    <row r="239" spans="2:11" ht="12.95" customHeight="1" x14ac:dyDescent="0.3">
      <c r="B239" s="19" t="s">
        <v>3</v>
      </c>
      <c r="C239" s="19" t="s">
        <v>23</v>
      </c>
      <c r="D239" s="67" t="s">
        <v>20</v>
      </c>
      <c r="E239" s="99">
        <v>19871</v>
      </c>
      <c r="F239" s="104">
        <v>8</v>
      </c>
      <c r="G239" s="11">
        <f t="shared" si="76"/>
        <v>158968</v>
      </c>
      <c r="H239" s="104">
        <v>8</v>
      </c>
      <c r="I239" s="11">
        <f t="shared" si="76"/>
        <v>158968</v>
      </c>
    </row>
    <row r="240" spans="2:11" ht="12.95" customHeight="1" x14ac:dyDescent="0.3">
      <c r="B240" s="54" t="s">
        <v>15</v>
      </c>
      <c r="C240" s="90"/>
      <c r="D240" s="90"/>
      <c r="E240" s="100"/>
      <c r="F240" s="119"/>
      <c r="G240" s="96">
        <f>TRUNC(SUM(G238:G239))</f>
        <v>308832</v>
      </c>
      <c r="H240" s="119"/>
      <c r="I240" s="96">
        <f>TRUNC(SUM(I238:I239))</f>
        <v>308832</v>
      </c>
    </row>
    <row r="241" spans="2:9" ht="12.95" customHeight="1" x14ac:dyDescent="0.3">
      <c r="B241" s="89"/>
      <c r="C241" s="90"/>
      <c r="D241" s="90"/>
      <c r="E241" s="100"/>
      <c r="F241" s="119"/>
      <c r="G241" s="82"/>
      <c r="H241" s="119"/>
      <c r="I241" s="82"/>
    </row>
    <row r="242" spans="2:9" ht="12.95" customHeight="1" x14ac:dyDescent="0.3">
      <c r="B242" s="77" t="s">
        <v>34</v>
      </c>
      <c r="C242" s="77"/>
      <c r="D242" s="6" t="s">
        <v>14</v>
      </c>
      <c r="E242" s="99">
        <v>235204</v>
      </c>
      <c r="F242" s="104">
        <v>3</v>
      </c>
      <c r="G242" s="11">
        <f t="shared" ref="G242:I245" si="77">TRUNC($E242*F242,1)</f>
        <v>705612</v>
      </c>
      <c r="H242" s="104">
        <v>3</v>
      </c>
      <c r="I242" s="11">
        <f t="shared" si="77"/>
        <v>705612</v>
      </c>
    </row>
    <row r="243" spans="2:9" ht="12.95" customHeight="1" x14ac:dyDescent="0.3">
      <c r="B243" s="77" t="s">
        <v>1</v>
      </c>
      <c r="C243" s="77"/>
      <c r="D243" s="6" t="s">
        <v>14</v>
      </c>
      <c r="E243" s="99">
        <v>172068</v>
      </c>
      <c r="F243" s="104">
        <v>1</v>
      </c>
      <c r="G243" s="11">
        <f t="shared" si="77"/>
        <v>172068</v>
      </c>
      <c r="H243" s="104">
        <v>1</v>
      </c>
      <c r="I243" s="11">
        <f t="shared" si="77"/>
        <v>172068</v>
      </c>
    </row>
    <row r="244" spans="2:9" ht="12.95" customHeight="1" x14ac:dyDescent="0.3">
      <c r="B244" s="19" t="s">
        <v>145</v>
      </c>
      <c r="C244" s="19" t="s">
        <v>6</v>
      </c>
      <c r="D244" s="67" t="s">
        <v>20</v>
      </c>
      <c r="E244" s="99">
        <v>58925</v>
      </c>
      <c r="F244" s="104">
        <v>8</v>
      </c>
      <c r="G244" s="11">
        <f t="shared" si="77"/>
        <v>471400</v>
      </c>
      <c r="H244" s="104">
        <v>8</v>
      </c>
      <c r="I244" s="11">
        <f t="shared" si="77"/>
        <v>471400</v>
      </c>
    </row>
    <row r="245" spans="2:9" ht="12.95" customHeight="1" x14ac:dyDescent="0.3">
      <c r="B245" s="19" t="s">
        <v>3</v>
      </c>
      <c r="C245" s="19" t="s">
        <v>23</v>
      </c>
      <c r="D245" s="67" t="s">
        <v>20</v>
      </c>
      <c r="E245" s="99">
        <v>49698</v>
      </c>
      <c r="F245" s="104">
        <v>8</v>
      </c>
      <c r="G245" s="11">
        <f t="shared" si="77"/>
        <v>397584</v>
      </c>
      <c r="H245" s="104">
        <v>8</v>
      </c>
      <c r="I245" s="11">
        <f t="shared" si="77"/>
        <v>397584</v>
      </c>
    </row>
    <row r="246" spans="2:9" ht="12.95" customHeight="1" x14ac:dyDescent="0.3">
      <c r="B246" s="48" t="s">
        <v>16</v>
      </c>
      <c r="C246" s="90"/>
      <c r="D246" s="90"/>
      <c r="E246" s="100"/>
      <c r="F246" s="119"/>
      <c r="G246" s="96">
        <f>TRUNC(SUM(G242:G245))</f>
        <v>1746664</v>
      </c>
      <c r="H246" s="119"/>
      <c r="I246" s="96">
        <f>TRUNC(SUM(I242:I245))</f>
        <v>1746664</v>
      </c>
    </row>
    <row r="247" spans="2:9" ht="12.95" customHeight="1" x14ac:dyDescent="0.3">
      <c r="B247" s="89"/>
      <c r="C247" s="90"/>
      <c r="D247" s="90"/>
      <c r="E247" s="100"/>
      <c r="F247" s="119"/>
      <c r="G247" s="82"/>
      <c r="H247" s="119"/>
      <c r="I247" s="82"/>
    </row>
    <row r="248" spans="2:9" ht="12.95" customHeight="1" x14ac:dyDescent="0.3">
      <c r="B248" s="19" t="s">
        <v>145</v>
      </c>
      <c r="C248" s="19" t="s">
        <v>6</v>
      </c>
      <c r="D248" s="67" t="s">
        <v>20</v>
      </c>
      <c r="E248" s="99">
        <v>23423</v>
      </c>
      <c r="F248" s="104">
        <v>8</v>
      </c>
      <c r="G248" s="11">
        <f t="shared" ref="G248:I249" si="78">TRUNC($E248*F248,1)</f>
        <v>187384</v>
      </c>
      <c r="H248" s="104">
        <v>8</v>
      </c>
      <c r="I248" s="11">
        <f t="shared" si="78"/>
        <v>187384</v>
      </c>
    </row>
    <row r="249" spans="2:9" ht="12.95" customHeight="1" x14ac:dyDescent="0.3">
      <c r="B249" s="19" t="s">
        <v>3</v>
      </c>
      <c r="C249" s="19" t="s">
        <v>23</v>
      </c>
      <c r="D249" s="67" t="s">
        <v>20</v>
      </c>
      <c r="E249" s="99">
        <v>31327</v>
      </c>
      <c r="F249" s="104">
        <v>8</v>
      </c>
      <c r="G249" s="11">
        <f t="shared" si="78"/>
        <v>250616</v>
      </c>
      <c r="H249" s="104">
        <v>8</v>
      </c>
      <c r="I249" s="11">
        <f t="shared" si="78"/>
        <v>250616</v>
      </c>
    </row>
    <row r="250" spans="2:9" ht="12.95" customHeight="1" x14ac:dyDescent="0.3">
      <c r="B250" s="54" t="s">
        <v>17</v>
      </c>
      <c r="C250" s="90"/>
      <c r="D250" s="90"/>
      <c r="E250" s="79"/>
      <c r="F250" s="85"/>
      <c r="G250" s="97">
        <f>TRUNC(SUM(G248:G249))</f>
        <v>438000</v>
      </c>
      <c r="H250" s="85"/>
      <c r="I250" s="97">
        <f>TRUNC(SUM(I248:I249))</f>
        <v>438000</v>
      </c>
    </row>
    <row r="251" spans="2:9" ht="12.95" customHeight="1" x14ac:dyDescent="0.3">
      <c r="B251" s="24"/>
      <c r="C251" s="77"/>
      <c r="D251" s="77"/>
      <c r="E251" s="86"/>
      <c r="F251" s="72"/>
      <c r="G251" s="73"/>
      <c r="H251" s="72"/>
      <c r="I251" s="73"/>
    </row>
    <row r="252" spans="2:9" ht="12.95" customHeight="1" x14ac:dyDescent="0.3">
      <c r="B252" s="111" t="s">
        <v>19</v>
      </c>
      <c r="C252" s="90"/>
      <c r="D252" s="90"/>
      <c r="E252" s="79"/>
      <c r="F252" s="79"/>
      <c r="G252" s="118">
        <f>SUM(G240+G246+G250)</f>
        <v>2493496</v>
      </c>
      <c r="H252" s="79"/>
      <c r="I252" s="118">
        <f>SUM(I240+I246+I250)</f>
        <v>2493496</v>
      </c>
    </row>
    <row r="253" spans="2:9" ht="12.95" customHeight="1" x14ac:dyDescent="0.3">
      <c r="B253" s="26" t="s">
        <v>118</v>
      </c>
      <c r="C253" s="27"/>
      <c r="D253" s="66"/>
      <c r="E253" s="28"/>
      <c r="F253" s="29"/>
      <c r="G253" s="30">
        <f>TRUNC(G252/G236)</f>
        <v>356213</v>
      </c>
      <c r="H253" s="29"/>
      <c r="I253" s="30">
        <f>TRUNC(I252/I236)</f>
        <v>498699</v>
      </c>
    </row>
    <row r="254" spans="2:9" ht="12.95" customHeight="1" x14ac:dyDescent="0.3">
      <c r="B254" s="127" t="s">
        <v>7</v>
      </c>
      <c r="C254" s="125" t="s">
        <v>11</v>
      </c>
      <c r="D254" s="125" t="s">
        <v>12</v>
      </c>
      <c r="E254" s="125" t="s">
        <v>8</v>
      </c>
      <c r="F254" s="131" t="s">
        <v>124</v>
      </c>
      <c r="G254" s="133"/>
      <c r="H254" s="133"/>
      <c r="I254" s="133"/>
    </row>
    <row r="255" spans="2:9" ht="12.95" customHeight="1" x14ac:dyDescent="0.3">
      <c r="B255" s="128"/>
      <c r="C255" s="130"/>
      <c r="D255" s="130"/>
      <c r="E255" s="130"/>
      <c r="F255" s="136" t="s">
        <v>129</v>
      </c>
      <c r="G255" s="137"/>
      <c r="H255" s="136" t="s">
        <v>144</v>
      </c>
      <c r="I255" s="137"/>
    </row>
    <row r="256" spans="2:9" ht="12.95" customHeight="1" x14ac:dyDescent="0.3">
      <c r="B256" s="128"/>
      <c r="C256" s="130"/>
      <c r="D256" s="130"/>
      <c r="E256" s="130"/>
      <c r="F256" s="107" t="s">
        <v>116</v>
      </c>
      <c r="G256" s="115">
        <v>4</v>
      </c>
      <c r="H256" s="107" t="s">
        <v>116</v>
      </c>
      <c r="I256" s="115">
        <v>3</v>
      </c>
    </row>
    <row r="257" spans="2:9" ht="12.95" customHeight="1" x14ac:dyDescent="0.3">
      <c r="B257" s="129"/>
      <c r="C257" s="126"/>
      <c r="D257" s="126"/>
      <c r="E257" s="126"/>
      <c r="F257" s="63" t="s">
        <v>104</v>
      </c>
      <c r="G257" s="64" t="s">
        <v>105</v>
      </c>
      <c r="H257" s="63" t="s">
        <v>104</v>
      </c>
      <c r="I257" s="64" t="s">
        <v>105</v>
      </c>
    </row>
    <row r="258" spans="2:9" ht="12.95" customHeight="1" x14ac:dyDescent="0.3">
      <c r="B258" s="19" t="s">
        <v>145</v>
      </c>
      <c r="C258" s="19" t="s">
        <v>6</v>
      </c>
      <c r="D258" s="67" t="s">
        <v>20</v>
      </c>
      <c r="E258" s="99">
        <v>18733</v>
      </c>
      <c r="F258" s="104">
        <v>8</v>
      </c>
      <c r="G258" s="11">
        <f t="shared" ref="G258:G259" si="79">TRUNC($E258*F258,1)</f>
        <v>149864</v>
      </c>
      <c r="H258" s="104">
        <v>8</v>
      </c>
      <c r="I258" s="11">
        <f t="shared" ref="I258:I259" si="80">TRUNC($E258*H258,1)</f>
        <v>149864</v>
      </c>
    </row>
    <row r="259" spans="2:9" ht="12.95" customHeight="1" x14ac:dyDescent="0.3">
      <c r="B259" s="19" t="s">
        <v>84</v>
      </c>
      <c r="C259" s="19" t="s">
        <v>85</v>
      </c>
      <c r="D259" s="67" t="s">
        <v>20</v>
      </c>
      <c r="E259" s="99">
        <v>12764</v>
      </c>
      <c r="F259" s="104">
        <v>8</v>
      </c>
      <c r="G259" s="11">
        <f t="shared" si="79"/>
        <v>102112</v>
      </c>
      <c r="H259" s="104">
        <v>8</v>
      </c>
      <c r="I259" s="11">
        <f t="shared" si="80"/>
        <v>102112</v>
      </c>
    </row>
    <row r="260" spans="2:9" ht="12.95" customHeight="1" x14ac:dyDescent="0.3">
      <c r="B260" s="54" t="s">
        <v>15</v>
      </c>
      <c r="C260" s="90"/>
      <c r="D260" s="90"/>
      <c r="E260" s="100"/>
      <c r="F260" s="119"/>
      <c r="G260" s="96">
        <f>TRUNC(SUM(G258:G259))</f>
        <v>251976</v>
      </c>
      <c r="H260" s="119"/>
      <c r="I260" s="96">
        <f>TRUNC(SUM(I258:I259))</f>
        <v>251976</v>
      </c>
    </row>
    <row r="261" spans="2:9" ht="12.95" customHeight="1" x14ac:dyDescent="0.3">
      <c r="B261" s="89"/>
      <c r="C261" s="90"/>
      <c r="D261" s="90"/>
      <c r="E261" s="100"/>
      <c r="F261" s="119"/>
      <c r="G261" s="82"/>
      <c r="H261" s="119"/>
      <c r="I261" s="82"/>
    </row>
    <row r="262" spans="2:9" ht="12.95" customHeight="1" x14ac:dyDescent="0.3">
      <c r="B262" s="77" t="s">
        <v>34</v>
      </c>
      <c r="C262" s="77"/>
      <c r="D262" s="6" t="s">
        <v>14</v>
      </c>
      <c r="E262" s="99">
        <v>235204</v>
      </c>
      <c r="F262" s="104">
        <v>3</v>
      </c>
      <c r="G262" s="11">
        <f t="shared" ref="G262:G265" si="81">TRUNC($E262*F262,1)</f>
        <v>705612</v>
      </c>
      <c r="H262" s="104">
        <v>3</v>
      </c>
      <c r="I262" s="11">
        <f t="shared" ref="I262:I265" si="82">TRUNC($E262*H262,1)</f>
        <v>705612</v>
      </c>
    </row>
    <row r="263" spans="2:9" ht="12.95" customHeight="1" x14ac:dyDescent="0.3">
      <c r="B263" s="77" t="s">
        <v>1</v>
      </c>
      <c r="C263" s="77"/>
      <c r="D263" s="6" t="s">
        <v>14</v>
      </c>
      <c r="E263" s="99">
        <v>172068</v>
      </c>
      <c r="F263" s="104">
        <v>1</v>
      </c>
      <c r="G263" s="11">
        <f t="shared" si="81"/>
        <v>172068</v>
      </c>
      <c r="H263" s="104">
        <v>1</v>
      </c>
      <c r="I263" s="11">
        <f t="shared" si="82"/>
        <v>172068</v>
      </c>
    </row>
    <row r="264" spans="2:9" ht="12.95" customHeight="1" x14ac:dyDescent="0.3">
      <c r="B264" s="19" t="s">
        <v>145</v>
      </c>
      <c r="C264" s="19" t="s">
        <v>6</v>
      </c>
      <c r="D264" s="67" t="s">
        <v>20</v>
      </c>
      <c r="E264" s="99">
        <v>58925</v>
      </c>
      <c r="F264" s="104">
        <v>8</v>
      </c>
      <c r="G264" s="11">
        <f t="shared" si="81"/>
        <v>471400</v>
      </c>
      <c r="H264" s="104">
        <v>8</v>
      </c>
      <c r="I264" s="11">
        <f t="shared" si="82"/>
        <v>471400</v>
      </c>
    </row>
    <row r="265" spans="2:9" ht="12.95" customHeight="1" x14ac:dyDescent="0.3">
      <c r="B265" s="19" t="s">
        <v>84</v>
      </c>
      <c r="C265" s="19" t="s">
        <v>85</v>
      </c>
      <c r="D265" s="67" t="s">
        <v>20</v>
      </c>
      <c r="E265" s="99">
        <v>58925</v>
      </c>
      <c r="F265" s="104">
        <v>8</v>
      </c>
      <c r="G265" s="11">
        <f t="shared" si="81"/>
        <v>471400</v>
      </c>
      <c r="H265" s="104">
        <v>8</v>
      </c>
      <c r="I265" s="11">
        <f t="shared" si="82"/>
        <v>471400</v>
      </c>
    </row>
    <row r="266" spans="2:9" ht="12.95" customHeight="1" x14ac:dyDescent="0.3">
      <c r="B266" s="48" t="s">
        <v>16</v>
      </c>
      <c r="C266" s="90"/>
      <c r="D266" s="90"/>
      <c r="E266" s="100"/>
      <c r="F266" s="119"/>
      <c r="G266" s="96">
        <f>TRUNC(SUM(G262:G265))</f>
        <v>1820480</v>
      </c>
      <c r="H266" s="119"/>
      <c r="I266" s="96">
        <f>TRUNC(SUM(I262:I265))</f>
        <v>1820480</v>
      </c>
    </row>
    <row r="267" spans="2:9" ht="12.95" customHeight="1" x14ac:dyDescent="0.3">
      <c r="B267" s="89"/>
      <c r="C267" s="90"/>
      <c r="D267" s="90"/>
      <c r="E267" s="100"/>
      <c r="F267" s="119"/>
      <c r="G267" s="82"/>
      <c r="H267" s="119"/>
      <c r="I267" s="82"/>
    </row>
    <row r="268" spans="2:9" ht="12.95" customHeight="1" x14ac:dyDescent="0.3">
      <c r="B268" s="19" t="s">
        <v>145</v>
      </c>
      <c r="C268" s="19" t="s">
        <v>6</v>
      </c>
      <c r="D268" s="67" t="s">
        <v>20</v>
      </c>
      <c r="E268" s="99">
        <v>23423</v>
      </c>
      <c r="F268" s="104">
        <v>8</v>
      </c>
      <c r="G268" s="11">
        <f t="shared" ref="G268:G269" si="83">TRUNC($E268*F268,1)</f>
        <v>187384</v>
      </c>
      <c r="H268" s="104">
        <v>8</v>
      </c>
      <c r="I268" s="11">
        <f t="shared" ref="I268:I269" si="84">TRUNC($E268*H268,1)</f>
        <v>187384</v>
      </c>
    </row>
    <row r="269" spans="2:9" ht="12.95" customHeight="1" x14ac:dyDescent="0.3">
      <c r="B269" s="19" t="s">
        <v>84</v>
      </c>
      <c r="C269" s="19" t="s">
        <v>85</v>
      </c>
      <c r="D269" s="67" t="s">
        <v>20</v>
      </c>
      <c r="E269" s="99">
        <v>59751</v>
      </c>
      <c r="F269" s="104">
        <v>8</v>
      </c>
      <c r="G269" s="11">
        <f t="shared" si="83"/>
        <v>478008</v>
      </c>
      <c r="H269" s="104">
        <v>8</v>
      </c>
      <c r="I269" s="11">
        <f t="shared" si="84"/>
        <v>478008</v>
      </c>
    </row>
    <row r="270" spans="2:9" ht="12.95" customHeight="1" x14ac:dyDescent="0.3">
      <c r="B270" s="54" t="s">
        <v>17</v>
      </c>
      <c r="C270" s="90"/>
      <c r="D270" s="90"/>
      <c r="E270" s="79"/>
      <c r="F270" s="85"/>
      <c r="G270" s="97">
        <f>TRUNC(SUM(G268:G269))</f>
        <v>665392</v>
      </c>
      <c r="H270" s="85"/>
      <c r="I270" s="97">
        <f>TRUNC(SUM(I268:I269))</f>
        <v>665392</v>
      </c>
    </row>
    <row r="271" spans="2:9" ht="12.95" customHeight="1" x14ac:dyDescent="0.3">
      <c r="B271" s="24"/>
      <c r="C271" s="77"/>
      <c r="D271" s="77"/>
      <c r="E271" s="86"/>
      <c r="F271" s="72"/>
      <c r="G271" s="73"/>
      <c r="H271" s="72"/>
      <c r="I271" s="73"/>
    </row>
    <row r="272" spans="2:9" ht="12.95" customHeight="1" x14ac:dyDescent="0.3">
      <c r="B272" s="111" t="s">
        <v>19</v>
      </c>
      <c r="C272" s="90"/>
      <c r="D272" s="90"/>
      <c r="E272" s="79"/>
      <c r="F272" s="79"/>
      <c r="G272" s="118">
        <f>SUM(G260+G266+G270)</f>
        <v>2737848</v>
      </c>
      <c r="H272" s="79"/>
      <c r="I272" s="118">
        <f>SUM(I260+I266+I270)</f>
        <v>2737848</v>
      </c>
    </row>
    <row r="273" spans="2:11" ht="12.95" customHeight="1" x14ac:dyDescent="0.3">
      <c r="B273" s="26" t="s">
        <v>118</v>
      </c>
      <c r="C273" s="27"/>
      <c r="D273" s="66"/>
      <c r="E273" s="28"/>
      <c r="F273" s="29"/>
      <c r="G273" s="30">
        <f>TRUNC(G272/G256)</f>
        <v>684462</v>
      </c>
      <c r="H273" s="29"/>
      <c r="I273" s="30">
        <f>TRUNC(I272/I256)</f>
        <v>912616</v>
      </c>
    </row>
    <row r="274" spans="2:11" ht="12.95" customHeight="1" x14ac:dyDescent="0.3">
      <c r="B274" s="3"/>
      <c r="C274" s="9"/>
      <c r="D274" s="3"/>
      <c r="E274" s="13"/>
      <c r="F274" s="4"/>
      <c r="G274" s="4"/>
    </row>
    <row r="275" spans="2:11" ht="12.95" customHeight="1" x14ac:dyDescent="0.3">
      <c r="B275" s="2" t="s">
        <v>86</v>
      </c>
      <c r="C275" s="93"/>
      <c r="D275" s="68"/>
      <c r="E275" s="94"/>
      <c r="F275" s="68"/>
      <c r="G275" s="68"/>
      <c r="H275" s="68"/>
      <c r="I275" s="68"/>
      <c r="J275" s="68"/>
      <c r="K275" s="101" t="s">
        <v>103</v>
      </c>
    </row>
    <row r="276" spans="2:11" ht="12.95" customHeight="1" x14ac:dyDescent="0.3">
      <c r="B276" s="127" t="s">
        <v>7</v>
      </c>
      <c r="C276" s="125" t="s">
        <v>11</v>
      </c>
      <c r="D276" s="125" t="s">
        <v>12</v>
      </c>
      <c r="E276" s="125" t="s">
        <v>8</v>
      </c>
      <c r="F276" s="131" t="s">
        <v>123</v>
      </c>
      <c r="G276" s="133"/>
      <c r="H276" s="133"/>
      <c r="I276" s="133"/>
      <c r="J276" s="133"/>
      <c r="K276" s="133"/>
    </row>
    <row r="277" spans="2:11" ht="12.95" customHeight="1" x14ac:dyDescent="0.3">
      <c r="B277" s="128"/>
      <c r="C277" s="130"/>
      <c r="D277" s="130"/>
      <c r="E277" s="130"/>
      <c r="F277" s="136" t="s">
        <v>130</v>
      </c>
      <c r="G277" s="137"/>
      <c r="H277" s="136" t="s">
        <v>131</v>
      </c>
      <c r="I277" s="137"/>
      <c r="J277" s="136" t="s">
        <v>132</v>
      </c>
      <c r="K277" s="137"/>
    </row>
    <row r="278" spans="2:11" ht="12.95" customHeight="1" x14ac:dyDescent="0.3">
      <c r="B278" s="128"/>
      <c r="C278" s="130"/>
      <c r="D278" s="130"/>
      <c r="E278" s="130"/>
      <c r="F278" s="107" t="s">
        <v>116</v>
      </c>
      <c r="G278" s="115">
        <v>40</v>
      </c>
      <c r="H278" s="107" t="s">
        <v>116</v>
      </c>
      <c r="I278" s="115">
        <v>20</v>
      </c>
      <c r="J278" s="107" t="s">
        <v>116</v>
      </c>
      <c r="K278" s="115">
        <v>12</v>
      </c>
    </row>
    <row r="279" spans="2:11" ht="12.95" customHeight="1" x14ac:dyDescent="0.3">
      <c r="B279" s="129"/>
      <c r="C279" s="126"/>
      <c r="D279" s="126"/>
      <c r="E279" s="126"/>
      <c r="F279" s="63" t="s">
        <v>104</v>
      </c>
      <c r="G279" s="64" t="s">
        <v>105</v>
      </c>
      <c r="H279" s="63" t="s">
        <v>104</v>
      </c>
      <c r="I279" s="64" t="s">
        <v>105</v>
      </c>
      <c r="J279" s="63" t="s">
        <v>104</v>
      </c>
      <c r="K279" s="64" t="s">
        <v>105</v>
      </c>
    </row>
    <row r="280" spans="2:11" ht="12.95" customHeight="1" x14ac:dyDescent="0.3">
      <c r="B280" s="77" t="s">
        <v>34</v>
      </c>
      <c r="C280" s="77"/>
      <c r="D280" s="6" t="s">
        <v>14</v>
      </c>
      <c r="E280" s="99">
        <v>235204</v>
      </c>
      <c r="F280" s="104">
        <v>4</v>
      </c>
      <c r="G280" s="11">
        <f t="shared" ref="G280:G281" si="85">TRUNC($E280*F280,1)</f>
        <v>940816</v>
      </c>
      <c r="H280" s="104">
        <v>4</v>
      </c>
      <c r="I280" s="11">
        <f t="shared" ref="I280:I281" si="86">TRUNC($E280*H280,1)</f>
        <v>940816</v>
      </c>
      <c r="J280" s="104">
        <v>4</v>
      </c>
      <c r="K280" s="11">
        <f t="shared" ref="K280:K281" si="87">TRUNC($E280*J280,1)</f>
        <v>940816</v>
      </c>
    </row>
    <row r="281" spans="2:11" ht="12.95" customHeight="1" x14ac:dyDescent="0.3">
      <c r="B281" s="77" t="s">
        <v>1</v>
      </c>
      <c r="C281" s="77"/>
      <c r="D281" s="6" t="s">
        <v>14</v>
      </c>
      <c r="E281" s="99">
        <v>172068</v>
      </c>
      <c r="F281" s="104">
        <v>2</v>
      </c>
      <c r="G281" s="11">
        <f t="shared" si="85"/>
        <v>344136</v>
      </c>
      <c r="H281" s="104">
        <v>2</v>
      </c>
      <c r="I281" s="11">
        <f t="shared" si="86"/>
        <v>344136</v>
      </c>
      <c r="J281" s="104">
        <v>2</v>
      </c>
      <c r="K281" s="11">
        <f t="shared" si="87"/>
        <v>344136</v>
      </c>
    </row>
    <row r="282" spans="2:11" ht="12.95" customHeight="1" x14ac:dyDescent="0.3">
      <c r="B282" s="48" t="s">
        <v>16</v>
      </c>
      <c r="C282" s="90"/>
      <c r="D282" s="90"/>
      <c r="E282" s="100"/>
      <c r="F282" s="119"/>
      <c r="G282" s="96">
        <f>TRUNC(SUM(G280:G281))</f>
        <v>1284952</v>
      </c>
      <c r="H282" s="119"/>
      <c r="I282" s="96">
        <f>TRUNC(SUM(I280:I281))</f>
        <v>1284952</v>
      </c>
      <c r="J282" s="119"/>
      <c r="K282" s="96">
        <f>TRUNC(SUM(K280:K281))</f>
        <v>1284952</v>
      </c>
    </row>
    <row r="283" spans="2:11" ht="12.95" customHeight="1" x14ac:dyDescent="0.3">
      <c r="B283" s="24"/>
      <c r="C283" s="77"/>
      <c r="D283" s="77"/>
      <c r="E283" s="86"/>
      <c r="F283" s="72"/>
      <c r="G283" s="73"/>
      <c r="H283" s="72"/>
      <c r="I283" s="73"/>
      <c r="J283" s="72"/>
      <c r="K283" s="73"/>
    </row>
    <row r="284" spans="2:11" ht="12.95" customHeight="1" x14ac:dyDescent="0.3">
      <c r="B284" s="111" t="s">
        <v>19</v>
      </c>
      <c r="C284" s="90"/>
      <c r="D284" s="90"/>
      <c r="E284" s="79"/>
      <c r="F284" s="79"/>
      <c r="G284" s="118">
        <f>SUM(G282)</f>
        <v>1284952</v>
      </c>
      <c r="H284" s="79"/>
      <c r="I284" s="118">
        <f>SUM(I282)</f>
        <v>1284952</v>
      </c>
      <c r="J284" s="79"/>
      <c r="K284" s="118">
        <f>SUM(K282)</f>
        <v>1284952</v>
      </c>
    </row>
    <row r="285" spans="2:11" ht="12.95" customHeight="1" x14ac:dyDescent="0.3">
      <c r="B285" s="26" t="s">
        <v>118</v>
      </c>
      <c r="C285" s="27"/>
      <c r="D285" s="66"/>
      <c r="E285" s="28"/>
      <c r="F285" s="29"/>
      <c r="G285" s="30">
        <f>TRUNC(G284/G278)</f>
        <v>32123</v>
      </c>
      <c r="H285" s="29"/>
      <c r="I285" s="30">
        <f>TRUNC(I284/I278)</f>
        <v>64247</v>
      </c>
      <c r="J285" s="29"/>
      <c r="K285" s="30">
        <f>TRUNC(K284/K278)</f>
        <v>107079</v>
      </c>
    </row>
    <row r="286" spans="2:11" ht="12.95" customHeight="1" x14ac:dyDescent="0.3">
      <c r="B286" s="127" t="s">
        <v>7</v>
      </c>
      <c r="C286" s="125" t="s">
        <v>11</v>
      </c>
      <c r="D286" s="125" t="s">
        <v>12</v>
      </c>
      <c r="E286" s="125" t="s">
        <v>8</v>
      </c>
      <c r="F286" s="131" t="s">
        <v>124</v>
      </c>
      <c r="G286" s="133"/>
      <c r="H286" s="133"/>
      <c r="I286" s="133"/>
      <c r="J286" s="133"/>
      <c r="K286" s="133"/>
    </row>
    <row r="287" spans="2:11" ht="12.95" customHeight="1" x14ac:dyDescent="0.3">
      <c r="B287" s="128"/>
      <c r="C287" s="130"/>
      <c r="D287" s="130"/>
      <c r="E287" s="130"/>
      <c r="F287" s="136" t="s">
        <v>130</v>
      </c>
      <c r="G287" s="137"/>
      <c r="H287" s="136" t="s">
        <v>131</v>
      </c>
      <c r="I287" s="137"/>
      <c r="J287" s="136" t="s">
        <v>132</v>
      </c>
      <c r="K287" s="137"/>
    </row>
    <row r="288" spans="2:11" ht="12.95" customHeight="1" x14ac:dyDescent="0.3">
      <c r="B288" s="128"/>
      <c r="C288" s="130"/>
      <c r="D288" s="130"/>
      <c r="E288" s="130"/>
      <c r="F288" s="107" t="s">
        <v>116</v>
      </c>
      <c r="G288" s="115">
        <v>55</v>
      </c>
      <c r="H288" s="107" t="s">
        <v>116</v>
      </c>
      <c r="I288" s="115">
        <v>30</v>
      </c>
      <c r="J288" s="107" t="s">
        <v>116</v>
      </c>
      <c r="K288" s="115">
        <v>20</v>
      </c>
    </row>
    <row r="289" spans="2:15" ht="12.95" customHeight="1" x14ac:dyDescent="0.3">
      <c r="B289" s="129"/>
      <c r="C289" s="126"/>
      <c r="D289" s="126"/>
      <c r="E289" s="126"/>
      <c r="F289" s="63" t="s">
        <v>104</v>
      </c>
      <c r="G289" s="64" t="s">
        <v>105</v>
      </c>
      <c r="H289" s="63" t="s">
        <v>104</v>
      </c>
      <c r="I289" s="64" t="s">
        <v>105</v>
      </c>
      <c r="J289" s="63" t="s">
        <v>104</v>
      </c>
      <c r="K289" s="64" t="s">
        <v>105</v>
      </c>
      <c r="L289" s="71"/>
      <c r="M289" s="71"/>
    </row>
    <row r="290" spans="2:15" ht="12.95" customHeight="1" x14ac:dyDescent="0.3">
      <c r="B290" s="77" t="s">
        <v>145</v>
      </c>
      <c r="C290" s="77" t="s">
        <v>82</v>
      </c>
      <c r="D290" s="95" t="s">
        <v>25</v>
      </c>
      <c r="E290" s="99">
        <v>18182</v>
      </c>
      <c r="F290" s="104">
        <v>8</v>
      </c>
      <c r="G290" s="11">
        <f t="shared" ref="G290" si="88">TRUNC($E290*F290,1)</f>
        <v>145456</v>
      </c>
      <c r="H290" s="104">
        <v>8</v>
      </c>
      <c r="I290" s="11">
        <f t="shared" ref="I290" si="89">TRUNC($E290*H290,1)</f>
        <v>145456</v>
      </c>
      <c r="J290" s="104">
        <v>8</v>
      </c>
      <c r="K290" s="11">
        <f t="shared" ref="K290" si="90">TRUNC($E290*J290,1)</f>
        <v>145456</v>
      </c>
      <c r="L290" s="71"/>
      <c r="M290" s="71"/>
    </row>
    <row r="291" spans="2:15" ht="12.95" customHeight="1" x14ac:dyDescent="0.3">
      <c r="B291" s="54" t="s">
        <v>15</v>
      </c>
      <c r="C291" s="90"/>
      <c r="D291" s="90"/>
      <c r="E291" s="100"/>
      <c r="F291" s="119"/>
      <c r="G291" s="96">
        <f>TRUNC(SUM(G290:G290))</f>
        <v>145456</v>
      </c>
      <c r="H291" s="119"/>
      <c r="I291" s="96">
        <f>TRUNC(SUM(I290:I290))</f>
        <v>145456</v>
      </c>
      <c r="J291" s="119"/>
      <c r="K291" s="96">
        <f>TRUNC(SUM(K290:K290))</f>
        <v>145456</v>
      </c>
      <c r="L291" s="71"/>
      <c r="M291" s="71"/>
    </row>
    <row r="292" spans="2:15" ht="12.95" customHeight="1" x14ac:dyDescent="0.3">
      <c r="B292" s="89"/>
      <c r="C292" s="90"/>
      <c r="D292" s="90"/>
      <c r="E292" s="100"/>
      <c r="F292" s="119"/>
      <c r="G292" s="82"/>
      <c r="H292" s="119"/>
      <c r="I292" s="82"/>
      <c r="J292" s="119"/>
      <c r="K292" s="82"/>
      <c r="L292" s="71"/>
      <c r="M292" s="71"/>
    </row>
    <row r="293" spans="2:15" ht="12.95" customHeight="1" x14ac:dyDescent="0.3">
      <c r="B293" s="77" t="s">
        <v>34</v>
      </c>
      <c r="C293" s="77"/>
      <c r="D293" s="6" t="s">
        <v>14</v>
      </c>
      <c r="E293" s="99">
        <v>235204</v>
      </c>
      <c r="F293" s="104">
        <v>3</v>
      </c>
      <c r="G293" s="11">
        <f t="shared" ref="G293:G295" si="91">TRUNC($E293*F293,1)</f>
        <v>705612</v>
      </c>
      <c r="H293" s="104">
        <v>3</v>
      </c>
      <c r="I293" s="11">
        <f t="shared" ref="I293:I295" si="92">TRUNC($E293*H293,1)</f>
        <v>705612</v>
      </c>
      <c r="J293" s="104">
        <v>3</v>
      </c>
      <c r="K293" s="11">
        <f t="shared" ref="K293:K295" si="93">TRUNC($E293*J293,1)</f>
        <v>705612</v>
      </c>
      <c r="L293" s="71"/>
      <c r="M293" s="71"/>
    </row>
    <row r="294" spans="2:15" ht="12.95" customHeight="1" x14ac:dyDescent="0.3">
      <c r="B294" s="77" t="s">
        <v>1</v>
      </c>
      <c r="C294" s="77"/>
      <c r="D294" s="6" t="s">
        <v>14</v>
      </c>
      <c r="E294" s="99">
        <v>172068</v>
      </c>
      <c r="F294" s="104">
        <v>1</v>
      </c>
      <c r="G294" s="11">
        <f t="shared" si="91"/>
        <v>172068</v>
      </c>
      <c r="H294" s="104">
        <v>1</v>
      </c>
      <c r="I294" s="11">
        <f t="shared" si="92"/>
        <v>172068</v>
      </c>
      <c r="J294" s="104">
        <v>1</v>
      </c>
      <c r="K294" s="11">
        <f t="shared" si="93"/>
        <v>172068</v>
      </c>
      <c r="L294" s="71"/>
      <c r="M294" s="71"/>
    </row>
    <row r="295" spans="2:15" ht="12.95" customHeight="1" x14ac:dyDescent="0.3">
      <c r="B295" s="77" t="s">
        <v>145</v>
      </c>
      <c r="C295" s="77" t="s">
        <v>82</v>
      </c>
      <c r="D295" s="95" t="s">
        <v>25</v>
      </c>
      <c r="E295" s="99">
        <v>58925</v>
      </c>
      <c r="F295" s="104">
        <v>8</v>
      </c>
      <c r="G295" s="11">
        <f t="shared" si="91"/>
        <v>471400</v>
      </c>
      <c r="H295" s="104">
        <v>8</v>
      </c>
      <c r="I295" s="11">
        <f t="shared" si="92"/>
        <v>471400</v>
      </c>
      <c r="J295" s="104">
        <v>8</v>
      </c>
      <c r="K295" s="11">
        <f t="shared" si="93"/>
        <v>471400</v>
      </c>
      <c r="L295" s="71"/>
      <c r="M295" s="71"/>
    </row>
    <row r="296" spans="2:15" ht="12.95" customHeight="1" x14ac:dyDescent="0.3">
      <c r="B296" s="48" t="s">
        <v>16</v>
      </c>
      <c r="C296" s="90"/>
      <c r="D296" s="90"/>
      <c r="E296" s="100"/>
      <c r="F296" s="119"/>
      <c r="G296" s="96">
        <f>TRUNC(SUM(G293:G295))</f>
        <v>1349080</v>
      </c>
      <c r="H296" s="119"/>
      <c r="I296" s="96">
        <f>TRUNC(SUM(I293:I295))</f>
        <v>1349080</v>
      </c>
      <c r="J296" s="119"/>
      <c r="K296" s="96">
        <f>TRUNC(SUM(K293:K295))</f>
        <v>1349080</v>
      </c>
      <c r="L296" s="71"/>
      <c r="M296" s="71"/>
    </row>
    <row r="297" spans="2:15" ht="12.95" customHeight="1" x14ac:dyDescent="0.3">
      <c r="B297" s="89"/>
      <c r="C297" s="90"/>
      <c r="D297" s="90"/>
      <c r="E297" s="100"/>
      <c r="F297" s="119"/>
      <c r="G297" s="82"/>
      <c r="H297" s="119"/>
      <c r="I297" s="82"/>
      <c r="J297" s="119"/>
      <c r="K297" s="82"/>
      <c r="L297" s="71"/>
      <c r="M297" s="71"/>
    </row>
    <row r="298" spans="2:15" ht="12.95" customHeight="1" x14ac:dyDescent="0.3">
      <c r="B298" s="77" t="s">
        <v>145</v>
      </c>
      <c r="C298" s="77" t="s">
        <v>82</v>
      </c>
      <c r="D298" s="95" t="s">
        <v>25</v>
      </c>
      <c r="E298" s="99">
        <v>17514</v>
      </c>
      <c r="F298" s="104">
        <v>8</v>
      </c>
      <c r="G298" s="11">
        <f t="shared" ref="G298" si="94">TRUNC($E298*F298,1)</f>
        <v>140112</v>
      </c>
      <c r="H298" s="104">
        <v>8</v>
      </c>
      <c r="I298" s="11">
        <f t="shared" ref="I298" si="95">TRUNC($E298*H298,1)</f>
        <v>140112</v>
      </c>
      <c r="J298" s="104">
        <v>8</v>
      </c>
      <c r="K298" s="11">
        <f t="shared" ref="K298" si="96">TRUNC($E298*J298,1)</f>
        <v>140112</v>
      </c>
      <c r="L298" s="71"/>
      <c r="M298" s="71"/>
      <c r="N298" s="18"/>
      <c r="O298" s="18"/>
    </row>
    <row r="299" spans="2:15" ht="12.95" customHeight="1" x14ac:dyDescent="0.3">
      <c r="B299" s="54" t="s">
        <v>17</v>
      </c>
      <c r="C299" s="90"/>
      <c r="D299" s="90"/>
      <c r="E299" s="79"/>
      <c r="F299" s="85"/>
      <c r="G299" s="97">
        <f>TRUNC(SUM(G298:G298))</f>
        <v>140112</v>
      </c>
      <c r="H299" s="85"/>
      <c r="I299" s="97">
        <f>TRUNC(SUM(I298:I298))</f>
        <v>140112</v>
      </c>
      <c r="J299" s="85"/>
      <c r="K299" s="97">
        <f>TRUNC(SUM(K298:K298))</f>
        <v>140112</v>
      </c>
      <c r="L299" s="71"/>
      <c r="M299" s="71"/>
      <c r="N299" s="18"/>
      <c r="O299" s="18"/>
    </row>
    <row r="300" spans="2:15" ht="12.95" customHeight="1" x14ac:dyDescent="0.3">
      <c r="B300" s="24"/>
      <c r="C300" s="77"/>
      <c r="D300" s="77"/>
      <c r="E300" s="86"/>
      <c r="F300" s="72"/>
      <c r="G300" s="73"/>
      <c r="H300" s="72"/>
      <c r="I300" s="73"/>
      <c r="J300" s="72"/>
      <c r="K300" s="73"/>
      <c r="L300" s="71"/>
      <c r="M300" s="71"/>
      <c r="N300" s="18"/>
      <c r="O300" s="18"/>
    </row>
    <row r="301" spans="2:15" ht="12.95" customHeight="1" x14ac:dyDescent="0.3">
      <c r="B301" s="111" t="s">
        <v>19</v>
      </c>
      <c r="C301" s="90"/>
      <c r="D301" s="90"/>
      <c r="E301" s="79"/>
      <c r="F301" s="79"/>
      <c r="G301" s="118">
        <f>SUM(G291+G296+G299)</f>
        <v>1634648</v>
      </c>
      <c r="H301" s="79"/>
      <c r="I301" s="118">
        <f>SUM(I291+I296+I299)</f>
        <v>1634648</v>
      </c>
      <c r="J301" s="79"/>
      <c r="K301" s="118">
        <f>SUM(K291+K296+K299)</f>
        <v>1634648</v>
      </c>
      <c r="L301" s="71"/>
      <c r="M301" s="71"/>
      <c r="N301" s="18"/>
      <c r="O301" s="18"/>
    </row>
    <row r="302" spans="2:15" ht="12.95" customHeight="1" x14ac:dyDescent="0.3">
      <c r="B302" s="26" t="s">
        <v>118</v>
      </c>
      <c r="C302" s="27"/>
      <c r="D302" s="66"/>
      <c r="E302" s="28"/>
      <c r="F302" s="29"/>
      <c r="G302" s="30">
        <f>TRUNC(G301/G288)</f>
        <v>29720</v>
      </c>
      <c r="H302" s="29"/>
      <c r="I302" s="30">
        <f>TRUNC(I301/I288)</f>
        <v>54488</v>
      </c>
      <c r="J302" s="29"/>
      <c r="K302" s="30">
        <f>TRUNC(K301/K288)</f>
        <v>81732</v>
      </c>
      <c r="L302" s="71"/>
      <c r="M302" s="71"/>
      <c r="N302" s="18"/>
      <c r="O302" s="18"/>
    </row>
    <row r="303" spans="2:15" ht="12.95" customHeight="1" x14ac:dyDescent="0.3">
      <c r="B303" s="3"/>
      <c r="C303" s="9"/>
      <c r="D303" s="3"/>
      <c r="E303" s="13"/>
      <c r="F303" s="4"/>
      <c r="G303" s="4"/>
      <c r="N303" s="18"/>
      <c r="O303" s="18"/>
    </row>
    <row r="304" spans="2:15" ht="12.95" customHeight="1" x14ac:dyDescent="0.3">
      <c r="B304" s="2" t="s">
        <v>87</v>
      </c>
      <c r="C304" s="93"/>
      <c r="D304" s="68"/>
      <c r="E304" s="94"/>
      <c r="F304" s="68"/>
      <c r="G304" s="68"/>
      <c r="H304" s="68"/>
      <c r="I304" s="101" t="s">
        <v>103</v>
      </c>
      <c r="L304" s="39"/>
      <c r="M304" s="39"/>
      <c r="N304" s="18"/>
      <c r="O304" s="18"/>
    </row>
    <row r="305" spans="2:15" ht="12.95" customHeight="1" x14ac:dyDescent="0.3">
      <c r="B305" s="127" t="s">
        <v>7</v>
      </c>
      <c r="C305" s="125" t="s">
        <v>11</v>
      </c>
      <c r="D305" s="125" t="s">
        <v>12</v>
      </c>
      <c r="E305" s="125" t="s">
        <v>8</v>
      </c>
      <c r="F305" s="131" t="s">
        <v>123</v>
      </c>
      <c r="G305" s="133"/>
      <c r="H305" s="133"/>
      <c r="I305" s="133"/>
      <c r="L305" s="39"/>
      <c r="M305" s="39"/>
      <c r="N305" s="18"/>
      <c r="O305" s="18"/>
    </row>
    <row r="306" spans="2:15" ht="12.95" customHeight="1" x14ac:dyDescent="0.3">
      <c r="B306" s="128"/>
      <c r="C306" s="130"/>
      <c r="D306" s="130"/>
      <c r="E306" s="130"/>
      <c r="F306" s="136" t="s">
        <v>133</v>
      </c>
      <c r="G306" s="137"/>
      <c r="H306" s="136" t="s">
        <v>134</v>
      </c>
      <c r="I306" s="137"/>
      <c r="N306" s="18"/>
      <c r="O306" s="18"/>
    </row>
    <row r="307" spans="2:15" ht="12.95" customHeight="1" x14ac:dyDescent="0.3">
      <c r="B307" s="128"/>
      <c r="C307" s="130"/>
      <c r="D307" s="130"/>
      <c r="E307" s="130"/>
      <c r="F307" s="107" t="s">
        <v>116</v>
      </c>
      <c r="G307" s="115">
        <v>30</v>
      </c>
      <c r="H307" s="107" t="s">
        <v>116</v>
      </c>
      <c r="I307" s="115">
        <v>15</v>
      </c>
      <c r="N307" s="18"/>
      <c r="O307" s="18"/>
    </row>
    <row r="308" spans="2:15" ht="12.95" customHeight="1" x14ac:dyDescent="0.3">
      <c r="B308" s="129"/>
      <c r="C308" s="126"/>
      <c r="D308" s="126"/>
      <c r="E308" s="126"/>
      <c r="F308" s="63" t="s">
        <v>104</v>
      </c>
      <c r="G308" s="64" t="s">
        <v>105</v>
      </c>
      <c r="H308" s="63" t="s">
        <v>104</v>
      </c>
      <c r="I308" s="64" t="s">
        <v>105</v>
      </c>
      <c r="L308" s="18"/>
      <c r="M308" s="18"/>
    </row>
    <row r="309" spans="2:15" ht="12.95" customHeight="1" x14ac:dyDescent="0.3">
      <c r="B309" s="77" t="s">
        <v>34</v>
      </c>
      <c r="C309" s="77"/>
      <c r="D309" s="6" t="s">
        <v>14</v>
      </c>
      <c r="E309" s="99">
        <v>235204</v>
      </c>
      <c r="F309" s="104">
        <v>4</v>
      </c>
      <c r="G309" s="11">
        <f t="shared" ref="G309:G310" si="97">TRUNC($E309*F309,1)</f>
        <v>940816</v>
      </c>
      <c r="H309" s="104">
        <v>4</v>
      </c>
      <c r="I309" s="11">
        <f t="shared" ref="I309:I310" si="98">TRUNC($E309*H309,1)</f>
        <v>940816</v>
      </c>
      <c r="L309" s="18"/>
      <c r="M309" s="18"/>
    </row>
    <row r="310" spans="2:15" ht="12.95" customHeight="1" x14ac:dyDescent="0.3">
      <c r="B310" s="77" t="s">
        <v>1</v>
      </c>
      <c r="C310" s="77"/>
      <c r="D310" s="6" t="s">
        <v>14</v>
      </c>
      <c r="E310" s="99">
        <v>172068</v>
      </c>
      <c r="F310" s="104">
        <v>2</v>
      </c>
      <c r="G310" s="11">
        <f t="shared" si="97"/>
        <v>344136</v>
      </c>
      <c r="H310" s="104">
        <v>2</v>
      </c>
      <c r="I310" s="11">
        <f t="shared" si="98"/>
        <v>344136</v>
      </c>
      <c r="L310" s="18"/>
      <c r="M310" s="18"/>
    </row>
    <row r="311" spans="2:15" ht="12.95" customHeight="1" x14ac:dyDescent="0.3">
      <c r="B311" s="48" t="s">
        <v>16</v>
      </c>
      <c r="C311" s="90"/>
      <c r="D311" s="90"/>
      <c r="E311" s="100"/>
      <c r="F311" s="119"/>
      <c r="G311" s="96">
        <f>TRUNC(SUM(G309:G310))</f>
        <v>1284952</v>
      </c>
      <c r="H311" s="119"/>
      <c r="I311" s="96">
        <f>TRUNC(SUM(I309:I310))</f>
        <v>1284952</v>
      </c>
      <c r="L311" s="18"/>
      <c r="M311" s="18"/>
    </row>
    <row r="312" spans="2:15" ht="12.95" customHeight="1" x14ac:dyDescent="0.3">
      <c r="B312" s="24"/>
      <c r="C312" s="77"/>
      <c r="D312" s="77"/>
      <c r="E312" s="86"/>
      <c r="F312" s="72"/>
      <c r="G312" s="73"/>
      <c r="H312" s="72"/>
      <c r="I312" s="73"/>
      <c r="L312" s="18"/>
      <c r="M312" s="18"/>
    </row>
    <row r="313" spans="2:15" ht="12.95" customHeight="1" x14ac:dyDescent="0.3">
      <c r="B313" s="111" t="s">
        <v>19</v>
      </c>
      <c r="C313" s="90"/>
      <c r="D313" s="90"/>
      <c r="E313" s="79"/>
      <c r="F313" s="79"/>
      <c r="G313" s="118">
        <f>SUM(G311)</f>
        <v>1284952</v>
      </c>
      <c r="H313" s="79"/>
      <c r="I313" s="118">
        <f>SUM(I311)</f>
        <v>1284952</v>
      </c>
      <c r="L313" s="18"/>
      <c r="M313" s="18"/>
    </row>
    <row r="314" spans="2:15" ht="12.95" customHeight="1" x14ac:dyDescent="0.3">
      <c r="B314" s="26" t="s">
        <v>118</v>
      </c>
      <c r="C314" s="27"/>
      <c r="D314" s="66"/>
      <c r="E314" s="28"/>
      <c r="F314" s="29"/>
      <c r="G314" s="30">
        <f>TRUNC(G313/G307)</f>
        <v>42831</v>
      </c>
      <c r="H314" s="29"/>
      <c r="I314" s="30">
        <f>TRUNC(I313/I307)</f>
        <v>85663</v>
      </c>
      <c r="L314" s="18"/>
      <c r="M314" s="18"/>
    </row>
    <row r="315" spans="2:15" ht="12.95" customHeight="1" x14ac:dyDescent="0.3">
      <c r="B315" s="127" t="s">
        <v>7</v>
      </c>
      <c r="C315" s="125" t="s">
        <v>11</v>
      </c>
      <c r="D315" s="125" t="s">
        <v>12</v>
      </c>
      <c r="E315" s="125" t="s">
        <v>8</v>
      </c>
      <c r="F315" s="131" t="s">
        <v>124</v>
      </c>
      <c r="G315" s="133"/>
      <c r="H315" s="133"/>
      <c r="I315" s="133"/>
      <c r="J315" s="133"/>
      <c r="K315" s="133"/>
      <c r="L315" s="133"/>
      <c r="M315" s="133"/>
    </row>
    <row r="316" spans="2:15" ht="12.95" customHeight="1" x14ac:dyDescent="0.3">
      <c r="B316" s="128"/>
      <c r="C316" s="130"/>
      <c r="D316" s="130"/>
      <c r="E316" s="130"/>
      <c r="F316" s="136" t="s">
        <v>133</v>
      </c>
      <c r="G316" s="137"/>
      <c r="H316" s="136" t="s">
        <v>134</v>
      </c>
      <c r="I316" s="137"/>
      <c r="J316" s="136" t="s">
        <v>135</v>
      </c>
      <c r="K316" s="137"/>
      <c r="L316" s="136" t="s">
        <v>136</v>
      </c>
      <c r="M316" s="137"/>
    </row>
    <row r="317" spans="2:15" ht="12.95" customHeight="1" x14ac:dyDescent="0.3">
      <c r="B317" s="128"/>
      <c r="C317" s="130"/>
      <c r="D317" s="130"/>
      <c r="E317" s="130"/>
      <c r="F317" s="107" t="s">
        <v>116</v>
      </c>
      <c r="G317" s="115">
        <v>45</v>
      </c>
      <c r="H317" s="107" t="s">
        <v>116</v>
      </c>
      <c r="I317" s="115">
        <v>22</v>
      </c>
      <c r="J317" s="107" t="s">
        <v>116</v>
      </c>
      <c r="K317" s="115">
        <v>17</v>
      </c>
      <c r="L317" s="107" t="s">
        <v>116</v>
      </c>
      <c r="M317" s="115">
        <v>12</v>
      </c>
    </row>
    <row r="318" spans="2:15" ht="12.95" customHeight="1" x14ac:dyDescent="0.3">
      <c r="B318" s="129"/>
      <c r="C318" s="126"/>
      <c r="D318" s="126"/>
      <c r="E318" s="126"/>
      <c r="F318" s="63" t="s">
        <v>104</v>
      </c>
      <c r="G318" s="64" t="s">
        <v>105</v>
      </c>
      <c r="H318" s="63" t="s">
        <v>104</v>
      </c>
      <c r="I318" s="64" t="s">
        <v>105</v>
      </c>
      <c r="J318" s="63" t="s">
        <v>104</v>
      </c>
      <c r="K318" s="64" t="s">
        <v>105</v>
      </c>
      <c r="L318" s="63" t="s">
        <v>104</v>
      </c>
      <c r="M318" s="64" t="s">
        <v>105</v>
      </c>
      <c r="N318" s="39"/>
    </row>
    <row r="319" spans="2:15" ht="12.95" customHeight="1" x14ac:dyDescent="0.3">
      <c r="B319" s="77" t="s">
        <v>145</v>
      </c>
      <c r="C319" s="77" t="s">
        <v>82</v>
      </c>
      <c r="D319" s="95" t="s">
        <v>25</v>
      </c>
      <c r="E319" s="99">
        <v>18182</v>
      </c>
      <c r="F319" s="104">
        <v>8</v>
      </c>
      <c r="G319" s="11">
        <f t="shared" ref="G319" si="99">TRUNC($E319*F319,1)</f>
        <v>145456</v>
      </c>
      <c r="H319" s="104">
        <v>8</v>
      </c>
      <c r="I319" s="11">
        <f t="shared" ref="I319" si="100">TRUNC($E319*H319,1)</f>
        <v>145456</v>
      </c>
      <c r="J319" s="104">
        <v>8</v>
      </c>
      <c r="K319" s="11">
        <f t="shared" ref="K319" si="101">TRUNC($E319*J319,1)</f>
        <v>145456</v>
      </c>
      <c r="L319" s="104">
        <v>8</v>
      </c>
      <c r="M319" s="11">
        <f t="shared" ref="M319" si="102">TRUNC($E319*L319,1)</f>
        <v>145456</v>
      </c>
      <c r="N319" s="39"/>
    </row>
    <row r="320" spans="2:15" ht="12.95" customHeight="1" x14ac:dyDescent="0.3">
      <c r="B320" s="54" t="s">
        <v>15</v>
      </c>
      <c r="C320" s="90"/>
      <c r="D320" s="90"/>
      <c r="E320" s="100"/>
      <c r="F320" s="119"/>
      <c r="G320" s="96">
        <f>TRUNC(SUM(G319:G319))</f>
        <v>145456</v>
      </c>
      <c r="H320" s="119"/>
      <c r="I320" s="96">
        <f>TRUNC(SUM(I319:I319))</f>
        <v>145456</v>
      </c>
      <c r="J320" s="119"/>
      <c r="K320" s="96">
        <f>TRUNC(SUM(K319:K319))</f>
        <v>145456</v>
      </c>
      <c r="L320" s="119"/>
      <c r="M320" s="96">
        <f>TRUNC(SUM(M319:M319))</f>
        <v>145456</v>
      </c>
      <c r="N320" s="39"/>
    </row>
    <row r="321" spans="2:14" ht="12.95" customHeight="1" x14ac:dyDescent="0.3">
      <c r="B321" s="89"/>
      <c r="C321" s="90"/>
      <c r="D321" s="90"/>
      <c r="E321" s="100"/>
      <c r="F321" s="119"/>
      <c r="G321" s="82"/>
      <c r="H321" s="119"/>
      <c r="I321" s="82"/>
      <c r="J321" s="119"/>
      <c r="K321" s="82"/>
      <c r="L321" s="119"/>
      <c r="M321" s="82"/>
      <c r="N321" s="39"/>
    </row>
    <row r="322" spans="2:14" ht="12.95" customHeight="1" x14ac:dyDescent="0.3">
      <c r="B322" s="77" t="s">
        <v>34</v>
      </c>
      <c r="C322" s="77"/>
      <c r="D322" s="6" t="s">
        <v>14</v>
      </c>
      <c r="E322" s="99">
        <v>235204</v>
      </c>
      <c r="F322" s="104">
        <v>3</v>
      </c>
      <c r="G322" s="11">
        <f t="shared" ref="G322:G324" si="103">TRUNC($E322*F322,1)</f>
        <v>705612</v>
      </c>
      <c r="H322" s="104">
        <v>3</v>
      </c>
      <c r="I322" s="11">
        <f t="shared" ref="I322:I324" si="104">TRUNC($E322*H322,1)</f>
        <v>705612</v>
      </c>
      <c r="J322" s="104">
        <v>3</v>
      </c>
      <c r="K322" s="11">
        <f t="shared" ref="K322:K324" si="105">TRUNC($E322*J322,1)</f>
        <v>705612</v>
      </c>
      <c r="L322" s="104">
        <v>3</v>
      </c>
      <c r="M322" s="11">
        <f t="shared" ref="M322:M324" si="106">TRUNC($E322*L322,1)</f>
        <v>705612</v>
      </c>
      <c r="N322" s="39"/>
    </row>
    <row r="323" spans="2:14" ht="12.95" customHeight="1" x14ac:dyDescent="0.3">
      <c r="B323" s="77" t="s">
        <v>1</v>
      </c>
      <c r="C323" s="77"/>
      <c r="D323" s="6" t="s">
        <v>14</v>
      </c>
      <c r="E323" s="99">
        <v>172068</v>
      </c>
      <c r="F323" s="104">
        <v>1</v>
      </c>
      <c r="G323" s="11">
        <f t="shared" si="103"/>
        <v>172068</v>
      </c>
      <c r="H323" s="104">
        <v>1</v>
      </c>
      <c r="I323" s="11">
        <f t="shared" si="104"/>
        <v>172068</v>
      </c>
      <c r="J323" s="104">
        <v>1</v>
      </c>
      <c r="K323" s="11">
        <f t="shared" si="105"/>
        <v>172068</v>
      </c>
      <c r="L323" s="104">
        <v>1</v>
      </c>
      <c r="M323" s="11">
        <f t="shared" si="106"/>
        <v>172068</v>
      </c>
      <c r="N323" s="39"/>
    </row>
    <row r="324" spans="2:14" ht="12.95" customHeight="1" x14ac:dyDescent="0.3">
      <c r="B324" s="77" t="s">
        <v>145</v>
      </c>
      <c r="C324" s="77" t="s">
        <v>82</v>
      </c>
      <c r="D324" s="95" t="s">
        <v>25</v>
      </c>
      <c r="E324" s="99">
        <v>58925</v>
      </c>
      <c r="F324" s="104">
        <v>8</v>
      </c>
      <c r="G324" s="11">
        <f t="shared" si="103"/>
        <v>471400</v>
      </c>
      <c r="H324" s="104">
        <v>8</v>
      </c>
      <c r="I324" s="11">
        <f t="shared" si="104"/>
        <v>471400</v>
      </c>
      <c r="J324" s="104">
        <v>8</v>
      </c>
      <c r="K324" s="11">
        <f t="shared" si="105"/>
        <v>471400</v>
      </c>
      <c r="L324" s="104">
        <v>8</v>
      </c>
      <c r="M324" s="11">
        <f t="shared" si="106"/>
        <v>471400</v>
      </c>
      <c r="N324" s="39"/>
    </row>
    <row r="325" spans="2:14" ht="12.95" customHeight="1" x14ac:dyDescent="0.3">
      <c r="B325" s="48" t="s">
        <v>16</v>
      </c>
      <c r="C325" s="90"/>
      <c r="D325" s="90"/>
      <c r="E325" s="100"/>
      <c r="F325" s="119"/>
      <c r="G325" s="96">
        <f>TRUNC(SUM(G322:G324))</f>
        <v>1349080</v>
      </c>
      <c r="H325" s="119"/>
      <c r="I325" s="96">
        <f>TRUNC(SUM(I322:I324))</f>
        <v>1349080</v>
      </c>
      <c r="J325" s="119"/>
      <c r="K325" s="96">
        <f>TRUNC(SUM(K322:K324))</f>
        <v>1349080</v>
      </c>
      <c r="L325" s="119"/>
      <c r="M325" s="96">
        <f>TRUNC(SUM(M322:M324))</f>
        <v>1349080</v>
      </c>
    </row>
    <row r="326" spans="2:14" ht="12.95" customHeight="1" x14ac:dyDescent="0.3">
      <c r="B326" s="89"/>
      <c r="C326" s="90"/>
      <c r="D326" s="90"/>
      <c r="E326" s="100"/>
      <c r="F326" s="119"/>
      <c r="G326" s="82"/>
      <c r="H326" s="119"/>
      <c r="I326" s="82"/>
      <c r="J326" s="119"/>
      <c r="K326" s="82"/>
      <c r="L326" s="119"/>
      <c r="M326" s="82"/>
    </row>
    <row r="327" spans="2:14" ht="12.95" customHeight="1" x14ac:dyDescent="0.3">
      <c r="B327" s="77" t="s">
        <v>145</v>
      </c>
      <c r="C327" s="77" t="s">
        <v>82</v>
      </c>
      <c r="D327" s="95" t="s">
        <v>25</v>
      </c>
      <c r="E327" s="99">
        <v>17514</v>
      </c>
      <c r="F327" s="104">
        <v>8</v>
      </c>
      <c r="G327" s="11">
        <f t="shared" ref="G327" si="107">TRUNC($E327*F327,1)</f>
        <v>140112</v>
      </c>
      <c r="H327" s="104">
        <v>8</v>
      </c>
      <c r="I327" s="11">
        <f t="shared" ref="I327" si="108">TRUNC($E327*H327,1)</f>
        <v>140112</v>
      </c>
      <c r="J327" s="104">
        <v>8</v>
      </c>
      <c r="K327" s="11">
        <f t="shared" ref="K327" si="109">TRUNC($E327*J327,1)</f>
        <v>140112</v>
      </c>
      <c r="L327" s="104">
        <v>8</v>
      </c>
      <c r="M327" s="11">
        <f t="shared" ref="M327" si="110">TRUNC($E327*L327,1)</f>
        <v>140112</v>
      </c>
    </row>
    <row r="328" spans="2:14" ht="12.95" customHeight="1" x14ac:dyDescent="0.3">
      <c r="B328" s="54" t="s">
        <v>17</v>
      </c>
      <c r="C328" s="90"/>
      <c r="D328" s="90"/>
      <c r="E328" s="79"/>
      <c r="F328" s="85"/>
      <c r="G328" s="97">
        <f>TRUNC(SUM(G327:G327))</f>
        <v>140112</v>
      </c>
      <c r="H328" s="85"/>
      <c r="I328" s="97">
        <f>TRUNC(SUM(I327:I327))</f>
        <v>140112</v>
      </c>
      <c r="J328" s="85"/>
      <c r="K328" s="97">
        <f>TRUNC(SUM(K327:K327))</f>
        <v>140112</v>
      </c>
      <c r="L328" s="85"/>
      <c r="M328" s="97">
        <f>TRUNC(SUM(M327:M327))</f>
        <v>140112</v>
      </c>
    </row>
    <row r="329" spans="2:14" ht="12.95" customHeight="1" x14ac:dyDescent="0.3">
      <c r="B329" s="24"/>
      <c r="C329" s="77"/>
      <c r="D329" s="77"/>
      <c r="E329" s="86"/>
      <c r="F329" s="72"/>
      <c r="G329" s="73"/>
      <c r="H329" s="72"/>
      <c r="I329" s="73"/>
      <c r="J329" s="72"/>
      <c r="K329" s="73"/>
      <c r="L329" s="72"/>
      <c r="M329" s="73"/>
    </row>
    <row r="330" spans="2:14" ht="12.95" customHeight="1" x14ac:dyDescent="0.3">
      <c r="B330" s="111" t="s">
        <v>19</v>
      </c>
      <c r="C330" s="90"/>
      <c r="D330" s="90"/>
      <c r="E330" s="79"/>
      <c r="F330" s="79"/>
      <c r="G330" s="118">
        <f>SUM(G320+G325+G328)</f>
        <v>1634648</v>
      </c>
      <c r="H330" s="79"/>
      <c r="I330" s="118">
        <f>SUM(I320+I325+I328)</f>
        <v>1634648</v>
      </c>
      <c r="J330" s="79"/>
      <c r="K330" s="118">
        <f>SUM(K320+K325+K328)</f>
        <v>1634648</v>
      </c>
      <c r="L330" s="79"/>
      <c r="M330" s="118">
        <f>SUM(M320+M325+M328)</f>
        <v>1634648</v>
      </c>
      <c r="N330" s="18"/>
    </row>
    <row r="331" spans="2:14" ht="12.95" customHeight="1" x14ac:dyDescent="0.3">
      <c r="B331" s="26" t="s">
        <v>118</v>
      </c>
      <c r="C331" s="27"/>
      <c r="D331" s="66"/>
      <c r="E331" s="28"/>
      <c r="F331" s="29"/>
      <c r="G331" s="30">
        <f>TRUNC(G330/G317)</f>
        <v>36325</v>
      </c>
      <c r="H331" s="29"/>
      <c r="I331" s="30">
        <f>TRUNC(I330/I317)</f>
        <v>74302</v>
      </c>
      <c r="J331" s="29"/>
      <c r="K331" s="30">
        <f>TRUNC(K330/K317)</f>
        <v>96155</v>
      </c>
      <c r="L331" s="29"/>
      <c r="M331" s="30">
        <f>TRUNC(M330/M317)</f>
        <v>136220</v>
      </c>
      <c r="N331" s="18"/>
    </row>
    <row r="332" spans="2:14" ht="12.95" customHeight="1" x14ac:dyDescent="0.3">
      <c r="B332" s="127" t="s">
        <v>7</v>
      </c>
      <c r="C332" s="125" t="s">
        <v>11</v>
      </c>
      <c r="D332" s="125" t="s">
        <v>12</v>
      </c>
      <c r="E332" s="125" t="s">
        <v>8</v>
      </c>
      <c r="F332" s="131" t="s">
        <v>124</v>
      </c>
      <c r="G332" s="133"/>
      <c r="H332" s="133"/>
      <c r="I332" s="133"/>
      <c r="N332" s="18"/>
    </row>
    <row r="333" spans="2:14" ht="12.95" customHeight="1" x14ac:dyDescent="0.3">
      <c r="B333" s="128"/>
      <c r="C333" s="130"/>
      <c r="D333" s="130"/>
      <c r="E333" s="130"/>
      <c r="F333" s="136" t="s">
        <v>137</v>
      </c>
      <c r="G333" s="137"/>
      <c r="H333" s="136" t="s">
        <v>138</v>
      </c>
      <c r="I333" s="137"/>
      <c r="N333" s="18"/>
    </row>
    <row r="334" spans="2:14" ht="12.95" customHeight="1" x14ac:dyDescent="0.3">
      <c r="B334" s="128"/>
      <c r="C334" s="130"/>
      <c r="D334" s="130"/>
      <c r="E334" s="130"/>
      <c r="F334" s="107" t="s">
        <v>116</v>
      </c>
      <c r="G334" s="115">
        <v>9</v>
      </c>
      <c r="H334" s="107" t="s">
        <v>116</v>
      </c>
      <c r="I334" s="115">
        <v>7</v>
      </c>
      <c r="N334" s="18"/>
    </row>
    <row r="335" spans="2:14" ht="12.95" customHeight="1" x14ac:dyDescent="0.3">
      <c r="B335" s="129"/>
      <c r="C335" s="126"/>
      <c r="D335" s="126"/>
      <c r="E335" s="126"/>
      <c r="F335" s="63" t="s">
        <v>104</v>
      </c>
      <c r="G335" s="64" t="s">
        <v>105</v>
      </c>
      <c r="H335" s="63" t="s">
        <v>104</v>
      </c>
      <c r="I335" s="64" t="s">
        <v>105</v>
      </c>
      <c r="N335" s="18"/>
    </row>
    <row r="336" spans="2:14" ht="12.95" customHeight="1" x14ac:dyDescent="0.3">
      <c r="B336" s="19" t="s">
        <v>145</v>
      </c>
      <c r="C336" s="19" t="s">
        <v>6</v>
      </c>
      <c r="D336" s="67" t="s">
        <v>20</v>
      </c>
      <c r="E336" s="99">
        <v>18733</v>
      </c>
      <c r="F336" s="104">
        <v>8</v>
      </c>
      <c r="G336" s="11">
        <f t="shared" ref="G336:G337" si="111">TRUNC($E336*F336,1)</f>
        <v>149864</v>
      </c>
      <c r="H336" s="104">
        <v>8</v>
      </c>
      <c r="I336" s="11">
        <f t="shared" ref="I336:I337" si="112">TRUNC($E336*H336,1)</f>
        <v>149864</v>
      </c>
    </row>
    <row r="337" spans="2:15" ht="12.95" customHeight="1" x14ac:dyDescent="0.3">
      <c r="B337" s="19" t="s">
        <v>3</v>
      </c>
      <c r="C337" s="19" t="s">
        <v>23</v>
      </c>
      <c r="D337" s="67" t="s">
        <v>20</v>
      </c>
      <c r="E337" s="99">
        <v>19871</v>
      </c>
      <c r="F337" s="104">
        <v>8</v>
      </c>
      <c r="G337" s="11">
        <f t="shared" si="111"/>
        <v>158968</v>
      </c>
      <c r="H337" s="104">
        <v>8</v>
      </c>
      <c r="I337" s="11">
        <f t="shared" si="112"/>
        <v>158968</v>
      </c>
    </row>
    <row r="338" spans="2:15" ht="12.95" customHeight="1" x14ac:dyDescent="0.3">
      <c r="B338" s="54" t="s">
        <v>15</v>
      </c>
      <c r="C338" s="90"/>
      <c r="D338" s="90"/>
      <c r="E338" s="100"/>
      <c r="F338" s="119"/>
      <c r="G338" s="96">
        <f>TRUNC(SUM(G336:G337))</f>
        <v>308832</v>
      </c>
      <c r="H338" s="119"/>
      <c r="I338" s="96">
        <f>TRUNC(SUM(I336:I337))</f>
        <v>308832</v>
      </c>
      <c r="N338" s="39"/>
    </row>
    <row r="339" spans="2:15" ht="12.95" customHeight="1" x14ac:dyDescent="0.3">
      <c r="B339" s="89"/>
      <c r="C339" s="90"/>
      <c r="D339" s="90"/>
      <c r="E339" s="100"/>
      <c r="F339" s="119"/>
      <c r="G339" s="82"/>
      <c r="H339" s="119"/>
      <c r="I339" s="82"/>
      <c r="N339" s="39"/>
    </row>
    <row r="340" spans="2:15" ht="12.95" customHeight="1" x14ac:dyDescent="0.3">
      <c r="B340" s="77" t="s">
        <v>34</v>
      </c>
      <c r="C340" s="77"/>
      <c r="D340" s="6" t="s">
        <v>14</v>
      </c>
      <c r="E340" s="99">
        <v>235204</v>
      </c>
      <c r="F340" s="104">
        <v>3</v>
      </c>
      <c r="G340" s="11">
        <f t="shared" ref="G340:G343" si="113">TRUNC($E340*F340,1)</f>
        <v>705612</v>
      </c>
      <c r="H340" s="104">
        <v>3</v>
      </c>
      <c r="I340" s="11">
        <f t="shared" ref="I340:I343" si="114">TRUNC($E340*H340,1)</f>
        <v>705612</v>
      </c>
      <c r="N340" s="39"/>
    </row>
    <row r="341" spans="2:15" ht="12.95" customHeight="1" x14ac:dyDescent="0.3">
      <c r="B341" s="77" t="s">
        <v>1</v>
      </c>
      <c r="C341" s="77"/>
      <c r="D341" s="6" t="s">
        <v>14</v>
      </c>
      <c r="E341" s="99">
        <v>172068</v>
      </c>
      <c r="F341" s="104">
        <v>1</v>
      </c>
      <c r="G341" s="11">
        <f t="shared" si="113"/>
        <v>172068</v>
      </c>
      <c r="H341" s="104">
        <v>1</v>
      </c>
      <c r="I341" s="11">
        <f t="shared" si="114"/>
        <v>172068</v>
      </c>
      <c r="N341" s="39"/>
    </row>
    <row r="342" spans="2:15" ht="12.95" customHeight="1" x14ac:dyDescent="0.3">
      <c r="B342" s="19" t="s">
        <v>145</v>
      </c>
      <c r="C342" s="19" t="s">
        <v>6</v>
      </c>
      <c r="D342" s="67" t="s">
        <v>20</v>
      </c>
      <c r="E342" s="99">
        <v>58925</v>
      </c>
      <c r="F342" s="104">
        <v>8</v>
      </c>
      <c r="G342" s="11">
        <f t="shared" si="113"/>
        <v>471400</v>
      </c>
      <c r="H342" s="104">
        <v>8</v>
      </c>
      <c r="I342" s="11">
        <f t="shared" si="114"/>
        <v>471400</v>
      </c>
      <c r="N342" s="39"/>
    </row>
    <row r="343" spans="2:15" ht="12.95" customHeight="1" x14ac:dyDescent="0.3">
      <c r="B343" s="19" t="s">
        <v>3</v>
      </c>
      <c r="C343" s="19" t="s">
        <v>23</v>
      </c>
      <c r="D343" s="67" t="s">
        <v>20</v>
      </c>
      <c r="E343" s="99">
        <v>49698</v>
      </c>
      <c r="F343" s="104">
        <v>8</v>
      </c>
      <c r="G343" s="11">
        <f t="shared" si="113"/>
        <v>397584</v>
      </c>
      <c r="H343" s="104">
        <v>8</v>
      </c>
      <c r="I343" s="11">
        <f t="shared" si="114"/>
        <v>397584</v>
      </c>
      <c r="N343" s="18"/>
    </row>
    <row r="344" spans="2:15" ht="12.95" customHeight="1" x14ac:dyDescent="0.3">
      <c r="B344" s="48" t="s">
        <v>16</v>
      </c>
      <c r="C344" s="90"/>
      <c r="D344" s="90"/>
      <c r="E344" s="100"/>
      <c r="F344" s="119"/>
      <c r="G344" s="96">
        <f>TRUNC(SUM(G340:G343))</f>
        <v>1746664</v>
      </c>
      <c r="H344" s="119"/>
      <c r="I344" s="96">
        <f>TRUNC(SUM(I340:I343))</f>
        <v>1746664</v>
      </c>
    </row>
    <row r="345" spans="2:15" ht="12.95" customHeight="1" x14ac:dyDescent="0.3">
      <c r="B345" s="89"/>
      <c r="C345" s="90"/>
      <c r="D345" s="90"/>
      <c r="E345" s="100"/>
      <c r="F345" s="119"/>
      <c r="G345" s="82"/>
      <c r="H345" s="119"/>
      <c r="I345" s="82"/>
      <c r="N345" s="46"/>
      <c r="O345" s="18"/>
    </row>
    <row r="346" spans="2:15" ht="12.95" customHeight="1" x14ac:dyDescent="0.3">
      <c r="B346" s="19" t="s">
        <v>145</v>
      </c>
      <c r="C346" s="19" t="s">
        <v>6</v>
      </c>
      <c r="D346" s="67" t="s">
        <v>20</v>
      </c>
      <c r="E346" s="99">
        <v>23423</v>
      </c>
      <c r="F346" s="104">
        <v>8</v>
      </c>
      <c r="G346" s="11">
        <f t="shared" ref="G346:G347" si="115">TRUNC($E346*F346,1)</f>
        <v>187384</v>
      </c>
      <c r="H346" s="104">
        <v>8</v>
      </c>
      <c r="I346" s="11">
        <f t="shared" ref="I346:I347" si="116">TRUNC($E346*H346,1)</f>
        <v>187384</v>
      </c>
      <c r="N346" s="46"/>
      <c r="O346" s="18"/>
    </row>
    <row r="347" spans="2:15" ht="12.95" customHeight="1" x14ac:dyDescent="0.3">
      <c r="B347" s="19" t="s">
        <v>3</v>
      </c>
      <c r="C347" s="19" t="s">
        <v>23</v>
      </c>
      <c r="D347" s="67" t="s">
        <v>20</v>
      </c>
      <c r="E347" s="99">
        <v>31327</v>
      </c>
      <c r="F347" s="104">
        <v>8</v>
      </c>
      <c r="G347" s="11">
        <f t="shared" si="115"/>
        <v>250616</v>
      </c>
      <c r="H347" s="104">
        <v>8</v>
      </c>
      <c r="I347" s="11">
        <f t="shared" si="116"/>
        <v>250616</v>
      </c>
      <c r="N347" s="46"/>
      <c r="O347" s="18"/>
    </row>
    <row r="348" spans="2:15" ht="12.95" customHeight="1" x14ac:dyDescent="0.3">
      <c r="B348" s="54" t="s">
        <v>17</v>
      </c>
      <c r="C348" s="90"/>
      <c r="D348" s="90"/>
      <c r="E348" s="79"/>
      <c r="F348" s="85"/>
      <c r="G348" s="97">
        <f>TRUNC(SUM(G346:G347))</f>
        <v>438000</v>
      </c>
      <c r="H348" s="85"/>
      <c r="I348" s="97">
        <f>TRUNC(SUM(I346:I347))</f>
        <v>438000</v>
      </c>
      <c r="N348" s="46"/>
      <c r="O348" s="18"/>
    </row>
    <row r="349" spans="2:15" ht="12.95" customHeight="1" x14ac:dyDescent="0.3">
      <c r="B349" s="24"/>
      <c r="C349" s="77"/>
      <c r="D349" s="77"/>
      <c r="E349" s="86"/>
      <c r="F349" s="72"/>
      <c r="G349" s="73"/>
      <c r="H349" s="72"/>
      <c r="I349" s="73"/>
      <c r="N349" s="46"/>
      <c r="O349" s="18"/>
    </row>
    <row r="350" spans="2:15" ht="12.95" customHeight="1" x14ac:dyDescent="0.3">
      <c r="B350" s="111" t="s">
        <v>19</v>
      </c>
      <c r="C350" s="90"/>
      <c r="D350" s="90"/>
      <c r="E350" s="79"/>
      <c r="F350" s="79"/>
      <c r="G350" s="118">
        <f>SUM(G338+G344+G348)</f>
        <v>2493496</v>
      </c>
      <c r="H350" s="79"/>
      <c r="I350" s="118">
        <f>SUM(I338+I344+I348)</f>
        <v>2493496</v>
      </c>
      <c r="N350" s="46"/>
      <c r="O350" s="18"/>
    </row>
    <row r="351" spans="2:15" ht="12.95" customHeight="1" x14ac:dyDescent="0.3">
      <c r="B351" s="26" t="s">
        <v>118</v>
      </c>
      <c r="C351" s="27"/>
      <c r="D351" s="66"/>
      <c r="E351" s="28"/>
      <c r="F351" s="29"/>
      <c r="G351" s="30">
        <f>TRUNC(G350/G334)</f>
        <v>277055</v>
      </c>
      <c r="H351" s="29"/>
      <c r="I351" s="30">
        <f>TRUNC(I350/I334)</f>
        <v>356213</v>
      </c>
      <c r="N351" s="46"/>
      <c r="O351" s="18"/>
    </row>
    <row r="352" spans="2:15" ht="12.95" customHeight="1" x14ac:dyDescent="0.3">
      <c r="B352" s="127" t="s">
        <v>7</v>
      </c>
      <c r="C352" s="125" t="s">
        <v>11</v>
      </c>
      <c r="D352" s="125" t="s">
        <v>12</v>
      </c>
      <c r="E352" s="125" t="s">
        <v>8</v>
      </c>
      <c r="F352" s="131" t="s">
        <v>124</v>
      </c>
      <c r="G352" s="133"/>
      <c r="H352" s="133"/>
      <c r="I352" s="133"/>
      <c r="N352" s="46"/>
      <c r="O352" s="18"/>
    </row>
    <row r="353" spans="2:16" ht="12.95" customHeight="1" x14ac:dyDescent="0.3">
      <c r="B353" s="128"/>
      <c r="C353" s="130"/>
      <c r="D353" s="130"/>
      <c r="E353" s="130"/>
      <c r="F353" s="136" t="s">
        <v>139</v>
      </c>
      <c r="G353" s="137"/>
      <c r="H353" s="136" t="s">
        <v>140</v>
      </c>
      <c r="I353" s="137"/>
      <c r="N353" s="46"/>
      <c r="O353" s="18"/>
    </row>
    <row r="354" spans="2:16" ht="12.95" customHeight="1" x14ac:dyDescent="0.3">
      <c r="B354" s="128"/>
      <c r="C354" s="130"/>
      <c r="D354" s="130"/>
      <c r="E354" s="130"/>
      <c r="F354" s="107" t="s">
        <v>116</v>
      </c>
      <c r="G354" s="115">
        <v>5</v>
      </c>
      <c r="H354" s="107" t="s">
        <v>116</v>
      </c>
      <c r="I354" s="115">
        <v>4</v>
      </c>
      <c r="N354" s="39"/>
      <c r="O354" s="46"/>
      <c r="P354" s="18"/>
    </row>
    <row r="355" spans="2:16" ht="12.95" customHeight="1" x14ac:dyDescent="0.3">
      <c r="B355" s="129"/>
      <c r="C355" s="126"/>
      <c r="D355" s="126"/>
      <c r="E355" s="126"/>
      <c r="F355" s="63" t="s">
        <v>104</v>
      </c>
      <c r="G355" s="64" t="s">
        <v>105</v>
      </c>
      <c r="H355" s="63" t="s">
        <v>104</v>
      </c>
      <c r="I355" s="64" t="s">
        <v>105</v>
      </c>
      <c r="N355" s="39"/>
      <c r="O355" s="46"/>
      <c r="P355" s="18"/>
    </row>
    <row r="356" spans="2:16" ht="12.95" customHeight="1" x14ac:dyDescent="0.3">
      <c r="B356" s="19" t="s">
        <v>145</v>
      </c>
      <c r="C356" s="19" t="s">
        <v>6</v>
      </c>
      <c r="D356" s="67" t="s">
        <v>20</v>
      </c>
      <c r="E356" s="99">
        <v>18733</v>
      </c>
      <c r="F356" s="104">
        <v>8</v>
      </c>
      <c r="G356" s="11">
        <f t="shared" ref="G356:G357" si="117">TRUNC($E356*F356,1)</f>
        <v>149864</v>
      </c>
      <c r="H356" s="104">
        <v>8</v>
      </c>
      <c r="I356" s="11">
        <f t="shared" ref="I356:I357" si="118">TRUNC($E356*H356,1)</f>
        <v>149864</v>
      </c>
      <c r="N356" s="39"/>
      <c r="O356" s="46"/>
      <c r="P356" s="18"/>
    </row>
    <row r="357" spans="2:16" ht="12.95" customHeight="1" x14ac:dyDescent="0.3">
      <c r="B357" s="19" t="s">
        <v>84</v>
      </c>
      <c r="C357" s="19" t="s">
        <v>85</v>
      </c>
      <c r="D357" s="67" t="s">
        <v>20</v>
      </c>
      <c r="E357" s="99">
        <v>12764</v>
      </c>
      <c r="F357" s="104">
        <v>8</v>
      </c>
      <c r="G357" s="11">
        <f t="shared" si="117"/>
        <v>102112</v>
      </c>
      <c r="H357" s="104">
        <v>8</v>
      </c>
      <c r="I357" s="11">
        <f t="shared" si="118"/>
        <v>102112</v>
      </c>
      <c r="N357" s="39"/>
      <c r="O357" s="42"/>
      <c r="P357" s="18"/>
    </row>
    <row r="358" spans="2:16" ht="12.95" customHeight="1" x14ac:dyDescent="0.3">
      <c r="B358" s="54" t="s">
        <v>15</v>
      </c>
      <c r="C358" s="90"/>
      <c r="D358" s="90"/>
      <c r="E358" s="100"/>
      <c r="F358" s="119"/>
      <c r="G358" s="96">
        <f>TRUNC(SUM(G356:G357))</f>
        <v>251976</v>
      </c>
      <c r="H358" s="119"/>
      <c r="I358" s="96">
        <f>TRUNC(SUM(I356:I357))</f>
        <v>251976</v>
      </c>
      <c r="N358" s="39"/>
      <c r="O358" s="42"/>
      <c r="P358" s="18"/>
    </row>
    <row r="359" spans="2:16" ht="12.95" customHeight="1" x14ac:dyDescent="0.3">
      <c r="B359" s="89"/>
      <c r="C359" s="90"/>
      <c r="D359" s="90"/>
      <c r="E359" s="100"/>
      <c r="F359" s="119"/>
      <c r="G359" s="82"/>
      <c r="H359" s="119"/>
      <c r="I359" s="82"/>
      <c r="N359" s="18"/>
      <c r="O359" s="43"/>
      <c r="P359" s="18"/>
    </row>
    <row r="360" spans="2:16" ht="12.95" customHeight="1" x14ac:dyDescent="0.3">
      <c r="B360" s="77" t="s">
        <v>34</v>
      </c>
      <c r="C360" s="77"/>
      <c r="D360" s="6" t="s">
        <v>14</v>
      </c>
      <c r="E360" s="99">
        <v>235204</v>
      </c>
      <c r="F360" s="104">
        <v>3</v>
      </c>
      <c r="G360" s="11">
        <f t="shared" ref="G360:G363" si="119">TRUNC($E360*F360,1)</f>
        <v>705612</v>
      </c>
      <c r="H360" s="104">
        <v>3</v>
      </c>
      <c r="I360" s="11">
        <f t="shared" ref="I360:I363" si="120">TRUNC($E360*H360,1)</f>
        <v>705612</v>
      </c>
      <c r="N360" s="43"/>
      <c r="O360" s="18"/>
    </row>
    <row r="361" spans="2:16" ht="12.95" customHeight="1" x14ac:dyDescent="0.3">
      <c r="B361" s="77" t="s">
        <v>1</v>
      </c>
      <c r="C361" s="77"/>
      <c r="D361" s="6" t="s">
        <v>14</v>
      </c>
      <c r="E361" s="99">
        <v>172068</v>
      </c>
      <c r="F361" s="104">
        <v>1</v>
      </c>
      <c r="G361" s="11">
        <f t="shared" si="119"/>
        <v>172068</v>
      </c>
      <c r="H361" s="104">
        <v>1</v>
      </c>
      <c r="I361" s="11">
        <f t="shared" si="120"/>
        <v>172068</v>
      </c>
      <c r="N361" s="18"/>
      <c r="O361" s="43"/>
      <c r="P361" s="18"/>
    </row>
    <row r="362" spans="2:16" ht="12.95" customHeight="1" x14ac:dyDescent="0.3">
      <c r="B362" s="19" t="s">
        <v>145</v>
      </c>
      <c r="C362" s="19" t="s">
        <v>6</v>
      </c>
      <c r="D362" s="67" t="s">
        <v>20</v>
      </c>
      <c r="E362" s="99">
        <v>58925</v>
      </c>
      <c r="F362" s="104">
        <v>8</v>
      </c>
      <c r="G362" s="11">
        <f t="shared" si="119"/>
        <v>471400</v>
      </c>
      <c r="H362" s="104">
        <v>8</v>
      </c>
      <c r="I362" s="11">
        <f t="shared" si="120"/>
        <v>471400</v>
      </c>
      <c r="N362" s="18"/>
      <c r="O362" s="43"/>
      <c r="P362" s="18"/>
    </row>
    <row r="363" spans="2:16" ht="12.95" customHeight="1" x14ac:dyDescent="0.3">
      <c r="B363" s="19" t="s">
        <v>84</v>
      </c>
      <c r="C363" s="19" t="s">
        <v>85</v>
      </c>
      <c r="D363" s="67" t="s">
        <v>20</v>
      </c>
      <c r="E363" s="99">
        <v>58925</v>
      </c>
      <c r="F363" s="104">
        <v>8</v>
      </c>
      <c r="G363" s="11">
        <f t="shared" si="119"/>
        <v>471400</v>
      </c>
      <c r="H363" s="104">
        <v>8</v>
      </c>
      <c r="I363" s="11">
        <f t="shared" si="120"/>
        <v>471400</v>
      </c>
      <c r="N363" s="18"/>
      <c r="O363" s="43"/>
      <c r="P363" s="18"/>
    </row>
    <row r="364" spans="2:16" ht="12.95" customHeight="1" x14ac:dyDescent="0.3">
      <c r="B364" s="48" t="s">
        <v>16</v>
      </c>
      <c r="C364" s="90"/>
      <c r="D364" s="90"/>
      <c r="E364" s="100"/>
      <c r="F364" s="119"/>
      <c r="G364" s="96">
        <f>TRUNC(SUM(G360:G363))</f>
        <v>1820480</v>
      </c>
      <c r="H364" s="119"/>
      <c r="I364" s="96">
        <f>TRUNC(SUM(I360:I363))</f>
        <v>1820480</v>
      </c>
      <c r="N364" s="18"/>
      <c r="O364" s="44"/>
      <c r="P364" s="18"/>
    </row>
    <row r="365" spans="2:16" ht="12.95" customHeight="1" x14ac:dyDescent="0.3">
      <c r="B365" s="89"/>
      <c r="C365" s="90"/>
      <c r="D365" s="90"/>
      <c r="E365" s="100"/>
      <c r="F365" s="119"/>
      <c r="G365" s="82"/>
      <c r="H365" s="119"/>
      <c r="I365" s="82"/>
      <c r="N365" s="18"/>
      <c r="O365" s="42"/>
      <c r="P365" s="18"/>
    </row>
    <row r="366" spans="2:16" ht="12.95" customHeight="1" x14ac:dyDescent="0.3">
      <c r="B366" s="19" t="s">
        <v>145</v>
      </c>
      <c r="C366" s="19" t="s">
        <v>6</v>
      </c>
      <c r="D366" s="67" t="s">
        <v>20</v>
      </c>
      <c r="E366" s="99">
        <v>23423</v>
      </c>
      <c r="F366" s="104">
        <v>8</v>
      </c>
      <c r="G366" s="11">
        <f t="shared" ref="G366:G367" si="121">TRUNC($E366*F366,1)</f>
        <v>187384</v>
      </c>
      <c r="H366" s="104">
        <v>8</v>
      </c>
      <c r="I366" s="11">
        <f t="shared" ref="I366:I367" si="122">TRUNC($E366*H366,1)</f>
        <v>187384</v>
      </c>
      <c r="N366" s="18"/>
    </row>
    <row r="367" spans="2:16" ht="12.95" customHeight="1" x14ac:dyDescent="0.3">
      <c r="B367" s="19" t="s">
        <v>84</v>
      </c>
      <c r="C367" s="19" t="s">
        <v>85</v>
      </c>
      <c r="D367" s="67" t="s">
        <v>20</v>
      </c>
      <c r="E367" s="99">
        <v>59751</v>
      </c>
      <c r="F367" s="104">
        <v>8</v>
      </c>
      <c r="G367" s="11">
        <f t="shared" si="121"/>
        <v>478008</v>
      </c>
      <c r="H367" s="104">
        <v>8</v>
      </c>
      <c r="I367" s="11">
        <f t="shared" si="122"/>
        <v>478008</v>
      </c>
      <c r="N367" s="18"/>
    </row>
    <row r="368" spans="2:16" ht="12.95" customHeight="1" x14ac:dyDescent="0.3">
      <c r="B368" s="54" t="s">
        <v>17</v>
      </c>
      <c r="C368" s="90"/>
      <c r="D368" s="90"/>
      <c r="E368" s="79"/>
      <c r="F368" s="85"/>
      <c r="G368" s="97">
        <f>TRUNC(SUM(G366:G367))</f>
        <v>665392</v>
      </c>
      <c r="H368" s="85"/>
      <c r="I368" s="97">
        <f>TRUNC(SUM(I366:I367))</f>
        <v>665392</v>
      </c>
      <c r="N368" s="18"/>
    </row>
    <row r="369" spans="2:14" ht="12.95" customHeight="1" x14ac:dyDescent="0.3">
      <c r="B369" s="24"/>
      <c r="C369" s="77"/>
      <c r="D369" s="77"/>
      <c r="E369" s="86"/>
      <c r="F369" s="72"/>
      <c r="G369" s="73"/>
      <c r="H369" s="72"/>
      <c r="I369" s="73"/>
      <c r="N369" s="18"/>
    </row>
    <row r="370" spans="2:14" ht="12.95" customHeight="1" x14ac:dyDescent="0.3">
      <c r="B370" s="111" t="s">
        <v>19</v>
      </c>
      <c r="C370" s="90"/>
      <c r="D370" s="90"/>
      <c r="E370" s="79"/>
      <c r="F370" s="79"/>
      <c r="G370" s="118">
        <f>SUM(G358+G364+G368)</f>
        <v>2737848</v>
      </c>
      <c r="H370" s="79"/>
      <c r="I370" s="118">
        <f>SUM(I358+I364+I368)</f>
        <v>2737848</v>
      </c>
      <c r="N370" s="18"/>
    </row>
    <row r="371" spans="2:14" ht="12.95" customHeight="1" x14ac:dyDescent="0.3">
      <c r="B371" s="26" t="s">
        <v>118</v>
      </c>
      <c r="C371" s="27"/>
      <c r="D371" s="66"/>
      <c r="E371" s="28"/>
      <c r="F371" s="29"/>
      <c r="G371" s="30">
        <f>TRUNC(G370/G354)</f>
        <v>547569</v>
      </c>
      <c r="H371" s="29"/>
      <c r="I371" s="30">
        <f>TRUNC(I370/I354)</f>
        <v>684462</v>
      </c>
      <c r="N371" s="18"/>
    </row>
    <row r="372" spans="2:14" ht="12.95" customHeight="1" x14ac:dyDescent="0.3">
      <c r="N372" s="18"/>
    </row>
    <row r="373" spans="2:14" ht="12.95" customHeight="1" x14ac:dyDescent="0.3">
      <c r="B373" s="1" t="s">
        <v>150</v>
      </c>
      <c r="N373" s="18"/>
    </row>
    <row r="374" spans="2:14" ht="12.95" customHeight="1" x14ac:dyDescent="0.3">
      <c r="B374" s="61" t="s">
        <v>89</v>
      </c>
      <c r="C374" s="62"/>
      <c r="D374" s="39"/>
      <c r="E374" s="17"/>
      <c r="F374" s="18"/>
      <c r="G374" s="18"/>
      <c r="H374" s="18"/>
      <c r="I374" s="18"/>
      <c r="J374" s="18"/>
      <c r="K374" s="47"/>
      <c r="M374" s="47" t="s">
        <v>90</v>
      </c>
      <c r="N374" s="18"/>
    </row>
    <row r="375" spans="2:14" ht="12.95" customHeight="1" x14ac:dyDescent="0.3">
      <c r="B375" s="127" t="s">
        <v>7</v>
      </c>
      <c r="C375" s="127" t="s">
        <v>11</v>
      </c>
      <c r="D375" s="125" t="s">
        <v>12</v>
      </c>
      <c r="E375" s="125" t="s">
        <v>8</v>
      </c>
      <c r="F375" s="136" t="s">
        <v>91</v>
      </c>
      <c r="G375" s="137"/>
      <c r="H375" s="137"/>
      <c r="I375" s="138"/>
      <c r="J375" s="136" t="s">
        <v>92</v>
      </c>
      <c r="K375" s="137"/>
      <c r="L375" s="137"/>
      <c r="M375" s="137"/>
      <c r="N375" s="18"/>
    </row>
    <row r="376" spans="2:14" ht="12.95" customHeight="1" x14ac:dyDescent="0.3">
      <c r="B376" s="128"/>
      <c r="C376" s="128"/>
      <c r="D376" s="130"/>
      <c r="E376" s="130"/>
      <c r="F376" s="136" t="s">
        <v>93</v>
      </c>
      <c r="G376" s="137"/>
      <c r="H376" s="136" t="s">
        <v>94</v>
      </c>
      <c r="I376" s="137"/>
      <c r="J376" s="136" t="s">
        <v>93</v>
      </c>
      <c r="K376" s="137"/>
      <c r="L376" s="136" t="s">
        <v>94</v>
      </c>
      <c r="M376" s="137"/>
      <c r="N376" s="18"/>
    </row>
    <row r="377" spans="2:14" ht="12.95" customHeight="1" x14ac:dyDescent="0.3">
      <c r="B377" s="129"/>
      <c r="C377" s="129"/>
      <c r="D377" s="126"/>
      <c r="E377" s="126"/>
      <c r="F377" s="63" t="s">
        <v>9</v>
      </c>
      <c r="G377" s="64" t="s">
        <v>10</v>
      </c>
      <c r="H377" s="63" t="s">
        <v>9</v>
      </c>
      <c r="I377" s="64" t="s">
        <v>10</v>
      </c>
      <c r="J377" s="63" t="s">
        <v>9</v>
      </c>
      <c r="K377" s="64" t="s">
        <v>10</v>
      </c>
      <c r="L377" s="63" t="s">
        <v>9</v>
      </c>
      <c r="M377" s="64" t="s">
        <v>10</v>
      </c>
      <c r="N377" s="18"/>
    </row>
    <row r="378" spans="2:14" ht="12.95" customHeight="1" x14ac:dyDescent="0.3">
      <c r="B378" s="19" t="s">
        <v>145</v>
      </c>
      <c r="C378" s="19" t="s">
        <v>88</v>
      </c>
      <c r="D378" s="67" t="s">
        <v>20</v>
      </c>
      <c r="E378" s="20">
        <v>21305</v>
      </c>
      <c r="F378" s="103">
        <v>0.65700000000000003</v>
      </c>
      <c r="G378" s="5">
        <f t="shared" ref="G378" si="123">TRUNC($E378*F378,1)</f>
        <v>13997.3</v>
      </c>
      <c r="H378" s="103">
        <v>0.68400000000000005</v>
      </c>
      <c r="I378" s="5">
        <f t="shared" ref="I378" si="124">TRUNC($E378*H378,1)</f>
        <v>14572.6</v>
      </c>
      <c r="J378" s="103">
        <v>0.65700000000000003</v>
      </c>
      <c r="K378" s="5">
        <f t="shared" ref="K378" si="125">TRUNC($E378*J378,1)</f>
        <v>13997.3</v>
      </c>
      <c r="L378" s="103">
        <v>0.68400000000000005</v>
      </c>
      <c r="M378" s="11">
        <f t="shared" ref="M378" si="126">TRUNC($E378*L378,1)</f>
        <v>14572.6</v>
      </c>
      <c r="N378" s="18"/>
    </row>
    <row r="379" spans="2:14" ht="12.95" customHeight="1" x14ac:dyDescent="0.3">
      <c r="B379" s="19" t="s">
        <v>13</v>
      </c>
      <c r="C379" s="10" t="s">
        <v>18</v>
      </c>
      <c r="D379" s="67" t="s">
        <v>21</v>
      </c>
      <c r="E379" s="22"/>
      <c r="F379" s="104">
        <v>1</v>
      </c>
      <c r="G379" s="23">
        <f>TRUNC(SUM(G382:G382)*0.03,1)</f>
        <v>8552</v>
      </c>
      <c r="H379" s="104">
        <v>1</v>
      </c>
      <c r="I379" s="23">
        <f>TRUNC(SUM(I382:I382)*0.03,1)</f>
        <v>7338.3</v>
      </c>
      <c r="J379" s="104">
        <v>1</v>
      </c>
      <c r="K379" s="23">
        <f>TRUNC(SUM(K382:K382)*0.03,1)</f>
        <v>6830.3</v>
      </c>
      <c r="L379" s="104">
        <v>1</v>
      </c>
      <c r="M379" s="23">
        <f>TRUNC(SUM(M382:M382)*0.03,1)</f>
        <v>5898.9</v>
      </c>
    </row>
    <row r="380" spans="2:14" ht="12.95" customHeight="1" x14ac:dyDescent="0.3">
      <c r="B380" s="54" t="s">
        <v>15</v>
      </c>
      <c r="C380" s="58"/>
      <c r="D380" s="56"/>
      <c r="E380" s="55"/>
      <c r="F380" s="72"/>
      <c r="G380" s="53">
        <f>TRUNC(SUM(G378:G379))</f>
        <v>22549</v>
      </c>
      <c r="H380" s="72"/>
      <c r="I380" s="53">
        <f>TRUNC(SUM(I378:I379))</f>
        <v>21910</v>
      </c>
      <c r="J380" s="72"/>
      <c r="K380" s="53">
        <f>TRUNC(SUM(K378:K379))</f>
        <v>20827</v>
      </c>
      <c r="L380" s="72"/>
      <c r="M380" s="53">
        <f>TRUNC(SUM(M378:M379))</f>
        <v>20471</v>
      </c>
    </row>
    <row r="381" spans="2:14" ht="12.95" customHeight="1" x14ac:dyDescent="0.3">
      <c r="B381" s="24"/>
      <c r="C381" s="24"/>
      <c r="D381" s="67"/>
      <c r="E381" s="21"/>
      <c r="F381" s="72"/>
      <c r="G381" s="25"/>
      <c r="H381" s="72"/>
      <c r="I381" s="25"/>
      <c r="J381" s="72"/>
      <c r="K381" s="25"/>
      <c r="L381" s="72"/>
      <c r="M381" s="25"/>
    </row>
    <row r="382" spans="2:14" ht="12.95" customHeight="1" x14ac:dyDescent="0.3">
      <c r="B382" s="32" t="s">
        <v>2</v>
      </c>
      <c r="C382" s="14"/>
      <c r="D382" s="6" t="s">
        <v>14</v>
      </c>
      <c r="E382" s="78">
        <v>235204</v>
      </c>
      <c r="F382" s="103">
        <v>1.212</v>
      </c>
      <c r="G382" s="5">
        <f t="shared" ref="G382:G383" si="127">TRUNC($E382*F382,1)</f>
        <v>285067.2</v>
      </c>
      <c r="H382" s="103">
        <v>1.04</v>
      </c>
      <c r="I382" s="5">
        <f t="shared" ref="I382:I383" si="128">TRUNC($E382*H382,1)</f>
        <v>244612.1</v>
      </c>
      <c r="J382" s="103">
        <v>0.96799999999999997</v>
      </c>
      <c r="K382" s="5">
        <f t="shared" ref="K382:K383" si="129">TRUNC($E382*J382,1)</f>
        <v>227677.4</v>
      </c>
      <c r="L382" s="103">
        <v>0.83599999999999997</v>
      </c>
      <c r="M382" s="11">
        <f t="shared" ref="M382:M383" si="130">TRUNC($E382*L382,1)</f>
        <v>196630.5</v>
      </c>
    </row>
    <row r="383" spans="2:14" ht="12.95" customHeight="1" x14ac:dyDescent="0.3">
      <c r="B383" s="19" t="s">
        <v>145</v>
      </c>
      <c r="C383" s="19" t="s">
        <v>0</v>
      </c>
      <c r="D383" s="67" t="s">
        <v>20</v>
      </c>
      <c r="E383" s="20">
        <v>58925</v>
      </c>
      <c r="F383" s="103">
        <v>0.65700000000000003</v>
      </c>
      <c r="G383" s="5">
        <f t="shared" si="127"/>
        <v>38713.699999999997</v>
      </c>
      <c r="H383" s="103">
        <v>0.68400000000000005</v>
      </c>
      <c r="I383" s="5">
        <f t="shared" si="128"/>
        <v>40304.699999999997</v>
      </c>
      <c r="J383" s="103">
        <v>0.65700000000000003</v>
      </c>
      <c r="K383" s="5">
        <f t="shared" si="129"/>
        <v>38713.699999999997</v>
      </c>
      <c r="L383" s="103">
        <v>0.68400000000000005</v>
      </c>
      <c r="M383" s="11">
        <f t="shared" si="130"/>
        <v>40304.699999999997</v>
      </c>
    </row>
    <row r="384" spans="2:14" ht="12.95" customHeight="1" x14ac:dyDescent="0.3">
      <c r="B384" s="48" t="s">
        <v>16</v>
      </c>
      <c r="C384" s="58"/>
      <c r="D384" s="56"/>
      <c r="E384" s="52"/>
      <c r="F384" s="72"/>
      <c r="G384" s="53">
        <f>TRUNC(SUM(G382:G383))</f>
        <v>323780</v>
      </c>
      <c r="H384" s="72"/>
      <c r="I384" s="53">
        <f>TRUNC(SUM(I382:I383))</f>
        <v>284916</v>
      </c>
      <c r="J384" s="72"/>
      <c r="K384" s="53">
        <f>TRUNC(SUM(K382:K383))</f>
        <v>266391</v>
      </c>
      <c r="L384" s="72"/>
      <c r="M384" s="53">
        <f>TRUNC(SUM(M382:M383))</f>
        <v>236935</v>
      </c>
    </row>
    <row r="385" spans="2:13" ht="12.95" customHeight="1" x14ac:dyDescent="0.3">
      <c r="B385" s="24"/>
      <c r="C385" s="24"/>
      <c r="D385" s="67"/>
      <c r="E385" s="21"/>
      <c r="F385" s="72"/>
      <c r="G385" s="25"/>
      <c r="H385" s="72"/>
      <c r="I385" s="25"/>
      <c r="J385" s="72"/>
      <c r="K385" s="25"/>
      <c r="L385" s="72"/>
      <c r="M385" s="25"/>
    </row>
    <row r="386" spans="2:13" ht="12.95" customHeight="1" x14ac:dyDescent="0.3">
      <c r="B386" s="19" t="s">
        <v>145</v>
      </c>
      <c r="C386" s="19" t="s">
        <v>0</v>
      </c>
      <c r="D386" s="67" t="s">
        <v>20</v>
      </c>
      <c r="E386" s="20">
        <v>24554</v>
      </c>
      <c r="F386" s="103">
        <v>0.65700000000000003</v>
      </c>
      <c r="G386" s="5">
        <f t="shared" ref="G386" si="131">TRUNC($E386*F386,1)</f>
        <v>16131.9</v>
      </c>
      <c r="H386" s="103">
        <v>0.68400000000000005</v>
      </c>
      <c r="I386" s="5">
        <f t="shared" ref="I386" si="132">TRUNC($E386*H386,1)</f>
        <v>16794.900000000001</v>
      </c>
      <c r="J386" s="103">
        <v>0.65700000000000003</v>
      </c>
      <c r="K386" s="5">
        <f t="shared" ref="K386" si="133">TRUNC($E386*J386,1)</f>
        <v>16131.9</v>
      </c>
      <c r="L386" s="103">
        <v>0.68400000000000005</v>
      </c>
      <c r="M386" s="11">
        <f t="shared" ref="M386" si="134">TRUNC($E386*L386,1)</f>
        <v>16794.900000000001</v>
      </c>
    </row>
    <row r="387" spans="2:13" ht="12.95" customHeight="1" x14ac:dyDescent="0.3">
      <c r="B387" s="54" t="s">
        <v>17</v>
      </c>
      <c r="C387" s="58"/>
      <c r="D387" s="59"/>
      <c r="E387" s="52"/>
      <c r="F387" s="55"/>
      <c r="G387" s="53">
        <f>TRUNC(SUM(G386))</f>
        <v>16131</v>
      </c>
      <c r="H387" s="55"/>
      <c r="I387" s="53">
        <f>TRUNC(SUM(I386))</f>
        <v>16794</v>
      </c>
      <c r="J387" s="55"/>
      <c r="K387" s="53">
        <f>TRUNC(SUM(K386))</f>
        <v>16131</v>
      </c>
      <c r="L387" s="55"/>
      <c r="M387" s="53">
        <f>TRUNC(SUM(M386))</f>
        <v>16794</v>
      </c>
    </row>
    <row r="388" spans="2:13" ht="12.95" customHeight="1" x14ac:dyDescent="0.3">
      <c r="B388" s="24"/>
      <c r="C388" s="24"/>
      <c r="D388" s="67"/>
      <c r="E388" s="21"/>
      <c r="F388" s="21"/>
      <c r="G388" s="25"/>
      <c r="H388" s="21"/>
      <c r="I388" s="25"/>
      <c r="J388" s="21"/>
      <c r="K388" s="25"/>
      <c r="L388" s="21"/>
      <c r="M388" s="25"/>
    </row>
    <row r="389" spans="2:13" ht="12.95" customHeight="1" x14ac:dyDescent="0.3">
      <c r="B389" s="26" t="s">
        <v>19</v>
      </c>
      <c r="C389" s="27"/>
      <c r="D389" s="66"/>
      <c r="E389" s="28"/>
      <c r="F389" s="29"/>
      <c r="G389" s="30">
        <f>SUM(G380+G384+G387)</f>
        <v>362460</v>
      </c>
      <c r="H389" s="29"/>
      <c r="I389" s="30">
        <f>SUM(I380+I384+I387)</f>
        <v>323620</v>
      </c>
      <c r="J389" s="29"/>
      <c r="K389" s="30">
        <f>SUM(K380+K384+K387)</f>
        <v>303349</v>
      </c>
      <c r="L389" s="29"/>
      <c r="M389" s="30">
        <f>SUM(M380+M384+M387)</f>
        <v>274200</v>
      </c>
    </row>
    <row r="391" spans="2:13" ht="12.95" customHeight="1" x14ac:dyDescent="0.3">
      <c r="B391" s="2" t="s">
        <v>95</v>
      </c>
      <c r="C391" s="93"/>
      <c r="D391" s="68"/>
      <c r="E391" s="94"/>
      <c r="F391" s="68"/>
      <c r="G391" s="101" t="s">
        <v>103</v>
      </c>
      <c r="H391" s="68"/>
      <c r="I391" s="68"/>
      <c r="J391" s="68"/>
      <c r="K391" s="68"/>
      <c r="L391" s="68"/>
      <c r="M391" s="68"/>
    </row>
    <row r="392" spans="2:13" ht="12.95" customHeight="1" x14ac:dyDescent="0.3">
      <c r="B392" s="120" t="s">
        <v>7</v>
      </c>
      <c r="C392" s="122" t="s">
        <v>22</v>
      </c>
      <c r="D392" s="134" t="s">
        <v>12</v>
      </c>
      <c r="E392" s="125" t="s">
        <v>8</v>
      </c>
      <c r="F392" s="107" t="s">
        <v>141</v>
      </c>
      <c r="G392" s="115">
        <v>13</v>
      </c>
      <c r="H392" s="69"/>
      <c r="I392" s="70"/>
      <c r="J392" s="71"/>
      <c r="K392" s="71"/>
      <c r="L392" s="71"/>
      <c r="M392" s="71"/>
    </row>
    <row r="393" spans="2:13" ht="12.95" customHeight="1" x14ac:dyDescent="0.3">
      <c r="B393" s="121"/>
      <c r="C393" s="123"/>
      <c r="D393" s="135"/>
      <c r="E393" s="126"/>
      <c r="F393" s="63" t="s">
        <v>104</v>
      </c>
      <c r="G393" s="64" t="s">
        <v>105</v>
      </c>
      <c r="H393" s="69"/>
      <c r="I393" s="70"/>
      <c r="J393" s="71"/>
      <c r="K393" s="71"/>
      <c r="L393" s="71"/>
      <c r="M393" s="71"/>
    </row>
    <row r="394" spans="2:13" ht="12.95" customHeight="1" x14ac:dyDescent="0.3">
      <c r="B394" s="19" t="s">
        <v>145</v>
      </c>
      <c r="C394" s="19" t="s">
        <v>6</v>
      </c>
      <c r="D394" s="67" t="s">
        <v>20</v>
      </c>
      <c r="E394" s="99">
        <v>18733</v>
      </c>
      <c r="F394" s="104">
        <v>8</v>
      </c>
      <c r="G394" s="11">
        <f t="shared" ref="G394" si="135">TRUNC($E394*F394,1)</f>
        <v>149864</v>
      </c>
      <c r="H394" s="68"/>
      <c r="I394" s="68"/>
      <c r="J394" s="71"/>
      <c r="K394" s="71"/>
      <c r="L394" s="71"/>
      <c r="M394" s="71"/>
    </row>
    <row r="395" spans="2:13" ht="12.95" customHeight="1" x14ac:dyDescent="0.3">
      <c r="B395" s="54" t="s">
        <v>15</v>
      </c>
      <c r="C395" s="90"/>
      <c r="D395" s="90"/>
      <c r="E395" s="100"/>
      <c r="F395" s="119"/>
      <c r="G395" s="96">
        <f>TRUNC(SUM(G394:G394))</f>
        <v>149864</v>
      </c>
      <c r="H395" s="81"/>
      <c r="I395" s="73"/>
      <c r="J395" s="71"/>
      <c r="K395" s="71"/>
      <c r="L395" s="71"/>
      <c r="M395" s="71"/>
    </row>
    <row r="396" spans="2:13" ht="12.95" customHeight="1" x14ac:dyDescent="0.3">
      <c r="B396" s="89"/>
      <c r="C396" s="90"/>
      <c r="D396" s="90"/>
      <c r="E396" s="100"/>
      <c r="F396" s="119"/>
      <c r="G396" s="82"/>
      <c r="H396" s="81"/>
      <c r="I396" s="73"/>
      <c r="J396" s="71"/>
      <c r="K396" s="71"/>
      <c r="L396" s="71"/>
      <c r="M396" s="71"/>
    </row>
    <row r="397" spans="2:13" ht="12.95" customHeight="1" x14ac:dyDescent="0.3">
      <c r="B397" s="32" t="s">
        <v>2</v>
      </c>
      <c r="C397" s="14"/>
      <c r="D397" s="6" t="s">
        <v>14</v>
      </c>
      <c r="E397" s="78">
        <v>235204</v>
      </c>
      <c r="F397" s="104">
        <v>1</v>
      </c>
      <c r="G397" s="11">
        <f t="shared" ref="G397:G399" si="136">TRUNC($E397*F397,1)</f>
        <v>235204</v>
      </c>
      <c r="H397" s="68"/>
      <c r="I397" s="68"/>
      <c r="J397" s="71"/>
      <c r="K397" s="71"/>
      <c r="L397" s="71"/>
      <c r="M397" s="71"/>
    </row>
    <row r="398" spans="2:13" ht="12.95" customHeight="1" x14ac:dyDescent="0.3">
      <c r="B398" s="32" t="s">
        <v>96</v>
      </c>
      <c r="C398" s="14"/>
      <c r="D398" s="6" t="s">
        <v>14</v>
      </c>
      <c r="E398" s="78">
        <v>268908</v>
      </c>
      <c r="F398" s="104">
        <v>3</v>
      </c>
      <c r="G398" s="11">
        <f t="shared" si="136"/>
        <v>806724</v>
      </c>
      <c r="H398" s="83"/>
      <c r="I398" s="82"/>
      <c r="J398" s="71"/>
      <c r="K398" s="71"/>
      <c r="L398" s="71"/>
      <c r="M398" s="71"/>
    </row>
    <row r="399" spans="2:13" ht="12.95" customHeight="1" x14ac:dyDescent="0.3">
      <c r="B399" s="19" t="s">
        <v>145</v>
      </c>
      <c r="C399" s="19" t="s">
        <v>6</v>
      </c>
      <c r="D399" s="67" t="s">
        <v>20</v>
      </c>
      <c r="E399" s="99">
        <v>58925</v>
      </c>
      <c r="F399" s="104">
        <v>8</v>
      </c>
      <c r="G399" s="11">
        <f t="shared" si="136"/>
        <v>471400</v>
      </c>
      <c r="H399" s="83"/>
      <c r="I399" s="82"/>
      <c r="J399" s="71"/>
      <c r="K399" s="71"/>
      <c r="L399" s="71"/>
      <c r="M399" s="71"/>
    </row>
    <row r="400" spans="2:13" ht="12.95" customHeight="1" x14ac:dyDescent="0.3">
      <c r="B400" s="48" t="s">
        <v>16</v>
      </c>
      <c r="C400" s="90"/>
      <c r="D400" s="90"/>
      <c r="E400" s="100"/>
      <c r="F400" s="119"/>
      <c r="G400" s="96">
        <f>TRUNC(SUM(G397:G399))</f>
        <v>1513328</v>
      </c>
      <c r="H400" s="71"/>
      <c r="I400" s="71"/>
      <c r="J400" s="71"/>
      <c r="K400" s="71"/>
      <c r="L400" s="71"/>
      <c r="M400" s="71"/>
    </row>
    <row r="401" spans="2:13" ht="12.95" customHeight="1" x14ac:dyDescent="0.3">
      <c r="B401" s="89"/>
      <c r="C401" s="90"/>
      <c r="D401" s="90"/>
      <c r="E401" s="100"/>
      <c r="F401" s="119"/>
      <c r="G401" s="82"/>
      <c r="H401" s="71"/>
      <c r="I401" s="71"/>
      <c r="J401" s="71"/>
      <c r="K401" s="71"/>
      <c r="L401" s="71"/>
      <c r="M401" s="71"/>
    </row>
    <row r="402" spans="2:13" ht="12.95" customHeight="1" x14ac:dyDescent="0.3">
      <c r="B402" s="19" t="s">
        <v>145</v>
      </c>
      <c r="C402" s="19" t="s">
        <v>6</v>
      </c>
      <c r="D402" s="67" t="s">
        <v>20</v>
      </c>
      <c r="E402" s="99">
        <v>23423</v>
      </c>
      <c r="F402" s="104">
        <v>8</v>
      </c>
      <c r="G402" s="11">
        <f t="shared" ref="G402" si="137">TRUNC($E402*F402,1)</f>
        <v>187384</v>
      </c>
      <c r="H402" s="71"/>
      <c r="I402" s="71"/>
      <c r="J402" s="71"/>
      <c r="K402" s="71"/>
      <c r="L402" s="71"/>
      <c r="M402" s="71"/>
    </row>
    <row r="403" spans="2:13" ht="12.95" customHeight="1" x14ac:dyDescent="0.3">
      <c r="B403" s="54" t="s">
        <v>17</v>
      </c>
      <c r="C403" s="90"/>
      <c r="D403" s="90"/>
      <c r="E403" s="79"/>
      <c r="F403" s="85"/>
      <c r="G403" s="97">
        <f>TRUNC(SUM(G402:G402))</f>
        <v>187384</v>
      </c>
      <c r="H403" s="71"/>
      <c r="I403" s="71"/>
      <c r="J403" s="71"/>
      <c r="K403" s="71"/>
      <c r="L403" s="71"/>
      <c r="M403" s="71"/>
    </row>
    <row r="404" spans="2:13" ht="12.95" customHeight="1" x14ac:dyDescent="0.3">
      <c r="B404" s="24"/>
      <c r="C404" s="77"/>
      <c r="D404" s="77"/>
      <c r="E404" s="86"/>
      <c r="F404" s="72"/>
      <c r="G404" s="73"/>
      <c r="H404" s="83"/>
      <c r="I404" s="82"/>
      <c r="J404" s="71"/>
      <c r="K404" s="71"/>
      <c r="L404" s="71"/>
      <c r="M404" s="71"/>
    </row>
    <row r="405" spans="2:13" ht="12.95" customHeight="1" x14ac:dyDescent="0.3">
      <c r="B405" s="111" t="s">
        <v>19</v>
      </c>
      <c r="C405" s="90"/>
      <c r="D405" s="90"/>
      <c r="E405" s="79"/>
      <c r="F405" s="79"/>
      <c r="G405" s="118">
        <f>SUM(G395+G400+G403)</f>
        <v>1850576</v>
      </c>
      <c r="H405" s="71"/>
      <c r="I405" s="71"/>
      <c r="J405" s="71"/>
      <c r="K405" s="71"/>
      <c r="L405" s="71"/>
      <c r="M405" s="71"/>
    </row>
    <row r="406" spans="2:13" ht="12.95" customHeight="1" x14ac:dyDescent="0.3">
      <c r="B406" s="26" t="s">
        <v>142</v>
      </c>
      <c r="C406" s="27"/>
      <c r="D406" s="66"/>
      <c r="E406" s="28"/>
      <c r="F406" s="29"/>
      <c r="G406" s="30">
        <f>TRUNC((G405/G392)*10)</f>
        <v>1423520</v>
      </c>
      <c r="H406" s="71"/>
      <c r="I406" s="71"/>
      <c r="J406" s="71"/>
      <c r="K406" s="71"/>
      <c r="L406" s="71"/>
      <c r="M406" s="71"/>
    </row>
    <row r="407" spans="2:13" ht="12.95" customHeight="1" x14ac:dyDescent="0.3">
      <c r="B407" s="3"/>
      <c r="C407" s="9"/>
      <c r="D407" s="3"/>
      <c r="E407" s="13"/>
      <c r="F407" s="4"/>
      <c r="G407" s="4"/>
    </row>
    <row r="408" spans="2:13" ht="12.95" customHeight="1" x14ac:dyDescent="0.3">
      <c r="B408" s="2" t="s">
        <v>99</v>
      </c>
      <c r="F408" s="68"/>
      <c r="G408" s="101" t="s">
        <v>103</v>
      </c>
    </row>
    <row r="409" spans="2:13" ht="12.95" customHeight="1" x14ac:dyDescent="0.3">
      <c r="B409" s="120" t="s">
        <v>7</v>
      </c>
      <c r="C409" s="122" t="s">
        <v>22</v>
      </c>
      <c r="D409" s="124" t="s">
        <v>12</v>
      </c>
      <c r="E409" s="125" t="s">
        <v>8</v>
      </c>
      <c r="F409" s="107" t="s">
        <v>106</v>
      </c>
      <c r="G409" s="115">
        <v>65</v>
      </c>
    </row>
    <row r="410" spans="2:13" ht="12.95" customHeight="1" x14ac:dyDescent="0.3">
      <c r="B410" s="121"/>
      <c r="C410" s="123"/>
      <c r="D410" s="124"/>
      <c r="E410" s="126"/>
      <c r="F410" s="63" t="s">
        <v>104</v>
      </c>
      <c r="G410" s="64" t="s">
        <v>105</v>
      </c>
    </row>
    <row r="411" spans="2:13" ht="12.95" customHeight="1" x14ac:dyDescent="0.3">
      <c r="B411" s="19" t="s">
        <v>145</v>
      </c>
      <c r="C411" s="19" t="s">
        <v>6</v>
      </c>
      <c r="D411" s="67" t="s">
        <v>20</v>
      </c>
      <c r="E411" s="99">
        <v>18733</v>
      </c>
      <c r="F411" s="104">
        <v>8</v>
      </c>
      <c r="G411" s="11">
        <f>TRUNC($E411*F411,1)</f>
        <v>149864</v>
      </c>
    </row>
    <row r="412" spans="2:13" ht="12.95" customHeight="1" x14ac:dyDescent="0.3">
      <c r="B412" s="19" t="s">
        <v>97</v>
      </c>
      <c r="C412" s="19" t="s">
        <v>98</v>
      </c>
      <c r="D412" s="67" t="s">
        <v>20</v>
      </c>
      <c r="E412" s="78">
        <v>1901</v>
      </c>
      <c r="F412" s="104">
        <v>8</v>
      </c>
      <c r="G412" s="11">
        <f>TRUNC($E412*F412,1)</f>
        <v>15208</v>
      </c>
      <c r="H412" s="18"/>
    </row>
    <row r="413" spans="2:13" ht="12.95" customHeight="1" x14ac:dyDescent="0.3">
      <c r="B413" s="54" t="s">
        <v>15</v>
      </c>
      <c r="C413" s="58"/>
      <c r="D413" s="56"/>
      <c r="E413" s="55"/>
      <c r="F413" s="72"/>
      <c r="G413" s="53">
        <f>TRUNC(SUM(G411:G412))</f>
        <v>165072</v>
      </c>
    </row>
    <row r="414" spans="2:13" ht="12.95" customHeight="1" x14ac:dyDescent="0.3">
      <c r="B414" s="24"/>
      <c r="C414" s="24"/>
      <c r="D414" s="67"/>
      <c r="E414" s="21"/>
      <c r="F414" s="72"/>
      <c r="G414" s="25"/>
      <c r="H414" s="18"/>
    </row>
    <row r="415" spans="2:13" ht="12.95" customHeight="1" x14ac:dyDescent="0.3">
      <c r="B415" s="32" t="s">
        <v>2</v>
      </c>
      <c r="C415" s="14"/>
      <c r="D415" s="6" t="s">
        <v>14</v>
      </c>
      <c r="E415" s="78">
        <v>235204</v>
      </c>
      <c r="F415" s="104">
        <v>3</v>
      </c>
      <c r="G415" s="11">
        <f>TRUNC($E415*F415,1)</f>
        <v>705612</v>
      </c>
      <c r="H415" s="18"/>
    </row>
    <row r="416" spans="2:13" ht="12.95" customHeight="1" x14ac:dyDescent="0.3">
      <c r="B416" s="32" t="s">
        <v>1</v>
      </c>
      <c r="C416" s="14"/>
      <c r="D416" s="6" t="s">
        <v>14</v>
      </c>
      <c r="E416" s="78">
        <v>172068</v>
      </c>
      <c r="F416" s="104">
        <v>1</v>
      </c>
      <c r="G416" s="11">
        <f>TRUNC($E416*F416,1)</f>
        <v>172068</v>
      </c>
      <c r="H416" s="18"/>
    </row>
    <row r="417" spans="2:14" ht="12.95" customHeight="1" x14ac:dyDescent="0.3">
      <c r="B417" s="19" t="s">
        <v>145</v>
      </c>
      <c r="C417" s="19" t="s">
        <v>6</v>
      </c>
      <c r="D417" s="67" t="s">
        <v>20</v>
      </c>
      <c r="E417" s="99">
        <v>58925</v>
      </c>
      <c r="F417" s="104">
        <v>8</v>
      </c>
      <c r="G417" s="11">
        <f>TRUNC($E417*F417,1)</f>
        <v>471400</v>
      </c>
      <c r="H417" s="18"/>
    </row>
    <row r="418" spans="2:14" ht="12.95" customHeight="1" x14ac:dyDescent="0.3">
      <c r="B418" s="19" t="s">
        <v>97</v>
      </c>
      <c r="C418" s="19" t="s">
        <v>98</v>
      </c>
      <c r="D418" s="67" t="s">
        <v>20</v>
      </c>
      <c r="E418" s="78">
        <v>36190</v>
      </c>
      <c r="F418" s="104">
        <v>8</v>
      </c>
      <c r="G418" s="11">
        <f>TRUNC($E418*F418,1)</f>
        <v>289520</v>
      </c>
      <c r="H418" s="18"/>
    </row>
    <row r="419" spans="2:14" ht="12.95" customHeight="1" x14ac:dyDescent="0.3">
      <c r="B419" s="48" t="s">
        <v>16</v>
      </c>
      <c r="C419" s="58"/>
      <c r="D419" s="56"/>
      <c r="E419" s="52"/>
      <c r="F419" s="72"/>
      <c r="G419" s="53">
        <f>TRUNC(SUM(G415:G418))</f>
        <v>1638600</v>
      </c>
      <c r="H419" s="18"/>
    </row>
    <row r="420" spans="2:14" ht="12.95" customHeight="1" x14ac:dyDescent="0.3">
      <c r="B420" s="24"/>
      <c r="C420" s="24"/>
      <c r="D420" s="67"/>
      <c r="E420" s="21"/>
      <c r="F420" s="72"/>
      <c r="G420" s="25"/>
      <c r="H420" s="18"/>
    </row>
    <row r="421" spans="2:14" ht="12.95" customHeight="1" x14ac:dyDescent="0.3">
      <c r="B421" s="19" t="s">
        <v>145</v>
      </c>
      <c r="C421" s="19" t="s">
        <v>6</v>
      </c>
      <c r="D421" s="67" t="s">
        <v>20</v>
      </c>
      <c r="E421" s="99">
        <v>23423</v>
      </c>
      <c r="F421" s="104">
        <v>8</v>
      </c>
      <c r="G421" s="11">
        <f>TRUNC($E421*F421,1)</f>
        <v>187384</v>
      </c>
    </row>
    <row r="422" spans="2:14" ht="12.95" customHeight="1" x14ac:dyDescent="0.3">
      <c r="B422" s="19" t="s">
        <v>97</v>
      </c>
      <c r="C422" s="19" t="s">
        <v>98</v>
      </c>
      <c r="D422" s="67" t="s">
        <v>20</v>
      </c>
      <c r="E422" s="78">
        <v>620</v>
      </c>
      <c r="F422" s="104">
        <v>8</v>
      </c>
      <c r="G422" s="11">
        <f>TRUNC($E422*F422,1)</f>
        <v>4960</v>
      </c>
      <c r="N422" s="18"/>
    </row>
    <row r="423" spans="2:14" ht="12.95" customHeight="1" x14ac:dyDescent="0.3">
      <c r="B423" s="54" t="s">
        <v>17</v>
      </c>
      <c r="C423" s="58"/>
      <c r="D423" s="59"/>
      <c r="E423" s="52"/>
      <c r="F423" s="55"/>
      <c r="G423" s="53">
        <f>TRUNC(SUM(G421:G422))</f>
        <v>192344</v>
      </c>
      <c r="N423" s="18"/>
    </row>
    <row r="424" spans="2:14" ht="12.95" customHeight="1" x14ac:dyDescent="0.3">
      <c r="B424" s="24"/>
      <c r="C424" s="24"/>
      <c r="D424" s="67"/>
      <c r="E424" s="21"/>
      <c r="F424" s="21"/>
      <c r="G424" s="25"/>
      <c r="N424" s="18"/>
    </row>
    <row r="425" spans="2:14" ht="12.95" customHeight="1" x14ac:dyDescent="0.3">
      <c r="B425" s="111" t="s">
        <v>19</v>
      </c>
      <c r="C425" s="24"/>
      <c r="D425" s="67"/>
      <c r="E425" s="112"/>
      <c r="F425" s="113"/>
      <c r="G425" s="114">
        <f>SUM(G413+G419+G423)</f>
        <v>1996016</v>
      </c>
      <c r="N425" s="18"/>
    </row>
    <row r="426" spans="2:14" ht="12.95" customHeight="1" x14ac:dyDescent="0.3">
      <c r="B426" s="26" t="s">
        <v>107</v>
      </c>
      <c r="C426" s="27"/>
      <c r="D426" s="66"/>
      <c r="E426" s="28"/>
      <c r="F426" s="29"/>
      <c r="G426" s="30">
        <f>TRUNC(G425/G409)</f>
        <v>30707</v>
      </c>
      <c r="H426" s="71"/>
      <c r="I426" s="71"/>
      <c r="J426" s="71"/>
      <c r="K426" s="71"/>
      <c r="L426" s="71"/>
      <c r="M426" s="71"/>
      <c r="N426" s="18"/>
    </row>
    <row r="427" spans="2:14" ht="12.95" customHeight="1" x14ac:dyDescent="0.3">
      <c r="N427" s="18"/>
    </row>
    <row r="428" spans="2:14" ht="12.95" customHeight="1" x14ac:dyDescent="0.3">
      <c r="B428" s="2" t="s">
        <v>100</v>
      </c>
      <c r="I428" s="101" t="s">
        <v>103</v>
      </c>
      <c r="N428" s="18"/>
    </row>
    <row r="429" spans="2:14" ht="12.95" customHeight="1" x14ac:dyDescent="0.3">
      <c r="B429" s="127" t="s">
        <v>7</v>
      </c>
      <c r="C429" s="127" t="s">
        <v>11</v>
      </c>
      <c r="D429" s="125" t="s">
        <v>12</v>
      </c>
      <c r="E429" s="125" t="s">
        <v>8</v>
      </c>
      <c r="F429" s="131" t="s">
        <v>101</v>
      </c>
      <c r="G429" s="132"/>
      <c r="H429" s="131" t="s">
        <v>102</v>
      </c>
      <c r="I429" s="133"/>
    </row>
    <row r="430" spans="2:14" ht="12.95" customHeight="1" x14ac:dyDescent="0.3">
      <c r="B430" s="128"/>
      <c r="C430" s="128"/>
      <c r="D430" s="130"/>
      <c r="E430" s="130"/>
      <c r="F430" s="107" t="s">
        <v>106</v>
      </c>
      <c r="G430" s="115">
        <v>90</v>
      </c>
      <c r="H430" s="107" t="s">
        <v>106</v>
      </c>
      <c r="I430" s="115">
        <v>130</v>
      </c>
    </row>
    <row r="431" spans="2:14" ht="12.95" customHeight="1" x14ac:dyDescent="0.3">
      <c r="B431" s="129"/>
      <c r="C431" s="129"/>
      <c r="D431" s="126"/>
      <c r="E431" s="126"/>
      <c r="F431" s="63" t="s">
        <v>104</v>
      </c>
      <c r="G431" s="64" t="s">
        <v>105</v>
      </c>
      <c r="H431" s="63" t="s">
        <v>104</v>
      </c>
      <c r="I431" s="64" t="s">
        <v>105</v>
      </c>
    </row>
    <row r="432" spans="2:14" ht="12.95" customHeight="1" x14ac:dyDescent="0.3">
      <c r="B432" s="32" t="s">
        <v>2</v>
      </c>
      <c r="C432" s="14"/>
      <c r="D432" s="6" t="s">
        <v>14</v>
      </c>
      <c r="E432" s="78">
        <v>235204</v>
      </c>
      <c r="F432" s="104">
        <v>2</v>
      </c>
      <c r="G432" s="11">
        <f t="shared" ref="G432:G433" si="138">TRUNC($E432*F432,1)</f>
        <v>470408</v>
      </c>
      <c r="H432" s="104">
        <v>2</v>
      </c>
      <c r="I432" s="11">
        <f t="shared" ref="I432:I433" si="139">TRUNC($E432*H432,1)</f>
        <v>470408</v>
      </c>
    </row>
    <row r="433" spans="2:9" ht="12.95" customHeight="1" x14ac:dyDescent="0.3">
      <c r="B433" s="32" t="s">
        <v>1</v>
      </c>
      <c r="C433" s="14"/>
      <c r="D433" s="6" t="s">
        <v>14</v>
      </c>
      <c r="E433" s="78">
        <v>172068</v>
      </c>
      <c r="F433" s="104">
        <v>1</v>
      </c>
      <c r="G433" s="11">
        <f t="shared" si="138"/>
        <v>172068</v>
      </c>
      <c r="H433" s="104">
        <v>1</v>
      </c>
      <c r="I433" s="11">
        <f t="shared" si="139"/>
        <v>172068</v>
      </c>
    </row>
    <row r="434" spans="2:9" ht="12.95" customHeight="1" x14ac:dyDescent="0.3">
      <c r="B434" s="48" t="s">
        <v>16</v>
      </c>
      <c r="C434" s="58"/>
      <c r="D434" s="56"/>
      <c r="E434" s="52"/>
      <c r="F434" s="109"/>
      <c r="G434" s="53">
        <f>TRUNC(SUM(G432:G433))</f>
        <v>642476</v>
      </c>
      <c r="H434" s="109"/>
      <c r="I434" s="53">
        <f>TRUNC(SUM(I432:I433))</f>
        <v>642476</v>
      </c>
    </row>
    <row r="435" spans="2:9" ht="12.95" customHeight="1" x14ac:dyDescent="0.3">
      <c r="B435" s="24"/>
      <c r="C435" s="24"/>
      <c r="D435" s="67"/>
      <c r="E435" s="21"/>
      <c r="F435" s="110"/>
      <c r="G435" s="25"/>
      <c r="H435" s="110"/>
      <c r="I435" s="25"/>
    </row>
    <row r="436" spans="2:9" ht="12.95" customHeight="1" x14ac:dyDescent="0.3">
      <c r="B436" s="111" t="s">
        <v>19</v>
      </c>
      <c r="C436" s="24"/>
      <c r="D436" s="67"/>
      <c r="E436" s="112"/>
      <c r="F436" s="113"/>
      <c r="G436" s="114">
        <f>SUM(G434)</f>
        <v>642476</v>
      </c>
      <c r="H436" s="113"/>
      <c r="I436" s="114">
        <f>SUM(I434)</f>
        <v>642476</v>
      </c>
    </row>
    <row r="437" spans="2:9" ht="12.95" customHeight="1" x14ac:dyDescent="0.3">
      <c r="B437" s="26" t="s">
        <v>143</v>
      </c>
      <c r="C437" s="27"/>
      <c r="D437" s="66"/>
      <c r="E437" s="28"/>
      <c r="F437" s="29"/>
      <c r="G437" s="30">
        <f>TRUNC((G436/G430)*10)</f>
        <v>71386</v>
      </c>
      <c r="H437" s="29"/>
      <c r="I437" s="30">
        <f>TRUNC((I436/I430)*10)</f>
        <v>49421</v>
      </c>
    </row>
    <row r="438" spans="2:9" ht="12.95" customHeight="1" x14ac:dyDescent="0.3">
      <c r="B438" s="3"/>
      <c r="C438" s="9"/>
      <c r="D438" s="3"/>
      <c r="E438" s="13"/>
    </row>
    <row r="439" spans="2:9" ht="12.95" customHeight="1" x14ac:dyDescent="0.3">
      <c r="B439" s="31" t="s">
        <v>151</v>
      </c>
      <c r="G439" s="101" t="s">
        <v>103</v>
      </c>
    </row>
    <row r="440" spans="2:9" ht="12.95" customHeight="1" x14ac:dyDescent="0.3">
      <c r="B440" s="120" t="s">
        <v>7</v>
      </c>
      <c r="C440" s="122" t="s">
        <v>22</v>
      </c>
      <c r="D440" s="124" t="s">
        <v>12</v>
      </c>
      <c r="E440" s="125" t="s">
        <v>8</v>
      </c>
      <c r="F440" s="107" t="s">
        <v>152</v>
      </c>
      <c r="G440" s="115">
        <v>50</v>
      </c>
    </row>
    <row r="441" spans="2:9" ht="12.95" customHeight="1" x14ac:dyDescent="0.3">
      <c r="B441" s="121"/>
      <c r="C441" s="123"/>
      <c r="D441" s="124"/>
      <c r="E441" s="126"/>
      <c r="F441" s="63" t="s">
        <v>104</v>
      </c>
      <c r="G441" s="64" t="s">
        <v>105</v>
      </c>
    </row>
    <row r="442" spans="2:9" ht="12.95" customHeight="1" x14ac:dyDescent="0.3">
      <c r="B442" s="32" t="s">
        <v>2</v>
      </c>
      <c r="C442" s="14"/>
      <c r="D442" s="6" t="s">
        <v>14</v>
      </c>
      <c r="E442" s="78">
        <v>235204</v>
      </c>
      <c r="F442" s="104">
        <v>2</v>
      </c>
      <c r="G442" s="11">
        <f t="shared" ref="G442:G443" si="140">TRUNC($E442*F442,1)</f>
        <v>470408</v>
      </c>
    </row>
    <row r="443" spans="2:9" ht="12.95" customHeight="1" x14ac:dyDescent="0.3">
      <c r="B443" s="32" t="s">
        <v>1</v>
      </c>
      <c r="C443" s="14"/>
      <c r="D443" s="6" t="s">
        <v>14</v>
      </c>
      <c r="E443" s="78">
        <v>172068</v>
      </c>
      <c r="F443" s="104">
        <v>1</v>
      </c>
      <c r="G443" s="11">
        <f t="shared" si="140"/>
        <v>172068</v>
      </c>
    </row>
    <row r="444" spans="2:9" ht="12.95" customHeight="1" x14ac:dyDescent="0.3">
      <c r="B444" s="48" t="s">
        <v>16</v>
      </c>
      <c r="C444" s="58"/>
      <c r="D444" s="56"/>
      <c r="E444" s="52"/>
      <c r="F444" s="109"/>
      <c r="G444" s="53">
        <f>TRUNC(SUM(G442:G443))</f>
        <v>642476</v>
      </c>
    </row>
    <row r="445" spans="2:9" ht="12.95" customHeight="1" x14ac:dyDescent="0.3">
      <c r="B445" s="24"/>
      <c r="C445" s="24"/>
      <c r="D445" s="67"/>
      <c r="E445" s="21"/>
      <c r="F445" s="110"/>
      <c r="G445" s="25"/>
    </row>
    <row r="446" spans="2:9" ht="12.95" customHeight="1" x14ac:dyDescent="0.3">
      <c r="B446" s="111" t="s">
        <v>19</v>
      </c>
      <c r="C446" s="24"/>
      <c r="D446" s="67"/>
      <c r="E446" s="112"/>
      <c r="F446" s="113"/>
      <c r="G446" s="114">
        <f>SUM(G444)</f>
        <v>642476</v>
      </c>
    </row>
    <row r="447" spans="2:9" ht="12.95" customHeight="1" x14ac:dyDescent="0.3">
      <c r="B447" s="26" t="s">
        <v>153</v>
      </c>
      <c r="C447" s="27"/>
      <c r="D447" s="66"/>
      <c r="E447" s="28"/>
      <c r="F447" s="29"/>
      <c r="G447" s="30">
        <f>TRUNC((G446/G440))</f>
        <v>12849</v>
      </c>
    </row>
    <row r="448" spans="2:9" ht="12.95" customHeight="1" x14ac:dyDescent="0.3">
      <c r="B448" s="3"/>
      <c r="C448" s="9"/>
      <c r="D448" s="3"/>
      <c r="E448" s="13"/>
    </row>
    <row r="449" spans="2:15" ht="12.95" customHeight="1" x14ac:dyDescent="0.3">
      <c r="B449" s="31" t="s">
        <v>154</v>
      </c>
      <c r="G449" s="101" t="s">
        <v>103</v>
      </c>
    </row>
    <row r="450" spans="2:15" ht="12.95" customHeight="1" x14ac:dyDescent="0.3">
      <c r="B450" s="120" t="s">
        <v>7</v>
      </c>
      <c r="C450" s="122" t="s">
        <v>22</v>
      </c>
      <c r="D450" s="124" t="s">
        <v>12</v>
      </c>
      <c r="E450" s="125" t="s">
        <v>8</v>
      </c>
      <c r="F450" s="107" t="s">
        <v>155</v>
      </c>
      <c r="G450" s="115">
        <v>210</v>
      </c>
    </row>
    <row r="451" spans="2:15" ht="12.95" customHeight="1" x14ac:dyDescent="0.3">
      <c r="B451" s="121"/>
      <c r="C451" s="123"/>
      <c r="D451" s="124"/>
      <c r="E451" s="126"/>
      <c r="F451" s="63" t="s">
        <v>104</v>
      </c>
      <c r="G451" s="64" t="s">
        <v>105</v>
      </c>
    </row>
    <row r="452" spans="2:15" ht="12.95" customHeight="1" x14ac:dyDescent="0.3">
      <c r="B452" s="32" t="s">
        <v>2</v>
      </c>
      <c r="C452" s="14"/>
      <c r="D452" s="6" t="s">
        <v>14</v>
      </c>
      <c r="E452" s="78">
        <v>235204</v>
      </c>
      <c r="F452" s="104">
        <v>2</v>
      </c>
      <c r="G452" s="11">
        <f t="shared" ref="G452:G453" si="141">TRUNC($E452*F452,1)</f>
        <v>470408</v>
      </c>
    </row>
    <row r="453" spans="2:15" ht="12.95" customHeight="1" x14ac:dyDescent="0.3">
      <c r="B453" s="32" t="s">
        <v>1</v>
      </c>
      <c r="C453" s="14"/>
      <c r="D453" s="6" t="s">
        <v>14</v>
      </c>
      <c r="E453" s="78">
        <v>172068</v>
      </c>
      <c r="F453" s="104">
        <v>1</v>
      </c>
      <c r="G453" s="11">
        <f t="shared" si="141"/>
        <v>172068</v>
      </c>
    </row>
    <row r="454" spans="2:15" ht="12.95" customHeight="1" x14ac:dyDescent="0.3">
      <c r="B454" s="48" t="s">
        <v>16</v>
      </c>
      <c r="C454" s="58"/>
      <c r="D454" s="56"/>
      <c r="E454" s="52"/>
      <c r="F454" s="109"/>
      <c r="G454" s="53">
        <f>TRUNC(SUM(G452:G453))</f>
        <v>642476</v>
      </c>
      <c r="N454" s="18"/>
      <c r="O454" s="18"/>
    </row>
    <row r="455" spans="2:15" ht="12.95" customHeight="1" x14ac:dyDescent="0.3">
      <c r="B455" s="24"/>
      <c r="C455" s="24"/>
      <c r="D455" s="67"/>
      <c r="E455" s="21"/>
      <c r="F455" s="110"/>
      <c r="G455" s="25"/>
      <c r="N455" s="18"/>
      <c r="O455" s="18"/>
    </row>
    <row r="456" spans="2:15" ht="12.95" customHeight="1" x14ac:dyDescent="0.3">
      <c r="B456" s="111" t="s">
        <v>19</v>
      </c>
      <c r="C456" s="24"/>
      <c r="D456" s="67"/>
      <c r="E456" s="112"/>
      <c r="F456" s="113"/>
      <c r="G456" s="114">
        <f>SUM(G454)</f>
        <v>642476</v>
      </c>
      <c r="N456" s="18"/>
      <c r="O456" s="18"/>
    </row>
    <row r="457" spans="2:15" ht="12.95" customHeight="1" x14ac:dyDescent="0.3">
      <c r="B457" s="26" t="s">
        <v>107</v>
      </c>
      <c r="C457" s="27"/>
      <c r="D457" s="66"/>
      <c r="E457" s="28"/>
      <c r="F457" s="29"/>
      <c r="G457" s="30">
        <f>TRUNC((G456/G450))</f>
        <v>3059</v>
      </c>
    </row>
    <row r="521" spans="14:15" ht="12.95" customHeight="1" x14ac:dyDescent="0.3">
      <c r="N521" s="18"/>
      <c r="O521" s="18"/>
    </row>
    <row r="522" spans="14:15" ht="12.95" customHeight="1" x14ac:dyDescent="0.3">
      <c r="N522" s="18"/>
      <c r="O522" s="18"/>
    </row>
    <row r="523" spans="14:15" ht="12.95" customHeight="1" x14ac:dyDescent="0.3">
      <c r="N523" s="18"/>
      <c r="O523" s="18"/>
    </row>
    <row r="524" spans="14:15" ht="12.95" customHeight="1" x14ac:dyDescent="0.3">
      <c r="N524" s="18"/>
      <c r="O524" s="18"/>
    </row>
    <row r="525" spans="14:15" ht="12.95" customHeight="1" x14ac:dyDescent="0.3">
      <c r="N525" s="18"/>
      <c r="O525" s="18"/>
    </row>
    <row r="526" spans="14:15" ht="12.95" customHeight="1" x14ac:dyDescent="0.3">
      <c r="N526" s="18"/>
      <c r="O526" s="18"/>
    </row>
    <row r="527" spans="14:15" ht="12.95" customHeight="1" x14ac:dyDescent="0.3">
      <c r="N527" s="18"/>
      <c r="O527" s="18"/>
    </row>
    <row r="528" spans="14:15" ht="12.95" customHeight="1" x14ac:dyDescent="0.3">
      <c r="N528" s="18"/>
      <c r="O528" s="18"/>
    </row>
    <row r="529" spans="14:15" ht="12.95" customHeight="1" x14ac:dyDescent="0.3">
      <c r="N529" s="18"/>
      <c r="O529" s="18"/>
    </row>
    <row r="530" spans="14:15" ht="12.95" customHeight="1" x14ac:dyDescent="0.3">
      <c r="N530" s="18"/>
      <c r="O530" s="18"/>
    </row>
    <row r="531" spans="14:15" ht="12.95" customHeight="1" x14ac:dyDescent="0.3">
      <c r="N531" s="18"/>
      <c r="O531" s="18"/>
    </row>
    <row r="532" spans="14:15" ht="12.95" customHeight="1" x14ac:dyDescent="0.3">
      <c r="N532" s="18"/>
      <c r="O532" s="18"/>
    </row>
    <row r="533" spans="14:15" ht="12.95" customHeight="1" x14ac:dyDescent="0.3">
      <c r="N533" s="18"/>
      <c r="O533" s="18"/>
    </row>
    <row r="534" spans="14:15" ht="12.95" customHeight="1" x14ac:dyDescent="0.3">
      <c r="N534" s="18"/>
      <c r="O534" s="18"/>
    </row>
    <row r="535" spans="14:15" ht="12.95" customHeight="1" x14ac:dyDescent="0.3">
      <c r="N535" s="18"/>
      <c r="O535" s="18"/>
    </row>
    <row r="536" spans="14:15" ht="12.95" customHeight="1" x14ac:dyDescent="0.3">
      <c r="N536" s="18"/>
      <c r="O536" s="18"/>
    </row>
    <row r="537" spans="14:15" ht="12.95" customHeight="1" x14ac:dyDescent="0.3">
      <c r="N537" s="18"/>
      <c r="O537" s="18"/>
    </row>
    <row r="538" spans="14:15" ht="12.95" customHeight="1" x14ac:dyDescent="0.3">
      <c r="N538" s="18"/>
      <c r="O538" s="18"/>
    </row>
    <row r="539" spans="14:15" ht="12.95" customHeight="1" x14ac:dyDescent="0.3">
      <c r="N539" s="18"/>
      <c r="O539" s="18"/>
    </row>
    <row r="646" spans="14:15" ht="12.95" customHeight="1" x14ac:dyDescent="0.3">
      <c r="N646" s="68"/>
      <c r="O646" s="68"/>
    </row>
    <row r="647" spans="14:15" ht="12.95" customHeight="1" x14ac:dyDescent="0.3">
      <c r="N647" s="68"/>
      <c r="O647" s="68"/>
    </row>
    <row r="648" spans="14:15" ht="12.95" customHeight="1" x14ac:dyDescent="0.3">
      <c r="N648" s="68"/>
      <c r="O648" s="68"/>
    </row>
    <row r="649" spans="14:15" ht="12.95" customHeight="1" x14ac:dyDescent="0.3">
      <c r="N649" s="68"/>
      <c r="O649" s="68"/>
    </row>
    <row r="650" spans="14:15" ht="12.95" customHeight="1" x14ac:dyDescent="0.3">
      <c r="N650" s="68"/>
      <c r="O650" s="68"/>
    </row>
    <row r="651" spans="14:15" ht="12.95" customHeight="1" x14ac:dyDescent="0.3">
      <c r="N651" s="68"/>
      <c r="O651" s="68"/>
    </row>
    <row r="652" spans="14:15" ht="12.95" customHeight="1" x14ac:dyDescent="0.3">
      <c r="N652" s="68"/>
      <c r="O652" s="68"/>
    </row>
    <row r="653" spans="14:15" ht="12.95" customHeight="1" x14ac:dyDescent="0.3">
      <c r="N653" s="68"/>
      <c r="O653" s="68"/>
    </row>
    <row r="654" spans="14:15" ht="12.95" customHeight="1" x14ac:dyDescent="0.3">
      <c r="N654" s="68"/>
      <c r="O654" s="68"/>
    </row>
    <row r="655" spans="14:15" ht="12.95" customHeight="1" x14ac:dyDescent="0.3">
      <c r="N655" s="68"/>
      <c r="O655" s="68"/>
    </row>
    <row r="656" spans="14:15" ht="12.95" customHeight="1" x14ac:dyDescent="0.3">
      <c r="N656" s="68"/>
      <c r="O656" s="68"/>
    </row>
    <row r="657" spans="14:15" ht="12.95" customHeight="1" x14ac:dyDescent="0.3">
      <c r="N657" s="68"/>
      <c r="O657" s="68"/>
    </row>
    <row r="658" spans="14:15" ht="12.95" customHeight="1" x14ac:dyDescent="0.3">
      <c r="N658" s="68"/>
      <c r="O658" s="68"/>
    </row>
    <row r="659" spans="14:15" ht="12.95" customHeight="1" x14ac:dyDescent="0.3">
      <c r="N659" s="68"/>
      <c r="O659" s="68"/>
    </row>
    <row r="660" spans="14:15" ht="12.95" customHeight="1" x14ac:dyDescent="0.3">
      <c r="N660" s="68"/>
      <c r="O660" s="68"/>
    </row>
    <row r="661" spans="14:15" ht="12.95" customHeight="1" x14ac:dyDescent="0.3">
      <c r="N661" s="68"/>
      <c r="O661" s="68"/>
    </row>
    <row r="662" spans="14:15" ht="12.95" customHeight="1" x14ac:dyDescent="0.3">
      <c r="N662" s="68"/>
      <c r="O662" s="68"/>
    </row>
    <row r="663" spans="14:15" ht="12.95" customHeight="1" x14ac:dyDescent="0.3">
      <c r="N663" s="68"/>
      <c r="O663" s="68"/>
    </row>
    <row r="664" spans="14:15" ht="12.95" customHeight="1" x14ac:dyDescent="0.3">
      <c r="N664" s="68"/>
      <c r="O664" s="68"/>
    </row>
  </sheetData>
  <mergeCells count="230">
    <mergeCell ref="F4:G4"/>
    <mergeCell ref="H4:I4"/>
    <mergeCell ref="B15:B16"/>
    <mergeCell ref="C15:C16"/>
    <mergeCell ref="D15:D16"/>
    <mergeCell ref="E15:E16"/>
    <mergeCell ref="B32:B33"/>
    <mergeCell ref="C32:C33"/>
    <mergeCell ref="D32:D33"/>
    <mergeCell ref="E32:E33"/>
    <mergeCell ref="B4:B6"/>
    <mergeCell ref="C4:C6"/>
    <mergeCell ref="D4:D6"/>
    <mergeCell ref="E4:E6"/>
    <mergeCell ref="J63:K63"/>
    <mergeCell ref="B74:B75"/>
    <mergeCell ref="C74:C75"/>
    <mergeCell ref="D74:D75"/>
    <mergeCell ref="E74:E75"/>
    <mergeCell ref="F51:F52"/>
    <mergeCell ref="G51:G52"/>
    <mergeCell ref="B63:B65"/>
    <mergeCell ref="C63:C65"/>
    <mergeCell ref="D63:D65"/>
    <mergeCell ref="E63:E65"/>
    <mergeCell ref="F63:G63"/>
    <mergeCell ref="B51:B52"/>
    <mergeCell ref="C51:C52"/>
    <mergeCell ref="D51:D52"/>
    <mergeCell ref="E51:E52"/>
    <mergeCell ref="H63:I63"/>
    <mergeCell ref="J85:K85"/>
    <mergeCell ref="L85:M85"/>
    <mergeCell ref="B96:B98"/>
    <mergeCell ref="C96:C98"/>
    <mergeCell ref="D96:D98"/>
    <mergeCell ref="E96:E98"/>
    <mergeCell ref="F96:G96"/>
    <mergeCell ref="H96:I96"/>
    <mergeCell ref="J96:K96"/>
    <mergeCell ref="L96:M96"/>
    <mergeCell ref="B85:B87"/>
    <mergeCell ref="C85:C87"/>
    <mergeCell ref="D85:D87"/>
    <mergeCell ref="E85:E87"/>
    <mergeCell ref="F85:G85"/>
    <mergeCell ref="H85:I85"/>
    <mergeCell ref="J107:K107"/>
    <mergeCell ref="L107:M107"/>
    <mergeCell ref="B119:B120"/>
    <mergeCell ref="C119:C120"/>
    <mergeCell ref="D119:D120"/>
    <mergeCell ref="E119:E120"/>
    <mergeCell ref="F119:G119"/>
    <mergeCell ref="H119:I119"/>
    <mergeCell ref="J119:K119"/>
    <mergeCell ref="L119:M119"/>
    <mergeCell ref="B107:B109"/>
    <mergeCell ref="C107:C109"/>
    <mergeCell ref="D107:D109"/>
    <mergeCell ref="E107:E109"/>
    <mergeCell ref="F107:G107"/>
    <mergeCell ref="H107:I107"/>
    <mergeCell ref="J126:K126"/>
    <mergeCell ref="L126:M126"/>
    <mergeCell ref="B133:B134"/>
    <mergeCell ref="C133:C134"/>
    <mergeCell ref="D133:D134"/>
    <mergeCell ref="E133:E134"/>
    <mergeCell ref="F133:G133"/>
    <mergeCell ref="H133:I133"/>
    <mergeCell ref="J133:K133"/>
    <mergeCell ref="L133:M133"/>
    <mergeCell ref="B126:B127"/>
    <mergeCell ref="C126:C127"/>
    <mergeCell ref="D126:D127"/>
    <mergeCell ref="E126:E127"/>
    <mergeCell ref="F126:G126"/>
    <mergeCell ref="H126:I126"/>
    <mergeCell ref="J140:K140"/>
    <mergeCell ref="L140:M140"/>
    <mergeCell ref="B147:B148"/>
    <mergeCell ref="C147:C148"/>
    <mergeCell ref="D147:D148"/>
    <mergeCell ref="E147:E148"/>
    <mergeCell ref="F147:G147"/>
    <mergeCell ref="H147:I147"/>
    <mergeCell ref="J147:K147"/>
    <mergeCell ref="B140:B141"/>
    <mergeCell ref="C140:C141"/>
    <mergeCell ref="D140:D141"/>
    <mergeCell ref="E140:E141"/>
    <mergeCell ref="F140:G140"/>
    <mergeCell ref="H140:I140"/>
    <mergeCell ref="J154:K154"/>
    <mergeCell ref="B163:B165"/>
    <mergeCell ref="C163:C165"/>
    <mergeCell ref="D163:D165"/>
    <mergeCell ref="E163:E165"/>
    <mergeCell ref="F163:G163"/>
    <mergeCell ref="H163:I163"/>
    <mergeCell ref="J163:K163"/>
    <mergeCell ref="B154:B155"/>
    <mergeCell ref="C154:C155"/>
    <mergeCell ref="D154:D155"/>
    <mergeCell ref="E154:E155"/>
    <mergeCell ref="F154:G154"/>
    <mergeCell ref="H154:I154"/>
    <mergeCell ref="C200:C203"/>
    <mergeCell ref="D200:D203"/>
    <mergeCell ref="E200:E203"/>
    <mergeCell ref="F200:K200"/>
    <mergeCell ref="F201:G201"/>
    <mergeCell ref="H201:I201"/>
    <mergeCell ref="J201:K201"/>
    <mergeCell ref="J172:K172"/>
    <mergeCell ref="B190:B193"/>
    <mergeCell ref="C190:C193"/>
    <mergeCell ref="D190:D193"/>
    <mergeCell ref="E190:E193"/>
    <mergeCell ref="F190:K190"/>
    <mergeCell ref="F191:G191"/>
    <mergeCell ref="H191:I191"/>
    <mergeCell ref="J191:K191"/>
    <mergeCell ref="B172:B174"/>
    <mergeCell ref="C172:C174"/>
    <mergeCell ref="D172:D174"/>
    <mergeCell ref="E172:E174"/>
    <mergeCell ref="F172:G172"/>
    <mergeCell ref="H172:I172"/>
    <mergeCell ref="B200:B203"/>
    <mergeCell ref="B234:B237"/>
    <mergeCell ref="C234:C237"/>
    <mergeCell ref="D234:D237"/>
    <mergeCell ref="E234:E237"/>
    <mergeCell ref="F234:I234"/>
    <mergeCell ref="F235:G235"/>
    <mergeCell ref="H235:I235"/>
    <mergeCell ref="B217:B220"/>
    <mergeCell ref="C217:C220"/>
    <mergeCell ref="D217:D220"/>
    <mergeCell ref="E217:E220"/>
    <mergeCell ref="F217:I217"/>
    <mergeCell ref="F218:G218"/>
    <mergeCell ref="H218:I218"/>
    <mergeCell ref="B276:B279"/>
    <mergeCell ref="C276:C279"/>
    <mergeCell ref="D276:D279"/>
    <mergeCell ref="E276:E279"/>
    <mergeCell ref="F276:K276"/>
    <mergeCell ref="F277:G277"/>
    <mergeCell ref="H277:I277"/>
    <mergeCell ref="J277:K277"/>
    <mergeCell ref="B254:B257"/>
    <mergeCell ref="C254:C257"/>
    <mergeCell ref="D254:D257"/>
    <mergeCell ref="E254:E257"/>
    <mergeCell ref="F254:I254"/>
    <mergeCell ref="F255:G255"/>
    <mergeCell ref="H255:I255"/>
    <mergeCell ref="B305:B308"/>
    <mergeCell ref="C305:C308"/>
    <mergeCell ref="D305:D308"/>
    <mergeCell ref="E305:E308"/>
    <mergeCell ref="F305:I305"/>
    <mergeCell ref="F306:G306"/>
    <mergeCell ref="H306:I306"/>
    <mergeCell ref="B286:B289"/>
    <mergeCell ref="C286:C289"/>
    <mergeCell ref="D286:D289"/>
    <mergeCell ref="E286:E289"/>
    <mergeCell ref="F286:K286"/>
    <mergeCell ref="F287:G287"/>
    <mergeCell ref="H287:I287"/>
    <mergeCell ref="J287:K287"/>
    <mergeCell ref="B315:B318"/>
    <mergeCell ref="C315:C318"/>
    <mergeCell ref="D315:D318"/>
    <mergeCell ref="E315:E318"/>
    <mergeCell ref="F315:M315"/>
    <mergeCell ref="F316:G316"/>
    <mergeCell ref="H316:I316"/>
    <mergeCell ref="J316:K316"/>
    <mergeCell ref="L316:M316"/>
    <mergeCell ref="B352:B355"/>
    <mergeCell ref="C352:C355"/>
    <mergeCell ref="D352:D355"/>
    <mergeCell ref="E352:E355"/>
    <mergeCell ref="F352:I352"/>
    <mergeCell ref="F353:G353"/>
    <mergeCell ref="H353:I353"/>
    <mergeCell ref="B332:B335"/>
    <mergeCell ref="C332:C335"/>
    <mergeCell ref="D332:D335"/>
    <mergeCell ref="E332:E335"/>
    <mergeCell ref="F332:I332"/>
    <mergeCell ref="F333:G333"/>
    <mergeCell ref="H333:I333"/>
    <mergeCell ref="B375:B377"/>
    <mergeCell ref="C375:C377"/>
    <mergeCell ref="D375:D377"/>
    <mergeCell ref="E375:E377"/>
    <mergeCell ref="F375:I375"/>
    <mergeCell ref="J375:M375"/>
    <mergeCell ref="F376:G376"/>
    <mergeCell ref="H376:I376"/>
    <mergeCell ref="J376:K376"/>
    <mergeCell ref="L376:M376"/>
    <mergeCell ref="H429:I429"/>
    <mergeCell ref="B392:B393"/>
    <mergeCell ref="C392:C393"/>
    <mergeCell ref="D392:D393"/>
    <mergeCell ref="E392:E393"/>
    <mergeCell ref="B409:B410"/>
    <mergeCell ref="C409:C410"/>
    <mergeCell ref="D409:D410"/>
    <mergeCell ref="E409:E410"/>
    <mergeCell ref="B450:B451"/>
    <mergeCell ref="C450:C451"/>
    <mergeCell ref="D450:D451"/>
    <mergeCell ref="E450:E451"/>
    <mergeCell ref="B429:B431"/>
    <mergeCell ref="C429:C431"/>
    <mergeCell ref="D429:D431"/>
    <mergeCell ref="E429:E431"/>
    <mergeCell ref="F429:G429"/>
    <mergeCell ref="B440:B441"/>
    <mergeCell ref="C440:C441"/>
    <mergeCell ref="D440:D441"/>
    <mergeCell ref="E440:E441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조경공사(상반기)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2026-01-01T07:57:58Z</dcterms:modified>
</cp:coreProperties>
</file>