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1.공통부문(2026년)\"/>
    </mc:Choice>
  </mc:AlternateContent>
  <xr:revisionPtr revIDLastSave="0" documentId="13_ncr:1_{D0A35F71-2FDF-49B8-90DA-B727F2B7A3C4}" xr6:coauthVersionLast="47" xr6:coauthVersionMax="47" xr10:uidLastSave="{00000000-0000-0000-0000-000000000000}"/>
  <bookViews>
    <workbookView xWindow="-120" yWindow="-120" windowWidth="29040" windowHeight="16440" tabRatio="626" firstSheet="1" activeTab="1" xr2:uid="{00000000-000D-0000-FFFF-FFFF00000000}"/>
  </bookViews>
  <sheets>
    <sheet name="VXXXXX" sheetId="1" state="veryHidden" r:id="rId1"/>
    <sheet name="기계경비산정(상반기)" sheetId="6" r:id="rId2"/>
  </sheets>
  <definedNames>
    <definedName name="ㅓ370" localSheetId="1">'기계경비산정(상반기)'!#REF!</definedName>
    <definedName name="ㅓ37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46" i="6" l="1"/>
  <c r="H2947" i="6" s="1"/>
  <c r="H2949" i="6" s="1"/>
  <c r="L2413" i="6"/>
  <c r="L2412" i="6"/>
  <c r="L2411" i="6"/>
  <c r="J2412" i="6"/>
  <c r="H2412" i="6"/>
  <c r="L2414" i="6" l="1"/>
  <c r="L2416" i="6" s="1"/>
  <c r="L3386" i="6"/>
  <c r="J3386" i="6"/>
  <c r="H3386" i="6"/>
  <c r="L3385" i="6"/>
  <c r="J3385" i="6"/>
  <c r="H3385" i="6"/>
  <c r="L3384" i="6"/>
  <c r="L3387" i="6" s="1"/>
  <c r="J3384" i="6"/>
  <c r="J3387" i="6" s="1"/>
  <c r="H3384" i="6"/>
  <c r="N3369" i="6"/>
  <c r="L3369" i="6"/>
  <c r="J3369" i="6"/>
  <c r="H3369" i="6"/>
  <c r="N3368" i="6"/>
  <c r="L3368" i="6"/>
  <c r="J3368" i="6"/>
  <c r="H3368" i="6"/>
  <c r="N3367" i="6"/>
  <c r="L3367" i="6"/>
  <c r="J3367" i="6"/>
  <c r="H3367" i="6"/>
  <c r="N3366" i="6"/>
  <c r="L3366" i="6"/>
  <c r="J3366" i="6"/>
  <c r="H3366" i="6"/>
  <c r="N3349" i="6"/>
  <c r="L3349" i="6"/>
  <c r="J3349" i="6"/>
  <c r="H3349" i="6"/>
  <c r="N3348" i="6"/>
  <c r="L3348" i="6"/>
  <c r="J3348" i="6"/>
  <c r="H3348" i="6"/>
  <c r="N3347" i="6"/>
  <c r="L3347" i="6"/>
  <c r="J3347" i="6"/>
  <c r="H3347" i="6"/>
  <c r="N3346" i="6"/>
  <c r="L3346" i="6"/>
  <c r="J3346" i="6"/>
  <c r="H3346" i="6"/>
  <c r="N3337" i="6"/>
  <c r="L3337" i="6"/>
  <c r="J3337" i="6"/>
  <c r="H3337" i="6"/>
  <c r="N3336" i="6"/>
  <c r="L3336" i="6"/>
  <c r="J3336" i="6"/>
  <c r="H3336" i="6"/>
  <c r="N3335" i="6"/>
  <c r="L3335" i="6"/>
  <c r="J3335" i="6"/>
  <c r="H3335" i="6"/>
  <c r="N3334" i="6"/>
  <c r="L3334" i="6"/>
  <c r="J3334" i="6"/>
  <c r="H3334" i="6"/>
  <c r="N3325" i="6"/>
  <c r="L3325" i="6"/>
  <c r="J3325" i="6"/>
  <c r="H3325" i="6"/>
  <c r="N3324" i="6"/>
  <c r="L3324" i="6"/>
  <c r="J3324" i="6"/>
  <c r="H3324" i="6"/>
  <c r="N3323" i="6"/>
  <c r="L3323" i="6"/>
  <c r="J3323" i="6"/>
  <c r="H3323" i="6"/>
  <c r="N3322" i="6"/>
  <c r="L3322" i="6"/>
  <c r="J3322" i="6"/>
  <c r="H3322" i="6"/>
  <c r="N3313" i="6"/>
  <c r="L3313" i="6"/>
  <c r="J3313" i="6"/>
  <c r="H3313" i="6"/>
  <c r="N3312" i="6"/>
  <c r="L3312" i="6"/>
  <c r="J3312" i="6"/>
  <c r="H3312" i="6"/>
  <c r="N3311" i="6"/>
  <c r="L3311" i="6"/>
  <c r="J3311" i="6"/>
  <c r="H3311" i="6"/>
  <c r="N3310" i="6"/>
  <c r="L3310" i="6"/>
  <c r="J3310" i="6"/>
  <c r="H3310" i="6"/>
  <c r="J3299" i="6"/>
  <c r="H3299" i="6"/>
  <c r="J3298" i="6"/>
  <c r="J3300" i="6" s="1"/>
  <c r="H3298" i="6"/>
  <c r="H3300" i="6" s="1"/>
  <c r="J3282" i="6"/>
  <c r="H3282" i="6"/>
  <c r="J3281" i="6"/>
  <c r="H3281" i="6"/>
  <c r="J3272" i="6"/>
  <c r="H3272" i="6"/>
  <c r="J3271" i="6"/>
  <c r="J3273" i="6" s="1"/>
  <c r="H3271" i="6"/>
  <c r="H3273" i="6" s="1"/>
  <c r="J3262" i="6"/>
  <c r="H3262" i="6"/>
  <c r="J3261" i="6"/>
  <c r="J3263" i="6" s="1"/>
  <c r="H3261" i="6"/>
  <c r="J3250" i="6"/>
  <c r="H3250" i="6"/>
  <c r="J3249" i="6"/>
  <c r="H3249" i="6"/>
  <c r="L3235" i="6"/>
  <c r="J3235" i="6"/>
  <c r="H3235" i="6"/>
  <c r="L3234" i="6"/>
  <c r="J3234" i="6"/>
  <c r="H3234" i="6"/>
  <c r="L3233" i="6"/>
  <c r="J3233" i="6"/>
  <c r="H3233" i="6"/>
  <c r="J3217" i="6"/>
  <c r="H3217" i="6"/>
  <c r="J3216" i="6"/>
  <c r="H3216" i="6"/>
  <c r="H3218" i="6" s="1"/>
  <c r="L3203" i="6"/>
  <c r="J3203" i="6"/>
  <c r="H3203" i="6"/>
  <c r="L3202" i="6"/>
  <c r="J3202" i="6"/>
  <c r="H3202" i="6"/>
  <c r="L3201" i="6"/>
  <c r="J3201" i="6"/>
  <c r="H3201" i="6"/>
  <c r="L3188" i="6"/>
  <c r="J3188" i="6"/>
  <c r="H3188" i="6"/>
  <c r="L3187" i="6"/>
  <c r="J3187" i="6"/>
  <c r="H3187" i="6"/>
  <c r="L3186" i="6"/>
  <c r="J3186" i="6"/>
  <c r="J3189" i="6" s="1"/>
  <c r="H3186" i="6"/>
  <c r="L3173" i="6"/>
  <c r="J3173" i="6"/>
  <c r="H3173" i="6"/>
  <c r="L3172" i="6"/>
  <c r="J3172" i="6"/>
  <c r="H3172" i="6"/>
  <c r="L3171" i="6"/>
  <c r="J3171" i="6"/>
  <c r="H3171" i="6"/>
  <c r="L3156" i="6"/>
  <c r="J3156" i="6"/>
  <c r="H3156" i="6"/>
  <c r="L3155" i="6"/>
  <c r="J3155" i="6"/>
  <c r="H3155" i="6"/>
  <c r="L3154" i="6"/>
  <c r="J3154" i="6"/>
  <c r="H3154" i="6"/>
  <c r="L3141" i="6"/>
  <c r="J3141" i="6"/>
  <c r="H3141" i="6"/>
  <c r="L3140" i="6"/>
  <c r="J3140" i="6"/>
  <c r="H3140" i="6"/>
  <c r="L3139" i="6"/>
  <c r="J3139" i="6"/>
  <c r="H3139" i="6"/>
  <c r="L3126" i="6"/>
  <c r="J3126" i="6"/>
  <c r="H3126" i="6"/>
  <c r="L3125" i="6"/>
  <c r="J3125" i="6"/>
  <c r="H3125" i="6"/>
  <c r="L3124" i="6"/>
  <c r="J3124" i="6"/>
  <c r="H3124" i="6"/>
  <c r="J3109" i="6"/>
  <c r="H3109" i="6"/>
  <c r="J3108" i="6"/>
  <c r="H3108" i="6"/>
  <c r="J3092" i="6"/>
  <c r="H3092" i="6"/>
  <c r="J3091" i="6"/>
  <c r="J3093" i="6" s="1"/>
  <c r="H3091" i="6"/>
  <c r="L3075" i="6"/>
  <c r="J3075" i="6"/>
  <c r="H3075" i="6"/>
  <c r="L3074" i="6"/>
  <c r="J3074" i="6"/>
  <c r="H3074" i="6"/>
  <c r="L3073" i="6"/>
  <c r="J3073" i="6"/>
  <c r="H3073" i="6"/>
  <c r="L3057" i="6"/>
  <c r="J3057" i="6"/>
  <c r="H3057" i="6"/>
  <c r="L3056" i="6"/>
  <c r="J3056" i="6"/>
  <c r="H3056" i="6"/>
  <c r="L3055" i="6"/>
  <c r="J3055" i="6"/>
  <c r="H3055" i="6"/>
  <c r="J3037" i="6"/>
  <c r="H3037" i="6"/>
  <c r="J3036" i="6"/>
  <c r="H3036" i="6"/>
  <c r="H3038" i="6" s="1"/>
  <c r="J3020" i="6"/>
  <c r="H3020" i="6"/>
  <c r="J3019" i="6"/>
  <c r="H3019" i="6"/>
  <c r="H3021" i="6" s="1"/>
  <c r="L3003" i="6"/>
  <c r="J3003" i="6"/>
  <c r="H3003" i="6"/>
  <c r="L3002" i="6"/>
  <c r="J3002" i="6"/>
  <c r="H3002" i="6"/>
  <c r="L3001" i="6"/>
  <c r="J3001" i="6"/>
  <c r="H3001" i="6"/>
  <c r="L2985" i="6"/>
  <c r="J2985" i="6"/>
  <c r="H2985" i="6"/>
  <c r="L2984" i="6"/>
  <c r="J2984" i="6"/>
  <c r="H2984" i="6"/>
  <c r="L2983" i="6"/>
  <c r="J2983" i="6"/>
  <c r="H2983" i="6"/>
  <c r="L2967" i="6"/>
  <c r="J2967" i="6"/>
  <c r="H2967" i="6"/>
  <c r="L2966" i="6"/>
  <c r="J2966" i="6"/>
  <c r="H2966" i="6"/>
  <c r="L2965" i="6"/>
  <c r="L2968" i="6" s="1"/>
  <c r="J2965" i="6"/>
  <c r="H2965" i="6"/>
  <c r="H2968" i="6" s="1"/>
  <c r="H2938" i="6"/>
  <c r="H2939" i="6" s="1"/>
  <c r="H2941" i="6" s="1"/>
  <c r="H2930" i="6"/>
  <c r="H2931" i="6" s="1"/>
  <c r="H2933" i="6" s="1"/>
  <c r="H2922" i="6"/>
  <c r="H2923" i="6" s="1"/>
  <c r="H2925" i="6" s="1"/>
  <c r="H2914" i="6"/>
  <c r="H2915" i="6" s="1"/>
  <c r="H2917" i="6" s="1"/>
  <c r="H2905" i="6"/>
  <c r="H2906" i="6" s="1"/>
  <c r="H2908" i="6" s="1"/>
  <c r="H2897" i="6"/>
  <c r="H2898" i="6" s="1"/>
  <c r="H2885" i="6"/>
  <c r="H2886" i="6" s="1"/>
  <c r="H2882" i="6"/>
  <c r="H2883" i="6" s="1"/>
  <c r="H2874" i="6"/>
  <c r="H2875" i="6" s="1"/>
  <c r="H2869" i="6"/>
  <c r="L2861" i="6"/>
  <c r="J2861" i="6"/>
  <c r="J2862" i="6" s="1"/>
  <c r="H2861" i="6"/>
  <c r="L2860" i="6"/>
  <c r="J2860" i="6"/>
  <c r="H2860" i="6"/>
  <c r="L2859" i="6"/>
  <c r="J2859" i="6"/>
  <c r="H2859" i="6"/>
  <c r="L2856" i="6"/>
  <c r="L2857" i="6" s="1"/>
  <c r="J2856" i="6"/>
  <c r="J2857" i="6" s="1"/>
  <c r="H2856" i="6"/>
  <c r="H2857" i="6" s="1"/>
  <c r="H2848" i="6"/>
  <c r="H2849" i="6" s="1"/>
  <c r="H2833" i="6"/>
  <c r="H2834" i="6" s="1"/>
  <c r="H2825" i="6"/>
  <c r="H2826" i="6" s="1"/>
  <c r="H2828" i="6" s="1"/>
  <c r="H2817" i="6"/>
  <c r="H2818" i="6" s="1"/>
  <c r="H2820" i="6" s="1"/>
  <c r="H2809" i="6"/>
  <c r="H2810" i="6" s="1"/>
  <c r="H2801" i="6"/>
  <c r="H2802" i="6" s="1"/>
  <c r="H2804" i="6" s="1"/>
  <c r="J2793" i="6"/>
  <c r="H2793" i="6"/>
  <c r="J2792" i="6"/>
  <c r="H2792" i="6"/>
  <c r="L2786" i="6"/>
  <c r="J2786" i="6"/>
  <c r="H2786" i="6"/>
  <c r="L2785" i="6"/>
  <c r="J2785" i="6"/>
  <c r="H2785" i="6"/>
  <c r="L2784" i="6"/>
  <c r="J2784" i="6"/>
  <c r="H2784" i="6"/>
  <c r="L2778" i="6"/>
  <c r="J2778" i="6"/>
  <c r="H2778" i="6"/>
  <c r="L2777" i="6"/>
  <c r="J2777" i="6"/>
  <c r="H2777" i="6"/>
  <c r="L2776" i="6"/>
  <c r="J2776" i="6"/>
  <c r="H2776" i="6"/>
  <c r="L2770" i="6"/>
  <c r="J2770" i="6"/>
  <c r="H2770" i="6"/>
  <c r="L2769" i="6"/>
  <c r="J2769" i="6"/>
  <c r="H2769" i="6"/>
  <c r="L2768" i="6"/>
  <c r="J2768" i="6"/>
  <c r="H2768" i="6"/>
  <c r="L2762" i="6"/>
  <c r="J2762" i="6"/>
  <c r="H2762" i="6"/>
  <c r="L2761" i="6"/>
  <c r="J2761" i="6"/>
  <c r="H2761" i="6"/>
  <c r="L2760" i="6"/>
  <c r="J2760" i="6"/>
  <c r="H2760" i="6"/>
  <c r="H2752" i="6"/>
  <c r="H2753" i="6" s="1"/>
  <c r="H2755" i="6" s="1"/>
  <c r="J2744" i="6"/>
  <c r="H2744" i="6"/>
  <c r="J2743" i="6"/>
  <c r="J2745" i="6" s="1"/>
  <c r="H2743" i="6"/>
  <c r="H2745" i="6" s="1"/>
  <c r="L2733" i="6"/>
  <c r="J2733" i="6"/>
  <c r="H2733" i="6"/>
  <c r="L2732" i="6"/>
  <c r="J2732" i="6"/>
  <c r="H2732" i="6"/>
  <c r="L2731" i="6"/>
  <c r="J2731" i="6"/>
  <c r="H2731" i="6"/>
  <c r="L2721" i="6"/>
  <c r="J2721" i="6"/>
  <c r="H2721" i="6"/>
  <c r="L2720" i="6"/>
  <c r="J2720" i="6"/>
  <c r="H2720" i="6"/>
  <c r="L2719" i="6"/>
  <c r="J2719" i="6"/>
  <c r="H2719" i="6"/>
  <c r="L2709" i="6"/>
  <c r="J2709" i="6"/>
  <c r="H2709" i="6"/>
  <c r="L2708" i="6"/>
  <c r="J2708" i="6"/>
  <c r="H2708" i="6"/>
  <c r="L2707" i="6"/>
  <c r="J2707" i="6"/>
  <c r="H2707" i="6"/>
  <c r="L2695" i="6"/>
  <c r="J2695" i="6"/>
  <c r="H2695" i="6"/>
  <c r="L2694" i="6"/>
  <c r="J2694" i="6"/>
  <c r="H2694" i="6"/>
  <c r="L2693" i="6"/>
  <c r="J2693" i="6"/>
  <c r="H2693" i="6"/>
  <c r="L2683" i="6"/>
  <c r="J2683" i="6"/>
  <c r="H2683" i="6"/>
  <c r="L2682" i="6"/>
  <c r="J2682" i="6"/>
  <c r="H2682" i="6"/>
  <c r="L2681" i="6"/>
  <c r="J2681" i="6"/>
  <c r="H2681" i="6"/>
  <c r="H2669" i="6"/>
  <c r="H2670" i="6" s="1"/>
  <c r="H2672" i="6" s="1"/>
  <c r="J2661" i="6"/>
  <c r="H2661" i="6"/>
  <c r="J2660" i="6"/>
  <c r="H2660" i="6"/>
  <c r="L2652" i="6"/>
  <c r="J2652" i="6"/>
  <c r="H2652" i="6"/>
  <c r="L2651" i="6"/>
  <c r="J2651" i="6"/>
  <c r="H2651" i="6"/>
  <c r="L2650" i="6"/>
  <c r="J2650" i="6"/>
  <c r="H2650" i="6"/>
  <c r="J2642" i="6"/>
  <c r="H2642" i="6"/>
  <c r="J2641" i="6"/>
  <c r="H2641" i="6"/>
  <c r="L2635" i="6"/>
  <c r="J2635" i="6"/>
  <c r="H2635" i="6"/>
  <c r="L2634" i="6"/>
  <c r="J2634" i="6"/>
  <c r="H2634" i="6"/>
  <c r="L2633" i="6"/>
  <c r="J2633" i="6"/>
  <c r="H2633" i="6"/>
  <c r="H2625" i="6"/>
  <c r="H2626" i="6" s="1"/>
  <c r="H2628" i="6" s="1"/>
  <c r="J2617" i="6"/>
  <c r="H2617" i="6"/>
  <c r="J2616" i="6"/>
  <c r="H2616" i="6"/>
  <c r="H2608" i="6"/>
  <c r="H2609" i="6" s="1"/>
  <c r="L2600" i="6"/>
  <c r="J2600" i="6"/>
  <c r="H2600" i="6"/>
  <c r="L2599" i="6"/>
  <c r="J2599" i="6"/>
  <c r="H2599" i="6"/>
  <c r="L2598" i="6"/>
  <c r="J2598" i="6"/>
  <c r="H2598" i="6"/>
  <c r="L2592" i="6"/>
  <c r="J2592" i="6"/>
  <c r="H2592" i="6"/>
  <c r="L2591" i="6"/>
  <c r="J2591" i="6"/>
  <c r="H2591" i="6"/>
  <c r="L2590" i="6"/>
  <c r="J2590" i="6"/>
  <c r="H2590" i="6"/>
  <c r="L2582" i="6"/>
  <c r="J2582" i="6"/>
  <c r="H2582" i="6"/>
  <c r="L2581" i="6"/>
  <c r="J2581" i="6"/>
  <c r="H2581" i="6"/>
  <c r="L2580" i="6"/>
  <c r="J2580" i="6"/>
  <c r="H2580" i="6"/>
  <c r="J2572" i="6"/>
  <c r="H2572" i="6"/>
  <c r="J2571" i="6"/>
  <c r="J2573" i="6" s="1"/>
  <c r="J2575" i="6" s="1"/>
  <c r="H2571" i="6"/>
  <c r="J2565" i="6"/>
  <c r="H2565" i="6"/>
  <c r="J2564" i="6"/>
  <c r="H2564" i="6"/>
  <c r="J2556" i="6"/>
  <c r="H2556" i="6"/>
  <c r="J2555" i="6"/>
  <c r="H2555" i="6"/>
  <c r="H2557" i="6" s="1"/>
  <c r="L2542" i="6"/>
  <c r="J2542" i="6"/>
  <c r="H2542" i="6"/>
  <c r="L2541" i="6"/>
  <c r="J2541" i="6"/>
  <c r="H2541" i="6"/>
  <c r="L2540" i="6"/>
  <c r="J2540" i="6"/>
  <c r="H2540" i="6"/>
  <c r="L2527" i="6"/>
  <c r="J2527" i="6"/>
  <c r="H2527" i="6"/>
  <c r="L2526" i="6"/>
  <c r="J2526" i="6"/>
  <c r="H2526" i="6"/>
  <c r="L2525" i="6"/>
  <c r="J2525" i="6"/>
  <c r="H2525" i="6"/>
  <c r="L2512" i="6"/>
  <c r="J2512" i="6"/>
  <c r="H2512" i="6"/>
  <c r="L2511" i="6"/>
  <c r="J2511" i="6"/>
  <c r="H2511" i="6"/>
  <c r="L2510" i="6"/>
  <c r="J2510" i="6"/>
  <c r="H2510" i="6"/>
  <c r="J2495" i="6"/>
  <c r="H2495" i="6"/>
  <c r="J2494" i="6"/>
  <c r="H2494" i="6"/>
  <c r="J2486" i="6"/>
  <c r="H2486" i="6"/>
  <c r="J2485" i="6"/>
  <c r="H2485" i="6"/>
  <c r="J2476" i="6"/>
  <c r="H2476" i="6"/>
  <c r="J2475" i="6"/>
  <c r="J2477" i="6" s="1"/>
  <c r="J2479" i="6" s="1"/>
  <c r="H2475" i="6"/>
  <c r="H2477" i="6" s="1"/>
  <c r="H2479" i="6" s="1"/>
  <c r="L2467" i="6"/>
  <c r="J2467" i="6"/>
  <c r="H2467" i="6"/>
  <c r="L2466" i="6"/>
  <c r="J2466" i="6"/>
  <c r="H2466" i="6"/>
  <c r="L2465" i="6"/>
  <c r="J2465" i="6"/>
  <c r="H2465" i="6"/>
  <c r="J2456" i="6"/>
  <c r="H2456" i="6"/>
  <c r="J2455" i="6"/>
  <c r="H2455" i="6"/>
  <c r="H2440" i="6"/>
  <c r="H2441" i="6" s="1"/>
  <c r="H2425" i="6"/>
  <c r="H2426" i="6" s="1"/>
  <c r="J2413" i="6"/>
  <c r="H2413" i="6"/>
  <c r="J2411" i="6"/>
  <c r="H2411" i="6"/>
  <c r="L2403" i="6"/>
  <c r="J2403" i="6"/>
  <c r="H2403" i="6"/>
  <c r="L2402" i="6"/>
  <c r="J2402" i="6"/>
  <c r="H2402" i="6"/>
  <c r="L2401" i="6"/>
  <c r="J2401" i="6"/>
  <c r="H2401" i="6"/>
  <c r="J2386" i="6"/>
  <c r="H2386" i="6"/>
  <c r="J2385" i="6"/>
  <c r="H2385" i="6"/>
  <c r="H2387" i="6" s="1"/>
  <c r="L2372" i="6"/>
  <c r="J2372" i="6"/>
  <c r="H2372" i="6"/>
  <c r="L2371" i="6"/>
  <c r="J2371" i="6"/>
  <c r="H2371" i="6"/>
  <c r="L2370" i="6"/>
  <c r="J2370" i="6"/>
  <c r="H2370" i="6"/>
  <c r="J2355" i="6"/>
  <c r="H2355" i="6"/>
  <c r="J2354" i="6"/>
  <c r="H2354" i="6"/>
  <c r="H2356" i="6" s="1"/>
  <c r="J2351" i="6"/>
  <c r="J2352" i="6" s="1"/>
  <c r="H2351" i="6"/>
  <c r="H2352" i="6" s="1"/>
  <c r="H2343" i="6"/>
  <c r="H2344" i="6" s="1"/>
  <c r="J2328" i="6"/>
  <c r="H2328" i="6"/>
  <c r="J2327" i="6"/>
  <c r="H2327" i="6"/>
  <c r="H2312" i="6"/>
  <c r="H2313" i="6" s="1"/>
  <c r="H2297" i="6"/>
  <c r="H2298" i="6" s="1"/>
  <c r="H2300" i="6" s="1"/>
  <c r="H2289" i="6"/>
  <c r="H2290" i="6" s="1"/>
  <c r="H2281" i="6"/>
  <c r="H2282" i="6" s="1"/>
  <c r="H2265" i="6"/>
  <c r="H2266" i="6" s="1"/>
  <c r="H2268" i="6" s="1"/>
  <c r="J2257" i="6"/>
  <c r="H2257" i="6"/>
  <c r="J2256" i="6"/>
  <c r="H2256" i="6"/>
  <c r="H2258" i="6" s="1"/>
  <c r="L2241" i="6"/>
  <c r="J2241" i="6"/>
  <c r="H2241" i="6"/>
  <c r="L2240" i="6"/>
  <c r="J2240" i="6"/>
  <c r="H2240" i="6"/>
  <c r="L2239" i="6"/>
  <c r="J2239" i="6"/>
  <c r="H2239" i="6"/>
  <c r="L2226" i="6"/>
  <c r="J2226" i="6"/>
  <c r="H2226" i="6"/>
  <c r="L2225" i="6"/>
  <c r="J2225" i="6"/>
  <c r="H2225" i="6"/>
  <c r="L2224" i="6"/>
  <c r="J2224" i="6"/>
  <c r="H2224" i="6"/>
  <c r="H2209" i="6"/>
  <c r="H2210" i="6" s="1"/>
  <c r="J2194" i="6"/>
  <c r="H2194" i="6"/>
  <c r="J2193" i="6"/>
  <c r="H2193" i="6"/>
  <c r="J2178" i="6"/>
  <c r="H2178" i="6"/>
  <c r="J2177" i="6"/>
  <c r="H2177" i="6"/>
  <c r="H2179" i="6" s="1"/>
  <c r="L2167" i="6"/>
  <c r="J2167" i="6"/>
  <c r="H2167" i="6"/>
  <c r="L2166" i="6"/>
  <c r="J2166" i="6"/>
  <c r="H2166" i="6"/>
  <c r="L2165" i="6"/>
  <c r="J2165" i="6"/>
  <c r="H2165" i="6"/>
  <c r="H2153" i="6"/>
  <c r="H2154" i="6" s="1"/>
  <c r="H2156" i="6" s="1"/>
  <c r="H2145" i="6"/>
  <c r="H2146" i="6" s="1"/>
  <c r="H2133" i="6"/>
  <c r="H2134" i="6" s="1"/>
  <c r="H2136" i="6" s="1"/>
  <c r="L2125" i="6"/>
  <c r="J2125" i="6"/>
  <c r="H2125" i="6"/>
  <c r="L2124" i="6"/>
  <c r="J2124" i="6"/>
  <c r="H2124" i="6"/>
  <c r="L2123" i="6"/>
  <c r="J2123" i="6"/>
  <c r="H2123" i="6"/>
  <c r="L2117" i="6"/>
  <c r="J2117" i="6"/>
  <c r="H2117" i="6"/>
  <c r="L2116" i="6"/>
  <c r="J2116" i="6"/>
  <c r="H2116" i="6"/>
  <c r="L2115" i="6"/>
  <c r="J2115" i="6"/>
  <c r="H2115" i="6"/>
  <c r="J2107" i="6"/>
  <c r="H2107" i="6"/>
  <c r="J2106" i="6"/>
  <c r="H2106" i="6"/>
  <c r="L2100" i="6"/>
  <c r="J2100" i="6"/>
  <c r="H2100" i="6"/>
  <c r="L2099" i="6"/>
  <c r="J2099" i="6"/>
  <c r="H2099" i="6"/>
  <c r="L2098" i="6"/>
  <c r="J2098" i="6"/>
  <c r="H2098" i="6"/>
  <c r="J2090" i="6"/>
  <c r="H2090" i="6"/>
  <c r="J2089" i="6"/>
  <c r="H2089" i="6"/>
  <c r="L2083" i="6"/>
  <c r="J2083" i="6"/>
  <c r="H2083" i="6"/>
  <c r="L2082" i="6"/>
  <c r="J2082" i="6"/>
  <c r="H2082" i="6"/>
  <c r="L2081" i="6"/>
  <c r="J2081" i="6"/>
  <c r="H2081" i="6"/>
  <c r="N2073" i="6"/>
  <c r="L2073" i="6"/>
  <c r="J2073" i="6"/>
  <c r="H2073" i="6"/>
  <c r="N2072" i="6"/>
  <c r="L2072" i="6"/>
  <c r="J2072" i="6"/>
  <c r="H2072" i="6"/>
  <c r="N2071" i="6"/>
  <c r="L2071" i="6"/>
  <c r="J2071" i="6"/>
  <c r="H2071" i="6"/>
  <c r="N2070" i="6"/>
  <c r="L2070" i="6"/>
  <c r="J2070" i="6"/>
  <c r="H2070" i="6"/>
  <c r="H2062" i="6"/>
  <c r="H2063" i="6" s="1"/>
  <c r="H2065" i="6" s="1"/>
  <c r="J2054" i="6"/>
  <c r="H2054" i="6"/>
  <c r="J2053" i="6"/>
  <c r="H2053" i="6"/>
  <c r="L2047" i="6"/>
  <c r="J2047" i="6"/>
  <c r="H2047" i="6"/>
  <c r="L2046" i="6"/>
  <c r="J2046" i="6"/>
  <c r="H2046" i="6"/>
  <c r="L2045" i="6"/>
  <c r="J2045" i="6"/>
  <c r="H2045" i="6"/>
  <c r="J2037" i="6"/>
  <c r="H2037" i="6"/>
  <c r="J2036" i="6"/>
  <c r="J2038" i="6" s="1"/>
  <c r="J2040" i="6" s="1"/>
  <c r="H2036" i="6"/>
  <c r="L2030" i="6"/>
  <c r="J2030" i="6"/>
  <c r="H2030" i="6"/>
  <c r="L2029" i="6"/>
  <c r="J2029" i="6"/>
  <c r="H2029" i="6"/>
  <c r="L2028" i="6"/>
  <c r="J2028" i="6"/>
  <c r="H2028" i="6"/>
  <c r="H2020" i="6"/>
  <c r="H2021" i="6" s="1"/>
  <c r="H2023" i="6" s="1"/>
  <c r="L2014" i="6"/>
  <c r="J2014" i="6"/>
  <c r="H2014" i="6"/>
  <c r="L2013" i="6"/>
  <c r="J2013" i="6"/>
  <c r="H2013" i="6"/>
  <c r="L2012" i="6"/>
  <c r="J2012" i="6"/>
  <c r="H2012" i="6"/>
  <c r="L2006" i="6"/>
  <c r="J2006" i="6"/>
  <c r="H2006" i="6"/>
  <c r="L2005" i="6"/>
  <c r="J2005" i="6"/>
  <c r="H2005" i="6"/>
  <c r="L2004" i="6"/>
  <c r="J2004" i="6"/>
  <c r="H2004" i="6"/>
  <c r="J1996" i="6"/>
  <c r="H1996" i="6"/>
  <c r="J1995" i="6"/>
  <c r="H1995" i="6"/>
  <c r="J1982" i="6"/>
  <c r="H1982" i="6"/>
  <c r="J1981" i="6"/>
  <c r="J1983" i="6" s="1"/>
  <c r="H1981" i="6"/>
  <c r="L1966" i="6"/>
  <c r="J1966" i="6"/>
  <c r="H1966" i="6"/>
  <c r="L1965" i="6"/>
  <c r="J1965" i="6"/>
  <c r="H1965" i="6"/>
  <c r="L1964" i="6"/>
  <c r="J1964" i="6"/>
  <c r="H1964" i="6"/>
  <c r="J1956" i="6"/>
  <c r="H1956" i="6"/>
  <c r="J1955" i="6"/>
  <c r="H1955" i="6"/>
  <c r="H1957" i="6" s="1"/>
  <c r="H1959" i="6" s="1"/>
  <c r="L1946" i="6"/>
  <c r="J1946" i="6"/>
  <c r="H1946" i="6"/>
  <c r="L1945" i="6"/>
  <c r="J1945" i="6"/>
  <c r="H1945" i="6"/>
  <c r="L1944" i="6"/>
  <c r="J1944" i="6"/>
  <c r="H1944" i="6"/>
  <c r="J1936" i="6"/>
  <c r="H1936" i="6"/>
  <c r="J1935" i="6"/>
  <c r="J1937" i="6" s="1"/>
  <c r="H1935" i="6"/>
  <c r="H1937" i="6" s="1"/>
  <c r="J1928" i="6"/>
  <c r="H1928" i="6"/>
  <c r="H1929" i="6" s="1"/>
  <c r="J1920" i="6"/>
  <c r="H1920" i="6"/>
  <c r="J1919" i="6"/>
  <c r="H1919" i="6"/>
  <c r="J1913" i="6"/>
  <c r="H1913" i="6"/>
  <c r="J1912" i="6"/>
  <c r="H1912" i="6"/>
  <c r="H1914" i="6" s="1"/>
  <c r="H1916" i="6" s="1"/>
  <c r="H1904" i="6"/>
  <c r="H1905" i="6" s="1"/>
  <c r="H1907" i="6" s="1"/>
  <c r="J1896" i="6"/>
  <c r="H1896" i="6"/>
  <c r="J1895" i="6"/>
  <c r="H1895" i="6"/>
  <c r="H1880" i="6"/>
  <c r="H1881" i="6" s="1"/>
  <c r="J1872" i="6"/>
  <c r="H1872" i="6"/>
  <c r="J1871" i="6"/>
  <c r="H1871" i="6"/>
  <c r="J1856" i="6"/>
  <c r="H1856" i="6"/>
  <c r="J1855" i="6"/>
  <c r="J1857" i="6" s="1"/>
  <c r="H1855" i="6"/>
  <c r="H1857" i="6" s="1"/>
  <c r="H1844" i="6"/>
  <c r="H1845" i="6" s="1"/>
  <c r="H1836" i="6"/>
  <c r="H1837" i="6" s="1"/>
  <c r="H1839" i="6" s="1"/>
  <c r="N1828" i="6"/>
  <c r="L1828" i="6"/>
  <c r="J1828" i="6"/>
  <c r="H1828" i="6"/>
  <c r="N1827" i="6"/>
  <c r="L1827" i="6"/>
  <c r="J1827" i="6"/>
  <c r="H1827" i="6"/>
  <c r="N1826" i="6"/>
  <c r="L1826" i="6"/>
  <c r="J1826" i="6"/>
  <c r="H1826" i="6"/>
  <c r="N1825" i="6"/>
  <c r="L1825" i="6"/>
  <c r="J1825" i="6"/>
  <c r="H1825" i="6"/>
  <c r="L1817" i="6"/>
  <c r="J1817" i="6"/>
  <c r="H1817" i="6"/>
  <c r="L1816" i="6"/>
  <c r="J1816" i="6"/>
  <c r="H1816" i="6"/>
  <c r="L1815" i="6"/>
  <c r="L1818" i="6" s="1"/>
  <c r="J1815" i="6"/>
  <c r="H1815" i="6"/>
  <c r="L1802" i="6"/>
  <c r="J1802" i="6"/>
  <c r="H1802" i="6"/>
  <c r="L1801" i="6"/>
  <c r="J1801" i="6"/>
  <c r="H1801" i="6"/>
  <c r="L1800" i="6"/>
  <c r="J1800" i="6"/>
  <c r="H1800" i="6"/>
  <c r="J1785" i="6"/>
  <c r="H1785" i="6"/>
  <c r="J1784" i="6"/>
  <c r="H1784" i="6"/>
  <c r="L1778" i="6"/>
  <c r="J1778" i="6"/>
  <c r="H1778" i="6"/>
  <c r="L1777" i="6"/>
  <c r="J1777" i="6"/>
  <c r="H1777" i="6"/>
  <c r="L1776" i="6"/>
  <c r="J1776" i="6"/>
  <c r="H1776" i="6"/>
  <c r="H1767" i="6"/>
  <c r="H1768" i="6" s="1"/>
  <c r="H1770" i="6" s="1"/>
  <c r="J1761" i="6"/>
  <c r="H1761" i="6"/>
  <c r="J1760" i="6"/>
  <c r="H1760" i="6"/>
  <c r="J1754" i="6"/>
  <c r="H1754" i="6"/>
  <c r="J1753" i="6"/>
  <c r="J1755" i="6" s="1"/>
  <c r="J1757" i="6" s="1"/>
  <c r="H1753" i="6"/>
  <c r="H1755" i="6" s="1"/>
  <c r="H1757" i="6" s="1"/>
  <c r="L1745" i="6"/>
  <c r="L1746" i="6" s="1"/>
  <c r="J1745" i="6"/>
  <c r="H1745" i="6"/>
  <c r="L1744" i="6"/>
  <c r="J1744" i="6"/>
  <c r="H1744" i="6"/>
  <c r="L1743" i="6"/>
  <c r="J1743" i="6"/>
  <c r="H1743" i="6"/>
  <c r="H1735" i="6"/>
  <c r="H1736" i="6" s="1"/>
  <c r="H1724" i="6"/>
  <c r="H1725" i="6" s="1"/>
  <c r="H1727" i="6" s="1"/>
  <c r="J1718" i="6"/>
  <c r="H1718" i="6"/>
  <c r="J1717" i="6"/>
  <c r="J1719" i="6" s="1"/>
  <c r="J1721" i="6" s="1"/>
  <c r="H1717" i="6"/>
  <c r="H1719" i="6" s="1"/>
  <c r="H1721" i="6" s="1"/>
  <c r="J1711" i="6"/>
  <c r="H1711" i="6"/>
  <c r="J1710" i="6"/>
  <c r="H1710" i="6"/>
  <c r="J1704" i="6"/>
  <c r="H1704" i="6"/>
  <c r="J1703" i="6"/>
  <c r="J1705" i="6" s="1"/>
  <c r="J1707" i="6" s="1"/>
  <c r="H1703" i="6"/>
  <c r="H1705" i="6" s="1"/>
  <c r="H1707" i="6" s="1"/>
  <c r="J1695" i="6"/>
  <c r="H1695" i="6"/>
  <c r="J1694" i="6"/>
  <c r="J1696" i="6" s="1"/>
  <c r="J1698" i="6" s="1"/>
  <c r="H1694" i="6"/>
  <c r="H1696" i="6" s="1"/>
  <c r="H1698" i="6" s="1"/>
  <c r="L1688" i="6"/>
  <c r="J1688" i="6"/>
  <c r="H1688" i="6"/>
  <c r="L1687" i="6"/>
  <c r="J1687" i="6"/>
  <c r="H1687" i="6"/>
  <c r="L1686" i="6"/>
  <c r="J1686" i="6"/>
  <c r="H1686" i="6"/>
  <c r="L1680" i="6"/>
  <c r="J1680" i="6"/>
  <c r="H1680" i="6"/>
  <c r="L1679" i="6"/>
  <c r="J1679" i="6"/>
  <c r="H1679" i="6"/>
  <c r="L1678" i="6"/>
  <c r="J1678" i="6"/>
  <c r="H1678" i="6"/>
  <c r="J1670" i="6"/>
  <c r="H1670" i="6"/>
  <c r="J1669" i="6"/>
  <c r="J1671" i="6" s="1"/>
  <c r="J1673" i="6" s="1"/>
  <c r="H1669" i="6"/>
  <c r="H1671" i="6" s="1"/>
  <c r="H1673" i="6" s="1"/>
  <c r="L1663" i="6"/>
  <c r="J1663" i="6"/>
  <c r="H1663" i="6"/>
  <c r="L1662" i="6"/>
  <c r="J1662" i="6"/>
  <c r="H1662" i="6"/>
  <c r="L1661" i="6"/>
  <c r="J1661" i="6"/>
  <c r="H1661" i="6"/>
  <c r="L1655" i="6"/>
  <c r="J1655" i="6"/>
  <c r="H1655" i="6"/>
  <c r="L1654" i="6"/>
  <c r="J1654" i="6"/>
  <c r="H1654" i="6"/>
  <c r="L1653" i="6"/>
  <c r="J1653" i="6"/>
  <c r="H1653" i="6"/>
  <c r="J1645" i="6"/>
  <c r="H1645" i="6"/>
  <c r="J1644" i="6"/>
  <c r="H1644" i="6"/>
  <c r="H1646" i="6" s="1"/>
  <c r="H1648" i="6" s="1"/>
  <c r="J1638" i="6"/>
  <c r="H1638" i="6"/>
  <c r="J1637" i="6"/>
  <c r="H1637" i="6"/>
  <c r="H1639" i="6" s="1"/>
  <c r="H1641" i="6" s="1"/>
  <c r="J1629" i="6"/>
  <c r="H1629" i="6"/>
  <c r="J1628" i="6"/>
  <c r="H1628" i="6"/>
  <c r="L1622" i="6"/>
  <c r="J1622" i="6"/>
  <c r="H1622" i="6"/>
  <c r="L1621" i="6"/>
  <c r="J1621" i="6"/>
  <c r="H1621" i="6"/>
  <c r="L1620" i="6"/>
  <c r="J1620" i="6"/>
  <c r="H1620" i="6"/>
  <c r="L1614" i="6"/>
  <c r="J1614" i="6"/>
  <c r="H1614" i="6"/>
  <c r="L1613" i="6"/>
  <c r="J1613" i="6"/>
  <c r="H1613" i="6"/>
  <c r="L1612" i="6"/>
  <c r="J1612" i="6"/>
  <c r="H1612" i="6"/>
  <c r="J1604" i="6"/>
  <c r="H1604" i="6"/>
  <c r="J1603" i="6"/>
  <c r="H1603" i="6"/>
  <c r="L1596" i="6"/>
  <c r="J1596" i="6"/>
  <c r="H1596" i="6"/>
  <c r="L1595" i="6"/>
  <c r="J1595" i="6"/>
  <c r="H1595" i="6"/>
  <c r="L1594" i="6"/>
  <c r="J1594" i="6"/>
  <c r="H1594" i="6"/>
  <c r="L1588" i="6"/>
  <c r="J1588" i="6"/>
  <c r="H1588" i="6"/>
  <c r="L1587" i="6"/>
  <c r="J1587" i="6"/>
  <c r="H1587" i="6"/>
  <c r="L1586" i="6"/>
  <c r="J1586" i="6"/>
  <c r="H1586" i="6"/>
  <c r="L1580" i="6"/>
  <c r="J1580" i="6"/>
  <c r="H1580" i="6"/>
  <c r="L1579" i="6"/>
  <c r="J1579" i="6"/>
  <c r="H1579" i="6"/>
  <c r="L1578" i="6"/>
  <c r="J1578" i="6"/>
  <c r="H1578" i="6"/>
  <c r="J1570" i="6"/>
  <c r="H1570" i="6"/>
  <c r="J1569" i="6"/>
  <c r="J1571" i="6" s="1"/>
  <c r="J1573" i="6" s="1"/>
  <c r="H1569" i="6"/>
  <c r="L1563" i="6"/>
  <c r="J1563" i="6"/>
  <c r="H1563" i="6"/>
  <c r="L1562" i="6"/>
  <c r="J1562" i="6"/>
  <c r="H1562" i="6"/>
  <c r="L1561" i="6"/>
  <c r="J1561" i="6"/>
  <c r="H1561" i="6"/>
  <c r="J1553" i="6"/>
  <c r="H1553" i="6"/>
  <c r="J1552" i="6"/>
  <c r="J1554" i="6" s="1"/>
  <c r="J1556" i="6" s="1"/>
  <c r="H1552" i="6"/>
  <c r="H1554" i="6" s="1"/>
  <c r="H1556" i="6" s="1"/>
  <c r="L1546" i="6"/>
  <c r="J1546" i="6"/>
  <c r="H1546" i="6"/>
  <c r="L1545" i="6"/>
  <c r="J1545" i="6"/>
  <c r="H1545" i="6"/>
  <c r="L1544" i="6"/>
  <c r="J1544" i="6"/>
  <c r="H1544" i="6"/>
  <c r="N1536" i="6"/>
  <c r="N1537" i="6" s="1"/>
  <c r="L1536" i="6"/>
  <c r="J1536" i="6"/>
  <c r="H1536" i="6"/>
  <c r="N1535" i="6"/>
  <c r="L1535" i="6"/>
  <c r="J1535" i="6"/>
  <c r="H1535" i="6"/>
  <c r="N1534" i="6"/>
  <c r="L1534" i="6"/>
  <c r="J1534" i="6"/>
  <c r="H1534" i="6"/>
  <c r="N1533" i="6"/>
  <c r="L1533" i="6"/>
  <c r="J1533" i="6"/>
  <c r="H1533" i="6"/>
  <c r="H1521" i="6"/>
  <c r="H1522" i="6" s="1"/>
  <c r="H1509" i="6"/>
  <c r="H1510" i="6" s="1"/>
  <c r="H1512" i="6" s="1"/>
  <c r="J1501" i="6"/>
  <c r="H1501" i="6"/>
  <c r="J1500" i="6"/>
  <c r="H1500" i="6"/>
  <c r="J1488" i="6"/>
  <c r="H1488" i="6"/>
  <c r="J1487" i="6"/>
  <c r="J1489" i="6" s="1"/>
  <c r="J1491" i="6" s="1"/>
  <c r="H1487" i="6"/>
  <c r="H1489" i="6" s="1"/>
  <c r="H1491" i="6" s="1"/>
  <c r="J1479" i="6"/>
  <c r="H1479" i="6"/>
  <c r="J1478" i="6"/>
  <c r="H1478" i="6"/>
  <c r="L1465" i="6"/>
  <c r="J1465" i="6"/>
  <c r="H1465" i="6"/>
  <c r="L1464" i="6"/>
  <c r="J1464" i="6"/>
  <c r="H1464" i="6"/>
  <c r="L1463" i="6"/>
  <c r="J1463" i="6"/>
  <c r="H1463" i="6"/>
  <c r="L1450" i="6"/>
  <c r="J1450" i="6"/>
  <c r="H1450" i="6"/>
  <c r="L1449" i="6"/>
  <c r="J1449" i="6"/>
  <c r="H1449" i="6"/>
  <c r="L1448" i="6"/>
  <c r="J1448" i="6"/>
  <c r="H1448" i="6"/>
  <c r="H1433" i="6"/>
  <c r="H1434" i="6" s="1"/>
  <c r="J1418" i="6"/>
  <c r="H1418" i="6"/>
  <c r="J1417" i="6"/>
  <c r="H1417" i="6"/>
  <c r="L1402" i="6"/>
  <c r="J1402" i="6"/>
  <c r="H1402" i="6"/>
  <c r="L1401" i="6"/>
  <c r="J1401" i="6"/>
  <c r="H1401" i="6"/>
  <c r="L1400" i="6"/>
  <c r="J1400" i="6"/>
  <c r="H1400" i="6"/>
  <c r="L1387" i="6"/>
  <c r="J1387" i="6"/>
  <c r="H1387" i="6"/>
  <c r="L1386" i="6"/>
  <c r="J1386" i="6"/>
  <c r="H1386" i="6"/>
  <c r="L1385" i="6"/>
  <c r="J1385" i="6"/>
  <c r="H1385" i="6"/>
  <c r="J1370" i="6"/>
  <c r="H1370" i="6"/>
  <c r="J1369" i="6"/>
  <c r="H1369" i="6"/>
  <c r="J1363" i="6"/>
  <c r="H1363" i="6"/>
  <c r="J1362" i="6"/>
  <c r="H1362" i="6"/>
  <c r="L1354" i="6"/>
  <c r="J1354" i="6"/>
  <c r="H1354" i="6"/>
  <c r="L1353" i="6"/>
  <c r="J1353" i="6"/>
  <c r="H1353" i="6"/>
  <c r="L1352" i="6"/>
  <c r="J1352" i="6"/>
  <c r="H1352" i="6"/>
  <c r="L1343" i="6"/>
  <c r="J1343" i="6"/>
  <c r="H1343" i="6"/>
  <c r="L1342" i="6"/>
  <c r="J1342" i="6"/>
  <c r="H1342" i="6"/>
  <c r="L1341" i="6"/>
  <c r="J1341" i="6"/>
  <c r="H1341" i="6"/>
  <c r="H1329" i="6"/>
  <c r="H1330" i="6" s="1"/>
  <c r="H1314" i="6"/>
  <c r="H1315" i="6" s="1"/>
  <c r="J1299" i="6"/>
  <c r="H1299" i="6"/>
  <c r="J1298" i="6"/>
  <c r="H1298" i="6"/>
  <c r="H1281" i="6"/>
  <c r="H1282" i="6" s="1"/>
  <c r="H1266" i="6"/>
  <c r="H1267" i="6" s="1"/>
  <c r="J1251" i="6"/>
  <c r="H1251" i="6"/>
  <c r="J1250" i="6"/>
  <c r="H1250" i="6"/>
  <c r="H1252" i="6" s="1"/>
  <c r="L1237" i="6"/>
  <c r="J1237" i="6"/>
  <c r="H1237" i="6"/>
  <c r="L1236" i="6"/>
  <c r="J1236" i="6"/>
  <c r="H1236" i="6"/>
  <c r="L1235" i="6"/>
  <c r="J1235" i="6"/>
  <c r="H1235" i="6"/>
  <c r="J1220" i="6"/>
  <c r="H1220" i="6"/>
  <c r="J1219" i="6"/>
  <c r="J1221" i="6" s="1"/>
  <c r="H1219" i="6"/>
  <c r="H1221" i="6" s="1"/>
  <c r="H1204" i="6"/>
  <c r="H1205" i="6" s="1"/>
  <c r="J1188" i="6"/>
  <c r="H1188" i="6"/>
  <c r="J1187" i="6"/>
  <c r="H1187" i="6"/>
  <c r="J1172" i="6"/>
  <c r="H1172" i="6"/>
  <c r="J1171" i="6"/>
  <c r="H1171" i="6"/>
  <c r="J1158" i="6"/>
  <c r="H1158" i="6"/>
  <c r="J1157" i="6"/>
  <c r="J1159" i="6" s="1"/>
  <c r="H1157" i="6"/>
  <c r="H1159" i="6" s="1"/>
  <c r="J1142" i="6"/>
  <c r="H1142" i="6"/>
  <c r="J1141" i="6"/>
  <c r="H1141" i="6"/>
  <c r="J1126" i="6"/>
  <c r="H1126" i="6"/>
  <c r="J1125" i="6"/>
  <c r="H1125" i="6"/>
  <c r="L1113" i="6"/>
  <c r="J1113" i="6"/>
  <c r="H1113" i="6"/>
  <c r="L1112" i="6"/>
  <c r="J1112" i="6"/>
  <c r="H1112" i="6"/>
  <c r="L1111" i="6"/>
  <c r="J1111" i="6"/>
  <c r="H1111" i="6"/>
  <c r="J1096" i="6"/>
  <c r="H1096" i="6"/>
  <c r="J1095" i="6"/>
  <c r="H1095" i="6"/>
  <c r="J1082" i="6"/>
  <c r="H1082" i="6"/>
  <c r="J1081" i="6"/>
  <c r="J1083" i="6" s="1"/>
  <c r="H1081" i="6"/>
  <c r="J1066" i="6"/>
  <c r="H1066" i="6"/>
  <c r="J1065" i="6"/>
  <c r="H1065" i="6"/>
  <c r="J1052" i="6"/>
  <c r="H1052" i="6"/>
  <c r="J1051" i="6"/>
  <c r="H1051" i="6"/>
  <c r="J1036" i="6"/>
  <c r="H1036" i="6"/>
  <c r="J1035" i="6"/>
  <c r="J1037" i="6" s="1"/>
  <c r="H1035" i="6"/>
  <c r="L1022" i="6"/>
  <c r="J1022" i="6"/>
  <c r="H1022" i="6"/>
  <c r="L1021" i="6"/>
  <c r="J1021" i="6"/>
  <c r="H1021" i="6"/>
  <c r="L1020" i="6"/>
  <c r="J1020" i="6"/>
  <c r="H1020" i="6"/>
  <c r="H1005" i="6"/>
  <c r="H1006" i="6" s="1"/>
  <c r="J990" i="6"/>
  <c r="H990" i="6"/>
  <c r="J989" i="6"/>
  <c r="J991" i="6" s="1"/>
  <c r="H989" i="6"/>
  <c r="H974" i="6"/>
  <c r="H975" i="6" s="1"/>
  <c r="H977" i="6" s="1"/>
  <c r="J966" i="6"/>
  <c r="H966" i="6"/>
  <c r="J965" i="6"/>
  <c r="H965" i="6"/>
  <c r="L956" i="6"/>
  <c r="J956" i="6"/>
  <c r="H956" i="6"/>
  <c r="L955" i="6"/>
  <c r="J955" i="6"/>
  <c r="H955" i="6"/>
  <c r="L954" i="6"/>
  <c r="J954" i="6"/>
  <c r="H954" i="6"/>
  <c r="H943" i="6"/>
  <c r="H944" i="6" s="1"/>
  <c r="H946" i="6" s="1"/>
  <c r="J935" i="6"/>
  <c r="H935" i="6"/>
  <c r="J934" i="6"/>
  <c r="H934" i="6"/>
  <c r="J926" i="6"/>
  <c r="H926" i="6"/>
  <c r="J925" i="6"/>
  <c r="J927" i="6" s="1"/>
  <c r="J929" i="6" s="1"/>
  <c r="H925" i="6"/>
  <c r="H927" i="6" s="1"/>
  <c r="H929" i="6" s="1"/>
  <c r="L917" i="6"/>
  <c r="J917" i="6"/>
  <c r="H917" i="6"/>
  <c r="L916" i="6"/>
  <c r="J916" i="6"/>
  <c r="H916" i="6"/>
  <c r="L915" i="6"/>
  <c r="J915" i="6"/>
  <c r="H915" i="6"/>
  <c r="H907" i="6"/>
  <c r="H908" i="6" s="1"/>
  <c r="L892" i="6"/>
  <c r="J892" i="6"/>
  <c r="H892" i="6"/>
  <c r="L891" i="6"/>
  <c r="J891" i="6"/>
  <c r="H891" i="6"/>
  <c r="L890" i="6"/>
  <c r="J890" i="6"/>
  <c r="H890" i="6"/>
  <c r="L875" i="6"/>
  <c r="J875" i="6"/>
  <c r="H875" i="6"/>
  <c r="L874" i="6"/>
  <c r="J874" i="6"/>
  <c r="H874" i="6"/>
  <c r="L873" i="6"/>
  <c r="J873" i="6"/>
  <c r="H873" i="6"/>
  <c r="L860" i="6"/>
  <c r="J860" i="6"/>
  <c r="H860" i="6"/>
  <c r="L859" i="6"/>
  <c r="J859" i="6"/>
  <c r="H859" i="6"/>
  <c r="L858" i="6"/>
  <c r="J858" i="6"/>
  <c r="H858" i="6"/>
  <c r="H843" i="6"/>
  <c r="H844" i="6" s="1"/>
  <c r="L830" i="6"/>
  <c r="J830" i="6"/>
  <c r="H830" i="6"/>
  <c r="L829" i="6"/>
  <c r="J829" i="6"/>
  <c r="H829" i="6"/>
  <c r="L828" i="6"/>
  <c r="J828" i="6"/>
  <c r="H828" i="6"/>
  <c r="L815" i="6"/>
  <c r="J815" i="6"/>
  <c r="H815" i="6"/>
  <c r="L814" i="6"/>
  <c r="J814" i="6"/>
  <c r="H814" i="6"/>
  <c r="L813" i="6"/>
  <c r="J813" i="6"/>
  <c r="H813" i="6"/>
  <c r="L800" i="6"/>
  <c r="J800" i="6"/>
  <c r="H800" i="6"/>
  <c r="L799" i="6"/>
  <c r="J799" i="6"/>
  <c r="H799" i="6"/>
  <c r="L798" i="6"/>
  <c r="J798" i="6"/>
  <c r="H798" i="6"/>
  <c r="L785" i="6"/>
  <c r="J785" i="6"/>
  <c r="H785" i="6"/>
  <c r="L784" i="6"/>
  <c r="J784" i="6"/>
  <c r="H784" i="6"/>
  <c r="L783" i="6"/>
  <c r="J783" i="6"/>
  <c r="H783" i="6"/>
  <c r="L770" i="6"/>
  <c r="J770" i="6"/>
  <c r="H770" i="6"/>
  <c r="L769" i="6"/>
  <c r="J769" i="6"/>
  <c r="H769" i="6"/>
  <c r="L768" i="6"/>
  <c r="J768" i="6"/>
  <c r="H768" i="6"/>
  <c r="H771" i="6" s="1"/>
  <c r="L755" i="6"/>
  <c r="J755" i="6"/>
  <c r="H755" i="6"/>
  <c r="L754" i="6"/>
  <c r="J754" i="6"/>
  <c r="H754" i="6"/>
  <c r="L753" i="6"/>
  <c r="J753" i="6"/>
  <c r="H753" i="6"/>
  <c r="L738" i="6"/>
  <c r="J738" i="6"/>
  <c r="H738" i="6"/>
  <c r="L737" i="6"/>
  <c r="J737" i="6"/>
  <c r="H737" i="6"/>
  <c r="L736" i="6"/>
  <c r="J736" i="6"/>
  <c r="H736" i="6"/>
  <c r="L723" i="6"/>
  <c r="J723" i="6"/>
  <c r="H723" i="6"/>
  <c r="L722" i="6"/>
  <c r="J722" i="6"/>
  <c r="H722" i="6"/>
  <c r="L721" i="6"/>
  <c r="J721" i="6"/>
  <c r="H721" i="6"/>
  <c r="L708" i="6"/>
  <c r="J708" i="6"/>
  <c r="H708" i="6"/>
  <c r="L707" i="6"/>
  <c r="J707" i="6"/>
  <c r="H707" i="6"/>
  <c r="L706" i="6"/>
  <c r="J706" i="6"/>
  <c r="H706" i="6"/>
  <c r="L693" i="6"/>
  <c r="J693" i="6"/>
  <c r="H693" i="6"/>
  <c r="L692" i="6"/>
  <c r="J692" i="6"/>
  <c r="H692" i="6"/>
  <c r="L691" i="6"/>
  <c r="J691" i="6"/>
  <c r="H691" i="6"/>
  <c r="L678" i="6"/>
  <c r="J678" i="6"/>
  <c r="H678" i="6"/>
  <c r="L677" i="6"/>
  <c r="J677" i="6"/>
  <c r="H677" i="6"/>
  <c r="L676" i="6"/>
  <c r="J676" i="6"/>
  <c r="H676" i="6"/>
  <c r="H660" i="6"/>
  <c r="H661" i="6" s="1"/>
  <c r="H645" i="6"/>
  <c r="H646" i="6" s="1"/>
  <c r="J630" i="6"/>
  <c r="H630" i="6"/>
  <c r="J629" i="6"/>
  <c r="H629" i="6"/>
  <c r="H631" i="6" s="1"/>
  <c r="L616" i="6"/>
  <c r="J616" i="6"/>
  <c r="H616" i="6"/>
  <c r="L615" i="6"/>
  <c r="J615" i="6"/>
  <c r="H615" i="6"/>
  <c r="L614" i="6"/>
  <c r="J614" i="6"/>
  <c r="H614" i="6"/>
  <c r="L601" i="6"/>
  <c r="J601" i="6"/>
  <c r="H601" i="6"/>
  <c r="L600" i="6"/>
  <c r="J600" i="6"/>
  <c r="H600" i="6"/>
  <c r="L599" i="6"/>
  <c r="J599" i="6"/>
  <c r="H599" i="6"/>
  <c r="L584" i="6"/>
  <c r="J584" i="6"/>
  <c r="H584" i="6"/>
  <c r="L583" i="6"/>
  <c r="J583" i="6"/>
  <c r="H583" i="6"/>
  <c r="L582" i="6"/>
  <c r="J582" i="6"/>
  <c r="H582" i="6"/>
  <c r="L567" i="6"/>
  <c r="J567" i="6"/>
  <c r="H567" i="6"/>
  <c r="L566" i="6"/>
  <c r="J566" i="6"/>
  <c r="H566" i="6"/>
  <c r="L565" i="6"/>
  <c r="J565" i="6"/>
  <c r="H565" i="6"/>
  <c r="J552" i="6"/>
  <c r="H552" i="6"/>
  <c r="J551" i="6"/>
  <c r="H551" i="6"/>
  <c r="H553" i="6" s="1"/>
  <c r="H536" i="6"/>
  <c r="H537" i="6" s="1"/>
  <c r="H521" i="6"/>
  <c r="H522" i="6" s="1"/>
  <c r="L508" i="6"/>
  <c r="J508" i="6"/>
  <c r="H508" i="6"/>
  <c r="L507" i="6"/>
  <c r="J507" i="6"/>
  <c r="H507" i="6"/>
  <c r="L506" i="6"/>
  <c r="J506" i="6"/>
  <c r="H506" i="6"/>
  <c r="L493" i="6"/>
  <c r="J493" i="6"/>
  <c r="H493" i="6"/>
  <c r="L492" i="6"/>
  <c r="J492" i="6"/>
  <c r="H492" i="6"/>
  <c r="L491" i="6"/>
  <c r="J491" i="6"/>
  <c r="H491" i="6"/>
  <c r="L476" i="6"/>
  <c r="J476" i="6"/>
  <c r="H476" i="6"/>
  <c r="L475" i="6"/>
  <c r="J475" i="6"/>
  <c r="H475" i="6"/>
  <c r="L474" i="6"/>
  <c r="J474" i="6"/>
  <c r="H474" i="6"/>
  <c r="L459" i="6"/>
  <c r="J459" i="6"/>
  <c r="H459" i="6"/>
  <c r="L458" i="6"/>
  <c r="J458" i="6"/>
  <c r="H458" i="6"/>
  <c r="L457" i="6"/>
  <c r="J457" i="6"/>
  <c r="H457" i="6"/>
  <c r="L441" i="6"/>
  <c r="J441" i="6"/>
  <c r="H441" i="6"/>
  <c r="L440" i="6"/>
  <c r="J440" i="6"/>
  <c r="H440" i="6"/>
  <c r="L439" i="6"/>
  <c r="J439" i="6"/>
  <c r="H439" i="6"/>
  <c r="L431" i="6"/>
  <c r="J431" i="6"/>
  <c r="H431" i="6"/>
  <c r="L430" i="6"/>
  <c r="J430" i="6"/>
  <c r="H430" i="6"/>
  <c r="L429" i="6"/>
  <c r="J429" i="6"/>
  <c r="H429" i="6"/>
  <c r="L416" i="6"/>
  <c r="J416" i="6"/>
  <c r="H416" i="6"/>
  <c r="L415" i="6"/>
  <c r="J415" i="6"/>
  <c r="H415" i="6"/>
  <c r="L414" i="6"/>
  <c r="J414" i="6"/>
  <c r="H414" i="6"/>
  <c r="L400" i="6"/>
  <c r="J400" i="6"/>
  <c r="H400" i="6"/>
  <c r="L399" i="6"/>
  <c r="J399" i="6"/>
  <c r="H399" i="6"/>
  <c r="L398" i="6"/>
  <c r="J398" i="6"/>
  <c r="H398" i="6"/>
  <c r="H383" i="6"/>
  <c r="H384" i="6" s="1"/>
  <c r="H368" i="6"/>
  <c r="H369" i="6" s="1"/>
  <c r="J353" i="6"/>
  <c r="H353" i="6"/>
  <c r="J352" i="6"/>
  <c r="J354" i="6" s="1"/>
  <c r="J356" i="6" s="1"/>
  <c r="H352" i="6"/>
  <c r="L346" i="6"/>
  <c r="J346" i="6"/>
  <c r="H346" i="6"/>
  <c r="L345" i="6"/>
  <c r="J345" i="6"/>
  <c r="H345" i="6"/>
  <c r="L344" i="6"/>
  <c r="J344" i="6"/>
  <c r="H344" i="6"/>
  <c r="J336" i="6"/>
  <c r="H336" i="6"/>
  <c r="J335" i="6"/>
  <c r="H335" i="6"/>
  <c r="J322" i="6"/>
  <c r="H322" i="6"/>
  <c r="J321" i="6"/>
  <c r="H321" i="6"/>
  <c r="L306" i="6"/>
  <c r="J306" i="6"/>
  <c r="H306" i="6"/>
  <c r="L305" i="6"/>
  <c r="J305" i="6"/>
  <c r="H305" i="6"/>
  <c r="L304" i="6"/>
  <c r="J304" i="6"/>
  <c r="H304" i="6"/>
  <c r="L291" i="6"/>
  <c r="J291" i="6"/>
  <c r="H291" i="6"/>
  <c r="L290" i="6"/>
  <c r="J290" i="6"/>
  <c r="H290" i="6"/>
  <c r="L289" i="6"/>
  <c r="J289" i="6"/>
  <c r="H289" i="6"/>
  <c r="L276" i="6"/>
  <c r="J276" i="6"/>
  <c r="H276" i="6"/>
  <c r="L275" i="6"/>
  <c r="J275" i="6"/>
  <c r="H275" i="6"/>
  <c r="L274" i="6"/>
  <c r="J274" i="6"/>
  <c r="H274" i="6"/>
  <c r="J259" i="6"/>
  <c r="H259" i="6"/>
  <c r="J258" i="6"/>
  <c r="H258" i="6"/>
  <c r="L245" i="6"/>
  <c r="J245" i="6"/>
  <c r="H245" i="6"/>
  <c r="L244" i="6"/>
  <c r="J244" i="6"/>
  <c r="H244" i="6"/>
  <c r="L243" i="6"/>
  <c r="J243" i="6"/>
  <c r="H243" i="6"/>
  <c r="L230" i="6"/>
  <c r="J230" i="6"/>
  <c r="H230" i="6"/>
  <c r="L229" i="6"/>
  <c r="J229" i="6"/>
  <c r="H229" i="6"/>
  <c r="L228" i="6"/>
  <c r="J228" i="6"/>
  <c r="H228" i="6"/>
  <c r="H213" i="6"/>
  <c r="H214" i="6" s="1"/>
  <c r="J198" i="6"/>
  <c r="J199" i="6" s="1"/>
  <c r="H198" i="6"/>
  <c r="J197" i="6"/>
  <c r="H197" i="6"/>
  <c r="H199" i="6" s="1"/>
  <c r="H201" i="6" s="1"/>
  <c r="H189" i="6"/>
  <c r="H190" i="6" s="1"/>
  <c r="H192" i="6" s="1"/>
  <c r="L181" i="6"/>
  <c r="J181" i="6"/>
  <c r="H181" i="6"/>
  <c r="L180" i="6"/>
  <c r="J180" i="6"/>
  <c r="H180" i="6"/>
  <c r="L179" i="6"/>
  <c r="J179" i="6"/>
  <c r="H179" i="6"/>
  <c r="L173" i="6"/>
  <c r="J173" i="6"/>
  <c r="H173" i="6"/>
  <c r="L172" i="6"/>
  <c r="J172" i="6"/>
  <c r="H172" i="6"/>
  <c r="L171" i="6"/>
  <c r="J171" i="6"/>
  <c r="H171" i="6"/>
  <c r="J163" i="6"/>
  <c r="H163" i="6"/>
  <c r="J162" i="6"/>
  <c r="J164" i="6" s="1"/>
  <c r="H162" i="6"/>
  <c r="H164" i="6" s="1"/>
  <c r="N147" i="6"/>
  <c r="L147" i="6"/>
  <c r="J147" i="6"/>
  <c r="H147" i="6"/>
  <c r="N146" i="6"/>
  <c r="L146" i="6"/>
  <c r="J146" i="6"/>
  <c r="H146" i="6"/>
  <c r="N145" i="6"/>
  <c r="L145" i="6"/>
  <c r="J145" i="6"/>
  <c r="H145" i="6"/>
  <c r="N144" i="6"/>
  <c r="L144" i="6"/>
  <c r="J144" i="6"/>
  <c r="H144" i="6"/>
  <c r="L129" i="6"/>
  <c r="J129" i="6"/>
  <c r="H129" i="6"/>
  <c r="L128" i="6"/>
  <c r="J128" i="6"/>
  <c r="H128" i="6"/>
  <c r="L127" i="6"/>
  <c r="L130" i="6" s="1"/>
  <c r="J127" i="6"/>
  <c r="J130" i="6" s="1"/>
  <c r="H127" i="6"/>
  <c r="L114" i="6"/>
  <c r="J114" i="6"/>
  <c r="H114" i="6"/>
  <c r="L113" i="6"/>
  <c r="J113" i="6"/>
  <c r="H113" i="6"/>
  <c r="L112" i="6"/>
  <c r="J112" i="6"/>
  <c r="H112" i="6"/>
  <c r="L99" i="6"/>
  <c r="J99" i="6"/>
  <c r="H99" i="6"/>
  <c r="L98" i="6"/>
  <c r="J98" i="6"/>
  <c r="H98" i="6"/>
  <c r="L97" i="6"/>
  <c r="J97" i="6"/>
  <c r="H97" i="6"/>
  <c r="J82" i="6"/>
  <c r="H82" i="6"/>
  <c r="J81" i="6"/>
  <c r="H81" i="6"/>
  <c r="J66" i="6"/>
  <c r="H66" i="6"/>
  <c r="J65" i="6"/>
  <c r="H65" i="6"/>
  <c r="L59" i="6"/>
  <c r="J59" i="6"/>
  <c r="H59" i="6"/>
  <c r="L58" i="6"/>
  <c r="J58" i="6"/>
  <c r="H58" i="6"/>
  <c r="L57" i="6"/>
  <c r="J57" i="6"/>
  <c r="H57" i="6"/>
  <c r="L49" i="6"/>
  <c r="J49" i="6"/>
  <c r="H49" i="6"/>
  <c r="L48" i="6"/>
  <c r="J48" i="6"/>
  <c r="H48" i="6"/>
  <c r="L47" i="6"/>
  <c r="J47" i="6"/>
  <c r="H47" i="6"/>
  <c r="J32" i="6"/>
  <c r="H32" i="6"/>
  <c r="J31" i="6"/>
  <c r="J33" i="6" s="1"/>
  <c r="H31" i="6"/>
  <c r="L18" i="6"/>
  <c r="J18" i="6"/>
  <c r="H18" i="6"/>
  <c r="L17" i="6"/>
  <c r="J17" i="6"/>
  <c r="H17" i="6"/>
  <c r="L16" i="6"/>
  <c r="J16" i="6"/>
  <c r="H16" i="6"/>
  <c r="H904" i="6"/>
  <c r="H905" i="6" s="1"/>
  <c r="H653" i="6"/>
  <c r="H654" i="6" s="1"/>
  <c r="L1105" i="6"/>
  <c r="L1106" i="6" s="1"/>
  <c r="J1997" i="6" l="1"/>
  <c r="J1630" i="6"/>
  <c r="J1632" i="6" s="1"/>
  <c r="J1712" i="6"/>
  <c r="J1714" i="6" s="1"/>
  <c r="J2618" i="6"/>
  <c r="J2620" i="6" s="1"/>
  <c r="J3338" i="6"/>
  <c r="H67" i="6"/>
  <c r="H69" i="6" s="1"/>
  <c r="L2779" i="6"/>
  <c r="L2781" i="6" s="1"/>
  <c r="L2684" i="6"/>
  <c r="L1779" i="6"/>
  <c r="L1781" i="6" s="1"/>
  <c r="J1829" i="6"/>
  <c r="J1831" i="6" s="1"/>
  <c r="J2048" i="6"/>
  <c r="J2050" i="6" s="1"/>
  <c r="L1581" i="6"/>
  <c r="L1583" i="6" s="1"/>
  <c r="H1746" i="6"/>
  <c r="H1748" i="6" s="1"/>
  <c r="L1829" i="6"/>
  <c r="L1831" i="6" s="1"/>
  <c r="L2048" i="6"/>
  <c r="L2050" i="6" s="1"/>
  <c r="J67" i="6"/>
  <c r="J69" i="6" s="1"/>
  <c r="H260" i="6"/>
  <c r="L1547" i="6"/>
  <c r="L1549" i="6" s="1"/>
  <c r="J1564" i="6"/>
  <c r="J1566" i="6" s="1"/>
  <c r="J1786" i="6"/>
  <c r="J1788" i="6" s="1"/>
  <c r="H2091" i="6"/>
  <c r="H2093" i="6" s="1"/>
  <c r="J2179" i="6"/>
  <c r="J2329" i="6"/>
  <c r="J260" i="6"/>
  <c r="J1300" i="6"/>
  <c r="J1364" i="6"/>
  <c r="J1366" i="6" s="1"/>
  <c r="J1605" i="6"/>
  <c r="J1607" i="6" s="1"/>
  <c r="J1897" i="6"/>
  <c r="J2091" i="6"/>
  <c r="J2093" i="6" s="1"/>
  <c r="H2108" i="6"/>
  <c r="H2110" i="6" s="1"/>
  <c r="H3338" i="6"/>
  <c r="L3338" i="6"/>
  <c r="H3251" i="6"/>
  <c r="J3236" i="6"/>
  <c r="L3236" i="6"/>
  <c r="J3218" i="6"/>
  <c r="H3204" i="6"/>
  <c r="H3174" i="6"/>
  <c r="H3157" i="6"/>
  <c r="H3110" i="6"/>
  <c r="J3038" i="6"/>
  <c r="L2862" i="6"/>
  <c r="H2787" i="6"/>
  <c r="H2789" i="6" s="1"/>
  <c r="J2734" i="6"/>
  <c r="H2662" i="6"/>
  <c r="H2664" i="6" s="1"/>
  <c r="J2653" i="6"/>
  <c r="J2643" i="6"/>
  <c r="L2636" i="6"/>
  <c r="L2638" i="6" s="1"/>
  <c r="H2636" i="6"/>
  <c r="H2638" i="6" s="1"/>
  <c r="H2618" i="6"/>
  <c r="H2620" i="6" s="1"/>
  <c r="J2601" i="6"/>
  <c r="H2593" i="6"/>
  <c r="H2595" i="6" s="1"/>
  <c r="H2573" i="6"/>
  <c r="H2575" i="6" s="1"/>
  <c r="J2566" i="6"/>
  <c r="J2568" i="6" s="1"/>
  <c r="L2528" i="6"/>
  <c r="L2468" i="6"/>
  <c r="L2470" i="6" s="1"/>
  <c r="N1829" i="6"/>
  <c r="N1831" i="6" s="1"/>
  <c r="L2543" i="6"/>
  <c r="J3142" i="6"/>
  <c r="H3350" i="6"/>
  <c r="L19" i="6"/>
  <c r="L2601" i="6"/>
  <c r="J861" i="6"/>
  <c r="H918" i="6"/>
  <c r="H920" i="6" s="1"/>
  <c r="H2126" i="6"/>
  <c r="H2128" i="6" s="1"/>
  <c r="J2593" i="6"/>
  <c r="H347" i="6"/>
  <c r="H349" i="6" s="1"/>
  <c r="H617" i="6"/>
  <c r="H816" i="6"/>
  <c r="L2513" i="6"/>
  <c r="H3076" i="6"/>
  <c r="J3127" i="6"/>
  <c r="H174" i="6"/>
  <c r="H176" i="6" s="1"/>
  <c r="J1252" i="6"/>
  <c r="J1646" i="6"/>
  <c r="J1648" i="6" s="1"/>
  <c r="H1947" i="6"/>
  <c r="H1949" i="6" s="1"/>
  <c r="J2084" i="6"/>
  <c r="J2086" i="6" s="1"/>
  <c r="H2101" i="6"/>
  <c r="H2103" i="6" s="1"/>
  <c r="L2118" i="6"/>
  <c r="L2120" i="6" s="1"/>
  <c r="L2722" i="6"/>
  <c r="H3370" i="6"/>
  <c r="J1451" i="6"/>
  <c r="N3338" i="6"/>
  <c r="L893" i="6"/>
  <c r="J115" i="6"/>
  <c r="H1466" i="6"/>
  <c r="H2513" i="6"/>
  <c r="J3350" i="6"/>
  <c r="H2763" i="6"/>
  <c r="H2765" i="6" s="1"/>
  <c r="H417" i="6"/>
  <c r="H756" i="6"/>
  <c r="J918" i="6"/>
  <c r="J920" i="6" s="1"/>
  <c r="J1403" i="6"/>
  <c r="J2118" i="6"/>
  <c r="J2120" i="6" s="1"/>
  <c r="J2404" i="6"/>
  <c r="J2722" i="6"/>
  <c r="L3004" i="6"/>
  <c r="L617" i="6"/>
  <c r="H967" i="6"/>
  <c r="J1053" i="6"/>
  <c r="J1097" i="6"/>
  <c r="H1173" i="6"/>
  <c r="H1967" i="6"/>
  <c r="H1969" i="6" s="1"/>
  <c r="H2031" i="6"/>
  <c r="H2033" i="6" s="1"/>
  <c r="J2387" i="6"/>
  <c r="H2414" i="6"/>
  <c r="H2416" i="6" s="1"/>
  <c r="H2487" i="6"/>
  <c r="H2489" i="6" s="1"/>
  <c r="J2557" i="6"/>
  <c r="L2653" i="6"/>
  <c r="L2655" i="6" s="1"/>
  <c r="H2696" i="6"/>
  <c r="L3076" i="6"/>
  <c r="H3142" i="6"/>
  <c r="N3370" i="6"/>
  <c r="H3236" i="6"/>
  <c r="J2771" i="6"/>
  <c r="J2773" i="6" s="1"/>
  <c r="H3189" i="6"/>
  <c r="J3174" i="6"/>
  <c r="L115" i="6"/>
  <c r="H2779" i="6"/>
  <c r="H2781" i="6" s="1"/>
  <c r="H509" i="6"/>
  <c r="H694" i="6"/>
  <c r="H2358" i="6"/>
  <c r="J2696" i="6"/>
  <c r="J3157" i="6"/>
  <c r="H460" i="6"/>
  <c r="J1173" i="6"/>
  <c r="H1829" i="6"/>
  <c r="H1831" i="6" s="1"/>
  <c r="H1921" i="6"/>
  <c r="H1923" i="6" s="1"/>
  <c r="H1997" i="6"/>
  <c r="H2048" i="6"/>
  <c r="H2050" i="6" s="1"/>
  <c r="J2487" i="6"/>
  <c r="J2489" i="6" s="1"/>
  <c r="J2684" i="6"/>
  <c r="L2986" i="6"/>
  <c r="H3058" i="6"/>
  <c r="L3326" i="6"/>
  <c r="L3370" i="6"/>
  <c r="J2414" i="6"/>
  <c r="J2416" i="6" s="1"/>
  <c r="H2888" i="6"/>
  <c r="J2603" i="6"/>
  <c r="H2611" i="6"/>
  <c r="H2836" i="6"/>
  <c r="L2404" i="6"/>
  <c r="H1537" i="6"/>
  <c r="H2653" i="6"/>
  <c r="H2812" i="6"/>
  <c r="H679" i="6"/>
  <c r="H801" i="6"/>
  <c r="L1403" i="6"/>
  <c r="H3314" i="6"/>
  <c r="L460" i="6"/>
  <c r="J1689" i="6"/>
  <c r="J1691" i="6" s="1"/>
  <c r="H2007" i="6"/>
  <c r="H2009" i="6" s="1"/>
  <c r="H2684" i="6"/>
  <c r="L2771" i="6"/>
  <c r="L2773" i="6" s="1"/>
  <c r="J50" i="6"/>
  <c r="H231" i="6"/>
  <c r="L3350" i="6"/>
  <c r="J1480" i="6"/>
  <c r="L2710" i="6"/>
  <c r="H602" i="6"/>
  <c r="J1371" i="6"/>
  <c r="J1373" i="6" s="1"/>
  <c r="L2015" i="6"/>
  <c r="L2017" i="6" s="1"/>
  <c r="L2031" i="6"/>
  <c r="L2033" i="6" s="1"/>
  <c r="H2583" i="6"/>
  <c r="H2585" i="6" s="1"/>
  <c r="H477" i="6"/>
  <c r="L602" i="6"/>
  <c r="H1623" i="6"/>
  <c r="H1625" i="6" s="1"/>
  <c r="J2007" i="6"/>
  <c r="J2009" i="6" s="1"/>
  <c r="J2763" i="6"/>
  <c r="J2765" i="6" s="1"/>
  <c r="L3314" i="6"/>
  <c r="J100" i="6"/>
  <c r="L174" i="6"/>
  <c r="L176" i="6" s="1"/>
  <c r="J231" i="6"/>
  <c r="J277" i="6"/>
  <c r="J442" i="6"/>
  <c r="J444" i="6" s="1"/>
  <c r="J509" i="6"/>
  <c r="J553" i="6"/>
  <c r="L876" i="6"/>
  <c r="L1238" i="6"/>
  <c r="J1344" i="6"/>
  <c r="J1355" i="6"/>
  <c r="L1388" i="6"/>
  <c r="L1589" i="6"/>
  <c r="L1591" i="6" s="1"/>
  <c r="L1598" i="6"/>
  <c r="L1600" i="6" s="1"/>
  <c r="J1615" i="6"/>
  <c r="J1617" i="6" s="1"/>
  <c r="H1681" i="6"/>
  <c r="H1683" i="6" s="1"/>
  <c r="L2007" i="6"/>
  <c r="L2009" i="6" s="1"/>
  <c r="H2168" i="6"/>
  <c r="H2496" i="6"/>
  <c r="H2498" i="6" s="1"/>
  <c r="J2636" i="6"/>
  <c r="H2710" i="6"/>
  <c r="J2968" i="6"/>
  <c r="L3127" i="6"/>
  <c r="N3314" i="6"/>
  <c r="N3350" i="6"/>
  <c r="J1419" i="6"/>
  <c r="J2543" i="6"/>
  <c r="H494" i="6"/>
  <c r="H739" i="6"/>
  <c r="H1451" i="6"/>
  <c r="L100" i="6"/>
  <c r="L1623" i="6"/>
  <c r="L1625" i="6" s="1"/>
  <c r="H2015" i="6"/>
  <c r="H2017" i="6" s="1"/>
  <c r="L3058" i="6"/>
  <c r="L3142" i="6"/>
  <c r="J174" i="6"/>
  <c r="J176" i="6" s="1"/>
  <c r="J2513" i="6"/>
  <c r="H2601" i="6"/>
  <c r="L277" i="6"/>
  <c r="L401" i="6"/>
  <c r="L417" i="6"/>
  <c r="H1238" i="6"/>
  <c r="L1664" i="6"/>
  <c r="L1666" i="6" s="1"/>
  <c r="J1746" i="6"/>
  <c r="J1748" i="6" s="1"/>
  <c r="H1873" i="6"/>
  <c r="J1914" i="6"/>
  <c r="J1916" i="6" s="1"/>
  <c r="J1957" i="6"/>
  <c r="J1959" i="6" s="1"/>
  <c r="J2168" i="6"/>
  <c r="H2195" i="6"/>
  <c r="J2258" i="6"/>
  <c r="J2468" i="6"/>
  <c r="J2496" i="6"/>
  <c r="J2498" i="6" s="1"/>
  <c r="H2734" i="6"/>
  <c r="H2794" i="6"/>
  <c r="H2796" i="6" s="1"/>
  <c r="H3004" i="6"/>
  <c r="J3204" i="6"/>
  <c r="H3283" i="6"/>
  <c r="H3326" i="6"/>
  <c r="J2864" i="6"/>
  <c r="N3326" i="6"/>
  <c r="L2583" i="6"/>
  <c r="L2585" i="6" s="1"/>
  <c r="J1537" i="6"/>
  <c r="L60" i="6"/>
  <c r="L62" i="6" s="1"/>
  <c r="H1689" i="6"/>
  <c r="H1691" i="6" s="1"/>
  <c r="J2528" i="6"/>
  <c r="L2734" i="6"/>
  <c r="J1929" i="6"/>
  <c r="J1930" i="6" s="1"/>
  <c r="J2779" i="6"/>
  <c r="J2781" i="6" s="1"/>
  <c r="J3314" i="6"/>
  <c r="H100" i="6"/>
  <c r="H442" i="6"/>
  <c r="H444" i="6" s="1"/>
  <c r="J1388" i="6"/>
  <c r="L2373" i="6"/>
  <c r="H130" i="6"/>
  <c r="J337" i="6"/>
  <c r="H354" i="6"/>
  <c r="H356" i="6" s="1"/>
  <c r="H432" i="6"/>
  <c r="H991" i="6"/>
  <c r="J1023" i="6"/>
  <c r="J1143" i="6"/>
  <c r="J1189" i="6"/>
  <c r="H1300" i="6"/>
  <c r="H1364" i="6"/>
  <c r="H1366" i="6" s="1"/>
  <c r="J1589" i="6"/>
  <c r="J1591" i="6" s="1"/>
  <c r="H1630" i="6"/>
  <c r="H1632" i="6" s="1"/>
  <c r="J1873" i="6"/>
  <c r="H1983" i="6"/>
  <c r="L2126" i="6"/>
  <c r="L2128" i="6" s="1"/>
  <c r="J2195" i="6"/>
  <c r="H2457" i="6"/>
  <c r="H2566" i="6"/>
  <c r="H2771" i="6"/>
  <c r="H2773" i="6" s="1"/>
  <c r="J2794" i="6"/>
  <c r="J2796" i="6" s="1"/>
  <c r="J3004" i="6"/>
  <c r="H3093" i="6"/>
  <c r="L3204" i="6"/>
  <c r="J3283" i="6"/>
  <c r="J3326" i="6"/>
  <c r="J3370" i="6"/>
  <c r="H2404" i="6"/>
  <c r="J2373" i="6"/>
  <c r="H2292" i="6"/>
  <c r="H2242" i="6"/>
  <c r="J2227" i="6"/>
  <c r="H2227" i="6"/>
  <c r="L2227" i="6"/>
  <c r="L2168" i="6"/>
  <c r="J2108" i="6"/>
  <c r="J2110" i="6" s="1"/>
  <c r="L2101" i="6"/>
  <c r="L2103" i="6" s="1"/>
  <c r="J2101" i="6"/>
  <c r="J2103" i="6" s="1"/>
  <c r="L2084" i="6"/>
  <c r="L2086" i="6" s="1"/>
  <c r="H2084" i="6"/>
  <c r="H2086" i="6" s="1"/>
  <c r="H2074" i="6"/>
  <c r="J2074" i="6"/>
  <c r="N2074" i="6"/>
  <c r="L2074" i="6"/>
  <c r="L2076" i="6" s="1"/>
  <c r="H2055" i="6"/>
  <c r="H2057" i="6" s="1"/>
  <c r="J2055" i="6"/>
  <c r="J2057" i="6" s="1"/>
  <c r="J2031" i="6"/>
  <c r="J2033" i="6" s="1"/>
  <c r="J2015" i="6"/>
  <c r="J2017" i="6" s="1"/>
  <c r="J1967" i="6"/>
  <c r="L1967" i="6"/>
  <c r="L1969" i="6" s="1"/>
  <c r="J1947" i="6"/>
  <c r="H1897" i="6"/>
  <c r="H1883" i="6"/>
  <c r="H1847" i="6"/>
  <c r="H1818" i="6"/>
  <c r="H1803" i="6"/>
  <c r="L1803" i="6"/>
  <c r="H1779" i="6"/>
  <c r="H1781" i="6" s="1"/>
  <c r="H1762" i="6"/>
  <c r="H1764" i="6" s="1"/>
  <c r="J1762" i="6"/>
  <c r="J1764" i="6" s="1"/>
  <c r="L1748" i="6"/>
  <c r="H1712" i="6"/>
  <c r="H1714" i="6" s="1"/>
  <c r="L1689" i="6"/>
  <c r="L1691" i="6" s="1"/>
  <c r="J1681" i="6"/>
  <c r="J1683" i="6" s="1"/>
  <c r="H1664" i="6"/>
  <c r="H1666" i="6" s="1"/>
  <c r="J1656" i="6"/>
  <c r="J1658" i="6" s="1"/>
  <c r="L1656" i="6"/>
  <c r="L1658" i="6" s="1"/>
  <c r="J1639" i="6"/>
  <c r="J1641" i="6" s="1"/>
  <c r="J1623" i="6"/>
  <c r="J1625" i="6" s="1"/>
  <c r="H1615" i="6"/>
  <c r="H1617" i="6" s="1"/>
  <c r="H1598" i="6"/>
  <c r="H1600" i="6" s="1"/>
  <c r="H1581" i="6"/>
  <c r="H1583" i="6" s="1"/>
  <c r="H1571" i="6"/>
  <c r="H1573" i="6" s="1"/>
  <c r="H1564" i="6"/>
  <c r="H1566" i="6" s="1"/>
  <c r="H1547" i="6"/>
  <c r="H1549" i="6" s="1"/>
  <c r="L1537" i="6"/>
  <c r="H1502" i="6"/>
  <c r="J1502" i="6"/>
  <c r="H1480" i="6"/>
  <c r="J1466" i="6"/>
  <c r="H1419" i="6"/>
  <c r="H1371" i="6"/>
  <c r="H1373" i="6" s="1"/>
  <c r="L1355" i="6"/>
  <c r="H1344" i="6"/>
  <c r="H1189" i="6"/>
  <c r="H1143" i="6"/>
  <c r="H1127" i="6"/>
  <c r="J1127" i="6"/>
  <c r="H1114" i="6"/>
  <c r="J1067" i="6"/>
  <c r="L1023" i="6"/>
  <c r="J967" i="6"/>
  <c r="H957" i="6"/>
  <c r="J893" i="6"/>
  <c r="J876" i="6"/>
  <c r="H876" i="6"/>
  <c r="L861" i="6"/>
  <c r="H861" i="6"/>
  <c r="H831" i="6"/>
  <c r="H786" i="6"/>
  <c r="H724" i="6"/>
  <c r="H709" i="6"/>
  <c r="J631" i="6"/>
  <c r="H585" i="6"/>
  <c r="L585" i="6"/>
  <c r="H568" i="6"/>
  <c r="L568" i="6"/>
  <c r="J494" i="6"/>
  <c r="J477" i="6"/>
  <c r="J460" i="6"/>
  <c r="L432" i="6"/>
  <c r="J417" i="6"/>
  <c r="L347" i="6"/>
  <c r="L349" i="6" s="1"/>
  <c r="H337" i="6"/>
  <c r="H323" i="6"/>
  <c r="J323" i="6"/>
  <c r="J307" i="6"/>
  <c r="H307" i="6"/>
  <c r="H292" i="6"/>
  <c r="J292" i="6"/>
  <c r="L292" i="6"/>
  <c r="L246" i="6"/>
  <c r="H246" i="6"/>
  <c r="L231" i="6"/>
  <c r="J182" i="6"/>
  <c r="J184" i="6" s="1"/>
  <c r="L182" i="6"/>
  <c r="J148" i="6"/>
  <c r="L148" i="6"/>
  <c r="H148" i="6"/>
  <c r="N148" i="6"/>
  <c r="J83" i="6"/>
  <c r="H83" i="6"/>
  <c r="J60" i="6"/>
  <c r="J62" i="6" s="1"/>
  <c r="H60" i="6"/>
  <c r="H62" i="6" s="1"/>
  <c r="H50" i="6"/>
  <c r="L50" i="6"/>
  <c r="H33" i="6"/>
  <c r="H19" i="6"/>
  <c r="J19" i="6"/>
  <c r="H109" i="6"/>
  <c r="H110" i="6" s="1"/>
  <c r="H271" i="6"/>
  <c r="H272" i="6" s="1"/>
  <c r="L13" i="6"/>
  <c r="L14" i="6" s="1"/>
  <c r="L454" i="6"/>
  <c r="L455" i="6" s="1"/>
  <c r="H1212" i="6"/>
  <c r="J1212" i="6"/>
  <c r="J488" i="6"/>
  <c r="J489" i="6" s="1"/>
  <c r="H488" i="6"/>
  <c r="H489" i="6" s="1"/>
  <c r="L488" i="6"/>
  <c r="L489" i="6" s="1"/>
  <c r="J201" i="6"/>
  <c r="H182" i="6"/>
  <c r="H2893" i="6"/>
  <c r="H2870" i="6"/>
  <c r="H2871" i="6" s="1"/>
  <c r="H2421" i="6"/>
  <c r="H1517" i="6"/>
  <c r="H1426" i="6"/>
  <c r="H1307" i="6"/>
  <c r="J1290" i="6"/>
  <c r="H1197" i="6"/>
  <c r="H638" i="6"/>
  <c r="H13" i="6"/>
  <c r="H14" i="6" s="1"/>
  <c r="L442" i="6"/>
  <c r="L444" i="6" s="1"/>
  <c r="L509" i="6"/>
  <c r="H655" i="6"/>
  <c r="H2433" i="6"/>
  <c r="H2841" i="6"/>
  <c r="H2336" i="6"/>
  <c r="H2141" i="6"/>
  <c r="H2274" i="6"/>
  <c r="H2202" i="6"/>
  <c r="H1322" i="6"/>
  <c r="H2305" i="6"/>
  <c r="H998" i="6"/>
  <c r="H836" i="6"/>
  <c r="H514" i="6"/>
  <c r="H1289" i="6"/>
  <c r="H1259" i="6"/>
  <c r="H1196" i="6"/>
  <c r="H376" i="6"/>
  <c r="H900" i="6"/>
  <c r="H361" i="6"/>
  <c r="H277" i="6"/>
  <c r="H2437" i="6"/>
  <c r="H2438" i="6" s="1"/>
  <c r="H2845" i="6"/>
  <c r="H2846" i="6" s="1"/>
  <c r="H2340" i="6"/>
  <c r="H2341" i="6" s="1"/>
  <c r="H1430" i="6"/>
  <c r="H1431" i="6" s="1"/>
  <c r="H1002" i="6"/>
  <c r="H1003" i="6" s="1"/>
  <c r="H642" i="6"/>
  <c r="H643" i="6" s="1"/>
  <c r="H533" i="6"/>
  <c r="H534" i="6" s="1"/>
  <c r="H657" i="6"/>
  <c r="H658" i="6" s="1"/>
  <c r="J432" i="6"/>
  <c r="L494" i="6"/>
  <c r="H529" i="6"/>
  <c r="L918" i="6"/>
  <c r="L920" i="6" s="1"/>
  <c r="H1274" i="6"/>
  <c r="H2309" i="6"/>
  <c r="H2310" i="6" s="1"/>
  <c r="H2278" i="6"/>
  <c r="H2279" i="6" s="1"/>
  <c r="H2206" i="6"/>
  <c r="H2207" i="6" s="1"/>
  <c r="H1732" i="6"/>
  <c r="H1733" i="6" s="1"/>
  <c r="H1738" i="6" s="1"/>
  <c r="H1326" i="6"/>
  <c r="H1327" i="6" s="1"/>
  <c r="H1311" i="6"/>
  <c r="H1312" i="6" s="1"/>
  <c r="H840" i="6"/>
  <c r="H841" i="6" s="1"/>
  <c r="H518" i="6"/>
  <c r="H519" i="6" s="1"/>
  <c r="H1278" i="6"/>
  <c r="H1279" i="6" s="1"/>
  <c r="H380" i="6"/>
  <c r="H381" i="6" s="1"/>
  <c r="H1201" i="6"/>
  <c r="H1202" i="6" s="1"/>
  <c r="H210" i="6"/>
  <c r="H211" i="6" s="1"/>
  <c r="J1105" i="6"/>
  <c r="J1106" i="6" s="1"/>
  <c r="H1105" i="6"/>
  <c r="H1106" i="6" s="1"/>
  <c r="H115" i="6"/>
  <c r="H206" i="6"/>
  <c r="J246" i="6"/>
  <c r="H365" i="6"/>
  <c r="H366" i="6" s="1"/>
  <c r="L477" i="6"/>
  <c r="H1263" i="6"/>
  <c r="H1264" i="6" s="1"/>
  <c r="L307" i="6"/>
  <c r="J347" i="6"/>
  <c r="J349" i="6" s="1"/>
  <c r="H401" i="6"/>
  <c r="J679" i="6"/>
  <c r="J694" i="6"/>
  <c r="J709" i="6"/>
  <c r="J724" i="6"/>
  <c r="J739" i="6"/>
  <c r="J756" i="6"/>
  <c r="J771" i="6"/>
  <c r="J786" i="6"/>
  <c r="J801" i="6"/>
  <c r="J816" i="6"/>
  <c r="J831" i="6"/>
  <c r="H893" i="6"/>
  <c r="H936" i="6"/>
  <c r="H938" i="6" s="1"/>
  <c r="J957" i="6"/>
  <c r="H1023" i="6"/>
  <c r="J1114" i="6"/>
  <c r="L1114" i="6"/>
  <c r="H1605" i="6"/>
  <c r="H1607" i="6" s="1"/>
  <c r="J401" i="6"/>
  <c r="J568" i="6"/>
  <c r="J585" i="6"/>
  <c r="J602" i="6"/>
  <c r="J617" i="6"/>
  <c r="L679" i="6"/>
  <c r="L694" i="6"/>
  <c r="L709" i="6"/>
  <c r="L724" i="6"/>
  <c r="L739" i="6"/>
  <c r="L756" i="6"/>
  <c r="L771" i="6"/>
  <c r="L786" i="6"/>
  <c r="L801" i="6"/>
  <c r="L816" i="6"/>
  <c r="L831" i="6"/>
  <c r="J936" i="6"/>
  <c r="J938" i="6" s="1"/>
  <c r="L957" i="6"/>
  <c r="H1786" i="6"/>
  <c r="H1788" i="6" s="1"/>
  <c r="L1344" i="6"/>
  <c r="L1451" i="6"/>
  <c r="L1466" i="6"/>
  <c r="L1564" i="6"/>
  <c r="L1566" i="6" s="1"/>
  <c r="H1589" i="6"/>
  <c r="H1591" i="6" s="1"/>
  <c r="L1615" i="6"/>
  <c r="L1617" i="6" s="1"/>
  <c r="H1656" i="6"/>
  <c r="H1658" i="6" s="1"/>
  <c r="L1681" i="6"/>
  <c r="L1683" i="6" s="1"/>
  <c r="J1803" i="6"/>
  <c r="L1947" i="6"/>
  <c r="H1037" i="6"/>
  <c r="H1053" i="6"/>
  <c r="H1067" i="6"/>
  <c r="H1083" i="6"/>
  <c r="H1097" i="6"/>
  <c r="J1238" i="6"/>
  <c r="H1355" i="6"/>
  <c r="H1388" i="6"/>
  <c r="H1403" i="6"/>
  <c r="J1547" i="6"/>
  <c r="J1549" i="6" s="1"/>
  <c r="J1581" i="6"/>
  <c r="J1583" i="6" s="1"/>
  <c r="J1598" i="6"/>
  <c r="J1600" i="6" s="1"/>
  <c r="J1664" i="6"/>
  <c r="J1666" i="6" s="1"/>
  <c r="J1779" i="6"/>
  <c r="J1781" i="6" s="1"/>
  <c r="J1818" i="6"/>
  <c r="J1921" i="6"/>
  <c r="J1923" i="6" s="1"/>
  <c r="H2038" i="6"/>
  <c r="H2040" i="6" s="1"/>
  <c r="H2118" i="6"/>
  <c r="H2120" i="6" s="1"/>
  <c r="J2126" i="6"/>
  <c r="J2128" i="6" s="1"/>
  <c r="J2242" i="6"/>
  <c r="L2242" i="6"/>
  <c r="H1930" i="6"/>
  <c r="H2373" i="6"/>
  <c r="J2457" i="6"/>
  <c r="H2468" i="6"/>
  <c r="H2470" i="6" s="1"/>
  <c r="H2543" i="6"/>
  <c r="L2593" i="6"/>
  <c r="H2643" i="6"/>
  <c r="H2645" i="6" s="1"/>
  <c r="L2696" i="6"/>
  <c r="J2710" i="6"/>
  <c r="H2722" i="6"/>
  <c r="J2787" i="6"/>
  <c r="J2789" i="6" s="1"/>
  <c r="H2986" i="6"/>
  <c r="J2986" i="6"/>
  <c r="H2329" i="6"/>
  <c r="J2356" i="6"/>
  <c r="J2358" i="6" s="1"/>
  <c r="H2528" i="6"/>
  <c r="J2583" i="6"/>
  <c r="J2585" i="6" s="1"/>
  <c r="J2662" i="6"/>
  <c r="L2763" i="6"/>
  <c r="L2765" i="6" s="1"/>
  <c r="L2787" i="6"/>
  <c r="L2789" i="6" s="1"/>
  <c r="H2862" i="6"/>
  <c r="H2864" i="6" s="1"/>
  <c r="J3110" i="6"/>
  <c r="H3127" i="6"/>
  <c r="J3021" i="6"/>
  <c r="J3058" i="6"/>
  <c r="J3076" i="6"/>
  <c r="L3189" i="6"/>
  <c r="L3174" i="6"/>
  <c r="J3251" i="6"/>
  <c r="H3387" i="6"/>
  <c r="L3157" i="6"/>
  <c r="H3263" i="6"/>
  <c r="J2655" i="6" l="1"/>
  <c r="L2864" i="6"/>
  <c r="L271" i="6"/>
  <c r="L272" i="6" s="1"/>
  <c r="L109" i="6"/>
  <c r="L110" i="6" s="1"/>
  <c r="J109" i="6"/>
  <c r="J110" i="6" s="1"/>
  <c r="H663" i="6"/>
  <c r="J271" i="6"/>
  <c r="J272" i="6" s="1"/>
  <c r="J2645" i="6"/>
  <c r="J2595" i="6"/>
  <c r="L2603" i="6"/>
  <c r="L184" i="6"/>
  <c r="H2603" i="6"/>
  <c r="J2638" i="6"/>
  <c r="H2872" i="6"/>
  <c r="H2877" i="6" s="1"/>
  <c r="J2470" i="6"/>
  <c r="J13" i="6"/>
  <c r="J14" i="6" s="1"/>
  <c r="H2568" i="6"/>
  <c r="H2655" i="6"/>
  <c r="N2076" i="6"/>
  <c r="J2076" i="6"/>
  <c r="H2076" i="6"/>
  <c r="J1969" i="6"/>
  <c r="J1949" i="6"/>
  <c r="H454" i="6"/>
  <c r="H455" i="6" s="1"/>
  <c r="J454" i="6"/>
  <c r="J455" i="6" s="1"/>
  <c r="J90" i="6"/>
  <c r="H90" i="6"/>
  <c r="L90" i="6"/>
  <c r="H3379" i="6"/>
  <c r="L3379" i="6"/>
  <c r="J3379" i="6"/>
  <c r="H3085" i="6"/>
  <c r="J3085" i="6"/>
  <c r="H2980" i="6"/>
  <c r="L2980" i="6"/>
  <c r="J2980" i="6"/>
  <c r="L3168" i="6"/>
  <c r="L3169" i="6" s="1"/>
  <c r="J3168" i="6"/>
  <c r="J3169" i="6" s="1"/>
  <c r="H3168" i="6"/>
  <c r="H3169" i="6" s="1"/>
  <c r="L3151" i="6"/>
  <c r="L3152" i="6" s="1"/>
  <c r="J3151" i="6"/>
  <c r="J3152" i="6" s="1"/>
  <c r="H3151" i="6"/>
  <c r="H3152" i="6" s="1"/>
  <c r="J3278" i="6"/>
  <c r="J3279" i="6" s="1"/>
  <c r="J3285" i="6" s="1"/>
  <c r="H3278" i="6"/>
  <c r="H3279" i="6" s="1"/>
  <c r="H3285" i="6" s="1"/>
  <c r="J688" i="6"/>
  <c r="J689" i="6" s="1"/>
  <c r="H688" i="6"/>
  <c r="H689" i="6" s="1"/>
  <c r="L688" i="6"/>
  <c r="L689" i="6" s="1"/>
  <c r="J810" i="6"/>
  <c r="J811" i="6" s="1"/>
  <c r="H810" i="6"/>
  <c r="H811" i="6" s="1"/>
  <c r="L810" i="6"/>
  <c r="L811" i="6" s="1"/>
  <c r="J44" i="6"/>
  <c r="J45" i="6" s="1"/>
  <c r="H44" i="6"/>
  <c r="H45" i="6" s="1"/>
  <c r="L44" i="6"/>
  <c r="L45" i="6" s="1"/>
  <c r="H2997" i="6"/>
  <c r="L2997" i="6"/>
  <c r="J2997" i="6"/>
  <c r="L1228" i="6"/>
  <c r="H1228" i="6"/>
  <c r="J1228" i="6"/>
  <c r="J471" i="6"/>
  <c r="J472" i="6" s="1"/>
  <c r="H471" i="6"/>
  <c r="H472" i="6" s="1"/>
  <c r="L471" i="6"/>
  <c r="L472" i="6" s="1"/>
  <c r="J124" i="6"/>
  <c r="J125" i="6" s="1"/>
  <c r="H124" i="6"/>
  <c r="H125" i="6" s="1"/>
  <c r="L124" i="6"/>
  <c r="L125" i="6" s="1"/>
  <c r="J3086" i="6"/>
  <c r="H3086" i="6"/>
  <c r="L3198" i="6"/>
  <c r="L3199" i="6" s="1"/>
  <c r="J3198" i="6"/>
  <c r="J3199" i="6" s="1"/>
  <c r="H3198" i="6"/>
  <c r="H3199" i="6" s="1"/>
  <c r="H240" i="6"/>
  <c r="H241" i="6" s="1"/>
  <c r="J240" i="6"/>
  <c r="J241" i="6" s="1"/>
  <c r="L240" i="6"/>
  <c r="L241" i="6" s="1"/>
  <c r="J750" i="6"/>
  <c r="J751" i="6" s="1"/>
  <c r="H750" i="6"/>
  <c r="H751" i="6" s="1"/>
  <c r="L750" i="6"/>
  <c r="L751" i="6" s="1"/>
  <c r="J579" i="6"/>
  <c r="J580" i="6" s="1"/>
  <c r="H579" i="6"/>
  <c r="H580" i="6" s="1"/>
  <c r="L579" i="6"/>
  <c r="L580" i="6" s="1"/>
  <c r="H1414" i="6"/>
  <c r="H1415" i="6" s="1"/>
  <c r="J1414" i="6"/>
  <c r="J1415" i="6" s="1"/>
  <c r="J1338" i="6"/>
  <c r="J1339" i="6" s="1"/>
  <c r="J1346" i="6" s="1"/>
  <c r="L1338" i="6"/>
  <c r="L1339" i="6" s="1"/>
  <c r="H1338" i="6"/>
  <c r="H1339" i="6" s="1"/>
  <c r="H1346" i="6" s="1"/>
  <c r="J1216" i="6"/>
  <c r="J1217" i="6" s="1"/>
  <c r="H1216" i="6"/>
  <c r="H1217" i="6" s="1"/>
  <c r="J3104" i="6"/>
  <c r="H3104" i="6"/>
  <c r="H3380" i="6"/>
  <c r="L3380" i="6"/>
  <c r="J3380" i="6"/>
  <c r="J2452" i="6"/>
  <c r="J2453" i="6" s="1"/>
  <c r="H2452" i="6"/>
  <c r="H2453" i="6" s="1"/>
  <c r="J2664" i="6"/>
  <c r="L1949" i="6"/>
  <c r="H207" i="6"/>
  <c r="H208" i="6" s="1"/>
  <c r="H216" i="6" s="1"/>
  <c r="H2996" i="6"/>
  <c r="L2996" i="6"/>
  <c r="J2996" i="6"/>
  <c r="H2995" i="6"/>
  <c r="L2995" i="6"/>
  <c r="J2995" i="6"/>
  <c r="J3052" i="6"/>
  <c r="H3052" i="6"/>
  <c r="L3052" i="6"/>
  <c r="J3319" i="6"/>
  <c r="J3320" i="6" s="1"/>
  <c r="J3328" i="6" s="1"/>
  <c r="H3319" i="6"/>
  <c r="H3320" i="6" s="1"/>
  <c r="H3328" i="6" s="1"/>
  <c r="N3319" i="6"/>
  <c r="N3320" i="6" s="1"/>
  <c r="N3328" i="6" s="1"/>
  <c r="L3319" i="6"/>
  <c r="L3320" i="6" s="1"/>
  <c r="L3328" i="6" s="1"/>
  <c r="H411" i="6"/>
  <c r="L411" i="6"/>
  <c r="J411" i="6"/>
  <c r="H986" i="6"/>
  <c r="H987" i="6" s="1"/>
  <c r="J986" i="6"/>
  <c r="J987" i="6" s="1"/>
  <c r="J962" i="6"/>
  <c r="J963" i="6" s="1"/>
  <c r="J969" i="6" s="1"/>
  <c r="H962" i="6"/>
  <c r="H963" i="6" s="1"/>
  <c r="H969" i="6" s="1"/>
  <c r="H1092" i="6"/>
  <c r="H1093" i="6" s="1"/>
  <c r="J1092" i="6"/>
  <c r="J1093" i="6" s="1"/>
  <c r="J1138" i="6"/>
  <c r="J1139" i="6" s="1"/>
  <c r="H1138" i="6"/>
  <c r="H1139" i="6" s="1"/>
  <c r="H1797" i="6"/>
  <c r="H1798" i="6" s="1"/>
  <c r="L1797" i="6"/>
  <c r="L1798" i="6" s="1"/>
  <c r="J1797" i="6"/>
  <c r="J1798" i="6" s="1"/>
  <c r="J1992" i="6"/>
  <c r="J1993" i="6" s="1"/>
  <c r="H1992" i="6"/>
  <c r="H1993" i="6" s="1"/>
  <c r="H1852" i="6"/>
  <c r="H1853" i="6" s="1"/>
  <c r="H1859" i="6" s="1"/>
  <c r="J1852" i="6"/>
  <c r="J1853" i="6" s="1"/>
  <c r="H2537" i="6"/>
  <c r="H2538" i="6" s="1"/>
  <c r="L2537" i="6"/>
  <c r="L2538" i="6" s="1"/>
  <c r="J2537" i="6"/>
  <c r="J2538" i="6" s="1"/>
  <c r="L2595" i="6"/>
  <c r="J221" i="6"/>
  <c r="H221" i="6"/>
  <c r="L221" i="6"/>
  <c r="H94" i="6"/>
  <c r="H95" i="6" s="1"/>
  <c r="J94" i="6"/>
  <c r="J95" i="6" s="1"/>
  <c r="L94" i="6"/>
  <c r="L95" i="6" s="1"/>
  <c r="H2978" i="6"/>
  <c r="L2978" i="6"/>
  <c r="J2978" i="6"/>
  <c r="J3068" i="6"/>
  <c r="H3068" i="6"/>
  <c r="L3068" i="6"/>
  <c r="J3361" i="6"/>
  <c r="H3361" i="6"/>
  <c r="N3361" i="6"/>
  <c r="L3361" i="6"/>
  <c r="H2977" i="6"/>
  <c r="L2977" i="6"/>
  <c r="J2977" i="6"/>
  <c r="J3067" i="6"/>
  <c r="H3067" i="6"/>
  <c r="L3067" i="6"/>
  <c r="H2962" i="6"/>
  <c r="L2962" i="6"/>
  <c r="J2962" i="6"/>
  <c r="J3105" i="6"/>
  <c r="H3105" i="6"/>
  <c r="H3033" i="6"/>
  <c r="J3033" i="6"/>
  <c r="L3136" i="6"/>
  <c r="L3137" i="6" s="1"/>
  <c r="J3136" i="6"/>
  <c r="J3137" i="6" s="1"/>
  <c r="H3136" i="6"/>
  <c r="H3137" i="6" s="1"/>
  <c r="J3258" i="6"/>
  <c r="J3259" i="6" s="1"/>
  <c r="J3265" i="6" s="1"/>
  <c r="H3258" i="6"/>
  <c r="H3259" i="6" s="1"/>
  <c r="H3265" i="6" s="1"/>
  <c r="H3381" i="6"/>
  <c r="L3381" i="6"/>
  <c r="J3381" i="6"/>
  <c r="N3363" i="6"/>
  <c r="L3363" i="6"/>
  <c r="J3363" i="6"/>
  <c r="H3363" i="6"/>
  <c r="J673" i="6"/>
  <c r="J674" i="6" s="1"/>
  <c r="H673" i="6"/>
  <c r="H674" i="6" s="1"/>
  <c r="L673" i="6"/>
  <c r="L674" i="6" s="1"/>
  <c r="J733" i="6"/>
  <c r="J734" i="6" s="1"/>
  <c r="H733" i="6"/>
  <c r="H734" i="6" s="1"/>
  <c r="L733" i="6"/>
  <c r="L734" i="6" s="1"/>
  <c r="J795" i="6"/>
  <c r="J796" i="6" s="1"/>
  <c r="H795" i="6"/>
  <c r="H796" i="6" s="1"/>
  <c r="L795" i="6"/>
  <c r="L796" i="6" s="1"/>
  <c r="J1122" i="6"/>
  <c r="J1123" i="6" s="1"/>
  <c r="H1122" i="6"/>
  <c r="H1123" i="6" s="1"/>
  <c r="J562" i="6"/>
  <c r="J563" i="6" s="1"/>
  <c r="H562" i="6"/>
  <c r="H563" i="6" s="1"/>
  <c r="L562" i="6"/>
  <c r="L563" i="6" s="1"/>
  <c r="H626" i="6"/>
  <c r="H627" i="6" s="1"/>
  <c r="J626" i="6"/>
  <c r="J627" i="6" s="1"/>
  <c r="H1295" i="6"/>
  <c r="H1296" i="6" s="1"/>
  <c r="J1295" i="6"/>
  <c r="J1296" i="6" s="1"/>
  <c r="H1078" i="6"/>
  <c r="H1079" i="6" s="1"/>
  <c r="J1078" i="6"/>
  <c r="J1079" i="6" s="1"/>
  <c r="J2190" i="6"/>
  <c r="J2191" i="6" s="1"/>
  <c r="H2190" i="6"/>
  <c r="H2191" i="6" s="1"/>
  <c r="J1184" i="6"/>
  <c r="J1185" i="6" s="1"/>
  <c r="H1184" i="6"/>
  <c r="H1185" i="6" s="1"/>
  <c r="J1349" i="6"/>
  <c r="J1350" i="6" s="1"/>
  <c r="J1357" i="6" s="1"/>
  <c r="H1349" i="6"/>
  <c r="H1350" i="6" s="1"/>
  <c r="H1357" i="6" s="1"/>
  <c r="L1349" i="6"/>
  <c r="L1350" i="6" s="1"/>
  <c r="L1357" i="6" s="1"/>
  <c r="J1978" i="6"/>
  <c r="J1979" i="6" s="1"/>
  <c r="H1978" i="6"/>
  <c r="H1979" i="6" s="1"/>
  <c r="J2236" i="6"/>
  <c r="J2237" i="6" s="1"/>
  <c r="H2236" i="6"/>
  <c r="H2237" i="6" s="1"/>
  <c r="L2236" i="6"/>
  <c r="L2237" i="6" s="1"/>
  <c r="H2398" i="6"/>
  <c r="H2399" i="6" s="1"/>
  <c r="L2398" i="6"/>
  <c r="L2399" i="6" s="1"/>
  <c r="J2398" i="6"/>
  <c r="J2399" i="6" s="1"/>
  <c r="L870" i="6"/>
  <c r="L871" i="6" s="1"/>
  <c r="J870" i="6"/>
  <c r="J871" i="6" s="1"/>
  <c r="H870" i="6"/>
  <c r="H871" i="6" s="1"/>
  <c r="L2367" i="6"/>
  <c r="L2368" i="6" s="1"/>
  <c r="J2367" i="6"/>
  <c r="J2368" i="6" s="1"/>
  <c r="H2367" i="6"/>
  <c r="H2368" i="6" s="1"/>
  <c r="J1119" i="6"/>
  <c r="J1120" i="6" s="1"/>
  <c r="H1119" i="6"/>
  <c r="H1120" i="6" s="1"/>
  <c r="J225" i="6"/>
  <c r="J226" i="6" s="1"/>
  <c r="H225" i="6"/>
  <c r="H226" i="6" s="1"/>
  <c r="L225" i="6"/>
  <c r="L226" i="6" s="1"/>
  <c r="H2960" i="6"/>
  <c r="L2960" i="6"/>
  <c r="J2960" i="6"/>
  <c r="J3050" i="6"/>
  <c r="H3050" i="6"/>
  <c r="L3050" i="6"/>
  <c r="H3014" i="6"/>
  <c r="J3014" i="6"/>
  <c r="H2959" i="6"/>
  <c r="L2959" i="6"/>
  <c r="J2959" i="6"/>
  <c r="J3049" i="6"/>
  <c r="H3049" i="6"/>
  <c r="L3049" i="6"/>
  <c r="L3307" i="6"/>
  <c r="L3308" i="6" s="1"/>
  <c r="L3316" i="6" s="1"/>
  <c r="J3307" i="6"/>
  <c r="J3308" i="6" s="1"/>
  <c r="J3316" i="6" s="1"/>
  <c r="H3307" i="6"/>
  <c r="H3308" i="6" s="1"/>
  <c r="H3316" i="6" s="1"/>
  <c r="N3307" i="6"/>
  <c r="N3308" i="6" s="1"/>
  <c r="N3316" i="6" s="1"/>
  <c r="J3016" i="6"/>
  <c r="H3016" i="6"/>
  <c r="L3183" i="6"/>
  <c r="L3184" i="6" s="1"/>
  <c r="J3183" i="6"/>
  <c r="J3184" i="6" s="1"/>
  <c r="H3183" i="6"/>
  <c r="H3184" i="6" s="1"/>
  <c r="L3121" i="6"/>
  <c r="L3122" i="6" s="1"/>
  <c r="J3121" i="6"/>
  <c r="J3122" i="6" s="1"/>
  <c r="H3121" i="6"/>
  <c r="H3122" i="6" s="1"/>
  <c r="J3213" i="6"/>
  <c r="J3214" i="6" s="1"/>
  <c r="H3213" i="6"/>
  <c r="H3214" i="6" s="1"/>
  <c r="H3331" i="6"/>
  <c r="H3332" i="6" s="1"/>
  <c r="H3340" i="6" s="1"/>
  <c r="N3331" i="6"/>
  <c r="N3332" i="6" s="1"/>
  <c r="N3340" i="6" s="1"/>
  <c r="L3331" i="6"/>
  <c r="L3332" i="6" s="1"/>
  <c r="L3340" i="6" s="1"/>
  <c r="J3331" i="6"/>
  <c r="J3332" i="6" s="1"/>
  <c r="J3340" i="6" s="1"/>
  <c r="N3343" i="6"/>
  <c r="N3344" i="6" s="1"/>
  <c r="N3352" i="6" s="1"/>
  <c r="L3343" i="6"/>
  <c r="L3344" i="6" s="1"/>
  <c r="L3352" i="6" s="1"/>
  <c r="J3343" i="6"/>
  <c r="J3344" i="6" s="1"/>
  <c r="J3352" i="6" s="1"/>
  <c r="H3343" i="6"/>
  <c r="H3344" i="6" s="1"/>
  <c r="H3352" i="6" s="1"/>
  <c r="H159" i="6"/>
  <c r="H160" i="6" s="1"/>
  <c r="J159" i="6"/>
  <c r="J160" i="6" s="1"/>
  <c r="H286" i="6"/>
  <c r="H287" i="6" s="1"/>
  <c r="J286" i="6"/>
  <c r="J287" i="6" s="1"/>
  <c r="L286" i="6"/>
  <c r="L287" i="6" s="1"/>
  <c r="J718" i="6"/>
  <c r="J719" i="6" s="1"/>
  <c r="H718" i="6"/>
  <c r="H719" i="6" s="1"/>
  <c r="L718" i="6"/>
  <c r="L719" i="6" s="1"/>
  <c r="J780" i="6"/>
  <c r="J781" i="6" s="1"/>
  <c r="H780" i="6"/>
  <c r="H781" i="6" s="1"/>
  <c r="L780" i="6"/>
  <c r="L781" i="6" s="1"/>
  <c r="J951" i="6"/>
  <c r="J952" i="6" s="1"/>
  <c r="J959" i="6" s="1"/>
  <c r="H951" i="6"/>
  <c r="H952" i="6" s="1"/>
  <c r="H959" i="6" s="1"/>
  <c r="L951" i="6"/>
  <c r="L952" i="6" s="1"/>
  <c r="L959" i="6" s="1"/>
  <c r="J301" i="6"/>
  <c r="J302" i="6" s="1"/>
  <c r="H301" i="6"/>
  <c r="H302" i="6" s="1"/>
  <c r="L301" i="6"/>
  <c r="L302" i="6" s="1"/>
  <c r="J611" i="6"/>
  <c r="J612" i="6" s="1"/>
  <c r="H611" i="6"/>
  <c r="H612" i="6" s="1"/>
  <c r="L611" i="6"/>
  <c r="L612" i="6" s="1"/>
  <c r="H548" i="6"/>
  <c r="H549" i="6" s="1"/>
  <c r="J548" i="6"/>
  <c r="J549" i="6" s="1"/>
  <c r="H1032" i="6"/>
  <c r="H1033" i="6" s="1"/>
  <c r="J1032" i="6"/>
  <c r="J1033" i="6" s="1"/>
  <c r="H1475" i="6"/>
  <c r="H1476" i="6" s="1"/>
  <c r="J1475" i="6"/>
  <c r="J1476" i="6" s="1"/>
  <c r="J1460" i="6"/>
  <c r="J1461" i="6" s="1"/>
  <c r="L1460" i="6"/>
  <c r="L1461" i="6" s="1"/>
  <c r="H1460" i="6"/>
  <c r="H1461" i="6" s="1"/>
  <c r="J1168" i="6"/>
  <c r="J1169" i="6" s="1"/>
  <c r="H1168" i="6"/>
  <c r="H1169" i="6" s="1"/>
  <c r="J1892" i="6"/>
  <c r="J1893" i="6" s="1"/>
  <c r="H1892" i="6"/>
  <c r="H1893" i="6" s="1"/>
  <c r="J2221" i="6"/>
  <c r="J2222" i="6" s="1"/>
  <c r="H2221" i="6"/>
  <c r="H2222" i="6" s="1"/>
  <c r="L2221" i="6"/>
  <c r="L2222" i="6" s="1"/>
  <c r="H2253" i="6"/>
  <c r="H2254" i="6" s="1"/>
  <c r="J2253" i="6"/>
  <c r="J2254" i="6" s="1"/>
  <c r="H2324" i="6"/>
  <c r="H2325" i="6" s="1"/>
  <c r="J2324" i="6"/>
  <c r="J2325" i="6" s="1"/>
  <c r="L855" i="6"/>
  <c r="L856" i="6" s="1"/>
  <c r="H855" i="6"/>
  <c r="H856" i="6" s="1"/>
  <c r="J855" i="6"/>
  <c r="J856" i="6" s="1"/>
  <c r="H1062" i="6"/>
  <c r="H1063" i="6" s="1"/>
  <c r="J1062" i="6"/>
  <c r="J1063" i="6" s="1"/>
  <c r="J883" i="6"/>
  <c r="H883" i="6"/>
  <c r="L883" i="6"/>
  <c r="H530" i="6"/>
  <c r="H531" i="6" s="1"/>
  <c r="H2979" i="6"/>
  <c r="L2979" i="6"/>
  <c r="J2979" i="6"/>
  <c r="J3069" i="6"/>
  <c r="H3069" i="6"/>
  <c r="L3069" i="6"/>
  <c r="H3362" i="6"/>
  <c r="N3362" i="6"/>
  <c r="L3362" i="6"/>
  <c r="J3362" i="6"/>
  <c r="J1397" i="6"/>
  <c r="J1398" i="6" s="1"/>
  <c r="H1397" i="6"/>
  <c r="H1398" i="6" s="1"/>
  <c r="L1397" i="6"/>
  <c r="L1398" i="6" s="1"/>
  <c r="H2522" i="6"/>
  <c r="H2523" i="6" s="1"/>
  <c r="L2522" i="6"/>
  <c r="L2523" i="6" s="1"/>
  <c r="J2522" i="6"/>
  <c r="J2523" i="6" s="1"/>
  <c r="J2552" i="6"/>
  <c r="J2553" i="6" s="1"/>
  <c r="H2552" i="6"/>
  <c r="H2553" i="6" s="1"/>
  <c r="J24" i="6"/>
  <c r="H24" i="6"/>
  <c r="H901" i="6"/>
  <c r="H902" i="6" s="1"/>
  <c r="H910" i="6" s="1"/>
  <c r="L297" i="6"/>
  <c r="H297" i="6"/>
  <c r="J297" i="6"/>
  <c r="J2363" i="6"/>
  <c r="H2363" i="6"/>
  <c r="L2363" i="6"/>
  <c r="H1164" i="6"/>
  <c r="J1164" i="6"/>
  <c r="H1291" i="6"/>
  <c r="H1293" i="6" s="1"/>
  <c r="L467" i="6"/>
  <c r="H467" i="6"/>
  <c r="J467" i="6"/>
  <c r="J544" i="6"/>
  <c r="H544" i="6"/>
  <c r="L607" i="6"/>
  <c r="J607" i="6"/>
  <c r="H607" i="6"/>
  <c r="L699" i="6"/>
  <c r="J699" i="6"/>
  <c r="H699" i="6"/>
  <c r="L761" i="6"/>
  <c r="J761" i="6"/>
  <c r="H761" i="6"/>
  <c r="L821" i="6"/>
  <c r="J821" i="6"/>
  <c r="H821" i="6"/>
  <c r="J1044" i="6"/>
  <c r="H1044" i="6"/>
  <c r="J1410" i="6"/>
  <c r="H1410" i="6"/>
  <c r="J1441" i="6"/>
  <c r="H1441" i="6"/>
  <c r="L1441" i="6"/>
  <c r="L1808" i="6"/>
  <c r="H1808" i="6"/>
  <c r="J1808" i="6"/>
  <c r="H2203" i="6"/>
  <c r="H2204" i="6" s="1"/>
  <c r="H2212" i="6" s="1"/>
  <c r="H1988" i="6"/>
  <c r="J1988" i="6"/>
  <c r="L2973" i="6"/>
  <c r="J2973" i="6"/>
  <c r="H2973" i="6"/>
  <c r="L2232" i="6"/>
  <c r="J2232" i="6"/>
  <c r="H2232" i="6"/>
  <c r="L2503" i="6"/>
  <c r="J2503" i="6"/>
  <c r="H2503" i="6"/>
  <c r="H2337" i="6"/>
  <c r="H2338" i="6" s="1"/>
  <c r="J3098" i="6"/>
  <c r="H3098" i="6"/>
  <c r="J3117" i="6"/>
  <c r="H3117" i="6"/>
  <c r="L3117" i="6"/>
  <c r="L3045" i="6"/>
  <c r="J3045" i="6"/>
  <c r="H3045" i="6"/>
  <c r="H3164" i="6"/>
  <c r="L3164" i="6"/>
  <c r="J3164" i="6"/>
  <c r="H3225" i="6"/>
  <c r="L3225" i="6"/>
  <c r="J3225" i="6"/>
  <c r="J1013" i="6"/>
  <c r="H1013" i="6"/>
  <c r="L1013" i="6"/>
  <c r="J332" i="6"/>
  <c r="J333" i="6" s="1"/>
  <c r="H332" i="6"/>
  <c r="H333" i="6" s="1"/>
  <c r="J282" i="6"/>
  <c r="H282" i="6"/>
  <c r="L282" i="6"/>
  <c r="L236" i="6"/>
  <c r="J236" i="6"/>
  <c r="H236" i="6"/>
  <c r="J1393" i="6"/>
  <c r="H1393" i="6"/>
  <c r="L1393" i="6"/>
  <c r="H2422" i="6"/>
  <c r="H2423" i="6" s="1"/>
  <c r="H2894" i="6"/>
  <c r="H2895" i="6" s="1"/>
  <c r="L40" i="6"/>
  <c r="J40" i="6"/>
  <c r="H40" i="6"/>
  <c r="J74" i="6"/>
  <c r="H74" i="6"/>
  <c r="J1028" i="6"/>
  <c r="H1028" i="6"/>
  <c r="L422" i="6"/>
  <c r="J422" i="6"/>
  <c r="H422" i="6"/>
  <c r="H377" i="6"/>
  <c r="H378" i="6" s="1"/>
  <c r="H386" i="6" s="1"/>
  <c r="H1198" i="6"/>
  <c r="H1199" i="6" s="1"/>
  <c r="L2955" i="6"/>
  <c r="J2955" i="6"/>
  <c r="H2955" i="6"/>
  <c r="L484" i="6"/>
  <c r="H484" i="6"/>
  <c r="J484" i="6"/>
  <c r="L558" i="6"/>
  <c r="J558" i="6"/>
  <c r="H558" i="6"/>
  <c r="J622" i="6"/>
  <c r="H622" i="6"/>
  <c r="L714" i="6"/>
  <c r="J714" i="6"/>
  <c r="H714" i="6"/>
  <c r="L776" i="6"/>
  <c r="J776" i="6"/>
  <c r="H776" i="6"/>
  <c r="H837" i="6"/>
  <c r="H838" i="6" s="1"/>
  <c r="H846" i="6" s="1"/>
  <c r="J1058" i="6"/>
  <c r="H1058" i="6"/>
  <c r="J2548" i="6"/>
  <c r="H2548" i="6"/>
  <c r="J1456" i="6"/>
  <c r="L1456" i="6"/>
  <c r="H1456" i="6"/>
  <c r="L2727" i="6"/>
  <c r="J2727" i="6"/>
  <c r="H2727" i="6"/>
  <c r="L2533" i="6"/>
  <c r="J2533" i="6"/>
  <c r="H2533" i="6"/>
  <c r="H2173" i="6"/>
  <c r="J2173" i="6"/>
  <c r="J1864" i="6"/>
  <c r="H1864" i="6"/>
  <c r="J2249" i="6"/>
  <c r="H2249" i="6"/>
  <c r="J3291" i="6"/>
  <c r="H3291" i="6"/>
  <c r="H2703" i="6"/>
  <c r="L2703" i="6"/>
  <c r="J2703" i="6"/>
  <c r="H3147" i="6"/>
  <c r="L3147" i="6"/>
  <c r="J3147" i="6"/>
  <c r="J3132" i="6"/>
  <c r="H3132" i="6"/>
  <c r="L3132" i="6"/>
  <c r="L3063" i="6"/>
  <c r="J3063" i="6"/>
  <c r="H3063" i="6"/>
  <c r="H3179" i="6"/>
  <c r="L3179" i="6"/>
  <c r="J3179" i="6"/>
  <c r="H3241" i="6"/>
  <c r="J3241" i="6"/>
  <c r="J318" i="6"/>
  <c r="J319" i="6" s="1"/>
  <c r="H318" i="6"/>
  <c r="H319" i="6" s="1"/>
  <c r="J1292" i="6"/>
  <c r="J1293" i="6" s="1"/>
  <c r="H1427" i="6"/>
  <c r="H1428" i="6" s="1"/>
  <c r="J2448" i="6"/>
  <c r="H2448" i="6"/>
  <c r="L3229" i="6"/>
  <c r="J3229" i="6"/>
  <c r="H3229" i="6"/>
  <c r="H395" i="6"/>
  <c r="H396" i="6" s="1"/>
  <c r="J395" i="6"/>
  <c r="J396" i="6" s="1"/>
  <c r="L395" i="6"/>
  <c r="L396" i="6" s="1"/>
  <c r="L887" i="6"/>
  <c r="L888" i="6" s="1"/>
  <c r="J887" i="6"/>
  <c r="J888" i="6" s="1"/>
  <c r="H887" i="6"/>
  <c r="H888" i="6" s="1"/>
  <c r="J2382" i="6"/>
  <c r="J2383" i="6" s="1"/>
  <c r="H2382" i="6"/>
  <c r="H2383" i="6" s="1"/>
  <c r="H1275" i="6"/>
  <c r="H1276" i="6" s="1"/>
  <c r="H1284" i="6" s="1"/>
  <c r="L406" i="6"/>
  <c r="J406" i="6"/>
  <c r="H406" i="6"/>
  <c r="J137" i="6"/>
  <c r="H137" i="6"/>
  <c r="L137" i="6"/>
  <c r="N137" i="6"/>
  <c r="H28" i="6"/>
  <c r="H29" i="6" s="1"/>
  <c r="J28" i="6"/>
  <c r="J29" i="6" s="1"/>
  <c r="J3087" i="6"/>
  <c r="H3087" i="6"/>
  <c r="H3015" i="6"/>
  <c r="J3015" i="6"/>
  <c r="L105" i="6"/>
  <c r="J105" i="6"/>
  <c r="H105" i="6"/>
  <c r="H155" i="6"/>
  <c r="J155" i="6"/>
  <c r="J851" i="6"/>
  <c r="H851" i="6"/>
  <c r="L851" i="6"/>
  <c r="H1134" i="6"/>
  <c r="J1134" i="6"/>
  <c r="H1243" i="6"/>
  <c r="J1243" i="6"/>
  <c r="J314" i="6"/>
  <c r="H314" i="6"/>
  <c r="L499" i="6"/>
  <c r="H499" i="6"/>
  <c r="J499" i="6"/>
  <c r="L575" i="6"/>
  <c r="J575" i="6"/>
  <c r="H575" i="6"/>
  <c r="L669" i="6"/>
  <c r="J669" i="6"/>
  <c r="H669" i="6"/>
  <c r="L729" i="6"/>
  <c r="J729" i="6"/>
  <c r="H729" i="6"/>
  <c r="L791" i="6"/>
  <c r="J791" i="6"/>
  <c r="H791" i="6"/>
  <c r="H982" i="6"/>
  <c r="J982" i="6"/>
  <c r="J1074" i="6"/>
  <c r="H1074" i="6"/>
  <c r="H2306" i="6"/>
  <c r="H2307" i="6" s="1"/>
  <c r="H2315" i="6" s="1"/>
  <c r="J1471" i="6"/>
  <c r="H1471" i="6"/>
  <c r="J2161" i="6"/>
  <c r="H2161" i="6"/>
  <c r="L2161" i="6"/>
  <c r="H1888" i="6"/>
  <c r="J1888" i="6"/>
  <c r="H2275" i="6"/>
  <c r="H2276" i="6" s="1"/>
  <c r="H2142" i="6"/>
  <c r="H2143" i="6" s="1"/>
  <c r="J2378" i="6"/>
  <c r="H2378" i="6"/>
  <c r="J2739" i="6"/>
  <c r="H2739" i="6"/>
  <c r="H2842" i="6"/>
  <c r="H2843" i="6" s="1"/>
  <c r="H2434" i="6"/>
  <c r="H2435" i="6" s="1"/>
  <c r="L3357" i="6"/>
  <c r="J3357" i="6"/>
  <c r="H3357" i="6"/>
  <c r="N3357" i="6"/>
  <c r="J3081" i="6"/>
  <c r="H3081" i="6"/>
  <c r="H3194" i="6"/>
  <c r="L3194" i="6"/>
  <c r="J3194" i="6"/>
  <c r="L267" i="6"/>
  <c r="J267" i="6"/>
  <c r="H267" i="6"/>
  <c r="H1180" i="6"/>
  <c r="J1180" i="6"/>
  <c r="H1308" i="6"/>
  <c r="H1309" i="6" s="1"/>
  <c r="H1518" i="6"/>
  <c r="H1519" i="6" s="1"/>
  <c r="J2689" i="6"/>
  <c r="H2689" i="6"/>
  <c r="L2689" i="6"/>
  <c r="J1213" i="6"/>
  <c r="J1214" i="6" s="1"/>
  <c r="J866" i="6"/>
  <c r="H866" i="6"/>
  <c r="L866" i="6"/>
  <c r="L120" i="6"/>
  <c r="J120" i="6"/>
  <c r="H120" i="6"/>
  <c r="H78" i="6"/>
  <c r="H79" i="6" s="1"/>
  <c r="J78" i="6"/>
  <c r="J79" i="6" s="1"/>
  <c r="J3031" i="6"/>
  <c r="H3031" i="6"/>
  <c r="H3103" i="6"/>
  <c r="J3103" i="6"/>
  <c r="J3013" i="6"/>
  <c r="H3013" i="6"/>
  <c r="J3030" i="6"/>
  <c r="H3030" i="6"/>
  <c r="J3102" i="6"/>
  <c r="H3102" i="6"/>
  <c r="L3230" i="6"/>
  <c r="J3230" i="6"/>
  <c r="H3230" i="6"/>
  <c r="H2998" i="6"/>
  <c r="L2998" i="6"/>
  <c r="J2998" i="6"/>
  <c r="J3070" i="6"/>
  <c r="H3070" i="6"/>
  <c r="L3070" i="6"/>
  <c r="J3088" i="6"/>
  <c r="H3088" i="6"/>
  <c r="J3246" i="6"/>
  <c r="H3246" i="6"/>
  <c r="H3268" i="6"/>
  <c r="H3269" i="6" s="1"/>
  <c r="H3275" i="6" s="1"/>
  <c r="J3268" i="6"/>
  <c r="J3269" i="6" s="1"/>
  <c r="J3275" i="6" s="1"/>
  <c r="J3295" i="6"/>
  <c r="J3296" i="6" s="1"/>
  <c r="H3295" i="6"/>
  <c r="H3296" i="6" s="1"/>
  <c r="H9" i="6"/>
  <c r="J9" i="6"/>
  <c r="L9" i="6"/>
  <c r="H255" i="6"/>
  <c r="H256" i="6" s="1"/>
  <c r="J255" i="6"/>
  <c r="J256" i="6" s="1"/>
  <c r="J703" i="6"/>
  <c r="J704" i="6" s="1"/>
  <c r="H703" i="6"/>
  <c r="H704" i="6" s="1"/>
  <c r="L703" i="6"/>
  <c r="L704" i="6" s="1"/>
  <c r="J765" i="6"/>
  <c r="J766" i="6" s="1"/>
  <c r="H765" i="6"/>
  <c r="H766" i="6" s="1"/>
  <c r="L765" i="6"/>
  <c r="L766" i="6" s="1"/>
  <c r="J825" i="6"/>
  <c r="J826" i="6" s="1"/>
  <c r="H825" i="6"/>
  <c r="H826" i="6" s="1"/>
  <c r="L825" i="6"/>
  <c r="L826" i="6" s="1"/>
  <c r="N141" i="6"/>
  <c r="N142" i="6" s="1"/>
  <c r="L141" i="6"/>
  <c r="L142" i="6" s="1"/>
  <c r="H141" i="6"/>
  <c r="H142" i="6" s="1"/>
  <c r="J141" i="6"/>
  <c r="J142" i="6" s="1"/>
  <c r="J596" i="6"/>
  <c r="J597" i="6" s="1"/>
  <c r="H596" i="6"/>
  <c r="H597" i="6" s="1"/>
  <c r="L596" i="6"/>
  <c r="L597" i="6" s="1"/>
  <c r="H426" i="6"/>
  <c r="H427" i="6" s="1"/>
  <c r="L426" i="6"/>
  <c r="L427" i="6" s="1"/>
  <c r="J426" i="6"/>
  <c r="J427" i="6" s="1"/>
  <c r="H1232" i="6"/>
  <c r="H1233" i="6" s="1"/>
  <c r="L1232" i="6"/>
  <c r="L1233" i="6" s="1"/>
  <c r="J1232" i="6"/>
  <c r="J1233" i="6" s="1"/>
  <c r="H1812" i="6"/>
  <c r="H1813" i="6" s="1"/>
  <c r="L1812" i="6"/>
  <c r="L1813" i="6" s="1"/>
  <c r="J1812" i="6"/>
  <c r="J1813" i="6" s="1"/>
  <c r="L1017" i="6"/>
  <c r="L1018" i="6" s="1"/>
  <c r="J1017" i="6"/>
  <c r="J1018" i="6" s="1"/>
  <c r="H1017" i="6"/>
  <c r="H1018" i="6" s="1"/>
  <c r="H1108" i="6"/>
  <c r="H1109" i="6" s="1"/>
  <c r="H1116" i="6" s="1"/>
  <c r="J1108" i="6"/>
  <c r="J1109" i="6" s="1"/>
  <c r="J1116" i="6" s="1"/>
  <c r="L1108" i="6"/>
  <c r="L1109" i="6" s="1"/>
  <c r="J1445" i="6"/>
  <c r="J1446" i="6" s="1"/>
  <c r="L1445" i="6"/>
  <c r="L1446" i="6" s="1"/>
  <c r="H1445" i="6"/>
  <c r="H1446" i="6" s="1"/>
  <c r="J1154" i="6"/>
  <c r="J1155" i="6" s="1"/>
  <c r="H1154" i="6"/>
  <c r="H1155" i="6" s="1"/>
  <c r="J1247" i="6"/>
  <c r="J1248" i="6" s="1"/>
  <c r="H1247" i="6"/>
  <c r="H1248" i="6" s="1"/>
  <c r="H1868" i="6"/>
  <c r="H1869" i="6" s="1"/>
  <c r="J1868" i="6"/>
  <c r="J1869" i="6" s="1"/>
  <c r="J1932" i="6"/>
  <c r="J1933" i="6" s="1"/>
  <c r="H1932" i="6"/>
  <c r="H1933" i="6" s="1"/>
  <c r="J3245" i="6"/>
  <c r="H3245" i="6"/>
  <c r="H410" i="6"/>
  <c r="J410" i="6"/>
  <c r="L410" i="6"/>
  <c r="H1048" i="6"/>
  <c r="H1049" i="6" s="1"/>
  <c r="J1048" i="6"/>
  <c r="J1049" i="6" s="1"/>
  <c r="L391" i="6"/>
  <c r="J391" i="6"/>
  <c r="H391" i="6"/>
  <c r="H2961" i="6"/>
  <c r="L2961" i="6"/>
  <c r="J2961" i="6"/>
  <c r="J3051" i="6"/>
  <c r="H3051" i="6"/>
  <c r="L3051" i="6"/>
  <c r="J3032" i="6"/>
  <c r="H3032" i="6"/>
  <c r="J1382" i="6"/>
  <c r="J1383" i="6" s="1"/>
  <c r="H1382" i="6"/>
  <c r="H1383" i="6" s="1"/>
  <c r="L1382" i="6"/>
  <c r="L1383" i="6" s="1"/>
  <c r="H2507" i="6"/>
  <c r="H2508" i="6" s="1"/>
  <c r="L2507" i="6"/>
  <c r="L2508" i="6" s="1"/>
  <c r="J2507" i="6"/>
  <c r="J2508" i="6" s="1"/>
  <c r="J328" i="6"/>
  <c r="H328" i="6"/>
  <c r="L2991" i="6"/>
  <c r="J2991" i="6"/>
  <c r="H2991" i="6"/>
  <c r="H362" i="6"/>
  <c r="H363" i="6" s="1"/>
  <c r="H251" i="6"/>
  <c r="J251" i="6"/>
  <c r="L1793" i="6"/>
  <c r="H1793" i="6"/>
  <c r="J1793" i="6"/>
  <c r="H1150" i="6"/>
  <c r="J1150" i="6"/>
  <c r="H1260" i="6"/>
  <c r="H1261" i="6" s="1"/>
  <c r="L450" i="6"/>
  <c r="H450" i="6"/>
  <c r="J450" i="6"/>
  <c r="H515" i="6"/>
  <c r="H516" i="6" s="1"/>
  <c r="H524" i="6" s="1"/>
  <c r="L592" i="6"/>
  <c r="J592" i="6"/>
  <c r="H592" i="6"/>
  <c r="L684" i="6"/>
  <c r="J684" i="6"/>
  <c r="H684" i="6"/>
  <c r="L746" i="6"/>
  <c r="J746" i="6"/>
  <c r="H746" i="6"/>
  <c r="L806" i="6"/>
  <c r="J806" i="6"/>
  <c r="H806" i="6"/>
  <c r="H999" i="6"/>
  <c r="H1000" i="6" s="1"/>
  <c r="J1088" i="6"/>
  <c r="H1088" i="6"/>
  <c r="H1323" i="6"/>
  <c r="H1324" i="6" s="1"/>
  <c r="J1496" i="6"/>
  <c r="H1496" i="6"/>
  <c r="J2186" i="6"/>
  <c r="H2186" i="6"/>
  <c r="H1974" i="6"/>
  <c r="J1974" i="6"/>
  <c r="L2518" i="6"/>
  <c r="J2518" i="6"/>
  <c r="H2518" i="6"/>
  <c r="L2217" i="6"/>
  <c r="J2217" i="6"/>
  <c r="H2217" i="6"/>
  <c r="L2394" i="6"/>
  <c r="J2394" i="6"/>
  <c r="H2394" i="6"/>
  <c r="J2320" i="6"/>
  <c r="H2320" i="6"/>
  <c r="J3009" i="6"/>
  <c r="H3009" i="6"/>
  <c r="L2715" i="6"/>
  <c r="J2715" i="6"/>
  <c r="H2715" i="6"/>
  <c r="H3026" i="6"/>
  <c r="J3026" i="6"/>
  <c r="L3375" i="6"/>
  <c r="J3375" i="6"/>
  <c r="H3375" i="6"/>
  <c r="H3209" i="6"/>
  <c r="J3209" i="6"/>
  <c r="L1530" i="6"/>
  <c r="L1531" i="6" s="1"/>
  <c r="L1539" i="6" s="1"/>
  <c r="H1530" i="6"/>
  <c r="H1531" i="6" s="1"/>
  <c r="H1539" i="6" s="1"/>
  <c r="N1530" i="6"/>
  <c r="N1531" i="6" s="1"/>
  <c r="N1539" i="6" s="1"/>
  <c r="J1530" i="6"/>
  <c r="J1531" i="6" s="1"/>
  <c r="J1539" i="6" s="1"/>
  <c r="J503" i="6"/>
  <c r="J504" i="6" s="1"/>
  <c r="H503" i="6"/>
  <c r="H504" i="6" s="1"/>
  <c r="L503" i="6"/>
  <c r="L504" i="6" s="1"/>
  <c r="H639" i="6"/>
  <c r="H640" i="6" s="1"/>
  <c r="J1378" i="6"/>
  <c r="H1378" i="6"/>
  <c r="L1378" i="6"/>
  <c r="L2677" i="6"/>
  <c r="J2677" i="6"/>
  <c r="H2677" i="6"/>
  <c r="H184" i="6"/>
  <c r="H1213" i="6"/>
  <c r="H1214" i="6" s="1"/>
  <c r="H1223" i="6" l="1"/>
  <c r="J3231" i="6"/>
  <c r="J1223" i="6"/>
  <c r="J412" i="6"/>
  <c r="J3247" i="6"/>
  <c r="H1129" i="6"/>
  <c r="H3017" i="6"/>
  <c r="L412" i="6"/>
  <c r="H3106" i="6"/>
  <c r="L1116" i="6"/>
  <c r="L3231" i="6"/>
  <c r="L2981" i="6"/>
  <c r="H412" i="6"/>
  <c r="J3106" i="6"/>
  <c r="J3017" i="6"/>
  <c r="J1129" i="6"/>
  <c r="H1317" i="6"/>
  <c r="H2284" i="6"/>
  <c r="H2900" i="6"/>
  <c r="H1302" i="6"/>
  <c r="H648" i="6"/>
  <c r="H1269" i="6"/>
  <c r="H371" i="6"/>
  <c r="H2851" i="6"/>
  <c r="H1008" i="6"/>
  <c r="H1332" i="6"/>
  <c r="H1436" i="6"/>
  <c r="J1302" i="6"/>
  <c r="H539" i="6"/>
  <c r="L2678" i="6"/>
  <c r="L2679" i="6" s="1"/>
  <c r="L2686" i="6" s="1"/>
  <c r="J3010" i="6"/>
  <c r="J3011" i="6" s="1"/>
  <c r="H1497" i="6"/>
  <c r="H1498" i="6" s="1"/>
  <c r="J3210" i="6"/>
  <c r="J3211" i="6" s="1"/>
  <c r="J3220" i="6" s="1"/>
  <c r="H2519" i="6"/>
  <c r="H2520" i="6" s="1"/>
  <c r="J807" i="6"/>
  <c r="J808" i="6" s="1"/>
  <c r="J818" i="6" s="1"/>
  <c r="J1181" i="6"/>
  <c r="J1182" i="6" s="1"/>
  <c r="H3358" i="6"/>
  <c r="H3359" i="6" s="1"/>
  <c r="H1889" i="6"/>
  <c r="H1890" i="6" s="1"/>
  <c r="J730" i="6"/>
  <c r="J731" i="6" s="1"/>
  <c r="J741" i="6" s="1"/>
  <c r="J156" i="6"/>
  <c r="J157" i="6" s="1"/>
  <c r="J166" i="6" s="1"/>
  <c r="L138" i="6"/>
  <c r="L139" i="6"/>
  <c r="L3064" i="6"/>
  <c r="L3065" i="6" s="1"/>
  <c r="H2250" i="6"/>
  <c r="H2251" i="6" s="1"/>
  <c r="H2260" i="6" s="1"/>
  <c r="H1457" i="6"/>
  <c r="H1458" i="6" s="1"/>
  <c r="H1468" i="6" s="1"/>
  <c r="H715" i="6"/>
  <c r="H716" i="6" s="1"/>
  <c r="L423" i="6"/>
  <c r="L424" i="6" s="1"/>
  <c r="L434" i="6" s="1"/>
  <c r="J3046" i="6"/>
  <c r="J3047" i="6" s="1"/>
  <c r="J3118" i="6"/>
  <c r="J3119" i="6" s="1"/>
  <c r="J3129" i="6" s="1"/>
  <c r="H2346" i="6"/>
  <c r="H2233" i="6"/>
  <c r="H2234" i="6" s="1"/>
  <c r="H2244" i="6" s="1"/>
  <c r="H1411" i="6"/>
  <c r="H1412" i="6" s="1"/>
  <c r="H1421" i="6" s="1"/>
  <c r="H822" i="6"/>
  <c r="H823" i="6" s="1"/>
  <c r="J762" i="6"/>
  <c r="J763" i="6" s="1"/>
  <c r="L700" i="6"/>
  <c r="L701" i="6" s="1"/>
  <c r="H545" i="6"/>
  <c r="H546" i="6" s="1"/>
  <c r="L468" i="6"/>
  <c r="L469" i="6" s="1"/>
  <c r="H1165" i="6"/>
  <c r="H1166" i="6"/>
  <c r="H1175" i="6" s="1"/>
  <c r="J298" i="6"/>
  <c r="J299" i="6" s="1"/>
  <c r="J309" i="6" s="1"/>
  <c r="H3053" i="6"/>
  <c r="H2963" i="6"/>
  <c r="L3071" i="6"/>
  <c r="H3364" i="6"/>
  <c r="H222" i="6"/>
  <c r="H223" i="6" s="1"/>
  <c r="H233" i="6" s="1"/>
  <c r="L2999" i="6"/>
  <c r="H1229" i="6"/>
  <c r="H1230" i="6" s="1"/>
  <c r="J3382" i="6"/>
  <c r="H91" i="6"/>
  <c r="H92" i="6" s="1"/>
  <c r="H102" i="6" s="1"/>
  <c r="J3376" i="6"/>
  <c r="J3377" i="6" s="1"/>
  <c r="J3389" i="6" s="1"/>
  <c r="L2218" i="6"/>
  <c r="L2219" i="6" s="1"/>
  <c r="L2229" i="6" s="1"/>
  <c r="H807" i="6"/>
  <c r="H808" i="6" s="1"/>
  <c r="L1379" i="6"/>
  <c r="L1380" i="6" s="1"/>
  <c r="L3376" i="6"/>
  <c r="L3377" i="6" s="1"/>
  <c r="H2321" i="6"/>
  <c r="H2322" i="6"/>
  <c r="H1975" i="6"/>
  <c r="H1976" i="6" s="1"/>
  <c r="H1985" i="6" s="1"/>
  <c r="J1089" i="6"/>
  <c r="J1090" i="6"/>
  <c r="J1099" i="6" s="1"/>
  <c r="H593" i="6"/>
  <c r="H594" i="6" s="1"/>
  <c r="H604" i="6" s="1"/>
  <c r="J1794" i="6"/>
  <c r="J1795" i="6"/>
  <c r="L867" i="6"/>
  <c r="L868" i="6" s="1"/>
  <c r="H1524" i="6"/>
  <c r="H3195" i="6"/>
  <c r="H3196" i="6" s="1"/>
  <c r="H3206" i="6" s="1"/>
  <c r="J2740" i="6"/>
  <c r="J2741" i="6" s="1"/>
  <c r="J2747" i="6" s="1"/>
  <c r="H1472" i="6"/>
  <c r="H1473" i="6" s="1"/>
  <c r="H1482" i="6" s="1"/>
  <c r="H792" i="6"/>
  <c r="H793" i="6" s="1"/>
  <c r="H803" i="6" s="1"/>
  <c r="J500" i="6"/>
  <c r="J501" i="6" s="1"/>
  <c r="J511" i="6" s="1"/>
  <c r="H1135" i="6"/>
  <c r="H1136" i="6"/>
  <c r="J3148" i="6"/>
  <c r="J3149" i="6" s="1"/>
  <c r="J3159" i="6" s="1"/>
  <c r="J2174" i="6"/>
  <c r="J2175" i="6" s="1"/>
  <c r="J2181" i="6" s="1"/>
  <c r="L2534" i="6"/>
  <c r="L2535" i="6" s="1"/>
  <c r="L2545" i="6" s="1"/>
  <c r="J2549" i="6"/>
  <c r="J2550" i="6" s="1"/>
  <c r="J2559" i="6" s="1"/>
  <c r="J623" i="6"/>
  <c r="J624" i="6" s="1"/>
  <c r="J633" i="6" s="1"/>
  <c r="J2956" i="6"/>
  <c r="J2957" i="6" s="1"/>
  <c r="J75" i="6"/>
  <c r="J76" i="6" s="1"/>
  <c r="J85" i="6" s="1"/>
  <c r="L1394" i="6"/>
  <c r="L1395" i="6" s="1"/>
  <c r="J1014" i="6"/>
  <c r="J1015" i="6" s="1"/>
  <c r="L1809" i="6"/>
  <c r="L1810" i="6" s="1"/>
  <c r="H2678" i="6"/>
  <c r="H2679" i="6" s="1"/>
  <c r="H2686" i="6" s="1"/>
  <c r="H1379" i="6"/>
  <c r="H1380" i="6" s="1"/>
  <c r="H3210" i="6"/>
  <c r="H3211" i="6" s="1"/>
  <c r="H3220" i="6" s="1"/>
  <c r="J3027" i="6"/>
  <c r="J3028" i="6" s="1"/>
  <c r="L2716" i="6"/>
  <c r="L2717" i="6" s="1"/>
  <c r="J2321" i="6"/>
  <c r="J2322" i="6" s="1"/>
  <c r="H2218" i="6"/>
  <c r="H2219" i="6" s="1"/>
  <c r="H2229" i="6" s="1"/>
  <c r="J2519" i="6"/>
  <c r="J2520" i="6"/>
  <c r="H2187" i="6"/>
  <c r="H2188" i="6" s="1"/>
  <c r="L807" i="6"/>
  <c r="L808" i="6" s="1"/>
  <c r="L818" i="6" s="1"/>
  <c r="H685" i="6"/>
  <c r="H686" i="6" s="1"/>
  <c r="J593" i="6"/>
  <c r="J594" i="6" s="1"/>
  <c r="J604" i="6" s="1"/>
  <c r="J451" i="6"/>
  <c r="J452" i="6" s="1"/>
  <c r="H1794" i="6"/>
  <c r="H1795" i="6" s="1"/>
  <c r="L2992" i="6"/>
  <c r="L2993" i="6" s="1"/>
  <c r="J1939" i="6"/>
  <c r="J10" i="6"/>
  <c r="J11" i="6" s="1"/>
  <c r="J21" i="6" s="1"/>
  <c r="J121" i="6"/>
  <c r="J122" i="6" s="1"/>
  <c r="J132" i="6" s="1"/>
  <c r="H867" i="6"/>
  <c r="H868" i="6" s="1"/>
  <c r="L2690" i="6"/>
  <c r="L2691" i="6" s="1"/>
  <c r="H1181" i="6"/>
  <c r="H1182" i="6" s="1"/>
  <c r="H3082" i="6"/>
  <c r="H3083" i="6" s="1"/>
  <c r="J3358" i="6"/>
  <c r="J3359" i="6" s="1"/>
  <c r="H2379" i="6"/>
  <c r="H2380" i="6" s="1"/>
  <c r="H2389" i="6" s="1"/>
  <c r="L2162" i="6"/>
  <c r="L2163" i="6" s="1"/>
  <c r="L2170" i="6" s="1"/>
  <c r="J1472" i="6"/>
  <c r="J1473" i="6" s="1"/>
  <c r="J1482" i="6" s="1"/>
  <c r="J1075" i="6"/>
  <c r="J1076" i="6" s="1"/>
  <c r="J1085" i="6" s="1"/>
  <c r="J792" i="6"/>
  <c r="J793" i="6" s="1"/>
  <c r="J803" i="6" s="1"/>
  <c r="L730" i="6"/>
  <c r="L731" i="6" s="1"/>
  <c r="L741" i="6" s="1"/>
  <c r="H576" i="6"/>
  <c r="H577" i="6" s="1"/>
  <c r="H500" i="6"/>
  <c r="H501" i="6" s="1"/>
  <c r="H511" i="6" s="1"/>
  <c r="J1244" i="6"/>
  <c r="J1245" i="6" s="1"/>
  <c r="L852" i="6"/>
  <c r="L853" i="6" s="1"/>
  <c r="H156" i="6"/>
  <c r="H157" i="6" s="1"/>
  <c r="H138" i="6"/>
  <c r="H139" i="6" s="1"/>
  <c r="L407" i="6"/>
  <c r="L408" i="6" s="1"/>
  <c r="H2449" i="6"/>
  <c r="H2450" i="6" s="1"/>
  <c r="J3242" i="6"/>
  <c r="J3243" i="6" s="1"/>
  <c r="H3180" i="6"/>
  <c r="H3181" i="6"/>
  <c r="H3191" i="6" s="1"/>
  <c r="L3133" i="6"/>
  <c r="L3134" i="6" s="1"/>
  <c r="L3144" i="6" s="1"/>
  <c r="L3148" i="6"/>
  <c r="L3149" i="6" s="1"/>
  <c r="L3159" i="6" s="1"/>
  <c r="H2704" i="6"/>
  <c r="H2705" i="6" s="1"/>
  <c r="J2250" i="6"/>
  <c r="J2251" i="6" s="1"/>
  <c r="J2260" i="6" s="1"/>
  <c r="H2174" i="6"/>
  <c r="H2175" i="6" s="1"/>
  <c r="H2181" i="6" s="1"/>
  <c r="H2728" i="6"/>
  <c r="H2729" i="6" s="1"/>
  <c r="H2736" i="6" s="1"/>
  <c r="L1457" i="6"/>
  <c r="L1458" i="6"/>
  <c r="L1468" i="6" s="1"/>
  <c r="H1059" i="6"/>
  <c r="H1060" i="6" s="1"/>
  <c r="H1069" i="6" s="1"/>
  <c r="H777" i="6"/>
  <c r="H778" i="6"/>
  <c r="J715" i="6"/>
  <c r="J716" i="6" s="1"/>
  <c r="H559" i="6"/>
  <c r="H560" i="6" s="1"/>
  <c r="H485" i="6"/>
  <c r="H486" i="6" s="1"/>
  <c r="L2956" i="6"/>
  <c r="L2957" i="6" s="1"/>
  <c r="H1029" i="6"/>
  <c r="H1030" i="6" s="1"/>
  <c r="H41" i="6"/>
  <c r="H42" i="6" s="1"/>
  <c r="H52" i="6" s="1"/>
  <c r="H1394" i="6"/>
  <c r="H1395" i="6" s="1"/>
  <c r="L283" i="6"/>
  <c r="L284" i="6" s="1"/>
  <c r="J3226" i="6"/>
  <c r="J3227" i="6" s="1"/>
  <c r="L3165" i="6"/>
  <c r="L3166" i="6" s="1"/>
  <c r="L3176" i="6" s="1"/>
  <c r="L3046" i="6"/>
  <c r="L3047" i="6" s="1"/>
  <c r="H3099" i="6"/>
  <c r="H3100" i="6" s="1"/>
  <c r="H2504" i="6"/>
  <c r="H2505" i="6" s="1"/>
  <c r="J2233" i="6"/>
  <c r="J2234" i="6" s="1"/>
  <c r="J2244" i="6" s="1"/>
  <c r="L2974" i="6"/>
  <c r="L2975" i="6" s="1"/>
  <c r="L1442" i="6"/>
  <c r="L1443" i="6" s="1"/>
  <c r="J1411" i="6"/>
  <c r="J1412" i="6" s="1"/>
  <c r="J1421" i="6" s="1"/>
  <c r="J822" i="6"/>
  <c r="J823" i="6" s="1"/>
  <c r="J833" i="6" s="1"/>
  <c r="L762" i="6"/>
  <c r="L763" i="6" s="1"/>
  <c r="H608" i="6"/>
  <c r="H609" i="6" s="1"/>
  <c r="H619" i="6" s="1"/>
  <c r="J545" i="6"/>
  <c r="J546" i="6" s="1"/>
  <c r="L2364" i="6"/>
  <c r="L2365" i="6"/>
  <c r="H298" i="6"/>
  <c r="H299" i="6" s="1"/>
  <c r="H309" i="6" s="1"/>
  <c r="H25" i="6"/>
  <c r="H26" i="6" s="1"/>
  <c r="L884" i="6"/>
  <c r="L885" i="6" s="1"/>
  <c r="J3053" i="6"/>
  <c r="H3071" i="6"/>
  <c r="H2981" i="6"/>
  <c r="J3364" i="6"/>
  <c r="J222" i="6"/>
  <c r="J223" i="6" s="1"/>
  <c r="J233" i="6" s="1"/>
  <c r="H2999" i="6"/>
  <c r="L1229" i="6"/>
  <c r="L1230" i="6" s="1"/>
  <c r="L3382" i="6"/>
  <c r="J91" i="6"/>
  <c r="J92" i="6" s="1"/>
  <c r="H1939" i="6"/>
  <c r="H2716" i="6"/>
  <c r="H2717" i="6" s="1"/>
  <c r="J1975" i="6"/>
  <c r="J1976" i="6" s="1"/>
  <c r="J1985" i="6" s="1"/>
  <c r="J2716" i="6"/>
  <c r="J2717" i="6" s="1"/>
  <c r="J2724" i="6" s="1"/>
  <c r="L2395" i="6"/>
  <c r="L2396" i="6" s="1"/>
  <c r="L2406" i="6" s="1"/>
  <c r="J1497" i="6"/>
  <c r="J1498" i="6" s="1"/>
  <c r="J1504" i="6" s="1"/>
  <c r="L747" i="6"/>
  <c r="L748" i="6" s="1"/>
  <c r="H252" i="6"/>
  <c r="H253" i="6" s="1"/>
  <c r="H262" i="6" s="1"/>
  <c r="J2992" i="6"/>
  <c r="J2993" i="6" s="1"/>
  <c r="L392" i="6"/>
  <c r="L393" i="6" s="1"/>
  <c r="L10" i="6"/>
  <c r="L11" i="6" s="1"/>
  <c r="L21" i="6" s="1"/>
  <c r="H121" i="6"/>
  <c r="H122" i="6" s="1"/>
  <c r="L268" i="6"/>
  <c r="L269" i="6" s="1"/>
  <c r="H2443" i="6"/>
  <c r="H2148" i="6"/>
  <c r="H1075" i="6"/>
  <c r="H1076" i="6" s="1"/>
  <c r="H1085" i="6" s="1"/>
  <c r="L670" i="6"/>
  <c r="L671" i="6" s="1"/>
  <c r="J315" i="6"/>
  <c r="J316" i="6" s="1"/>
  <c r="L106" i="6"/>
  <c r="L107" i="6" s="1"/>
  <c r="L117" i="6" s="1"/>
  <c r="J407" i="6"/>
  <c r="J408" i="6" s="1"/>
  <c r="L3180" i="6"/>
  <c r="L3181" i="6" s="1"/>
  <c r="L3191" i="6" s="1"/>
  <c r="L2704" i="6"/>
  <c r="L2705" i="6" s="1"/>
  <c r="J485" i="6"/>
  <c r="J486" i="6" s="1"/>
  <c r="J496" i="6" s="1"/>
  <c r="L237" i="6"/>
  <c r="L238" i="6" s="1"/>
  <c r="L248" i="6" s="1"/>
  <c r="J3165" i="6"/>
  <c r="J3166" i="6" s="1"/>
  <c r="J3176" i="6" s="1"/>
  <c r="J2974" i="6"/>
  <c r="J2975" i="6" s="1"/>
  <c r="J2678" i="6"/>
  <c r="J2679" i="6" s="1"/>
  <c r="J2686" i="6" s="1"/>
  <c r="J1379" i="6"/>
  <c r="J1380" i="6" s="1"/>
  <c r="J1390" i="6" s="1"/>
  <c r="H3376" i="6"/>
  <c r="H3377" i="6" s="1"/>
  <c r="H3027" i="6"/>
  <c r="H3028" i="6" s="1"/>
  <c r="H3010" i="6"/>
  <c r="H3011" i="6" s="1"/>
  <c r="H2395" i="6"/>
  <c r="H2396" i="6" s="1"/>
  <c r="H2406" i="6" s="1"/>
  <c r="J2218" i="6"/>
  <c r="J2219" i="6" s="1"/>
  <c r="J2229" i="6" s="1"/>
  <c r="L2519" i="6"/>
  <c r="L2520" i="6" s="1"/>
  <c r="J2187" i="6"/>
  <c r="J2188" i="6" s="1"/>
  <c r="J2197" i="6" s="1"/>
  <c r="H747" i="6"/>
  <c r="H748" i="6" s="1"/>
  <c r="J685" i="6"/>
  <c r="J686" i="6" s="1"/>
  <c r="L593" i="6"/>
  <c r="L594" i="6" s="1"/>
  <c r="L604" i="6" s="1"/>
  <c r="H451" i="6"/>
  <c r="H452" i="6" s="1"/>
  <c r="J1151" i="6"/>
  <c r="J1152" i="6" s="1"/>
  <c r="L1794" i="6"/>
  <c r="L1795" i="6" s="1"/>
  <c r="H329" i="6"/>
  <c r="H330" i="6" s="1"/>
  <c r="H339" i="6" s="1"/>
  <c r="H392" i="6"/>
  <c r="H393" i="6" s="1"/>
  <c r="H3247" i="6"/>
  <c r="H10" i="6"/>
  <c r="H11" i="6" s="1"/>
  <c r="H3034" i="6"/>
  <c r="L121" i="6"/>
  <c r="L122" i="6" s="1"/>
  <c r="L132" i="6" s="1"/>
  <c r="J867" i="6"/>
  <c r="J868" i="6" s="1"/>
  <c r="H2690" i="6"/>
  <c r="H2691" i="6" s="1"/>
  <c r="H268" i="6"/>
  <c r="H269" i="6" s="1"/>
  <c r="J3195" i="6"/>
  <c r="J3196" i="6" s="1"/>
  <c r="J3206" i="6" s="1"/>
  <c r="J3082" i="6"/>
  <c r="J3083" i="6" s="1"/>
  <c r="L3358" i="6"/>
  <c r="L3359" i="6" s="1"/>
  <c r="J2379" i="6"/>
  <c r="J2380" i="6" s="1"/>
  <c r="H2162" i="6"/>
  <c r="H2163" i="6" s="1"/>
  <c r="H2170" i="6" s="1"/>
  <c r="J983" i="6"/>
  <c r="J984" i="6" s="1"/>
  <c r="J993" i="6" s="1"/>
  <c r="L792" i="6"/>
  <c r="L793" i="6" s="1"/>
  <c r="H670" i="6"/>
  <c r="H671" i="6" s="1"/>
  <c r="J576" i="6"/>
  <c r="J577" i="6" s="1"/>
  <c r="L500" i="6"/>
  <c r="L501" i="6" s="1"/>
  <c r="L511" i="6" s="1"/>
  <c r="H1244" i="6"/>
  <c r="H1245" i="6" s="1"/>
  <c r="H1254" i="6" s="1"/>
  <c r="H852" i="6"/>
  <c r="H853" i="6" s="1"/>
  <c r="H106" i="6"/>
  <c r="H107" i="6" s="1"/>
  <c r="J138" i="6"/>
  <c r="J139" i="6" s="1"/>
  <c r="H3231" i="6"/>
  <c r="J2449" i="6"/>
  <c r="J2450" i="6" s="1"/>
  <c r="H3242" i="6"/>
  <c r="H3243" i="6" s="1"/>
  <c r="H3064" i="6"/>
  <c r="H3065" i="6"/>
  <c r="H3133" i="6"/>
  <c r="H3134" i="6" s="1"/>
  <c r="H3144" i="6" s="1"/>
  <c r="H3148" i="6"/>
  <c r="H3149" i="6" s="1"/>
  <c r="H3159" i="6" s="1"/>
  <c r="H3292" i="6"/>
  <c r="H3293" i="6" s="1"/>
  <c r="H3302" i="6" s="1"/>
  <c r="H1865" i="6"/>
  <c r="H1866" i="6" s="1"/>
  <c r="H2534" i="6"/>
  <c r="H2535" i="6" s="1"/>
  <c r="J2728" i="6"/>
  <c r="J2729" i="6" s="1"/>
  <c r="J1457" i="6"/>
  <c r="J1458" i="6" s="1"/>
  <c r="J1468" i="6" s="1"/>
  <c r="J1059" i="6"/>
  <c r="J1060" i="6" s="1"/>
  <c r="J777" i="6"/>
  <c r="J778" i="6" s="1"/>
  <c r="J788" i="6" s="1"/>
  <c r="L715" i="6"/>
  <c r="L716" i="6"/>
  <c r="J559" i="6"/>
  <c r="J560" i="6" s="1"/>
  <c r="L485" i="6"/>
  <c r="L486" i="6" s="1"/>
  <c r="H423" i="6"/>
  <c r="H424" i="6" s="1"/>
  <c r="H434" i="6" s="1"/>
  <c r="J1029" i="6"/>
  <c r="J1030" i="6" s="1"/>
  <c r="J41" i="6"/>
  <c r="J42" i="6" s="1"/>
  <c r="J52" i="6" s="1"/>
  <c r="J1394" i="6"/>
  <c r="J1395" i="6" s="1"/>
  <c r="H237" i="6"/>
  <c r="H238" i="6" s="1"/>
  <c r="H248" i="6" s="1"/>
  <c r="H283" i="6"/>
  <c r="H284" i="6" s="1"/>
  <c r="L1014" i="6"/>
  <c r="L1015" i="6" s="1"/>
  <c r="L3226" i="6"/>
  <c r="L3227" i="6" s="1"/>
  <c r="H3165" i="6"/>
  <c r="H3166" i="6"/>
  <c r="H3176" i="6" s="1"/>
  <c r="L3118" i="6"/>
  <c r="L3119" i="6" s="1"/>
  <c r="L3129" i="6" s="1"/>
  <c r="J3099" i="6"/>
  <c r="J3100" i="6" s="1"/>
  <c r="J2504" i="6"/>
  <c r="J2505" i="6" s="1"/>
  <c r="L2233" i="6"/>
  <c r="L2234" i="6" s="1"/>
  <c r="L2244" i="6" s="1"/>
  <c r="J1989" i="6"/>
  <c r="J1990" i="6" s="1"/>
  <c r="J1999" i="6" s="1"/>
  <c r="J1809" i="6"/>
  <c r="J1810" i="6" s="1"/>
  <c r="H1442" i="6"/>
  <c r="H1443" i="6" s="1"/>
  <c r="H1453" i="6" s="1"/>
  <c r="H1045" i="6"/>
  <c r="H1046" i="6" s="1"/>
  <c r="H1055" i="6" s="1"/>
  <c r="L822" i="6"/>
  <c r="L823" i="6" s="1"/>
  <c r="L833" i="6" s="1"/>
  <c r="H700" i="6"/>
  <c r="H701" i="6" s="1"/>
  <c r="H711" i="6" s="1"/>
  <c r="J608" i="6"/>
  <c r="J609" i="6" s="1"/>
  <c r="J619" i="6" s="1"/>
  <c r="J468" i="6"/>
  <c r="J469" i="6" s="1"/>
  <c r="H2364" i="6"/>
  <c r="H2365" i="6" s="1"/>
  <c r="L298" i="6"/>
  <c r="L299" i="6" s="1"/>
  <c r="L309" i="6" s="1"/>
  <c r="J25" i="6"/>
  <c r="J26" i="6" s="1"/>
  <c r="H884" i="6"/>
  <c r="H885" i="6" s="1"/>
  <c r="H895" i="6" s="1"/>
  <c r="J2963" i="6"/>
  <c r="J3071" i="6"/>
  <c r="L3364" i="6"/>
  <c r="J1859" i="6"/>
  <c r="L1346" i="6"/>
  <c r="J3089" i="6"/>
  <c r="H3382" i="6"/>
  <c r="J2395" i="6"/>
  <c r="J2396" i="6" s="1"/>
  <c r="J2406" i="6" s="1"/>
  <c r="H1089" i="6"/>
  <c r="H1090" i="6"/>
  <c r="H1099" i="6" s="1"/>
  <c r="J747" i="6"/>
  <c r="J748" i="6" s="1"/>
  <c r="L685" i="6"/>
  <c r="L686" i="6" s="1"/>
  <c r="L451" i="6"/>
  <c r="L452" i="6" s="1"/>
  <c r="L462" i="6" s="1"/>
  <c r="H1151" i="6"/>
  <c r="H1152" i="6" s="1"/>
  <c r="J252" i="6"/>
  <c r="J253" i="6" s="1"/>
  <c r="J262" i="6" s="1"/>
  <c r="H2992" i="6"/>
  <c r="H2993" i="6" s="1"/>
  <c r="J329" i="6"/>
  <c r="J330" i="6" s="1"/>
  <c r="J339" i="6" s="1"/>
  <c r="J392" i="6"/>
  <c r="J393" i="6" s="1"/>
  <c r="J3034" i="6"/>
  <c r="J2690" i="6"/>
  <c r="J2691" i="6" s="1"/>
  <c r="J2698" i="6" s="1"/>
  <c r="J268" i="6"/>
  <c r="J269" i="6" s="1"/>
  <c r="L3195" i="6"/>
  <c r="L3196" i="6" s="1"/>
  <c r="L3206" i="6" s="1"/>
  <c r="N3358" i="6"/>
  <c r="N3359" i="6" s="1"/>
  <c r="H2740" i="6"/>
  <c r="H2741" i="6" s="1"/>
  <c r="H2747" i="6" s="1"/>
  <c r="J1889" i="6"/>
  <c r="J1890" i="6" s="1"/>
  <c r="J2162" i="6"/>
  <c r="J2163" i="6" s="1"/>
  <c r="J2170" i="6" s="1"/>
  <c r="H983" i="6"/>
  <c r="H984" i="6" s="1"/>
  <c r="H993" i="6" s="1"/>
  <c r="H730" i="6"/>
  <c r="H731" i="6" s="1"/>
  <c r="H741" i="6" s="1"/>
  <c r="J670" i="6"/>
  <c r="J671" i="6" s="1"/>
  <c r="L576" i="6"/>
  <c r="L577" i="6" s="1"/>
  <c r="L587" i="6" s="1"/>
  <c r="H315" i="6"/>
  <c r="H316" i="6" s="1"/>
  <c r="H325" i="6" s="1"/>
  <c r="J1135" i="6"/>
  <c r="J1136" i="6" s="1"/>
  <c r="J852" i="6"/>
  <c r="J853" i="6" s="1"/>
  <c r="J106" i="6"/>
  <c r="J107" i="6" s="1"/>
  <c r="N138" i="6"/>
  <c r="N139" i="6" s="1"/>
  <c r="N150" i="6" s="1"/>
  <c r="H407" i="6"/>
  <c r="H408" i="6" s="1"/>
  <c r="J3180" i="6"/>
  <c r="J3181" i="6" s="1"/>
  <c r="J3191" i="6" s="1"/>
  <c r="J3064" i="6"/>
  <c r="J3065" i="6" s="1"/>
  <c r="J3133" i="6"/>
  <c r="J3134" i="6" s="1"/>
  <c r="J3144" i="6" s="1"/>
  <c r="J2704" i="6"/>
  <c r="J2705" i="6" s="1"/>
  <c r="J3292" i="6"/>
  <c r="J3293" i="6" s="1"/>
  <c r="J3302" i="6" s="1"/>
  <c r="J1865" i="6"/>
  <c r="J1866" i="6" s="1"/>
  <c r="J1875" i="6" s="1"/>
  <c r="J2534" i="6"/>
  <c r="J2535" i="6" s="1"/>
  <c r="L2728" i="6"/>
  <c r="L2729" i="6" s="1"/>
  <c r="L2736" i="6" s="1"/>
  <c r="H2549" i="6"/>
  <c r="H2550" i="6" s="1"/>
  <c r="H2559" i="6" s="1"/>
  <c r="L777" i="6"/>
  <c r="L778" i="6" s="1"/>
  <c r="H623" i="6"/>
  <c r="H624" i="6" s="1"/>
  <c r="L559" i="6"/>
  <c r="L560" i="6" s="1"/>
  <c r="H2956" i="6"/>
  <c r="H2957" i="6" s="1"/>
  <c r="H1207" i="6"/>
  <c r="J423" i="6"/>
  <c r="J424" i="6" s="1"/>
  <c r="H75" i="6"/>
  <c r="H76" i="6" s="1"/>
  <c r="H85" i="6" s="1"/>
  <c r="L41" i="6"/>
  <c r="L42" i="6" s="1"/>
  <c r="L52" i="6" s="1"/>
  <c r="H2428" i="6"/>
  <c r="J237" i="6"/>
  <c r="J238" i="6" s="1"/>
  <c r="J248" i="6" s="1"/>
  <c r="J283" i="6"/>
  <c r="J284" i="6" s="1"/>
  <c r="J294" i="6" s="1"/>
  <c r="H1014" i="6"/>
  <c r="H1015" i="6" s="1"/>
  <c r="H1025" i="6" s="1"/>
  <c r="H3226" i="6"/>
  <c r="H3227" i="6" s="1"/>
  <c r="H3046" i="6"/>
  <c r="H3047" i="6" s="1"/>
  <c r="H3118" i="6"/>
  <c r="H3119" i="6" s="1"/>
  <c r="H3129" i="6" s="1"/>
  <c r="L2504" i="6"/>
  <c r="L2505" i="6" s="1"/>
  <c r="H2974" i="6"/>
  <c r="H2975" i="6" s="1"/>
  <c r="H1989" i="6"/>
  <c r="H1990" i="6" s="1"/>
  <c r="H1999" i="6" s="1"/>
  <c r="H1809" i="6"/>
  <c r="H1810" i="6" s="1"/>
  <c r="J1442" i="6"/>
  <c r="J1443" i="6" s="1"/>
  <c r="J1453" i="6" s="1"/>
  <c r="J1045" i="6"/>
  <c r="J1046" i="6" s="1"/>
  <c r="H762" i="6"/>
  <c r="H763" i="6" s="1"/>
  <c r="J700" i="6"/>
  <c r="J701" i="6" s="1"/>
  <c r="L608" i="6"/>
  <c r="L609" i="6" s="1"/>
  <c r="L619" i="6" s="1"/>
  <c r="H468" i="6"/>
  <c r="H469" i="6" s="1"/>
  <c r="J1165" i="6"/>
  <c r="J1166" i="6" s="1"/>
  <c r="J1175" i="6" s="1"/>
  <c r="J2364" i="6"/>
  <c r="J2365" i="6" s="1"/>
  <c r="J884" i="6"/>
  <c r="J885" i="6" s="1"/>
  <c r="L3053" i="6"/>
  <c r="L2963" i="6"/>
  <c r="J2981" i="6"/>
  <c r="N3364" i="6"/>
  <c r="L222" i="6"/>
  <c r="L223" i="6" s="1"/>
  <c r="L233" i="6" s="1"/>
  <c r="J2999" i="6"/>
  <c r="J1229" i="6"/>
  <c r="J1230" i="6" s="1"/>
  <c r="H3089" i="6"/>
  <c r="L91" i="6"/>
  <c r="L92" i="6" s="1"/>
  <c r="J3238" i="6" l="1"/>
  <c r="J3112" i="6"/>
  <c r="J3023" i="6"/>
  <c r="J3253" i="6"/>
  <c r="H3112" i="6"/>
  <c r="H3078" i="6"/>
  <c r="H3023" i="6"/>
  <c r="L3006" i="6"/>
  <c r="L2988" i="6"/>
  <c r="H2988" i="6"/>
  <c r="H3238" i="6"/>
  <c r="H2970" i="6"/>
  <c r="J3006" i="6"/>
  <c r="L3372" i="6"/>
  <c r="J3372" i="6"/>
  <c r="H3060" i="6"/>
  <c r="J3078" i="6"/>
  <c r="L3238" i="6"/>
  <c r="H3253" i="6"/>
  <c r="N3372" i="6"/>
  <c r="H3006" i="6"/>
  <c r="J2988" i="6"/>
  <c r="J3060" i="6"/>
  <c r="H3372" i="6"/>
  <c r="J3095" i="6"/>
  <c r="H3040" i="6"/>
  <c r="J895" i="6"/>
  <c r="J1055" i="6"/>
  <c r="L788" i="6"/>
  <c r="J758" i="6"/>
  <c r="H2375" i="6"/>
  <c r="H2545" i="6"/>
  <c r="J2459" i="6"/>
  <c r="J878" i="6"/>
  <c r="H758" i="6"/>
  <c r="L279" i="6"/>
  <c r="L403" i="6"/>
  <c r="L758" i="6"/>
  <c r="J102" i="6"/>
  <c r="J726" i="6"/>
  <c r="H2459" i="6"/>
  <c r="H878" i="6"/>
  <c r="H1805" i="6"/>
  <c r="H1899" i="6"/>
  <c r="H2530" i="6"/>
  <c r="L2515" i="6"/>
  <c r="J863" i="6"/>
  <c r="J1899" i="6"/>
  <c r="J479" i="6"/>
  <c r="J1405" i="6"/>
  <c r="H132" i="6"/>
  <c r="H150" i="6"/>
  <c r="J462" i="6"/>
  <c r="L711" i="6"/>
  <c r="H479" i="6"/>
  <c r="L496" i="6"/>
  <c r="J150" i="6"/>
  <c r="H681" i="6"/>
  <c r="H2724" i="6"/>
  <c r="J1254" i="6"/>
  <c r="L1820" i="6"/>
  <c r="L479" i="6"/>
  <c r="J773" i="6"/>
  <c r="J1191" i="6"/>
  <c r="J2375" i="6"/>
  <c r="H773" i="6"/>
  <c r="H633" i="6"/>
  <c r="J2545" i="6"/>
  <c r="J2712" i="6"/>
  <c r="J279" i="6"/>
  <c r="J570" i="6"/>
  <c r="H2698" i="6"/>
  <c r="H462" i="6"/>
  <c r="L2530" i="6"/>
  <c r="J419" i="6"/>
  <c r="L773" i="6"/>
  <c r="H2515" i="6"/>
  <c r="L294" i="6"/>
  <c r="H2197" i="6"/>
  <c r="L102" i="6"/>
  <c r="J434" i="6"/>
  <c r="J681" i="6"/>
  <c r="J403" i="6"/>
  <c r="H1161" i="6"/>
  <c r="L696" i="6"/>
  <c r="J35" i="6"/>
  <c r="J2515" i="6"/>
  <c r="H294" i="6"/>
  <c r="J1039" i="6"/>
  <c r="L726" i="6"/>
  <c r="J1069" i="6"/>
  <c r="J2736" i="6"/>
  <c r="H1875" i="6"/>
  <c r="H117" i="6"/>
  <c r="J587" i="6"/>
  <c r="L803" i="6"/>
  <c r="J1161" i="6"/>
  <c r="L2712" i="6"/>
  <c r="J325" i="6"/>
  <c r="H35" i="6"/>
  <c r="L2375" i="6"/>
  <c r="L1453" i="6"/>
  <c r="L2970" i="6"/>
  <c r="H570" i="6"/>
  <c r="H788" i="6"/>
  <c r="H2712" i="6"/>
  <c r="L863" i="6"/>
  <c r="H1191" i="6"/>
  <c r="H696" i="6"/>
  <c r="L2724" i="6"/>
  <c r="J1025" i="6"/>
  <c r="L878" i="6"/>
  <c r="L3389" i="6"/>
  <c r="H818" i="6"/>
  <c r="H555" i="6"/>
  <c r="H726" i="6"/>
  <c r="L150" i="6"/>
  <c r="J1240" i="6"/>
  <c r="J711" i="6"/>
  <c r="H1820" i="6"/>
  <c r="L570" i="6"/>
  <c r="H419" i="6"/>
  <c r="J117" i="6"/>
  <c r="J1145" i="6"/>
  <c r="J1820" i="6"/>
  <c r="L1025" i="6"/>
  <c r="H863" i="6"/>
  <c r="J2389" i="6"/>
  <c r="H279" i="6"/>
  <c r="H21" i="6"/>
  <c r="H403" i="6"/>
  <c r="L1805" i="6"/>
  <c r="J696" i="6"/>
  <c r="H3389" i="6"/>
  <c r="L681" i="6"/>
  <c r="L1240" i="6"/>
  <c r="L895" i="6"/>
  <c r="J555" i="6"/>
  <c r="L3060" i="6"/>
  <c r="H1405" i="6"/>
  <c r="H1039" i="6"/>
  <c r="H496" i="6"/>
  <c r="L419" i="6"/>
  <c r="H166" i="6"/>
  <c r="H587" i="6"/>
  <c r="H3095" i="6"/>
  <c r="L2698" i="6"/>
  <c r="J2530" i="6"/>
  <c r="J2331" i="6"/>
  <c r="J3040" i="6"/>
  <c r="H1390" i="6"/>
  <c r="L1405" i="6"/>
  <c r="J2970" i="6"/>
  <c r="H1145" i="6"/>
  <c r="J1805" i="6"/>
  <c r="H2331" i="6"/>
  <c r="L1390" i="6"/>
  <c r="H1240" i="6"/>
  <c r="H833" i="6"/>
  <c r="L3078" i="6"/>
  <c r="H1504" i="6"/>
</calcChain>
</file>

<file path=xl/sharedStrings.xml><?xml version="1.0" encoding="utf-8"?>
<sst xmlns="http://schemas.openxmlformats.org/spreadsheetml/2006/main" count="8133" uniqueCount="1928">
  <si>
    <t>수동식</t>
    <phoneticPr fontId="5" type="noConversion"/>
  </si>
  <si>
    <t>3.5m</t>
    <phoneticPr fontId="5" type="noConversion"/>
  </si>
  <si>
    <t>200Amp</t>
    <phoneticPr fontId="5" type="noConversion"/>
  </si>
  <si>
    <t>7991-0050</t>
    <phoneticPr fontId="5" type="noConversion"/>
  </si>
  <si>
    <t>1730-0015</t>
    <phoneticPr fontId="5" type="noConversion"/>
  </si>
  <si>
    <t>1.5ton</t>
    <phoneticPr fontId="5" type="noConversion"/>
  </si>
  <si>
    <t>3.6m(사리도)</t>
    <phoneticPr fontId="5" type="noConversion"/>
  </si>
  <si>
    <t>3,000ℓ</t>
    <phoneticPr fontId="5" type="noConversion"/>
  </si>
  <si>
    <t>7204-0160</t>
    <phoneticPr fontId="5" type="noConversion"/>
  </si>
  <si>
    <t>16,000ℓ</t>
    <phoneticPr fontId="5" type="noConversion"/>
  </si>
  <si>
    <t>7104-0010</t>
    <phoneticPr fontId="5" type="noConversion"/>
  </si>
  <si>
    <t>상수도관천공기</t>
    <phoneticPr fontId="5" type="noConversion"/>
  </si>
  <si>
    <t>7360-0055</t>
    <phoneticPr fontId="5" type="noConversion"/>
  </si>
  <si>
    <t>차선제거기</t>
    <phoneticPr fontId="5" type="noConversion"/>
  </si>
  <si>
    <t>10㎞/hr</t>
    <phoneticPr fontId="5" type="noConversion"/>
  </si>
  <si>
    <t>7613-0900</t>
    <phoneticPr fontId="5" type="noConversion"/>
  </si>
  <si>
    <t>700-900㎜</t>
    <phoneticPr fontId="5" type="noConversion"/>
  </si>
  <si>
    <t>1306-0100</t>
    <phoneticPr fontId="5" type="noConversion"/>
  </si>
  <si>
    <t>윈치(수동)</t>
    <phoneticPr fontId="5" type="noConversion"/>
  </si>
  <si>
    <t>300ℓ</t>
    <phoneticPr fontId="5" type="noConversion"/>
  </si>
  <si>
    <t>250㎾</t>
    <phoneticPr fontId="5" type="noConversion"/>
  </si>
  <si>
    <t>수중모터펌프</t>
    <phoneticPr fontId="5" type="noConversion"/>
  </si>
  <si>
    <t>1.0m</t>
    <phoneticPr fontId="5" type="noConversion"/>
  </si>
  <si>
    <t>25.5㎥/min</t>
    <phoneticPr fontId="5" type="noConversion"/>
  </si>
  <si>
    <t>펌프준설선</t>
    <phoneticPr fontId="5" type="noConversion"/>
  </si>
  <si>
    <t>0602-0320</t>
    <phoneticPr fontId="5" type="noConversion"/>
  </si>
  <si>
    <t>0602-0240</t>
    <phoneticPr fontId="5" type="noConversion"/>
  </si>
  <si>
    <t>160.4㎾</t>
  </si>
  <si>
    <t>299.9㎾</t>
  </si>
  <si>
    <t>105.9㎾</t>
  </si>
  <si>
    <t>60㎥(96㎾)</t>
  </si>
  <si>
    <t>90㎥(144㎾)</t>
  </si>
  <si>
    <t>4108-0090</t>
    <phoneticPr fontId="5" type="noConversion"/>
  </si>
  <si>
    <t>4108-0120</t>
    <phoneticPr fontId="5" type="noConversion"/>
  </si>
  <si>
    <t>150㎥(177㎾)</t>
  </si>
  <si>
    <t>180㎥(213㎾)</t>
  </si>
  <si>
    <t>210㎥(233㎾)</t>
  </si>
  <si>
    <t>4108-0150</t>
    <phoneticPr fontId="5" type="noConversion"/>
  </si>
  <si>
    <t>4108-0180</t>
    <phoneticPr fontId="5" type="noConversion"/>
  </si>
  <si>
    <t>4108-0210</t>
    <phoneticPr fontId="5" type="noConversion"/>
  </si>
  <si>
    <t>0.10㎥</t>
  </si>
  <si>
    <t>0.17㎥</t>
  </si>
  <si>
    <t>0.20㎥</t>
  </si>
  <si>
    <t>0.30㎥</t>
  </si>
  <si>
    <t>0.40㎥</t>
  </si>
  <si>
    <t>0.45㎥</t>
  </si>
  <si>
    <t>6.0㎥</t>
  </si>
  <si>
    <t>320-400㎜</t>
  </si>
  <si>
    <t>120ton</t>
    <phoneticPr fontId="5" type="noConversion"/>
  </si>
  <si>
    <t>700ton</t>
    <phoneticPr fontId="5" type="noConversion"/>
  </si>
  <si>
    <t>펌프준설선4,476㎾</t>
    <phoneticPr fontId="5" type="noConversion"/>
  </si>
  <si>
    <t>펌프준설선8,952㎾</t>
    <phoneticPr fontId="5" type="noConversion"/>
  </si>
  <si>
    <t>4,476㎾</t>
    <phoneticPr fontId="5" type="noConversion"/>
  </si>
  <si>
    <t>펌프준설선5,968㎾</t>
    <phoneticPr fontId="5" type="noConversion"/>
  </si>
  <si>
    <t>5,968㎾</t>
    <phoneticPr fontId="5" type="noConversion"/>
  </si>
  <si>
    <t>9010-0060</t>
    <phoneticPr fontId="5" type="noConversion"/>
  </si>
  <si>
    <t>9010-0080</t>
    <phoneticPr fontId="5" type="noConversion"/>
  </si>
  <si>
    <t>9010-0120</t>
    <phoneticPr fontId="5" type="noConversion"/>
  </si>
  <si>
    <t>7505-0350</t>
    <phoneticPr fontId="5" type="noConversion"/>
  </si>
  <si>
    <t>선원</t>
    <phoneticPr fontId="5" type="noConversion"/>
  </si>
  <si>
    <t>0.75㎾</t>
  </si>
  <si>
    <t>50m×16ton</t>
    <phoneticPr fontId="5" type="noConversion"/>
  </si>
  <si>
    <t>50m×20ton</t>
    <phoneticPr fontId="5" type="noConversion"/>
  </si>
  <si>
    <t>3801-0795</t>
    <phoneticPr fontId="5" type="noConversion"/>
  </si>
  <si>
    <t>15ton</t>
    <phoneticPr fontId="5" type="noConversion"/>
  </si>
  <si>
    <t>19ton</t>
    <phoneticPr fontId="5" type="noConversion"/>
  </si>
  <si>
    <t>25ton</t>
    <phoneticPr fontId="5" type="noConversion"/>
  </si>
  <si>
    <t>37ton</t>
    <phoneticPr fontId="5" type="noConversion"/>
  </si>
  <si>
    <t>20ton</t>
    <phoneticPr fontId="5" type="noConversion"/>
  </si>
  <si>
    <t>35ton</t>
    <phoneticPr fontId="5" type="noConversion"/>
  </si>
  <si>
    <t>40ton</t>
    <phoneticPr fontId="5" type="noConversion"/>
  </si>
  <si>
    <t>50ton</t>
    <phoneticPr fontId="5" type="noConversion"/>
  </si>
  <si>
    <t>70ton</t>
    <phoneticPr fontId="5" type="noConversion"/>
  </si>
  <si>
    <t>80ton</t>
    <phoneticPr fontId="5" type="noConversion"/>
  </si>
  <si>
    <t>100ton</t>
    <phoneticPr fontId="5" type="noConversion"/>
  </si>
  <si>
    <t>300ton</t>
    <phoneticPr fontId="5" type="noConversion"/>
  </si>
  <si>
    <t>30ton</t>
    <phoneticPr fontId="5" type="noConversion"/>
  </si>
  <si>
    <t>45ton</t>
    <phoneticPr fontId="5" type="noConversion"/>
  </si>
  <si>
    <t>60ton</t>
    <phoneticPr fontId="5" type="noConversion"/>
  </si>
  <si>
    <t>220ton</t>
    <phoneticPr fontId="5" type="noConversion"/>
  </si>
  <si>
    <t>24m</t>
    <phoneticPr fontId="5" type="noConversion"/>
  </si>
  <si>
    <t>5ton</t>
    <phoneticPr fontId="5" type="noConversion"/>
  </si>
  <si>
    <t>2.5ton</t>
    <phoneticPr fontId="5" type="noConversion"/>
  </si>
  <si>
    <t>3.5ton</t>
    <phoneticPr fontId="5" type="noConversion"/>
  </si>
  <si>
    <t>7.5ton</t>
    <phoneticPr fontId="5" type="noConversion"/>
  </si>
  <si>
    <t>5.0ton</t>
    <phoneticPr fontId="5" type="noConversion"/>
  </si>
  <si>
    <t>3805-0120</t>
    <phoneticPr fontId="5" type="noConversion"/>
  </si>
  <si>
    <t>597㎾</t>
    <phoneticPr fontId="5" type="noConversion"/>
  </si>
  <si>
    <t>746㎾</t>
    <phoneticPr fontId="5" type="noConversion"/>
  </si>
  <si>
    <t>895㎾</t>
    <phoneticPr fontId="5" type="noConversion"/>
  </si>
  <si>
    <t>970㎾</t>
    <phoneticPr fontId="5" type="noConversion"/>
  </si>
  <si>
    <t>1,044㎾</t>
    <phoneticPr fontId="5" type="noConversion"/>
  </si>
  <si>
    <t>1,119㎾</t>
    <phoneticPr fontId="5" type="noConversion"/>
  </si>
  <si>
    <t>1,194㎾</t>
    <phoneticPr fontId="5" type="noConversion"/>
  </si>
  <si>
    <t>13ton</t>
  </si>
  <si>
    <t>0121-0004</t>
  </si>
  <si>
    <t>0121-0013</t>
  </si>
  <si>
    <t>0103-0016</t>
  </si>
  <si>
    <t>0103-0019</t>
  </si>
  <si>
    <t>0103-0023</t>
  </si>
  <si>
    <t>0103-0027</t>
  </si>
  <si>
    <t>0103-0032</t>
  </si>
  <si>
    <t>0201-0012</t>
  </si>
  <si>
    <t>0201-0020</t>
  </si>
  <si>
    <t>0201-0040</t>
  </si>
  <si>
    <t>0201-0070</t>
  </si>
  <si>
    <t>0201-0100</t>
  </si>
  <si>
    <t>0201-0200</t>
  </si>
  <si>
    <t>0221-0040</t>
  </si>
  <si>
    <t>0221-0070</t>
  </si>
  <si>
    <t>0230-0004</t>
  </si>
  <si>
    <t>0240-0007</t>
  </si>
  <si>
    <t>0260-0355</t>
  </si>
  <si>
    <t>0301-0057</t>
  </si>
  <si>
    <t>0301-0076</t>
  </si>
  <si>
    <t>0301-0095</t>
  </si>
  <si>
    <t>0301-0115</t>
  </si>
  <si>
    <t>0301-0134</t>
  </si>
  <si>
    <t>0301-0153</t>
  </si>
  <si>
    <t>0302-0025</t>
  </si>
  <si>
    <t>0302-0057</t>
  </si>
  <si>
    <t>0302-0095</t>
  </si>
  <si>
    <t>0302-0134</t>
  </si>
  <si>
    <t>0302-0172</t>
  </si>
  <si>
    <t>0302-0229</t>
  </si>
  <si>
    <t>0302-0287</t>
  </si>
  <si>
    <t>0302-0350</t>
  </si>
  <si>
    <t>0302-0500</t>
  </si>
  <si>
    <t>0406-0054</t>
  </si>
  <si>
    <t>0406-0115</t>
  </si>
  <si>
    <t>300Amp</t>
    <phoneticPr fontId="5" type="noConversion"/>
  </si>
  <si>
    <t>500Amp</t>
    <phoneticPr fontId="5" type="noConversion"/>
  </si>
  <si>
    <t>100Amp</t>
    <phoneticPr fontId="5" type="noConversion"/>
  </si>
  <si>
    <t>4504-0043</t>
    <phoneticPr fontId="5" type="noConversion"/>
  </si>
  <si>
    <t>4504-0047</t>
    <phoneticPr fontId="5" type="noConversion"/>
  </si>
  <si>
    <t>4504-0052</t>
    <phoneticPr fontId="5" type="noConversion"/>
  </si>
  <si>
    <t>36m</t>
    <phoneticPr fontId="5" type="noConversion"/>
  </si>
  <si>
    <t>5405-0110</t>
    <phoneticPr fontId="5" type="noConversion"/>
  </si>
  <si>
    <t>5405-0150</t>
    <phoneticPr fontId="5" type="noConversion"/>
  </si>
  <si>
    <t>모터(쉴드TBM용)</t>
    <phoneticPr fontId="5" type="noConversion"/>
  </si>
  <si>
    <t>4205-0010</t>
    <phoneticPr fontId="5" type="noConversion"/>
  </si>
  <si>
    <t>크롤러드릴(탑승유압식)</t>
    <phoneticPr fontId="5" type="noConversion"/>
  </si>
  <si>
    <t>479㎾</t>
    <phoneticPr fontId="5" type="noConversion"/>
  </si>
  <si>
    <t>0.6㎥</t>
    <phoneticPr fontId="5" type="noConversion"/>
  </si>
  <si>
    <t>200㎾</t>
    <phoneticPr fontId="5" type="noConversion"/>
  </si>
  <si>
    <t>120㎥(160㎾)</t>
  </si>
  <si>
    <t>7992-0001</t>
    <phoneticPr fontId="5" type="noConversion"/>
  </si>
  <si>
    <t>7.95m</t>
    <phoneticPr fontId="5" type="noConversion"/>
  </si>
  <si>
    <t>4430-0400</t>
  </si>
  <si>
    <t>4505-0015</t>
  </si>
  <si>
    <t>2.24㎾(76.20×243.84㎝)</t>
  </si>
  <si>
    <t>3.73㎾(91.44×243.84㎝)</t>
  </si>
  <si>
    <t>3.73㎾(91.44×365.76㎝)</t>
  </si>
  <si>
    <t>7.46㎾(106.68×304.86㎝)</t>
  </si>
  <si>
    <t>7.46㎾(106.68×426.72㎝)</t>
  </si>
  <si>
    <t>4505-0026</t>
  </si>
  <si>
    <t>4506-0200</t>
  </si>
  <si>
    <t>4611-0075</t>
  </si>
  <si>
    <t>4611-0350</t>
  </si>
  <si>
    <t>5105-0050</t>
  </si>
  <si>
    <t>5105-0100</t>
  </si>
  <si>
    <t>5105-0150</t>
  </si>
  <si>
    <t>수동식</t>
  </si>
  <si>
    <t>3450-0642</t>
    <phoneticPr fontId="5" type="noConversion"/>
  </si>
  <si>
    <t>3.0~3.8m</t>
    <phoneticPr fontId="5" type="noConversion"/>
  </si>
  <si>
    <t>4108-0060</t>
    <phoneticPr fontId="5" type="noConversion"/>
  </si>
  <si>
    <t>40ton/hr(80㎾)</t>
    <phoneticPr fontId="5" type="noConversion"/>
  </si>
  <si>
    <t>60ton/hr(120㎾)</t>
    <phoneticPr fontId="5" type="noConversion"/>
  </si>
  <si>
    <t>80ton/hr(160㎾)</t>
    <phoneticPr fontId="5" type="noConversion"/>
  </si>
  <si>
    <t>유압식리퍼</t>
    <phoneticPr fontId="5" type="noConversion"/>
  </si>
  <si>
    <t>186.5㎾</t>
  </si>
  <si>
    <t>3.73㎾</t>
  </si>
  <si>
    <t>7.46㎾</t>
  </si>
  <si>
    <t>11.19㎾</t>
  </si>
  <si>
    <t>14.92㎾</t>
  </si>
  <si>
    <t xml:space="preserve">하천골재채취선  </t>
    <phoneticPr fontId="5" type="noConversion"/>
  </si>
  <si>
    <t>준설선기관사</t>
    <phoneticPr fontId="5" type="noConversion"/>
  </si>
  <si>
    <t>준설선운전사</t>
    <phoneticPr fontId="5" type="noConversion"/>
  </si>
  <si>
    <t>7110-0025</t>
    <phoneticPr fontId="5" type="noConversion"/>
  </si>
  <si>
    <t>7110-0013</t>
    <phoneticPr fontId="5" type="noConversion"/>
  </si>
  <si>
    <t>13톤(3.00㎥ 적)</t>
    <phoneticPr fontId="5" type="noConversion"/>
  </si>
  <si>
    <t>25톤(7.64㎥ 적)</t>
    <phoneticPr fontId="5" type="noConversion"/>
  </si>
  <si>
    <t>100ton</t>
  </si>
  <si>
    <t>150ton</t>
  </si>
  <si>
    <t>2101-0080</t>
  </si>
  <si>
    <t>2101-0100</t>
  </si>
  <si>
    <t>2101-0150</t>
  </si>
  <si>
    <t>덤프 15ton용</t>
    <phoneticPr fontId="5" type="noConversion"/>
  </si>
  <si>
    <t>3.73㎾</t>
    <phoneticPr fontId="5" type="noConversion"/>
  </si>
  <si>
    <t>5.60㎾</t>
  </si>
  <si>
    <t>1.72㎥</t>
  </si>
  <si>
    <t>2.87㎥</t>
    <phoneticPr fontId="5" type="noConversion"/>
  </si>
  <si>
    <t>0301-0172</t>
    <phoneticPr fontId="5" type="noConversion"/>
  </si>
  <si>
    <t>0301-0287</t>
    <phoneticPr fontId="5" type="noConversion"/>
  </si>
  <si>
    <t>0.25㎥</t>
  </si>
  <si>
    <t>2.29㎥</t>
  </si>
  <si>
    <t>3.5㎥</t>
    <phoneticPr fontId="5" type="noConversion"/>
  </si>
  <si>
    <t>5.0㎥</t>
    <phoneticPr fontId="5" type="noConversion"/>
  </si>
  <si>
    <t>5.4㎥</t>
  </si>
  <si>
    <t>11.5㎥</t>
  </si>
  <si>
    <t>16.1㎥</t>
  </si>
  <si>
    <t>224㎾</t>
  </si>
  <si>
    <t>448㎾</t>
  </si>
  <si>
    <t>주연료비의 %</t>
  </si>
  <si>
    <t>1,492㎾</t>
  </si>
  <si>
    <t>1,641㎾</t>
  </si>
  <si>
    <t>2,462㎾</t>
  </si>
  <si>
    <t>2,984㎾</t>
  </si>
  <si>
    <t>3,282㎾</t>
  </si>
  <si>
    <t>펌프준설선2,462㎾</t>
    <phoneticPr fontId="5" type="noConversion"/>
  </si>
  <si>
    <t>펌프준설선2,984㎾</t>
    <phoneticPr fontId="5" type="noConversion"/>
  </si>
  <si>
    <t>펌프준설선3,282㎾</t>
    <phoneticPr fontId="5" type="noConversion"/>
  </si>
  <si>
    <t>8,952㎾</t>
  </si>
  <si>
    <t>14,920㎾</t>
  </si>
  <si>
    <t>9010-0200</t>
    <phoneticPr fontId="5" type="noConversion"/>
  </si>
  <si>
    <t>펌프준설선14,920㎾</t>
    <phoneticPr fontId="5" type="noConversion"/>
  </si>
  <si>
    <t>75㎾(0.65㎥)</t>
    <phoneticPr fontId="5" type="noConversion"/>
  </si>
  <si>
    <t>354.35㎾</t>
    <phoneticPr fontId="5" type="noConversion"/>
  </si>
  <si>
    <t>1.15㎥</t>
  </si>
  <si>
    <t>1.34㎥</t>
  </si>
  <si>
    <t>1.53㎥</t>
  </si>
  <si>
    <t>수량</t>
    <phoneticPr fontId="5" type="noConversion"/>
  </si>
  <si>
    <t>금액</t>
    <phoneticPr fontId="5" type="noConversion"/>
  </si>
  <si>
    <t>대</t>
    <phoneticPr fontId="5" type="noConversion"/>
  </si>
  <si>
    <t>7205-0475</t>
    <phoneticPr fontId="5" type="noConversion"/>
  </si>
  <si>
    <t>7205-0540</t>
    <phoneticPr fontId="5" type="noConversion"/>
  </si>
  <si>
    <t>93.25㎾</t>
    <phoneticPr fontId="5" type="noConversion"/>
  </si>
  <si>
    <t>402.84㎾</t>
    <phoneticPr fontId="5" type="noConversion"/>
  </si>
  <si>
    <t>3302-0030</t>
    <phoneticPr fontId="5" type="noConversion"/>
  </si>
  <si>
    <t>9010-0003</t>
  </si>
  <si>
    <t>9010-0006</t>
  </si>
  <si>
    <t>9010-0010</t>
  </si>
  <si>
    <t>%</t>
  </si>
  <si>
    <t>9010-0012</t>
  </si>
  <si>
    <t>9010-0020</t>
  </si>
  <si>
    <t>9010-0022</t>
  </si>
  <si>
    <t>9010-0033</t>
  </si>
  <si>
    <t>9010-0040</t>
  </si>
  <si>
    <t>9010-0044</t>
  </si>
  <si>
    <t>261㎾(5.00㎥)</t>
    <phoneticPr fontId="5" type="noConversion"/>
  </si>
  <si>
    <t>373㎾(6.00㎥)</t>
    <phoneticPr fontId="5" type="noConversion"/>
  </si>
  <si>
    <t>537㎾(7.50㎥)</t>
    <phoneticPr fontId="5" type="noConversion"/>
  </si>
  <si>
    <t>1,194㎾(12.50㎥)</t>
    <phoneticPr fontId="5" type="noConversion"/>
  </si>
  <si>
    <t>1,343㎾(16.00㎥)</t>
    <phoneticPr fontId="5" type="noConversion"/>
  </si>
  <si>
    <t>1,491㎾(25.00㎥)</t>
    <phoneticPr fontId="5" type="noConversion"/>
  </si>
  <si>
    <t>2118-0010</t>
    <phoneticPr fontId="5" type="noConversion"/>
  </si>
  <si>
    <t>4504-0021</t>
    <phoneticPr fontId="5" type="noConversion"/>
  </si>
  <si>
    <t>4504-0028</t>
    <phoneticPr fontId="5" type="noConversion"/>
  </si>
  <si>
    <t>4504-0032</t>
    <phoneticPr fontId="5" type="noConversion"/>
  </si>
  <si>
    <t>4115-0100</t>
    <phoneticPr fontId="5" type="noConversion"/>
  </si>
  <si>
    <t>4115-0150</t>
    <phoneticPr fontId="5" type="noConversion"/>
  </si>
  <si>
    <t>4115-0200</t>
    <phoneticPr fontId="5" type="noConversion"/>
  </si>
  <si>
    <t>4115-0300</t>
    <phoneticPr fontId="5" type="noConversion"/>
  </si>
  <si>
    <t>워터젯트</t>
    <phoneticPr fontId="5" type="noConversion"/>
  </si>
  <si>
    <t>6540-0131</t>
    <phoneticPr fontId="5" type="noConversion"/>
  </si>
  <si>
    <t>유압식압입인발기</t>
    <phoneticPr fontId="5" type="noConversion"/>
  </si>
  <si>
    <t>5115-0075</t>
  </si>
  <si>
    <t>5115-0095</t>
  </si>
  <si>
    <t>5116-0001</t>
  </si>
  <si>
    <t>5116-0002</t>
  </si>
  <si>
    <t>5116-0003</t>
  </si>
  <si>
    <t>5116-0004</t>
  </si>
  <si>
    <t>5116-0005</t>
  </si>
  <si>
    <t>5116-0006</t>
  </si>
  <si>
    <t>㎾</t>
  </si>
  <si>
    <t>7330-0010</t>
  </si>
  <si>
    <t>7430-1100</t>
  </si>
  <si>
    <t>7430-1300</t>
  </si>
  <si>
    <t>7430-1500</t>
  </si>
  <si>
    <t>7430-2300</t>
  </si>
  <si>
    <t>7430-2500</t>
  </si>
  <si>
    <t>7431-1100</t>
  </si>
  <si>
    <t>7431-1300</t>
  </si>
  <si>
    <t>7431-2300</t>
  </si>
  <si>
    <t>7431-2500</t>
  </si>
  <si>
    <t>7505-0025</t>
  </si>
  <si>
    <t>7505-0050</t>
  </si>
  <si>
    <t>7505-0100</t>
  </si>
  <si>
    <t>7505-0125</t>
  </si>
  <si>
    <t>7505-0150</t>
  </si>
  <si>
    <t>7505-0200</t>
  </si>
  <si>
    <t>7505-0250</t>
  </si>
  <si>
    <t>7505-0450</t>
  </si>
  <si>
    <t>7505-0500</t>
  </si>
  <si>
    <t>7505-0700</t>
  </si>
  <si>
    <t>200Amp</t>
  </si>
  <si>
    <t>300Amp</t>
  </si>
  <si>
    <t>400Amp</t>
  </si>
  <si>
    <t>7611-0200</t>
  </si>
  <si>
    <t>7611-0300</t>
  </si>
  <si>
    <t>500Amp</t>
  </si>
  <si>
    <t>라인마커</t>
    <phoneticPr fontId="5" type="noConversion"/>
  </si>
  <si>
    <t>3,000ℓ</t>
  </si>
  <si>
    <t>3,800ℓ</t>
  </si>
  <si>
    <t>3302-0038</t>
    <phoneticPr fontId="5" type="noConversion"/>
  </si>
  <si>
    <t>4,700ℓ</t>
  </si>
  <si>
    <t>5,700ℓ</t>
  </si>
  <si>
    <t>3302-0047</t>
    <phoneticPr fontId="5" type="noConversion"/>
  </si>
  <si>
    <t>3302-0057</t>
    <phoneticPr fontId="5" type="noConversion"/>
  </si>
  <si>
    <t>300ℓ</t>
  </si>
  <si>
    <t>400ℓ</t>
  </si>
  <si>
    <t>유압파워팩</t>
    <phoneticPr fontId="5" type="noConversion"/>
  </si>
  <si>
    <t>67.14㎾</t>
    <phoneticPr fontId="5" type="noConversion"/>
  </si>
  <si>
    <t>진동파일해머(유압식)</t>
    <phoneticPr fontId="5" type="noConversion"/>
  </si>
  <si>
    <t>0230-0006</t>
    <phoneticPr fontId="5" type="noConversion"/>
  </si>
  <si>
    <t>40.64㎝</t>
    <phoneticPr fontId="5" type="noConversion"/>
  </si>
  <si>
    <t>7620-0003</t>
    <phoneticPr fontId="5" type="noConversion"/>
  </si>
  <si>
    <t>11.19㎾</t>
    <phoneticPr fontId="5" type="noConversion"/>
  </si>
  <si>
    <t>양로기</t>
    <phoneticPr fontId="5" type="noConversion"/>
  </si>
  <si>
    <t>7954-1119</t>
    <phoneticPr fontId="5" type="noConversion"/>
  </si>
  <si>
    <t>1.49㎾</t>
    <phoneticPr fontId="5" type="noConversion"/>
  </si>
  <si>
    <t>7950-0149</t>
    <phoneticPr fontId="5" type="noConversion"/>
  </si>
  <si>
    <t>레일천공기</t>
    <phoneticPr fontId="5" type="noConversion"/>
  </si>
  <si>
    <t>7951-0066</t>
    <phoneticPr fontId="5" type="noConversion"/>
  </si>
  <si>
    <t>파워렌치</t>
    <phoneticPr fontId="5" type="noConversion"/>
  </si>
  <si>
    <t>6.6㎾</t>
    <phoneticPr fontId="5" type="noConversion"/>
  </si>
  <si>
    <t>침목천공기</t>
    <phoneticPr fontId="5" type="noConversion"/>
  </si>
  <si>
    <t>2.46㎾</t>
    <phoneticPr fontId="5" type="noConversion"/>
  </si>
  <si>
    <t>7952-0246</t>
    <phoneticPr fontId="5" type="noConversion"/>
  </si>
  <si>
    <t>타이템퍼</t>
    <phoneticPr fontId="5" type="noConversion"/>
  </si>
  <si>
    <t>9020-0035</t>
  </si>
  <si>
    <t>9020-0050</t>
  </si>
  <si>
    <t>9020-0160</t>
  </si>
  <si>
    <t>9020-0180</t>
  </si>
  <si>
    <t>9020-0200</t>
  </si>
  <si>
    <t>112㎾(1.00㎥)</t>
    <phoneticPr fontId="5" type="noConversion"/>
  </si>
  <si>
    <t>119㎾(1.50㎥)</t>
    <phoneticPr fontId="5" type="noConversion"/>
  </si>
  <si>
    <t>164㎾(3.00㎥)</t>
    <phoneticPr fontId="5" type="noConversion"/>
  </si>
  <si>
    <t>1,790㎾</t>
    <phoneticPr fontId="5" type="noConversion"/>
  </si>
  <si>
    <t>240ton</t>
    <phoneticPr fontId="5" type="noConversion"/>
  </si>
  <si>
    <t>9030-0016</t>
  </si>
  <si>
    <t>9030-0018</t>
  </si>
  <si>
    <t>9030-0025</t>
  </si>
  <si>
    <t>9030-0035</t>
  </si>
  <si>
    <t>9030-0045</t>
  </si>
  <si>
    <t>9030-0080</t>
  </si>
  <si>
    <t>9030-0100</t>
  </si>
  <si>
    <t>9030-0240</t>
  </si>
  <si>
    <t>507.3㎾</t>
    <phoneticPr fontId="5" type="noConversion"/>
  </si>
  <si>
    <t>9040-0200</t>
  </si>
  <si>
    <t>9040-0250</t>
  </si>
  <si>
    <t>9040-0300</t>
  </si>
  <si>
    <t>9040-0380</t>
  </si>
  <si>
    <t>9040-0680</t>
  </si>
  <si>
    <t>600㎥</t>
    <phoneticPr fontId="5" type="noConversion"/>
  </si>
  <si>
    <t>9060-0060</t>
    <phoneticPr fontId="5" type="noConversion"/>
  </si>
  <si>
    <t>9060-0100</t>
    <phoneticPr fontId="5" type="noConversion"/>
  </si>
  <si>
    <t>5202-0240</t>
  </si>
  <si>
    <t>300ton</t>
  </si>
  <si>
    <t>5202-0300</t>
  </si>
  <si>
    <t>5203-1800</t>
  </si>
  <si>
    <t>5203-2200</t>
  </si>
  <si>
    <t>5203-2700</t>
  </si>
  <si>
    <t>5203-3500</t>
  </si>
  <si>
    <t>5203-4500</t>
  </si>
  <si>
    <t>5205-0035</t>
  </si>
  <si>
    <t>5205-0071</t>
  </si>
  <si>
    <t>5205-0103</t>
  </si>
  <si>
    <t>5205-0170</t>
  </si>
  <si>
    <t>5205-0210</t>
  </si>
  <si>
    <t>9050-0150</t>
    <phoneticPr fontId="5" type="noConversion"/>
  </si>
  <si>
    <t>9050-0450</t>
    <phoneticPr fontId="5" type="noConversion"/>
  </si>
  <si>
    <t>9050-0750</t>
    <phoneticPr fontId="5" type="noConversion"/>
  </si>
  <si>
    <t>9050-0850</t>
    <phoneticPr fontId="5" type="noConversion"/>
  </si>
  <si>
    <t>9070-0015</t>
    <phoneticPr fontId="5" type="noConversion"/>
  </si>
  <si>
    <t>9070-0020</t>
    <phoneticPr fontId="5" type="noConversion"/>
  </si>
  <si>
    <t>24m</t>
  </si>
  <si>
    <t>31m</t>
  </si>
  <si>
    <t>36m</t>
  </si>
  <si>
    <t>2115-0024</t>
  </si>
  <si>
    <t>2115-0031</t>
  </si>
  <si>
    <t>2115-0036</t>
  </si>
  <si>
    <t>80㎏</t>
    <phoneticPr fontId="5" type="noConversion"/>
  </si>
  <si>
    <t>320-400㎜</t>
    <phoneticPr fontId="5" type="noConversion"/>
  </si>
  <si>
    <t>0406-0161</t>
  </si>
  <si>
    <t>0406-0206</t>
  </si>
  <si>
    <t>0407-0054</t>
  </si>
  <si>
    <t>0407-0092</t>
  </si>
  <si>
    <t>0407-0107</t>
  </si>
  <si>
    <t>0407-0161</t>
  </si>
  <si>
    <t>0407-0206</t>
  </si>
  <si>
    <t>0502-0036</t>
  </si>
  <si>
    <t>2.5ton</t>
  </si>
  <si>
    <t>4.5ton</t>
  </si>
  <si>
    <t>6.0ton</t>
  </si>
  <si>
    <t>0602-0025</t>
  </si>
  <si>
    <t>0602-0045</t>
  </si>
  <si>
    <t>0602-0060</t>
  </si>
  <si>
    <t>1506-0032</t>
    <phoneticPr fontId="5" type="noConversion"/>
  </si>
  <si>
    <t>32ton</t>
    <phoneticPr fontId="5" type="noConversion"/>
  </si>
  <si>
    <t>8ton</t>
  </si>
  <si>
    <t>엔진(디젤)</t>
  </si>
  <si>
    <t>2602-0025</t>
    <phoneticPr fontId="5" type="noConversion"/>
  </si>
  <si>
    <t>7811-0045</t>
  </si>
  <si>
    <t>7811-0070</t>
  </si>
  <si>
    <t>7811-0120</t>
  </si>
  <si>
    <t>7812-0005</t>
  </si>
  <si>
    <t>7812-0007</t>
  </si>
  <si>
    <t>7812-0009</t>
  </si>
  <si>
    <t>7812-0015</t>
  </si>
  <si>
    <t>7812-0018</t>
  </si>
  <si>
    <t>7812-0020</t>
  </si>
  <si>
    <t>7812-0035</t>
  </si>
  <si>
    <t>7812-0070</t>
  </si>
  <si>
    <t>7812-0100</t>
  </si>
  <si>
    <t>7812-0150</t>
  </si>
  <si>
    <t>7812-0200</t>
  </si>
  <si>
    <t>7930-0001</t>
  </si>
  <si>
    <t>7930-0002</t>
  </si>
  <si>
    <t>7930-0003</t>
  </si>
  <si>
    <t>7930-0005</t>
  </si>
  <si>
    <t>7930-0007</t>
  </si>
  <si>
    <t>7930-0010</t>
  </si>
  <si>
    <t>7930-0015</t>
  </si>
  <si>
    <t>7930-0020</t>
  </si>
  <si>
    <t>7930-0025</t>
  </si>
  <si>
    <t>7930-0030</t>
  </si>
  <si>
    <t>400Amp</t>
    <phoneticPr fontId="5" type="noConversion"/>
  </si>
  <si>
    <t>200㎏/㎠</t>
    <phoneticPr fontId="5" type="noConversion"/>
  </si>
  <si>
    <t>10.3㎥/min</t>
    <phoneticPr fontId="5" type="noConversion"/>
  </si>
  <si>
    <t>17.0㎥/min</t>
    <phoneticPr fontId="5" type="noConversion"/>
  </si>
  <si>
    <t>0.7㎥</t>
    <phoneticPr fontId="5" type="noConversion"/>
  </si>
  <si>
    <t>2.7㎥/min</t>
    <phoneticPr fontId="5" type="noConversion"/>
  </si>
  <si>
    <t>11ton</t>
    <phoneticPr fontId="5" type="noConversion"/>
  </si>
  <si>
    <t>3ton</t>
    <phoneticPr fontId="5" type="noConversion"/>
  </si>
  <si>
    <t>2ton</t>
    <phoneticPr fontId="5" type="noConversion"/>
  </si>
  <si>
    <t>경유</t>
  </si>
  <si>
    <t>분류번호</t>
  </si>
  <si>
    <t>구분</t>
  </si>
  <si>
    <t>규격</t>
  </si>
  <si>
    <t>단위</t>
  </si>
  <si>
    <t>단가</t>
  </si>
  <si>
    <t>7ton</t>
  </si>
  <si>
    <t>10ton</t>
  </si>
  <si>
    <t>12ton</t>
  </si>
  <si>
    <t>중유</t>
  </si>
  <si>
    <t>수량</t>
  </si>
  <si>
    <t>금액</t>
  </si>
  <si>
    <t>트랜처</t>
    <phoneticPr fontId="5" type="noConversion"/>
  </si>
  <si>
    <t>3,800ℓ</t>
    <phoneticPr fontId="5" type="noConversion"/>
  </si>
  <si>
    <t>0.2㎥</t>
    <phoneticPr fontId="5" type="noConversion"/>
  </si>
  <si>
    <t>7206-0020</t>
    <phoneticPr fontId="5" type="noConversion"/>
  </si>
  <si>
    <t>597㎾</t>
  </si>
  <si>
    <t>1,119㎾</t>
  </si>
  <si>
    <t>970㎾</t>
  </si>
  <si>
    <t>1,044㎾</t>
  </si>
  <si>
    <t>1,194㎾</t>
  </si>
  <si>
    <t>24ton</t>
    <phoneticPr fontId="5" type="noConversion"/>
  </si>
  <si>
    <t>1209-0001</t>
  </si>
  <si>
    <t>1209-0002</t>
  </si>
  <si>
    <t>1209-0004</t>
  </si>
  <si>
    <t>6ton</t>
  </si>
  <si>
    <t>1209-0006</t>
  </si>
  <si>
    <t>1209-0007</t>
  </si>
  <si>
    <t>1209-0008</t>
  </si>
  <si>
    <t>25㎾</t>
  </si>
  <si>
    <t>50㎾</t>
  </si>
  <si>
    <t>100㎾</t>
  </si>
  <si>
    <t>125㎾</t>
  </si>
  <si>
    <t>150㎾</t>
  </si>
  <si>
    <t>200㎾</t>
  </si>
  <si>
    <t>250㎾</t>
  </si>
  <si>
    <t>350㎾</t>
  </si>
  <si>
    <t>450㎾</t>
  </si>
  <si>
    <t>500㎾</t>
  </si>
  <si>
    <t>700㎾</t>
  </si>
  <si>
    <t>20-75㎜</t>
  </si>
  <si>
    <t>5.08~15.24㎝</t>
  </si>
  <si>
    <t>80㎜</t>
  </si>
  <si>
    <t>100㎜</t>
  </si>
  <si>
    <t>150㎜</t>
  </si>
  <si>
    <t>7730-0125</t>
    <phoneticPr fontId="5" type="noConversion"/>
  </si>
  <si>
    <t>11.94㎾</t>
  </si>
  <si>
    <t>18.65㎾</t>
  </si>
  <si>
    <t>1.87㎾</t>
  </si>
  <si>
    <t>2104-0010</t>
  </si>
  <si>
    <t>2104-0015</t>
  </si>
  <si>
    <t>2104-0020</t>
  </si>
  <si>
    <t>2104-0025</t>
  </si>
  <si>
    <t>2104-0030</t>
  </si>
  <si>
    <t>2104-0035</t>
  </si>
  <si>
    <t>45ton</t>
  </si>
  <si>
    <t>2104-0040</t>
  </si>
  <si>
    <t>2104-0045</t>
  </si>
  <si>
    <t>2104-0050</t>
  </si>
  <si>
    <t>60ton</t>
  </si>
  <si>
    <t>2104-0060</t>
  </si>
  <si>
    <t>2104-0070</t>
  </si>
  <si>
    <t>2104-0080</t>
  </si>
  <si>
    <t>2104-0100</t>
  </si>
  <si>
    <t>2105-0003</t>
  </si>
  <si>
    <t>7205-0125</t>
    <phoneticPr fontId="5" type="noConversion"/>
  </si>
  <si>
    <t>2105-0005</t>
  </si>
  <si>
    <t>60㎜x1,000m</t>
  </si>
  <si>
    <t>ℓ</t>
  </si>
  <si>
    <t>잡품</t>
  </si>
  <si>
    <t>준설선선장</t>
  </si>
  <si>
    <t>인</t>
  </si>
  <si>
    <t>준설선기관사</t>
  </si>
  <si>
    <t>준설선운전사</t>
  </si>
  <si>
    <t>111.90㎾</t>
  </si>
  <si>
    <t>149.20㎾</t>
  </si>
  <si>
    <t>40㎾</t>
  </si>
  <si>
    <t>90㎾</t>
  </si>
  <si>
    <t>120㎾</t>
    <phoneticPr fontId="5" type="noConversion"/>
  </si>
  <si>
    <t>9040-0010</t>
    <phoneticPr fontId="5" type="noConversion"/>
  </si>
  <si>
    <t>9040-0030</t>
    <phoneticPr fontId="5" type="noConversion"/>
  </si>
  <si>
    <t>9040-0050</t>
    <phoneticPr fontId="5" type="noConversion"/>
  </si>
  <si>
    <t>9040-0060</t>
    <phoneticPr fontId="5" type="noConversion"/>
  </si>
  <si>
    <t>9040-0100</t>
    <phoneticPr fontId="5" type="noConversion"/>
  </si>
  <si>
    <t>9040-0120</t>
    <phoneticPr fontId="5" type="noConversion"/>
  </si>
  <si>
    <t>60㎾</t>
  </si>
  <si>
    <t>2.7㎥/min</t>
  </si>
  <si>
    <t>5801-0070</t>
    <phoneticPr fontId="5" type="noConversion"/>
  </si>
  <si>
    <t>127ton</t>
    <phoneticPr fontId="5" type="noConversion"/>
  </si>
  <si>
    <t>5119-0625</t>
    <phoneticPr fontId="5" type="noConversion"/>
  </si>
  <si>
    <t>180-195㎜</t>
  </si>
  <si>
    <t>220-235㎜</t>
  </si>
  <si>
    <t>270-330㎜</t>
  </si>
  <si>
    <t>450-510㎜</t>
  </si>
  <si>
    <t>10ton(0.29㎥)</t>
    <phoneticPr fontId="5" type="noConversion"/>
  </si>
  <si>
    <t>15ton(0.38㎥)</t>
    <phoneticPr fontId="5" type="noConversion"/>
  </si>
  <si>
    <t>20ton(0.57㎥)</t>
    <phoneticPr fontId="5" type="noConversion"/>
  </si>
  <si>
    <t>25ton(0.76㎥)</t>
    <phoneticPr fontId="5" type="noConversion"/>
  </si>
  <si>
    <t>30ton(1.15㎥)</t>
    <phoneticPr fontId="5" type="noConversion"/>
  </si>
  <si>
    <t>3601-0402</t>
    <phoneticPr fontId="5" type="noConversion"/>
  </si>
  <si>
    <t>덤프트럭</t>
  </si>
  <si>
    <t>0102-0015</t>
  </si>
  <si>
    <t>0102-0028</t>
  </si>
  <si>
    <t>0102-0033</t>
  </si>
  <si>
    <t>4ton</t>
  </si>
  <si>
    <t>7613-0075</t>
  </si>
  <si>
    <t>7613-0150</t>
  </si>
  <si>
    <t>7613-0300</t>
  </si>
  <si>
    <t>7613-0400</t>
  </si>
  <si>
    <t>7613-0600</t>
  </si>
  <si>
    <t>7620-0002</t>
  </si>
  <si>
    <t>70ton</t>
  </si>
  <si>
    <t>5204-0200</t>
    <phoneticPr fontId="5" type="noConversion"/>
  </si>
  <si>
    <t>5204-0400</t>
    <phoneticPr fontId="5" type="noConversion"/>
  </si>
  <si>
    <t>5204-0500</t>
    <phoneticPr fontId="5" type="noConversion"/>
  </si>
  <si>
    <t>5204-0600</t>
    <phoneticPr fontId="5" type="noConversion"/>
  </si>
  <si>
    <t>400ton</t>
    <phoneticPr fontId="5" type="noConversion"/>
  </si>
  <si>
    <t>500ton</t>
    <phoneticPr fontId="5" type="noConversion"/>
  </si>
  <si>
    <t>600ton</t>
    <phoneticPr fontId="5" type="noConversion"/>
  </si>
  <si>
    <t>2101-0040</t>
  </si>
  <si>
    <t>2101-0050</t>
  </si>
  <si>
    <t>2101-0070</t>
  </si>
  <si>
    <t>80ton</t>
  </si>
  <si>
    <t>초고압펌프</t>
  </si>
  <si>
    <t>20.6㎥</t>
  </si>
  <si>
    <t>9.2㎥</t>
  </si>
  <si>
    <t>10.7㎥</t>
  </si>
  <si>
    <t>덤프 15ton용</t>
  </si>
  <si>
    <t>6530-0045</t>
  </si>
  <si>
    <t>6530-0090</t>
  </si>
  <si>
    <t>6532-0220</t>
  </si>
  <si>
    <t>6630-0003</t>
  </si>
  <si>
    <t>6630-0005</t>
  </si>
  <si>
    <t>6630-0007</t>
  </si>
  <si>
    <t>6630-0010</t>
  </si>
  <si>
    <t>6630-0013</t>
  </si>
  <si>
    <t>6550-0130</t>
  </si>
  <si>
    <t>7101-0450</t>
  </si>
  <si>
    <t>7103-0010</t>
  </si>
  <si>
    <t>하수관천공기</t>
  </si>
  <si>
    <t>0.12㎥</t>
  </si>
  <si>
    <t>0.4㎥</t>
  </si>
  <si>
    <t>0201-0060</t>
    <phoneticPr fontId="5" type="noConversion"/>
  </si>
  <si>
    <t>0201-0080</t>
    <phoneticPr fontId="5" type="noConversion"/>
  </si>
  <si>
    <t>1.2㎥</t>
    <phoneticPr fontId="5" type="noConversion"/>
  </si>
  <si>
    <t>2.0㎥</t>
  </si>
  <si>
    <t>0201-0120</t>
    <phoneticPr fontId="5" type="noConversion"/>
  </si>
  <si>
    <t>0.18㎥</t>
    <phoneticPr fontId="5" type="noConversion"/>
  </si>
  <si>
    <t>0.7㎥</t>
  </si>
  <si>
    <t>3.5㎥/min</t>
  </si>
  <si>
    <t>7.1㎥/min</t>
  </si>
  <si>
    <t>10.3㎥/min</t>
  </si>
  <si>
    <t>17.0㎥/min</t>
  </si>
  <si>
    <t>21.0㎥/min</t>
  </si>
  <si>
    <t>25.5㎥/min</t>
  </si>
  <si>
    <t xml:space="preserve"> </t>
    <phoneticPr fontId="5" type="noConversion"/>
  </si>
  <si>
    <t>잡재료비</t>
    <phoneticPr fontId="5" type="noConversion"/>
  </si>
  <si>
    <t>15.24㎝</t>
  </si>
  <si>
    <t>25.4㎝</t>
  </si>
  <si>
    <t>2105-0010</t>
    <phoneticPr fontId="5" type="noConversion"/>
  </si>
  <si>
    <t>2105-0015</t>
    <phoneticPr fontId="5" type="noConversion"/>
  </si>
  <si>
    <t>2105-0018</t>
    <phoneticPr fontId="5" type="noConversion"/>
  </si>
  <si>
    <t>0.57㎥</t>
  </si>
  <si>
    <t>0.76㎥</t>
  </si>
  <si>
    <t>0.95㎥</t>
  </si>
  <si>
    <t>지게차</t>
    <phoneticPr fontId="5" type="noConversion"/>
  </si>
  <si>
    <t>2.0ton</t>
    <phoneticPr fontId="5" type="noConversion"/>
  </si>
  <si>
    <t>2.2ton</t>
    <phoneticPr fontId="5" type="noConversion"/>
  </si>
  <si>
    <t>3.2ton</t>
    <phoneticPr fontId="5" type="noConversion"/>
  </si>
  <si>
    <t>2,200×5,150×1,000</t>
    <phoneticPr fontId="5" type="noConversion"/>
  </si>
  <si>
    <t>롤 크러셔</t>
    <phoneticPr fontId="5" type="noConversion"/>
  </si>
  <si>
    <t>40.5㎜x150m</t>
  </si>
  <si>
    <t>50㎜x200m</t>
  </si>
  <si>
    <t>50㎜x300m</t>
  </si>
  <si>
    <t>42㎜x400m</t>
  </si>
  <si>
    <t>66.7㎜x500m</t>
  </si>
  <si>
    <t>66.7㎜x850m</t>
  </si>
  <si>
    <t>0211-0080</t>
  </si>
  <si>
    <t>0211-0100</t>
  </si>
  <si>
    <t>9090-1600</t>
  </si>
  <si>
    <t>479㎾</t>
  </si>
  <si>
    <t>1.5m(3.7㎾)</t>
  </si>
  <si>
    <t>3.6m(9.0㎾)</t>
  </si>
  <si>
    <t>5118-0001</t>
  </si>
  <si>
    <t>5118-0002</t>
  </si>
  <si>
    <t>5118-0003</t>
  </si>
  <si>
    <t>5118-0004</t>
  </si>
  <si>
    <t>5118-0005</t>
  </si>
  <si>
    <t>5118-0006</t>
  </si>
  <si>
    <t>5118-0007</t>
  </si>
  <si>
    <t>127ton</t>
  </si>
  <si>
    <t>240ton</t>
  </si>
  <si>
    <t>5202-0127</t>
  </si>
  <si>
    <t>경유</t>
    <phoneticPr fontId="5" type="noConversion"/>
  </si>
  <si>
    <t>동력</t>
  </si>
  <si>
    <t>5901-0006</t>
  </si>
  <si>
    <t>5901-0010</t>
  </si>
  <si>
    <t>6105-0190</t>
  </si>
  <si>
    <t>6105-0390</t>
  </si>
  <si>
    <t>16ton</t>
    <phoneticPr fontId="5" type="noConversion"/>
  </si>
  <si>
    <t>7953-3400</t>
    <phoneticPr fontId="5" type="noConversion"/>
  </si>
  <si>
    <t>1,000ton</t>
    <phoneticPr fontId="5" type="noConversion"/>
  </si>
  <si>
    <t>1,100ton</t>
    <phoneticPr fontId="5" type="noConversion"/>
  </si>
  <si>
    <t>1,400ton</t>
    <phoneticPr fontId="5" type="noConversion"/>
  </si>
  <si>
    <t>1,500ton</t>
    <phoneticPr fontId="5" type="noConversion"/>
  </si>
  <si>
    <t>1,750ton</t>
    <phoneticPr fontId="5" type="noConversion"/>
  </si>
  <si>
    <t>2,000ton</t>
    <phoneticPr fontId="5" type="noConversion"/>
  </si>
  <si>
    <t>3,000ton</t>
    <phoneticPr fontId="5" type="noConversion"/>
  </si>
  <si>
    <t>9060-0200</t>
    <phoneticPr fontId="5" type="noConversion"/>
  </si>
  <si>
    <t>9060-0300</t>
    <phoneticPr fontId="5" type="noConversion"/>
  </si>
  <si>
    <t>9060-0500</t>
    <phoneticPr fontId="5" type="noConversion"/>
  </si>
  <si>
    <t>9060-0600</t>
    <phoneticPr fontId="5" type="noConversion"/>
  </si>
  <si>
    <t>9050-0075</t>
    <phoneticPr fontId="5" type="noConversion"/>
  </si>
  <si>
    <t>9080-0050</t>
  </si>
  <si>
    <t>9080-0080</t>
  </si>
  <si>
    <t>9080-0100</t>
  </si>
  <si>
    <t>9080-0120</t>
  </si>
  <si>
    <t>9080-0150</t>
  </si>
  <si>
    <t>9080-0200</t>
  </si>
  <si>
    <t>9080-0300</t>
  </si>
  <si>
    <t>9080-0500</t>
  </si>
  <si>
    <t>9080-0700</t>
  </si>
  <si>
    <t>9080-1000</t>
  </si>
  <si>
    <t>9080-1100</t>
  </si>
  <si>
    <t>9080-1400</t>
  </si>
  <si>
    <t>9080-1500</t>
  </si>
  <si>
    <t>9080-1750</t>
  </si>
  <si>
    <t>9080-2000</t>
  </si>
  <si>
    <t>9080-3000</t>
  </si>
  <si>
    <t>120ton</t>
  </si>
  <si>
    <t>9090-0800</t>
  </si>
  <si>
    <t>9090-1000</t>
  </si>
  <si>
    <t>9090-1200</t>
  </si>
  <si>
    <t>9090-1300</t>
  </si>
  <si>
    <t>9090-1400</t>
  </si>
  <si>
    <t>9090-1500</t>
  </si>
  <si>
    <t>경운기</t>
    <phoneticPr fontId="5" type="noConversion"/>
  </si>
  <si>
    <t>10ton</t>
    <phoneticPr fontId="5" type="noConversion"/>
  </si>
  <si>
    <t>0.4㎥</t>
    <phoneticPr fontId="5" type="noConversion"/>
  </si>
  <si>
    <t>20-75㎜</t>
    <phoneticPr fontId="5" type="noConversion"/>
  </si>
  <si>
    <t>0.76㎥</t>
    <phoneticPr fontId="5" type="noConversion"/>
  </si>
  <si>
    <t>1.34㎥</t>
    <phoneticPr fontId="5" type="noConversion"/>
  </si>
  <si>
    <t>11.5㎥</t>
    <phoneticPr fontId="5" type="noConversion"/>
  </si>
  <si>
    <t>125㎾</t>
    <phoneticPr fontId="5" type="noConversion"/>
  </si>
  <si>
    <t>취부기</t>
    <phoneticPr fontId="5" type="noConversion"/>
  </si>
  <si>
    <t>100㎾</t>
    <phoneticPr fontId="5" type="noConversion"/>
  </si>
  <si>
    <t>150㎾</t>
    <phoneticPr fontId="5" type="noConversion"/>
  </si>
  <si>
    <t>100㎜</t>
    <phoneticPr fontId="5" type="noConversion"/>
  </si>
  <si>
    <t>746㎾</t>
  </si>
  <si>
    <t>895㎾</t>
  </si>
  <si>
    <t>1.0㎥</t>
    <phoneticPr fontId="5" type="noConversion"/>
  </si>
  <si>
    <t>1630-0080</t>
  </si>
  <si>
    <t>2101-0010</t>
  </si>
  <si>
    <t>59.68㎾</t>
  </si>
  <si>
    <t>74.60㎾</t>
  </si>
  <si>
    <t>89.52㎾</t>
  </si>
  <si>
    <t>1ton</t>
  </si>
  <si>
    <t>2ton</t>
  </si>
  <si>
    <t>6ton</t>
    <phoneticPr fontId="5" type="noConversion"/>
  </si>
  <si>
    <t>1406-0008</t>
  </si>
  <si>
    <t>1406-0015</t>
  </si>
  <si>
    <t>1406-0025</t>
  </si>
  <si>
    <t>1506-0011</t>
  </si>
  <si>
    <t>1506-0012</t>
  </si>
  <si>
    <t>1506-0015</t>
  </si>
  <si>
    <t>25ton</t>
  </si>
  <si>
    <t>30ton</t>
  </si>
  <si>
    <t>1506-0019</t>
  </si>
  <si>
    <t>1506-0025</t>
  </si>
  <si>
    <t>1506-0030</t>
  </si>
  <si>
    <t>37ton</t>
  </si>
  <si>
    <t>1506-0037</t>
  </si>
  <si>
    <t>150㎜</t>
    <phoneticPr fontId="5" type="noConversion"/>
  </si>
  <si>
    <t>8.95㎾</t>
    <phoneticPr fontId="5" type="noConversion"/>
  </si>
  <si>
    <t>100Amp</t>
  </si>
  <si>
    <t>2602-0035</t>
  </si>
  <si>
    <t>2602-0045</t>
  </si>
  <si>
    <t>2702-0020</t>
  </si>
  <si>
    <t>2702-0030</t>
  </si>
  <si>
    <t>2702-0040</t>
  </si>
  <si>
    <t>2702-0060</t>
  </si>
  <si>
    <t>3108-0040</t>
  </si>
  <si>
    <t>3108-0060</t>
  </si>
  <si>
    <t>3108-0080</t>
  </si>
  <si>
    <t>3108-0100</t>
  </si>
  <si>
    <t>인</t>
    <phoneticPr fontId="5" type="noConversion"/>
  </si>
  <si>
    <t>6.0(L)</t>
    <phoneticPr fontId="5" type="noConversion"/>
  </si>
  <si>
    <t>3801-0120</t>
    <phoneticPr fontId="5" type="noConversion"/>
  </si>
  <si>
    <t>덤프트럭자동덮개시설</t>
    <phoneticPr fontId="5" type="noConversion"/>
  </si>
  <si>
    <t>7.0m</t>
    <phoneticPr fontId="5" type="noConversion"/>
  </si>
  <si>
    <t>1,000㎜</t>
    <phoneticPr fontId="5" type="noConversion"/>
  </si>
  <si>
    <t>0.7ton</t>
    <phoneticPr fontId="5" type="noConversion"/>
  </si>
  <si>
    <t>1ton</t>
    <phoneticPr fontId="5" type="noConversion"/>
  </si>
  <si>
    <t>100ton/hr(200㎾)</t>
    <phoneticPr fontId="5" type="noConversion"/>
  </si>
  <si>
    <t>120ton/hr(240㎾)</t>
    <phoneticPr fontId="5" type="noConversion"/>
  </si>
  <si>
    <t>5701-0020</t>
    <phoneticPr fontId="5" type="noConversion"/>
  </si>
  <si>
    <t>2.0m</t>
    <phoneticPr fontId="5" type="noConversion"/>
  </si>
  <si>
    <t>3901-0300</t>
    <phoneticPr fontId="5" type="noConversion"/>
  </si>
  <si>
    <t>0211-0018</t>
    <phoneticPr fontId="5" type="noConversion"/>
  </si>
  <si>
    <t>280ton</t>
    <phoneticPr fontId="5" type="noConversion"/>
  </si>
  <si>
    <t>130ton</t>
    <phoneticPr fontId="5" type="noConversion"/>
  </si>
  <si>
    <t>160ton</t>
    <phoneticPr fontId="5" type="noConversion"/>
  </si>
  <si>
    <t>200ton</t>
    <phoneticPr fontId="5" type="noConversion"/>
  </si>
  <si>
    <t>250ton</t>
    <phoneticPr fontId="5" type="noConversion"/>
  </si>
  <si>
    <t>1209-0013</t>
  </si>
  <si>
    <t>1305-0007</t>
  </si>
  <si>
    <t>1306-0025</t>
  </si>
  <si>
    <t>1306-0044</t>
  </si>
  <si>
    <t>1306-0060</t>
  </si>
  <si>
    <t>3ton</t>
  </si>
  <si>
    <t>5ton</t>
  </si>
  <si>
    <t>11ton</t>
  </si>
  <si>
    <t>건설기계운전사</t>
    <phoneticPr fontId="5" type="noConversion"/>
  </si>
  <si>
    <t>7202-0008</t>
    <phoneticPr fontId="5" type="noConversion"/>
  </si>
  <si>
    <t>7202-0010</t>
    <phoneticPr fontId="5" type="noConversion"/>
  </si>
  <si>
    <t>2,650×5,160×1,000</t>
    <phoneticPr fontId="5" type="noConversion"/>
  </si>
  <si>
    <t>6701-0147</t>
    <phoneticPr fontId="5" type="noConversion"/>
  </si>
  <si>
    <t>6701-0184</t>
    <phoneticPr fontId="5" type="noConversion"/>
  </si>
  <si>
    <t>휘발유</t>
  </si>
  <si>
    <t>0101-0007</t>
  </si>
  <si>
    <t>대</t>
  </si>
  <si>
    <t>〃</t>
  </si>
  <si>
    <t>0101-0012</t>
  </si>
  <si>
    <t>7991-0100</t>
    <phoneticPr fontId="5" type="noConversion"/>
  </si>
  <si>
    <t>7995-0050</t>
    <phoneticPr fontId="5" type="noConversion"/>
  </si>
  <si>
    <t>7106-0035</t>
  </si>
  <si>
    <t>2116-0031</t>
    <phoneticPr fontId="5" type="noConversion"/>
  </si>
  <si>
    <t>31m</t>
    <phoneticPr fontId="5" type="noConversion"/>
  </si>
  <si>
    <t>2117-0022</t>
    <phoneticPr fontId="5" type="noConversion"/>
  </si>
  <si>
    <t>0211-0060</t>
    <phoneticPr fontId="5" type="noConversion"/>
  </si>
  <si>
    <t>0.8㎥</t>
    <phoneticPr fontId="5" type="noConversion"/>
  </si>
  <si>
    <t>0250-0080</t>
    <phoneticPr fontId="5" type="noConversion"/>
  </si>
  <si>
    <t>코아드릴</t>
  </si>
  <si>
    <t>5,500ℓ</t>
  </si>
  <si>
    <t>30㎾</t>
  </si>
  <si>
    <t>45㎾</t>
  </si>
  <si>
    <t>7730-0050</t>
  </si>
  <si>
    <t>19ton</t>
  </si>
  <si>
    <t>32ton</t>
  </si>
  <si>
    <t>0101-0019</t>
  </si>
  <si>
    <t>0101-0032</t>
  </si>
  <si>
    <t>15ton</t>
  </si>
  <si>
    <t>2105-0002</t>
    <phoneticPr fontId="5" type="noConversion"/>
  </si>
  <si>
    <t>9020-0010</t>
  </si>
  <si>
    <t>9020-0015</t>
  </si>
  <si>
    <t>9020-0016</t>
  </si>
  <si>
    <t>9020-0022</t>
  </si>
  <si>
    <t>5805-0002</t>
    <phoneticPr fontId="5" type="noConversion"/>
  </si>
  <si>
    <t>9020-0072</t>
  </si>
  <si>
    <t>9030-0050</t>
  </si>
  <si>
    <t>7730-0080</t>
  </si>
  <si>
    <t>7730-0100</t>
  </si>
  <si>
    <t>7730-0150</t>
  </si>
  <si>
    <t>7740-0080</t>
  </si>
  <si>
    <t>7740-0100</t>
  </si>
  <si>
    <t>7740-0150</t>
  </si>
  <si>
    <t>7750-0016</t>
  </si>
  <si>
    <t>7750-0025</t>
  </si>
  <si>
    <t>7770-0004</t>
  </si>
  <si>
    <t>실사출기</t>
  </si>
  <si>
    <t>7811-0025</t>
  </si>
  <si>
    <t>7811-0030</t>
  </si>
  <si>
    <t>7811-0040</t>
  </si>
  <si>
    <t>5204-0300</t>
    <phoneticPr fontId="5" type="noConversion"/>
  </si>
  <si>
    <t>2101-0015</t>
  </si>
  <si>
    <t>2101-0020</t>
  </si>
  <si>
    <t>35ton</t>
  </si>
  <si>
    <t>2101-0025</t>
  </si>
  <si>
    <t>2101-0030</t>
  </si>
  <si>
    <t>2101-0035</t>
  </si>
  <si>
    <t>40ton</t>
  </si>
  <si>
    <t>50ton</t>
  </si>
  <si>
    <t>건설기계운전사</t>
  </si>
  <si>
    <t>재료비</t>
  </si>
  <si>
    <t>0610-0200</t>
    <phoneticPr fontId="5" type="noConversion"/>
  </si>
  <si>
    <t>0610-0240</t>
    <phoneticPr fontId="5" type="noConversion"/>
  </si>
  <si>
    <t>덤프 20ton용</t>
    <phoneticPr fontId="5" type="noConversion"/>
  </si>
  <si>
    <t>덤프 24ton용</t>
    <phoneticPr fontId="5" type="noConversion"/>
  </si>
  <si>
    <t>5116-0007</t>
  </si>
  <si>
    <t>5116-0008</t>
  </si>
  <si>
    <t>5117-0001</t>
  </si>
  <si>
    <t>5117-0002</t>
  </si>
  <si>
    <t>5117-0003</t>
  </si>
  <si>
    <t>5117-0004</t>
  </si>
  <si>
    <t>5117-0005</t>
  </si>
  <si>
    <t>5117-0006</t>
  </si>
  <si>
    <t>5117-0007</t>
  </si>
  <si>
    <t>5117-0008</t>
  </si>
  <si>
    <t>모터</t>
  </si>
  <si>
    <t>발전기</t>
  </si>
  <si>
    <t>배관파이프</t>
  </si>
  <si>
    <t>0250-0100</t>
    <phoneticPr fontId="5" type="noConversion"/>
  </si>
  <si>
    <t>압쇄기(펄버라이저)</t>
    <phoneticPr fontId="5" type="noConversion"/>
  </si>
  <si>
    <t>3601-0204</t>
    <phoneticPr fontId="5" type="noConversion"/>
  </si>
  <si>
    <t>0602-0150</t>
  </si>
  <si>
    <t>20ton</t>
  </si>
  <si>
    <t>0602-0200</t>
  </si>
  <si>
    <t>1106-0010</t>
  </si>
  <si>
    <t>1106-0012</t>
  </si>
  <si>
    <t>1106-0015</t>
  </si>
  <si>
    <t>1206-0008</t>
  </si>
  <si>
    <t>1206-0010</t>
  </si>
  <si>
    <t>1206-0014</t>
  </si>
  <si>
    <t>35ton(1.33㎥)</t>
    <phoneticPr fontId="5" type="noConversion"/>
  </si>
  <si>
    <t>40ton(1.53㎥)</t>
    <phoneticPr fontId="5" type="noConversion"/>
  </si>
  <si>
    <t>50ton(1.91㎥)</t>
    <phoneticPr fontId="5" type="noConversion"/>
  </si>
  <si>
    <t>70ton(2.29㎥)</t>
    <phoneticPr fontId="5" type="noConversion"/>
  </si>
  <si>
    <t>4205-0030</t>
  </si>
  <si>
    <t>4205-0040</t>
  </si>
  <si>
    <t>4205-0045</t>
  </si>
  <si>
    <t>4304-0060</t>
  </si>
  <si>
    <t>4304-0061</t>
  </si>
  <si>
    <t>5113-0011</t>
  </si>
  <si>
    <t>5114-0001</t>
  </si>
  <si>
    <t>5114-0002</t>
  </si>
  <si>
    <t>5114-0003</t>
  </si>
  <si>
    <t>5114-0004</t>
  </si>
  <si>
    <t>5114-0005</t>
  </si>
  <si>
    <t>7614-0300</t>
    <phoneticPr fontId="5" type="noConversion"/>
  </si>
  <si>
    <t>알곤용접기</t>
    <phoneticPr fontId="5" type="noConversion"/>
  </si>
  <si>
    <t>프라즈마절단기</t>
    <phoneticPr fontId="5" type="noConversion"/>
  </si>
  <si>
    <t>7621-0100</t>
    <phoneticPr fontId="5" type="noConversion"/>
  </si>
  <si>
    <t>5114-0006</t>
  </si>
  <si>
    <t>5114-0007</t>
  </si>
  <si>
    <t>5114-0008</t>
  </si>
  <si>
    <t>5115-0030</t>
  </si>
  <si>
    <t>5115-0055</t>
  </si>
  <si>
    <t>0610-0150</t>
    <phoneticPr fontId="5" type="noConversion"/>
  </si>
  <si>
    <t>2116-0036</t>
    <phoneticPr fontId="5" type="noConversion"/>
  </si>
  <si>
    <t>2117-0027</t>
    <phoneticPr fontId="5" type="noConversion"/>
  </si>
  <si>
    <t>10㎥</t>
  </si>
  <si>
    <t>2208-5012</t>
    <phoneticPr fontId="5" type="noConversion"/>
  </si>
  <si>
    <t>2208-5016</t>
    <phoneticPr fontId="5" type="noConversion"/>
  </si>
  <si>
    <t>2208-5020</t>
    <phoneticPr fontId="5" type="noConversion"/>
  </si>
  <si>
    <t>1,000㎏</t>
  </si>
  <si>
    <t>3×1/8×25/20×16/12</t>
    <phoneticPr fontId="5" type="noConversion"/>
  </si>
  <si>
    <t>4×1/8×25/20×16/12</t>
    <phoneticPr fontId="5" type="noConversion"/>
  </si>
  <si>
    <t>0230-0007</t>
    <phoneticPr fontId="5" type="noConversion"/>
  </si>
  <si>
    <t>0230-0008</t>
    <phoneticPr fontId="5" type="noConversion"/>
  </si>
  <si>
    <t>3(4)×1/8×25/20×16/12</t>
    <phoneticPr fontId="5" type="noConversion"/>
  </si>
  <si>
    <t>1×1/8×25/20×16/12</t>
    <phoneticPr fontId="5" type="noConversion"/>
  </si>
  <si>
    <t>2×1/8×25/20×16/12</t>
    <phoneticPr fontId="5" type="noConversion"/>
  </si>
  <si>
    <t>4(5)×1/8×25/20×16/12</t>
    <phoneticPr fontId="5" type="noConversion"/>
  </si>
  <si>
    <t>6×1/8×25/20×16/12</t>
    <phoneticPr fontId="5" type="noConversion"/>
  </si>
  <si>
    <t>6(8)×1/8×25/20×16/12</t>
    <phoneticPr fontId="5" type="noConversion"/>
  </si>
  <si>
    <t>2(3)×1/8×25/20×16/12</t>
    <phoneticPr fontId="5" type="noConversion"/>
  </si>
  <si>
    <t>7×1/8×25/20×16/12</t>
    <phoneticPr fontId="5" type="noConversion"/>
  </si>
  <si>
    <t>화물차운전사</t>
    <phoneticPr fontId="5" type="noConversion"/>
  </si>
  <si>
    <t>일반기계운전사</t>
    <phoneticPr fontId="5" type="noConversion"/>
  </si>
  <si>
    <t>화물운전사</t>
    <phoneticPr fontId="5" type="noConversion"/>
  </si>
  <si>
    <t>부착용집게</t>
    <phoneticPr fontId="5" type="noConversion"/>
  </si>
  <si>
    <t>8~15ton</t>
    <phoneticPr fontId="5" type="noConversion"/>
  </si>
  <si>
    <t>잡재료비</t>
  </si>
  <si>
    <t>5205-0255</t>
  </si>
  <si>
    <t>5330-0074</t>
  </si>
  <si>
    <t>5401-0015</t>
  </si>
  <si>
    <t>5401-0017</t>
  </si>
  <si>
    <t>1.0m</t>
  </si>
  <si>
    <t>5701-0010</t>
  </si>
  <si>
    <t>3.0m</t>
  </si>
  <si>
    <t>3.5m</t>
  </si>
  <si>
    <t>5801-0030</t>
  </si>
  <si>
    <t>5801-0035</t>
  </si>
  <si>
    <t>4.5m</t>
  </si>
  <si>
    <t>5801-0045</t>
  </si>
  <si>
    <t>4504-0036</t>
    <phoneticPr fontId="5" type="noConversion"/>
  </si>
  <si>
    <t>4504-0041</t>
    <phoneticPr fontId="5" type="noConversion"/>
  </si>
  <si>
    <t>골재세척설비</t>
    <phoneticPr fontId="5" type="noConversion"/>
  </si>
  <si>
    <t>11.19㎾(50ton대선 5ton달기)</t>
    <phoneticPr fontId="5" type="noConversion"/>
  </si>
  <si>
    <t>14.92㎾(80ton대선 8ton달기)</t>
    <phoneticPr fontId="5" type="noConversion"/>
  </si>
  <si>
    <t>1(2)×1/8×25/20×16/12</t>
    <phoneticPr fontId="5" type="noConversion"/>
  </si>
  <si>
    <t>진공흡입준설차</t>
    <phoneticPr fontId="5" type="noConversion"/>
  </si>
  <si>
    <t>0.2㎥</t>
  </si>
  <si>
    <t>1.0㎥</t>
  </si>
  <si>
    <t>80ton(2.68㎥)</t>
    <phoneticPr fontId="5" type="noConversion"/>
  </si>
  <si>
    <t>2101-0220</t>
    <phoneticPr fontId="5" type="noConversion"/>
  </si>
  <si>
    <t>2101-0280</t>
    <phoneticPr fontId="5" type="noConversion"/>
  </si>
  <si>
    <t>2101-0300</t>
    <phoneticPr fontId="5" type="noConversion"/>
  </si>
  <si>
    <t>100-150㎜</t>
  </si>
  <si>
    <t>200-300㎜</t>
  </si>
  <si>
    <t>350-400㎜</t>
  </si>
  <si>
    <t>450-600㎜</t>
  </si>
  <si>
    <t>3108-0120</t>
  </si>
  <si>
    <t>3m</t>
  </si>
  <si>
    <t>3430-0300</t>
  </si>
  <si>
    <t>3430-0400</t>
  </si>
  <si>
    <t>3530-0015</t>
  </si>
  <si>
    <t>3530-0036</t>
  </si>
  <si>
    <t>3601-0102</t>
  </si>
  <si>
    <t>3601-0202</t>
  </si>
  <si>
    <t>3611-0142</t>
  </si>
  <si>
    <t>7.95m</t>
  </si>
  <si>
    <t>3701-0200</t>
  </si>
  <si>
    <t>4205-0017</t>
  </si>
  <si>
    <t>4205-0020</t>
  </si>
  <si>
    <t>7612-0200</t>
  </si>
  <si>
    <t>7612-0300</t>
  </si>
  <si>
    <t>7612-0400</t>
  </si>
  <si>
    <t>150ton</t>
    <phoneticPr fontId="5" type="noConversion"/>
  </si>
  <si>
    <t>10.5ton</t>
  </si>
  <si>
    <t>0602-0080</t>
  </si>
  <si>
    <t>0602-0105</t>
  </si>
  <si>
    <t>0.3㎥</t>
    <phoneticPr fontId="5" type="noConversion"/>
  </si>
  <si>
    <t>2210-0145</t>
  </si>
  <si>
    <t>2330-0005</t>
  </si>
  <si>
    <t>2330-0007</t>
  </si>
  <si>
    <t>2402-0001</t>
  </si>
  <si>
    <t>2.0ton</t>
  </si>
  <si>
    <t>3.5ton</t>
  </si>
  <si>
    <t>2502-0020</t>
  </si>
  <si>
    <t>2502-0025</t>
  </si>
  <si>
    <t>2502-0035</t>
  </si>
  <si>
    <t>5.0ton</t>
  </si>
  <si>
    <t>7.5ton</t>
  </si>
  <si>
    <t>2502-0050</t>
  </si>
  <si>
    <t>2502-0075</t>
  </si>
  <si>
    <t>1.5ton</t>
  </si>
  <si>
    <t>2602-0015</t>
  </si>
  <si>
    <t>7993-0020</t>
    <phoneticPr fontId="5" type="noConversion"/>
  </si>
  <si>
    <t>7994-0050</t>
    <phoneticPr fontId="5" type="noConversion"/>
  </si>
  <si>
    <t>8ton</t>
    <phoneticPr fontId="5" type="noConversion"/>
  </si>
  <si>
    <t>80㎜</t>
    <phoneticPr fontId="5" type="noConversion"/>
  </si>
  <si>
    <t>0503-0036</t>
    <phoneticPr fontId="5" type="noConversion"/>
  </si>
  <si>
    <t>7930-0040</t>
  </si>
  <si>
    <t>7930-0050</t>
  </si>
  <si>
    <t>7930-0075</t>
  </si>
  <si>
    <t>7930-0100</t>
  </si>
  <si>
    <t>그래브준설선</t>
    <phoneticPr fontId="5" type="noConversion"/>
  </si>
  <si>
    <t>예선</t>
    <phoneticPr fontId="5" type="noConversion"/>
  </si>
  <si>
    <t>12.0m</t>
    <phoneticPr fontId="5" type="noConversion"/>
  </si>
  <si>
    <t>200ton</t>
  </si>
  <si>
    <t>5105-0200</t>
  </si>
  <si>
    <t>5111-0040</t>
  </si>
  <si>
    <t>5111-0050</t>
  </si>
  <si>
    <t>5111-0060</t>
  </si>
  <si>
    <t>5111-0076</t>
  </si>
  <si>
    <t>5111-0091</t>
  </si>
  <si>
    <t>5112-0001</t>
  </si>
  <si>
    <t>5112-0002</t>
  </si>
  <si>
    <t>5112-0003</t>
  </si>
  <si>
    <t>5112-0004</t>
  </si>
  <si>
    <t>5112-0005</t>
  </si>
  <si>
    <t>5113-0001</t>
  </si>
  <si>
    <t>5113-0002</t>
  </si>
  <si>
    <t>5113-0003</t>
  </si>
  <si>
    <t>5113-0004</t>
  </si>
  <si>
    <t>5113-0005</t>
  </si>
  <si>
    <t>5113-0006</t>
  </si>
  <si>
    <t>5113-0007</t>
  </si>
  <si>
    <t>5113-0008</t>
  </si>
  <si>
    <t>6530-0120</t>
    <phoneticPr fontId="5" type="noConversion"/>
  </si>
  <si>
    <t>6530-0060</t>
    <phoneticPr fontId="5" type="noConversion"/>
  </si>
  <si>
    <t>5113-0009</t>
  </si>
  <si>
    <t>5113-0010</t>
  </si>
  <si>
    <t>100~130ton</t>
    <phoneticPr fontId="5" type="noConversion"/>
  </si>
  <si>
    <t>12ton</t>
    <phoneticPr fontId="5" type="noConversion"/>
  </si>
  <si>
    <t>28ton</t>
    <phoneticPr fontId="5" type="noConversion"/>
  </si>
  <si>
    <t>33ton</t>
    <phoneticPr fontId="5" type="noConversion"/>
  </si>
  <si>
    <t>4ton</t>
    <phoneticPr fontId="5" type="noConversion"/>
  </si>
  <si>
    <t>13ton</t>
    <phoneticPr fontId="5" type="noConversion"/>
  </si>
  <si>
    <t>23ton</t>
    <phoneticPr fontId="5" type="noConversion"/>
  </si>
  <si>
    <t>27ton</t>
    <phoneticPr fontId="5" type="noConversion"/>
  </si>
  <si>
    <t>대형브레이커</t>
    <phoneticPr fontId="5" type="noConversion"/>
  </si>
  <si>
    <t>7206-0070</t>
    <phoneticPr fontId="5" type="noConversion"/>
  </si>
  <si>
    <t>7935-0180</t>
    <phoneticPr fontId="5" type="noConversion"/>
  </si>
  <si>
    <t>22m</t>
    <phoneticPr fontId="5" type="noConversion"/>
  </si>
  <si>
    <t>27m</t>
    <phoneticPr fontId="5" type="noConversion"/>
  </si>
  <si>
    <t>2104-0130</t>
    <phoneticPr fontId="5" type="noConversion"/>
  </si>
  <si>
    <t>2104-0160</t>
    <phoneticPr fontId="5" type="noConversion"/>
  </si>
  <si>
    <t>2104-0200</t>
    <phoneticPr fontId="5" type="noConversion"/>
  </si>
  <si>
    <t>2104-0220</t>
    <phoneticPr fontId="5" type="noConversion"/>
  </si>
  <si>
    <t>2104-0250</t>
    <phoneticPr fontId="5" type="noConversion"/>
  </si>
  <si>
    <t>18ton</t>
    <phoneticPr fontId="5" type="noConversion"/>
  </si>
  <si>
    <t>50m×12ton</t>
  </si>
  <si>
    <t>50m×16ton</t>
  </si>
  <si>
    <t>50m×20ton</t>
  </si>
  <si>
    <t>2208-5008</t>
    <phoneticPr fontId="5" type="noConversion"/>
  </si>
  <si>
    <t>50m×8ton</t>
    <phoneticPr fontId="5" type="noConversion"/>
  </si>
  <si>
    <t>50m×12ton</t>
    <phoneticPr fontId="5" type="noConversion"/>
  </si>
  <si>
    <t>3m</t>
    <phoneticPr fontId="5" type="noConversion"/>
  </si>
  <si>
    <t>6202-0060</t>
  </si>
  <si>
    <t>6202-0125</t>
  </si>
  <si>
    <t>6202-0200</t>
  </si>
  <si>
    <t>2.2ton</t>
  </si>
  <si>
    <t>3.2ton</t>
  </si>
  <si>
    <t>6330-0015</t>
  </si>
  <si>
    <t>6330-0022</t>
  </si>
  <si>
    <t>6330-0032</t>
  </si>
  <si>
    <t>4.0ton</t>
  </si>
  <si>
    <t>6330-0040</t>
  </si>
  <si>
    <t>6408-0015</t>
  </si>
  <si>
    <t>6408-0020</t>
  </si>
  <si>
    <t>6408-0030</t>
  </si>
  <si>
    <t>6408-0040</t>
  </si>
  <si>
    <t>6408-0050</t>
  </si>
  <si>
    <t>6408-0085</t>
  </si>
  <si>
    <t>6408-0100</t>
  </si>
  <si>
    <t>6410-0100</t>
  </si>
  <si>
    <t>6410-0120</t>
  </si>
  <si>
    <t>휘발유</t>
    <phoneticPr fontId="5" type="noConversion"/>
  </si>
  <si>
    <t>6410-0150</t>
  </si>
  <si>
    <t>6410-0200</t>
  </si>
  <si>
    <t>6515-0090</t>
  </si>
  <si>
    <t>6530-0030</t>
  </si>
  <si>
    <t>6530-0040</t>
  </si>
  <si>
    <t>4.5ton</t>
    <phoneticPr fontId="5" type="noConversion"/>
  </si>
  <si>
    <t>10.5ton</t>
    <phoneticPr fontId="5" type="noConversion"/>
  </si>
  <si>
    <t>10~12ton</t>
    <phoneticPr fontId="5" type="noConversion"/>
  </si>
  <si>
    <t>12~15ton</t>
    <phoneticPr fontId="5" type="noConversion"/>
  </si>
  <si>
    <t>8~10ton</t>
    <phoneticPr fontId="5" type="noConversion"/>
  </si>
  <si>
    <t>10~14ton</t>
    <phoneticPr fontId="5" type="noConversion"/>
  </si>
  <si>
    <t>7ton</t>
    <phoneticPr fontId="5" type="noConversion"/>
  </si>
  <si>
    <t>4.4ton</t>
    <phoneticPr fontId="5" type="noConversion"/>
  </si>
  <si>
    <t>15~25ton</t>
    <phoneticPr fontId="5" type="noConversion"/>
  </si>
  <si>
    <t>2.24㎾</t>
  </si>
  <si>
    <t>2.98㎾</t>
  </si>
  <si>
    <t>3.36㎾</t>
  </si>
  <si>
    <t>5.22㎾</t>
  </si>
  <si>
    <t>8.95㎾</t>
  </si>
  <si>
    <t>6.71㎾</t>
  </si>
  <si>
    <t>13.43㎾</t>
  </si>
  <si>
    <t>26.11㎾</t>
  </si>
  <si>
    <t>52.22㎾</t>
  </si>
  <si>
    <t>1.49㎾</t>
  </si>
  <si>
    <t>22.38㎾</t>
  </si>
  <si>
    <t>29.84㎾</t>
  </si>
  <si>
    <t>37.30㎾</t>
  </si>
  <si>
    <t>55.95㎾</t>
  </si>
  <si>
    <t>ℓ</t>
    <phoneticPr fontId="5" type="noConversion"/>
  </si>
  <si>
    <t>잡유</t>
    <phoneticPr fontId="5" type="noConversion"/>
  </si>
  <si>
    <t>동력</t>
    <phoneticPr fontId="5" type="noConversion"/>
  </si>
  <si>
    <t>5901-0016</t>
    <phoneticPr fontId="5" type="noConversion"/>
  </si>
  <si>
    <t>6516-0060</t>
    <phoneticPr fontId="5" type="noConversion"/>
  </si>
  <si>
    <t>6516-0120</t>
    <phoneticPr fontId="5" type="noConversion"/>
  </si>
  <si>
    <t>7.46㎾</t>
    <phoneticPr fontId="5" type="noConversion"/>
  </si>
  <si>
    <t>7991-0500</t>
    <phoneticPr fontId="5" type="noConversion"/>
  </si>
  <si>
    <t>37㎾</t>
    <phoneticPr fontId="5" type="noConversion"/>
  </si>
  <si>
    <t>7210-0485</t>
    <phoneticPr fontId="5" type="noConversion"/>
  </si>
  <si>
    <t>동력분무기</t>
    <phoneticPr fontId="5" type="noConversion"/>
  </si>
  <si>
    <t>4.85㎾</t>
    <phoneticPr fontId="5" type="noConversion"/>
  </si>
  <si>
    <t>6410-0080</t>
    <phoneticPr fontId="5" type="noConversion"/>
  </si>
  <si>
    <t>59.68㎾</t>
    <phoneticPr fontId="5" type="noConversion"/>
  </si>
  <si>
    <t>0.12㎥</t>
    <phoneticPr fontId="5" type="noConversion"/>
  </si>
  <si>
    <t>2.0㎥</t>
    <phoneticPr fontId="5" type="noConversion"/>
  </si>
  <si>
    <t>0.8㎥</t>
  </si>
  <si>
    <t>3.55ton</t>
    <phoneticPr fontId="5" type="noConversion"/>
  </si>
  <si>
    <t>0.57㎥</t>
    <phoneticPr fontId="5" type="noConversion"/>
  </si>
  <si>
    <t>0.95㎥</t>
    <phoneticPr fontId="5" type="noConversion"/>
  </si>
  <si>
    <t>1.15㎥</t>
    <phoneticPr fontId="5" type="noConversion"/>
  </si>
  <si>
    <t>1.53㎥</t>
    <phoneticPr fontId="5" type="noConversion"/>
  </si>
  <si>
    <t>1.72㎥</t>
    <phoneticPr fontId="5" type="noConversion"/>
  </si>
  <si>
    <t>0.25㎥</t>
    <phoneticPr fontId="5" type="noConversion"/>
  </si>
  <si>
    <t>2.29㎥</t>
    <phoneticPr fontId="5" type="noConversion"/>
  </si>
  <si>
    <t>5.4㎥</t>
    <phoneticPr fontId="5" type="noConversion"/>
  </si>
  <si>
    <t>16.1㎥</t>
    <phoneticPr fontId="5" type="noConversion"/>
  </si>
  <si>
    <t>20.6㎥</t>
    <phoneticPr fontId="5" type="noConversion"/>
  </si>
  <si>
    <t>9.2㎥</t>
    <phoneticPr fontId="5" type="noConversion"/>
  </si>
  <si>
    <t>10.7㎥</t>
    <phoneticPr fontId="5" type="noConversion"/>
  </si>
  <si>
    <t>10㎥</t>
    <phoneticPr fontId="5" type="noConversion"/>
  </si>
  <si>
    <t>4,700ℓ</t>
    <phoneticPr fontId="5" type="noConversion"/>
  </si>
  <si>
    <t>5,700ℓ</t>
    <phoneticPr fontId="5" type="noConversion"/>
  </si>
  <si>
    <t>400ℓ</t>
    <phoneticPr fontId="5" type="noConversion"/>
  </si>
  <si>
    <t>1.5m(3.7㎾)</t>
    <phoneticPr fontId="5" type="noConversion"/>
  </si>
  <si>
    <t>3.6m(9.0㎾)</t>
    <phoneticPr fontId="5" type="noConversion"/>
  </si>
  <si>
    <t>74.6㎾</t>
    <phoneticPr fontId="5" type="noConversion"/>
  </si>
  <si>
    <t>160.4㎾</t>
    <phoneticPr fontId="5" type="noConversion"/>
  </si>
  <si>
    <t>186.5㎾</t>
    <phoneticPr fontId="5" type="noConversion"/>
  </si>
  <si>
    <t>299.9㎾</t>
    <phoneticPr fontId="5" type="noConversion"/>
  </si>
  <si>
    <t>105.9㎾</t>
    <phoneticPr fontId="5" type="noConversion"/>
  </si>
  <si>
    <t>6.0㎥</t>
    <phoneticPr fontId="5" type="noConversion"/>
  </si>
  <si>
    <t>21m(65~75㎥/hr)</t>
    <phoneticPr fontId="5" type="noConversion"/>
  </si>
  <si>
    <t>28m(65~75㎥/hr)</t>
    <phoneticPr fontId="5" type="noConversion"/>
  </si>
  <si>
    <t>32m(80~95㎥/hr)</t>
    <phoneticPr fontId="5" type="noConversion"/>
  </si>
  <si>
    <t>36m(80~95㎥/hr)</t>
    <phoneticPr fontId="5" type="noConversion"/>
  </si>
  <si>
    <t>41m(80~95㎥/hr)</t>
    <phoneticPr fontId="5" type="noConversion"/>
  </si>
  <si>
    <t>43m(80~95㎥/hr)</t>
    <phoneticPr fontId="5" type="noConversion"/>
  </si>
  <si>
    <t>47m(80~95㎥/hr)</t>
    <phoneticPr fontId="5" type="noConversion"/>
  </si>
  <si>
    <t>52m(80~95㎥/hr)</t>
    <phoneticPr fontId="5" type="noConversion"/>
  </si>
  <si>
    <t>76.2×101.6㎝(141.74㎾)</t>
    <phoneticPr fontId="5" type="noConversion"/>
  </si>
  <si>
    <t>15㎾(62.5㎥/hr)</t>
    <phoneticPr fontId="5" type="noConversion"/>
  </si>
  <si>
    <t>21.0㎥/min</t>
    <phoneticPr fontId="5" type="noConversion"/>
  </si>
  <si>
    <t>15㎥/min(120㎜)</t>
    <phoneticPr fontId="5" type="noConversion"/>
  </si>
  <si>
    <t>17㎥/min(120㎜)</t>
    <phoneticPr fontId="5" type="noConversion"/>
  </si>
  <si>
    <t>15.24㎝</t>
    <phoneticPr fontId="5" type="noConversion"/>
  </si>
  <si>
    <t>그라우팅 믹서</t>
    <phoneticPr fontId="5" type="noConversion"/>
  </si>
  <si>
    <t>30㎾</t>
    <phoneticPr fontId="5" type="noConversion"/>
  </si>
  <si>
    <t>40㎾</t>
    <phoneticPr fontId="5" type="noConversion"/>
  </si>
  <si>
    <t>45㎾</t>
    <phoneticPr fontId="5" type="noConversion"/>
  </si>
  <si>
    <t>60㎾</t>
    <phoneticPr fontId="5" type="noConversion"/>
  </si>
  <si>
    <t>90㎾</t>
    <phoneticPr fontId="5" type="noConversion"/>
  </si>
  <si>
    <t>162㎾</t>
    <phoneticPr fontId="5" type="noConversion"/>
  </si>
  <si>
    <t>96㎾</t>
    <phoneticPr fontId="5" type="noConversion"/>
  </si>
  <si>
    <t>335.70㎾</t>
    <phoneticPr fontId="5" type="noConversion"/>
  </si>
  <si>
    <t>5,500ℓ</t>
    <phoneticPr fontId="5" type="noConversion"/>
  </si>
  <si>
    <t>4.10㎾</t>
    <phoneticPr fontId="5" type="noConversion"/>
  </si>
  <si>
    <t>25㎾</t>
    <phoneticPr fontId="5" type="noConversion"/>
  </si>
  <si>
    <t>50㎾</t>
    <phoneticPr fontId="5" type="noConversion"/>
  </si>
  <si>
    <t>350㎾</t>
    <phoneticPr fontId="5" type="noConversion"/>
  </si>
  <si>
    <t>450㎾</t>
    <phoneticPr fontId="5" type="noConversion"/>
  </si>
  <si>
    <t>500㎾</t>
    <phoneticPr fontId="5" type="noConversion"/>
  </si>
  <si>
    <t>700㎾</t>
    <phoneticPr fontId="5" type="noConversion"/>
  </si>
  <si>
    <t>5.08~15.24㎝</t>
    <phoneticPr fontId="5" type="noConversion"/>
  </si>
  <si>
    <t>50㎜(1.49㎾×10m)</t>
    <phoneticPr fontId="5" type="noConversion"/>
  </si>
  <si>
    <t>11.94㎾</t>
    <phoneticPr fontId="5" type="noConversion"/>
  </si>
  <si>
    <t>18.65㎾</t>
    <phoneticPr fontId="5" type="noConversion"/>
  </si>
  <si>
    <t>1.87㎾</t>
    <phoneticPr fontId="5" type="noConversion"/>
  </si>
  <si>
    <t>2.24㎾</t>
    <phoneticPr fontId="5" type="noConversion"/>
  </si>
  <si>
    <t>2.98㎾</t>
    <phoneticPr fontId="5" type="noConversion"/>
  </si>
  <si>
    <t>3.36㎾</t>
    <phoneticPr fontId="5" type="noConversion"/>
  </si>
  <si>
    <t>5.22㎾</t>
    <phoneticPr fontId="5" type="noConversion"/>
  </si>
  <si>
    <t>6.71㎾</t>
    <phoneticPr fontId="5" type="noConversion"/>
  </si>
  <si>
    <t>13.43㎾</t>
    <phoneticPr fontId="5" type="noConversion"/>
  </si>
  <si>
    <t>14.92㎾</t>
    <phoneticPr fontId="5" type="noConversion"/>
  </si>
  <si>
    <t>26.11㎾</t>
    <phoneticPr fontId="5" type="noConversion"/>
  </si>
  <si>
    <t>52.22㎾</t>
    <phoneticPr fontId="5" type="noConversion"/>
  </si>
  <si>
    <t>74.60㎾</t>
    <phoneticPr fontId="5" type="noConversion"/>
  </si>
  <si>
    <t>111.90㎾</t>
    <phoneticPr fontId="5" type="noConversion"/>
  </si>
  <si>
    <t>149.20㎾</t>
    <phoneticPr fontId="5" type="noConversion"/>
  </si>
  <si>
    <t>0.75㎾</t>
    <phoneticPr fontId="5" type="noConversion"/>
  </si>
  <si>
    <t>5.60㎾</t>
    <phoneticPr fontId="5" type="noConversion"/>
  </si>
  <si>
    <t>22.38㎾</t>
    <phoneticPr fontId="5" type="noConversion"/>
  </si>
  <si>
    <t>29.84㎾</t>
    <phoneticPr fontId="5" type="noConversion"/>
  </si>
  <si>
    <t>37.30㎾</t>
    <phoneticPr fontId="5" type="noConversion"/>
  </si>
  <si>
    <t>55.95㎾</t>
    <phoneticPr fontId="5" type="noConversion"/>
  </si>
  <si>
    <t>180㎾</t>
    <phoneticPr fontId="5" type="noConversion"/>
  </si>
  <si>
    <t>0230-0010</t>
    <phoneticPr fontId="5" type="noConversion"/>
  </si>
  <si>
    <t>4506-0400</t>
    <phoneticPr fontId="5" type="noConversion"/>
  </si>
  <si>
    <t>400㎏/㎠</t>
    <phoneticPr fontId="5" type="noConversion"/>
  </si>
  <si>
    <t>6510-0150</t>
    <phoneticPr fontId="5" type="noConversion"/>
  </si>
  <si>
    <t>6510-0100</t>
    <phoneticPr fontId="5" type="noConversion"/>
  </si>
  <si>
    <t>6510-0200</t>
    <phoneticPr fontId="5" type="noConversion"/>
  </si>
  <si>
    <t>6510-0250</t>
    <phoneticPr fontId="5" type="noConversion"/>
  </si>
  <si>
    <t>6510-0300</t>
    <phoneticPr fontId="5" type="noConversion"/>
  </si>
  <si>
    <t>1,500㎜</t>
    <phoneticPr fontId="5" type="noConversion"/>
  </si>
  <si>
    <t>2,000㎜</t>
    <phoneticPr fontId="5" type="noConversion"/>
  </si>
  <si>
    <t>2,500㎜</t>
    <phoneticPr fontId="5" type="noConversion"/>
  </si>
  <si>
    <t>3,000㎜</t>
    <phoneticPr fontId="5" type="noConversion"/>
  </si>
  <si>
    <t>6517-0150</t>
    <phoneticPr fontId="5" type="noConversion"/>
  </si>
  <si>
    <t>6517-0200</t>
    <phoneticPr fontId="5" type="noConversion"/>
  </si>
  <si>
    <t>6517-0250</t>
    <phoneticPr fontId="5" type="noConversion"/>
  </si>
  <si>
    <t>6517-0300</t>
    <phoneticPr fontId="5" type="noConversion"/>
  </si>
  <si>
    <t>6518-0150</t>
    <phoneticPr fontId="5" type="noConversion"/>
  </si>
  <si>
    <t>6518-0200</t>
    <phoneticPr fontId="5" type="noConversion"/>
  </si>
  <si>
    <t>6518-0250</t>
    <phoneticPr fontId="5" type="noConversion"/>
  </si>
  <si>
    <t>6518-0300</t>
    <phoneticPr fontId="5" type="noConversion"/>
  </si>
  <si>
    <t>6802-0060</t>
    <phoneticPr fontId="5" type="noConversion"/>
  </si>
  <si>
    <t>6802-0100</t>
    <phoneticPr fontId="5" type="noConversion"/>
  </si>
  <si>
    <t>6802-0120</t>
    <phoneticPr fontId="5" type="noConversion"/>
  </si>
  <si>
    <t>6802-0135</t>
    <phoneticPr fontId="5" type="noConversion"/>
  </si>
  <si>
    <t>6802-0160</t>
    <phoneticPr fontId="5" type="noConversion"/>
  </si>
  <si>
    <t>135ton</t>
    <phoneticPr fontId="5" type="noConversion"/>
  </si>
  <si>
    <t>7830-0081</t>
    <phoneticPr fontId="5" type="noConversion"/>
  </si>
  <si>
    <t>8.1㎏/min</t>
    <phoneticPr fontId="5" type="noConversion"/>
  </si>
  <si>
    <t>우레탄폼 분사용기구</t>
    <phoneticPr fontId="5" type="noConversion"/>
  </si>
  <si>
    <t>6517-0100</t>
    <phoneticPr fontId="5" type="noConversion"/>
  </si>
  <si>
    <t>6518-0100</t>
    <phoneticPr fontId="5" type="noConversion"/>
  </si>
  <si>
    <t>고압분사전용장비</t>
    <phoneticPr fontId="5" type="noConversion"/>
  </si>
  <si>
    <t>6801-0010</t>
    <phoneticPr fontId="5" type="noConversion"/>
  </si>
  <si>
    <t>6802-0040</t>
    <phoneticPr fontId="5" type="noConversion"/>
  </si>
  <si>
    <t>자동화믹서플랜트</t>
    <phoneticPr fontId="5" type="noConversion"/>
  </si>
  <si>
    <t>6901-0010</t>
    <phoneticPr fontId="5" type="noConversion"/>
  </si>
  <si>
    <t>0.5㎥</t>
    <phoneticPr fontId="5" type="noConversion"/>
  </si>
  <si>
    <t>6516-0250</t>
    <phoneticPr fontId="5" type="noConversion"/>
  </si>
  <si>
    <t>6516-0300</t>
    <phoneticPr fontId="5" type="noConversion"/>
  </si>
  <si>
    <t>7611-0500</t>
    <phoneticPr fontId="5" type="noConversion"/>
  </si>
  <si>
    <t>0101-0010</t>
    <phoneticPr fontId="5" type="noConversion"/>
  </si>
  <si>
    <t>5805-0003</t>
    <phoneticPr fontId="5" type="noConversion"/>
  </si>
  <si>
    <t>200㎏/㎠</t>
  </si>
  <si>
    <t>물탱크(살수차)</t>
  </si>
  <si>
    <t>윈치(자동)</t>
  </si>
  <si>
    <t>크레인(무한궤도)</t>
  </si>
  <si>
    <t>80㎏</t>
  </si>
  <si>
    <t>진동롤러(자주식)</t>
  </si>
  <si>
    <t>노면파쇄기</t>
  </si>
  <si>
    <t>16,000ℓ</t>
  </si>
  <si>
    <t>10㎞/hr</t>
  </si>
  <si>
    <t>700-900㎜</t>
  </si>
  <si>
    <t>12.0m</t>
  </si>
  <si>
    <t>용접기(교류)</t>
  </si>
  <si>
    <t>8~10ton</t>
  </si>
  <si>
    <t>8~15ton</t>
  </si>
  <si>
    <t>2.0m</t>
  </si>
  <si>
    <t>3.0~3.8m</t>
  </si>
  <si>
    <t>크롤러드릴(탑승유압식)</t>
  </si>
  <si>
    <t>0.6㎥</t>
  </si>
  <si>
    <t>절단기</t>
  </si>
  <si>
    <t>40.64㎝</t>
  </si>
  <si>
    <t>6.6㎾</t>
  </si>
  <si>
    <t>2.46㎾</t>
  </si>
  <si>
    <t>4.85㎾</t>
  </si>
  <si>
    <t>강연선인장기</t>
  </si>
  <si>
    <t>250ton</t>
  </si>
  <si>
    <t>0230-0002</t>
    <phoneticPr fontId="5" type="noConversion"/>
  </si>
  <si>
    <t>PBD천공기(유압식)</t>
  </si>
  <si>
    <t>3201-0003</t>
    <phoneticPr fontId="5" type="noConversion"/>
  </si>
  <si>
    <t>3201-0001</t>
    <phoneticPr fontId="5" type="noConversion"/>
  </si>
  <si>
    <t>5220-0015</t>
    <phoneticPr fontId="5" type="noConversion"/>
  </si>
  <si>
    <t>5210-0010</t>
    <phoneticPr fontId="5" type="noConversion"/>
  </si>
  <si>
    <t>5210-0013</t>
    <phoneticPr fontId="5" type="noConversion"/>
  </si>
  <si>
    <t>5210-0019</t>
    <phoneticPr fontId="5" type="noConversion"/>
  </si>
  <si>
    <t>1.0㎥/min</t>
    <phoneticPr fontId="5" type="noConversion"/>
  </si>
  <si>
    <t>1.3㎥/min</t>
    <phoneticPr fontId="5" type="noConversion"/>
  </si>
  <si>
    <t>1.9㎥/min</t>
    <phoneticPr fontId="5" type="noConversion"/>
  </si>
  <si>
    <t>5~8ton</t>
    <phoneticPr fontId="5" type="noConversion"/>
  </si>
  <si>
    <t>5210-0027</t>
    <phoneticPr fontId="5" type="noConversion"/>
  </si>
  <si>
    <t>1.7m</t>
    <phoneticPr fontId="5" type="noConversion"/>
  </si>
  <si>
    <t>소형브레이커(전기식)</t>
    <phoneticPr fontId="5" type="noConversion"/>
  </si>
  <si>
    <t>1.5㎾</t>
    <phoneticPr fontId="5" type="noConversion"/>
  </si>
  <si>
    <t>1306-0120</t>
    <phoneticPr fontId="5" type="noConversion"/>
  </si>
  <si>
    <t>1.7m</t>
  </si>
  <si>
    <t>5~8ton</t>
  </si>
  <si>
    <t>1.5㎾</t>
  </si>
  <si>
    <t>110㎾</t>
    <phoneticPr fontId="5" type="noConversion"/>
  </si>
  <si>
    <t>50m×10ton</t>
    <phoneticPr fontId="5" type="noConversion"/>
  </si>
  <si>
    <t>7204-0055</t>
    <phoneticPr fontId="5" type="noConversion"/>
  </si>
  <si>
    <t>7204-0038</t>
    <phoneticPr fontId="5" type="noConversion"/>
  </si>
  <si>
    <t>7204-0065</t>
    <phoneticPr fontId="5" type="noConversion"/>
  </si>
  <si>
    <t>6,500ℓ</t>
    <phoneticPr fontId="5" type="noConversion"/>
  </si>
  <si>
    <t>7120-0746</t>
    <phoneticPr fontId="5" type="noConversion"/>
  </si>
  <si>
    <t>2208-5010</t>
    <phoneticPr fontId="5" type="noConversion"/>
  </si>
  <si>
    <t>버킷식준설기</t>
  </si>
  <si>
    <t>3.6m(일반용)</t>
    <phoneticPr fontId="5" type="noConversion"/>
  </si>
  <si>
    <t>3.5㎥/min</t>
    <phoneticPr fontId="5" type="noConversion"/>
  </si>
  <si>
    <t>2붐</t>
    <phoneticPr fontId="5" type="noConversion"/>
  </si>
  <si>
    <t>3붐</t>
    <phoneticPr fontId="5" type="noConversion"/>
  </si>
  <si>
    <t>로더(타이어)</t>
  </si>
  <si>
    <t>건설용펌프(자흡식)</t>
  </si>
  <si>
    <t>점보드릴</t>
  </si>
  <si>
    <t>2붐</t>
  </si>
  <si>
    <t>7204-0018</t>
    <phoneticPr fontId="5" type="noConversion"/>
  </si>
  <si>
    <t>1,800ℓ</t>
    <phoneticPr fontId="5" type="noConversion"/>
  </si>
  <si>
    <t>100㎥/hr(7.0㎾)</t>
    <phoneticPr fontId="5" type="noConversion"/>
  </si>
  <si>
    <t>150㎥/hr(7.0㎾)</t>
    <phoneticPr fontId="5" type="noConversion"/>
  </si>
  <si>
    <t>200㎥/hr(7.7㎾)</t>
    <phoneticPr fontId="5" type="noConversion"/>
  </si>
  <si>
    <t>300㎥/hr(7.7㎾)</t>
    <phoneticPr fontId="5" type="noConversion"/>
  </si>
  <si>
    <t>양수기</t>
  </si>
  <si>
    <t>0.6~0.8㎥</t>
    <phoneticPr fontId="5" type="noConversion"/>
  </si>
  <si>
    <t>0.6~0.8㎥</t>
  </si>
  <si>
    <t>1,800ℓ</t>
  </si>
  <si>
    <t>2106-0002</t>
    <phoneticPr fontId="5" type="noConversion"/>
  </si>
  <si>
    <t>2106-0003</t>
    <phoneticPr fontId="5" type="noConversion"/>
  </si>
  <si>
    <t>2106-0005</t>
    <phoneticPr fontId="5" type="noConversion"/>
  </si>
  <si>
    <t>0.5ton</t>
    <phoneticPr fontId="5" type="noConversion"/>
  </si>
  <si>
    <t>2107-0005</t>
    <phoneticPr fontId="5" type="noConversion"/>
  </si>
  <si>
    <t>3601-0302</t>
    <phoneticPr fontId="5" type="noConversion"/>
  </si>
  <si>
    <t>224.0㎾</t>
    <phoneticPr fontId="5" type="noConversion"/>
  </si>
  <si>
    <t>유압식할암기</t>
    <phoneticPr fontId="5" type="noConversion"/>
  </si>
  <si>
    <t>Ø80</t>
    <phoneticPr fontId="5" type="noConversion"/>
  </si>
  <si>
    <t>소형노면파쇄기</t>
    <phoneticPr fontId="5" type="noConversion"/>
  </si>
  <si>
    <t>5501-0080</t>
    <phoneticPr fontId="5" type="noConversion"/>
  </si>
  <si>
    <t>5702-0095</t>
    <phoneticPr fontId="5" type="noConversion"/>
  </si>
  <si>
    <t>7360-0090</t>
    <phoneticPr fontId="5" type="noConversion"/>
  </si>
  <si>
    <t>고소작업차</t>
  </si>
  <si>
    <t>제8장 건설기계</t>
    <phoneticPr fontId="5" type="noConversion"/>
  </si>
  <si>
    <t>8-3 기계손료</t>
    <phoneticPr fontId="5" type="noConversion"/>
  </si>
  <si>
    <t>8-4 운전경비 산정</t>
    <phoneticPr fontId="5" type="noConversion"/>
  </si>
  <si>
    <t>8-5 기계가격</t>
    <phoneticPr fontId="5" type="noConversion"/>
  </si>
  <si>
    <t>(0101) 불도저(무한궤도)</t>
    <phoneticPr fontId="5" type="noConversion"/>
  </si>
  <si>
    <t>[00]토공기계</t>
    <phoneticPr fontId="5" type="noConversion"/>
  </si>
  <si>
    <t>노무비</t>
  </si>
  <si>
    <t>합   계</t>
  </si>
  <si>
    <t>불도저</t>
    <phoneticPr fontId="5" type="noConversion"/>
  </si>
  <si>
    <t>(0102) 불도저(타이어)</t>
  </si>
  <si>
    <t>경   비</t>
  </si>
  <si>
    <t>(0103) 유압식 리퍼</t>
  </si>
  <si>
    <t>16ton</t>
  </si>
  <si>
    <t>1.2㎥</t>
  </si>
  <si>
    <t>(0230) 대형 브레이커</t>
  </si>
  <si>
    <t>(0250) 압쇄기(펄버라이저)</t>
  </si>
  <si>
    <t>(0260) 트랜처</t>
    <phoneticPr fontId="5" type="noConversion"/>
  </si>
  <si>
    <t>3.55ton</t>
  </si>
  <si>
    <t>(0301) 로더(무한궤도)</t>
    <phoneticPr fontId="5" type="noConversion"/>
  </si>
  <si>
    <t>로더(무한궤도)</t>
  </si>
  <si>
    <t>2.87㎥</t>
  </si>
  <si>
    <t>(0302) 로더(타이어)</t>
    <phoneticPr fontId="5" type="noConversion"/>
  </si>
  <si>
    <t>3.5㎥</t>
  </si>
  <si>
    <t>5.0㎥</t>
  </si>
  <si>
    <t>(0406) 스크레이퍼(자주식)</t>
    <phoneticPr fontId="5" type="noConversion"/>
  </si>
  <si>
    <t>스크레이퍼(자주식)</t>
  </si>
  <si>
    <t>(0407) 스크레이퍼(피견인식)</t>
    <phoneticPr fontId="5" type="noConversion"/>
  </si>
  <si>
    <t>스크레이퍼(피견인식)</t>
  </si>
  <si>
    <t>(hr당)</t>
  </si>
  <si>
    <t>(0502) 모터그레이더(일반용)</t>
    <phoneticPr fontId="5" type="noConversion"/>
  </si>
  <si>
    <t>모터그레이더(일반용)</t>
  </si>
  <si>
    <t>모터그레이더(사리도)</t>
    <phoneticPr fontId="5" type="noConversion"/>
  </si>
  <si>
    <t>3.6m</t>
  </si>
  <si>
    <t>(0503) 모터그레이더(사리도)</t>
  </si>
  <si>
    <t>(0602) 덤프트럭</t>
    <phoneticPr fontId="5" type="noConversion"/>
  </si>
  <si>
    <t>6.0ton</t>
    <phoneticPr fontId="5" type="noConversion"/>
  </si>
  <si>
    <t>24ton</t>
  </si>
  <si>
    <t>(0610) 덤프트럭 자동덮개시설</t>
  </si>
  <si>
    <t>[10]다짐기계</t>
  </si>
  <si>
    <t>(1106) 머캐덤 롤러(자주식)</t>
    <phoneticPr fontId="5" type="noConversion"/>
  </si>
  <si>
    <t>머캐덤 롤러(자주식)</t>
  </si>
  <si>
    <t>10~12ton</t>
  </si>
  <si>
    <t>12~15ton</t>
  </si>
  <si>
    <t>(1206) 탠덤롤러(자주식)</t>
    <phoneticPr fontId="5" type="noConversion"/>
  </si>
  <si>
    <t>탠덤롤러(자주식)</t>
  </si>
  <si>
    <t>(1209) 탠덤롤러(진동 자주식)</t>
    <phoneticPr fontId="5" type="noConversion"/>
  </si>
  <si>
    <t>탠덤롤러(진동 자주식)</t>
  </si>
  <si>
    <t>(1305) 진동롤러(핸드가이드식)</t>
    <phoneticPr fontId="5" type="noConversion"/>
  </si>
  <si>
    <t>진동롤러(핸드가이드식)</t>
  </si>
  <si>
    <t>0.7ton</t>
  </si>
  <si>
    <t>(1306) 진동롤러(자주식)</t>
    <phoneticPr fontId="5" type="noConversion"/>
  </si>
  <si>
    <t>15~25ton</t>
  </si>
  <si>
    <t>(1406) 타이어 롤러(자주식)</t>
    <phoneticPr fontId="5" type="noConversion"/>
  </si>
  <si>
    <t>타이어 롤러(자주식)</t>
  </si>
  <si>
    <t>(1506) 양족식 롤러(자주식)</t>
    <phoneticPr fontId="5" type="noConversion"/>
  </si>
  <si>
    <t>양족식 롤러(자주식)</t>
  </si>
  <si>
    <t>(1630) 래머</t>
    <phoneticPr fontId="5" type="noConversion"/>
  </si>
  <si>
    <t>래머</t>
  </si>
  <si>
    <t>(1730) 플레이트 콤팩터</t>
    <phoneticPr fontId="5" type="noConversion"/>
  </si>
  <si>
    <t>플레이트 콤팩터</t>
  </si>
  <si>
    <t>[20]운반 및 하역기계</t>
  </si>
  <si>
    <t>(2101) 크레인(무한궤도)</t>
    <phoneticPr fontId="5" type="noConversion"/>
  </si>
  <si>
    <t>10ton(0.29㎥)</t>
  </si>
  <si>
    <t>15ton(0.38㎥)</t>
  </si>
  <si>
    <t>20ton(0.57㎥)</t>
  </si>
  <si>
    <t>25ton(0.76㎥)</t>
  </si>
  <si>
    <t>30ton(1.15㎥)</t>
  </si>
  <si>
    <t>35ton(1.33㎥)</t>
  </si>
  <si>
    <t>40ton(1.53㎥)</t>
  </si>
  <si>
    <t>50ton(1.91㎥)</t>
  </si>
  <si>
    <t>70ton(2.29㎥)</t>
  </si>
  <si>
    <t>80ton(2.68㎥)</t>
  </si>
  <si>
    <t>220ton</t>
  </si>
  <si>
    <t>280ton</t>
  </si>
  <si>
    <t>(2104) 크레인(타이어)</t>
    <phoneticPr fontId="5" type="noConversion"/>
  </si>
  <si>
    <t>크레인(타이어)</t>
  </si>
  <si>
    <t>130ton</t>
  </si>
  <si>
    <t>160ton</t>
  </si>
  <si>
    <t>주연료비의 %</t>
    <phoneticPr fontId="5" type="noConversion"/>
  </si>
  <si>
    <t>(2105) 트럭탑재형 크레인</t>
    <phoneticPr fontId="5" type="noConversion"/>
  </si>
  <si>
    <t>트럭탑재형 크레인</t>
  </si>
  <si>
    <t>18ton</t>
  </si>
  <si>
    <t>(2106) 고소작업차</t>
    <phoneticPr fontId="5" type="noConversion"/>
  </si>
  <si>
    <t>(2107) 터널용고소작업차</t>
    <phoneticPr fontId="5" type="noConversion"/>
  </si>
  <si>
    <t>터널용고소작업차</t>
  </si>
  <si>
    <t>0.5ton</t>
  </si>
  <si>
    <t>(2115) 리더(LEADER; 고정형)</t>
    <phoneticPr fontId="5" type="noConversion"/>
  </si>
  <si>
    <t>리더(LEADER; 고정형)</t>
  </si>
  <si>
    <t>(2116) 리더(LEADER; 회전형)</t>
    <phoneticPr fontId="5" type="noConversion"/>
  </si>
  <si>
    <t>리더(LEADER; 회전형)</t>
  </si>
  <si>
    <t>(2117) 케이싱(CASING)</t>
    <phoneticPr fontId="5" type="noConversion"/>
  </si>
  <si>
    <t>케이싱(CASING)</t>
  </si>
  <si>
    <t>22m</t>
  </si>
  <si>
    <t>27m</t>
  </si>
  <si>
    <t>(2118) 스킵버킷(SKIP BUCKET)</t>
    <phoneticPr fontId="5" type="noConversion"/>
  </si>
  <si>
    <t>스킵버킷(SKIP BUCKET)</t>
  </si>
  <si>
    <t>(2208) 타워크레인</t>
    <phoneticPr fontId="5" type="noConversion"/>
  </si>
  <si>
    <t>타워크레인</t>
  </si>
  <si>
    <t>50m×8ton</t>
  </si>
  <si>
    <t>50m×10ton</t>
  </si>
  <si>
    <t>1ton×45m</t>
  </si>
  <si>
    <t>(2210) 건설용리프트(인화물용)</t>
    <phoneticPr fontId="5" type="noConversion"/>
  </si>
  <si>
    <t>건설용리프트(인화물용)</t>
  </si>
  <si>
    <t>(2330) 디젤 기관차</t>
    <phoneticPr fontId="5" type="noConversion"/>
  </si>
  <si>
    <t>디젤 기관차</t>
  </si>
  <si>
    <t>15㎾(62.5㎥/hr)</t>
  </si>
  <si>
    <t>67.14㎾</t>
  </si>
  <si>
    <t>162㎾</t>
  </si>
  <si>
    <t>0.5㎥</t>
  </si>
  <si>
    <t>180㎾</t>
  </si>
  <si>
    <t>3,400㎾</t>
  </si>
  <si>
    <t>3,400㎾</t>
    <phoneticPr fontId="5" type="noConversion"/>
  </si>
  <si>
    <t>(2402) 경운기</t>
    <phoneticPr fontId="5" type="noConversion"/>
  </si>
  <si>
    <t>(2502) 지게차</t>
    <phoneticPr fontId="5" type="noConversion"/>
  </si>
  <si>
    <t>(2602) 트랙터(타이어)</t>
    <phoneticPr fontId="5" type="noConversion"/>
  </si>
  <si>
    <t>트랙터(타이어)</t>
  </si>
  <si>
    <t>(2702) 트럭 트랙터 및 평판트레일러</t>
    <phoneticPr fontId="5" type="noConversion"/>
  </si>
  <si>
    <t>트럭 트랙터 및 평판트레일러</t>
  </si>
  <si>
    <t>[30]포장기계</t>
  </si>
  <si>
    <t>(3108) 아스팔트 믹싱플랜트</t>
    <phoneticPr fontId="5" type="noConversion"/>
  </si>
  <si>
    <t>아스팔트 믹싱플랜트</t>
  </si>
  <si>
    <t>40ton/hr(80㎾)</t>
  </si>
  <si>
    <t>60ton/hr(120㎾)</t>
  </si>
  <si>
    <t>80ton/hr(160㎾)</t>
  </si>
  <si>
    <t>100ton/hr(200㎾)</t>
  </si>
  <si>
    <t>120ton/hr(240㎾)</t>
  </si>
  <si>
    <t>(3201) 아스팔트 피니셔</t>
    <phoneticPr fontId="5" type="noConversion"/>
  </si>
  <si>
    <t>아스팔트 피니셔</t>
  </si>
  <si>
    <t>(3302) 아스팔트 디스트리뷰터</t>
    <phoneticPr fontId="5" type="noConversion"/>
  </si>
  <si>
    <t>아스팔트 디스트리뷰터</t>
  </si>
  <si>
    <t>(3430) 아스팔트 스프레이어</t>
    <phoneticPr fontId="5" type="noConversion"/>
  </si>
  <si>
    <t>아스팔트 스프레이어</t>
  </si>
  <si>
    <t>(3450) 현장가열 표층재생기</t>
    <phoneticPr fontId="5" type="noConversion"/>
  </si>
  <si>
    <t>현장가열 표층재생기</t>
  </si>
  <si>
    <t>(3530) 스테이빌라이저(안정기)</t>
    <phoneticPr fontId="5" type="noConversion"/>
  </si>
  <si>
    <t>스테이빌라이저(안정기)</t>
  </si>
  <si>
    <t>(3601) 콘크리트 피니셔(포장용)</t>
    <phoneticPr fontId="5" type="noConversion"/>
  </si>
  <si>
    <t>콘크리트 피니셔(포장용)</t>
  </si>
  <si>
    <t>224.0㎾</t>
  </si>
  <si>
    <t>(3611) 콘크리트 피니셔(중앙분리대용)</t>
    <phoneticPr fontId="5" type="noConversion"/>
  </si>
  <si>
    <t>콘크리트 피니셔(중앙분리대용)</t>
  </si>
  <si>
    <t>(3701) 콘크리트 스프레더</t>
    <phoneticPr fontId="5" type="noConversion"/>
  </si>
  <si>
    <t>콘크리트 스프레더</t>
  </si>
  <si>
    <t>(3801) 콘크리트 조면 마무리기</t>
    <phoneticPr fontId="5" type="noConversion"/>
  </si>
  <si>
    <t>콘크리트 조면 마무리기</t>
  </si>
  <si>
    <t>(3805) 콘크리트 롤러페이버</t>
    <phoneticPr fontId="5" type="noConversion"/>
  </si>
  <si>
    <t>콘크리트 롤러페이버</t>
  </si>
  <si>
    <t>(3901) 슬러리실 기계</t>
    <phoneticPr fontId="5" type="noConversion"/>
  </si>
  <si>
    <t>슬러리실 기계</t>
  </si>
  <si>
    <t>[40]콘크리트기계</t>
  </si>
  <si>
    <t>(4108) 콘크리트 배치플랜트</t>
    <phoneticPr fontId="5" type="noConversion"/>
  </si>
  <si>
    <t>콘크리트 배치플랜트</t>
  </si>
  <si>
    <t>60㎥(96㎾)</t>
    <phoneticPr fontId="5" type="noConversion"/>
  </si>
  <si>
    <t>90㎥(144㎾)</t>
    <phoneticPr fontId="5" type="noConversion"/>
  </si>
  <si>
    <t>120㎥(160㎾)</t>
    <phoneticPr fontId="5" type="noConversion"/>
  </si>
  <si>
    <t>150㎥(177㎾)</t>
    <phoneticPr fontId="5" type="noConversion"/>
  </si>
  <si>
    <t>180㎥(213㎾)</t>
    <phoneticPr fontId="5" type="noConversion"/>
  </si>
  <si>
    <t>210㎥(233㎾)</t>
    <phoneticPr fontId="5" type="noConversion"/>
  </si>
  <si>
    <t>(4115) 사일로(SILO)</t>
    <phoneticPr fontId="5" type="noConversion"/>
  </si>
  <si>
    <t>사일로(SILO)</t>
  </si>
  <si>
    <t>100㎥/hr(7.0㎾)</t>
  </si>
  <si>
    <t>150㎥/hr(7.0㎾)</t>
  </si>
  <si>
    <t>200㎥/hr(7.7㎾)</t>
  </si>
  <si>
    <t>300㎥/hr(7.7㎾)</t>
  </si>
  <si>
    <t>(4205) 콘크리트 믹서</t>
    <phoneticPr fontId="5" type="noConversion"/>
  </si>
  <si>
    <t>콘크리트 믹서</t>
  </si>
  <si>
    <t>0.10㎥</t>
    <phoneticPr fontId="5" type="noConversion"/>
  </si>
  <si>
    <t>0.17㎥</t>
    <phoneticPr fontId="5" type="noConversion"/>
  </si>
  <si>
    <t>0.20㎥</t>
    <phoneticPr fontId="5" type="noConversion"/>
  </si>
  <si>
    <t>0.30㎥</t>
    <phoneticPr fontId="5" type="noConversion"/>
  </si>
  <si>
    <t>0.40㎥</t>
    <phoneticPr fontId="5" type="noConversion"/>
  </si>
  <si>
    <t>0.45㎥</t>
    <phoneticPr fontId="5" type="noConversion"/>
  </si>
  <si>
    <t>(4304) 콘크리트 믹서트럭</t>
    <phoneticPr fontId="5" type="noConversion"/>
  </si>
  <si>
    <t>콘크리트 믹서트럭</t>
  </si>
  <si>
    <t>(4430) 커터(콘크리트 및 아스팔트용)</t>
    <phoneticPr fontId="5" type="noConversion"/>
  </si>
  <si>
    <t>커터(콘크리트 및 아스팔트용)</t>
  </si>
  <si>
    <t>(4504) 콘크리트 펌프차</t>
    <phoneticPr fontId="5" type="noConversion"/>
  </si>
  <si>
    <t>21m(65~75㎥/hr)</t>
  </si>
  <si>
    <t>28m(65~75㎥/hr)</t>
  </si>
  <si>
    <t>32m(80~95㎥/hr)</t>
  </si>
  <si>
    <t>36m(80~95㎥/hr)</t>
  </si>
  <si>
    <t>41m(80~95㎥/hr)</t>
  </si>
  <si>
    <t>43m(80~95㎥/hr)</t>
  </si>
  <si>
    <t>47m(80~95㎥/hr)</t>
  </si>
  <si>
    <t>52m(80~95㎥/hr)</t>
  </si>
  <si>
    <t>콘크리트 펌프차</t>
  </si>
  <si>
    <t>경   비</t>
    <phoneticPr fontId="5" type="noConversion"/>
  </si>
  <si>
    <t>12~15㎥(22㎾)</t>
  </si>
  <si>
    <t>12~15㎥(22㎾)</t>
    <phoneticPr fontId="5" type="noConversion"/>
  </si>
  <si>
    <t>20~26㎥(30㎾)</t>
  </si>
  <si>
    <t>20~26㎥(30㎾)</t>
    <phoneticPr fontId="5" type="noConversion"/>
  </si>
  <si>
    <t>(4505) 콘크리트 펌프</t>
    <phoneticPr fontId="5" type="noConversion"/>
  </si>
  <si>
    <t>콘크리트 펌프</t>
  </si>
  <si>
    <t>(4506) 초고압펌프</t>
    <phoneticPr fontId="5" type="noConversion"/>
  </si>
  <si>
    <t>400㎏/㎠</t>
  </si>
  <si>
    <t>(4611) 콘크리트 진동기(전기식)</t>
    <phoneticPr fontId="5" type="noConversion"/>
  </si>
  <si>
    <t>(4611) 콘크리트 진동기(엔진식)</t>
    <phoneticPr fontId="5" type="noConversion"/>
  </si>
  <si>
    <t>콘크리트 진동기(전기식)</t>
  </si>
  <si>
    <t>콘크리트 진동기(엔진식)</t>
  </si>
  <si>
    <t>플렉시블형 ø45(0.75㎾)</t>
    <phoneticPr fontId="5" type="noConversion"/>
  </si>
  <si>
    <t>플렉시블형 ø45(2.6㎾)</t>
    <phoneticPr fontId="5" type="noConversion"/>
  </si>
  <si>
    <t>[50]골재생산기계 등</t>
  </si>
  <si>
    <t>50ton(93㎾)</t>
  </si>
  <si>
    <t>50ton(93㎾)</t>
    <phoneticPr fontId="5" type="noConversion"/>
  </si>
  <si>
    <t>100ton(155㎾)</t>
  </si>
  <si>
    <t>100ton(155㎾)</t>
    <phoneticPr fontId="5" type="noConversion"/>
  </si>
  <si>
    <t>150ton(260㎾)</t>
  </si>
  <si>
    <t>150ton(260㎾)</t>
    <phoneticPr fontId="5" type="noConversion"/>
  </si>
  <si>
    <t>200ton(326㎾)</t>
  </si>
  <si>
    <t>200ton(326㎾)</t>
    <phoneticPr fontId="5" type="noConversion"/>
  </si>
  <si>
    <t>(5105) 크러셔(이동식)</t>
    <phoneticPr fontId="5" type="noConversion"/>
  </si>
  <si>
    <t>크러셔(이동식)</t>
  </si>
  <si>
    <t>3.73㎾(40.64×15.24㎝)</t>
  </si>
  <si>
    <t>3.73㎾(40.64×15.24㎝)</t>
    <phoneticPr fontId="5" type="noConversion"/>
  </si>
  <si>
    <t>5.60㎾(45.72×15.24㎝)</t>
  </si>
  <si>
    <t>5.60㎾(45.72×15.24㎝)</t>
    <phoneticPr fontId="5" type="noConversion"/>
  </si>
  <si>
    <t>7.46㎾(60.96×15.24㎝)</t>
  </si>
  <si>
    <t>7.46㎾(60.96×15.24㎝)</t>
    <phoneticPr fontId="5" type="noConversion"/>
  </si>
  <si>
    <t>(5111) 벨트 컨베이어</t>
    <phoneticPr fontId="5" type="noConversion"/>
  </si>
  <si>
    <t>벨트 컨베이어</t>
  </si>
  <si>
    <t>11.19㎾(76.20×15.24㎝)</t>
  </si>
  <si>
    <t>11.19㎾(76.20×15.24㎝)</t>
    <phoneticPr fontId="5" type="noConversion"/>
  </si>
  <si>
    <t>14.92㎾(91.44×15.24㎝)</t>
  </si>
  <si>
    <t>14.92㎾(91.44×15.24㎝)</t>
    <phoneticPr fontId="5" type="noConversion"/>
  </si>
  <si>
    <t>3.73㎾(91.44×243.84㎝)</t>
    <phoneticPr fontId="5" type="noConversion"/>
  </si>
  <si>
    <t>3.73㎾(91.44×365.76㎝)</t>
    <phoneticPr fontId="5" type="noConversion"/>
  </si>
  <si>
    <t>7.46㎾(106.68×304.86㎝)</t>
    <phoneticPr fontId="5" type="noConversion"/>
  </si>
  <si>
    <t>7.46㎾(106.68×426.72㎝)</t>
    <phoneticPr fontId="5" type="noConversion"/>
  </si>
  <si>
    <t>(5112) 에이프런 피더</t>
    <phoneticPr fontId="5" type="noConversion"/>
  </si>
  <si>
    <t>에이프런 피더</t>
  </si>
  <si>
    <t>25.4×40.64㎝(18.65㎾)</t>
    <phoneticPr fontId="5" type="noConversion"/>
  </si>
  <si>
    <t>25.4×50.8㎝(22.38㎾)</t>
  </si>
  <si>
    <t>25.4×50.8㎝(22.38㎾)</t>
    <phoneticPr fontId="5" type="noConversion"/>
  </si>
  <si>
    <t>25.4×60.96㎝(29.84㎾)</t>
  </si>
  <si>
    <t>25.4×60.96㎝</t>
    <phoneticPr fontId="5" type="noConversion"/>
  </si>
  <si>
    <t>25.4×91.44㎝(44.76㎾)</t>
  </si>
  <si>
    <t>25.4×91.44㎝(44.76㎾)</t>
    <phoneticPr fontId="5" type="noConversion"/>
  </si>
  <si>
    <t>45.72×60.90㎝(55.95㎾)</t>
  </si>
  <si>
    <t>45.72×60.90㎝(55.95㎾)</t>
    <phoneticPr fontId="5" type="noConversion"/>
  </si>
  <si>
    <t>45.72×91.44㎝(82.06㎾)</t>
  </si>
  <si>
    <t>45.72×91.44㎝(82.06㎾)</t>
    <phoneticPr fontId="5" type="noConversion"/>
  </si>
  <si>
    <t>50.8×91.44㎝(104.44㎾)</t>
  </si>
  <si>
    <t>50.8×91.44㎝(104.44㎾)</t>
    <phoneticPr fontId="5" type="noConversion"/>
  </si>
  <si>
    <t>63.5×101.6㎝(111.90㎾)</t>
  </si>
  <si>
    <t>63.5×101.6㎝(111.90㎾)</t>
    <phoneticPr fontId="5" type="noConversion"/>
  </si>
  <si>
    <t>76.2×101.6㎝(141.74㎾)</t>
  </si>
  <si>
    <t>76.2×106.68㎝(141.74㎾)</t>
  </si>
  <si>
    <t>76.2×106.68㎝(141.74㎾)</t>
    <phoneticPr fontId="5" type="noConversion"/>
  </si>
  <si>
    <t>106.68×121.92㎝(231.26㎾)</t>
  </si>
  <si>
    <t>106.68×121.92㎝(231.26㎾)</t>
    <phoneticPr fontId="5" type="noConversion"/>
  </si>
  <si>
    <t>(5113) 죠 크러셔</t>
    <phoneticPr fontId="5" type="noConversion"/>
  </si>
  <si>
    <t>죠 크러셔</t>
  </si>
  <si>
    <t>(5114) 롤 크러셔</t>
    <phoneticPr fontId="5" type="noConversion"/>
  </si>
  <si>
    <t>40.64×40.64㎝(44.76㎾)</t>
  </si>
  <si>
    <t>40.64×40.64㎝(44.76㎾)</t>
    <phoneticPr fontId="5" type="noConversion"/>
  </si>
  <si>
    <t>60.96×40.64㎝(55.95㎾)</t>
  </si>
  <si>
    <t>60.96×40.64㎝(55.95㎾)</t>
    <phoneticPr fontId="5" type="noConversion"/>
  </si>
  <si>
    <t>76.2×45.72㎝(111.90㎾)</t>
  </si>
  <si>
    <t>76.2×45.72㎝(111.90㎾)</t>
    <phoneticPr fontId="5" type="noConversion"/>
  </si>
  <si>
    <t>76.2×63.5㎝(130.55㎾)</t>
    <phoneticPr fontId="5" type="noConversion"/>
  </si>
  <si>
    <t>76.2×76.2㎝(223.80㎾)</t>
  </si>
  <si>
    <t>76.2×76.2㎝(223.80㎾)</t>
    <phoneticPr fontId="5" type="noConversion"/>
  </si>
  <si>
    <t>101.6×66.04㎝(149.20㎾)</t>
  </si>
  <si>
    <t>101.6×66.04㎝(149.20㎾)</t>
    <phoneticPr fontId="5" type="noConversion"/>
  </si>
  <si>
    <t>104.14×76.2㎝(223.80㎾)</t>
  </si>
  <si>
    <t>104.14×76.2㎝(223.80㎾)</t>
    <phoneticPr fontId="5" type="noConversion"/>
  </si>
  <si>
    <t>139.7×76.2㎝(242.45㎾)</t>
  </si>
  <si>
    <t>139.7×76.2㎝(242.45㎾)</t>
    <phoneticPr fontId="5" type="noConversion"/>
  </si>
  <si>
    <t>60.96㎝(22㎾)</t>
  </si>
  <si>
    <t>60.96㎝(22㎾)</t>
    <phoneticPr fontId="5" type="noConversion"/>
  </si>
  <si>
    <t>91.44㎝(40.5㎾)</t>
  </si>
  <si>
    <t>91.44㎝(40.5㎾)</t>
    <phoneticPr fontId="5" type="noConversion"/>
  </si>
  <si>
    <t>121.92㎝(55㎾)</t>
  </si>
  <si>
    <t>121.92㎝(55㎾)</t>
    <phoneticPr fontId="5" type="noConversion"/>
  </si>
  <si>
    <t>125.94㎝(70㎾)</t>
  </si>
  <si>
    <t>125.94㎝(70㎾)</t>
    <phoneticPr fontId="5" type="noConversion"/>
  </si>
  <si>
    <t>(5115) 콘 크러셔</t>
    <phoneticPr fontId="5" type="noConversion"/>
  </si>
  <si>
    <t>콘 크러셔</t>
  </si>
  <si>
    <t>91.44×243.84㎝(5.60㎾)</t>
  </si>
  <si>
    <t>91.44×243.84㎝(5.60㎾)</t>
    <phoneticPr fontId="5" type="noConversion"/>
  </si>
  <si>
    <t>91.44×304.8㎝(5.60㎾)</t>
  </si>
  <si>
    <t>91.44×304.8㎝(5.60㎾)</t>
    <phoneticPr fontId="5" type="noConversion"/>
  </si>
  <si>
    <t>121.91×243.84㎝(7.46㎾)</t>
  </si>
  <si>
    <t>121.91×243.84㎝(7.46㎾)</t>
    <phoneticPr fontId="5" type="noConversion"/>
  </si>
  <si>
    <t>121.91×304.8㎝(7.46㎾)</t>
  </si>
  <si>
    <t>121.91×304.8㎝(7.46㎾)</t>
    <phoneticPr fontId="5" type="noConversion"/>
  </si>
  <si>
    <t>121.91×356.76㎝(11.19㎾)</t>
  </si>
  <si>
    <t>121.91×356.76㎝(11.19㎾)</t>
    <phoneticPr fontId="5" type="noConversion"/>
  </si>
  <si>
    <t>121.91×426.72㎝(11.19㎾)</t>
  </si>
  <si>
    <t>121.91×426.72㎝(11.19㎾)</t>
    <phoneticPr fontId="5" type="noConversion"/>
  </si>
  <si>
    <t>152.4×365.76㎝(14.92㎾)</t>
  </si>
  <si>
    <t>152.4×365.76㎝(14.92㎾)</t>
    <phoneticPr fontId="5" type="noConversion"/>
  </si>
  <si>
    <t>152.4×426.72㎝(18.65㎾)</t>
  </si>
  <si>
    <t>152.4×426.72㎝(18.65㎾)</t>
    <phoneticPr fontId="5" type="noConversion"/>
  </si>
  <si>
    <t>(5116) 스크린(2단식)</t>
    <phoneticPr fontId="5" type="noConversion"/>
  </si>
  <si>
    <t>스크린(2단식)</t>
  </si>
  <si>
    <t>91.44×243.84㎝(7.46㎾)</t>
  </si>
  <si>
    <t>91.44×243.84㎝(7.46㎾)</t>
    <phoneticPr fontId="5" type="noConversion"/>
  </si>
  <si>
    <t>109.73×304.8㎝(7.46㎾)</t>
  </si>
  <si>
    <t>109.73×304.8㎝(7.46㎾)</t>
    <phoneticPr fontId="5" type="noConversion"/>
  </si>
  <si>
    <t>121.91×304.8㎝(11.19㎾)</t>
  </si>
  <si>
    <t>121.91×304.8㎝(11.19㎾)</t>
    <phoneticPr fontId="5" type="noConversion"/>
  </si>
  <si>
    <t>121.91×356.76㎝(14.92㎾)</t>
  </si>
  <si>
    <t>121.91×356.76㎝(14.92㎾)</t>
    <phoneticPr fontId="5" type="noConversion"/>
  </si>
  <si>
    <t>121.91×426.72㎝(14.92㎾)</t>
  </si>
  <si>
    <t>121.91×426.72㎝(14.92㎾)</t>
    <phoneticPr fontId="5" type="noConversion"/>
  </si>
  <si>
    <t>152.4×365.76㎝(22.38㎾)</t>
  </si>
  <si>
    <t>152.4×365.76㎝(22.38㎾)</t>
    <phoneticPr fontId="5" type="noConversion"/>
  </si>
  <si>
    <t>152.4×426.72㎝(22.38㎾)</t>
  </si>
  <si>
    <t>152.4×426.72㎝(22.38㎾)</t>
    <phoneticPr fontId="5" type="noConversion"/>
  </si>
  <si>
    <t>152.4×487.68㎝(29.84㎾)</t>
  </si>
  <si>
    <t>152.4×487.68㎝(29.84㎾)</t>
    <phoneticPr fontId="5" type="noConversion"/>
  </si>
  <si>
    <t>(5117) 스크린(3단식)</t>
    <phoneticPr fontId="5" type="noConversion"/>
  </si>
  <si>
    <t>스크린(3단식)</t>
  </si>
  <si>
    <t>(5118) 아그리게이트빈</t>
    <phoneticPr fontId="5" type="noConversion"/>
  </si>
  <si>
    <t>아그리케이트빈</t>
    <phoneticPr fontId="5" type="noConversion"/>
  </si>
  <si>
    <t>7.65㎥(7.46㎾)</t>
  </si>
  <si>
    <t>7.65㎥(7.46㎾)</t>
    <phoneticPr fontId="5" type="noConversion"/>
  </si>
  <si>
    <t>16.06㎥(11.19㎾)</t>
  </si>
  <si>
    <t>16.06㎥(11.19㎾)</t>
    <phoneticPr fontId="5" type="noConversion"/>
  </si>
  <si>
    <t>19.11㎥(14.92㎾)</t>
  </si>
  <si>
    <t>19.11㎥(14.92㎾)</t>
    <phoneticPr fontId="5" type="noConversion"/>
  </si>
  <si>
    <t>22.94㎥(14.92㎾)</t>
  </si>
  <si>
    <t>22.94㎥(14.92㎾)</t>
    <phoneticPr fontId="5" type="noConversion"/>
  </si>
  <si>
    <t>26.76㎥(18.65㎾)</t>
  </si>
  <si>
    <t>26.76㎥(18.65㎾)</t>
    <phoneticPr fontId="5" type="noConversion"/>
  </si>
  <si>
    <t>34.41㎥(22.38㎾)</t>
  </si>
  <si>
    <t>34.41㎥(22.38㎾)</t>
    <phoneticPr fontId="5" type="noConversion"/>
  </si>
  <si>
    <t>53.52㎥(29.84㎾)</t>
  </si>
  <si>
    <t>53.52㎥(29.84㎾)</t>
    <phoneticPr fontId="5" type="noConversion"/>
  </si>
  <si>
    <t>(5119) 골재세척설비</t>
    <phoneticPr fontId="5" type="noConversion"/>
  </si>
  <si>
    <t>(5203) 파이프추진기(공압식)</t>
    <phoneticPr fontId="5" type="noConversion"/>
  </si>
  <si>
    <t>파이프추진기(공압식)</t>
  </si>
  <si>
    <t>180-195㎜</t>
    <phoneticPr fontId="5" type="noConversion"/>
  </si>
  <si>
    <t>220-235㎜</t>
    <phoneticPr fontId="5" type="noConversion"/>
  </si>
  <si>
    <t>270-330㎜</t>
    <phoneticPr fontId="5" type="noConversion"/>
  </si>
  <si>
    <t>350-400㎜</t>
    <phoneticPr fontId="5" type="noConversion"/>
  </si>
  <si>
    <t>450-510㎜</t>
    <phoneticPr fontId="5" type="noConversion"/>
  </si>
  <si>
    <t>(5202) 파이프추진기(오거부착유압식)</t>
    <phoneticPr fontId="5" type="noConversion"/>
  </si>
  <si>
    <t>파이프추진기(오거부착유압식)</t>
  </si>
  <si>
    <t>(5204) 유압잭</t>
    <phoneticPr fontId="5" type="noConversion"/>
  </si>
  <si>
    <t>유압잭</t>
  </si>
  <si>
    <t>7.1㎥/min</t>
    <phoneticPr fontId="5" type="noConversion"/>
  </si>
  <si>
    <t>(5205) 공기압축기(이동식)</t>
    <phoneticPr fontId="5" type="noConversion"/>
  </si>
  <si>
    <t>공기압축기(이동식)</t>
  </si>
  <si>
    <t>1.0㎥/min</t>
  </si>
  <si>
    <t>1.3㎥/min</t>
  </si>
  <si>
    <t>1.9㎥/min</t>
  </si>
  <si>
    <t>(5210) 소형브레이커(공압식)</t>
    <phoneticPr fontId="5" type="noConversion"/>
  </si>
  <si>
    <t>소형브레이커(공압식)</t>
  </si>
  <si>
    <t>(5220) 소형브레이커(전기식)</t>
  </si>
  <si>
    <t>(5330) 드릴웨곤</t>
  </si>
  <si>
    <t>드릴웨곤</t>
    <phoneticPr fontId="5" type="noConversion"/>
  </si>
  <si>
    <t>7.4㎥/min(100㎜)</t>
  </si>
  <si>
    <t>7.4㎥/min(100㎜)</t>
    <phoneticPr fontId="5" type="noConversion"/>
  </si>
  <si>
    <t>(5401) 크롤러드릴(공기식)</t>
    <phoneticPr fontId="5" type="noConversion"/>
  </si>
  <si>
    <t>크롤러드릴(공기식)</t>
  </si>
  <si>
    <t>(5405) 크롤러드릴(탑승유압식)</t>
    <phoneticPr fontId="5" type="noConversion"/>
  </si>
  <si>
    <t>(5501) 유압식할암기</t>
    <phoneticPr fontId="5" type="noConversion"/>
  </si>
  <si>
    <t>(5701) 노면파쇄기</t>
    <phoneticPr fontId="5" type="noConversion"/>
  </si>
  <si>
    <t>(5702) 소형노면파쇄기</t>
    <phoneticPr fontId="5" type="noConversion"/>
  </si>
  <si>
    <t>3.0m</t>
    <phoneticPr fontId="5" type="noConversion"/>
  </si>
  <si>
    <t>4.5m</t>
    <phoneticPr fontId="5" type="noConversion"/>
  </si>
  <si>
    <t>7.0m</t>
  </si>
  <si>
    <t>(5801) 터널전단면 굴착기(TBM)</t>
    <phoneticPr fontId="5" type="noConversion"/>
  </si>
  <si>
    <t>터널전단면 굴착기(TBM)</t>
  </si>
  <si>
    <t>(5805) 점보드릴</t>
    <phoneticPr fontId="5" type="noConversion"/>
  </si>
  <si>
    <t>(5901) 코아드릴</t>
    <phoneticPr fontId="5" type="noConversion"/>
  </si>
  <si>
    <t>25.4㎝</t>
    <phoneticPr fontId="5" type="noConversion"/>
  </si>
  <si>
    <t>(6105) 그라우팅 믹서</t>
  </si>
  <si>
    <t>190x2ℓ(2㎾)</t>
  </si>
  <si>
    <t>190x2ℓ(2㎾)</t>
    <phoneticPr fontId="5" type="noConversion"/>
  </si>
  <si>
    <t>390x2ℓ(5㎾)</t>
  </si>
  <si>
    <t>390x2ℓ(5㎾)</t>
    <phoneticPr fontId="5" type="noConversion"/>
  </si>
  <si>
    <t>30-60ℓ/min(3.7)</t>
  </si>
  <si>
    <t>30-60ℓ/min(3.7)</t>
    <phoneticPr fontId="5" type="noConversion"/>
  </si>
  <si>
    <t>40-125ℓ/min(7.5)</t>
  </si>
  <si>
    <t>40-125ℓ/min(7.5)</t>
    <phoneticPr fontId="5" type="noConversion"/>
  </si>
  <si>
    <t>50-200ℓ/min(11)</t>
  </si>
  <si>
    <t>50-200ℓ/min(11)</t>
    <phoneticPr fontId="5" type="noConversion"/>
  </si>
  <si>
    <t>(6202) 그라우팅 펌프</t>
    <phoneticPr fontId="5" type="noConversion"/>
  </si>
  <si>
    <t>그라우팅 펌프</t>
  </si>
  <si>
    <t>4.0ton</t>
    <phoneticPr fontId="5" type="noConversion"/>
  </si>
  <si>
    <t>(6330) 디젤 파일 해머</t>
    <phoneticPr fontId="5" type="noConversion"/>
  </si>
  <si>
    <t>디젤 파일 해머</t>
  </si>
  <si>
    <t>[60]기초공사용 기계</t>
  </si>
  <si>
    <t>40.5㎜x150m(7.46)</t>
  </si>
  <si>
    <t>50㎜x200m(11.19)</t>
  </si>
  <si>
    <t>50㎜x300m(11.19)</t>
  </si>
  <si>
    <t>42㎜x400m(11.19)</t>
  </si>
  <si>
    <t>66.7㎜x500m(14.92)</t>
  </si>
  <si>
    <t>66.7㎜x850m(29.84)</t>
  </si>
  <si>
    <t>60㎜x1,000m(37.30)</t>
  </si>
  <si>
    <t>(6408) 보링 기계</t>
    <phoneticPr fontId="5" type="noConversion"/>
  </si>
  <si>
    <t>보링 기계</t>
  </si>
  <si>
    <t>89.52㎾</t>
    <phoneticPr fontId="5" type="noConversion"/>
  </si>
  <si>
    <t>(6410) 오거</t>
    <phoneticPr fontId="5" type="noConversion"/>
  </si>
  <si>
    <t>오거</t>
  </si>
  <si>
    <t>1,000㎜</t>
  </si>
  <si>
    <t>1,500㎜</t>
  </si>
  <si>
    <t>2,000㎜</t>
  </si>
  <si>
    <t>2,500㎜</t>
  </si>
  <si>
    <t>3,000㎜</t>
  </si>
  <si>
    <t>(6510) 오실레이터, 로테이터</t>
    <phoneticPr fontId="5" type="noConversion"/>
  </si>
  <si>
    <t>오실레이터, 로테이터</t>
  </si>
  <si>
    <t>(6515) 유압파워팩</t>
    <phoneticPr fontId="5" type="noConversion"/>
  </si>
  <si>
    <t>(6516) 강연선인장기</t>
    <phoneticPr fontId="5" type="noConversion"/>
  </si>
  <si>
    <t>(6517) 리버스서큘레이션드릴</t>
    <phoneticPr fontId="5" type="noConversion"/>
  </si>
  <si>
    <t>리버스서큘레이션드릴</t>
  </si>
  <si>
    <t>전회전식천공기</t>
  </si>
  <si>
    <t>(6518) 전회전식천공기</t>
    <phoneticPr fontId="5" type="noConversion"/>
  </si>
  <si>
    <t>120㎾</t>
  </si>
  <si>
    <t>(6530) 진동파일 해머(전동식)</t>
    <phoneticPr fontId="5" type="noConversion"/>
  </si>
  <si>
    <t>진동파일 해머(전동식)</t>
  </si>
  <si>
    <t>(6532) 진동파일 해머(유압식)</t>
  </si>
  <si>
    <t>(6540) 워터젯트</t>
  </si>
  <si>
    <t>(6550) 유압식 압입 인발기</t>
  </si>
  <si>
    <t>(6630) 유압 파일 해머</t>
    <phoneticPr fontId="5" type="noConversion"/>
  </si>
  <si>
    <t>유압 파일 해머</t>
  </si>
  <si>
    <t>(6701) PBD천공기(유압식)</t>
    <phoneticPr fontId="5" type="noConversion"/>
  </si>
  <si>
    <t>147㎾, 38m</t>
    <phoneticPr fontId="5" type="noConversion"/>
  </si>
  <si>
    <t>184㎾, 53m</t>
    <phoneticPr fontId="5" type="noConversion"/>
  </si>
  <si>
    <t>(6801) 고압분사전용장비</t>
    <phoneticPr fontId="5" type="noConversion"/>
  </si>
  <si>
    <t>(6802) 파일천공전용장비</t>
    <phoneticPr fontId="5" type="noConversion"/>
  </si>
  <si>
    <t>135ton</t>
  </si>
  <si>
    <t>파일천공전용장비</t>
  </si>
  <si>
    <t>(6901) 자동화 믹서플랜트</t>
    <phoneticPr fontId="5" type="noConversion"/>
  </si>
  <si>
    <t>[70]기타기계</t>
  </si>
  <si>
    <t>(7101) 고성능 착정기</t>
    <phoneticPr fontId="5" type="noConversion"/>
  </si>
  <si>
    <t>고성능 착정기</t>
  </si>
  <si>
    <t>(7103) 하수관 천공기</t>
  </si>
  <si>
    <t>(7104) 상수도관 천공기</t>
  </si>
  <si>
    <t>(7106) 골재 살포기(자주식)</t>
    <phoneticPr fontId="5" type="noConversion"/>
  </si>
  <si>
    <t>골재 살포기(자주식)</t>
  </si>
  <si>
    <t>(7110) 진공흡입 준설차</t>
    <phoneticPr fontId="5" type="noConversion"/>
  </si>
  <si>
    <t>13톤(3.00㎥ 적)</t>
  </si>
  <si>
    <t>25톤(7.64㎥ 적)</t>
  </si>
  <si>
    <t>(7120) 버킷식준설기</t>
    <phoneticPr fontId="5" type="noConversion"/>
  </si>
  <si>
    <t>(7202) 자동세륜기(롤 타입)</t>
    <phoneticPr fontId="5" type="noConversion"/>
  </si>
  <si>
    <t>2,200×5,150×1,000</t>
  </si>
  <si>
    <t>2,650×5,160×1,000</t>
  </si>
  <si>
    <t>자동세륜기(롤 타입)</t>
  </si>
  <si>
    <t>6,500ℓ</t>
  </si>
  <si>
    <t>(7204) 물탱크(살수차)</t>
    <phoneticPr fontId="5" type="noConversion"/>
  </si>
  <si>
    <t>354.35㎾</t>
  </si>
  <si>
    <t>402.84㎾</t>
  </si>
  <si>
    <t>(7205) 이동식 임목파쇄기</t>
    <phoneticPr fontId="5" type="noConversion"/>
  </si>
  <si>
    <t>이동식 임목파쇄기</t>
  </si>
  <si>
    <t>(7206) 부착용 집게</t>
    <phoneticPr fontId="5" type="noConversion"/>
  </si>
  <si>
    <t>(7210) 동력분무기</t>
    <phoneticPr fontId="5" type="noConversion"/>
  </si>
  <si>
    <t>(7330) 라인 마커</t>
  </si>
  <si>
    <t>(7360) 차선 제거기</t>
    <phoneticPr fontId="5" type="noConversion"/>
  </si>
  <si>
    <t>4.10㎾</t>
  </si>
  <si>
    <t>(7430) 윈치(수동)</t>
  </si>
  <si>
    <t>1.수동싱글드럼</t>
    <phoneticPr fontId="5" type="noConversion"/>
  </si>
  <si>
    <t>2.수동더블드럼</t>
    <phoneticPr fontId="5" type="noConversion"/>
  </si>
  <si>
    <t>1ton(11.19㎾)</t>
  </si>
  <si>
    <t>1ton(11.19㎾)</t>
    <phoneticPr fontId="5" type="noConversion"/>
  </si>
  <si>
    <t>3ton(22.38㎾)</t>
  </si>
  <si>
    <t>3ton(22.38㎾)</t>
    <phoneticPr fontId="5" type="noConversion"/>
  </si>
  <si>
    <t>5ton(37.30㎾)</t>
  </si>
  <si>
    <t>5ton(37.30㎾)</t>
    <phoneticPr fontId="5" type="noConversion"/>
  </si>
  <si>
    <t>1.자동싱글드럼</t>
    <phoneticPr fontId="5" type="noConversion"/>
  </si>
  <si>
    <t>2.자동더블드럼</t>
    <phoneticPr fontId="5" type="noConversion"/>
  </si>
  <si>
    <t>(7431) 윈치(자동)</t>
    <phoneticPr fontId="5" type="noConversion"/>
  </si>
  <si>
    <t>(7505) 발전기</t>
    <phoneticPr fontId="5" type="noConversion"/>
  </si>
  <si>
    <t>(7611) 용접기(교류)</t>
    <phoneticPr fontId="5" type="noConversion"/>
  </si>
  <si>
    <t>(7612) 용접기(직류)</t>
    <phoneticPr fontId="5" type="noConversion"/>
  </si>
  <si>
    <t>용접기(직류)</t>
  </si>
  <si>
    <t>100-150㎜</t>
    <phoneticPr fontId="5" type="noConversion"/>
  </si>
  <si>
    <t>200-300㎜</t>
    <phoneticPr fontId="5" type="noConversion"/>
  </si>
  <si>
    <t>450-600㎜</t>
    <phoneticPr fontId="5" type="noConversion"/>
  </si>
  <si>
    <t>(7613) 용착기</t>
    <phoneticPr fontId="5" type="noConversion"/>
  </si>
  <si>
    <t>용착기</t>
  </si>
  <si>
    <t>(7614) 알곤 용접기</t>
  </si>
  <si>
    <t>(7620) 절단기</t>
    <phoneticPr fontId="5" type="noConversion"/>
  </si>
  <si>
    <t>(7621) 프라즈마 절단기</t>
  </si>
  <si>
    <t>(7730) 건설용펌프(자흡식)</t>
    <phoneticPr fontId="5" type="noConversion"/>
  </si>
  <si>
    <t>80㎜(3.73㎾×15m)</t>
    <phoneticPr fontId="5" type="noConversion"/>
  </si>
  <si>
    <t>100㎜(3.73㎾×20m)</t>
    <phoneticPr fontId="5" type="noConversion"/>
  </si>
  <si>
    <t>125㎜(11.19㎾×20m)</t>
    <phoneticPr fontId="5" type="noConversion"/>
  </si>
  <si>
    <t>150㎜(14.92㎾×20m)</t>
    <phoneticPr fontId="5" type="noConversion"/>
  </si>
  <si>
    <t>(7740) 수중모터 펌프</t>
  </si>
  <si>
    <t>(7750) 취부기(녹생토 암절개면 보호식재용)</t>
  </si>
  <si>
    <t>(7770) 실사출기</t>
  </si>
  <si>
    <t>4 노즐류</t>
  </si>
  <si>
    <t>4 노즐류</t>
    <phoneticPr fontId="5" type="noConversion"/>
  </si>
  <si>
    <t>(7811) 엔진(가솔린)</t>
    <phoneticPr fontId="5" type="noConversion"/>
  </si>
  <si>
    <t>엔진(가솔린)</t>
  </si>
  <si>
    <t>(7812) 엔진(디젤)</t>
    <phoneticPr fontId="5" type="noConversion"/>
  </si>
  <si>
    <t>(7830) 우레탄폼 분사용기구</t>
    <phoneticPr fontId="5" type="noConversion"/>
  </si>
  <si>
    <t>(7930) 모터</t>
    <phoneticPr fontId="5" type="noConversion"/>
  </si>
  <si>
    <t>(7935) 모터(쉴드TBM용)</t>
    <phoneticPr fontId="5" type="noConversion"/>
  </si>
  <si>
    <t>(7950) 레일천공기</t>
    <phoneticPr fontId="5" type="noConversion"/>
  </si>
  <si>
    <t>(7951) 파워렌치</t>
    <phoneticPr fontId="5" type="noConversion"/>
  </si>
  <si>
    <t>(7952) 침목천공기</t>
    <phoneticPr fontId="5" type="noConversion"/>
  </si>
  <si>
    <t>(7953) 타이템퍼</t>
    <phoneticPr fontId="5" type="noConversion"/>
  </si>
  <si>
    <t>(7954) 양로기</t>
    <phoneticPr fontId="5" type="noConversion"/>
  </si>
  <si>
    <t>(7991) 모르타르 펌프</t>
    <phoneticPr fontId="5" type="noConversion"/>
  </si>
  <si>
    <t>모르타르 펌프</t>
  </si>
  <si>
    <t>(7992) 모르타르 믹서</t>
    <phoneticPr fontId="5" type="noConversion"/>
  </si>
  <si>
    <t>모르타르 믹서</t>
  </si>
  <si>
    <t>(7993) 양수기</t>
    <phoneticPr fontId="5" type="noConversion"/>
  </si>
  <si>
    <t>(7994) POWER TLOWEL</t>
    <phoneticPr fontId="5" type="noConversion"/>
  </si>
  <si>
    <t>POWER TLOWEL</t>
  </si>
  <si>
    <t>ø50-2.6m</t>
    <phoneticPr fontId="5" type="noConversion"/>
  </si>
  <si>
    <t>(7995) 배관파이프</t>
    <phoneticPr fontId="5" type="noConversion"/>
  </si>
  <si>
    <t>[90]해상장비</t>
  </si>
  <si>
    <t>(9010) 펌프 준설선</t>
    <phoneticPr fontId="5" type="noConversion"/>
  </si>
  <si>
    <t>224㎾</t>
    <phoneticPr fontId="5" type="noConversion"/>
  </si>
  <si>
    <t>448㎾</t>
    <phoneticPr fontId="5" type="noConversion"/>
  </si>
  <si>
    <t>1,492㎾</t>
    <phoneticPr fontId="5" type="noConversion"/>
  </si>
  <si>
    <t>1,641㎾</t>
    <phoneticPr fontId="5" type="noConversion"/>
  </si>
  <si>
    <t>(9020) 그래브 준설선</t>
    <phoneticPr fontId="5" type="noConversion"/>
  </si>
  <si>
    <t>비항SD 75㎾(0.65㎥)</t>
    <phoneticPr fontId="5" type="noConversion"/>
  </si>
  <si>
    <t>비항SD 112㎾(1.00㎥)</t>
    <phoneticPr fontId="5" type="noConversion"/>
  </si>
  <si>
    <t>비항SD 119㎾(1.50㎥)</t>
    <phoneticPr fontId="5" type="noConversion"/>
  </si>
  <si>
    <t>비항SD 164㎾(3.00㎥)</t>
    <phoneticPr fontId="5" type="noConversion"/>
  </si>
  <si>
    <t>비항SD 261㎾(5.00㎥)</t>
    <phoneticPr fontId="5" type="noConversion"/>
  </si>
  <si>
    <t>비항SD 373㎾(6.00㎥)</t>
    <phoneticPr fontId="5" type="noConversion"/>
  </si>
  <si>
    <t>비항SD 537㎾(7.50㎥)</t>
    <phoneticPr fontId="5" type="noConversion"/>
  </si>
  <si>
    <t>비항SD 1,194㎾(12.50㎥)</t>
    <phoneticPr fontId="5" type="noConversion"/>
  </si>
  <si>
    <t>비항SD 1,343㎾(16.00㎥)</t>
    <phoneticPr fontId="5" type="noConversion"/>
  </si>
  <si>
    <t>비항SD 1,491㎾(25.00㎥)</t>
    <phoneticPr fontId="5" type="noConversion"/>
  </si>
  <si>
    <t>(9030) 예 선</t>
  </si>
  <si>
    <t>119㎾(10ton)</t>
    <phoneticPr fontId="5" type="noConversion"/>
  </si>
  <si>
    <t>134㎾(40ton)</t>
    <phoneticPr fontId="5" type="noConversion"/>
  </si>
  <si>
    <t>187㎾(50ton)</t>
    <phoneticPr fontId="5" type="noConversion"/>
  </si>
  <si>
    <t>261㎾(65ton)</t>
    <phoneticPr fontId="5" type="noConversion"/>
  </si>
  <si>
    <t>336㎾(80ton)</t>
    <phoneticPr fontId="5" type="noConversion"/>
  </si>
  <si>
    <t>373㎾(90ton)</t>
    <phoneticPr fontId="5" type="noConversion"/>
  </si>
  <si>
    <t>597㎾(120ton)</t>
    <phoneticPr fontId="5" type="noConversion"/>
  </si>
  <si>
    <t>746㎾(150ton)</t>
    <phoneticPr fontId="5" type="noConversion"/>
  </si>
  <si>
    <t>SD 119㎾(10ton)</t>
    <phoneticPr fontId="5" type="noConversion"/>
  </si>
  <si>
    <t>SD 134㎾(40ton)</t>
    <phoneticPr fontId="5" type="noConversion"/>
  </si>
  <si>
    <t>SD 187㎾(50ton)</t>
    <phoneticPr fontId="5" type="noConversion"/>
  </si>
  <si>
    <t>SD 261㎾(65ton)</t>
    <phoneticPr fontId="5" type="noConversion"/>
  </si>
  <si>
    <t>SD 336㎾(80ton)</t>
    <phoneticPr fontId="5" type="noConversion"/>
  </si>
  <si>
    <t>SD 373㎾(90ton)</t>
    <phoneticPr fontId="5" type="noConversion"/>
  </si>
  <si>
    <t>SD 597㎾(120ton)</t>
    <phoneticPr fontId="5" type="noConversion"/>
  </si>
  <si>
    <t>SD 746㎾(150ton)</t>
    <phoneticPr fontId="5" type="noConversion"/>
  </si>
  <si>
    <t>SD 1,790㎾</t>
    <phoneticPr fontId="5" type="noConversion"/>
  </si>
  <si>
    <t>7.5㎾</t>
    <phoneticPr fontId="5" type="noConversion"/>
  </si>
  <si>
    <t>22.4㎾</t>
    <phoneticPr fontId="5" type="noConversion"/>
  </si>
  <si>
    <t>37.3㎾</t>
    <phoneticPr fontId="5" type="noConversion"/>
  </si>
  <si>
    <t>44.8㎾</t>
    <phoneticPr fontId="5" type="noConversion"/>
  </si>
  <si>
    <t>89.5㎾</t>
    <phoneticPr fontId="5" type="noConversion"/>
  </si>
  <si>
    <t>149.2㎾</t>
    <phoneticPr fontId="5" type="noConversion"/>
  </si>
  <si>
    <t>223.8㎾</t>
    <phoneticPr fontId="5" type="noConversion"/>
  </si>
  <si>
    <t>283.5㎾</t>
    <phoneticPr fontId="5" type="noConversion"/>
  </si>
  <si>
    <t>SD 7.5㎾</t>
    <phoneticPr fontId="5" type="noConversion"/>
  </si>
  <si>
    <t>SD 22.4㎾</t>
    <phoneticPr fontId="5" type="noConversion"/>
  </si>
  <si>
    <t>SD 37.3㎾</t>
    <phoneticPr fontId="5" type="noConversion"/>
  </si>
  <si>
    <t>SD 44.8㎾</t>
    <phoneticPr fontId="5" type="noConversion"/>
  </si>
  <si>
    <t>SD 74.6㎾</t>
    <phoneticPr fontId="5" type="noConversion"/>
  </si>
  <si>
    <t>SD 89.5㎾</t>
    <phoneticPr fontId="5" type="noConversion"/>
  </si>
  <si>
    <t>SD 149.2㎾</t>
    <phoneticPr fontId="5" type="noConversion"/>
  </si>
  <si>
    <t>SD 186.5㎾</t>
    <phoneticPr fontId="5" type="noConversion"/>
  </si>
  <si>
    <t>SD 223.8㎾</t>
    <phoneticPr fontId="5" type="noConversion"/>
  </si>
  <si>
    <t>SD 283.5㎾</t>
    <phoneticPr fontId="5" type="noConversion"/>
  </si>
  <si>
    <t>SD 507.3㎾</t>
    <phoneticPr fontId="5" type="noConversion"/>
  </si>
  <si>
    <t>(9040) 양묘선(앵커바지)</t>
    <phoneticPr fontId="5" type="noConversion"/>
  </si>
  <si>
    <t>양묘선(앵커바지)</t>
  </si>
  <si>
    <t>(9050) 기중기선(비자항)</t>
    <phoneticPr fontId="5" type="noConversion"/>
  </si>
  <si>
    <t>56.0㎾(15ton)</t>
    <phoneticPr fontId="5" type="noConversion"/>
  </si>
  <si>
    <t>111.9㎾(30ton)</t>
    <phoneticPr fontId="5" type="noConversion"/>
  </si>
  <si>
    <t>335.7㎾(60ton)</t>
    <phoneticPr fontId="5" type="noConversion"/>
  </si>
  <si>
    <t>SD 56.0㎾(15ton)</t>
    <phoneticPr fontId="5" type="noConversion"/>
  </si>
  <si>
    <t>SD 111.9㎾(30ton)</t>
    <phoneticPr fontId="5" type="noConversion"/>
  </si>
  <si>
    <t>SD 335.7㎾(60ton)</t>
    <phoneticPr fontId="5" type="noConversion"/>
  </si>
  <si>
    <t>기중기선(비자항)</t>
  </si>
  <si>
    <t>559.5㎾(120ton)</t>
    <phoneticPr fontId="5" type="noConversion"/>
  </si>
  <si>
    <t>634.1㎾(150ton)</t>
    <phoneticPr fontId="5" type="noConversion"/>
  </si>
  <si>
    <t>SD 559.5㎾(120ton)</t>
    <phoneticPr fontId="5" type="noConversion"/>
  </si>
  <si>
    <t>SD 634.1㎾(150ton)</t>
    <phoneticPr fontId="5" type="noConversion"/>
  </si>
  <si>
    <t>(9060) 토운선</t>
    <phoneticPr fontId="5" type="noConversion"/>
  </si>
  <si>
    <t>60㎥</t>
    <phoneticPr fontId="5" type="noConversion"/>
  </si>
  <si>
    <t>100㎥</t>
    <phoneticPr fontId="5" type="noConversion"/>
  </si>
  <si>
    <t>200㎥</t>
    <phoneticPr fontId="5" type="noConversion"/>
  </si>
  <si>
    <t>300㎥</t>
    <phoneticPr fontId="5" type="noConversion"/>
  </si>
  <si>
    <t>500㎥</t>
    <phoneticPr fontId="5" type="noConversion"/>
  </si>
  <si>
    <t>SD 60㎥</t>
    <phoneticPr fontId="5" type="noConversion"/>
  </si>
  <si>
    <t>SD 100㎥</t>
    <phoneticPr fontId="5" type="noConversion"/>
  </si>
  <si>
    <t>SD 200㎥</t>
    <phoneticPr fontId="5" type="noConversion"/>
  </si>
  <si>
    <t>SD 300㎥</t>
    <phoneticPr fontId="5" type="noConversion"/>
  </si>
  <si>
    <t>SD 500㎥</t>
    <phoneticPr fontId="5" type="noConversion"/>
  </si>
  <si>
    <t>SD 600㎥</t>
    <phoneticPr fontId="5" type="noConversion"/>
  </si>
  <si>
    <t>토운선</t>
  </si>
  <si>
    <t>(9070) 이우선(비자항)</t>
    <phoneticPr fontId="5" type="noConversion"/>
  </si>
  <si>
    <t>이우선(비자항)</t>
  </si>
  <si>
    <t>14.92㎾(80ton대선 8ton달기)</t>
  </si>
  <si>
    <t>(9080) 대선</t>
    <phoneticPr fontId="5" type="noConversion"/>
  </si>
  <si>
    <t>대선</t>
  </si>
  <si>
    <t>SD 50ton</t>
    <phoneticPr fontId="5" type="noConversion"/>
  </si>
  <si>
    <t>SD 80ton</t>
    <phoneticPr fontId="5" type="noConversion"/>
  </si>
  <si>
    <t>SD 100ton</t>
    <phoneticPr fontId="5" type="noConversion"/>
  </si>
  <si>
    <t>SD 120ton</t>
    <phoneticPr fontId="5" type="noConversion"/>
  </si>
  <si>
    <t>SD 150ton</t>
    <phoneticPr fontId="5" type="noConversion"/>
  </si>
  <si>
    <t>SD 200ton</t>
    <phoneticPr fontId="5" type="noConversion"/>
  </si>
  <si>
    <t>SD 300ton</t>
    <phoneticPr fontId="5" type="noConversion"/>
  </si>
  <si>
    <t>SD 500ton</t>
    <phoneticPr fontId="5" type="noConversion"/>
  </si>
  <si>
    <t>SD 700ton</t>
    <phoneticPr fontId="5" type="noConversion"/>
  </si>
  <si>
    <t>SD 1,000ton</t>
    <phoneticPr fontId="5" type="noConversion"/>
  </si>
  <si>
    <t>SD 1,100ton</t>
    <phoneticPr fontId="5" type="noConversion"/>
  </si>
  <si>
    <t>SD 1,400ton</t>
    <phoneticPr fontId="5" type="noConversion"/>
  </si>
  <si>
    <t>SD 1,500ton</t>
    <phoneticPr fontId="5" type="noConversion"/>
  </si>
  <si>
    <t>SD 1,750ton</t>
    <phoneticPr fontId="5" type="noConversion"/>
  </si>
  <si>
    <t>SD 2,000ton</t>
    <phoneticPr fontId="5" type="noConversion"/>
  </si>
  <si>
    <t>SD 3,000ton</t>
    <phoneticPr fontId="5" type="noConversion"/>
  </si>
  <si>
    <t>(9090) 하천골재채취선</t>
    <phoneticPr fontId="5" type="noConversion"/>
  </si>
  <si>
    <t>LPG(프로판)</t>
  </si>
  <si>
    <t>연료유 기준가격</t>
    <phoneticPr fontId="5" type="noConversion"/>
  </si>
  <si>
    <t>2104-0300</t>
    <phoneticPr fontId="5" type="noConversion"/>
  </si>
  <si>
    <t>(6803) 다짐말뚝 전용장비</t>
    <phoneticPr fontId="5" type="noConversion"/>
  </si>
  <si>
    <t>다짐말뚝 전용장비</t>
  </si>
  <si>
    <t>6803-0100</t>
    <phoneticPr fontId="5" type="noConversion"/>
  </si>
  <si>
    <t>6803-0120</t>
    <phoneticPr fontId="5" type="noConversion"/>
  </si>
  <si>
    <t>(0121) 습지불도저</t>
    <phoneticPr fontId="5" type="noConversion"/>
  </si>
  <si>
    <t>습지불도저</t>
    <phoneticPr fontId="5" type="noConversion"/>
  </si>
  <si>
    <t>[80]스마트 건설장비</t>
  </si>
  <si>
    <t>3D GNSS MG</t>
    <phoneticPr fontId="5" type="noConversion"/>
  </si>
  <si>
    <t>8201-0100</t>
    <phoneticPr fontId="5" type="noConversion"/>
  </si>
  <si>
    <t>3D GNSS 머신 가이던스</t>
    <phoneticPr fontId="5" type="noConversion"/>
  </si>
  <si>
    <t>8202-0100</t>
    <phoneticPr fontId="5" type="noConversion"/>
  </si>
  <si>
    <t>3D GNSS 머신 컨트롤(MC)</t>
  </si>
  <si>
    <t>(8203) 3D GNSS 머신 가이던스(MG)(불도저용)</t>
    <phoneticPr fontId="5" type="noConversion"/>
  </si>
  <si>
    <t>3D GNSS 머신 가이던스(MG)</t>
  </si>
  <si>
    <t>8203-0019</t>
    <phoneticPr fontId="5" type="noConversion"/>
  </si>
  <si>
    <t>19ton (3D GNSS MG)</t>
    <phoneticPr fontId="5" type="noConversion"/>
  </si>
  <si>
    <t>1.0㎥(3D GNSS MC)</t>
    <phoneticPr fontId="5" type="noConversion"/>
  </si>
  <si>
    <t>굴착기(무한궤도)</t>
  </si>
  <si>
    <t>(0201) 굴착기(무한궤도)</t>
  </si>
  <si>
    <t>(0211) 굴착기(타이어)</t>
  </si>
  <si>
    <t>굴착기(타이어)</t>
  </si>
  <si>
    <t>(0221) 습지굴착기(무한궤도)</t>
  </si>
  <si>
    <t>습식굴착기(무한궤도)</t>
  </si>
  <si>
    <t>(0240) 유압식 진동콤팩터(굴착기 부착용)</t>
  </si>
  <si>
    <t>유압식 진동콤팩터(굴착기 부착용)</t>
  </si>
  <si>
    <t>(8201) 3D GNSS 머신 가이던스(굴착기용)</t>
  </si>
  <si>
    <t>(8202) 3D GNSS 머신 컨트롤(MC)(굴착기용)</t>
  </si>
  <si>
    <t>(8204) 3D GNSS 머신 컨트롤(불도우저용)</t>
  </si>
  <si>
    <t>8204-0100</t>
  </si>
  <si>
    <t>3D GNSS MC</t>
    <phoneticPr fontId="5" type="noConversion"/>
  </si>
  <si>
    <t>3D GNSS 머신 컨트롤</t>
    <phoneticPr fontId="5" type="noConversion"/>
  </si>
  <si>
    <t>(8205) 지능형 다짐공 시스템</t>
    <phoneticPr fontId="5" type="noConversion"/>
  </si>
  <si>
    <t>지능형 다짐공 시스템</t>
  </si>
  <si>
    <t>지능형 다짐공 시스템</t>
    <phoneticPr fontId="5" type="noConversion"/>
  </si>
  <si>
    <t>8205-0100</t>
    <phoneticPr fontId="5" type="noConversion"/>
  </si>
  <si>
    <t>7206-0100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</si>
</sst>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_(* #,##0_);_(* \(#,##0\);_(* &quot;-&quot;_);_(@_)"/>
    <numFmt numFmtId="177" formatCode="_ * #,##0_ ;_ * \-#,##0_ ;_ * &quot;-&quot;_ ;_ @_ "/>
    <numFmt numFmtId="178" formatCode="_ * #,##0.00_ ;_ * \-#,##0.00_ ;_ * &quot;-&quot;??_ ;_ @_ "/>
    <numFmt numFmtId="179" formatCode="0.0"/>
    <numFmt numFmtId="180" formatCode="0.00000"/>
    <numFmt numFmtId="181" formatCode="0.000"/>
    <numFmt numFmtId="182" formatCode="_ * #,##0.0_ ;_ * \-#,##0.0_ ;_ * &quot;-&quot;_ ;_ @_ "/>
    <numFmt numFmtId="183" formatCode="_(* #,##0.0_);_(* \(#,##0.0\);_(* &quot;-&quot;_);_(@_)"/>
    <numFmt numFmtId="184" formatCode="_(* #,##0.00_);_(* \(#,##0.00\);_(* &quot;-&quot;_);_(@_)"/>
    <numFmt numFmtId="186" formatCode="#,##0.00_ "/>
    <numFmt numFmtId="187" formatCode="#,##0.00_);[Red]\(#,##0.00\)"/>
    <numFmt numFmtId="188" formatCode="0_ "/>
    <numFmt numFmtId="189" formatCode="0.00000_ "/>
    <numFmt numFmtId="190" formatCode="\(#,###\)"/>
    <numFmt numFmtId="191" formatCode="0.0_);[Red]\(0.0\)"/>
    <numFmt numFmtId="192" formatCode="#,##0&quot;×10^-7&quot;"/>
  </numFmts>
  <fonts count="19" x14ac:knownFonts="1">
    <font>
      <sz val="10"/>
      <name val="Arial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12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8"/>
      <color indexed="10"/>
      <name val="맑은 고딕"/>
      <family val="3"/>
      <charset val="129"/>
      <scheme val="minor"/>
    </font>
    <font>
      <b/>
      <sz val="8"/>
      <color indexed="10"/>
      <name val="맑은 고딕"/>
      <family val="3"/>
      <charset val="129"/>
      <scheme val="minor"/>
    </font>
    <font>
      <sz val="8"/>
      <color indexed="12"/>
      <name val="맑은 고딕"/>
      <family val="3"/>
      <charset val="129"/>
      <scheme val="minor"/>
    </font>
    <font>
      <b/>
      <sz val="8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76" fontId="1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</cellStyleXfs>
  <cellXfs count="198">
    <xf numFmtId="0" fontId="0" fillId="0" borderId="0" xfId="0"/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8" fillId="0" borderId="3" xfId="0" applyFont="1" applyBorder="1" applyAlignment="1">
      <alignment vertical="center" shrinkToFit="1"/>
    </xf>
    <xf numFmtId="188" fontId="8" fillId="0" borderId="7" xfId="0" applyNumberFormat="1" applyFont="1" applyBorder="1" applyAlignment="1">
      <alignment horizontal="center" vertical="center"/>
    </xf>
    <xf numFmtId="188" fontId="8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10" xfId="0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Continuous" vertical="center"/>
    </xf>
    <xf numFmtId="0" fontId="8" fillId="0" borderId="5" xfId="0" applyFont="1" applyBorder="1" applyAlignment="1">
      <alignment horizontal="centerContinuous" vertical="center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192" fontId="8" fillId="0" borderId="3" xfId="3" applyNumberFormat="1" applyFont="1" applyFill="1" applyBorder="1" applyAlignment="1">
      <alignment vertical="center"/>
    </xf>
    <xf numFmtId="182" fontId="8" fillId="0" borderId="3" xfId="3" applyNumberFormat="1" applyFont="1" applyFill="1" applyBorder="1" applyAlignment="1">
      <alignment vertical="center"/>
    </xf>
    <xf numFmtId="176" fontId="8" fillId="0" borderId="3" xfId="3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176" fontId="9" fillId="0" borderId="3" xfId="3" applyFont="1" applyFill="1" applyBorder="1" applyAlignment="1">
      <alignment vertical="center"/>
    </xf>
    <xf numFmtId="184" fontId="10" fillId="0" borderId="3" xfId="3" applyNumberFormat="1" applyFont="1" applyFill="1" applyBorder="1" applyAlignment="1">
      <alignment vertical="center"/>
    </xf>
    <xf numFmtId="179" fontId="8" fillId="0" borderId="3" xfId="3" applyNumberFormat="1" applyFont="1" applyFill="1" applyBorder="1" applyAlignment="1">
      <alignment vertical="center"/>
    </xf>
    <xf numFmtId="0" fontId="8" fillId="0" borderId="3" xfId="3" applyNumberFormat="1" applyFont="1" applyFill="1" applyBorder="1" applyAlignment="1">
      <alignment vertical="center"/>
    </xf>
    <xf numFmtId="176" fontId="10" fillId="0" borderId="3" xfId="0" applyNumberFormat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82" fontId="8" fillId="0" borderId="0" xfId="3" applyNumberFormat="1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vertical="center"/>
    </xf>
    <xf numFmtId="176" fontId="9" fillId="0" borderId="0" xfId="0" applyNumberFormat="1" applyFont="1" applyAlignment="1">
      <alignment vertical="center"/>
    </xf>
    <xf numFmtId="187" fontId="10" fillId="0" borderId="3" xfId="0" applyNumberFormat="1" applyFont="1" applyBorder="1" applyAlignment="1">
      <alignment vertical="center"/>
    </xf>
    <xf numFmtId="0" fontId="8" fillId="0" borderId="0" xfId="0" applyFont="1" applyAlignment="1">
      <alignment horizontal="centerContinuous" vertical="center"/>
    </xf>
    <xf numFmtId="176" fontId="8" fillId="0" borderId="0" xfId="3" applyFont="1" applyFill="1" applyBorder="1" applyAlignment="1">
      <alignment vertical="center"/>
    </xf>
    <xf numFmtId="0" fontId="11" fillId="0" borderId="0" xfId="0" applyFont="1" applyAlignment="1">
      <alignment vertical="center"/>
    </xf>
    <xf numFmtId="176" fontId="11" fillId="0" borderId="0" xfId="3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82" fontId="8" fillId="0" borderId="6" xfId="3" applyNumberFormat="1" applyFont="1" applyFill="1" applyBorder="1" applyAlignment="1">
      <alignment vertical="center"/>
    </xf>
    <xf numFmtId="176" fontId="8" fillId="0" borderId="6" xfId="3" applyFont="1" applyFill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184" fontId="8" fillId="0" borderId="3" xfId="3" applyNumberFormat="1" applyFont="1" applyFill="1" applyBorder="1" applyAlignment="1">
      <alignment vertical="center"/>
    </xf>
    <xf numFmtId="176" fontId="8" fillId="0" borderId="9" xfId="3" applyFont="1" applyFill="1" applyBorder="1" applyAlignment="1">
      <alignment vertical="center"/>
    </xf>
    <xf numFmtId="179" fontId="8" fillId="0" borderId="0" xfId="3" applyNumberFormat="1" applyFont="1" applyFill="1" applyBorder="1" applyAlignment="1">
      <alignment vertical="center"/>
    </xf>
    <xf numFmtId="2" fontId="8" fillId="0" borderId="3" xfId="0" applyNumberFormat="1" applyFont="1" applyBorder="1" applyAlignment="1">
      <alignment vertical="center"/>
    </xf>
    <xf numFmtId="176" fontId="9" fillId="0" borderId="0" xfId="3" applyFont="1" applyFill="1" applyBorder="1" applyAlignment="1">
      <alignment vertical="center"/>
    </xf>
    <xf numFmtId="183" fontId="8" fillId="0" borderId="3" xfId="3" applyNumberFormat="1" applyFont="1" applyFill="1" applyBorder="1" applyAlignment="1">
      <alignment vertical="center"/>
    </xf>
    <xf numFmtId="176" fontId="8" fillId="0" borderId="3" xfId="0" applyNumberFormat="1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176" fontId="9" fillId="0" borderId="14" xfId="0" applyNumberFormat="1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81" fontId="8" fillId="0" borderId="3" xfId="3" applyNumberFormat="1" applyFont="1" applyFill="1" applyBorder="1" applyAlignment="1">
      <alignment vertical="center"/>
    </xf>
    <xf numFmtId="0" fontId="9" fillId="0" borderId="5" xfId="0" applyFont="1" applyBorder="1" applyAlignment="1">
      <alignment vertical="center"/>
    </xf>
    <xf numFmtId="181" fontId="8" fillId="0" borderId="0" xfId="3" applyNumberFormat="1" applyFont="1" applyFill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179" fontId="8" fillId="0" borderId="6" xfId="3" applyNumberFormat="1" applyFont="1" applyFill="1" applyBorder="1" applyAlignment="1">
      <alignment vertical="center"/>
    </xf>
    <xf numFmtId="41" fontId="8" fillId="0" borderId="3" xfId="3" applyNumberFormat="1" applyFont="1" applyFill="1" applyBorder="1" applyAlignment="1">
      <alignment vertical="center"/>
    </xf>
    <xf numFmtId="2" fontId="10" fillId="0" borderId="3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9" fillId="0" borderId="6" xfId="3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176" fontId="8" fillId="0" borderId="3" xfId="3" applyFont="1" applyFill="1" applyBorder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3" xfId="0" quotePrefix="1" applyFont="1" applyBorder="1" applyAlignment="1">
      <alignment horizontal="right" vertical="center"/>
    </xf>
    <xf numFmtId="177" fontId="9" fillId="0" borderId="3" xfId="0" applyNumberFormat="1" applyFont="1" applyBorder="1" applyAlignment="1">
      <alignment vertical="center"/>
    </xf>
    <xf numFmtId="184" fontId="8" fillId="0" borderId="6" xfId="0" applyNumberFormat="1" applyFont="1" applyBorder="1" applyAlignment="1">
      <alignment horizontal="right" vertical="center"/>
    </xf>
    <xf numFmtId="176" fontId="10" fillId="0" borderId="6" xfId="0" applyNumberFormat="1" applyFont="1" applyBorder="1" applyAlignment="1">
      <alignment vertical="center"/>
    </xf>
    <xf numFmtId="190" fontId="8" fillId="0" borderId="3" xfId="3" applyNumberFormat="1" applyFont="1" applyFill="1" applyBorder="1" applyAlignment="1">
      <alignment vertical="center"/>
    </xf>
    <xf numFmtId="41" fontId="11" fillId="0" borderId="3" xfId="0" applyNumberFormat="1" applyFont="1" applyBorder="1" applyAlignment="1">
      <alignment vertical="center"/>
    </xf>
    <xf numFmtId="2" fontId="8" fillId="0" borderId="3" xfId="3" applyNumberFormat="1" applyFont="1" applyFill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191" fontId="8" fillId="0" borderId="3" xfId="3" applyNumberFormat="1" applyFont="1" applyFill="1" applyBorder="1" applyAlignment="1">
      <alignment vertical="center"/>
    </xf>
    <xf numFmtId="176" fontId="9" fillId="0" borderId="6" xfId="0" applyNumberFormat="1" applyFont="1" applyBorder="1" applyAlignment="1">
      <alignment vertical="center"/>
    </xf>
    <xf numFmtId="177" fontId="9" fillId="0" borderId="0" xfId="0" applyNumberFormat="1" applyFont="1" applyAlignment="1">
      <alignment vertical="center"/>
    </xf>
    <xf numFmtId="177" fontId="9" fillId="0" borderId="6" xfId="0" applyNumberFormat="1" applyFont="1" applyBorder="1" applyAlignment="1">
      <alignment vertical="center"/>
    </xf>
    <xf numFmtId="184" fontId="10" fillId="0" borderId="6" xfId="0" applyNumberFormat="1" applyFont="1" applyBorder="1" applyAlignment="1">
      <alignment horizontal="center" vertical="center"/>
    </xf>
    <xf numFmtId="41" fontId="8" fillId="0" borderId="9" xfId="3" applyNumberFormat="1" applyFont="1" applyFill="1" applyBorder="1" applyAlignment="1">
      <alignment vertical="center"/>
    </xf>
    <xf numFmtId="176" fontId="12" fillId="0" borderId="0" xfId="0" applyNumberFormat="1" applyFont="1" applyAlignment="1">
      <alignment vertical="center"/>
    </xf>
    <xf numFmtId="0" fontId="8" fillId="0" borderId="7" xfId="0" applyFont="1" applyBorder="1" applyAlignment="1">
      <alignment horizontal="centerContinuous" vertical="center"/>
    </xf>
    <xf numFmtId="0" fontId="8" fillId="0" borderId="12" xfId="0" applyFont="1" applyBorder="1" applyAlignment="1">
      <alignment horizontal="centerContinuous" vertical="center"/>
    </xf>
    <xf numFmtId="41" fontId="8" fillId="0" borderId="6" xfId="0" applyNumberFormat="1" applyFont="1" applyBorder="1" applyAlignment="1">
      <alignment vertical="center"/>
    </xf>
    <xf numFmtId="41" fontId="8" fillId="0" borderId="6" xfId="3" applyNumberFormat="1" applyFont="1" applyFill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184" fontId="10" fillId="0" borderId="6" xfId="3" applyNumberFormat="1" applyFont="1" applyFill="1" applyBorder="1" applyAlignment="1">
      <alignment vertical="center"/>
    </xf>
    <xf numFmtId="2" fontId="8" fillId="0" borderId="6" xfId="3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176" fontId="16" fillId="0" borderId="4" xfId="0" applyNumberFormat="1" applyFont="1" applyBorder="1" applyAlignment="1">
      <alignment vertical="center"/>
    </xf>
    <xf numFmtId="0" fontId="8" fillId="0" borderId="0" xfId="0" applyFont="1" applyAlignment="1">
      <alignment vertical="center" shrinkToFit="1"/>
    </xf>
    <xf numFmtId="0" fontId="8" fillId="0" borderId="3" xfId="3" applyNumberFormat="1" applyFont="1" applyFill="1" applyBorder="1" applyAlignment="1">
      <alignment vertical="center" shrinkToFit="1"/>
    </xf>
    <xf numFmtId="0" fontId="9" fillId="0" borderId="3" xfId="0" applyFont="1" applyBorder="1" applyAlignment="1">
      <alignment vertical="center" shrinkToFit="1"/>
    </xf>
    <xf numFmtId="0" fontId="16" fillId="0" borderId="4" xfId="0" applyFont="1" applyBorder="1" applyAlignment="1">
      <alignment vertical="center" shrinkToFit="1"/>
    </xf>
    <xf numFmtId="0" fontId="11" fillId="0" borderId="3" xfId="0" applyFont="1" applyBorder="1" applyAlignment="1">
      <alignment vertical="center" shrinkToFit="1"/>
    </xf>
    <xf numFmtId="0" fontId="8" fillId="0" borderId="6" xfId="0" applyFont="1" applyBorder="1" applyAlignment="1">
      <alignment vertical="center" shrinkToFit="1"/>
    </xf>
    <xf numFmtId="0" fontId="8" fillId="0" borderId="10" xfId="0" applyFont="1" applyBorder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3" fillId="0" borderId="3" xfId="0" applyFont="1" applyBorder="1" applyAlignment="1">
      <alignment vertical="center" shrinkToFit="1"/>
    </xf>
    <xf numFmtId="0" fontId="8" fillId="0" borderId="9" xfId="3" applyNumberFormat="1" applyFont="1" applyFill="1" applyBorder="1" applyAlignment="1">
      <alignment vertical="center" shrinkToFit="1"/>
    </xf>
    <xf numFmtId="0" fontId="8" fillId="0" borderId="6" xfId="3" applyNumberFormat="1" applyFont="1" applyFill="1" applyBorder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8" fillId="0" borderId="0" xfId="3" applyNumberFormat="1" applyFont="1" applyFill="1" applyBorder="1" applyAlignment="1">
      <alignment vertical="center" shrinkToFit="1"/>
    </xf>
    <xf numFmtId="0" fontId="11" fillId="0" borderId="0" xfId="0" applyFont="1" applyAlignment="1">
      <alignment vertical="center" shrinkToFit="1"/>
    </xf>
    <xf numFmtId="0" fontId="8" fillId="0" borderId="0" xfId="0" applyFont="1" applyAlignment="1">
      <alignment horizontal="centerContinuous" vertical="center" shrinkToFit="1"/>
    </xf>
    <xf numFmtId="0" fontId="8" fillId="0" borderId="14" xfId="0" applyFont="1" applyBorder="1" applyAlignment="1">
      <alignment vertical="center" shrinkToFit="1"/>
    </xf>
    <xf numFmtId="0" fontId="9" fillId="0" borderId="6" xfId="0" applyFont="1" applyBorder="1" applyAlignment="1">
      <alignment vertical="center" shrinkToFit="1"/>
    </xf>
    <xf numFmtId="0" fontId="11" fillId="0" borderId="6" xfId="0" applyFont="1" applyBorder="1" applyAlignment="1">
      <alignment vertical="center" shrinkToFit="1"/>
    </xf>
    <xf numFmtId="0" fontId="17" fillId="0" borderId="0" xfId="0" applyFont="1" applyAlignment="1">
      <alignment vertical="center"/>
    </xf>
    <xf numFmtId="0" fontId="17" fillId="0" borderId="5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vertical="center" shrinkToFit="1"/>
    </xf>
    <xf numFmtId="0" fontId="16" fillId="0" borderId="3" xfId="0" applyFont="1" applyBorder="1" applyAlignment="1">
      <alignment horizontal="center" vertical="center"/>
    </xf>
    <xf numFmtId="176" fontId="16" fillId="0" borderId="3" xfId="0" applyNumberFormat="1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7" fillId="0" borderId="8" xfId="0" applyFont="1" applyBorder="1" applyAlignment="1">
      <alignment vertical="center" shrinkToFit="1"/>
    </xf>
    <xf numFmtId="0" fontId="17" fillId="0" borderId="8" xfId="0" applyFont="1" applyBorder="1" applyAlignment="1">
      <alignment vertical="center"/>
    </xf>
    <xf numFmtId="176" fontId="16" fillId="0" borderId="5" xfId="0" applyNumberFormat="1" applyFont="1" applyBorder="1" applyAlignment="1">
      <alignment vertical="center"/>
    </xf>
    <xf numFmtId="176" fontId="16" fillId="0" borderId="8" xfId="0" applyNumberFormat="1" applyFont="1" applyBorder="1" applyAlignment="1">
      <alignment vertical="center"/>
    </xf>
    <xf numFmtId="0" fontId="16" fillId="0" borderId="8" xfId="0" applyFont="1" applyBorder="1" applyAlignment="1">
      <alignment vertical="center" shrinkToFit="1"/>
    </xf>
    <xf numFmtId="0" fontId="17" fillId="0" borderId="4" xfId="0" applyFont="1" applyBorder="1" applyAlignment="1">
      <alignment vertical="center" shrinkToFit="1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177" fontId="16" fillId="0" borderId="4" xfId="0" applyNumberFormat="1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176" fontId="16" fillId="0" borderId="6" xfId="0" applyNumberFormat="1" applyFont="1" applyBorder="1" applyAlignment="1">
      <alignment vertical="center"/>
    </xf>
    <xf numFmtId="177" fontId="16" fillId="0" borderId="5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183" fontId="8" fillId="0" borderId="0" xfId="3" applyNumberFormat="1" applyFont="1" applyFill="1" applyBorder="1" applyAlignment="1">
      <alignment vertical="center"/>
    </xf>
    <xf numFmtId="180" fontId="8" fillId="0" borderId="0" xfId="0" applyNumberFormat="1" applyFont="1" applyAlignment="1">
      <alignment vertical="center"/>
    </xf>
    <xf numFmtId="189" fontId="8" fillId="0" borderId="0" xfId="0" applyNumberFormat="1" applyFont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Continuous" vertical="center"/>
    </xf>
    <xf numFmtId="0" fontId="16" fillId="0" borderId="6" xfId="0" applyFont="1" applyBorder="1" applyAlignment="1">
      <alignment vertical="center"/>
    </xf>
    <xf numFmtId="176" fontId="16" fillId="0" borderId="0" xfId="0" applyNumberFormat="1" applyFont="1" applyAlignment="1">
      <alignment vertical="center"/>
    </xf>
    <xf numFmtId="0" fontId="8" fillId="0" borderId="2" xfId="0" applyFont="1" applyBorder="1" applyAlignment="1">
      <alignment horizontal="centerContinuous" vertical="center"/>
    </xf>
    <xf numFmtId="0" fontId="8" fillId="0" borderId="17" xfId="0" applyFont="1" applyBorder="1" applyAlignment="1">
      <alignment horizontal="centerContinuous" vertical="center"/>
    </xf>
    <xf numFmtId="0" fontId="8" fillId="0" borderId="10" xfId="0" applyFont="1" applyBorder="1" applyAlignment="1">
      <alignment horizontal="centerContinuous" vertical="center" shrinkToFit="1"/>
    </xf>
    <xf numFmtId="0" fontId="8" fillId="0" borderId="9" xfId="0" applyFont="1" applyBorder="1" applyAlignment="1">
      <alignment vertical="center" shrinkToFit="1"/>
    </xf>
    <xf numFmtId="0" fontId="8" fillId="0" borderId="3" xfId="0" applyFont="1" applyBorder="1" applyAlignment="1">
      <alignment horizontal="left" vertical="center" shrinkToFit="1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76" fontId="16" fillId="0" borderId="3" xfId="3" applyFont="1" applyFill="1" applyBorder="1" applyAlignment="1">
      <alignment vertical="center"/>
    </xf>
    <xf numFmtId="188" fontId="8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shrinkToFit="1"/>
    </xf>
    <xf numFmtId="192" fontId="8" fillId="0" borderId="6" xfId="3" applyNumberFormat="1" applyFont="1" applyFill="1" applyBorder="1" applyAlignment="1">
      <alignment vertical="center"/>
    </xf>
    <xf numFmtId="188" fontId="8" fillId="0" borderId="12" xfId="0" applyNumberFormat="1" applyFont="1" applyBorder="1" applyAlignment="1">
      <alignment horizontal="centerContinuous" vertical="center"/>
    </xf>
    <xf numFmtId="0" fontId="17" fillId="0" borderId="3" xfId="0" applyFont="1" applyBorder="1" applyAlignment="1">
      <alignment vertical="center" shrinkToFi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8" fillId="0" borderId="16" xfId="0" applyFont="1" applyBorder="1" applyAlignment="1">
      <alignment horizontal="centerContinuous" vertical="center"/>
    </xf>
    <xf numFmtId="0" fontId="8" fillId="0" borderId="0" xfId="0" applyFont="1" applyAlignment="1">
      <alignment horizontal="left" vertical="center" readingOrder="1"/>
    </xf>
    <xf numFmtId="0" fontId="18" fillId="0" borderId="3" xfId="3" applyNumberFormat="1" applyFont="1" applyFill="1" applyBorder="1" applyAlignment="1">
      <alignment vertical="center" shrinkToFit="1"/>
    </xf>
    <xf numFmtId="0" fontId="8" fillId="0" borderId="12" xfId="0" applyFont="1" applyBorder="1" applyAlignment="1">
      <alignment horizontal="centerContinuous" vertical="center" shrinkToFit="1"/>
    </xf>
    <xf numFmtId="0" fontId="8" fillId="0" borderId="2" xfId="0" applyFont="1" applyBorder="1" applyAlignment="1">
      <alignment horizontal="centerContinuous" vertical="center" shrinkToFit="1"/>
    </xf>
    <xf numFmtId="176" fontId="8" fillId="0" borderId="6" xfId="3" applyFont="1" applyFill="1" applyBorder="1" applyAlignment="1">
      <alignment horizontal="right" vertical="center"/>
    </xf>
    <xf numFmtId="188" fontId="8" fillId="0" borderId="7" xfId="0" applyNumberFormat="1" applyFont="1" applyBorder="1" applyAlignment="1">
      <alignment horizontal="centerContinuous" vertical="center"/>
    </xf>
    <xf numFmtId="181" fontId="8" fillId="0" borderId="3" xfId="0" applyNumberFormat="1" applyFont="1" applyBorder="1" applyAlignment="1">
      <alignment vertical="center"/>
    </xf>
    <xf numFmtId="181" fontId="9" fillId="0" borderId="3" xfId="0" applyNumberFormat="1" applyFont="1" applyBorder="1" applyAlignment="1">
      <alignment vertical="center"/>
    </xf>
    <xf numFmtId="181" fontId="8" fillId="0" borderId="6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86" fontId="7" fillId="0" borderId="6" xfId="0" applyNumberFormat="1" applyFont="1" applyBorder="1" applyAlignment="1">
      <alignment vertical="center"/>
    </xf>
    <xf numFmtId="186" fontId="7" fillId="0" borderId="8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88" fontId="8" fillId="0" borderId="16" xfId="0" applyNumberFormat="1" applyFont="1" applyBorder="1" applyAlignment="1">
      <alignment horizontal="center" vertical="center"/>
    </xf>
    <xf numFmtId="188" fontId="8" fillId="0" borderId="14" xfId="0" applyNumberFormat="1" applyFont="1" applyBorder="1" applyAlignment="1">
      <alignment horizontal="center" vertical="center"/>
    </xf>
    <xf numFmtId="188" fontId="8" fillId="0" borderId="12" xfId="0" applyNumberFormat="1" applyFont="1" applyBorder="1" applyAlignment="1">
      <alignment horizontal="center" vertical="center"/>
    </xf>
    <xf numFmtId="188" fontId="8" fillId="0" borderId="2" xfId="0" applyNumberFormat="1" applyFont="1" applyBorder="1" applyAlignment="1">
      <alignment horizontal="center" vertical="center"/>
    </xf>
  </cellXfs>
  <cellStyles count="6">
    <cellStyle name="Header1" xfId="1" xr:uid="{00000000-0005-0000-0000-000000000000}"/>
    <cellStyle name="Header2" xfId="2" xr:uid="{00000000-0005-0000-0000-000001000000}"/>
    <cellStyle name="쉼표 [0]" xfId="3" builtinId="6"/>
    <cellStyle name="콤마 [0]_(별지1호서식)접수대장" xfId="4" xr:uid="{00000000-0005-0000-0000-000004000000}"/>
    <cellStyle name="콤마_(별지1호서식)접수대장" xfId="5" xr:uid="{00000000-0005-0000-0000-000006000000}"/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>
    <oddHeader>&amp;A</oddHeader>
    <oddFooter>&amp;P 쪽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4AE1-13C3-4B83-9147-2D2148D362D6}">
  <dimension ref="A1:O3389"/>
  <sheetViews>
    <sheetView tabSelected="1" zoomScale="110" zoomScaleNormal="110" zoomScaleSheetLayoutView="115" workbookViewId="0">
      <selection activeCell="L34" sqref="L34"/>
    </sheetView>
  </sheetViews>
  <sheetFormatPr defaultColWidth="9.140625" defaultRowHeight="11.25" customHeight="1" x14ac:dyDescent="0.2"/>
  <cols>
    <col min="1" max="1" width="2.7109375" style="8" customWidth="1"/>
    <col min="2" max="2" width="8.7109375" style="8" customWidth="1"/>
    <col min="3" max="4" width="15.7109375" style="105" customWidth="1"/>
    <col min="5" max="5" width="4.7109375" style="8" customWidth="1"/>
    <col min="6" max="6" width="14.5703125" style="8" bestFit="1" customWidth="1"/>
    <col min="7" max="14" width="11.7109375" style="8" customWidth="1"/>
    <col min="15" max="15" width="2.7109375" style="8" customWidth="1"/>
    <col min="16" max="16384" width="9.140625" style="2"/>
  </cols>
  <sheetData>
    <row r="1" spans="1:14" ht="11.25" customHeight="1" x14ac:dyDescent="0.2">
      <c r="A1" s="7"/>
      <c r="B1" s="100" t="s">
        <v>1279</v>
      </c>
      <c r="M1" s="189" t="s">
        <v>1890</v>
      </c>
      <c r="N1" s="189"/>
    </row>
    <row r="2" spans="1:14" ht="11.25" customHeight="1" x14ac:dyDescent="0.2">
      <c r="A2" s="7"/>
      <c r="B2" s="101" t="s">
        <v>1280</v>
      </c>
      <c r="M2" s="176" t="s">
        <v>426</v>
      </c>
      <c r="N2" s="178">
        <v>1505.45</v>
      </c>
    </row>
    <row r="3" spans="1:14" ht="11.25" customHeight="1" x14ac:dyDescent="0.2">
      <c r="A3" s="7"/>
      <c r="B3" s="101" t="s">
        <v>1281</v>
      </c>
      <c r="M3" s="176" t="s">
        <v>435</v>
      </c>
      <c r="N3" s="178">
        <v>1075.83</v>
      </c>
    </row>
    <row r="4" spans="1:14" ht="11.25" customHeight="1" x14ac:dyDescent="0.2">
      <c r="A4" s="7"/>
      <c r="B4" s="101" t="s">
        <v>1282</v>
      </c>
      <c r="M4" s="176" t="s">
        <v>744</v>
      </c>
      <c r="N4" s="178">
        <v>1584.54</v>
      </c>
    </row>
    <row r="5" spans="1:14" ht="11.25" customHeight="1" x14ac:dyDescent="0.2">
      <c r="A5" s="7"/>
      <c r="B5" s="8" t="s">
        <v>1284</v>
      </c>
      <c r="M5" s="177" t="s">
        <v>1889</v>
      </c>
      <c r="N5" s="179">
        <v>1078.8800000000001</v>
      </c>
    </row>
    <row r="6" spans="1:14" ht="11.25" customHeight="1" x14ac:dyDescent="0.2">
      <c r="A6" s="9"/>
      <c r="B6" s="68" t="s">
        <v>1283</v>
      </c>
      <c r="C6" s="119"/>
      <c r="L6" s="49" t="s">
        <v>1307</v>
      </c>
    </row>
    <row r="7" spans="1:14" ht="11.25" customHeight="1" x14ac:dyDescent="0.2">
      <c r="B7" s="180" t="s">
        <v>427</v>
      </c>
      <c r="C7" s="182" t="s">
        <v>428</v>
      </c>
      <c r="D7" s="182" t="s">
        <v>429</v>
      </c>
      <c r="E7" s="184" t="s">
        <v>430</v>
      </c>
      <c r="F7" s="184" t="s">
        <v>431</v>
      </c>
      <c r="G7" s="93" t="s">
        <v>1037</v>
      </c>
      <c r="H7" s="93"/>
      <c r="I7" s="93" t="s">
        <v>663</v>
      </c>
      <c r="J7" s="93"/>
      <c r="K7" s="93" t="s">
        <v>981</v>
      </c>
      <c r="L7" s="94"/>
    </row>
    <row r="8" spans="1:14" ht="11.25" customHeight="1" x14ac:dyDescent="0.2">
      <c r="B8" s="181"/>
      <c r="C8" s="183"/>
      <c r="D8" s="183"/>
      <c r="E8" s="185"/>
      <c r="F8" s="185"/>
      <c r="G8" s="64" t="s">
        <v>436</v>
      </c>
      <c r="H8" s="64" t="s">
        <v>437</v>
      </c>
      <c r="I8" s="64" t="s">
        <v>436</v>
      </c>
      <c r="J8" s="64" t="s">
        <v>437</v>
      </c>
      <c r="K8" s="64" t="s">
        <v>436</v>
      </c>
      <c r="L8" s="85" t="s">
        <v>437</v>
      </c>
    </row>
    <row r="9" spans="1:14" ht="11.25" customHeight="1" x14ac:dyDescent="0.2">
      <c r="C9" s="4" t="s">
        <v>426</v>
      </c>
      <c r="D9" s="4"/>
      <c r="E9" s="13" t="s">
        <v>494</v>
      </c>
      <c r="F9" s="25">
        <v>1505.45</v>
      </c>
      <c r="G9" s="26">
        <v>9</v>
      </c>
      <c r="H9" s="20">
        <f>TRUNC(($F9*G9),1)</f>
        <v>13549</v>
      </c>
      <c r="I9" s="27">
        <v>12.5</v>
      </c>
      <c r="J9" s="20">
        <f>TRUNC(($F9*I9),1)</f>
        <v>18818.099999999999</v>
      </c>
      <c r="K9" s="27">
        <v>14.6</v>
      </c>
      <c r="L9" s="20">
        <f>TRUNC(($F9*K9),1)</f>
        <v>21979.5</v>
      </c>
    </row>
    <row r="10" spans="1:14" ht="11.25" customHeight="1" x14ac:dyDescent="0.2">
      <c r="C10" s="4" t="s">
        <v>878</v>
      </c>
      <c r="D10" s="4" t="s">
        <v>1357</v>
      </c>
      <c r="E10" s="13" t="s">
        <v>232</v>
      </c>
      <c r="F10" s="18"/>
      <c r="G10" s="21">
        <v>16</v>
      </c>
      <c r="H10" s="20">
        <f>TRUNC(H9*G10*0.01,1)</f>
        <v>2167.8000000000002</v>
      </c>
      <c r="I10" s="21">
        <v>16</v>
      </c>
      <c r="J10" s="20">
        <f>TRUNC(J9*I10*0.01,1)</f>
        <v>3010.8</v>
      </c>
      <c r="K10" s="21">
        <v>16</v>
      </c>
      <c r="L10" s="20">
        <f>TRUNC(L9*K10*0.01,1)</f>
        <v>3516.7</v>
      </c>
    </row>
    <row r="11" spans="1:14" ht="11.25" customHeight="1" x14ac:dyDescent="0.2">
      <c r="C11" s="107" t="s">
        <v>799</v>
      </c>
      <c r="D11" s="107"/>
      <c r="E11" s="23"/>
      <c r="F11" s="22"/>
      <c r="G11" s="22"/>
      <c r="H11" s="24">
        <f>TRUNC(SUM(H9:H10))</f>
        <v>15716</v>
      </c>
      <c r="I11" s="22"/>
      <c r="J11" s="24">
        <f>TRUNC(SUM(J9:J10))</f>
        <v>21828</v>
      </c>
      <c r="K11" s="22"/>
      <c r="L11" s="24">
        <f>TRUNC(SUM(L9:L10))</f>
        <v>25496</v>
      </c>
    </row>
    <row r="12" spans="1:14" ht="11.25" customHeight="1" x14ac:dyDescent="0.2">
      <c r="C12" s="4"/>
      <c r="D12" s="4"/>
      <c r="E12" s="13"/>
      <c r="F12" s="18"/>
      <c r="G12" s="21"/>
      <c r="H12" s="20"/>
      <c r="I12" s="21"/>
      <c r="J12" s="20"/>
      <c r="K12" s="21"/>
      <c r="L12" s="20"/>
    </row>
    <row r="13" spans="1:14" ht="11.25" customHeight="1" x14ac:dyDescent="0.2">
      <c r="C13" s="4" t="s">
        <v>798</v>
      </c>
      <c r="D13" s="4" t="s">
        <v>866</v>
      </c>
      <c r="E13" s="13" t="s">
        <v>497</v>
      </c>
      <c r="F13" s="28">
        <v>283297</v>
      </c>
      <c r="G13" s="18">
        <v>0.20799999999999999</v>
      </c>
      <c r="H13" s="20">
        <f>TRUNC(($F13*G13),1)</f>
        <v>58925.7</v>
      </c>
      <c r="I13" s="18">
        <v>0.20799999999999999</v>
      </c>
      <c r="J13" s="20">
        <f>TRUNC(($F13*I13),1)</f>
        <v>58925.7</v>
      </c>
      <c r="K13" s="18">
        <v>0.20799999999999999</v>
      </c>
      <c r="L13" s="20">
        <f>TRUNC(($F13*K13),1)</f>
        <v>58925.7</v>
      </c>
    </row>
    <row r="14" spans="1:14" ht="11.25" customHeight="1" x14ac:dyDescent="0.2">
      <c r="C14" s="107" t="s">
        <v>1285</v>
      </c>
      <c r="D14" s="107"/>
      <c r="E14" s="23"/>
      <c r="F14" s="22"/>
      <c r="G14" s="22"/>
      <c r="H14" s="24">
        <f>TRUNC(SUM(H13:H13))</f>
        <v>58925</v>
      </c>
      <c r="I14" s="22"/>
      <c r="J14" s="24">
        <f>TRUNC(SUM(J13:J13))</f>
        <v>58925</v>
      </c>
      <c r="K14" s="31"/>
      <c r="L14" s="24">
        <f>TRUNC(SUM(L13:L13))</f>
        <v>58925</v>
      </c>
    </row>
    <row r="15" spans="1:14" ht="11.25" customHeight="1" x14ac:dyDescent="0.2">
      <c r="C15" s="4"/>
      <c r="D15" s="4"/>
      <c r="E15" s="13"/>
      <c r="F15" s="18"/>
      <c r="G15" s="18"/>
      <c r="H15" s="18"/>
      <c r="I15" s="18"/>
      <c r="J15" s="18"/>
      <c r="K15" s="18"/>
      <c r="L15" s="18"/>
    </row>
    <row r="16" spans="1:14" ht="11.25" customHeight="1" x14ac:dyDescent="0.2">
      <c r="B16" s="8" t="s">
        <v>745</v>
      </c>
      <c r="C16" s="4" t="s">
        <v>1287</v>
      </c>
      <c r="D16" s="106" t="s">
        <v>1037</v>
      </c>
      <c r="E16" s="13" t="s">
        <v>746</v>
      </c>
      <c r="F16" s="66">
        <v>76547000</v>
      </c>
      <c r="G16" s="19">
        <v>1811</v>
      </c>
      <c r="H16" s="20">
        <f>TRUNC($F16*G16*0.0000001,1)</f>
        <v>13862.6</v>
      </c>
      <c r="I16" s="21">
        <v>0</v>
      </c>
      <c r="J16" s="20">
        <f>TRUNC($F16*I16*0.0000001,1)</f>
        <v>0</v>
      </c>
      <c r="K16" s="21">
        <v>0</v>
      </c>
      <c r="L16" s="20">
        <f>TRUNC($F16*K16*0.0000001,1)</f>
        <v>0</v>
      </c>
    </row>
    <row r="17" spans="2:12" ht="11.25" customHeight="1" x14ac:dyDescent="0.2">
      <c r="B17" s="8" t="s">
        <v>1191</v>
      </c>
      <c r="C17" s="4" t="s">
        <v>1287</v>
      </c>
      <c r="D17" s="106" t="s">
        <v>663</v>
      </c>
      <c r="E17" s="13" t="s">
        <v>746</v>
      </c>
      <c r="F17" s="66">
        <v>168668000</v>
      </c>
      <c r="G17" s="21">
        <v>0</v>
      </c>
      <c r="H17" s="20">
        <f>TRUNC($F17*G17*0.0000001,1)</f>
        <v>0</v>
      </c>
      <c r="I17" s="19">
        <v>1811</v>
      </c>
      <c r="J17" s="20">
        <f>TRUNC($F17*I17*0.0000001,1)</f>
        <v>30545.7</v>
      </c>
      <c r="K17" s="21">
        <v>0</v>
      </c>
      <c r="L17" s="20">
        <f>TRUNC($F17*K17*0.0000001,1)</f>
        <v>0</v>
      </c>
    </row>
    <row r="18" spans="2:12" ht="11.25" customHeight="1" x14ac:dyDescent="0.2">
      <c r="B18" s="8" t="s">
        <v>748</v>
      </c>
      <c r="C18" s="4" t="s">
        <v>1287</v>
      </c>
      <c r="D18" s="106" t="s">
        <v>981</v>
      </c>
      <c r="E18" s="13" t="s">
        <v>746</v>
      </c>
      <c r="F18" s="66">
        <v>188714000</v>
      </c>
      <c r="G18" s="21">
        <v>0</v>
      </c>
      <c r="H18" s="20">
        <f>TRUNC($F18*G18*0.0000001,1)</f>
        <v>0</v>
      </c>
      <c r="I18" s="21">
        <v>0</v>
      </c>
      <c r="J18" s="20">
        <f>TRUNC($F18*I18*0.0000001,1)</f>
        <v>0</v>
      </c>
      <c r="K18" s="19">
        <v>1811</v>
      </c>
      <c r="L18" s="20">
        <f>TRUNC($F18*K18*0.0000001,1)</f>
        <v>34176.1</v>
      </c>
    </row>
    <row r="19" spans="2:12" ht="11.25" customHeight="1" x14ac:dyDescent="0.2">
      <c r="C19" s="107" t="s">
        <v>1289</v>
      </c>
      <c r="D19" s="107"/>
      <c r="E19" s="23"/>
      <c r="F19" s="22"/>
      <c r="G19" s="22"/>
      <c r="H19" s="24">
        <f>TRUNC(SUM(H16:H18))</f>
        <v>13862</v>
      </c>
      <c r="I19" s="22"/>
      <c r="J19" s="24">
        <f>TRUNC(SUM(J16:J18))</f>
        <v>30545</v>
      </c>
      <c r="K19" s="22"/>
      <c r="L19" s="24">
        <f>TRUNC(SUM(L16:L18))</f>
        <v>34176</v>
      </c>
    </row>
    <row r="20" spans="2:12" ht="11.25" customHeight="1" x14ac:dyDescent="0.2">
      <c r="C20" s="4"/>
      <c r="D20" s="4"/>
      <c r="E20" s="13"/>
      <c r="F20" s="18"/>
      <c r="G20" s="21"/>
      <c r="H20" s="20"/>
      <c r="I20" s="21"/>
      <c r="J20" s="20"/>
      <c r="K20" s="21"/>
      <c r="L20" s="20"/>
    </row>
    <row r="21" spans="2:12" ht="11.25" customHeight="1" x14ac:dyDescent="0.2">
      <c r="B21" s="16"/>
      <c r="C21" s="108" t="s">
        <v>1286</v>
      </c>
      <c r="D21" s="108"/>
      <c r="E21" s="103"/>
      <c r="F21" s="102"/>
      <c r="G21" s="102"/>
      <c r="H21" s="104">
        <f>TRUNC(H19+H11+H14)</f>
        <v>88503</v>
      </c>
      <c r="I21" s="102"/>
      <c r="J21" s="104">
        <f>TRUNC(J19+J11+J14)</f>
        <v>111298</v>
      </c>
      <c r="K21" s="102"/>
      <c r="L21" s="104">
        <f>TRUNC(L19+L11+L14)</f>
        <v>118597</v>
      </c>
    </row>
    <row r="22" spans="2:12" ht="11.25" customHeight="1" x14ac:dyDescent="0.2">
      <c r="B22" s="180" t="s">
        <v>427</v>
      </c>
      <c r="C22" s="182" t="s">
        <v>428</v>
      </c>
      <c r="D22" s="182" t="s">
        <v>429</v>
      </c>
      <c r="E22" s="184" t="s">
        <v>430</v>
      </c>
      <c r="F22" s="184" t="s">
        <v>431</v>
      </c>
      <c r="G22" s="14" t="s">
        <v>65</v>
      </c>
      <c r="H22" s="15"/>
      <c r="I22" s="14" t="s">
        <v>389</v>
      </c>
      <c r="J22" s="15"/>
    </row>
    <row r="23" spans="2:12" ht="11.25" customHeight="1" x14ac:dyDescent="0.2">
      <c r="B23" s="181"/>
      <c r="C23" s="183"/>
      <c r="D23" s="183"/>
      <c r="E23" s="185"/>
      <c r="F23" s="185"/>
      <c r="G23" s="17" t="s">
        <v>436</v>
      </c>
      <c r="H23" s="17" t="s">
        <v>437</v>
      </c>
      <c r="I23" s="17" t="s">
        <v>436</v>
      </c>
      <c r="J23" s="17" t="s">
        <v>437</v>
      </c>
      <c r="K23" s="9"/>
      <c r="L23" s="9"/>
    </row>
    <row r="24" spans="2:12" ht="11.25" customHeight="1" x14ac:dyDescent="0.2">
      <c r="C24" s="4" t="s">
        <v>426</v>
      </c>
      <c r="D24" s="4"/>
      <c r="E24" s="13" t="s">
        <v>494</v>
      </c>
      <c r="F24" s="37">
        <v>1505.45</v>
      </c>
      <c r="G24" s="26">
        <v>25</v>
      </c>
      <c r="H24" s="20">
        <f>TRUNC(($F24*G24),1)</f>
        <v>37636.199999999997</v>
      </c>
      <c r="I24" s="27">
        <v>41.6</v>
      </c>
      <c r="J24" s="20">
        <f>TRUNC(($F24*I24),1)</f>
        <v>62626.7</v>
      </c>
      <c r="K24" s="32"/>
      <c r="L24" s="32"/>
    </row>
    <row r="25" spans="2:12" ht="11.25" customHeight="1" x14ac:dyDescent="0.2">
      <c r="C25" s="4" t="s">
        <v>878</v>
      </c>
      <c r="D25" s="4" t="s">
        <v>1357</v>
      </c>
      <c r="E25" s="13" t="s">
        <v>232</v>
      </c>
      <c r="F25" s="18"/>
      <c r="G25" s="21">
        <v>16</v>
      </c>
      <c r="H25" s="20">
        <f>TRUNC(H24*G25*0.01,1)</f>
        <v>6021.7</v>
      </c>
      <c r="I25" s="21">
        <v>16</v>
      </c>
      <c r="J25" s="20">
        <f>TRUNC(J24*I25*0.01,1)</f>
        <v>10020.200000000001</v>
      </c>
      <c r="K25" s="32"/>
      <c r="L25" s="32"/>
    </row>
    <row r="26" spans="2:12" ht="11.25" customHeight="1" x14ac:dyDescent="0.2">
      <c r="C26" s="107" t="s">
        <v>799</v>
      </c>
      <c r="D26" s="109"/>
      <c r="E26" s="34"/>
      <c r="F26" s="33"/>
      <c r="G26" s="33"/>
      <c r="H26" s="35">
        <f>TRUNC(SUM(H24:H25))</f>
        <v>43657</v>
      </c>
      <c r="I26" s="33"/>
      <c r="J26" s="35">
        <f>TRUNC(SUM(J24:J25))</f>
        <v>72646</v>
      </c>
      <c r="K26" s="36"/>
      <c r="L26" s="36"/>
    </row>
    <row r="27" spans="2:12" ht="11.25" customHeight="1" x14ac:dyDescent="0.2">
      <c r="C27" s="4"/>
      <c r="D27" s="4"/>
      <c r="E27" s="13"/>
      <c r="F27" s="18"/>
      <c r="G27" s="21"/>
      <c r="H27" s="20"/>
      <c r="I27" s="21"/>
      <c r="J27" s="20"/>
      <c r="K27" s="32"/>
      <c r="L27" s="32"/>
    </row>
    <row r="28" spans="2:12" ht="11.25" customHeight="1" x14ac:dyDescent="0.2">
      <c r="C28" s="4" t="s">
        <v>798</v>
      </c>
      <c r="D28" s="4" t="s">
        <v>866</v>
      </c>
      <c r="E28" s="13" t="s">
        <v>497</v>
      </c>
      <c r="F28" s="28">
        <v>283297</v>
      </c>
      <c r="G28" s="18">
        <v>0.20799999999999999</v>
      </c>
      <c r="H28" s="20">
        <f>TRUNC(($F28*G28),1)</f>
        <v>58925.7</v>
      </c>
      <c r="I28" s="18">
        <v>0.20799999999999999</v>
      </c>
      <c r="J28" s="20">
        <f>TRUNC(($F28*I28),1)</f>
        <v>58925.7</v>
      </c>
      <c r="K28" s="32"/>
      <c r="L28" s="32"/>
    </row>
    <row r="29" spans="2:12" ht="11.25" customHeight="1" x14ac:dyDescent="0.2">
      <c r="C29" s="107" t="s">
        <v>1285</v>
      </c>
      <c r="D29" s="109"/>
      <c r="E29" s="34"/>
      <c r="F29" s="33"/>
      <c r="G29" s="33"/>
      <c r="H29" s="35">
        <f>TRUNC(SUM(H28:H28))</f>
        <v>58925</v>
      </c>
      <c r="I29" s="33"/>
      <c r="J29" s="35">
        <f>TRUNC(SUM(J28:J28))</f>
        <v>58925</v>
      </c>
      <c r="K29" s="36"/>
      <c r="L29" s="36"/>
    </row>
    <row r="30" spans="2:12" ht="11.25" customHeight="1" x14ac:dyDescent="0.2">
      <c r="C30" s="4"/>
      <c r="D30" s="4"/>
      <c r="E30" s="13"/>
      <c r="F30" s="18"/>
      <c r="G30" s="18"/>
      <c r="H30" s="18"/>
      <c r="I30" s="18"/>
      <c r="J30" s="18"/>
    </row>
    <row r="31" spans="2:12" ht="11.25" customHeight="1" x14ac:dyDescent="0.2">
      <c r="B31" s="8" t="s">
        <v>765</v>
      </c>
      <c r="C31" s="4" t="s">
        <v>1287</v>
      </c>
      <c r="D31" s="106" t="s">
        <v>763</v>
      </c>
      <c r="E31" s="13" t="s">
        <v>746</v>
      </c>
      <c r="F31" s="66">
        <v>198150000</v>
      </c>
      <c r="G31" s="19">
        <v>1811</v>
      </c>
      <c r="H31" s="20">
        <f>TRUNC($F31*G31*0.0000001,1)</f>
        <v>35884.9</v>
      </c>
      <c r="I31" s="21">
        <v>0</v>
      </c>
      <c r="J31" s="20">
        <f>TRUNC($F31*I31*0.0000001,1)</f>
        <v>0</v>
      </c>
      <c r="K31" s="32"/>
      <c r="L31" s="32"/>
    </row>
    <row r="32" spans="2:12" ht="11.25" customHeight="1" x14ac:dyDescent="0.2">
      <c r="B32" s="8" t="s">
        <v>766</v>
      </c>
      <c r="C32" s="4" t="s">
        <v>1287</v>
      </c>
      <c r="D32" s="106" t="s">
        <v>389</v>
      </c>
      <c r="E32" s="13" t="s">
        <v>746</v>
      </c>
      <c r="F32" s="66">
        <v>263682000</v>
      </c>
      <c r="G32" s="21">
        <v>0</v>
      </c>
      <c r="H32" s="20">
        <f>TRUNC($F32*G32*0.0000001,1)</f>
        <v>0</v>
      </c>
      <c r="I32" s="19">
        <v>1811</v>
      </c>
      <c r="J32" s="20">
        <f>TRUNC($F32*I32*0.0000001,1)</f>
        <v>47752.800000000003</v>
      </c>
      <c r="K32" s="32"/>
      <c r="L32" s="32"/>
    </row>
    <row r="33" spans="2:12" ht="11.25" customHeight="1" x14ac:dyDescent="0.2">
      <c r="C33" s="107" t="s">
        <v>1289</v>
      </c>
      <c r="D33" s="109"/>
      <c r="E33" s="34"/>
      <c r="F33" s="33"/>
      <c r="G33" s="33"/>
      <c r="H33" s="35">
        <f>TRUNC(SUM(H31:H32))</f>
        <v>35884</v>
      </c>
      <c r="I33" s="33"/>
      <c r="J33" s="35">
        <f>TRUNC(SUM(J31:J32))</f>
        <v>47752</v>
      </c>
      <c r="K33" s="36"/>
      <c r="L33" s="36"/>
    </row>
    <row r="34" spans="2:12" ht="11.25" customHeight="1" x14ac:dyDescent="0.2">
      <c r="C34" s="4"/>
      <c r="D34" s="4"/>
      <c r="E34" s="13"/>
      <c r="F34" s="18"/>
      <c r="G34" s="21"/>
      <c r="H34" s="20"/>
      <c r="I34" s="21"/>
      <c r="J34" s="20"/>
      <c r="K34" s="32"/>
      <c r="L34" s="32"/>
    </row>
    <row r="35" spans="2:12" ht="11.25" customHeight="1" x14ac:dyDescent="0.2">
      <c r="B35" s="16"/>
      <c r="C35" s="108" t="s">
        <v>1286</v>
      </c>
      <c r="D35" s="108"/>
      <c r="E35" s="103"/>
      <c r="F35" s="102"/>
      <c r="G35" s="102"/>
      <c r="H35" s="104">
        <f>TRUNC(H33+H26+H29)</f>
        <v>138466</v>
      </c>
      <c r="I35" s="102"/>
      <c r="J35" s="104">
        <f>TRUNC(J33+J26+J29)</f>
        <v>179323</v>
      </c>
      <c r="K35" s="36"/>
      <c r="L35" s="36"/>
    </row>
    <row r="36" spans="2:12" ht="11.25" customHeight="1" x14ac:dyDescent="0.2">
      <c r="K36" s="36"/>
    </row>
    <row r="37" spans="2:12" ht="11.25" customHeight="1" x14ac:dyDescent="0.2">
      <c r="B37" s="68" t="s">
        <v>1288</v>
      </c>
      <c r="C37" s="119"/>
      <c r="L37" s="49" t="s">
        <v>1307</v>
      </c>
    </row>
    <row r="38" spans="2:12" ht="11.25" customHeight="1" x14ac:dyDescent="0.2">
      <c r="B38" s="186" t="s">
        <v>427</v>
      </c>
      <c r="C38" s="187" t="s">
        <v>428</v>
      </c>
      <c r="D38" s="187" t="s">
        <v>429</v>
      </c>
      <c r="E38" s="188" t="s">
        <v>430</v>
      </c>
      <c r="F38" s="188" t="s">
        <v>431</v>
      </c>
      <c r="G38" s="93" t="s">
        <v>767</v>
      </c>
      <c r="H38" s="93"/>
      <c r="I38" s="93" t="s">
        <v>982</v>
      </c>
      <c r="J38" s="93"/>
      <c r="K38" s="93" t="s">
        <v>983</v>
      </c>
      <c r="L38" s="94"/>
    </row>
    <row r="39" spans="2:12" ht="11.25" customHeight="1" x14ac:dyDescent="0.2">
      <c r="B39" s="186"/>
      <c r="C39" s="187"/>
      <c r="D39" s="187"/>
      <c r="E39" s="188"/>
      <c r="F39" s="188"/>
      <c r="G39" s="64" t="s">
        <v>436</v>
      </c>
      <c r="H39" s="64" t="s">
        <v>437</v>
      </c>
      <c r="I39" s="64" t="s">
        <v>436</v>
      </c>
      <c r="J39" s="64" t="s">
        <v>437</v>
      </c>
      <c r="K39" s="64" t="s">
        <v>436</v>
      </c>
      <c r="L39" s="85" t="s">
        <v>437</v>
      </c>
    </row>
    <row r="40" spans="2:12" ht="11.25" customHeight="1" x14ac:dyDescent="0.2">
      <c r="C40" s="4" t="s">
        <v>426</v>
      </c>
      <c r="D40" s="4"/>
      <c r="E40" s="13" t="s">
        <v>494</v>
      </c>
      <c r="F40" s="25">
        <v>1505.45</v>
      </c>
      <c r="G40" s="27">
        <v>19.2</v>
      </c>
      <c r="H40" s="20">
        <f>TRUNC(($F40*G40),1)</f>
        <v>28904.6</v>
      </c>
      <c r="I40" s="26">
        <v>36</v>
      </c>
      <c r="J40" s="20">
        <f>TRUNC(($F40*I40),1)</f>
        <v>54196.2</v>
      </c>
      <c r="K40" s="27">
        <v>42.4</v>
      </c>
      <c r="L40" s="20">
        <f>TRUNC(($F40*K40),1)</f>
        <v>63831</v>
      </c>
    </row>
    <row r="41" spans="2:12" ht="11.25" customHeight="1" x14ac:dyDescent="0.2">
      <c r="C41" s="4" t="s">
        <v>878</v>
      </c>
      <c r="D41" s="4" t="s">
        <v>1357</v>
      </c>
      <c r="E41" s="13" t="s">
        <v>232</v>
      </c>
      <c r="F41" s="18"/>
      <c r="G41" s="21">
        <v>50</v>
      </c>
      <c r="H41" s="20">
        <f>TRUNC(H40*G41*0.01,1)</f>
        <v>14452.3</v>
      </c>
      <c r="I41" s="21">
        <v>50</v>
      </c>
      <c r="J41" s="20">
        <f>TRUNC(J40*I41*0.01,1)</f>
        <v>27098.1</v>
      </c>
      <c r="K41" s="21">
        <v>50</v>
      </c>
      <c r="L41" s="20">
        <f>TRUNC(L40*K41*0.01,1)</f>
        <v>31915.5</v>
      </c>
    </row>
    <row r="42" spans="2:12" ht="11.25" customHeight="1" x14ac:dyDescent="0.2">
      <c r="C42" s="107" t="s">
        <v>799</v>
      </c>
      <c r="D42" s="109"/>
      <c r="E42" s="34"/>
      <c r="F42" s="33"/>
      <c r="G42" s="33"/>
      <c r="H42" s="35">
        <f>TRUNC(SUM(H40:H41))</f>
        <v>43356</v>
      </c>
      <c r="I42" s="33"/>
      <c r="J42" s="35">
        <f>TRUNC(SUM(J40:J41))</f>
        <v>81294</v>
      </c>
      <c r="K42" s="33"/>
      <c r="L42" s="35">
        <f>TRUNC(SUM(L40:L41))</f>
        <v>95746</v>
      </c>
    </row>
    <row r="43" spans="2:12" ht="11.25" customHeight="1" x14ac:dyDescent="0.2">
      <c r="C43" s="4"/>
      <c r="D43" s="4"/>
      <c r="E43" s="13"/>
      <c r="F43" s="18"/>
      <c r="G43" s="21"/>
      <c r="H43" s="20"/>
      <c r="I43" s="21"/>
      <c r="J43" s="20"/>
      <c r="K43" s="21"/>
      <c r="L43" s="20"/>
    </row>
    <row r="44" spans="2:12" ht="11.25" customHeight="1" x14ac:dyDescent="0.2">
      <c r="C44" s="4" t="s">
        <v>798</v>
      </c>
      <c r="D44" s="4" t="s">
        <v>866</v>
      </c>
      <c r="E44" s="13" t="s">
        <v>497</v>
      </c>
      <c r="F44" s="28">
        <v>283297</v>
      </c>
      <c r="G44" s="18">
        <v>0.20799999999999999</v>
      </c>
      <c r="H44" s="20">
        <f>TRUNC(($F44*G44),1)</f>
        <v>58925.7</v>
      </c>
      <c r="I44" s="18">
        <v>0.20799999999999999</v>
      </c>
      <c r="J44" s="20">
        <f>TRUNC(($F44*I44),1)</f>
        <v>58925.7</v>
      </c>
      <c r="K44" s="18">
        <v>0.20799999999999999</v>
      </c>
      <c r="L44" s="20">
        <f>TRUNC(($F44*K44),1)</f>
        <v>58925.7</v>
      </c>
    </row>
    <row r="45" spans="2:12" ht="11.25" customHeight="1" x14ac:dyDescent="0.2">
      <c r="C45" s="107" t="s">
        <v>1285</v>
      </c>
      <c r="D45" s="109"/>
      <c r="E45" s="34"/>
      <c r="F45" s="33"/>
      <c r="G45" s="33"/>
      <c r="H45" s="35">
        <f>TRUNC(SUM(H44:H44))</f>
        <v>58925</v>
      </c>
      <c r="I45" s="33"/>
      <c r="J45" s="35">
        <f>TRUNC(SUM(J44:J44))</f>
        <v>58925</v>
      </c>
      <c r="K45" s="33"/>
      <c r="L45" s="35">
        <f>TRUNC(SUM(L44:L44))</f>
        <v>58925</v>
      </c>
    </row>
    <row r="46" spans="2:12" ht="11.25" customHeight="1" x14ac:dyDescent="0.2">
      <c r="C46" s="4"/>
      <c r="D46" s="4"/>
      <c r="E46" s="13"/>
      <c r="F46" s="18"/>
      <c r="G46" s="18"/>
      <c r="H46" s="18"/>
      <c r="I46" s="18"/>
      <c r="J46" s="18"/>
      <c r="K46" s="18"/>
      <c r="L46" s="18"/>
    </row>
    <row r="47" spans="2:12" ht="11.25" customHeight="1" x14ac:dyDescent="0.2">
      <c r="B47" s="8" t="s">
        <v>527</v>
      </c>
      <c r="C47" s="4" t="s">
        <v>1287</v>
      </c>
      <c r="D47" s="106" t="s">
        <v>64</v>
      </c>
      <c r="E47" s="13" t="s">
        <v>746</v>
      </c>
      <c r="F47" s="66">
        <v>160229000</v>
      </c>
      <c r="G47" s="19">
        <v>1728</v>
      </c>
      <c r="H47" s="20">
        <f>TRUNC($F47*G47*0.0000001,1)</f>
        <v>27687.5</v>
      </c>
      <c r="I47" s="21">
        <v>0</v>
      </c>
      <c r="J47" s="20">
        <f>TRUNC($F47*I47*0.0000001,1)</f>
        <v>0</v>
      </c>
      <c r="K47" s="21">
        <v>0</v>
      </c>
      <c r="L47" s="20">
        <f>TRUNC($F47*K47*0.0000001,1)</f>
        <v>0</v>
      </c>
    </row>
    <row r="48" spans="2:12" ht="11.25" customHeight="1" x14ac:dyDescent="0.2">
      <c r="B48" s="8" t="s">
        <v>528</v>
      </c>
      <c r="C48" s="4" t="s">
        <v>1287</v>
      </c>
      <c r="D48" s="106" t="s">
        <v>982</v>
      </c>
      <c r="E48" s="13" t="s">
        <v>746</v>
      </c>
      <c r="F48" s="66">
        <v>296070000</v>
      </c>
      <c r="G48" s="21">
        <v>0</v>
      </c>
      <c r="H48" s="20">
        <f>TRUNC($F48*G48*0.0000001,1)</f>
        <v>0</v>
      </c>
      <c r="I48" s="19">
        <v>1728</v>
      </c>
      <c r="J48" s="20">
        <f>TRUNC($F48*I48*0.0000001,1)</f>
        <v>51160.800000000003</v>
      </c>
      <c r="K48" s="21">
        <v>0</v>
      </c>
      <c r="L48" s="20">
        <f>TRUNC($F48*K48*0.0000001,1)</f>
        <v>0</v>
      </c>
    </row>
    <row r="49" spans="2:12" ht="11.25" customHeight="1" x14ac:dyDescent="0.2">
      <c r="B49" s="8" t="s">
        <v>529</v>
      </c>
      <c r="C49" s="4" t="s">
        <v>1287</v>
      </c>
      <c r="D49" s="106" t="s">
        <v>983</v>
      </c>
      <c r="E49" s="13" t="s">
        <v>746</v>
      </c>
      <c r="F49" s="66">
        <v>375317000</v>
      </c>
      <c r="G49" s="21">
        <v>0</v>
      </c>
      <c r="H49" s="20">
        <f>TRUNC($F49*G49*0.0000001,1)</f>
        <v>0</v>
      </c>
      <c r="I49" s="21">
        <v>0</v>
      </c>
      <c r="J49" s="20">
        <f>TRUNC($F49*I49*0.0000001,1)</f>
        <v>0</v>
      </c>
      <c r="K49" s="19">
        <v>1728</v>
      </c>
      <c r="L49" s="20">
        <f>TRUNC($F49*K49*0.0000001,1)</f>
        <v>64854.7</v>
      </c>
    </row>
    <row r="50" spans="2:12" ht="11.25" customHeight="1" x14ac:dyDescent="0.2">
      <c r="C50" s="107" t="s">
        <v>1289</v>
      </c>
      <c r="D50" s="109"/>
      <c r="E50" s="34"/>
      <c r="F50" s="33"/>
      <c r="G50" s="33"/>
      <c r="H50" s="35">
        <f>TRUNC(SUM(H47:H49))</f>
        <v>27687</v>
      </c>
      <c r="I50" s="33"/>
      <c r="J50" s="35">
        <f>TRUNC(SUM(J47:J49))</f>
        <v>51160</v>
      </c>
      <c r="K50" s="33"/>
      <c r="L50" s="35">
        <f>TRUNC(SUM(L47:L49))</f>
        <v>64854</v>
      </c>
    </row>
    <row r="51" spans="2:12" ht="11.25" customHeight="1" x14ac:dyDescent="0.2">
      <c r="C51" s="4"/>
      <c r="D51" s="4"/>
      <c r="E51" s="13"/>
      <c r="F51" s="18"/>
      <c r="G51" s="21"/>
      <c r="H51" s="20"/>
      <c r="I51" s="21"/>
      <c r="J51" s="20"/>
      <c r="K51" s="21"/>
      <c r="L51" s="20"/>
    </row>
    <row r="52" spans="2:12" ht="11.25" customHeight="1" x14ac:dyDescent="0.2">
      <c r="B52" s="16"/>
      <c r="C52" s="108" t="s">
        <v>1286</v>
      </c>
      <c r="D52" s="108"/>
      <c r="E52" s="103"/>
      <c r="F52" s="102"/>
      <c r="G52" s="102"/>
      <c r="H52" s="104">
        <f>TRUNC(H50+H42+H45)</f>
        <v>129968</v>
      </c>
      <c r="I52" s="102"/>
      <c r="J52" s="104">
        <f>TRUNC(J50+J42+J45)</f>
        <v>191379</v>
      </c>
      <c r="K52" s="102"/>
      <c r="L52" s="104">
        <f>TRUNC(L50+L42+L45)</f>
        <v>219525</v>
      </c>
    </row>
    <row r="54" spans="2:12" ht="11.25" customHeight="1" x14ac:dyDescent="0.2">
      <c r="B54" s="68" t="s">
        <v>1290</v>
      </c>
      <c r="C54" s="119"/>
      <c r="L54" s="49" t="s">
        <v>1307</v>
      </c>
    </row>
    <row r="55" spans="2:12" ht="11.25" customHeight="1" x14ac:dyDescent="0.2">
      <c r="B55" s="186" t="s">
        <v>427</v>
      </c>
      <c r="C55" s="187" t="s">
        <v>428</v>
      </c>
      <c r="D55" s="187" t="s">
        <v>429</v>
      </c>
      <c r="E55" s="188" t="s">
        <v>430</v>
      </c>
      <c r="F55" s="188" t="s">
        <v>431</v>
      </c>
      <c r="G55" s="93" t="s">
        <v>625</v>
      </c>
      <c r="H55" s="93"/>
      <c r="I55" s="93" t="s">
        <v>65</v>
      </c>
      <c r="J55" s="93"/>
      <c r="K55" s="93" t="s">
        <v>986</v>
      </c>
      <c r="L55" s="94"/>
    </row>
    <row r="56" spans="2:12" ht="11.25" customHeight="1" x14ac:dyDescent="0.2">
      <c r="B56" s="186"/>
      <c r="C56" s="187"/>
      <c r="D56" s="187"/>
      <c r="E56" s="188"/>
      <c r="F56" s="188"/>
      <c r="G56" s="64" t="s">
        <v>436</v>
      </c>
      <c r="H56" s="64" t="s">
        <v>437</v>
      </c>
      <c r="I56" s="64" t="s">
        <v>436</v>
      </c>
      <c r="J56" s="64" t="s">
        <v>437</v>
      </c>
      <c r="K56" s="64" t="s">
        <v>436</v>
      </c>
      <c r="L56" s="85" t="s">
        <v>437</v>
      </c>
    </row>
    <row r="57" spans="2:12" ht="11.25" customHeight="1" x14ac:dyDescent="0.2">
      <c r="B57" s="8" t="s">
        <v>97</v>
      </c>
      <c r="C57" s="4" t="s">
        <v>169</v>
      </c>
      <c r="D57" s="106" t="s">
        <v>1291</v>
      </c>
      <c r="E57" s="13" t="s">
        <v>746</v>
      </c>
      <c r="F57" s="66">
        <v>13948000</v>
      </c>
      <c r="G57" s="19">
        <v>795</v>
      </c>
      <c r="H57" s="20">
        <f>TRUNC($F57*G57*0.0000001,1)</f>
        <v>1108.8</v>
      </c>
      <c r="I57" s="21">
        <v>0</v>
      </c>
      <c r="J57" s="20">
        <f>TRUNC($F57*I57*0.0000001,1)</f>
        <v>0</v>
      </c>
      <c r="K57" s="21">
        <v>0</v>
      </c>
      <c r="L57" s="20">
        <f>TRUNC($F57*K57*0.0000001,1)</f>
        <v>0</v>
      </c>
    </row>
    <row r="58" spans="2:12" ht="11.25" customHeight="1" x14ac:dyDescent="0.2">
      <c r="B58" s="8" t="s">
        <v>98</v>
      </c>
      <c r="C58" s="4" t="s">
        <v>169</v>
      </c>
      <c r="D58" s="106" t="s">
        <v>65</v>
      </c>
      <c r="E58" s="13" t="s">
        <v>746</v>
      </c>
      <c r="F58" s="66">
        <v>17626000</v>
      </c>
      <c r="G58" s="21">
        <v>0</v>
      </c>
      <c r="H58" s="20">
        <f>TRUNC($F58*G58*0.0000001,1)</f>
        <v>0</v>
      </c>
      <c r="I58" s="19">
        <v>795</v>
      </c>
      <c r="J58" s="20">
        <f>TRUNC($F58*I58*0.0000001,1)</f>
        <v>1401.2</v>
      </c>
      <c r="K58" s="21">
        <v>0</v>
      </c>
      <c r="L58" s="20">
        <f>TRUNC($F58*K58*0.0000001,1)</f>
        <v>0</v>
      </c>
    </row>
    <row r="59" spans="2:12" ht="11.25" customHeight="1" x14ac:dyDescent="0.2">
      <c r="B59" s="8" t="s">
        <v>99</v>
      </c>
      <c r="C59" s="4" t="s">
        <v>169</v>
      </c>
      <c r="D59" s="106" t="s">
        <v>986</v>
      </c>
      <c r="E59" s="13" t="s">
        <v>746</v>
      </c>
      <c r="F59" s="66">
        <v>19537000</v>
      </c>
      <c r="G59" s="21">
        <v>0</v>
      </c>
      <c r="H59" s="20">
        <f>TRUNC($F59*G59*0.0000001,1)</f>
        <v>0</v>
      </c>
      <c r="I59" s="21">
        <v>0</v>
      </c>
      <c r="J59" s="20">
        <f>TRUNC($F59*I59*0.0000001,1)</f>
        <v>0</v>
      </c>
      <c r="K59" s="19">
        <v>795</v>
      </c>
      <c r="L59" s="20">
        <f>TRUNC($F59*K59*0.0000001,1)</f>
        <v>1553.1</v>
      </c>
    </row>
    <row r="60" spans="2:12" ht="11.25" customHeight="1" x14ac:dyDescent="0.2">
      <c r="C60" s="107" t="s">
        <v>1289</v>
      </c>
      <c r="D60" s="107"/>
      <c r="E60" s="23"/>
      <c r="F60" s="22"/>
      <c r="G60" s="22"/>
      <c r="H60" s="24">
        <f>TRUNC(SUM(H57:H59))</f>
        <v>1108</v>
      </c>
      <c r="I60" s="22"/>
      <c r="J60" s="24">
        <f>TRUNC(SUM(J57:J59))</f>
        <v>1401</v>
      </c>
      <c r="K60" s="22"/>
      <c r="L60" s="24">
        <f>TRUNC(SUM(L57:L59))</f>
        <v>1553</v>
      </c>
    </row>
    <row r="61" spans="2:12" ht="11.25" customHeight="1" x14ac:dyDescent="0.2">
      <c r="C61" s="4"/>
      <c r="D61" s="106"/>
      <c r="E61" s="13"/>
      <c r="F61" s="21"/>
      <c r="G61" s="21"/>
      <c r="H61" s="20"/>
      <c r="I61" s="21"/>
      <c r="J61" s="20"/>
      <c r="K61" s="21"/>
      <c r="L61" s="20"/>
    </row>
    <row r="62" spans="2:12" ht="11.25" customHeight="1" x14ac:dyDescent="0.2">
      <c r="C62" s="126" t="s">
        <v>1286</v>
      </c>
      <c r="D62" s="126"/>
      <c r="E62" s="127"/>
      <c r="F62" s="125"/>
      <c r="G62" s="125"/>
      <c r="H62" s="128">
        <f>TRUNC(H60)</f>
        <v>1108</v>
      </c>
      <c r="I62" s="125"/>
      <c r="J62" s="128">
        <f>TRUNC(J60)</f>
        <v>1401</v>
      </c>
      <c r="K62" s="102"/>
      <c r="L62" s="104">
        <f>TRUNC(L60)</f>
        <v>1553</v>
      </c>
    </row>
    <row r="63" spans="2:12" ht="11.25" customHeight="1" x14ac:dyDescent="0.2">
      <c r="B63" s="186" t="s">
        <v>427</v>
      </c>
      <c r="C63" s="187" t="s">
        <v>428</v>
      </c>
      <c r="D63" s="187" t="s">
        <v>429</v>
      </c>
      <c r="E63" s="188" t="s">
        <v>430</v>
      </c>
      <c r="F63" s="188" t="s">
        <v>431</v>
      </c>
      <c r="G63" s="93" t="s">
        <v>987</v>
      </c>
      <c r="H63" s="93"/>
      <c r="I63" s="93" t="s">
        <v>389</v>
      </c>
      <c r="J63" s="94"/>
    </row>
    <row r="64" spans="2:12" ht="11.25" customHeight="1" x14ac:dyDescent="0.2">
      <c r="B64" s="186"/>
      <c r="C64" s="187"/>
      <c r="D64" s="187"/>
      <c r="E64" s="188"/>
      <c r="F64" s="188"/>
      <c r="G64" s="64" t="s">
        <v>436</v>
      </c>
      <c r="H64" s="64" t="s">
        <v>437</v>
      </c>
      <c r="I64" s="64" t="s">
        <v>436</v>
      </c>
      <c r="J64" s="85" t="s">
        <v>437</v>
      </c>
    </row>
    <row r="65" spans="1:12" ht="11.25" customHeight="1" x14ac:dyDescent="0.2">
      <c r="B65" s="8" t="s">
        <v>100</v>
      </c>
      <c r="C65" s="4" t="s">
        <v>169</v>
      </c>
      <c r="D65" s="106" t="s">
        <v>987</v>
      </c>
      <c r="E65" s="13" t="s">
        <v>746</v>
      </c>
      <c r="F65" s="66">
        <v>22753000</v>
      </c>
      <c r="G65" s="19">
        <v>795</v>
      </c>
      <c r="H65" s="20">
        <f>TRUNC($F65*G65*0.0000001,1)</f>
        <v>1808.8</v>
      </c>
      <c r="I65" s="21">
        <v>0</v>
      </c>
      <c r="J65" s="20">
        <f>TRUNC($F65*I65*0.0000001,1)</f>
        <v>0</v>
      </c>
    </row>
    <row r="66" spans="1:12" ht="11.25" customHeight="1" x14ac:dyDescent="0.2">
      <c r="B66" s="8" t="s">
        <v>101</v>
      </c>
      <c r="C66" s="4" t="s">
        <v>169</v>
      </c>
      <c r="D66" s="106" t="s">
        <v>389</v>
      </c>
      <c r="E66" s="13" t="s">
        <v>746</v>
      </c>
      <c r="F66" s="66">
        <v>27634000</v>
      </c>
      <c r="G66" s="21">
        <v>0</v>
      </c>
      <c r="H66" s="20">
        <f>TRUNC($F66*G66*0.0000001,1)</f>
        <v>0</v>
      </c>
      <c r="I66" s="19">
        <v>795</v>
      </c>
      <c r="J66" s="20">
        <f>TRUNC($F66*I66*0.0000001,1)</f>
        <v>2196.9</v>
      </c>
    </row>
    <row r="67" spans="1:12" ht="11.25" customHeight="1" x14ac:dyDescent="0.2">
      <c r="C67" s="107" t="s">
        <v>1289</v>
      </c>
      <c r="D67" s="107"/>
      <c r="E67" s="23"/>
      <c r="F67" s="22"/>
      <c r="G67" s="22"/>
      <c r="H67" s="24">
        <f>TRUNC(SUM(H65:H66))</f>
        <v>1808</v>
      </c>
      <c r="I67" s="22"/>
      <c r="J67" s="24">
        <f>TRUNC(SUM(J65:J66))</f>
        <v>2196</v>
      </c>
    </row>
    <row r="68" spans="1:12" ht="11.25" customHeight="1" x14ac:dyDescent="0.2">
      <c r="C68" s="4"/>
      <c r="D68" s="106"/>
      <c r="E68" s="13"/>
      <c r="F68" s="21"/>
      <c r="G68" s="21"/>
      <c r="H68" s="20"/>
      <c r="I68" s="21"/>
      <c r="J68" s="20"/>
      <c r="K68" s="39"/>
      <c r="L68" s="32"/>
    </row>
    <row r="69" spans="1:12" ht="11.25" customHeight="1" x14ac:dyDescent="0.2">
      <c r="B69" s="16"/>
      <c r="C69" s="108" t="s">
        <v>1286</v>
      </c>
      <c r="D69" s="108"/>
      <c r="E69" s="103"/>
      <c r="F69" s="102"/>
      <c r="G69" s="102"/>
      <c r="H69" s="104">
        <f>TRUNC(H67)</f>
        <v>1808</v>
      </c>
      <c r="I69" s="102"/>
      <c r="J69" s="104">
        <f>TRUNC(J67)</f>
        <v>2196</v>
      </c>
    </row>
    <row r="71" spans="1:12" ht="11.25" customHeight="1" x14ac:dyDescent="0.2">
      <c r="A71" s="7"/>
      <c r="B71" s="68" t="s">
        <v>1896</v>
      </c>
      <c r="C71" s="119"/>
      <c r="J71" s="49" t="s">
        <v>1307</v>
      </c>
    </row>
    <row r="72" spans="1:12" ht="11.25" customHeight="1" x14ac:dyDescent="0.2">
      <c r="B72" s="186" t="s">
        <v>427</v>
      </c>
      <c r="C72" s="187" t="s">
        <v>428</v>
      </c>
      <c r="D72" s="187" t="s">
        <v>429</v>
      </c>
      <c r="E72" s="188" t="s">
        <v>430</v>
      </c>
      <c r="F72" s="188" t="s">
        <v>431</v>
      </c>
      <c r="G72" s="93" t="s">
        <v>984</v>
      </c>
      <c r="H72" s="93"/>
      <c r="I72" s="188" t="s">
        <v>985</v>
      </c>
      <c r="J72" s="190"/>
      <c r="K72" s="38"/>
    </row>
    <row r="73" spans="1:12" ht="11.25" customHeight="1" x14ac:dyDescent="0.2">
      <c r="B73" s="186"/>
      <c r="C73" s="187"/>
      <c r="D73" s="187"/>
      <c r="E73" s="188"/>
      <c r="F73" s="188"/>
      <c r="G73" s="64" t="s">
        <v>436</v>
      </c>
      <c r="H73" s="64" t="s">
        <v>437</v>
      </c>
      <c r="I73" s="64" t="s">
        <v>436</v>
      </c>
      <c r="J73" s="85" t="s">
        <v>437</v>
      </c>
    </row>
    <row r="74" spans="1:12" ht="11.25" customHeight="1" x14ac:dyDescent="0.2">
      <c r="C74" s="4" t="s">
        <v>426</v>
      </c>
      <c r="D74" s="4"/>
      <c r="E74" s="13" t="s">
        <v>494</v>
      </c>
      <c r="F74" s="25">
        <v>1505.45</v>
      </c>
      <c r="G74" s="27">
        <v>5.4</v>
      </c>
      <c r="H74" s="20">
        <f>TRUNC(($F74*G74),1)</f>
        <v>8129.4</v>
      </c>
      <c r="I74" s="27">
        <v>14.6</v>
      </c>
      <c r="J74" s="20">
        <f>TRUNC(($F74*I74),1)</f>
        <v>21979.5</v>
      </c>
      <c r="K74" s="42"/>
      <c r="L74" s="32"/>
    </row>
    <row r="75" spans="1:12" ht="11.25" customHeight="1" x14ac:dyDescent="0.2">
      <c r="C75" s="4" t="s">
        <v>878</v>
      </c>
      <c r="D75" s="4" t="s">
        <v>1357</v>
      </c>
      <c r="E75" s="13" t="s">
        <v>232</v>
      </c>
      <c r="F75" s="18"/>
      <c r="G75" s="21">
        <v>23</v>
      </c>
      <c r="H75" s="20">
        <f>TRUNC(H74*G75*0.01,1)</f>
        <v>1869.7</v>
      </c>
      <c r="I75" s="21">
        <v>23</v>
      </c>
      <c r="J75" s="20">
        <f>TRUNC(J74*I75*0.01,1)</f>
        <v>5055.2</v>
      </c>
      <c r="L75" s="32"/>
    </row>
    <row r="76" spans="1:12" ht="11.25" customHeight="1" x14ac:dyDescent="0.2">
      <c r="C76" s="107" t="s">
        <v>799</v>
      </c>
      <c r="D76" s="107"/>
      <c r="E76" s="23"/>
      <c r="F76" s="22"/>
      <c r="G76" s="22"/>
      <c r="H76" s="24">
        <f>TRUNC(SUM(H74:H75))</f>
        <v>9999</v>
      </c>
      <c r="I76" s="22"/>
      <c r="J76" s="24">
        <f>TRUNC(SUM(J74:J75))</f>
        <v>27034</v>
      </c>
      <c r="K76" s="40"/>
      <c r="L76" s="41"/>
    </row>
    <row r="77" spans="1:12" ht="11.25" customHeight="1" x14ac:dyDescent="0.2">
      <c r="C77" s="4"/>
      <c r="D77" s="4"/>
      <c r="E77" s="13"/>
      <c r="F77" s="18"/>
      <c r="G77" s="18"/>
      <c r="H77" s="18"/>
      <c r="I77" s="18"/>
      <c r="J77" s="18"/>
    </row>
    <row r="78" spans="1:12" ht="11.25" customHeight="1" x14ac:dyDescent="0.2">
      <c r="C78" s="4" t="s">
        <v>798</v>
      </c>
      <c r="D78" s="4" t="s">
        <v>866</v>
      </c>
      <c r="E78" s="13" t="s">
        <v>497</v>
      </c>
      <c r="F78" s="28">
        <v>283297</v>
      </c>
      <c r="G78" s="18">
        <v>0.20799999999999999</v>
      </c>
      <c r="H78" s="20">
        <f>TRUNC(($F78*G78),1)</f>
        <v>58925.7</v>
      </c>
      <c r="I78" s="18">
        <v>0.20799999999999999</v>
      </c>
      <c r="J78" s="20">
        <f>TRUNC(($F78*I78),1)</f>
        <v>58925.7</v>
      </c>
      <c r="L78" s="32"/>
    </row>
    <row r="79" spans="1:12" ht="11.25" customHeight="1" x14ac:dyDescent="0.2">
      <c r="C79" s="107" t="s">
        <v>1285</v>
      </c>
      <c r="D79" s="107"/>
      <c r="E79" s="23"/>
      <c r="F79" s="22"/>
      <c r="G79" s="22"/>
      <c r="H79" s="24">
        <f>TRUNC(SUM(H78:H78))</f>
        <v>58925</v>
      </c>
      <c r="I79" s="22"/>
      <c r="J79" s="24">
        <f>TRUNC(SUM(J78:J78))</f>
        <v>58925</v>
      </c>
      <c r="K79" s="40"/>
      <c r="L79" s="41"/>
    </row>
    <row r="80" spans="1:12" ht="11.25" customHeight="1" x14ac:dyDescent="0.2">
      <c r="C80" s="107"/>
      <c r="D80" s="107"/>
      <c r="E80" s="23"/>
      <c r="F80" s="22"/>
      <c r="G80" s="22"/>
      <c r="H80" s="22"/>
      <c r="I80" s="22"/>
      <c r="J80" s="22"/>
    </row>
    <row r="81" spans="2:12" ht="11.25" customHeight="1" x14ac:dyDescent="0.2">
      <c r="B81" s="8" t="s">
        <v>95</v>
      </c>
      <c r="C81" s="4" t="s">
        <v>1897</v>
      </c>
      <c r="D81" s="106" t="s">
        <v>530</v>
      </c>
      <c r="E81" s="13" t="s">
        <v>746</v>
      </c>
      <c r="F81" s="66">
        <v>44766000</v>
      </c>
      <c r="G81" s="19">
        <v>1811</v>
      </c>
      <c r="H81" s="20">
        <f>TRUNC($F81*G81*0.0000001,1)</f>
        <v>8107.1</v>
      </c>
      <c r="I81" s="21">
        <v>0</v>
      </c>
      <c r="J81" s="20">
        <f>TRUNC($F81*I81*0.0000001,1)</f>
        <v>0</v>
      </c>
      <c r="K81" s="39"/>
      <c r="L81" s="32"/>
    </row>
    <row r="82" spans="2:12" ht="11.25" customHeight="1" x14ac:dyDescent="0.2">
      <c r="B82" s="8" t="s">
        <v>96</v>
      </c>
      <c r="C82" s="4" t="s">
        <v>1897</v>
      </c>
      <c r="D82" s="106" t="s">
        <v>94</v>
      </c>
      <c r="E82" s="13" t="s">
        <v>746</v>
      </c>
      <c r="F82" s="66">
        <v>167666000</v>
      </c>
      <c r="G82" s="21">
        <v>0</v>
      </c>
      <c r="H82" s="20">
        <f>TRUNC($F82*G82*0.0000001,1)</f>
        <v>0</v>
      </c>
      <c r="I82" s="19">
        <v>1811</v>
      </c>
      <c r="J82" s="20">
        <f>TRUNC($F82*I82*0.0000001,1)</f>
        <v>30364.3</v>
      </c>
      <c r="K82" s="39"/>
      <c r="L82" s="32"/>
    </row>
    <row r="83" spans="2:12" ht="11.25" customHeight="1" x14ac:dyDescent="0.2">
      <c r="C83" s="107" t="s">
        <v>1289</v>
      </c>
      <c r="D83" s="107"/>
      <c r="E83" s="23"/>
      <c r="F83" s="22"/>
      <c r="G83" s="22"/>
      <c r="H83" s="24">
        <f>TRUNC(SUM(H81:H82))</f>
        <v>8107</v>
      </c>
      <c r="I83" s="22"/>
      <c r="J83" s="24">
        <f>TRUNC(SUM(J81:J82))</f>
        <v>30364</v>
      </c>
      <c r="K83" s="40"/>
      <c r="L83" s="41"/>
    </row>
    <row r="84" spans="2:12" ht="11.25" customHeight="1" x14ac:dyDescent="0.2">
      <c r="C84" s="4"/>
      <c r="D84" s="4"/>
      <c r="E84" s="13"/>
      <c r="F84" s="18"/>
      <c r="G84" s="18"/>
      <c r="H84" s="20"/>
      <c r="I84" s="18"/>
      <c r="J84" s="18"/>
    </row>
    <row r="85" spans="2:12" ht="11.25" customHeight="1" x14ac:dyDescent="0.2">
      <c r="B85" s="16"/>
      <c r="C85" s="108" t="s">
        <v>1286</v>
      </c>
      <c r="D85" s="108"/>
      <c r="E85" s="103"/>
      <c r="F85" s="102"/>
      <c r="G85" s="102"/>
      <c r="H85" s="104">
        <f>TRUNC(H83+H76+H79)</f>
        <v>77031</v>
      </c>
      <c r="I85" s="102"/>
      <c r="J85" s="104">
        <f>TRUNC(J83+J76+J79)</f>
        <v>116323</v>
      </c>
      <c r="K85" s="70"/>
      <c r="L85" s="92"/>
    </row>
    <row r="87" spans="2:12" ht="11.25" customHeight="1" x14ac:dyDescent="0.2">
      <c r="B87" s="68" t="s">
        <v>1910</v>
      </c>
      <c r="C87" s="119"/>
      <c r="L87" s="49" t="s">
        <v>1307</v>
      </c>
    </row>
    <row r="88" spans="2:12" ht="11.25" customHeight="1" x14ac:dyDescent="0.2">
      <c r="B88" s="186" t="s">
        <v>427</v>
      </c>
      <c r="C88" s="187" t="s">
        <v>428</v>
      </c>
      <c r="D88" s="187" t="s">
        <v>429</v>
      </c>
      <c r="E88" s="188" t="s">
        <v>430</v>
      </c>
      <c r="F88" s="188" t="s">
        <v>431</v>
      </c>
      <c r="G88" s="93" t="s">
        <v>1068</v>
      </c>
      <c r="H88" s="93"/>
      <c r="I88" s="93" t="s">
        <v>440</v>
      </c>
      <c r="J88" s="93"/>
      <c r="K88" s="93" t="s">
        <v>664</v>
      </c>
      <c r="L88" s="94"/>
    </row>
    <row r="89" spans="2:12" ht="11.25" customHeight="1" x14ac:dyDescent="0.2">
      <c r="B89" s="186"/>
      <c r="C89" s="187"/>
      <c r="D89" s="187"/>
      <c r="E89" s="188"/>
      <c r="F89" s="188"/>
      <c r="G89" s="64" t="s">
        <v>436</v>
      </c>
      <c r="H89" s="64" t="s">
        <v>437</v>
      </c>
      <c r="I89" s="64" t="s">
        <v>436</v>
      </c>
      <c r="J89" s="64" t="s">
        <v>437</v>
      </c>
      <c r="K89" s="64" t="s">
        <v>436</v>
      </c>
      <c r="L89" s="85" t="s">
        <v>437</v>
      </c>
    </row>
    <row r="90" spans="2:12" ht="11.25" customHeight="1" x14ac:dyDescent="0.2">
      <c r="C90" s="4" t="s">
        <v>426</v>
      </c>
      <c r="D90" s="4"/>
      <c r="E90" s="13" t="s">
        <v>494</v>
      </c>
      <c r="F90" s="25">
        <v>1505.45</v>
      </c>
      <c r="G90" s="27">
        <v>3.2</v>
      </c>
      <c r="H90" s="20">
        <f>TRUNC(($F90*G90),1)</f>
        <v>4817.3999999999996</v>
      </c>
      <c r="I90" s="26">
        <v>5</v>
      </c>
      <c r="J90" s="20">
        <f>TRUNC(($F90*I90),1)</f>
        <v>7527.2</v>
      </c>
      <c r="K90" s="26">
        <v>9.9</v>
      </c>
      <c r="L90" s="20">
        <f>TRUNC(($F90*K90),1)</f>
        <v>14903.9</v>
      </c>
    </row>
    <row r="91" spans="2:12" ht="11.25" customHeight="1" x14ac:dyDescent="0.2">
      <c r="C91" s="4" t="s">
        <v>878</v>
      </c>
      <c r="D91" s="4" t="s">
        <v>1357</v>
      </c>
      <c r="E91" s="13" t="s">
        <v>232</v>
      </c>
      <c r="F91" s="18"/>
      <c r="G91" s="21">
        <v>21</v>
      </c>
      <c r="H91" s="20">
        <f>TRUNC(H90*G91*0.01,1)</f>
        <v>1011.6</v>
      </c>
      <c r="I91" s="21">
        <v>21</v>
      </c>
      <c r="J91" s="20">
        <f>TRUNC(J90*I91*0.01,1)</f>
        <v>1580.7</v>
      </c>
      <c r="K91" s="21">
        <v>22</v>
      </c>
      <c r="L91" s="20">
        <f>TRUNC(L90*K91*0.01,1)</f>
        <v>3278.8</v>
      </c>
    </row>
    <row r="92" spans="2:12" ht="11.25" customHeight="1" x14ac:dyDescent="0.2">
      <c r="C92" s="107" t="s">
        <v>799</v>
      </c>
      <c r="D92" s="107"/>
      <c r="E92" s="23"/>
      <c r="F92" s="22"/>
      <c r="G92" s="22"/>
      <c r="H92" s="24">
        <f>TRUNC(SUM(H90:H91))</f>
        <v>5829</v>
      </c>
      <c r="I92" s="22"/>
      <c r="J92" s="24">
        <f>TRUNC(SUM(J90:J91))</f>
        <v>9107</v>
      </c>
      <c r="K92" s="22"/>
      <c r="L92" s="24">
        <f>TRUNC(SUM(L90:L91))</f>
        <v>18182</v>
      </c>
    </row>
    <row r="93" spans="2:12" ht="11.25" customHeight="1" x14ac:dyDescent="0.2">
      <c r="C93" s="107"/>
      <c r="D93" s="107"/>
      <c r="E93" s="23"/>
      <c r="F93" s="22"/>
      <c r="G93" s="22"/>
      <c r="H93" s="22"/>
      <c r="I93" s="22"/>
      <c r="J93" s="22"/>
      <c r="K93" s="22"/>
      <c r="L93" s="22"/>
    </row>
    <row r="94" spans="2:12" ht="11.25" customHeight="1" x14ac:dyDescent="0.2">
      <c r="C94" s="4" t="s">
        <v>798</v>
      </c>
      <c r="D94" s="4" t="s">
        <v>866</v>
      </c>
      <c r="E94" s="13" t="s">
        <v>497</v>
      </c>
      <c r="F94" s="28">
        <v>283297</v>
      </c>
      <c r="G94" s="18">
        <v>0.20799999999999999</v>
      </c>
      <c r="H94" s="20">
        <f>TRUNC(($F94*G94),1)</f>
        <v>58925.7</v>
      </c>
      <c r="I94" s="18">
        <v>0.20799999999999999</v>
      </c>
      <c r="J94" s="20">
        <f>TRUNC(($F94*I94),1)</f>
        <v>58925.7</v>
      </c>
      <c r="K94" s="18">
        <v>0.20799999999999999</v>
      </c>
      <c r="L94" s="20">
        <f>TRUNC(($F94*K94),1)</f>
        <v>58925.7</v>
      </c>
    </row>
    <row r="95" spans="2:12" ht="11.25" customHeight="1" x14ac:dyDescent="0.2">
      <c r="C95" s="107" t="s">
        <v>1285</v>
      </c>
      <c r="D95" s="107"/>
      <c r="E95" s="23"/>
      <c r="F95" s="22"/>
      <c r="G95" s="22"/>
      <c r="H95" s="24">
        <f>TRUNC(SUM(H94:H94))</f>
        <v>58925</v>
      </c>
      <c r="I95" s="22"/>
      <c r="J95" s="24">
        <f>TRUNC(SUM(J94:J94))</f>
        <v>58925</v>
      </c>
      <c r="K95" s="22"/>
      <c r="L95" s="24">
        <f>TRUNC(SUM(L94:L94))</f>
        <v>58925</v>
      </c>
    </row>
    <row r="96" spans="2:12" ht="11.25" customHeight="1" x14ac:dyDescent="0.2">
      <c r="C96" s="107"/>
      <c r="D96" s="107"/>
      <c r="E96" s="23"/>
      <c r="F96" s="22"/>
      <c r="G96" s="22"/>
      <c r="H96" s="22"/>
      <c r="I96" s="22"/>
      <c r="J96" s="22"/>
      <c r="K96" s="22"/>
      <c r="L96" s="22"/>
    </row>
    <row r="97" spans="2:12" ht="11.25" customHeight="1" x14ac:dyDescent="0.2">
      <c r="B97" s="8" t="s">
        <v>102</v>
      </c>
      <c r="C97" s="4" t="s">
        <v>1909</v>
      </c>
      <c r="D97" s="106" t="s">
        <v>566</v>
      </c>
      <c r="E97" s="13" t="s">
        <v>746</v>
      </c>
      <c r="F97" s="66">
        <v>45070000</v>
      </c>
      <c r="G97" s="19">
        <v>2085</v>
      </c>
      <c r="H97" s="20">
        <f>TRUNC($F97*G97*0.0000001,1)</f>
        <v>9397</v>
      </c>
      <c r="I97" s="21">
        <v>0</v>
      </c>
      <c r="J97" s="20">
        <f>TRUNC($F97*I97*0.0000001,1)</f>
        <v>0</v>
      </c>
      <c r="K97" s="21">
        <v>0</v>
      </c>
      <c r="L97" s="20">
        <f>TRUNC($F97*K97*0.0000001,1)</f>
        <v>0</v>
      </c>
    </row>
    <row r="98" spans="2:12" ht="11.25" customHeight="1" x14ac:dyDescent="0.2">
      <c r="B98" s="8" t="s">
        <v>103</v>
      </c>
      <c r="C98" s="4" t="s">
        <v>1909</v>
      </c>
      <c r="D98" s="106" t="s">
        <v>898</v>
      </c>
      <c r="E98" s="13" t="s">
        <v>746</v>
      </c>
      <c r="F98" s="66">
        <v>66538000</v>
      </c>
      <c r="G98" s="21">
        <v>0</v>
      </c>
      <c r="H98" s="20">
        <f>TRUNC($F98*G98*0.0000001,1)</f>
        <v>0</v>
      </c>
      <c r="I98" s="19">
        <v>2085</v>
      </c>
      <c r="J98" s="20">
        <f>TRUNC($F98*I98*0.0000001,1)</f>
        <v>13873.1</v>
      </c>
      <c r="K98" s="21">
        <v>0</v>
      </c>
      <c r="L98" s="20">
        <f>TRUNC($F98*K98*0.0000001,1)</f>
        <v>0</v>
      </c>
    </row>
    <row r="99" spans="2:12" ht="11.25" customHeight="1" x14ac:dyDescent="0.2">
      <c r="B99" s="8" t="s">
        <v>104</v>
      </c>
      <c r="C99" s="4" t="s">
        <v>1909</v>
      </c>
      <c r="D99" s="106" t="s">
        <v>567</v>
      </c>
      <c r="E99" s="13" t="s">
        <v>746</v>
      </c>
      <c r="F99" s="66">
        <v>84000000</v>
      </c>
      <c r="G99" s="21">
        <v>0</v>
      </c>
      <c r="H99" s="20">
        <f>TRUNC($F99*G99*0.0000001,1)</f>
        <v>0</v>
      </c>
      <c r="I99" s="21">
        <v>0</v>
      </c>
      <c r="J99" s="20">
        <f>TRUNC($F99*I99*0.0000001,1)</f>
        <v>0</v>
      </c>
      <c r="K99" s="19">
        <v>2085</v>
      </c>
      <c r="L99" s="20">
        <f>TRUNC($F99*K99*0.0000001,1)</f>
        <v>17514</v>
      </c>
    </row>
    <row r="100" spans="2:12" ht="11.25" customHeight="1" x14ac:dyDescent="0.2">
      <c r="C100" s="107" t="s">
        <v>1289</v>
      </c>
      <c r="D100" s="107"/>
      <c r="E100" s="23"/>
      <c r="F100" s="22"/>
      <c r="G100" s="22"/>
      <c r="H100" s="24">
        <f>TRUNC(SUM(H97:H99))</f>
        <v>9397</v>
      </c>
      <c r="I100" s="22"/>
      <c r="J100" s="24">
        <f>TRUNC(SUM(J97:J99))</f>
        <v>13873</v>
      </c>
      <c r="K100" s="22"/>
      <c r="L100" s="24">
        <f>TRUNC(SUM(L97:L99))</f>
        <v>17514</v>
      </c>
    </row>
    <row r="101" spans="2:12" ht="11.25" customHeight="1" x14ac:dyDescent="0.2">
      <c r="C101" s="107"/>
      <c r="D101" s="107"/>
      <c r="E101" s="23"/>
      <c r="F101" s="22"/>
      <c r="G101" s="22"/>
      <c r="H101" s="22"/>
      <c r="I101" s="22"/>
      <c r="J101" s="22"/>
      <c r="K101" s="22"/>
      <c r="L101" s="22"/>
    </row>
    <row r="102" spans="2:12" ht="11.25" customHeight="1" x14ac:dyDescent="0.2">
      <c r="C102" s="126" t="s">
        <v>1286</v>
      </c>
      <c r="D102" s="126"/>
      <c r="E102" s="127"/>
      <c r="F102" s="125"/>
      <c r="G102" s="125"/>
      <c r="H102" s="128">
        <f>TRUNC(H100+H92+H95)</f>
        <v>74151</v>
      </c>
      <c r="I102" s="125"/>
      <c r="J102" s="128">
        <f>TRUNC(J100+J92+J95)</f>
        <v>81905</v>
      </c>
      <c r="K102" s="125"/>
      <c r="L102" s="128">
        <f>TRUNC(L100+L92+L95)</f>
        <v>94621</v>
      </c>
    </row>
    <row r="103" spans="2:12" ht="11.25" customHeight="1" x14ac:dyDescent="0.2">
      <c r="B103" s="186" t="s">
        <v>427</v>
      </c>
      <c r="C103" s="187" t="s">
        <v>428</v>
      </c>
      <c r="D103" s="187" t="s">
        <v>429</v>
      </c>
      <c r="E103" s="188" t="s">
        <v>430</v>
      </c>
      <c r="F103" s="188" t="s">
        <v>431</v>
      </c>
      <c r="G103" s="93" t="s">
        <v>143</v>
      </c>
      <c r="H103" s="93"/>
      <c r="I103" s="93" t="s">
        <v>421</v>
      </c>
      <c r="J103" s="93"/>
      <c r="K103" s="93" t="s">
        <v>756</v>
      </c>
      <c r="L103" s="94"/>
    </row>
    <row r="104" spans="2:12" ht="11.25" customHeight="1" x14ac:dyDescent="0.2">
      <c r="B104" s="186"/>
      <c r="C104" s="187"/>
      <c r="D104" s="187"/>
      <c r="E104" s="188"/>
      <c r="F104" s="188"/>
      <c r="G104" s="64" t="s">
        <v>436</v>
      </c>
      <c r="H104" s="64" t="s">
        <v>437</v>
      </c>
      <c r="I104" s="64" t="s">
        <v>436</v>
      </c>
      <c r="J104" s="64" t="s">
        <v>437</v>
      </c>
      <c r="K104" s="64" t="s">
        <v>436</v>
      </c>
      <c r="L104" s="85" t="s">
        <v>437</v>
      </c>
    </row>
    <row r="105" spans="2:12" ht="11.25" customHeight="1" x14ac:dyDescent="0.2">
      <c r="C105" s="4" t="s">
        <v>426</v>
      </c>
      <c r="D105" s="4"/>
      <c r="E105" s="13" t="s">
        <v>494</v>
      </c>
      <c r="F105" s="25">
        <v>1505.45</v>
      </c>
      <c r="G105" s="27">
        <v>10.199999999999999</v>
      </c>
      <c r="H105" s="20">
        <f>TRUNC(($F105*G105),1)</f>
        <v>15355.5</v>
      </c>
      <c r="I105" s="27">
        <v>11.6</v>
      </c>
      <c r="J105" s="20">
        <f>TRUNC(($F105*I105),1)</f>
        <v>17463.2</v>
      </c>
      <c r="K105" s="26">
        <v>15.3</v>
      </c>
      <c r="L105" s="20">
        <f>TRUNC(($F105*K105),1)</f>
        <v>23033.3</v>
      </c>
    </row>
    <row r="106" spans="2:12" ht="11.25" customHeight="1" x14ac:dyDescent="0.2">
      <c r="C106" s="4" t="s">
        <v>878</v>
      </c>
      <c r="D106" s="4" t="s">
        <v>1357</v>
      </c>
      <c r="E106" s="13" t="s">
        <v>232</v>
      </c>
      <c r="F106" s="18"/>
      <c r="G106" s="21">
        <v>22</v>
      </c>
      <c r="H106" s="20">
        <f>TRUNC(H105*G106*0.01,1)</f>
        <v>3378.2</v>
      </c>
      <c r="I106" s="21">
        <v>22</v>
      </c>
      <c r="J106" s="20">
        <f>TRUNC(J105*I106*0.01,1)</f>
        <v>3841.9</v>
      </c>
      <c r="K106" s="21">
        <v>22</v>
      </c>
      <c r="L106" s="20">
        <f>TRUNC(L105*K106*0.01,1)</f>
        <v>5067.3</v>
      </c>
    </row>
    <row r="107" spans="2:12" ht="11.25" customHeight="1" x14ac:dyDescent="0.2">
      <c r="C107" s="107" t="s">
        <v>799</v>
      </c>
      <c r="D107" s="107"/>
      <c r="E107" s="23"/>
      <c r="F107" s="22"/>
      <c r="G107" s="22"/>
      <c r="H107" s="24">
        <f>TRUNC(SUM(H105:H106))</f>
        <v>18733</v>
      </c>
      <c r="I107" s="22"/>
      <c r="J107" s="24">
        <f>TRUNC(SUM(J105:J106))</f>
        <v>21305</v>
      </c>
      <c r="K107" s="22"/>
      <c r="L107" s="24">
        <f>TRUNC(SUM(L105:L106))</f>
        <v>28100</v>
      </c>
    </row>
    <row r="108" spans="2:12" ht="11.25" customHeight="1" x14ac:dyDescent="0.2">
      <c r="C108" s="107"/>
      <c r="D108" s="107"/>
      <c r="E108" s="23"/>
      <c r="F108" s="22"/>
      <c r="G108" s="22"/>
      <c r="H108" s="22"/>
      <c r="I108" s="22"/>
      <c r="J108" s="22"/>
      <c r="K108" s="22"/>
      <c r="L108" s="22"/>
    </row>
    <row r="109" spans="2:12" ht="11.25" customHeight="1" x14ac:dyDescent="0.2">
      <c r="C109" s="4" t="s">
        <v>798</v>
      </c>
      <c r="D109" s="4" t="s">
        <v>866</v>
      </c>
      <c r="E109" s="13" t="s">
        <v>497</v>
      </c>
      <c r="F109" s="28">
        <v>283297</v>
      </c>
      <c r="G109" s="18">
        <v>0.20799999999999999</v>
      </c>
      <c r="H109" s="20">
        <f>TRUNC(($F109*G109),1)</f>
        <v>58925.7</v>
      </c>
      <c r="I109" s="18">
        <v>0.20799999999999999</v>
      </c>
      <c r="J109" s="20">
        <f>TRUNC(($F109*I109),1)</f>
        <v>58925.7</v>
      </c>
      <c r="K109" s="18">
        <v>0.20799999999999999</v>
      </c>
      <c r="L109" s="20">
        <f>TRUNC(($F109*K109),1)</f>
        <v>58925.7</v>
      </c>
    </row>
    <row r="110" spans="2:12" ht="11.25" customHeight="1" x14ac:dyDescent="0.2">
      <c r="C110" s="107" t="s">
        <v>1285</v>
      </c>
      <c r="D110" s="107"/>
      <c r="E110" s="23"/>
      <c r="F110" s="22"/>
      <c r="G110" s="22"/>
      <c r="H110" s="24">
        <f>TRUNC(SUM(H109:H109))</f>
        <v>58925</v>
      </c>
      <c r="I110" s="22"/>
      <c r="J110" s="24">
        <f>TRUNC(SUM(J109:J109))</f>
        <v>58925</v>
      </c>
      <c r="K110" s="22"/>
      <c r="L110" s="24">
        <f>TRUNC(SUM(L109:L109))</f>
        <v>58925</v>
      </c>
    </row>
    <row r="111" spans="2:12" ht="11.25" customHeight="1" x14ac:dyDescent="0.2">
      <c r="C111" s="107"/>
      <c r="D111" s="107"/>
      <c r="E111" s="23"/>
      <c r="F111" s="22"/>
      <c r="G111" s="22"/>
      <c r="H111" s="22"/>
      <c r="I111" s="22"/>
      <c r="J111" s="22"/>
      <c r="K111" s="22"/>
      <c r="L111" s="22"/>
    </row>
    <row r="112" spans="2:12" ht="11.25" customHeight="1" x14ac:dyDescent="0.2">
      <c r="B112" s="8" t="s">
        <v>568</v>
      </c>
      <c r="C112" s="4" t="s">
        <v>1909</v>
      </c>
      <c r="D112" s="106" t="s">
        <v>1210</v>
      </c>
      <c r="E112" s="13" t="s">
        <v>746</v>
      </c>
      <c r="F112" s="66">
        <v>112342000</v>
      </c>
      <c r="G112" s="19">
        <v>2085</v>
      </c>
      <c r="H112" s="20">
        <f>TRUNC($F112*G112*0.0000001,1)</f>
        <v>23423.3</v>
      </c>
      <c r="I112" s="21">
        <v>0</v>
      </c>
      <c r="J112" s="20">
        <f>TRUNC($F112*I112*0.0000001,1)</f>
        <v>0</v>
      </c>
      <c r="K112" s="21">
        <v>0</v>
      </c>
      <c r="L112" s="20">
        <f>TRUNC($F112*K112*0.0000001,1)</f>
        <v>0</v>
      </c>
    </row>
    <row r="113" spans="2:12" ht="11.25" customHeight="1" x14ac:dyDescent="0.2">
      <c r="B113" s="8" t="s">
        <v>105</v>
      </c>
      <c r="C113" s="4" t="s">
        <v>1909</v>
      </c>
      <c r="D113" s="106" t="s">
        <v>574</v>
      </c>
      <c r="E113" s="13" t="s">
        <v>746</v>
      </c>
      <c r="F113" s="66">
        <v>117766000</v>
      </c>
      <c r="G113" s="21">
        <v>0</v>
      </c>
      <c r="H113" s="20">
        <f>TRUNC($F113*G113*0.0000001,1)</f>
        <v>0</v>
      </c>
      <c r="I113" s="19">
        <v>2085</v>
      </c>
      <c r="J113" s="20">
        <f>TRUNC($F113*I113*0.0000001,1)</f>
        <v>24554.2</v>
      </c>
      <c r="K113" s="21">
        <v>0</v>
      </c>
      <c r="L113" s="20">
        <f>TRUNC($F113*K113*0.0000001,1)</f>
        <v>0</v>
      </c>
    </row>
    <row r="114" spans="2:12" ht="11.25" customHeight="1" x14ac:dyDescent="0.2">
      <c r="B114" s="8" t="s">
        <v>569</v>
      </c>
      <c r="C114" s="4" t="s">
        <v>1909</v>
      </c>
      <c r="D114" s="106" t="s">
        <v>756</v>
      </c>
      <c r="E114" s="13" t="s">
        <v>746</v>
      </c>
      <c r="F114" s="66">
        <v>129586000</v>
      </c>
      <c r="G114" s="21">
        <v>0</v>
      </c>
      <c r="H114" s="20">
        <f>TRUNC($F114*G114*0.0000001,1)</f>
        <v>0</v>
      </c>
      <c r="I114" s="21">
        <v>0</v>
      </c>
      <c r="J114" s="20">
        <f>TRUNC($F114*I114*0.0000001,1)</f>
        <v>0</v>
      </c>
      <c r="K114" s="19">
        <v>2085</v>
      </c>
      <c r="L114" s="20">
        <f>TRUNC($F114*K114*0.0000001,1)</f>
        <v>27018.6</v>
      </c>
    </row>
    <row r="115" spans="2:12" ht="11.25" customHeight="1" x14ac:dyDescent="0.2">
      <c r="C115" s="107" t="s">
        <v>1289</v>
      </c>
      <c r="D115" s="107"/>
      <c r="E115" s="23"/>
      <c r="F115" s="22"/>
      <c r="G115" s="22"/>
      <c r="H115" s="24">
        <f>TRUNC(SUM(H112:H114))</f>
        <v>23423</v>
      </c>
      <c r="I115" s="22"/>
      <c r="J115" s="24">
        <f>TRUNC(SUM(J112:J114))</f>
        <v>24554</v>
      </c>
      <c r="K115" s="22"/>
      <c r="L115" s="24">
        <f>TRUNC(SUM(L112:L114))</f>
        <v>27018</v>
      </c>
    </row>
    <row r="116" spans="2:12" ht="11.25" customHeight="1" x14ac:dyDescent="0.2">
      <c r="C116" s="107"/>
      <c r="D116" s="107"/>
      <c r="E116" s="23"/>
      <c r="F116" s="22"/>
      <c r="G116" s="22"/>
      <c r="H116" s="22"/>
      <c r="I116" s="22"/>
      <c r="J116" s="22"/>
      <c r="K116" s="22"/>
      <c r="L116" s="22"/>
    </row>
    <row r="117" spans="2:12" ht="11.25" customHeight="1" x14ac:dyDescent="0.2">
      <c r="C117" s="126" t="s">
        <v>1286</v>
      </c>
      <c r="D117" s="126"/>
      <c r="E117" s="127"/>
      <c r="F117" s="125"/>
      <c r="G117" s="125"/>
      <c r="H117" s="128">
        <f>TRUNC(H115+H107+H110)</f>
        <v>101081</v>
      </c>
      <c r="I117" s="125"/>
      <c r="J117" s="128">
        <f>TRUNC(J115+J107+J110)</f>
        <v>104784</v>
      </c>
      <c r="K117" s="125"/>
      <c r="L117" s="128">
        <f>TRUNC(L115+L107+L110)</f>
        <v>114043</v>
      </c>
    </row>
    <row r="118" spans="2:12" ht="11.25" customHeight="1" x14ac:dyDescent="0.2">
      <c r="B118" s="186" t="s">
        <v>427</v>
      </c>
      <c r="C118" s="187" t="s">
        <v>428</v>
      </c>
      <c r="D118" s="187" t="s">
        <v>429</v>
      </c>
      <c r="E118" s="188" t="s">
        <v>430</v>
      </c>
      <c r="F118" s="188" t="s">
        <v>431</v>
      </c>
      <c r="G118" s="93" t="s">
        <v>676</v>
      </c>
      <c r="H118" s="93"/>
      <c r="I118" s="93" t="s">
        <v>570</v>
      </c>
      <c r="J118" s="93"/>
      <c r="K118" s="93" t="s">
        <v>1069</v>
      </c>
      <c r="L118" s="94"/>
    </row>
    <row r="119" spans="2:12" ht="11.25" customHeight="1" x14ac:dyDescent="0.2">
      <c r="B119" s="186"/>
      <c r="C119" s="187"/>
      <c r="D119" s="187"/>
      <c r="E119" s="188"/>
      <c r="F119" s="188"/>
      <c r="G119" s="64" t="s">
        <v>436</v>
      </c>
      <c r="H119" s="64" t="s">
        <v>437</v>
      </c>
      <c r="I119" s="64" t="s">
        <v>436</v>
      </c>
      <c r="J119" s="64" t="s">
        <v>437</v>
      </c>
      <c r="K119" s="64" t="s">
        <v>436</v>
      </c>
      <c r="L119" s="85" t="s">
        <v>437</v>
      </c>
    </row>
    <row r="120" spans="2:12" ht="11.25" customHeight="1" x14ac:dyDescent="0.2">
      <c r="C120" s="4" t="s">
        <v>426</v>
      </c>
      <c r="D120" s="4"/>
      <c r="E120" s="13" t="s">
        <v>494</v>
      </c>
      <c r="F120" s="25">
        <v>1505.45</v>
      </c>
      <c r="G120" s="27">
        <v>19.5</v>
      </c>
      <c r="H120" s="20">
        <f>TRUNC(($F120*G120),1)</f>
        <v>29356.2</v>
      </c>
      <c r="I120" s="27">
        <v>20.2</v>
      </c>
      <c r="J120" s="20">
        <f>TRUNC(($F120*I120),1)</f>
        <v>30410</v>
      </c>
      <c r="K120" s="26">
        <v>32.799999999999997</v>
      </c>
      <c r="L120" s="20">
        <f>TRUNC(($F120*K120),1)</f>
        <v>49378.7</v>
      </c>
    </row>
    <row r="121" spans="2:12" ht="11.25" customHeight="1" x14ac:dyDescent="0.2">
      <c r="C121" s="4" t="s">
        <v>878</v>
      </c>
      <c r="D121" s="4" t="s">
        <v>1357</v>
      </c>
      <c r="E121" s="13" t="s">
        <v>232</v>
      </c>
      <c r="F121" s="18"/>
      <c r="G121" s="21">
        <v>22</v>
      </c>
      <c r="H121" s="20">
        <f>TRUNC(H120*G121*0.01,1)</f>
        <v>6458.3</v>
      </c>
      <c r="I121" s="21">
        <v>22</v>
      </c>
      <c r="J121" s="20">
        <f>TRUNC(J120*I121*0.01,1)</f>
        <v>6690.2</v>
      </c>
      <c r="K121" s="21">
        <v>22</v>
      </c>
      <c r="L121" s="20">
        <f>TRUNC(L120*K121*0.01,1)</f>
        <v>10863.3</v>
      </c>
    </row>
    <row r="122" spans="2:12" ht="11.25" customHeight="1" x14ac:dyDescent="0.2">
      <c r="C122" s="107" t="s">
        <v>799</v>
      </c>
      <c r="D122" s="107"/>
      <c r="E122" s="23"/>
      <c r="F122" s="22"/>
      <c r="G122" s="22"/>
      <c r="H122" s="24">
        <f>TRUNC(SUM(H120:H121))</f>
        <v>35814</v>
      </c>
      <c r="I122" s="22"/>
      <c r="J122" s="24">
        <f>TRUNC(SUM(J120:J121))</f>
        <v>37100</v>
      </c>
      <c r="K122" s="22"/>
      <c r="L122" s="24">
        <f>TRUNC(SUM(L120:L121))</f>
        <v>60242</v>
      </c>
    </row>
    <row r="123" spans="2:12" ht="11.25" customHeight="1" x14ac:dyDescent="0.2">
      <c r="C123" s="107"/>
      <c r="D123" s="107"/>
      <c r="E123" s="23"/>
      <c r="F123" s="22"/>
      <c r="G123" s="22"/>
      <c r="H123" s="22"/>
      <c r="I123" s="22"/>
      <c r="J123" s="22"/>
      <c r="K123" s="22"/>
      <c r="L123" s="22"/>
    </row>
    <row r="124" spans="2:12" ht="11.25" customHeight="1" x14ac:dyDescent="0.2">
      <c r="C124" s="4" t="s">
        <v>798</v>
      </c>
      <c r="D124" s="4" t="s">
        <v>866</v>
      </c>
      <c r="E124" s="13" t="s">
        <v>497</v>
      </c>
      <c r="F124" s="28">
        <v>283297</v>
      </c>
      <c r="G124" s="18">
        <v>0.20799999999999999</v>
      </c>
      <c r="H124" s="20">
        <f>TRUNC(($F124*G124),1)</f>
        <v>58925.7</v>
      </c>
      <c r="I124" s="18">
        <v>0.20799999999999999</v>
      </c>
      <c r="J124" s="20">
        <f>TRUNC(($F124*I124),1)</f>
        <v>58925.7</v>
      </c>
      <c r="K124" s="18">
        <v>0.20799999999999999</v>
      </c>
      <c r="L124" s="20">
        <f>TRUNC(($F124*K124),1)</f>
        <v>58925.7</v>
      </c>
    </row>
    <row r="125" spans="2:12" ht="11.25" customHeight="1" x14ac:dyDescent="0.2">
      <c r="C125" s="107" t="s">
        <v>1285</v>
      </c>
      <c r="D125" s="107"/>
      <c r="E125" s="23"/>
      <c r="F125" s="22"/>
      <c r="G125" s="22"/>
      <c r="H125" s="24">
        <f>TRUNC(SUM(H124:H124))</f>
        <v>58925</v>
      </c>
      <c r="I125" s="22"/>
      <c r="J125" s="24">
        <f>TRUNC(SUM(J124:J124))</f>
        <v>58925</v>
      </c>
      <c r="K125" s="22"/>
      <c r="L125" s="24">
        <f>TRUNC(SUM(L124:L124))</f>
        <v>58925</v>
      </c>
    </row>
    <row r="126" spans="2:12" ht="11.25" customHeight="1" x14ac:dyDescent="0.2">
      <c r="C126" s="107"/>
      <c r="D126" s="107"/>
      <c r="E126" s="23"/>
      <c r="F126" s="22"/>
      <c r="G126" s="22"/>
      <c r="H126" s="22"/>
      <c r="I126" s="22"/>
      <c r="J126" s="22"/>
      <c r="K126" s="22"/>
      <c r="L126" s="22"/>
    </row>
    <row r="127" spans="2:12" ht="11.25" customHeight="1" x14ac:dyDescent="0.2">
      <c r="B127" s="8" t="s">
        <v>106</v>
      </c>
      <c r="C127" s="4" t="s">
        <v>1909</v>
      </c>
      <c r="D127" s="106" t="s">
        <v>899</v>
      </c>
      <c r="E127" s="13" t="s">
        <v>746</v>
      </c>
      <c r="F127" s="66">
        <v>142069000</v>
      </c>
      <c r="G127" s="19">
        <v>2085</v>
      </c>
      <c r="H127" s="20">
        <f>TRUNC($F127*G127*0.0000001,1)</f>
        <v>29621.3</v>
      </c>
      <c r="I127" s="21">
        <v>0</v>
      </c>
      <c r="J127" s="20">
        <f>TRUNC($F127*I127*0.0000001,1)</f>
        <v>0</v>
      </c>
      <c r="K127" s="21">
        <v>0</v>
      </c>
      <c r="L127" s="20">
        <f>TRUNC($F127*K127*0.0000001,1)</f>
        <v>0</v>
      </c>
    </row>
    <row r="128" spans="2:12" ht="11.25" customHeight="1" x14ac:dyDescent="0.2">
      <c r="B128" s="8" t="s">
        <v>572</v>
      </c>
      <c r="C128" s="4" t="s">
        <v>1909</v>
      </c>
      <c r="D128" s="106" t="s">
        <v>1292</v>
      </c>
      <c r="E128" s="13" t="s">
        <v>746</v>
      </c>
      <c r="F128" s="66">
        <v>180927000</v>
      </c>
      <c r="G128" s="21">
        <v>0</v>
      </c>
      <c r="H128" s="20">
        <f>TRUNC($F128*G128*0.0000001,1)</f>
        <v>0</v>
      </c>
      <c r="I128" s="19">
        <v>2085</v>
      </c>
      <c r="J128" s="20">
        <f>TRUNC($F128*I128*0.0000001,1)</f>
        <v>37723.199999999997</v>
      </c>
      <c r="K128" s="21">
        <v>0</v>
      </c>
      <c r="L128" s="20">
        <f>TRUNC($F128*K128*0.0000001,1)</f>
        <v>0</v>
      </c>
    </row>
    <row r="129" spans="1:14" ht="11.25" customHeight="1" x14ac:dyDescent="0.2">
      <c r="B129" s="8" t="s">
        <v>107</v>
      </c>
      <c r="C129" s="4" t="s">
        <v>1909</v>
      </c>
      <c r="D129" s="106" t="s">
        <v>571</v>
      </c>
      <c r="E129" s="13" t="s">
        <v>746</v>
      </c>
      <c r="F129" s="66">
        <v>310684000</v>
      </c>
      <c r="G129" s="21">
        <v>0</v>
      </c>
      <c r="H129" s="20">
        <f>TRUNC($F129*G129*0.0000001,1)</f>
        <v>0</v>
      </c>
      <c r="I129" s="21">
        <v>0</v>
      </c>
      <c r="J129" s="20">
        <f>TRUNC($F129*I129*0.0000001,1)</f>
        <v>0</v>
      </c>
      <c r="K129" s="19">
        <v>2085</v>
      </c>
      <c r="L129" s="20">
        <f>TRUNC($F129*K129*0.0000001,1)</f>
        <v>64777.599999999999</v>
      </c>
    </row>
    <row r="130" spans="1:14" ht="11.25" customHeight="1" x14ac:dyDescent="0.2">
      <c r="C130" s="107" t="s">
        <v>1289</v>
      </c>
      <c r="D130" s="107"/>
      <c r="E130" s="23"/>
      <c r="F130" s="22"/>
      <c r="G130" s="22"/>
      <c r="H130" s="24">
        <f>TRUNC(SUM(H127:H129))</f>
        <v>29621</v>
      </c>
      <c r="I130" s="22"/>
      <c r="J130" s="24">
        <f>TRUNC(SUM(J127:J129))</f>
        <v>37723</v>
      </c>
      <c r="K130" s="22"/>
      <c r="L130" s="24">
        <f>TRUNC(SUM(L127:L129))</f>
        <v>64777</v>
      </c>
    </row>
    <row r="131" spans="1:14" ht="11.25" customHeight="1" x14ac:dyDescent="0.2">
      <c r="C131" s="107"/>
      <c r="D131" s="107"/>
      <c r="E131" s="23"/>
      <c r="F131" s="22"/>
      <c r="G131" s="22"/>
      <c r="H131" s="22"/>
      <c r="I131" s="22"/>
      <c r="J131" s="22"/>
      <c r="K131" s="22"/>
      <c r="L131" s="22"/>
    </row>
    <row r="132" spans="1:14" ht="11.25" customHeight="1" x14ac:dyDescent="0.2">
      <c r="B132" s="16"/>
      <c r="C132" s="108" t="s">
        <v>1286</v>
      </c>
      <c r="D132" s="108"/>
      <c r="E132" s="103"/>
      <c r="F132" s="102"/>
      <c r="G132" s="102"/>
      <c r="H132" s="104">
        <f>TRUNC(H130+H122+H125)</f>
        <v>124360</v>
      </c>
      <c r="I132" s="102"/>
      <c r="J132" s="104">
        <f>TRUNC(J130+J122+J125)</f>
        <v>133748</v>
      </c>
      <c r="K132" s="102"/>
      <c r="L132" s="104">
        <f>TRUNC(L130+L122+L125)</f>
        <v>183944</v>
      </c>
    </row>
    <row r="134" spans="1:14" ht="11.25" customHeight="1" x14ac:dyDescent="0.2">
      <c r="A134" s="7"/>
      <c r="B134" s="68" t="s">
        <v>1911</v>
      </c>
      <c r="C134" s="119"/>
      <c r="N134" s="49" t="s">
        <v>1307</v>
      </c>
    </row>
    <row r="135" spans="1:14" ht="11.25" customHeight="1" x14ac:dyDescent="0.2">
      <c r="B135" s="186" t="s">
        <v>427</v>
      </c>
      <c r="C135" s="187" t="s">
        <v>428</v>
      </c>
      <c r="D135" s="187" t="s">
        <v>429</v>
      </c>
      <c r="E135" s="188" t="s">
        <v>430</v>
      </c>
      <c r="F135" s="188" t="s">
        <v>431</v>
      </c>
      <c r="G135" s="93" t="s">
        <v>573</v>
      </c>
      <c r="H135" s="93"/>
      <c r="I135" s="93" t="s">
        <v>143</v>
      </c>
      <c r="J135" s="93"/>
      <c r="K135" s="93" t="s">
        <v>756</v>
      </c>
      <c r="L135" s="93"/>
      <c r="M135" s="93" t="s">
        <v>676</v>
      </c>
      <c r="N135" s="94"/>
    </row>
    <row r="136" spans="1:14" ht="11.25" customHeight="1" x14ac:dyDescent="0.2">
      <c r="B136" s="186"/>
      <c r="C136" s="187"/>
      <c r="D136" s="187"/>
      <c r="E136" s="188"/>
      <c r="F136" s="188"/>
      <c r="G136" s="64" t="s">
        <v>436</v>
      </c>
      <c r="H136" s="64" t="s">
        <v>437</v>
      </c>
      <c r="I136" s="64" t="s">
        <v>436</v>
      </c>
      <c r="J136" s="64" t="s">
        <v>437</v>
      </c>
      <c r="K136" s="64" t="s">
        <v>436</v>
      </c>
      <c r="L136" s="64" t="s">
        <v>437</v>
      </c>
      <c r="M136" s="64" t="s">
        <v>436</v>
      </c>
      <c r="N136" s="85" t="s">
        <v>437</v>
      </c>
    </row>
    <row r="137" spans="1:14" ht="11.25" customHeight="1" x14ac:dyDescent="0.2">
      <c r="C137" s="4" t="s">
        <v>426</v>
      </c>
      <c r="D137" s="4"/>
      <c r="E137" s="13" t="s">
        <v>494</v>
      </c>
      <c r="F137" s="25">
        <v>1505.45</v>
      </c>
      <c r="G137" s="27">
        <v>5.6</v>
      </c>
      <c r="H137" s="20">
        <f>TRUNC(($F137*G137),1)</f>
        <v>8430.5</v>
      </c>
      <c r="I137" s="27">
        <v>11.6</v>
      </c>
      <c r="J137" s="20">
        <f>TRUNC(($F137*I137),1)</f>
        <v>17463.2</v>
      </c>
      <c r="K137" s="27">
        <v>16.3</v>
      </c>
      <c r="L137" s="20">
        <f>TRUNC(($F137*K137),1)</f>
        <v>24538.799999999999</v>
      </c>
      <c r="M137" s="27">
        <v>20.5</v>
      </c>
      <c r="N137" s="20">
        <f>TRUNC(($F137*M137),1)</f>
        <v>30861.7</v>
      </c>
    </row>
    <row r="138" spans="1:14" ht="11.25" customHeight="1" x14ac:dyDescent="0.2">
      <c r="C138" s="4" t="s">
        <v>878</v>
      </c>
      <c r="D138" s="4" t="s">
        <v>1357</v>
      </c>
      <c r="E138" s="13" t="s">
        <v>232</v>
      </c>
      <c r="F138" s="18"/>
      <c r="G138" s="21">
        <v>24</v>
      </c>
      <c r="H138" s="20">
        <f>TRUNC(H137*G138*0.01,1)</f>
        <v>2023.3</v>
      </c>
      <c r="I138" s="21">
        <v>24</v>
      </c>
      <c r="J138" s="20">
        <f>TRUNC(J137*I138*0.01,1)</f>
        <v>4191.1000000000004</v>
      </c>
      <c r="K138" s="21">
        <v>24</v>
      </c>
      <c r="L138" s="20">
        <f>TRUNC(L137*K138*0.01,1)</f>
        <v>5889.3</v>
      </c>
      <c r="M138" s="21">
        <v>24</v>
      </c>
      <c r="N138" s="20">
        <f>TRUNC(N137*M138*0.01,1)</f>
        <v>7406.8</v>
      </c>
    </row>
    <row r="139" spans="1:14" ht="11.25" customHeight="1" x14ac:dyDescent="0.2">
      <c r="C139" s="107" t="s">
        <v>799</v>
      </c>
      <c r="D139" s="107"/>
      <c r="E139" s="23"/>
      <c r="F139" s="22"/>
      <c r="G139" s="22"/>
      <c r="H139" s="24">
        <f>TRUNC(SUM(H137:H138))</f>
        <v>10453</v>
      </c>
      <c r="I139" s="22"/>
      <c r="J139" s="24">
        <f>TRUNC(SUM(J137:J138))</f>
        <v>21654</v>
      </c>
      <c r="K139" s="22"/>
      <c r="L139" s="24">
        <f>TRUNC(SUM(L137:L138))</f>
        <v>30428</v>
      </c>
      <c r="M139" s="22"/>
      <c r="N139" s="24">
        <f>TRUNC(SUM(N137:N138))</f>
        <v>38268</v>
      </c>
    </row>
    <row r="140" spans="1:14" ht="11.25" customHeight="1" x14ac:dyDescent="0.2">
      <c r="C140" s="4"/>
      <c r="D140" s="106"/>
      <c r="E140" s="13"/>
      <c r="F140" s="21"/>
      <c r="G140" s="21"/>
      <c r="H140" s="20"/>
      <c r="I140" s="21"/>
      <c r="J140" s="20"/>
      <c r="K140" s="21"/>
      <c r="L140" s="20"/>
      <c r="M140" s="21"/>
      <c r="N140" s="20"/>
    </row>
    <row r="141" spans="1:14" ht="11.25" customHeight="1" x14ac:dyDescent="0.2">
      <c r="C141" s="4" t="s">
        <v>798</v>
      </c>
      <c r="D141" s="4" t="s">
        <v>866</v>
      </c>
      <c r="E141" s="13" t="s">
        <v>497</v>
      </c>
      <c r="F141" s="28">
        <v>283297</v>
      </c>
      <c r="G141" s="18">
        <v>0.20799999999999999</v>
      </c>
      <c r="H141" s="20">
        <f>TRUNC(($F141*G141),1)</f>
        <v>58925.7</v>
      </c>
      <c r="I141" s="18">
        <v>0.20799999999999999</v>
      </c>
      <c r="J141" s="20">
        <f>TRUNC(($F141*I141),1)</f>
        <v>58925.7</v>
      </c>
      <c r="K141" s="18">
        <v>0.20799999999999999</v>
      </c>
      <c r="L141" s="20">
        <f>TRUNC(($F141*K141),1)</f>
        <v>58925.7</v>
      </c>
      <c r="M141" s="18">
        <v>0.20799999999999999</v>
      </c>
      <c r="N141" s="20">
        <f>TRUNC(($F141*M141),1)</f>
        <v>58925.7</v>
      </c>
    </row>
    <row r="142" spans="1:14" ht="11.25" customHeight="1" x14ac:dyDescent="0.2">
      <c r="C142" s="107" t="s">
        <v>1285</v>
      </c>
      <c r="D142" s="107"/>
      <c r="E142" s="23"/>
      <c r="F142" s="22"/>
      <c r="G142" s="22"/>
      <c r="H142" s="24">
        <f>TRUNC(SUM(H141:H141))</f>
        <v>58925</v>
      </c>
      <c r="I142" s="22"/>
      <c r="J142" s="24">
        <f>TRUNC(SUM(J141:J141))</f>
        <v>58925</v>
      </c>
      <c r="K142" s="22"/>
      <c r="L142" s="24">
        <f>TRUNC(SUM(L141:L141))</f>
        <v>58925</v>
      </c>
      <c r="M142" s="22"/>
      <c r="N142" s="24">
        <f>TRUNC(SUM(N141:N141))</f>
        <v>58925</v>
      </c>
    </row>
    <row r="143" spans="1:14" ht="11.25" customHeight="1" x14ac:dyDescent="0.2">
      <c r="C143" s="4"/>
      <c r="D143" s="4"/>
      <c r="E143" s="13"/>
      <c r="F143" s="18"/>
      <c r="G143" s="18"/>
      <c r="H143" s="18"/>
      <c r="I143" s="18"/>
      <c r="J143" s="18"/>
      <c r="K143" s="18"/>
      <c r="L143" s="18"/>
      <c r="M143" s="18"/>
      <c r="N143" s="18"/>
    </row>
    <row r="144" spans="1:14" ht="11.25" customHeight="1" x14ac:dyDescent="0.2">
      <c r="B144" s="8" t="s">
        <v>724</v>
      </c>
      <c r="C144" s="4" t="s">
        <v>1912</v>
      </c>
      <c r="D144" s="106" t="s">
        <v>573</v>
      </c>
      <c r="E144" s="13" t="s">
        <v>746</v>
      </c>
      <c r="F144" s="66">
        <v>69333000</v>
      </c>
      <c r="G144" s="19">
        <v>2279</v>
      </c>
      <c r="H144" s="20">
        <f>TRUNC($F144*G144*0.0000001,1)</f>
        <v>15800.9</v>
      </c>
      <c r="I144" s="21">
        <v>0</v>
      </c>
      <c r="J144" s="20">
        <f>TRUNC($F144*I144*0.0000001,1)</f>
        <v>0</v>
      </c>
      <c r="K144" s="21">
        <v>0</v>
      </c>
      <c r="L144" s="20">
        <f>TRUNC($F144*K144*0.0000001,1)</f>
        <v>0</v>
      </c>
      <c r="M144" s="21">
        <v>0</v>
      </c>
      <c r="N144" s="20">
        <f>TRUNC($F144*M144*0.0000001,1)</f>
        <v>0</v>
      </c>
    </row>
    <row r="145" spans="1:15" ht="11.25" customHeight="1" x14ac:dyDescent="0.2">
      <c r="B145" s="8" t="s">
        <v>755</v>
      </c>
      <c r="C145" s="4" t="s">
        <v>1912</v>
      </c>
      <c r="D145" s="106" t="s">
        <v>1210</v>
      </c>
      <c r="E145" s="13" t="s">
        <v>746</v>
      </c>
      <c r="F145" s="66">
        <v>119000000</v>
      </c>
      <c r="G145" s="21">
        <v>0</v>
      </c>
      <c r="H145" s="20">
        <f>TRUNC($F145*G145*0.0000001,1)</f>
        <v>0</v>
      </c>
      <c r="I145" s="19">
        <v>2279</v>
      </c>
      <c r="J145" s="20">
        <f>TRUNC($F145*I145*0.0000001,1)</f>
        <v>27120.1</v>
      </c>
      <c r="K145" s="21">
        <v>0</v>
      </c>
      <c r="L145" s="20">
        <f>TRUNC($F145*K145*0.0000001,1)</f>
        <v>0</v>
      </c>
      <c r="M145" s="21">
        <v>0</v>
      </c>
      <c r="N145" s="20">
        <f>TRUNC($F145*M145*0.0000001,1)</f>
        <v>0</v>
      </c>
    </row>
    <row r="146" spans="1:15" ht="11.25" customHeight="1" x14ac:dyDescent="0.2">
      <c r="B146" s="8" t="s">
        <v>603</v>
      </c>
      <c r="C146" s="4" t="s">
        <v>1912</v>
      </c>
      <c r="D146" s="106" t="s">
        <v>1070</v>
      </c>
      <c r="E146" s="13" t="s">
        <v>746</v>
      </c>
      <c r="F146" s="66">
        <v>141171000</v>
      </c>
      <c r="G146" s="21">
        <v>0</v>
      </c>
      <c r="H146" s="20">
        <f>TRUNC($F146*G146*0.0000001,1)</f>
        <v>0</v>
      </c>
      <c r="I146" s="21">
        <v>0</v>
      </c>
      <c r="J146" s="20">
        <f>TRUNC($F146*I146*0.0000001,1)</f>
        <v>0</v>
      </c>
      <c r="K146" s="19">
        <v>2279</v>
      </c>
      <c r="L146" s="20">
        <f>TRUNC($F146*K146*0.0000001,1)</f>
        <v>32172.799999999999</v>
      </c>
      <c r="M146" s="21">
        <v>0</v>
      </c>
      <c r="N146" s="20">
        <f>TRUNC($F146*M146*0.0000001,1)</f>
        <v>0</v>
      </c>
    </row>
    <row r="147" spans="1:15" ht="11.25" customHeight="1" x14ac:dyDescent="0.2">
      <c r="B147" s="8" t="s">
        <v>604</v>
      </c>
      <c r="C147" s="4" t="s">
        <v>1912</v>
      </c>
      <c r="D147" s="106" t="s">
        <v>899</v>
      </c>
      <c r="E147" s="13" t="s">
        <v>746</v>
      </c>
      <c r="F147" s="66">
        <v>144360000</v>
      </c>
      <c r="G147" s="21">
        <v>0</v>
      </c>
      <c r="H147" s="20">
        <f>TRUNC($F147*G147*0.0000001,1)</f>
        <v>0</v>
      </c>
      <c r="I147" s="21">
        <v>0</v>
      </c>
      <c r="J147" s="20">
        <f>TRUNC($F147*I147*0.0000001,1)</f>
        <v>0</v>
      </c>
      <c r="K147" s="21">
        <v>0</v>
      </c>
      <c r="L147" s="20">
        <f>TRUNC($F147*K147*0.0000001,1)</f>
        <v>0</v>
      </c>
      <c r="M147" s="19">
        <v>2279</v>
      </c>
      <c r="N147" s="20">
        <f>TRUNC($F147*M147*0.0000001,1)</f>
        <v>32899.599999999999</v>
      </c>
    </row>
    <row r="148" spans="1:15" ht="11.25" customHeight="1" x14ac:dyDescent="0.2">
      <c r="C148" s="107" t="s">
        <v>1289</v>
      </c>
      <c r="D148" s="107"/>
      <c r="E148" s="23"/>
      <c r="F148" s="22"/>
      <c r="G148" s="22"/>
      <c r="H148" s="24">
        <f>TRUNC(SUM(H144:H147))</f>
        <v>15800</v>
      </c>
      <c r="I148" s="22"/>
      <c r="J148" s="24">
        <f>TRUNC(SUM(J144:J147))</f>
        <v>27120</v>
      </c>
      <c r="K148" s="22"/>
      <c r="L148" s="24">
        <f>TRUNC(SUM(L144:L147))</f>
        <v>32172</v>
      </c>
      <c r="M148" s="22"/>
      <c r="N148" s="24">
        <f>TRUNC(SUM(N144:N147))</f>
        <v>32899</v>
      </c>
    </row>
    <row r="149" spans="1:15" ht="11.25" customHeight="1" x14ac:dyDescent="0.2">
      <c r="C149" s="4"/>
      <c r="D149" s="106"/>
      <c r="E149" s="13"/>
      <c r="F149" s="21"/>
      <c r="G149" s="21"/>
      <c r="H149" s="20"/>
      <c r="I149" s="21"/>
      <c r="J149" s="20"/>
      <c r="K149" s="21"/>
      <c r="L149" s="20"/>
      <c r="M149" s="21"/>
      <c r="N149" s="20"/>
    </row>
    <row r="150" spans="1:15" ht="11.25" customHeight="1" x14ac:dyDescent="0.2">
      <c r="A150" s="123"/>
      <c r="B150" s="124"/>
      <c r="C150" s="108" t="s">
        <v>1286</v>
      </c>
      <c r="D150" s="108"/>
      <c r="E150" s="103"/>
      <c r="F150" s="102"/>
      <c r="G150" s="102"/>
      <c r="H150" s="104">
        <f>TRUNC(H148+H139+H142)</f>
        <v>85178</v>
      </c>
      <c r="I150" s="102"/>
      <c r="J150" s="104">
        <f>TRUNC(J148+J139+J142)</f>
        <v>107699</v>
      </c>
      <c r="K150" s="102"/>
      <c r="L150" s="104">
        <f>TRUNC(L148+L139+L142)</f>
        <v>121525</v>
      </c>
      <c r="M150" s="102"/>
      <c r="N150" s="104">
        <f>TRUNC(N148+N139+N142)</f>
        <v>130092</v>
      </c>
      <c r="O150" s="123"/>
    </row>
    <row r="151" spans="1:15" ht="11.25" customHeight="1" x14ac:dyDescent="0.2">
      <c r="C151" s="112"/>
      <c r="D151" s="112"/>
      <c r="E151" s="44"/>
      <c r="F151" s="43"/>
      <c r="G151" s="43"/>
      <c r="H151" s="36"/>
      <c r="I151" s="43"/>
      <c r="J151" s="36"/>
      <c r="K151" s="43"/>
      <c r="L151" s="36"/>
      <c r="M151" s="43"/>
      <c r="N151" s="36"/>
    </row>
    <row r="152" spans="1:15" ht="11.25" customHeight="1" x14ac:dyDescent="0.2">
      <c r="A152" s="9"/>
      <c r="B152" s="68" t="s">
        <v>1913</v>
      </c>
      <c r="C152" s="119"/>
      <c r="J152" s="49" t="s">
        <v>1307</v>
      </c>
    </row>
    <row r="153" spans="1:15" ht="11.25" customHeight="1" x14ac:dyDescent="0.2">
      <c r="B153" s="186" t="s">
        <v>427</v>
      </c>
      <c r="C153" s="187" t="s">
        <v>428</v>
      </c>
      <c r="D153" s="187" t="s">
        <v>429</v>
      </c>
      <c r="E153" s="188" t="s">
        <v>430</v>
      </c>
      <c r="F153" s="188" t="s">
        <v>431</v>
      </c>
      <c r="G153" s="94" t="s">
        <v>567</v>
      </c>
      <c r="H153" s="151"/>
      <c r="I153" s="94" t="s">
        <v>421</v>
      </c>
      <c r="J153" s="151"/>
    </row>
    <row r="154" spans="1:15" ht="11.25" customHeight="1" x14ac:dyDescent="0.2">
      <c r="B154" s="186"/>
      <c r="C154" s="187"/>
      <c r="D154" s="187"/>
      <c r="E154" s="188"/>
      <c r="F154" s="188"/>
      <c r="G154" s="17" t="s">
        <v>436</v>
      </c>
      <c r="H154" s="17" t="s">
        <v>437</v>
      </c>
      <c r="I154" s="17" t="s">
        <v>436</v>
      </c>
      <c r="J154" s="17" t="s">
        <v>437</v>
      </c>
    </row>
    <row r="155" spans="1:15" ht="11.25" customHeight="1" x14ac:dyDescent="0.2">
      <c r="C155" s="4" t="s">
        <v>426</v>
      </c>
      <c r="D155" s="4"/>
      <c r="E155" s="13" t="s">
        <v>494</v>
      </c>
      <c r="F155" s="25">
        <v>1505.45</v>
      </c>
      <c r="G155" s="26">
        <v>9.5</v>
      </c>
      <c r="H155" s="20">
        <f>TRUNC(($F155*G155),1)</f>
        <v>14301.7</v>
      </c>
      <c r="I155" s="26">
        <v>11</v>
      </c>
      <c r="J155" s="20">
        <f>TRUNC(($F155*I155),1)</f>
        <v>16559.900000000001</v>
      </c>
    </row>
    <row r="156" spans="1:15" ht="11.25" customHeight="1" x14ac:dyDescent="0.2">
      <c r="C156" s="4" t="s">
        <v>878</v>
      </c>
      <c r="D156" s="4" t="s">
        <v>1357</v>
      </c>
      <c r="E156" s="13" t="s">
        <v>232</v>
      </c>
      <c r="F156" s="18"/>
      <c r="G156" s="21">
        <v>15</v>
      </c>
      <c r="H156" s="20">
        <f>TRUNC(H155*G156*0.01,1)</f>
        <v>2145.1999999999998</v>
      </c>
      <c r="I156" s="21">
        <v>15</v>
      </c>
      <c r="J156" s="20">
        <f>TRUNC(J155*I156*0.01,1)</f>
        <v>2483.9</v>
      </c>
    </row>
    <row r="157" spans="1:15" ht="11.25" customHeight="1" x14ac:dyDescent="0.2">
      <c r="C157" s="107" t="s">
        <v>799</v>
      </c>
      <c r="D157" s="107"/>
      <c r="E157" s="23"/>
      <c r="F157" s="22"/>
      <c r="G157" s="22"/>
      <c r="H157" s="24">
        <f>TRUNC(SUM(H155:H156))</f>
        <v>16446</v>
      </c>
      <c r="I157" s="22"/>
      <c r="J157" s="24">
        <f>TRUNC(SUM(J155:J156))</f>
        <v>19043</v>
      </c>
    </row>
    <row r="158" spans="1:15" ht="11.25" customHeight="1" x14ac:dyDescent="0.2">
      <c r="C158" s="4"/>
      <c r="D158" s="4"/>
      <c r="E158" s="13"/>
      <c r="F158" s="18"/>
      <c r="G158" s="18"/>
      <c r="H158" s="18"/>
      <c r="I158" s="18"/>
      <c r="J158" s="18"/>
    </row>
    <row r="159" spans="1:15" ht="11.25" customHeight="1" x14ac:dyDescent="0.2">
      <c r="C159" s="4" t="s">
        <v>798</v>
      </c>
      <c r="D159" s="4" t="s">
        <v>866</v>
      </c>
      <c r="E159" s="13" t="s">
        <v>497</v>
      </c>
      <c r="F159" s="28">
        <v>283297</v>
      </c>
      <c r="G159" s="18">
        <v>0.20799999999999999</v>
      </c>
      <c r="H159" s="20">
        <f>TRUNC(($F159*G159),1)</f>
        <v>58925.7</v>
      </c>
      <c r="I159" s="18">
        <v>0.20799999999999999</v>
      </c>
      <c r="J159" s="20">
        <f>TRUNC(($F159*I159),1)</f>
        <v>58925.7</v>
      </c>
    </row>
    <row r="160" spans="1:15" ht="11.25" customHeight="1" x14ac:dyDescent="0.2">
      <c r="C160" s="107" t="s">
        <v>1285</v>
      </c>
      <c r="D160" s="107"/>
      <c r="E160" s="23"/>
      <c r="F160" s="22"/>
      <c r="G160" s="22"/>
      <c r="H160" s="24">
        <f>TRUNC(SUM(H159:H159))</f>
        <v>58925</v>
      </c>
      <c r="I160" s="22"/>
      <c r="J160" s="24">
        <f>TRUNC(SUM(J159:J159))</f>
        <v>58925</v>
      </c>
    </row>
    <row r="161" spans="1:12" ht="11.25" customHeight="1" x14ac:dyDescent="0.2">
      <c r="C161" s="4"/>
      <c r="D161" s="4"/>
      <c r="E161" s="13"/>
      <c r="F161" s="18"/>
      <c r="G161" s="18"/>
      <c r="H161" s="18"/>
      <c r="I161" s="18"/>
      <c r="J161" s="18"/>
    </row>
    <row r="162" spans="1:12" ht="11.25" customHeight="1" x14ac:dyDescent="0.2">
      <c r="B162" s="8" t="s">
        <v>108</v>
      </c>
      <c r="C162" s="4" t="s">
        <v>1914</v>
      </c>
      <c r="D162" s="106" t="s">
        <v>567</v>
      </c>
      <c r="E162" s="13" t="s">
        <v>746</v>
      </c>
      <c r="F162" s="66">
        <v>100270000</v>
      </c>
      <c r="G162" s="19">
        <v>2085</v>
      </c>
      <c r="H162" s="20">
        <f>TRUNC($F162*G162*0.0000001,1)</f>
        <v>20906.2</v>
      </c>
      <c r="I162" s="21">
        <v>0</v>
      </c>
      <c r="J162" s="20">
        <f>TRUNC($F162*I162*0.0000001,1)</f>
        <v>0</v>
      </c>
    </row>
    <row r="163" spans="1:12" ht="11.25" customHeight="1" x14ac:dyDescent="0.2">
      <c r="B163" s="8" t="s">
        <v>109</v>
      </c>
      <c r="C163" s="4" t="s">
        <v>1914</v>
      </c>
      <c r="D163" s="106" t="s">
        <v>574</v>
      </c>
      <c r="E163" s="13" t="s">
        <v>746</v>
      </c>
      <c r="F163" s="66">
        <v>161647000</v>
      </c>
      <c r="G163" s="21">
        <v>0</v>
      </c>
      <c r="H163" s="20">
        <f>TRUNC($F163*G163*0.0000001,1)</f>
        <v>0</v>
      </c>
      <c r="I163" s="19">
        <v>2085</v>
      </c>
      <c r="J163" s="20">
        <f>TRUNC($F163*I163*0.0000001,1)</f>
        <v>33703.300000000003</v>
      </c>
    </row>
    <row r="164" spans="1:12" ht="11.25" customHeight="1" x14ac:dyDescent="0.2">
      <c r="C164" s="107" t="s">
        <v>1289</v>
      </c>
      <c r="D164" s="107"/>
      <c r="E164" s="23"/>
      <c r="F164" s="22"/>
      <c r="G164" s="22"/>
      <c r="H164" s="24">
        <f>TRUNC(SUM(H162:H163))</f>
        <v>20906</v>
      </c>
      <c r="I164" s="22"/>
      <c r="J164" s="24">
        <f>TRUNC(SUM(J162:J163))</f>
        <v>33703</v>
      </c>
    </row>
    <row r="165" spans="1:12" ht="11.25" customHeight="1" x14ac:dyDescent="0.2">
      <c r="C165" s="4"/>
      <c r="D165" s="4"/>
      <c r="E165" s="13"/>
      <c r="F165" s="18"/>
      <c r="G165" s="18"/>
      <c r="H165" s="18"/>
      <c r="I165" s="18"/>
      <c r="J165" s="18"/>
    </row>
    <row r="166" spans="1:12" ht="11.25" customHeight="1" x14ac:dyDescent="0.2">
      <c r="B166" s="16"/>
      <c r="C166" s="108" t="s">
        <v>1286</v>
      </c>
      <c r="D166" s="108"/>
      <c r="E166" s="103"/>
      <c r="F166" s="102"/>
      <c r="G166" s="102"/>
      <c r="H166" s="104">
        <f>TRUNC(H164+H157+H160)</f>
        <v>96277</v>
      </c>
      <c r="I166" s="102"/>
      <c r="J166" s="104">
        <f>TRUNC(J164+J157+J160)</f>
        <v>111671</v>
      </c>
    </row>
    <row r="168" spans="1:12" ht="11.25" customHeight="1" x14ac:dyDescent="0.2">
      <c r="A168" s="7"/>
      <c r="B168" s="68" t="s">
        <v>1293</v>
      </c>
      <c r="C168" s="119"/>
      <c r="L168" s="49" t="s">
        <v>1307</v>
      </c>
    </row>
    <row r="169" spans="1:12" ht="11.25" customHeight="1" x14ac:dyDescent="0.2">
      <c r="B169" s="186" t="s">
        <v>427</v>
      </c>
      <c r="C169" s="187" t="s">
        <v>428</v>
      </c>
      <c r="D169" s="187" t="s">
        <v>429</v>
      </c>
      <c r="E169" s="188" t="s">
        <v>430</v>
      </c>
      <c r="F169" s="188" t="s">
        <v>431</v>
      </c>
      <c r="G169" s="94" t="s">
        <v>440</v>
      </c>
      <c r="H169" s="151"/>
      <c r="I169" s="94" t="s">
        <v>664</v>
      </c>
      <c r="J169" s="151"/>
      <c r="K169" s="94" t="s">
        <v>143</v>
      </c>
      <c r="L169" s="151"/>
    </row>
    <row r="170" spans="1:12" ht="11.25" customHeight="1" x14ac:dyDescent="0.2">
      <c r="B170" s="186"/>
      <c r="C170" s="187"/>
      <c r="D170" s="187"/>
      <c r="E170" s="188"/>
      <c r="F170" s="188"/>
      <c r="G170" s="17" t="s">
        <v>436</v>
      </c>
      <c r="H170" s="17" t="s">
        <v>437</v>
      </c>
      <c r="I170" s="17" t="s">
        <v>436</v>
      </c>
      <c r="J170" s="17" t="s">
        <v>437</v>
      </c>
      <c r="K170" s="17" t="s">
        <v>436</v>
      </c>
      <c r="L170" s="17" t="s">
        <v>437</v>
      </c>
    </row>
    <row r="171" spans="1:12" ht="11.25" customHeight="1" x14ac:dyDescent="0.2">
      <c r="B171" s="8" t="s">
        <v>1218</v>
      </c>
      <c r="C171" s="4" t="s">
        <v>988</v>
      </c>
      <c r="D171" s="106" t="s">
        <v>898</v>
      </c>
      <c r="E171" s="13" t="s">
        <v>746</v>
      </c>
      <c r="F171" s="66">
        <v>4559000</v>
      </c>
      <c r="G171" s="19">
        <v>6601</v>
      </c>
      <c r="H171" s="20">
        <f>TRUNC($F171*G171*0.0000001,1)</f>
        <v>3009.3</v>
      </c>
      <c r="I171" s="21">
        <v>0</v>
      </c>
      <c r="J171" s="20">
        <f>TRUNC($F171*I171*0.0000001,1)</f>
        <v>0</v>
      </c>
      <c r="K171" s="21">
        <v>0</v>
      </c>
      <c r="L171" s="20">
        <f>TRUNC($F171*K171*0.0000001,1)</f>
        <v>0</v>
      </c>
    </row>
    <row r="172" spans="1:12" ht="11.25" customHeight="1" x14ac:dyDescent="0.2">
      <c r="B172" s="8" t="s">
        <v>110</v>
      </c>
      <c r="C172" s="4" t="s">
        <v>988</v>
      </c>
      <c r="D172" s="106" t="s">
        <v>567</v>
      </c>
      <c r="E172" s="13" t="s">
        <v>746</v>
      </c>
      <c r="F172" s="66">
        <v>8352000</v>
      </c>
      <c r="G172" s="21">
        <v>0</v>
      </c>
      <c r="H172" s="20">
        <f>TRUNC($F172*G172*0.0000001,1)</f>
        <v>0</v>
      </c>
      <c r="I172" s="19">
        <v>6601</v>
      </c>
      <c r="J172" s="20">
        <f>TRUNC($F172*I172*0.0000001,1)</f>
        <v>5513.1</v>
      </c>
      <c r="K172" s="46">
        <v>0</v>
      </c>
      <c r="L172" s="20">
        <f>TRUNC($F172*K172*0.0000001,1)</f>
        <v>0</v>
      </c>
    </row>
    <row r="173" spans="1:12" ht="11.25" customHeight="1" x14ac:dyDescent="0.2">
      <c r="B173" s="8" t="s">
        <v>304</v>
      </c>
      <c r="C173" s="4" t="s">
        <v>988</v>
      </c>
      <c r="D173" s="106" t="s">
        <v>1210</v>
      </c>
      <c r="E173" s="13" t="s">
        <v>746</v>
      </c>
      <c r="F173" s="66">
        <v>14174000</v>
      </c>
      <c r="G173" s="21">
        <v>0</v>
      </c>
      <c r="H173" s="20">
        <f>TRUNC($F173*G173*0.0000001,1)</f>
        <v>0</v>
      </c>
      <c r="I173" s="21">
        <v>0</v>
      </c>
      <c r="J173" s="20">
        <f>TRUNC($F173*I173*0.0000001,1)</f>
        <v>0</v>
      </c>
      <c r="K173" s="19">
        <v>6601</v>
      </c>
      <c r="L173" s="20">
        <f>TRUNC($F173*K173*0.0000001,1)</f>
        <v>9356.2000000000007</v>
      </c>
    </row>
    <row r="174" spans="1:12" ht="11.25" customHeight="1" x14ac:dyDescent="0.2">
      <c r="C174" s="107" t="s">
        <v>1289</v>
      </c>
      <c r="D174" s="107"/>
      <c r="E174" s="23"/>
      <c r="F174" s="22"/>
      <c r="G174" s="22"/>
      <c r="H174" s="24">
        <f>TRUNC(SUM(H171:H173))</f>
        <v>3009</v>
      </c>
      <c r="I174" s="22"/>
      <c r="J174" s="24">
        <f>TRUNC(SUM(J171:J173))</f>
        <v>5513</v>
      </c>
      <c r="K174" s="22"/>
      <c r="L174" s="24">
        <f>TRUNC(SUM(L171:L173))</f>
        <v>9356</v>
      </c>
    </row>
    <row r="175" spans="1:12" ht="11.25" customHeight="1" x14ac:dyDescent="0.2">
      <c r="C175" s="107"/>
      <c r="D175" s="107"/>
      <c r="E175" s="23"/>
      <c r="F175" s="22"/>
      <c r="G175" s="22"/>
      <c r="H175" s="24"/>
      <c r="I175" s="22"/>
      <c r="J175" s="24"/>
      <c r="K175" s="22"/>
      <c r="L175" s="24"/>
    </row>
    <row r="176" spans="1:12" ht="11.25" customHeight="1" x14ac:dyDescent="0.2">
      <c r="C176" s="126" t="s">
        <v>1286</v>
      </c>
      <c r="D176" s="126"/>
      <c r="E176" s="127"/>
      <c r="F176" s="125"/>
      <c r="G176" s="125"/>
      <c r="H176" s="128">
        <f>TRUNC(H174)</f>
        <v>3009</v>
      </c>
      <c r="I176" s="125"/>
      <c r="J176" s="128">
        <f>TRUNC(J174)</f>
        <v>5513</v>
      </c>
      <c r="K176" s="102"/>
      <c r="L176" s="104">
        <f>TRUNC(L174)</f>
        <v>9356</v>
      </c>
    </row>
    <row r="177" spans="2:12" ht="11.25" customHeight="1" x14ac:dyDescent="0.2">
      <c r="B177" s="186" t="s">
        <v>427</v>
      </c>
      <c r="C177" s="187" t="s">
        <v>428</v>
      </c>
      <c r="D177" s="187" t="s">
        <v>429</v>
      </c>
      <c r="E177" s="188" t="s">
        <v>430</v>
      </c>
      <c r="F177" s="188" t="s">
        <v>431</v>
      </c>
      <c r="G177" s="94" t="s">
        <v>421</v>
      </c>
      <c r="H177" s="152"/>
      <c r="I177" s="94" t="s">
        <v>756</v>
      </c>
      <c r="J177" s="151"/>
      <c r="K177" s="94" t="s">
        <v>676</v>
      </c>
      <c r="L177" s="151"/>
    </row>
    <row r="178" spans="2:12" ht="11.25" customHeight="1" x14ac:dyDescent="0.2">
      <c r="B178" s="186"/>
      <c r="C178" s="187"/>
      <c r="D178" s="187"/>
      <c r="E178" s="188"/>
      <c r="F178" s="188"/>
      <c r="G178" s="17" t="s">
        <v>436</v>
      </c>
      <c r="H178" s="17" t="s">
        <v>437</v>
      </c>
      <c r="I178" s="17" t="s">
        <v>436</v>
      </c>
      <c r="J178" s="17" t="s">
        <v>437</v>
      </c>
      <c r="K178" s="17" t="s">
        <v>436</v>
      </c>
      <c r="L178" s="17" t="s">
        <v>437</v>
      </c>
    </row>
    <row r="179" spans="2:12" ht="11.25" customHeight="1" x14ac:dyDescent="0.2">
      <c r="B179" s="8" t="s">
        <v>863</v>
      </c>
      <c r="C179" s="4" t="s">
        <v>988</v>
      </c>
      <c r="D179" s="106" t="s">
        <v>574</v>
      </c>
      <c r="E179" s="13" t="s">
        <v>746</v>
      </c>
      <c r="F179" s="66">
        <v>17289000</v>
      </c>
      <c r="G179" s="19">
        <v>6601</v>
      </c>
      <c r="H179" s="20">
        <f>TRUNC($F179*G179*0.0000001,1)</f>
        <v>11412.4</v>
      </c>
      <c r="I179" s="21">
        <v>0</v>
      </c>
      <c r="J179" s="20">
        <f>TRUNC($F179*I179*0.0000001,1)</f>
        <v>0</v>
      </c>
      <c r="K179" s="21">
        <v>0</v>
      </c>
      <c r="L179" s="20">
        <f>TRUNC($F179*K179*0.0000001,1)</f>
        <v>0</v>
      </c>
    </row>
    <row r="180" spans="2:12" ht="11.25" customHeight="1" x14ac:dyDescent="0.2">
      <c r="B180" s="8" t="s">
        <v>864</v>
      </c>
      <c r="C180" s="4" t="s">
        <v>988</v>
      </c>
      <c r="D180" s="106" t="s">
        <v>1070</v>
      </c>
      <c r="E180" s="13" t="s">
        <v>746</v>
      </c>
      <c r="F180" s="66">
        <v>22649000</v>
      </c>
      <c r="G180" s="21">
        <v>0</v>
      </c>
      <c r="H180" s="20">
        <f>TRUNC($F180*G180*0.0000001,1)</f>
        <v>0</v>
      </c>
      <c r="I180" s="19">
        <v>6601</v>
      </c>
      <c r="J180" s="20">
        <f>TRUNC($F180*I180*0.0000001,1)</f>
        <v>14950.6</v>
      </c>
      <c r="K180" s="21">
        <v>0</v>
      </c>
      <c r="L180" s="20">
        <f>TRUNC($F180*K180*0.0000001,1)</f>
        <v>0</v>
      </c>
    </row>
    <row r="181" spans="2:12" ht="11.25" customHeight="1" x14ac:dyDescent="0.2">
      <c r="B181" s="8" t="s">
        <v>1151</v>
      </c>
      <c r="C181" s="4" t="s">
        <v>988</v>
      </c>
      <c r="D181" s="106" t="s">
        <v>899</v>
      </c>
      <c r="E181" s="13" t="s">
        <v>746</v>
      </c>
      <c r="F181" s="66">
        <v>28692000</v>
      </c>
      <c r="G181" s="21">
        <v>0</v>
      </c>
      <c r="H181" s="20">
        <f>TRUNC($F181*G181*0.0000001,1)</f>
        <v>0</v>
      </c>
      <c r="I181" s="21">
        <v>0</v>
      </c>
      <c r="J181" s="20">
        <f>TRUNC($F181*I181*0.0000001,1)</f>
        <v>0</v>
      </c>
      <c r="K181" s="19">
        <v>6601</v>
      </c>
      <c r="L181" s="20">
        <f>TRUNC($F181*K181*0.0000001,1)</f>
        <v>18939.5</v>
      </c>
    </row>
    <row r="182" spans="2:12" ht="11.25" customHeight="1" x14ac:dyDescent="0.2">
      <c r="C182" s="107" t="s">
        <v>1289</v>
      </c>
      <c r="D182" s="107"/>
      <c r="E182" s="23"/>
      <c r="F182" s="22"/>
      <c r="G182" s="22"/>
      <c r="H182" s="24">
        <f>TRUNC(SUM(H179:H181))</f>
        <v>11412</v>
      </c>
      <c r="I182" s="22"/>
      <c r="J182" s="24">
        <f>TRUNC(SUM(J179:J181))</f>
        <v>14950</v>
      </c>
      <c r="K182" s="22"/>
      <c r="L182" s="24">
        <f>TRUNC(SUM(L179:L181))</f>
        <v>18939</v>
      </c>
    </row>
    <row r="183" spans="2:12" ht="11.25" customHeight="1" x14ac:dyDescent="0.2">
      <c r="C183" s="107"/>
      <c r="D183" s="107"/>
      <c r="E183" s="23"/>
      <c r="F183" s="22"/>
      <c r="G183" s="22"/>
      <c r="H183" s="24"/>
      <c r="I183" s="22"/>
      <c r="J183" s="24"/>
      <c r="K183" s="22"/>
      <c r="L183" s="24"/>
    </row>
    <row r="184" spans="2:12" ht="11.25" customHeight="1" x14ac:dyDescent="0.2">
      <c r="B184" s="16"/>
      <c r="C184" s="108" t="s">
        <v>1286</v>
      </c>
      <c r="D184" s="108"/>
      <c r="E184" s="103"/>
      <c r="F184" s="102"/>
      <c r="G184" s="102"/>
      <c r="H184" s="104">
        <f>TRUNC(H182)</f>
        <v>11412</v>
      </c>
      <c r="I184" s="102"/>
      <c r="J184" s="104">
        <f>TRUNC(J182)</f>
        <v>14950</v>
      </c>
      <c r="K184" s="102"/>
      <c r="L184" s="104">
        <f>TRUNC(L182)</f>
        <v>18939</v>
      </c>
    </row>
    <row r="185" spans="2:12" ht="11.25" customHeight="1" x14ac:dyDescent="0.2">
      <c r="C185" s="112"/>
      <c r="D185" s="112"/>
      <c r="E185" s="44"/>
      <c r="F185" s="43"/>
      <c r="G185" s="43"/>
      <c r="H185" s="36"/>
      <c r="I185" s="43"/>
      <c r="J185" s="36"/>
    </row>
    <row r="186" spans="2:12" ht="11.25" customHeight="1" x14ac:dyDescent="0.2">
      <c r="B186" s="68" t="s">
        <v>1915</v>
      </c>
      <c r="C186" s="119"/>
      <c r="H186" s="49" t="s">
        <v>1307</v>
      </c>
      <c r="I186" s="49"/>
    </row>
    <row r="187" spans="2:12" ht="11.25" customHeight="1" x14ac:dyDescent="0.2">
      <c r="B187" s="186" t="s">
        <v>427</v>
      </c>
      <c r="C187" s="187" t="s">
        <v>428</v>
      </c>
      <c r="D187" s="187" t="s">
        <v>429</v>
      </c>
      <c r="E187" s="188" t="s">
        <v>430</v>
      </c>
      <c r="F187" s="188" t="s">
        <v>431</v>
      </c>
      <c r="G187" s="94" t="s">
        <v>421</v>
      </c>
      <c r="H187" s="151"/>
      <c r="I187" s="9"/>
      <c r="J187" s="9"/>
      <c r="K187" s="9"/>
      <c r="L187" s="9"/>
    </row>
    <row r="188" spans="2:12" ht="11.25" customHeight="1" x14ac:dyDescent="0.2">
      <c r="B188" s="186"/>
      <c r="C188" s="187"/>
      <c r="D188" s="187"/>
      <c r="E188" s="188"/>
      <c r="F188" s="188"/>
      <c r="G188" s="17" t="s">
        <v>436</v>
      </c>
      <c r="H188" s="17" t="s">
        <v>437</v>
      </c>
      <c r="I188" s="9"/>
      <c r="J188" s="9"/>
      <c r="K188" s="9"/>
      <c r="L188" s="9"/>
    </row>
    <row r="189" spans="2:12" ht="11.25" customHeight="1" x14ac:dyDescent="0.2">
      <c r="B189" s="8" t="s">
        <v>111</v>
      </c>
      <c r="C189" s="4" t="s">
        <v>1916</v>
      </c>
      <c r="D189" s="106" t="s">
        <v>421</v>
      </c>
      <c r="E189" s="13" t="s">
        <v>746</v>
      </c>
      <c r="F189" s="66">
        <v>11706000</v>
      </c>
      <c r="G189" s="19">
        <v>3193</v>
      </c>
      <c r="H189" s="20">
        <f>TRUNC($F189*G189*0.0000001,1)</f>
        <v>3737.7</v>
      </c>
    </row>
    <row r="190" spans="2:12" ht="11.25" customHeight="1" x14ac:dyDescent="0.2">
      <c r="C190" s="107" t="s">
        <v>1289</v>
      </c>
      <c r="D190" s="107"/>
      <c r="E190" s="23"/>
      <c r="F190" s="22"/>
      <c r="G190" s="22"/>
      <c r="H190" s="24">
        <f>TRUNC(SUM(H189:H189))</f>
        <v>3737</v>
      </c>
    </row>
    <row r="191" spans="2:12" ht="11.25" customHeight="1" x14ac:dyDescent="0.2">
      <c r="C191" s="107"/>
      <c r="D191" s="107"/>
      <c r="E191" s="23"/>
      <c r="F191" s="22"/>
      <c r="G191" s="22"/>
      <c r="H191" s="22"/>
    </row>
    <row r="192" spans="2:12" ht="11.25" customHeight="1" x14ac:dyDescent="0.2">
      <c r="B192" s="16"/>
      <c r="C192" s="108" t="s">
        <v>1286</v>
      </c>
      <c r="D192" s="108"/>
      <c r="E192" s="103"/>
      <c r="F192" s="102"/>
      <c r="G192" s="102"/>
      <c r="H192" s="104">
        <f>TRUNC(H190)</f>
        <v>3737</v>
      </c>
    </row>
    <row r="194" spans="2:12" ht="11.25" customHeight="1" x14ac:dyDescent="0.2">
      <c r="B194" s="68" t="s">
        <v>1294</v>
      </c>
      <c r="C194" s="119"/>
      <c r="J194" s="49" t="s">
        <v>1307</v>
      </c>
      <c r="K194" s="9"/>
      <c r="L194" s="9"/>
    </row>
    <row r="195" spans="2:12" ht="11.25" customHeight="1" x14ac:dyDescent="0.2">
      <c r="B195" s="186" t="s">
        <v>427</v>
      </c>
      <c r="C195" s="187" t="s">
        <v>428</v>
      </c>
      <c r="D195" s="187" t="s">
        <v>429</v>
      </c>
      <c r="E195" s="188" t="s">
        <v>430</v>
      </c>
      <c r="F195" s="188" t="s">
        <v>431</v>
      </c>
      <c r="G195" s="94" t="s">
        <v>756</v>
      </c>
      <c r="H195" s="151"/>
      <c r="I195" s="94" t="s">
        <v>676</v>
      </c>
      <c r="J195" s="151"/>
    </row>
    <row r="196" spans="2:12" ht="11.25" customHeight="1" x14ac:dyDescent="0.2">
      <c r="B196" s="186"/>
      <c r="C196" s="187"/>
      <c r="D196" s="187"/>
      <c r="E196" s="188"/>
      <c r="F196" s="188"/>
      <c r="G196" s="17" t="s">
        <v>436</v>
      </c>
      <c r="H196" s="17" t="s">
        <v>437</v>
      </c>
      <c r="I196" s="17" t="s">
        <v>436</v>
      </c>
      <c r="J196" s="17" t="s">
        <v>437</v>
      </c>
    </row>
    <row r="197" spans="2:12" ht="11.25" customHeight="1" x14ac:dyDescent="0.2">
      <c r="B197" s="29" t="s">
        <v>757</v>
      </c>
      <c r="C197" s="110" t="s">
        <v>818</v>
      </c>
      <c r="D197" s="110" t="s">
        <v>756</v>
      </c>
      <c r="E197" s="47" t="s">
        <v>223</v>
      </c>
      <c r="F197" s="95">
        <v>24021000</v>
      </c>
      <c r="G197" s="19">
        <v>6601</v>
      </c>
      <c r="H197" s="20">
        <f>TRUNC($F197*G197*0.0000001,1)</f>
        <v>15856.2</v>
      </c>
      <c r="I197" s="21">
        <v>0</v>
      </c>
      <c r="J197" s="20">
        <f>TRUNC($F197*I197*0.0000001,1)</f>
        <v>0</v>
      </c>
    </row>
    <row r="198" spans="2:12" ht="11.25" customHeight="1" x14ac:dyDescent="0.2">
      <c r="B198" s="29" t="s">
        <v>817</v>
      </c>
      <c r="C198" s="110" t="s">
        <v>818</v>
      </c>
      <c r="D198" s="110" t="s">
        <v>676</v>
      </c>
      <c r="E198" s="47" t="s">
        <v>223</v>
      </c>
      <c r="F198" s="95">
        <v>28567000</v>
      </c>
      <c r="G198" s="21">
        <v>0</v>
      </c>
      <c r="H198" s="20">
        <f>TRUNC($F198*G198*0.0000001,1)</f>
        <v>0</v>
      </c>
      <c r="I198" s="19">
        <v>6601</v>
      </c>
      <c r="J198" s="20">
        <f>TRUNC($F198*I198*0.0000001,1)</f>
        <v>18857</v>
      </c>
    </row>
    <row r="199" spans="2:12" ht="11.25" customHeight="1" x14ac:dyDescent="0.2">
      <c r="B199" s="29"/>
      <c r="C199" s="121" t="s">
        <v>1289</v>
      </c>
      <c r="D199" s="110"/>
      <c r="E199" s="30"/>
      <c r="F199" s="30"/>
      <c r="G199" s="30"/>
      <c r="H199" s="24">
        <f>TRUNC(SUM(H197))</f>
        <v>15856</v>
      </c>
      <c r="I199" s="30"/>
      <c r="J199" s="24">
        <f>TRUNC(SUM(J198))</f>
        <v>18857</v>
      </c>
    </row>
    <row r="200" spans="2:12" ht="11.25" customHeight="1" x14ac:dyDescent="0.2">
      <c r="C200" s="4"/>
      <c r="D200" s="4"/>
      <c r="E200" s="13"/>
      <c r="F200" s="18"/>
      <c r="G200" s="18"/>
      <c r="H200" s="18"/>
      <c r="I200" s="18"/>
      <c r="J200" s="18"/>
    </row>
    <row r="201" spans="2:12" ht="11.25" customHeight="1" x14ac:dyDescent="0.2">
      <c r="B201" s="48"/>
      <c r="C201" s="134" t="s">
        <v>1286</v>
      </c>
      <c r="D201" s="130"/>
      <c r="E201" s="131"/>
      <c r="F201" s="131"/>
      <c r="G201" s="131"/>
      <c r="H201" s="104">
        <f>TRUNC(H199)</f>
        <v>15856</v>
      </c>
      <c r="I201" s="131"/>
      <c r="J201" s="104">
        <f>TRUNC(J199)</f>
        <v>18857</v>
      </c>
    </row>
    <row r="202" spans="2:12" ht="11.25" customHeight="1" x14ac:dyDescent="0.2">
      <c r="C202" s="112"/>
      <c r="H202" s="36"/>
      <c r="J202" s="36"/>
    </row>
    <row r="203" spans="2:12" ht="11.25" customHeight="1" x14ac:dyDescent="0.2">
      <c r="B203" s="68" t="s">
        <v>1295</v>
      </c>
      <c r="H203" s="49" t="s">
        <v>1307</v>
      </c>
      <c r="I203" s="49"/>
    </row>
    <row r="204" spans="2:12" ht="11.25" customHeight="1" x14ac:dyDescent="0.2">
      <c r="B204" s="186" t="s">
        <v>427</v>
      </c>
      <c r="C204" s="187" t="s">
        <v>428</v>
      </c>
      <c r="D204" s="187" t="s">
        <v>429</v>
      </c>
      <c r="E204" s="188" t="s">
        <v>430</v>
      </c>
      <c r="F204" s="188" t="s">
        <v>431</v>
      </c>
      <c r="G204" s="94" t="s">
        <v>1071</v>
      </c>
      <c r="H204" s="151"/>
      <c r="I204" s="9"/>
      <c r="J204" s="9"/>
      <c r="K204" s="9"/>
      <c r="L204" s="9"/>
    </row>
    <row r="205" spans="2:12" ht="11.25" customHeight="1" x14ac:dyDescent="0.2">
      <c r="B205" s="186"/>
      <c r="C205" s="187"/>
      <c r="D205" s="187"/>
      <c r="E205" s="188"/>
      <c r="F205" s="188"/>
      <c r="G205" s="17" t="s">
        <v>436</v>
      </c>
      <c r="H205" s="17" t="s">
        <v>437</v>
      </c>
      <c r="I205" s="9"/>
      <c r="J205" s="9"/>
      <c r="K205" s="9"/>
      <c r="L205" s="9"/>
    </row>
    <row r="206" spans="2:12" ht="11.25" customHeight="1" x14ac:dyDescent="0.2">
      <c r="C206" s="4" t="s">
        <v>426</v>
      </c>
      <c r="D206" s="4"/>
      <c r="E206" s="13" t="s">
        <v>494</v>
      </c>
      <c r="F206" s="25">
        <v>1505.45</v>
      </c>
      <c r="G206" s="26">
        <v>6.7</v>
      </c>
      <c r="H206" s="20">
        <f>TRUNC(($F206*G206),1)</f>
        <v>10086.5</v>
      </c>
    </row>
    <row r="207" spans="2:12" ht="11.25" customHeight="1" x14ac:dyDescent="0.2">
      <c r="C207" s="4" t="s">
        <v>878</v>
      </c>
      <c r="D207" s="4" t="s">
        <v>1357</v>
      </c>
      <c r="E207" s="13" t="s">
        <v>232</v>
      </c>
      <c r="F207" s="18"/>
      <c r="G207" s="21">
        <v>34</v>
      </c>
      <c r="H207" s="20">
        <f>TRUNC(H206*G207*0.01,1)</f>
        <v>3429.4</v>
      </c>
    </row>
    <row r="208" spans="2:12" ht="11.25" customHeight="1" x14ac:dyDescent="0.2">
      <c r="C208" s="107" t="s">
        <v>799</v>
      </c>
      <c r="D208" s="107"/>
      <c r="E208" s="23"/>
      <c r="F208" s="22"/>
      <c r="G208" s="22"/>
      <c r="H208" s="24">
        <f>TRUNC(SUM(H206:H207))</f>
        <v>13515</v>
      </c>
    </row>
    <row r="209" spans="2:12" ht="11.25" customHeight="1" x14ac:dyDescent="0.2">
      <c r="C209" s="107"/>
      <c r="D209" s="107"/>
      <c r="E209" s="23"/>
      <c r="F209" s="22"/>
      <c r="G209" s="22"/>
      <c r="H209" s="22"/>
    </row>
    <row r="210" spans="2:12" ht="11.25" customHeight="1" x14ac:dyDescent="0.2">
      <c r="C210" s="4" t="s">
        <v>798</v>
      </c>
      <c r="D210" s="4" t="s">
        <v>866</v>
      </c>
      <c r="E210" s="13" t="s">
        <v>497</v>
      </c>
      <c r="F210" s="28">
        <v>283297</v>
      </c>
      <c r="G210" s="18">
        <v>0.20799999999999999</v>
      </c>
      <c r="H210" s="20">
        <f>TRUNC(($F210*G210),1)</f>
        <v>58925.7</v>
      </c>
    </row>
    <row r="211" spans="2:12" ht="11.25" customHeight="1" x14ac:dyDescent="0.2">
      <c r="C211" s="107" t="s">
        <v>1285</v>
      </c>
      <c r="D211" s="107"/>
      <c r="E211" s="23"/>
      <c r="F211" s="22"/>
      <c r="G211" s="22"/>
      <c r="H211" s="24">
        <f>TRUNC(SUM(H210))</f>
        <v>58925</v>
      </c>
    </row>
    <row r="212" spans="2:12" ht="11.25" customHeight="1" x14ac:dyDescent="0.2">
      <c r="C212" s="107"/>
      <c r="D212" s="107"/>
      <c r="E212" s="23"/>
      <c r="F212" s="22"/>
      <c r="G212" s="22"/>
      <c r="H212" s="22"/>
    </row>
    <row r="213" spans="2:12" ht="11.25" customHeight="1" x14ac:dyDescent="0.2">
      <c r="B213" s="8" t="s">
        <v>112</v>
      </c>
      <c r="C213" s="4" t="s">
        <v>438</v>
      </c>
      <c r="D213" s="106" t="s">
        <v>1296</v>
      </c>
      <c r="E213" s="13" t="s">
        <v>746</v>
      </c>
      <c r="F213" s="66">
        <v>264015000</v>
      </c>
      <c r="G213" s="19">
        <v>6838</v>
      </c>
      <c r="H213" s="20">
        <f>TRUNC($F213*G213*0.0000001,1)</f>
        <v>180533.4</v>
      </c>
    </row>
    <row r="214" spans="2:12" ht="11.25" customHeight="1" x14ac:dyDescent="0.2">
      <c r="C214" s="107" t="s">
        <v>1289</v>
      </c>
      <c r="D214" s="107"/>
      <c r="E214" s="23"/>
      <c r="F214" s="22"/>
      <c r="G214" s="22"/>
      <c r="H214" s="24">
        <f>TRUNC(SUM(H213:H213))</f>
        <v>180533</v>
      </c>
    </row>
    <row r="215" spans="2:12" ht="11.25" customHeight="1" x14ac:dyDescent="0.2">
      <c r="C215" s="107"/>
      <c r="D215" s="107"/>
      <c r="E215" s="23"/>
      <c r="F215" s="22"/>
      <c r="G215" s="22"/>
      <c r="H215" s="22"/>
    </row>
    <row r="216" spans="2:12" ht="11.25" customHeight="1" x14ac:dyDescent="0.2">
      <c r="B216" s="16"/>
      <c r="C216" s="108" t="s">
        <v>1286</v>
      </c>
      <c r="D216" s="108"/>
      <c r="E216" s="103"/>
      <c r="F216" s="102"/>
      <c r="G216" s="102"/>
      <c r="H216" s="104">
        <f>TRUNC(H214+H208+H211)</f>
        <v>252973</v>
      </c>
    </row>
    <row r="218" spans="2:12" ht="11.25" customHeight="1" x14ac:dyDescent="0.2">
      <c r="B218" s="68" t="s">
        <v>1297</v>
      </c>
      <c r="C218" s="119"/>
      <c r="L218" s="49" t="s">
        <v>1307</v>
      </c>
    </row>
    <row r="219" spans="2:12" ht="11.25" customHeight="1" x14ac:dyDescent="0.2">
      <c r="B219" s="186" t="s">
        <v>427</v>
      </c>
      <c r="C219" s="187" t="s">
        <v>428</v>
      </c>
      <c r="D219" s="187" t="s">
        <v>429</v>
      </c>
      <c r="E219" s="188" t="s">
        <v>430</v>
      </c>
      <c r="F219" s="188" t="s">
        <v>431</v>
      </c>
      <c r="G219" s="94" t="s">
        <v>1072</v>
      </c>
      <c r="H219" s="151"/>
      <c r="I219" s="94" t="s">
        <v>666</v>
      </c>
      <c r="J219" s="151"/>
      <c r="K219" s="94" t="s">
        <v>1073</v>
      </c>
      <c r="L219" s="151"/>
    </row>
    <row r="220" spans="2:12" ht="11.25" customHeight="1" x14ac:dyDescent="0.2">
      <c r="B220" s="186"/>
      <c r="C220" s="187"/>
      <c r="D220" s="187"/>
      <c r="E220" s="188"/>
      <c r="F220" s="188"/>
      <c r="G220" s="17" t="s">
        <v>436</v>
      </c>
      <c r="H220" s="17" t="s">
        <v>437</v>
      </c>
      <c r="I220" s="17" t="s">
        <v>436</v>
      </c>
      <c r="J220" s="17" t="s">
        <v>437</v>
      </c>
      <c r="K220" s="17" t="s">
        <v>436</v>
      </c>
      <c r="L220" s="17" t="s">
        <v>437</v>
      </c>
    </row>
    <row r="221" spans="2:12" ht="11.25" customHeight="1" x14ac:dyDescent="0.2">
      <c r="C221" s="4" t="s">
        <v>426</v>
      </c>
      <c r="D221" s="4"/>
      <c r="E221" s="13" t="s">
        <v>494</v>
      </c>
      <c r="F221" s="25">
        <v>1505.45</v>
      </c>
      <c r="G221" s="27">
        <v>4.8</v>
      </c>
      <c r="H221" s="20">
        <f>TRUNC(($F221*G221),1)</f>
        <v>7226.1</v>
      </c>
      <c r="I221" s="27">
        <v>6.3</v>
      </c>
      <c r="J221" s="20">
        <f>TRUNC(($F221*I221),1)</f>
        <v>9484.2999999999993</v>
      </c>
      <c r="K221" s="27">
        <v>7.4</v>
      </c>
      <c r="L221" s="20">
        <f>TRUNC(($F221*K221),1)</f>
        <v>11140.3</v>
      </c>
    </row>
    <row r="222" spans="2:12" ht="11.25" customHeight="1" x14ac:dyDescent="0.2">
      <c r="C222" s="4" t="s">
        <v>878</v>
      </c>
      <c r="D222" s="4" t="s">
        <v>1357</v>
      </c>
      <c r="E222" s="13" t="s">
        <v>232</v>
      </c>
      <c r="F222" s="18"/>
      <c r="G222" s="21">
        <v>21</v>
      </c>
      <c r="H222" s="20">
        <f>TRUNC(H221*G222*0.01,1)</f>
        <v>1517.4</v>
      </c>
      <c r="I222" s="21">
        <v>21</v>
      </c>
      <c r="J222" s="20">
        <f>TRUNC(J221*I222*0.01,1)</f>
        <v>1991.7</v>
      </c>
      <c r="K222" s="21">
        <v>21</v>
      </c>
      <c r="L222" s="20">
        <f>TRUNC(L221*K222*0.01,1)</f>
        <v>2339.4</v>
      </c>
    </row>
    <row r="223" spans="2:12" ht="11.25" customHeight="1" x14ac:dyDescent="0.2">
      <c r="C223" s="107" t="s">
        <v>799</v>
      </c>
      <c r="D223" s="107"/>
      <c r="E223" s="23"/>
      <c r="F223" s="22"/>
      <c r="G223" s="22"/>
      <c r="H223" s="24">
        <f>TRUNC(SUM(H221:H222))</f>
        <v>8743</v>
      </c>
      <c r="I223" s="22"/>
      <c r="J223" s="24">
        <f>TRUNC(SUM(J221:J222))</f>
        <v>11476</v>
      </c>
      <c r="K223" s="22"/>
      <c r="L223" s="24">
        <f>TRUNC(SUM(L221:L222))</f>
        <v>13479</v>
      </c>
    </row>
    <row r="224" spans="2:12" ht="11.25" customHeight="1" x14ac:dyDescent="0.2">
      <c r="B224" s="29"/>
      <c r="C224" s="110"/>
      <c r="D224" s="110"/>
      <c r="E224" s="30"/>
      <c r="F224" s="30"/>
      <c r="G224" s="30"/>
      <c r="H224" s="30"/>
      <c r="I224" s="30"/>
      <c r="J224" s="30"/>
      <c r="K224" s="30"/>
      <c r="L224" s="18"/>
    </row>
    <row r="225" spans="2:12" ht="11.25" customHeight="1" x14ac:dyDescent="0.2">
      <c r="C225" s="4" t="s">
        <v>798</v>
      </c>
      <c r="D225" s="4" t="s">
        <v>866</v>
      </c>
      <c r="E225" s="13" t="s">
        <v>497</v>
      </c>
      <c r="F225" s="28">
        <v>283297</v>
      </c>
      <c r="G225" s="18">
        <v>0.20799999999999999</v>
      </c>
      <c r="H225" s="20">
        <f>TRUNC(($F225*G225),1)</f>
        <v>58925.7</v>
      </c>
      <c r="I225" s="18">
        <v>0.20799999999999999</v>
      </c>
      <c r="J225" s="20">
        <f>TRUNC(($F225*I225),1)</f>
        <v>58925.7</v>
      </c>
      <c r="K225" s="18">
        <v>0.20799999999999999</v>
      </c>
      <c r="L225" s="20">
        <f>TRUNC(($F225*K225),1)</f>
        <v>58925.7</v>
      </c>
    </row>
    <row r="226" spans="2:12" ht="11.25" customHeight="1" x14ac:dyDescent="0.2">
      <c r="C226" s="107" t="s">
        <v>1285</v>
      </c>
      <c r="D226" s="107"/>
      <c r="E226" s="23"/>
      <c r="F226" s="22"/>
      <c r="G226" s="22"/>
      <c r="H226" s="24">
        <f>TRUNC(SUM(H225:H225))</f>
        <v>58925</v>
      </c>
      <c r="I226" s="22"/>
      <c r="J226" s="24">
        <f>TRUNC(SUM(J225:J225))</f>
        <v>58925</v>
      </c>
      <c r="K226" s="22"/>
      <c r="L226" s="24">
        <f>TRUNC(SUM(L225:L225))</f>
        <v>58925</v>
      </c>
    </row>
    <row r="227" spans="2:12" ht="11.25" customHeight="1" x14ac:dyDescent="0.2">
      <c r="C227" s="4"/>
      <c r="D227" s="4"/>
      <c r="E227" s="13"/>
      <c r="F227" s="18"/>
      <c r="G227" s="18"/>
      <c r="H227" s="18"/>
      <c r="I227" s="18"/>
      <c r="J227" s="18"/>
      <c r="K227" s="18"/>
      <c r="L227" s="18"/>
    </row>
    <row r="228" spans="2:12" ht="11.25" customHeight="1" x14ac:dyDescent="0.2">
      <c r="B228" s="8" t="s">
        <v>113</v>
      </c>
      <c r="C228" s="4" t="s">
        <v>1298</v>
      </c>
      <c r="D228" s="106" t="s">
        <v>588</v>
      </c>
      <c r="E228" s="13" t="s">
        <v>746</v>
      </c>
      <c r="F228" s="66">
        <v>47372000</v>
      </c>
      <c r="G228" s="19">
        <v>2385</v>
      </c>
      <c r="H228" s="20">
        <f>TRUNC($F228*G228*0.0000001,1)</f>
        <v>11298.2</v>
      </c>
      <c r="I228" s="21">
        <v>0</v>
      </c>
      <c r="J228" s="20">
        <f>TRUNC($F228*I228*0.0000001,1)</f>
        <v>0</v>
      </c>
      <c r="K228" s="21">
        <v>0</v>
      </c>
      <c r="L228" s="20">
        <f>TRUNC($F228*K228*0.0000001,1)</f>
        <v>0</v>
      </c>
    </row>
    <row r="229" spans="2:12" ht="11.25" customHeight="1" x14ac:dyDescent="0.2">
      <c r="B229" s="8" t="s">
        <v>114</v>
      </c>
      <c r="C229" s="4" t="s">
        <v>1298</v>
      </c>
      <c r="D229" s="106" t="s">
        <v>589</v>
      </c>
      <c r="E229" s="13" t="s">
        <v>746</v>
      </c>
      <c r="F229" s="66">
        <v>61939000</v>
      </c>
      <c r="G229" s="21">
        <v>0</v>
      </c>
      <c r="H229" s="20">
        <f>TRUNC($F229*G229*0.0000001,1)</f>
        <v>0</v>
      </c>
      <c r="I229" s="19">
        <v>2385</v>
      </c>
      <c r="J229" s="20">
        <f>TRUNC($F229*I229*0.0000001,1)</f>
        <v>14772.4</v>
      </c>
      <c r="K229" s="21">
        <v>0</v>
      </c>
      <c r="L229" s="20">
        <f>TRUNC($F229*K229*0.0000001,1)</f>
        <v>0</v>
      </c>
    </row>
    <row r="230" spans="2:12" ht="11.25" customHeight="1" x14ac:dyDescent="0.2">
      <c r="B230" s="8" t="s">
        <v>115</v>
      </c>
      <c r="C230" s="4" t="s">
        <v>1298</v>
      </c>
      <c r="D230" s="106" t="s">
        <v>590</v>
      </c>
      <c r="E230" s="13" t="s">
        <v>746</v>
      </c>
      <c r="F230" s="66">
        <v>75898000</v>
      </c>
      <c r="G230" s="21">
        <v>0</v>
      </c>
      <c r="H230" s="20">
        <f>TRUNC($F230*G230*0.0000001,1)</f>
        <v>0</v>
      </c>
      <c r="I230" s="21">
        <v>0</v>
      </c>
      <c r="J230" s="20">
        <f>TRUNC($F230*I230*0.0000001,1)</f>
        <v>0</v>
      </c>
      <c r="K230" s="19">
        <v>2385</v>
      </c>
      <c r="L230" s="20">
        <f>TRUNC($F230*K230*0.0000001,1)</f>
        <v>18101.599999999999</v>
      </c>
    </row>
    <row r="231" spans="2:12" ht="11.25" customHeight="1" x14ac:dyDescent="0.2">
      <c r="C231" s="107" t="s">
        <v>1289</v>
      </c>
      <c r="D231" s="107"/>
      <c r="E231" s="23"/>
      <c r="F231" s="22"/>
      <c r="G231" s="22"/>
      <c r="H231" s="24">
        <f>TRUNC(SUM(H228:H230))</f>
        <v>11298</v>
      </c>
      <c r="I231" s="22"/>
      <c r="J231" s="24">
        <f>TRUNC(SUM(J228:J230))</f>
        <v>14772</v>
      </c>
      <c r="K231" s="22"/>
      <c r="L231" s="24">
        <f>TRUNC(SUM(L228:L230))</f>
        <v>18101</v>
      </c>
    </row>
    <row r="232" spans="2:12" ht="11.25" customHeight="1" x14ac:dyDescent="0.2">
      <c r="B232" s="29"/>
      <c r="C232" s="110"/>
      <c r="D232" s="110"/>
      <c r="E232" s="30"/>
      <c r="F232" s="30"/>
      <c r="G232" s="30"/>
      <c r="H232" s="30"/>
      <c r="I232" s="30"/>
      <c r="J232" s="30"/>
      <c r="K232" s="30"/>
      <c r="L232" s="18"/>
    </row>
    <row r="233" spans="2:12" ht="11.25" customHeight="1" x14ac:dyDescent="0.2">
      <c r="C233" s="126" t="s">
        <v>1286</v>
      </c>
      <c r="D233" s="126"/>
      <c r="E233" s="127"/>
      <c r="F233" s="125"/>
      <c r="G233" s="125"/>
      <c r="H233" s="128">
        <f>TRUNC(H231+H223+H226)</f>
        <v>78966</v>
      </c>
      <c r="I233" s="125"/>
      <c r="J233" s="128">
        <f>TRUNC(J231+J223+J226)</f>
        <v>85173</v>
      </c>
      <c r="K233" s="125"/>
      <c r="L233" s="128">
        <f>TRUNC(L231+L223+L226)</f>
        <v>90505</v>
      </c>
    </row>
    <row r="234" spans="2:12" ht="11.25" customHeight="1" x14ac:dyDescent="0.2">
      <c r="B234" s="186" t="s">
        <v>427</v>
      </c>
      <c r="C234" s="187" t="s">
        <v>428</v>
      </c>
      <c r="D234" s="187" t="s">
        <v>429</v>
      </c>
      <c r="E234" s="188" t="s">
        <v>430</v>
      </c>
      <c r="F234" s="188" t="s">
        <v>431</v>
      </c>
      <c r="G234" s="94" t="s">
        <v>1074</v>
      </c>
      <c r="H234" s="151"/>
      <c r="I234" s="94" t="s">
        <v>667</v>
      </c>
      <c r="J234" s="151"/>
      <c r="K234" s="94" t="s">
        <v>1075</v>
      </c>
      <c r="L234" s="151"/>
    </row>
    <row r="235" spans="2:12" ht="11.25" customHeight="1" x14ac:dyDescent="0.2">
      <c r="B235" s="186"/>
      <c r="C235" s="187"/>
      <c r="D235" s="187"/>
      <c r="E235" s="188"/>
      <c r="F235" s="188"/>
      <c r="G235" s="17" t="s">
        <v>436</v>
      </c>
      <c r="H235" s="17" t="s">
        <v>437</v>
      </c>
      <c r="I235" s="17" t="s">
        <v>436</v>
      </c>
      <c r="J235" s="17" t="s">
        <v>437</v>
      </c>
      <c r="K235" s="17" t="s">
        <v>436</v>
      </c>
      <c r="L235" s="17" t="s">
        <v>437</v>
      </c>
    </row>
    <row r="236" spans="2:12" ht="11.25" customHeight="1" x14ac:dyDescent="0.2">
      <c r="C236" s="4" t="s">
        <v>426</v>
      </c>
      <c r="D236" s="4"/>
      <c r="E236" s="13" t="s">
        <v>494</v>
      </c>
      <c r="F236" s="25">
        <v>1505.45</v>
      </c>
      <c r="G236" s="27">
        <v>9.5</v>
      </c>
      <c r="H236" s="20">
        <f>TRUNC(($F236*G236),1)</f>
        <v>14301.7</v>
      </c>
      <c r="I236" s="27">
        <v>11.3</v>
      </c>
      <c r="J236" s="20">
        <f>TRUNC(($F236*I236),1)</f>
        <v>17011.5</v>
      </c>
      <c r="K236" s="27">
        <v>13.3</v>
      </c>
      <c r="L236" s="20">
        <f>TRUNC(($F236*K236),1)</f>
        <v>20022.400000000001</v>
      </c>
    </row>
    <row r="237" spans="2:12" ht="11.25" customHeight="1" x14ac:dyDescent="0.2">
      <c r="C237" s="4" t="s">
        <v>878</v>
      </c>
      <c r="D237" s="4" t="s">
        <v>1357</v>
      </c>
      <c r="E237" s="13" t="s">
        <v>232</v>
      </c>
      <c r="F237" s="18"/>
      <c r="G237" s="21">
        <v>21</v>
      </c>
      <c r="H237" s="20">
        <f>TRUNC(H236*G237*0.01,1)</f>
        <v>3003.3</v>
      </c>
      <c r="I237" s="21">
        <v>21</v>
      </c>
      <c r="J237" s="20">
        <f>TRUNC(J236*I237*0.01,1)</f>
        <v>3572.4</v>
      </c>
      <c r="K237" s="21">
        <v>21</v>
      </c>
      <c r="L237" s="20">
        <f>TRUNC(L236*K237*0.01,1)</f>
        <v>4204.7</v>
      </c>
    </row>
    <row r="238" spans="2:12" ht="11.25" customHeight="1" x14ac:dyDescent="0.2">
      <c r="C238" s="107" t="s">
        <v>799</v>
      </c>
      <c r="D238" s="113"/>
      <c r="E238" s="23"/>
      <c r="F238" s="22"/>
      <c r="G238" s="22"/>
      <c r="H238" s="24">
        <f>TRUNC(SUM(H236:H237))</f>
        <v>17305</v>
      </c>
      <c r="I238" s="22"/>
      <c r="J238" s="24">
        <f>TRUNC(SUM(J236:J237))</f>
        <v>20583</v>
      </c>
      <c r="K238" s="22"/>
      <c r="L238" s="24">
        <f>TRUNC(SUM(L236:L237))</f>
        <v>24227</v>
      </c>
    </row>
    <row r="239" spans="2:12" ht="11.25" customHeight="1" x14ac:dyDescent="0.2">
      <c r="B239" s="29"/>
      <c r="C239" s="110"/>
      <c r="D239" s="110"/>
      <c r="E239" s="30"/>
      <c r="F239" s="30"/>
      <c r="G239" s="30"/>
      <c r="H239" s="30"/>
      <c r="I239" s="30"/>
      <c r="J239" s="30"/>
      <c r="K239" s="30"/>
      <c r="L239" s="18"/>
    </row>
    <row r="240" spans="2:12" ht="11.25" customHeight="1" x14ac:dyDescent="0.2">
      <c r="C240" s="4" t="s">
        <v>798</v>
      </c>
      <c r="D240" s="4" t="s">
        <v>866</v>
      </c>
      <c r="E240" s="13" t="s">
        <v>497</v>
      </c>
      <c r="F240" s="28">
        <v>283297</v>
      </c>
      <c r="G240" s="18">
        <v>0.20799999999999999</v>
      </c>
      <c r="H240" s="20">
        <f>TRUNC(($F240*G240),1)</f>
        <v>58925.7</v>
      </c>
      <c r="I240" s="18">
        <v>0.20799999999999999</v>
      </c>
      <c r="J240" s="20">
        <f>TRUNC(($F240*I240),1)</f>
        <v>58925.7</v>
      </c>
      <c r="K240" s="18">
        <v>0.20799999999999999</v>
      </c>
      <c r="L240" s="20">
        <f>TRUNC(($F240*K240),1)</f>
        <v>58925.7</v>
      </c>
    </row>
    <row r="241" spans="2:12" ht="11.25" customHeight="1" x14ac:dyDescent="0.2">
      <c r="C241" s="107" t="s">
        <v>1285</v>
      </c>
      <c r="D241" s="107"/>
      <c r="E241" s="23"/>
      <c r="F241" s="22"/>
      <c r="G241" s="22"/>
      <c r="H241" s="24">
        <f>TRUNC(SUM(H240:H240))</f>
        <v>58925</v>
      </c>
      <c r="I241" s="22"/>
      <c r="J241" s="24">
        <f>TRUNC(SUM(J240:J240))</f>
        <v>58925</v>
      </c>
      <c r="K241" s="22"/>
      <c r="L241" s="24">
        <f>TRUNC(SUM(L240:L240))</f>
        <v>58925</v>
      </c>
    </row>
    <row r="242" spans="2:12" ht="11.25" customHeight="1" x14ac:dyDescent="0.2">
      <c r="C242" s="107"/>
      <c r="D242" s="107"/>
      <c r="E242" s="23"/>
      <c r="F242" s="22"/>
      <c r="G242" s="22"/>
      <c r="H242" s="22"/>
      <c r="I242" s="22"/>
      <c r="J242" s="22"/>
      <c r="K242" s="22"/>
      <c r="L242" s="22"/>
    </row>
    <row r="243" spans="2:12" ht="11.25" customHeight="1" x14ac:dyDescent="0.2">
      <c r="B243" s="8" t="s">
        <v>116</v>
      </c>
      <c r="C243" s="4" t="s">
        <v>1298</v>
      </c>
      <c r="D243" s="106" t="s">
        <v>218</v>
      </c>
      <c r="E243" s="13" t="s">
        <v>746</v>
      </c>
      <c r="F243" s="66">
        <v>89931000</v>
      </c>
      <c r="G243" s="19">
        <v>2385</v>
      </c>
      <c r="H243" s="20">
        <f>TRUNC($F243*G243*0.0000001,1)</f>
        <v>21448.5</v>
      </c>
      <c r="I243" s="21">
        <v>0</v>
      </c>
      <c r="J243" s="20">
        <f>TRUNC($F243*I243*0.0000001,1)</f>
        <v>0</v>
      </c>
      <c r="K243" s="21">
        <v>0</v>
      </c>
      <c r="L243" s="20">
        <f>TRUNC($F243*K243*0.0000001,1)</f>
        <v>0</v>
      </c>
    </row>
    <row r="244" spans="2:12" ht="11.25" customHeight="1" x14ac:dyDescent="0.2">
      <c r="B244" s="8" t="s">
        <v>117</v>
      </c>
      <c r="C244" s="4" t="s">
        <v>1298</v>
      </c>
      <c r="D244" s="106" t="s">
        <v>219</v>
      </c>
      <c r="E244" s="13" t="s">
        <v>746</v>
      </c>
      <c r="F244" s="66">
        <v>102635000</v>
      </c>
      <c r="G244" s="21">
        <v>0</v>
      </c>
      <c r="H244" s="20">
        <f>TRUNC($F244*G244*0.0000001,1)</f>
        <v>0</v>
      </c>
      <c r="I244" s="19">
        <v>2385</v>
      </c>
      <c r="J244" s="20">
        <f>TRUNC($F244*I244*0.0000001,1)</f>
        <v>24478.400000000001</v>
      </c>
      <c r="K244" s="21">
        <v>0</v>
      </c>
      <c r="L244" s="20">
        <f>TRUNC($F244*K244*0.0000001,1)</f>
        <v>0</v>
      </c>
    </row>
    <row r="245" spans="2:12" ht="11.25" customHeight="1" x14ac:dyDescent="0.2">
      <c r="B245" s="8" t="s">
        <v>118</v>
      </c>
      <c r="C245" s="4" t="s">
        <v>1298</v>
      </c>
      <c r="D245" s="106" t="s">
        <v>220</v>
      </c>
      <c r="E245" s="13" t="s">
        <v>746</v>
      </c>
      <c r="F245" s="66">
        <v>114736000</v>
      </c>
      <c r="G245" s="21">
        <v>0</v>
      </c>
      <c r="H245" s="20">
        <f>TRUNC($F245*G245*0.0000001,1)</f>
        <v>0</v>
      </c>
      <c r="I245" s="21">
        <v>0</v>
      </c>
      <c r="J245" s="20">
        <f>TRUNC($F245*I245*0.0000001,1)</f>
        <v>0</v>
      </c>
      <c r="K245" s="19">
        <v>2385</v>
      </c>
      <c r="L245" s="20">
        <f>TRUNC($F245*K245*0.0000001,1)</f>
        <v>27364.5</v>
      </c>
    </row>
    <row r="246" spans="2:12" ht="11.25" customHeight="1" x14ac:dyDescent="0.2">
      <c r="C246" s="107" t="s">
        <v>1289</v>
      </c>
      <c r="D246" s="107"/>
      <c r="E246" s="23"/>
      <c r="F246" s="22"/>
      <c r="G246" s="22"/>
      <c r="H246" s="24">
        <f>TRUNC(SUM(H243:H245))</f>
        <v>21448</v>
      </c>
      <c r="I246" s="22"/>
      <c r="J246" s="24">
        <f>TRUNC(SUM(J243:J245))</f>
        <v>24478</v>
      </c>
      <c r="K246" s="22"/>
      <c r="L246" s="24">
        <f>TRUNC(SUM(L243:L245))</f>
        <v>27364</v>
      </c>
    </row>
    <row r="247" spans="2:12" ht="11.25" customHeight="1" x14ac:dyDescent="0.2">
      <c r="B247" s="29"/>
      <c r="C247" s="110"/>
      <c r="D247" s="110"/>
      <c r="E247" s="30"/>
      <c r="F247" s="30"/>
      <c r="G247" s="30"/>
      <c r="H247" s="30"/>
      <c r="I247" s="30"/>
      <c r="J247" s="30"/>
      <c r="K247" s="30"/>
      <c r="L247" s="18"/>
    </row>
    <row r="248" spans="2:12" ht="11.25" customHeight="1" x14ac:dyDescent="0.2">
      <c r="C248" s="126" t="s">
        <v>1286</v>
      </c>
      <c r="D248" s="126"/>
      <c r="E248" s="127"/>
      <c r="F248" s="125"/>
      <c r="G248" s="125"/>
      <c r="H248" s="128">
        <f>TRUNC(H246+H238+H241)</f>
        <v>97678</v>
      </c>
      <c r="I248" s="125"/>
      <c r="J248" s="128">
        <f>TRUNC(J246+J238+J241)</f>
        <v>103986</v>
      </c>
      <c r="K248" s="102"/>
      <c r="L248" s="104">
        <f>TRUNC(L246+L238+L241)</f>
        <v>110516</v>
      </c>
    </row>
    <row r="249" spans="2:12" ht="11.25" customHeight="1" x14ac:dyDescent="0.2">
      <c r="B249" s="186" t="s">
        <v>427</v>
      </c>
      <c r="C249" s="187" t="s">
        <v>428</v>
      </c>
      <c r="D249" s="187" t="s">
        <v>429</v>
      </c>
      <c r="E249" s="188" t="s">
        <v>430</v>
      </c>
      <c r="F249" s="188" t="s">
        <v>431</v>
      </c>
      <c r="G249" s="94" t="s">
        <v>1076</v>
      </c>
      <c r="H249" s="151"/>
      <c r="I249" s="94" t="s">
        <v>191</v>
      </c>
      <c r="J249" s="151"/>
    </row>
    <row r="250" spans="2:12" ht="11.25" customHeight="1" x14ac:dyDescent="0.2">
      <c r="B250" s="186"/>
      <c r="C250" s="187"/>
      <c r="D250" s="187"/>
      <c r="E250" s="188"/>
      <c r="F250" s="188"/>
      <c r="G250" s="17" t="s">
        <v>436</v>
      </c>
      <c r="H250" s="17" t="s">
        <v>437</v>
      </c>
      <c r="I250" s="17" t="s">
        <v>436</v>
      </c>
      <c r="J250" s="17" t="s">
        <v>437</v>
      </c>
    </row>
    <row r="251" spans="2:12" ht="11.25" customHeight="1" x14ac:dyDescent="0.2">
      <c r="C251" s="4" t="s">
        <v>426</v>
      </c>
      <c r="D251" s="4"/>
      <c r="E251" s="13" t="s">
        <v>494</v>
      </c>
      <c r="F251" s="25">
        <v>1505.45</v>
      </c>
      <c r="G251" s="26">
        <v>14.6</v>
      </c>
      <c r="H251" s="20">
        <f>TRUNC(($F251*G251),1)</f>
        <v>21979.5</v>
      </c>
      <c r="I251" s="26">
        <v>25.3</v>
      </c>
      <c r="J251" s="20">
        <f>TRUNC(($F251*I251),1)</f>
        <v>38087.800000000003</v>
      </c>
    </row>
    <row r="252" spans="2:12" ht="11.25" customHeight="1" x14ac:dyDescent="0.2">
      <c r="C252" s="4" t="s">
        <v>878</v>
      </c>
      <c r="D252" s="4" t="s">
        <v>1357</v>
      </c>
      <c r="E252" s="13" t="s">
        <v>232</v>
      </c>
      <c r="F252" s="18"/>
      <c r="G252" s="21">
        <v>21</v>
      </c>
      <c r="H252" s="20">
        <f>TRUNC(H251*G252*0.01,1)</f>
        <v>4615.6000000000004</v>
      </c>
      <c r="I252" s="21">
        <v>21</v>
      </c>
      <c r="J252" s="20">
        <f>TRUNC(J251*I252*0.01,1)</f>
        <v>7998.4</v>
      </c>
    </row>
    <row r="253" spans="2:12" ht="11.25" customHeight="1" x14ac:dyDescent="0.2">
      <c r="C253" s="107" t="s">
        <v>799</v>
      </c>
      <c r="D253" s="107"/>
      <c r="E253" s="23"/>
      <c r="F253" s="22"/>
      <c r="G253" s="22"/>
      <c r="H253" s="24">
        <f>TRUNC(SUM(H251:H252))</f>
        <v>26595</v>
      </c>
      <c r="I253" s="22"/>
      <c r="J253" s="24">
        <f>TRUNC(SUM(J251:J252))</f>
        <v>46086</v>
      </c>
    </row>
    <row r="254" spans="2:12" ht="11.25" customHeight="1" x14ac:dyDescent="0.2">
      <c r="B254" s="29"/>
      <c r="C254" s="110"/>
      <c r="D254" s="110"/>
      <c r="E254" s="30"/>
      <c r="F254" s="30"/>
      <c r="G254" s="30"/>
      <c r="H254" s="30"/>
      <c r="I254" s="30"/>
      <c r="J254" s="18"/>
    </row>
    <row r="255" spans="2:12" ht="11.25" customHeight="1" x14ac:dyDescent="0.2">
      <c r="C255" s="4" t="s">
        <v>798</v>
      </c>
      <c r="D255" s="4" t="s">
        <v>866</v>
      </c>
      <c r="E255" s="13" t="s">
        <v>497</v>
      </c>
      <c r="F255" s="28">
        <v>283297</v>
      </c>
      <c r="G255" s="18">
        <v>0.20799999999999999</v>
      </c>
      <c r="H255" s="20">
        <f>TRUNC(($F255*G255),1)</f>
        <v>58925.7</v>
      </c>
      <c r="I255" s="18">
        <v>0.20799999999999999</v>
      </c>
      <c r="J255" s="20">
        <f>TRUNC(($F255*I255),1)</f>
        <v>58925.7</v>
      </c>
    </row>
    <row r="256" spans="2:12" ht="11.25" customHeight="1" x14ac:dyDescent="0.2">
      <c r="C256" s="107" t="s">
        <v>1285</v>
      </c>
      <c r="D256" s="107"/>
      <c r="E256" s="23"/>
      <c r="F256" s="22"/>
      <c r="G256" s="22"/>
      <c r="H256" s="24">
        <f>TRUNC(SUM(H255:H255))</f>
        <v>58925</v>
      </c>
      <c r="I256" s="22"/>
      <c r="J256" s="24">
        <f>TRUNC(SUM(J255:J255))</f>
        <v>58925</v>
      </c>
    </row>
    <row r="257" spans="1:12" ht="11.25" customHeight="1" x14ac:dyDescent="0.2">
      <c r="C257" s="107"/>
      <c r="D257" s="107"/>
      <c r="E257" s="23"/>
      <c r="F257" s="22"/>
      <c r="G257" s="22"/>
      <c r="H257" s="22"/>
      <c r="I257" s="22"/>
      <c r="J257" s="22"/>
    </row>
    <row r="258" spans="1:12" ht="11.25" customHeight="1" x14ac:dyDescent="0.2">
      <c r="B258" s="8" t="s">
        <v>192</v>
      </c>
      <c r="C258" s="4" t="s">
        <v>1298</v>
      </c>
      <c r="D258" s="106" t="s">
        <v>190</v>
      </c>
      <c r="E258" s="13" t="s">
        <v>746</v>
      </c>
      <c r="F258" s="66">
        <v>125845000</v>
      </c>
      <c r="G258" s="19">
        <v>2385</v>
      </c>
      <c r="H258" s="20">
        <f>TRUNC($F258*G258*0.0000001,1)</f>
        <v>30014</v>
      </c>
      <c r="I258" s="21">
        <v>0</v>
      </c>
      <c r="J258" s="20">
        <f>TRUNC($F258*I258*0.0000001,1)</f>
        <v>0</v>
      </c>
    </row>
    <row r="259" spans="1:12" ht="11.25" customHeight="1" x14ac:dyDescent="0.2">
      <c r="B259" s="8" t="s">
        <v>193</v>
      </c>
      <c r="C259" s="4" t="s">
        <v>1298</v>
      </c>
      <c r="D259" s="106" t="s">
        <v>1299</v>
      </c>
      <c r="E259" s="13" t="s">
        <v>746</v>
      </c>
      <c r="F259" s="66">
        <v>199275000</v>
      </c>
      <c r="G259" s="21">
        <v>0</v>
      </c>
      <c r="H259" s="20">
        <f>TRUNC($F259*G259*0.0000001,1)</f>
        <v>0</v>
      </c>
      <c r="I259" s="19">
        <v>2385</v>
      </c>
      <c r="J259" s="20">
        <f>TRUNC($F259*I259*0.0000001,1)</f>
        <v>47527</v>
      </c>
    </row>
    <row r="260" spans="1:12" ht="11.25" customHeight="1" x14ac:dyDescent="0.2">
      <c r="C260" s="107" t="s">
        <v>1289</v>
      </c>
      <c r="D260" s="107"/>
      <c r="E260" s="23"/>
      <c r="F260" s="22"/>
      <c r="G260" s="22"/>
      <c r="H260" s="24">
        <f>TRUNC(SUM(H258:H259))</f>
        <v>30014</v>
      </c>
      <c r="I260" s="22"/>
      <c r="J260" s="24">
        <f>TRUNC(SUM(J258:J259))</f>
        <v>47527</v>
      </c>
    </row>
    <row r="261" spans="1:12" ht="11.25" customHeight="1" x14ac:dyDescent="0.2">
      <c r="B261" s="29"/>
      <c r="C261" s="110"/>
      <c r="D261" s="110"/>
      <c r="E261" s="30"/>
      <c r="F261" s="30"/>
      <c r="G261" s="30"/>
      <c r="H261" s="30"/>
      <c r="I261" s="30"/>
      <c r="J261" s="18"/>
    </row>
    <row r="262" spans="1:12" ht="11.25" customHeight="1" x14ac:dyDescent="0.2">
      <c r="B262" s="16"/>
      <c r="C262" s="108" t="s">
        <v>1286</v>
      </c>
      <c r="D262" s="108"/>
      <c r="E262" s="103"/>
      <c r="F262" s="102"/>
      <c r="G262" s="102"/>
      <c r="H262" s="104">
        <f>TRUNC(H260+H253+H256)</f>
        <v>115534</v>
      </c>
      <c r="I262" s="102"/>
      <c r="J262" s="104">
        <f>TRUNC(J260+J253+J256)</f>
        <v>152538</v>
      </c>
    </row>
    <row r="264" spans="1:12" ht="11.25" customHeight="1" x14ac:dyDescent="0.2">
      <c r="A264" s="7"/>
      <c r="B264" s="68" t="s">
        <v>1300</v>
      </c>
      <c r="C264" s="119"/>
      <c r="L264" s="49" t="s">
        <v>1307</v>
      </c>
    </row>
    <row r="265" spans="1:12" ht="11.25" customHeight="1" x14ac:dyDescent="0.2">
      <c r="B265" s="186" t="s">
        <v>427</v>
      </c>
      <c r="C265" s="187" t="s">
        <v>428</v>
      </c>
      <c r="D265" s="187" t="s">
        <v>429</v>
      </c>
      <c r="E265" s="188" t="s">
        <v>430</v>
      </c>
      <c r="F265" s="188" t="s">
        <v>431</v>
      </c>
      <c r="G265" s="94" t="s">
        <v>1077</v>
      </c>
      <c r="H265" s="151"/>
      <c r="I265" s="94" t="s">
        <v>1072</v>
      </c>
      <c r="J265" s="151"/>
      <c r="K265" s="94" t="s">
        <v>1073</v>
      </c>
      <c r="L265" s="151"/>
    </row>
    <row r="266" spans="1:12" ht="11.25" customHeight="1" x14ac:dyDescent="0.2">
      <c r="B266" s="186"/>
      <c r="C266" s="187"/>
      <c r="D266" s="187"/>
      <c r="E266" s="188"/>
      <c r="F266" s="188"/>
      <c r="G266" s="17" t="s">
        <v>436</v>
      </c>
      <c r="H266" s="17" t="s">
        <v>437</v>
      </c>
      <c r="I266" s="17" t="s">
        <v>436</v>
      </c>
      <c r="J266" s="17" t="s">
        <v>437</v>
      </c>
      <c r="K266" s="17" t="s">
        <v>436</v>
      </c>
      <c r="L266" s="17" t="s">
        <v>437</v>
      </c>
    </row>
    <row r="267" spans="1:12" ht="11.25" customHeight="1" x14ac:dyDescent="0.2">
      <c r="C267" s="4" t="s">
        <v>426</v>
      </c>
      <c r="D267" s="4"/>
      <c r="E267" s="13" t="s">
        <v>494</v>
      </c>
      <c r="F267" s="25">
        <v>1505.45</v>
      </c>
      <c r="G267" s="27">
        <v>3.3</v>
      </c>
      <c r="H267" s="20">
        <f>TRUNC(($F267*G267),1)</f>
        <v>4967.8999999999996</v>
      </c>
      <c r="I267" s="27">
        <v>3.5</v>
      </c>
      <c r="J267" s="20">
        <f>TRUNC(($F267*I267),1)</f>
        <v>5269</v>
      </c>
      <c r="K267" s="27">
        <v>6.2</v>
      </c>
      <c r="L267" s="20">
        <f>TRUNC(($F267*K267),1)</f>
        <v>9333.7000000000007</v>
      </c>
    </row>
    <row r="268" spans="1:12" ht="11.25" customHeight="1" x14ac:dyDescent="0.2">
      <c r="C268" s="4" t="s">
        <v>878</v>
      </c>
      <c r="D268" s="4" t="s">
        <v>1357</v>
      </c>
      <c r="E268" s="13" t="s">
        <v>232</v>
      </c>
      <c r="F268" s="18"/>
      <c r="G268" s="21">
        <v>44</v>
      </c>
      <c r="H268" s="20">
        <f>TRUNC(H267*G268*0.01,1)</f>
        <v>2185.8000000000002</v>
      </c>
      <c r="I268" s="21">
        <v>44</v>
      </c>
      <c r="J268" s="20">
        <f>TRUNC(J267*I268*0.01,1)</f>
        <v>2318.3000000000002</v>
      </c>
      <c r="K268" s="21">
        <v>44</v>
      </c>
      <c r="L268" s="20">
        <f>TRUNC(L267*K268*0.01,1)</f>
        <v>4106.8</v>
      </c>
    </row>
    <row r="269" spans="1:12" ht="11.25" customHeight="1" x14ac:dyDescent="0.2">
      <c r="C269" s="107" t="s">
        <v>799</v>
      </c>
      <c r="D269" s="107"/>
      <c r="E269" s="23"/>
      <c r="F269" s="22"/>
      <c r="G269" s="22"/>
      <c r="H269" s="24">
        <f>TRUNC(SUM(H267:H268))</f>
        <v>7153</v>
      </c>
      <c r="I269" s="22"/>
      <c r="J269" s="24">
        <f>TRUNC(SUM(J267:J268))</f>
        <v>7587</v>
      </c>
      <c r="K269" s="22"/>
      <c r="L269" s="24">
        <f>TRUNC(SUM(L267:L268))</f>
        <v>13440</v>
      </c>
    </row>
    <row r="270" spans="1:12" ht="11.25" customHeight="1" x14ac:dyDescent="0.2">
      <c r="C270" s="4"/>
      <c r="D270" s="4"/>
      <c r="E270" s="13"/>
      <c r="F270" s="18"/>
      <c r="G270" s="18"/>
      <c r="H270" s="18"/>
      <c r="I270" s="18"/>
      <c r="J270" s="18"/>
      <c r="K270" s="18"/>
      <c r="L270" s="18"/>
    </row>
    <row r="271" spans="1:12" ht="11.25" customHeight="1" x14ac:dyDescent="0.2">
      <c r="C271" s="4" t="s">
        <v>798</v>
      </c>
      <c r="D271" s="4" t="s">
        <v>866</v>
      </c>
      <c r="E271" s="13" t="s">
        <v>497</v>
      </c>
      <c r="F271" s="28">
        <v>283297</v>
      </c>
      <c r="G271" s="18">
        <v>0.20799999999999999</v>
      </c>
      <c r="H271" s="20">
        <f>TRUNC(($F271*G271),1)</f>
        <v>58925.7</v>
      </c>
      <c r="I271" s="18">
        <v>0.20799999999999999</v>
      </c>
      <c r="J271" s="20">
        <f>TRUNC(($F271*I271),1)</f>
        <v>58925.7</v>
      </c>
      <c r="K271" s="18">
        <v>0.20799999999999999</v>
      </c>
      <c r="L271" s="20">
        <f>TRUNC(($F271*K271),1)</f>
        <v>58925.7</v>
      </c>
    </row>
    <row r="272" spans="1:12" ht="11.25" customHeight="1" x14ac:dyDescent="0.2">
      <c r="C272" s="107" t="s">
        <v>1285</v>
      </c>
      <c r="D272" s="107"/>
      <c r="E272" s="23"/>
      <c r="F272" s="22"/>
      <c r="G272" s="22"/>
      <c r="H272" s="24">
        <f>TRUNC(SUM(H271:H271))</f>
        <v>58925</v>
      </c>
      <c r="I272" s="22"/>
      <c r="J272" s="24">
        <f>TRUNC(SUM(J271:J271))</f>
        <v>58925</v>
      </c>
      <c r="K272" s="22"/>
      <c r="L272" s="24">
        <f>TRUNC(SUM(L271:L271))</f>
        <v>58925</v>
      </c>
    </row>
    <row r="273" spans="2:12" ht="11.25" customHeight="1" x14ac:dyDescent="0.2">
      <c r="C273" s="4"/>
      <c r="D273" s="4"/>
      <c r="E273" s="13"/>
      <c r="F273" s="18"/>
      <c r="G273" s="18"/>
      <c r="H273" s="18"/>
      <c r="I273" s="18"/>
      <c r="J273" s="18"/>
      <c r="K273" s="18"/>
      <c r="L273" s="18"/>
    </row>
    <row r="274" spans="2:12" ht="11.25" customHeight="1" x14ac:dyDescent="0.2">
      <c r="B274" s="8" t="s">
        <v>119</v>
      </c>
      <c r="C274" s="4" t="s">
        <v>1251</v>
      </c>
      <c r="D274" s="106" t="s">
        <v>194</v>
      </c>
      <c r="E274" s="13" t="s">
        <v>746</v>
      </c>
      <c r="F274" s="66">
        <v>30197000</v>
      </c>
      <c r="G274" s="19">
        <v>2085</v>
      </c>
      <c r="H274" s="20">
        <f>TRUNC($F274*G274*0.0000001,1)</f>
        <v>6296</v>
      </c>
      <c r="I274" s="21">
        <v>0</v>
      </c>
      <c r="J274" s="20">
        <f>TRUNC($F274*I274*0.0000001,1)</f>
        <v>0</v>
      </c>
      <c r="K274" s="21">
        <v>0</v>
      </c>
      <c r="L274" s="20">
        <f>TRUNC($F274*K274*0.0000001,1)</f>
        <v>0</v>
      </c>
    </row>
    <row r="275" spans="2:12" ht="11.25" customHeight="1" x14ac:dyDescent="0.2">
      <c r="B275" s="8" t="s">
        <v>120</v>
      </c>
      <c r="C275" s="4" t="s">
        <v>1251</v>
      </c>
      <c r="D275" s="106" t="s">
        <v>588</v>
      </c>
      <c r="E275" s="13" t="s">
        <v>746</v>
      </c>
      <c r="F275" s="66">
        <v>35999000</v>
      </c>
      <c r="G275" s="21">
        <v>0</v>
      </c>
      <c r="H275" s="20">
        <f>TRUNC($F275*G275*0.0000001,1)</f>
        <v>0</v>
      </c>
      <c r="I275" s="19">
        <v>2085</v>
      </c>
      <c r="J275" s="20">
        <f>TRUNC($F275*I275*0.0000001,1)</f>
        <v>7505.7</v>
      </c>
      <c r="K275" s="21">
        <v>0</v>
      </c>
      <c r="L275" s="20">
        <f>TRUNC($F275*K275*0.0000001,1)</f>
        <v>0</v>
      </c>
    </row>
    <row r="276" spans="2:12" ht="11.25" customHeight="1" x14ac:dyDescent="0.2">
      <c r="B276" s="8" t="s">
        <v>121</v>
      </c>
      <c r="C276" s="4" t="s">
        <v>1251</v>
      </c>
      <c r="D276" s="106" t="s">
        <v>590</v>
      </c>
      <c r="E276" s="13" t="s">
        <v>746</v>
      </c>
      <c r="F276" s="66">
        <v>46576000</v>
      </c>
      <c r="G276" s="21">
        <v>0</v>
      </c>
      <c r="H276" s="20">
        <f>TRUNC($F276*G276*0.0000001,1)</f>
        <v>0</v>
      </c>
      <c r="I276" s="21">
        <v>0</v>
      </c>
      <c r="J276" s="20">
        <f>TRUNC($F276*I276*0.0000001,1)</f>
        <v>0</v>
      </c>
      <c r="K276" s="19">
        <v>2085</v>
      </c>
      <c r="L276" s="20">
        <f>TRUNC($F276*K276*0.0000001,1)</f>
        <v>9711</v>
      </c>
    </row>
    <row r="277" spans="2:12" ht="11.25" customHeight="1" x14ac:dyDescent="0.2">
      <c r="C277" s="107" t="s">
        <v>1289</v>
      </c>
      <c r="D277" s="107"/>
      <c r="E277" s="23"/>
      <c r="F277" s="22"/>
      <c r="G277" s="22"/>
      <c r="H277" s="24">
        <f>TRUNC(SUM(H274:H276))</f>
        <v>6296</v>
      </c>
      <c r="I277" s="22"/>
      <c r="J277" s="24">
        <f>TRUNC(SUM(J274:J276))</f>
        <v>7505</v>
      </c>
      <c r="K277" s="22"/>
      <c r="L277" s="24">
        <f>TRUNC(SUM(L274:L276))</f>
        <v>9711</v>
      </c>
    </row>
    <row r="278" spans="2:12" ht="11.25" customHeight="1" x14ac:dyDescent="0.2">
      <c r="C278" s="4"/>
      <c r="D278" s="4"/>
      <c r="E278" s="13"/>
      <c r="F278" s="18"/>
      <c r="G278" s="18"/>
      <c r="H278" s="18"/>
      <c r="I278" s="18"/>
      <c r="J278" s="18"/>
      <c r="K278" s="18"/>
      <c r="L278" s="18"/>
    </row>
    <row r="279" spans="2:12" ht="11.25" customHeight="1" x14ac:dyDescent="0.2">
      <c r="C279" s="126" t="s">
        <v>1286</v>
      </c>
      <c r="D279" s="126"/>
      <c r="E279" s="127"/>
      <c r="F279" s="125"/>
      <c r="G279" s="125"/>
      <c r="H279" s="128">
        <f>TRUNC(H277+H269+H272)</f>
        <v>72374</v>
      </c>
      <c r="I279" s="125"/>
      <c r="J279" s="128">
        <f>TRUNC(J277+J269+J272)</f>
        <v>74017</v>
      </c>
      <c r="K279" s="125"/>
      <c r="L279" s="128">
        <f>TRUNC(L277+L269+L272)</f>
        <v>82076</v>
      </c>
    </row>
    <row r="280" spans="2:12" ht="11.25" customHeight="1" x14ac:dyDescent="0.2">
      <c r="B280" s="186" t="s">
        <v>427</v>
      </c>
      <c r="C280" s="187" t="s">
        <v>428</v>
      </c>
      <c r="D280" s="187" t="s">
        <v>429</v>
      </c>
      <c r="E280" s="188" t="s">
        <v>430</v>
      </c>
      <c r="F280" s="188" t="s">
        <v>431</v>
      </c>
      <c r="G280" s="94" t="s">
        <v>667</v>
      </c>
      <c r="H280" s="151"/>
      <c r="I280" s="94" t="s">
        <v>1076</v>
      </c>
      <c r="J280" s="151"/>
      <c r="K280" s="94" t="s">
        <v>1078</v>
      </c>
      <c r="L280" s="151"/>
    </row>
    <row r="281" spans="2:12" ht="11.25" customHeight="1" x14ac:dyDescent="0.2">
      <c r="B281" s="186"/>
      <c r="C281" s="187"/>
      <c r="D281" s="187"/>
      <c r="E281" s="188"/>
      <c r="F281" s="188"/>
      <c r="G281" s="17" t="s">
        <v>436</v>
      </c>
      <c r="H281" s="17" t="s">
        <v>437</v>
      </c>
      <c r="I281" s="17" t="s">
        <v>436</v>
      </c>
      <c r="J281" s="17" t="s">
        <v>437</v>
      </c>
      <c r="K281" s="17" t="s">
        <v>436</v>
      </c>
      <c r="L281" s="17" t="s">
        <v>437</v>
      </c>
    </row>
    <row r="282" spans="2:12" ht="11.25" customHeight="1" x14ac:dyDescent="0.2">
      <c r="C282" s="4" t="s">
        <v>426</v>
      </c>
      <c r="D282" s="4"/>
      <c r="E282" s="13" t="s">
        <v>494</v>
      </c>
      <c r="F282" s="25">
        <v>1505.45</v>
      </c>
      <c r="G282" s="27">
        <v>7.7</v>
      </c>
      <c r="H282" s="20">
        <f>TRUNC(($F282*G282),1)</f>
        <v>11591.9</v>
      </c>
      <c r="I282" s="27">
        <v>9.8000000000000007</v>
      </c>
      <c r="J282" s="20">
        <f>TRUNC(($F282*I282),1)</f>
        <v>14753.4</v>
      </c>
      <c r="K282" s="27">
        <v>13.3</v>
      </c>
      <c r="L282" s="20">
        <f>TRUNC(($F282*K282),1)</f>
        <v>20022.400000000001</v>
      </c>
    </row>
    <row r="283" spans="2:12" ht="11.25" customHeight="1" x14ac:dyDescent="0.2">
      <c r="C283" s="4" t="s">
        <v>878</v>
      </c>
      <c r="D283" s="4" t="s">
        <v>1357</v>
      </c>
      <c r="E283" s="13" t="s">
        <v>232</v>
      </c>
      <c r="F283" s="18"/>
      <c r="G283" s="21">
        <v>44</v>
      </c>
      <c r="H283" s="20">
        <f>TRUNC(H282*G283*0.01,1)</f>
        <v>5100.3999999999996</v>
      </c>
      <c r="I283" s="21">
        <v>44</v>
      </c>
      <c r="J283" s="20">
        <f>TRUNC(J282*I283*0.01,1)</f>
        <v>6491.4</v>
      </c>
      <c r="K283" s="21">
        <v>44</v>
      </c>
      <c r="L283" s="20">
        <f>TRUNC(L282*K283*0.01,1)</f>
        <v>8809.7999999999993</v>
      </c>
    </row>
    <row r="284" spans="2:12" ht="11.25" customHeight="1" x14ac:dyDescent="0.2">
      <c r="C284" s="107" t="s">
        <v>799</v>
      </c>
      <c r="D284" s="107"/>
      <c r="E284" s="23"/>
      <c r="F284" s="22"/>
      <c r="G284" s="22"/>
      <c r="H284" s="24">
        <f>TRUNC(SUM(H282:H283))</f>
        <v>16692</v>
      </c>
      <c r="I284" s="22"/>
      <c r="J284" s="24">
        <f>TRUNC(SUM(J282:J283))</f>
        <v>21244</v>
      </c>
      <c r="K284" s="22"/>
      <c r="L284" s="24">
        <f>TRUNC(SUM(L282:L283))</f>
        <v>28832</v>
      </c>
    </row>
    <row r="285" spans="2:12" ht="11.25" customHeight="1" x14ac:dyDescent="0.2">
      <c r="C285" s="4"/>
      <c r="D285" s="4"/>
      <c r="E285" s="13"/>
      <c r="F285" s="18"/>
      <c r="G285" s="18"/>
      <c r="H285" s="18"/>
      <c r="I285" s="18"/>
      <c r="J285" s="18"/>
      <c r="K285" s="18"/>
      <c r="L285" s="18"/>
    </row>
    <row r="286" spans="2:12" ht="11.25" customHeight="1" x14ac:dyDescent="0.2">
      <c r="C286" s="4" t="s">
        <v>798</v>
      </c>
      <c r="D286" s="4" t="s">
        <v>866</v>
      </c>
      <c r="E286" s="13" t="s">
        <v>497</v>
      </c>
      <c r="F286" s="28">
        <v>283297</v>
      </c>
      <c r="G286" s="18">
        <v>0.20799999999999999</v>
      </c>
      <c r="H286" s="20">
        <f>TRUNC(($F286*G286),1)</f>
        <v>58925.7</v>
      </c>
      <c r="I286" s="18">
        <v>0.20799999999999999</v>
      </c>
      <c r="J286" s="20">
        <f>TRUNC(($F286*I286),1)</f>
        <v>58925.7</v>
      </c>
      <c r="K286" s="18">
        <v>0.20799999999999999</v>
      </c>
      <c r="L286" s="20">
        <f>TRUNC(($F286*K286),1)</f>
        <v>58925.7</v>
      </c>
    </row>
    <row r="287" spans="2:12" ht="11.25" customHeight="1" x14ac:dyDescent="0.2">
      <c r="C287" s="107" t="s">
        <v>1285</v>
      </c>
      <c r="D287" s="107"/>
      <c r="E287" s="23"/>
      <c r="F287" s="22"/>
      <c r="G287" s="22"/>
      <c r="H287" s="24">
        <f>TRUNC(SUM(H286:H286))</f>
        <v>58925</v>
      </c>
      <c r="I287" s="22"/>
      <c r="J287" s="24">
        <f>TRUNC(SUM(J286:J286))</f>
        <v>58925</v>
      </c>
      <c r="K287" s="22"/>
      <c r="L287" s="24">
        <f>TRUNC(SUM(L286:L286))</f>
        <v>58925</v>
      </c>
    </row>
    <row r="288" spans="2:12" ht="11.25" customHeight="1" x14ac:dyDescent="0.2">
      <c r="C288" s="4"/>
      <c r="D288" s="4"/>
      <c r="E288" s="13"/>
      <c r="F288" s="18"/>
      <c r="G288" s="18"/>
      <c r="H288" s="18"/>
      <c r="I288" s="18"/>
      <c r="J288" s="18"/>
      <c r="K288" s="18"/>
      <c r="L288" s="18"/>
    </row>
    <row r="289" spans="2:12" ht="11.25" customHeight="1" x14ac:dyDescent="0.2">
      <c r="B289" s="8" t="s">
        <v>122</v>
      </c>
      <c r="C289" s="4" t="s">
        <v>1251</v>
      </c>
      <c r="D289" s="106" t="s">
        <v>219</v>
      </c>
      <c r="E289" s="13" t="s">
        <v>746</v>
      </c>
      <c r="F289" s="66">
        <v>91620000</v>
      </c>
      <c r="G289" s="19">
        <v>2085</v>
      </c>
      <c r="H289" s="20">
        <f>TRUNC($F289*G289*0.0000001,1)</f>
        <v>19102.7</v>
      </c>
      <c r="I289" s="21">
        <v>0</v>
      </c>
      <c r="J289" s="20">
        <f>TRUNC($F289*I289*0.0000001,1)</f>
        <v>0</v>
      </c>
      <c r="K289" s="21">
        <v>0</v>
      </c>
      <c r="L289" s="20">
        <f>TRUNC($F289*K289*0.0000001,1)</f>
        <v>0</v>
      </c>
    </row>
    <row r="290" spans="2:12" ht="11.25" customHeight="1" x14ac:dyDescent="0.2">
      <c r="B290" s="8" t="s">
        <v>123</v>
      </c>
      <c r="C290" s="4" t="s">
        <v>1251</v>
      </c>
      <c r="D290" s="106" t="s">
        <v>190</v>
      </c>
      <c r="E290" s="13" t="s">
        <v>746</v>
      </c>
      <c r="F290" s="66">
        <v>117351000</v>
      </c>
      <c r="G290" s="21">
        <v>0</v>
      </c>
      <c r="H290" s="20">
        <f>TRUNC($F290*G290*0.0000001,1)</f>
        <v>0</v>
      </c>
      <c r="I290" s="19">
        <v>2085</v>
      </c>
      <c r="J290" s="20">
        <f>TRUNC($F290*I290*0.0000001,1)</f>
        <v>24467.599999999999</v>
      </c>
      <c r="K290" s="21">
        <v>0</v>
      </c>
      <c r="L290" s="20">
        <f>TRUNC($F290*K290*0.0000001,1)</f>
        <v>0</v>
      </c>
    </row>
    <row r="291" spans="2:12" ht="11.25" customHeight="1" x14ac:dyDescent="0.2">
      <c r="B291" s="8" t="s">
        <v>124</v>
      </c>
      <c r="C291" s="4" t="s">
        <v>1251</v>
      </c>
      <c r="D291" s="106" t="s">
        <v>195</v>
      </c>
      <c r="E291" s="13" t="s">
        <v>746</v>
      </c>
      <c r="F291" s="66">
        <v>130266000</v>
      </c>
      <c r="G291" s="21">
        <v>0</v>
      </c>
      <c r="H291" s="20">
        <f>TRUNC($F291*G291*0.0000001,1)</f>
        <v>0</v>
      </c>
      <c r="I291" s="21">
        <v>0</v>
      </c>
      <c r="J291" s="20">
        <f>TRUNC($F291*I291*0.0000001,1)</f>
        <v>0</v>
      </c>
      <c r="K291" s="19">
        <v>2085</v>
      </c>
      <c r="L291" s="20">
        <f>TRUNC($F291*K291*0.0000001,1)</f>
        <v>27160.400000000001</v>
      </c>
    </row>
    <row r="292" spans="2:12" ht="11.25" customHeight="1" x14ac:dyDescent="0.2">
      <c r="C292" s="107" t="s">
        <v>1289</v>
      </c>
      <c r="D292" s="107"/>
      <c r="E292" s="23"/>
      <c r="F292" s="22"/>
      <c r="G292" s="22"/>
      <c r="H292" s="24">
        <f>TRUNC(SUM(H289:H291))</f>
        <v>19102</v>
      </c>
      <c r="I292" s="22"/>
      <c r="J292" s="24">
        <f>TRUNC(SUM(J289:J291))</f>
        <v>24467</v>
      </c>
      <c r="K292" s="22"/>
      <c r="L292" s="24">
        <f>TRUNC(SUM(L289:L291))</f>
        <v>27160</v>
      </c>
    </row>
    <row r="293" spans="2:12" ht="11.25" customHeight="1" x14ac:dyDescent="0.2">
      <c r="C293" s="4"/>
      <c r="D293" s="4"/>
      <c r="E293" s="13"/>
      <c r="F293" s="18"/>
      <c r="G293" s="18"/>
      <c r="H293" s="18"/>
      <c r="I293" s="18"/>
      <c r="J293" s="18"/>
      <c r="K293" s="18"/>
      <c r="L293" s="18"/>
    </row>
    <row r="294" spans="2:12" ht="11.25" customHeight="1" x14ac:dyDescent="0.2">
      <c r="C294" s="126" t="s">
        <v>1286</v>
      </c>
      <c r="D294" s="126"/>
      <c r="E294" s="127"/>
      <c r="F294" s="125"/>
      <c r="G294" s="125"/>
      <c r="H294" s="128">
        <f>TRUNC(H292+H284+H287)</f>
        <v>94719</v>
      </c>
      <c r="I294" s="125"/>
      <c r="J294" s="128">
        <f>TRUNC(J292+J284+J287)</f>
        <v>104636</v>
      </c>
      <c r="K294" s="125"/>
      <c r="L294" s="128">
        <f>TRUNC(L292+L284+L287)</f>
        <v>114917</v>
      </c>
    </row>
    <row r="295" spans="2:12" ht="11.25" customHeight="1" x14ac:dyDescent="0.2">
      <c r="B295" s="186" t="s">
        <v>427</v>
      </c>
      <c r="C295" s="187" t="s">
        <v>428</v>
      </c>
      <c r="D295" s="187" t="s">
        <v>429</v>
      </c>
      <c r="E295" s="188" t="s">
        <v>430</v>
      </c>
      <c r="F295" s="188" t="s">
        <v>431</v>
      </c>
      <c r="G295" s="94" t="s">
        <v>191</v>
      </c>
      <c r="H295" s="151"/>
      <c r="I295" s="94" t="s">
        <v>196</v>
      </c>
      <c r="J295" s="151"/>
      <c r="K295" s="94" t="s">
        <v>197</v>
      </c>
      <c r="L295" s="151"/>
    </row>
    <row r="296" spans="2:12" ht="11.25" customHeight="1" x14ac:dyDescent="0.2">
      <c r="B296" s="186"/>
      <c r="C296" s="187"/>
      <c r="D296" s="187"/>
      <c r="E296" s="188"/>
      <c r="F296" s="188"/>
      <c r="G296" s="17" t="s">
        <v>436</v>
      </c>
      <c r="H296" s="17" t="s">
        <v>437</v>
      </c>
      <c r="I296" s="17" t="s">
        <v>436</v>
      </c>
      <c r="J296" s="17" t="s">
        <v>437</v>
      </c>
      <c r="K296" s="17" t="s">
        <v>436</v>
      </c>
      <c r="L296" s="17" t="s">
        <v>437</v>
      </c>
    </row>
    <row r="297" spans="2:12" ht="11.25" customHeight="1" x14ac:dyDescent="0.2">
      <c r="C297" s="4" t="s">
        <v>426</v>
      </c>
      <c r="D297" s="4"/>
      <c r="E297" s="13" t="s">
        <v>494</v>
      </c>
      <c r="F297" s="25">
        <v>1505.45</v>
      </c>
      <c r="G297" s="27">
        <v>16.399999999999999</v>
      </c>
      <c r="H297" s="20">
        <f>TRUNC(($F297*G297),1)</f>
        <v>24689.3</v>
      </c>
      <c r="I297" s="27">
        <v>19.899999999999999</v>
      </c>
      <c r="J297" s="20">
        <f>TRUNC(($F297*I297),1)</f>
        <v>29958.400000000001</v>
      </c>
      <c r="K297" s="27">
        <v>29.4</v>
      </c>
      <c r="L297" s="20">
        <f>TRUNC(($F297*K297),1)</f>
        <v>44260.2</v>
      </c>
    </row>
    <row r="298" spans="2:12" ht="11.25" customHeight="1" x14ac:dyDescent="0.2">
      <c r="C298" s="4" t="s">
        <v>878</v>
      </c>
      <c r="D298" s="4" t="s">
        <v>1357</v>
      </c>
      <c r="E298" s="13" t="s">
        <v>232</v>
      </c>
      <c r="F298" s="18"/>
      <c r="G298" s="21">
        <v>44</v>
      </c>
      <c r="H298" s="20">
        <f>TRUNC(H297*G298*0.01,1)</f>
        <v>10863.2</v>
      </c>
      <c r="I298" s="21">
        <v>44</v>
      </c>
      <c r="J298" s="20">
        <f>TRUNC(J297*I298*0.01,1)</f>
        <v>13181.6</v>
      </c>
      <c r="K298" s="21">
        <v>44</v>
      </c>
      <c r="L298" s="20">
        <f>TRUNC(L297*K298*0.01,1)</f>
        <v>19474.400000000001</v>
      </c>
    </row>
    <row r="299" spans="2:12" ht="11.25" customHeight="1" x14ac:dyDescent="0.2">
      <c r="C299" s="107" t="s">
        <v>799</v>
      </c>
      <c r="D299" s="107"/>
      <c r="E299" s="23"/>
      <c r="F299" s="22"/>
      <c r="G299" s="22"/>
      <c r="H299" s="24">
        <f>TRUNC(SUM(H297:H298))</f>
        <v>35552</v>
      </c>
      <c r="I299" s="22"/>
      <c r="J299" s="24">
        <f>TRUNC(SUM(J297:J298))</f>
        <v>43140</v>
      </c>
      <c r="K299" s="22"/>
      <c r="L299" s="24">
        <f>TRUNC(SUM(L297:L298))</f>
        <v>63734</v>
      </c>
    </row>
    <row r="300" spans="2:12" ht="11.25" customHeight="1" x14ac:dyDescent="0.2">
      <c r="C300" s="4"/>
      <c r="D300" s="4"/>
      <c r="E300" s="13"/>
      <c r="F300" s="18"/>
      <c r="G300" s="18"/>
      <c r="H300" s="18"/>
      <c r="I300" s="18"/>
      <c r="J300" s="18"/>
      <c r="K300" s="18"/>
      <c r="L300" s="18"/>
    </row>
    <row r="301" spans="2:12" ht="11.25" customHeight="1" x14ac:dyDescent="0.2">
      <c r="C301" s="4" t="s">
        <v>798</v>
      </c>
      <c r="D301" s="4" t="s">
        <v>866</v>
      </c>
      <c r="E301" s="13" t="s">
        <v>497</v>
      </c>
      <c r="F301" s="28">
        <v>283297</v>
      </c>
      <c r="G301" s="18">
        <v>0.20799999999999999</v>
      </c>
      <c r="H301" s="20">
        <f>TRUNC(($F301*G301),1)</f>
        <v>58925.7</v>
      </c>
      <c r="I301" s="18">
        <v>0.20799999999999999</v>
      </c>
      <c r="J301" s="20">
        <f>TRUNC(($F301*I301),1)</f>
        <v>58925.7</v>
      </c>
      <c r="K301" s="18">
        <v>0.20799999999999999</v>
      </c>
      <c r="L301" s="20">
        <f>TRUNC(($F301*K301),1)</f>
        <v>58925.7</v>
      </c>
    </row>
    <row r="302" spans="2:12" ht="11.25" customHeight="1" x14ac:dyDescent="0.2">
      <c r="C302" s="107" t="s">
        <v>1285</v>
      </c>
      <c r="D302" s="107"/>
      <c r="E302" s="23"/>
      <c r="F302" s="22"/>
      <c r="G302" s="22"/>
      <c r="H302" s="24">
        <f>TRUNC(SUM(H301:H301))</f>
        <v>58925</v>
      </c>
      <c r="I302" s="22"/>
      <c r="J302" s="24">
        <f>TRUNC(SUM(J301:J301))</f>
        <v>58925</v>
      </c>
      <c r="K302" s="22"/>
      <c r="L302" s="24">
        <f>TRUNC(SUM(L301:L301))</f>
        <v>58925</v>
      </c>
    </row>
    <row r="303" spans="2:12" ht="11.25" customHeight="1" x14ac:dyDescent="0.2">
      <c r="C303" s="107"/>
      <c r="D303" s="107"/>
      <c r="E303" s="23"/>
      <c r="F303" s="22"/>
      <c r="G303" s="22"/>
      <c r="H303" s="22"/>
      <c r="I303" s="22"/>
      <c r="J303" s="22"/>
      <c r="K303" s="22"/>
      <c r="L303" s="22"/>
    </row>
    <row r="304" spans="2:12" ht="11.25" customHeight="1" x14ac:dyDescent="0.2">
      <c r="B304" s="8" t="s">
        <v>125</v>
      </c>
      <c r="C304" s="4" t="s">
        <v>1251</v>
      </c>
      <c r="D304" s="106" t="s">
        <v>1299</v>
      </c>
      <c r="E304" s="13" t="s">
        <v>746</v>
      </c>
      <c r="F304" s="66">
        <v>152668000</v>
      </c>
      <c r="G304" s="19">
        <v>2085</v>
      </c>
      <c r="H304" s="20">
        <f>TRUNC($F304*G304*0.0000001,1)</f>
        <v>31831.200000000001</v>
      </c>
      <c r="I304" s="21">
        <v>0</v>
      </c>
      <c r="J304" s="20">
        <f>TRUNC($F304*I304*0.0000001,1)</f>
        <v>0</v>
      </c>
      <c r="K304" s="21">
        <v>0</v>
      </c>
      <c r="L304" s="20">
        <f>TRUNC($F304*K304*0.0000001,1)</f>
        <v>0</v>
      </c>
    </row>
    <row r="305" spans="2:12" ht="11.25" customHeight="1" x14ac:dyDescent="0.2">
      <c r="B305" s="8" t="s">
        <v>126</v>
      </c>
      <c r="C305" s="4" t="s">
        <v>1251</v>
      </c>
      <c r="D305" s="106" t="s">
        <v>1301</v>
      </c>
      <c r="E305" s="13" t="s">
        <v>746</v>
      </c>
      <c r="F305" s="66">
        <v>185595000</v>
      </c>
      <c r="G305" s="21">
        <v>0</v>
      </c>
      <c r="H305" s="20">
        <f>TRUNC($F305*G305*0.0000001,1)</f>
        <v>0</v>
      </c>
      <c r="I305" s="19">
        <v>2085</v>
      </c>
      <c r="J305" s="20">
        <f>TRUNC($F305*I305*0.0000001,1)</f>
        <v>38696.5</v>
      </c>
      <c r="K305" s="21">
        <v>0</v>
      </c>
      <c r="L305" s="20">
        <f>TRUNC($F305*K305*0.0000001,1)</f>
        <v>0</v>
      </c>
    </row>
    <row r="306" spans="2:12" ht="11.25" customHeight="1" x14ac:dyDescent="0.2">
      <c r="B306" s="8" t="s">
        <v>127</v>
      </c>
      <c r="C306" s="4" t="s">
        <v>1251</v>
      </c>
      <c r="D306" s="106" t="s">
        <v>1302</v>
      </c>
      <c r="E306" s="13" t="s">
        <v>746</v>
      </c>
      <c r="F306" s="66">
        <v>315000000</v>
      </c>
      <c r="G306" s="21">
        <v>0</v>
      </c>
      <c r="H306" s="20">
        <f>TRUNC($F306*G306*0.0000001,1)</f>
        <v>0</v>
      </c>
      <c r="I306" s="21">
        <v>0</v>
      </c>
      <c r="J306" s="20">
        <f>TRUNC($F306*I306*0.0000001,1)</f>
        <v>0</v>
      </c>
      <c r="K306" s="19">
        <v>2085</v>
      </c>
      <c r="L306" s="20">
        <f>TRUNC($F306*K306*0.0000001,1)</f>
        <v>65677.5</v>
      </c>
    </row>
    <row r="307" spans="2:12" ht="11.25" customHeight="1" x14ac:dyDescent="0.2">
      <c r="C307" s="107" t="s">
        <v>1289</v>
      </c>
      <c r="D307" s="107"/>
      <c r="E307" s="23"/>
      <c r="F307" s="22"/>
      <c r="G307" s="22"/>
      <c r="H307" s="24">
        <f>TRUNC(SUM(H304:H306))</f>
        <v>31831</v>
      </c>
      <c r="I307" s="22"/>
      <c r="J307" s="24">
        <f>TRUNC(SUM(J304:J306))</f>
        <v>38696</v>
      </c>
      <c r="K307" s="22"/>
      <c r="L307" s="24">
        <f>TRUNC(SUM(L304:L306))</f>
        <v>65677</v>
      </c>
    </row>
    <row r="308" spans="2:12" ht="11.25" customHeight="1" x14ac:dyDescent="0.2">
      <c r="C308" s="4"/>
      <c r="D308" s="4"/>
      <c r="E308" s="13"/>
      <c r="F308" s="18"/>
      <c r="G308" s="18"/>
      <c r="H308" s="18"/>
      <c r="I308" s="18"/>
      <c r="J308" s="18"/>
      <c r="K308" s="18"/>
      <c r="L308" s="18"/>
    </row>
    <row r="309" spans="2:12" ht="11.25" customHeight="1" x14ac:dyDescent="0.2">
      <c r="B309" s="16"/>
      <c r="C309" s="108" t="s">
        <v>1286</v>
      </c>
      <c r="D309" s="108"/>
      <c r="E309" s="103"/>
      <c r="F309" s="102"/>
      <c r="G309" s="102"/>
      <c r="H309" s="104">
        <f>TRUNC(H307+H299+H302)</f>
        <v>126308</v>
      </c>
      <c r="I309" s="102"/>
      <c r="J309" s="104">
        <f>TRUNC(J307+J299+J302)</f>
        <v>140761</v>
      </c>
      <c r="K309" s="102"/>
      <c r="L309" s="104">
        <f>TRUNC(L307+L299+L302)</f>
        <v>188336</v>
      </c>
    </row>
    <row r="311" spans="2:12" ht="11.25" customHeight="1" x14ac:dyDescent="0.2">
      <c r="B311" s="68" t="s">
        <v>1303</v>
      </c>
      <c r="C311" s="119"/>
      <c r="J311" s="49" t="s">
        <v>1307</v>
      </c>
    </row>
    <row r="312" spans="2:12" ht="11.25" customHeight="1" x14ac:dyDescent="0.2">
      <c r="B312" s="186" t="s">
        <v>427</v>
      </c>
      <c r="C312" s="187" t="s">
        <v>428</v>
      </c>
      <c r="D312" s="187" t="s">
        <v>429</v>
      </c>
      <c r="E312" s="188" t="s">
        <v>430</v>
      </c>
      <c r="F312" s="188" t="s">
        <v>431</v>
      </c>
      <c r="G312" s="94" t="s">
        <v>1079</v>
      </c>
      <c r="H312" s="151"/>
      <c r="I312" s="94" t="s">
        <v>668</v>
      </c>
      <c r="J312" s="151"/>
    </row>
    <row r="313" spans="2:12" ht="11.25" customHeight="1" x14ac:dyDescent="0.2">
      <c r="B313" s="186"/>
      <c r="C313" s="187"/>
      <c r="D313" s="187"/>
      <c r="E313" s="188"/>
      <c r="F313" s="188"/>
      <c r="G313" s="17" t="s">
        <v>436</v>
      </c>
      <c r="H313" s="17" t="s">
        <v>437</v>
      </c>
      <c r="I313" s="17" t="s">
        <v>436</v>
      </c>
      <c r="J313" s="17" t="s">
        <v>437</v>
      </c>
    </row>
    <row r="314" spans="2:12" ht="11.25" customHeight="1" x14ac:dyDescent="0.2">
      <c r="C314" s="4" t="s">
        <v>426</v>
      </c>
      <c r="D314" s="4"/>
      <c r="E314" s="13" t="s">
        <v>494</v>
      </c>
      <c r="F314" s="25">
        <v>1505.45</v>
      </c>
      <c r="G314" s="27">
        <v>19.5</v>
      </c>
      <c r="H314" s="20">
        <f>TRUNC(($F314*G314),1)</f>
        <v>29356.2</v>
      </c>
      <c r="I314" s="27">
        <v>41.6</v>
      </c>
      <c r="J314" s="20">
        <f>TRUNC(($F314*I314),1)</f>
        <v>62626.7</v>
      </c>
    </row>
    <row r="315" spans="2:12" ht="11.25" customHeight="1" x14ac:dyDescent="0.2">
      <c r="C315" s="4" t="s">
        <v>878</v>
      </c>
      <c r="D315" s="4" t="s">
        <v>1357</v>
      </c>
      <c r="E315" s="13" t="s">
        <v>232</v>
      </c>
      <c r="F315" s="18"/>
      <c r="G315" s="21">
        <v>22</v>
      </c>
      <c r="H315" s="20">
        <f>TRUNC(H314*G315*0.01,1)</f>
        <v>6458.3</v>
      </c>
      <c r="I315" s="21">
        <v>22</v>
      </c>
      <c r="J315" s="20">
        <f>TRUNC(J314*I315*0.01,1)</f>
        <v>13777.8</v>
      </c>
    </row>
    <row r="316" spans="2:12" ht="11.25" customHeight="1" x14ac:dyDescent="0.2">
      <c r="C316" s="107" t="s">
        <v>799</v>
      </c>
      <c r="D316" s="107"/>
      <c r="E316" s="23"/>
      <c r="F316" s="22"/>
      <c r="G316" s="22"/>
      <c r="H316" s="24">
        <f>TRUNC(SUM(H314:H315))</f>
        <v>35814</v>
      </c>
      <c r="I316" s="22"/>
      <c r="J316" s="24">
        <f>TRUNC(SUM(J314:J315))</f>
        <v>76404</v>
      </c>
    </row>
    <row r="317" spans="2:12" ht="11.25" customHeight="1" x14ac:dyDescent="0.2">
      <c r="C317" s="4"/>
      <c r="D317" s="106"/>
      <c r="E317" s="13"/>
      <c r="F317" s="21"/>
      <c r="G317" s="21"/>
      <c r="H317" s="20"/>
      <c r="I317" s="21"/>
      <c r="J317" s="20"/>
    </row>
    <row r="318" spans="2:12" ht="11.25" customHeight="1" x14ac:dyDescent="0.2">
      <c r="C318" s="4" t="s">
        <v>798</v>
      </c>
      <c r="D318" s="4" t="s">
        <v>866</v>
      </c>
      <c r="E318" s="13" t="s">
        <v>497</v>
      </c>
      <c r="F318" s="28">
        <v>283297</v>
      </c>
      <c r="G318" s="18">
        <v>0.20799999999999999</v>
      </c>
      <c r="H318" s="20">
        <f>TRUNC(($F318*G318),1)</f>
        <v>58925.7</v>
      </c>
      <c r="I318" s="18">
        <v>0.20799999999999999</v>
      </c>
      <c r="J318" s="20">
        <f>TRUNC(($F318*I318),1)</f>
        <v>58925.7</v>
      </c>
    </row>
    <row r="319" spans="2:12" ht="11.25" customHeight="1" x14ac:dyDescent="0.2">
      <c r="C319" s="107" t="s">
        <v>1285</v>
      </c>
      <c r="D319" s="107"/>
      <c r="E319" s="23"/>
      <c r="F319" s="22"/>
      <c r="G319" s="22"/>
      <c r="H319" s="24">
        <f>TRUNC(SUM(H318:H318))</f>
        <v>58925</v>
      </c>
      <c r="I319" s="22"/>
      <c r="J319" s="24">
        <f>TRUNC(SUM(J318:J318))</f>
        <v>58925</v>
      </c>
    </row>
    <row r="320" spans="2:12" ht="11.25" customHeight="1" x14ac:dyDescent="0.2">
      <c r="C320" s="107"/>
      <c r="D320" s="107"/>
      <c r="E320" s="23"/>
      <c r="F320" s="22"/>
      <c r="G320" s="22"/>
      <c r="H320" s="22"/>
      <c r="I320" s="22"/>
      <c r="J320" s="22"/>
    </row>
    <row r="321" spans="2:10" ht="11.25" customHeight="1" x14ac:dyDescent="0.2">
      <c r="B321" s="8" t="s">
        <v>128</v>
      </c>
      <c r="C321" s="4" t="s">
        <v>1304</v>
      </c>
      <c r="D321" s="106" t="s">
        <v>198</v>
      </c>
      <c r="E321" s="13" t="s">
        <v>746</v>
      </c>
      <c r="F321" s="66">
        <v>100891000</v>
      </c>
      <c r="G321" s="19">
        <v>1811</v>
      </c>
      <c r="H321" s="20">
        <f>TRUNC($F321*G321*0.0000001,1)</f>
        <v>18271.3</v>
      </c>
      <c r="I321" s="21">
        <v>0</v>
      </c>
      <c r="J321" s="20">
        <f>TRUNC($F321*I321*0.0000001,1)</f>
        <v>0</v>
      </c>
    </row>
    <row r="322" spans="2:10" ht="11.25" customHeight="1" x14ac:dyDescent="0.2">
      <c r="B322" s="8" t="s">
        <v>129</v>
      </c>
      <c r="C322" s="4" t="s">
        <v>1304</v>
      </c>
      <c r="D322" s="106" t="s">
        <v>199</v>
      </c>
      <c r="E322" s="13" t="s">
        <v>746</v>
      </c>
      <c r="F322" s="66">
        <v>187686000</v>
      </c>
      <c r="G322" s="21">
        <v>0</v>
      </c>
      <c r="H322" s="20">
        <f>TRUNC($F322*G322*0.0000001,1)</f>
        <v>0</v>
      </c>
      <c r="I322" s="19">
        <v>1811</v>
      </c>
      <c r="J322" s="20">
        <f>TRUNC($F322*I322*0.0000001,1)</f>
        <v>33989.9</v>
      </c>
    </row>
    <row r="323" spans="2:10" ht="11.25" customHeight="1" x14ac:dyDescent="0.2">
      <c r="C323" s="107" t="s">
        <v>1289</v>
      </c>
      <c r="D323" s="107"/>
      <c r="E323" s="23"/>
      <c r="F323" s="22"/>
      <c r="G323" s="22"/>
      <c r="H323" s="24">
        <f>TRUNC(SUM(H321:H322))</f>
        <v>18271</v>
      </c>
      <c r="I323" s="22"/>
      <c r="J323" s="24">
        <f>TRUNC(SUM(J321:J322))</f>
        <v>33989</v>
      </c>
    </row>
    <row r="324" spans="2:10" ht="11.25" customHeight="1" x14ac:dyDescent="0.2">
      <c r="C324" s="4"/>
      <c r="D324" s="106"/>
      <c r="E324" s="13"/>
      <c r="F324" s="21"/>
      <c r="G324" s="21"/>
      <c r="H324" s="20"/>
      <c r="I324" s="21"/>
      <c r="J324" s="20"/>
    </row>
    <row r="325" spans="2:10" ht="11.25" customHeight="1" x14ac:dyDescent="0.2">
      <c r="C325" s="126" t="s">
        <v>1286</v>
      </c>
      <c r="D325" s="126"/>
      <c r="E325" s="127"/>
      <c r="F325" s="125"/>
      <c r="G325" s="125"/>
      <c r="H325" s="128">
        <f>TRUNC(H323+H316+H319)</f>
        <v>113010</v>
      </c>
      <c r="I325" s="125"/>
      <c r="J325" s="128">
        <f>TRUNC(J323+J316+J319)</f>
        <v>169318</v>
      </c>
    </row>
    <row r="326" spans="2:10" ht="11.25" customHeight="1" x14ac:dyDescent="0.2">
      <c r="B326" s="186" t="s">
        <v>427</v>
      </c>
      <c r="C326" s="187" t="s">
        <v>428</v>
      </c>
      <c r="D326" s="187" t="s">
        <v>429</v>
      </c>
      <c r="E326" s="188" t="s">
        <v>430</v>
      </c>
      <c r="F326" s="188" t="s">
        <v>431</v>
      </c>
      <c r="G326" s="94" t="s">
        <v>1080</v>
      </c>
      <c r="H326" s="151"/>
      <c r="I326" s="94" t="s">
        <v>1081</v>
      </c>
      <c r="J326" s="151"/>
    </row>
    <row r="327" spans="2:10" ht="11.25" customHeight="1" x14ac:dyDescent="0.2">
      <c r="B327" s="186"/>
      <c r="C327" s="187"/>
      <c r="D327" s="187"/>
      <c r="E327" s="188"/>
      <c r="F327" s="188"/>
      <c r="G327" s="17" t="s">
        <v>436</v>
      </c>
      <c r="H327" s="17" t="s">
        <v>437</v>
      </c>
      <c r="I327" s="17" t="s">
        <v>436</v>
      </c>
      <c r="J327" s="17" t="s">
        <v>437</v>
      </c>
    </row>
    <row r="328" spans="2:10" ht="11.25" customHeight="1" x14ac:dyDescent="0.2">
      <c r="C328" s="4" t="s">
        <v>426</v>
      </c>
      <c r="D328" s="4"/>
      <c r="E328" s="13" t="s">
        <v>494</v>
      </c>
      <c r="F328" s="25">
        <v>1505.45</v>
      </c>
      <c r="G328" s="26">
        <v>53.6</v>
      </c>
      <c r="H328" s="20">
        <f>TRUNC(($F328*G328),1)</f>
        <v>80692.100000000006</v>
      </c>
      <c r="I328" s="26">
        <v>63</v>
      </c>
      <c r="J328" s="20">
        <f>TRUNC(($F328*I328),1)</f>
        <v>94843.3</v>
      </c>
    </row>
    <row r="329" spans="2:10" ht="11.25" customHeight="1" x14ac:dyDescent="0.2">
      <c r="C329" s="4" t="s">
        <v>878</v>
      </c>
      <c r="D329" s="4" t="s">
        <v>1357</v>
      </c>
      <c r="E329" s="13" t="s">
        <v>232</v>
      </c>
      <c r="F329" s="18"/>
      <c r="G329" s="21">
        <v>22</v>
      </c>
      <c r="H329" s="20">
        <f>TRUNC(H328*G329*0.01,1)</f>
        <v>17752.2</v>
      </c>
      <c r="I329" s="21">
        <v>22</v>
      </c>
      <c r="J329" s="20">
        <f>TRUNC(J328*I329*0.01,1)</f>
        <v>20865.5</v>
      </c>
    </row>
    <row r="330" spans="2:10" ht="11.25" customHeight="1" x14ac:dyDescent="0.2">
      <c r="C330" s="107" t="s">
        <v>799</v>
      </c>
      <c r="D330" s="107"/>
      <c r="E330" s="23"/>
      <c r="F330" s="22"/>
      <c r="G330" s="22"/>
      <c r="H330" s="24">
        <f>TRUNC(SUM(H328:H329))</f>
        <v>98444</v>
      </c>
      <c r="I330" s="22"/>
      <c r="J330" s="24">
        <f>TRUNC(SUM(J328:J329))</f>
        <v>115708</v>
      </c>
    </row>
    <row r="331" spans="2:10" ht="11.25" customHeight="1" x14ac:dyDescent="0.2">
      <c r="C331" s="4"/>
      <c r="D331" s="106"/>
      <c r="E331" s="13"/>
      <c r="F331" s="21"/>
      <c r="G331" s="21"/>
      <c r="H331" s="20"/>
      <c r="I331" s="21"/>
      <c r="J331" s="20"/>
    </row>
    <row r="332" spans="2:10" ht="11.25" customHeight="1" x14ac:dyDescent="0.2">
      <c r="C332" s="4" t="s">
        <v>798</v>
      </c>
      <c r="D332" s="4" t="s">
        <v>866</v>
      </c>
      <c r="E332" s="13" t="s">
        <v>497</v>
      </c>
      <c r="F332" s="28">
        <v>283297</v>
      </c>
      <c r="G332" s="18">
        <v>0.20799999999999999</v>
      </c>
      <c r="H332" s="20">
        <f>TRUNC(($F332*G332),1)</f>
        <v>58925.7</v>
      </c>
      <c r="I332" s="18">
        <v>0.20799999999999999</v>
      </c>
      <c r="J332" s="20">
        <f>TRUNC(($F332*I332),1)</f>
        <v>58925.7</v>
      </c>
    </row>
    <row r="333" spans="2:10" ht="11.25" customHeight="1" x14ac:dyDescent="0.2">
      <c r="C333" s="107" t="s">
        <v>1285</v>
      </c>
      <c r="D333" s="107"/>
      <c r="E333" s="23"/>
      <c r="F333" s="22"/>
      <c r="G333" s="22"/>
      <c r="H333" s="24">
        <f>TRUNC(SUM(H332:H332))</f>
        <v>58925</v>
      </c>
      <c r="I333" s="22"/>
      <c r="J333" s="24">
        <f>TRUNC(SUM(J332:J332))</f>
        <v>58925</v>
      </c>
    </row>
    <row r="334" spans="2:10" ht="11.25" customHeight="1" x14ac:dyDescent="0.2">
      <c r="C334" s="107"/>
      <c r="D334" s="107"/>
      <c r="E334" s="23"/>
      <c r="F334" s="22"/>
      <c r="G334" s="22"/>
      <c r="H334" s="22"/>
      <c r="I334" s="22"/>
      <c r="J334" s="22"/>
    </row>
    <row r="335" spans="2:10" ht="11.25" customHeight="1" x14ac:dyDescent="0.2">
      <c r="B335" s="8" t="s">
        <v>374</v>
      </c>
      <c r="C335" s="4" t="s">
        <v>1304</v>
      </c>
      <c r="D335" s="106" t="s">
        <v>200</v>
      </c>
      <c r="E335" s="13" t="s">
        <v>746</v>
      </c>
      <c r="F335" s="66">
        <v>248434000</v>
      </c>
      <c r="G335" s="19">
        <v>1811</v>
      </c>
      <c r="H335" s="20">
        <f>TRUNC($F335*G335*0.0000001,1)</f>
        <v>44991.3</v>
      </c>
      <c r="I335" s="21">
        <v>0</v>
      </c>
      <c r="J335" s="20">
        <f>TRUNC($F335*I335*0.0000001,1)</f>
        <v>0</v>
      </c>
    </row>
    <row r="336" spans="2:10" ht="11.25" customHeight="1" x14ac:dyDescent="0.2">
      <c r="B336" s="8" t="s">
        <v>375</v>
      </c>
      <c r="C336" s="4" t="s">
        <v>1304</v>
      </c>
      <c r="D336" s="106" t="s">
        <v>550</v>
      </c>
      <c r="E336" s="13" t="s">
        <v>746</v>
      </c>
      <c r="F336" s="66">
        <v>314346000</v>
      </c>
      <c r="G336" s="21">
        <v>0</v>
      </c>
      <c r="H336" s="20">
        <f>TRUNC($F336*G336*0.0000001,1)</f>
        <v>0</v>
      </c>
      <c r="I336" s="19">
        <v>1811</v>
      </c>
      <c r="J336" s="20">
        <f>TRUNC($F336*I336*0.0000001,1)</f>
        <v>56928</v>
      </c>
    </row>
    <row r="337" spans="1:12" ht="11.25" customHeight="1" x14ac:dyDescent="0.2">
      <c r="C337" s="107" t="s">
        <v>1289</v>
      </c>
      <c r="D337" s="107"/>
      <c r="E337" s="23"/>
      <c r="F337" s="22"/>
      <c r="G337" s="22"/>
      <c r="H337" s="24">
        <f>TRUNC(SUM(H335:H336))</f>
        <v>44991</v>
      </c>
      <c r="I337" s="22"/>
      <c r="J337" s="24">
        <f>TRUNC(SUM(J335:J336))</f>
        <v>56928</v>
      </c>
    </row>
    <row r="338" spans="1:12" ht="11.25" customHeight="1" x14ac:dyDescent="0.2">
      <c r="C338" s="4"/>
      <c r="D338" s="106"/>
      <c r="E338" s="13"/>
      <c r="F338" s="21"/>
      <c r="G338" s="21"/>
      <c r="H338" s="20"/>
      <c r="I338" s="21"/>
      <c r="J338" s="20"/>
    </row>
    <row r="339" spans="1:12" ht="11.25" customHeight="1" x14ac:dyDescent="0.2">
      <c r="B339" s="16"/>
      <c r="C339" s="108" t="s">
        <v>1286</v>
      </c>
      <c r="D339" s="108"/>
      <c r="E339" s="103"/>
      <c r="F339" s="102"/>
      <c r="G339" s="102"/>
      <c r="H339" s="104">
        <f>TRUNC(H337+H330+H333)</f>
        <v>202360</v>
      </c>
      <c r="I339" s="102"/>
      <c r="J339" s="104">
        <f>TRUNC(J337+J330+J333)</f>
        <v>231561</v>
      </c>
    </row>
    <row r="341" spans="1:12" ht="11.25" customHeight="1" x14ac:dyDescent="0.2">
      <c r="A341" s="7"/>
      <c r="B341" s="68" t="s">
        <v>1305</v>
      </c>
      <c r="C341" s="119"/>
      <c r="L341" s="49" t="s">
        <v>1307</v>
      </c>
    </row>
    <row r="342" spans="1:12" ht="11.25" customHeight="1" x14ac:dyDescent="0.2">
      <c r="B342" s="186" t="s">
        <v>427</v>
      </c>
      <c r="C342" s="187" t="s">
        <v>428</v>
      </c>
      <c r="D342" s="187" t="s">
        <v>429</v>
      </c>
      <c r="E342" s="188" t="s">
        <v>430</v>
      </c>
      <c r="F342" s="188" t="s">
        <v>431</v>
      </c>
      <c r="G342" s="94" t="s">
        <v>1079</v>
      </c>
      <c r="H342" s="151"/>
      <c r="I342" s="94" t="s">
        <v>1082</v>
      </c>
      <c r="J342" s="151"/>
      <c r="K342" s="94" t="s">
        <v>1083</v>
      </c>
      <c r="L342" s="151"/>
    </row>
    <row r="343" spans="1:12" ht="11.25" customHeight="1" x14ac:dyDescent="0.2">
      <c r="B343" s="186"/>
      <c r="C343" s="187"/>
      <c r="D343" s="187"/>
      <c r="E343" s="188"/>
      <c r="F343" s="188"/>
      <c r="G343" s="17" t="s">
        <v>436</v>
      </c>
      <c r="H343" s="17" t="s">
        <v>437</v>
      </c>
      <c r="I343" s="17" t="s">
        <v>436</v>
      </c>
      <c r="J343" s="17" t="s">
        <v>437</v>
      </c>
      <c r="K343" s="17" t="s">
        <v>436</v>
      </c>
      <c r="L343" s="17" t="s">
        <v>437</v>
      </c>
    </row>
    <row r="344" spans="1:12" ht="11.25" customHeight="1" x14ac:dyDescent="0.2">
      <c r="B344" s="8" t="s">
        <v>376</v>
      </c>
      <c r="C344" s="4" t="s">
        <v>1306</v>
      </c>
      <c r="D344" s="106" t="s">
        <v>198</v>
      </c>
      <c r="E344" s="13" t="s">
        <v>746</v>
      </c>
      <c r="F344" s="66">
        <v>33526000</v>
      </c>
      <c r="G344" s="19">
        <v>1478</v>
      </c>
      <c r="H344" s="20">
        <f>TRUNC($F344*G344*0.0000001,1)</f>
        <v>4955.1000000000004</v>
      </c>
      <c r="I344" s="21">
        <v>0</v>
      </c>
      <c r="J344" s="20">
        <f>TRUNC($F344*I344*0.0000001,1)</f>
        <v>0</v>
      </c>
      <c r="K344" s="21">
        <v>0</v>
      </c>
      <c r="L344" s="20">
        <f>TRUNC($F344*K344*0.0000001,1)</f>
        <v>0</v>
      </c>
    </row>
    <row r="345" spans="1:12" ht="11.25" customHeight="1" x14ac:dyDescent="0.2">
      <c r="B345" s="8" t="s">
        <v>377</v>
      </c>
      <c r="C345" s="4" t="s">
        <v>1306</v>
      </c>
      <c r="D345" s="106" t="s">
        <v>551</v>
      </c>
      <c r="E345" s="13" t="s">
        <v>746</v>
      </c>
      <c r="F345" s="66">
        <v>43636000</v>
      </c>
      <c r="G345" s="21">
        <v>0</v>
      </c>
      <c r="H345" s="20">
        <f>TRUNC($F345*G345*0.0000001,1)</f>
        <v>0</v>
      </c>
      <c r="I345" s="19">
        <v>1478</v>
      </c>
      <c r="J345" s="20">
        <f>TRUNC($F345*I345*0.0000001,1)</f>
        <v>6449.4</v>
      </c>
      <c r="K345" s="21">
        <v>0</v>
      </c>
      <c r="L345" s="20">
        <f>TRUNC($F345*K345*0.0000001,1)</f>
        <v>0</v>
      </c>
    </row>
    <row r="346" spans="1:12" ht="11.25" customHeight="1" x14ac:dyDescent="0.2">
      <c r="B346" s="8" t="s">
        <v>378</v>
      </c>
      <c r="C346" s="4" t="s">
        <v>1306</v>
      </c>
      <c r="D346" s="106" t="s">
        <v>552</v>
      </c>
      <c r="E346" s="13" t="s">
        <v>746</v>
      </c>
      <c r="F346" s="66">
        <v>58435000</v>
      </c>
      <c r="G346" s="21">
        <v>0</v>
      </c>
      <c r="H346" s="20">
        <f>TRUNC($F346*G346*0.0000001,1)</f>
        <v>0</v>
      </c>
      <c r="I346" s="21">
        <v>0</v>
      </c>
      <c r="J346" s="20">
        <f>TRUNC($F346*I346*0.0000001,1)</f>
        <v>0</v>
      </c>
      <c r="K346" s="19">
        <v>1478</v>
      </c>
      <c r="L346" s="20">
        <f>TRUNC($F346*K346*0.0000001,1)</f>
        <v>8636.6</v>
      </c>
    </row>
    <row r="347" spans="1:12" ht="11.25" customHeight="1" x14ac:dyDescent="0.2">
      <c r="C347" s="107" t="s">
        <v>1289</v>
      </c>
      <c r="D347" s="107"/>
      <c r="E347" s="23"/>
      <c r="F347" s="22"/>
      <c r="G347" s="22"/>
      <c r="H347" s="24">
        <f>TRUNC(SUM(H344:H346))</f>
        <v>4955</v>
      </c>
      <c r="I347" s="22"/>
      <c r="J347" s="24">
        <f>TRUNC(SUM(J344:J346))</f>
        <v>6449</v>
      </c>
      <c r="K347" s="22"/>
      <c r="L347" s="24">
        <f>TRUNC(SUM(L344:L346))</f>
        <v>8636</v>
      </c>
    </row>
    <row r="348" spans="1:12" ht="11.25" customHeight="1" x14ac:dyDescent="0.2">
      <c r="C348" s="107"/>
      <c r="D348" s="107"/>
      <c r="E348" s="23"/>
      <c r="F348" s="22"/>
      <c r="G348" s="22"/>
      <c r="H348" s="22"/>
      <c r="I348" s="22"/>
      <c r="J348" s="22"/>
      <c r="K348" s="22"/>
      <c r="L348" s="22"/>
    </row>
    <row r="349" spans="1:12" ht="11.25" customHeight="1" x14ac:dyDescent="0.2">
      <c r="C349" s="126" t="s">
        <v>1286</v>
      </c>
      <c r="D349" s="126"/>
      <c r="E349" s="127"/>
      <c r="F349" s="125"/>
      <c r="G349" s="125"/>
      <c r="H349" s="128">
        <f>TRUNC(H347)</f>
        <v>4955</v>
      </c>
      <c r="I349" s="125"/>
      <c r="J349" s="128">
        <f>TRUNC(J347)</f>
        <v>6449</v>
      </c>
      <c r="K349" s="102"/>
      <c r="L349" s="104">
        <f>TRUNC(L347)</f>
        <v>8636</v>
      </c>
    </row>
    <row r="350" spans="1:12" ht="11.25" customHeight="1" x14ac:dyDescent="0.2">
      <c r="B350" s="186" t="s">
        <v>427</v>
      </c>
      <c r="C350" s="187" t="s">
        <v>428</v>
      </c>
      <c r="D350" s="187" t="s">
        <v>429</v>
      </c>
      <c r="E350" s="188" t="s">
        <v>430</v>
      </c>
      <c r="F350" s="188" t="s">
        <v>431</v>
      </c>
      <c r="G350" s="94" t="s">
        <v>1080</v>
      </c>
      <c r="H350" s="151"/>
      <c r="I350" s="94" t="s">
        <v>1081</v>
      </c>
      <c r="J350" s="151"/>
    </row>
    <row r="351" spans="1:12" ht="11.25" customHeight="1" x14ac:dyDescent="0.2">
      <c r="B351" s="186"/>
      <c r="C351" s="187"/>
      <c r="D351" s="187"/>
      <c r="E351" s="188"/>
      <c r="F351" s="188"/>
      <c r="G351" s="17" t="s">
        <v>436</v>
      </c>
      <c r="H351" s="17" t="s">
        <v>437</v>
      </c>
      <c r="I351" s="17" t="s">
        <v>436</v>
      </c>
      <c r="J351" s="17" t="s">
        <v>437</v>
      </c>
    </row>
    <row r="352" spans="1:12" ht="11.25" customHeight="1" x14ac:dyDescent="0.2">
      <c r="B352" s="8" t="s">
        <v>379</v>
      </c>
      <c r="C352" s="4" t="s">
        <v>1306</v>
      </c>
      <c r="D352" s="106" t="s">
        <v>200</v>
      </c>
      <c r="E352" s="13" t="s">
        <v>746</v>
      </c>
      <c r="F352" s="66">
        <v>81197000</v>
      </c>
      <c r="G352" s="19">
        <v>1478</v>
      </c>
      <c r="H352" s="20">
        <f>TRUNC($F352*G352*0.0000001,1)</f>
        <v>12000.9</v>
      </c>
      <c r="I352" s="21">
        <v>0</v>
      </c>
      <c r="J352" s="20">
        <f>TRUNC($F352*I352*0.0000001,1)</f>
        <v>0</v>
      </c>
    </row>
    <row r="353" spans="2:12" ht="11.25" customHeight="1" x14ac:dyDescent="0.2">
      <c r="B353" s="8" t="s">
        <v>380</v>
      </c>
      <c r="C353" s="4" t="s">
        <v>1306</v>
      </c>
      <c r="D353" s="106" t="s">
        <v>550</v>
      </c>
      <c r="E353" s="13" t="s">
        <v>746</v>
      </c>
      <c r="F353" s="66">
        <v>115346000</v>
      </c>
      <c r="G353" s="21">
        <v>0</v>
      </c>
      <c r="H353" s="20">
        <f>TRUNC($F353*G353*0.0000001,1)</f>
        <v>0</v>
      </c>
      <c r="I353" s="19">
        <v>1478</v>
      </c>
      <c r="J353" s="20">
        <f>TRUNC($F353*I353*0.0000001,1)</f>
        <v>17048.099999999999</v>
      </c>
    </row>
    <row r="354" spans="2:12" ht="11.25" customHeight="1" x14ac:dyDescent="0.2">
      <c r="C354" s="107" t="s">
        <v>1289</v>
      </c>
      <c r="D354" s="107"/>
      <c r="E354" s="23"/>
      <c r="F354" s="22"/>
      <c r="G354" s="22"/>
      <c r="H354" s="24">
        <f>TRUNC(SUM(H352:H353))</f>
        <v>12000</v>
      </c>
      <c r="I354" s="22"/>
      <c r="J354" s="24">
        <f>TRUNC(SUM(J352:J353))</f>
        <v>17048</v>
      </c>
    </row>
    <row r="355" spans="2:12" ht="11.25" customHeight="1" x14ac:dyDescent="0.2">
      <c r="C355" s="107"/>
      <c r="D355" s="107"/>
      <c r="E355" s="23"/>
      <c r="F355" s="22"/>
      <c r="G355" s="22"/>
      <c r="H355" s="22"/>
      <c r="I355" s="22"/>
      <c r="J355" s="22"/>
    </row>
    <row r="356" spans="2:12" ht="11.25" customHeight="1" x14ac:dyDescent="0.2">
      <c r="B356" s="16"/>
      <c r="C356" s="108" t="s">
        <v>1286</v>
      </c>
      <c r="D356" s="108"/>
      <c r="E356" s="103"/>
      <c r="F356" s="102"/>
      <c r="G356" s="102"/>
      <c r="H356" s="104">
        <f>TRUNC(H354)</f>
        <v>12000</v>
      </c>
      <c r="I356" s="102"/>
      <c r="J356" s="104">
        <f>TRUNC(J354)</f>
        <v>17048</v>
      </c>
    </row>
    <row r="358" spans="2:12" ht="11.25" customHeight="1" x14ac:dyDescent="0.2">
      <c r="B358" s="68" t="s">
        <v>1308</v>
      </c>
      <c r="C358" s="119"/>
      <c r="H358" s="49" t="s">
        <v>1307</v>
      </c>
      <c r="J358" s="49"/>
    </row>
    <row r="359" spans="2:12" ht="11.25" customHeight="1" x14ac:dyDescent="0.2">
      <c r="B359" s="186" t="s">
        <v>427</v>
      </c>
      <c r="C359" s="187" t="s">
        <v>428</v>
      </c>
      <c r="D359" s="187" t="s">
        <v>429</v>
      </c>
      <c r="E359" s="188" t="s">
        <v>430</v>
      </c>
      <c r="F359" s="188" t="s">
        <v>431</v>
      </c>
      <c r="G359" s="94" t="s">
        <v>1247</v>
      </c>
      <c r="H359" s="151"/>
    </row>
    <row r="360" spans="2:12" ht="11.25" customHeight="1" x14ac:dyDescent="0.2">
      <c r="B360" s="186"/>
      <c r="C360" s="187"/>
      <c r="D360" s="187"/>
      <c r="E360" s="188"/>
      <c r="F360" s="188"/>
      <c r="G360" s="17" t="s">
        <v>436</v>
      </c>
      <c r="H360" s="17" t="s">
        <v>437</v>
      </c>
    </row>
    <row r="361" spans="2:12" ht="11.25" customHeight="1" x14ac:dyDescent="0.2">
      <c r="C361" s="4" t="s">
        <v>426</v>
      </c>
      <c r="D361" s="4"/>
      <c r="E361" s="13" t="s">
        <v>494</v>
      </c>
      <c r="F361" s="25">
        <v>1505.45</v>
      </c>
      <c r="G361" s="27">
        <v>16.2</v>
      </c>
      <c r="H361" s="20">
        <f>TRUNC(($F361*G361),1)</f>
        <v>24388.2</v>
      </c>
    </row>
    <row r="362" spans="2:12" ht="11.25" customHeight="1" x14ac:dyDescent="0.2">
      <c r="C362" s="4" t="s">
        <v>878</v>
      </c>
      <c r="D362" s="4" t="s">
        <v>203</v>
      </c>
      <c r="E362" s="13" t="s">
        <v>232</v>
      </c>
      <c r="F362" s="18"/>
      <c r="G362" s="18">
        <v>39</v>
      </c>
      <c r="H362" s="20">
        <f>TRUNC(H361*G362*0.01,1)</f>
        <v>9511.2999999999993</v>
      </c>
    </row>
    <row r="363" spans="2:12" ht="11.25" customHeight="1" x14ac:dyDescent="0.2">
      <c r="C363" s="107" t="s">
        <v>799</v>
      </c>
      <c r="D363" s="107"/>
      <c r="E363" s="23"/>
      <c r="F363" s="22"/>
      <c r="G363" s="22"/>
      <c r="H363" s="24">
        <f>TRUNC(SUM(H361:H362))</f>
        <v>33899</v>
      </c>
    </row>
    <row r="364" spans="2:12" ht="11.25" customHeight="1" x14ac:dyDescent="0.2">
      <c r="C364" s="4"/>
      <c r="D364" s="106"/>
      <c r="E364" s="13"/>
      <c r="F364" s="21"/>
      <c r="G364" s="21"/>
      <c r="H364" s="20"/>
      <c r="K364" s="39"/>
      <c r="L364" s="32"/>
    </row>
    <row r="365" spans="2:12" ht="11.25" customHeight="1" x14ac:dyDescent="0.2">
      <c r="C365" s="4" t="s">
        <v>798</v>
      </c>
      <c r="D365" s="4" t="s">
        <v>866</v>
      </c>
      <c r="E365" s="13" t="s">
        <v>497</v>
      </c>
      <c r="F365" s="28">
        <v>283297</v>
      </c>
      <c r="G365" s="18">
        <v>0.20799999999999999</v>
      </c>
      <c r="H365" s="20">
        <f>TRUNC(($F365*G365),1)</f>
        <v>58925.7</v>
      </c>
    </row>
    <row r="366" spans="2:12" ht="11.25" customHeight="1" x14ac:dyDescent="0.2">
      <c r="C366" s="107" t="s">
        <v>1285</v>
      </c>
      <c r="D366" s="107"/>
      <c r="E366" s="23"/>
      <c r="F366" s="22"/>
      <c r="G366" s="22"/>
      <c r="H366" s="24">
        <f>TRUNC(SUM(H365:H365))</f>
        <v>58925</v>
      </c>
    </row>
    <row r="367" spans="2:12" ht="11.25" customHeight="1" x14ac:dyDescent="0.2">
      <c r="C367" s="4"/>
      <c r="D367" s="106"/>
      <c r="E367" s="13"/>
      <c r="F367" s="21"/>
      <c r="G367" s="21"/>
      <c r="H367" s="20"/>
      <c r="K367" s="39"/>
      <c r="L367" s="32"/>
    </row>
    <row r="368" spans="2:12" ht="11.25" customHeight="1" x14ac:dyDescent="0.2">
      <c r="B368" s="8" t="s">
        <v>381</v>
      </c>
      <c r="C368" s="4" t="s">
        <v>1309</v>
      </c>
      <c r="D368" s="106" t="s">
        <v>1311</v>
      </c>
      <c r="E368" s="13" t="s">
        <v>746</v>
      </c>
      <c r="F368" s="66">
        <v>310687000</v>
      </c>
      <c r="G368" s="19">
        <v>1508</v>
      </c>
      <c r="H368" s="20">
        <f>TRUNC($F368*G368*0.0000001,1)</f>
        <v>46851.5</v>
      </c>
    </row>
    <row r="369" spans="2:15" ht="11.25" customHeight="1" x14ac:dyDescent="0.2">
      <c r="C369" s="107" t="s">
        <v>1289</v>
      </c>
      <c r="D369" s="107"/>
      <c r="E369" s="23"/>
      <c r="F369" s="22"/>
      <c r="G369" s="22"/>
      <c r="H369" s="24">
        <f>TRUNC(SUM(H368:H368))</f>
        <v>46851</v>
      </c>
    </row>
    <row r="370" spans="2:15" ht="11.25" customHeight="1" x14ac:dyDescent="0.2">
      <c r="C370" s="4"/>
      <c r="D370" s="106"/>
      <c r="E370" s="13"/>
      <c r="F370" s="21"/>
      <c r="G370" s="21"/>
      <c r="H370" s="20"/>
      <c r="K370" s="39"/>
      <c r="L370" s="32"/>
    </row>
    <row r="371" spans="2:15" ht="11.25" customHeight="1" x14ac:dyDescent="0.2">
      <c r="B371" s="16"/>
      <c r="C371" s="108" t="s">
        <v>1286</v>
      </c>
      <c r="D371" s="108"/>
      <c r="E371" s="103"/>
      <c r="F371" s="102"/>
      <c r="G371" s="102"/>
      <c r="H371" s="104">
        <f>TRUNC(H369+H363+H366)</f>
        <v>139675</v>
      </c>
      <c r="K371" s="123"/>
    </row>
    <row r="373" spans="2:15" ht="11.25" customHeight="1" x14ac:dyDescent="0.2">
      <c r="B373" s="68" t="s">
        <v>1312</v>
      </c>
      <c r="C373" s="119"/>
      <c r="H373" s="49" t="s">
        <v>1307</v>
      </c>
      <c r="L373" s="1"/>
      <c r="M373" s="3"/>
      <c r="N373" s="3"/>
      <c r="O373" s="3"/>
    </row>
    <row r="374" spans="2:15" ht="11.25" customHeight="1" x14ac:dyDescent="0.2">
      <c r="B374" s="186" t="s">
        <v>427</v>
      </c>
      <c r="C374" s="187" t="s">
        <v>428</v>
      </c>
      <c r="D374" s="187" t="s">
        <v>429</v>
      </c>
      <c r="E374" s="188" t="s">
        <v>430</v>
      </c>
      <c r="F374" s="188" t="s">
        <v>431</v>
      </c>
      <c r="G374" s="94" t="s">
        <v>6</v>
      </c>
      <c r="H374" s="151"/>
      <c r="N374" s="1"/>
      <c r="O374" s="3"/>
    </row>
    <row r="375" spans="2:15" ht="11.25" customHeight="1" x14ac:dyDescent="0.2">
      <c r="B375" s="186"/>
      <c r="C375" s="187"/>
      <c r="D375" s="187"/>
      <c r="E375" s="188"/>
      <c r="F375" s="188"/>
      <c r="G375" s="17" t="s">
        <v>436</v>
      </c>
      <c r="H375" s="17" t="s">
        <v>437</v>
      </c>
      <c r="N375" s="1"/>
      <c r="O375" s="3"/>
    </row>
    <row r="376" spans="2:15" ht="11.25" customHeight="1" x14ac:dyDescent="0.2">
      <c r="C376" s="4" t="s">
        <v>426</v>
      </c>
      <c r="D376" s="4"/>
      <c r="E376" s="13" t="s">
        <v>494</v>
      </c>
      <c r="F376" s="25">
        <v>1505.45</v>
      </c>
      <c r="G376" s="27">
        <v>16.2</v>
      </c>
      <c r="H376" s="20">
        <f>TRUNC(($F376*G376),1)</f>
        <v>24388.2</v>
      </c>
      <c r="N376" s="1"/>
      <c r="O376" s="3"/>
    </row>
    <row r="377" spans="2:15" ht="11.25" customHeight="1" x14ac:dyDescent="0.2">
      <c r="C377" s="4" t="s">
        <v>878</v>
      </c>
      <c r="D377" s="4" t="s">
        <v>203</v>
      </c>
      <c r="E377" s="13" t="s">
        <v>232</v>
      </c>
      <c r="F377" s="18"/>
      <c r="G377" s="18">
        <v>113</v>
      </c>
      <c r="H377" s="20">
        <f>TRUNC(H376*G377*0.01,1)</f>
        <v>27558.6</v>
      </c>
      <c r="N377" s="1"/>
      <c r="O377" s="3"/>
    </row>
    <row r="378" spans="2:15" ht="11.25" customHeight="1" x14ac:dyDescent="0.2">
      <c r="C378" s="107" t="s">
        <v>799</v>
      </c>
      <c r="D378" s="107"/>
      <c r="E378" s="23"/>
      <c r="F378" s="22"/>
      <c r="G378" s="22"/>
      <c r="H378" s="24">
        <f>TRUNC(SUM(H376:H377))</f>
        <v>51946</v>
      </c>
      <c r="N378" s="1"/>
      <c r="O378" s="3"/>
    </row>
    <row r="379" spans="2:15" ht="11.25" customHeight="1" x14ac:dyDescent="0.2">
      <c r="C379" s="4"/>
      <c r="D379" s="106"/>
      <c r="E379" s="13"/>
      <c r="F379" s="21"/>
      <c r="G379" s="21"/>
      <c r="H379" s="20"/>
      <c r="I379" s="32"/>
      <c r="N379" s="1"/>
      <c r="O379" s="3"/>
    </row>
    <row r="380" spans="2:15" ht="11.25" customHeight="1" x14ac:dyDescent="0.2">
      <c r="C380" s="4" t="s">
        <v>798</v>
      </c>
      <c r="D380" s="4" t="s">
        <v>866</v>
      </c>
      <c r="E380" s="13" t="s">
        <v>497</v>
      </c>
      <c r="F380" s="28">
        <v>283297</v>
      </c>
      <c r="G380" s="18">
        <v>0.20799999999999999</v>
      </c>
      <c r="H380" s="20">
        <f>TRUNC(($F380*G380),1)</f>
        <v>58925.7</v>
      </c>
      <c r="N380" s="1"/>
      <c r="O380" s="3"/>
    </row>
    <row r="381" spans="2:15" ht="11.25" customHeight="1" x14ac:dyDescent="0.2">
      <c r="C381" s="107" t="s">
        <v>1285</v>
      </c>
      <c r="D381" s="107"/>
      <c r="E381" s="23"/>
      <c r="F381" s="22"/>
      <c r="G381" s="22"/>
      <c r="H381" s="24">
        <f>TRUNC(SUM(H380:H380))</f>
        <v>58925</v>
      </c>
      <c r="N381" s="1"/>
      <c r="O381" s="3"/>
    </row>
    <row r="382" spans="2:15" ht="11.25" customHeight="1" x14ac:dyDescent="0.2">
      <c r="C382" s="4"/>
      <c r="D382" s="106"/>
      <c r="E382" s="13"/>
      <c r="F382" s="21"/>
      <c r="G382" s="21"/>
      <c r="H382" s="20"/>
      <c r="I382" s="32"/>
      <c r="N382" s="1"/>
      <c r="O382" s="3"/>
    </row>
    <row r="383" spans="2:15" ht="11.25" customHeight="1" x14ac:dyDescent="0.2">
      <c r="B383" s="8" t="s">
        <v>948</v>
      </c>
      <c r="C383" s="4" t="s">
        <v>1310</v>
      </c>
      <c r="D383" s="106" t="s">
        <v>1311</v>
      </c>
      <c r="E383" s="13" t="s">
        <v>746</v>
      </c>
      <c r="F383" s="66">
        <v>264846000</v>
      </c>
      <c r="G383" s="19">
        <v>1508</v>
      </c>
      <c r="H383" s="20">
        <f>TRUNC($F383*G383*0.0000001,1)</f>
        <v>39938.699999999997</v>
      </c>
      <c r="N383" s="1"/>
      <c r="O383" s="3"/>
    </row>
    <row r="384" spans="2:15" ht="11.25" customHeight="1" x14ac:dyDescent="0.2">
      <c r="C384" s="107" t="s">
        <v>1289</v>
      </c>
      <c r="D384" s="107"/>
      <c r="E384" s="23"/>
      <c r="F384" s="22"/>
      <c r="G384" s="22"/>
      <c r="H384" s="24">
        <f>TRUNC(SUM(H383:H383))</f>
        <v>39938</v>
      </c>
      <c r="N384" s="1"/>
      <c r="O384" s="3"/>
    </row>
    <row r="385" spans="1:15" ht="11.25" customHeight="1" x14ac:dyDescent="0.2">
      <c r="C385" s="4"/>
      <c r="D385" s="106"/>
      <c r="E385" s="13"/>
      <c r="F385" s="21"/>
      <c r="G385" s="21"/>
      <c r="H385" s="20"/>
      <c r="I385" s="32"/>
      <c r="N385" s="1"/>
      <c r="O385" s="3"/>
    </row>
    <row r="386" spans="1:15" ht="11.25" customHeight="1" x14ac:dyDescent="0.2">
      <c r="B386" s="16"/>
      <c r="C386" s="108" t="s">
        <v>1286</v>
      </c>
      <c r="D386" s="108"/>
      <c r="E386" s="103"/>
      <c r="F386" s="102"/>
      <c r="G386" s="102"/>
      <c r="H386" s="104">
        <f>TRUNC(H384+H378+H381)</f>
        <v>150809</v>
      </c>
      <c r="N386" s="1"/>
      <c r="O386" s="3"/>
    </row>
    <row r="387" spans="1:15" ht="11.25" customHeight="1" x14ac:dyDescent="0.2">
      <c r="L387" s="1"/>
      <c r="M387" s="3"/>
      <c r="N387" s="3"/>
      <c r="O387" s="3"/>
    </row>
    <row r="388" spans="1:15" ht="11.25" customHeight="1" x14ac:dyDescent="0.2">
      <c r="A388" s="7"/>
      <c r="B388" s="68" t="s">
        <v>1313</v>
      </c>
      <c r="C388" s="119"/>
      <c r="L388" s="49" t="s">
        <v>1307</v>
      </c>
    </row>
    <row r="389" spans="1:15" ht="11.25" customHeight="1" x14ac:dyDescent="0.2">
      <c r="B389" s="186" t="s">
        <v>427</v>
      </c>
      <c r="C389" s="187" t="s">
        <v>428</v>
      </c>
      <c r="D389" s="187" t="s">
        <v>429</v>
      </c>
      <c r="E389" s="188" t="s">
        <v>430</v>
      </c>
      <c r="F389" s="188" t="s">
        <v>431</v>
      </c>
      <c r="G389" s="94" t="s">
        <v>82</v>
      </c>
      <c r="H389" s="151"/>
      <c r="I389" s="94" t="s">
        <v>1031</v>
      </c>
      <c r="J389" s="151"/>
      <c r="K389" s="94" t="s">
        <v>1314</v>
      </c>
      <c r="L389" s="151"/>
    </row>
    <row r="390" spans="1:15" ht="11.25" customHeight="1" x14ac:dyDescent="0.2">
      <c r="B390" s="186"/>
      <c r="C390" s="187"/>
      <c r="D390" s="187"/>
      <c r="E390" s="188"/>
      <c r="F390" s="188"/>
      <c r="G390" s="17" t="s">
        <v>436</v>
      </c>
      <c r="H390" s="17" t="s">
        <v>437</v>
      </c>
      <c r="I390" s="17" t="s">
        <v>436</v>
      </c>
      <c r="J390" s="17" t="s">
        <v>437</v>
      </c>
      <c r="K390" s="17" t="s">
        <v>436</v>
      </c>
      <c r="L390" s="17" t="s">
        <v>437</v>
      </c>
    </row>
    <row r="391" spans="1:15" ht="11.25" customHeight="1" x14ac:dyDescent="0.2">
      <c r="C391" s="4" t="s">
        <v>426</v>
      </c>
      <c r="D391" s="4"/>
      <c r="E391" s="13" t="s">
        <v>494</v>
      </c>
      <c r="F391" s="25">
        <v>1505.45</v>
      </c>
      <c r="G391" s="27">
        <v>2.9</v>
      </c>
      <c r="H391" s="20">
        <f>TRUNC(($F391*G391),1)</f>
        <v>4365.8</v>
      </c>
      <c r="I391" s="26">
        <v>5</v>
      </c>
      <c r="J391" s="20">
        <f>TRUNC(($F391*I391),1)</f>
        <v>7527.2</v>
      </c>
      <c r="K391" s="26">
        <v>8</v>
      </c>
      <c r="L391" s="20">
        <f>TRUNC(($F391*K391),1)</f>
        <v>12043.6</v>
      </c>
    </row>
    <row r="392" spans="1:15" ht="11.25" customHeight="1" x14ac:dyDescent="0.2">
      <c r="C392" s="4" t="s">
        <v>878</v>
      </c>
      <c r="D392" s="4" t="s">
        <v>203</v>
      </c>
      <c r="E392" s="13" t="s">
        <v>232</v>
      </c>
      <c r="F392" s="18"/>
      <c r="G392" s="21">
        <v>38</v>
      </c>
      <c r="H392" s="20">
        <f>TRUNC(H391*G392*0.01,1)</f>
        <v>1659</v>
      </c>
      <c r="I392" s="21">
        <v>38</v>
      </c>
      <c r="J392" s="20">
        <f>TRUNC(J391*I392*0.01,1)</f>
        <v>2860.3</v>
      </c>
      <c r="K392" s="21">
        <v>38</v>
      </c>
      <c r="L392" s="20">
        <f>TRUNC(L391*K392*0.01,1)</f>
        <v>4576.5</v>
      </c>
    </row>
    <row r="393" spans="1:15" ht="11.25" customHeight="1" x14ac:dyDescent="0.2">
      <c r="C393" s="107" t="s">
        <v>799</v>
      </c>
      <c r="D393" s="107"/>
      <c r="E393" s="23"/>
      <c r="F393" s="22"/>
      <c r="G393" s="22"/>
      <c r="H393" s="24">
        <f>TRUNC(SUM(H391:H392))</f>
        <v>6024</v>
      </c>
      <c r="I393" s="22"/>
      <c r="J393" s="24">
        <f>TRUNC(SUM(J391:J392))</f>
        <v>10387</v>
      </c>
      <c r="K393" s="22"/>
      <c r="L393" s="24">
        <f>TRUNC(SUM(L391:L392))</f>
        <v>16620</v>
      </c>
    </row>
    <row r="394" spans="1:15" ht="11.25" customHeight="1" x14ac:dyDescent="0.2">
      <c r="C394" s="4"/>
      <c r="D394" s="4"/>
      <c r="E394" s="13"/>
      <c r="F394" s="50"/>
      <c r="G394" s="27"/>
      <c r="H394" s="20"/>
      <c r="I394" s="26"/>
      <c r="J394" s="20"/>
      <c r="K394" s="26"/>
      <c r="L394" s="20"/>
    </row>
    <row r="395" spans="1:15" ht="11.25" customHeight="1" x14ac:dyDescent="0.2">
      <c r="C395" s="4" t="s">
        <v>873</v>
      </c>
      <c r="D395" s="4" t="s">
        <v>866</v>
      </c>
      <c r="E395" s="13" t="s">
        <v>497</v>
      </c>
      <c r="F395" s="28">
        <v>238936</v>
      </c>
      <c r="G395" s="18">
        <v>0.20799999999999999</v>
      </c>
      <c r="H395" s="20">
        <f>TRUNC(($F395*G395),1)</f>
        <v>49698.6</v>
      </c>
      <c r="I395" s="18">
        <v>0.20799999999999999</v>
      </c>
      <c r="J395" s="20">
        <f>TRUNC(($F395*I395),1)</f>
        <v>49698.6</v>
      </c>
      <c r="K395" s="18">
        <v>0.20799999999999999</v>
      </c>
      <c r="L395" s="20">
        <f>TRUNC(($F395*K395),1)</f>
        <v>49698.6</v>
      </c>
    </row>
    <row r="396" spans="1:15" ht="11.25" customHeight="1" x14ac:dyDescent="0.2">
      <c r="C396" s="107" t="s">
        <v>1285</v>
      </c>
      <c r="D396" s="107"/>
      <c r="E396" s="23"/>
      <c r="F396" s="22"/>
      <c r="G396" s="22"/>
      <c r="H396" s="24">
        <f>TRUNC(SUM(H395:H395))</f>
        <v>49698</v>
      </c>
      <c r="I396" s="22"/>
      <c r="J396" s="24">
        <f>TRUNC(SUM(J395:J395))</f>
        <v>49698</v>
      </c>
      <c r="K396" s="22"/>
      <c r="L396" s="24">
        <f>TRUNC(SUM(L395:L395))</f>
        <v>49698</v>
      </c>
    </row>
    <row r="397" spans="1:15" ht="11.25" customHeight="1" x14ac:dyDescent="0.2">
      <c r="C397" s="4"/>
      <c r="D397" s="4"/>
      <c r="E397" s="13"/>
      <c r="F397" s="50"/>
      <c r="G397" s="27"/>
      <c r="H397" s="20"/>
      <c r="I397" s="26"/>
      <c r="J397" s="20"/>
      <c r="K397" s="26"/>
      <c r="L397" s="20"/>
    </row>
    <row r="398" spans="1:15" ht="11.25" customHeight="1" x14ac:dyDescent="0.2">
      <c r="B398" s="8" t="s">
        <v>385</v>
      </c>
      <c r="C398" s="4" t="s">
        <v>526</v>
      </c>
      <c r="D398" s="106" t="s">
        <v>382</v>
      </c>
      <c r="E398" s="13" t="s">
        <v>746</v>
      </c>
      <c r="F398" s="66">
        <v>21982000</v>
      </c>
      <c r="G398" s="19">
        <v>2967</v>
      </c>
      <c r="H398" s="20">
        <f>TRUNC($F398*G398*0.0000001,1)</f>
        <v>6522</v>
      </c>
      <c r="I398" s="21">
        <v>0</v>
      </c>
      <c r="J398" s="20">
        <f>TRUNC($F398*I398*0.0000001,1)</f>
        <v>0</v>
      </c>
      <c r="K398" s="21">
        <v>0</v>
      </c>
      <c r="L398" s="20">
        <f>TRUNC($F398*K398*0.0000001,1)</f>
        <v>0</v>
      </c>
    </row>
    <row r="399" spans="1:15" ht="11.25" customHeight="1" x14ac:dyDescent="0.2">
      <c r="B399" s="8" t="s">
        <v>386</v>
      </c>
      <c r="C399" s="4" t="s">
        <v>526</v>
      </c>
      <c r="D399" s="106" t="s">
        <v>383</v>
      </c>
      <c r="E399" s="13" t="s">
        <v>746</v>
      </c>
      <c r="F399" s="66">
        <v>25662000</v>
      </c>
      <c r="G399" s="21">
        <v>0</v>
      </c>
      <c r="H399" s="20">
        <f>TRUNC($F399*G399*0.0000001,1)</f>
        <v>0</v>
      </c>
      <c r="I399" s="19">
        <v>2967</v>
      </c>
      <c r="J399" s="20">
        <f>TRUNC($F399*I399*0.0000001,1)</f>
        <v>7613.9</v>
      </c>
      <c r="K399" s="21">
        <v>0</v>
      </c>
      <c r="L399" s="20">
        <f>TRUNC($F399*K399*0.0000001,1)</f>
        <v>0</v>
      </c>
    </row>
    <row r="400" spans="1:15" ht="11.25" customHeight="1" x14ac:dyDescent="0.2">
      <c r="B400" s="8" t="s">
        <v>387</v>
      </c>
      <c r="C400" s="4" t="s">
        <v>526</v>
      </c>
      <c r="D400" s="106" t="s">
        <v>384</v>
      </c>
      <c r="E400" s="13" t="s">
        <v>746</v>
      </c>
      <c r="F400" s="66">
        <v>28043000</v>
      </c>
      <c r="G400" s="21">
        <v>0</v>
      </c>
      <c r="H400" s="20">
        <f>TRUNC($F400*G400*0.0000001,1)</f>
        <v>0</v>
      </c>
      <c r="I400" s="21">
        <v>0</v>
      </c>
      <c r="J400" s="20">
        <f>TRUNC($F400*I400*0.0000001,1)</f>
        <v>0</v>
      </c>
      <c r="K400" s="19">
        <v>2967</v>
      </c>
      <c r="L400" s="20">
        <f>TRUNC($F400*K400*0.0000001,1)</f>
        <v>8320.2999999999993</v>
      </c>
    </row>
    <row r="401" spans="2:12" ht="11.25" customHeight="1" x14ac:dyDescent="0.2">
      <c r="C401" s="107" t="s">
        <v>1289</v>
      </c>
      <c r="D401" s="107"/>
      <c r="E401" s="23"/>
      <c r="F401" s="22"/>
      <c r="G401" s="22"/>
      <c r="H401" s="24">
        <f>TRUNC(SUM(H398:H400))</f>
        <v>6522</v>
      </c>
      <c r="I401" s="22"/>
      <c r="J401" s="24">
        <f>TRUNC(SUM(J398:J400))</f>
        <v>7613</v>
      </c>
      <c r="K401" s="22"/>
      <c r="L401" s="24">
        <f>TRUNC(SUM(L398:L400))</f>
        <v>8320</v>
      </c>
    </row>
    <row r="402" spans="2:12" ht="11.25" customHeight="1" x14ac:dyDescent="0.2">
      <c r="C402" s="4"/>
      <c r="D402" s="4"/>
      <c r="E402" s="13"/>
      <c r="F402" s="50"/>
      <c r="G402" s="27"/>
      <c r="H402" s="20"/>
      <c r="I402" s="26"/>
      <c r="J402" s="20"/>
      <c r="K402" s="26"/>
      <c r="L402" s="20"/>
    </row>
    <row r="403" spans="2:12" ht="11.25" customHeight="1" x14ac:dyDescent="0.2">
      <c r="C403" s="126" t="s">
        <v>1286</v>
      </c>
      <c r="D403" s="126"/>
      <c r="E403" s="127"/>
      <c r="F403" s="125"/>
      <c r="G403" s="125"/>
      <c r="H403" s="128">
        <f>TRUNC(H401+H393+H396)</f>
        <v>62244</v>
      </c>
      <c r="I403" s="125"/>
      <c r="J403" s="128">
        <f>TRUNC(J401+J393+J396)</f>
        <v>67698</v>
      </c>
      <c r="K403" s="125"/>
      <c r="L403" s="128">
        <f>TRUNC(L401+L393+L396)</f>
        <v>74638</v>
      </c>
    </row>
    <row r="404" spans="2:12" ht="11.25" customHeight="1" x14ac:dyDescent="0.2">
      <c r="B404" s="186" t="s">
        <v>427</v>
      </c>
      <c r="C404" s="187" t="s">
        <v>428</v>
      </c>
      <c r="D404" s="187" t="s">
        <v>429</v>
      </c>
      <c r="E404" s="188" t="s">
        <v>430</v>
      </c>
      <c r="F404" s="188" t="s">
        <v>431</v>
      </c>
      <c r="G404" s="94" t="s">
        <v>946</v>
      </c>
      <c r="H404" s="151"/>
      <c r="I404" s="94" t="s">
        <v>1032</v>
      </c>
      <c r="J404" s="151"/>
      <c r="K404" s="94" t="s">
        <v>64</v>
      </c>
      <c r="L404" s="151"/>
    </row>
    <row r="405" spans="2:12" ht="11.25" customHeight="1" x14ac:dyDescent="0.2">
      <c r="B405" s="186"/>
      <c r="C405" s="187"/>
      <c r="D405" s="187"/>
      <c r="E405" s="188"/>
      <c r="F405" s="188"/>
      <c r="G405" s="17" t="s">
        <v>436</v>
      </c>
      <c r="H405" s="17" t="s">
        <v>437</v>
      </c>
      <c r="I405" s="17" t="s">
        <v>436</v>
      </c>
      <c r="J405" s="17" t="s">
        <v>437</v>
      </c>
      <c r="K405" s="17" t="s">
        <v>436</v>
      </c>
      <c r="L405" s="17" t="s">
        <v>437</v>
      </c>
    </row>
    <row r="406" spans="2:12" ht="11.25" customHeight="1" x14ac:dyDescent="0.2">
      <c r="C406" s="4" t="s">
        <v>426</v>
      </c>
      <c r="D406" s="4"/>
      <c r="E406" s="13" t="s">
        <v>494</v>
      </c>
      <c r="F406" s="25">
        <v>1505.45</v>
      </c>
      <c r="G406" s="27">
        <v>9.3000000000000007</v>
      </c>
      <c r="H406" s="20">
        <f>TRUNC(($F406*G406),1)</f>
        <v>14000.6</v>
      </c>
      <c r="I406" s="27">
        <v>14.1</v>
      </c>
      <c r="J406" s="20">
        <f>TRUNC(($F406*I406),1)</f>
        <v>21226.799999999999</v>
      </c>
      <c r="K406" s="27">
        <v>15.9</v>
      </c>
      <c r="L406" s="20">
        <f>TRUNC(($F406*K406),1)</f>
        <v>23936.6</v>
      </c>
    </row>
    <row r="407" spans="2:12" ht="11.25" customHeight="1" x14ac:dyDescent="0.2">
      <c r="C407" s="4" t="s">
        <v>878</v>
      </c>
      <c r="D407" s="4" t="s">
        <v>203</v>
      </c>
      <c r="E407" s="13" t="s">
        <v>232</v>
      </c>
      <c r="F407" s="18"/>
      <c r="G407" s="21">
        <v>38</v>
      </c>
      <c r="H407" s="20">
        <f>TRUNC(H406*G407*0.01,1)</f>
        <v>5320.2</v>
      </c>
      <c r="I407" s="21">
        <v>38</v>
      </c>
      <c r="J407" s="20">
        <f>TRUNC(J406*I407*0.01,1)</f>
        <v>8066.1</v>
      </c>
      <c r="K407" s="21">
        <v>38</v>
      </c>
      <c r="L407" s="20">
        <f>TRUNC(L406*K407*0.01,1)</f>
        <v>9095.9</v>
      </c>
    </row>
    <row r="408" spans="2:12" ht="11.25" customHeight="1" x14ac:dyDescent="0.2">
      <c r="C408" s="107" t="s">
        <v>799</v>
      </c>
      <c r="D408" s="107"/>
      <c r="E408" s="23"/>
      <c r="F408" s="22"/>
      <c r="G408" s="22"/>
      <c r="H408" s="24">
        <f>TRUNC(SUM(H406:H407))</f>
        <v>19320</v>
      </c>
      <c r="I408" s="22"/>
      <c r="J408" s="24">
        <f>TRUNC(SUM(J406:J407))</f>
        <v>29292</v>
      </c>
      <c r="K408" s="22"/>
      <c r="L408" s="24">
        <f>TRUNC(SUM(L406:L407))</f>
        <v>33032</v>
      </c>
    </row>
    <row r="409" spans="2:12" ht="11.25" customHeight="1" x14ac:dyDescent="0.2">
      <c r="C409" s="4"/>
      <c r="D409" s="4"/>
      <c r="E409" s="13"/>
      <c r="F409" s="50"/>
      <c r="G409" s="27"/>
      <c r="H409" s="20"/>
      <c r="I409" s="26"/>
      <c r="J409" s="20"/>
      <c r="K409" s="26"/>
      <c r="L409" s="20"/>
    </row>
    <row r="410" spans="2:12" ht="11.25" customHeight="1" x14ac:dyDescent="0.2">
      <c r="C410" s="4" t="s">
        <v>873</v>
      </c>
      <c r="D410" s="4" t="s">
        <v>866</v>
      </c>
      <c r="E410" s="13" t="s">
        <v>497</v>
      </c>
      <c r="F410" s="28">
        <v>238936</v>
      </c>
      <c r="G410" s="18">
        <v>0.20799999999999999</v>
      </c>
      <c r="H410" s="20">
        <f>TRUNC(($F410*G410),1)</f>
        <v>49698.6</v>
      </c>
      <c r="I410" s="18">
        <v>0.20799999999999999</v>
      </c>
      <c r="J410" s="20">
        <f>TRUNC(($F410*I410),1)</f>
        <v>49698.6</v>
      </c>
      <c r="K410" s="18"/>
      <c r="L410" s="20">
        <f>TRUNC(($F410*K410),1)</f>
        <v>0</v>
      </c>
    </row>
    <row r="411" spans="2:12" ht="11.25" customHeight="1" x14ac:dyDescent="0.2">
      <c r="C411" s="4" t="s">
        <v>798</v>
      </c>
      <c r="D411" s="4" t="s">
        <v>866</v>
      </c>
      <c r="E411" s="13" t="s">
        <v>497</v>
      </c>
      <c r="F411" s="28">
        <v>283297</v>
      </c>
      <c r="G411" s="18"/>
      <c r="H411" s="20">
        <f>TRUNC(($F411*G411),1)</f>
        <v>0</v>
      </c>
      <c r="I411" s="18"/>
      <c r="J411" s="20">
        <f>TRUNC(($F411*I411),1)</f>
        <v>0</v>
      </c>
      <c r="K411" s="18">
        <v>0.20799999999999999</v>
      </c>
      <c r="L411" s="20">
        <f>TRUNC(($F411*K411),1)</f>
        <v>58925.7</v>
      </c>
    </row>
    <row r="412" spans="2:12" ht="11.25" customHeight="1" x14ac:dyDescent="0.2">
      <c r="C412" s="107" t="s">
        <v>1285</v>
      </c>
      <c r="D412" s="107"/>
      <c r="E412" s="23"/>
      <c r="F412" s="22"/>
      <c r="G412" s="22"/>
      <c r="H412" s="24">
        <f>TRUNC(SUM(H410:H411))</f>
        <v>49698</v>
      </c>
      <c r="I412" s="22"/>
      <c r="J412" s="24">
        <f>TRUNC(SUM(J410:J411))</f>
        <v>49698</v>
      </c>
      <c r="K412" s="22"/>
      <c r="L412" s="24">
        <f>TRUNC(SUM(L410:L411))</f>
        <v>58925</v>
      </c>
    </row>
    <row r="413" spans="2:12" ht="11.25" customHeight="1" x14ac:dyDescent="0.2">
      <c r="C413" s="4"/>
      <c r="D413" s="4"/>
      <c r="E413" s="13"/>
      <c r="F413" s="50"/>
      <c r="G413" s="27"/>
      <c r="H413" s="20"/>
      <c r="I413" s="26"/>
      <c r="J413" s="20"/>
      <c r="K413" s="26"/>
      <c r="L413" s="20"/>
    </row>
    <row r="414" spans="2:12" ht="11.25" customHeight="1" x14ac:dyDescent="0.2">
      <c r="B414" s="8" t="s">
        <v>926</v>
      </c>
      <c r="C414" s="4" t="s">
        <v>526</v>
      </c>
      <c r="D414" s="106" t="s">
        <v>390</v>
      </c>
      <c r="E414" s="13" t="s">
        <v>746</v>
      </c>
      <c r="F414" s="66">
        <v>37391000</v>
      </c>
      <c r="G414" s="19">
        <v>2820</v>
      </c>
      <c r="H414" s="20">
        <f>TRUNC($F414*G414*0.0000001,1)</f>
        <v>10544.2</v>
      </c>
      <c r="I414" s="21">
        <v>0</v>
      </c>
      <c r="J414" s="20">
        <f>TRUNC($F414*I414*0.0000001,1)</f>
        <v>0</v>
      </c>
      <c r="K414" s="21">
        <v>0</v>
      </c>
      <c r="L414" s="20">
        <f>TRUNC($F414*K414*0.0000001,1)</f>
        <v>0</v>
      </c>
    </row>
    <row r="415" spans="2:12" ht="11.25" customHeight="1" x14ac:dyDescent="0.2">
      <c r="B415" s="8" t="s">
        <v>927</v>
      </c>
      <c r="C415" s="4" t="s">
        <v>526</v>
      </c>
      <c r="D415" s="106" t="s">
        <v>925</v>
      </c>
      <c r="E415" s="13" t="s">
        <v>746</v>
      </c>
      <c r="F415" s="66">
        <v>52810000</v>
      </c>
      <c r="G415" s="21">
        <v>0</v>
      </c>
      <c r="H415" s="20">
        <f>TRUNC($F415*G415*0.0000001,1)</f>
        <v>0</v>
      </c>
      <c r="I415" s="19">
        <v>2279</v>
      </c>
      <c r="J415" s="20">
        <f>TRUNC($F415*I415*0.0000001,1)</f>
        <v>12035.3</v>
      </c>
      <c r="K415" s="21">
        <v>0</v>
      </c>
      <c r="L415" s="20">
        <f>TRUNC($F415*K415*0.0000001,1)</f>
        <v>0</v>
      </c>
    </row>
    <row r="416" spans="2:12" ht="11.25" customHeight="1" x14ac:dyDescent="0.2">
      <c r="B416" s="8" t="s">
        <v>820</v>
      </c>
      <c r="C416" s="4" t="s">
        <v>526</v>
      </c>
      <c r="D416" s="106" t="s">
        <v>767</v>
      </c>
      <c r="E416" s="13" t="s">
        <v>746</v>
      </c>
      <c r="F416" s="66">
        <v>90653000</v>
      </c>
      <c r="G416" s="21">
        <v>0</v>
      </c>
      <c r="H416" s="20">
        <f>TRUNC($F416*G416*0.0000001,1)</f>
        <v>0</v>
      </c>
      <c r="I416" s="21">
        <v>0</v>
      </c>
      <c r="J416" s="20">
        <f>TRUNC($F416*I416*0.0000001,1)</f>
        <v>0</v>
      </c>
      <c r="K416" s="19">
        <v>2279</v>
      </c>
      <c r="L416" s="20">
        <f>TRUNC($F416*K416*0.0000001,1)</f>
        <v>20659.8</v>
      </c>
    </row>
    <row r="417" spans="2:12" ht="11.25" customHeight="1" x14ac:dyDescent="0.2">
      <c r="C417" s="107" t="s">
        <v>1289</v>
      </c>
      <c r="D417" s="107"/>
      <c r="E417" s="23"/>
      <c r="F417" s="22"/>
      <c r="G417" s="22"/>
      <c r="H417" s="24">
        <f>TRUNC(SUM(H414:H416))</f>
        <v>10544</v>
      </c>
      <c r="I417" s="22"/>
      <c r="J417" s="24">
        <f>TRUNC(SUM(J414:J416))</f>
        <v>12035</v>
      </c>
      <c r="K417" s="22"/>
      <c r="L417" s="24">
        <f>TRUNC(SUM(L414:L416))</f>
        <v>20659</v>
      </c>
    </row>
    <row r="418" spans="2:12" ht="11.25" customHeight="1" x14ac:dyDescent="0.2">
      <c r="C418" s="4"/>
      <c r="D418" s="4"/>
      <c r="E418" s="13"/>
      <c r="F418" s="50"/>
      <c r="G418" s="27"/>
      <c r="H418" s="20"/>
      <c r="I418" s="26"/>
      <c r="J418" s="20"/>
      <c r="K418" s="26"/>
      <c r="L418" s="20"/>
    </row>
    <row r="419" spans="2:12" ht="11.25" customHeight="1" x14ac:dyDescent="0.2">
      <c r="C419" s="126" t="s">
        <v>1286</v>
      </c>
      <c r="D419" s="126"/>
      <c r="E419" s="127"/>
      <c r="F419" s="125"/>
      <c r="G419" s="125"/>
      <c r="H419" s="128">
        <f>TRUNC(H417+H408+H412)</f>
        <v>79562</v>
      </c>
      <c r="I419" s="125"/>
      <c r="J419" s="128">
        <f>TRUNC(J417+J408+J412)</f>
        <v>91025</v>
      </c>
      <c r="K419" s="125"/>
      <c r="L419" s="128">
        <f>TRUNC(L417+L408+L412)</f>
        <v>112616</v>
      </c>
    </row>
    <row r="420" spans="2:12" ht="11.25" customHeight="1" x14ac:dyDescent="0.2">
      <c r="B420" s="186" t="s">
        <v>427</v>
      </c>
      <c r="C420" s="187" t="s">
        <v>428</v>
      </c>
      <c r="D420" s="187" t="s">
        <v>429</v>
      </c>
      <c r="E420" s="188" t="s">
        <v>430</v>
      </c>
      <c r="F420" s="188" t="s">
        <v>431</v>
      </c>
      <c r="G420" s="93" t="s">
        <v>68</v>
      </c>
      <c r="H420" s="93"/>
      <c r="I420" s="93" t="s">
        <v>447</v>
      </c>
      <c r="J420" s="93"/>
      <c r="K420" s="93" t="s">
        <v>389</v>
      </c>
      <c r="L420" s="94"/>
    </row>
    <row r="421" spans="2:12" ht="11.25" customHeight="1" x14ac:dyDescent="0.2">
      <c r="B421" s="186"/>
      <c r="C421" s="187"/>
      <c r="D421" s="187"/>
      <c r="E421" s="188"/>
      <c r="F421" s="188"/>
      <c r="G421" s="64" t="s">
        <v>436</v>
      </c>
      <c r="H421" s="64" t="s">
        <v>437</v>
      </c>
      <c r="I421" s="64" t="s">
        <v>436</v>
      </c>
      <c r="J421" s="64" t="s">
        <v>437</v>
      </c>
      <c r="K421" s="64" t="s">
        <v>436</v>
      </c>
      <c r="L421" s="85" t="s">
        <v>437</v>
      </c>
    </row>
    <row r="422" spans="2:12" ht="11.25" customHeight="1" x14ac:dyDescent="0.2">
      <c r="C422" s="4" t="s">
        <v>426</v>
      </c>
      <c r="D422" s="4"/>
      <c r="E422" s="13" t="s">
        <v>494</v>
      </c>
      <c r="F422" s="25">
        <v>1505.45</v>
      </c>
      <c r="G422" s="26">
        <v>20</v>
      </c>
      <c r="H422" s="20">
        <f>TRUNC(($F422*G422),1)</f>
        <v>30109</v>
      </c>
      <c r="I422" s="26">
        <v>23</v>
      </c>
      <c r="J422" s="20">
        <f>TRUNC(($F422*I422),1)</f>
        <v>34625.300000000003</v>
      </c>
      <c r="K422" s="27">
        <v>29.1</v>
      </c>
      <c r="L422" s="20">
        <f>TRUNC(($F422*K422),1)</f>
        <v>43808.5</v>
      </c>
    </row>
    <row r="423" spans="2:12" ht="11.25" customHeight="1" x14ac:dyDescent="0.2">
      <c r="C423" s="4" t="s">
        <v>878</v>
      </c>
      <c r="D423" s="4" t="s">
        <v>203</v>
      </c>
      <c r="E423" s="13" t="s">
        <v>232</v>
      </c>
      <c r="F423" s="18"/>
      <c r="G423" s="21">
        <v>38</v>
      </c>
      <c r="H423" s="20">
        <f>TRUNC(H422*G423*0.01,1)</f>
        <v>11441.4</v>
      </c>
      <c r="I423" s="21">
        <v>38</v>
      </c>
      <c r="J423" s="20">
        <f>TRUNC(J422*I423*0.01,1)</f>
        <v>13157.6</v>
      </c>
      <c r="K423" s="21">
        <v>38</v>
      </c>
      <c r="L423" s="20">
        <f>TRUNC(L422*K423*0.01,1)</f>
        <v>16647.2</v>
      </c>
    </row>
    <row r="424" spans="2:12" ht="11.25" customHeight="1" x14ac:dyDescent="0.2">
      <c r="C424" s="107" t="s">
        <v>799</v>
      </c>
      <c r="D424" s="107"/>
      <c r="E424" s="23"/>
      <c r="F424" s="22"/>
      <c r="G424" s="22"/>
      <c r="H424" s="24">
        <f>TRUNC(SUM(H422:H423))</f>
        <v>41550</v>
      </c>
      <c r="I424" s="22"/>
      <c r="J424" s="24">
        <f>TRUNC(SUM(J422:J423))</f>
        <v>47782</v>
      </c>
      <c r="K424" s="22"/>
      <c r="L424" s="24">
        <f>TRUNC(SUM(L422:L423))</f>
        <v>60455</v>
      </c>
    </row>
    <row r="425" spans="2:12" ht="11.25" customHeight="1" x14ac:dyDescent="0.2">
      <c r="C425" s="4"/>
      <c r="D425" s="4"/>
      <c r="E425" s="13"/>
      <c r="F425" s="50"/>
      <c r="G425" s="27"/>
      <c r="H425" s="20"/>
      <c r="I425" s="26"/>
      <c r="J425" s="20"/>
      <c r="K425" s="26"/>
      <c r="L425" s="20"/>
    </row>
    <row r="426" spans="2:12" ht="11.25" customHeight="1" x14ac:dyDescent="0.2">
      <c r="C426" s="4" t="s">
        <v>798</v>
      </c>
      <c r="D426" s="4" t="s">
        <v>866</v>
      </c>
      <c r="E426" s="13" t="s">
        <v>497</v>
      </c>
      <c r="F426" s="28">
        <v>283297</v>
      </c>
      <c r="G426" s="18">
        <v>0.20799999999999999</v>
      </c>
      <c r="H426" s="20">
        <f>TRUNC(($F426*G426),1)</f>
        <v>58925.7</v>
      </c>
      <c r="I426" s="18">
        <v>0.20799999999999999</v>
      </c>
      <c r="J426" s="20">
        <f>TRUNC(($F426*I426),1)</f>
        <v>58925.7</v>
      </c>
      <c r="K426" s="18">
        <v>0.20799999999999999</v>
      </c>
      <c r="L426" s="20">
        <f>TRUNC(($F426*K426),1)</f>
        <v>58925.7</v>
      </c>
    </row>
    <row r="427" spans="2:12" ht="11.25" customHeight="1" x14ac:dyDescent="0.2">
      <c r="C427" s="107" t="s">
        <v>1285</v>
      </c>
      <c r="D427" s="107"/>
      <c r="E427" s="23"/>
      <c r="F427" s="22"/>
      <c r="G427" s="22"/>
      <c r="H427" s="24">
        <f>TRUNC(SUM(H426:H426))</f>
        <v>58925</v>
      </c>
      <c r="I427" s="22"/>
      <c r="J427" s="24">
        <f>TRUNC(SUM(J426:J426))</f>
        <v>58925</v>
      </c>
      <c r="K427" s="22"/>
      <c r="L427" s="24">
        <f>TRUNC(SUM(L426:L426))</f>
        <v>58925</v>
      </c>
    </row>
    <row r="428" spans="2:12" ht="11.25" customHeight="1" x14ac:dyDescent="0.2">
      <c r="C428" s="4"/>
      <c r="D428" s="110"/>
      <c r="E428" s="13"/>
      <c r="F428" s="50"/>
      <c r="G428" s="27"/>
      <c r="H428" s="20"/>
      <c r="I428" s="26"/>
      <c r="J428" s="45"/>
      <c r="K428" s="26"/>
      <c r="L428" s="20"/>
    </row>
    <row r="429" spans="2:12" ht="11.25" customHeight="1" x14ac:dyDescent="0.2">
      <c r="B429" s="8" t="s">
        <v>822</v>
      </c>
      <c r="C429" s="4" t="s">
        <v>526</v>
      </c>
      <c r="D429" s="115" t="s">
        <v>821</v>
      </c>
      <c r="E429" s="13" t="s">
        <v>746</v>
      </c>
      <c r="F429" s="66">
        <v>127336000</v>
      </c>
      <c r="G429" s="19">
        <v>2229</v>
      </c>
      <c r="H429" s="20">
        <f>TRUNC($F429*G429*0.0000001,1)</f>
        <v>28383.1</v>
      </c>
      <c r="I429" s="21">
        <v>0</v>
      </c>
      <c r="J429" s="20">
        <f>TRUNC($F429*I429*0.0000001,1)</f>
        <v>0</v>
      </c>
      <c r="K429" s="21">
        <v>0</v>
      </c>
      <c r="L429" s="20">
        <f>TRUNC($F429*K429*0.0000001,1)</f>
        <v>0</v>
      </c>
    </row>
    <row r="430" spans="2:12" ht="11.25" customHeight="1" x14ac:dyDescent="0.2">
      <c r="B430" s="8" t="s">
        <v>26</v>
      </c>
      <c r="C430" s="4" t="s">
        <v>526</v>
      </c>
      <c r="D430" s="110" t="s">
        <v>1315</v>
      </c>
      <c r="E430" s="13" t="s">
        <v>746</v>
      </c>
      <c r="F430" s="66">
        <v>147825000</v>
      </c>
      <c r="G430" s="21">
        <v>0</v>
      </c>
      <c r="H430" s="20">
        <f>TRUNC($F430*G430*0.0000001,1)</f>
        <v>0</v>
      </c>
      <c r="I430" s="19">
        <v>2229</v>
      </c>
      <c r="J430" s="20">
        <f>TRUNC($F430*I430*0.0000001,1)</f>
        <v>32950.1</v>
      </c>
      <c r="K430" s="21">
        <v>0</v>
      </c>
      <c r="L430" s="20">
        <f>TRUNC($F430*K430*0.0000001,1)</f>
        <v>0</v>
      </c>
    </row>
    <row r="431" spans="2:12" ht="11.25" customHeight="1" x14ac:dyDescent="0.2">
      <c r="B431" s="8" t="s">
        <v>25</v>
      </c>
      <c r="C431" s="4" t="s">
        <v>526</v>
      </c>
      <c r="D431" s="115" t="s">
        <v>764</v>
      </c>
      <c r="E431" s="13" t="s">
        <v>746</v>
      </c>
      <c r="F431" s="66">
        <v>211060000</v>
      </c>
      <c r="G431" s="21">
        <v>0</v>
      </c>
      <c r="H431" s="20">
        <f>TRUNC($F431*G431*0.0000001,1)</f>
        <v>0</v>
      </c>
      <c r="I431" s="21">
        <v>0</v>
      </c>
      <c r="J431" s="20">
        <f>TRUNC($F431*I431*0.0000001,1)</f>
        <v>0</v>
      </c>
      <c r="K431" s="19">
        <v>2229</v>
      </c>
      <c r="L431" s="20">
        <f>TRUNC($F431*K431*0.0000001,1)</f>
        <v>47045.2</v>
      </c>
    </row>
    <row r="432" spans="2:12" ht="11.25" customHeight="1" x14ac:dyDescent="0.2">
      <c r="C432" s="107" t="s">
        <v>1289</v>
      </c>
      <c r="D432" s="107"/>
      <c r="E432" s="23"/>
      <c r="F432" s="22"/>
      <c r="G432" s="22"/>
      <c r="H432" s="24">
        <f>TRUNC(SUM(H429:H431))</f>
        <v>28383</v>
      </c>
      <c r="I432" s="22"/>
      <c r="J432" s="24">
        <f>TRUNC(SUM(J429:J431))</f>
        <v>32950</v>
      </c>
      <c r="K432" s="22"/>
      <c r="L432" s="24">
        <f>TRUNC(SUM(L430:L431))</f>
        <v>47045</v>
      </c>
    </row>
    <row r="433" spans="1:12" ht="11.25" customHeight="1" x14ac:dyDescent="0.2">
      <c r="C433" s="4"/>
      <c r="D433" s="4"/>
      <c r="E433" s="13"/>
      <c r="F433" s="50"/>
      <c r="G433" s="27"/>
      <c r="H433" s="20"/>
      <c r="I433" s="26"/>
      <c r="J433" s="20"/>
      <c r="K433" s="26"/>
      <c r="L433" s="20"/>
    </row>
    <row r="434" spans="1:12" ht="11.25" customHeight="1" x14ac:dyDescent="0.2">
      <c r="B434" s="16"/>
      <c r="C434" s="108" t="s">
        <v>1286</v>
      </c>
      <c r="D434" s="108"/>
      <c r="E434" s="103"/>
      <c r="F434" s="102"/>
      <c r="G434" s="102"/>
      <c r="H434" s="104">
        <f>TRUNC(H432+H424+H427)</f>
        <v>128858</v>
      </c>
      <c r="I434" s="102"/>
      <c r="J434" s="104">
        <f>TRUNC(J432+J424+J427)</f>
        <v>139657</v>
      </c>
      <c r="K434" s="102"/>
      <c r="L434" s="104">
        <f>TRUNC(L432+L424+L427)</f>
        <v>166425</v>
      </c>
    </row>
    <row r="436" spans="1:12" ht="11.25" customHeight="1" x14ac:dyDescent="0.2">
      <c r="B436" s="68" t="s">
        <v>1316</v>
      </c>
      <c r="C436" s="119"/>
      <c r="L436" s="49" t="s">
        <v>1307</v>
      </c>
    </row>
    <row r="437" spans="1:12" ht="11.25" customHeight="1" x14ac:dyDescent="0.2">
      <c r="B437" s="186" t="s">
        <v>427</v>
      </c>
      <c r="C437" s="187" t="s">
        <v>428</v>
      </c>
      <c r="D437" s="187" t="s">
        <v>429</v>
      </c>
      <c r="E437" s="188" t="s">
        <v>430</v>
      </c>
      <c r="F437" s="188" t="s">
        <v>431</v>
      </c>
      <c r="G437" s="94" t="s">
        <v>553</v>
      </c>
      <c r="H437" s="151"/>
      <c r="I437" s="94" t="s">
        <v>802</v>
      </c>
      <c r="J437" s="151"/>
      <c r="K437" s="94" t="s">
        <v>803</v>
      </c>
      <c r="L437" s="151"/>
    </row>
    <row r="438" spans="1:12" ht="11.25" customHeight="1" x14ac:dyDescent="0.2">
      <c r="B438" s="186"/>
      <c r="C438" s="187"/>
      <c r="D438" s="187"/>
      <c r="E438" s="188"/>
      <c r="F438" s="188"/>
      <c r="G438" s="17" t="s">
        <v>436</v>
      </c>
      <c r="H438" s="17" t="s">
        <v>437</v>
      </c>
      <c r="I438" s="17" t="s">
        <v>436</v>
      </c>
      <c r="J438" s="17" t="s">
        <v>437</v>
      </c>
      <c r="K438" s="17" t="s">
        <v>436</v>
      </c>
      <c r="L438" s="17" t="s">
        <v>437</v>
      </c>
    </row>
    <row r="439" spans="1:12" ht="11.25" customHeight="1" x14ac:dyDescent="0.2">
      <c r="B439" s="8" t="s">
        <v>853</v>
      </c>
      <c r="C439" s="4" t="s">
        <v>714</v>
      </c>
      <c r="D439" s="106" t="s">
        <v>187</v>
      </c>
      <c r="E439" s="13" t="s">
        <v>746</v>
      </c>
      <c r="F439" s="66">
        <v>1634000</v>
      </c>
      <c r="G439" s="19">
        <v>2684</v>
      </c>
      <c r="H439" s="20">
        <f>TRUNC($F439*G439*0.0000001,1)</f>
        <v>438.5</v>
      </c>
      <c r="I439" s="21">
        <v>0</v>
      </c>
      <c r="J439" s="20">
        <f>TRUNC($F439*I439*0.0000001,1)</f>
        <v>0</v>
      </c>
      <c r="K439" s="21">
        <v>0</v>
      </c>
      <c r="L439" s="20">
        <f>TRUNC($F439*K439*0.0000001,1)</f>
        <v>0</v>
      </c>
    </row>
    <row r="440" spans="1:12" ht="11.25" customHeight="1" x14ac:dyDescent="0.2">
      <c r="B440" s="8" t="s">
        <v>800</v>
      </c>
      <c r="C440" s="4" t="s">
        <v>714</v>
      </c>
      <c r="D440" s="106" t="s">
        <v>802</v>
      </c>
      <c r="E440" s="13" t="s">
        <v>746</v>
      </c>
      <c r="F440" s="66">
        <v>1765000</v>
      </c>
      <c r="G440" s="21">
        <v>0</v>
      </c>
      <c r="H440" s="20">
        <f>TRUNC($F440*G440*0.0000001,1)</f>
        <v>0</v>
      </c>
      <c r="I440" s="19">
        <v>2684</v>
      </c>
      <c r="J440" s="20">
        <f>TRUNC($F440*I440*0.0000001,1)</f>
        <v>473.7</v>
      </c>
      <c r="K440" s="21">
        <v>0</v>
      </c>
      <c r="L440" s="20">
        <f>TRUNC($F440*K440*0.0000001,1)</f>
        <v>0</v>
      </c>
    </row>
    <row r="441" spans="1:12" ht="11.25" customHeight="1" x14ac:dyDescent="0.2">
      <c r="B441" s="8" t="s">
        <v>801</v>
      </c>
      <c r="C441" s="4" t="s">
        <v>714</v>
      </c>
      <c r="D441" s="106" t="s">
        <v>803</v>
      </c>
      <c r="E441" s="13" t="s">
        <v>746</v>
      </c>
      <c r="F441" s="66">
        <v>1896000</v>
      </c>
      <c r="G441" s="21">
        <v>0</v>
      </c>
      <c r="H441" s="20">
        <f>TRUNC($F441*G441*0.0000001,1)</f>
        <v>0</v>
      </c>
      <c r="I441" s="21">
        <v>0</v>
      </c>
      <c r="J441" s="20">
        <f>TRUNC($F441*I441*0.0000001,1)</f>
        <v>0</v>
      </c>
      <c r="K441" s="19">
        <v>2684</v>
      </c>
      <c r="L441" s="20">
        <f>TRUNC($F441*K441*0.0000001,1)</f>
        <v>508.8</v>
      </c>
    </row>
    <row r="442" spans="1:12" ht="11.25" customHeight="1" x14ac:dyDescent="0.2">
      <c r="C442" s="107" t="s">
        <v>1289</v>
      </c>
      <c r="D442" s="107"/>
      <c r="E442" s="23"/>
      <c r="F442" s="22"/>
      <c r="G442" s="22"/>
      <c r="H442" s="24">
        <f>TRUNC(SUM(H439:H441))</f>
        <v>438</v>
      </c>
      <c r="I442" s="22"/>
      <c r="J442" s="24">
        <f>TRUNC(SUM(J439:J441))</f>
        <v>473</v>
      </c>
      <c r="K442" s="22"/>
      <c r="L442" s="24">
        <f>TRUNC(SUM(L439:L441))</f>
        <v>508</v>
      </c>
    </row>
    <row r="443" spans="1:12" ht="11.25" customHeight="1" x14ac:dyDescent="0.2">
      <c r="C443" s="107"/>
      <c r="D443" s="107"/>
      <c r="E443" s="22"/>
      <c r="F443" s="22"/>
      <c r="G443" s="22"/>
      <c r="H443" s="22"/>
      <c r="I443" s="22"/>
      <c r="J443" s="22"/>
      <c r="K443" s="22"/>
      <c r="L443" s="22"/>
    </row>
    <row r="444" spans="1:12" ht="11.25" customHeight="1" x14ac:dyDescent="0.2">
      <c r="B444" s="16"/>
      <c r="C444" s="108" t="s">
        <v>1286</v>
      </c>
      <c r="D444" s="108"/>
      <c r="E444" s="103"/>
      <c r="F444" s="102"/>
      <c r="G444" s="102"/>
      <c r="H444" s="104">
        <f>TRUNC(H442)</f>
        <v>438</v>
      </c>
      <c r="I444" s="102"/>
      <c r="J444" s="104">
        <f>TRUNC(J442)</f>
        <v>473</v>
      </c>
      <c r="K444" s="102"/>
      <c r="L444" s="104">
        <f>TRUNC(L442)</f>
        <v>508</v>
      </c>
    </row>
    <row r="446" spans="1:12" ht="11.25" customHeight="1" x14ac:dyDescent="0.2">
      <c r="B446" s="68" t="s">
        <v>1317</v>
      </c>
      <c r="C446" s="119"/>
    </row>
    <row r="447" spans="1:12" ht="11.25" customHeight="1" x14ac:dyDescent="0.2">
      <c r="A447" s="7"/>
      <c r="B447" s="68" t="s">
        <v>1318</v>
      </c>
      <c r="C447" s="119"/>
      <c r="L447" s="49" t="s">
        <v>1307</v>
      </c>
    </row>
    <row r="448" spans="1:12" ht="11.25" customHeight="1" x14ac:dyDescent="0.2">
      <c r="B448" s="186" t="s">
        <v>427</v>
      </c>
      <c r="C448" s="187" t="s">
        <v>428</v>
      </c>
      <c r="D448" s="187" t="s">
        <v>429</v>
      </c>
      <c r="E448" s="188" t="s">
        <v>430</v>
      </c>
      <c r="F448" s="188" t="s">
        <v>431</v>
      </c>
      <c r="G448" s="94" t="s">
        <v>1035</v>
      </c>
      <c r="H448" s="151"/>
      <c r="I448" s="94" t="s">
        <v>1033</v>
      </c>
      <c r="J448" s="151"/>
      <c r="K448" s="94" t="s">
        <v>1034</v>
      </c>
      <c r="L448" s="151"/>
    </row>
    <row r="449" spans="2:12" ht="11.25" customHeight="1" x14ac:dyDescent="0.2">
      <c r="B449" s="186"/>
      <c r="C449" s="187"/>
      <c r="D449" s="187"/>
      <c r="E449" s="188"/>
      <c r="F449" s="188"/>
      <c r="G449" s="17" t="s">
        <v>436</v>
      </c>
      <c r="H449" s="17" t="s">
        <v>437</v>
      </c>
      <c r="I449" s="17" t="s">
        <v>436</v>
      </c>
      <c r="J449" s="17" t="s">
        <v>437</v>
      </c>
      <c r="K449" s="17" t="s">
        <v>436</v>
      </c>
      <c r="L449" s="17" t="s">
        <v>437</v>
      </c>
    </row>
    <row r="450" spans="2:12" ht="11.25" customHeight="1" x14ac:dyDescent="0.2">
      <c r="C450" s="4" t="s">
        <v>426</v>
      </c>
      <c r="D450" s="4"/>
      <c r="E450" s="13" t="s">
        <v>494</v>
      </c>
      <c r="F450" s="25">
        <v>1505.45</v>
      </c>
      <c r="G450" s="27">
        <v>7.6</v>
      </c>
      <c r="H450" s="20">
        <f>TRUNC(($F450*G450),1)</f>
        <v>11441.4</v>
      </c>
      <c r="I450" s="27">
        <v>9.3000000000000007</v>
      </c>
      <c r="J450" s="20">
        <f>TRUNC(($F450*I450),1)</f>
        <v>14000.6</v>
      </c>
      <c r="K450" s="26">
        <v>10.9</v>
      </c>
      <c r="L450" s="20">
        <f>TRUNC(($F450*K450),1)</f>
        <v>16409.400000000001</v>
      </c>
    </row>
    <row r="451" spans="2:12" ht="11.25" customHeight="1" x14ac:dyDescent="0.2">
      <c r="C451" s="4" t="s">
        <v>878</v>
      </c>
      <c r="D451" s="4" t="s">
        <v>203</v>
      </c>
      <c r="E451" s="13" t="s">
        <v>232</v>
      </c>
      <c r="F451" s="18"/>
      <c r="G451" s="21">
        <v>18</v>
      </c>
      <c r="H451" s="20">
        <f>TRUNC(H450*G451*0.01,1)</f>
        <v>2059.4</v>
      </c>
      <c r="I451" s="21">
        <v>18</v>
      </c>
      <c r="J451" s="20">
        <f>TRUNC(J450*I451*0.01,1)</f>
        <v>2520.1</v>
      </c>
      <c r="K451" s="21">
        <v>18</v>
      </c>
      <c r="L451" s="20">
        <f>TRUNC(L450*K451*0.01,1)</f>
        <v>2953.6</v>
      </c>
    </row>
    <row r="452" spans="2:12" ht="11.25" customHeight="1" x14ac:dyDescent="0.2">
      <c r="C452" s="107" t="s">
        <v>799</v>
      </c>
      <c r="D452" s="107"/>
      <c r="E452" s="23"/>
      <c r="F452" s="22"/>
      <c r="G452" s="22"/>
      <c r="H452" s="24">
        <f>TRUNC(SUM(H450:H451))</f>
        <v>13500</v>
      </c>
      <c r="I452" s="22"/>
      <c r="J452" s="24">
        <f>TRUNC(SUM(J450:J451))</f>
        <v>16520</v>
      </c>
      <c r="K452" s="22"/>
      <c r="L452" s="24">
        <f>TRUNC(SUM(L450:L451))</f>
        <v>19363</v>
      </c>
    </row>
    <row r="453" spans="2:12" ht="11.25" customHeight="1" x14ac:dyDescent="0.2">
      <c r="C453" s="4"/>
      <c r="D453" s="4"/>
      <c r="E453" s="13"/>
      <c r="F453" s="50"/>
      <c r="G453" s="27"/>
      <c r="H453" s="20"/>
      <c r="I453" s="27"/>
      <c r="J453" s="20"/>
      <c r="K453" s="26"/>
      <c r="L453" s="20"/>
    </row>
    <row r="454" spans="2:12" ht="11.25" customHeight="1" x14ac:dyDescent="0.2">
      <c r="C454" s="4" t="s">
        <v>798</v>
      </c>
      <c r="D454" s="4" t="s">
        <v>866</v>
      </c>
      <c r="E454" s="13" t="s">
        <v>497</v>
      </c>
      <c r="F454" s="28">
        <v>283297</v>
      </c>
      <c r="G454" s="18">
        <v>0.20799999999999999</v>
      </c>
      <c r="H454" s="20">
        <f>TRUNC(($F454*G454),1)</f>
        <v>58925.7</v>
      </c>
      <c r="I454" s="18">
        <v>0.20799999999999999</v>
      </c>
      <c r="J454" s="20">
        <f>TRUNC(($F454*I454),1)</f>
        <v>58925.7</v>
      </c>
      <c r="K454" s="18">
        <v>0.20799999999999999</v>
      </c>
      <c r="L454" s="20">
        <f>TRUNC(($F454*K454),1)</f>
        <v>58925.7</v>
      </c>
    </row>
    <row r="455" spans="2:12" ht="11.25" customHeight="1" x14ac:dyDescent="0.2">
      <c r="C455" s="107" t="s">
        <v>1285</v>
      </c>
      <c r="D455" s="107"/>
      <c r="E455" s="23"/>
      <c r="F455" s="22"/>
      <c r="G455" s="22"/>
      <c r="H455" s="24">
        <f>TRUNC(SUM(H454:H454))</f>
        <v>58925</v>
      </c>
      <c r="I455" s="22"/>
      <c r="J455" s="24">
        <f>TRUNC(SUM(J454:J454))</f>
        <v>58925</v>
      </c>
      <c r="K455" s="22"/>
      <c r="L455" s="24">
        <f>TRUNC(SUM(L454:L454))</f>
        <v>58925</v>
      </c>
    </row>
    <row r="456" spans="2:12" ht="11.25" customHeight="1" x14ac:dyDescent="0.2">
      <c r="C456" s="107"/>
      <c r="D456" s="107"/>
      <c r="E456" s="22"/>
      <c r="F456" s="22"/>
      <c r="G456" s="22"/>
      <c r="H456" s="22"/>
      <c r="I456" s="22"/>
      <c r="J456" s="22"/>
      <c r="K456" s="22"/>
      <c r="L456" s="22"/>
    </row>
    <row r="457" spans="2:12" ht="11.25" customHeight="1" x14ac:dyDescent="0.2">
      <c r="B457" s="8" t="s">
        <v>823</v>
      </c>
      <c r="C457" s="4" t="s">
        <v>1319</v>
      </c>
      <c r="D457" s="106" t="s">
        <v>1205</v>
      </c>
      <c r="E457" s="13" t="s">
        <v>746</v>
      </c>
      <c r="F457" s="66">
        <v>57150000</v>
      </c>
      <c r="G457" s="19">
        <v>1802</v>
      </c>
      <c r="H457" s="20">
        <f>TRUNC($F457*G457*0.0000001,1)</f>
        <v>10298.4</v>
      </c>
      <c r="I457" s="21">
        <v>0</v>
      </c>
      <c r="J457" s="20">
        <f>TRUNC($F457*I457*0.0000001,1)</f>
        <v>0</v>
      </c>
      <c r="K457" s="21">
        <v>0</v>
      </c>
      <c r="L457" s="20">
        <f>TRUNC($F457*K457*0.0000001,1)</f>
        <v>0</v>
      </c>
    </row>
    <row r="458" spans="2:12" ht="11.25" customHeight="1" x14ac:dyDescent="0.2">
      <c r="B458" s="8" t="s">
        <v>824</v>
      </c>
      <c r="C458" s="4" t="s">
        <v>1319</v>
      </c>
      <c r="D458" s="106" t="s">
        <v>1320</v>
      </c>
      <c r="E458" s="13" t="s">
        <v>746</v>
      </c>
      <c r="F458" s="66">
        <v>71351000</v>
      </c>
      <c r="G458" s="21">
        <v>0</v>
      </c>
      <c r="H458" s="20">
        <f>TRUNC($F458*G458*0.0000001,1)</f>
        <v>0</v>
      </c>
      <c r="I458" s="19">
        <v>1802</v>
      </c>
      <c r="J458" s="20">
        <f>TRUNC($F458*I458*0.0000001,1)</f>
        <v>12857.4</v>
      </c>
      <c r="K458" s="21">
        <v>0</v>
      </c>
      <c r="L458" s="20">
        <f>TRUNC($F458*K458*0.0000001,1)</f>
        <v>0</v>
      </c>
    </row>
    <row r="459" spans="2:12" ht="11.25" customHeight="1" x14ac:dyDescent="0.2">
      <c r="B459" s="8" t="s">
        <v>825</v>
      </c>
      <c r="C459" s="4" t="s">
        <v>1319</v>
      </c>
      <c r="D459" s="106" t="s">
        <v>1321</v>
      </c>
      <c r="E459" s="13" t="s">
        <v>746</v>
      </c>
      <c r="F459" s="66">
        <v>80027000</v>
      </c>
      <c r="G459" s="21">
        <v>0</v>
      </c>
      <c r="H459" s="20">
        <f>TRUNC($F459*G459*0.0000001,1)</f>
        <v>0</v>
      </c>
      <c r="I459" s="21">
        <v>0</v>
      </c>
      <c r="J459" s="20">
        <f>TRUNC($F459*I459*0.0000001,1)</f>
        <v>0</v>
      </c>
      <c r="K459" s="19">
        <v>1802</v>
      </c>
      <c r="L459" s="20">
        <f>TRUNC($F459*K459*0.0000001,1)</f>
        <v>14420.8</v>
      </c>
    </row>
    <row r="460" spans="2:12" ht="11.25" customHeight="1" x14ac:dyDescent="0.2">
      <c r="C460" s="107" t="s">
        <v>1289</v>
      </c>
      <c r="D460" s="107"/>
      <c r="E460" s="23"/>
      <c r="F460" s="22"/>
      <c r="G460" s="22"/>
      <c r="H460" s="24">
        <f>TRUNC(SUM(H457:H459))</f>
        <v>10298</v>
      </c>
      <c r="I460" s="22"/>
      <c r="J460" s="24">
        <f>TRUNC(SUM(J457:J459))</f>
        <v>12857</v>
      </c>
      <c r="K460" s="22"/>
      <c r="L460" s="24">
        <f>TRUNC(SUM(L457:L459))</f>
        <v>14420</v>
      </c>
    </row>
    <row r="461" spans="2:12" ht="11.25" customHeight="1" x14ac:dyDescent="0.2">
      <c r="C461" s="4"/>
      <c r="D461" s="4"/>
      <c r="E461" s="13"/>
      <c r="F461" s="50"/>
      <c r="G461" s="27"/>
      <c r="H461" s="20"/>
      <c r="I461" s="27"/>
      <c r="J461" s="20"/>
      <c r="K461" s="26"/>
      <c r="L461" s="20"/>
    </row>
    <row r="462" spans="2:12" ht="11.25" customHeight="1" x14ac:dyDescent="0.2">
      <c r="B462" s="16"/>
      <c r="C462" s="108" t="s">
        <v>1286</v>
      </c>
      <c r="D462" s="108"/>
      <c r="E462" s="103"/>
      <c r="F462" s="102"/>
      <c r="G462" s="102"/>
      <c r="H462" s="104">
        <f>TRUNC(H460+H452+H455)</f>
        <v>82723</v>
      </c>
      <c r="I462" s="102"/>
      <c r="J462" s="104">
        <f>TRUNC(J460+J452+J455)</f>
        <v>88302</v>
      </c>
      <c r="K462" s="102"/>
      <c r="L462" s="104">
        <f>TRUNC(L460+L452+L455)</f>
        <v>92708</v>
      </c>
    </row>
    <row r="464" spans="2:12" ht="11.25" customHeight="1" x14ac:dyDescent="0.2">
      <c r="B464" s="68" t="s">
        <v>1322</v>
      </c>
      <c r="C464" s="119"/>
      <c r="L464" s="49" t="s">
        <v>1307</v>
      </c>
    </row>
    <row r="465" spans="2:12" ht="11.25" customHeight="1" x14ac:dyDescent="0.2">
      <c r="B465" s="186" t="s">
        <v>427</v>
      </c>
      <c r="C465" s="187" t="s">
        <v>428</v>
      </c>
      <c r="D465" s="187" t="s">
        <v>429</v>
      </c>
      <c r="E465" s="188" t="s">
        <v>430</v>
      </c>
      <c r="F465" s="188" t="s">
        <v>431</v>
      </c>
      <c r="G465" s="94" t="s">
        <v>1229</v>
      </c>
      <c r="H465" s="151"/>
      <c r="I465" s="94" t="s">
        <v>1035</v>
      </c>
      <c r="J465" s="151"/>
      <c r="K465" s="94" t="s">
        <v>1036</v>
      </c>
      <c r="L465" s="151"/>
    </row>
    <row r="466" spans="2:12" ht="11.25" customHeight="1" x14ac:dyDescent="0.2">
      <c r="B466" s="186"/>
      <c r="C466" s="187"/>
      <c r="D466" s="187"/>
      <c r="E466" s="188"/>
      <c r="F466" s="188"/>
      <c r="G466" s="17" t="s">
        <v>436</v>
      </c>
      <c r="H466" s="17" t="s">
        <v>437</v>
      </c>
      <c r="I466" s="17" t="s">
        <v>436</v>
      </c>
      <c r="J466" s="17" t="s">
        <v>437</v>
      </c>
      <c r="K466" s="17" t="s">
        <v>436</v>
      </c>
      <c r="L466" s="17" t="s">
        <v>437</v>
      </c>
    </row>
    <row r="467" spans="2:12" ht="11.25" customHeight="1" x14ac:dyDescent="0.2">
      <c r="C467" s="4" t="s">
        <v>426</v>
      </c>
      <c r="D467" s="4"/>
      <c r="E467" s="13" t="s">
        <v>494</v>
      </c>
      <c r="F467" s="25">
        <v>1505.45</v>
      </c>
      <c r="G467" s="26">
        <v>5</v>
      </c>
      <c r="H467" s="20">
        <f>TRUNC(($F467*G467),1)</f>
        <v>7527.2</v>
      </c>
      <c r="I467" s="27">
        <v>6.8</v>
      </c>
      <c r="J467" s="20">
        <f>TRUNC(($F467*I467),1)</f>
        <v>10237</v>
      </c>
      <c r="K467" s="26">
        <v>8.4</v>
      </c>
      <c r="L467" s="20">
        <f>TRUNC(($F467*K467),1)</f>
        <v>12645.7</v>
      </c>
    </row>
    <row r="468" spans="2:12" ht="11.25" customHeight="1" x14ac:dyDescent="0.2">
      <c r="C468" s="4" t="s">
        <v>878</v>
      </c>
      <c r="D468" s="4" t="s">
        <v>203</v>
      </c>
      <c r="E468" s="13" t="s">
        <v>232</v>
      </c>
      <c r="F468" s="18"/>
      <c r="G468" s="21">
        <v>18</v>
      </c>
      <c r="H468" s="20">
        <f>TRUNC(H467*G468*0.01,1)</f>
        <v>1354.8</v>
      </c>
      <c r="I468" s="21">
        <v>18</v>
      </c>
      <c r="J468" s="20">
        <f>TRUNC(J467*I468*0.01,1)</f>
        <v>1842.6</v>
      </c>
      <c r="K468" s="21">
        <v>18</v>
      </c>
      <c r="L468" s="20">
        <f>TRUNC(L467*K468*0.01,1)</f>
        <v>2276.1999999999998</v>
      </c>
    </row>
    <row r="469" spans="2:12" ht="11.25" customHeight="1" x14ac:dyDescent="0.2">
      <c r="C469" s="107" t="s">
        <v>799</v>
      </c>
      <c r="D469" s="107"/>
      <c r="E469" s="23"/>
      <c r="F469" s="22"/>
      <c r="G469" s="22"/>
      <c r="H469" s="24">
        <f>TRUNC(SUM(H467:H468))</f>
        <v>8882</v>
      </c>
      <c r="I469" s="22"/>
      <c r="J469" s="24">
        <f>TRUNC(SUM(J467:J468))</f>
        <v>12079</v>
      </c>
      <c r="K469" s="22"/>
      <c r="L469" s="24">
        <f>TRUNC(SUM(L467:L468))</f>
        <v>14921</v>
      </c>
    </row>
    <row r="470" spans="2:12" ht="11.25" customHeight="1" x14ac:dyDescent="0.2">
      <c r="C470" s="4"/>
      <c r="D470" s="4"/>
      <c r="E470" s="13"/>
      <c r="F470" s="50"/>
      <c r="G470" s="27"/>
      <c r="H470" s="20"/>
      <c r="I470" s="27"/>
      <c r="J470" s="20"/>
      <c r="K470" s="26"/>
      <c r="L470" s="20"/>
    </row>
    <row r="471" spans="2:12" ht="11.25" customHeight="1" x14ac:dyDescent="0.2">
      <c r="C471" s="4" t="s">
        <v>798</v>
      </c>
      <c r="D471" s="4" t="s">
        <v>866</v>
      </c>
      <c r="E471" s="13" t="s">
        <v>497</v>
      </c>
      <c r="F471" s="28">
        <v>283297</v>
      </c>
      <c r="G471" s="18">
        <v>0.20799999999999999</v>
      </c>
      <c r="H471" s="20">
        <f>TRUNC(($F471*G471),1)</f>
        <v>58925.7</v>
      </c>
      <c r="I471" s="18">
        <v>0.20799999999999999</v>
      </c>
      <c r="J471" s="20">
        <f>TRUNC(($F471*I471),1)</f>
        <v>58925.7</v>
      </c>
      <c r="K471" s="18">
        <v>0.20799999999999999</v>
      </c>
      <c r="L471" s="20">
        <f>TRUNC(($F471*K471),1)</f>
        <v>58925.7</v>
      </c>
    </row>
    <row r="472" spans="2:12" ht="11.25" customHeight="1" x14ac:dyDescent="0.2">
      <c r="C472" s="107" t="s">
        <v>1285</v>
      </c>
      <c r="D472" s="107"/>
      <c r="E472" s="23"/>
      <c r="F472" s="22"/>
      <c r="G472" s="22"/>
      <c r="H472" s="24">
        <f>TRUNC(SUM(H471:H471))</f>
        <v>58925</v>
      </c>
      <c r="I472" s="22"/>
      <c r="J472" s="24">
        <f>TRUNC(SUM(J471:J471))</f>
        <v>58925</v>
      </c>
      <c r="K472" s="22"/>
      <c r="L472" s="24">
        <f>TRUNC(SUM(L471:L471))</f>
        <v>58925</v>
      </c>
    </row>
    <row r="473" spans="2:12" ht="11.25" customHeight="1" x14ac:dyDescent="0.2">
      <c r="C473" s="107"/>
      <c r="D473" s="107"/>
      <c r="E473" s="22"/>
      <c r="F473" s="22"/>
      <c r="G473" s="22"/>
      <c r="H473" s="22"/>
      <c r="I473" s="22"/>
      <c r="J473" s="22"/>
      <c r="K473" s="22"/>
      <c r="L473" s="22"/>
    </row>
    <row r="474" spans="2:12" ht="11.25" customHeight="1" x14ac:dyDescent="0.2">
      <c r="B474" s="8" t="s">
        <v>826</v>
      </c>
      <c r="C474" s="4" t="s">
        <v>1323</v>
      </c>
      <c r="D474" s="106" t="s">
        <v>1236</v>
      </c>
      <c r="E474" s="13" t="s">
        <v>746</v>
      </c>
      <c r="F474" s="66">
        <v>48513000</v>
      </c>
      <c r="G474" s="19">
        <v>1863</v>
      </c>
      <c r="H474" s="20">
        <f>TRUNC($F474*G474*0.0000001,1)</f>
        <v>9037.9</v>
      </c>
      <c r="I474" s="21">
        <v>0</v>
      </c>
      <c r="J474" s="20">
        <f>TRUNC($F474*I474*0.0000001,1)</f>
        <v>0</v>
      </c>
      <c r="K474" s="21">
        <v>0</v>
      </c>
      <c r="L474" s="20">
        <f>TRUNC($F474*K474*0.0000001,1)</f>
        <v>0</v>
      </c>
    </row>
    <row r="475" spans="2:12" ht="11.25" customHeight="1" x14ac:dyDescent="0.2">
      <c r="B475" s="8" t="s">
        <v>827</v>
      </c>
      <c r="C475" s="4" t="s">
        <v>1323</v>
      </c>
      <c r="D475" s="106" t="s">
        <v>1205</v>
      </c>
      <c r="E475" s="13" t="s">
        <v>746</v>
      </c>
      <c r="F475" s="66">
        <v>50412000</v>
      </c>
      <c r="G475" s="21">
        <v>0</v>
      </c>
      <c r="H475" s="20">
        <f>TRUNC($F475*G475*0.0000001,1)</f>
        <v>0</v>
      </c>
      <c r="I475" s="19">
        <v>1863</v>
      </c>
      <c r="J475" s="20">
        <f>TRUNC($F475*I475*0.0000001,1)</f>
        <v>9391.7000000000007</v>
      </c>
      <c r="K475" s="21">
        <v>0</v>
      </c>
      <c r="L475" s="20">
        <f>TRUNC($F475*K475*0.0000001,1)</f>
        <v>0</v>
      </c>
    </row>
    <row r="476" spans="2:12" ht="11.25" customHeight="1" x14ac:dyDescent="0.2">
      <c r="B476" s="8" t="s">
        <v>828</v>
      </c>
      <c r="C476" s="4" t="s">
        <v>1323</v>
      </c>
      <c r="D476" s="106" t="s">
        <v>1036</v>
      </c>
      <c r="E476" s="13" t="s">
        <v>746</v>
      </c>
      <c r="F476" s="66">
        <v>58137000</v>
      </c>
      <c r="G476" s="21">
        <v>0</v>
      </c>
      <c r="H476" s="20">
        <f>TRUNC($F476*G476*0.0000001,1)</f>
        <v>0</v>
      </c>
      <c r="I476" s="21">
        <v>0</v>
      </c>
      <c r="J476" s="20">
        <f>TRUNC($F476*I476*0.0000001,1)</f>
        <v>0</v>
      </c>
      <c r="K476" s="19">
        <v>1863</v>
      </c>
      <c r="L476" s="20">
        <f>TRUNC($F476*K476*0.0000001,1)</f>
        <v>10830.9</v>
      </c>
    </row>
    <row r="477" spans="2:12" ht="11.25" customHeight="1" x14ac:dyDescent="0.2">
      <c r="C477" s="107" t="s">
        <v>1289</v>
      </c>
      <c r="D477" s="107"/>
      <c r="E477" s="23"/>
      <c r="F477" s="22"/>
      <c r="G477" s="22"/>
      <c r="H477" s="24">
        <f>TRUNC(SUM(H474:H476))</f>
        <v>9037</v>
      </c>
      <c r="I477" s="22"/>
      <c r="J477" s="24">
        <f>TRUNC(SUM(J474:J476))</f>
        <v>9391</v>
      </c>
      <c r="K477" s="22"/>
      <c r="L477" s="24">
        <f>TRUNC(SUM(L474:L476))</f>
        <v>10830</v>
      </c>
    </row>
    <row r="478" spans="2:12" ht="11.25" customHeight="1" x14ac:dyDescent="0.2">
      <c r="C478" s="4"/>
      <c r="D478" s="4"/>
      <c r="E478" s="13"/>
      <c r="F478" s="50"/>
      <c r="G478" s="27"/>
      <c r="H478" s="20"/>
      <c r="I478" s="27"/>
      <c r="J478" s="20"/>
      <c r="K478" s="26"/>
      <c r="L478" s="20"/>
    </row>
    <row r="479" spans="2:12" ht="11.25" customHeight="1" x14ac:dyDescent="0.2">
      <c r="B479" s="16"/>
      <c r="C479" s="108" t="s">
        <v>1286</v>
      </c>
      <c r="D479" s="108"/>
      <c r="E479" s="103"/>
      <c r="F479" s="102"/>
      <c r="G479" s="102"/>
      <c r="H479" s="104">
        <f>TRUNC(H477+H469+H472)</f>
        <v>76844</v>
      </c>
      <c r="I479" s="102"/>
      <c r="J479" s="104">
        <f>TRUNC(J477+J469+J472)</f>
        <v>80395</v>
      </c>
      <c r="K479" s="102"/>
      <c r="L479" s="104">
        <f>TRUNC(L477+L469+L472)</f>
        <v>84676</v>
      </c>
    </row>
    <row r="481" spans="1:13" ht="11.25" customHeight="1" x14ac:dyDescent="0.2">
      <c r="A481" s="7"/>
      <c r="B481" s="68" t="s">
        <v>1324</v>
      </c>
      <c r="C481" s="119"/>
      <c r="L481" s="49" t="s">
        <v>1307</v>
      </c>
    </row>
    <row r="482" spans="1:13" ht="11.25" customHeight="1" x14ac:dyDescent="0.2">
      <c r="B482" s="186" t="s">
        <v>427</v>
      </c>
      <c r="C482" s="187" t="s">
        <v>428</v>
      </c>
      <c r="D482" s="187" t="s">
        <v>429</v>
      </c>
      <c r="E482" s="188" t="s">
        <v>430</v>
      </c>
      <c r="F482" s="188" t="s">
        <v>431</v>
      </c>
      <c r="G482" s="94" t="s">
        <v>718</v>
      </c>
      <c r="H482" s="151"/>
      <c r="I482" s="94" t="s">
        <v>425</v>
      </c>
      <c r="J482" s="151"/>
      <c r="K482" s="94" t="s">
        <v>984</v>
      </c>
      <c r="L482" s="151"/>
    </row>
    <row r="483" spans="1:13" ht="11.25" customHeight="1" x14ac:dyDescent="0.2">
      <c r="B483" s="186"/>
      <c r="C483" s="187"/>
      <c r="D483" s="187"/>
      <c r="E483" s="188"/>
      <c r="F483" s="188"/>
      <c r="G483" s="17" t="s">
        <v>436</v>
      </c>
      <c r="H483" s="17" t="s">
        <v>437</v>
      </c>
      <c r="I483" s="17" t="s">
        <v>436</v>
      </c>
      <c r="J483" s="17" t="s">
        <v>437</v>
      </c>
      <c r="K483" s="17" t="s">
        <v>436</v>
      </c>
      <c r="L483" s="17" t="s">
        <v>437</v>
      </c>
    </row>
    <row r="484" spans="1:13" ht="11.25" customHeight="1" x14ac:dyDescent="0.2">
      <c r="C484" s="4" t="s">
        <v>426</v>
      </c>
      <c r="D484" s="4"/>
      <c r="E484" s="13" t="s">
        <v>494</v>
      </c>
      <c r="F484" s="25">
        <v>1505.45</v>
      </c>
      <c r="G484" s="27">
        <v>2.5</v>
      </c>
      <c r="H484" s="20">
        <f>TRUNC(($F484*G484),1)</f>
        <v>3763.6</v>
      </c>
      <c r="I484" s="27">
        <v>4.0999999999999996</v>
      </c>
      <c r="J484" s="20">
        <f>TRUNC(($F484*I484),1)</f>
        <v>6172.3</v>
      </c>
      <c r="K484" s="26">
        <v>8.1999999999999993</v>
      </c>
      <c r="L484" s="20">
        <f>TRUNC(($F484*K484),1)</f>
        <v>12344.6</v>
      </c>
    </row>
    <row r="485" spans="1:13" ht="11.25" customHeight="1" x14ac:dyDescent="0.2">
      <c r="C485" s="4" t="s">
        <v>878</v>
      </c>
      <c r="D485" s="4" t="s">
        <v>203</v>
      </c>
      <c r="E485" s="13" t="s">
        <v>232</v>
      </c>
      <c r="F485" s="18"/>
      <c r="G485" s="21">
        <v>8</v>
      </c>
      <c r="H485" s="20">
        <f>TRUNC(H484*G485*0.01,1)</f>
        <v>301</v>
      </c>
      <c r="I485" s="21">
        <v>8</v>
      </c>
      <c r="J485" s="20">
        <f>TRUNC(J484*I485*0.01,1)</f>
        <v>493.7</v>
      </c>
      <c r="K485" s="21">
        <v>8</v>
      </c>
      <c r="L485" s="20">
        <f>TRUNC(L484*K485*0.01,1)</f>
        <v>987.5</v>
      </c>
    </row>
    <row r="486" spans="1:13" ht="11.25" customHeight="1" x14ac:dyDescent="0.2">
      <c r="C486" s="107" t="s">
        <v>799</v>
      </c>
      <c r="D486" s="107"/>
      <c r="E486" s="23"/>
      <c r="F486" s="22"/>
      <c r="G486" s="22"/>
      <c r="H486" s="24">
        <f>TRUNC(SUM(H484:H485))</f>
        <v>4064</v>
      </c>
      <c r="I486" s="22"/>
      <c r="J486" s="24">
        <f>TRUNC(SUM(J484:J485))</f>
        <v>6666</v>
      </c>
      <c r="K486" s="22"/>
      <c r="L486" s="24">
        <f>TRUNC(SUM(L484:L485))</f>
        <v>13332</v>
      </c>
    </row>
    <row r="487" spans="1:13" ht="11.25" customHeight="1" x14ac:dyDescent="0.2">
      <c r="C487" s="4"/>
      <c r="D487" s="4"/>
      <c r="E487" s="13"/>
      <c r="F487" s="50"/>
      <c r="G487" s="27"/>
      <c r="H487" s="20"/>
      <c r="I487" s="27"/>
      <c r="J487" s="20"/>
      <c r="K487" s="26"/>
      <c r="L487" s="20"/>
    </row>
    <row r="488" spans="1:13" ht="11.25" customHeight="1" x14ac:dyDescent="0.2">
      <c r="C488" s="4" t="s">
        <v>798</v>
      </c>
      <c r="D488" s="4" t="s">
        <v>866</v>
      </c>
      <c r="E488" s="13" t="s">
        <v>497</v>
      </c>
      <c r="F488" s="28">
        <v>283297</v>
      </c>
      <c r="G488" s="18">
        <v>0.20799999999999999</v>
      </c>
      <c r="H488" s="20">
        <f>TRUNC(($F488*G488),1)</f>
        <v>58925.7</v>
      </c>
      <c r="I488" s="18">
        <v>0.20799999999999999</v>
      </c>
      <c r="J488" s="20">
        <f>TRUNC(($F488*I488),1)</f>
        <v>58925.7</v>
      </c>
      <c r="K488" s="18">
        <v>0.20799999999999999</v>
      </c>
      <c r="L488" s="20">
        <f>TRUNC(($F488*K488),1)</f>
        <v>58925.7</v>
      </c>
    </row>
    <row r="489" spans="1:13" ht="11.25" customHeight="1" x14ac:dyDescent="0.2">
      <c r="C489" s="107" t="s">
        <v>1285</v>
      </c>
      <c r="D489" s="107"/>
      <c r="E489" s="23"/>
      <c r="F489" s="22"/>
      <c r="G489" s="22"/>
      <c r="H489" s="24">
        <f>TRUNC(SUM(H488:H488))</f>
        <v>58925</v>
      </c>
      <c r="I489" s="22"/>
      <c r="J489" s="24">
        <f>TRUNC(SUM(J488:J488))</f>
        <v>58925</v>
      </c>
      <c r="K489" s="22"/>
      <c r="L489" s="24">
        <f>TRUNC(SUM(L488:L488))</f>
        <v>58925</v>
      </c>
      <c r="M489" s="38"/>
    </row>
    <row r="490" spans="1:13" ht="11.25" customHeight="1" x14ac:dyDescent="0.2">
      <c r="C490" s="4"/>
      <c r="D490" s="4"/>
      <c r="E490" s="13"/>
      <c r="F490" s="50"/>
      <c r="G490" s="27"/>
      <c r="H490" s="20"/>
      <c r="I490" s="27"/>
      <c r="J490" s="20"/>
      <c r="K490" s="26"/>
      <c r="L490" s="20"/>
    </row>
    <row r="491" spans="1:13" ht="11.25" customHeight="1" x14ac:dyDescent="0.2">
      <c r="B491" s="8" t="s">
        <v>448</v>
      </c>
      <c r="C491" s="4" t="s">
        <v>1325</v>
      </c>
      <c r="D491" s="106" t="s">
        <v>682</v>
      </c>
      <c r="E491" s="13" t="s">
        <v>746</v>
      </c>
      <c r="F491" s="66">
        <v>11005000</v>
      </c>
      <c r="G491" s="19">
        <v>2157</v>
      </c>
      <c r="H491" s="20">
        <f>TRUNC($F491*G491*0.0000001,1)</f>
        <v>2373.6999999999998</v>
      </c>
      <c r="I491" s="21">
        <v>0</v>
      </c>
      <c r="J491" s="20">
        <f>TRUNC($F491*I491*0.0000001,1)</f>
        <v>0</v>
      </c>
      <c r="K491" s="21">
        <v>0</v>
      </c>
      <c r="L491" s="20">
        <f>TRUNC($F491*K491*0.0000001,1)</f>
        <v>0</v>
      </c>
    </row>
    <row r="492" spans="1:13" ht="11.25" customHeight="1" x14ac:dyDescent="0.2">
      <c r="B492" s="8" t="s">
        <v>449</v>
      </c>
      <c r="C492" s="4" t="s">
        <v>1325</v>
      </c>
      <c r="D492" s="106" t="s">
        <v>683</v>
      </c>
      <c r="E492" s="13" t="s">
        <v>746</v>
      </c>
      <c r="F492" s="66">
        <v>19858000</v>
      </c>
      <c r="G492" s="21">
        <v>0</v>
      </c>
      <c r="H492" s="20">
        <f>TRUNC($F492*G492*0.0000001,1)</f>
        <v>0</v>
      </c>
      <c r="I492" s="19">
        <v>2157</v>
      </c>
      <c r="J492" s="20">
        <f>TRUNC($F492*I492*0.0000001,1)</f>
        <v>4283.3</v>
      </c>
      <c r="K492" s="21">
        <v>0</v>
      </c>
      <c r="L492" s="20">
        <f>TRUNC($F492*K492*0.0000001,1)</f>
        <v>0</v>
      </c>
    </row>
    <row r="493" spans="1:13" ht="11.25" customHeight="1" x14ac:dyDescent="0.2">
      <c r="B493" s="8" t="s">
        <v>450</v>
      </c>
      <c r="C493" s="4" t="s">
        <v>1325</v>
      </c>
      <c r="D493" s="106" t="s">
        <v>530</v>
      </c>
      <c r="E493" s="13" t="s">
        <v>746</v>
      </c>
      <c r="F493" s="66">
        <v>45119000</v>
      </c>
      <c r="G493" s="21">
        <v>0</v>
      </c>
      <c r="H493" s="20">
        <f>TRUNC($F493*G493*0.0000001,1)</f>
        <v>0</v>
      </c>
      <c r="I493" s="21">
        <v>0</v>
      </c>
      <c r="J493" s="20">
        <f>TRUNC($F493*I493*0.0000001,1)</f>
        <v>0</v>
      </c>
      <c r="K493" s="19">
        <v>2157</v>
      </c>
      <c r="L493" s="20">
        <f>TRUNC($F493*K493*0.0000001,1)</f>
        <v>9732.1</v>
      </c>
    </row>
    <row r="494" spans="1:13" ht="11.25" customHeight="1" x14ac:dyDescent="0.2">
      <c r="C494" s="107" t="s">
        <v>1289</v>
      </c>
      <c r="D494" s="107"/>
      <c r="E494" s="23"/>
      <c r="F494" s="22"/>
      <c r="G494" s="22"/>
      <c r="H494" s="24">
        <f>TRUNC(SUM(H491:H493))</f>
        <v>2373</v>
      </c>
      <c r="I494" s="22"/>
      <c r="J494" s="24">
        <f>TRUNC(SUM(J491:J493))</f>
        <v>4283</v>
      </c>
      <c r="K494" s="22"/>
      <c r="L494" s="24">
        <f>TRUNC(SUM(L491:L493))</f>
        <v>9732</v>
      </c>
    </row>
    <row r="495" spans="1:13" ht="11.25" customHeight="1" x14ac:dyDescent="0.2">
      <c r="C495" s="4"/>
      <c r="D495" s="4"/>
      <c r="E495" s="13"/>
      <c r="F495" s="50"/>
      <c r="G495" s="27"/>
      <c r="H495" s="20"/>
      <c r="I495" s="27"/>
      <c r="J495" s="20"/>
      <c r="K495" s="26"/>
      <c r="L495" s="20"/>
    </row>
    <row r="496" spans="1:13" ht="11.25" customHeight="1" x14ac:dyDescent="0.2">
      <c r="C496" s="126" t="s">
        <v>1286</v>
      </c>
      <c r="D496" s="126"/>
      <c r="E496" s="127"/>
      <c r="F496" s="125"/>
      <c r="G496" s="125"/>
      <c r="H496" s="128">
        <f>TRUNC(H494+H486+H489)</f>
        <v>65362</v>
      </c>
      <c r="I496" s="125"/>
      <c r="J496" s="128">
        <f>TRUNC(J494+J486+J489)</f>
        <v>69874</v>
      </c>
      <c r="K496" s="125"/>
      <c r="L496" s="128">
        <f>TRUNC(L494+L486+L489)</f>
        <v>81989</v>
      </c>
      <c r="M496" s="9"/>
    </row>
    <row r="497" spans="2:13" ht="11.25" customHeight="1" x14ac:dyDescent="0.2">
      <c r="B497" s="186" t="s">
        <v>427</v>
      </c>
      <c r="C497" s="187" t="s">
        <v>428</v>
      </c>
      <c r="D497" s="187" t="s">
        <v>429</v>
      </c>
      <c r="E497" s="188" t="s">
        <v>430</v>
      </c>
      <c r="F497" s="188" t="s">
        <v>431</v>
      </c>
      <c r="G497" s="94" t="s">
        <v>684</v>
      </c>
      <c r="H497" s="151"/>
      <c r="I497" s="94" t="s">
        <v>1037</v>
      </c>
      <c r="J497" s="151"/>
      <c r="K497" s="94" t="s">
        <v>946</v>
      </c>
      <c r="L497" s="151"/>
      <c r="M497" s="32"/>
    </row>
    <row r="498" spans="2:13" ht="11.25" customHeight="1" x14ac:dyDescent="0.2">
      <c r="B498" s="186"/>
      <c r="C498" s="187"/>
      <c r="D498" s="187"/>
      <c r="E498" s="188"/>
      <c r="F498" s="188"/>
      <c r="G498" s="17" t="s">
        <v>436</v>
      </c>
      <c r="H498" s="17" t="s">
        <v>437</v>
      </c>
      <c r="I498" s="17" t="s">
        <v>436</v>
      </c>
      <c r="J498" s="17" t="s">
        <v>437</v>
      </c>
      <c r="K498" s="17" t="s">
        <v>436</v>
      </c>
      <c r="L498" s="17" t="s">
        <v>437</v>
      </c>
      <c r="M498" s="32"/>
    </row>
    <row r="499" spans="2:13" ht="11.25" customHeight="1" x14ac:dyDescent="0.2">
      <c r="C499" s="4" t="s">
        <v>426</v>
      </c>
      <c r="D499" s="4"/>
      <c r="E499" s="13" t="s">
        <v>494</v>
      </c>
      <c r="F499" s="25">
        <v>1505.45</v>
      </c>
      <c r="G499" s="27">
        <v>10.199999999999999</v>
      </c>
      <c r="H499" s="20">
        <f>TRUNC(($F499*G499),1)</f>
        <v>15355.5</v>
      </c>
      <c r="I499" s="27">
        <v>11.2</v>
      </c>
      <c r="J499" s="20">
        <f>TRUNC(($F499*I499),1)</f>
        <v>16861</v>
      </c>
      <c r="K499" s="26">
        <v>11.2</v>
      </c>
      <c r="L499" s="20">
        <f>TRUNC(($F499*K499),1)</f>
        <v>16861</v>
      </c>
      <c r="M499" s="41"/>
    </row>
    <row r="500" spans="2:13" ht="11.25" customHeight="1" x14ac:dyDescent="0.2">
      <c r="C500" s="4" t="s">
        <v>878</v>
      </c>
      <c r="D500" s="4" t="s">
        <v>203</v>
      </c>
      <c r="E500" s="13" t="s">
        <v>232</v>
      </c>
      <c r="F500" s="18"/>
      <c r="G500" s="21">
        <v>8</v>
      </c>
      <c r="H500" s="20">
        <f>TRUNC(H499*G500*0.01,1)</f>
        <v>1228.4000000000001</v>
      </c>
      <c r="I500" s="21">
        <v>8</v>
      </c>
      <c r="J500" s="20">
        <f>TRUNC(J499*I500*0.01,1)</f>
        <v>1348.8</v>
      </c>
      <c r="K500" s="21">
        <v>8</v>
      </c>
      <c r="L500" s="20">
        <f>TRUNC(L499*K500*0.01,1)</f>
        <v>1348.8</v>
      </c>
      <c r="M500" s="32"/>
    </row>
    <row r="501" spans="2:13" ht="11.25" customHeight="1" x14ac:dyDescent="0.2">
      <c r="C501" s="107" t="s">
        <v>799</v>
      </c>
      <c r="D501" s="107"/>
      <c r="E501" s="23"/>
      <c r="F501" s="22"/>
      <c r="G501" s="22"/>
      <c r="H501" s="24">
        <f>TRUNC(SUM(H499:H500))</f>
        <v>16583</v>
      </c>
      <c r="I501" s="22"/>
      <c r="J501" s="24">
        <f>TRUNC(SUM(J499:J500))</f>
        <v>18209</v>
      </c>
      <c r="K501" s="22"/>
      <c r="L501" s="24">
        <f>TRUNC(SUM(L499:L500))</f>
        <v>18209</v>
      </c>
      <c r="M501" s="32"/>
    </row>
    <row r="502" spans="2:13" ht="11.25" customHeight="1" x14ac:dyDescent="0.2">
      <c r="C502" s="4"/>
      <c r="D502" s="4"/>
      <c r="E502" s="13"/>
      <c r="F502" s="50"/>
      <c r="G502" s="27"/>
      <c r="H502" s="20"/>
      <c r="I502" s="27"/>
      <c r="J502" s="20"/>
      <c r="K502" s="26"/>
      <c r="L502" s="20"/>
    </row>
    <row r="503" spans="2:13" ht="11.25" customHeight="1" x14ac:dyDescent="0.2">
      <c r="C503" s="4" t="s">
        <v>798</v>
      </c>
      <c r="D503" s="4" t="s">
        <v>866</v>
      </c>
      <c r="E503" s="13" t="s">
        <v>497</v>
      </c>
      <c r="F503" s="28">
        <v>283297</v>
      </c>
      <c r="G503" s="18">
        <v>0.20799999999999999</v>
      </c>
      <c r="H503" s="20">
        <f>TRUNC(($F503*G503),1)</f>
        <v>58925.7</v>
      </c>
      <c r="I503" s="18">
        <v>0.20799999999999999</v>
      </c>
      <c r="J503" s="20">
        <f>TRUNC(($F503*I503),1)</f>
        <v>58925.7</v>
      </c>
      <c r="K503" s="18">
        <v>0.20799999999999999</v>
      </c>
      <c r="L503" s="20">
        <f>TRUNC(($F503*K503),1)</f>
        <v>58925.7</v>
      </c>
      <c r="M503" s="41"/>
    </row>
    <row r="504" spans="2:13" ht="11.25" customHeight="1" x14ac:dyDescent="0.2">
      <c r="C504" s="107" t="s">
        <v>1285</v>
      </c>
      <c r="D504" s="107"/>
      <c r="E504" s="23"/>
      <c r="F504" s="22"/>
      <c r="G504" s="22"/>
      <c r="H504" s="24">
        <f>TRUNC(SUM(H503:H503))</f>
        <v>58925</v>
      </c>
      <c r="I504" s="22"/>
      <c r="J504" s="24">
        <f>TRUNC(SUM(J503:J503))</f>
        <v>58925</v>
      </c>
      <c r="K504" s="22"/>
      <c r="L504" s="24">
        <f>TRUNC(SUM(L503:L503))</f>
        <v>58925</v>
      </c>
    </row>
    <row r="505" spans="2:13" ht="11.25" customHeight="1" x14ac:dyDescent="0.2">
      <c r="C505" s="4"/>
      <c r="D505" s="4"/>
      <c r="E505" s="13"/>
      <c r="F505" s="50"/>
      <c r="G505" s="27"/>
      <c r="H505" s="20"/>
      <c r="I505" s="27"/>
      <c r="J505" s="20"/>
      <c r="K505" s="26"/>
      <c r="L505" s="20"/>
    </row>
    <row r="506" spans="2:13" ht="11.25" customHeight="1" x14ac:dyDescent="0.2">
      <c r="B506" s="8" t="s">
        <v>452</v>
      </c>
      <c r="C506" s="4" t="s">
        <v>1325</v>
      </c>
      <c r="D506" s="106" t="s">
        <v>451</v>
      </c>
      <c r="E506" s="13" t="s">
        <v>746</v>
      </c>
      <c r="F506" s="66">
        <v>66255000</v>
      </c>
      <c r="G506" s="19">
        <v>2157</v>
      </c>
      <c r="H506" s="20">
        <f>TRUNC($F506*G506*0.0000001,1)</f>
        <v>14291.2</v>
      </c>
      <c r="I506" s="21">
        <v>0</v>
      </c>
      <c r="J506" s="20">
        <f>TRUNC($F506*I506*0.0000001,1)</f>
        <v>0</v>
      </c>
      <c r="K506" s="21">
        <v>0</v>
      </c>
      <c r="L506" s="20">
        <f>TRUNC($F506*K506*0.0000001,1)</f>
        <v>0</v>
      </c>
      <c r="M506" s="32"/>
    </row>
    <row r="507" spans="2:13" ht="11.25" customHeight="1" x14ac:dyDescent="0.2">
      <c r="B507" s="8" t="s">
        <v>453</v>
      </c>
      <c r="C507" s="4" t="s">
        <v>1325</v>
      </c>
      <c r="D507" s="106" t="s">
        <v>432</v>
      </c>
      <c r="E507" s="13" t="s">
        <v>746</v>
      </c>
      <c r="F507" s="66">
        <v>85196000</v>
      </c>
      <c r="G507" s="21">
        <v>0</v>
      </c>
      <c r="H507" s="20">
        <f>TRUNC($F507*G507*0.0000001,1)</f>
        <v>0</v>
      </c>
      <c r="I507" s="19">
        <v>2157</v>
      </c>
      <c r="J507" s="20">
        <f>TRUNC($F507*I507*0.0000001,1)</f>
        <v>18376.7</v>
      </c>
      <c r="K507" s="21">
        <v>0</v>
      </c>
      <c r="L507" s="20">
        <f>TRUNC($F507*K507*0.0000001,1)</f>
        <v>0</v>
      </c>
      <c r="M507" s="41"/>
    </row>
    <row r="508" spans="2:13" ht="11.25" customHeight="1" x14ac:dyDescent="0.2">
      <c r="B508" s="8" t="s">
        <v>454</v>
      </c>
      <c r="C508" s="4" t="s">
        <v>1325</v>
      </c>
      <c r="D508" s="106" t="s">
        <v>390</v>
      </c>
      <c r="E508" s="13" t="s">
        <v>746</v>
      </c>
      <c r="F508" s="66">
        <v>89707000</v>
      </c>
      <c r="G508" s="21">
        <v>0</v>
      </c>
      <c r="H508" s="20">
        <f>TRUNC($F508*G508*0.0000001,1)</f>
        <v>0</v>
      </c>
      <c r="I508" s="21">
        <v>0</v>
      </c>
      <c r="J508" s="20">
        <f>TRUNC($F508*I508*0.0000001,1)</f>
        <v>0</v>
      </c>
      <c r="K508" s="19">
        <v>2157</v>
      </c>
      <c r="L508" s="20">
        <f>TRUNC($F508*K508*0.0000001,1)</f>
        <v>19349.7</v>
      </c>
      <c r="M508" s="32"/>
    </row>
    <row r="509" spans="2:13" ht="11.25" customHeight="1" x14ac:dyDescent="0.2">
      <c r="C509" s="107" t="s">
        <v>1289</v>
      </c>
      <c r="D509" s="107"/>
      <c r="E509" s="23"/>
      <c r="F509" s="22"/>
      <c r="G509" s="22"/>
      <c r="H509" s="24">
        <f>TRUNC(SUM(H506:H508))</f>
        <v>14291</v>
      </c>
      <c r="I509" s="22"/>
      <c r="J509" s="24">
        <f>TRUNC(SUM(J506:J508))</f>
        <v>18376</v>
      </c>
      <c r="K509" s="22"/>
      <c r="L509" s="24">
        <f>TRUNC(SUM(L506:L508))</f>
        <v>19349</v>
      </c>
      <c r="M509" s="32"/>
    </row>
    <row r="510" spans="2:13" ht="11.25" customHeight="1" x14ac:dyDescent="0.2">
      <c r="C510" s="4"/>
      <c r="D510" s="4"/>
      <c r="E510" s="13"/>
      <c r="F510" s="50"/>
      <c r="G510" s="27"/>
      <c r="H510" s="20"/>
      <c r="I510" s="27"/>
      <c r="J510" s="20"/>
      <c r="K510" s="26"/>
      <c r="L510" s="20"/>
    </row>
    <row r="511" spans="2:13" ht="11.25" customHeight="1" x14ac:dyDescent="0.2">
      <c r="C511" s="126" t="s">
        <v>1286</v>
      </c>
      <c r="D511" s="126"/>
      <c r="E511" s="127"/>
      <c r="F511" s="125"/>
      <c r="G511" s="125"/>
      <c r="H511" s="128">
        <f>TRUNC(H509+H501+H504)</f>
        <v>89799</v>
      </c>
      <c r="I511" s="102"/>
      <c r="J511" s="104">
        <f>TRUNC(J509+J501+J504)</f>
        <v>95510</v>
      </c>
      <c r="K511" s="102"/>
      <c r="L511" s="104">
        <f>TRUNC(L509+L501+L504)</f>
        <v>96483</v>
      </c>
    </row>
    <row r="512" spans="2:13" ht="11.25" customHeight="1" x14ac:dyDescent="0.2">
      <c r="B512" s="186" t="s">
        <v>427</v>
      </c>
      <c r="C512" s="187" t="s">
        <v>428</v>
      </c>
      <c r="D512" s="187" t="s">
        <v>429</v>
      </c>
      <c r="E512" s="188" t="s">
        <v>430</v>
      </c>
      <c r="F512" s="188" t="s">
        <v>431</v>
      </c>
      <c r="G512" s="94" t="s">
        <v>985</v>
      </c>
      <c r="H512" s="151"/>
    </row>
    <row r="513" spans="1:12" ht="11.25" customHeight="1" x14ac:dyDescent="0.2">
      <c r="B513" s="186"/>
      <c r="C513" s="187"/>
      <c r="D513" s="187"/>
      <c r="E513" s="188"/>
      <c r="F513" s="188"/>
      <c r="G513" s="17" t="s">
        <v>436</v>
      </c>
      <c r="H513" s="17" t="s">
        <v>437</v>
      </c>
    </row>
    <row r="514" spans="1:12" ht="11.25" customHeight="1" x14ac:dyDescent="0.2">
      <c r="C514" s="4" t="s">
        <v>426</v>
      </c>
      <c r="D514" s="4"/>
      <c r="E514" s="13" t="s">
        <v>494</v>
      </c>
      <c r="F514" s="25">
        <v>1505.45</v>
      </c>
      <c r="G514" s="27">
        <v>16.8</v>
      </c>
      <c r="H514" s="20">
        <f>TRUNC(($F514*G514),1)</f>
        <v>25291.5</v>
      </c>
    </row>
    <row r="515" spans="1:12" ht="11.25" customHeight="1" x14ac:dyDescent="0.2">
      <c r="C515" s="4" t="s">
        <v>878</v>
      </c>
      <c r="D515" s="4" t="s">
        <v>203</v>
      </c>
      <c r="E515" s="13" t="s">
        <v>232</v>
      </c>
      <c r="F515" s="18"/>
      <c r="G515" s="21">
        <v>8</v>
      </c>
      <c r="H515" s="20">
        <f>TRUNC(H514*G515*0.01,1)</f>
        <v>2023.3</v>
      </c>
    </row>
    <row r="516" spans="1:12" ht="11.25" customHeight="1" x14ac:dyDescent="0.2">
      <c r="C516" s="107" t="s">
        <v>799</v>
      </c>
      <c r="D516" s="107"/>
      <c r="E516" s="23"/>
      <c r="F516" s="22"/>
      <c r="G516" s="22"/>
      <c r="H516" s="24">
        <f>TRUNC(SUM(H514:H515))</f>
        <v>27314</v>
      </c>
    </row>
    <row r="517" spans="1:12" ht="11.25" customHeight="1" x14ac:dyDescent="0.2">
      <c r="C517" s="4"/>
      <c r="D517" s="4"/>
      <c r="E517" s="13"/>
      <c r="F517" s="50"/>
      <c r="G517" s="27"/>
      <c r="H517" s="20"/>
      <c r="I517" s="42"/>
      <c r="J517" s="32"/>
      <c r="K517" s="52"/>
      <c r="L517" s="32"/>
    </row>
    <row r="518" spans="1:12" ht="11.25" customHeight="1" x14ac:dyDescent="0.2">
      <c r="C518" s="4" t="s">
        <v>798</v>
      </c>
      <c r="D518" s="4" t="s">
        <v>866</v>
      </c>
      <c r="E518" s="13" t="s">
        <v>497</v>
      </c>
      <c r="F518" s="28">
        <v>283297</v>
      </c>
      <c r="G518" s="18">
        <v>0.20799999999999999</v>
      </c>
      <c r="H518" s="20">
        <f>TRUNC(($F518*G518),1)</f>
        <v>58925.7</v>
      </c>
    </row>
    <row r="519" spans="1:12" ht="11.25" customHeight="1" x14ac:dyDescent="0.2">
      <c r="C519" s="107" t="s">
        <v>1285</v>
      </c>
      <c r="D519" s="107"/>
      <c r="E519" s="23"/>
      <c r="F519" s="22"/>
      <c r="G519" s="22"/>
      <c r="H519" s="24">
        <f>TRUNC(SUM(H518:H518))</f>
        <v>58925</v>
      </c>
    </row>
    <row r="520" spans="1:12" ht="11.25" customHeight="1" x14ac:dyDescent="0.2">
      <c r="C520" s="4"/>
      <c r="D520" s="4"/>
      <c r="E520" s="13"/>
      <c r="F520" s="50"/>
      <c r="G520" s="27"/>
      <c r="H520" s="20"/>
      <c r="I520" s="42"/>
      <c r="J520" s="32"/>
      <c r="K520" s="52"/>
      <c r="L520" s="32"/>
    </row>
    <row r="521" spans="1:12" ht="11.25" customHeight="1" x14ac:dyDescent="0.2">
      <c r="B521" s="8" t="s">
        <v>730</v>
      </c>
      <c r="C521" s="4" t="s">
        <v>1325</v>
      </c>
      <c r="D521" s="106" t="s">
        <v>94</v>
      </c>
      <c r="E521" s="13" t="s">
        <v>746</v>
      </c>
      <c r="F521" s="66">
        <v>150735000</v>
      </c>
      <c r="G521" s="19">
        <v>2157</v>
      </c>
      <c r="H521" s="20">
        <f>TRUNC($F521*G521*0.0000001,1)</f>
        <v>32513.5</v>
      </c>
    </row>
    <row r="522" spans="1:12" ht="11.25" customHeight="1" x14ac:dyDescent="0.2">
      <c r="C522" s="107" t="s">
        <v>1289</v>
      </c>
      <c r="D522" s="107"/>
      <c r="E522" s="23"/>
      <c r="F522" s="22"/>
      <c r="G522" s="22"/>
      <c r="H522" s="24">
        <f>TRUNC(SUM(H521:H521))</f>
        <v>32513</v>
      </c>
    </row>
    <row r="523" spans="1:12" ht="11.25" customHeight="1" x14ac:dyDescent="0.2">
      <c r="C523" s="4"/>
      <c r="D523" s="4"/>
      <c r="E523" s="13"/>
      <c r="F523" s="50"/>
      <c r="G523" s="27"/>
      <c r="H523" s="20"/>
      <c r="I523" s="42"/>
      <c r="J523" s="32"/>
      <c r="K523" s="52"/>
      <c r="L523" s="32"/>
    </row>
    <row r="524" spans="1:12" ht="11.25" customHeight="1" x14ac:dyDescent="0.2">
      <c r="B524" s="16"/>
      <c r="C524" s="108" t="s">
        <v>1286</v>
      </c>
      <c r="D524" s="108"/>
      <c r="E524" s="103"/>
      <c r="F524" s="102"/>
      <c r="G524" s="102"/>
      <c r="H524" s="104">
        <f>TRUNC(H522+H516+H519)</f>
        <v>118752</v>
      </c>
    </row>
    <row r="526" spans="1:12" ht="11.25" customHeight="1" x14ac:dyDescent="0.2">
      <c r="A526" s="7"/>
      <c r="B526" s="68" t="s">
        <v>1326</v>
      </c>
      <c r="C526" s="119"/>
      <c r="G526" s="38"/>
      <c r="H526" s="49" t="s">
        <v>1307</v>
      </c>
    </row>
    <row r="527" spans="1:12" ht="11.25" customHeight="1" x14ac:dyDescent="0.2">
      <c r="B527" s="186" t="s">
        <v>427</v>
      </c>
      <c r="C527" s="187" t="s">
        <v>428</v>
      </c>
      <c r="D527" s="187" t="s">
        <v>429</v>
      </c>
      <c r="E527" s="188" t="s">
        <v>430</v>
      </c>
      <c r="F527" s="188" t="s">
        <v>431</v>
      </c>
      <c r="G527" s="94" t="s">
        <v>717</v>
      </c>
      <c r="H527" s="151"/>
    </row>
    <row r="528" spans="1:12" ht="11.25" customHeight="1" x14ac:dyDescent="0.2">
      <c r="B528" s="186"/>
      <c r="C528" s="187"/>
      <c r="D528" s="187"/>
      <c r="E528" s="188"/>
      <c r="F528" s="188"/>
      <c r="G528" s="17" t="s">
        <v>436</v>
      </c>
      <c r="H528" s="17" t="s">
        <v>437</v>
      </c>
    </row>
    <row r="529" spans="2:12" ht="11.25" customHeight="1" x14ac:dyDescent="0.2">
      <c r="C529" s="4" t="s">
        <v>426</v>
      </c>
      <c r="D529" s="4"/>
      <c r="E529" s="13" t="s">
        <v>494</v>
      </c>
      <c r="F529" s="25">
        <v>1505.45</v>
      </c>
      <c r="G529" s="27">
        <v>2.2000000000000002</v>
      </c>
      <c r="H529" s="20">
        <f>TRUNC(($F529*G529),1)</f>
        <v>3311.9</v>
      </c>
    </row>
    <row r="530" spans="2:12" ht="11.25" customHeight="1" x14ac:dyDescent="0.2">
      <c r="C530" s="4" t="s">
        <v>878</v>
      </c>
      <c r="D530" s="4" t="s">
        <v>203</v>
      </c>
      <c r="E530" s="13" t="s">
        <v>232</v>
      </c>
      <c r="F530" s="53"/>
      <c r="G530" s="21">
        <v>13</v>
      </c>
      <c r="H530" s="20">
        <f>TRUNC(H529*G530*0.01,1)</f>
        <v>430.5</v>
      </c>
    </row>
    <row r="531" spans="2:12" ht="11.25" customHeight="1" x14ac:dyDescent="0.2">
      <c r="C531" s="107" t="s">
        <v>799</v>
      </c>
      <c r="D531" s="107"/>
      <c r="E531" s="23"/>
      <c r="F531" s="22"/>
      <c r="G531" s="22"/>
      <c r="H531" s="24">
        <f>TRUNC(SUM(H529:H530))</f>
        <v>3742</v>
      </c>
    </row>
    <row r="532" spans="2:12" ht="11.25" customHeight="1" x14ac:dyDescent="0.2">
      <c r="C532" s="4"/>
      <c r="D532" s="4"/>
      <c r="E532" s="13"/>
      <c r="F532" s="50"/>
      <c r="G532" s="27"/>
      <c r="H532" s="20"/>
      <c r="I532" s="42"/>
      <c r="J532" s="32"/>
      <c r="K532" s="52"/>
      <c r="L532" s="32"/>
    </row>
    <row r="533" spans="2:12" ht="11.25" customHeight="1" x14ac:dyDescent="0.2">
      <c r="C533" s="4" t="s">
        <v>874</v>
      </c>
      <c r="D533" s="4" t="s">
        <v>866</v>
      </c>
      <c r="E533" s="13" t="s">
        <v>497</v>
      </c>
      <c r="F533" s="28">
        <v>173995</v>
      </c>
      <c r="G533" s="18">
        <v>0.20799999999999999</v>
      </c>
      <c r="H533" s="20">
        <f>TRUNC(($F533*G533),1)</f>
        <v>36190.9</v>
      </c>
    </row>
    <row r="534" spans="2:12" ht="11.25" customHeight="1" x14ac:dyDescent="0.2">
      <c r="C534" s="107" t="s">
        <v>1285</v>
      </c>
      <c r="D534" s="107"/>
      <c r="E534" s="23"/>
      <c r="F534" s="22"/>
      <c r="G534" s="22"/>
      <c r="H534" s="24">
        <f>TRUNC(SUM(H533:H533))</f>
        <v>36190</v>
      </c>
    </row>
    <row r="535" spans="2:12" ht="11.25" customHeight="1" x14ac:dyDescent="0.2">
      <c r="B535" s="29"/>
      <c r="C535" s="4"/>
      <c r="D535" s="4"/>
      <c r="E535" s="13"/>
      <c r="F535" s="50"/>
      <c r="G535" s="27"/>
      <c r="H535" s="20"/>
      <c r="I535" s="42"/>
      <c r="J535" s="32"/>
      <c r="K535" s="52"/>
      <c r="L535" s="32"/>
    </row>
    <row r="536" spans="2:12" ht="11.25" customHeight="1" x14ac:dyDescent="0.2">
      <c r="B536" s="29" t="s">
        <v>731</v>
      </c>
      <c r="C536" s="4" t="s">
        <v>1327</v>
      </c>
      <c r="D536" s="106" t="s">
        <v>1328</v>
      </c>
      <c r="E536" s="13" t="s">
        <v>746</v>
      </c>
      <c r="F536" s="66">
        <v>6966000</v>
      </c>
      <c r="G536" s="19">
        <v>2825</v>
      </c>
      <c r="H536" s="20">
        <f>TRUNC($F536*G536*0.0000001,1)</f>
        <v>1967.8</v>
      </c>
    </row>
    <row r="537" spans="2:12" ht="11.25" customHeight="1" x14ac:dyDescent="0.2">
      <c r="C537" s="107" t="s">
        <v>1289</v>
      </c>
      <c r="D537" s="107"/>
      <c r="E537" s="23"/>
      <c r="F537" s="22"/>
      <c r="G537" s="22"/>
      <c r="H537" s="24">
        <f>TRUNC(SUM(H536:H536))</f>
        <v>1967</v>
      </c>
    </row>
    <row r="538" spans="2:12" ht="11.25" customHeight="1" x14ac:dyDescent="0.2">
      <c r="C538" s="4"/>
      <c r="D538" s="4"/>
      <c r="E538" s="13"/>
      <c r="F538" s="50"/>
      <c r="G538" s="27"/>
      <c r="H538" s="20"/>
      <c r="I538" s="42"/>
      <c r="J538" s="32"/>
      <c r="K538" s="52"/>
      <c r="L538" s="32"/>
    </row>
    <row r="539" spans="2:12" ht="11.25" customHeight="1" x14ac:dyDescent="0.2">
      <c r="B539" s="16"/>
      <c r="C539" s="108" t="s">
        <v>1286</v>
      </c>
      <c r="D539" s="108"/>
      <c r="E539" s="103"/>
      <c r="F539" s="102"/>
      <c r="G539" s="102"/>
      <c r="H539" s="104">
        <f>TRUNC(H537+H531+H534)</f>
        <v>41899</v>
      </c>
    </row>
    <row r="541" spans="2:12" ht="11.25" customHeight="1" x14ac:dyDescent="0.2">
      <c r="B541" s="68" t="s">
        <v>1329</v>
      </c>
      <c r="C541" s="119"/>
      <c r="J541" s="49" t="s">
        <v>1307</v>
      </c>
    </row>
    <row r="542" spans="2:12" ht="11.25" customHeight="1" x14ac:dyDescent="0.2">
      <c r="B542" s="186" t="s">
        <v>427</v>
      </c>
      <c r="C542" s="187" t="s">
        <v>428</v>
      </c>
      <c r="D542" s="187" t="s">
        <v>429</v>
      </c>
      <c r="E542" s="188" t="s">
        <v>430</v>
      </c>
      <c r="F542" s="188" t="s">
        <v>431</v>
      </c>
      <c r="G542" s="94" t="s">
        <v>82</v>
      </c>
      <c r="H542" s="151"/>
      <c r="I542" s="94" t="s">
        <v>1038</v>
      </c>
      <c r="J542" s="151"/>
    </row>
    <row r="543" spans="2:12" ht="11.25" customHeight="1" x14ac:dyDescent="0.2">
      <c r="B543" s="186"/>
      <c r="C543" s="187"/>
      <c r="D543" s="187"/>
      <c r="E543" s="188"/>
      <c r="F543" s="188"/>
      <c r="G543" s="17" t="s">
        <v>436</v>
      </c>
      <c r="H543" s="17" t="s">
        <v>437</v>
      </c>
      <c r="I543" s="17" t="s">
        <v>436</v>
      </c>
      <c r="J543" s="17" t="s">
        <v>437</v>
      </c>
      <c r="K543" s="9"/>
      <c r="L543" s="9"/>
    </row>
    <row r="544" spans="2:12" ht="11.25" customHeight="1" x14ac:dyDescent="0.2">
      <c r="C544" s="4" t="s">
        <v>426</v>
      </c>
      <c r="D544" s="4"/>
      <c r="E544" s="13" t="s">
        <v>494</v>
      </c>
      <c r="F544" s="25">
        <v>1505.45</v>
      </c>
      <c r="G544" s="55">
        <v>2.2999999999999998</v>
      </c>
      <c r="H544" s="20">
        <f>TRUNC(($F544*G544),1)</f>
        <v>3462.5</v>
      </c>
      <c r="I544" s="27">
        <v>3.2</v>
      </c>
      <c r="J544" s="20">
        <f>TRUNC(($F544*I544),1)</f>
        <v>4817.3999999999996</v>
      </c>
      <c r="K544" s="32"/>
      <c r="L544" s="32"/>
    </row>
    <row r="545" spans="2:12" ht="11.25" customHeight="1" x14ac:dyDescent="0.2">
      <c r="C545" s="4" t="s">
        <v>878</v>
      </c>
      <c r="D545" s="4" t="s">
        <v>203</v>
      </c>
      <c r="E545" s="13" t="s">
        <v>232</v>
      </c>
      <c r="F545" s="18"/>
      <c r="G545" s="21">
        <v>13</v>
      </c>
      <c r="H545" s="20">
        <f>TRUNC(H544*G545*0.01,1)</f>
        <v>450.1</v>
      </c>
      <c r="I545" s="21">
        <v>13</v>
      </c>
      <c r="J545" s="20">
        <f>TRUNC(J544*I545*0.01,1)</f>
        <v>626.20000000000005</v>
      </c>
      <c r="K545" s="32"/>
      <c r="L545" s="32"/>
    </row>
    <row r="546" spans="2:12" ht="11.25" customHeight="1" x14ac:dyDescent="0.2">
      <c r="C546" s="107" t="s">
        <v>799</v>
      </c>
      <c r="D546" s="107"/>
      <c r="E546" s="23"/>
      <c r="F546" s="22"/>
      <c r="G546" s="22"/>
      <c r="H546" s="24">
        <f>TRUNC(SUM(H544:H545))</f>
        <v>3912</v>
      </c>
      <c r="I546" s="22"/>
      <c r="J546" s="24">
        <f>TRUNC(SUM(J544:J545))</f>
        <v>5443</v>
      </c>
      <c r="K546" s="54"/>
      <c r="L546" s="54"/>
    </row>
    <row r="547" spans="2:12" ht="11.25" customHeight="1" x14ac:dyDescent="0.2">
      <c r="C547" s="4"/>
      <c r="D547" s="106"/>
      <c r="E547" s="13"/>
      <c r="F547" s="21"/>
      <c r="G547" s="21"/>
      <c r="H547" s="20"/>
      <c r="I547" s="21"/>
      <c r="J547" s="20"/>
      <c r="K547" s="32"/>
      <c r="L547" s="32"/>
    </row>
    <row r="548" spans="2:12" ht="11.25" customHeight="1" x14ac:dyDescent="0.2">
      <c r="C548" s="4" t="s">
        <v>798</v>
      </c>
      <c r="D548" s="4" t="s">
        <v>866</v>
      </c>
      <c r="E548" s="13" t="s">
        <v>497</v>
      </c>
      <c r="F548" s="28">
        <v>283297</v>
      </c>
      <c r="G548" s="18">
        <v>0.20799999999999999</v>
      </c>
      <c r="H548" s="20">
        <f>TRUNC(($F548*G548),1)</f>
        <v>58925.7</v>
      </c>
      <c r="I548" s="18">
        <v>0.20799999999999999</v>
      </c>
      <c r="J548" s="20">
        <f>TRUNC(($F548*I548),1)</f>
        <v>58925.7</v>
      </c>
      <c r="K548" s="32"/>
      <c r="L548" s="32"/>
    </row>
    <row r="549" spans="2:12" ht="11.25" customHeight="1" x14ac:dyDescent="0.2">
      <c r="C549" s="107" t="s">
        <v>1285</v>
      </c>
      <c r="D549" s="107"/>
      <c r="E549" s="23"/>
      <c r="F549" s="22"/>
      <c r="G549" s="22"/>
      <c r="H549" s="24">
        <f>TRUNC(SUM(H548:H548))</f>
        <v>58925</v>
      </c>
      <c r="I549" s="22"/>
      <c r="J549" s="24">
        <f>TRUNC(SUM(J548:J548))</f>
        <v>58925</v>
      </c>
      <c r="K549" s="54"/>
      <c r="L549" s="54"/>
    </row>
    <row r="550" spans="2:12" ht="11.25" customHeight="1" x14ac:dyDescent="0.2">
      <c r="C550" s="4"/>
      <c r="D550" s="106"/>
      <c r="E550" s="13"/>
      <c r="F550" s="21"/>
      <c r="G550" s="21"/>
      <c r="H550" s="20"/>
      <c r="I550" s="21"/>
      <c r="J550" s="20"/>
      <c r="K550" s="32"/>
      <c r="L550" s="32"/>
    </row>
    <row r="551" spans="2:12" ht="11.25" customHeight="1" x14ac:dyDescent="0.2">
      <c r="B551" s="8" t="s">
        <v>732</v>
      </c>
      <c r="C551" s="4" t="s">
        <v>1198</v>
      </c>
      <c r="D551" s="106" t="s">
        <v>382</v>
      </c>
      <c r="E551" s="13" t="s">
        <v>746</v>
      </c>
      <c r="F551" s="66">
        <v>18453000</v>
      </c>
      <c r="G551" s="19">
        <v>2825</v>
      </c>
      <c r="H551" s="20">
        <f>TRUNC($F551*G551*0.0000001,1)</f>
        <v>5212.8999999999996</v>
      </c>
      <c r="I551" s="21">
        <v>0</v>
      </c>
      <c r="J551" s="20">
        <f>TRUNC($F551*I551*0.0000001,1)</f>
        <v>0</v>
      </c>
      <c r="K551" s="32"/>
      <c r="L551" s="32"/>
    </row>
    <row r="552" spans="2:12" ht="11.25" customHeight="1" x14ac:dyDescent="0.2">
      <c r="B552" s="8" t="s">
        <v>733</v>
      </c>
      <c r="C552" s="4" t="s">
        <v>1198</v>
      </c>
      <c r="D552" s="106" t="s">
        <v>1038</v>
      </c>
      <c r="E552" s="13" t="s">
        <v>746</v>
      </c>
      <c r="F552" s="66">
        <v>21592000</v>
      </c>
      <c r="G552" s="21">
        <v>0</v>
      </c>
      <c r="H552" s="20">
        <f>TRUNC($F552*G552*0.0000001,1)</f>
        <v>0</v>
      </c>
      <c r="I552" s="19">
        <v>2825</v>
      </c>
      <c r="J552" s="20">
        <f>TRUNC($F552*I552*0.0000001,1)</f>
        <v>6099.7</v>
      </c>
      <c r="K552" s="32"/>
      <c r="L552" s="32"/>
    </row>
    <row r="553" spans="2:12" ht="11.25" customHeight="1" x14ac:dyDescent="0.2">
      <c r="C553" s="107" t="s">
        <v>1289</v>
      </c>
      <c r="D553" s="107"/>
      <c r="E553" s="23"/>
      <c r="F553" s="22"/>
      <c r="G553" s="22"/>
      <c r="H553" s="24">
        <f>TRUNC(SUM(H551:H552))</f>
        <v>5212</v>
      </c>
      <c r="I553" s="22"/>
      <c r="J553" s="24">
        <f>TRUNC(SUM(J551:J552))</f>
        <v>6099</v>
      </c>
      <c r="K553" s="54"/>
      <c r="L553" s="54"/>
    </row>
    <row r="554" spans="2:12" ht="11.25" customHeight="1" x14ac:dyDescent="0.2">
      <c r="C554" s="4"/>
      <c r="D554" s="106"/>
      <c r="E554" s="13"/>
      <c r="F554" s="21"/>
      <c r="G554" s="21"/>
      <c r="H554" s="20"/>
      <c r="I554" s="21"/>
      <c r="J554" s="20"/>
      <c r="K554" s="32"/>
      <c r="L554" s="32"/>
    </row>
    <row r="555" spans="2:12" ht="11.25" customHeight="1" x14ac:dyDescent="0.2">
      <c r="C555" s="126" t="s">
        <v>1286</v>
      </c>
      <c r="D555" s="126"/>
      <c r="E555" s="127"/>
      <c r="F555" s="125"/>
      <c r="G555" s="125"/>
      <c r="H555" s="128">
        <f>TRUNC(H553+H546+H549)</f>
        <v>68049</v>
      </c>
      <c r="I555" s="125"/>
      <c r="J555" s="128">
        <f>TRUNC(J553+J546+J549)</f>
        <v>70467</v>
      </c>
      <c r="K555" s="36"/>
      <c r="L555" s="36"/>
    </row>
    <row r="556" spans="2:12" ht="11.25" customHeight="1" x14ac:dyDescent="0.2">
      <c r="B556" s="186" t="s">
        <v>427</v>
      </c>
      <c r="C556" s="187" t="s">
        <v>428</v>
      </c>
      <c r="D556" s="187" t="s">
        <v>429</v>
      </c>
      <c r="E556" s="188" t="s">
        <v>430</v>
      </c>
      <c r="F556" s="188" t="s">
        <v>431</v>
      </c>
      <c r="G556" s="94" t="s">
        <v>684</v>
      </c>
      <c r="H556" s="151"/>
      <c r="I556" s="94" t="s">
        <v>663</v>
      </c>
      <c r="J556" s="151"/>
      <c r="K556" s="94" t="s">
        <v>981</v>
      </c>
      <c r="L556" s="151"/>
    </row>
    <row r="557" spans="2:12" ht="11.25" customHeight="1" x14ac:dyDescent="0.2">
      <c r="B557" s="186"/>
      <c r="C557" s="187"/>
      <c r="D557" s="187"/>
      <c r="E557" s="188"/>
      <c r="F557" s="188"/>
      <c r="G557" s="17" t="s">
        <v>436</v>
      </c>
      <c r="H557" s="17" t="s">
        <v>437</v>
      </c>
      <c r="I557" s="17" t="s">
        <v>436</v>
      </c>
      <c r="J557" s="17" t="s">
        <v>437</v>
      </c>
      <c r="K557" s="17" t="s">
        <v>436</v>
      </c>
      <c r="L557" s="17" t="s">
        <v>437</v>
      </c>
    </row>
    <row r="558" spans="2:12" ht="11.25" customHeight="1" x14ac:dyDescent="0.2">
      <c r="C558" s="4" t="s">
        <v>426</v>
      </c>
      <c r="D558" s="4"/>
      <c r="E558" s="13" t="s">
        <v>494</v>
      </c>
      <c r="F558" s="25">
        <v>1505.45</v>
      </c>
      <c r="G558" s="26">
        <v>11.6</v>
      </c>
      <c r="H558" s="20">
        <f>TRUNC(($F558*G558),1)</f>
        <v>17463.2</v>
      </c>
      <c r="I558" s="27">
        <v>14.4</v>
      </c>
      <c r="J558" s="20">
        <f>TRUNC(($F558*I558),1)</f>
        <v>21678.400000000001</v>
      </c>
      <c r="K558" s="27">
        <v>15.8</v>
      </c>
      <c r="L558" s="20">
        <f>TRUNC(($F558*K558),1)</f>
        <v>23786.1</v>
      </c>
    </row>
    <row r="559" spans="2:12" ht="11.25" customHeight="1" x14ac:dyDescent="0.2">
      <c r="C559" s="4" t="s">
        <v>878</v>
      </c>
      <c r="D559" s="4" t="s">
        <v>203</v>
      </c>
      <c r="E559" s="13" t="s">
        <v>232</v>
      </c>
      <c r="F559" s="18"/>
      <c r="G559" s="18">
        <v>30</v>
      </c>
      <c r="H559" s="20">
        <f>TRUNC(H558*G559*0.01,1)</f>
        <v>5238.8999999999996</v>
      </c>
      <c r="I559" s="18">
        <v>30</v>
      </c>
      <c r="J559" s="20">
        <f>TRUNC(J558*I559*0.01,1)</f>
        <v>6503.5</v>
      </c>
      <c r="K559" s="18">
        <v>30</v>
      </c>
      <c r="L559" s="20">
        <f>TRUNC(L558*K559*0.01,1)</f>
        <v>7135.8</v>
      </c>
    </row>
    <row r="560" spans="2:12" ht="11.25" customHeight="1" x14ac:dyDescent="0.2">
      <c r="C560" s="107" t="s">
        <v>799</v>
      </c>
      <c r="D560" s="107"/>
      <c r="E560" s="23"/>
      <c r="F560" s="22"/>
      <c r="G560" s="22"/>
      <c r="H560" s="24">
        <f>TRUNC(SUM(H558:H559))</f>
        <v>22702</v>
      </c>
      <c r="I560" s="22"/>
      <c r="J560" s="24">
        <f>TRUNC(SUM(J558:J559))</f>
        <v>28181</v>
      </c>
      <c r="K560" s="22"/>
      <c r="L560" s="24">
        <f>TRUNC(SUM(L558:L559))</f>
        <v>30921</v>
      </c>
    </row>
    <row r="561" spans="2:12" ht="11.25" customHeight="1" x14ac:dyDescent="0.2">
      <c r="C561" s="4"/>
      <c r="D561" s="106"/>
      <c r="E561" s="13"/>
      <c r="F561" s="21"/>
      <c r="G561" s="21"/>
      <c r="H561" s="20"/>
      <c r="I561" s="21"/>
      <c r="J561" s="20"/>
      <c r="K561" s="21"/>
      <c r="L561" s="20"/>
    </row>
    <row r="562" spans="2:12" ht="11.25" customHeight="1" x14ac:dyDescent="0.2">
      <c r="C562" s="4" t="s">
        <v>798</v>
      </c>
      <c r="D562" s="4" t="s">
        <v>866</v>
      </c>
      <c r="E562" s="13" t="s">
        <v>497</v>
      </c>
      <c r="F562" s="28">
        <v>283297</v>
      </c>
      <c r="G562" s="18">
        <v>0.20799999999999999</v>
      </c>
      <c r="H562" s="20">
        <f>TRUNC(($F562*G562),1)</f>
        <v>58925.7</v>
      </c>
      <c r="I562" s="18">
        <v>0.20799999999999999</v>
      </c>
      <c r="J562" s="20">
        <f>TRUNC(($F562*I562),1)</f>
        <v>58925.7</v>
      </c>
      <c r="K562" s="18">
        <v>0.20799999999999999</v>
      </c>
      <c r="L562" s="20">
        <f>TRUNC(($F562*K562),1)</f>
        <v>58925.7</v>
      </c>
    </row>
    <row r="563" spans="2:12" ht="11.25" customHeight="1" x14ac:dyDescent="0.2">
      <c r="B563" s="29"/>
      <c r="C563" s="107" t="s">
        <v>1285</v>
      </c>
      <c r="D563" s="107"/>
      <c r="E563" s="23"/>
      <c r="F563" s="22"/>
      <c r="G563" s="22"/>
      <c r="H563" s="24">
        <f>TRUNC(SUM(H562:H562))</f>
        <v>58925</v>
      </c>
      <c r="I563" s="22"/>
      <c r="J563" s="24">
        <f>TRUNC(SUM(J562:J562))</f>
        <v>58925</v>
      </c>
      <c r="K563" s="22"/>
      <c r="L563" s="24">
        <f>TRUNC(SUM(L562:L562))</f>
        <v>58925</v>
      </c>
    </row>
    <row r="564" spans="2:12" ht="11.25" customHeight="1" x14ac:dyDescent="0.2">
      <c r="C564" s="4"/>
      <c r="D564" s="106"/>
      <c r="E564" s="13"/>
      <c r="F564" s="21"/>
      <c r="G564" s="21"/>
      <c r="H564" s="20"/>
      <c r="I564" s="21"/>
      <c r="J564" s="20"/>
      <c r="K564" s="21"/>
      <c r="L564" s="20"/>
    </row>
    <row r="565" spans="2:12" ht="11.25" customHeight="1" x14ac:dyDescent="0.2">
      <c r="B565" s="8" t="s">
        <v>734</v>
      </c>
      <c r="C565" s="4" t="s">
        <v>1198</v>
      </c>
      <c r="D565" s="106" t="s">
        <v>451</v>
      </c>
      <c r="E565" s="13" t="s">
        <v>746</v>
      </c>
      <c r="F565" s="66">
        <v>64243000</v>
      </c>
      <c r="G565" s="19">
        <v>2825</v>
      </c>
      <c r="H565" s="20">
        <f>TRUNC($F565*G565*0.0000001,1)</f>
        <v>18148.599999999999</v>
      </c>
      <c r="I565" s="21">
        <v>0</v>
      </c>
      <c r="J565" s="20">
        <f>TRUNC($F565*I565*0.0000001,1)</f>
        <v>0</v>
      </c>
      <c r="K565" s="21">
        <v>0</v>
      </c>
      <c r="L565" s="20">
        <f>TRUNC($F565*K565*0.0000001,1)</f>
        <v>0</v>
      </c>
    </row>
    <row r="566" spans="2:12" ht="11.25" customHeight="1" x14ac:dyDescent="0.2">
      <c r="B566" s="8" t="s">
        <v>17</v>
      </c>
      <c r="C566" s="4" t="s">
        <v>1198</v>
      </c>
      <c r="D566" s="106" t="s">
        <v>433</v>
      </c>
      <c r="E566" s="13" t="s">
        <v>746</v>
      </c>
      <c r="F566" s="66">
        <v>94381000</v>
      </c>
      <c r="G566" s="21">
        <v>0</v>
      </c>
      <c r="H566" s="20">
        <f>TRUNC($F566*G566*0.0000001,1)</f>
        <v>0</v>
      </c>
      <c r="I566" s="19">
        <v>2825</v>
      </c>
      <c r="J566" s="20">
        <f>TRUNC($F566*I566*0.0000001,1)</f>
        <v>26662.6</v>
      </c>
      <c r="K566" s="21">
        <v>0</v>
      </c>
      <c r="L566" s="20">
        <f>TRUNC($F566*K566*0.0000001,1)</f>
        <v>0</v>
      </c>
    </row>
    <row r="567" spans="2:12" ht="11.25" customHeight="1" x14ac:dyDescent="0.2">
      <c r="B567" s="8" t="s">
        <v>1234</v>
      </c>
      <c r="C567" s="4" t="s">
        <v>1198</v>
      </c>
      <c r="D567" s="106" t="s">
        <v>434</v>
      </c>
      <c r="E567" s="13" t="s">
        <v>746</v>
      </c>
      <c r="F567" s="66">
        <v>103333000</v>
      </c>
      <c r="G567" s="21">
        <v>0</v>
      </c>
      <c r="H567" s="20">
        <f>TRUNC($F567*G567*0.0000001,1)</f>
        <v>0</v>
      </c>
      <c r="I567" s="21">
        <v>0</v>
      </c>
      <c r="J567" s="20">
        <f>TRUNC($F567*I567*0.0000001,1)</f>
        <v>0</v>
      </c>
      <c r="K567" s="19">
        <v>2825</v>
      </c>
      <c r="L567" s="20">
        <f>TRUNC($F567*K567*0.0000001,1)</f>
        <v>29191.5</v>
      </c>
    </row>
    <row r="568" spans="2:12" ht="11.25" customHeight="1" x14ac:dyDescent="0.2">
      <c r="C568" s="107" t="s">
        <v>1289</v>
      </c>
      <c r="D568" s="107"/>
      <c r="E568" s="23"/>
      <c r="F568" s="22"/>
      <c r="G568" s="22"/>
      <c r="H568" s="24">
        <f>TRUNC(SUM(H565:H567))</f>
        <v>18148</v>
      </c>
      <c r="I568" s="22"/>
      <c r="J568" s="24">
        <f>TRUNC(SUM(J565:J567))</f>
        <v>26662</v>
      </c>
      <c r="K568" s="22"/>
      <c r="L568" s="24">
        <f>TRUNC(SUM(L565:L567))</f>
        <v>29191</v>
      </c>
    </row>
    <row r="569" spans="2:12" ht="11.25" customHeight="1" x14ac:dyDescent="0.2">
      <c r="C569" s="4"/>
      <c r="D569" s="106"/>
      <c r="E569" s="13"/>
      <c r="F569" s="21"/>
      <c r="G569" s="21"/>
      <c r="H569" s="20"/>
      <c r="I569" s="21"/>
      <c r="J569" s="20"/>
      <c r="K569" s="21"/>
      <c r="L569" s="20"/>
    </row>
    <row r="570" spans="2:12" ht="11.25" customHeight="1" x14ac:dyDescent="0.2">
      <c r="B570" s="48"/>
      <c r="C570" s="108" t="s">
        <v>1286</v>
      </c>
      <c r="D570" s="108"/>
      <c r="E570" s="103"/>
      <c r="F570" s="102"/>
      <c r="G570" s="102"/>
      <c r="H570" s="104">
        <f>TRUNC(H568+H560+H563)</f>
        <v>99775</v>
      </c>
      <c r="I570" s="102"/>
      <c r="J570" s="104">
        <f>TRUNC(J568+J560+J563)</f>
        <v>113768</v>
      </c>
      <c r="K570" s="102"/>
      <c r="L570" s="104">
        <f>TRUNC(L568+L560+L563)</f>
        <v>119037</v>
      </c>
    </row>
    <row r="571" spans="2:12" ht="11.25" customHeight="1" x14ac:dyDescent="0.2">
      <c r="B571" s="57"/>
    </row>
    <row r="572" spans="2:12" ht="11.25" customHeight="1" x14ac:dyDescent="0.2">
      <c r="B572" s="68" t="s">
        <v>1331</v>
      </c>
      <c r="C572" s="119"/>
      <c r="L572" s="49" t="s">
        <v>1307</v>
      </c>
    </row>
    <row r="573" spans="2:12" ht="11.25" customHeight="1" x14ac:dyDescent="0.2">
      <c r="B573" s="186" t="s">
        <v>427</v>
      </c>
      <c r="C573" s="187" t="s">
        <v>428</v>
      </c>
      <c r="D573" s="187" t="s">
        <v>429</v>
      </c>
      <c r="E573" s="188" t="s">
        <v>430</v>
      </c>
      <c r="F573" s="188" t="s">
        <v>431</v>
      </c>
      <c r="G573" s="94" t="s">
        <v>1229</v>
      </c>
      <c r="H573" s="151"/>
      <c r="I573" s="94" t="s">
        <v>877</v>
      </c>
      <c r="J573" s="151"/>
      <c r="K573" s="94" t="s">
        <v>1039</v>
      </c>
      <c r="L573" s="151"/>
    </row>
    <row r="574" spans="2:12" ht="11.25" customHeight="1" x14ac:dyDescent="0.2">
      <c r="B574" s="186"/>
      <c r="C574" s="187"/>
      <c r="D574" s="187"/>
      <c r="E574" s="188"/>
      <c r="F574" s="188"/>
      <c r="G574" s="17" t="s">
        <v>436</v>
      </c>
      <c r="H574" s="17" t="s">
        <v>437</v>
      </c>
      <c r="I574" s="17" t="s">
        <v>436</v>
      </c>
      <c r="J574" s="17" t="s">
        <v>437</v>
      </c>
      <c r="K574" s="17" t="s">
        <v>436</v>
      </c>
      <c r="L574" s="17" t="s">
        <v>437</v>
      </c>
    </row>
    <row r="575" spans="2:12" ht="11.25" customHeight="1" x14ac:dyDescent="0.2">
      <c r="C575" s="4" t="s">
        <v>426</v>
      </c>
      <c r="D575" s="4"/>
      <c r="E575" s="13" t="s">
        <v>494</v>
      </c>
      <c r="F575" s="25">
        <v>1505.45</v>
      </c>
      <c r="G575" s="27">
        <v>4.9000000000000004</v>
      </c>
      <c r="H575" s="20">
        <f>TRUNC(($F575*G575),1)</f>
        <v>7376.7</v>
      </c>
      <c r="I575" s="26">
        <v>8</v>
      </c>
      <c r="J575" s="20">
        <f>TRUNC(($F575*I575),1)</f>
        <v>12043.6</v>
      </c>
      <c r="K575" s="26">
        <v>10</v>
      </c>
      <c r="L575" s="20">
        <f>TRUNC(($F575*K575),1)</f>
        <v>15054.5</v>
      </c>
    </row>
    <row r="576" spans="2:12" ht="11.25" customHeight="1" x14ac:dyDescent="0.2">
      <c r="C576" s="4" t="s">
        <v>878</v>
      </c>
      <c r="D576" s="4" t="s">
        <v>203</v>
      </c>
      <c r="E576" s="13" t="s">
        <v>232</v>
      </c>
      <c r="F576" s="18"/>
      <c r="G576" s="21">
        <v>23</v>
      </c>
      <c r="H576" s="20">
        <f>TRUNC(H575*G576*0.01,1)</f>
        <v>1696.6</v>
      </c>
      <c r="I576" s="21">
        <v>23</v>
      </c>
      <c r="J576" s="20">
        <f>TRUNC(J575*I576*0.01,1)</f>
        <v>2770</v>
      </c>
      <c r="K576" s="21">
        <v>23</v>
      </c>
      <c r="L576" s="20">
        <f>TRUNC(L575*K576*0.01,1)</f>
        <v>3462.5</v>
      </c>
    </row>
    <row r="577" spans="2:12" ht="11.25" customHeight="1" x14ac:dyDescent="0.2">
      <c r="C577" s="107" t="s">
        <v>799</v>
      </c>
      <c r="D577" s="107"/>
      <c r="E577" s="23"/>
      <c r="F577" s="22"/>
      <c r="G577" s="22"/>
      <c r="H577" s="24">
        <f>TRUNC(SUM(H575:H576))</f>
        <v>9073</v>
      </c>
      <c r="I577" s="22"/>
      <c r="J577" s="24">
        <f>TRUNC(SUM(J575:J576))</f>
        <v>14813</v>
      </c>
      <c r="K577" s="22"/>
      <c r="L577" s="24">
        <f>TRUNC(SUM(L575:L576))</f>
        <v>18517</v>
      </c>
    </row>
    <row r="578" spans="2:12" ht="11.25" customHeight="1" x14ac:dyDescent="0.2">
      <c r="C578" s="4"/>
      <c r="D578" s="106"/>
      <c r="E578" s="13"/>
      <c r="F578" s="21"/>
      <c r="G578" s="21"/>
      <c r="H578" s="20"/>
      <c r="I578" s="21"/>
      <c r="J578" s="20"/>
      <c r="K578" s="21"/>
      <c r="L578" s="20"/>
    </row>
    <row r="579" spans="2:12" ht="11.25" customHeight="1" x14ac:dyDescent="0.2">
      <c r="C579" s="4" t="s">
        <v>798</v>
      </c>
      <c r="D579" s="4" t="s">
        <v>866</v>
      </c>
      <c r="E579" s="13" t="s">
        <v>497</v>
      </c>
      <c r="F579" s="28">
        <v>283297</v>
      </c>
      <c r="G579" s="18">
        <v>0.20799999999999999</v>
      </c>
      <c r="H579" s="20">
        <f>TRUNC(($F579*G579),1)</f>
        <v>58925.7</v>
      </c>
      <c r="I579" s="18">
        <v>0.20799999999999999</v>
      </c>
      <c r="J579" s="20">
        <f>TRUNC(($F579*I579),1)</f>
        <v>58925.7</v>
      </c>
      <c r="K579" s="18">
        <v>0.20799999999999999</v>
      </c>
      <c r="L579" s="20">
        <f>TRUNC(($F579*K579),1)</f>
        <v>58925.7</v>
      </c>
    </row>
    <row r="580" spans="2:12" ht="11.25" customHeight="1" x14ac:dyDescent="0.2">
      <c r="C580" s="107" t="s">
        <v>1285</v>
      </c>
      <c r="D580" s="107"/>
      <c r="E580" s="23"/>
      <c r="F580" s="22"/>
      <c r="G580" s="22"/>
      <c r="H580" s="24">
        <f>TRUNC(SUM(H579:H579))</f>
        <v>58925</v>
      </c>
      <c r="I580" s="22"/>
      <c r="J580" s="24">
        <f>TRUNC(SUM(J579:J579))</f>
        <v>58925</v>
      </c>
      <c r="K580" s="22"/>
      <c r="L580" s="24">
        <f>TRUNC(SUM(L579:L579))</f>
        <v>58925</v>
      </c>
    </row>
    <row r="581" spans="2:12" ht="11.25" customHeight="1" x14ac:dyDescent="0.2">
      <c r="C581" s="4"/>
      <c r="D581" s="106"/>
      <c r="E581" s="13"/>
      <c r="F581" s="21"/>
      <c r="G581" s="21"/>
      <c r="H581" s="20"/>
      <c r="I581" s="21"/>
      <c r="J581" s="20"/>
      <c r="K581" s="21"/>
      <c r="L581" s="20"/>
    </row>
    <row r="582" spans="2:12" ht="11.25" customHeight="1" x14ac:dyDescent="0.2">
      <c r="B582" s="8" t="s">
        <v>685</v>
      </c>
      <c r="C582" s="4" t="s">
        <v>1332</v>
      </c>
      <c r="D582" s="106" t="s">
        <v>1236</v>
      </c>
      <c r="E582" s="13" t="s">
        <v>746</v>
      </c>
      <c r="F582" s="66">
        <v>62881000</v>
      </c>
      <c r="G582" s="19">
        <v>1945</v>
      </c>
      <c r="H582" s="20">
        <f>TRUNC($F582*G582*0.0000001,1)</f>
        <v>12230.3</v>
      </c>
      <c r="I582" s="21">
        <v>0</v>
      </c>
      <c r="J582" s="20">
        <f>TRUNC($F582*I582*0.0000001,1)</f>
        <v>0</v>
      </c>
      <c r="K582" s="21">
        <v>0</v>
      </c>
      <c r="L582" s="20">
        <f>TRUNC($F582*K582*0.0000001,1)</f>
        <v>0</v>
      </c>
    </row>
    <row r="583" spans="2:12" ht="11.25" customHeight="1" x14ac:dyDescent="0.2">
      <c r="B583" s="8" t="s">
        <v>686</v>
      </c>
      <c r="C583" s="4" t="s">
        <v>1332</v>
      </c>
      <c r="D583" s="106" t="s">
        <v>1206</v>
      </c>
      <c r="E583" s="13" t="s">
        <v>746</v>
      </c>
      <c r="F583" s="66">
        <v>98388000</v>
      </c>
      <c r="G583" s="21">
        <v>0</v>
      </c>
      <c r="H583" s="20">
        <f>TRUNC($F583*G583*0.0000001,1)</f>
        <v>0</v>
      </c>
      <c r="I583" s="19">
        <v>1945</v>
      </c>
      <c r="J583" s="20">
        <f>TRUNC($F583*I583*0.0000001,1)</f>
        <v>19136.400000000001</v>
      </c>
      <c r="K583" s="21">
        <v>0</v>
      </c>
      <c r="L583" s="20">
        <f>TRUNC($F583*K583*0.0000001,1)</f>
        <v>0</v>
      </c>
    </row>
    <row r="584" spans="2:12" ht="11.25" customHeight="1" x14ac:dyDescent="0.2">
      <c r="B584" s="8" t="s">
        <v>687</v>
      </c>
      <c r="C584" s="4" t="s">
        <v>1332</v>
      </c>
      <c r="D584" s="106" t="s">
        <v>1330</v>
      </c>
      <c r="E584" s="13" t="s">
        <v>746</v>
      </c>
      <c r="F584" s="66">
        <v>139803000</v>
      </c>
      <c r="G584" s="21">
        <v>0</v>
      </c>
      <c r="H584" s="20">
        <f>TRUNC($F584*G584*0.0000001,1)</f>
        <v>0</v>
      </c>
      <c r="I584" s="21">
        <v>0</v>
      </c>
      <c r="J584" s="20">
        <f>TRUNC($F584*I584*0.0000001,1)</f>
        <v>0</v>
      </c>
      <c r="K584" s="19">
        <v>1945</v>
      </c>
      <c r="L584" s="20">
        <f>TRUNC($F584*K584*0.0000001,1)</f>
        <v>27191.599999999999</v>
      </c>
    </row>
    <row r="585" spans="2:12" ht="11.25" customHeight="1" x14ac:dyDescent="0.2">
      <c r="C585" s="107" t="s">
        <v>1289</v>
      </c>
      <c r="D585" s="107"/>
      <c r="E585" s="23"/>
      <c r="F585" s="22"/>
      <c r="G585" s="22"/>
      <c r="H585" s="24">
        <f>TRUNC(SUM(H582:H584))</f>
        <v>12230</v>
      </c>
      <c r="I585" s="22"/>
      <c r="J585" s="24">
        <f>TRUNC(SUM(J582:J584))</f>
        <v>19136</v>
      </c>
      <c r="K585" s="22"/>
      <c r="L585" s="24">
        <f>TRUNC(SUM(L582:L584))</f>
        <v>27191</v>
      </c>
    </row>
    <row r="586" spans="2:12" ht="11.25" customHeight="1" x14ac:dyDescent="0.2">
      <c r="C586" s="4"/>
      <c r="D586" s="106"/>
      <c r="E586" s="13"/>
      <c r="F586" s="21"/>
      <c r="G586" s="21"/>
      <c r="H586" s="20"/>
      <c r="I586" s="21"/>
      <c r="J586" s="20"/>
      <c r="K586" s="21"/>
      <c r="L586" s="20"/>
    </row>
    <row r="587" spans="2:12" ht="11.25" customHeight="1" x14ac:dyDescent="0.2">
      <c r="B587" s="16"/>
      <c r="C587" s="108" t="s">
        <v>1286</v>
      </c>
      <c r="D587" s="108"/>
      <c r="E587" s="103"/>
      <c r="F587" s="102"/>
      <c r="G587" s="102"/>
      <c r="H587" s="104">
        <f>TRUNC(H585+H577+H580)</f>
        <v>80228</v>
      </c>
      <c r="I587" s="102"/>
      <c r="J587" s="104">
        <f>TRUNC(J585+J577+J580)</f>
        <v>92874</v>
      </c>
      <c r="K587" s="102"/>
      <c r="L587" s="104">
        <f>TRUNC(L585+L577+L580)</f>
        <v>104633</v>
      </c>
    </row>
    <row r="589" spans="2:12" ht="11.25" customHeight="1" x14ac:dyDescent="0.2">
      <c r="B589" s="68" t="s">
        <v>1333</v>
      </c>
      <c r="C589" s="119"/>
      <c r="L589" s="49" t="s">
        <v>1307</v>
      </c>
    </row>
    <row r="590" spans="2:12" ht="11.25" customHeight="1" x14ac:dyDescent="0.2">
      <c r="B590" s="186" t="s">
        <v>427</v>
      </c>
      <c r="C590" s="187" t="s">
        <v>428</v>
      </c>
      <c r="D590" s="187" t="s">
        <v>429</v>
      </c>
      <c r="E590" s="188" t="s">
        <v>430</v>
      </c>
      <c r="F590" s="188" t="s">
        <v>431</v>
      </c>
      <c r="G590" s="94" t="s">
        <v>423</v>
      </c>
      <c r="H590" s="151"/>
      <c r="I590" s="94" t="s">
        <v>981</v>
      </c>
      <c r="J590" s="151"/>
      <c r="K590" s="94" t="s">
        <v>64</v>
      </c>
      <c r="L590" s="151"/>
    </row>
    <row r="591" spans="2:12" ht="11.25" customHeight="1" x14ac:dyDescent="0.2">
      <c r="B591" s="186"/>
      <c r="C591" s="187"/>
      <c r="D591" s="187"/>
      <c r="E591" s="188"/>
      <c r="F591" s="188"/>
      <c r="G591" s="17" t="s">
        <v>436</v>
      </c>
      <c r="H591" s="17" t="s">
        <v>437</v>
      </c>
      <c r="I591" s="17" t="s">
        <v>436</v>
      </c>
      <c r="J591" s="17" t="s">
        <v>437</v>
      </c>
      <c r="K591" s="17" t="s">
        <v>436</v>
      </c>
      <c r="L591" s="17" t="s">
        <v>437</v>
      </c>
    </row>
    <row r="592" spans="2:12" ht="11.25" customHeight="1" x14ac:dyDescent="0.2">
      <c r="C592" s="4" t="s">
        <v>426</v>
      </c>
      <c r="D592" s="4"/>
      <c r="E592" s="13" t="s">
        <v>494</v>
      </c>
      <c r="F592" s="25">
        <v>1505.45</v>
      </c>
      <c r="G592" s="27">
        <v>11.3</v>
      </c>
      <c r="H592" s="20">
        <f>TRUNC(($F592*G592),1)</f>
        <v>17011.5</v>
      </c>
      <c r="I592" s="26">
        <v>13.7</v>
      </c>
      <c r="J592" s="20">
        <f>TRUNC(($F592*I592),1)</f>
        <v>20624.599999999999</v>
      </c>
      <c r="K592" s="26">
        <v>22.5</v>
      </c>
      <c r="L592" s="20">
        <f>TRUNC(($F592*K592),1)</f>
        <v>33872.6</v>
      </c>
    </row>
    <row r="593" spans="2:12" ht="11.25" customHeight="1" x14ac:dyDescent="0.2">
      <c r="C593" s="4" t="s">
        <v>878</v>
      </c>
      <c r="D593" s="4" t="s">
        <v>203</v>
      </c>
      <c r="E593" s="13" t="s">
        <v>232</v>
      </c>
      <c r="F593" s="18"/>
      <c r="G593" s="21">
        <v>18</v>
      </c>
      <c r="H593" s="20">
        <f>TRUNC(H592*G593*0.01,1)</f>
        <v>3062</v>
      </c>
      <c r="I593" s="21">
        <v>18</v>
      </c>
      <c r="J593" s="20">
        <f>TRUNC(J592*I593*0.01,1)</f>
        <v>3712.4</v>
      </c>
      <c r="K593" s="21">
        <v>18</v>
      </c>
      <c r="L593" s="20">
        <f>TRUNC(L592*K593*0.01,1)</f>
        <v>6097</v>
      </c>
    </row>
    <row r="594" spans="2:12" ht="11.25" customHeight="1" x14ac:dyDescent="0.2">
      <c r="C594" s="107" t="s">
        <v>799</v>
      </c>
      <c r="D594" s="107"/>
      <c r="E594" s="23"/>
      <c r="F594" s="22"/>
      <c r="G594" s="22"/>
      <c r="H594" s="24">
        <f>TRUNC(SUM(H592:H593))</f>
        <v>20073</v>
      </c>
      <c r="I594" s="22"/>
      <c r="J594" s="24">
        <f>TRUNC(SUM(J592:J593))</f>
        <v>24337</v>
      </c>
      <c r="K594" s="22"/>
      <c r="L594" s="24">
        <f>TRUNC(SUM(L592:L593))</f>
        <v>39969</v>
      </c>
    </row>
    <row r="595" spans="2:12" ht="11.25" customHeight="1" x14ac:dyDescent="0.2">
      <c r="C595" s="4"/>
      <c r="D595" s="4"/>
      <c r="E595" s="13"/>
      <c r="F595" s="50"/>
      <c r="G595" s="27"/>
      <c r="H595" s="20"/>
      <c r="I595" s="26"/>
      <c r="J595" s="20"/>
      <c r="K595" s="26"/>
      <c r="L595" s="20"/>
    </row>
    <row r="596" spans="2:12" ht="11.25" customHeight="1" x14ac:dyDescent="0.2">
      <c r="C596" s="4" t="s">
        <v>798</v>
      </c>
      <c r="D596" s="4" t="s">
        <v>866</v>
      </c>
      <c r="E596" s="13" t="s">
        <v>497</v>
      </c>
      <c r="F596" s="28">
        <v>283297</v>
      </c>
      <c r="G596" s="18">
        <v>0.20799999999999999</v>
      </c>
      <c r="H596" s="20">
        <f>TRUNC(($F596*G596),1)</f>
        <v>58925.7</v>
      </c>
      <c r="I596" s="18">
        <v>0.20799999999999999</v>
      </c>
      <c r="J596" s="20">
        <f>TRUNC(($F596*I596),1)</f>
        <v>58925.7</v>
      </c>
      <c r="K596" s="18">
        <v>0.20799999999999999</v>
      </c>
      <c r="L596" s="20">
        <f>TRUNC(($F596*K596),1)</f>
        <v>58925.7</v>
      </c>
    </row>
    <row r="597" spans="2:12" ht="11.25" customHeight="1" x14ac:dyDescent="0.2">
      <c r="C597" s="107" t="s">
        <v>1285</v>
      </c>
      <c r="D597" s="107"/>
      <c r="E597" s="23"/>
      <c r="F597" s="22"/>
      <c r="G597" s="22"/>
      <c r="H597" s="24">
        <f>TRUNC(SUM(H596:H596))</f>
        <v>58925</v>
      </c>
      <c r="I597" s="22"/>
      <c r="J597" s="24">
        <f>TRUNC(SUM(J596:J596))</f>
        <v>58925</v>
      </c>
      <c r="K597" s="22"/>
      <c r="L597" s="24">
        <f>TRUNC(SUM(L596:L596))</f>
        <v>58925</v>
      </c>
    </row>
    <row r="598" spans="2:12" ht="11.25" customHeight="1" x14ac:dyDescent="0.2">
      <c r="C598" s="4"/>
      <c r="D598" s="4"/>
      <c r="E598" s="13"/>
      <c r="F598" s="50"/>
      <c r="G598" s="27"/>
      <c r="H598" s="20"/>
      <c r="I598" s="26"/>
      <c r="J598" s="20"/>
      <c r="K598" s="26"/>
      <c r="L598" s="20"/>
    </row>
    <row r="599" spans="2:12" ht="11.25" customHeight="1" x14ac:dyDescent="0.2">
      <c r="B599" s="8" t="s">
        <v>688</v>
      </c>
      <c r="C599" s="4" t="s">
        <v>1334</v>
      </c>
      <c r="D599" s="106" t="s">
        <v>737</v>
      </c>
      <c r="E599" s="13" t="s">
        <v>746</v>
      </c>
      <c r="F599" s="66">
        <v>111865000</v>
      </c>
      <c r="G599" s="19">
        <v>1911</v>
      </c>
      <c r="H599" s="20">
        <f>TRUNC($F599*G599*0.0000001,1)</f>
        <v>21377.4</v>
      </c>
      <c r="I599" s="21">
        <v>0</v>
      </c>
      <c r="J599" s="20">
        <f>TRUNC($F599*I599*0.0000001,1)</f>
        <v>0</v>
      </c>
      <c r="K599" s="21">
        <v>0</v>
      </c>
      <c r="L599" s="20">
        <f>TRUNC($F599*K599*0.0000001,1)</f>
        <v>0</v>
      </c>
    </row>
    <row r="600" spans="2:12" ht="11.25" customHeight="1" x14ac:dyDescent="0.2">
      <c r="B600" s="8" t="s">
        <v>689</v>
      </c>
      <c r="C600" s="4" t="s">
        <v>1334</v>
      </c>
      <c r="D600" s="106" t="s">
        <v>434</v>
      </c>
      <c r="E600" s="13" t="s">
        <v>746</v>
      </c>
      <c r="F600" s="66">
        <v>126404000</v>
      </c>
      <c r="G600" s="21">
        <v>0</v>
      </c>
      <c r="H600" s="20">
        <f>TRUNC($F600*G600*0.0000001,1)</f>
        <v>0</v>
      </c>
      <c r="I600" s="19">
        <v>1911</v>
      </c>
      <c r="J600" s="20">
        <f>TRUNC($F600*I600*0.0000001,1)</f>
        <v>24155.8</v>
      </c>
      <c r="K600" s="21">
        <v>0</v>
      </c>
      <c r="L600" s="20">
        <f>TRUNC($F600*K600*0.0000001,1)</f>
        <v>0</v>
      </c>
    </row>
    <row r="601" spans="2:12" ht="11.25" customHeight="1" x14ac:dyDescent="0.2">
      <c r="B601" s="8" t="s">
        <v>690</v>
      </c>
      <c r="C601" s="4" t="s">
        <v>1334</v>
      </c>
      <c r="D601" s="106" t="s">
        <v>767</v>
      </c>
      <c r="E601" s="13" t="s">
        <v>746</v>
      </c>
      <c r="F601" s="66">
        <v>145548000</v>
      </c>
      <c r="G601" s="21">
        <v>0</v>
      </c>
      <c r="H601" s="20">
        <f>TRUNC($F601*G601*0.0000001,1)</f>
        <v>0</v>
      </c>
      <c r="I601" s="21">
        <v>0</v>
      </c>
      <c r="J601" s="20">
        <f>TRUNC($F601*I601*0.0000001,1)</f>
        <v>0</v>
      </c>
      <c r="K601" s="19">
        <v>1911</v>
      </c>
      <c r="L601" s="20">
        <f>TRUNC($F601*K601*0.0000001,1)</f>
        <v>27814.2</v>
      </c>
    </row>
    <row r="602" spans="2:12" ht="11.25" customHeight="1" x14ac:dyDescent="0.2">
      <c r="C602" s="107" t="s">
        <v>1289</v>
      </c>
      <c r="D602" s="107"/>
      <c r="E602" s="23"/>
      <c r="F602" s="22"/>
      <c r="G602" s="22"/>
      <c r="H602" s="24">
        <f>TRUNC(SUM(H599:H601))</f>
        <v>21377</v>
      </c>
      <c r="I602" s="22"/>
      <c r="J602" s="24">
        <f>TRUNC(SUM(J599:J601))</f>
        <v>24155</v>
      </c>
      <c r="K602" s="22"/>
      <c r="L602" s="24">
        <f>TRUNC(SUM(L599:L601))</f>
        <v>27814</v>
      </c>
    </row>
    <row r="603" spans="2:12" ht="11.25" customHeight="1" x14ac:dyDescent="0.2">
      <c r="C603" s="4"/>
      <c r="D603" s="4"/>
      <c r="E603" s="13"/>
      <c r="F603" s="50"/>
      <c r="G603" s="27"/>
      <c r="H603" s="20"/>
      <c r="I603" s="26"/>
      <c r="J603" s="20"/>
      <c r="K603" s="26"/>
      <c r="L603" s="20"/>
    </row>
    <row r="604" spans="2:12" ht="11.25" customHeight="1" x14ac:dyDescent="0.2">
      <c r="B604" s="16"/>
      <c r="C604" s="108" t="s">
        <v>1286</v>
      </c>
      <c r="D604" s="108"/>
      <c r="E604" s="103"/>
      <c r="F604" s="102"/>
      <c r="G604" s="102"/>
      <c r="H604" s="104">
        <f>TRUNC(H602+H594+H597)</f>
        <v>100375</v>
      </c>
      <c r="I604" s="102"/>
      <c r="J604" s="104">
        <f>TRUNC(J602+J594+J597)</f>
        <v>107417</v>
      </c>
      <c r="K604" s="102"/>
      <c r="L604" s="104">
        <f>TRUNC(L602+L594+L597)</f>
        <v>126708</v>
      </c>
    </row>
    <row r="605" spans="2:12" ht="11.25" customHeight="1" x14ac:dyDescent="0.2">
      <c r="B605" s="186" t="s">
        <v>427</v>
      </c>
      <c r="C605" s="187" t="s">
        <v>428</v>
      </c>
      <c r="D605" s="187" t="s">
        <v>429</v>
      </c>
      <c r="E605" s="188" t="s">
        <v>430</v>
      </c>
      <c r="F605" s="188" t="s">
        <v>431</v>
      </c>
      <c r="G605" s="14" t="s">
        <v>65</v>
      </c>
      <c r="H605" s="15"/>
      <c r="I605" s="14" t="s">
        <v>66</v>
      </c>
      <c r="J605" s="15"/>
      <c r="K605" s="14" t="s">
        <v>76</v>
      </c>
      <c r="L605" s="15"/>
    </row>
    <row r="606" spans="2:12" ht="11.25" customHeight="1" x14ac:dyDescent="0.2">
      <c r="B606" s="186"/>
      <c r="C606" s="187"/>
      <c r="D606" s="187"/>
      <c r="E606" s="188"/>
      <c r="F606" s="188"/>
      <c r="G606" s="17" t="s">
        <v>436</v>
      </c>
      <c r="H606" s="17" t="s">
        <v>437</v>
      </c>
      <c r="I606" s="17" t="s">
        <v>436</v>
      </c>
      <c r="J606" s="17" t="s">
        <v>437</v>
      </c>
      <c r="K606" s="17" t="s">
        <v>436</v>
      </c>
      <c r="L606" s="17" t="s">
        <v>437</v>
      </c>
    </row>
    <row r="607" spans="2:12" ht="11.25" customHeight="1" x14ac:dyDescent="0.2">
      <c r="C607" s="4" t="s">
        <v>426</v>
      </c>
      <c r="D607" s="4"/>
      <c r="E607" s="13" t="s">
        <v>494</v>
      </c>
      <c r="F607" s="25">
        <v>1505.45</v>
      </c>
      <c r="G607" s="27">
        <v>27.2</v>
      </c>
      <c r="H607" s="20">
        <f>TRUNC(($F607*G607),1)</f>
        <v>40948.199999999997</v>
      </c>
      <c r="I607" s="26">
        <v>27.2</v>
      </c>
      <c r="J607" s="20">
        <f>TRUNC(($F607*I607),1)</f>
        <v>40948.199999999997</v>
      </c>
      <c r="K607" s="26">
        <v>32.6</v>
      </c>
      <c r="L607" s="20">
        <f>TRUNC(($F607*K607),1)</f>
        <v>49077.599999999999</v>
      </c>
    </row>
    <row r="608" spans="2:12" ht="11.25" customHeight="1" x14ac:dyDescent="0.2">
      <c r="C608" s="4" t="s">
        <v>878</v>
      </c>
      <c r="D608" s="4" t="s">
        <v>203</v>
      </c>
      <c r="E608" s="13" t="s">
        <v>232</v>
      </c>
      <c r="F608" s="18"/>
      <c r="G608" s="21">
        <v>18</v>
      </c>
      <c r="H608" s="20">
        <f>TRUNC(H607*G608*0.01,1)</f>
        <v>7370.6</v>
      </c>
      <c r="I608" s="21">
        <v>18</v>
      </c>
      <c r="J608" s="20">
        <f>TRUNC(J607*I608*0.01,1)</f>
        <v>7370.6</v>
      </c>
      <c r="K608" s="21">
        <v>18</v>
      </c>
      <c r="L608" s="20">
        <f>TRUNC(L607*K608*0.01,1)</f>
        <v>8833.9</v>
      </c>
    </row>
    <row r="609" spans="2:12" ht="11.25" customHeight="1" x14ac:dyDescent="0.2">
      <c r="C609" s="107" t="s">
        <v>799</v>
      </c>
      <c r="D609" s="107"/>
      <c r="E609" s="23"/>
      <c r="F609" s="22"/>
      <c r="G609" s="22"/>
      <c r="H609" s="24">
        <f>TRUNC(SUM(H607:H608))</f>
        <v>48318</v>
      </c>
      <c r="I609" s="22"/>
      <c r="J609" s="24">
        <f>TRUNC(SUM(J607:J608))</f>
        <v>48318</v>
      </c>
      <c r="K609" s="22"/>
      <c r="L609" s="24">
        <f>TRUNC(SUM(L607:L608))</f>
        <v>57911</v>
      </c>
    </row>
    <row r="610" spans="2:12" ht="11.25" customHeight="1" x14ac:dyDescent="0.2">
      <c r="C610" s="4"/>
      <c r="D610" s="4"/>
      <c r="E610" s="13"/>
      <c r="F610" s="50"/>
      <c r="G610" s="27"/>
      <c r="H610" s="20"/>
      <c r="I610" s="26"/>
      <c r="J610" s="20"/>
      <c r="K610" s="26"/>
      <c r="L610" s="20"/>
    </row>
    <row r="611" spans="2:12" ht="11.25" customHeight="1" x14ac:dyDescent="0.2">
      <c r="C611" s="4" t="s">
        <v>798</v>
      </c>
      <c r="D611" s="4" t="s">
        <v>866</v>
      </c>
      <c r="E611" s="13" t="s">
        <v>497</v>
      </c>
      <c r="F611" s="28">
        <v>283297</v>
      </c>
      <c r="G611" s="18">
        <v>0.20799999999999999</v>
      </c>
      <c r="H611" s="20">
        <f>TRUNC(($F611*G611),1)</f>
        <v>58925.7</v>
      </c>
      <c r="I611" s="18">
        <v>0.20799999999999999</v>
      </c>
      <c r="J611" s="20">
        <f>TRUNC(($F611*I611),1)</f>
        <v>58925.7</v>
      </c>
      <c r="K611" s="18">
        <v>0.20799999999999999</v>
      </c>
      <c r="L611" s="20">
        <f>TRUNC(($F611*K611),1)</f>
        <v>58925.7</v>
      </c>
    </row>
    <row r="612" spans="2:12" ht="11.25" customHeight="1" x14ac:dyDescent="0.2">
      <c r="C612" s="107" t="s">
        <v>1285</v>
      </c>
      <c r="D612" s="107"/>
      <c r="E612" s="23"/>
      <c r="F612" s="22"/>
      <c r="G612" s="22"/>
      <c r="H612" s="24">
        <f>TRUNC(SUM(H611:H611))</f>
        <v>58925</v>
      </c>
      <c r="I612" s="22"/>
      <c r="J612" s="24">
        <f>TRUNC(SUM(J611:J611))</f>
        <v>58925</v>
      </c>
      <c r="K612" s="22"/>
      <c r="L612" s="24">
        <f>TRUNC(SUM(L611:L611))</f>
        <v>58925</v>
      </c>
    </row>
    <row r="613" spans="2:12" ht="11.25" customHeight="1" x14ac:dyDescent="0.2">
      <c r="C613" s="4"/>
      <c r="D613" s="4"/>
      <c r="E613" s="13"/>
      <c r="F613" s="50"/>
      <c r="G613" s="27"/>
      <c r="H613" s="20"/>
      <c r="I613" s="26"/>
      <c r="J613" s="20"/>
      <c r="K613" s="26"/>
      <c r="L613" s="20"/>
    </row>
    <row r="614" spans="2:12" ht="11.25" customHeight="1" x14ac:dyDescent="0.2">
      <c r="B614" s="8" t="s">
        <v>693</v>
      </c>
      <c r="C614" s="4" t="s">
        <v>1334</v>
      </c>
      <c r="D614" s="106" t="s">
        <v>763</v>
      </c>
      <c r="E614" s="13" t="s">
        <v>746</v>
      </c>
      <c r="F614" s="66">
        <v>209593000</v>
      </c>
      <c r="G614" s="19">
        <v>1911</v>
      </c>
      <c r="H614" s="20">
        <f>TRUNC($F614*G614*0.0000001,1)</f>
        <v>40053.199999999997</v>
      </c>
      <c r="I614" s="21">
        <v>0</v>
      </c>
      <c r="J614" s="20">
        <f>TRUNC($F614*I614*0.0000001,1)</f>
        <v>0</v>
      </c>
      <c r="K614" s="21">
        <v>0</v>
      </c>
      <c r="L614" s="20">
        <f>TRUNC($F614*K614*0.0000001,1)</f>
        <v>0</v>
      </c>
    </row>
    <row r="615" spans="2:12" ht="11.25" customHeight="1" x14ac:dyDescent="0.2">
      <c r="B615" s="8" t="s">
        <v>694</v>
      </c>
      <c r="C615" s="4" t="s">
        <v>1334</v>
      </c>
      <c r="D615" s="106" t="s">
        <v>691</v>
      </c>
      <c r="E615" s="13" t="s">
        <v>747</v>
      </c>
      <c r="F615" s="66">
        <v>264645000</v>
      </c>
      <c r="G615" s="21">
        <v>0</v>
      </c>
      <c r="H615" s="20">
        <f>TRUNC($F615*G615*0.0000001,1)</f>
        <v>0</v>
      </c>
      <c r="I615" s="19">
        <v>1911</v>
      </c>
      <c r="J615" s="20">
        <f>TRUNC($F615*I615*0.0000001,1)</f>
        <v>50573.599999999999</v>
      </c>
      <c r="K615" s="21">
        <v>0</v>
      </c>
      <c r="L615" s="20">
        <f>TRUNC($F615*K615*0.0000001,1)</f>
        <v>0</v>
      </c>
    </row>
    <row r="616" spans="2:12" ht="11.25" customHeight="1" x14ac:dyDescent="0.2">
      <c r="B616" s="8" t="s">
        <v>695</v>
      </c>
      <c r="C616" s="4" t="s">
        <v>1334</v>
      </c>
      <c r="D616" s="106" t="s">
        <v>692</v>
      </c>
      <c r="E616" s="13" t="s">
        <v>747</v>
      </c>
      <c r="F616" s="66">
        <v>317558000</v>
      </c>
      <c r="G616" s="21">
        <v>0</v>
      </c>
      <c r="H616" s="20">
        <f>TRUNC($F616*G616*0.0000001,1)</f>
        <v>0</v>
      </c>
      <c r="I616" s="21">
        <v>0</v>
      </c>
      <c r="J616" s="20">
        <f>TRUNC($F616*I616*0.0000001,1)</f>
        <v>0</v>
      </c>
      <c r="K616" s="19">
        <v>1911</v>
      </c>
      <c r="L616" s="20">
        <f>TRUNC($F616*K616*0.0000001,1)</f>
        <v>60685.3</v>
      </c>
    </row>
    <row r="617" spans="2:12" ht="11.25" customHeight="1" x14ac:dyDescent="0.2">
      <c r="C617" s="107" t="s">
        <v>1289</v>
      </c>
      <c r="D617" s="107"/>
      <c r="E617" s="23"/>
      <c r="F617" s="22"/>
      <c r="G617" s="22"/>
      <c r="H617" s="24">
        <f>TRUNC(SUM(H614:H616))</f>
        <v>40053</v>
      </c>
      <c r="I617" s="22"/>
      <c r="J617" s="24">
        <f>TRUNC(SUM(J614:J616))</f>
        <v>50573</v>
      </c>
      <c r="K617" s="22"/>
      <c r="L617" s="24">
        <f>TRUNC(SUM(L614:L616))</f>
        <v>60685</v>
      </c>
    </row>
    <row r="618" spans="2:12" ht="11.25" customHeight="1" x14ac:dyDescent="0.2">
      <c r="C618" s="4"/>
      <c r="D618" s="4"/>
      <c r="E618" s="13"/>
      <c r="F618" s="50"/>
      <c r="G618" s="27"/>
      <c r="H618" s="20"/>
      <c r="I618" s="26"/>
      <c r="J618" s="20"/>
      <c r="K618" s="26"/>
      <c r="L618" s="20"/>
    </row>
    <row r="619" spans="2:12" ht="11.25" customHeight="1" x14ac:dyDescent="0.2">
      <c r="C619" s="126" t="s">
        <v>1286</v>
      </c>
      <c r="D619" s="126"/>
      <c r="E619" s="127"/>
      <c r="F619" s="125"/>
      <c r="G619" s="125"/>
      <c r="H619" s="128">
        <f>TRUNC(H617+H609+H612)</f>
        <v>147296</v>
      </c>
      <c r="I619" s="125"/>
      <c r="J619" s="128">
        <f>TRUNC(J617+J609+J612)</f>
        <v>157816</v>
      </c>
      <c r="K619" s="102"/>
      <c r="L619" s="104">
        <f>TRUNC(L617+L609+L612)</f>
        <v>177521</v>
      </c>
    </row>
    <row r="620" spans="2:12" ht="11.25" customHeight="1" x14ac:dyDescent="0.2">
      <c r="B620" s="186" t="s">
        <v>427</v>
      </c>
      <c r="C620" s="187" t="s">
        <v>428</v>
      </c>
      <c r="D620" s="187" t="s">
        <v>429</v>
      </c>
      <c r="E620" s="188" t="s">
        <v>430</v>
      </c>
      <c r="F620" s="188" t="s">
        <v>431</v>
      </c>
      <c r="G620" s="94" t="s">
        <v>389</v>
      </c>
      <c r="H620" s="151"/>
      <c r="I620" s="94" t="s">
        <v>67</v>
      </c>
      <c r="J620" s="151"/>
    </row>
    <row r="621" spans="2:12" ht="11.25" customHeight="1" x14ac:dyDescent="0.2">
      <c r="B621" s="186"/>
      <c r="C621" s="187"/>
      <c r="D621" s="187"/>
      <c r="E621" s="188"/>
      <c r="F621" s="188"/>
      <c r="G621" s="17" t="s">
        <v>436</v>
      </c>
      <c r="H621" s="17" t="s">
        <v>437</v>
      </c>
      <c r="I621" s="17" t="s">
        <v>436</v>
      </c>
      <c r="J621" s="17" t="s">
        <v>437</v>
      </c>
    </row>
    <row r="622" spans="2:12" ht="11.25" customHeight="1" x14ac:dyDescent="0.2">
      <c r="C622" s="4" t="s">
        <v>426</v>
      </c>
      <c r="D622" s="4"/>
      <c r="E622" s="13" t="s">
        <v>494</v>
      </c>
      <c r="F622" s="25">
        <v>1505.45</v>
      </c>
      <c r="G622" s="27">
        <v>35.200000000000003</v>
      </c>
      <c r="H622" s="20">
        <f>TRUNC(($F622*G622),1)</f>
        <v>52991.8</v>
      </c>
      <c r="I622" s="27">
        <v>41.4</v>
      </c>
      <c r="J622" s="20">
        <f>TRUNC(($F622*I622),1)</f>
        <v>62325.599999999999</v>
      </c>
    </row>
    <row r="623" spans="2:12" ht="11.25" customHeight="1" x14ac:dyDescent="0.2">
      <c r="C623" s="4" t="s">
        <v>878</v>
      </c>
      <c r="D623" s="4" t="s">
        <v>203</v>
      </c>
      <c r="E623" s="13" t="s">
        <v>232</v>
      </c>
      <c r="F623" s="18"/>
      <c r="G623" s="21">
        <v>18</v>
      </c>
      <c r="H623" s="20">
        <f>TRUNC(H622*G623*0.01,1)</f>
        <v>9538.5</v>
      </c>
      <c r="I623" s="21">
        <v>18</v>
      </c>
      <c r="J623" s="20">
        <f>TRUNC(J622*I623*0.01,1)</f>
        <v>11218.6</v>
      </c>
    </row>
    <row r="624" spans="2:12" ht="11.25" customHeight="1" x14ac:dyDescent="0.2">
      <c r="C624" s="107" t="s">
        <v>799</v>
      </c>
      <c r="D624" s="107"/>
      <c r="E624" s="23"/>
      <c r="F624" s="22"/>
      <c r="G624" s="22"/>
      <c r="H624" s="24">
        <f>TRUNC(SUM(H622:H623))</f>
        <v>62530</v>
      </c>
      <c r="I624" s="22"/>
      <c r="J624" s="24">
        <f>TRUNC(SUM(J622:J623))</f>
        <v>73544</v>
      </c>
    </row>
    <row r="625" spans="2:12" ht="11.25" customHeight="1" x14ac:dyDescent="0.2">
      <c r="C625" s="4"/>
      <c r="D625" s="4"/>
      <c r="E625" s="13"/>
      <c r="F625" s="50"/>
      <c r="G625" s="27"/>
      <c r="H625" s="20"/>
      <c r="I625" s="26"/>
      <c r="J625" s="20"/>
      <c r="K625" s="52"/>
      <c r="L625" s="32"/>
    </row>
    <row r="626" spans="2:12" ht="11.25" customHeight="1" x14ac:dyDescent="0.2">
      <c r="C626" s="4" t="s">
        <v>798</v>
      </c>
      <c r="D626" s="4" t="s">
        <v>866</v>
      </c>
      <c r="E626" s="13" t="s">
        <v>497</v>
      </c>
      <c r="F626" s="28">
        <v>283297</v>
      </c>
      <c r="G626" s="18">
        <v>0.20799999999999999</v>
      </c>
      <c r="H626" s="20">
        <f>TRUNC(($F626*G626),1)</f>
        <v>58925.7</v>
      </c>
      <c r="I626" s="18">
        <v>0.20799999999999999</v>
      </c>
      <c r="J626" s="20">
        <f>TRUNC(($F626*I626),1)</f>
        <v>58925.7</v>
      </c>
    </row>
    <row r="627" spans="2:12" ht="11.25" customHeight="1" x14ac:dyDescent="0.2">
      <c r="C627" s="107" t="s">
        <v>1285</v>
      </c>
      <c r="D627" s="107"/>
      <c r="E627" s="23"/>
      <c r="F627" s="22"/>
      <c r="G627" s="22"/>
      <c r="H627" s="24">
        <f>TRUNC(SUM(H626:H626))</f>
        <v>58925</v>
      </c>
      <c r="I627" s="22"/>
      <c r="J627" s="24">
        <f>TRUNC(SUM(J626:J626))</f>
        <v>58925</v>
      </c>
    </row>
    <row r="628" spans="2:12" ht="11.25" customHeight="1" x14ac:dyDescent="0.2">
      <c r="C628" s="4"/>
      <c r="D628" s="4"/>
      <c r="E628" s="13"/>
      <c r="F628" s="50"/>
      <c r="G628" s="27"/>
      <c r="H628" s="20"/>
      <c r="I628" s="26"/>
      <c r="J628" s="20"/>
      <c r="K628" s="52"/>
      <c r="L628" s="32"/>
    </row>
    <row r="629" spans="2:12" ht="11.25" customHeight="1" x14ac:dyDescent="0.2">
      <c r="B629" s="8" t="s">
        <v>388</v>
      </c>
      <c r="C629" s="4" t="s">
        <v>1334</v>
      </c>
      <c r="D629" s="106" t="s">
        <v>764</v>
      </c>
      <c r="E629" s="13" t="s">
        <v>746</v>
      </c>
      <c r="F629" s="66">
        <v>340351000</v>
      </c>
      <c r="G629" s="19">
        <v>1911</v>
      </c>
      <c r="H629" s="20">
        <f>TRUNC($F629*G629*0.0000001,1)</f>
        <v>65041</v>
      </c>
      <c r="I629" s="21">
        <v>0</v>
      </c>
      <c r="J629" s="20">
        <f>TRUNC($F629*I629*0.0000001,1)</f>
        <v>0</v>
      </c>
    </row>
    <row r="630" spans="2:12" ht="11.25" customHeight="1" x14ac:dyDescent="0.2">
      <c r="B630" s="8" t="s">
        <v>697</v>
      </c>
      <c r="C630" s="4" t="s">
        <v>1334</v>
      </c>
      <c r="D630" s="106" t="s">
        <v>696</v>
      </c>
      <c r="E630" s="13" t="s">
        <v>746</v>
      </c>
      <c r="F630" s="66">
        <v>397332000</v>
      </c>
      <c r="G630" s="21">
        <v>0</v>
      </c>
      <c r="H630" s="20">
        <f>TRUNC($F630*G630*0.0000001,1)</f>
        <v>0</v>
      </c>
      <c r="I630" s="19">
        <v>1911</v>
      </c>
      <c r="J630" s="20">
        <f>TRUNC($F630*I630*0.0000001,1)</f>
        <v>75930.100000000006</v>
      </c>
    </row>
    <row r="631" spans="2:12" ht="11.25" customHeight="1" x14ac:dyDescent="0.2">
      <c r="C631" s="107" t="s">
        <v>1289</v>
      </c>
      <c r="D631" s="107"/>
      <c r="E631" s="23"/>
      <c r="F631" s="22"/>
      <c r="G631" s="22"/>
      <c r="H631" s="24">
        <f>TRUNC(SUM(H629:H630))</f>
        <v>65041</v>
      </c>
      <c r="I631" s="22"/>
      <c r="J631" s="24">
        <f>TRUNC(SUM(J629:J630))</f>
        <v>75930</v>
      </c>
    </row>
    <row r="632" spans="2:12" ht="11.25" customHeight="1" x14ac:dyDescent="0.2">
      <c r="C632" s="4"/>
      <c r="D632" s="4"/>
      <c r="E632" s="13"/>
      <c r="F632" s="50"/>
      <c r="G632" s="27"/>
      <c r="H632" s="20"/>
      <c r="I632" s="26"/>
      <c r="J632" s="20"/>
      <c r="K632" s="52"/>
      <c r="L632" s="32"/>
    </row>
    <row r="633" spans="2:12" ht="11.25" customHeight="1" x14ac:dyDescent="0.2">
      <c r="B633" s="16"/>
      <c r="C633" s="108" t="s">
        <v>1286</v>
      </c>
      <c r="D633" s="108"/>
      <c r="E633" s="103"/>
      <c r="F633" s="102"/>
      <c r="G633" s="102"/>
      <c r="H633" s="104">
        <f>TRUNC(H631+H624+H627)</f>
        <v>186496</v>
      </c>
      <c r="I633" s="102"/>
      <c r="J633" s="104">
        <f>TRUNC(J631+J624+J627)</f>
        <v>208399</v>
      </c>
    </row>
    <row r="634" spans="2:12" ht="11.25" customHeight="1" x14ac:dyDescent="0.2">
      <c r="C634" s="112"/>
      <c r="D634" s="112"/>
      <c r="E634" s="44"/>
      <c r="F634" s="43"/>
      <c r="G634" s="43"/>
      <c r="H634" s="36"/>
      <c r="I634" s="43"/>
      <c r="J634" s="36"/>
    </row>
    <row r="635" spans="2:12" ht="11.25" customHeight="1" x14ac:dyDescent="0.2">
      <c r="B635" s="68" t="s">
        <v>1335</v>
      </c>
      <c r="H635" s="49" t="s">
        <v>1307</v>
      </c>
    </row>
    <row r="636" spans="2:12" ht="11.25" customHeight="1" x14ac:dyDescent="0.2">
      <c r="B636" s="186" t="s">
        <v>427</v>
      </c>
      <c r="C636" s="187" t="s">
        <v>428</v>
      </c>
      <c r="D636" s="187" t="s">
        <v>429</v>
      </c>
      <c r="E636" s="188" t="s">
        <v>430</v>
      </c>
      <c r="F636" s="188" t="s">
        <v>431</v>
      </c>
      <c r="G636" s="94" t="s">
        <v>372</v>
      </c>
      <c r="H636" s="151"/>
    </row>
    <row r="637" spans="2:12" ht="11.25" customHeight="1" x14ac:dyDescent="0.2">
      <c r="B637" s="186"/>
      <c r="C637" s="187"/>
      <c r="D637" s="187"/>
      <c r="E637" s="188"/>
      <c r="F637" s="188"/>
      <c r="G637" s="17" t="s">
        <v>436</v>
      </c>
      <c r="H637" s="17" t="s">
        <v>437</v>
      </c>
    </row>
    <row r="638" spans="2:12" ht="11.25" customHeight="1" x14ac:dyDescent="0.2">
      <c r="C638" s="4" t="s">
        <v>744</v>
      </c>
      <c r="D638" s="4"/>
      <c r="E638" s="13" t="s">
        <v>494</v>
      </c>
      <c r="F638" s="25">
        <v>1584.54</v>
      </c>
      <c r="G638" s="27">
        <v>0.7</v>
      </c>
      <c r="H638" s="20">
        <f>TRUNC(($F638*G638),1)</f>
        <v>1109.0999999999999</v>
      </c>
    </row>
    <row r="639" spans="2:12" ht="11.25" customHeight="1" x14ac:dyDescent="0.2">
      <c r="C639" s="4" t="s">
        <v>878</v>
      </c>
      <c r="D639" s="4" t="s">
        <v>203</v>
      </c>
      <c r="E639" s="13" t="s">
        <v>232</v>
      </c>
      <c r="F639" s="18"/>
      <c r="G639" s="21">
        <v>10</v>
      </c>
      <c r="H639" s="20">
        <f>TRUNC(H638*G639*0.01,1)</f>
        <v>110.9</v>
      </c>
    </row>
    <row r="640" spans="2:12" ht="11.25" customHeight="1" x14ac:dyDescent="0.2">
      <c r="C640" s="107" t="s">
        <v>799</v>
      </c>
      <c r="D640" s="107"/>
      <c r="E640" s="23"/>
      <c r="F640" s="22"/>
      <c r="G640" s="22"/>
      <c r="H640" s="24">
        <f>TRUNC(SUM(H638:H639))</f>
        <v>1220</v>
      </c>
    </row>
    <row r="641" spans="1:12" ht="11.25" customHeight="1" x14ac:dyDescent="0.2">
      <c r="C641" s="4"/>
      <c r="D641" s="106"/>
      <c r="E641" s="13"/>
      <c r="F641" s="21"/>
      <c r="G641" s="21"/>
      <c r="H641" s="20"/>
      <c r="I641" s="39"/>
      <c r="J641" s="32"/>
      <c r="K641" s="39"/>
      <c r="L641" s="32"/>
    </row>
    <row r="642" spans="1:12" ht="11.25" customHeight="1" x14ac:dyDescent="0.2">
      <c r="C642" s="4" t="s">
        <v>874</v>
      </c>
      <c r="D642" s="4" t="s">
        <v>866</v>
      </c>
      <c r="E642" s="13" t="s">
        <v>497</v>
      </c>
      <c r="F642" s="28">
        <v>173995</v>
      </c>
      <c r="G642" s="18">
        <v>0.20799999999999999</v>
      </c>
      <c r="H642" s="20">
        <f>TRUNC(($F642*G642),1)</f>
        <v>36190.9</v>
      </c>
    </row>
    <row r="643" spans="1:12" ht="11.25" customHeight="1" x14ac:dyDescent="0.2">
      <c r="C643" s="107" t="s">
        <v>1285</v>
      </c>
      <c r="D643" s="107"/>
      <c r="E643" s="23"/>
      <c r="F643" s="22"/>
      <c r="G643" s="22"/>
      <c r="H643" s="24">
        <f>TRUNC(SUM(H642:H642))</f>
        <v>36190</v>
      </c>
    </row>
    <row r="644" spans="1:12" ht="11.25" customHeight="1" x14ac:dyDescent="0.2">
      <c r="C644" s="4"/>
      <c r="D644" s="106"/>
      <c r="E644" s="13"/>
      <c r="F644" s="21"/>
      <c r="G644" s="21"/>
      <c r="H644" s="20"/>
      <c r="I644" s="39"/>
      <c r="J644" s="32"/>
      <c r="K644" s="39"/>
      <c r="L644" s="32"/>
    </row>
    <row r="645" spans="1:12" ht="11.25" customHeight="1" x14ac:dyDescent="0.2">
      <c r="B645" s="8" t="s">
        <v>677</v>
      </c>
      <c r="C645" s="4" t="s">
        <v>1336</v>
      </c>
      <c r="D645" s="106" t="s">
        <v>1197</v>
      </c>
      <c r="E645" s="13" t="s">
        <v>746</v>
      </c>
      <c r="F645" s="66">
        <v>1418000</v>
      </c>
      <c r="G645" s="19">
        <v>3708</v>
      </c>
      <c r="H645" s="20">
        <f>TRUNC($F645*G645*0.0000001,1)</f>
        <v>525.70000000000005</v>
      </c>
    </row>
    <row r="646" spans="1:12" ht="11.25" customHeight="1" x14ac:dyDescent="0.2">
      <c r="C646" s="107" t="s">
        <v>1289</v>
      </c>
      <c r="D646" s="107"/>
      <c r="E646" s="23"/>
      <c r="F646" s="22"/>
      <c r="G646" s="22"/>
      <c r="H646" s="24">
        <f>TRUNC(SUM(H645:H645))</f>
        <v>525</v>
      </c>
    </row>
    <row r="647" spans="1:12" ht="11.25" customHeight="1" x14ac:dyDescent="0.2">
      <c r="C647" s="107"/>
      <c r="D647" s="107"/>
      <c r="E647" s="23"/>
      <c r="F647" s="22"/>
      <c r="G647" s="22"/>
      <c r="H647" s="24"/>
    </row>
    <row r="648" spans="1:12" ht="11.25" customHeight="1" x14ac:dyDescent="0.2">
      <c r="B648" s="16"/>
      <c r="C648" s="108" t="s">
        <v>1286</v>
      </c>
      <c r="D648" s="108"/>
      <c r="E648" s="103"/>
      <c r="F648" s="102"/>
      <c r="G648" s="102"/>
      <c r="H648" s="104">
        <f>TRUNC(H646+H640+H643)</f>
        <v>37935</v>
      </c>
    </row>
    <row r="650" spans="1:12" ht="11.25" customHeight="1" x14ac:dyDescent="0.2">
      <c r="A650" s="7"/>
      <c r="B650" s="68" t="s">
        <v>1337</v>
      </c>
      <c r="C650" s="119"/>
      <c r="H650" s="49" t="s">
        <v>1307</v>
      </c>
    </row>
    <row r="651" spans="1:12" ht="11.25" customHeight="1" x14ac:dyDescent="0.2">
      <c r="B651" s="186" t="s">
        <v>427</v>
      </c>
      <c r="C651" s="187" t="s">
        <v>428</v>
      </c>
      <c r="D651" s="187" t="s">
        <v>429</v>
      </c>
      <c r="E651" s="188" t="s">
        <v>430</v>
      </c>
      <c r="F651" s="188" t="s">
        <v>431</v>
      </c>
      <c r="G651" s="94" t="s">
        <v>5</v>
      </c>
      <c r="H651" s="151"/>
    </row>
    <row r="652" spans="1:12" ht="11.25" customHeight="1" x14ac:dyDescent="0.2">
      <c r="B652" s="186"/>
      <c r="C652" s="187"/>
      <c r="D652" s="187"/>
      <c r="E652" s="188"/>
      <c r="F652" s="188"/>
      <c r="G652" s="17" t="s">
        <v>436</v>
      </c>
      <c r="H652" s="17" t="s">
        <v>437</v>
      </c>
    </row>
    <row r="653" spans="1:12" ht="11.25" customHeight="1" x14ac:dyDescent="0.2">
      <c r="C653" s="4" t="s">
        <v>744</v>
      </c>
      <c r="D653" s="4"/>
      <c r="E653" s="13" t="s">
        <v>494</v>
      </c>
      <c r="F653" s="25">
        <v>1584.54</v>
      </c>
      <c r="G653" s="26">
        <v>1</v>
      </c>
      <c r="H653" s="20">
        <f>TRUNC(($F653*G653),1)</f>
        <v>1584.5</v>
      </c>
    </row>
    <row r="654" spans="1:12" ht="11.25" customHeight="1" x14ac:dyDescent="0.2">
      <c r="C654" s="4" t="s">
        <v>878</v>
      </c>
      <c r="D654" s="4" t="s">
        <v>203</v>
      </c>
      <c r="E654" s="13" t="s">
        <v>232</v>
      </c>
      <c r="F654" s="18"/>
      <c r="G654" s="21">
        <v>20</v>
      </c>
      <c r="H654" s="20">
        <f>TRUNC(H653*G654*0.01,1)</f>
        <v>316.89999999999998</v>
      </c>
    </row>
    <row r="655" spans="1:12" ht="11.25" customHeight="1" x14ac:dyDescent="0.2">
      <c r="C655" s="107" t="s">
        <v>799</v>
      </c>
      <c r="D655" s="107"/>
      <c r="E655" s="23"/>
      <c r="F655" s="22"/>
      <c r="G655" s="22"/>
      <c r="H655" s="24">
        <f>TRUNC(SUM(H653:H654))</f>
        <v>1901</v>
      </c>
    </row>
    <row r="656" spans="1:12" ht="11.25" customHeight="1" x14ac:dyDescent="0.2">
      <c r="C656" s="4"/>
      <c r="D656" s="106"/>
      <c r="E656" s="13"/>
      <c r="F656" s="21"/>
      <c r="G656" s="21"/>
      <c r="H656" s="20"/>
      <c r="I656" s="39"/>
      <c r="J656" s="32"/>
      <c r="K656" s="39"/>
      <c r="L656" s="32"/>
    </row>
    <row r="657" spans="2:12" ht="11.25" customHeight="1" x14ac:dyDescent="0.2">
      <c r="C657" s="4" t="s">
        <v>874</v>
      </c>
      <c r="D657" s="4" t="s">
        <v>866</v>
      </c>
      <c r="E657" s="13" t="s">
        <v>497</v>
      </c>
      <c r="F657" s="28">
        <v>173995</v>
      </c>
      <c r="G657" s="18">
        <v>0.20799999999999999</v>
      </c>
      <c r="H657" s="20">
        <f>TRUNC(($F657*G657),1)</f>
        <v>36190.9</v>
      </c>
    </row>
    <row r="658" spans="2:12" ht="11.25" customHeight="1" x14ac:dyDescent="0.2">
      <c r="C658" s="107" t="s">
        <v>1285</v>
      </c>
      <c r="D658" s="107"/>
      <c r="E658" s="23"/>
      <c r="F658" s="22"/>
      <c r="G658" s="22"/>
      <c r="H658" s="24">
        <f>TRUNC(SUM(H657:H657))</f>
        <v>36190</v>
      </c>
    </row>
    <row r="659" spans="2:12" ht="11.25" customHeight="1" x14ac:dyDescent="0.2">
      <c r="C659" s="4"/>
      <c r="D659" s="106"/>
      <c r="E659" s="13"/>
      <c r="F659" s="21"/>
      <c r="G659" s="21"/>
      <c r="H659" s="20"/>
      <c r="I659" s="39"/>
      <c r="J659" s="32"/>
      <c r="K659" s="39"/>
      <c r="L659" s="32"/>
    </row>
    <row r="660" spans="2:12" ht="11.25" customHeight="1" x14ac:dyDescent="0.2">
      <c r="B660" s="8" t="s">
        <v>4</v>
      </c>
      <c r="C660" s="4" t="s">
        <v>1338</v>
      </c>
      <c r="D660" s="106" t="s">
        <v>942</v>
      </c>
      <c r="E660" s="13" t="s">
        <v>746</v>
      </c>
      <c r="F660" s="66">
        <v>1673000</v>
      </c>
      <c r="G660" s="19">
        <v>3708</v>
      </c>
      <c r="H660" s="20">
        <f>TRUNC($F660*G660*0.0000001,1)</f>
        <v>620.29999999999995</v>
      </c>
    </row>
    <row r="661" spans="2:12" ht="11.25" customHeight="1" x14ac:dyDescent="0.2">
      <c r="C661" s="107" t="s">
        <v>1289</v>
      </c>
      <c r="D661" s="107"/>
      <c r="E661" s="23"/>
      <c r="F661" s="22"/>
      <c r="G661" s="22"/>
      <c r="H661" s="24">
        <f>TRUNC(SUM(H660:H660))</f>
        <v>620</v>
      </c>
    </row>
    <row r="662" spans="2:12" ht="11.25" customHeight="1" x14ac:dyDescent="0.2">
      <c r="C662" s="4"/>
      <c r="D662" s="106"/>
      <c r="E662" s="13"/>
      <c r="F662" s="21"/>
      <c r="G662" s="21"/>
      <c r="H662" s="20"/>
      <c r="I662" s="39"/>
      <c r="J662" s="32"/>
      <c r="K662" s="39"/>
      <c r="L662" s="32"/>
    </row>
    <row r="663" spans="2:12" ht="11.25" customHeight="1" x14ac:dyDescent="0.2">
      <c r="B663" s="16"/>
      <c r="C663" s="108" t="s">
        <v>1286</v>
      </c>
      <c r="D663" s="108"/>
      <c r="E663" s="103"/>
      <c r="F663" s="102"/>
      <c r="G663" s="102"/>
      <c r="H663" s="104">
        <f>TRUNC(H661+H655+H658)</f>
        <v>38711</v>
      </c>
    </row>
    <row r="665" spans="2:12" ht="11.25" customHeight="1" x14ac:dyDescent="0.2">
      <c r="B665" s="8" t="s">
        <v>1339</v>
      </c>
    </row>
    <row r="666" spans="2:12" ht="11.25" customHeight="1" x14ac:dyDescent="0.2">
      <c r="B666" s="68" t="s">
        <v>1340</v>
      </c>
      <c r="C666" s="119"/>
      <c r="L666" s="49" t="s">
        <v>1307</v>
      </c>
    </row>
    <row r="667" spans="2:12" ht="11.25" customHeight="1" x14ac:dyDescent="0.2">
      <c r="B667" s="186" t="s">
        <v>427</v>
      </c>
      <c r="C667" s="187" t="s">
        <v>428</v>
      </c>
      <c r="D667" s="187" t="s">
        <v>429</v>
      </c>
      <c r="E667" s="188" t="s">
        <v>430</v>
      </c>
      <c r="F667" s="188" t="s">
        <v>431</v>
      </c>
      <c r="G667" s="94" t="s">
        <v>520</v>
      </c>
      <c r="H667" s="151"/>
      <c r="I667" s="94" t="s">
        <v>521</v>
      </c>
      <c r="J667" s="151"/>
      <c r="K667" s="94" t="s">
        <v>522</v>
      </c>
      <c r="L667" s="151"/>
    </row>
    <row r="668" spans="2:12" ht="11.25" customHeight="1" x14ac:dyDescent="0.2">
      <c r="B668" s="186"/>
      <c r="C668" s="187"/>
      <c r="D668" s="187"/>
      <c r="E668" s="188"/>
      <c r="F668" s="188"/>
      <c r="G668" s="17" t="s">
        <v>436</v>
      </c>
      <c r="H668" s="17" t="s">
        <v>437</v>
      </c>
      <c r="I668" s="17" t="s">
        <v>436</v>
      </c>
      <c r="J668" s="17" t="s">
        <v>437</v>
      </c>
      <c r="K668" s="17" t="s">
        <v>436</v>
      </c>
      <c r="L668" s="17" t="s">
        <v>437</v>
      </c>
    </row>
    <row r="669" spans="2:12" ht="11.25" customHeight="1" x14ac:dyDescent="0.2">
      <c r="C669" s="4" t="s">
        <v>426</v>
      </c>
      <c r="D669" s="4"/>
      <c r="E669" s="13" t="s">
        <v>494</v>
      </c>
      <c r="F669" s="25">
        <v>1505.45</v>
      </c>
      <c r="G669" s="27">
        <v>5.8</v>
      </c>
      <c r="H669" s="20">
        <f>TRUNC(($F669*G669),1)</f>
        <v>8731.6</v>
      </c>
      <c r="I669" s="26">
        <v>7.2</v>
      </c>
      <c r="J669" s="20">
        <f>TRUNC(($F669*I669),1)</f>
        <v>10839.2</v>
      </c>
      <c r="K669" s="26">
        <v>8.6</v>
      </c>
      <c r="L669" s="20">
        <f>TRUNC(($F669*K669),1)</f>
        <v>12946.8</v>
      </c>
    </row>
    <row r="670" spans="2:12" ht="11.25" customHeight="1" x14ac:dyDescent="0.2">
      <c r="C670" s="4" t="s">
        <v>878</v>
      </c>
      <c r="D670" s="4" t="s">
        <v>203</v>
      </c>
      <c r="E670" s="13" t="s">
        <v>232</v>
      </c>
      <c r="F670" s="18"/>
      <c r="G670" s="21">
        <v>20</v>
      </c>
      <c r="H670" s="20">
        <f>TRUNC(H669*G670*0.01,1)</f>
        <v>1746.3</v>
      </c>
      <c r="I670" s="21">
        <v>20</v>
      </c>
      <c r="J670" s="20">
        <f>TRUNC(J669*I670*0.01,1)</f>
        <v>2167.8000000000002</v>
      </c>
      <c r="K670" s="21">
        <v>20</v>
      </c>
      <c r="L670" s="20">
        <f>TRUNC(L669*K670*0.01,1)</f>
        <v>2589.3000000000002</v>
      </c>
    </row>
    <row r="671" spans="2:12" ht="11.25" customHeight="1" x14ac:dyDescent="0.2">
      <c r="C671" s="107" t="s">
        <v>799</v>
      </c>
      <c r="D671" s="107"/>
      <c r="E671" s="23"/>
      <c r="F671" s="22"/>
      <c r="G671" s="22"/>
      <c r="H671" s="24">
        <f>TRUNC(SUM(H669:H670))</f>
        <v>10477</v>
      </c>
      <c r="I671" s="22"/>
      <c r="J671" s="24">
        <f>TRUNC(SUM(J669:J670))</f>
        <v>13007</v>
      </c>
      <c r="K671" s="22"/>
      <c r="L671" s="24">
        <f>TRUNC(SUM(L669:L670))</f>
        <v>15536</v>
      </c>
    </row>
    <row r="672" spans="2:12" ht="11.25" customHeight="1" x14ac:dyDescent="0.2">
      <c r="C672" s="4"/>
      <c r="D672" s="4"/>
      <c r="E672" s="13"/>
      <c r="F672" s="50"/>
      <c r="G672" s="27"/>
      <c r="H672" s="20"/>
      <c r="I672" s="26"/>
      <c r="J672" s="20"/>
      <c r="K672" s="26"/>
      <c r="L672" s="20"/>
    </row>
    <row r="673" spans="2:12" ht="11.25" customHeight="1" x14ac:dyDescent="0.2">
      <c r="C673" s="4" t="s">
        <v>798</v>
      </c>
      <c r="D673" s="4" t="s">
        <v>866</v>
      </c>
      <c r="E673" s="13" t="s">
        <v>497</v>
      </c>
      <c r="F673" s="28">
        <v>283297</v>
      </c>
      <c r="G673" s="18">
        <v>0.20799999999999999</v>
      </c>
      <c r="H673" s="20">
        <f>TRUNC(($F673*G673),1)</f>
        <v>58925.7</v>
      </c>
      <c r="I673" s="18">
        <v>0.20799999999999999</v>
      </c>
      <c r="J673" s="20">
        <f>TRUNC(($F673*I673),1)</f>
        <v>58925.7</v>
      </c>
      <c r="K673" s="18">
        <v>0.20799999999999999</v>
      </c>
      <c r="L673" s="20">
        <f>TRUNC(($F673*K673),1)</f>
        <v>58925.7</v>
      </c>
    </row>
    <row r="674" spans="2:12" ht="11.25" customHeight="1" x14ac:dyDescent="0.2">
      <c r="C674" s="107" t="s">
        <v>1285</v>
      </c>
      <c r="D674" s="107"/>
      <c r="E674" s="23"/>
      <c r="F674" s="22"/>
      <c r="G674" s="22"/>
      <c r="H674" s="24">
        <f>TRUNC(SUM(H673:H673))</f>
        <v>58925</v>
      </c>
      <c r="I674" s="22"/>
      <c r="J674" s="24">
        <f>TRUNC(SUM(J673:J673))</f>
        <v>58925</v>
      </c>
      <c r="K674" s="22"/>
      <c r="L674" s="24">
        <f>TRUNC(SUM(L673:L673))</f>
        <v>58925</v>
      </c>
    </row>
    <row r="675" spans="2:12" ht="11.25" customHeight="1" x14ac:dyDescent="0.2">
      <c r="C675" s="4"/>
      <c r="D675" s="4"/>
      <c r="E675" s="13"/>
      <c r="F675" s="50"/>
      <c r="G675" s="27"/>
      <c r="H675" s="20"/>
      <c r="I675" s="26"/>
      <c r="J675" s="20"/>
      <c r="K675" s="26"/>
      <c r="L675" s="20"/>
    </row>
    <row r="676" spans="2:12" ht="11.25" customHeight="1" x14ac:dyDescent="0.2">
      <c r="B676" s="8" t="s">
        <v>678</v>
      </c>
      <c r="C676" s="4" t="s">
        <v>1196</v>
      </c>
      <c r="D676" s="106" t="s">
        <v>1341</v>
      </c>
      <c r="E676" s="13" t="s">
        <v>746</v>
      </c>
      <c r="F676" s="66">
        <v>78059000</v>
      </c>
      <c r="G676" s="19">
        <v>1809</v>
      </c>
      <c r="H676" s="20">
        <f>TRUNC($F676*G676*0.0000001,1)</f>
        <v>14120.8</v>
      </c>
      <c r="I676" s="21">
        <v>0</v>
      </c>
      <c r="J676" s="20">
        <f>TRUNC($F676*I676*0.0000001,1)</f>
        <v>0</v>
      </c>
      <c r="K676" s="21">
        <v>0</v>
      </c>
      <c r="L676" s="20">
        <f>TRUNC($F676*K676*0.0000001,1)</f>
        <v>0</v>
      </c>
    </row>
    <row r="677" spans="2:12" ht="11.25" customHeight="1" x14ac:dyDescent="0.2">
      <c r="B677" s="8" t="s">
        <v>790</v>
      </c>
      <c r="C677" s="4" t="s">
        <v>1196</v>
      </c>
      <c r="D677" s="106" t="s">
        <v>1342</v>
      </c>
      <c r="E677" s="13" t="s">
        <v>746</v>
      </c>
      <c r="F677" s="66">
        <v>128640000</v>
      </c>
      <c r="G677" s="21">
        <v>0</v>
      </c>
      <c r="H677" s="20">
        <f>TRUNC($F677*G677*0.0000001,1)</f>
        <v>0</v>
      </c>
      <c r="I677" s="19">
        <v>1631</v>
      </c>
      <c r="J677" s="20">
        <f>TRUNC($F677*I677*0.0000001,1)</f>
        <v>20981.1</v>
      </c>
      <c r="K677" s="21">
        <v>0</v>
      </c>
      <c r="L677" s="20">
        <f>TRUNC($F677*K677*0.0000001,1)</f>
        <v>0</v>
      </c>
    </row>
    <row r="678" spans="2:12" ht="11.25" customHeight="1" x14ac:dyDescent="0.2">
      <c r="B678" s="8" t="s">
        <v>791</v>
      </c>
      <c r="C678" s="4" t="s">
        <v>1196</v>
      </c>
      <c r="D678" s="106" t="s">
        <v>1343</v>
      </c>
      <c r="E678" s="13" t="s">
        <v>746</v>
      </c>
      <c r="F678" s="66">
        <v>164175000</v>
      </c>
      <c r="G678" s="21">
        <v>0</v>
      </c>
      <c r="H678" s="20">
        <f>TRUNC($F678*G678*0.0000001,1)</f>
        <v>0</v>
      </c>
      <c r="I678" s="21">
        <v>0</v>
      </c>
      <c r="J678" s="20">
        <f>TRUNC($F678*I678*0.0000001,1)</f>
        <v>0</v>
      </c>
      <c r="K678" s="19">
        <v>1631</v>
      </c>
      <c r="L678" s="20">
        <f>TRUNC($F678*K678*0.0000001,1)</f>
        <v>26776.9</v>
      </c>
    </row>
    <row r="679" spans="2:12" ht="11.25" customHeight="1" x14ac:dyDescent="0.2">
      <c r="C679" s="107" t="s">
        <v>1289</v>
      </c>
      <c r="D679" s="107"/>
      <c r="E679" s="23"/>
      <c r="F679" s="22"/>
      <c r="G679" s="22"/>
      <c r="H679" s="24">
        <f>TRUNC(SUM(H676:H678))</f>
        <v>14120</v>
      </c>
      <c r="I679" s="22"/>
      <c r="J679" s="24">
        <f>TRUNC(SUM(J676:J678))</f>
        <v>20981</v>
      </c>
      <c r="K679" s="22"/>
      <c r="L679" s="24">
        <f>TRUNC(SUM(L676:L678))</f>
        <v>26776</v>
      </c>
    </row>
    <row r="680" spans="2:12" ht="11.25" customHeight="1" x14ac:dyDescent="0.2">
      <c r="C680" s="4"/>
      <c r="D680" s="4"/>
      <c r="E680" s="13"/>
      <c r="F680" s="50"/>
      <c r="G680" s="27"/>
      <c r="H680" s="20"/>
      <c r="I680" s="26"/>
      <c r="J680" s="20"/>
      <c r="K680" s="26"/>
      <c r="L680" s="20"/>
    </row>
    <row r="681" spans="2:12" ht="11.25" customHeight="1" x14ac:dyDescent="0.2">
      <c r="C681" s="126" t="s">
        <v>1286</v>
      </c>
      <c r="D681" s="126"/>
      <c r="E681" s="127"/>
      <c r="F681" s="125"/>
      <c r="G681" s="125"/>
      <c r="H681" s="128">
        <f>TRUNC(H679+H671+H674)</f>
        <v>83522</v>
      </c>
      <c r="I681" s="125"/>
      <c r="J681" s="128">
        <f>TRUNC(J679+J671+J674)</f>
        <v>92913</v>
      </c>
      <c r="K681" s="125"/>
      <c r="L681" s="128">
        <f>TRUNC(L679+L671+L674)</f>
        <v>101237</v>
      </c>
    </row>
    <row r="682" spans="2:12" ht="11.25" customHeight="1" x14ac:dyDescent="0.2">
      <c r="B682" s="186" t="s">
        <v>427</v>
      </c>
      <c r="C682" s="187" t="s">
        <v>428</v>
      </c>
      <c r="D682" s="187" t="s">
        <v>429</v>
      </c>
      <c r="E682" s="188" t="s">
        <v>430</v>
      </c>
      <c r="F682" s="188" t="s">
        <v>431</v>
      </c>
      <c r="G682" s="94" t="s">
        <v>523</v>
      </c>
      <c r="H682" s="151"/>
      <c r="I682" s="94" t="s">
        <v>524</v>
      </c>
      <c r="J682" s="151"/>
      <c r="K682" s="94" t="s">
        <v>829</v>
      </c>
      <c r="L682" s="151"/>
    </row>
    <row r="683" spans="2:12" ht="11.25" customHeight="1" x14ac:dyDescent="0.2">
      <c r="B683" s="186"/>
      <c r="C683" s="187"/>
      <c r="D683" s="187"/>
      <c r="E683" s="188"/>
      <c r="F683" s="188"/>
      <c r="G683" s="17" t="s">
        <v>436</v>
      </c>
      <c r="H683" s="17" t="s">
        <v>437</v>
      </c>
      <c r="I683" s="17" t="s">
        <v>436</v>
      </c>
      <c r="J683" s="17" t="s">
        <v>437</v>
      </c>
      <c r="K683" s="17" t="s">
        <v>436</v>
      </c>
      <c r="L683" s="17" t="s">
        <v>437</v>
      </c>
    </row>
    <row r="684" spans="2:12" ht="11.25" customHeight="1" x14ac:dyDescent="0.2">
      <c r="C684" s="4" t="s">
        <v>426</v>
      </c>
      <c r="D684" s="4"/>
      <c r="E684" s="13" t="s">
        <v>494</v>
      </c>
      <c r="F684" s="25">
        <v>1505.45</v>
      </c>
      <c r="G684" s="27">
        <v>9.6</v>
      </c>
      <c r="H684" s="20">
        <f>TRUNC(($F684*G684),1)</f>
        <v>14452.3</v>
      </c>
      <c r="I684" s="26">
        <v>10.5</v>
      </c>
      <c r="J684" s="20">
        <f>TRUNC(($F684*I684),1)</f>
        <v>15807.2</v>
      </c>
      <c r="K684" s="26">
        <v>11.2</v>
      </c>
      <c r="L684" s="20">
        <f>TRUNC(($F684*K684),1)</f>
        <v>16861</v>
      </c>
    </row>
    <row r="685" spans="2:12" ht="11.25" customHeight="1" x14ac:dyDescent="0.2">
      <c r="C685" s="4" t="s">
        <v>878</v>
      </c>
      <c r="D685" s="4" t="s">
        <v>203</v>
      </c>
      <c r="E685" s="13" t="s">
        <v>232</v>
      </c>
      <c r="F685" s="18"/>
      <c r="G685" s="21">
        <v>20</v>
      </c>
      <c r="H685" s="20">
        <f>TRUNC(H684*G685*0.01,1)</f>
        <v>2890.4</v>
      </c>
      <c r="I685" s="21">
        <v>20</v>
      </c>
      <c r="J685" s="20">
        <f>TRUNC(J684*I685*0.01,1)</f>
        <v>3161.4</v>
      </c>
      <c r="K685" s="21">
        <v>20</v>
      </c>
      <c r="L685" s="20">
        <f>TRUNC(L684*K685*0.01,1)</f>
        <v>3372.2</v>
      </c>
    </row>
    <row r="686" spans="2:12" ht="11.25" customHeight="1" x14ac:dyDescent="0.2">
      <c r="C686" s="107" t="s">
        <v>799</v>
      </c>
      <c r="D686" s="107"/>
      <c r="E686" s="23"/>
      <c r="F686" s="22"/>
      <c r="G686" s="22"/>
      <c r="H686" s="24">
        <f>TRUNC(SUM(H684:H685))</f>
        <v>17342</v>
      </c>
      <c r="I686" s="22"/>
      <c r="J686" s="24">
        <f>TRUNC(SUM(J684:J685))</f>
        <v>18968</v>
      </c>
      <c r="K686" s="22"/>
      <c r="L686" s="24">
        <f>TRUNC(SUM(L684:L685))</f>
        <v>20233</v>
      </c>
    </row>
    <row r="687" spans="2:12" ht="11.25" customHeight="1" x14ac:dyDescent="0.2">
      <c r="C687" s="4"/>
      <c r="D687" s="4"/>
      <c r="E687" s="13"/>
      <c r="F687" s="50"/>
      <c r="G687" s="27"/>
      <c r="H687" s="20"/>
      <c r="I687" s="26"/>
      <c r="J687" s="20"/>
      <c r="K687" s="26"/>
      <c r="L687" s="20"/>
    </row>
    <row r="688" spans="2:12" ht="11.25" customHeight="1" x14ac:dyDescent="0.2">
      <c r="C688" s="4" t="s">
        <v>798</v>
      </c>
      <c r="D688" s="4" t="s">
        <v>866</v>
      </c>
      <c r="E688" s="13" t="s">
        <v>497</v>
      </c>
      <c r="F688" s="28">
        <v>283297</v>
      </c>
      <c r="G688" s="18">
        <v>0.20799999999999999</v>
      </c>
      <c r="H688" s="20">
        <f>TRUNC(($F688*G688),1)</f>
        <v>58925.7</v>
      </c>
      <c r="I688" s="18">
        <v>0.20799999999999999</v>
      </c>
      <c r="J688" s="20">
        <f>TRUNC(($F688*I688),1)</f>
        <v>58925.7</v>
      </c>
      <c r="K688" s="18">
        <v>0.20799999999999999</v>
      </c>
      <c r="L688" s="20">
        <f>TRUNC(($F688*K688),1)</f>
        <v>58925.7</v>
      </c>
    </row>
    <row r="689" spans="2:12" ht="11.25" customHeight="1" x14ac:dyDescent="0.2">
      <c r="C689" s="107" t="s">
        <v>1285</v>
      </c>
      <c r="D689" s="107"/>
      <c r="E689" s="23"/>
      <c r="F689" s="22"/>
      <c r="G689" s="22"/>
      <c r="H689" s="24">
        <f>TRUNC(SUM(H688:H688))</f>
        <v>58925</v>
      </c>
      <c r="I689" s="22"/>
      <c r="J689" s="24">
        <f>TRUNC(SUM(J688:J688))</f>
        <v>58925</v>
      </c>
      <c r="K689" s="22"/>
      <c r="L689" s="24">
        <f>TRUNC(SUM(L688:L688))</f>
        <v>58925</v>
      </c>
    </row>
    <row r="690" spans="2:12" ht="11.25" customHeight="1" x14ac:dyDescent="0.2">
      <c r="C690" s="4"/>
      <c r="D690" s="4"/>
      <c r="E690" s="13"/>
      <c r="F690" s="50"/>
      <c r="G690" s="27"/>
      <c r="H690" s="20"/>
      <c r="I690" s="26"/>
      <c r="J690" s="20"/>
      <c r="K690" s="26"/>
      <c r="L690" s="20"/>
    </row>
    <row r="691" spans="2:12" ht="11.25" customHeight="1" x14ac:dyDescent="0.2">
      <c r="B691" s="8" t="s">
        <v>793</v>
      </c>
      <c r="C691" s="4" t="s">
        <v>1196</v>
      </c>
      <c r="D691" s="106" t="s">
        <v>1344</v>
      </c>
      <c r="E691" s="13" t="s">
        <v>746</v>
      </c>
      <c r="F691" s="66">
        <v>189905000</v>
      </c>
      <c r="G691" s="19">
        <v>1631</v>
      </c>
      <c r="H691" s="20">
        <f>TRUNC($F691*G691*0.0000001,1)</f>
        <v>30973.5</v>
      </c>
      <c r="I691" s="21">
        <v>0</v>
      </c>
      <c r="J691" s="20">
        <f>TRUNC($F691*I691*0.0000001,1)</f>
        <v>0</v>
      </c>
      <c r="K691" s="21">
        <v>0</v>
      </c>
      <c r="L691" s="20">
        <f>TRUNC($F691*K691*0.0000001,1)</f>
        <v>0</v>
      </c>
    </row>
    <row r="692" spans="2:12" ht="11.25" customHeight="1" x14ac:dyDescent="0.2">
      <c r="B692" s="8" t="s">
        <v>794</v>
      </c>
      <c r="C692" s="4" t="s">
        <v>1196</v>
      </c>
      <c r="D692" s="106" t="s">
        <v>1345</v>
      </c>
      <c r="E692" s="13" t="s">
        <v>746</v>
      </c>
      <c r="F692" s="66">
        <v>246262000</v>
      </c>
      <c r="G692" s="21">
        <v>0</v>
      </c>
      <c r="H692" s="20">
        <f>TRUNC($F692*G692*0.0000001,1)</f>
        <v>0</v>
      </c>
      <c r="I692" s="19">
        <v>1631</v>
      </c>
      <c r="J692" s="20">
        <f>TRUNC($F692*I692*0.0000001,1)</f>
        <v>40165.300000000003</v>
      </c>
      <c r="K692" s="21">
        <v>0</v>
      </c>
      <c r="L692" s="20">
        <f>TRUNC($F692*K692*0.0000001,1)</f>
        <v>0</v>
      </c>
    </row>
    <row r="693" spans="2:12" ht="11.25" customHeight="1" x14ac:dyDescent="0.2">
      <c r="B693" s="8" t="s">
        <v>795</v>
      </c>
      <c r="C693" s="4" t="s">
        <v>1196</v>
      </c>
      <c r="D693" s="106" t="s">
        <v>1346</v>
      </c>
      <c r="E693" s="13" t="s">
        <v>746</v>
      </c>
      <c r="F693" s="66">
        <v>324250000</v>
      </c>
      <c r="G693" s="21">
        <v>0</v>
      </c>
      <c r="H693" s="20">
        <f>TRUNC($F693*G693*0.0000001,1)</f>
        <v>0</v>
      </c>
      <c r="I693" s="21">
        <v>0</v>
      </c>
      <c r="J693" s="20">
        <f>TRUNC($F693*I693*0.0000001,1)</f>
        <v>0</v>
      </c>
      <c r="K693" s="19">
        <v>1631</v>
      </c>
      <c r="L693" s="20">
        <f>TRUNC($F693*K693*0.0000001,1)</f>
        <v>52885.1</v>
      </c>
    </row>
    <row r="694" spans="2:12" ht="11.25" customHeight="1" x14ac:dyDescent="0.2">
      <c r="C694" s="107" t="s">
        <v>1289</v>
      </c>
      <c r="D694" s="107"/>
      <c r="E694" s="23"/>
      <c r="F694" s="22"/>
      <c r="G694" s="22"/>
      <c r="H694" s="24">
        <f>TRUNC(SUM(H691:H693))</f>
        <v>30973</v>
      </c>
      <c r="I694" s="22"/>
      <c r="J694" s="24">
        <f>TRUNC(SUM(J691:J693))</f>
        <v>40165</v>
      </c>
      <c r="K694" s="22"/>
      <c r="L694" s="24">
        <f>TRUNC(SUM(L691:L693))</f>
        <v>52885</v>
      </c>
    </row>
    <row r="695" spans="2:12" ht="11.25" customHeight="1" x14ac:dyDescent="0.2">
      <c r="C695" s="4"/>
      <c r="D695" s="4"/>
      <c r="E695" s="13"/>
      <c r="F695" s="50"/>
      <c r="G695" s="27"/>
      <c r="H695" s="20"/>
      <c r="I695" s="26"/>
      <c r="J695" s="20"/>
      <c r="K695" s="26"/>
      <c r="L695" s="20"/>
    </row>
    <row r="696" spans="2:12" ht="11.25" customHeight="1" x14ac:dyDescent="0.2">
      <c r="B696" s="16"/>
      <c r="C696" s="108" t="s">
        <v>1286</v>
      </c>
      <c r="D696" s="108"/>
      <c r="E696" s="103"/>
      <c r="F696" s="102"/>
      <c r="G696" s="102"/>
      <c r="H696" s="104">
        <f>TRUNC(H694+H686+H689)</f>
        <v>107240</v>
      </c>
      <c r="I696" s="102"/>
      <c r="J696" s="104">
        <f>TRUNC(J694+J686+J689)</f>
        <v>118058</v>
      </c>
      <c r="K696" s="102"/>
      <c r="L696" s="104">
        <f>TRUNC(L694+L686+L689)</f>
        <v>132043</v>
      </c>
    </row>
    <row r="697" spans="2:12" ht="11.25" customHeight="1" x14ac:dyDescent="0.2">
      <c r="B697" s="186" t="s">
        <v>427</v>
      </c>
      <c r="C697" s="187" t="s">
        <v>428</v>
      </c>
      <c r="D697" s="187" t="s">
        <v>429</v>
      </c>
      <c r="E697" s="188" t="s">
        <v>430</v>
      </c>
      <c r="F697" s="188" t="s">
        <v>431</v>
      </c>
      <c r="G697" s="14" t="s">
        <v>830</v>
      </c>
      <c r="H697" s="15"/>
      <c r="I697" s="14" t="s">
        <v>831</v>
      </c>
      <c r="J697" s="15"/>
      <c r="K697" s="14" t="s">
        <v>832</v>
      </c>
      <c r="L697" s="15"/>
    </row>
    <row r="698" spans="2:12" ht="11.25" customHeight="1" x14ac:dyDescent="0.2">
      <c r="B698" s="186"/>
      <c r="C698" s="187"/>
      <c r="D698" s="187"/>
      <c r="E698" s="188"/>
      <c r="F698" s="188"/>
      <c r="G698" s="17" t="s">
        <v>436</v>
      </c>
      <c r="H698" s="17" t="s">
        <v>437</v>
      </c>
      <c r="I698" s="17" t="s">
        <v>436</v>
      </c>
      <c r="J698" s="17" t="s">
        <v>437</v>
      </c>
      <c r="K698" s="17" t="s">
        <v>436</v>
      </c>
      <c r="L698" s="17" t="s">
        <v>437</v>
      </c>
    </row>
    <row r="699" spans="2:12" ht="11.25" customHeight="1" x14ac:dyDescent="0.2">
      <c r="C699" s="4" t="s">
        <v>426</v>
      </c>
      <c r="D699" s="4"/>
      <c r="E699" s="13" t="s">
        <v>494</v>
      </c>
      <c r="F699" s="25">
        <v>1505.45</v>
      </c>
      <c r="G699" s="27">
        <v>11.5</v>
      </c>
      <c r="H699" s="20">
        <f>TRUNC(($F699*G699),1)</f>
        <v>17312.599999999999</v>
      </c>
      <c r="I699" s="26">
        <v>12</v>
      </c>
      <c r="J699" s="20">
        <f>TRUNC(($F699*I699),1)</f>
        <v>18065.400000000001</v>
      </c>
      <c r="K699" s="26">
        <v>17.2</v>
      </c>
      <c r="L699" s="20">
        <f>TRUNC(($F699*K699),1)</f>
        <v>25893.7</v>
      </c>
    </row>
    <row r="700" spans="2:12" ht="11.25" customHeight="1" x14ac:dyDescent="0.2">
      <c r="C700" s="4" t="s">
        <v>878</v>
      </c>
      <c r="D700" s="4" t="s">
        <v>203</v>
      </c>
      <c r="E700" s="13" t="s">
        <v>232</v>
      </c>
      <c r="F700" s="18"/>
      <c r="G700" s="21">
        <v>20</v>
      </c>
      <c r="H700" s="20">
        <f>TRUNC(H699*G700*0.01,1)</f>
        <v>3462.5</v>
      </c>
      <c r="I700" s="21">
        <v>20</v>
      </c>
      <c r="J700" s="20">
        <f>TRUNC(J699*I700*0.01,1)</f>
        <v>3613</v>
      </c>
      <c r="K700" s="21">
        <v>20</v>
      </c>
      <c r="L700" s="20">
        <f>TRUNC(L699*K700*0.01,1)</f>
        <v>5178.7</v>
      </c>
    </row>
    <row r="701" spans="2:12" ht="11.25" customHeight="1" x14ac:dyDescent="0.2">
      <c r="C701" s="107" t="s">
        <v>799</v>
      </c>
      <c r="D701" s="107"/>
      <c r="E701" s="23"/>
      <c r="F701" s="22"/>
      <c r="G701" s="22"/>
      <c r="H701" s="24">
        <f>TRUNC(SUM(H699:H700))</f>
        <v>20775</v>
      </c>
      <c r="I701" s="22"/>
      <c r="J701" s="24">
        <f>TRUNC(SUM(J699:J700))</f>
        <v>21678</v>
      </c>
      <c r="K701" s="22"/>
      <c r="L701" s="24">
        <f>TRUNC(SUM(L699:L700))</f>
        <v>31072</v>
      </c>
    </row>
    <row r="702" spans="2:12" ht="11.25" customHeight="1" x14ac:dyDescent="0.2">
      <c r="B702" s="29"/>
      <c r="C702" s="110"/>
      <c r="D702" s="110"/>
      <c r="E702" s="30"/>
      <c r="F702" s="30"/>
      <c r="G702" s="30"/>
      <c r="H702" s="30"/>
      <c r="I702" s="30"/>
      <c r="J702" s="30"/>
      <c r="K702" s="30"/>
      <c r="L702" s="18"/>
    </row>
    <row r="703" spans="2:12" ht="11.25" customHeight="1" x14ac:dyDescent="0.2">
      <c r="C703" s="4" t="s">
        <v>798</v>
      </c>
      <c r="D703" s="4" t="s">
        <v>866</v>
      </c>
      <c r="E703" s="13" t="s">
        <v>497</v>
      </c>
      <c r="F703" s="28">
        <v>283297</v>
      </c>
      <c r="G703" s="18">
        <v>0.20799999999999999</v>
      </c>
      <c r="H703" s="20">
        <f>TRUNC(($F703*G703),1)</f>
        <v>58925.7</v>
      </c>
      <c r="I703" s="18">
        <v>0.20799999999999999</v>
      </c>
      <c r="J703" s="20">
        <f>TRUNC(($F703*I703),1)</f>
        <v>58925.7</v>
      </c>
      <c r="K703" s="18">
        <v>0.20799999999999999</v>
      </c>
      <c r="L703" s="20">
        <f>TRUNC(($F703*K703),1)</f>
        <v>58925.7</v>
      </c>
    </row>
    <row r="704" spans="2:12" ht="11.25" customHeight="1" x14ac:dyDescent="0.2">
      <c r="C704" s="107" t="s">
        <v>1285</v>
      </c>
      <c r="D704" s="107"/>
      <c r="E704" s="23"/>
      <c r="F704" s="22"/>
      <c r="G704" s="22"/>
      <c r="H704" s="24">
        <f>TRUNC(SUM(H703:H703))</f>
        <v>58925</v>
      </c>
      <c r="I704" s="22"/>
      <c r="J704" s="24">
        <f>TRUNC(SUM(J703:J703))</f>
        <v>58925</v>
      </c>
      <c r="K704" s="22"/>
      <c r="L704" s="24">
        <f>TRUNC(SUM(L703:L703))</f>
        <v>58925</v>
      </c>
    </row>
    <row r="705" spans="2:12" ht="11.25" customHeight="1" x14ac:dyDescent="0.2">
      <c r="C705" s="107"/>
      <c r="D705" s="107"/>
      <c r="E705" s="22"/>
      <c r="F705" s="22"/>
      <c r="G705" s="22"/>
      <c r="H705" s="22"/>
      <c r="I705" s="22"/>
      <c r="J705" s="22"/>
      <c r="K705" s="22"/>
      <c r="L705" s="22"/>
    </row>
    <row r="706" spans="2:12" ht="11.25" customHeight="1" x14ac:dyDescent="0.2">
      <c r="B706" s="8" t="s">
        <v>545</v>
      </c>
      <c r="C706" s="4" t="s">
        <v>1196</v>
      </c>
      <c r="D706" s="106" t="s">
        <v>1347</v>
      </c>
      <c r="E706" s="13" t="s">
        <v>746</v>
      </c>
      <c r="F706" s="66">
        <v>326535000</v>
      </c>
      <c r="G706" s="19">
        <v>1651</v>
      </c>
      <c r="H706" s="20">
        <f>TRUNC($F706*G706*0.0000001,1)</f>
        <v>53910.9</v>
      </c>
      <c r="I706" s="21">
        <v>0</v>
      </c>
      <c r="J706" s="20">
        <f>TRUNC($F706*I706*0.0000001,1)</f>
        <v>0</v>
      </c>
      <c r="K706" s="21">
        <v>0</v>
      </c>
      <c r="L706" s="20">
        <f>TRUNC($F706*K706*0.0000001,1)</f>
        <v>0</v>
      </c>
    </row>
    <row r="707" spans="2:12" ht="11.25" customHeight="1" x14ac:dyDescent="0.2">
      <c r="B707" s="8" t="s">
        <v>546</v>
      </c>
      <c r="C707" s="4" t="s">
        <v>1196</v>
      </c>
      <c r="D707" s="106" t="s">
        <v>1348</v>
      </c>
      <c r="E707" s="13" t="s">
        <v>746</v>
      </c>
      <c r="F707" s="66">
        <v>442274000</v>
      </c>
      <c r="G707" s="21">
        <v>0</v>
      </c>
      <c r="H707" s="20">
        <f>TRUNC($F707*G707*0.0000001,1)</f>
        <v>0</v>
      </c>
      <c r="I707" s="19">
        <v>1651</v>
      </c>
      <c r="J707" s="20">
        <f>TRUNC($F707*I707*0.0000001,1)</f>
        <v>73019.399999999994</v>
      </c>
      <c r="K707" s="21">
        <v>0</v>
      </c>
      <c r="L707" s="20">
        <f>TRUNC($F707*K707*0.0000001,1)</f>
        <v>0</v>
      </c>
    </row>
    <row r="708" spans="2:12" ht="11.25" customHeight="1" x14ac:dyDescent="0.2">
      <c r="B708" s="8" t="s">
        <v>547</v>
      </c>
      <c r="C708" s="4" t="s">
        <v>1196</v>
      </c>
      <c r="D708" s="106" t="s">
        <v>1349</v>
      </c>
      <c r="E708" s="13" t="s">
        <v>746</v>
      </c>
      <c r="F708" s="66">
        <v>517703000</v>
      </c>
      <c r="G708" s="21">
        <v>0</v>
      </c>
      <c r="H708" s="20">
        <f>TRUNC($F708*G708*0.0000001,1)</f>
        <v>0</v>
      </c>
      <c r="I708" s="21">
        <v>0</v>
      </c>
      <c r="J708" s="20">
        <f>TRUNC($F708*I708*0.0000001,1)</f>
        <v>0</v>
      </c>
      <c r="K708" s="19">
        <v>1651</v>
      </c>
      <c r="L708" s="20">
        <f>TRUNC($F708*K708*0.0000001,1)</f>
        <v>85472.7</v>
      </c>
    </row>
    <row r="709" spans="2:12" ht="11.25" customHeight="1" x14ac:dyDescent="0.2">
      <c r="C709" s="107" t="s">
        <v>1289</v>
      </c>
      <c r="D709" s="107"/>
      <c r="E709" s="23"/>
      <c r="F709" s="22"/>
      <c r="G709" s="22"/>
      <c r="H709" s="24">
        <f>TRUNC(SUM(H706:H708))</f>
        <v>53910</v>
      </c>
      <c r="I709" s="22"/>
      <c r="J709" s="24">
        <f>TRUNC(SUM(J706:J708))</f>
        <v>73019</v>
      </c>
      <c r="K709" s="22"/>
      <c r="L709" s="24">
        <f>TRUNC(SUM(L706:L708))</f>
        <v>85472</v>
      </c>
    </row>
    <row r="710" spans="2:12" ht="11.25" customHeight="1" x14ac:dyDescent="0.2">
      <c r="B710" s="29"/>
      <c r="C710" s="110"/>
      <c r="D710" s="110"/>
      <c r="E710" s="30"/>
      <c r="F710" s="30"/>
      <c r="G710" s="30"/>
      <c r="H710" s="30"/>
      <c r="I710" s="30"/>
      <c r="J710" s="30"/>
      <c r="K710" s="30"/>
      <c r="L710" s="18"/>
    </row>
    <row r="711" spans="2:12" ht="11.25" customHeight="1" x14ac:dyDescent="0.2">
      <c r="C711" s="126" t="s">
        <v>1286</v>
      </c>
      <c r="D711" s="126"/>
      <c r="E711" s="127"/>
      <c r="F711" s="125"/>
      <c r="G711" s="125"/>
      <c r="H711" s="128">
        <f>TRUNC(H709+H701+H704)</f>
        <v>133610</v>
      </c>
      <c r="I711" s="125"/>
      <c r="J711" s="128">
        <f>TRUNC(J709+J701+J704)</f>
        <v>153622</v>
      </c>
      <c r="K711" s="125"/>
      <c r="L711" s="128">
        <f>TRUNC(L709+L701+L704)</f>
        <v>175469</v>
      </c>
    </row>
    <row r="712" spans="2:12" ht="11.25" customHeight="1" x14ac:dyDescent="0.2">
      <c r="B712" s="186" t="s">
        <v>427</v>
      </c>
      <c r="C712" s="187" t="s">
        <v>428</v>
      </c>
      <c r="D712" s="187" t="s">
        <v>429</v>
      </c>
      <c r="E712" s="188" t="s">
        <v>430</v>
      </c>
      <c r="F712" s="188" t="s">
        <v>431</v>
      </c>
      <c r="G712" s="94" t="s">
        <v>900</v>
      </c>
      <c r="H712" s="151"/>
      <c r="I712" s="94" t="s">
        <v>74</v>
      </c>
      <c r="J712" s="151"/>
      <c r="K712" s="94" t="s">
        <v>924</v>
      </c>
      <c r="L712" s="151"/>
    </row>
    <row r="713" spans="2:12" ht="11.25" customHeight="1" x14ac:dyDescent="0.2">
      <c r="B713" s="186"/>
      <c r="C713" s="187"/>
      <c r="D713" s="187"/>
      <c r="E713" s="188"/>
      <c r="F713" s="188"/>
      <c r="G713" s="17" t="s">
        <v>436</v>
      </c>
      <c r="H713" s="17" t="s">
        <v>437</v>
      </c>
      <c r="I713" s="17" t="s">
        <v>436</v>
      </c>
      <c r="J713" s="17" t="s">
        <v>437</v>
      </c>
      <c r="K713" s="17" t="s">
        <v>436</v>
      </c>
      <c r="L713" s="17" t="s">
        <v>437</v>
      </c>
    </row>
    <row r="714" spans="2:12" ht="11.25" customHeight="1" x14ac:dyDescent="0.2">
      <c r="C714" s="4" t="s">
        <v>426</v>
      </c>
      <c r="D714" s="4"/>
      <c r="E714" s="13" t="s">
        <v>494</v>
      </c>
      <c r="F714" s="25">
        <v>1505.45</v>
      </c>
      <c r="G714" s="27">
        <v>19.100000000000001</v>
      </c>
      <c r="H714" s="20">
        <f>TRUNC(($F714*G714),1)</f>
        <v>28754</v>
      </c>
      <c r="I714" s="26">
        <v>23.9</v>
      </c>
      <c r="J714" s="20">
        <f>TRUNC(($F714*I714),1)</f>
        <v>35980.199999999997</v>
      </c>
      <c r="K714" s="26">
        <v>24.4</v>
      </c>
      <c r="L714" s="20">
        <f>TRUNC(($F714*K714),1)</f>
        <v>36732.9</v>
      </c>
    </row>
    <row r="715" spans="2:12" ht="11.25" customHeight="1" x14ac:dyDescent="0.2">
      <c r="C715" s="4" t="s">
        <v>878</v>
      </c>
      <c r="D715" s="4" t="s">
        <v>203</v>
      </c>
      <c r="E715" s="13" t="s">
        <v>232</v>
      </c>
      <c r="F715" s="18"/>
      <c r="G715" s="21">
        <v>20</v>
      </c>
      <c r="H715" s="20">
        <f>TRUNC(H714*G715*0.01,1)</f>
        <v>5750.8</v>
      </c>
      <c r="I715" s="21">
        <v>20</v>
      </c>
      <c r="J715" s="20">
        <f>TRUNC(J714*I715*0.01,1)</f>
        <v>7196</v>
      </c>
      <c r="K715" s="21">
        <v>20</v>
      </c>
      <c r="L715" s="20">
        <f>TRUNC(L714*K715*0.01,1)</f>
        <v>7346.5</v>
      </c>
    </row>
    <row r="716" spans="2:12" ht="11.25" customHeight="1" x14ac:dyDescent="0.2">
      <c r="C716" s="107" t="s">
        <v>799</v>
      </c>
      <c r="D716" s="107"/>
      <c r="E716" s="23"/>
      <c r="F716" s="22"/>
      <c r="G716" s="22"/>
      <c r="H716" s="24">
        <f>TRUNC(SUM(H714:H715))</f>
        <v>34504</v>
      </c>
      <c r="I716" s="22"/>
      <c r="J716" s="24">
        <f>TRUNC(SUM(J714:J715))</f>
        <v>43176</v>
      </c>
      <c r="K716" s="22"/>
      <c r="L716" s="24">
        <f>TRUNC(SUM(L714:L715))</f>
        <v>44079</v>
      </c>
    </row>
    <row r="717" spans="2:12" ht="11.25" customHeight="1" x14ac:dyDescent="0.2">
      <c r="B717" s="29"/>
      <c r="C717" s="110"/>
      <c r="D717" s="110"/>
      <c r="E717" s="30"/>
      <c r="F717" s="30"/>
      <c r="G717" s="30"/>
      <c r="H717" s="30"/>
      <c r="I717" s="30"/>
      <c r="J717" s="30"/>
      <c r="K717" s="30"/>
      <c r="L717" s="18"/>
    </row>
    <row r="718" spans="2:12" ht="11.25" customHeight="1" x14ac:dyDescent="0.2">
      <c r="C718" s="4" t="s">
        <v>798</v>
      </c>
      <c r="D718" s="4" t="s">
        <v>866</v>
      </c>
      <c r="E718" s="13" t="s">
        <v>497</v>
      </c>
      <c r="F718" s="28">
        <v>283297</v>
      </c>
      <c r="G718" s="18">
        <v>0.20799999999999999</v>
      </c>
      <c r="H718" s="20">
        <f>TRUNC(($F718*G718),1)</f>
        <v>58925.7</v>
      </c>
      <c r="I718" s="18">
        <v>0.20799999999999999</v>
      </c>
      <c r="J718" s="20">
        <f>TRUNC(($F718*I718),1)</f>
        <v>58925.7</v>
      </c>
      <c r="K718" s="18">
        <v>0.20799999999999999</v>
      </c>
      <c r="L718" s="20">
        <f>TRUNC(($F718*K718),1)</f>
        <v>58925.7</v>
      </c>
    </row>
    <row r="719" spans="2:12" ht="11.25" customHeight="1" x14ac:dyDescent="0.2">
      <c r="C719" s="107" t="s">
        <v>1285</v>
      </c>
      <c r="D719" s="107"/>
      <c r="E719" s="23"/>
      <c r="F719" s="22"/>
      <c r="G719" s="22"/>
      <c r="H719" s="24">
        <f>TRUNC(SUM(H718:H718))</f>
        <v>58925</v>
      </c>
      <c r="I719" s="22"/>
      <c r="J719" s="24">
        <f>TRUNC(SUM(J718:J718))</f>
        <v>58925</v>
      </c>
      <c r="K719" s="22"/>
      <c r="L719" s="24">
        <f>TRUNC(SUM(L718:L718))</f>
        <v>58925</v>
      </c>
    </row>
    <row r="720" spans="2:12" ht="11.25" customHeight="1" x14ac:dyDescent="0.2">
      <c r="C720" s="107"/>
      <c r="D720" s="107"/>
      <c r="E720" s="22"/>
      <c r="F720" s="22"/>
      <c r="G720" s="22"/>
      <c r="H720" s="22"/>
      <c r="I720" s="22"/>
      <c r="J720" s="22"/>
      <c r="K720" s="22"/>
      <c r="L720" s="22"/>
    </row>
    <row r="721" spans="2:12" ht="11.25" customHeight="1" x14ac:dyDescent="0.2">
      <c r="B721" s="8" t="s">
        <v>184</v>
      </c>
      <c r="C721" s="4" t="s">
        <v>1196</v>
      </c>
      <c r="D721" s="106" t="s">
        <v>1350</v>
      </c>
      <c r="E721" s="13" t="s">
        <v>746</v>
      </c>
      <c r="F721" s="66">
        <v>636801000</v>
      </c>
      <c r="G721" s="19">
        <v>1651</v>
      </c>
      <c r="H721" s="20">
        <f>TRUNC($F721*G721*0.0000001,1)</f>
        <v>105135.8</v>
      </c>
      <c r="I721" s="21">
        <v>0</v>
      </c>
      <c r="J721" s="20">
        <f>TRUNC($F721*I721*0.0000001,1)</f>
        <v>0</v>
      </c>
      <c r="K721" s="21">
        <v>0</v>
      </c>
      <c r="L721" s="20">
        <f>TRUNC($F721*K721*0.0000001,1)</f>
        <v>0</v>
      </c>
    </row>
    <row r="722" spans="2:12" ht="11.25" customHeight="1" x14ac:dyDescent="0.2">
      <c r="B722" s="8" t="s">
        <v>185</v>
      </c>
      <c r="C722" s="4" t="s">
        <v>1196</v>
      </c>
      <c r="D722" s="106" t="s">
        <v>182</v>
      </c>
      <c r="E722" s="13" t="s">
        <v>746</v>
      </c>
      <c r="F722" s="66">
        <v>700257000</v>
      </c>
      <c r="G722" s="21">
        <v>0</v>
      </c>
      <c r="H722" s="20">
        <f>TRUNC($F722*G722*0.0000001,1)</f>
        <v>0</v>
      </c>
      <c r="I722" s="19">
        <v>1651</v>
      </c>
      <c r="J722" s="20">
        <f>TRUNC($F722*I722*0.0000001,1)</f>
        <v>115612.4</v>
      </c>
      <c r="K722" s="21">
        <v>0</v>
      </c>
      <c r="L722" s="20">
        <f>TRUNC($F722*K722*0.0000001,1)</f>
        <v>0</v>
      </c>
    </row>
    <row r="723" spans="2:12" ht="11.25" customHeight="1" x14ac:dyDescent="0.2">
      <c r="B723" s="8" t="s">
        <v>186</v>
      </c>
      <c r="C723" s="4" t="s">
        <v>1196</v>
      </c>
      <c r="D723" s="106" t="s">
        <v>183</v>
      </c>
      <c r="E723" s="13" t="s">
        <v>746</v>
      </c>
      <c r="F723" s="66">
        <v>972574000</v>
      </c>
      <c r="G723" s="21">
        <v>0</v>
      </c>
      <c r="H723" s="20">
        <f>TRUNC($F723*G723*0.0000001,1)</f>
        <v>0</v>
      </c>
      <c r="I723" s="21">
        <v>0</v>
      </c>
      <c r="J723" s="20">
        <f>TRUNC($F723*I723*0.0000001,1)</f>
        <v>0</v>
      </c>
      <c r="K723" s="19">
        <v>1651</v>
      </c>
      <c r="L723" s="20">
        <f>TRUNC($F723*K723*0.0000001,1)</f>
        <v>160571.9</v>
      </c>
    </row>
    <row r="724" spans="2:12" ht="11.25" customHeight="1" x14ac:dyDescent="0.2">
      <c r="C724" s="107" t="s">
        <v>1289</v>
      </c>
      <c r="D724" s="107"/>
      <c r="E724" s="23"/>
      <c r="F724" s="22"/>
      <c r="G724" s="22"/>
      <c r="H724" s="24">
        <f>TRUNC(SUM(H721:H723))</f>
        <v>105135</v>
      </c>
      <c r="I724" s="22"/>
      <c r="J724" s="24">
        <f>TRUNC(SUM(J721:J723))</f>
        <v>115612</v>
      </c>
      <c r="K724" s="22"/>
      <c r="L724" s="24">
        <f>TRUNC(SUM(L721:L723))</f>
        <v>160571</v>
      </c>
    </row>
    <row r="725" spans="2:12" ht="11.25" customHeight="1" x14ac:dyDescent="0.2">
      <c r="B725" s="29"/>
      <c r="C725" s="110"/>
      <c r="D725" s="110"/>
      <c r="E725" s="30"/>
      <c r="F725" s="30"/>
      <c r="G725" s="30"/>
      <c r="H725" s="30"/>
      <c r="I725" s="30"/>
      <c r="J725" s="30"/>
      <c r="K725" s="30"/>
      <c r="L725" s="18"/>
    </row>
    <row r="726" spans="2:12" ht="11.25" customHeight="1" x14ac:dyDescent="0.2">
      <c r="C726" s="126" t="s">
        <v>1286</v>
      </c>
      <c r="D726" s="126"/>
      <c r="E726" s="127"/>
      <c r="F726" s="125"/>
      <c r="G726" s="125"/>
      <c r="H726" s="128">
        <f>TRUNC(H724+H716+H719)</f>
        <v>198564</v>
      </c>
      <c r="I726" s="125"/>
      <c r="J726" s="128">
        <f>TRUNC(J724+J716+J719)</f>
        <v>217713</v>
      </c>
      <c r="K726" s="125"/>
      <c r="L726" s="128">
        <f>TRUNC(L724+L716+L719)</f>
        <v>263575</v>
      </c>
    </row>
    <row r="727" spans="2:12" ht="11.25" customHeight="1" x14ac:dyDescent="0.2">
      <c r="B727" s="186" t="s">
        <v>427</v>
      </c>
      <c r="C727" s="187" t="s">
        <v>428</v>
      </c>
      <c r="D727" s="187" t="s">
        <v>429</v>
      </c>
      <c r="E727" s="188" t="s">
        <v>430</v>
      </c>
      <c r="F727" s="188" t="s">
        <v>431</v>
      </c>
      <c r="G727" s="94" t="s">
        <v>79</v>
      </c>
      <c r="H727" s="151"/>
      <c r="I727" s="94" t="s">
        <v>725</v>
      </c>
      <c r="J727" s="151"/>
      <c r="K727" s="94" t="s">
        <v>75</v>
      </c>
      <c r="L727" s="151"/>
    </row>
    <row r="728" spans="2:12" ht="11.25" customHeight="1" x14ac:dyDescent="0.2">
      <c r="B728" s="186"/>
      <c r="C728" s="187"/>
      <c r="D728" s="187"/>
      <c r="E728" s="188"/>
      <c r="F728" s="188"/>
      <c r="G728" s="17" t="s">
        <v>436</v>
      </c>
      <c r="H728" s="17" t="s">
        <v>437</v>
      </c>
      <c r="I728" s="17" t="s">
        <v>436</v>
      </c>
      <c r="J728" s="17" t="s">
        <v>437</v>
      </c>
      <c r="K728" s="17" t="s">
        <v>436</v>
      </c>
      <c r="L728" s="17" t="s">
        <v>437</v>
      </c>
    </row>
    <row r="729" spans="2:12" ht="11.25" customHeight="1" x14ac:dyDescent="0.2">
      <c r="C729" s="4" t="s">
        <v>426</v>
      </c>
      <c r="D729" s="4"/>
      <c r="E729" s="13" t="s">
        <v>494</v>
      </c>
      <c r="F729" s="25">
        <v>1505.45</v>
      </c>
      <c r="G729" s="26">
        <v>25</v>
      </c>
      <c r="H729" s="20">
        <f>TRUNC(($F729*G729),1)</f>
        <v>37636.199999999997</v>
      </c>
      <c r="I729" s="26">
        <v>28</v>
      </c>
      <c r="J729" s="20">
        <f>TRUNC(($F729*I729),1)</f>
        <v>42152.6</v>
      </c>
      <c r="K729" s="26">
        <v>28</v>
      </c>
      <c r="L729" s="20">
        <f>TRUNC(($F729*K729),1)</f>
        <v>42152.6</v>
      </c>
    </row>
    <row r="730" spans="2:12" ht="11.25" customHeight="1" x14ac:dyDescent="0.2">
      <c r="C730" s="4" t="s">
        <v>878</v>
      </c>
      <c r="D730" s="4" t="s">
        <v>203</v>
      </c>
      <c r="E730" s="13" t="s">
        <v>232</v>
      </c>
      <c r="F730" s="18"/>
      <c r="G730" s="21">
        <v>20</v>
      </c>
      <c r="H730" s="20">
        <f>TRUNC(H729*G730*0.01,1)</f>
        <v>7527.2</v>
      </c>
      <c r="I730" s="21">
        <v>20</v>
      </c>
      <c r="J730" s="20">
        <f>TRUNC(J729*I730*0.01,1)</f>
        <v>8430.5</v>
      </c>
      <c r="K730" s="21">
        <v>20</v>
      </c>
      <c r="L730" s="20">
        <f>TRUNC(L729*K730*0.01,1)</f>
        <v>8430.5</v>
      </c>
    </row>
    <row r="731" spans="2:12" ht="11.25" customHeight="1" x14ac:dyDescent="0.2">
      <c r="C731" s="107" t="s">
        <v>799</v>
      </c>
      <c r="D731" s="107"/>
      <c r="E731" s="23"/>
      <c r="F731" s="22"/>
      <c r="G731" s="22"/>
      <c r="H731" s="24">
        <f>TRUNC(SUM(H729:H730))</f>
        <v>45163</v>
      </c>
      <c r="I731" s="22"/>
      <c r="J731" s="24">
        <f>TRUNC(SUM(J729:J730))</f>
        <v>50583</v>
      </c>
      <c r="K731" s="22"/>
      <c r="L731" s="24">
        <f>TRUNC(SUM(L729:L730))</f>
        <v>50583</v>
      </c>
    </row>
    <row r="732" spans="2:12" ht="11.25" customHeight="1" x14ac:dyDescent="0.2">
      <c r="B732" s="29"/>
      <c r="C732" s="110"/>
      <c r="D732" s="110"/>
      <c r="E732" s="30"/>
      <c r="F732" s="30"/>
      <c r="G732" s="30"/>
      <c r="H732" s="30"/>
      <c r="I732" s="30"/>
      <c r="J732" s="30"/>
      <c r="K732" s="30"/>
      <c r="L732" s="18"/>
    </row>
    <row r="733" spans="2:12" ht="11.25" customHeight="1" x14ac:dyDescent="0.2">
      <c r="C733" s="4" t="s">
        <v>798</v>
      </c>
      <c r="D733" s="4" t="s">
        <v>866</v>
      </c>
      <c r="E733" s="13" t="s">
        <v>497</v>
      </c>
      <c r="F733" s="28">
        <v>283297</v>
      </c>
      <c r="G733" s="18">
        <v>0.20799999999999999</v>
      </c>
      <c r="H733" s="20">
        <f>TRUNC(($F733*G733),1)</f>
        <v>58925.7</v>
      </c>
      <c r="I733" s="18">
        <v>0.20799999999999999</v>
      </c>
      <c r="J733" s="20">
        <f>TRUNC(($F733*I733),1)</f>
        <v>58925.7</v>
      </c>
      <c r="K733" s="18">
        <v>0.20799999999999999</v>
      </c>
      <c r="L733" s="20">
        <f>TRUNC(($F733*K733),1)</f>
        <v>58925.7</v>
      </c>
    </row>
    <row r="734" spans="2:12" ht="11.25" customHeight="1" x14ac:dyDescent="0.2">
      <c r="C734" s="107" t="s">
        <v>1285</v>
      </c>
      <c r="D734" s="107"/>
      <c r="E734" s="23"/>
      <c r="F734" s="22"/>
      <c r="G734" s="22"/>
      <c r="H734" s="24">
        <f>TRUNC(SUM(H733:H733))</f>
        <v>58925</v>
      </c>
      <c r="I734" s="22"/>
      <c r="J734" s="24">
        <f>TRUNC(SUM(J733:J733))</f>
        <v>58925</v>
      </c>
      <c r="K734" s="22"/>
      <c r="L734" s="24">
        <f>TRUNC(SUM(L733:L733))</f>
        <v>58925</v>
      </c>
    </row>
    <row r="735" spans="2:12" ht="11.25" customHeight="1" x14ac:dyDescent="0.2">
      <c r="C735" s="107"/>
      <c r="D735" s="107"/>
      <c r="E735" s="22"/>
      <c r="F735" s="22"/>
      <c r="G735" s="22"/>
      <c r="H735" s="22"/>
      <c r="I735" s="22"/>
      <c r="J735" s="22"/>
      <c r="K735" s="22"/>
      <c r="L735" s="22"/>
    </row>
    <row r="736" spans="2:12" ht="11.25" customHeight="1" x14ac:dyDescent="0.2">
      <c r="B736" s="8" t="s">
        <v>901</v>
      </c>
      <c r="C736" s="4" t="s">
        <v>1196</v>
      </c>
      <c r="D736" s="106" t="s">
        <v>1351</v>
      </c>
      <c r="E736" s="13" t="s">
        <v>746</v>
      </c>
      <c r="F736" s="66">
        <v>1263295000</v>
      </c>
      <c r="G736" s="19">
        <v>1744</v>
      </c>
      <c r="H736" s="20">
        <f>TRUNC($F736*G736*0.0000001,1)</f>
        <v>220318.6</v>
      </c>
      <c r="I736" s="21">
        <v>0</v>
      </c>
      <c r="J736" s="20">
        <f>TRUNC($F736*I736*0.0000001,1)</f>
        <v>0</v>
      </c>
      <c r="K736" s="21">
        <v>0</v>
      </c>
      <c r="L736" s="20">
        <f>TRUNC($F736*K736*0.0000001,1)</f>
        <v>0</v>
      </c>
    </row>
    <row r="737" spans="1:12" ht="11.25" customHeight="1" x14ac:dyDescent="0.2">
      <c r="B737" s="8" t="s">
        <v>902</v>
      </c>
      <c r="C737" s="4" t="s">
        <v>1196</v>
      </c>
      <c r="D737" s="106" t="s">
        <v>1352</v>
      </c>
      <c r="E737" s="13" t="s">
        <v>746</v>
      </c>
      <c r="F737" s="66">
        <v>2345513000</v>
      </c>
      <c r="G737" s="21">
        <v>0</v>
      </c>
      <c r="H737" s="20">
        <f>TRUNC($F737*G737*0.0000001,1)</f>
        <v>0</v>
      </c>
      <c r="I737" s="19">
        <v>1744</v>
      </c>
      <c r="J737" s="20">
        <f>TRUNC($F737*I737*0.0000001,1)</f>
        <v>409057.4</v>
      </c>
      <c r="K737" s="21">
        <v>0</v>
      </c>
      <c r="L737" s="20">
        <f>TRUNC($F737*K737*0.0000001,1)</f>
        <v>0</v>
      </c>
    </row>
    <row r="738" spans="1:12" ht="11.25" customHeight="1" x14ac:dyDescent="0.2">
      <c r="B738" s="8" t="s">
        <v>903</v>
      </c>
      <c r="C738" s="4" t="s">
        <v>1196</v>
      </c>
      <c r="D738" s="106" t="s">
        <v>348</v>
      </c>
      <c r="E738" s="13" t="s">
        <v>746</v>
      </c>
      <c r="F738" s="66">
        <v>2881407000</v>
      </c>
      <c r="G738" s="21">
        <v>0</v>
      </c>
      <c r="H738" s="20">
        <f>TRUNC($F738*G738*0.0000001,1)</f>
        <v>0</v>
      </c>
      <c r="I738" s="21">
        <v>0</v>
      </c>
      <c r="J738" s="20">
        <f>TRUNC($F738*I738*0.0000001,1)</f>
        <v>0</v>
      </c>
      <c r="K738" s="19">
        <v>1744</v>
      </c>
      <c r="L738" s="20">
        <f>TRUNC($F738*K738*0.0000001,1)</f>
        <v>502517.3</v>
      </c>
    </row>
    <row r="739" spans="1:12" ht="11.25" customHeight="1" x14ac:dyDescent="0.2">
      <c r="C739" s="107" t="s">
        <v>1289</v>
      </c>
      <c r="D739" s="107"/>
      <c r="E739" s="23"/>
      <c r="F739" s="22"/>
      <c r="G739" s="22"/>
      <c r="H739" s="24">
        <f>TRUNC(SUM(H736:H738))</f>
        <v>220318</v>
      </c>
      <c r="I739" s="22"/>
      <c r="J739" s="24">
        <f>TRUNC(SUM(J736:J738))</f>
        <v>409057</v>
      </c>
      <c r="K739" s="22"/>
      <c r="L739" s="24">
        <f>TRUNC(SUM(L736:L738))</f>
        <v>502517</v>
      </c>
    </row>
    <row r="740" spans="1:12" ht="11.25" customHeight="1" x14ac:dyDescent="0.2">
      <c r="B740" s="29"/>
      <c r="C740" s="110"/>
      <c r="D740" s="110"/>
      <c r="E740" s="30"/>
      <c r="F740" s="30"/>
      <c r="G740" s="30"/>
      <c r="H740" s="30"/>
      <c r="I740" s="30"/>
      <c r="J740" s="30"/>
      <c r="K740" s="30"/>
      <c r="L740" s="18"/>
    </row>
    <row r="741" spans="1:12" ht="11.25" customHeight="1" x14ac:dyDescent="0.2">
      <c r="B741" s="16"/>
      <c r="C741" s="108" t="s">
        <v>1286</v>
      </c>
      <c r="D741" s="108"/>
      <c r="E741" s="103"/>
      <c r="F741" s="102"/>
      <c r="G741" s="102"/>
      <c r="H741" s="104">
        <f>TRUNC(H739+H731+H734)</f>
        <v>324406</v>
      </c>
      <c r="I741" s="102"/>
      <c r="J741" s="104">
        <f>TRUNC(J739+J731+J734)</f>
        <v>518565</v>
      </c>
      <c r="K741" s="102"/>
      <c r="L741" s="104">
        <f>TRUNC(L739+L731+L734)</f>
        <v>612025</v>
      </c>
    </row>
    <row r="743" spans="1:12" ht="11.25" customHeight="1" x14ac:dyDescent="0.2">
      <c r="A743" s="7"/>
      <c r="B743" s="68" t="s">
        <v>1353</v>
      </c>
      <c r="C743" s="119"/>
      <c r="L743" s="49" t="s">
        <v>1307</v>
      </c>
    </row>
    <row r="744" spans="1:12" ht="11.25" customHeight="1" x14ac:dyDescent="0.2">
      <c r="B744" s="186" t="s">
        <v>427</v>
      </c>
      <c r="C744" s="187" t="s">
        <v>428</v>
      </c>
      <c r="D744" s="187" t="s">
        <v>429</v>
      </c>
      <c r="E744" s="188" t="s">
        <v>430</v>
      </c>
      <c r="F744" s="188" t="s">
        <v>431</v>
      </c>
      <c r="G744" s="94" t="s">
        <v>663</v>
      </c>
      <c r="H744" s="151"/>
      <c r="I744" s="94" t="s">
        <v>64</v>
      </c>
      <c r="J744" s="151"/>
      <c r="K744" s="94" t="s">
        <v>68</v>
      </c>
      <c r="L744" s="151"/>
    </row>
    <row r="745" spans="1:12" ht="11.25" customHeight="1" x14ac:dyDescent="0.2">
      <c r="B745" s="186"/>
      <c r="C745" s="187"/>
      <c r="D745" s="187"/>
      <c r="E745" s="188"/>
      <c r="F745" s="188"/>
      <c r="G745" s="17" t="s">
        <v>436</v>
      </c>
      <c r="H745" s="17" t="s">
        <v>222</v>
      </c>
      <c r="I745" s="17" t="s">
        <v>436</v>
      </c>
      <c r="J745" s="17" t="s">
        <v>437</v>
      </c>
      <c r="K745" s="17" t="s">
        <v>436</v>
      </c>
      <c r="L745" s="17" t="s">
        <v>437</v>
      </c>
    </row>
    <row r="746" spans="1:12" ht="11.25" customHeight="1" x14ac:dyDescent="0.2">
      <c r="C746" s="4" t="s">
        <v>426</v>
      </c>
      <c r="D746" s="4"/>
      <c r="E746" s="13" t="s">
        <v>494</v>
      </c>
      <c r="F746" s="25">
        <v>1505.45</v>
      </c>
      <c r="G746" s="27">
        <v>3.8</v>
      </c>
      <c r="H746" s="20">
        <f>TRUNC(($F746*G746),1)</f>
        <v>5720.7</v>
      </c>
      <c r="I746" s="26">
        <v>4.7</v>
      </c>
      <c r="J746" s="20">
        <f>TRUNC(($F746*I746),1)</f>
        <v>7075.6</v>
      </c>
      <c r="K746" s="26">
        <v>5.4</v>
      </c>
      <c r="L746" s="20">
        <f>TRUNC(($F746*K746),1)</f>
        <v>8129.4</v>
      </c>
    </row>
    <row r="747" spans="1:12" ht="11.25" customHeight="1" x14ac:dyDescent="0.2">
      <c r="C747" s="4" t="s">
        <v>878</v>
      </c>
      <c r="D747" s="4" t="s">
        <v>203</v>
      </c>
      <c r="E747" s="13" t="s">
        <v>232</v>
      </c>
      <c r="F747" s="18"/>
      <c r="G747" s="21">
        <v>39</v>
      </c>
      <c r="H747" s="20">
        <f>TRUNC(H746*G747*0.01,1)</f>
        <v>2231</v>
      </c>
      <c r="I747" s="21">
        <v>39</v>
      </c>
      <c r="J747" s="20">
        <f>TRUNC(J746*I747*0.01,1)</f>
        <v>2759.4</v>
      </c>
      <c r="K747" s="21">
        <v>39</v>
      </c>
      <c r="L747" s="20">
        <f>TRUNC(L746*K747*0.01,1)</f>
        <v>3170.4</v>
      </c>
    </row>
    <row r="748" spans="1:12" ht="11.25" customHeight="1" x14ac:dyDescent="0.2">
      <c r="C748" s="107" t="s">
        <v>799</v>
      </c>
      <c r="D748" s="107"/>
      <c r="E748" s="23"/>
      <c r="F748" s="22"/>
      <c r="G748" s="22"/>
      <c r="H748" s="24">
        <f>TRUNC(SUM(H746:H747))</f>
        <v>7951</v>
      </c>
      <c r="I748" s="22"/>
      <c r="J748" s="24">
        <f>TRUNC(SUM(J746:J747))</f>
        <v>9835</v>
      </c>
      <c r="K748" s="22"/>
      <c r="L748" s="24">
        <f>TRUNC(SUM(L746:L747))</f>
        <v>11299</v>
      </c>
    </row>
    <row r="749" spans="1:12" ht="11.25" customHeight="1" x14ac:dyDescent="0.2">
      <c r="B749" s="29"/>
      <c r="C749" s="110"/>
      <c r="D749" s="110"/>
      <c r="E749" s="30"/>
      <c r="F749" s="30"/>
      <c r="G749" s="30"/>
      <c r="H749" s="30"/>
      <c r="I749" s="30"/>
      <c r="J749" s="30"/>
      <c r="K749" s="30"/>
      <c r="L749" s="18"/>
    </row>
    <row r="750" spans="1:12" ht="11.25" customHeight="1" x14ac:dyDescent="0.2">
      <c r="C750" s="4" t="s">
        <v>798</v>
      </c>
      <c r="D750" s="4" t="s">
        <v>866</v>
      </c>
      <c r="E750" s="13" t="s">
        <v>497</v>
      </c>
      <c r="F750" s="28">
        <v>283297</v>
      </c>
      <c r="G750" s="18">
        <v>0.20799999999999999</v>
      </c>
      <c r="H750" s="20">
        <f>TRUNC(($F750*G750),1)</f>
        <v>58925.7</v>
      </c>
      <c r="I750" s="18">
        <v>0.20799999999999999</v>
      </c>
      <c r="J750" s="20">
        <f>TRUNC(($F750*I750),1)</f>
        <v>58925.7</v>
      </c>
      <c r="K750" s="18">
        <v>0.20799999999999999</v>
      </c>
      <c r="L750" s="20">
        <f>TRUNC(($F750*K750),1)</f>
        <v>58925.7</v>
      </c>
    </row>
    <row r="751" spans="1:12" ht="11.25" customHeight="1" x14ac:dyDescent="0.2">
      <c r="C751" s="107" t="s">
        <v>1285</v>
      </c>
      <c r="D751" s="107"/>
      <c r="E751" s="23"/>
      <c r="F751" s="22"/>
      <c r="G751" s="22"/>
      <c r="H751" s="24">
        <f>TRUNC(SUM(H750:H750))</f>
        <v>58925</v>
      </c>
      <c r="I751" s="22"/>
      <c r="J751" s="24">
        <f>TRUNC(SUM(J750:J750))</f>
        <v>58925</v>
      </c>
      <c r="K751" s="22"/>
      <c r="L751" s="24">
        <f>TRUNC(SUM(L750:L750))</f>
        <v>58925</v>
      </c>
    </row>
    <row r="752" spans="1:12" ht="11.25" customHeight="1" x14ac:dyDescent="0.2">
      <c r="C752" s="107"/>
      <c r="D752" s="107"/>
      <c r="E752" s="22"/>
      <c r="F752" s="22"/>
      <c r="G752" s="22"/>
      <c r="H752" s="22"/>
      <c r="I752" s="22"/>
      <c r="J752" s="22"/>
      <c r="K752" s="22"/>
      <c r="L752" s="22"/>
    </row>
    <row r="753" spans="2:12" ht="11.25" customHeight="1" x14ac:dyDescent="0.2">
      <c r="B753" s="8" t="s">
        <v>475</v>
      </c>
      <c r="C753" s="4" t="s">
        <v>1354</v>
      </c>
      <c r="D753" s="106" t="s">
        <v>433</v>
      </c>
      <c r="E753" s="13" t="s">
        <v>746</v>
      </c>
      <c r="F753" s="66">
        <v>136400000</v>
      </c>
      <c r="G753" s="19">
        <v>2298</v>
      </c>
      <c r="H753" s="20">
        <f>TRUNC($F753*G753*0.0000001,1)</f>
        <v>31344.7</v>
      </c>
      <c r="I753" s="21">
        <v>0</v>
      </c>
      <c r="J753" s="20">
        <f>TRUNC($F753*I753*0.0000001,1)</f>
        <v>0</v>
      </c>
      <c r="K753" s="21">
        <v>0</v>
      </c>
      <c r="L753" s="20">
        <f>TRUNC($F753*K753*0.0000001,1)</f>
        <v>0</v>
      </c>
    </row>
    <row r="754" spans="2:12" ht="11.25" customHeight="1" x14ac:dyDescent="0.2">
      <c r="B754" s="8" t="s">
        <v>476</v>
      </c>
      <c r="C754" s="4" t="s">
        <v>1354</v>
      </c>
      <c r="D754" s="106" t="s">
        <v>767</v>
      </c>
      <c r="E754" s="13" t="s">
        <v>746</v>
      </c>
      <c r="F754" s="66">
        <v>187184000</v>
      </c>
      <c r="G754" s="21">
        <v>0</v>
      </c>
      <c r="H754" s="20">
        <f>TRUNC($F754*G754*0.0000001,1)</f>
        <v>0</v>
      </c>
      <c r="I754" s="19">
        <v>2298</v>
      </c>
      <c r="J754" s="20">
        <f>TRUNC($F754*I754*0.0000001,1)</f>
        <v>43014.8</v>
      </c>
      <c r="K754" s="21">
        <v>0</v>
      </c>
      <c r="L754" s="20">
        <f>TRUNC($F754*K754*0.0000001,1)</f>
        <v>0</v>
      </c>
    </row>
    <row r="755" spans="2:12" ht="11.25" customHeight="1" x14ac:dyDescent="0.2">
      <c r="B755" s="8" t="s">
        <v>477</v>
      </c>
      <c r="C755" s="4" t="s">
        <v>1354</v>
      </c>
      <c r="D755" s="106" t="s">
        <v>821</v>
      </c>
      <c r="E755" s="13" t="s">
        <v>746</v>
      </c>
      <c r="F755" s="66">
        <v>233376000</v>
      </c>
      <c r="G755" s="21">
        <v>0</v>
      </c>
      <c r="H755" s="20">
        <f>TRUNC($F755*G755*0.0000001,1)</f>
        <v>0</v>
      </c>
      <c r="I755" s="21">
        <v>0</v>
      </c>
      <c r="J755" s="20">
        <f>TRUNC($F755*I755*0.0000001,1)</f>
        <v>0</v>
      </c>
      <c r="K755" s="19">
        <v>2298</v>
      </c>
      <c r="L755" s="20">
        <f>TRUNC($F755*K755*0.0000001,1)</f>
        <v>53629.8</v>
      </c>
    </row>
    <row r="756" spans="2:12" ht="11.25" customHeight="1" x14ac:dyDescent="0.2">
      <c r="C756" s="107" t="s">
        <v>1289</v>
      </c>
      <c r="D756" s="107"/>
      <c r="E756" s="23"/>
      <c r="F756" s="22"/>
      <c r="G756" s="22"/>
      <c r="H756" s="24">
        <f>TRUNC(SUM(H753:H755))</f>
        <v>31344</v>
      </c>
      <c r="I756" s="22"/>
      <c r="J756" s="24">
        <f>TRUNC(SUM(J753:J755))</f>
        <v>43014</v>
      </c>
      <c r="K756" s="22"/>
      <c r="L756" s="24">
        <f>TRUNC(SUM(L753:L755))</f>
        <v>53629</v>
      </c>
    </row>
    <row r="757" spans="2:12" ht="11.25" customHeight="1" x14ac:dyDescent="0.2">
      <c r="B757" s="29"/>
      <c r="C757" s="110"/>
      <c r="D757" s="110"/>
      <c r="E757" s="30"/>
      <c r="F757" s="30"/>
      <c r="G757" s="30"/>
      <c r="H757" s="30"/>
      <c r="I757" s="30"/>
      <c r="J757" s="30"/>
      <c r="K757" s="30"/>
      <c r="L757" s="18"/>
    </row>
    <row r="758" spans="2:12" ht="11.25" customHeight="1" x14ac:dyDescent="0.2">
      <c r="C758" s="126" t="s">
        <v>1286</v>
      </c>
      <c r="D758" s="126"/>
      <c r="E758" s="127"/>
      <c r="F758" s="125"/>
      <c r="G758" s="125"/>
      <c r="H758" s="128">
        <f>TRUNC(H756+H748+H751)</f>
        <v>98220</v>
      </c>
      <c r="I758" s="125"/>
      <c r="J758" s="128">
        <f>TRUNC(J756+J748+J751)</f>
        <v>111774</v>
      </c>
      <c r="K758" s="125"/>
      <c r="L758" s="128">
        <f>TRUNC(L756+L748+L751)</f>
        <v>123853</v>
      </c>
    </row>
    <row r="759" spans="2:12" ht="11.25" customHeight="1" x14ac:dyDescent="0.2">
      <c r="B759" s="186" t="s">
        <v>427</v>
      </c>
      <c r="C759" s="187" t="s">
        <v>428</v>
      </c>
      <c r="D759" s="187" t="s">
        <v>429</v>
      </c>
      <c r="E759" s="188" t="s">
        <v>430</v>
      </c>
      <c r="F759" s="188" t="s">
        <v>431</v>
      </c>
      <c r="G759" s="94" t="s">
        <v>66</v>
      </c>
      <c r="H759" s="151"/>
      <c r="I759" s="94" t="s">
        <v>76</v>
      </c>
      <c r="J759" s="151"/>
      <c r="K759" s="94" t="s">
        <v>69</v>
      </c>
      <c r="L759" s="151"/>
    </row>
    <row r="760" spans="2:12" ht="11.25" customHeight="1" x14ac:dyDescent="0.2">
      <c r="B760" s="186"/>
      <c r="C760" s="187"/>
      <c r="D760" s="187"/>
      <c r="E760" s="188"/>
      <c r="F760" s="188"/>
      <c r="G760" s="17" t="s">
        <v>436</v>
      </c>
      <c r="H760" s="17" t="s">
        <v>437</v>
      </c>
      <c r="I760" s="17" t="s">
        <v>436</v>
      </c>
      <c r="J760" s="17" t="s">
        <v>437</v>
      </c>
      <c r="K760" s="17" t="s">
        <v>436</v>
      </c>
      <c r="L760" s="17" t="s">
        <v>437</v>
      </c>
    </row>
    <row r="761" spans="2:12" ht="11.25" customHeight="1" x14ac:dyDescent="0.2">
      <c r="C761" s="4" t="s">
        <v>426</v>
      </c>
      <c r="D761" s="4"/>
      <c r="E761" s="13" t="s">
        <v>494</v>
      </c>
      <c r="F761" s="25">
        <v>1505.45</v>
      </c>
      <c r="G761" s="27">
        <v>6.1</v>
      </c>
      <c r="H761" s="20">
        <f>TRUNC(($F761*G761),1)</f>
        <v>9183.2000000000007</v>
      </c>
      <c r="I761" s="26">
        <v>7.7</v>
      </c>
      <c r="J761" s="20">
        <f>TRUNC(($F761*I761),1)</f>
        <v>11591.9</v>
      </c>
      <c r="K761" s="26">
        <v>7.7</v>
      </c>
      <c r="L761" s="20">
        <f>TRUNC(($F761*K761),1)</f>
        <v>11591.9</v>
      </c>
    </row>
    <row r="762" spans="2:12" ht="11.25" customHeight="1" x14ac:dyDescent="0.2">
      <c r="C762" s="4" t="s">
        <v>878</v>
      </c>
      <c r="D762" s="4" t="s">
        <v>203</v>
      </c>
      <c r="E762" s="13" t="s">
        <v>232</v>
      </c>
      <c r="F762" s="18"/>
      <c r="G762" s="21">
        <v>39</v>
      </c>
      <c r="H762" s="20">
        <f>TRUNC(H761*G762*0.01,1)</f>
        <v>3581.4</v>
      </c>
      <c r="I762" s="21">
        <v>39</v>
      </c>
      <c r="J762" s="20">
        <f>TRUNC(J761*I762*0.01,1)</f>
        <v>4520.8</v>
      </c>
      <c r="K762" s="21">
        <v>39</v>
      </c>
      <c r="L762" s="20">
        <f>TRUNC(L761*K762*0.01,1)</f>
        <v>4520.8</v>
      </c>
    </row>
    <row r="763" spans="2:12" ht="11.25" customHeight="1" x14ac:dyDescent="0.2">
      <c r="C763" s="107" t="s">
        <v>799</v>
      </c>
      <c r="D763" s="107"/>
      <c r="E763" s="23"/>
      <c r="F763" s="22"/>
      <c r="G763" s="22"/>
      <c r="H763" s="24">
        <f>TRUNC(SUM(H761:H762))</f>
        <v>12764</v>
      </c>
      <c r="I763" s="22"/>
      <c r="J763" s="24">
        <f>TRUNC(SUM(J761:J762))</f>
        <v>16112</v>
      </c>
      <c r="K763" s="22"/>
      <c r="L763" s="24">
        <f>TRUNC(SUM(L761:L762))</f>
        <v>16112</v>
      </c>
    </row>
    <row r="764" spans="2:12" ht="11.25" customHeight="1" x14ac:dyDescent="0.2">
      <c r="B764" s="29"/>
      <c r="C764" s="110"/>
      <c r="D764" s="110"/>
      <c r="E764" s="30"/>
      <c r="F764" s="30"/>
      <c r="G764" s="30"/>
      <c r="H764" s="30"/>
      <c r="I764" s="30"/>
      <c r="J764" s="30"/>
      <c r="K764" s="30"/>
      <c r="L764" s="18"/>
    </row>
    <row r="765" spans="2:12" ht="11.25" customHeight="1" x14ac:dyDescent="0.2">
      <c r="C765" s="4" t="s">
        <v>798</v>
      </c>
      <c r="D765" s="4" t="s">
        <v>866</v>
      </c>
      <c r="E765" s="13" t="s">
        <v>497</v>
      </c>
      <c r="F765" s="28">
        <v>283297</v>
      </c>
      <c r="G765" s="18">
        <v>0.20799999999999999</v>
      </c>
      <c r="H765" s="20">
        <f>TRUNC(($F765*G765),1)</f>
        <v>58925.7</v>
      </c>
      <c r="I765" s="18">
        <v>0.20799999999999999</v>
      </c>
      <c r="J765" s="20">
        <f>TRUNC(($F765*I765),1)</f>
        <v>58925.7</v>
      </c>
      <c r="K765" s="18">
        <v>0.20799999999999999</v>
      </c>
      <c r="L765" s="20">
        <f>TRUNC(($F765*K765),1)</f>
        <v>58925.7</v>
      </c>
    </row>
    <row r="766" spans="2:12" ht="11.25" customHeight="1" x14ac:dyDescent="0.2">
      <c r="C766" s="107" t="s">
        <v>1285</v>
      </c>
      <c r="D766" s="107"/>
      <c r="E766" s="23"/>
      <c r="F766" s="22"/>
      <c r="G766" s="22"/>
      <c r="H766" s="24">
        <f>TRUNC(SUM(H765:H765))</f>
        <v>58925</v>
      </c>
      <c r="I766" s="22"/>
      <c r="J766" s="24">
        <f>TRUNC(SUM(J765:J765))</f>
        <v>58925</v>
      </c>
      <c r="K766" s="22"/>
      <c r="L766" s="24">
        <f>TRUNC(SUM(L765:L765))</f>
        <v>58925</v>
      </c>
    </row>
    <row r="767" spans="2:12" ht="11.25" customHeight="1" x14ac:dyDescent="0.2">
      <c r="C767" s="107"/>
      <c r="D767" s="107"/>
      <c r="E767" s="23"/>
      <c r="F767" s="22"/>
      <c r="G767" s="22"/>
      <c r="H767" s="24"/>
      <c r="I767" s="22"/>
      <c r="J767" s="24"/>
      <c r="K767" s="22"/>
      <c r="L767" s="24"/>
    </row>
    <row r="768" spans="2:12" ht="11.25" customHeight="1" x14ac:dyDescent="0.2">
      <c r="B768" s="8" t="s">
        <v>478</v>
      </c>
      <c r="C768" s="4" t="s">
        <v>1354</v>
      </c>
      <c r="D768" s="106" t="s">
        <v>691</v>
      </c>
      <c r="E768" s="13" t="s">
        <v>746</v>
      </c>
      <c r="F768" s="66">
        <v>290480000</v>
      </c>
      <c r="G768" s="19">
        <v>2057</v>
      </c>
      <c r="H768" s="20">
        <f>TRUNC($F768*G768*0.0000001,1)</f>
        <v>59751.7</v>
      </c>
      <c r="I768" s="21">
        <v>0</v>
      </c>
      <c r="J768" s="20">
        <f>TRUNC($F768*I768*0.0000001,1)</f>
        <v>0</v>
      </c>
      <c r="K768" s="21">
        <v>0</v>
      </c>
      <c r="L768" s="20">
        <f>TRUNC($F768*K768*0.0000001,1)</f>
        <v>0</v>
      </c>
    </row>
    <row r="769" spans="2:12" ht="11.25" customHeight="1" x14ac:dyDescent="0.2">
      <c r="B769" s="8" t="s">
        <v>479</v>
      </c>
      <c r="C769" s="4" t="s">
        <v>1354</v>
      </c>
      <c r="D769" s="106" t="s">
        <v>692</v>
      </c>
      <c r="E769" s="13" t="s">
        <v>746</v>
      </c>
      <c r="F769" s="66">
        <v>332101000</v>
      </c>
      <c r="G769" s="21">
        <v>0</v>
      </c>
      <c r="H769" s="20">
        <f>TRUNC($F769*G769*0.0000001,1)</f>
        <v>0</v>
      </c>
      <c r="I769" s="19">
        <v>1737</v>
      </c>
      <c r="J769" s="20">
        <f>TRUNC($F769*I769*0.0000001,1)</f>
        <v>57685.9</v>
      </c>
      <c r="K769" s="21">
        <v>0</v>
      </c>
      <c r="L769" s="20">
        <f>TRUNC($F769*K769*0.0000001,1)</f>
        <v>0</v>
      </c>
    </row>
    <row r="770" spans="2:12" ht="11.25" customHeight="1" x14ac:dyDescent="0.2">
      <c r="B770" s="8" t="s">
        <v>480</v>
      </c>
      <c r="C770" s="4" t="s">
        <v>1354</v>
      </c>
      <c r="D770" s="106" t="s">
        <v>792</v>
      </c>
      <c r="E770" s="13" t="s">
        <v>746</v>
      </c>
      <c r="F770" s="66">
        <v>348670000</v>
      </c>
      <c r="G770" s="21">
        <v>0</v>
      </c>
      <c r="H770" s="20">
        <f>TRUNC($F770*G770*0.0000001,1)</f>
        <v>0</v>
      </c>
      <c r="I770" s="21">
        <v>0</v>
      </c>
      <c r="J770" s="20">
        <f>TRUNC($F770*I770*0.0000001,1)</f>
        <v>0</v>
      </c>
      <c r="K770" s="19">
        <v>1737</v>
      </c>
      <c r="L770" s="20">
        <f>TRUNC($F770*K770*0.0000001,1)</f>
        <v>60563.9</v>
      </c>
    </row>
    <row r="771" spans="2:12" ht="11.25" customHeight="1" x14ac:dyDescent="0.2">
      <c r="C771" s="107" t="s">
        <v>1289</v>
      </c>
      <c r="D771" s="107"/>
      <c r="E771" s="13"/>
      <c r="F771" s="22"/>
      <c r="G771" s="22"/>
      <c r="H771" s="24">
        <f>TRUNC(SUM(H768:H770))</f>
        <v>59751</v>
      </c>
      <c r="I771" s="22"/>
      <c r="J771" s="24">
        <f>TRUNC(SUM(J768:J770))</f>
        <v>57685</v>
      </c>
      <c r="K771" s="22"/>
      <c r="L771" s="24">
        <f>TRUNC(SUM(L768:L770))</f>
        <v>60563</v>
      </c>
    </row>
    <row r="772" spans="2:12" ht="11.25" customHeight="1" x14ac:dyDescent="0.2">
      <c r="B772" s="29"/>
      <c r="C772" s="110"/>
      <c r="D772" s="110"/>
      <c r="E772" s="30"/>
      <c r="F772" s="30"/>
      <c r="G772" s="30"/>
      <c r="H772" s="30"/>
      <c r="I772" s="30"/>
      <c r="J772" s="30"/>
      <c r="K772" s="30"/>
      <c r="L772" s="18"/>
    </row>
    <row r="773" spans="2:12" ht="11.25" customHeight="1" x14ac:dyDescent="0.2">
      <c r="C773" s="126" t="s">
        <v>1286</v>
      </c>
      <c r="D773" s="126"/>
      <c r="E773" s="127"/>
      <c r="F773" s="125"/>
      <c r="G773" s="125"/>
      <c r="H773" s="128">
        <f>TRUNC(H771+H763+H766)</f>
        <v>131440</v>
      </c>
      <c r="I773" s="125"/>
      <c r="J773" s="128">
        <f>TRUNC(J771+J763+J766)</f>
        <v>132722</v>
      </c>
      <c r="K773" s="125"/>
      <c r="L773" s="128">
        <f>TRUNC(L771+L763+L766)</f>
        <v>135600</v>
      </c>
    </row>
    <row r="774" spans="2:12" ht="11.25" customHeight="1" x14ac:dyDescent="0.2">
      <c r="B774" s="186" t="s">
        <v>427</v>
      </c>
      <c r="C774" s="187" t="s">
        <v>428</v>
      </c>
      <c r="D774" s="187" t="s">
        <v>429</v>
      </c>
      <c r="E774" s="188" t="s">
        <v>430</v>
      </c>
      <c r="F774" s="188" t="s">
        <v>431</v>
      </c>
      <c r="G774" s="94" t="s">
        <v>70</v>
      </c>
      <c r="H774" s="151"/>
      <c r="I774" s="94" t="s">
        <v>77</v>
      </c>
      <c r="J774" s="151"/>
      <c r="K774" s="94" t="s">
        <v>71</v>
      </c>
      <c r="L774" s="151"/>
    </row>
    <row r="775" spans="2:12" ht="11.25" customHeight="1" x14ac:dyDescent="0.2">
      <c r="B775" s="186"/>
      <c r="C775" s="187"/>
      <c r="D775" s="187"/>
      <c r="E775" s="188"/>
      <c r="F775" s="188"/>
      <c r="G775" s="17" t="s">
        <v>436</v>
      </c>
      <c r="H775" s="17" t="s">
        <v>437</v>
      </c>
      <c r="I775" s="17" t="s">
        <v>436</v>
      </c>
      <c r="J775" s="17" t="s">
        <v>437</v>
      </c>
      <c r="K775" s="17" t="s">
        <v>436</v>
      </c>
      <c r="L775" s="17" t="s">
        <v>437</v>
      </c>
    </row>
    <row r="776" spans="2:12" ht="11.25" customHeight="1" x14ac:dyDescent="0.2">
      <c r="C776" s="4" t="s">
        <v>426</v>
      </c>
      <c r="D776" s="4"/>
      <c r="E776" s="13" t="s">
        <v>494</v>
      </c>
      <c r="F776" s="25">
        <v>1505.45</v>
      </c>
      <c r="G776" s="27">
        <v>8.5</v>
      </c>
      <c r="H776" s="20">
        <f>TRUNC(($F776*G776),1)</f>
        <v>12796.3</v>
      </c>
      <c r="I776" s="26">
        <v>10</v>
      </c>
      <c r="J776" s="20">
        <f>TRUNC(($F776*I776),1)</f>
        <v>15054.5</v>
      </c>
      <c r="K776" s="26">
        <v>10</v>
      </c>
      <c r="L776" s="20">
        <f>TRUNC(($F776*K776),1)</f>
        <v>15054.5</v>
      </c>
    </row>
    <row r="777" spans="2:12" ht="11.25" customHeight="1" x14ac:dyDescent="0.2">
      <c r="C777" s="4" t="s">
        <v>878</v>
      </c>
      <c r="D777" s="4" t="s">
        <v>203</v>
      </c>
      <c r="E777" s="13" t="s">
        <v>232</v>
      </c>
      <c r="F777" s="18"/>
      <c r="G777" s="21">
        <v>57</v>
      </c>
      <c r="H777" s="20">
        <f>TRUNC(H776*G777*0.01,1)</f>
        <v>7293.8</v>
      </c>
      <c r="I777" s="21">
        <v>57</v>
      </c>
      <c r="J777" s="20">
        <f>TRUNC(J776*I777*0.01,1)</f>
        <v>8581</v>
      </c>
      <c r="K777" s="21">
        <v>57</v>
      </c>
      <c r="L777" s="20">
        <f>TRUNC(L776*K777*0.01,1)</f>
        <v>8581</v>
      </c>
    </row>
    <row r="778" spans="2:12" ht="11.25" customHeight="1" x14ac:dyDescent="0.2">
      <c r="C778" s="107" t="s">
        <v>799</v>
      </c>
      <c r="D778" s="107"/>
      <c r="E778" s="23"/>
      <c r="F778" s="22"/>
      <c r="G778" s="22"/>
      <c r="H778" s="24">
        <f>TRUNC(SUM(H776:H777))</f>
        <v>20090</v>
      </c>
      <c r="I778" s="22"/>
      <c r="J778" s="24">
        <f>TRUNC(SUM(J776:J777))</f>
        <v>23635</v>
      </c>
      <c r="K778" s="22"/>
      <c r="L778" s="24">
        <f>TRUNC(SUM(L776:L777))</f>
        <v>23635</v>
      </c>
    </row>
    <row r="779" spans="2:12" ht="11.25" customHeight="1" x14ac:dyDescent="0.2">
      <c r="B779" s="29"/>
      <c r="C779" s="110"/>
      <c r="D779" s="110"/>
      <c r="E779" s="30"/>
      <c r="F779" s="30"/>
      <c r="G779" s="30"/>
      <c r="H779" s="30"/>
      <c r="I779" s="30"/>
      <c r="J779" s="30"/>
      <c r="K779" s="30"/>
      <c r="L779" s="18"/>
    </row>
    <row r="780" spans="2:12" ht="11.25" customHeight="1" x14ac:dyDescent="0.2">
      <c r="C780" s="4" t="s">
        <v>798</v>
      </c>
      <c r="D780" s="4" t="s">
        <v>866</v>
      </c>
      <c r="E780" s="13" t="s">
        <v>497</v>
      </c>
      <c r="F780" s="28">
        <v>283297</v>
      </c>
      <c r="G780" s="18">
        <v>0.20799999999999999</v>
      </c>
      <c r="H780" s="20">
        <f>TRUNC(($F780*G780),1)</f>
        <v>58925.7</v>
      </c>
      <c r="I780" s="18">
        <v>0.20799999999999999</v>
      </c>
      <c r="J780" s="20">
        <f>TRUNC(($F780*I780),1)</f>
        <v>58925.7</v>
      </c>
      <c r="K780" s="18">
        <v>0.20799999999999999</v>
      </c>
      <c r="L780" s="20">
        <f>TRUNC(($F780*K780),1)</f>
        <v>58925.7</v>
      </c>
    </row>
    <row r="781" spans="2:12" ht="11.25" customHeight="1" x14ac:dyDescent="0.2">
      <c r="C781" s="107" t="s">
        <v>1285</v>
      </c>
      <c r="D781" s="107"/>
      <c r="E781" s="23"/>
      <c r="F781" s="22"/>
      <c r="G781" s="22"/>
      <c r="H781" s="24">
        <f>TRUNC(SUM(H780:H780))</f>
        <v>58925</v>
      </c>
      <c r="I781" s="22"/>
      <c r="J781" s="24">
        <f>TRUNC(SUM(J780:J780))</f>
        <v>58925</v>
      </c>
      <c r="K781" s="22"/>
      <c r="L781" s="24">
        <f>TRUNC(SUM(L780:L780))</f>
        <v>58925</v>
      </c>
    </row>
    <row r="782" spans="2:12" ht="11.25" customHeight="1" x14ac:dyDescent="0.2">
      <c r="C782" s="107"/>
      <c r="D782" s="107"/>
      <c r="E782" s="23"/>
      <c r="F782" s="22"/>
      <c r="G782" s="22"/>
      <c r="H782" s="24"/>
      <c r="I782" s="22"/>
      <c r="J782" s="24"/>
      <c r="K782" s="22"/>
      <c r="L782" s="24"/>
    </row>
    <row r="783" spans="2:12" ht="11.25" customHeight="1" x14ac:dyDescent="0.2">
      <c r="B783" s="8" t="s">
        <v>482</v>
      </c>
      <c r="C783" s="4" t="s">
        <v>1354</v>
      </c>
      <c r="D783" s="106" t="s">
        <v>796</v>
      </c>
      <c r="E783" s="13" t="s">
        <v>746</v>
      </c>
      <c r="F783" s="66">
        <v>396741000</v>
      </c>
      <c r="G783" s="19">
        <v>1737</v>
      </c>
      <c r="H783" s="20">
        <f>TRUNC($F783*G783*0.0000001,1)</f>
        <v>68913.899999999994</v>
      </c>
      <c r="I783" s="21">
        <v>0</v>
      </c>
      <c r="J783" s="20">
        <f>TRUNC($F783*I783*0.0000001,1)</f>
        <v>0</v>
      </c>
      <c r="K783" s="21">
        <v>0</v>
      </c>
      <c r="L783" s="20">
        <f>TRUNC($F783*K783*0.0000001,1)</f>
        <v>0</v>
      </c>
    </row>
    <row r="784" spans="2:12" ht="11.25" customHeight="1" x14ac:dyDescent="0.2">
      <c r="B784" s="8" t="s">
        <v>483</v>
      </c>
      <c r="C784" s="4" t="s">
        <v>1354</v>
      </c>
      <c r="D784" s="106" t="s">
        <v>481</v>
      </c>
      <c r="E784" s="13" t="s">
        <v>746</v>
      </c>
      <c r="F784" s="66">
        <v>439448000</v>
      </c>
      <c r="G784" s="21">
        <v>0</v>
      </c>
      <c r="H784" s="20">
        <f>TRUNC($F784*G784*0.0000001,1)</f>
        <v>0</v>
      </c>
      <c r="I784" s="19">
        <v>1737</v>
      </c>
      <c r="J784" s="20">
        <f>TRUNC($F784*I784*0.0000001,1)</f>
        <v>76332.100000000006</v>
      </c>
      <c r="K784" s="21">
        <v>0</v>
      </c>
      <c r="L784" s="20">
        <f>TRUNC($F784*K784*0.0000001,1)</f>
        <v>0</v>
      </c>
    </row>
    <row r="785" spans="2:12" ht="11.25" customHeight="1" x14ac:dyDescent="0.2">
      <c r="B785" s="8" t="s">
        <v>484</v>
      </c>
      <c r="C785" s="4" t="s">
        <v>1354</v>
      </c>
      <c r="D785" s="106" t="s">
        <v>797</v>
      </c>
      <c r="E785" s="13" t="s">
        <v>746</v>
      </c>
      <c r="F785" s="66">
        <v>520694000</v>
      </c>
      <c r="G785" s="21">
        <v>0</v>
      </c>
      <c r="H785" s="20">
        <f>TRUNC($F785*G785*0.0000001,1)</f>
        <v>0</v>
      </c>
      <c r="I785" s="21">
        <v>0</v>
      </c>
      <c r="J785" s="20">
        <f>TRUNC($F785*I785*0.0000001,1)</f>
        <v>0</v>
      </c>
      <c r="K785" s="19">
        <v>1737</v>
      </c>
      <c r="L785" s="20">
        <f>TRUNC($F785*K785*0.0000001,1)</f>
        <v>90444.5</v>
      </c>
    </row>
    <row r="786" spans="2:12" ht="11.25" customHeight="1" x14ac:dyDescent="0.2">
      <c r="C786" s="107" t="s">
        <v>1289</v>
      </c>
      <c r="D786" s="107"/>
      <c r="E786" s="23"/>
      <c r="F786" s="22"/>
      <c r="G786" s="22"/>
      <c r="H786" s="24">
        <f>TRUNC(SUM(H783:H785))</f>
        <v>68913</v>
      </c>
      <c r="I786" s="22"/>
      <c r="J786" s="24">
        <f>TRUNC(SUM(J783:J785))</f>
        <v>76332</v>
      </c>
      <c r="K786" s="22"/>
      <c r="L786" s="24">
        <f>TRUNC(SUM(L783:L785))</f>
        <v>90444</v>
      </c>
    </row>
    <row r="787" spans="2:12" ht="11.25" customHeight="1" x14ac:dyDescent="0.2">
      <c r="B787" s="29"/>
      <c r="C787" s="110"/>
      <c r="D787" s="110"/>
      <c r="E787" s="30"/>
      <c r="F787" s="30"/>
      <c r="G787" s="30"/>
      <c r="H787" s="30"/>
      <c r="I787" s="30"/>
      <c r="J787" s="30"/>
      <c r="K787" s="30"/>
      <c r="L787" s="18"/>
    </row>
    <row r="788" spans="2:12" ht="11.25" customHeight="1" x14ac:dyDescent="0.2">
      <c r="C788" s="126" t="s">
        <v>1286</v>
      </c>
      <c r="D788" s="126"/>
      <c r="E788" s="127"/>
      <c r="F788" s="125"/>
      <c r="G788" s="125"/>
      <c r="H788" s="128">
        <f>TRUNC(H786+H778+H781)</f>
        <v>147928</v>
      </c>
      <c r="I788" s="125"/>
      <c r="J788" s="128">
        <f>TRUNC(J786+J778+J781)</f>
        <v>158892</v>
      </c>
      <c r="K788" s="125"/>
      <c r="L788" s="128">
        <f>TRUNC(L786+L778+L781)</f>
        <v>173004</v>
      </c>
    </row>
    <row r="789" spans="2:12" ht="11.25" customHeight="1" x14ac:dyDescent="0.2">
      <c r="B789" s="186" t="s">
        <v>427</v>
      </c>
      <c r="C789" s="187" t="s">
        <v>428</v>
      </c>
      <c r="D789" s="187" t="s">
        <v>429</v>
      </c>
      <c r="E789" s="188" t="s">
        <v>430</v>
      </c>
      <c r="F789" s="188" t="s">
        <v>431</v>
      </c>
      <c r="G789" s="94" t="s">
        <v>78</v>
      </c>
      <c r="H789" s="151"/>
      <c r="I789" s="94" t="s">
        <v>72</v>
      </c>
      <c r="J789" s="151"/>
      <c r="K789" s="94" t="s">
        <v>73</v>
      </c>
      <c r="L789" s="151"/>
    </row>
    <row r="790" spans="2:12" ht="11.25" customHeight="1" x14ac:dyDescent="0.2">
      <c r="B790" s="186"/>
      <c r="C790" s="187"/>
      <c r="D790" s="187"/>
      <c r="E790" s="188"/>
      <c r="F790" s="188"/>
      <c r="G790" s="17" t="s">
        <v>436</v>
      </c>
      <c r="H790" s="17" t="s">
        <v>437</v>
      </c>
      <c r="I790" s="17" t="s">
        <v>436</v>
      </c>
      <c r="J790" s="17" t="s">
        <v>437</v>
      </c>
      <c r="K790" s="17" t="s">
        <v>436</v>
      </c>
      <c r="L790" s="17" t="s">
        <v>437</v>
      </c>
    </row>
    <row r="791" spans="2:12" ht="11.25" customHeight="1" x14ac:dyDescent="0.2">
      <c r="C791" s="4" t="s">
        <v>426</v>
      </c>
      <c r="D791" s="4"/>
      <c r="E791" s="13" t="s">
        <v>494</v>
      </c>
      <c r="F791" s="25">
        <v>1505.45</v>
      </c>
      <c r="G791" s="27">
        <v>10.6</v>
      </c>
      <c r="H791" s="20">
        <f>TRUNC(($F791*G791),1)</f>
        <v>15957.7</v>
      </c>
      <c r="I791" s="26">
        <v>12.3</v>
      </c>
      <c r="J791" s="20">
        <f>TRUNC(($F791*I791),1)</f>
        <v>18517</v>
      </c>
      <c r="K791" s="26">
        <v>12.3</v>
      </c>
      <c r="L791" s="20">
        <f>TRUNC(($F791*K791),1)</f>
        <v>18517</v>
      </c>
    </row>
    <row r="792" spans="2:12" ht="11.25" customHeight="1" x14ac:dyDescent="0.2">
      <c r="C792" s="4" t="s">
        <v>878</v>
      </c>
      <c r="D792" s="4" t="s">
        <v>203</v>
      </c>
      <c r="E792" s="13" t="s">
        <v>232</v>
      </c>
      <c r="F792" s="18"/>
      <c r="G792" s="21">
        <v>57</v>
      </c>
      <c r="H792" s="20">
        <f>TRUNC(H791*G792*0.01,1)</f>
        <v>9095.7999999999993</v>
      </c>
      <c r="I792" s="21">
        <v>57</v>
      </c>
      <c r="J792" s="20">
        <f>TRUNC(J791*I792*0.01,1)</f>
        <v>10554.6</v>
      </c>
      <c r="K792" s="21">
        <v>57</v>
      </c>
      <c r="L792" s="20">
        <f>TRUNC(L791*K792*0.01,1)</f>
        <v>10554.6</v>
      </c>
    </row>
    <row r="793" spans="2:12" ht="11.25" customHeight="1" x14ac:dyDescent="0.2">
      <c r="C793" s="107" t="s">
        <v>799</v>
      </c>
      <c r="D793" s="107"/>
      <c r="E793" s="23"/>
      <c r="F793" s="22"/>
      <c r="G793" s="22"/>
      <c r="H793" s="24">
        <f>TRUNC(SUM(H791:H792))</f>
        <v>25053</v>
      </c>
      <c r="I793" s="22"/>
      <c r="J793" s="24">
        <f>TRUNC(SUM(J791:J792))</f>
        <v>29071</v>
      </c>
      <c r="K793" s="22"/>
      <c r="L793" s="24">
        <f>TRUNC(SUM(L791:L792))</f>
        <v>29071</v>
      </c>
    </row>
    <row r="794" spans="2:12" ht="11.25" customHeight="1" x14ac:dyDescent="0.2">
      <c r="B794" s="29"/>
      <c r="C794" s="110"/>
      <c r="D794" s="110"/>
      <c r="E794" s="30"/>
      <c r="F794" s="30"/>
      <c r="G794" s="30"/>
      <c r="H794" s="30"/>
      <c r="I794" s="30"/>
      <c r="J794" s="30"/>
      <c r="K794" s="30"/>
      <c r="L794" s="18"/>
    </row>
    <row r="795" spans="2:12" ht="11.25" customHeight="1" x14ac:dyDescent="0.2">
      <c r="C795" s="4" t="s">
        <v>798</v>
      </c>
      <c r="D795" s="4" t="s">
        <v>866</v>
      </c>
      <c r="E795" s="13" t="s">
        <v>497</v>
      </c>
      <c r="F795" s="28">
        <v>283297</v>
      </c>
      <c r="G795" s="18">
        <v>0.20799999999999999</v>
      </c>
      <c r="H795" s="20">
        <f>TRUNC(($F795*G795),1)</f>
        <v>58925.7</v>
      </c>
      <c r="I795" s="18">
        <v>0.20799999999999999</v>
      </c>
      <c r="J795" s="20">
        <f>TRUNC(($F795*I795),1)</f>
        <v>58925.7</v>
      </c>
      <c r="K795" s="18">
        <v>0.20799999999999999</v>
      </c>
      <c r="L795" s="20">
        <f>TRUNC(($F795*K795),1)</f>
        <v>58925.7</v>
      </c>
    </row>
    <row r="796" spans="2:12" ht="11.25" customHeight="1" x14ac:dyDescent="0.2">
      <c r="C796" s="107" t="s">
        <v>1285</v>
      </c>
      <c r="D796" s="107"/>
      <c r="E796" s="23"/>
      <c r="F796" s="22"/>
      <c r="G796" s="22"/>
      <c r="H796" s="24">
        <f>TRUNC(SUM(H795:H795))</f>
        <v>58925</v>
      </c>
      <c r="I796" s="22"/>
      <c r="J796" s="24">
        <f>TRUNC(SUM(J795:J795))</f>
        <v>58925</v>
      </c>
      <c r="K796" s="22"/>
      <c r="L796" s="24">
        <f>TRUNC(SUM(L795:L795))</f>
        <v>58925</v>
      </c>
    </row>
    <row r="797" spans="2:12" ht="11.25" customHeight="1" x14ac:dyDescent="0.2">
      <c r="C797" s="107"/>
      <c r="D797" s="107"/>
      <c r="E797" s="23"/>
      <c r="F797" s="22"/>
      <c r="G797" s="22"/>
      <c r="H797" s="24"/>
      <c r="I797" s="22"/>
      <c r="J797" s="24"/>
      <c r="K797" s="22"/>
      <c r="L797" s="24"/>
    </row>
    <row r="798" spans="2:12" ht="11.25" customHeight="1" x14ac:dyDescent="0.2">
      <c r="B798" s="8" t="s">
        <v>486</v>
      </c>
      <c r="C798" s="4" t="s">
        <v>1354</v>
      </c>
      <c r="D798" s="106" t="s">
        <v>485</v>
      </c>
      <c r="E798" s="13" t="s">
        <v>746</v>
      </c>
      <c r="F798" s="66">
        <v>579427000</v>
      </c>
      <c r="G798" s="19">
        <v>1625</v>
      </c>
      <c r="H798" s="20">
        <f>TRUNC($F798*G798*0.0000001,1)</f>
        <v>94156.800000000003</v>
      </c>
      <c r="I798" s="21">
        <v>0</v>
      </c>
      <c r="J798" s="20">
        <f>TRUNC($F798*I798*0.0000001,1)</f>
        <v>0</v>
      </c>
      <c r="K798" s="21">
        <v>0</v>
      </c>
      <c r="L798" s="20">
        <f>TRUNC($F798*K798*0.0000001,1)</f>
        <v>0</v>
      </c>
    </row>
    <row r="799" spans="2:12" ht="11.25" customHeight="1" x14ac:dyDescent="0.2">
      <c r="B799" s="8" t="s">
        <v>487</v>
      </c>
      <c r="C799" s="4" t="s">
        <v>1354</v>
      </c>
      <c r="D799" s="106" t="s">
        <v>537</v>
      </c>
      <c r="E799" s="13" t="s">
        <v>746</v>
      </c>
      <c r="F799" s="66">
        <v>674482000</v>
      </c>
      <c r="G799" s="21">
        <v>0</v>
      </c>
      <c r="H799" s="20">
        <f>TRUNC($F799*G799*0.0000001,1)</f>
        <v>0</v>
      </c>
      <c r="I799" s="19">
        <v>1625</v>
      </c>
      <c r="J799" s="20">
        <f>TRUNC($F799*I799*0.0000001,1)</f>
        <v>109603.3</v>
      </c>
      <c r="K799" s="21">
        <v>0</v>
      </c>
      <c r="L799" s="20">
        <f>TRUNC($F799*K799*0.0000001,1)</f>
        <v>0</v>
      </c>
    </row>
    <row r="800" spans="2:12" ht="11.25" customHeight="1" x14ac:dyDescent="0.2">
      <c r="B800" s="8" t="s">
        <v>488</v>
      </c>
      <c r="C800" s="4" t="s">
        <v>1354</v>
      </c>
      <c r="D800" s="106" t="s">
        <v>548</v>
      </c>
      <c r="E800" s="13" t="s">
        <v>746</v>
      </c>
      <c r="F800" s="66">
        <v>845345000</v>
      </c>
      <c r="G800" s="21">
        <v>0</v>
      </c>
      <c r="H800" s="20">
        <f>TRUNC($F800*G800*0.0000001,1)</f>
        <v>0</v>
      </c>
      <c r="I800" s="21">
        <v>0</v>
      </c>
      <c r="J800" s="20">
        <f>TRUNC($F800*I800*0.0000001,1)</f>
        <v>0</v>
      </c>
      <c r="K800" s="19">
        <v>1625</v>
      </c>
      <c r="L800" s="20">
        <f>TRUNC($F800*K800*0.0000001,1)</f>
        <v>137368.5</v>
      </c>
    </row>
    <row r="801" spans="2:12" ht="11.25" customHeight="1" x14ac:dyDescent="0.2">
      <c r="C801" s="107" t="s">
        <v>1289</v>
      </c>
      <c r="D801" s="107"/>
      <c r="E801" s="23"/>
      <c r="F801" s="22"/>
      <c r="G801" s="22"/>
      <c r="H801" s="24">
        <f>TRUNC(SUM(H798:H800))</f>
        <v>94156</v>
      </c>
      <c r="I801" s="22"/>
      <c r="J801" s="24">
        <f>TRUNC(SUM(J798:J800))</f>
        <v>109603</v>
      </c>
      <c r="K801" s="22"/>
      <c r="L801" s="24">
        <f>TRUNC(SUM(L798:L800))</f>
        <v>137368</v>
      </c>
    </row>
    <row r="802" spans="2:12" ht="11.25" customHeight="1" x14ac:dyDescent="0.2">
      <c r="B802" s="29"/>
      <c r="C802" s="110"/>
      <c r="D802" s="110"/>
      <c r="E802" s="30"/>
      <c r="F802" s="30"/>
      <c r="G802" s="30"/>
      <c r="H802" s="30"/>
      <c r="I802" s="30"/>
      <c r="J802" s="30"/>
      <c r="K802" s="30"/>
      <c r="L802" s="18"/>
    </row>
    <row r="803" spans="2:12" ht="11.25" customHeight="1" x14ac:dyDescent="0.2">
      <c r="C803" s="126" t="s">
        <v>1286</v>
      </c>
      <c r="D803" s="126"/>
      <c r="E803" s="127"/>
      <c r="F803" s="125"/>
      <c r="G803" s="125"/>
      <c r="H803" s="128">
        <f>TRUNC(H801+H793+H796)</f>
        <v>178134</v>
      </c>
      <c r="I803" s="125"/>
      <c r="J803" s="128">
        <f>TRUNC(J801+J793+J796)</f>
        <v>197599</v>
      </c>
      <c r="K803" s="125"/>
      <c r="L803" s="128">
        <f>TRUNC(L801+L793+L796)</f>
        <v>225364</v>
      </c>
    </row>
    <row r="804" spans="2:12" ht="11.25" customHeight="1" x14ac:dyDescent="0.2">
      <c r="B804" s="186" t="s">
        <v>427</v>
      </c>
      <c r="C804" s="187" t="s">
        <v>428</v>
      </c>
      <c r="D804" s="187" t="s">
        <v>429</v>
      </c>
      <c r="E804" s="188" t="s">
        <v>430</v>
      </c>
      <c r="F804" s="188" t="s">
        <v>431</v>
      </c>
      <c r="G804" s="94" t="s">
        <v>74</v>
      </c>
      <c r="H804" s="151"/>
      <c r="I804" s="94" t="s">
        <v>726</v>
      </c>
      <c r="J804" s="151"/>
      <c r="K804" s="94" t="s">
        <v>727</v>
      </c>
      <c r="L804" s="151"/>
    </row>
    <row r="805" spans="2:12" ht="11.25" customHeight="1" x14ac:dyDescent="0.2">
      <c r="B805" s="186"/>
      <c r="C805" s="187"/>
      <c r="D805" s="187"/>
      <c r="E805" s="188"/>
      <c r="F805" s="188"/>
      <c r="G805" s="17" t="s">
        <v>436</v>
      </c>
      <c r="H805" s="17" t="s">
        <v>437</v>
      </c>
      <c r="I805" s="17" t="s">
        <v>436</v>
      </c>
      <c r="J805" s="17" t="s">
        <v>437</v>
      </c>
      <c r="K805" s="17" t="s">
        <v>436</v>
      </c>
      <c r="L805" s="17" t="s">
        <v>437</v>
      </c>
    </row>
    <row r="806" spans="2:12" ht="11.25" customHeight="1" x14ac:dyDescent="0.2">
      <c r="C806" s="4" t="s">
        <v>426</v>
      </c>
      <c r="D806" s="4"/>
      <c r="E806" s="13" t="s">
        <v>494</v>
      </c>
      <c r="F806" s="25">
        <v>1505.45</v>
      </c>
      <c r="G806" s="26">
        <v>15.9</v>
      </c>
      <c r="H806" s="20">
        <f>TRUNC(($F806*G806),1)</f>
        <v>23936.6</v>
      </c>
      <c r="I806" s="26">
        <v>17.7</v>
      </c>
      <c r="J806" s="20">
        <f>TRUNC(($F806*I806),1)</f>
        <v>26646.400000000001</v>
      </c>
      <c r="K806" s="26">
        <v>19.600000000000001</v>
      </c>
      <c r="L806" s="20">
        <f>TRUNC(($F806*K806),1)</f>
        <v>29506.799999999999</v>
      </c>
    </row>
    <row r="807" spans="2:12" ht="11.25" customHeight="1" x14ac:dyDescent="0.2">
      <c r="C807" s="4" t="s">
        <v>878</v>
      </c>
      <c r="D807" s="4" t="s">
        <v>203</v>
      </c>
      <c r="E807" s="13" t="s">
        <v>232</v>
      </c>
      <c r="F807" s="18"/>
      <c r="G807" s="21">
        <v>57</v>
      </c>
      <c r="H807" s="20">
        <f>TRUNC(H806*G807*0.01,1)</f>
        <v>13643.8</v>
      </c>
      <c r="I807" s="21">
        <v>63</v>
      </c>
      <c r="J807" s="20">
        <f>TRUNC(J806*I807*0.01,1)</f>
        <v>16787.2</v>
      </c>
      <c r="K807" s="21">
        <v>63</v>
      </c>
      <c r="L807" s="20">
        <f>TRUNC(L806*K807*0.01,1)</f>
        <v>18589.2</v>
      </c>
    </row>
    <row r="808" spans="2:12" ht="11.25" customHeight="1" x14ac:dyDescent="0.2">
      <c r="C808" s="107" t="s">
        <v>799</v>
      </c>
      <c r="D808" s="107"/>
      <c r="E808" s="23"/>
      <c r="F808" s="22"/>
      <c r="G808" s="22"/>
      <c r="H808" s="24">
        <f>TRUNC(SUM(H806:H807))</f>
        <v>37580</v>
      </c>
      <c r="I808" s="22"/>
      <c r="J808" s="24">
        <f>TRUNC(SUM(J806:J807))</f>
        <v>43433</v>
      </c>
      <c r="K808" s="22"/>
      <c r="L808" s="24">
        <f>TRUNC(SUM(L806:L807))</f>
        <v>48096</v>
      </c>
    </row>
    <row r="809" spans="2:12" ht="11.25" customHeight="1" x14ac:dyDescent="0.2">
      <c r="B809" s="29"/>
      <c r="C809" s="110"/>
      <c r="D809" s="110"/>
      <c r="E809" s="30"/>
      <c r="F809" s="30"/>
      <c r="G809" s="30"/>
      <c r="H809" s="30"/>
      <c r="I809" s="30"/>
      <c r="J809" s="30"/>
      <c r="K809" s="30"/>
      <c r="L809" s="18"/>
    </row>
    <row r="810" spans="2:12" ht="11.25" customHeight="1" x14ac:dyDescent="0.2">
      <c r="C810" s="4" t="s">
        <v>798</v>
      </c>
      <c r="D810" s="4" t="s">
        <v>866</v>
      </c>
      <c r="E810" s="13" t="s">
        <v>497</v>
      </c>
      <c r="F810" s="28">
        <v>283297</v>
      </c>
      <c r="G810" s="18">
        <v>0.20799999999999999</v>
      </c>
      <c r="H810" s="20">
        <f>TRUNC(($F810*G810),1)</f>
        <v>58925.7</v>
      </c>
      <c r="I810" s="18">
        <v>0.20799999999999999</v>
      </c>
      <c r="J810" s="20">
        <f>TRUNC(($F810*I810),1)</f>
        <v>58925.7</v>
      </c>
      <c r="K810" s="18">
        <v>0.20799999999999999</v>
      </c>
      <c r="L810" s="20">
        <f>TRUNC(($F810*K810),1)</f>
        <v>58925.7</v>
      </c>
    </row>
    <row r="811" spans="2:12" ht="11.25" customHeight="1" x14ac:dyDescent="0.2">
      <c r="C811" s="107" t="s">
        <v>1285</v>
      </c>
      <c r="D811" s="107"/>
      <c r="E811" s="23"/>
      <c r="F811" s="22"/>
      <c r="G811" s="22"/>
      <c r="H811" s="24">
        <f>TRUNC(SUM(H810:H810))</f>
        <v>58925</v>
      </c>
      <c r="I811" s="22"/>
      <c r="J811" s="24">
        <f>TRUNC(SUM(J810:J810))</f>
        <v>58925</v>
      </c>
      <c r="K811" s="22"/>
      <c r="L811" s="24">
        <f>TRUNC(SUM(L810:L810))</f>
        <v>58925</v>
      </c>
    </row>
    <row r="812" spans="2:12" ht="11.25" customHeight="1" x14ac:dyDescent="0.2">
      <c r="C812" s="107"/>
      <c r="D812" s="107"/>
      <c r="E812" s="23"/>
      <c r="F812" s="22"/>
      <c r="G812" s="22"/>
      <c r="H812" s="24"/>
      <c r="I812" s="22"/>
      <c r="J812" s="24"/>
      <c r="K812" s="22"/>
      <c r="L812" s="24"/>
    </row>
    <row r="813" spans="2:12" ht="11.25" customHeight="1" x14ac:dyDescent="0.2">
      <c r="B813" s="8" t="s">
        <v>489</v>
      </c>
      <c r="C813" s="4" t="s">
        <v>1354</v>
      </c>
      <c r="D813" s="106" t="s">
        <v>182</v>
      </c>
      <c r="E813" s="13" t="s">
        <v>746</v>
      </c>
      <c r="F813" s="66">
        <v>1014818000</v>
      </c>
      <c r="G813" s="19">
        <v>1625</v>
      </c>
      <c r="H813" s="20">
        <f>TRUNC($F813*G813*0.0000001,1)</f>
        <v>164907.9</v>
      </c>
      <c r="I813" s="21">
        <v>0</v>
      </c>
      <c r="J813" s="20">
        <f>TRUNC($F813*I813*0.0000001,1)</f>
        <v>0</v>
      </c>
      <c r="K813" s="21">
        <v>0</v>
      </c>
      <c r="L813" s="20">
        <f>TRUNC($F813*K813*0.0000001,1)</f>
        <v>0</v>
      </c>
    </row>
    <row r="814" spans="2:12" ht="11.25" customHeight="1" x14ac:dyDescent="0.2">
      <c r="B814" s="8" t="s">
        <v>993</v>
      </c>
      <c r="C814" s="4" t="s">
        <v>1354</v>
      </c>
      <c r="D814" s="106" t="s">
        <v>1355</v>
      </c>
      <c r="E814" s="13" t="s">
        <v>746</v>
      </c>
      <c r="F814" s="66">
        <v>1355834000</v>
      </c>
      <c r="G814" s="21">
        <v>0</v>
      </c>
      <c r="H814" s="20">
        <f>TRUNC($F814*G814*0.0000001,1)</f>
        <v>0</v>
      </c>
      <c r="I814" s="19">
        <v>1661</v>
      </c>
      <c r="J814" s="20">
        <f>TRUNC($F814*I814*0.0000001,1)</f>
        <v>225204</v>
      </c>
      <c r="K814" s="21">
        <v>0</v>
      </c>
      <c r="L814" s="20">
        <f>TRUNC($F814*K814*0.0000001,1)</f>
        <v>0</v>
      </c>
    </row>
    <row r="815" spans="2:12" ht="11.25" customHeight="1" x14ac:dyDescent="0.2">
      <c r="B815" s="8" t="s">
        <v>994</v>
      </c>
      <c r="C815" s="4" t="s">
        <v>1354</v>
      </c>
      <c r="D815" s="106" t="s">
        <v>1356</v>
      </c>
      <c r="E815" s="13" t="s">
        <v>746</v>
      </c>
      <c r="F815" s="66">
        <v>1814733000</v>
      </c>
      <c r="G815" s="21">
        <v>0</v>
      </c>
      <c r="H815" s="20">
        <f>TRUNC($F815*G815*0.0000001,1)</f>
        <v>0</v>
      </c>
      <c r="I815" s="21">
        <v>0</v>
      </c>
      <c r="J815" s="20">
        <f>TRUNC($F815*I815*0.0000001,1)</f>
        <v>0</v>
      </c>
      <c r="K815" s="19">
        <v>1661</v>
      </c>
      <c r="L815" s="20">
        <f>TRUNC($F815*K815*0.0000001,1)</f>
        <v>301427.09999999998</v>
      </c>
    </row>
    <row r="816" spans="2:12" ht="11.25" customHeight="1" x14ac:dyDescent="0.2">
      <c r="C816" s="107" t="s">
        <v>1289</v>
      </c>
      <c r="D816" s="107"/>
      <c r="E816" s="23"/>
      <c r="F816" s="22"/>
      <c r="G816" s="22"/>
      <c r="H816" s="24">
        <f>TRUNC(SUM(H813:H815))</f>
        <v>164907</v>
      </c>
      <c r="I816" s="22"/>
      <c r="J816" s="24">
        <f>TRUNC(SUM(J813:J815))</f>
        <v>225204</v>
      </c>
      <c r="K816" s="22"/>
      <c r="L816" s="24">
        <f>TRUNC(SUM(L813:L815))</f>
        <v>301427</v>
      </c>
    </row>
    <row r="817" spans="2:12" ht="11.25" customHeight="1" x14ac:dyDescent="0.2">
      <c r="B817" s="29"/>
      <c r="C817" s="110"/>
      <c r="D817" s="110"/>
      <c r="E817" s="30"/>
      <c r="F817" s="30"/>
      <c r="G817" s="30"/>
      <c r="H817" s="30"/>
      <c r="I817" s="30"/>
      <c r="J817" s="30"/>
      <c r="K817" s="30"/>
      <c r="L817" s="18"/>
    </row>
    <row r="818" spans="2:12" ht="11.25" customHeight="1" x14ac:dyDescent="0.2">
      <c r="C818" s="126" t="s">
        <v>1286</v>
      </c>
      <c r="D818" s="126"/>
      <c r="E818" s="127"/>
      <c r="F818" s="125"/>
      <c r="G818" s="125"/>
      <c r="H818" s="128">
        <f>TRUNC(H816+H808+H811)</f>
        <v>261412</v>
      </c>
      <c r="I818" s="125"/>
      <c r="J818" s="128">
        <f>TRUNC(J816+J808+J811)</f>
        <v>327562</v>
      </c>
      <c r="K818" s="125"/>
      <c r="L818" s="128">
        <f>TRUNC(L816+L808+L811)</f>
        <v>408448</v>
      </c>
    </row>
    <row r="819" spans="2:12" ht="11.25" customHeight="1" x14ac:dyDescent="0.2">
      <c r="B819" s="186" t="s">
        <v>427</v>
      </c>
      <c r="C819" s="187" t="s">
        <v>428</v>
      </c>
      <c r="D819" s="187" t="s">
        <v>429</v>
      </c>
      <c r="E819" s="188" t="s">
        <v>430</v>
      </c>
      <c r="F819" s="188" t="s">
        <v>431</v>
      </c>
      <c r="G819" s="94" t="s">
        <v>728</v>
      </c>
      <c r="H819" s="151"/>
      <c r="I819" s="94" t="s">
        <v>79</v>
      </c>
      <c r="J819" s="151"/>
      <c r="K819" s="94" t="s">
        <v>729</v>
      </c>
      <c r="L819" s="151"/>
    </row>
    <row r="820" spans="2:12" ht="11.25" customHeight="1" x14ac:dyDescent="0.2">
      <c r="B820" s="186"/>
      <c r="C820" s="187"/>
      <c r="D820" s="187"/>
      <c r="E820" s="188"/>
      <c r="F820" s="188"/>
      <c r="G820" s="17" t="s">
        <v>436</v>
      </c>
      <c r="H820" s="17" t="s">
        <v>437</v>
      </c>
      <c r="I820" s="17" t="s">
        <v>436</v>
      </c>
      <c r="J820" s="17" t="s">
        <v>437</v>
      </c>
      <c r="K820" s="17" t="s">
        <v>436</v>
      </c>
      <c r="L820" s="17" t="s">
        <v>437</v>
      </c>
    </row>
    <row r="821" spans="2:12" ht="11.25" customHeight="1" x14ac:dyDescent="0.2">
      <c r="C821" s="4" t="s">
        <v>426</v>
      </c>
      <c r="D821" s="4"/>
      <c r="E821" s="13" t="s">
        <v>494</v>
      </c>
      <c r="F821" s="25">
        <v>1505.45</v>
      </c>
      <c r="G821" s="26">
        <v>22</v>
      </c>
      <c r="H821" s="20">
        <f>TRUNC(($F821*G821),1)</f>
        <v>33119.9</v>
      </c>
      <c r="I821" s="26">
        <v>22</v>
      </c>
      <c r="J821" s="20">
        <f>TRUNC(($F821*I821),1)</f>
        <v>33119.9</v>
      </c>
      <c r="K821" s="26">
        <v>24</v>
      </c>
      <c r="L821" s="20">
        <f>TRUNC(($F821*K821),1)</f>
        <v>36130.800000000003</v>
      </c>
    </row>
    <row r="822" spans="2:12" ht="11.25" customHeight="1" x14ac:dyDescent="0.2">
      <c r="C822" s="4" t="s">
        <v>878</v>
      </c>
      <c r="D822" s="4" t="s">
        <v>203</v>
      </c>
      <c r="E822" s="13" t="s">
        <v>232</v>
      </c>
      <c r="F822" s="18"/>
      <c r="G822" s="21">
        <v>63</v>
      </c>
      <c r="H822" s="20">
        <f>TRUNC(H821*G822*0.01,1)</f>
        <v>20865.5</v>
      </c>
      <c r="I822" s="21">
        <v>63</v>
      </c>
      <c r="J822" s="20">
        <f>TRUNC(J821*I822*0.01,1)</f>
        <v>20865.5</v>
      </c>
      <c r="K822" s="21">
        <v>63</v>
      </c>
      <c r="L822" s="20">
        <f>TRUNC(L821*K822*0.01,1)</f>
        <v>22762.400000000001</v>
      </c>
    </row>
    <row r="823" spans="2:12" ht="11.25" customHeight="1" x14ac:dyDescent="0.2">
      <c r="C823" s="107" t="s">
        <v>799</v>
      </c>
      <c r="D823" s="107"/>
      <c r="E823" s="23"/>
      <c r="F823" s="22"/>
      <c r="G823" s="22"/>
      <c r="H823" s="24">
        <f>TRUNC(SUM(H821:H822))</f>
        <v>53985</v>
      </c>
      <c r="I823" s="22"/>
      <c r="J823" s="24">
        <f>TRUNC(SUM(J821:J822))</f>
        <v>53985</v>
      </c>
      <c r="K823" s="22"/>
      <c r="L823" s="24">
        <f>TRUNC(SUM(L821:L822))</f>
        <v>58893</v>
      </c>
    </row>
    <row r="824" spans="2:12" ht="11.25" customHeight="1" x14ac:dyDescent="0.2">
      <c r="B824" s="29"/>
      <c r="C824" s="110"/>
      <c r="D824" s="110"/>
      <c r="E824" s="30"/>
      <c r="F824" s="30"/>
      <c r="G824" s="30"/>
      <c r="H824" s="30"/>
      <c r="I824" s="30"/>
      <c r="J824" s="30"/>
      <c r="K824" s="30"/>
      <c r="L824" s="18"/>
    </row>
    <row r="825" spans="2:12" ht="11.25" customHeight="1" x14ac:dyDescent="0.2">
      <c r="C825" s="4" t="s">
        <v>798</v>
      </c>
      <c r="D825" s="4" t="s">
        <v>866</v>
      </c>
      <c r="E825" s="13" t="s">
        <v>497</v>
      </c>
      <c r="F825" s="28">
        <v>283297</v>
      </c>
      <c r="G825" s="18">
        <v>0.20799999999999999</v>
      </c>
      <c r="H825" s="20">
        <f>TRUNC(($F825*G825),1)</f>
        <v>58925.7</v>
      </c>
      <c r="I825" s="18">
        <v>0.20799999999999999</v>
      </c>
      <c r="J825" s="20">
        <f>TRUNC(($F825*I825),1)</f>
        <v>58925.7</v>
      </c>
      <c r="K825" s="18">
        <v>0.20799999999999999</v>
      </c>
      <c r="L825" s="20">
        <f>TRUNC(($F825*K825),1)</f>
        <v>58925.7</v>
      </c>
    </row>
    <row r="826" spans="2:12" ht="11.25" customHeight="1" x14ac:dyDescent="0.2">
      <c r="C826" s="107" t="s">
        <v>1285</v>
      </c>
      <c r="D826" s="107"/>
      <c r="E826" s="23"/>
      <c r="F826" s="22"/>
      <c r="G826" s="22"/>
      <c r="H826" s="24">
        <f>TRUNC(SUM(H825:H825))</f>
        <v>58925</v>
      </c>
      <c r="I826" s="22"/>
      <c r="J826" s="24">
        <f>TRUNC(SUM(J825:J825))</f>
        <v>58925</v>
      </c>
      <c r="K826" s="22"/>
      <c r="L826" s="24">
        <f>TRUNC(SUM(L825:L825))</f>
        <v>58925</v>
      </c>
    </row>
    <row r="827" spans="2:12" ht="11.25" customHeight="1" x14ac:dyDescent="0.2">
      <c r="C827" s="107"/>
      <c r="D827" s="107"/>
      <c r="E827" s="23"/>
      <c r="F827" s="22"/>
      <c r="G827" s="22"/>
      <c r="H827" s="24"/>
      <c r="I827" s="22"/>
      <c r="J827" s="24"/>
      <c r="K827" s="22"/>
      <c r="L827" s="24"/>
    </row>
    <row r="828" spans="2:12" ht="11.25" customHeight="1" x14ac:dyDescent="0.2">
      <c r="B828" s="8" t="s">
        <v>995</v>
      </c>
      <c r="C828" s="4" t="s">
        <v>1354</v>
      </c>
      <c r="D828" s="106" t="s">
        <v>956</v>
      </c>
      <c r="E828" s="13" t="s">
        <v>746</v>
      </c>
      <c r="F828" s="66">
        <v>1854367000</v>
      </c>
      <c r="G828" s="19">
        <v>1661</v>
      </c>
      <c r="H828" s="20">
        <f>TRUNC($F828*G828*0.0000001,1)</f>
        <v>308010.3</v>
      </c>
      <c r="I828" s="21">
        <v>0</v>
      </c>
      <c r="J828" s="20">
        <f>TRUNC($F828*I828*0.0000001,1)</f>
        <v>0</v>
      </c>
      <c r="K828" s="21">
        <v>0</v>
      </c>
      <c r="L828" s="20">
        <f>TRUNC($F828*K828*0.0000001,1)</f>
        <v>0</v>
      </c>
    </row>
    <row r="829" spans="2:12" ht="11.25" customHeight="1" x14ac:dyDescent="0.2">
      <c r="B829" s="8" t="s">
        <v>996</v>
      </c>
      <c r="C829" s="4" t="s">
        <v>1354</v>
      </c>
      <c r="D829" s="106" t="s">
        <v>1351</v>
      </c>
      <c r="E829" s="13" t="s">
        <v>746</v>
      </c>
      <c r="F829" s="66">
        <v>2346636000</v>
      </c>
      <c r="G829" s="21">
        <v>0</v>
      </c>
      <c r="H829" s="20">
        <f>TRUNC($F829*G829*0.0000001,1)</f>
        <v>0</v>
      </c>
      <c r="I829" s="19">
        <v>1661</v>
      </c>
      <c r="J829" s="20">
        <f>TRUNC($F829*I829*0.0000001,1)</f>
        <v>389776.2</v>
      </c>
      <c r="K829" s="21">
        <v>0</v>
      </c>
      <c r="L829" s="20">
        <f>TRUNC($F829*K829*0.0000001,1)</f>
        <v>0</v>
      </c>
    </row>
    <row r="830" spans="2:12" ht="11.25" customHeight="1" x14ac:dyDescent="0.2">
      <c r="B830" s="8" t="s">
        <v>997</v>
      </c>
      <c r="C830" s="4" t="s">
        <v>1354</v>
      </c>
      <c r="D830" s="106" t="s">
        <v>1217</v>
      </c>
      <c r="E830" s="13" t="s">
        <v>746</v>
      </c>
      <c r="F830" s="66">
        <v>2737743000</v>
      </c>
      <c r="G830" s="21">
        <v>0</v>
      </c>
      <c r="H830" s="20">
        <f>TRUNC($F830*G830*0.0000001,1)</f>
        <v>0</v>
      </c>
      <c r="I830" s="21">
        <v>0</v>
      </c>
      <c r="J830" s="20">
        <f>TRUNC($F830*I830*0.0000001,1)</f>
        <v>0</v>
      </c>
      <c r="K830" s="19">
        <v>1661</v>
      </c>
      <c r="L830" s="20">
        <f>TRUNC($F830*K830*0.0000001,1)</f>
        <v>454739.1</v>
      </c>
    </row>
    <row r="831" spans="2:12" ht="11.25" customHeight="1" x14ac:dyDescent="0.2">
      <c r="C831" s="107" t="s">
        <v>1289</v>
      </c>
      <c r="D831" s="107"/>
      <c r="E831" s="23"/>
      <c r="F831" s="22"/>
      <c r="G831" s="22"/>
      <c r="H831" s="24">
        <f>TRUNC(SUM(H828:H830))</f>
        <v>308010</v>
      </c>
      <c r="I831" s="22"/>
      <c r="J831" s="24">
        <f>TRUNC(SUM(J828:J830))</f>
        <v>389776</v>
      </c>
      <c r="K831" s="22"/>
      <c r="L831" s="24">
        <f>TRUNC(SUM(L828:L830))</f>
        <v>454739</v>
      </c>
    </row>
    <row r="832" spans="2:12" ht="11.25" customHeight="1" x14ac:dyDescent="0.2">
      <c r="B832" s="29"/>
      <c r="C832" s="110"/>
      <c r="D832" s="110"/>
      <c r="E832" s="30"/>
      <c r="F832" s="30"/>
      <c r="G832" s="30"/>
      <c r="H832" s="30"/>
      <c r="I832" s="30"/>
      <c r="J832" s="30"/>
      <c r="K832" s="30"/>
      <c r="L832" s="18"/>
    </row>
    <row r="833" spans="1:15" ht="11.25" customHeight="1" x14ac:dyDescent="0.2">
      <c r="B833" s="16"/>
      <c r="C833" s="108" t="s">
        <v>1286</v>
      </c>
      <c r="D833" s="108"/>
      <c r="E833" s="103"/>
      <c r="F833" s="102"/>
      <c r="G833" s="102"/>
      <c r="H833" s="104">
        <f>TRUNC(H831+H823+H826)</f>
        <v>420920</v>
      </c>
      <c r="I833" s="102"/>
      <c r="J833" s="104">
        <f>TRUNC(J831+J823+J826)</f>
        <v>502686</v>
      </c>
      <c r="K833" s="102"/>
      <c r="L833" s="104">
        <f>TRUNC(L831+L823+L826)</f>
        <v>572557</v>
      </c>
    </row>
    <row r="834" spans="1:15" ht="11.25" customHeight="1" x14ac:dyDescent="0.2">
      <c r="B834" s="186" t="s">
        <v>427</v>
      </c>
      <c r="C834" s="187" t="s">
        <v>428</v>
      </c>
      <c r="D834" s="187" t="s">
        <v>429</v>
      </c>
      <c r="E834" s="188" t="s">
        <v>430</v>
      </c>
      <c r="F834" s="188" t="s">
        <v>431</v>
      </c>
      <c r="G834" s="94" t="s">
        <v>75</v>
      </c>
      <c r="H834" s="151"/>
      <c r="L834" s="1"/>
      <c r="M834" s="3"/>
      <c r="N834" s="3"/>
      <c r="O834" s="3"/>
    </row>
    <row r="835" spans="1:15" ht="11.25" customHeight="1" x14ac:dyDescent="0.2">
      <c r="A835" s="7"/>
      <c r="B835" s="186"/>
      <c r="C835" s="187"/>
      <c r="D835" s="187"/>
      <c r="E835" s="188"/>
      <c r="F835" s="188"/>
      <c r="G835" s="17" t="s">
        <v>436</v>
      </c>
      <c r="H835" s="17" t="s">
        <v>437</v>
      </c>
      <c r="L835" s="1"/>
      <c r="M835" s="3"/>
      <c r="N835" s="3"/>
      <c r="O835" s="3"/>
    </row>
    <row r="836" spans="1:15" ht="11.25" customHeight="1" x14ac:dyDescent="0.2">
      <c r="C836" s="4" t="s">
        <v>426</v>
      </c>
      <c r="D836" s="4"/>
      <c r="E836" s="13" t="s">
        <v>494</v>
      </c>
      <c r="F836" s="25">
        <v>1505.45</v>
      </c>
      <c r="G836" s="26">
        <v>24</v>
      </c>
      <c r="H836" s="20">
        <f>TRUNC(($F836*G836),1)</f>
        <v>36130.800000000003</v>
      </c>
      <c r="L836" s="1"/>
      <c r="M836" s="3"/>
      <c r="N836" s="3"/>
      <c r="O836" s="3"/>
    </row>
    <row r="837" spans="1:15" ht="11.25" customHeight="1" x14ac:dyDescent="0.2">
      <c r="C837" s="4" t="s">
        <v>878</v>
      </c>
      <c r="D837" s="4" t="s">
        <v>203</v>
      </c>
      <c r="E837" s="13" t="s">
        <v>232</v>
      </c>
      <c r="F837" s="18"/>
      <c r="G837" s="21">
        <v>63</v>
      </c>
      <c r="H837" s="20">
        <f>TRUNC(H836*G837*0.01,1)</f>
        <v>22762.400000000001</v>
      </c>
      <c r="L837" s="1"/>
      <c r="M837" s="3"/>
      <c r="N837" s="3"/>
      <c r="O837" s="3"/>
    </row>
    <row r="838" spans="1:15" ht="11.25" customHeight="1" x14ac:dyDescent="0.2">
      <c r="C838" s="107" t="s">
        <v>799</v>
      </c>
      <c r="D838" s="107"/>
      <c r="E838" s="23"/>
      <c r="F838" s="22"/>
      <c r="G838" s="22"/>
      <c r="H838" s="24">
        <f>TRUNC(SUM(H836:H837))</f>
        <v>58893</v>
      </c>
      <c r="L838" s="1"/>
      <c r="M838" s="3"/>
      <c r="N838" s="3"/>
      <c r="O838" s="3"/>
    </row>
    <row r="839" spans="1:15" ht="11.25" customHeight="1" x14ac:dyDescent="0.2">
      <c r="B839" s="29"/>
      <c r="C839" s="110"/>
      <c r="D839" s="110"/>
      <c r="E839" s="30"/>
      <c r="F839" s="30"/>
      <c r="G839" s="30"/>
      <c r="H839" s="18"/>
      <c r="L839" s="1"/>
      <c r="M839" s="3"/>
      <c r="N839" s="3"/>
      <c r="O839" s="3"/>
    </row>
    <row r="840" spans="1:15" ht="11.25" customHeight="1" x14ac:dyDescent="0.2">
      <c r="C840" s="4" t="s">
        <v>798</v>
      </c>
      <c r="D840" s="4" t="s">
        <v>866</v>
      </c>
      <c r="E840" s="13" t="s">
        <v>497</v>
      </c>
      <c r="F840" s="28">
        <v>283297</v>
      </c>
      <c r="G840" s="18">
        <v>0.20799999999999999</v>
      </c>
      <c r="H840" s="20">
        <f>TRUNC(($F840*G840),1)</f>
        <v>58925.7</v>
      </c>
      <c r="L840" s="1"/>
      <c r="M840" s="3"/>
      <c r="N840" s="3"/>
      <c r="O840" s="3"/>
    </row>
    <row r="841" spans="1:15" ht="11.25" customHeight="1" x14ac:dyDescent="0.2">
      <c r="C841" s="107" t="s">
        <v>1285</v>
      </c>
      <c r="D841" s="107"/>
      <c r="E841" s="23"/>
      <c r="F841" s="22"/>
      <c r="G841" s="22"/>
      <c r="H841" s="24">
        <f>TRUNC(SUM(H840:H840))</f>
        <v>58925</v>
      </c>
      <c r="L841" s="1"/>
      <c r="M841" s="3"/>
      <c r="N841" s="3"/>
      <c r="O841" s="3"/>
    </row>
    <row r="842" spans="1:15" ht="11.25" customHeight="1" x14ac:dyDescent="0.2">
      <c r="C842" s="107"/>
      <c r="D842" s="107"/>
      <c r="E842" s="23"/>
      <c r="F842" s="22"/>
      <c r="G842" s="22"/>
      <c r="H842" s="24"/>
      <c r="L842" s="1"/>
      <c r="M842" s="3"/>
      <c r="N842" s="3"/>
      <c r="O842" s="3"/>
    </row>
    <row r="843" spans="1:15" ht="11.25" customHeight="1" x14ac:dyDescent="0.2">
      <c r="B843" s="8" t="s">
        <v>1891</v>
      </c>
      <c r="C843" s="4" t="s">
        <v>1354</v>
      </c>
      <c r="D843" s="106" t="s">
        <v>75</v>
      </c>
      <c r="E843" s="13" t="s">
        <v>746</v>
      </c>
      <c r="F843" s="66">
        <v>3808346000</v>
      </c>
      <c r="G843" s="19">
        <v>1661</v>
      </c>
      <c r="H843" s="20">
        <f>TRUNC($F843*G843*0.0000001,1)</f>
        <v>632566.19999999995</v>
      </c>
      <c r="L843" s="1"/>
      <c r="M843" s="3"/>
      <c r="N843" s="3"/>
      <c r="O843" s="3"/>
    </row>
    <row r="844" spans="1:15" ht="11.25" customHeight="1" x14ac:dyDescent="0.2">
      <c r="C844" s="107" t="s">
        <v>1289</v>
      </c>
      <c r="D844" s="107"/>
      <c r="E844" s="23"/>
      <c r="F844" s="22"/>
      <c r="G844" s="22"/>
      <c r="H844" s="24">
        <f>TRUNC(SUM(H843:H843))</f>
        <v>632566</v>
      </c>
      <c r="L844" s="1"/>
      <c r="M844" s="3"/>
      <c r="N844" s="3"/>
      <c r="O844" s="3"/>
    </row>
    <row r="845" spans="1:15" ht="11.25" customHeight="1" x14ac:dyDescent="0.2">
      <c r="B845" s="29"/>
      <c r="C845" s="110"/>
      <c r="D845" s="110"/>
      <c r="E845" s="30"/>
      <c r="F845" s="30"/>
      <c r="G845" s="30"/>
      <c r="H845" s="18"/>
      <c r="L845" s="1"/>
      <c r="M845" s="3"/>
      <c r="N845" s="3"/>
      <c r="O845" s="3"/>
    </row>
    <row r="846" spans="1:15" ht="11.25" customHeight="1" x14ac:dyDescent="0.2">
      <c r="B846" s="16"/>
      <c r="C846" s="108" t="s">
        <v>1286</v>
      </c>
      <c r="D846" s="108"/>
      <c r="E846" s="103"/>
      <c r="F846" s="102"/>
      <c r="G846" s="102"/>
      <c r="H846" s="104">
        <f>TRUNC(H844+H838+H841)</f>
        <v>750384</v>
      </c>
      <c r="L846" s="1"/>
      <c r="M846" s="3"/>
      <c r="N846" s="3"/>
      <c r="O846" s="3"/>
    </row>
    <row r="847" spans="1:15" ht="11.25" customHeight="1" x14ac:dyDescent="0.2">
      <c r="O847" s="3"/>
    </row>
    <row r="848" spans="1:15" ht="11.25" customHeight="1" x14ac:dyDescent="0.2">
      <c r="B848" s="68" t="s">
        <v>1358</v>
      </c>
      <c r="C848" s="119"/>
      <c r="L848" s="49" t="s">
        <v>1307</v>
      </c>
      <c r="O848" s="3"/>
    </row>
    <row r="849" spans="2:12" ht="11.25" customHeight="1" x14ac:dyDescent="0.2">
      <c r="B849" s="186" t="s">
        <v>427</v>
      </c>
      <c r="C849" s="187" t="s">
        <v>428</v>
      </c>
      <c r="D849" s="187" t="s">
        <v>429</v>
      </c>
      <c r="E849" s="188" t="s">
        <v>430</v>
      </c>
      <c r="F849" s="188" t="s">
        <v>431</v>
      </c>
      <c r="G849" s="94" t="s">
        <v>425</v>
      </c>
      <c r="H849" s="151"/>
      <c r="I849" s="94" t="s">
        <v>424</v>
      </c>
      <c r="J849" s="151"/>
      <c r="K849" s="94" t="s">
        <v>81</v>
      </c>
      <c r="L849" s="151"/>
    </row>
    <row r="850" spans="2:12" ht="11.25" customHeight="1" x14ac:dyDescent="0.2">
      <c r="B850" s="186"/>
      <c r="C850" s="187"/>
      <c r="D850" s="187"/>
      <c r="E850" s="188"/>
      <c r="F850" s="188"/>
      <c r="G850" s="17" t="s">
        <v>436</v>
      </c>
      <c r="H850" s="17" t="s">
        <v>437</v>
      </c>
      <c r="I850" s="17" t="s">
        <v>436</v>
      </c>
      <c r="J850" s="17" t="s">
        <v>437</v>
      </c>
      <c r="K850" s="17" t="s">
        <v>436</v>
      </c>
      <c r="L850" s="17" t="s">
        <v>437</v>
      </c>
    </row>
    <row r="851" spans="2:12" ht="11.25" customHeight="1" x14ac:dyDescent="0.2">
      <c r="C851" s="4" t="s">
        <v>426</v>
      </c>
      <c r="D851" s="4"/>
      <c r="E851" s="13" t="s">
        <v>494</v>
      </c>
      <c r="F851" s="25">
        <v>1505.45</v>
      </c>
      <c r="G851" s="27">
        <v>2.9</v>
      </c>
      <c r="H851" s="20">
        <f>TRUNC(($F851*G851),1)</f>
        <v>4365.8</v>
      </c>
      <c r="I851" s="26">
        <v>3.1</v>
      </c>
      <c r="J851" s="20">
        <f>TRUNC(($F851*I851),1)</f>
        <v>4666.8</v>
      </c>
      <c r="K851" s="26">
        <v>5.0999999999999996</v>
      </c>
      <c r="L851" s="20">
        <f>TRUNC(($F851*K851),1)</f>
        <v>7677.7</v>
      </c>
    </row>
    <row r="852" spans="2:12" ht="11.25" customHeight="1" x14ac:dyDescent="0.2">
      <c r="C852" s="4" t="s">
        <v>878</v>
      </c>
      <c r="D852" s="4" t="s">
        <v>203</v>
      </c>
      <c r="E852" s="13" t="s">
        <v>232</v>
      </c>
      <c r="F852" s="18"/>
      <c r="G852" s="21">
        <v>20</v>
      </c>
      <c r="H852" s="20">
        <f>TRUNC(H851*G852*0.01,1)</f>
        <v>873.1</v>
      </c>
      <c r="I852" s="21">
        <v>20</v>
      </c>
      <c r="J852" s="20">
        <f>TRUNC(J851*I852*0.01,1)</f>
        <v>933.3</v>
      </c>
      <c r="K852" s="21">
        <v>20</v>
      </c>
      <c r="L852" s="20">
        <f>TRUNC(L851*K852*0.01,1)</f>
        <v>1535.5</v>
      </c>
    </row>
    <row r="853" spans="2:12" ht="11.25" customHeight="1" x14ac:dyDescent="0.2">
      <c r="C853" s="107" t="s">
        <v>799</v>
      </c>
      <c r="D853" s="107"/>
      <c r="E853" s="23"/>
      <c r="F853" s="22"/>
      <c r="G853" s="22"/>
      <c r="H853" s="24">
        <f>TRUNC(SUM(H851:H852))</f>
        <v>5238</v>
      </c>
      <c r="I853" s="22"/>
      <c r="J853" s="24">
        <f>TRUNC(SUM(J851:J852))</f>
        <v>5600</v>
      </c>
      <c r="K853" s="22"/>
      <c r="L853" s="24">
        <f>TRUNC(SUM(L851:L852))</f>
        <v>9213</v>
      </c>
    </row>
    <row r="854" spans="2:12" ht="11.25" customHeight="1" x14ac:dyDescent="0.2">
      <c r="B854" s="29"/>
      <c r="C854" s="110"/>
      <c r="D854" s="110"/>
      <c r="E854" s="30"/>
      <c r="F854" s="30"/>
      <c r="G854" s="30"/>
      <c r="H854" s="30"/>
      <c r="I854" s="30"/>
      <c r="J854" s="30"/>
      <c r="K854" s="30"/>
      <c r="L854" s="18"/>
    </row>
    <row r="855" spans="2:12" ht="11.25" customHeight="1" x14ac:dyDescent="0.2">
      <c r="C855" s="4" t="s">
        <v>873</v>
      </c>
      <c r="D855" s="4" t="s">
        <v>866</v>
      </c>
      <c r="E855" s="13" t="s">
        <v>497</v>
      </c>
      <c r="F855" s="28">
        <v>238936</v>
      </c>
      <c r="G855" s="18">
        <v>0.20799999999999999</v>
      </c>
      <c r="H855" s="20">
        <f>TRUNC(($F855*G855),1)</f>
        <v>49698.6</v>
      </c>
      <c r="I855" s="18">
        <v>0.20799999999999999</v>
      </c>
      <c r="J855" s="20">
        <f>TRUNC(($F855*I855),1)</f>
        <v>49698.6</v>
      </c>
      <c r="K855" s="18">
        <v>0.20799999999999999</v>
      </c>
      <c r="L855" s="20">
        <f>TRUNC(($F855*K855),1)</f>
        <v>49698.6</v>
      </c>
    </row>
    <row r="856" spans="2:12" ht="11.25" customHeight="1" x14ac:dyDescent="0.2">
      <c r="C856" s="107" t="s">
        <v>1285</v>
      </c>
      <c r="D856" s="107"/>
      <c r="E856" s="23"/>
      <c r="F856" s="60"/>
      <c r="G856" s="22"/>
      <c r="H856" s="24">
        <f>TRUNC(SUM(H855:H855))</f>
        <v>49698</v>
      </c>
      <c r="I856" s="22"/>
      <c r="J856" s="24">
        <f>TRUNC(SUM(J855:J855))</f>
        <v>49698</v>
      </c>
      <c r="K856" s="22"/>
      <c r="L856" s="24">
        <f>TRUNC(SUM(L855:L855))</f>
        <v>49698</v>
      </c>
    </row>
    <row r="857" spans="2:12" ht="11.25" customHeight="1" x14ac:dyDescent="0.2">
      <c r="B857" s="29"/>
      <c r="C857" s="110"/>
      <c r="D857" s="110"/>
      <c r="E857" s="30"/>
      <c r="F857" s="30"/>
      <c r="G857" s="30"/>
      <c r="H857" s="30"/>
      <c r="I857" s="30"/>
      <c r="J857" s="30"/>
      <c r="K857" s="30"/>
      <c r="L857" s="18"/>
    </row>
    <row r="858" spans="2:12" ht="11.25" customHeight="1" x14ac:dyDescent="0.2">
      <c r="B858" s="8" t="s">
        <v>768</v>
      </c>
      <c r="C858" s="4" t="s">
        <v>1359</v>
      </c>
      <c r="D858" s="106" t="s">
        <v>683</v>
      </c>
      <c r="E858" s="13" t="s">
        <v>746</v>
      </c>
      <c r="F858" s="66">
        <v>35307000</v>
      </c>
      <c r="G858" s="19">
        <v>2598</v>
      </c>
      <c r="H858" s="20">
        <f>TRUNC($F858*G858*0.0000001,1)</f>
        <v>9172.7000000000007</v>
      </c>
      <c r="I858" s="21">
        <v>0</v>
      </c>
      <c r="J858" s="20">
        <f>TRUNC($F858*I858*0.0000001,1)</f>
        <v>0</v>
      </c>
      <c r="K858" s="21">
        <v>0</v>
      </c>
      <c r="L858" s="20">
        <f>TRUNC($F858*K858*0.0000001,1)</f>
        <v>0</v>
      </c>
    </row>
    <row r="859" spans="2:12" ht="11.25" customHeight="1" x14ac:dyDescent="0.2">
      <c r="B859" s="8" t="s">
        <v>490</v>
      </c>
      <c r="C859" s="4" t="s">
        <v>1359</v>
      </c>
      <c r="D859" s="106" t="s">
        <v>735</v>
      </c>
      <c r="E859" s="13" t="s">
        <v>746</v>
      </c>
      <c r="F859" s="66">
        <v>39068000</v>
      </c>
      <c r="G859" s="21">
        <v>0</v>
      </c>
      <c r="H859" s="20">
        <f>TRUNC($F859*G859*0.0000001,1)</f>
        <v>0</v>
      </c>
      <c r="I859" s="19">
        <v>2598</v>
      </c>
      <c r="J859" s="20">
        <f>TRUNC($F859*I859*0.0000001,1)</f>
        <v>10149.799999999999</v>
      </c>
      <c r="K859" s="21">
        <v>0</v>
      </c>
      <c r="L859" s="20">
        <f>TRUNC($F859*K859*0.0000001,1)</f>
        <v>0</v>
      </c>
    </row>
    <row r="860" spans="2:12" ht="11.25" customHeight="1" x14ac:dyDescent="0.2">
      <c r="B860" s="8" t="s">
        <v>492</v>
      </c>
      <c r="C860" s="4" t="s">
        <v>1359</v>
      </c>
      <c r="D860" s="106" t="s">
        <v>736</v>
      </c>
      <c r="E860" s="13" t="s">
        <v>746</v>
      </c>
      <c r="F860" s="66">
        <v>42791000</v>
      </c>
      <c r="G860" s="21">
        <v>0</v>
      </c>
      <c r="H860" s="20">
        <f>TRUNC($F860*G860*0.0000001,1)</f>
        <v>0</v>
      </c>
      <c r="I860" s="21">
        <v>0</v>
      </c>
      <c r="J860" s="20">
        <f>TRUNC($F860*I860*0.0000001,1)</f>
        <v>0</v>
      </c>
      <c r="K860" s="19">
        <v>2598</v>
      </c>
      <c r="L860" s="20">
        <f>TRUNC($F860*K860*0.0000001,1)</f>
        <v>11117.1</v>
      </c>
    </row>
    <row r="861" spans="2:12" ht="11.25" customHeight="1" x14ac:dyDescent="0.2">
      <c r="C861" s="107" t="s">
        <v>1289</v>
      </c>
      <c r="D861" s="107"/>
      <c r="E861" s="23"/>
      <c r="F861" s="22"/>
      <c r="G861" s="22"/>
      <c r="H861" s="24">
        <f>TRUNC(SUM(H858:H860))</f>
        <v>9172</v>
      </c>
      <c r="I861" s="22"/>
      <c r="J861" s="24">
        <f>TRUNC(SUM(J858:J860))</f>
        <v>10149</v>
      </c>
      <c r="K861" s="22"/>
      <c r="L861" s="24">
        <f>TRUNC(SUM(L858:L860))</f>
        <v>11117</v>
      </c>
    </row>
    <row r="862" spans="2:12" ht="11.25" customHeight="1" x14ac:dyDescent="0.2">
      <c r="B862" s="29"/>
      <c r="C862" s="110"/>
      <c r="D862" s="110"/>
      <c r="E862" s="30"/>
      <c r="F862" s="30"/>
      <c r="G862" s="30"/>
      <c r="H862" s="30"/>
      <c r="I862" s="30"/>
      <c r="J862" s="30"/>
      <c r="K862" s="30"/>
      <c r="L862" s="18"/>
    </row>
    <row r="863" spans="2:12" ht="11.25" customHeight="1" x14ac:dyDescent="0.2">
      <c r="C863" s="126" t="s">
        <v>1286</v>
      </c>
      <c r="D863" s="126"/>
      <c r="E863" s="127"/>
      <c r="F863" s="125"/>
      <c r="G863" s="125"/>
      <c r="H863" s="128">
        <f>TRUNC(H861+H853+H856)</f>
        <v>64108</v>
      </c>
      <c r="I863" s="125"/>
      <c r="J863" s="128">
        <f>TRUNC(J861+J853+J856)</f>
        <v>65447</v>
      </c>
      <c r="K863" s="125"/>
      <c r="L863" s="128">
        <f>TRUNC(L861+L853+L856)</f>
        <v>70028</v>
      </c>
    </row>
    <row r="864" spans="2:12" ht="11.25" customHeight="1" x14ac:dyDescent="0.2">
      <c r="B864" s="186" t="s">
        <v>427</v>
      </c>
      <c r="C864" s="187" t="s">
        <v>428</v>
      </c>
      <c r="D864" s="187" t="s">
        <v>429</v>
      </c>
      <c r="E864" s="188" t="s">
        <v>430</v>
      </c>
      <c r="F864" s="188" t="s">
        <v>431</v>
      </c>
      <c r="G864" s="94" t="s">
        <v>663</v>
      </c>
      <c r="H864" s="151"/>
      <c r="I864" s="94" t="s">
        <v>64</v>
      </c>
      <c r="J864" s="151"/>
      <c r="K864" s="94" t="s">
        <v>998</v>
      </c>
      <c r="L864" s="151"/>
    </row>
    <row r="865" spans="2:12" ht="11.25" customHeight="1" x14ac:dyDescent="0.2">
      <c r="B865" s="186"/>
      <c r="C865" s="187"/>
      <c r="D865" s="187"/>
      <c r="E865" s="188"/>
      <c r="F865" s="188"/>
      <c r="G865" s="17" t="s">
        <v>436</v>
      </c>
      <c r="H865" s="17" t="s">
        <v>437</v>
      </c>
      <c r="I865" s="17" t="s">
        <v>436</v>
      </c>
      <c r="J865" s="17" t="s">
        <v>437</v>
      </c>
      <c r="K865" s="17" t="s">
        <v>436</v>
      </c>
      <c r="L865" s="17" t="s">
        <v>437</v>
      </c>
    </row>
    <row r="866" spans="2:12" ht="11.25" customHeight="1" x14ac:dyDescent="0.2">
      <c r="C866" s="4" t="s">
        <v>426</v>
      </c>
      <c r="D866" s="4"/>
      <c r="E866" s="13" t="s">
        <v>494</v>
      </c>
      <c r="F866" s="25">
        <v>1505.45</v>
      </c>
      <c r="G866" s="27">
        <v>10.3</v>
      </c>
      <c r="H866" s="20">
        <f>TRUNC(($F866*G866),1)</f>
        <v>15506.1</v>
      </c>
      <c r="I866" s="26">
        <v>11</v>
      </c>
      <c r="J866" s="20">
        <f>TRUNC(($F866*I866),1)</f>
        <v>16559.900000000001</v>
      </c>
      <c r="K866" s="26">
        <v>11.3</v>
      </c>
      <c r="L866" s="20">
        <f>TRUNC(($F866*K866),1)</f>
        <v>17011.5</v>
      </c>
    </row>
    <row r="867" spans="2:12" ht="11.25" customHeight="1" x14ac:dyDescent="0.2">
      <c r="C867" s="4" t="s">
        <v>878</v>
      </c>
      <c r="D867" s="4" t="s">
        <v>203</v>
      </c>
      <c r="E867" s="13" t="s">
        <v>232</v>
      </c>
      <c r="F867" s="18"/>
      <c r="G867" s="21">
        <v>20</v>
      </c>
      <c r="H867" s="20">
        <f>TRUNC(H866*G867*0.01,1)</f>
        <v>3101.2</v>
      </c>
      <c r="I867" s="21">
        <v>20</v>
      </c>
      <c r="J867" s="20">
        <f>TRUNC(J866*I867*0.01,1)</f>
        <v>3311.9</v>
      </c>
      <c r="K867" s="21">
        <v>20</v>
      </c>
      <c r="L867" s="20">
        <f>TRUNC(L866*K867*0.01,1)</f>
        <v>3402.3</v>
      </c>
    </row>
    <row r="868" spans="2:12" ht="11.25" customHeight="1" x14ac:dyDescent="0.2">
      <c r="C868" s="107" t="s">
        <v>799</v>
      </c>
      <c r="D868" s="107"/>
      <c r="E868" s="23"/>
      <c r="F868" s="22"/>
      <c r="G868" s="22"/>
      <c r="H868" s="24">
        <f>TRUNC(SUM(H866:H867))</f>
        <v>18607</v>
      </c>
      <c r="I868" s="22"/>
      <c r="J868" s="24">
        <f>TRUNC(SUM(J866:J867))</f>
        <v>19871</v>
      </c>
      <c r="K868" s="22"/>
      <c r="L868" s="24">
        <f>TRUNC(SUM(L866:L867))</f>
        <v>20413</v>
      </c>
    </row>
    <row r="869" spans="2:12" ht="11.25" customHeight="1" x14ac:dyDescent="0.2">
      <c r="B869" s="29"/>
      <c r="C869" s="110"/>
      <c r="D869" s="110"/>
      <c r="E869" s="30"/>
      <c r="F869" s="30"/>
      <c r="G869" s="30"/>
      <c r="H869" s="30"/>
      <c r="I869" s="30"/>
      <c r="J869" s="30"/>
      <c r="K869" s="30"/>
      <c r="L869" s="18"/>
    </row>
    <row r="870" spans="2:12" ht="11.25" customHeight="1" x14ac:dyDescent="0.2">
      <c r="C870" s="4" t="s">
        <v>873</v>
      </c>
      <c r="D870" s="4" t="s">
        <v>866</v>
      </c>
      <c r="E870" s="13" t="s">
        <v>497</v>
      </c>
      <c r="F870" s="28">
        <v>238936</v>
      </c>
      <c r="G870" s="18">
        <v>0.20799999999999999</v>
      </c>
      <c r="H870" s="20">
        <f>TRUNC(($F870*G870),1)</f>
        <v>49698.6</v>
      </c>
      <c r="I870" s="18">
        <v>0.20799999999999999</v>
      </c>
      <c r="J870" s="20">
        <f>TRUNC(($F870*I870),1)</f>
        <v>49698.6</v>
      </c>
      <c r="K870" s="18">
        <v>0.20799999999999999</v>
      </c>
      <c r="L870" s="20">
        <f>TRUNC(($F870*K870),1)</f>
        <v>49698.6</v>
      </c>
    </row>
    <row r="871" spans="2:12" ht="11.25" customHeight="1" x14ac:dyDescent="0.2">
      <c r="C871" s="107" t="s">
        <v>1285</v>
      </c>
      <c r="D871" s="107"/>
      <c r="E871" s="23"/>
      <c r="F871" s="60"/>
      <c r="G871" s="22"/>
      <c r="H871" s="24">
        <f>TRUNC(SUM(H870:H870))</f>
        <v>49698</v>
      </c>
      <c r="I871" s="22"/>
      <c r="J871" s="24">
        <f>TRUNC(SUM(J870:J870))</f>
        <v>49698</v>
      </c>
      <c r="K871" s="22"/>
      <c r="L871" s="24">
        <f>TRUNC(SUM(L870:L870))</f>
        <v>49698</v>
      </c>
    </row>
    <row r="872" spans="2:12" ht="11.25" customHeight="1" x14ac:dyDescent="0.2">
      <c r="B872" s="29"/>
      <c r="C872" s="110"/>
      <c r="D872" s="110"/>
      <c r="E872" s="30"/>
      <c r="F872" s="30"/>
      <c r="G872" s="30"/>
      <c r="H872" s="30"/>
      <c r="I872" s="30"/>
      <c r="J872" s="30"/>
      <c r="K872" s="30"/>
      <c r="L872" s="18"/>
    </row>
    <row r="873" spans="2:12" ht="11.25" customHeight="1" x14ac:dyDescent="0.2">
      <c r="B873" s="8" t="s">
        <v>585</v>
      </c>
      <c r="C873" s="4" t="s">
        <v>1359</v>
      </c>
      <c r="D873" s="106" t="s">
        <v>433</v>
      </c>
      <c r="E873" s="13" t="s">
        <v>746</v>
      </c>
      <c r="F873" s="66">
        <v>91593000</v>
      </c>
      <c r="G873" s="19">
        <v>2598</v>
      </c>
      <c r="H873" s="20">
        <f>TRUNC($F873*G873*0.0000001,1)</f>
        <v>23795.8</v>
      </c>
      <c r="I873" s="21">
        <v>0</v>
      </c>
      <c r="J873" s="20">
        <f>TRUNC($F873*I873*0.0000001,1)</f>
        <v>0</v>
      </c>
      <c r="K873" s="21">
        <v>0</v>
      </c>
      <c r="L873" s="20">
        <f>TRUNC($F873*K873*0.0000001,1)</f>
        <v>0</v>
      </c>
    </row>
    <row r="874" spans="2:12" ht="11.25" customHeight="1" x14ac:dyDescent="0.2">
      <c r="B874" s="8" t="s">
        <v>586</v>
      </c>
      <c r="C874" s="4" t="s">
        <v>1359</v>
      </c>
      <c r="D874" s="106" t="s">
        <v>767</v>
      </c>
      <c r="E874" s="13" t="s">
        <v>746</v>
      </c>
      <c r="F874" s="66">
        <v>120584000</v>
      </c>
      <c r="G874" s="21">
        <v>0</v>
      </c>
      <c r="H874" s="20">
        <f>TRUNC($F874*G874*0.0000001,1)</f>
        <v>0</v>
      </c>
      <c r="I874" s="19">
        <v>2598</v>
      </c>
      <c r="J874" s="20">
        <f>TRUNC($F874*I874*0.0000001,1)</f>
        <v>31327.7</v>
      </c>
      <c r="K874" s="21">
        <v>0</v>
      </c>
      <c r="L874" s="20">
        <f>TRUNC($F874*K874*0.0000001,1)</f>
        <v>0</v>
      </c>
    </row>
    <row r="875" spans="2:12" ht="11.25" customHeight="1" x14ac:dyDescent="0.2">
      <c r="B875" s="8" t="s">
        <v>587</v>
      </c>
      <c r="C875" s="4" t="s">
        <v>1359</v>
      </c>
      <c r="D875" s="106" t="s">
        <v>1360</v>
      </c>
      <c r="E875" s="13" t="s">
        <v>746</v>
      </c>
      <c r="F875" s="66">
        <v>128286000</v>
      </c>
      <c r="G875" s="21">
        <v>0</v>
      </c>
      <c r="H875" s="20">
        <f>TRUNC($F875*G875*0.0000001,1)</f>
        <v>0</v>
      </c>
      <c r="I875" s="21">
        <v>0</v>
      </c>
      <c r="J875" s="20">
        <f>TRUNC($F875*I875*0.0000001,1)</f>
        <v>0</v>
      </c>
      <c r="K875" s="19">
        <v>2598</v>
      </c>
      <c r="L875" s="20">
        <f>TRUNC($F875*K875*0.0000001,1)</f>
        <v>33328.699999999997</v>
      </c>
    </row>
    <row r="876" spans="2:12" ht="11.25" customHeight="1" x14ac:dyDescent="0.2">
      <c r="C876" s="107" t="s">
        <v>1289</v>
      </c>
      <c r="D876" s="107"/>
      <c r="E876" s="23"/>
      <c r="F876" s="22"/>
      <c r="G876" s="22"/>
      <c r="H876" s="24">
        <f>TRUNC(SUM(H873:H875))</f>
        <v>23795</v>
      </c>
      <c r="I876" s="22"/>
      <c r="J876" s="24">
        <f>TRUNC(SUM(J873:J875))</f>
        <v>31327</v>
      </c>
      <c r="K876" s="22"/>
      <c r="L876" s="24">
        <f>TRUNC(SUM(L873:L875))</f>
        <v>33328</v>
      </c>
    </row>
    <row r="877" spans="2:12" ht="11.25" customHeight="1" x14ac:dyDescent="0.2">
      <c r="B877" s="29"/>
      <c r="C877" s="110"/>
      <c r="D877" s="110"/>
      <c r="E877" s="30"/>
      <c r="F877" s="30"/>
      <c r="G877" s="30"/>
      <c r="H877" s="30"/>
      <c r="I877" s="30"/>
      <c r="J877" s="30"/>
      <c r="K877" s="30"/>
      <c r="L877" s="18"/>
    </row>
    <row r="878" spans="2:12" ht="11.25" customHeight="1" x14ac:dyDescent="0.2">
      <c r="B878" s="16"/>
      <c r="C878" s="108" t="s">
        <v>1286</v>
      </c>
      <c r="D878" s="108"/>
      <c r="E878" s="103"/>
      <c r="F878" s="102"/>
      <c r="G878" s="102"/>
      <c r="H878" s="104">
        <f>TRUNC(H876+H868+H871)</f>
        <v>92100</v>
      </c>
      <c r="I878" s="102"/>
      <c r="J878" s="104">
        <f>TRUNC(J876+J868+J871)</f>
        <v>100896</v>
      </c>
      <c r="K878" s="102"/>
      <c r="L878" s="104">
        <f>TRUNC(L876+L868+L871)</f>
        <v>103439</v>
      </c>
    </row>
    <row r="879" spans="2:12" ht="11.25" customHeight="1" x14ac:dyDescent="0.2">
      <c r="C879" s="112"/>
      <c r="D879" s="112"/>
      <c r="E879" s="44"/>
      <c r="F879" s="43"/>
      <c r="G879" s="43"/>
      <c r="H879" s="36"/>
      <c r="I879" s="43"/>
      <c r="J879" s="36"/>
      <c r="K879" s="43"/>
      <c r="L879" s="36"/>
    </row>
    <row r="880" spans="2:12" ht="11.25" customHeight="1" x14ac:dyDescent="0.2">
      <c r="B880" s="8" t="s">
        <v>1361</v>
      </c>
      <c r="C880" s="119"/>
      <c r="L880" s="49" t="s">
        <v>1307</v>
      </c>
    </row>
    <row r="881" spans="2:12" ht="11.25" customHeight="1" x14ac:dyDescent="0.2">
      <c r="B881" s="186" t="s">
        <v>427</v>
      </c>
      <c r="C881" s="187" t="s">
        <v>428</v>
      </c>
      <c r="D881" s="187" t="s">
        <v>429</v>
      </c>
      <c r="E881" s="188" t="s">
        <v>430</v>
      </c>
      <c r="F881" s="188" t="s">
        <v>431</v>
      </c>
      <c r="G881" s="94" t="s">
        <v>425</v>
      </c>
      <c r="H881" s="151"/>
      <c r="I881" s="94" t="s">
        <v>424</v>
      </c>
      <c r="J881" s="151"/>
      <c r="K881" s="94" t="s">
        <v>81</v>
      </c>
      <c r="L881" s="151"/>
    </row>
    <row r="882" spans="2:12" ht="11.25" customHeight="1" x14ac:dyDescent="0.2">
      <c r="B882" s="186"/>
      <c r="C882" s="187"/>
      <c r="D882" s="187"/>
      <c r="E882" s="188"/>
      <c r="F882" s="188"/>
      <c r="G882" s="17" t="s">
        <v>436</v>
      </c>
      <c r="H882" s="17" t="s">
        <v>437</v>
      </c>
      <c r="I882" s="17" t="s">
        <v>436</v>
      </c>
      <c r="J882" s="17" t="s">
        <v>437</v>
      </c>
      <c r="K882" s="17" t="s">
        <v>436</v>
      </c>
      <c r="L882" s="17" t="s">
        <v>437</v>
      </c>
    </row>
    <row r="883" spans="2:12" ht="11.25" customHeight="1" x14ac:dyDescent="0.2">
      <c r="C883" s="4" t="s">
        <v>426</v>
      </c>
      <c r="D883" s="4"/>
      <c r="E883" s="13" t="s">
        <v>494</v>
      </c>
      <c r="F883" s="25">
        <v>1505.45</v>
      </c>
      <c r="G883" s="27">
        <v>2.9</v>
      </c>
      <c r="H883" s="20">
        <f>TRUNC(($F883*G883),1)</f>
        <v>4365.8</v>
      </c>
      <c r="I883" s="26">
        <v>3.1</v>
      </c>
      <c r="J883" s="20">
        <f>TRUNC(($F883*I883),1)</f>
        <v>4666.8</v>
      </c>
      <c r="K883" s="26">
        <v>5.0999999999999996</v>
      </c>
      <c r="L883" s="20">
        <f>TRUNC(($F883*K883),1)</f>
        <v>7677.7</v>
      </c>
    </row>
    <row r="884" spans="2:12" ht="11.25" customHeight="1" x14ac:dyDescent="0.2">
      <c r="C884" s="4" t="s">
        <v>878</v>
      </c>
      <c r="D884" s="4" t="s">
        <v>203</v>
      </c>
      <c r="E884" s="13" t="s">
        <v>232</v>
      </c>
      <c r="F884" s="18"/>
      <c r="G884" s="21">
        <v>20</v>
      </c>
      <c r="H884" s="20">
        <f>TRUNC(H883*G884*0.01,1)</f>
        <v>873.1</v>
      </c>
      <c r="I884" s="21">
        <v>20</v>
      </c>
      <c r="J884" s="20">
        <f>TRUNC(J883*I884*0.01,1)</f>
        <v>933.3</v>
      </c>
      <c r="K884" s="21">
        <v>20</v>
      </c>
      <c r="L884" s="20">
        <f>TRUNC(L883*K884*0.01,1)</f>
        <v>1535.5</v>
      </c>
    </row>
    <row r="885" spans="2:12" ht="11.25" customHeight="1" x14ac:dyDescent="0.2">
      <c r="C885" s="107" t="s">
        <v>799</v>
      </c>
      <c r="D885" s="107"/>
      <c r="E885" s="23"/>
      <c r="F885" s="22"/>
      <c r="G885" s="22"/>
      <c r="H885" s="24">
        <f>TRUNC(SUM(H883:H884))</f>
        <v>5238</v>
      </c>
      <c r="I885" s="22"/>
      <c r="J885" s="24">
        <f>TRUNC(SUM(J883:J884))</f>
        <v>5600</v>
      </c>
      <c r="K885" s="22"/>
      <c r="L885" s="24">
        <f>TRUNC(SUM(L883:L884))</f>
        <v>9213</v>
      </c>
    </row>
    <row r="886" spans="2:12" ht="11.25" customHeight="1" x14ac:dyDescent="0.2">
      <c r="B886" s="29"/>
      <c r="C886" s="110"/>
      <c r="D886" s="110"/>
      <c r="E886" s="30"/>
      <c r="F886" s="30"/>
      <c r="G886" s="30"/>
      <c r="H886" s="30"/>
      <c r="I886" s="30"/>
      <c r="J886" s="30"/>
      <c r="K886" s="30"/>
      <c r="L886" s="18"/>
    </row>
    <row r="887" spans="2:12" ht="11.25" customHeight="1" x14ac:dyDescent="0.2">
      <c r="C887" s="4" t="s">
        <v>873</v>
      </c>
      <c r="D887" s="4" t="s">
        <v>866</v>
      </c>
      <c r="E887" s="13" t="s">
        <v>497</v>
      </c>
      <c r="F887" s="28">
        <v>238936</v>
      </c>
      <c r="G887" s="18">
        <v>0.20799999999999999</v>
      </c>
      <c r="H887" s="20">
        <f>TRUNC(($F887*G887),1)</f>
        <v>49698.6</v>
      </c>
      <c r="I887" s="18">
        <v>0.20799999999999999</v>
      </c>
      <c r="J887" s="20">
        <f>TRUNC(($F887*I887),1)</f>
        <v>49698.6</v>
      </c>
      <c r="K887" s="18">
        <v>0.20799999999999999</v>
      </c>
      <c r="L887" s="20">
        <f>TRUNC(($F887*K887),1)</f>
        <v>49698.6</v>
      </c>
    </row>
    <row r="888" spans="2:12" ht="11.25" customHeight="1" x14ac:dyDescent="0.2">
      <c r="C888" s="107" t="s">
        <v>1285</v>
      </c>
      <c r="D888" s="107"/>
      <c r="E888" s="23"/>
      <c r="F888" s="60"/>
      <c r="G888" s="22"/>
      <c r="H888" s="24">
        <f>TRUNC(SUM(H887:H887))</f>
        <v>49698</v>
      </c>
      <c r="I888" s="22"/>
      <c r="J888" s="24">
        <f>TRUNC(SUM(J887:J887))</f>
        <v>49698</v>
      </c>
      <c r="K888" s="22"/>
      <c r="L888" s="24">
        <f>TRUNC(SUM(L887:L887))</f>
        <v>49698</v>
      </c>
    </row>
    <row r="889" spans="2:12" ht="11.25" customHeight="1" x14ac:dyDescent="0.2">
      <c r="B889" s="29"/>
      <c r="C889" s="110"/>
      <c r="D889" s="110"/>
      <c r="E889" s="30"/>
      <c r="F889" s="30"/>
      <c r="G889" s="30"/>
      <c r="H889" s="30"/>
      <c r="I889" s="30"/>
      <c r="J889" s="30"/>
      <c r="K889" s="30"/>
      <c r="L889" s="18"/>
    </row>
    <row r="890" spans="2:12" ht="11.25" customHeight="1" x14ac:dyDescent="0.2">
      <c r="B890" s="8" t="s">
        <v>1265</v>
      </c>
      <c r="C890" s="106" t="s">
        <v>1278</v>
      </c>
      <c r="D890" s="106" t="s">
        <v>683</v>
      </c>
      <c r="E890" s="13" t="s">
        <v>746</v>
      </c>
      <c r="F890" s="66">
        <v>41165000</v>
      </c>
      <c r="G890" s="19">
        <v>2598</v>
      </c>
      <c r="H890" s="20">
        <f>TRUNC($F890*G890*0.0000001,1)</f>
        <v>10694.6</v>
      </c>
      <c r="I890" s="21">
        <v>0</v>
      </c>
      <c r="J890" s="20">
        <f>TRUNC($F890*I890*0.0000001,1)</f>
        <v>0</v>
      </c>
      <c r="K890" s="21">
        <v>0</v>
      </c>
      <c r="L890" s="20">
        <f>TRUNC($F890*K890*0.0000001,1)</f>
        <v>0</v>
      </c>
    </row>
    <row r="891" spans="2:12" ht="11.25" customHeight="1" x14ac:dyDescent="0.2">
      <c r="B891" s="8" t="s">
        <v>1266</v>
      </c>
      <c r="C891" s="106" t="s">
        <v>1278</v>
      </c>
      <c r="D891" s="106" t="s">
        <v>735</v>
      </c>
      <c r="E891" s="13" t="s">
        <v>746</v>
      </c>
      <c r="F891" s="66">
        <v>66960000</v>
      </c>
      <c r="G891" s="21">
        <v>0</v>
      </c>
      <c r="H891" s="20">
        <f>TRUNC($F891*G891*0.0000001,1)</f>
        <v>0</v>
      </c>
      <c r="I891" s="19">
        <v>2598</v>
      </c>
      <c r="J891" s="20">
        <f>TRUNC($F891*I891*0.0000001,1)</f>
        <v>17396.2</v>
      </c>
      <c r="K891" s="21">
        <v>0</v>
      </c>
      <c r="L891" s="20">
        <f>TRUNC($F891*K891*0.0000001,1)</f>
        <v>0</v>
      </c>
    </row>
    <row r="892" spans="2:12" ht="11.25" customHeight="1" x14ac:dyDescent="0.2">
      <c r="B892" s="8" t="s">
        <v>1267</v>
      </c>
      <c r="C892" s="106" t="s">
        <v>1278</v>
      </c>
      <c r="D892" s="106" t="s">
        <v>736</v>
      </c>
      <c r="E892" s="13" t="s">
        <v>746</v>
      </c>
      <c r="F892" s="66">
        <v>140857000</v>
      </c>
      <c r="G892" s="21">
        <v>0</v>
      </c>
      <c r="H892" s="20">
        <f>TRUNC($F892*G892*0.0000001,1)</f>
        <v>0</v>
      </c>
      <c r="I892" s="21">
        <v>0</v>
      </c>
      <c r="J892" s="20">
        <f>TRUNC($F892*I892*0.0000001,1)</f>
        <v>0</v>
      </c>
      <c r="K892" s="19">
        <v>2598</v>
      </c>
      <c r="L892" s="20">
        <f>TRUNC($F892*K892*0.0000001,1)</f>
        <v>36594.6</v>
      </c>
    </row>
    <row r="893" spans="2:12" ht="11.25" customHeight="1" x14ac:dyDescent="0.2">
      <c r="C893" s="107" t="s">
        <v>1289</v>
      </c>
      <c r="D893" s="107"/>
      <c r="E893" s="23"/>
      <c r="F893" s="22"/>
      <c r="G893" s="22"/>
      <c r="H893" s="24">
        <f>TRUNC(SUM(H890:H892))</f>
        <v>10694</v>
      </c>
      <c r="I893" s="22"/>
      <c r="J893" s="24">
        <f>TRUNC(SUM(J890:J892))</f>
        <v>17396</v>
      </c>
      <c r="K893" s="22"/>
      <c r="L893" s="24">
        <f>TRUNC(SUM(L890:L892))</f>
        <v>36594</v>
      </c>
    </row>
    <row r="894" spans="2:12" ht="11.25" customHeight="1" x14ac:dyDescent="0.2">
      <c r="B894" s="29"/>
      <c r="C894" s="110"/>
      <c r="D894" s="110"/>
      <c r="E894" s="30"/>
      <c r="F894" s="30"/>
      <c r="G894" s="30"/>
      <c r="H894" s="30"/>
      <c r="I894" s="30"/>
      <c r="J894" s="30"/>
      <c r="K894" s="30"/>
      <c r="L894" s="18"/>
    </row>
    <row r="895" spans="2:12" ht="11.25" customHeight="1" x14ac:dyDescent="0.2">
      <c r="B895" s="16"/>
      <c r="C895" s="108" t="s">
        <v>1286</v>
      </c>
      <c r="D895" s="108"/>
      <c r="E895" s="103"/>
      <c r="F895" s="102"/>
      <c r="G895" s="102"/>
      <c r="H895" s="104">
        <f>TRUNC(H893+H885+H888)</f>
        <v>65630</v>
      </c>
      <c r="I895" s="102"/>
      <c r="J895" s="104">
        <f>TRUNC(J893+J885+J888)</f>
        <v>72694</v>
      </c>
      <c r="K895" s="102"/>
      <c r="L895" s="104">
        <f>TRUNC(L893+L885+L888)</f>
        <v>95505</v>
      </c>
    </row>
    <row r="896" spans="2:12" ht="11.25" customHeight="1" x14ac:dyDescent="0.2">
      <c r="C896" s="112"/>
      <c r="D896" s="112"/>
      <c r="E896" s="44"/>
      <c r="F896" s="43"/>
      <c r="G896" s="43"/>
      <c r="H896" s="36"/>
      <c r="I896" s="43"/>
      <c r="J896" s="36"/>
      <c r="K896" s="43"/>
      <c r="L896" s="36"/>
    </row>
    <row r="897" spans="2:12" ht="11.25" customHeight="1" x14ac:dyDescent="0.2">
      <c r="B897" s="8" t="s">
        <v>1362</v>
      </c>
      <c r="C897" s="119"/>
      <c r="H897" s="49" t="s">
        <v>1307</v>
      </c>
    </row>
    <row r="898" spans="2:12" ht="11.25" customHeight="1" x14ac:dyDescent="0.2">
      <c r="B898" s="186" t="s">
        <v>427</v>
      </c>
      <c r="C898" s="187" t="s">
        <v>428</v>
      </c>
      <c r="D898" s="187" t="s">
        <v>429</v>
      </c>
      <c r="E898" s="188" t="s">
        <v>430</v>
      </c>
      <c r="F898" s="188" t="s">
        <v>431</v>
      </c>
      <c r="G898" s="94" t="s">
        <v>1268</v>
      </c>
      <c r="H898" s="151"/>
    </row>
    <row r="899" spans="2:12" ht="11.25" customHeight="1" x14ac:dyDescent="0.2">
      <c r="B899" s="186"/>
      <c r="C899" s="187"/>
      <c r="D899" s="187"/>
      <c r="E899" s="188"/>
      <c r="F899" s="188"/>
      <c r="G899" s="17" t="s">
        <v>436</v>
      </c>
      <c r="H899" s="17" t="s">
        <v>437</v>
      </c>
    </row>
    <row r="900" spans="2:12" ht="11.25" customHeight="1" x14ac:dyDescent="0.2">
      <c r="C900" s="4" t="s">
        <v>426</v>
      </c>
      <c r="D900" s="4"/>
      <c r="E900" s="13" t="s">
        <v>494</v>
      </c>
      <c r="F900" s="25">
        <v>1505.45</v>
      </c>
      <c r="G900" s="27">
        <v>5.0999999999999996</v>
      </c>
      <c r="H900" s="20">
        <f>TRUNC(($F900*G900),1)</f>
        <v>7677.7</v>
      </c>
    </row>
    <row r="901" spans="2:12" ht="11.25" customHeight="1" x14ac:dyDescent="0.2">
      <c r="C901" s="4" t="s">
        <v>878</v>
      </c>
      <c r="D901" s="4" t="s">
        <v>203</v>
      </c>
      <c r="E901" s="13" t="s">
        <v>232</v>
      </c>
      <c r="F901" s="18"/>
      <c r="G901" s="21">
        <v>20</v>
      </c>
      <c r="H901" s="20">
        <f>TRUNC(H900*G901*0.01,1)</f>
        <v>1535.5</v>
      </c>
    </row>
    <row r="902" spans="2:12" ht="11.25" customHeight="1" x14ac:dyDescent="0.2">
      <c r="C902" s="107" t="s">
        <v>799</v>
      </c>
      <c r="D902" s="107"/>
      <c r="E902" s="23"/>
      <c r="F902" s="22"/>
      <c r="G902" s="22"/>
      <c r="H902" s="24">
        <f>TRUNC(SUM(H900:H901))</f>
        <v>9213</v>
      </c>
    </row>
    <row r="903" spans="2:12" ht="11.25" customHeight="1" x14ac:dyDescent="0.2">
      <c r="C903" s="4"/>
      <c r="D903" s="4"/>
      <c r="E903" s="13"/>
      <c r="F903" s="25"/>
      <c r="G903" s="27"/>
      <c r="H903" s="20"/>
    </row>
    <row r="904" spans="2:12" ht="11.25" customHeight="1" x14ac:dyDescent="0.2">
      <c r="C904" s="4" t="s">
        <v>873</v>
      </c>
      <c r="D904" s="4" t="s">
        <v>866</v>
      </c>
      <c r="E904" s="13" t="s">
        <v>497</v>
      </c>
      <c r="F904" s="28">
        <v>238936</v>
      </c>
      <c r="G904" s="18">
        <v>0.20799999999999999</v>
      </c>
      <c r="H904" s="20">
        <f>TRUNC(($F904*G904),1)</f>
        <v>49698.6</v>
      </c>
    </row>
    <row r="905" spans="2:12" ht="11.25" customHeight="1" x14ac:dyDescent="0.2">
      <c r="C905" s="107" t="s">
        <v>1285</v>
      </c>
      <c r="D905" s="107"/>
      <c r="E905" s="23"/>
      <c r="F905" s="60"/>
      <c r="G905" s="22"/>
      <c r="H905" s="24">
        <f>TRUNC(SUM(H904:H904))</f>
        <v>49698</v>
      </c>
    </row>
    <row r="906" spans="2:12" ht="11.25" customHeight="1" x14ac:dyDescent="0.2">
      <c r="C906" s="4"/>
      <c r="D906" s="4"/>
      <c r="E906" s="13"/>
      <c r="F906" s="25"/>
      <c r="G906" s="27"/>
      <c r="H906" s="20"/>
    </row>
    <row r="907" spans="2:12" ht="11.25" customHeight="1" x14ac:dyDescent="0.2">
      <c r="B907" s="8" t="s">
        <v>1269</v>
      </c>
      <c r="C907" s="4" t="s">
        <v>1363</v>
      </c>
      <c r="D907" s="106" t="s">
        <v>1364</v>
      </c>
      <c r="E907" s="13" t="s">
        <v>746</v>
      </c>
      <c r="F907" s="66">
        <v>88565000</v>
      </c>
      <c r="G907" s="19">
        <v>2598</v>
      </c>
      <c r="H907" s="20">
        <f>TRUNC($F907*G907*0.0000001,1)</f>
        <v>23009.1</v>
      </c>
    </row>
    <row r="908" spans="2:12" ht="11.25" customHeight="1" x14ac:dyDescent="0.2">
      <c r="C908" s="107" t="s">
        <v>1289</v>
      </c>
      <c r="D908" s="107"/>
      <c r="E908" s="23"/>
      <c r="F908" s="22"/>
      <c r="G908" s="22"/>
      <c r="H908" s="24">
        <f>TRUNC(SUM(H907:H907))</f>
        <v>23009</v>
      </c>
    </row>
    <row r="909" spans="2:12" ht="11.25" customHeight="1" x14ac:dyDescent="0.2">
      <c r="C909" s="4"/>
      <c r="D909" s="4"/>
      <c r="E909" s="13"/>
      <c r="F909" s="25"/>
      <c r="G909" s="27"/>
      <c r="H909" s="20"/>
    </row>
    <row r="910" spans="2:12" ht="11.25" customHeight="1" x14ac:dyDescent="0.2">
      <c r="B910" s="16"/>
      <c r="C910" s="108" t="s">
        <v>1286</v>
      </c>
      <c r="D910" s="108"/>
      <c r="E910" s="103"/>
      <c r="F910" s="102"/>
      <c r="G910" s="102"/>
      <c r="H910" s="104">
        <f>TRUNC(H908+H902+H905)</f>
        <v>81920</v>
      </c>
    </row>
    <row r="911" spans="2:12" ht="11.25" customHeight="1" x14ac:dyDescent="0.2">
      <c r="C911" s="112"/>
      <c r="D911" s="112"/>
      <c r="E911" s="44"/>
      <c r="F911" s="43"/>
      <c r="G911" s="43"/>
      <c r="H911" s="36"/>
      <c r="I911" s="43"/>
      <c r="J911" s="36"/>
      <c r="K911" s="43"/>
      <c r="L911" s="36"/>
    </row>
    <row r="912" spans="2:12" ht="11.25" customHeight="1" x14ac:dyDescent="0.2">
      <c r="B912" s="8" t="s">
        <v>1365</v>
      </c>
      <c r="L912" s="49" t="s">
        <v>1307</v>
      </c>
    </row>
    <row r="913" spans="1:12" ht="11.25" customHeight="1" x14ac:dyDescent="0.2">
      <c r="B913" s="186" t="s">
        <v>427</v>
      </c>
      <c r="C913" s="187" t="s">
        <v>428</v>
      </c>
      <c r="D913" s="187" t="s">
        <v>429</v>
      </c>
      <c r="E913" s="188" t="s">
        <v>430</v>
      </c>
      <c r="F913" s="188" t="s">
        <v>431</v>
      </c>
      <c r="G913" s="94" t="s">
        <v>80</v>
      </c>
      <c r="H913" s="151"/>
      <c r="I913" s="94" t="s">
        <v>753</v>
      </c>
      <c r="J913" s="151"/>
      <c r="K913" s="94" t="s">
        <v>136</v>
      </c>
      <c r="L913" s="151"/>
    </row>
    <row r="914" spans="1:12" ht="11.25" customHeight="1" x14ac:dyDescent="0.2">
      <c r="B914" s="186"/>
      <c r="C914" s="187"/>
      <c r="D914" s="187"/>
      <c r="E914" s="188"/>
      <c r="F914" s="188"/>
      <c r="G914" s="17" t="s">
        <v>436</v>
      </c>
      <c r="H914" s="17" t="s">
        <v>437</v>
      </c>
      <c r="I914" s="17" t="s">
        <v>436</v>
      </c>
      <c r="J914" s="17" t="s">
        <v>437</v>
      </c>
      <c r="K914" s="17" t="s">
        <v>436</v>
      </c>
      <c r="L914" s="17" t="s">
        <v>437</v>
      </c>
    </row>
    <row r="915" spans="1:12" ht="11.25" customHeight="1" x14ac:dyDescent="0.2">
      <c r="B915" s="8" t="s">
        <v>369</v>
      </c>
      <c r="C915" s="4" t="s">
        <v>1366</v>
      </c>
      <c r="D915" s="106" t="s">
        <v>366</v>
      </c>
      <c r="E915" s="13" t="s">
        <v>746</v>
      </c>
      <c r="F915" s="66">
        <v>26044000</v>
      </c>
      <c r="G915" s="19">
        <v>1758</v>
      </c>
      <c r="H915" s="20">
        <f>TRUNC($F915*G915*0.0000001,1)</f>
        <v>4578.5</v>
      </c>
      <c r="I915" s="21">
        <v>0</v>
      </c>
      <c r="J915" s="20">
        <f>TRUNC($F915*I915*0.0000001,1)</f>
        <v>0</v>
      </c>
      <c r="K915" s="21">
        <v>0</v>
      </c>
      <c r="L915" s="20">
        <f>TRUNC($F915*K915*0.0000001,1)</f>
        <v>0</v>
      </c>
    </row>
    <row r="916" spans="1:12" ht="11.25" customHeight="1" x14ac:dyDescent="0.2">
      <c r="B916" s="8" t="s">
        <v>370</v>
      </c>
      <c r="C916" s="4" t="s">
        <v>1366</v>
      </c>
      <c r="D916" s="106" t="s">
        <v>367</v>
      </c>
      <c r="E916" s="13" t="s">
        <v>746</v>
      </c>
      <c r="F916" s="66">
        <v>33640000</v>
      </c>
      <c r="G916" s="21">
        <v>0</v>
      </c>
      <c r="H916" s="20">
        <f>TRUNC($F916*G916*0.0000001,1)</f>
        <v>0</v>
      </c>
      <c r="I916" s="19">
        <v>1758</v>
      </c>
      <c r="J916" s="20">
        <f>TRUNC($F916*I916*0.0000001,1)</f>
        <v>5913.9</v>
      </c>
      <c r="K916" s="21">
        <v>0</v>
      </c>
      <c r="L916" s="20">
        <f>TRUNC($F916*K916*0.0000001,1)</f>
        <v>0</v>
      </c>
    </row>
    <row r="917" spans="1:12" ht="11.25" customHeight="1" x14ac:dyDescent="0.2">
      <c r="B917" s="8" t="s">
        <v>371</v>
      </c>
      <c r="C917" s="4" t="s">
        <v>1366</v>
      </c>
      <c r="D917" s="106" t="s">
        <v>368</v>
      </c>
      <c r="E917" s="13" t="s">
        <v>746</v>
      </c>
      <c r="F917" s="66">
        <v>39066000</v>
      </c>
      <c r="G917" s="21">
        <v>0</v>
      </c>
      <c r="H917" s="20">
        <f>TRUNC($F917*G917*0.0000001,1)</f>
        <v>0</v>
      </c>
      <c r="I917" s="21">
        <v>0</v>
      </c>
      <c r="J917" s="20">
        <f>TRUNC($F917*I917*0.0000001,1)</f>
        <v>0</v>
      </c>
      <c r="K917" s="19">
        <v>1758</v>
      </c>
      <c r="L917" s="20">
        <f>TRUNC($F917*K917*0.0000001,1)</f>
        <v>6867.8</v>
      </c>
    </row>
    <row r="918" spans="1:12" ht="11.25" customHeight="1" x14ac:dyDescent="0.2">
      <c r="A918" s="7"/>
      <c r="C918" s="107" t="s">
        <v>1289</v>
      </c>
      <c r="D918" s="107"/>
      <c r="E918" s="23"/>
      <c r="F918" s="22"/>
      <c r="G918" s="22"/>
      <c r="H918" s="24">
        <f>TRUNC(SUM(H915:H917))</f>
        <v>4578</v>
      </c>
      <c r="I918" s="22"/>
      <c r="J918" s="24">
        <f>TRUNC(SUM(J915:J917))</f>
        <v>5913</v>
      </c>
      <c r="K918" s="22"/>
      <c r="L918" s="24">
        <f>TRUNC(SUM(L915:L917))</f>
        <v>6867</v>
      </c>
    </row>
    <row r="919" spans="1:12" ht="11.25" customHeight="1" x14ac:dyDescent="0.2">
      <c r="C919" s="107"/>
      <c r="D919" s="107"/>
      <c r="E919" s="23"/>
      <c r="F919" s="22"/>
      <c r="G919" s="22"/>
      <c r="H919" s="24"/>
      <c r="I919" s="22"/>
      <c r="J919" s="24"/>
      <c r="K919" s="22"/>
      <c r="L919" s="24"/>
    </row>
    <row r="920" spans="1:12" ht="11.25" customHeight="1" x14ac:dyDescent="0.2">
      <c r="B920" s="62"/>
      <c r="C920" s="108" t="s">
        <v>1286</v>
      </c>
      <c r="D920" s="108"/>
      <c r="E920" s="102"/>
      <c r="F920" s="102"/>
      <c r="G920" s="102"/>
      <c r="H920" s="104">
        <f>H918</f>
        <v>4578</v>
      </c>
      <c r="I920" s="102"/>
      <c r="J920" s="104">
        <f>J918</f>
        <v>5913</v>
      </c>
      <c r="K920" s="102"/>
      <c r="L920" s="104">
        <f>L918</f>
        <v>6867</v>
      </c>
    </row>
    <row r="922" spans="1:12" ht="11.25" customHeight="1" x14ac:dyDescent="0.2">
      <c r="B922" s="8" t="s">
        <v>1367</v>
      </c>
      <c r="J922" s="49" t="s">
        <v>1307</v>
      </c>
    </row>
    <row r="923" spans="1:12" ht="11.25" customHeight="1" x14ac:dyDescent="0.2">
      <c r="B923" s="186" t="s">
        <v>427</v>
      </c>
      <c r="C923" s="187" t="s">
        <v>428</v>
      </c>
      <c r="D923" s="187" t="s">
        <v>429</v>
      </c>
      <c r="E923" s="188" t="s">
        <v>430</v>
      </c>
      <c r="F923" s="188" t="s">
        <v>431</v>
      </c>
      <c r="G923" s="94" t="s">
        <v>753</v>
      </c>
      <c r="H923" s="151"/>
      <c r="I923" s="94" t="s">
        <v>136</v>
      </c>
      <c r="J923" s="151"/>
    </row>
    <row r="924" spans="1:12" ht="11.25" customHeight="1" x14ac:dyDescent="0.2">
      <c r="B924" s="186"/>
      <c r="C924" s="187"/>
      <c r="D924" s="187"/>
      <c r="E924" s="188"/>
      <c r="F924" s="188"/>
      <c r="G924" s="17" t="s">
        <v>436</v>
      </c>
      <c r="H924" s="17" t="s">
        <v>437</v>
      </c>
      <c r="I924" s="17" t="s">
        <v>436</v>
      </c>
      <c r="J924" s="17" t="s">
        <v>437</v>
      </c>
    </row>
    <row r="925" spans="1:12" ht="11.25" customHeight="1" x14ac:dyDescent="0.2">
      <c r="B925" s="8" t="s">
        <v>752</v>
      </c>
      <c r="C925" s="4" t="s">
        <v>1368</v>
      </c>
      <c r="D925" s="106" t="s">
        <v>367</v>
      </c>
      <c r="E925" s="13" t="s">
        <v>746</v>
      </c>
      <c r="F925" s="66">
        <v>84616000</v>
      </c>
      <c r="G925" s="19">
        <v>1758</v>
      </c>
      <c r="H925" s="20">
        <f>TRUNC($F925*G925*0.0000001,1)</f>
        <v>14875.4</v>
      </c>
      <c r="I925" s="21">
        <v>0</v>
      </c>
      <c r="J925" s="20">
        <f>TRUNC($F925*I925*0.0000001,1)</f>
        <v>0</v>
      </c>
      <c r="K925" s="42"/>
      <c r="L925" s="42"/>
    </row>
    <row r="926" spans="1:12" ht="11.25" customHeight="1" x14ac:dyDescent="0.2">
      <c r="B926" s="8" t="s">
        <v>854</v>
      </c>
      <c r="C926" s="4" t="s">
        <v>1368</v>
      </c>
      <c r="D926" s="106" t="s">
        <v>368</v>
      </c>
      <c r="E926" s="13" t="s">
        <v>746</v>
      </c>
      <c r="F926" s="66">
        <v>90042000</v>
      </c>
      <c r="G926" s="21">
        <v>0</v>
      </c>
      <c r="H926" s="20">
        <f>TRUNC($F926*G926*0.0000001,1)</f>
        <v>0</v>
      </c>
      <c r="I926" s="19">
        <v>1758</v>
      </c>
      <c r="J926" s="20">
        <f>TRUNC($F926*I926*0.0000001,1)</f>
        <v>15829.3</v>
      </c>
      <c r="K926" s="42"/>
      <c r="L926" s="42"/>
    </row>
    <row r="927" spans="1:12" ht="11.25" customHeight="1" x14ac:dyDescent="0.2">
      <c r="C927" s="107" t="s">
        <v>1289</v>
      </c>
      <c r="D927" s="107"/>
      <c r="E927" s="23"/>
      <c r="F927" s="22"/>
      <c r="G927" s="22"/>
      <c r="H927" s="24">
        <f>TRUNC(SUM(H925:H926))</f>
        <v>14875</v>
      </c>
      <c r="I927" s="22"/>
      <c r="J927" s="24">
        <f>TRUNC(SUM(J925:J926))</f>
        <v>15829</v>
      </c>
      <c r="K927" s="43"/>
      <c r="L927" s="54"/>
    </row>
    <row r="928" spans="1:12" ht="11.25" customHeight="1" x14ac:dyDescent="0.2">
      <c r="C928" s="4"/>
      <c r="D928" s="4"/>
      <c r="E928" s="13"/>
      <c r="F928" s="21"/>
      <c r="G928" s="27"/>
      <c r="H928" s="20"/>
      <c r="I928" s="61"/>
      <c r="J928" s="20"/>
      <c r="K928" s="63"/>
      <c r="L928" s="32"/>
    </row>
    <row r="929" spans="2:12" ht="11.25" customHeight="1" x14ac:dyDescent="0.2">
      <c r="B929" s="62"/>
      <c r="C929" s="108" t="s">
        <v>1286</v>
      </c>
      <c r="D929" s="108"/>
      <c r="E929" s="102"/>
      <c r="F929" s="102"/>
      <c r="G929" s="102"/>
      <c r="H929" s="104">
        <f>H927</f>
        <v>14875</v>
      </c>
      <c r="I929" s="102"/>
      <c r="J929" s="104">
        <f>J927</f>
        <v>15829</v>
      </c>
      <c r="K929" s="43"/>
      <c r="L929" s="36"/>
    </row>
    <row r="931" spans="2:12" ht="11.25" customHeight="1" x14ac:dyDescent="0.2">
      <c r="B931" s="8" t="s">
        <v>1369</v>
      </c>
      <c r="J931" s="49" t="s">
        <v>1307</v>
      </c>
    </row>
    <row r="932" spans="2:12" ht="11.25" customHeight="1" x14ac:dyDescent="0.2">
      <c r="B932" s="186" t="s">
        <v>427</v>
      </c>
      <c r="C932" s="187" t="s">
        <v>428</v>
      </c>
      <c r="D932" s="187" t="s">
        <v>429</v>
      </c>
      <c r="E932" s="188" t="s">
        <v>430</v>
      </c>
      <c r="F932" s="188" t="s">
        <v>431</v>
      </c>
      <c r="G932" s="94" t="s">
        <v>991</v>
      </c>
      <c r="H932" s="151"/>
      <c r="I932" s="94" t="s">
        <v>992</v>
      </c>
      <c r="J932" s="151"/>
    </row>
    <row r="933" spans="2:12" ht="11.25" customHeight="1" x14ac:dyDescent="0.2">
      <c r="B933" s="186"/>
      <c r="C933" s="187"/>
      <c r="D933" s="187"/>
      <c r="E933" s="188"/>
      <c r="F933" s="188"/>
      <c r="G933" s="17" t="s">
        <v>436</v>
      </c>
      <c r="H933" s="17" t="s">
        <v>437</v>
      </c>
      <c r="I933" s="17" t="s">
        <v>436</v>
      </c>
      <c r="J933" s="17" t="s">
        <v>437</v>
      </c>
      <c r="K933" s="9"/>
      <c r="L933" s="9"/>
    </row>
    <row r="934" spans="2:12" ht="11.25" customHeight="1" x14ac:dyDescent="0.2">
      <c r="B934" s="8" t="s">
        <v>754</v>
      </c>
      <c r="C934" s="4" t="s">
        <v>1370</v>
      </c>
      <c r="D934" s="106" t="s">
        <v>1371</v>
      </c>
      <c r="E934" s="13" t="s">
        <v>746</v>
      </c>
      <c r="F934" s="66">
        <v>1239000</v>
      </c>
      <c r="G934" s="19">
        <v>7029</v>
      </c>
      <c r="H934" s="20">
        <f>TRUNC($F934*G934*0.0000001,1)</f>
        <v>870.8</v>
      </c>
      <c r="I934" s="21">
        <v>0</v>
      </c>
      <c r="J934" s="20">
        <f>TRUNC($F934*I934*0.0000001,1)</f>
        <v>0</v>
      </c>
      <c r="K934" s="39"/>
      <c r="L934" s="32"/>
    </row>
    <row r="935" spans="2:12" ht="11.25" customHeight="1" x14ac:dyDescent="0.2">
      <c r="B935" s="8" t="s">
        <v>855</v>
      </c>
      <c r="C935" s="4" t="s">
        <v>1370</v>
      </c>
      <c r="D935" s="106" t="s">
        <v>1372</v>
      </c>
      <c r="E935" s="13" t="s">
        <v>747</v>
      </c>
      <c r="F935" s="66">
        <v>1517000</v>
      </c>
      <c r="G935" s="21">
        <v>0</v>
      </c>
      <c r="H935" s="20">
        <f>TRUNC($F935*G935*0.0000001,1)</f>
        <v>0</v>
      </c>
      <c r="I935" s="19">
        <v>7029</v>
      </c>
      <c r="J935" s="20">
        <f>TRUNC($F935*I935*0.0000001,1)</f>
        <v>1066.2</v>
      </c>
      <c r="K935" s="39"/>
      <c r="L935" s="32"/>
    </row>
    <row r="936" spans="2:12" ht="11.25" customHeight="1" x14ac:dyDescent="0.2">
      <c r="C936" s="107" t="s">
        <v>1289</v>
      </c>
      <c r="D936" s="107"/>
      <c r="E936" s="23"/>
      <c r="F936" s="22"/>
      <c r="G936" s="22"/>
      <c r="H936" s="24">
        <f>TRUNC(SUM(H934:H935))</f>
        <v>870</v>
      </c>
      <c r="I936" s="22"/>
      <c r="J936" s="24">
        <f>TRUNC(SUM(J934:J935))</f>
        <v>1066</v>
      </c>
      <c r="K936" s="43"/>
      <c r="L936" s="54"/>
    </row>
    <row r="937" spans="2:12" ht="11.25" customHeight="1" x14ac:dyDescent="0.2">
      <c r="C937" s="107"/>
      <c r="D937" s="107"/>
      <c r="E937" s="23"/>
      <c r="F937" s="22"/>
      <c r="G937" s="22"/>
      <c r="H937" s="24"/>
      <c r="I937" s="22"/>
      <c r="J937" s="24"/>
      <c r="K937" s="43"/>
      <c r="L937" s="54"/>
    </row>
    <row r="938" spans="2:12" ht="11.25" customHeight="1" x14ac:dyDescent="0.2">
      <c r="B938" s="62"/>
      <c r="C938" s="108" t="s">
        <v>1286</v>
      </c>
      <c r="D938" s="108"/>
      <c r="E938" s="102"/>
      <c r="F938" s="102"/>
      <c r="G938" s="102"/>
      <c r="H938" s="104">
        <f>H936</f>
        <v>870</v>
      </c>
      <c r="I938" s="102"/>
      <c r="J938" s="104">
        <f>J936</f>
        <v>1066</v>
      </c>
      <c r="K938" s="43"/>
      <c r="L938" s="36"/>
    </row>
    <row r="940" spans="2:12" ht="11.25" customHeight="1" x14ac:dyDescent="0.2">
      <c r="B940" s="8" t="s">
        <v>1373</v>
      </c>
      <c r="H940" s="49" t="s">
        <v>1307</v>
      </c>
    </row>
    <row r="941" spans="2:12" ht="11.25" customHeight="1" x14ac:dyDescent="0.2">
      <c r="B941" s="186" t="s">
        <v>427</v>
      </c>
      <c r="C941" s="187" t="s">
        <v>428</v>
      </c>
      <c r="D941" s="187" t="s">
        <v>429</v>
      </c>
      <c r="E941" s="188" t="s">
        <v>430</v>
      </c>
      <c r="F941" s="188" t="s">
        <v>431</v>
      </c>
      <c r="G941" s="94" t="s">
        <v>1084</v>
      </c>
      <c r="H941" s="151"/>
    </row>
    <row r="942" spans="2:12" ht="11.25" customHeight="1" x14ac:dyDescent="0.2">
      <c r="B942" s="186"/>
      <c r="C942" s="187"/>
      <c r="D942" s="187"/>
      <c r="E942" s="188"/>
      <c r="F942" s="188"/>
      <c r="G942" s="17" t="s">
        <v>436</v>
      </c>
      <c r="H942" s="17" t="s">
        <v>437</v>
      </c>
      <c r="I942" s="9"/>
      <c r="J942" s="9"/>
      <c r="K942" s="9"/>
      <c r="L942" s="9"/>
    </row>
    <row r="943" spans="2:12" ht="11.25" customHeight="1" x14ac:dyDescent="0.2">
      <c r="B943" s="8" t="s">
        <v>245</v>
      </c>
      <c r="C943" s="4" t="s">
        <v>1374</v>
      </c>
      <c r="D943" s="106" t="s">
        <v>856</v>
      </c>
      <c r="E943" s="13" t="s">
        <v>746</v>
      </c>
      <c r="F943" s="66">
        <v>10195000</v>
      </c>
      <c r="G943" s="19">
        <v>1758</v>
      </c>
      <c r="H943" s="20">
        <f>TRUNC($F943*G943*0.0000001,1)</f>
        <v>1792.2</v>
      </c>
      <c r="I943" s="39"/>
      <c r="J943" s="32"/>
      <c r="K943" s="39"/>
      <c r="L943" s="32"/>
    </row>
    <row r="944" spans="2:12" ht="11.25" customHeight="1" x14ac:dyDescent="0.2">
      <c r="C944" s="107" t="s">
        <v>1289</v>
      </c>
      <c r="D944" s="107"/>
      <c r="E944" s="23"/>
      <c r="F944" s="22"/>
      <c r="G944" s="22"/>
      <c r="H944" s="24">
        <f>TRUNC(SUM(H943:H943))</f>
        <v>1792</v>
      </c>
      <c r="I944" s="43"/>
      <c r="J944" s="54"/>
      <c r="K944" s="43"/>
      <c r="L944" s="54"/>
    </row>
    <row r="945" spans="1:12" ht="11.25" customHeight="1" x14ac:dyDescent="0.2">
      <c r="C945" s="107"/>
      <c r="D945" s="107"/>
      <c r="E945" s="23"/>
      <c r="F945" s="22"/>
      <c r="G945" s="22"/>
      <c r="H945" s="24"/>
      <c r="I945" s="43"/>
      <c r="J945" s="54"/>
      <c r="K945" s="43"/>
      <c r="L945" s="54"/>
    </row>
    <row r="946" spans="1:12" ht="11.25" customHeight="1" x14ac:dyDescent="0.2">
      <c r="B946" s="62"/>
      <c r="C946" s="108" t="s">
        <v>1286</v>
      </c>
      <c r="D946" s="108"/>
      <c r="E946" s="102"/>
      <c r="F946" s="102"/>
      <c r="G946" s="102"/>
      <c r="H946" s="104">
        <f>H944</f>
        <v>1792</v>
      </c>
      <c r="I946" s="43"/>
      <c r="J946" s="36"/>
      <c r="K946" s="43"/>
      <c r="L946" s="36"/>
    </row>
    <row r="948" spans="1:12" ht="11.25" customHeight="1" x14ac:dyDescent="0.2">
      <c r="B948" s="68" t="s">
        <v>1375</v>
      </c>
      <c r="C948" s="119"/>
      <c r="J948" s="49"/>
      <c r="L948" s="49" t="s">
        <v>1307</v>
      </c>
    </row>
    <row r="949" spans="1:12" ht="11.25" customHeight="1" x14ac:dyDescent="0.2">
      <c r="B949" s="186" t="s">
        <v>427</v>
      </c>
      <c r="C949" s="187" t="s">
        <v>428</v>
      </c>
      <c r="D949" s="187" t="s">
        <v>429</v>
      </c>
      <c r="E949" s="188" t="s">
        <v>430</v>
      </c>
      <c r="F949" s="188" t="s">
        <v>431</v>
      </c>
      <c r="G949" s="94" t="s">
        <v>1003</v>
      </c>
      <c r="H949" s="151"/>
      <c r="I949" s="94" t="s">
        <v>1239</v>
      </c>
      <c r="J949" s="151"/>
      <c r="K949" s="94" t="s">
        <v>1004</v>
      </c>
      <c r="L949" s="151"/>
    </row>
    <row r="950" spans="1:12" ht="11.25" customHeight="1" x14ac:dyDescent="0.2">
      <c r="B950" s="186"/>
      <c r="C950" s="187"/>
      <c r="D950" s="187"/>
      <c r="E950" s="188"/>
      <c r="F950" s="188"/>
      <c r="G950" s="17" t="s">
        <v>436</v>
      </c>
      <c r="H950" s="17" t="s">
        <v>437</v>
      </c>
      <c r="I950" s="17" t="s">
        <v>436</v>
      </c>
      <c r="J950" s="17" t="s">
        <v>437</v>
      </c>
      <c r="K950" s="17" t="s">
        <v>436</v>
      </c>
      <c r="L950" s="17" t="s">
        <v>437</v>
      </c>
    </row>
    <row r="951" spans="1:12" ht="11.25" customHeight="1" x14ac:dyDescent="0.2">
      <c r="C951" s="4" t="s">
        <v>798</v>
      </c>
      <c r="D951" s="4"/>
      <c r="E951" s="13" t="s">
        <v>497</v>
      </c>
      <c r="F951" s="28">
        <v>283297</v>
      </c>
      <c r="G951" s="18">
        <v>0.20799999999999999</v>
      </c>
      <c r="H951" s="20">
        <f>TRUNC(($F951*G951),1)</f>
        <v>58925.7</v>
      </c>
      <c r="I951" s="18">
        <v>0.20799999999999999</v>
      </c>
      <c r="J951" s="20">
        <f>TRUNC(($F951*I951),1)</f>
        <v>58925.7</v>
      </c>
      <c r="K951" s="18">
        <v>0.20799999999999999</v>
      </c>
      <c r="L951" s="20">
        <f>TRUNC(($F951*K951),1)</f>
        <v>58925.7</v>
      </c>
    </row>
    <row r="952" spans="1:12" ht="11.25" customHeight="1" x14ac:dyDescent="0.2">
      <c r="C952" s="107" t="s">
        <v>1285</v>
      </c>
      <c r="D952" s="107"/>
      <c r="E952" s="23"/>
      <c r="F952" s="22"/>
      <c r="G952" s="22"/>
      <c r="H952" s="24">
        <f>TRUNC(SUM(H951:H951))</f>
        <v>58925</v>
      </c>
      <c r="I952" s="22"/>
      <c r="J952" s="24">
        <f>TRUNC(SUM(J951:J951))</f>
        <v>58925</v>
      </c>
      <c r="K952" s="22"/>
      <c r="L952" s="24">
        <f>TRUNC(SUM(L951:L951))</f>
        <v>58925</v>
      </c>
    </row>
    <row r="953" spans="1:12" ht="11.25" customHeight="1" x14ac:dyDescent="0.2">
      <c r="C953" s="4"/>
      <c r="D953" s="4"/>
      <c r="E953" s="13"/>
      <c r="F953" s="21"/>
      <c r="G953" s="27"/>
      <c r="H953" s="20"/>
      <c r="I953" s="61"/>
      <c r="J953" s="20"/>
      <c r="K953" s="61"/>
      <c r="L953" s="20"/>
    </row>
    <row r="954" spans="1:12" ht="11.25" customHeight="1" x14ac:dyDescent="0.2">
      <c r="B954" s="8" t="s">
        <v>1002</v>
      </c>
      <c r="C954" s="4" t="s">
        <v>1376</v>
      </c>
      <c r="D954" s="106" t="s">
        <v>1377</v>
      </c>
      <c r="E954" s="13" t="s">
        <v>746</v>
      </c>
      <c r="F954" s="66">
        <v>291417000</v>
      </c>
      <c r="G954" s="19">
        <v>1304</v>
      </c>
      <c r="H954" s="20">
        <f>TRUNC($F954*G954*0.0000001,1)</f>
        <v>38000.699999999997</v>
      </c>
      <c r="I954" s="21">
        <v>0</v>
      </c>
      <c r="J954" s="20">
        <f>TRUNC($F954*I954*0.0000001,1)</f>
        <v>0</v>
      </c>
      <c r="K954" s="21">
        <v>0</v>
      </c>
      <c r="L954" s="20">
        <f>TRUNC($F954*K954*0.0000001,1)</f>
        <v>0</v>
      </c>
    </row>
    <row r="955" spans="1:12" ht="11.25" customHeight="1" x14ac:dyDescent="0.2">
      <c r="B955" s="8" t="s">
        <v>1245</v>
      </c>
      <c r="C955" s="4" t="s">
        <v>1376</v>
      </c>
      <c r="D955" s="106" t="s">
        <v>1378</v>
      </c>
      <c r="E955" s="13" t="s">
        <v>746</v>
      </c>
      <c r="F955" s="66">
        <v>358000000</v>
      </c>
      <c r="G955" s="21">
        <v>0</v>
      </c>
      <c r="H955" s="20">
        <f>TRUNC($F955*G955*0.0000001,1)</f>
        <v>0</v>
      </c>
      <c r="I955" s="19">
        <v>1304</v>
      </c>
      <c r="J955" s="20">
        <f>TRUNC($F955*I955*0.0000001,1)</f>
        <v>46683.199999999997</v>
      </c>
      <c r="K955" s="21">
        <v>0</v>
      </c>
      <c r="L955" s="20">
        <f>TRUNC($F955*K955*0.0000001,1)</f>
        <v>0</v>
      </c>
    </row>
    <row r="956" spans="1:12" ht="11.25" customHeight="1" x14ac:dyDescent="0.2">
      <c r="B956" s="8" t="s">
        <v>857</v>
      </c>
      <c r="C956" s="4" t="s">
        <v>1376</v>
      </c>
      <c r="D956" s="106" t="s">
        <v>999</v>
      </c>
      <c r="E956" s="13" t="s">
        <v>746</v>
      </c>
      <c r="F956" s="66">
        <v>423560000</v>
      </c>
      <c r="G956" s="21">
        <v>0</v>
      </c>
      <c r="H956" s="20">
        <f>TRUNC($F956*G956*0.0000001,1)</f>
        <v>0</v>
      </c>
      <c r="I956" s="21">
        <v>0</v>
      </c>
      <c r="J956" s="20">
        <f>TRUNC($F956*I956*0.0000001,1)</f>
        <v>0</v>
      </c>
      <c r="K956" s="19">
        <v>1304</v>
      </c>
      <c r="L956" s="20">
        <f>TRUNC($F956*K956*0.0000001,1)</f>
        <v>55232.2</v>
      </c>
    </row>
    <row r="957" spans="1:12" ht="11.25" customHeight="1" x14ac:dyDescent="0.2">
      <c r="C957" s="107" t="s">
        <v>1289</v>
      </c>
      <c r="D957" s="107"/>
      <c r="E957" s="23"/>
      <c r="F957" s="22"/>
      <c r="G957" s="22"/>
      <c r="H957" s="24">
        <f>TRUNC(SUM(H954:H956))</f>
        <v>38000</v>
      </c>
      <c r="I957" s="22"/>
      <c r="J957" s="24">
        <f>TRUNC(SUM(J954:J956))</f>
        <v>46683</v>
      </c>
      <c r="K957" s="22"/>
      <c r="L957" s="24">
        <f>TRUNC(SUM(L954:L956))</f>
        <v>55232</v>
      </c>
    </row>
    <row r="958" spans="1:12" ht="11.25" customHeight="1" x14ac:dyDescent="0.2">
      <c r="A958" s="7"/>
      <c r="C958" s="4"/>
      <c r="D958" s="4"/>
      <c r="E958" s="13"/>
      <c r="F958" s="21"/>
      <c r="G958" s="27"/>
      <c r="H958" s="20"/>
      <c r="I958" s="61"/>
      <c r="J958" s="20"/>
      <c r="K958" s="61"/>
      <c r="L958" s="20"/>
    </row>
    <row r="959" spans="1:12" ht="11.25" customHeight="1" x14ac:dyDescent="0.2">
      <c r="C959" s="126" t="s">
        <v>1286</v>
      </c>
      <c r="D959" s="126"/>
      <c r="E959" s="127"/>
      <c r="F959" s="125"/>
      <c r="G959" s="125"/>
      <c r="H959" s="128">
        <f>TRUNC(H957+H952)</f>
        <v>96925</v>
      </c>
      <c r="I959" s="125"/>
      <c r="J959" s="128">
        <f>TRUNC(J957+J952)</f>
        <v>105608</v>
      </c>
      <c r="K959" s="102"/>
      <c r="L959" s="104">
        <f>TRUNC(L957+L952)</f>
        <v>114157</v>
      </c>
    </row>
    <row r="960" spans="1:12" ht="11.25" customHeight="1" x14ac:dyDescent="0.2">
      <c r="B960" s="186" t="s">
        <v>427</v>
      </c>
      <c r="C960" s="187" t="s">
        <v>428</v>
      </c>
      <c r="D960" s="187" t="s">
        <v>429</v>
      </c>
      <c r="E960" s="188" t="s">
        <v>430</v>
      </c>
      <c r="F960" s="188" t="s">
        <v>431</v>
      </c>
      <c r="G960" s="94" t="s">
        <v>61</v>
      </c>
      <c r="H960" s="151"/>
      <c r="I960" s="94" t="s">
        <v>62</v>
      </c>
      <c r="J960" s="151"/>
    </row>
    <row r="961" spans="2:12" ht="11.25" customHeight="1" x14ac:dyDescent="0.2">
      <c r="B961" s="186"/>
      <c r="C961" s="187"/>
      <c r="D961" s="187"/>
      <c r="E961" s="188"/>
      <c r="F961" s="188"/>
      <c r="G961" s="17" t="s">
        <v>436</v>
      </c>
      <c r="H961" s="17" t="s">
        <v>437</v>
      </c>
      <c r="I961" s="17" t="s">
        <v>436</v>
      </c>
      <c r="J961" s="17" t="s">
        <v>437</v>
      </c>
    </row>
    <row r="962" spans="2:12" ht="11.25" customHeight="1" x14ac:dyDescent="0.2">
      <c r="C962" s="4" t="s">
        <v>798</v>
      </c>
      <c r="D962" s="4" t="s">
        <v>866</v>
      </c>
      <c r="E962" s="13" t="s">
        <v>497</v>
      </c>
      <c r="F962" s="28">
        <v>283297</v>
      </c>
      <c r="G962" s="18">
        <v>0.20799999999999999</v>
      </c>
      <c r="H962" s="20">
        <f>TRUNC(($F962*G962),1)</f>
        <v>58925.7</v>
      </c>
      <c r="I962" s="18">
        <v>0.20799999999999999</v>
      </c>
      <c r="J962" s="20">
        <f>TRUNC(($F962*I962),1)</f>
        <v>58925.7</v>
      </c>
    </row>
    <row r="963" spans="2:12" ht="11.25" customHeight="1" x14ac:dyDescent="0.2">
      <c r="C963" s="107" t="s">
        <v>1285</v>
      </c>
      <c r="D963" s="107"/>
      <c r="E963" s="23"/>
      <c r="F963" s="22"/>
      <c r="G963" s="22"/>
      <c r="H963" s="24">
        <f>TRUNC(SUM(H962:H962))</f>
        <v>58925</v>
      </c>
      <c r="I963" s="22"/>
      <c r="J963" s="24">
        <f>TRUNC(SUM(J962:J962))</f>
        <v>58925</v>
      </c>
    </row>
    <row r="964" spans="2:12" ht="11.25" customHeight="1" x14ac:dyDescent="0.2">
      <c r="C964" s="4"/>
      <c r="D964" s="4"/>
      <c r="E964" s="13"/>
      <c r="F964" s="21"/>
      <c r="G964" s="27"/>
      <c r="H964" s="20"/>
      <c r="I964" s="61"/>
      <c r="J964" s="20"/>
      <c r="K964" s="63"/>
      <c r="L964" s="32"/>
    </row>
    <row r="965" spans="2:12" ht="11.25" customHeight="1" x14ac:dyDescent="0.2">
      <c r="B965" s="8" t="s">
        <v>858</v>
      </c>
      <c r="C965" s="4" t="s">
        <v>1376</v>
      </c>
      <c r="D965" s="106" t="s">
        <v>1000</v>
      </c>
      <c r="E965" s="13" t="s">
        <v>746</v>
      </c>
      <c r="F965" s="66">
        <v>507000000</v>
      </c>
      <c r="G965" s="19">
        <v>1304</v>
      </c>
      <c r="H965" s="20">
        <f>TRUNC($F965*G965*0.0000001,1)</f>
        <v>66112.800000000003</v>
      </c>
      <c r="I965" s="21">
        <v>0</v>
      </c>
      <c r="J965" s="20">
        <f>TRUNC($F965*I965*0.0000001,1)</f>
        <v>0</v>
      </c>
    </row>
    <row r="966" spans="2:12" ht="11.25" customHeight="1" x14ac:dyDescent="0.2">
      <c r="B966" s="8" t="s">
        <v>859</v>
      </c>
      <c r="C966" s="4" t="s">
        <v>1376</v>
      </c>
      <c r="D966" s="106" t="s">
        <v>1001</v>
      </c>
      <c r="E966" s="13" t="s">
        <v>746</v>
      </c>
      <c r="F966" s="66">
        <v>711700000</v>
      </c>
      <c r="G966" s="21">
        <v>0</v>
      </c>
      <c r="H966" s="20">
        <f>TRUNC($F966*G966*0.0000001,1)</f>
        <v>0</v>
      </c>
      <c r="I966" s="19">
        <v>1304</v>
      </c>
      <c r="J966" s="20">
        <f>TRUNC($F966*I966*0.0000001,1)</f>
        <v>92805.6</v>
      </c>
    </row>
    <row r="967" spans="2:12" ht="11.25" customHeight="1" x14ac:dyDescent="0.2">
      <c r="C967" s="107" t="s">
        <v>1289</v>
      </c>
      <c r="D967" s="107"/>
      <c r="E967" s="23"/>
      <c r="F967" s="22"/>
      <c r="G967" s="22"/>
      <c r="H967" s="24">
        <f>TRUNC(SUM(H965:H966))</f>
        <v>66112</v>
      </c>
      <c r="I967" s="22"/>
      <c r="J967" s="24">
        <f>TRUNC(SUM(J965:J966))</f>
        <v>92805</v>
      </c>
    </row>
    <row r="968" spans="2:12" ht="11.25" customHeight="1" x14ac:dyDescent="0.2">
      <c r="C968" s="107"/>
      <c r="D968" s="107"/>
      <c r="E968" s="23"/>
      <c r="F968" s="22"/>
      <c r="G968" s="22"/>
      <c r="H968" s="24"/>
      <c r="I968" s="22"/>
      <c r="J968" s="24"/>
      <c r="K968" s="43"/>
      <c r="L968" s="54"/>
    </row>
    <row r="969" spans="2:12" ht="11.25" customHeight="1" x14ac:dyDescent="0.2">
      <c r="B969" s="16"/>
      <c r="C969" s="108" t="s">
        <v>1286</v>
      </c>
      <c r="D969" s="108"/>
      <c r="E969" s="103"/>
      <c r="F969" s="102"/>
      <c r="G969" s="102"/>
      <c r="H969" s="104">
        <f>TRUNC(H967+H963)</f>
        <v>125037</v>
      </c>
      <c r="I969" s="102"/>
      <c r="J969" s="104">
        <f>TRUNC(J967+J963)</f>
        <v>151730</v>
      </c>
    </row>
    <row r="971" spans="2:12" ht="11.25" customHeight="1" x14ac:dyDescent="0.2">
      <c r="B971" s="68" t="s">
        <v>1380</v>
      </c>
      <c r="C971" s="119"/>
      <c r="H971" s="49" t="s">
        <v>1307</v>
      </c>
    </row>
    <row r="972" spans="2:12" ht="11.25" customHeight="1" x14ac:dyDescent="0.2">
      <c r="B972" s="186" t="s">
        <v>427</v>
      </c>
      <c r="C972" s="187" t="s">
        <v>428</v>
      </c>
      <c r="D972" s="187" t="s">
        <v>429</v>
      </c>
      <c r="E972" s="188" t="s">
        <v>430</v>
      </c>
      <c r="F972" s="188" t="s">
        <v>431</v>
      </c>
      <c r="G972" s="190" t="s">
        <v>1379</v>
      </c>
      <c r="H972" s="191"/>
    </row>
    <row r="973" spans="2:12" ht="11.25" customHeight="1" x14ac:dyDescent="0.2">
      <c r="B973" s="186"/>
      <c r="C973" s="187"/>
      <c r="D973" s="187"/>
      <c r="E973" s="188"/>
      <c r="F973" s="188"/>
      <c r="G973" s="17" t="s">
        <v>436</v>
      </c>
      <c r="H973" s="17" t="s">
        <v>437</v>
      </c>
    </row>
    <row r="974" spans="2:12" ht="11.25" customHeight="1" x14ac:dyDescent="0.2">
      <c r="B974" s="8" t="s">
        <v>929</v>
      </c>
      <c r="C974" s="4" t="s">
        <v>1381</v>
      </c>
      <c r="D974" s="106" t="s">
        <v>1379</v>
      </c>
      <c r="E974" s="13" t="s">
        <v>746</v>
      </c>
      <c r="F974" s="66">
        <v>25042000</v>
      </c>
      <c r="G974" s="19">
        <v>1754</v>
      </c>
      <c r="H974" s="20">
        <f>TRUNC($F974*G974*0.0000001,1)</f>
        <v>4392.3</v>
      </c>
    </row>
    <row r="975" spans="2:12" ht="11.25" customHeight="1" x14ac:dyDescent="0.2">
      <c r="C975" s="107" t="s">
        <v>1289</v>
      </c>
      <c r="D975" s="107"/>
      <c r="E975" s="23"/>
      <c r="F975" s="22"/>
      <c r="G975" s="22"/>
      <c r="H975" s="24">
        <f>TRUNC(SUM(H974:H974))</f>
        <v>4392</v>
      </c>
    </row>
    <row r="976" spans="2:12" ht="11.25" customHeight="1" x14ac:dyDescent="0.2">
      <c r="C976" s="4"/>
      <c r="D976" s="4"/>
      <c r="E976" s="13"/>
      <c r="F976" s="21"/>
      <c r="G976" s="27"/>
      <c r="H976" s="20"/>
      <c r="I976" s="63"/>
      <c r="J976" s="32"/>
      <c r="L976" s="32"/>
    </row>
    <row r="977" spans="2:10" ht="11.25" customHeight="1" x14ac:dyDescent="0.2">
      <c r="B977" s="16"/>
      <c r="C977" s="108" t="s">
        <v>1286</v>
      </c>
      <c r="D977" s="108"/>
      <c r="E977" s="103"/>
      <c r="F977" s="102"/>
      <c r="G977" s="102"/>
      <c r="H977" s="104">
        <f>TRUNC(H975)</f>
        <v>4392</v>
      </c>
    </row>
    <row r="979" spans="2:10" ht="11.25" customHeight="1" x14ac:dyDescent="0.2">
      <c r="B979" s="68" t="s">
        <v>1382</v>
      </c>
      <c r="C979" s="119"/>
      <c r="J979" s="49" t="s">
        <v>1307</v>
      </c>
    </row>
    <row r="980" spans="2:10" ht="11.25" customHeight="1" x14ac:dyDescent="0.2">
      <c r="B980" s="186" t="s">
        <v>427</v>
      </c>
      <c r="C980" s="187" t="s">
        <v>428</v>
      </c>
      <c r="D980" s="187" t="s">
        <v>429</v>
      </c>
      <c r="E980" s="188" t="s">
        <v>430</v>
      </c>
      <c r="F980" s="188" t="s">
        <v>431</v>
      </c>
      <c r="G980" s="94" t="s">
        <v>81</v>
      </c>
      <c r="H980" s="151"/>
      <c r="I980" s="94" t="s">
        <v>1037</v>
      </c>
      <c r="J980" s="151"/>
    </row>
    <row r="981" spans="2:10" ht="11.25" customHeight="1" x14ac:dyDescent="0.2">
      <c r="B981" s="186"/>
      <c r="C981" s="187"/>
      <c r="D981" s="187"/>
      <c r="E981" s="188"/>
      <c r="F981" s="188"/>
      <c r="G981" s="17" t="s">
        <v>436</v>
      </c>
      <c r="H981" s="17" t="s">
        <v>437</v>
      </c>
      <c r="I981" s="17" t="s">
        <v>436</v>
      </c>
      <c r="J981" s="17" t="s">
        <v>437</v>
      </c>
    </row>
    <row r="982" spans="2:10" ht="11.25" customHeight="1" x14ac:dyDescent="0.2">
      <c r="C982" s="4" t="s">
        <v>426</v>
      </c>
      <c r="D982" s="4"/>
      <c r="E982" s="13" t="s">
        <v>494</v>
      </c>
      <c r="F982" s="25">
        <v>1505.45</v>
      </c>
      <c r="G982" s="55">
        <v>3.5</v>
      </c>
      <c r="H982" s="20">
        <f>TRUNC(($F982*G982),1)</f>
        <v>5269</v>
      </c>
      <c r="I982" s="55">
        <v>4.2</v>
      </c>
      <c r="J982" s="20">
        <f>TRUNC(($F982*I982),1)</f>
        <v>6322.8</v>
      </c>
    </row>
    <row r="983" spans="2:10" ht="11.25" customHeight="1" x14ac:dyDescent="0.2">
      <c r="C983" s="4" t="s">
        <v>878</v>
      </c>
      <c r="D983" s="4" t="s">
        <v>203</v>
      </c>
      <c r="E983" s="13" t="s">
        <v>232</v>
      </c>
      <c r="F983" s="18"/>
      <c r="G983" s="55">
        <v>20.2</v>
      </c>
      <c r="H983" s="20">
        <f>TRUNC(H982*G983*0.01,1)</f>
        <v>1064.3</v>
      </c>
      <c r="I983" s="55">
        <v>20.2</v>
      </c>
      <c r="J983" s="20">
        <f>TRUNC(J982*I983*0.01,1)</f>
        <v>1277.2</v>
      </c>
    </row>
    <row r="984" spans="2:10" ht="11.25" customHeight="1" x14ac:dyDescent="0.2">
      <c r="C984" s="107" t="s">
        <v>799</v>
      </c>
      <c r="D984" s="107"/>
      <c r="E984" s="23"/>
      <c r="F984" s="22"/>
      <c r="G984" s="22"/>
      <c r="H984" s="24">
        <f>TRUNC(SUM(H982:H983))</f>
        <v>6333</v>
      </c>
      <c r="I984" s="22"/>
      <c r="J984" s="24">
        <f>TRUNC(SUM(J982:J983))</f>
        <v>7600</v>
      </c>
    </row>
    <row r="985" spans="2:10" ht="11.25" customHeight="1" x14ac:dyDescent="0.2">
      <c r="C985" s="4"/>
      <c r="D985" s="4"/>
      <c r="E985" s="13"/>
      <c r="F985" s="56"/>
      <c r="G985" s="18"/>
      <c r="H985" s="20"/>
      <c r="I985" s="18"/>
      <c r="J985" s="20"/>
    </row>
    <row r="986" spans="2:10" ht="11.25" customHeight="1" x14ac:dyDescent="0.2">
      <c r="C986" s="4" t="s">
        <v>798</v>
      </c>
      <c r="D986" s="4" t="s">
        <v>866</v>
      </c>
      <c r="E986" s="13" t="s">
        <v>497</v>
      </c>
      <c r="F986" s="28">
        <v>283297</v>
      </c>
      <c r="G986" s="18">
        <v>0.20799999999999999</v>
      </c>
      <c r="H986" s="20">
        <f>TRUNC(($F986*G986),1)</f>
        <v>58925.7</v>
      </c>
      <c r="I986" s="18">
        <v>0.20799999999999999</v>
      </c>
      <c r="J986" s="20">
        <f>TRUNC(($F986*I986),1)</f>
        <v>58925.7</v>
      </c>
    </row>
    <row r="987" spans="2:10" ht="11.25" customHeight="1" x14ac:dyDescent="0.2">
      <c r="C987" s="107" t="s">
        <v>1285</v>
      </c>
      <c r="D987" s="107"/>
      <c r="E987" s="23"/>
      <c r="F987" s="22"/>
      <c r="G987" s="22"/>
      <c r="H987" s="24">
        <f>TRUNC(SUM(H986:H986))</f>
        <v>58925</v>
      </c>
      <c r="I987" s="22"/>
      <c r="J987" s="24">
        <f>TRUNC(SUM(J986:J986))</f>
        <v>58925</v>
      </c>
    </row>
    <row r="988" spans="2:10" ht="11.25" customHeight="1" x14ac:dyDescent="0.2">
      <c r="C988" s="4"/>
      <c r="D988" s="4"/>
      <c r="E988" s="13"/>
      <c r="F988" s="56"/>
      <c r="G988" s="18"/>
      <c r="H988" s="20"/>
      <c r="I988" s="18"/>
      <c r="J988" s="20"/>
    </row>
    <row r="989" spans="2:10" ht="11.25" customHeight="1" x14ac:dyDescent="0.2">
      <c r="B989" s="8" t="s">
        <v>930</v>
      </c>
      <c r="C989" s="4" t="s">
        <v>1383</v>
      </c>
      <c r="D989" s="106" t="s">
        <v>736</v>
      </c>
      <c r="E989" s="13" t="s">
        <v>746</v>
      </c>
      <c r="F989" s="66">
        <v>13484000</v>
      </c>
      <c r="G989" s="19">
        <v>2313</v>
      </c>
      <c r="H989" s="20">
        <f>TRUNC($F989*G989*0.0000001,1)</f>
        <v>3118.8</v>
      </c>
      <c r="I989" s="21">
        <v>0</v>
      </c>
      <c r="J989" s="20">
        <f>TRUNC($F989*I989*0.0000001,1)</f>
        <v>0</v>
      </c>
    </row>
    <row r="990" spans="2:10" ht="11.25" customHeight="1" x14ac:dyDescent="0.2">
      <c r="B990" s="8" t="s">
        <v>931</v>
      </c>
      <c r="C990" s="4" t="s">
        <v>1383</v>
      </c>
      <c r="D990" s="106" t="s">
        <v>1037</v>
      </c>
      <c r="E990" s="13" t="s">
        <v>746</v>
      </c>
      <c r="F990" s="66">
        <v>18884000</v>
      </c>
      <c r="G990" s="21">
        <v>0</v>
      </c>
      <c r="H990" s="20">
        <f>TRUNC($F990*G990*0.0000001,1)</f>
        <v>0</v>
      </c>
      <c r="I990" s="19">
        <v>2313</v>
      </c>
      <c r="J990" s="20">
        <f>TRUNC($F990*I990*0.0000001,1)</f>
        <v>4367.8</v>
      </c>
    </row>
    <row r="991" spans="2:10" ht="11.25" customHeight="1" x14ac:dyDescent="0.2">
      <c r="C991" s="107" t="s">
        <v>1289</v>
      </c>
      <c r="D991" s="107"/>
      <c r="E991" s="23"/>
      <c r="F991" s="22"/>
      <c r="G991" s="22"/>
      <c r="H991" s="24">
        <f>TRUNC(SUM(H989:H990))</f>
        <v>3118</v>
      </c>
      <c r="I991" s="22"/>
      <c r="J991" s="24">
        <f>TRUNC(SUM(J989:J990))</f>
        <v>4367</v>
      </c>
    </row>
    <row r="992" spans="2:10" ht="11.25" customHeight="1" x14ac:dyDescent="0.2">
      <c r="C992" s="4"/>
      <c r="D992" s="4"/>
      <c r="E992" s="13"/>
      <c r="F992" s="56"/>
      <c r="G992" s="18"/>
      <c r="H992" s="20"/>
      <c r="I992" s="18"/>
      <c r="J992" s="20"/>
    </row>
    <row r="993" spans="1:10" ht="11.25" customHeight="1" x14ac:dyDescent="0.2">
      <c r="B993" s="16"/>
      <c r="C993" s="108" t="s">
        <v>1286</v>
      </c>
      <c r="D993" s="108"/>
      <c r="E993" s="103"/>
      <c r="F993" s="102"/>
      <c r="G993" s="102"/>
      <c r="H993" s="104">
        <f>TRUNC(H991+H984+H987)</f>
        <v>68376</v>
      </c>
      <c r="I993" s="102"/>
      <c r="J993" s="104">
        <f>TRUNC(J991+J984+J987)</f>
        <v>70892</v>
      </c>
    </row>
    <row r="995" spans="1:10" ht="11.25" customHeight="1" x14ac:dyDescent="0.2">
      <c r="B995" s="68" t="s">
        <v>1391</v>
      </c>
      <c r="C995" s="119"/>
      <c r="H995" s="49" t="s">
        <v>1307</v>
      </c>
    </row>
    <row r="996" spans="1:10" ht="11.25" customHeight="1" x14ac:dyDescent="0.2">
      <c r="B996" s="186" t="s">
        <v>427</v>
      </c>
      <c r="C996" s="187" t="s">
        <v>428</v>
      </c>
      <c r="D996" s="187" t="s">
        <v>429</v>
      </c>
      <c r="E996" s="188" t="s">
        <v>430</v>
      </c>
      <c r="F996" s="188" t="s">
        <v>431</v>
      </c>
      <c r="G996" s="94" t="s">
        <v>860</v>
      </c>
      <c r="H996" s="151"/>
    </row>
    <row r="997" spans="1:10" ht="11.25" customHeight="1" x14ac:dyDescent="0.2">
      <c r="A997" s="7"/>
      <c r="B997" s="186"/>
      <c r="C997" s="187"/>
      <c r="D997" s="187"/>
      <c r="E997" s="188"/>
      <c r="F997" s="188"/>
      <c r="G997" s="17" t="s">
        <v>436</v>
      </c>
      <c r="H997" s="17" t="s">
        <v>437</v>
      </c>
    </row>
    <row r="998" spans="1:10" ht="11.25" customHeight="1" x14ac:dyDescent="0.2">
      <c r="C998" s="4" t="s">
        <v>426</v>
      </c>
      <c r="D998" s="4"/>
      <c r="E998" s="13" t="s">
        <v>494</v>
      </c>
      <c r="F998" s="25">
        <v>1505.45</v>
      </c>
      <c r="G998" s="27">
        <v>1.3</v>
      </c>
      <c r="H998" s="20">
        <f>TRUNC(($F998*G998),1)</f>
        <v>1957</v>
      </c>
    </row>
    <row r="999" spans="1:10" ht="11.25" customHeight="1" x14ac:dyDescent="0.2">
      <c r="C999" s="4" t="s">
        <v>878</v>
      </c>
      <c r="D999" s="4" t="s">
        <v>203</v>
      </c>
      <c r="E999" s="13" t="s">
        <v>232</v>
      </c>
      <c r="F999" s="18"/>
      <c r="G999" s="21">
        <v>20</v>
      </c>
      <c r="H999" s="20">
        <f>TRUNC(H998*G999*0.01,1)</f>
        <v>391.4</v>
      </c>
    </row>
    <row r="1000" spans="1:10" ht="11.25" customHeight="1" x14ac:dyDescent="0.2">
      <c r="C1000" s="107" t="s">
        <v>799</v>
      </c>
      <c r="D1000" s="107"/>
      <c r="E1000" s="23"/>
      <c r="F1000" s="22"/>
      <c r="G1000" s="22"/>
      <c r="H1000" s="24">
        <f>TRUNC(SUM(H998:H999))</f>
        <v>2348</v>
      </c>
    </row>
    <row r="1001" spans="1:10" ht="11.25" customHeight="1" x14ac:dyDescent="0.2">
      <c r="C1001" s="4"/>
      <c r="D1001" s="4"/>
      <c r="E1001" s="13"/>
      <c r="F1001" s="56"/>
      <c r="G1001" s="18"/>
      <c r="H1001" s="20"/>
    </row>
    <row r="1002" spans="1:10" ht="11.25" customHeight="1" x14ac:dyDescent="0.2">
      <c r="C1002" s="4" t="s">
        <v>874</v>
      </c>
      <c r="D1002" s="4" t="s">
        <v>866</v>
      </c>
      <c r="E1002" s="13" t="s">
        <v>497</v>
      </c>
      <c r="F1002" s="28">
        <v>173995</v>
      </c>
      <c r="G1002" s="18">
        <v>0.20799999999999999</v>
      </c>
      <c r="H1002" s="20">
        <f>TRUNC(($F1002*G1002),1)</f>
        <v>36190.9</v>
      </c>
    </row>
    <row r="1003" spans="1:10" ht="11.25" customHeight="1" x14ac:dyDescent="0.2">
      <c r="C1003" s="107" t="s">
        <v>1285</v>
      </c>
      <c r="D1003" s="107"/>
      <c r="E1003" s="23"/>
      <c r="F1003" s="22"/>
      <c r="G1003" s="22"/>
      <c r="H1003" s="24">
        <f>TRUNC(SUM(H1002:H1002))</f>
        <v>36190</v>
      </c>
    </row>
    <row r="1004" spans="1:10" ht="11.25" customHeight="1" x14ac:dyDescent="0.2">
      <c r="C1004" s="4"/>
      <c r="D1004" s="4"/>
      <c r="E1004" s="13"/>
      <c r="F1004" s="56"/>
      <c r="G1004" s="18"/>
      <c r="H1004" s="20"/>
      <c r="J1004" s="32"/>
    </row>
    <row r="1005" spans="1:10" ht="11.25" customHeight="1" x14ac:dyDescent="0.2">
      <c r="B1005" s="8" t="s">
        <v>932</v>
      </c>
      <c r="C1005" s="4" t="s">
        <v>662</v>
      </c>
      <c r="D1005" s="106" t="s">
        <v>860</v>
      </c>
      <c r="E1005" s="13" t="s">
        <v>746</v>
      </c>
      <c r="F1005" s="66">
        <v>2072000</v>
      </c>
      <c r="G1005" s="19">
        <v>3508</v>
      </c>
      <c r="H1005" s="20">
        <f>TRUNC($F1005*G1005*0.0000001,1)</f>
        <v>726.8</v>
      </c>
    </row>
    <row r="1006" spans="1:10" ht="11.25" customHeight="1" x14ac:dyDescent="0.2">
      <c r="C1006" s="107" t="s">
        <v>1289</v>
      </c>
      <c r="D1006" s="107"/>
      <c r="E1006" s="23"/>
      <c r="F1006" s="22"/>
      <c r="G1006" s="22"/>
      <c r="H1006" s="24">
        <f>TRUNC(SUM(H1005:H1005))</f>
        <v>726</v>
      </c>
    </row>
    <row r="1007" spans="1:10" ht="11.25" customHeight="1" x14ac:dyDescent="0.2">
      <c r="C1007" s="4"/>
      <c r="D1007" s="4"/>
      <c r="E1007" s="13"/>
      <c r="F1007" s="56"/>
      <c r="G1007" s="18"/>
      <c r="H1007" s="20"/>
    </row>
    <row r="1008" spans="1:10" ht="11.25" customHeight="1" x14ac:dyDescent="0.2">
      <c r="B1008" s="16"/>
      <c r="C1008" s="108" t="s">
        <v>1286</v>
      </c>
      <c r="D1008" s="108"/>
      <c r="E1008" s="103"/>
      <c r="F1008" s="102"/>
      <c r="G1008" s="102"/>
      <c r="H1008" s="104">
        <f>TRUNC(H1006+H1000+H1003)</f>
        <v>39264</v>
      </c>
    </row>
    <row r="1010" spans="2:12" ht="11.25" customHeight="1" x14ac:dyDescent="0.2">
      <c r="B1010" s="68" t="s">
        <v>1392</v>
      </c>
      <c r="C1010" s="119"/>
      <c r="L1010" s="49" t="s">
        <v>1307</v>
      </c>
    </row>
    <row r="1011" spans="2:12" ht="11.25" customHeight="1" x14ac:dyDescent="0.2">
      <c r="B1011" s="186" t="s">
        <v>427</v>
      </c>
      <c r="C1011" s="187" t="s">
        <v>428</v>
      </c>
      <c r="D1011" s="187" t="s">
        <v>429</v>
      </c>
      <c r="E1011" s="188" t="s">
        <v>430</v>
      </c>
      <c r="F1011" s="188" t="s">
        <v>431</v>
      </c>
      <c r="G1011" s="94" t="s">
        <v>592</v>
      </c>
      <c r="H1011" s="151"/>
      <c r="I1011" s="94" t="s">
        <v>82</v>
      </c>
      <c r="J1011" s="151"/>
      <c r="K1011" s="94" t="s">
        <v>83</v>
      </c>
      <c r="L1011" s="151"/>
    </row>
    <row r="1012" spans="2:12" ht="11.25" customHeight="1" x14ac:dyDescent="0.2">
      <c r="B1012" s="186"/>
      <c r="C1012" s="187"/>
      <c r="D1012" s="187"/>
      <c r="E1012" s="188"/>
      <c r="F1012" s="188"/>
      <c r="G1012" s="17" t="s">
        <v>436</v>
      </c>
      <c r="H1012" s="17" t="s">
        <v>437</v>
      </c>
      <c r="I1012" s="17" t="s">
        <v>436</v>
      </c>
      <c r="J1012" s="17" t="s">
        <v>437</v>
      </c>
      <c r="K1012" s="64" t="s">
        <v>436</v>
      </c>
      <c r="L1012" s="157" t="s">
        <v>437</v>
      </c>
    </row>
    <row r="1013" spans="2:12" ht="11.25" customHeight="1" x14ac:dyDescent="0.2">
      <c r="C1013" s="4" t="s">
        <v>426</v>
      </c>
      <c r="D1013" s="4"/>
      <c r="E1013" s="13" t="s">
        <v>494</v>
      </c>
      <c r="F1013" s="25">
        <v>1505.45</v>
      </c>
      <c r="G1013" s="26">
        <v>4</v>
      </c>
      <c r="H1013" s="20">
        <f>TRUNC(($F1013*G1013),1)</f>
        <v>6021.8</v>
      </c>
      <c r="I1013" s="26">
        <v>4</v>
      </c>
      <c r="J1013" s="20">
        <f>TRUNC(($F1013*I1013),1)</f>
        <v>6021.8</v>
      </c>
      <c r="K1013" s="65">
        <v>5.7</v>
      </c>
      <c r="L1013" s="20">
        <f>TRUNC(($F1013*K1013),1)</f>
        <v>8581</v>
      </c>
    </row>
    <row r="1014" spans="2:12" ht="11.25" customHeight="1" x14ac:dyDescent="0.2">
      <c r="C1014" s="4" t="s">
        <v>878</v>
      </c>
      <c r="D1014" s="4" t="s">
        <v>203</v>
      </c>
      <c r="E1014" s="13" t="s">
        <v>232</v>
      </c>
      <c r="F1014" s="18"/>
      <c r="G1014" s="21">
        <v>37</v>
      </c>
      <c r="H1014" s="20">
        <f>TRUNC(H1013*G1014*0.01,1)</f>
        <v>2228</v>
      </c>
      <c r="I1014" s="21">
        <v>37</v>
      </c>
      <c r="J1014" s="20">
        <f>TRUNC(J1013*I1014*0.01,1)</f>
        <v>2228</v>
      </c>
      <c r="K1014" s="46">
        <v>37</v>
      </c>
      <c r="L1014" s="20">
        <f>TRUNC(L1013*K1014*0.01,1)</f>
        <v>3174.9</v>
      </c>
    </row>
    <row r="1015" spans="2:12" ht="11.25" customHeight="1" x14ac:dyDescent="0.2">
      <c r="C1015" s="107" t="s">
        <v>799</v>
      </c>
      <c r="D1015" s="107"/>
      <c r="E1015" s="23"/>
      <c r="F1015" s="22"/>
      <c r="G1015" s="22"/>
      <c r="H1015" s="24">
        <f>TRUNC(SUM(H1013:H1014))</f>
        <v>8249</v>
      </c>
      <c r="I1015" s="22"/>
      <c r="J1015" s="24">
        <f>TRUNC(SUM(J1013:J1014))</f>
        <v>8249</v>
      </c>
      <c r="K1015" s="31"/>
      <c r="L1015" s="54">
        <f>TRUNC(SUM(L1013:L1014))</f>
        <v>11755</v>
      </c>
    </row>
    <row r="1016" spans="2:12" ht="11.25" customHeight="1" x14ac:dyDescent="0.2">
      <c r="C1016" s="107"/>
      <c r="D1016" s="107"/>
      <c r="E1016" s="23"/>
      <c r="F1016" s="22"/>
      <c r="G1016" s="22"/>
      <c r="H1016" s="24"/>
      <c r="I1016" s="22"/>
      <c r="J1016" s="24"/>
      <c r="K1016" s="31"/>
      <c r="L1016" s="54"/>
    </row>
    <row r="1017" spans="2:12" ht="11.25" customHeight="1" x14ac:dyDescent="0.2">
      <c r="C1017" s="4" t="s">
        <v>738</v>
      </c>
      <c r="D1017" s="4" t="s">
        <v>866</v>
      </c>
      <c r="E1017" s="13" t="s">
        <v>497</v>
      </c>
      <c r="F1017" s="28">
        <v>283297</v>
      </c>
      <c r="G1017" s="18">
        <v>0.20799999999999999</v>
      </c>
      <c r="H1017" s="20">
        <f>TRUNC(($F1017*G1017),1)</f>
        <v>58925.7</v>
      </c>
      <c r="I1017" s="18">
        <v>0.20799999999999999</v>
      </c>
      <c r="J1017" s="20">
        <f>TRUNC(($F1017*I1017),1)</f>
        <v>58925.7</v>
      </c>
      <c r="K1017" s="30">
        <v>0.20799999999999999</v>
      </c>
      <c r="L1017" s="20">
        <f>TRUNC(($F1017*K1017),1)</f>
        <v>58925.7</v>
      </c>
    </row>
    <row r="1018" spans="2:12" ht="11.25" customHeight="1" x14ac:dyDescent="0.2">
      <c r="C1018" s="107" t="s">
        <v>1285</v>
      </c>
      <c r="D1018" s="107"/>
      <c r="E1018" s="23"/>
      <c r="F1018" s="22"/>
      <c r="G1018" s="22"/>
      <c r="H1018" s="24">
        <f>TRUNC(SUM(H1017:H1017))</f>
        <v>58925</v>
      </c>
      <c r="I1018" s="22"/>
      <c r="J1018" s="24">
        <f>TRUNC(SUM(J1017:J1017))</f>
        <v>58925</v>
      </c>
      <c r="K1018" s="31"/>
      <c r="L1018" s="54">
        <f>TRUNC(SUM(L1017:L1017))</f>
        <v>58925</v>
      </c>
    </row>
    <row r="1019" spans="2:12" ht="11.25" customHeight="1" x14ac:dyDescent="0.2">
      <c r="C1019" s="4"/>
      <c r="D1019" s="4"/>
      <c r="E1019" s="13"/>
      <c r="F1019" s="56"/>
      <c r="G1019" s="18"/>
      <c r="H1019" s="20"/>
      <c r="I1019" s="18"/>
      <c r="J1019" s="20"/>
      <c r="K1019" s="30"/>
    </row>
    <row r="1020" spans="2:12" ht="11.25" customHeight="1" x14ac:dyDescent="0.2">
      <c r="B1020" s="8" t="s">
        <v>935</v>
      </c>
      <c r="C1020" s="4" t="s">
        <v>591</v>
      </c>
      <c r="D1020" s="106" t="s">
        <v>933</v>
      </c>
      <c r="E1020" s="13" t="s">
        <v>746</v>
      </c>
      <c r="F1020" s="66">
        <v>24944000</v>
      </c>
      <c r="G1020" s="19">
        <v>1500</v>
      </c>
      <c r="H1020" s="20">
        <f>TRUNC($F1020*G1020*0.0000001,1)</f>
        <v>3741.6</v>
      </c>
      <c r="I1020" s="21">
        <v>0</v>
      </c>
      <c r="J1020" s="20">
        <f>TRUNC($F1020*I1020*0.0000001,1)</f>
        <v>0</v>
      </c>
      <c r="K1020" s="46">
        <v>0</v>
      </c>
      <c r="L1020" s="20">
        <f>TRUNC($F1020*K1020*0.0000001,1)</f>
        <v>0</v>
      </c>
    </row>
    <row r="1021" spans="2:12" ht="11.25" customHeight="1" x14ac:dyDescent="0.2">
      <c r="B1021" s="8" t="s">
        <v>936</v>
      </c>
      <c r="C1021" s="4" t="s">
        <v>591</v>
      </c>
      <c r="D1021" s="106" t="s">
        <v>382</v>
      </c>
      <c r="E1021" s="13" t="s">
        <v>746</v>
      </c>
      <c r="F1021" s="66">
        <v>26989000</v>
      </c>
      <c r="G1021" s="21">
        <v>0</v>
      </c>
      <c r="H1021" s="20">
        <f>TRUNC($F1021*G1021*0.0000001,1)</f>
        <v>0</v>
      </c>
      <c r="I1021" s="19">
        <v>1500</v>
      </c>
      <c r="J1021" s="20">
        <f>TRUNC($F1021*I1021*0.0000001,1)</f>
        <v>4048.3</v>
      </c>
      <c r="K1021" s="46">
        <v>0</v>
      </c>
      <c r="L1021" s="20">
        <f>TRUNC($F1021*K1021*0.0000001,1)</f>
        <v>0</v>
      </c>
    </row>
    <row r="1022" spans="2:12" ht="11.25" customHeight="1" x14ac:dyDescent="0.2">
      <c r="B1022" s="8" t="s">
        <v>937</v>
      </c>
      <c r="C1022" s="4" t="s">
        <v>591</v>
      </c>
      <c r="D1022" s="106" t="s">
        <v>934</v>
      </c>
      <c r="E1022" s="13" t="s">
        <v>746</v>
      </c>
      <c r="F1022" s="66">
        <v>33662000</v>
      </c>
      <c r="G1022" s="21">
        <v>0</v>
      </c>
      <c r="H1022" s="20">
        <f>TRUNC($F1022*G1022*0.0000001,1)</f>
        <v>0</v>
      </c>
      <c r="I1022" s="21">
        <v>0</v>
      </c>
      <c r="J1022" s="20">
        <f>TRUNC($F1022*I1022*0.0000001,1)</f>
        <v>0</v>
      </c>
      <c r="K1022" s="19">
        <v>1500</v>
      </c>
      <c r="L1022" s="20">
        <f>TRUNC($F1022*K1022*0.0000001,1)</f>
        <v>5049.3</v>
      </c>
    </row>
    <row r="1023" spans="2:12" ht="11.25" customHeight="1" x14ac:dyDescent="0.2">
      <c r="C1023" s="107" t="s">
        <v>1289</v>
      </c>
      <c r="D1023" s="107"/>
      <c r="E1023" s="23"/>
      <c r="F1023" s="22"/>
      <c r="G1023" s="22"/>
      <c r="H1023" s="24">
        <f>TRUNC(SUM(H1020:H1022))</f>
        <v>3741</v>
      </c>
      <c r="I1023" s="22"/>
      <c r="J1023" s="24">
        <f>TRUNC(SUM(J1020:J1022))</f>
        <v>4048</v>
      </c>
      <c r="K1023" s="31"/>
      <c r="L1023" s="54">
        <f>TRUNC(SUM(L1020:L1022))</f>
        <v>5049</v>
      </c>
    </row>
    <row r="1024" spans="2:12" ht="11.25" customHeight="1" x14ac:dyDescent="0.2">
      <c r="C1024" s="107"/>
      <c r="D1024" s="107"/>
      <c r="E1024" s="23"/>
      <c r="F1024" s="22"/>
      <c r="G1024" s="22"/>
      <c r="H1024" s="24"/>
      <c r="I1024" s="22"/>
      <c r="J1024" s="24"/>
      <c r="K1024" s="31"/>
      <c r="L1024" s="54"/>
    </row>
    <row r="1025" spans="2:12" ht="11.25" customHeight="1" x14ac:dyDescent="0.2">
      <c r="C1025" s="126" t="s">
        <v>1286</v>
      </c>
      <c r="D1025" s="126"/>
      <c r="E1025" s="127"/>
      <c r="F1025" s="125"/>
      <c r="G1025" s="125"/>
      <c r="H1025" s="128">
        <f>TRUNC(H1023+H1015+H1018)</f>
        <v>70915</v>
      </c>
      <c r="I1025" s="125"/>
      <c r="J1025" s="128">
        <f>TRUNC(J1023+J1015+J1018)</f>
        <v>71222</v>
      </c>
      <c r="K1025" s="129"/>
      <c r="L1025" s="132">
        <f>TRUNC(L1023+L1015+L1018)</f>
        <v>75729</v>
      </c>
    </row>
    <row r="1026" spans="2:12" ht="11.25" customHeight="1" x14ac:dyDescent="0.2">
      <c r="B1026" s="186" t="s">
        <v>427</v>
      </c>
      <c r="C1026" s="187" t="s">
        <v>428</v>
      </c>
      <c r="D1026" s="187" t="s">
        <v>429</v>
      </c>
      <c r="E1026" s="188" t="s">
        <v>430</v>
      </c>
      <c r="F1026" s="188" t="s">
        <v>431</v>
      </c>
      <c r="G1026" s="94" t="s">
        <v>85</v>
      </c>
      <c r="H1026" s="151"/>
      <c r="I1026" s="94" t="s">
        <v>84</v>
      </c>
      <c r="J1026" s="151"/>
    </row>
    <row r="1027" spans="2:12" ht="11.25" customHeight="1" x14ac:dyDescent="0.2">
      <c r="B1027" s="186"/>
      <c r="C1027" s="187"/>
      <c r="D1027" s="187"/>
      <c r="E1027" s="188"/>
      <c r="F1027" s="188"/>
      <c r="G1027" s="17" t="s">
        <v>436</v>
      </c>
      <c r="H1027" s="17" t="s">
        <v>437</v>
      </c>
      <c r="I1027" s="17" t="s">
        <v>436</v>
      </c>
      <c r="J1027" s="17" t="s">
        <v>437</v>
      </c>
    </row>
    <row r="1028" spans="2:12" ht="11.25" customHeight="1" x14ac:dyDescent="0.2">
      <c r="C1028" s="4" t="s">
        <v>426</v>
      </c>
      <c r="D1028" s="4"/>
      <c r="E1028" s="13" t="s">
        <v>494</v>
      </c>
      <c r="F1028" s="25">
        <v>1505.45</v>
      </c>
      <c r="G1028" s="26">
        <v>5.7</v>
      </c>
      <c r="H1028" s="20">
        <f>TRUNC(($F1028*G1028),1)</f>
        <v>8581</v>
      </c>
      <c r="I1028" s="26">
        <v>6.6</v>
      </c>
      <c r="J1028" s="20">
        <f>TRUNC(($F1028*I1028),1)</f>
        <v>9935.9</v>
      </c>
    </row>
    <row r="1029" spans="2:12" ht="11.25" customHeight="1" x14ac:dyDescent="0.2">
      <c r="C1029" s="4" t="s">
        <v>878</v>
      </c>
      <c r="D1029" s="4" t="s">
        <v>203</v>
      </c>
      <c r="E1029" s="13" t="s">
        <v>232</v>
      </c>
      <c r="F1029" s="18"/>
      <c r="G1029" s="21">
        <v>37</v>
      </c>
      <c r="H1029" s="20">
        <f>TRUNC(H1028*G1029*0.01,1)</f>
        <v>3174.9</v>
      </c>
      <c r="I1029" s="21">
        <v>37</v>
      </c>
      <c r="J1029" s="20">
        <f>TRUNC(J1028*I1029*0.01,1)</f>
        <v>3676.2</v>
      </c>
    </row>
    <row r="1030" spans="2:12" ht="11.25" customHeight="1" x14ac:dyDescent="0.2">
      <c r="C1030" s="107" t="s">
        <v>799</v>
      </c>
      <c r="D1030" s="107"/>
      <c r="E1030" s="23"/>
      <c r="F1030" s="22"/>
      <c r="G1030" s="22"/>
      <c r="H1030" s="24">
        <f>TRUNC(SUM(H1028:H1029))</f>
        <v>11755</v>
      </c>
      <c r="I1030" s="22"/>
      <c r="J1030" s="24">
        <f>TRUNC(SUM(J1028:J1029))</f>
        <v>13612</v>
      </c>
    </row>
    <row r="1031" spans="2:12" ht="11.25" customHeight="1" x14ac:dyDescent="0.2">
      <c r="C1031" s="107"/>
      <c r="D1031" s="107"/>
      <c r="E1031" s="23"/>
      <c r="F1031" s="22"/>
      <c r="G1031" s="22"/>
      <c r="H1031" s="24"/>
      <c r="I1031" s="22"/>
      <c r="J1031" s="24"/>
    </row>
    <row r="1032" spans="2:12" ht="11.25" customHeight="1" x14ac:dyDescent="0.2">
      <c r="C1032" s="4" t="s">
        <v>738</v>
      </c>
      <c r="D1032" s="4" t="s">
        <v>866</v>
      </c>
      <c r="E1032" s="13" t="s">
        <v>497</v>
      </c>
      <c r="F1032" s="28">
        <v>283297</v>
      </c>
      <c r="G1032" s="18">
        <v>0.20799999999999999</v>
      </c>
      <c r="H1032" s="20">
        <f>TRUNC(($F1032*G1032),1)</f>
        <v>58925.7</v>
      </c>
      <c r="I1032" s="18">
        <v>0.20799999999999999</v>
      </c>
      <c r="J1032" s="20">
        <f>TRUNC(($F1032*I1032),1)</f>
        <v>58925.7</v>
      </c>
    </row>
    <row r="1033" spans="2:12" ht="11.25" customHeight="1" x14ac:dyDescent="0.2">
      <c r="C1033" s="107" t="s">
        <v>1285</v>
      </c>
      <c r="D1033" s="107"/>
      <c r="E1033" s="23"/>
      <c r="F1033" s="22"/>
      <c r="G1033" s="22"/>
      <c r="H1033" s="24">
        <f>TRUNC(SUM(H1032:H1032))</f>
        <v>58925</v>
      </c>
      <c r="I1033" s="22"/>
      <c r="J1033" s="24">
        <f>TRUNC(SUM(J1032:J1032))</f>
        <v>58925</v>
      </c>
    </row>
    <row r="1034" spans="2:12" ht="11.25" customHeight="1" x14ac:dyDescent="0.2">
      <c r="C1034" s="4"/>
      <c r="D1034" s="4"/>
      <c r="E1034" s="13"/>
      <c r="F1034" s="56"/>
      <c r="G1034" s="18"/>
      <c r="H1034" s="20"/>
      <c r="I1034" s="18"/>
      <c r="J1034" s="20"/>
    </row>
    <row r="1035" spans="2:12" ht="11.25" customHeight="1" x14ac:dyDescent="0.2">
      <c r="B1035" s="8" t="s">
        <v>940</v>
      </c>
      <c r="C1035" s="4" t="s">
        <v>591</v>
      </c>
      <c r="D1035" s="106" t="s">
        <v>938</v>
      </c>
      <c r="E1035" s="13" t="s">
        <v>746</v>
      </c>
      <c r="F1035" s="66">
        <v>47714000</v>
      </c>
      <c r="G1035" s="19">
        <v>1500</v>
      </c>
      <c r="H1035" s="20">
        <f>TRUNC($F1035*G1035*0.0000001,1)</f>
        <v>7157.1</v>
      </c>
      <c r="I1035" s="21">
        <v>0</v>
      </c>
      <c r="J1035" s="20">
        <f>TRUNC($F1035*I1035*0.0000001,1)</f>
        <v>0</v>
      </c>
    </row>
    <row r="1036" spans="2:12" ht="11.25" customHeight="1" x14ac:dyDescent="0.2">
      <c r="B1036" s="8" t="s">
        <v>941</v>
      </c>
      <c r="C1036" s="4" t="s">
        <v>591</v>
      </c>
      <c r="D1036" s="106" t="s">
        <v>939</v>
      </c>
      <c r="E1036" s="13" t="s">
        <v>746</v>
      </c>
      <c r="F1036" s="66">
        <v>63706000</v>
      </c>
      <c r="G1036" s="21">
        <v>0</v>
      </c>
      <c r="H1036" s="20">
        <f>TRUNC($F1036*G1036*0.0000001,1)</f>
        <v>0</v>
      </c>
      <c r="I1036" s="19">
        <v>1500</v>
      </c>
      <c r="J1036" s="20">
        <f>TRUNC($F1036*I1036*0.0000001,1)</f>
        <v>9555.9</v>
      </c>
    </row>
    <row r="1037" spans="2:12" ht="11.25" customHeight="1" x14ac:dyDescent="0.2">
      <c r="C1037" s="107" t="s">
        <v>1289</v>
      </c>
      <c r="D1037" s="107"/>
      <c r="E1037" s="23"/>
      <c r="F1037" s="22"/>
      <c r="G1037" s="22"/>
      <c r="H1037" s="24">
        <f>TRUNC(SUM(H1035:H1036))</f>
        <v>7157</v>
      </c>
      <c r="I1037" s="22"/>
      <c r="J1037" s="24">
        <f>TRUNC(SUM(J1035:J1036))</f>
        <v>9555</v>
      </c>
    </row>
    <row r="1038" spans="2:12" ht="11.25" customHeight="1" x14ac:dyDescent="0.2">
      <c r="C1038" s="107"/>
      <c r="D1038" s="107"/>
      <c r="E1038" s="23"/>
      <c r="F1038" s="22"/>
      <c r="G1038" s="22"/>
      <c r="H1038" s="24"/>
      <c r="I1038" s="22"/>
      <c r="J1038" s="24"/>
    </row>
    <row r="1039" spans="2:12" ht="11.25" customHeight="1" x14ac:dyDescent="0.2">
      <c r="B1039" s="16"/>
      <c r="C1039" s="108" t="s">
        <v>1286</v>
      </c>
      <c r="D1039" s="108"/>
      <c r="E1039" s="103"/>
      <c r="F1039" s="102"/>
      <c r="G1039" s="102"/>
      <c r="H1039" s="104">
        <f>TRUNC(H1037+H1030+H1033)</f>
        <v>77837</v>
      </c>
      <c r="I1039" s="102"/>
      <c r="J1039" s="104">
        <f>TRUNC(J1037+J1030+J1033)</f>
        <v>82092</v>
      </c>
    </row>
    <row r="1041" spans="2:10" ht="11.25" customHeight="1" x14ac:dyDescent="0.2">
      <c r="B1041" s="68" t="s">
        <v>1393</v>
      </c>
      <c r="C1041" s="119"/>
      <c r="J1041" s="49" t="s">
        <v>1307</v>
      </c>
    </row>
    <row r="1042" spans="2:10" ht="11.25" customHeight="1" x14ac:dyDescent="0.2">
      <c r="B1042" s="186" t="s">
        <v>427</v>
      </c>
      <c r="C1042" s="187" t="s">
        <v>428</v>
      </c>
      <c r="D1042" s="187" t="s">
        <v>429</v>
      </c>
      <c r="E1042" s="188" t="s">
        <v>430</v>
      </c>
      <c r="F1042" s="188" t="s">
        <v>431</v>
      </c>
      <c r="G1042" s="94" t="s">
        <v>5</v>
      </c>
      <c r="H1042" s="151"/>
      <c r="I1042" s="94" t="s">
        <v>82</v>
      </c>
      <c r="J1042" s="151"/>
    </row>
    <row r="1043" spans="2:10" ht="11.25" customHeight="1" x14ac:dyDescent="0.2">
      <c r="B1043" s="186"/>
      <c r="C1043" s="187"/>
      <c r="D1043" s="187"/>
      <c r="E1043" s="188"/>
      <c r="F1043" s="188"/>
      <c r="G1043" s="17" t="s">
        <v>436</v>
      </c>
      <c r="H1043" s="17" t="s">
        <v>437</v>
      </c>
      <c r="I1043" s="17" t="s">
        <v>436</v>
      </c>
      <c r="J1043" s="17" t="s">
        <v>437</v>
      </c>
    </row>
    <row r="1044" spans="2:10" ht="11.25" customHeight="1" x14ac:dyDescent="0.2">
      <c r="C1044" s="4" t="s">
        <v>426</v>
      </c>
      <c r="D1044" s="4"/>
      <c r="E1044" s="13" t="s">
        <v>494</v>
      </c>
      <c r="F1044" s="25">
        <v>1505.45</v>
      </c>
      <c r="G1044" s="27">
        <v>4.5</v>
      </c>
      <c r="H1044" s="20">
        <f>TRUNC(($F1044*G1044),1)</f>
        <v>6774.5</v>
      </c>
      <c r="I1044" s="27">
        <v>6.8</v>
      </c>
      <c r="J1044" s="20">
        <f>TRUNC(($F1044*I1044),1)</f>
        <v>10237</v>
      </c>
    </row>
    <row r="1045" spans="2:10" ht="11.25" customHeight="1" x14ac:dyDescent="0.2">
      <c r="C1045" s="4" t="s">
        <v>878</v>
      </c>
      <c r="D1045" s="4" t="s">
        <v>203</v>
      </c>
      <c r="E1045" s="13" t="s">
        <v>232</v>
      </c>
      <c r="F1045" s="18"/>
      <c r="G1045" s="21">
        <v>29</v>
      </c>
      <c r="H1045" s="20">
        <f>TRUNC(H1044*G1045*0.01,1)</f>
        <v>1964.6</v>
      </c>
      <c r="I1045" s="21">
        <v>29</v>
      </c>
      <c r="J1045" s="20">
        <f>TRUNC(J1044*I1045*0.01,1)</f>
        <v>2968.7</v>
      </c>
    </row>
    <row r="1046" spans="2:10" ht="11.25" customHeight="1" x14ac:dyDescent="0.2">
      <c r="C1046" s="107" t="s">
        <v>799</v>
      </c>
      <c r="D1046" s="107"/>
      <c r="E1046" s="23"/>
      <c r="F1046" s="22"/>
      <c r="G1046" s="22"/>
      <c r="H1046" s="24">
        <f>TRUNC(SUM(H1044:H1045))</f>
        <v>8739</v>
      </c>
      <c r="I1046" s="22"/>
      <c r="J1046" s="24">
        <f>TRUNC(SUM(J1044:J1045))</f>
        <v>13205</v>
      </c>
    </row>
    <row r="1047" spans="2:10" ht="11.25" customHeight="1" x14ac:dyDescent="0.2">
      <c r="C1047" s="107"/>
      <c r="D1047" s="107"/>
      <c r="E1047" s="23"/>
      <c r="F1047" s="22"/>
      <c r="G1047" s="22"/>
      <c r="H1047" s="24"/>
      <c r="I1047" s="22"/>
      <c r="J1047" s="24"/>
    </row>
    <row r="1048" spans="2:10" ht="11.25" customHeight="1" x14ac:dyDescent="0.2">
      <c r="C1048" s="4" t="s">
        <v>873</v>
      </c>
      <c r="D1048" s="4" t="s">
        <v>866</v>
      </c>
      <c r="E1048" s="13" t="s">
        <v>497</v>
      </c>
      <c r="F1048" s="28">
        <v>238936</v>
      </c>
      <c r="G1048" s="18">
        <v>0.20799999999999999</v>
      </c>
      <c r="H1048" s="20">
        <f>TRUNC(($F1048*G1048),1)</f>
        <v>49698.6</v>
      </c>
      <c r="I1048" s="18">
        <v>0.20799999999999999</v>
      </c>
      <c r="J1048" s="20">
        <f>TRUNC(($F1048*I1048),1)</f>
        <v>49698.6</v>
      </c>
    </row>
    <row r="1049" spans="2:10" ht="11.25" customHeight="1" x14ac:dyDescent="0.2">
      <c r="C1049" s="107" t="s">
        <v>1285</v>
      </c>
      <c r="D1049" s="107"/>
      <c r="E1049" s="23"/>
      <c r="F1049" s="22"/>
      <c r="G1049" s="22"/>
      <c r="H1049" s="24">
        <f>TRUNC(SUM(H1048:H1048))</f>
        <v>49698</v>
      </c>
      <c r="I1049" s="22"/>
      <c r="J1049" s="24">
        <f>TRUNC(SUM(J1048:J1048))</f>
        <v>49698</v>
      </c>
    </row>
    <row r="1050" spans="2:10" ht="11.25" customHeight="1" x14ac:dyDescent="0.2">
      <c r="C1050" s="107"/>
      <c r="D1050" s="107"/>
      <c r="E1050" s="22"/>
      <c r="F1050" s="22"/>
      <c r="G1050" s="22"/>
      <c r="H1050" s="22"/>
      <c r="I1050" s="22"/>
      <c r="J1050" s="22"/>
    </row>
    <row r="1051" spans="2:10" ht="11.25" customHeight="1" x14ac:dyDescent="0.2">
      <c r="B1051" s="8" t="s">
        <v>943</v>
      </c>
      <c r="C1051" s="4" t="s">
        <v>1394</v>
      </c>
      <c r="D1051" s="106" t="s">
        <v>942</v>
      </c>
      <c r="E1051" s="13" t="s">
        <v>746</v>
      </c>
      <c r="F1051" s="66">
        <v>11047000</v>
      </c>
      <c r="G1051" s="19">
        <v>2016</v>
      </c>
      <c r="H1051" s="20">
        <f>TRUNC($F1051*G1051*0.0000001,1)</f>
        <v>2227</v>
      </c>
      <c r="I1051" s="21">
        <v>0</v>
      </c>
      <c r="J1051" s="20">
        <f>TRUNC($F1051*I1051*0.0000001,1)</f>
        <v>0</v>
      </c>
    </row>
    <row r="1052" spans="2:10" ht="11.25" customHeight="1" x14ac:dyDescent="0.2">
      <c r="B1052" s="8" t="s">
        <v>392</v>
      </c>
      <c r="C1052" s="4" t="s">
        <v>1394</v>
      </c>
      <c r="D1052" s="106" t="s">
        <v>382</v>
      </c>
      <c r="E1052" s="13" t="s">
        <v>746</v>
      </c>
      <c r="F1052" s="66">
        <v>16153000</v>
      </c>
      <c r="G1052" s="21">
        <v>0</v>
      </c>
      <c r="H1052" s="20">
        <f>TRUNC($F1052*G1052*0.0000001,1)</f>
        <v>0</v>
      </c>
      <c r="I1052" s="19">
        <v>2016</v>
      </c>
      <c r="J1052" s="20">
        <f>TRUNC($F1052*I1052*0.0000001,1)</f>
        <v>3256.4</v>
      </c>
    </row>
    <row r="1053" spans="2:10" ht="11.25" customHeight="1" x14ac:dyDescent="0.2">
      <c r="C1053" s="107" t="s">
        <v>1289</v>
      </c>
      <c r="D1053" s="107"/>
      <c r="E1053" s="23"/>
      <c r="F1053" s="22"/>
      <c r="G1053" s="22"/>
      <c r="H1053" s="24">
        <f>TRUNC(SUM(H1051:H1052))</f>
        <v>2227</v>
      </c>
      <c r="I1053" s="22"/>
      <c r="J1053" s="24">
        <f>TRUNC(SUM(J1051:J1052))</f>
        <v>3256</v>
      </c>
    </row>
    <row r="1054" spans="2:10" ht="11.25" customHeight="1" x14ac:dyDescent="0.2">
      <c r="C1054" s="107"/>
      <c r="D1054" s="107"/>
      <c r="E1054" s="23"/>
      <c r="F1054" s="22"/>
      <c r="G1054" s="22"/>
      <c r="H1054" s="24"/>
      <c r="I1054" s="22"/>
      <c r="J1054" s="24"/>
    </row>
    <row r="1055" spans="2:10" ht="11.25" customHeight="1" x14ac:dyDescent="0.2">
      <c r="C1055" s="126" t="s">
        <v>1286</v>
      </c>
      <c r="D1055" s="126"/>
      <c r="E1055" s="127"/>
      <c r="F1055" s="125"/>
      <c r="G1055" s="125"/>
      <c r="H1055" s="128">
        <f>TRUNC(H1053+H1046+H1049)</f>
        <v>60664</v>
      </c>
      <c r="I1055" s="125"/>
      <c r="J1055" s="128">
        <f>TRUNC(J1053+J1046+J1049)</f>
        <v>66159</v>
      </c>
    </row>
    <row r="1056" spans="2:10" ht="11.25" customHeight="1" x14ac:dyDescent="0.2">
      <c r="B1056" s="186" t="s">
        <v>427</v>
      </c>
      <c r="C1056" s="187" t="s">
        <v>428</v>
      </c>
      <c r="D1056" s="187" t="s">
        <v>429</v>
      </c>
      <c r="E1056" s="188" t="s">
        <v>430</v>
      </c>
      <c r="F1056" s="188" t="s">
        <v>431</v>
      </c>
      <c r="G1056" s="94" t="s">
        <v>83</v>
      </c>
      <c r="H1056" s="151"/>
      <c r="I1056" s="94" t="s">
        <v>1031</v>
      </c>
      <c r="J1056" s="151"/>
    </row>
    <row r="1057" spans="1:10" ht="11.25" customHeight="1" x14ac:dyDescent="0.2">
      <c r="B1057" s="186"/>
      <c r="C1057" s="187"/>
      <c r="D1057" s="187"/>
      <c r="E1057" s="188"/>
      <c r="F1057" s="188"/>
      <c r="G1057" s="17" t="s">
        <v>436</v>
      </c>
      <c r="H1057" s="17" t="s">
        <v>437</v>
      </c>
      <c r="I1057" s="17" t="s">
        <v>436</v>
      </c>
      <c r="J1057" s="17" t="s">
        <v>437</v>
      </c>
    </row>
    <row r="1058" spans="1:10" ht="11.25" customHeight="1" x14ac:dyDescent="0.2">
      <c r="A1058" s="7"/>
      <c r="C1058" s="4" t="s">
        <v>426</v>
      </c>
      <c r="D1058" s="4"/>
      <c r="E1058" s="13" t="s">
        <v>494</v>
      </c>
      <c r="F1058" s="25">
        <v>1505.45</v>
      </c>
      <c r="G1058" s="27">
        <v>9.1999999999999993</v>
      </c>
      <c r="H1058" s="20">
        <f>TRUNC(($F1058*G1058),1)</f>
        <v>13850.1</v>
      </c>
      <c r="I1058" s="27">
        <v>11.3</v>
      </c>
      <c r="J1058" s="20">
        <f>TRUNC(($F1058*I1058),1)</f>
        <v>17011.5</v>
      </c>
    </row>
    <row r="1059" spans="1:10" ht="11.25" customHeight="1" x14ac:dyDescent="0.2">
      <c r="A1059" s="49"/>
      <c r="C1059" s="4" t="s">
        <v>878</v>
      </c>
      <c r="D1059" s="4" t="s">
        <v>203</v>
      </c>
      <c r="E1059" s="13" t="s">
        <v>232</v>
      </c>
      <c r="F1059" s="18"/>
      <c r="G1059" s="21">
        <v>29</v>
      </c>
      <c r="H1059" s="20">
        <f>TRUNC(H1058*G1059*0.01,1)</f>
        <v>4016.5</v>
      </c>
      <c r="I1059" s="21">
        <v>29</v>
      </c>
      <c r="J1059" s="20">
        <f>TRUNC(J1058*I1059*0.01,1)</f>
        <v>4933.3</v>
      </c>
    </row>
    <row r="1060" spans="1:10" ht="11.25" customHeight="1" x14ac:dyDescent="0.2">
      <c r="C1060" s="107" t="s">
        <v>799</v>
      </c>
      <c r="D1060" s="107"/>
      <c r="E1060" s="23"/>
      <c r="F1060" s="22"/>
      <c r="G1060" s="22"/>
      <c r="H1060" s="24">
        <f>TRUNC(SUM(H1058:H1059))</f>
        <v>17866</v>
      </c>
      <c r="I1060" s="22"/>
      <c r="J1060" s="24">
        <f>TRUNC(SUM(J1058:J1059))</f>
        <v>21944</v>
      </c>
    </row>
    <row r="1061" spans="1:10" ht="11.25" customHeight="1" x14ac:dyDescent="0.2">
      <c r="C1061" s="107"/>
      <c r="D1061" s="107"/>
      <c r="E1061" s="23"/>
      <c r="F1061" s="22"/>
      <c r="G1061" s="22"/>
      <c r="H1061" s="24"/>
      <c r="I1061" s="22"/>
      <c r="J1061" s="24"/>
    </row>
    <row r="1062" spans="1:10" ht="11.25" customHeight="1" x14ac:dyDescent="0.2">
      <c r="C1062" s="4" t="s">
        <v>873</v>
      </c>
      <c r="D1062" s="4" t="s">
        <v>866</v>
      </c>
      <c r="E1062" s="13" t="s">
        <v>497</v>
      </c>
      <c r="F1062" s="28">
        <v>238936</v>
      </c>
      <c r="G1062" s="18">
        <v>0.20799999999999999</v>
      </c>
      <c r="H1062" s="20">
        <f>TRUNC(($F1062*G1062),1)</f>
        <v>49698.6</v>
      </c>
      <c r="I1062" s="18">
        <v>0.20799999999999999</v>
      </c>
      <c r="J1062" s="20">
        <f>TRUNC(($F1062*I1062),1)</f>
        <v>49698.6</v>
      </c>
    </row>
    <row r="1063" spans="1:10" ht="11.25" customHeight="1" x14ac:dyDescent="0.2">
      <c r="C1063" s="107" t="s">
        <v>1285</v>
      </c>
      <c r="D1063" s="107"/>
      <c r="E1063" s="23"/>
      <c r="F1063" s="22"/>
      <c r="G1063" s="22"/>
      <c r="H1063" s="24">
        <f>TRUNC(SUM(H1062:H1062))</f>
        <v>49698</v>
      </c>
      <c r="I1063" s="22"/>
      <c r="J1063" s="24">
        <f>TRUNC(SUM(J1062:J1062))</f>
        <v>49698</v>
      </c>
    </row>
    <row r="1064" spans="1:10" ht="11.25" customHeight="1" x14ac:dyDescent="0.2">
      <c r="C1064" s="107"/>
      <c r="D1064" s="107"/>
      <c r="E1064" s="22"/>
      <c r="F1064" s="22"/>
      <c r="G1064" s="22"/>
      <c r="H1064" s="22"/>
      <c r="I1064" s="22"/>
      <c r="J1064" s="22"/>
    </row>
    <row r="1065" spans="1:10" ht="11.25" customHeight="1" x14ac:dyDescent="0.2">
      <c r="B1065" s="8" t="s">
        <v>701</v>
      </c>
      <c r="C1065" s="4" t="s">
        <v>1394</v>
      </c>
      <c r="D1065" s="106" t="s">
        <v>934</v>
      </c>
      <c r="E1065" s="13" t="s">
        <v>746</v>
      </c>
      <c r="F1065" s="66">
        <v>20025000</v>
      </c>
      <c r="G1065" s="19">
        <v>2016</v>
      </c>
      <c r="H1065" s="20">
        <f>TRUNC($F1065*G1065*0.0000001,1)</f>
        <v>4037</v>
      </c>
      <c r="I1065" s="21">
        <v>0</v>
      </c>
      <c r="J1065" s="20">
        <f>TRUNC($F1065*I1065*0.0000001,1)</f>
        <v>0</v>
      </c>
    </row>
    <row r="1066" spans="1:10" ht="11.25" customHeight="1" x14ac:dyDescent="0.2">
      <c r="B1066" s="8" t="s">
        <v>702</v>
      </c>
      <c r="C1066" s="4" t="s">
        <v>1394</v>
      </c>
      <c r="D1066" s="106" t="s">
        <v>383</v>
      </c>
      <c r="E1066" s="13" t="s">
        <v>746</v>
      </c>
      <c r="F1066" s="66">
        <v>25702000</v>
      </c>
      <c r="G1066" s="21">
        <v>0</v>
      </c>
      <c r="H1066" s="20">
        <f>TRUNC($F1066*G1066*0.0000001,1)</f>
        <v>0</v>
      </c>
      <c r="I1066" s="19">
        <v>2016</v>
      </c>
      <c r="J1066" s="20">
        <f>TRUNC($F1066*I1066*0.0000001,1)</f>
        <v>5181.5</v>
      </c>
    </row>
    <row r="1067" spans="1:10" ht="11.25" customHeight="1" x14ac:dyDescent="0.2">
      <c r="C1067" s="107" t="s">
        <v>1289</v>
      </c>
      <c r="D1067" s="107"/>
      <c r="E1067" s="23"/>
      <c r="F1067" s="22"/>
      <c r="G1067" s="22"/>
      <c r="H1067" s="24">
        <f>TRUNC(SUM(H1065:H1066))</f>
        <v>4037</v>
      </c>
      <c r="I1067" s="22"/>
      <c r="J1067" s="24">
        <f>TRUNC(SUM(J1065:J1066))</f>
        <v>5181</v>
      </c>
    </row>
    <row r="1068" spans="1:10" ht="11.25" customHeight="1" x14ac:dyDescent="0.2">
      <c r="C1068" s="107"/>
      <c r="D1068" s="107"/>
      <c r="E1068" s="23"/>
      <c r="F1068" s="22"/>
      <c r="G1068" s="22"/>
      <c r="H1068" s="24"/>
      <c r="I1068" s="22"/>
      <c r="J1068" s="24"/>
    </row>
    <row r="1069" spans="1:10" ht="11.25" customHeight="1" x14ac:dyDescent="0.2">
      <c r="B1069" s="16"/>
      <c r="C1069" s="108" t="s">
        <v>1286</v>
      </c>
      <c r="D1069" s="108"/>
      <c r="E1069" s="103"/>
      <c r="F1069" s="102"/>
      <c r="G1069" s="102"/>
      <c r="H1069" s="104">
        <f>TRUNC(H1067+H1060+H1063)</f>
        <v>71601</v>
      </c>
      <c r="I1069" s="102"/>
      <c r="J1069" s="104">
        <f>TRUNC(J1067+J1060+J1063)</f>
        <v>76823</v>
      </c>
    </row>
    <row r="1071" spans="1:10" ht="11.25" customHeight="1" x14ac:dyDescent="0.2">
      <c r="B1071" s="68" t="s">
        <v>1395</v>
      </c>
      <c r="C1071" s="119"/>
      <c r="J1071" s="49" t="s">
        <v>1307</v>
      </c>
    </row>
    <row r="1072" spans="1:10" ht="11.25" customHeight="1" x14ac:dyDescent="0.2">
      <c r="B1072" s="186" t="s">
        <v>427</v>
      </c>
      <c r="C1072" s="187" t="s">
        <v>428</v>
      </c>
      <c r="D1072" s="187" t="s">
        <v>429</v>
      </c>
      <c r="E1072" s="188" t="s">
        <v>430</v>
      </c>
      <c r="F1072" s="188" t="s">
        <v>431</v>
      </c>
      <c r="G1072" s="94" t="s">
        <v>68</v>
      </c>
      <c r="H1072" s="151"/>
      <c r="I1072" s="94" t="s">
        <v>76</v>
      </c>
      <c r="J1072" s="151"/>
    </row>
    <row r="1073" spans="1:10" ht="11.25" customHeight="1" x14ac:dyDescent="0.2">
      <c r="B1073" s="186"/>
      <c r="C1073" s="187"/>
      <c r="D1073" s="187"/>
      <c r="E1073" s="188"/>
      <c r="F1073" s="188"/>
      <c r="G1073" s="17" t="s">
        <v>436</v>
      </c>
      <c r="H1073" s="17" t="s">
        <v>437</v>
      </c>
      <c r="I1073" s="17" t="s">
        <v>436</v>
      </c>
      <c r="J1073" s="17" t="s">
        <v>437</v>
      </c>
    </row>
    <row r="1074" spans="1:10" ht="11.25" customHeight="1" x14ac:dyDescent="0.2">
      <c r="C1074" s="4" t="s">
        <v>426</v>
      </c>
      <c r="D1074" s="4"/>
      <c r="E1074" s="13" t="s">
        <v>494</v>
      </c>
      <c r="F1074" s="25">
        <v>1505.45</v>
      </c>
      <c r="G1074" s="27">
        <v>16.5</v>
      </c>
      <c r="H1074" s="20">
        <f>TRUNC(($F1074*G1074),1)</f>
        <v>24839.9</v>
      </c>
      <c r="I1074" s="27">
        <v>17.2</v>
      </c>
      <c r="J1074" s="20">
        <f>TRUNC(($F1074*I1074),1)</f>
        <v>25893.7</v>
      </c>
    </row>
    <row r="1075" spans="1:10" ht="11.25" customHeight="1" x14ac:dyDescent="0.2">
      <c r="C1075" s="4" t="s">
        <v>878</v>
      </c>
      <c r="D1075" s="4" t="s">
        <v>203</v>
      </c>
      <c r="E1075" s="13" t="s">
        <v>232</v>
      </c>
      <c r="F1075" s="18"/>
      <c r="G1075" s="21">
        <v>39</v>
      </c>
      <c r="H1075" s="20">
        <f>TRUNC(H1074*G1075*0.01,1)</f>
        <v>9687.5</v>
      </c>
      <c r="I1075" s="21">
        <v>39</v>
      </c>
      <c r="J1075" s="20">
        <f>TRUNC(J1074*I1075*0.01,1)</f>
        <v>10098.5</v>
      </c>
    </row>
    <row r="1076" spans="1:10" ht="11.25" customHeight="1" x14ac:dyDescent="0.2">
      <c r="C1076" s="107" t="s">
        <v>799</v>
      </c>
      <c r="D1076" s="109"/>
      <c r="E1076" s="34"/>
      <c r="F1076" s="33"/>
      <c r="G1076" s="33"/>
      <c r="H1076" s="24">
        <f>TRUNC(SUM(H1074:H1075))</f>
        <v>34527</v>
      </c>
      <c r="I1076" s="33"/>
      <c r="J1076" s="24">
        <f>TRUNC(SUM(J1074:J1075))</f>
        <v>35992</v>
      </c>
    </row>
    <row r="1077" spans="1:10" ht="11.25" customHeight="1" x14ac:dyDescent="0.2">
      <c r="C1077" s="107"/>
      <c r="D1077" s="107"/>
      <c r="E1077" s="22"/>
      <c r="F1077" s="22"/>
      <c r="G1077" s="22"/>
      <c r="H1077" s="22"/>
      <c r="I1077" s="22"/>
      <c r="J1077" s="22"/>
    </row>
    <row r="1078" spans="1:10" ht="11.25" customHeight="1" x14ac:dyDescent="0.2">
      <c r="C1078" s="4" t="s">
        <v>798</v>
      </c>
      <c r="D1078" s="4" t="s">
        <v>866</v>
      </c>
      <c r="E1078" s="13" t="s">
        <v>497</v>
      </c>
      <c r="F1078" s="28">
        <v>283297</v>
      </c>
      <c r="G1078" s="18">
        <v>0.20799999999999999</v>
      </c>
      <c r="H1078" s="20">
        <f>TRUNC(($F1078*G1078),1)</f>
        <v>58925.7</v>
      </c>
      <c r="I1078" s="18">
        <v>0.20799999999999999</v>
      </c>
      <c r="J1078" s="20">
        <f>TRUNC(($F1078*I1078),1)</f>
        <v>58925.7</v>
      </c>
    </row>
    <row r="1079" spans="1:10" ht="11.25" customHeight="1" x14ac:dyDescent="0.2">
      <c r="C1079" s="107" t="s">
        <v>1285</v>
      </c>
      <c r="D1079" s="109"/>
      <c r="E1079" s="34"/>
      <c r="F1079" s="33"/>
      <c r="G1079" s="33"/>
      <c r="H1079" s="24">
        <f>TRUNC(SUM(H1078:H1078))</f>
        <v>58925</v>
      </c>
      <c r="I1079" s="24"/>
      <c r="J1079" s="24">
        <f>TRUNC(SUM(J1078:J1078))</f>
        <v>58925</v>
      </c>
    </row>
    <row r="1080" spans="1:10" ht="11.25" customHeight="1" x14ac:dyDescent="0.2">
      <c r="C1080" s="107"/>
      <c r="D1080" s="107"/>
      <c r="E1080" s="22"/>
      <c r="F1080" s="22"/>
      <c r="G1080" s="22"/>
      <c r="H1080" s="22"/>
      <c r="I1080" s="22"/>
      <c r="J1080" s="22"/>
    </row>
    <row r="1081" spans="1:10" ht="11.25" customHeight="1" x14ac:dyDescent="0.2">
      <c r="B1081" s="8" t="s">
        <v>703</v>
      </c>
      <c r="C1081" s="4" t="s">
        <v>1396</v>
      </c>
      <c r="D1081" s="106" t="s">
        <v>821</v>
      </c>
      <c r="E1081" s="13" t="s">
        <v>746</v>
      </c>
      <c r="F1081" s="66">
        <v>67216000</v>
      </c>
      <c r="G1081" s="19">
        <v>2576</v>
      </c>
      <c r="H1081" s="20">
        <f>TRUNC($F1081*G1081*0.0000001,1)</f>
        <v>17314.8</v>
      </c>
      <c r="I1081" s="21">
        <v>0</v>
      </c>
      <c r="J1081" s="20">
        <f>TRUNC($F1081*I1081*0.0000001,1)</f>
        <v>0</v>
      </c>
    </row>
    <row r="1082" spans="1:10" ht="11.25" customHeight="1" x14ac:dyDescent="0.2">
      <c r="B1082" s="8" t="s">
        <v>704</v>
      </c>
      <c r="C1082" s="4" t="s">
        <v>1396</v>
      </c>
      <c r="D1082" s="106" t="s">
        <v>692</v>
      </c>
      <c r="E1082" s="13" t="s">
        <v>746</v>
      </c>
      <c r="F1082" s="66">
        <v>90571000</v>
      </c>
      <c r="G1082" s="21">
        <v>0</v>
      </c>
      <c r="H1082" s="20">
        <f>TRUNC($F1082*G1082*0.0000001,1)</f>
        <v>0</v>
      </c>
      <c r="I1082" s="19">
        <v>2576</v>
      </c>
      <c r="J1082" s="20">
        <f>TRUNC($F1082*I1082*0.0000001,1)</f>
        <v>23331</v>
      </c>
    </row>
    <row r="1083" spans="1:10" ht="11.25" customHeight="1" x14ac:dyDescent="0.2">
      <c r="C1083" s="107" t="s">
        <v>1289</v>
      </c>
      <c r="D1083" s="109"/>
      <c r="E1083" s="34"/>
      <c r="F1083" s="33"/>
      <c r="G1083" s="33"/>
      <c r="H1083" s="24">
        <f>TRUNC(SUM(H1081:H1082))</f>
        <v>17314</v>
      </c>
      <c r="I1083" s="33"/>
      <c r="J1083" s="24">
        <f>TRUNC(SUM(J1081:J1082))</f>
        <v>23331</v>
      </c>
    </row>
    <row r="1084" spans="1:10" ht="11.25" customHeight="1" x14ac:dyDescent="0.2">
      <c r="C1084" s="107"/>
      <c r="D1084" s="107"/>
      <c r="E1084" s="22"/>
      <c r="F1084" s="22"/>
      <c r="G1084" s="22"/>
      <c r="H1084" s="22"/>
      <c r="I1084" s="22"/>
      <c r="J1084" s="22"/>
    </row>
    <row r="1085" spans="1:10" ht="11.25" customHeight="1" x14ac:dyDescent="0.2">
      <c r="C1085" s="126" t="s">
        <v>1286</v>
      </c>
      <c r="D1085" s="126"/>
      <c r="E1085" s="127"/>
      <c r="F1085" s="125"/>
      <c r="G1085" s="125"/>
      <c r="H1085" s="158">
        <f>TRUNC(H1083+H1076+H1079)</f>
        <v>110766</v>
      </c>
      <c r="I1085" s="158"/>
      <c r="J1085" s="158">
        <f>TRUNC(J1083+J1076+J1079)</f>
        <v>118248</v>
      </c>
    </row>
    <row r="1086" spans="1:10" ht="11.25" customHeight="1" x14ac:dyDescent="0.2">
      <c r="B1086" s="186" t="s">
        <v>427</v>
      </c>
      <c r="C1086" s="187" t="s">
        <v>428</v>
      </c>
      <c r="D1086" s="187" t="s">
        <v>429</v>
      </c>
      <c r="E1086" s="188" t="s">
        <v>430</v>
      </c>
      <c r="F1086" s="188" t="s">
        <v>431</v>
      </c>
      <c r="G1086" s="94" t="s">
        <v>70</v>
      </c>
      <c r="H1086" s="151"/>
      <c r="I1086" s="94" t="s">
        <v>78</v>
      </c>
      <c r="J1086" s="151"/>
    </row>
    <row r="1087" spans="1:10" ht="11.25" customHeight="1" x14ac:dyDescent="0.2">
      <c r="B1087" s="186"/>
      <c r="C1087" s="187"/>
      <c r="D1087" s="187"/>
      <c r="E1087" s="188"/>
      <c r="F1087" s="188"/>
      <c r="G1087" s="17" t="s">
        <v>436</v>
      </c>
      <c r="H1087" s="17" t="s">
        <v>437</v>
      </c>
      <c r="I1087" s="17" t="s">
        <v>436</v>
      </c>
      <c r="J1087" s="17" t="s">
        <v>437</v>
      </c>
    </row>
    <row r="1088" spans="1:10" ht="11.25" customHeight="1" x14ac:dyDescent="0.2">
      <c r="A1088" s="7"/>
      <c r="C1088" s="4" t="s">
        <v>426</v>
      </c>
      <c r="D1088" s="4"/>
      <c r="E1088" s="13" t="s">
        <v>494</v>
      </c>
      <c r="F1088" s="25">
        <v>1505.45</v>
      </c>
      <c r="G1088" s="27">
        <v>20.5</v>
      </c>
      <c r="H1088" s="20">
        <f>TRUNC(($F1088*G1088),1)</f>
        <v>30861.7</v>
      </c>
      <c r="I1088" s="27">
        <v>26.3</v>
      </c>
      <c r="J1088" s="20">
        <f>TRUNC(($F1088*I1088),1)</f>
        <v>39593.300000000003</v>
      </c>
    </row>
    <row r="1089" spans="2:12" ht="11.25" customHeight="1" x14ac:dyDescent="0.2">
      <c r="C1089" s="4" t="s">
        <v>878</v>
      </c>
      <c r="D1089" s="4" t="s">
        <v>203</v>
      </c>
      <c r="E1089" s="13" t="s">
        <v>232</v>
      </c>
      <c r="F1089" s="18"/>
      <c r="G1089" s="21">
        <v>39</v>
      </c>
      <c r="H1089" s="20">
        <f>TRUNC(H1088*G1089*0.01,1)</f>
        <v>12036</v>
      </c>
      <c r="I1089" s="21">
        <v>39</v>
      </c>
      <c r="J1089" s="20">
        <f>TRUNC(J1088*I1089*0.01,1)</f>
        <v>15441.3</v>
      </c>
    </row>
    <row r="1090" spans="2:12" ht="11.25" customHeight="1" x14ac:dyDescent="0.2">
      <c r="C1090" s="107" t="s">
        <v>799</v>
      </c>
      <c r="D1090" s="109"/>
      <c r="E1090" s="34"/>
      <c r="F1090" s="33"/>
      <c r="G1090" s="33"/>
      <c r="H1090" s="24">
        <f>TRUNC(SUM(H1088:H1089))</f>
        <v>42897</v>
      </c>
      <c r="I1090" s="24"/>
      <c r="J1090" s="24">
        <f>TRUNC(SUM(J1088:J1089))</f>
        <v>55034</v>
      </c>
    </row>
    <row r="1091" spans="2:12" ht="11.25" customHeight="1" x14ac:dyDescent="0.2">
      <c r="C1091" s="107"/>
      <c r="D1091" s="107"/>
      <c r="E1091" s="22"/>
      <c r="F1091" s="22"/>
      <c r="G1091" s="22"/>
      <c r="H1091" s="22"/>
      <c r="I1091" s="22"/>
      <c r="J1091" s="22"/>
    </row>
    <row r="1092" spans="2:12" ht="11.25" customHeight="1" x14ac:dyDescent="0.2">
      <c r="C1092" s="4" t="s">
        <v>798</v>
      </c>
      <c r="D1092" s="4" t="s">
        <v>866</v>
      </c>
      <c r="E1092" s="13" t="s">
        <v>497</v>
      </c>
      <c r="F1092" s="28">
        <v>283297</v>
      </c>
      <c r="G1092" s="18">
        <v>0.20799999999999999</v>
      </c>
      <c r="H1092" s="20">
        <f>TRUNC(($F1092*G1092),1)</f>
        <v>58925.7</v>
      </c>
      <c r="I1092" s="18">
        <v>0.20799999999999999</v>
      </c>
      <c r="J1092" s="20">
        <f>TRUNC(($F1092*I1092),1)</f>
        <v>58925.7</v>
      </c>
    </row>
    <row r="1093" spans="2:12" ht="11.25" customHeight="1" x14ac:dyDescent="0.2">
      <c r="C1093" s="107" t="s">
        <v>1285</v>
      </c>
      <c r="D1093" s="107"/>
      <c r="E1093" s="23"/>
      <c r="F1093" s="22"/>
      <c r="G1093" s="22"/>
      <c r="H1093" s="24">
        <f>TRUNC(SUM(H1092:H1092))</f>
        <v>58925</v>
      </c>
      <c r="I1093" s="22"/>
      <c r="J1093" s="24">
        <f>TRUNC(SUM(J1092:J1092))</f>
        <v>58925</v>
      </c>
    </row>
    <row r="1094" spans="2:12" ht="11.25" customHeight="1" x14ac:dyDescent="0.2">
      <c r="C1094" s="107"/>
      <c r="D1094" s="107"/>
      <c r="E1094" s="22"/>
      <c r="F1094" s="22"/>
      <c r="G1094" s="22"/>
      <c r="H1094" s="22"/>
      <c r="I1094" s="22"/>
      <c r="J1094" s="22"/>
    </row>
    <row r="1095" spans="2:12" ht="11.25" customHeight="1" x14ac:dyDescent="0.2">
      <c r="B1095" s="8" t="s">
        <v>705</v>
      </c>
      <c r="C1095" s="4" t="s">
        <v>1396</v>
      </c>
      <c r="D1095" s="106" t="s">
        <v>796</v>
      </c>
      <c r="E1095" s="13" t="s">
        <v>746</v>
      </c>
      <c r="F1095" s="66">
        <v>119491000</v>
      </c>
      <c r="G1095" s="19">
        <v>2576</v>
      </c>
      <c r="H1095" s="20">
        <f>TRUNC($F1095*G1095*0.0000001,1)</f>
        <v>30780.799999999999</v>
      </c>
      <c r="I1095" s="21">
        <v>0</v>
      </c>
      <c r="J1095" s="20">
        <f>TRUNC($F1095*I1095*0.0000001,1)</f>
        <v>0</v>
      </c>
    </row>
    <row r="1096" spans="2:12" ht="11.25" customHeight="1" x14ac:dyDescent="0.2">
      <c r="B1096" s="8" t="s">
        <v>706</v>
      </c>
      <c r="C1096" s="4" t="s">
        <v>1396</v>
      </c>
      <c r="D1096" s="106" t="s">
        <v>485</v>
      </c>
      <c r="E1096" s="13" t="s">
        <v>746</v>
      </c>
      <c r="F1096" s="66">
        <v>167285000</v>
      </c>
      <c r="G1096" s="21">
        <v>0</v>
      </c>
      <c r="H1096" s="20">
        <f>TRUNC($F1096*G1096*0.0000001,1)</f>
        <v>0</v>
      </c>
      <c r="I1096" s="19">
        <v>2576</v>
      </c>
      <c r="J1096" s="20">
        <f>TRUNC($F1096*I1096*0.0000001,1)</f>
        <v>43092.6</v>
      </c>
    </row>
    <row r="1097" spans="2:12" ht="11.25" customHeight="1" x14ac:dyDescent="0.2">
      <c r="C1097" s="107" t="s">
        <v>1289</v>
      </c>
      <c r="D1097" s="109"/>
      <c r="E1097" s="34"/>
      <c r="F1097" s="33"/>
      <c r="G1097" s="33"/>
      <c r="H1097" s="24">
        <f>TRUNC(SUM(H1095:H1096))</f>
        <v>30780</v>
      </c>
      <c r="I1097" s="24"/>
      <c r="J1097" s="24">
        <f>TRUNC(SUM(J1095:J1096))</f>
        <v>43092</v>
      </c>
    </row>
    <row r="1098" spans="2:12" ht="11.25" customHeight="1" x14ac:dyDescent="0.2">
      <c r="C1098" s="107"/>
      <c r="D1098" s="107"/>
      <c r="E1098" s="22"/>
      <c r="F1098" s="22"/>
      <c r="G1098" s="22"/>
      <c r="H1098" s="22"/>
      <c r="I1098" s="22"/>
      <c r="J1098" s="22"/>
    </row>
    <row r="1099" spans="2:12" ht="11.25" customHeight="1" x14ac:dyDescent="0.2">
      <c r="B1099" s="16"/>
      <c r="C1099" s="108" t="s">
        <v>1286</v>
      </c>
      <c r="D1099" s="108"/>
      <c r="E1099" s="103"/>
      <c r="F1099" s="102"/>
      <c r="G1099" s="102"/>
      <c r="H1099" s="104">
        <f>TRUNC(H1097+H1090+H1093)</f>
        <v>132602</v>
      </c>
      <c r="I1099" s="102"/>
      <c r="J1099" s="104">
        <f>TRUNC(J1097+J1090+J1093)</f>
        <v>157051</v>
      </c>
    </row>
    <row r="1101" spans="2:12" ht="11.25" customHeight="1" x14ac:dyDescent="0.2">
      <c r="B1101" s="68" t="s">
        <v>1397</v>
      </c>
      <c r="C1101" s="119"/>
      <c r="J1101" s="49" t="s">
        <v>1307</v>
      </c>
    </row>
    <row r="1102" spans="2:12" ht="11.25" customHeight="1" x14ac:dyDescent="0.2">
      <c r="B1102" s="68" t="s">
        <v>1398</v>
      </c>
      <c r="C1102" s="119"/>
      <c r="L1102" s="49" t="s">
        <v>1307</v>
      </c>
    </row>
    <row r="1103" spans="2:12" ht="11.25" customHeight="1" x14ac:dyDescent="0.2">
      <c r="B1103" s="186" t="s">
        <v>427</v>
      </c>
      <c r="C1103" s="187" t="s">
        <v>428</v>
      </c>
      <c r="D1103" s="187" t="s">
        <v>429</v>
      </c>
      <c r="E1103" s="188" t="s">
        <v>430</v>
      </c>
      <c r="F1103" s="188" t="s">
        <v>431</v>
      </c>
      <c r="G1103" s="94" t="s">
        <v>166</v>
      </c>
      <c r="H1103" s="151"/>
      <c r="I1103" s="94" t="s">
        <v>167</v>
      </c>
      <c r="J1103" s="151"/>
      <c r="K1103" s="94" t="s">
        <v>168</v>
      </c>
      <c r="L1103" s="151"/>
    </row>
    <row r="1104" spans="2:12" ht="11.25" customHeight="1" x14ac:dyDescent="0.2">
      <c r="B1104" s="186"/>
      <c r="C1104" s="187"/>
      <c r="D1104" s="187"/>
      <c r="E1104" s="188"/>
      <c r="F1104" s="188"/>
      <c r="G1104" s="17" t="s">
        <v>436</v>
      </c>
      <c r="H1104" s="17" t="s">
        <v>437</v>
      </c>
      <c r="I1104" s="17" t="s">
        <v>436</v>
      </c>
      <c r="J1104" s="17" t="s">
        <v>437</v>
      </c>
      <c r="K1104" s="17" t="s">
        <v>436</v>
      </c>
      <c r="L1104" s="17" t="s">
        <v>437</v>
      </c>
    </row>
    <row r="1105" spans="1:12" ht="11.25" customHeight="1" x14ac:dyDescent="0.2">
      <c r="C1105" s="4" t="s">
        <v>435</v>
      </c>
      <c r="D1105" s="4"/>
      <c r="E1105" s="13" t="s">
        <v>494</v>
      </c>
      <c r="F1105" s="67">
        <v>1075.83</v>
      </c>
      <c r="G1105" s="27">
        <v>487.2</v>
      </c>
      <c r="H1105" s="20">
        <f>TRUNC(($F1105*G1105),1)</f>
        <v>524144.3</v>
      </c>
      <c r="I1105" s="27">
        <v>614.70000000000005</v>
      </c>
      <c r="J1105" s="20">
        <f>TRUNC(($F1105*I1105),1)</f>
        <v>661312.69999999995</v>
      </c>
      <c r="K1105" s="27">
        <v>678.4</v>
      </c>
      <c r="L1105" s="20">
        <f>TRUNC(($F1105*K1105),1)</f>
        <v>729843</v>
      </c>
    </row>
    <row r="1106" spans="1:12" ht="11.25" customHeight="1" x14ac:dyDescent="0.2">
      <c r="C1106" s="107" t="s">
        <v>799</v>
      </c>
      <c r="D1106" s="107"/>
      <c r="E1106" s="23"/>
      <c r="F1106" s="22"/>
      <c r="G1106" s="22"/>
      <c r="H1106" s="24">
        <f>TRUNC(SUM(H1105:H1105))</f>
        <v>524144</v>
      </c>
      <c r="I1106" s="22"/>
      <c r="J1106" s="24">
        <f>TRUNC(SUM(J1105:J1105))</f>
        <v>661312</v>
      </c>
      <c r="K1106" s="22"/>
      <c r="L1106" s="24">
        <f>TRUNC(SUM(L1105:L1105))</f>
        <v>729843</v>
      </c>
    </row>
    <row r="1107" spans="1:12" ht="11.25" customHeight="1" x14ac:dyDescent="0.2">
      <c r="C1107" s="4"/>
      <c r="D1107" s="4"/>
      <c r="E1107" s="18"/>
      <c r="F1107" s="18"/>
      <c r="G1107" s="18"/>
      <c r="H1107" s="18"/>
      <c r="I1107" s="18"/>
      <c r="J1107" s="18"/>
      <c r="K1107" s="18"/>
      <c r="L1107" s="18"/>
    </row>
    <row r="1108" spans="1:12" ht="11.25" customHeight="1" x14ac:dyDescent="0.2">
      <c r="C1108" s="4" t="s">
        <v>798</v>
      </c>
      <c r="D1108" s="4" t="s">
        <v>867</v>
      </c>
      <c r="E1108" s="13" t="s">
        <v>497</v>
      </c>
      <c r="F1108" s="28">
        <v>283297</v>
      </c>
      <c r="G1108" s="18">
        <v>0.41599999999999998</v>
      </c>
      <c r="H1108" s="20">
        <f>TRUNC(($F1108*G1108),1)</f>
        <v>117851.5</v>
      </c>
      <c r="I1108" s="18">
        <v>0.41599999999999998</v>
      </c>
      <c r="J1108" s="20">
        <f>TRUNC(($F1108*I1108),1)</f>
        <v>117851.5</v>
      </c>
      <c r="K1108" s="18">
        <v>0.41599999999999998</v>
      </c>
      <c r="L1108" s="20">
        <f>TRUNC(($F1108*K1108),1)</f>
        <v>117851.5</v>
      </c>
    </row>
    <row r="1109" spans="1:12" ht="11.25" customHeight="1" x14ac:dyDescent="0.2">
      <c r="C1109" s="107" t="s">
        <v>1285</v>
      </c>
      <c r="D1109" s="107"/>
      <c r="E1109" s="23"/>
      <c r="F1109" s="22"/>
      <c r="G1109" s="22"/>
      <c r="H1109" s="24">
        <f>TRUNC(SUM(H1108:H1108))</f>
        <v>117851</v>
      </c>
      <c r="I1109" s="22"/>
      <c r="J1109" s="24">
        <f>TRUNC(SUM(J1108:J1108))</f>
        <v>117851</v>
      </c>
      <c r="K1109" s="22"/>
      <c r="L1109" s="24">
        <f>TRUNC(SUM(L1108:L1108))</f>
        <v>117851</v>
      </c>
    </row>
    <row r="1110" spans="1:12" ht="11.25" customHeight="1" x14ac:dyDescent="0.2">
      <c r="C1110" s="107"/>
      <c r="D1110" s="107"/>
      <c r="E1110" s="22"/>
      <c r="F1110" s="22"/>
      <c r="G1110" s="22"/>
      <c r="H1110" s="22"/>
      <c r="I1110" s="22"/>
      <c r="J1110" s="22"/>
      <c r="K1110" s="22"/>
      <c r="L1110" s="22"/>
    </row>
    <row r="1111" spans="1:12" ht="11.25" customHeight="1" x14ac:dyDescent="0.2">
      <c r="B1111" s="8" t="s">
        <v>707</v>
      </c>
      <c r="C1111" s="4" t="s">
        <v>1399</v>
      </c>
      <c r="D1111" s="106" t="s">
        <v>1400</v>
      </c>
      <c r="E1111" s="13" t="s">
        <v>746</v>
      </c>
      <c r="F1111" s="66">
        <v>341024000</v>
      </c>
      <c r="G1111" s="19">
        <v>2501</v>
      </c>
      <c r="H1111" s="20">
        <f>TRUNC($F1111*G1111*0.0000001,1)</f>
        <v>85290.1</v>
      </c>
      <c r="I1111" s="21">
        <v>0</v>
      </c>
      <c r="J1111" s="20">
        <f>TRUNC($F1111*I1111*0.0000001,1)</f>
        <v>0</v>
      </c>
      <c r="K1111" s="21">
        <v>0</v>
      </c>
      <c r="L1111" s="20">
        <f>TRUNC($F1111*K1111*0.0000001,1)</f>
        <v>0</v>
      </c>
    </row>
    <row r="1112" spans="1:12" ht="11.25" customHeight="1" x14ac:dyDescent="0.2">
      <c r="B1112" s="8" t="s">
        <v>708</v>
      </c>
      <c r="C1112" s="4" t="s">
        <v>1399</v>
      </c>
      <c r="D1112" s="106" t="s">
        <v>1401</v>
      </c>
      <c r="E1112" s="13" t="s">
        <v>746</v>
      </c>
      <c r="F1112" s="66">
        <v>449324000</v>
      </c>
      <c r="G1112" s="21">
        <v>0</v>
      </c>
      <c r="H1112" s="20">
        <f>TRUNC($F1112*G1112*0.0000001,1)</f>
        <v>0</v>
      </c>
      <c r="I1112" s="19">
        <v>2159</v>
      </c>
      <c r="J1112" s="20">
        <f>TRUNC($F1112*I1112*0.0000001,1)</f>
        <v>97009</v>
      </c>
      <c r="K1112" s="21">
        <v>0</v>
      </c>
      <c r="L1112" s="20">
        <f>TRUNC($F1112*K1112*0.0000001,1)</f>
        <v>0</v>
      </c>
    </row>
    <row r="1113" spans="1:12" ht="11.25" customHeight="1" x14ac:dyDescent="0.2">
      <c r="B1113" s="8" t="s">
        <v>709</v>
      </c>
      <c r="C1113" s="4" t="s">
        <v>1399</v>
      </c>
      <c r="D1113" s="106" t="s">
        <v>1402</v>
      </c>
      <c r="E1113" s="13" t="s">
        <v>746</v>
      </c>
      <c r="F1113" s="66">
        <v>576186000</v>
      </c>
      <c r="G1113" s="21">
        <v>0</v>
      </c>
      <c r="H1113" s="20">
        <f>TRUNC($F1113*G1113*0.0000001,1)</f>
        <v>0</v>
      </c>
      <c r="I1113" s="21">
        <v>0</v>
      </c>
      <c r="J1113" s="20">
        <f>TRUNC($F1113*I1113*0.0000001,1)</f>
        <v>0</v>
      </c>
      <c r="K1113" s="19">
        <v>2159</v>
      </c>
      <c r="L1113" s="20">
        <f>TRUNC($F1113*K1113*0.0000001,1)</f>
        <v>124398.5</v>
      </c>
    </row>
    <row r="1114" spans="1:12" ht="11.25" customHeight="1" x14ac:dyDescent="0.2">
      <c r="C1114" s="107" t="s">
        <v>1289</v>
      </c>
      <c r="D1114" s="107"/>
      <c r="E1114" s="23"/>
      <c r="F1114" s="22"/>
      <c r="G1114" s="22"/>
      <c r="H1114" s="24">
        <f>TRUNC(SUM(H1111:H1113))</f>
        <v>85290</v>
      </c>
      <c r="I1114" s="22"/>
      <c r="J1114" s="24">
        <f>TRUNC(SUM(J1111:J1113))</f>
        <v>97009</v>
      </c>
      <c r="K1114" s="22"/>
      <c r="L1114" s="24">
        <f>TRUNC(SUM(L1111:L1113))</f>
        <v>124398</v>
      </c>
    </row>
    <row r="1115" spans="1:12" ht="11.25" customHeight="1" x14ac:dyDescent="0.2">
      <c r="C1115" s="4"/>
      <c r="D1115" s="4"/>
      <c r="E1115" s="18"/>
      <c r="F1115" s="18"/>
      <c r="G1115" s="18"/>
      <c r="H1115" s="18"/>
      <c r="I1115" s="18"/>
      <c r="J1115" s="18"/>
      <c r="K1115" s="18"/>
      <c r="L1115" s="18"/>
    </row>
    <row r="1116" spans="1:12" ht="11.25" customHeight="1" x14ac:dyDescent="0.2">
      <c r="C1116" s="126" t="s">
        <v>1286</v>
      </c>
      <c r="D1116" s="126"/>
      <c r="E1116" s="127"/>
      <c r="F1116" s="125"/>
      <c r="G1116" s="125"/>
      <c r="H1116" s="128">
        <f>TRUNC(H1114+H1106+H1109)</f>
        <v>727285</v>
      </c>
      <c r="I1116" s="125"/>
      <c r="J1116" s="128">
        <f>TRUNC(J1114+J1106+J1109)</f>
        <v>876172</v>
      </c>
      <c r="K1116" s="125"/>
      <c r="L1116" s="128">
        <f>TRUNC(L1114+L1106+L1109)</f>
        <v>972092</v>
      </c>
    </row>
    <row r="1117" spans="1:12" ht="11.25" customHeight="1" x14ac:dyDescent="0.2">
      <c r="B1117" s="186" t="s">
        <v>427</v>
      </c>
      <c r="C1117" s="187" t="s">
        <v>428</v>
      </c>
      <c r="D1117" s="187" t="s">
        <v>429</v>
      </c>
      <c r="E1117" s="188" t="s">
        <v>430</v>
      </c>
      <c r="F1117" s="188" t="s">
        <v>431</v>
      </c>
      <c r="G1117" s="94" t="s">
        <v>719</v>
      </c>
      <c r="H1117" s="151"/>
      <c r="I1117" s="94" t="s">
        <v>720</v>
      </c>
      <c r="J1117" s="151"/>
      <c r="K1117" s="57"/>
      <c r="L1117" s="57"/>
    </row>
    <row r="1118" spans="1:12" ht="11.25" customHeight="1" x14ac:dyDescent="0.2">
      <c r="A1118" s="7"/>
      <c r="B1118" s="186"/>
      <c r="C1118" s="187"/>
      <c r="D1118" s="187"/>
      <c r="E1118" s="188"/>
      <c r="F1118" s="188"/>
      <c r="G1118" s="17" t="s">
        <v>436</v>
      </c>
      <c r="H1118" s="17" t="s">
        <v>437</v>
      </c>
      <c r="I1118" s="17" t="s">
        <v>436</v>
      </c>
      <c r="J1118" s="17" t="s">
        <v>437</v>
      </c>
    </row>
    <row r="1119" spans="1:12" ht="11.25" customHeight="1" x14ac:dyDescent="0.2">
      <c r="C1119" s="4" t="s">
        <v>435</v>
      </c>
      <c r="D1119" s="4"/>
      <c r="E1119" s="13" t="s">
        <v>494</v>
      </c>
      <c r="F1119" s="67">
        <v>1075.83</v>
      </c>
      <c r="G1119" s="27">
        <v>746.7</v>
      </c>
      <c r="H1119" s="20">
        <f>TRUNC(($F1119*G1119),1)</f>
        <v>803322.2</v>
      </c>
      <c r="I1119" s="27">
        <v>819.6</v>
      </c>
      <c r="J1119" s="20">
        <f>TRUNC(($F1119*I1119),1)</f>
        <v>881750.2</v>
      </c>
    </row>
    <row r="1120" spans="1:12" ht="11.25" customHeight="1" x14ac:dyDescent="0.2">
      <c r="C1120" s="107" t="s">
        <v>799</v>
      </c>
      <c r="D1120" s="107"/>
      <c r="E1120" s="23"/>
      <c r="F1120" s="22"/>
      <c r="G1120" s="22"/>
      <c r="H1120" s="24">
        <f>TRUNC(SUM(H1119:H1119))</f>
        <v>803322</v>
      </c>
      <c r="I1120" s="22"/>
      <c r="J1120" s="24">
        <f>TRUNC(SUM(J1119:J1119))</f>
        <v>881750</v>
      </c>
    </row>
    <row r="1121" spans="2:10" ht="11.25" customHeight="1" x14ac:dyDescent="0.2">
      <c r="C1121" s="4"/>
      <c r="D1121" s="4"/>
      <c r="E1121" s="18"/>
      <c r="F1121" s="18"/>
      <c r="G1121" s="18"/>
      <c r="H1121" s="18"/>
      <c r="I1121" s="18"/>
      <c r="J1121" s="18"/>
    </row>
    <row r="1122" spans="2:10" ht="11.25" customHeight="1" x14ac:dyDescent="0.2">
      <c r="C1122" s="4" t="s">
        <v>798</v>
      </c>
      <c r="D1122" s="4" t="s">
        <v>867</v>
      </c>
      <c r="E1122" s="13" t="s">
        <v>497</v>
      </c>
      <c r="F1122" s="28">
        <v>283297</v>
      </c>
      <c r="G1122" s="18">
        <v>0.41599999999999998</v>
      </c>
      <c r="H1122" s="20">
        <f>TRUNC(($F1122*G1122),1)</f>
        <v>117851.5</v>
      </c>
      <c r="I1122" s="18">
        <v>0.41599999999999998</v>
      </c>
      <c r="J1122" s="20">
        <f>TRUNC(($F1122*I1122),1)</f>
        <v>117851.5</v>
      </c>
    </row>
    <row r="1123" spans="2:10" ht="11.25" customHeight="1" x14ac:dyDescent="0.2">
      <c r="C1123" s="107" t="s">
        <v>1285</v>
      </c>
      <c r="D1123" s="107"/>
      <c r="E1123" s="23"/>
      <c r="F1123" s="22"/>
      <c r="G1123" s="22"/>
      <c r="H1123" s="24">
        <f>TRUNC(SUM(H1122:H1122))</f>
        <v>117851</v>
      </c>
      <c r="I1123" s="22"/>
      <c r="J1123" s="24">
        <f>TRUNC(SUM(J1122:J1122))</f>
        <v>117851</v>
      </c>
    </row>
    <row r="1124" spans="2:10" ht="11.25" customHeight="1" x14ac:dyDescent="0.2">
      <c r="C1124" s="107"/>
      <c r="D1124" s="107"/>
      <c r="E1124" s="22"/>
      <c r="F1124" s="22"/>
      <c r="G1124" s="22"/>
      <c r="H1124" s="22"/>
      <c r="I1124" s="22"/>
      <c r="J1124" s="22"/>
    </row>
    <row r="1125" spans="2:10" ht="11.25" customHeight="1" x14ac:dyDescent="0.2">
      <c r="B1125" s="8" t="s">
        <v>710</v>
      </c>
      <c r="C1125" s="4" t="s">
        <v>1399</v>
      </c>
      <c r="D1125" s="106" t="s">
        <v>1403</v>
      </c>
      <c r="E1125" s="13" t="s">
        <v>746</v>
      </c>
      <c r="F1125" s="66">
        <v>691875000</v>
      </c>
      <c r="G1125" s="19">
        <v>2159</v>
      </c>
      <c r="H1125" s="20">
        <f>TRUNC($F1125*G1125*0.0000001,1)</f>
        <v>149375.79999999999</v>
      </c>
      <c r="I1125" s="21">
        <v>0</v>
      </c>
      <c r="J1125" s="20">
        <f>TRUNC($F1125*I1125*0.0000001,1)</f>
        <v>0</v>
      </c>
    </row>
    <row r="1126" spans="2:10" ht="11.25" customHeight="1" x14ac:dyDescent="0.2">
      <c r="B1126" s="8" t="s">
        <v>908</v>
      </c>
      <c r="C1126" s="4" t="s">
        <v>1399</v>
      </c>
      <c r="D1126" s="106" t="s">
        <v>1404</v>
      </c>
      <c r="E1126" s="13" t="s">
        <v>746</v>
      </c>
      <c r="F1126" s="66">
        <v>778667000</v>
      </c>
      <c r="G1126" s="21">
        <v>0</v>
      </c>
      <c r="H1126" s="20">
        <f>TRUNC($F1126*G1126*0.0000001,1)</f>
        <v>0</v>
      </c>
      <c r="I1126" s="19">
        <v>2159</v>
      </c>
      <c r="J1126" s="20">
        <f>TRUNC($F1126*I1126*0.0000001,1)</f>
        <v>168114.2</v>
      </c>
    </row>
    <row r="1127" spans="2:10" ht="11.25" customHeight="1" x14ac:dyDescent="0.2">
      <c r="C1127" s="107" t="s">
        <v>1289</v>
      </c>
      <c r="D1127" s="107"/>
      <c r="E1127" s="23"/>
      <c r="F1127" s="22"/>
      <c r="G1127" s="22"/>
      <c r="H1127" s="24">
        <f>TRUNC(SUM(H1125:H1126))</f>
        <v>149375</v>
      </c>
      <c r="I1127" s="22"/>
      <c r="J1127" s="24">
        <f>TRUNC(SUM(J1125:J1126))</f>
        <v>168114</v>
      </c>
    </row>
    <row r="1128" spans="2:10" ht="11.25" customHeight="1" x14ac:dyDescent="0.2">
      <c r="C1128" s="4"/>
      <c r="D1128" s="4"/>
      <c r="E1128" s="18"/>
      <c r="F1128" s="18"/>
      <c r="G1128" s="18"/>
      <c r="H1128" s="18"/>
      <c r="I1128" s="18"/>
      <c r="J1128" s="18"/>
    </row>
    <row r="1129" spans="2:10" ht="11.25" customHeight="1" x14ac:dyDescent="0.2">
      <c r="B1129" s="16"/>
      <c r="C1129" s="108" t="s">
        <v>1286</v>
      </c>
      <c r="D1129" s="108"/>
      <c r="E1129" s="103"/>
      <c r="F1129" s="102"/>
      <c r="G1129" s="102"/>
      <c r="H1129" s="104">
        <f>TRUNC(H1127+H1120+H1123)</f>
        <v>1070548</v>
      </c>
      <c r="I1129" s="102"/>
      <c r="J1129" s="104">
        <f>TRUNC(J1127+J1120+J1123)</f>
        <v>1167715</v>
      </c>
    </row>
    <row r="1131" spans="2:10" ht="11.25" customHeight="1" x14ac:dyDescent="0.2">
      <c r="B1131" s="68" t="s">
        <v>1405</v>
      </c>
      <c r="C1131" s="119"/>
      <c r="J1131" s="49" t="s">
        <v>1307</v>
      </c>
    </row>
    <row r="1132" spans="2:10" ht="11.25" customHeight="1" x14ac:dyDescent="0.2">
      <c r="B1132" s="186" t="s">
        <v>427</v>
      </c>
      <c r="C1132" s="187" t="s">
        <v>428</v>
      </c>
      <c r="D1132" s="187" t="s">
        <v>429</v>
      </c>
      <c r="E1132" s="188" t="s">
        <v>430</v>
      </c>
      <c r="F1132" s="188" t="s">
        <v>431</v>
      </c>
      <c r="G1132" s="94" t="s">
        <v>1231</v>
      </c>
      <c r="H1132" s="151"/>
      <c r="I1132" s="94" t="s">
        <v>1005</v>
      </c>
      <c r="J1132" s="151"/>
    </row>
    <row r="1133" spans="2:10" ht="11.25" customHeight="1" x14ac:dyDescent="0.2">
      <c r="B1133" s="186"/>
      <c r="C1133" s="187"/>
      <c r="D1133" s="187"/>
      <c r="E1133" s="188"/>
      <c r="F1133" s="188"/>
      <c r="G1133" s="17" t="s">
        <v>436</v>
      </c>
      <c r="H1133" s="17" t="s">
        <v>437</v>
      </c>
      <c r="I1133" s="17" t="s">
        <v>436</v>
      </c>
      <c r="J1133" s="17" t="s">
        <v>437</v>
      </c>
    </row>
    <row r="1134" spans="2:10" ht="11.25" customHeight="1" x14ac:dyDescent="0.2">
      <c r="C1134" s="4" t="s">
        <v>426</v>
      </c>
      <c r="D1134" s="4"/>
      <c r="E1134" s="13" t="s">
        <v>494</v>
      </c>
      <c r="F1134" s="25">
        <v>1505.45</v>
      </c>
      <c r="G1134" s="26">
        <v>7</v>
      </c>
      <c r="H1134" s="20">
        <f>TRUNC(($F1134*G1134),1)</f>
        <v>10538.1</v>
      </c>
      <c r="I1134" s="26">
        <v>13</v>
      </c>
      <c r="J1134" s="20">
        <f>TRUNC(($F1134*I1134),1)</f>
        <v>19570.8</v>
      </c>
    </row>
    <row r="1135" spans="2:10" ht="11.25" customHeight="1" x14ac:dyDescent="0.2">
      <c r="C1135" s="4" t="s">
        <v>878</v>
      </c>
      <c r="D1135" s="4" t="s">
        <v>203</v>
      </c>
      <c r="E1135" s="13" t="s">
        <v>232</v>
      </c>
      <c r="F1135" s="18"/>
      <c r="G1135" s="21">
        <v>7</v>
      </c>
      <c r="H1135" s="20">
        <f>TRUNC(H1134*G1135*0.01,1)</f>
        <v>737.6</v>
      </c>
      <c r="I1135" s="21">
        <v>7</v>
      </c>
      <c r="J1135" s="20">
        <f>TRUNC(J1134*I1135*0.01,1)</f>
        <v>1369.9</v>
      </c>
    </row>
    <row r="1136" spans="2:10" ht="11.25" customHeight="1" x14ac:dyDescent="0.2">
      <c r="C1136" s="107" t="s">
        <v>799</v>
      </c>
      <c r="D1136" s="107"/>
      <c r="E1136" s="23"/>
      <c r="F1136" s="22"/>
      <c r="G1136" s="22"/>
      <c r="H1136" s="24">
        <f>TRUNC(SUM(H1134:H1135))</f>
        <v>11275</v>
      </c>
      <c r="I1136" s="22"/>
      <c r="J1136" s="24">
        <f>TRUNC(SUM(J1134:J1135))</f>
        <v>20940</v>
      </c>
    </row>
    <row r="1137" spans="2:11" ht="11.25" customHeight="1" x14ac:dyDescent="0.2">
      <c r="C1137" s="4"/>
      <c r="D1137" s="4"/>
      <c r="E1137" s="18"/>
      <c r="F1137" s="18"/>
      <c r="G1137" s="18"/>
      <c r="H1137" s="18"/>
      <c r="I1137" s="18"/>
      <c r="J1137" s="18"/>
    </row>
    <row r="1138" spans="2:11" ht="11.25" customHeight="1" x14ac:dyDescent="0.2">
      <c r="C1138" s="4" t="s">
        <v>798</v>
      </c>
      <c r="D1138" s="4" t="s">
        <v>866</v>
      </c>
      <c r="E1138" s="13" t="s">
        <v>497</v>
      </c>
      <c r="F1138" s="28">
        <v>283297</v>
      </c>
      <c r="G1138" s="18">
        <v>0.20799999999999999</v>
      </c>
      <c r="H1138" s="20">
        <f>TRUNC(($F1138*G1138),1)</f>
        <v>58925.7</v>
      </c>
      <c r="I1138" s="18">
        <v>0.20799999999999999</v>
      </c>
      <c r="J1138" s="20">
        <f>TRUNC(($F1138*I1138),1)</f>
        <v>58925.7</v>
      </c>
    </row>
    <row r="1139" spans="2:11" ht="11.25" customHeight="1" x14ac:dyDescent="0.2">
      <c r="C1139" s="107" t="s">
        <v>1285</v>
      </c>
      <c r="D1139" s="107"/>
      <c r="E1139" s="23"/>
      <c r="F1139" s="22"/>
      <c r="G1139" s="22"/>
      <c r="H1139" s="24">
        <f>TRUNC(SUM(H1138:H1138))</f>
        <v>58925</v>
      </c>
      <c r="I1139" s="22"/>
      <c r="J1139" s="24">
        <f>TRUNC(SUM(J1138:J1138))</f>
        <v>58925</v>
      </c>
    </row>
    <row r="1140" spans="2:11" ht="11.25" customHeight="1" x14ac:dyDescent="0.2">
      <c r="C1140" s="107"/>
      <c r="D1140" s="107"/>
      <c r="E1140" s="22"/>
      <c r="F1140" s="22"/>
      <c r="G1140" s="22"/>
      <c r="H1140" s="22"/>
      <c r="I1140" s="22"/>
      <c r="J1140" s="22"/>
    </row>
    <row r="1141" spans="2:11" ht="11.25" customHeight="1" x14ac:dyDescent="0.2">
      <c r="B1141" s="8" t="s">
        <v>1221</v>
      </c>
      <c r="C1141" s="4" t="s">
        <v>1406</v>
      </c>
      <c r="D1141" s="155" t="s">
        <v>1235</v>
      </c>
      <c r="E1141" s="13" t="s">
        <v>746</v>
      </c>
      <c r="F1141" s="66">
        <v>222833000</v>
      </c>
      <c r="G1141" s="19">
        <v>2362</v>
      </c>
      <c r="H1141" s="20">
        <f>TRUNC($F1141*G1141*0.0000001,1)</f>
        <v>52633.1</v>
      </c>
      <c r="I1141" s="21">
        <v>0</v>
      </c>
      <c r="J1141" s="20">
        <f>TRUNC($F1141*I1141*0.0000001,1)</f>
        <v>0</v>
      </c>
    </row>
    <row r="1142" spans="2:11" ht="11.25" customHeight="1" x14ac:dyDescent="0.2">
      <c r="B1142" s="8" t="s">
        <v>1220</v>
      </c>
      <c r="C1142" s="4" t="s">
        <v>1406</v>
      </c>
      <c r="D1142" s="4" t="s">
        <v>909</v>
      </c>
      <c r="E1142" s="13" t="s">
        <v>746</v>
      </c>
      <c r="F1142" s="66">
        <v>250388000</v>
      </c>
      <c r="G1142" s="21">
        <v>0</v>
      </c>
      <c r="H1142" s="20">
        <f>TRUNC($F1142*G1142*0.0000001,1)</f>
        <v>0</v>
      </c>
      <c r="I1142" s="19">
        <v>2362</v>
      </c>
      <c r="J1142" s="20">
        <f>TRUNC($F1142*I1142*0.0000001,1)</f>
        <v>59141.599999999999</v>
      </c>
    </row>
    <row r="1143" spans="2:11" ht="11.25" customHeight="1" x14ac:dyDescent="0.2">
      <c r="C1143" s="107" t="s">
        <v>1289</v>
      </c>
      <c r="D1143" s="107"/>
      <c r="E1143" s="23"/>
      <c r="F1143" s="22"/>
      <c r="G1143" s="22"/>
      <c r="H1143" s="24">
        <f>TRUNC(SUM(H1141:H1142))</f>
        <v>52633</v>
      </c>
      <c r="I1143" s="22"/>
      <c r="J1143" s="24">
        <f>TRUNC(SUM(J1141:J1142))</f>
        <v>59141</v>
      </c>
    </row>
    <row r="1144" spans="2:11" ht="11.25" customHeight="1" x14ac:dyDescent="0.2">
      <c r="C1144" s="4"/>
      <c r="D1144" s="4"/>
      <c r="E1144" s="18"/>
      <c r="F1144" s="18"/>
      <c r="G1144" s="18"/>
      <c r="H1144" s="18"/>
      <c r="I1144" s="18"/>
      <c r="J1144" s="18"/>
    </row>
    <row r="1145" spans="2:11" ht="11.25" customHeight="1" x14ac:dyDescent="0.2">
      <c r="B1145" s="16"/>
      <c r="C1145" s="108" t="s">
        <v>1286</v>
      </c>
      <c r="D1145" s="108"/>
      <c r="E1145" s="103"/>
      <c r="F1145" s="102"/>
      <c r="G1145" s="102"/>
      <c r="H1145" s="104">
        <f>TRUNC(H1143+H1136+H1139)</f>
        <v>122833</v>
      </c>
      <c r="I1145" s="102"/>
      <c r="J1145" s="104">
        <f>TRUNC(J1143+J1136+J1139)</f>
        <v>139006</v>
      </c>
    </row>
    <row r="1147" spans="2:11" ht="11.25" customHeight="1" x14ac:dyDescent="0.2">
      <c r="B1147" s="68" t="s">
        <v>1407</v>
      </c>
      <c r="C1147" s="119"/>
      <c r="J1147" s="49" t="s">
        <v>1307</v>
      </c>
    </row>
    <row r="1148" spans="2:11" ht="11.25" customHeight="1" x14ac:dyDescent="0.2">
      <c r="B1148" s="186" t="s">
        <v>427</v>
      </c>
      <c r="C1148" s="187" t="s">
        <v>428</v>
      </c>
      <c r="D1148" s="187" t="s">
        <v>429</v>
      </c>
      <c r="E1148" s="188" t="s">
        <v>430</v>
      </c>
      <c r="F1148" s="188" t="s">
        <v>431</v>
      </c>
      <c r="G1148" s="94" t="s">
        <v>7</v>
      </c>
      <c r="H1148" s="151"/>
      <c r="I1148" s="94" t="s">
        <v>439</v>
      </c>
      <c r="J1148" s="151"/>
    </row>
    <row r="1149" spans="2:11" ht="11.25" customHeight="1" x14ac:dyDescent="0.2">
      <c r="B1149" s="186"/>
      <c r="C1149" s="187"/>
      <c r="D1149" s="187"/>
      <c r="E1149" s="188"/>
      <c r="F1149" s="188"/>
      <c r="G1149" s="17" t="s">
        <v>436</v>
      </c>
      <c r="H1149" s="17" t="s">
        <v>437</v>
      </c>
      <c r="I1149" s="17" t="s">
        <v>436</v>
      </c>
      <c r="J1149" s="17" t="s">
        <v>437</v>
      </c>
    </row>
    <row r="1150" spans="2:11" ht="11.25" customHeight="1" x14ac:dyDescent="0.2">
      <c r="C1150" s="4" t="s">
        <v>426</v>
      </c>
      <c r="D1150" s="4"/>
      <c r="E1150" s="13" t="s">
        <v>494</v>
      </c>
      <c r="F1150" s="25">
        <v>1505.45</v>
      </c>
      <c r="G1150" s="26">
        <v>8.9</v>
      </c>
      <c r="H1150" s="20">
        <f>TRUNC(($F1150*G1150),1)</f>
        <v>13398.5</v>
      </c>
      <c r="I1150" s="26">
        <v>10.9</v>
      </c>
      <c r="J1150" s="20">
        <f>TRUNC(($F1150*I1150),1)</f>
        <v>16409.400000000001</v>
      </c>
    </row>
    <row r="1151" spans="2:11" ht="11.25" customHeight="1" x14ac:dyDescent="0.2">
      <c r="C1151" s="4" t="s">
        <v>878</v>
      </c>
      <c r="D1151" s="4" t="s">
        <v>203</v>
      </c>
      <c r="E1151" s="13" t="s">
        <v>232</v>
      </c>
      <c r="F1151" s="18"/>
      <c r="G1151" s="21">
        <v>25</v>
      </c>
      <c r="H1151" s="20">
        <f>TRUNC(H1150*G1151*0.01,1)</f>
        <v>3349.6</v>
      </c>
      <c r="I1151" s="21">
        <v>25</v>
      </c>
      <c r="J1151" s="20">
        <f>TRUNC(J1150*I1151*0.01,1)</f>
        <v>4102.3</v>
      </c>
    </row>
    <row r="1152" spans="2:11" ht="11.25" customHeight="1" x14ac:dyDescent="0.2">
      <c r="C1152" s="107" t="s">
        <v>799</v>
      </c>
      <c r="D1152" s="107"/>
      <c r="E1152" s="23"/>
      <c r="F1152" s="22"/>
      <c r="G1152" s="22"/>
      <c r="H1152" s="24">
        <f>TRUNC(SUM(H1150:H1151))</f>
        <v>16748</v>
      </c>
      <c r="I1152" s="22"/>
      <c r="J1152" s="24">
        <f>TRUNC(SUM(J1150:J1151))</f>
        <v>20511</v>
      </c>
      <c r="K1152" s="43"/>
    </row>
    <row r="1153" spans="1:10" ht="11.25" customHeight="1" x14ac:dyDescent="0.2">
      <c r="C1153" s="4"/>
      <c r="D1153" s="4"/>
      <c r="E1153" s="18"/>
      <c r="F1153" s="18"/>
      <c r="G1153" s="18"/>
      <c r="H1153" s="18"/>
      <c r="I1153" s="18"/>
      <c r="J1153" s="18"/>
    </row>
    <row r="1154" spans="1:10" ht="11.25" customHeight="1" x14ac:dyDescent="0.2">
      <c r="C1154" s="4" t="s">
        <v>798</v>
      </c>
      <c r="D1154" s="4" t="s">
        <v>866</v>
      </c>
      <c r="E1154" s="13" t="s">
        <v>497</v>
      </c>
      <c r="F1154" s="28">
        <v>283297</v>
      </c>
      <c r="G1154" s="18">
        <v>0.20799999999999999</v>
      </c>
      <c r="H1154" s="20">
        <f>TRUNC(($F1154*G1154),1)</f>
        <v>58925.7</v>
      </c>
      <c r="I1154" s="18">
        <v>0.20799999999999999</v>
      </c>
      <c r="J1154" s="20">
        <f>TRUNC(($F1154*I1154),1)</f>
        <v>58925.7</v>
      </c>
    </row>
    <row r="1155" spans="1:10" ht="11.25" customHeight="1" x14ac:dyDescent="0.2">
      <c r="C1155" s="107" t="s">
        <v>1285</v>
      </c>
      <c r="D1155" s="107"/>
      <c r="E1155" s="23"/>
      <c r="F1155" s="22"/>
      <c r="G1155" s="22"/>
      <c r="H1155" s="24">
        <f>TRUNC(SUM(H1154:H1154))</f>
        <v>58925</v>
      </c>
      <c r="I1155" s="22"/>
      <c r="J1155" s="24">
        <f>TRUNC(SUM(J1154:J1154))</f>
        <v>58925</v>
      </c>
    </row>
    <row r="1156" spans="1:10" ht="11.25" customHeight="1" x14ac:dyDescent="0.2">
      <c r="C1156" s="107"/>
      <c r="D1156" s="107"/>
      <c r="E1156" s="22"/>
      <c r="F1156" s="22"/>
      <c r="G1156" s="22"/>
      <c r="H1156" s="22"/>
      <c r="I1156" s="22"/>
      <c r="J1156" s="22"/>
    </row>
    <row r="1157" spans="1:10" ht="11.25" customHeight="1" x14ac:dyDescent="0.2">
      <c r="B1157" s="8" t="s">
        <v>228</v>
      </c>
      <c r="C1157" s="4" t="s">
        <v>1408</v>
      </c>
      <c r="D1157" s="106" t="s">
        <v>292</v>
      </c>
      <c r="E1157" s="13" t="s">
        <v>746</v>
      </c>
      <c r="F1157" s="66">
        <v>51079000</v>
      </c>
      <c r="G1157" s="19">
        <v>2569</v>
      </c>
      <c r="H1157" s="20">
        <f>TRUNC($F1157*G1157*0.0000001,1)</f>
        <v>13122.1</v>
      </c>
      <c r="I1157" s="21">
        <v>0</v>
      </c>
      <c r="J1157" s="20">
        <f>TRUNC($F1157*I1157*0.0000001,1)</f>
        <v>0</v>
      </c>
    </row>
    <row r="1158" spans="1:10" ht="11.25" customHeight="1" x14ac:dyDescent="0.2">
      <c r="B1158" s="8" t="s">
        <v>294</v>
      </c>
      <c r="C1158" s="4" t="s">
        <v>1408</v>
      </c>
      <c r="D1158" s="106" t="s">
        <v>293</v>
      </c>
      <c r="E1158" s="13" t="s">
        <v>746</v>
      </c>
      <c r="F1158" s="66">
        <v>64113000</v>
      </c>
      <c r="G1158" s="21">
        <v>0</v>
      </c>
      <c r="H1158" s="20">
        <f>TRUNC($F1158*G1158*0.0000001,1)</f>
        <v>0</v>
      </c>
      <c r="I1158" s="19">
        <v>2569</v>
      </c>
      <c r="J1158" s="20">
        <f>TRUNC($F1158*I1158*0.0000001,1)</f>
        <v>16470.599999999999</v>
      </c>
    </row>
    <row r="1159" spans="1:10" ht="11.25" customHeight="1" x14ac:dyDescent="0.2">
      <c r="C1159" s="107" t="s">
        <v>1289</v>
      </c>
      <c r="D1159" s="107"/>
      <c r="E1159" s="23"/>
      <c r="F1159" s="22"/>
      <c r="G1159" s="22"/>
      <c r="H1159" s="24">
        <f>TRUNC(SUM(H1157:H1158))</f>
        <v>13122</v>
      </c>
      <c r="I1159" s="22"/>
      <c r="J1159" s="24">
        <f>TRUNC(SUM(J1157:J1158))</f>
        <v>16470</v>
      </c>
    </row>
    <row r="1160" spans="1:10" ht="11.25" customHeight="1" x14ac:dyDescent="0.2">
      <c r="C1160" s="4"/>
      <c r="D1160" s="4"/>
      <c r="E1160" s="18"/>
      <c r="F1160" s="18"/>
      <c r="G1160" s="18"/>
      <c r="H1160" s="18"/>
      <c r="I1160" s="18"/>
      <c r="J1160" s="18"/>
    </row>
    <row r="1161" spans="1:10" ht="11.25" customHeight="1" x14ac:dyDescent="0.2">
      <c r="C1161" s="126" t="s">
        <v>1286</v>
      </c>
      <c r="D1161" s="126"/>
      <c r="E1161" s="127"/>
      <c r="F1161" s="125"/>
      <c r="G1161" s="125"/>
      <c r="H1161" s="128">
        <f>TRUNC(H1159+H1152+H1155)</f>
        <v>88795</v>
      </c>
      <c r="I1161" s="125"/>
      <c r="J1161" s="128">
        <f>TRUNC(J1159+J1152+J1155)</f>
        <v>95906</v>
      </c>
    </row>
    <row r="1162" spans="1:10" ht="11.25" customHeight="1" x14ac:dyDescent="0.2">
      <c r="B1162" s="186" t="s">
        <v>427</v>
      </c>
      <c r="C1162" s="187" t="s">
        <v>428</v>
      </c>
      <c r="D1162" s="187" t="s">
        <v>429</v>
      </c>
      <c r="E1162" s="188" t="s">
        <v>430</v>
      </c>
      <c r="F1162" s="188" t="s">
        <v>431</v>
      </c>
      <c r="G1162" s="94" t="s">
        <v>1085</v>
      </c>
      <c r="H1162" s="151"/>
      <c r="I1162" s="94" t="s">
        <v>1086</v>
      </c>
      <c r="J1162" s="151"/>
    </row>
    <row r="1163" spans="1:10" ht="11.25" customHeight="1" x14ac:dyDescent="0.2">
      <c r="B1163" s="186"/>
      <c r="C1163" s="187"/>
      <c r="D1163" s="187"/>
      <c r="E1163" s="188"/>
      <c r="F1163" s="188"/>
      <c r="G1163" s="17" t="s">
        <v>436</v>
      </c>
      <c r="H1163" s="17" t="s">
        <v>437</v>
      </c>
      <c r="I1163" s="17" t="s">
        <v>436</v>
      </c>
      <c r="J1163" s="17" t="s">
        <v>437</v>
      </c>
    </row>
    <row r="1164" spans="1:10" ht="11.25" customHeight="1" x14ac:dyDescent="0.2">
      <c r="A1164" s="7"/>
      <c r="C1164" s="4" t="s">
        <v>426</v>
      </c>
      <c r="D1164" s="4"/>
      <c r="E1164" s="13" t="s">
        <v>494</v>
      </c>
      <c r="F1164" s="25">
        <v>1505.45</v>
      </c>
      <c r="G1164" s="26">
        <v>11.3</v>
      </c>
      <c r="H1164" s="20">
        <f>TRUNC(($F1164*G1164),1)</f>
        <v>17011.5</v>
      </c>
      <c r="I1164" s="26">
        <v>14.3</v>
      </c>
      <c r="J1164" s="20">
        <f>TRUNC(($F1164*I1164),1)</f>
        <v>21527.9</v>
      </c>
    </row>
    <row r="1165" spans="1:10" ht="11.25" customHeight="1" x14ac:dyDescent="0.2">
      <c r="C1165" s="4" t="s">
        <v>878</v>
      </c>
      <c r="D1165" s="4" t="s">
        <v>203</v>
      </c>
      <c r="E1165" s="13" t="s">
        <v>232</v>
      </c>
      <c r="F1165" s="18"/>
      <c r="G1165" s="21">
        <v>25</v>
      </c>
      <c r="H1165" s="20">
        <f>TRUNC(H1164*G1165*0.01,1)</f>
        <v>4252.8</v>
      </c>
      <c r="I1165" s="21">
        <v>25</v>
      </c>
      <c r="J1165" s="20">
        <f>TRUNC(J1164*I1165*0.01,1)</f>
        <v>5381.9</v>
      </c>
    </row>
    <row r="1166" spans="1:10" ht="11.25" customHeight="1" x14ac:dyDescent="0.2">
      <c r="C1166" s="107" t="s">
        <v>799</v>
      </c>
      <c r="D1166" s="107"/>
      <c r="E1166" s="23"/>
      <c r="F1166" s="22"/>
      <c r="G1166" s="22"/>
      <c r="H1166" s="24">
        <f>TRUNC(SUM(H1164:H1165))</f>
        <v>21264</v>
      </c>
      <c r="I1166" s="22"/>
      <c r="J1166" s="24">
        <f>TRUNC(SUM(J1164:J1165))</f>
        <v>26909</v>
      </c>
    </row>
    <row r="1167" spans="1:10" ht="11.25" customHeight="1" x14ac:dyDescent="0.2">
      <c r="C1167" s="4"/>
      <c r="D1167" s="4"/>
      <c r="E1167" s="18"/>
      <c r="F1167" s="18"/>
      <c r="G1167" s="18"/>
      <c r="H1167" s="18"/>
      <c r="I1167" s="18"/>
      <c r="J1167" s="18"/>
    </row>
    <row r="1168" spans="1:10" ht="11.25" customHeight="1" x14ac:dyDescent="0.2">
      <c r="C1168" s="4" t="s">
        <v>798</v>
      </c>
      <c r="D1168" s="4" t="s">
        <v>866</v>
      </c>
      <c r="E1168" s="13" t="s">
        <v>497</v>
      </c>
      <c r="F1168" s="28">
        <v>283297</v>
      </c>
      <c r="G1168" s="18">
        <v>0.20799999999999999</v>
      </c>
      <c r="H1168" s="20">
        <f>TRUNC(($F1168*G1168),1)</f>
        <v>58925.7</v>
      </c>
      <c r="I1168" s="18">
        <v>0.20799999999999999</v>
      </c>
      <c r="J1168" s="20">
        <f>TRUNC(($F1168*I1168),1)</f>
        <v>58925.7</v>
      </c>
    </row>
    <row r="1169" spans="2:10" ht="11.25" customHeight="1" x14ac:dyDescent="0.2">
      <c r="C1169" s="107" t="s">
        <v>1285</v>
      </c>
      <c r="D1169" s="107"/>
      <c r="E1169" s="23"/>
      <c r="F1169" s="22"/>
      <c r="G1169" s="22"/>
      <c r="H1169" s="24">
        <f>TRUNC(SUM(H1168:H1168))</f>
        <v>58925</v>
      </c>
      <c r="I1169" s="22"/>
      <c r="J1169" s="24">
        <f>TRUNC(SUM(J1168:J1168))</f>
        <v>58925</v>
      </c>
    </row>
    <row r="1170" spans="2:10" ht="11.25" customHeight="1" x14ac:dyDescent="0.2">
      <c r="C1170" s="107"/>
      <c r="D1170" s="107"/>
      <c r="E1170" s="22"/>
      <c r="F1170" s="22"/>
      <c r="G1170" s="22"/>
      <c r="H1170" s="22"/>
      <c r="I1170" s="22"/>
      <c r="J1170" s="22"/>
    </row>
    <row r="1171" spans="2:10" ht="11.25" customHeight="1" x14ac:dyDescent="0.2">
      <c r="B1171" s="8" t="s">
        <v>297</v>
      </c>
      <c r="C1171" s="4" t="s">
        <v>1408</v>
      </c>
      <c r="D1171" s="106" t="s">
        <v>295</v>
      </c>
      <c r="E1171" s="13" t="s">
        <v>746</v>
      </c>
      <c r="F1171" s="66">
        <v>76303000</v>
      </c>
      <c r="G1171" s="19">
        <v>2569</v>
      </c>
      <c r="H1171" s="20">
        <f>TRUNC($F1171*G1171*0.0000001,1)</f>
        <v>19602.2</v>
      </c>
      <c r="I1171" s="21">
        <v>0</v>
      </c>
      <c r="J1171" s="20">
        <f>TRUNC($F1171*I1171*0.0000001,1)</f>
        <v>0</v>
      </c>
    </row>
    <row r="1172" spans="2:10" ht="11.25" customHeight="1" x14ac:dyDescent="0.2">
      <c r="B1172" s="8" t="s">
        <v>298</v>
      </c>
      <c r="C1172" s="4" t="s">
        <v>1408</v>
      </c>
      <c r="D1172" s="106" t="s">
        <v>296</v>
      </c>
      <c r="E1172" s="13" t="s">
        <v>746</v>
      </c>
      <c r="F1172" s="66">
        <v>86938000</v>
      </c>
      <c r="G1172" s="21">
        <v>0</v>
      </c>
      <c r="H1172" s="20">
        <f>TRUNC($F1172*G1172*0.0000001,1)</f>
        <v>0</v>
      </c>
      <c r="I1172" s="19">
        <v>2569</v>
      </c>
      <c r="J1172" s="20">
        <f>TRUNC($F1172*I1172*0.0000001,1)</f>
        <v>22334.3</v>
      </c>
    </row>
    <row r="1173" spans="2:10" ht="11.25" customHeight="1" x14ac:dyDescent="0.2">
      <c r="C1173" s="107" t="s">
        <v>1289</v>
      </c>
      <c r="D1173" s="107"/>
      <c r="E1173" s="23"/>
      <c r="F1173" s="22"/>
      <c r="G1173" s="22"/>
      <c r="H1173" s="24">
        <f>TRUNC(SUM(H1171:H1172))</f>
        <v>19602</v>
      </c>
      <c r="I1173" s="22"/>
      <c r="J1173" s="24">
        <f>TRUNC(SUM(J1171:J1172))</f>
        <v>22334</v>
      </c>
    </row>
    <row r="1174" spans="2:10" ht="11.25" customHeight="1" x14ac:dyDescent="0.2">
      <c r="C1174" s="4"/>
      <c r="D1174" s="4"/>
      <c r="E1174" s="18"/>
      <c r="F1174" s="18"/>
      <c r="G1174" s="18"/>
      <c r="H1174" s="18"/>
      <c r="I1174" s="18"/>
      <c r="J1174" s="18"/>
    </row>
    <row r="1175" spans="2:10" ht="11.25" customHeight="1" x14ac:dyDescent="0.2">
      <c r="B1175" s="16"/>
      <c r="C1175" s="108" t="s">
        <v>1286</v>
      </c>
      <c r="D1175" s="108"/>
      <c r="E1175" s="103"/>
      <c r="F1175" s="102"/>
      <c r="G1175" s="102"/>
      <c r="H1175" s="104">
        <f>TRUNC(H1173+H1166+H1169)</f>
        <v>99791</v>
      </c>
      <c r="I1175" s="102"/>
      <c r="J1175" s="104">
        <f>TRUNC(J1173+J1166+J1169)</f>
        <v>108168</v>
      </c>
    </row>
    <row r="1177" spans="2:10" ht="11.25" customHeight="1" x14ac:dyDescent="0.2">
      <c r="B1177" s="68" t="s">
        <v>1409</v>
      </c>
      <c r="C1177" s="119"/>
      <c r="J1177" s="49" t="s">
        <v>1307</v>
      </c>
    </row>
    <row r="1178" spans="2:10" ht="11.25" customHeight="1" x14ac:dyDescent="0.2">
      <c r="B1178" s="186" t="s">
        <v>427</v>
      </c>
      <c r="C1178" s="187" t="s">
        <v>428</v>
      </c>
      <c r="D1178" s="187" t="s">
        <v>429</v>
      </c>
      <c r="E1178" s="188" t="s">
        <v>430</v>
      </c>
      <c r="F1178" s="188" t="s">
        <v>431</v>
      </c>
      <c r="G1178" s="94" t="s">
        <v>19</v>
      </c>
      <c r="H1178" s="151"/>
      <c r="I1178" s="94" t="s">
        <v>1087</v>
      </c>
      <c r="J1178" s="151"/>
    </row>
    <row r="1179" spans="2:10" ht="11.25" customHeight="1" x14ac:dyDescent="0.2">
      <c r="B1179" s="186"/>
      <c r="C1179" s="187"/>
      <c r="D1179" s="187"/>
      <c r="E1179" s="188"/>
      <c r="F1179" s="188"/>
      <c r="G1179" s="17" t="s">
        <v>436</v>
      </c>
      <c r="H1179" s="17" t="s">
        <v>437</v>
      </c>
      <c r="I1179" s="17" t="s">
        <v>436</v>
      </c>
      <c r="J1179" s="17" t="s">
        <v>222</v>
      </c>
    </row>
    <row r="1180" spans="2:10" ht="11.25" customHeight="1" x14ac:dyDescent="0.2">
      <c r="C1180" s="4" t="s">
        <v>744</v>
      </c>
      <c r="D1180" s="4"/>
      <c r="E1180" s="13" t="s">
        <v>494</v>
      </c>
      <c r="F1180" s="25">
        <v>1584.54</v>
      </c>
      <c r="G1180" s="26">
        <v>0.8</v>
      </c>
      <c r="H1180" s="20">
        <f>TRUNC(($F1180*G1180),1)</f>
        <v>1267.5999999999999</v>
      </c>
      <c r="I1180" s="26">
        <v>1.2</v>
      </c>
      <c r="J1180" s="20">
        <f>TRUNC(($F1180*I1180),1)</f>
        <v>1901.4</v>
      </c>
    </row>
    <row r="1181" spans="2:10" ht="11.25" customHeight="1" x14ac:dyDescent="0.2">
      <c r="C1181" s="4" t="s">
        <v>878</v>
      </c>
      <c r="D1181" s="4" t="s">
        <v>203</v>
      </c>
      <c r="E1181" s="13" t="s">
        <v>232</v>
      </c>
      <c r="F1181" s="18"/>
      <c r="G1181" s="21">
        <v>6</v>
      </c>
      <c r="H1181" s="20">
        <f>TRUNC(H1180*G1181*0.01,1)</f>
        <v>76</v>
      </c>
      <c r="I1181" s="21">
        <v>6</v>
      </c>
      <c r="J1181" s="20">
        <f>TRUNC(J1180*I1181*0.01,1)</f>
        <v>114</v>
      </c>
    </row>
    <row r="1182" spans="2:10" ht="11.25" customHeight="1" x14ac:dyDescent="0.2">
      <c r="C1182" s="107" t="s">
        <v>799</v>
      </c>
      <c r="D1182" s="107"/>
      <c r="E1182" s="23"/>
      <c r="F1182" s="22"/>
      <c r="G1182" s="22"/>
      <c r="H1182" s="24">
        <f>TRUNC(SUM(H1180:H1181))</f>
        <v>1343</v>
      </c>
      <c r="I1182" s="22"/>
      <c r="J1182" s="24">
        <f>TRUNC(SUM(J1180:J1181))</f>
        <v>2015</v>
      </c>
    </row>
    <row r="1183" spans="2:10" ht="11.25" customHeight="1" x14ac:dyDescent="0.2">
      <c r="C1183" s="4"/>
      <c r="D1183" s="4"/>
      <c r="E1183" s="18"/>
      <c r="F1183" s="18"/>
      <c r="G1183" s="18"/>
      <c r="H1183" s="18"/>
      <c r="I1183" s="18"/>
      <c r="J1183" s="18"/>
    </row>
    <row r="1184" spans="2:10" ht="11.25" customHeight="1" x14ac:dyDescent="0.2">
      <c r="C1184" s="4" t="s">
        <v>798</v>
      </c>
      <c r="D1184" s="4" t="s">
        <v>866</v>
      </c>
      <c r="E1184" s="13" t="s">
        <v>497</v>
      </c>
      <c r="F1184" s="28">
        <v>283297</v>
      </c>
      <c r="G1184" s="18">
        <v>0.20799999999999999</v>
      </c>
      <c r="H1184" s="20">
        <f>TRUNC(($F1184*G1184),1)</f>
        <v>58925.7</v>
      </c>
      <c r="I1184" s="18">
        <v>0.20799999999999999</v>
      </c>
      <c r="J1184" s="20">
        <f>TRUNC(($F1184*I1184),1)</f>
        <v>58925.7</v>
      </c>
    </row>
    <row r="1185" spans="1:10" ht="11.25" customHeight="1" x14ac:dyDescent="0.2">
      <c r="C1185" s="107" t="s">
        <v>1285</v>
      </c>
      <c r="D1185" s="107"/>
      <c r="E1185" s="23"/>
      <c r="F1185" s="22"/>
      <c r="G1185" s="22"/>
      <c r="H1185" s="24">
        <f>TRUNC(SUM(H1184:H1184))</f>
        <v>58925</v>
      </c>
      <c r="I1185" s="22"/>
      <c r="J1185" s="24">
        <f>TRUNC(SUM(J1184:J1184))</f>
        <v>58925</v>
      </c>
    </row>
    <row r="1186" spans="1:10" ht="11.25" customHeight="1" x14ac:dyDescent="0.2">
      <c r="C1186" s="107"/>
      <c r="D1186" s="107"/>
      <c r="E1186" s="22"/>
      <c r="F1186" s="22"/>
      <c r="G1186" s="22"/>
      <c r="H1186" s="22"/>
      <c r="I1186" s="22"/>
      <c r="J1186" s="22"/>
    </row>
    <row r="1187" spans="1:10" ht="11.25" customHeight="1" x14ac:dyDescent="0.2">
      <c r="B1187" s="8" t="s">
        <v>910</v>
      </c>
      <c r="C1187" s="4" t="s">
        <v>1410</v>
      </c>
      <c r="D1187" s="106" t="s">
        <v>299</v>
      </c>
      <c r="E1187" s="13" t="s">
        <v>746</v>
      </c>
      <c r="F1187" s="66">
        <v>2321000</v>
      </c>
      <c r="G1187" s="19">
        <v>2549</v>
      </c>
      <c r="H1187" s="20">
        <f>TRUNC($F1187*G1187*0.0000001,1)</f>
        <v>591.6</v>
      </c>
      <c r="I1187" s="21">
        <v>0</v>
      </c>
      <c r="J1187" s="20">
        <f>TRUNC($F1187*I1187*0.0000001,1)</f>
        <v>0</v>
      </c>
    </row>
    <row r="1188" spans="1:10" ht="11.25" customHeight="1" x14ac:dyDescent="0.2">
      <c r="B1188" s="8" t="s">
        <v>911</v>
      </c>
      <c r="C1188" s="4" t="s">
        <v>1410</v>
      </c>
      <c r="D1188" s="106" t="s">
        <v>300</v>
      </c>
      <c r="E1188" s="13" t="s">
        <v>746</v>
      </c>
      <c r="F1188" s="66">
        <v>3158000</v>
      </c>
      <c r="G1188" s="21">
        <v>0</v>
      </c>
      <c r="H1188" s="20">
        <f>TRUNC($F1188*G1188*0.0000001,1)</f>
        <v>0</v>
      </c>
      <c r="I1188" s="19">
        <v>2549</v>
      </c>
      <c r="J1188" s="20">
        <f>TRUNC($F1188*I1188*0.0000001,1)</f>
        <v>804.9</v>
      </c>
    </row>
    <row r="1189" spans="1:10" ht="11.25" customHeight="1" x14ac:dyDescent="0.2">
      <c r="C1189" s="107" t="s">
        <v>1289</v>
      </c>
      <c r="D1189" s="107"/>
      <c r="E1189" s="23"/>
      <c r="F1189" s="22"/>
      <c r="G1189" s="22"/>
      <c r="H1189" s="24">
        <f>TRUNC(SUM(H1187:H1188))</f>
        <v>591</v>
      </c>
      <c r="I1189" s="22"/>
      <c r="J1189" s="24">
        <f>TRUNC(SUM(J1187:J1188))</f>
        <v>804</v>
      </c>
    </row>
    <row r="1190" spans="1:10" ht="11.25" customHeight="1" x14ac:dyDescent="0.2">
      <c r="C1190" s="4"/>
      <c r="D1190" s="4"/>
      <c r="E1190" s="18"/>
      <c r="F1190" s="18"/>
      <c r="G1190" s="18"/>
      <c r="H1190" s="18"/>
      <c r="I1190" s="18"/>
      <c r="J1190" s="18"/>
    </row>
    <row r="1191" spans="1:10" ht="11.25" customHeight="1" x14ac:dyDescent="0.2">
      <c r="B1191" s="16"/>
      <c r="C1191" s="108" t="s">
        <v>1286</v>
      </c>
      <c r="D1191" s="108"/>
      <c r="E1191" s="103"/>
      <c r="F1191" s="102"/>
      <c r="G1191" s="102"/>
      <c r="H1191" s="104">
        <f>TRUNC(H1189+H1182+H1185)</f>
        <v>60859</v>
      </c>
      <c r="I1191" s="102"/>
      <c r="J1191" s="104">
        <f>TRUNC(J1189+J1182+J1185)</f>
        <v>61744</v>
      </c>
    </row>
    <row r="1193" spans="1:10" ht="11.25" customHeight="1" x14ac:dyDescent="0.2">
      <c r="B1193" s="68" t="s">
        <v>1411</v>
      </c>
      <c r="C1193" s="119"/>
      <c r="H1193" s="49" t="s">
        <v>1307</v>
      </c>
    </row>
    <row r="1194" spans="1:10" ht="11.25" customHeight="1" x14ac:dyDescent="0.2">
      <c r="B1194" s="186" t="s">
        <v>427</v>
      </c>
      <c r="C1194" s="187" t="s">
        <v>428</v>
      </c>
      <c r="D1194" s="187" t="s">
        <v>429</v>
      </c>
      <c r="E1194" s="188" t="s">
        <v>430</v>
      </c>
      <c r="F1194" s="188" t="s">
        <v>431</v>
      </c>
      <c r="G1194" s="94" t="s">
        <v>142</v>
      </c>
      <c r="H1194" s="151"/>
    </row>
    <row r="1195" spans="1:10" ht="11.25" customHeight="1" x14ac:dyDescent="0.2">
      <c r="A1195" s="9"/>
      <c r="B1195" s="186"/>
      <c r="C1195" s="187"/>
      <c r="D1195" s="187"/>
      <c r="E1195" s="188"/>
      <c r="F1195" s="188"/>
      <c r="G1195" s="17" t="s">
        <v>436</v>
      </c>
      <c r="H1195" s="17" t="s">
        <v>437</v>
      </c>
    </row>
    <row r="1196" spans="1:10" ht="11.25" customHeight="1" x14ac:dyDescent="0.2">
      <c r="A1196" s="9"/>
      <c r="C1196" s="4" t="s">
        <v>426</v>
      </c>
      <c r="D1196" s="4"/>
      <c r="E1196" s="13" t="s">
        <v>494</v>
      </c>
      <c r="F1196" s="25">
        <v>1505.45</v>
      </c>
      <c r="G1196" s="26">
        <v>73.7</v>
      </c>
      <c r="H1196" s="20">
        <f>TRUNC(($F1196*G1196),1)</f>
        <v>110951.6</v>
      </c>
    </row>
    <row r="1197" spans="1:10" ht="11.25" customHeight="1" x14ac:dyDescent="0.2">
      <c r="C1197" s="4" t="s">
        <v>744</v>
      </c>
      <c r="D1197" s="4"/>
      <c r="E1197" s="13" t="s">
        <v>494</v>
      </c>
      <c r="F1197" s="25">
        <v>1584.54</v>
      </c>
      <c r="G1197" s="26">
        <v>54.5</v>
      </c>
      <c r="H1197" s="20">
        <f>TRUNC(($F1197*G1197),1)</f>
        <v>86357.4</v>
      </c>
    </row>
    <row r="1198" spans="1:10" ht="11.25" customHeight="1" x14ac:dyDescent="0.2">
      <c r="C1198" s="4" t="s">
        <v>878</v>
      </c>
      <c r="D1198" s="4" t="s">
        <v>203</v>
      </c>
      <c r="E1198" s="13" t="s">
        <v>232</v>
      </c>
      <c r="F1198" s="18"/>
      <c r="G1198" s="21">
        <v>20</v>
      </c>
      <c r="H1198" s="20">
        <f>TRUNC(SUM(H1196:H1197)*G1198*0.01,1)</f>
        <v>39461.800000000003</v>
      </c>
    </row>
    <row r="1199" spans="1:10" ht="11.25" customHeight="1" x14ac:dyDescent="0.2">
      <c r="C1199" s="107" t="s">
        <v>799</v>
      </c>
      <c r="D1199" s="107"/>
      <c r="E1199" s="23"/>
      <c r="F1199" s="22"/>
      <c r="G1199" s="22"/>
      <c r="H1199" s="24">
        <f>TRUNC(SUM(H1196:H1198))</f>
        <v>236770</v>
      </c>
    </row>
    <row r="1200" spans="1:10" ht="11.25" customHeight="1" x14ac:dyDescent="0.2">
      <c r="C1200" s="4"/>
      <c r="D1200" s="4"/>
      <c r="E1200" s="18"/>
      <c r="F1200" s="18"/>
      <c r="G1200" s="18"/>
      <c r="H1200" s="18"/>
    </row>
    <row r="1201" spans="1:10" ht="11.25" customHeight="1" x14ac:dyDescent="0.2">
      <c r="C1201" s="4" t="s">
        <v>798</v>
      </c>
      <c r="D1201" s="4" t="s">
        <v>872</v>
      </c>
      <c r="E1201" s="13" t="s">
        <v>497</v>
      </c>
      <c r="F1201" s="28">
        <v>283297</v>
      </c>
      <c r="G1201" s="18">
        <v>1.458</v>
      </c>
      <c r="H1201" s="20">
        <f>TRUNC(($F1201*G1201),1)</f>
        <v>413047</v>
      </c>
    </row>
    <row r="1202" spans="1:10" ht="11.25" customHeight="1" x14ac:dyDescent="0.2">
      <c r="C1202" s="107" t="s">
        <v>1285</v>
      </c>
      <c r="D1202" s="107"/>
      <c r="E1202" s="23"/>
      <c r="F1202" s="22"/>
      <c r="G1202" s="22"/>
      <c r="H1202" s="24">
        <f>TRUNC(SUM(H1201:H1201))</f>
        <v>413047</v>
      </c>
    </row>
    <row r="1203" spans="1:10" ht="11.25" customHeight="1" x14ac:dyDescent="0.2">
      <c r="C1203" s="4"/>
      <c r="D1203" s="4"/>
      <c r="E1203" s="18"/>
      <c r="F1203" s="18"/>
      <c r="G1203" s="18"/>
      <c r="H1203" s="18"/>
    </row>
    <row r="1204" spans="1:10" ht="11.25" customHeight="1" x14ac:dyDescent="0.2">
      <c r="B1204" s="8" t="s">
        <v>163</v>
      </c>
      <c r="C1204" s="4" t="s">
        <v>1412</v>
      </c>
      <c r="D1204" s="106" t="s">
        <v>606</v>
      </c>
      <c r="E1204" s="13" t="s">
        <v>746</v>
      </c>
      <c r="F1204" s="66">
        <v>4629182000</v>
      </c>
      <c r="G1204" s="19">
        <v>3288</v>
      </c>
      <c r="H1204" s="20">
        <f>TRUNC($F1204*G1204*0.0000001,1)</f>
        <v>1522075</v>
      </c>
    </row>
    <row r="1205" spans="1:10" ht="11.25" customHeight="1" x14ac:dyDescent="0.2">
      <c r="C1205" s="107" t="s">
        <v>1289</v>
      </c>
      <c r="D1205" s="107"/>
      <c r="E1205" s="23"/>
      <c r="F1205" s="22"/>
      <c r="G1205" s="22"/>
      <c r="H1205" s="24">
        <f>TRUNC(SUM(H1204:H1204))</f>
        <v>1522075</v>
      </c>
    </row>
    <row r="1206" spans="1:10" ht="11.25" customHeight="1" x14ac:dyDescent="0.2">
      <c r="C1206" s="4"/>
      <c r="D1206" s="4"/>
      <c r="E1206" s="18"/>
      <c r="F1206" s="18"/>
      <c r="G1206" s="18"/>
      <c r="H1206" s="18"/>
    </row>
    <row r="1207" spans="1:10" ht="11.25" customHeight="1" x14ac:dyDescent="0.2">
      <c r="B1207" s="16"/>
      <c r="C1207" s="108" t="s">
        <v>1286</v>
      </c>
      <c r="D1207" s="108"/>
      <c r="E1207" s="103"/>
      <c r="F1207" s="102"/>
      <c r="G1207" s="102"/>
      <c r="H1207" s="104">
        <f>TRUNC(H1205+H1199+H1202)</f>
        <v>2171892</v>
      </c>
    </row>
    <row r="1209" spans="1:10" ht="11.25" customHeight="1" x14ac:dyDescent="0.2">
      <c r="B1209" s="68" t="s">
        <v>1413</v>
      </c>
      <c r="C1209" s="119"/>
      <c r="J1209" s="49" t="s">
        <v>1307</v>
      </c>
    </row>
    <row r="1210" spans="1:10" ht="11.25" customHeight="1" x14ac:dyDescent="0.2">
      <c r="B1210" s="186" t="s">
        <v>427</v>
      </c>
      <c r="C1210" s="187" t="s">
        <v>428</v>
      </c>
      <c r="D1210" s="187" t="s">
        <v>429</v>
      </c>
      <c r="E1210" s="188" t="s">
        <v>430</v>
      </c>
      <c r="F1210" s="188" t="s">
        <v>431</v>
      </c>
      <c r="G1210" s="94" t="s">
        <v>1088</v>
      </c>
      <c r="H1210" s="151"/>
      <c r="I1210" s="94" t="s">
        <v>1089</v>
      </c>
      <c r="J1210" s="151"/>
    </row>
    <row r="1211" spans="1:10" ht="11.25" customHeight="1" x14ac:dyDescent="0.2">
      <c r="B1211" s="186"/>
      <c r="C1211" s="187"/>
      <c r="D1211" s="187"/>
      <c r="E1211" s="188"/>
      <c r="F1211" s="188"/>
      <c r="G1211" s="17" t="s">
        <v>436</v>
      </c>
      <c r="H1211" s="17" t="s">
        <v>437</v>
      </c>
      <c r="I1211" s="17" t="s">
        <v>436</v>
      </c>
      <c r="J1211" s="17" t="s">
        <v>437</v>
      </c>
    </row>
    <row r="1212" spans="1:10" ht="11.25" customHeight="1" x14ac:dyDescent="0.2">
      <c r="A1212" s="7"/>
      <c r="C1212" s="4" t="s">
        <v>426</v>
      </c>
      <c r="D1212" s="4"/>
      <c r="E1212" s="13" t="s">
        <v>494</v>
      </c>
      <c r="F1212" s="25">
        <v>1505.45</v>
      </c>
      <c r="G1212" s="26">
        <v>17</v>
      </c>
      <c r="H1212" s="20">
        <f>TRUNC(($F1212*G1212),1)</f>
        <v>25592.6</v>
      </c>
      <c r="I1212" s="26">
        <v>35</v>
      </c>
      <c r="J1212" s="20">
        <f>TRUNC(($F1212*I1212),1)</f>
        <v>52690.7</v>
      </c>
    </row>
    <row r="1213" spans="1:10" ht="11.25" customHeight="1" x14ac:dyDescent="0.2">
      <c r="C1213" s="4" t="s">
        <v>878</v>
      </c>
      <c r="D1213" s="4" t="s">
        <v>203</v>
      </c>
      <c r="E1213" s="13" t="s">
        <v>232</v>
      </c>
      <c r="F1213" s="18"/>
      <c r="G1213" s="21">
        <v>27</v>
      </c>
      <c r="H1213" s="20">
        <f>TRUNC(H1212*G1213*0.01,1)</f>
        <v>6910</v>
      </c>
      <c r="I1213" s="21">
        <v>27</v>
      </c>
      <c r="J1213" s="20">
        <f>TRUNC(J1212*I1213*0.01,1)</f>
        <v>14226.4</v>
      </c>
    </row>
    <row r="1214" spans="1:10" ht="11.25" customHeight="1" x14ac:dyDescent="0.2">
      <c r="C1214" s="107" t="s">
        <v>799</v>
      </c>
      <c r="D1214" s="109"/>
      <c r="E1214" s="34"/>
      <c r="F1214" s="33"/>
      <c r="G1214" s="33"/>
      <c r="H1214" s="24">
        <f>TRUNC(SUM(H1212:H1213))</f>
        <v>32502</v>
      </c>
      <c r="I1214" s="33"/>
      <c r="J1214" s="24">
        <f>TRUNC(SUM(J1212:J1213))</f>
        <v>66917</v>
      </c>
    </row>
    <row r="1215" spans="1:10" ht="11.25" customHeight="1" x14ac:dyDescent="0.2">
      <c r="C1215" s="4"/>
      <c r="D1215" s="4"/>
      <c r="E1215" s="18"/>
      <c r="F1215" s="18"/>
      <c r="G1215" s="18"/>
      <c r="H1215" s="18"/>
      <c r="I1215" s="18"/>
      <c r="J1215" s="18"/>
    </row>
    <row r="1216" spans="1:10" ht="11.25" customHeight="1" x14ac:dyDescent="0.2">
      <c r="C1216" s="4" t="s">
        <v>798</v>
      </c>
      <c r="D1216" s="4" t="s">
        <v>866</v>
      </c>
      <c r="E1216" s="13" t="s">
        <v>497</v>
      </c>
      <c r="F1216" s="28">
        <v>283297</v>
      </c>
      <c r="G1216" s="18">
        <v>0.20799999999999999</v>
      </c>
      <c r="H1216" s="20">
        <f>TRUNC(($F1216*G1216),1)</f>
        <v>58925.7</v>
      </c>
      <c r="I1216" s="18">
        <v>0.20799999999999999</v>
      </c>
      <c r="J1216" s="20">
        <f>TRUNC(($F1216*I1216),1)</f>
        <v>58925.7</v>
      </c>
    </row>
    <row r="1217" spans="2:15" ht="11.25" customHeight="1" x14ac:dyDescent="0.2">
      <c r="C1217" s="107" t="s">
        <v>1285</v>
      </c>
      <c r="D1217" s="109"/>
      <c r="E1217" s="34"/>
      <c r="F1217" s="33"/>
      <c r="G1217" s="33"/>
      <c r="H1217" s="24">
        <f>TRUNC(SUM(H1216:H1216))</f>
        <v>58925</v>
      </c>
      <c r="I1217" s="33"/>
      <c r="J1217" s="24">
        <f>TRUNC(SUM(J1216:J1216))</f>
        <v>58925</v>
      </c>
    </row>
    <row r="1218" spans="2:15" ht="11.25" customHeight="1" x14ac:dyDescent="0.2">
      <c r="C1218" s="4"/>
      <c r="D1218" s="4"/>
      <c r="E1218" s="18"/>
      <c r="F1218" s="18"/>
      <c r="G1218" s="18"/>
      <c r="H1218" s="18"/>
      <c r="I1218" s="18"/>
      <c r="J1218" s="18"/>
    </row>
    <row r="1219" spans="2:15" ht="11.25" customHeight="1" x14ac:dyDescent="0.2">
      <c r="B1219" s="8" t="s">
        <v>912</v>
      </c>
      <c r="C1219" s="4" t="s">
        <v>1414</v>
      </c>
      <c r="D1219" s="106" t="s">
        <v>607</v>
      </c>
      <c r="E1219" s="13" t="s">
        <v>746</v>
      </c>
      <c r="F1219" s="66">
        <v>118464000</v>
      </c>
      <c r="G1219" s="19">
        <v>2168</v>
      </c>
      <c r="H1219" s="20">
        <f>TRUNC($F1219*G1219*0.0000001,1)</f>
        <v>25682.9</v>
      </c>
      <c r="I1219" s="21">
        <v>0</v>
      </c>
      <c r="J1219" s="20">
        <f>TRUNC($F1219*I1219*0.0000001,1)</f>
        <v>0</v>
      </c>
    </row>
    <row r="1220" spans="2:15" ht="11.25" customHeight="1" x14ac:dyDescent="0.2">
      <c r="B1220" s="8" t="s">
        <v>913</v>
      </c>
      <c r="C1220" s="4" t="s">
        <v>1414</v>
      </c>
      <c r="D1220" s="106" t="s">
        <v>608</v>
      </c>
      <c r="E1220" s="13" t="s">
        <v>746</v>
      </c>
      <c r="F1220" s="66">
        <v>150724000</v>
      </c>
      <c r="G1220" s="21">
        <v>0</v>
      </c>
      <c r="H1220" s="20">
        <f>TRUNC($F1220*G1220*0.0000001,1)</f>
        <v>0</v>
      </c>
      <c r="I1220" s="19">
        <v>2168</v>
      </c>
      <c r="J1220" s="20">
        <f>TRUNC($F1220*I1220*0.0000001,1)</f>
        <v>32676.9</v>
      </c>
    </row>
    <row r="1221" spans="2:15" ht="11.25" customHeight="1" x14ac:dyDescent="0.2">
      <c r="C1221" s="107" t="s">
        <v>1289</v>
      </c>
      <c r="D1221" s="109"/>
      <c r="E1221" s="13"/>
      <c r="F1221" s="33"/>
      <c r="G1221" s="33"/>
      <c r="H1221" s="24">
        <f>TRUNC(SUM(H1219:H1220))</f>
        <v>25682</v>
      </c>
      <c r="I1221" s="33"/>
      <c r="J1221" s="24">
        <f>TRUNC(SUM(J1219:J1220))</f>
        <v>32676</v>
      </c>
    </row>
    <row r="1222" spans="2:15" ht="11.25" customHeight="1" x14ac:dyDescent="0.2">
      <c r="C1222" s="4"/>
      <c r="D1222" s="4"/>
      <c r="E1222" s="18"/>
      <c r="F1222" s="18"/>
      <c r="G1222" s="18"/>
      <c r="H1222" s="18"/>
      <c r="I1222" s="18"/>
      <c r="J1222" s="18"/>
    </row>
    <row r="1223" spans="2:15" ht="11.25" customHeight="1" x14ac:dyDescent="0.2">
      <c r="B1223" s="16"/>
      <c r="C1223" s="108" t="s">
        <v>1286</v>
      </c>
      <c r="D1223" s="108"/>
      <c r="E1223" s="103"/>
      <c r="F1223" s="102"/>
      <c r="G1223" s="102"/>
      <c r="H1223" s="104">
        <f>TRUNC(H1221+H1214+H1217)</f>
        <v>117109</v>
      </c>
      <c r="I1223" s="102"/>
      <c r="J1223" s="104">
        <f>TRUNC(J1221+J1214+J1217)</f>
        <v>158518</v>
      </c>
    </row>
    <row r="1225" spans="2:15" ht="11.25" customHeight="1" x14ac:dyDescent="0.2">
      <c r="B1225" s="68" t="s">
        <v>1415</v>
      </c>
      <c r="C1225" s="119"/>
      <c r="L1225" s="49" t="s">
        <v>1307</v>
      </c>
    </row>
    <row r="1226" spans="2:15" ht="11.25" customHeight="1" x14ac:dyDescent="0.2">
      <c r="B1226" s="186" t="s">
        <v>427</v>
      </c>
      <c r="C1226" s="187" t="s">
        <v>428</v>
      </c>
      <c r="D1226" s="187" t="s">
        <v>429</v>
      </c>
      <c r="E1226" s="188" t="s">
        <v>430</v>
      </c>
      <c r="F1226" s="188" t="s">
        <v>431</v>
      </c>
      <c r="G1226" s="94" t="s">
        <v>1090</v>
      </c>
      <c r="H1226" s="151"/>
      <c r="I1226" s="94" t="s">
        <v>1091</v>
      </c>
      <c r="J1226" s="151"/>
      <c r="K1226" s="94" t="s">
        <v>1092</v>
      </c>
      <c r="L1226" s="151"/>
      <c r="M1226" s="9"/>
      <c r="N1226" s="38"/>
    </row>
    <row r="1227" spans="2:15" ht="11.25" customHeight="1" x14ac:dyDescent="0.2">
      <c r="B1227" s="186"/>
      <c r="C1227" s="187"/>
      <c r="D1227" s="187"/>
      <c r="E1227" s="188"/>
      <c r="F1227" s="188"/>
      <c r="G1227" s="17" t="s">
        <v>436</v>
      </c>
      <c r="H1227" s="17" t="s">
        <v>437</v>
      </c>
      <c r="I1227" s="17" t="s">
        <v>436</v>
      </c>
      <c r="J1227" s="17" t="s">
        <v>437</v>
      </c>
      <c r="K1227" s="17" t="s">
        <v>436</v>
      </c>
      <c r="L1227" s="17" t="s">
        <v>437</v>
      </c>
      <c r="M1227" s="9"/>
      <c r="N1227" s="9"/>
    </row>
    <row r="1228" spans="2:15" ht="11.25" customHeight="1" x14ac:dyDescent="0.2">
      <c r="C1228" s="4" t="s">
        <v>426</v>
      </c>
      <c r="D1228" s="4"/>
      <c r="E1228" s="13" t="s">
        <v>494</v>
      </c>
      <c r="F1228" s="25">
        <v>1505.45</v>
      </c>
      <c r="G1228" s="26">
        <v>9.6</v>
      </c>
      <c r="H1228" s="20">
        <f>TRUNC(($F1228*G1228),1)</f>
        <v>14452.3</v>
      </c>
      <c r="I1228" s="26">
        <v>20.6</v>
      </c>
      <c r="J1228" s="20">
        <f>TRUNC(($F1228*I1228),1)</f>
        <v>31012.2</v>
      </c>
      <c r="K1228" s="26">
        <v>24</v>
      </c>
      <c r="L1228" s="20">
        <f>TRUNC(($F1228*K1228),1)</f>
        <v>36130.800000000003</v>
      </c>
      <c r="M1228" s="40"/>
      <c r="N1228" s="54"/>
      <c r="O1228" s="3"/>
    </row>
    <row r="1229" spans="2:15" ht="11.25" customHeight="1" x14ac:dyDescent="0.2">
      <c r="C1229" s="4" t="s">
        <v>878</v>
      </c>
      <c r="D1229" s="4" t="s">
        <v>203</v>
      </c>
      <c r="E1229" s="13" t="s">
        <v>232</v>
      </c>
      <c r="F1229" s="18"/>
      <c r="G1229" s="21">
        <v>14</v>
      </c>
      <c r="H1229" s="20">
        <f>TRUNC(H1228*G1229*0.01,1)</f>
        <v>2023.3</v>
      </c>
      <c r="I1229" s="21">
        <v>14</v>
      </c>
      <c r="J1229" s="20">
        <f>TRUNC(J1228*I1229*0.01,1)</f>
        <v>4341.7</v>
      </c>
      <c r="K1229" s="21">
        <v>14</v>
      </c>
      <c r="L1229" s="20">
        <f>TRUNC(L1228*K1229*0.01,1)</f>
        <v>5058.3</v>
      </c>
      <c r="M1229" s="52"/>
      <c r="N1229" s="32"/>
      <c r="O1229" s="3"/>
    </row>
    <row r="1230" spans="2:15" ht="11.25" customHeight="1" x14ac:dyDescent="0.2">
      <c r="C1230" s="107" t="s">
        <v>799</v>
      </c>
      <c r="D1230" s="109"/>
      <c r="E1230" s="34"/>
      <c r="F1230" s="33"/>
      <c r="G1230" s="33"/>
      <c r="H1230" s="24">
        <f>TRUNC(SUM(H1228:H1229))</f>
        <v>16475</v>
      </c>
      <c r="I1230" s="33"/>
      <c r="J1230" s="24">
        <f>TRUNC(SUM(J1228:J1229))</f>
        <v>35353</v>
      </c>
      <c r="K1230" s="33"/>
      <c r="L1230" s="24">
        <f>TRUNC(SUM(L1228:L1229))</f>
        <v>41189</v>
      </c>
      <c r="M1230" s="39"/>
      <c r="N1230" s="32"/>
      <c r="O1230" s="3"/>
    </row>
    <row r="1231" spans="2:15" ht="11.25" customHeight="1" x14ac:dyDescent="0.2">
      <c r="C1231" s="4"/>
      <c r="D1231" s="4"/>
      <c r="E1231" s="18"/>
      <c r="F1231" s="18"/>
      <c r="G1231" s="18"/>
      <c r="H1231" s="18"/>
      <c r="I1231" s="18"/>
      <c r="J1231" s="18"/>
      <c r="K1231" s="18"/>
      <c r="L1231" s="18"/>
      <c r="O1231" s="3"/>
    </row>
    <row r="1232" spans="2:15" ht="11.25" customHeight="1" x14ac:dyDescent="0.2">
      <c r="C1232" s="4" t="s">
        <v>798</v>
      </c>
      <c r="D1232" s="4" t="s">
        <v>866</v>
      </c>
      <c r="E1232" s="13" t="s">
        <v>497</v>
      </c>
      <c r="F1232" s="28">
        <v>283297</v>
      </c>
      <c r="G1232" s="18">
        <v>0.20799999999999999</v>
      </c>
      <c r="H1232" s="20">
        <f>TRUNC(($F1232*G1232),1)</f>
        <v>58925.7</v>
      </c>
      <c r="I1232" s="18">
        <v>0.20799999999999999</v>
      </c>
      <c r="J1232" s="20">
        <f>TRUNC(($F1232*I1232),1)</f>
        <v>58925.7</v>
      </c>
      <c r="K1232" s="18">
        <v>0.20799999999999999</v>
      </c>
      <c r="L1232" s="20">
        <f>TRUNC(($F1232*K1232),1)</f>
        <v>58925.7</v>
      </c>
      <c r="M1232" s="40"/>
      <c r="N1232" s="54"/>
      <c r="O1232" s="3"/>
    </row>
    <row r="1233" spans="1:15" ht="11.25" customHeight="1" x14ac:dyDescent="0.2">
      <c r="C1233" s="107" t="s">
        <v>1285</v>
      </c>
      <c r="D1233" s="109"/>
      <c r="E1233" s="34"/>
      <c r="F1233" s="69"/>
      <c r="G1233" s="33"/>
      <c r="H1233" s="24">
        <f>TRUNC(SUM(H1232:H1232))</f>
        <v>58925</v>
      </c>
      <c r="I1233" s="33"/>
      <c r="J1233" s="24">
        <f>TRUNC(SUM(J1232:J1232))</f>
        <v>58925</v>
      </c>
      <c r="K1233" s="33"/>
      <c r="L1233" s="24">
        <f>TRUNC(SUM(L1232:L1232))</f>
        <v>58925</v>
      </c>
      <c r="N1233" s="32"/>
      <c r="O1233" s="3"/>
    </row>
    <row r="1234" spans="1:15" ht="11.25" customHeight="1" x14ac:dyDescent="0.2">
      <c r="C1234" s="4"/>
      <c r="D1234" s="4"/>
      <c r="E1234" s="18"/>
      <c r="F1234" s="18"/>
      <c r="G1234" s="18"/>
      <c r="H1234" s="18"/>
      <c r="I1234" s="18"/>
      <c r="J1234" s="18"/>
      <c r="K1234" s="18"/>
      <c r="L1234" s="18"/>
      <c r="M1234" s="40"/>
      <c r="N1234" s="54"/>
      <c r="O1234" s="3"/>
    </row>
    <row r="1235" spans="1:15" ht="11.25" customHeight="1" x14ac:dyDescent="0.2">
      <c r="B1235" s="8" t="s">
        <v>914</v>
      </c>
      <c r="C1235" s="4" t="s">
        <v>1416</v>
      </c>
      <c r="D1235" s="106" t="s">
        <v>1090</v>
      </c>
      <c r="E1235" s="13" t="s">
        <v>746</v>
      </c>
      <c r="F1235" s="66">
        <v>172351000</v>
      </c>
      <c r="G1235" s="19">
        <v>2299</v>
      </c>
      <c r="H1235" s="20">
        <f>TRUNC($F1235*G1235*0.0000001,1)</f>
        <v>39623.4</v>
      </c>
      <c r="I1235" s="21">
        <v>0</v>
      </c>
      <c r="J1235" s="20">
        <f>TRUNC($F1235*I1235*0.0000001,1)</f>
        <v>0</v>
      </c>
      <c r="K1235" s="21">
        <v>0</v>
      </c>
      <c r="L1235" s="20">
        <f>TRUNC($F1235*K1235*0.0000001,1)</f>
        <v>0</v>
      </c>
      <c r="M1235" s="39"/>
      <c r="N1235" s="32"/>
      <c r="O1235" s="3"/>
    </row>
    <row r="1236" spans="1:15" ht="11.25" customHeight="1" x14ac:dyDescent="0.2">
      <c r="B1236" s="8" t="s">
        <v>915</v>
      </c>
      <c r="C1236" s="4" t="s">
        <v>1416</v>
      </c>
      <c r="D1236" s="106" t="s">
        <v>27</v>
      </c>
      <c r="E1236" s="13" t="s">
        <v>746</v>
      </c>
      <c r="F1236" s="66">
        <v>298210000</v>
      </c>
      <c r="G1236" s="21">
        <v>0</v>
      </c>
      <c r="H1236" s="20">
        <f>TRUNC($F1236*G1236*0.0000001,1)</f>
        <v>0</v>
      </c>
      <c r="I1236" s="19">
        <v>2299</v>
      </c>
      <c r="J1236" s="20">
        <f>TRUNC($F1236*I1236*0.0000001,1)</f>
        <v>68558.399999999994</v>
      </c>
      <c r="K1236" s="21">
        <v>0</v>
      </c>
      <c r="L1236" s="20">
        <f>TRUNC($F1236*K1236*0.0000001,1)</f>
        <v>0</v>
      </c>
      <c r="M1236" s="39"/>
      <c r="N1236" s="32"/>
      <c r="O1236" s="3"/>
    </row>
    <row r="1237" spans="1:15" ht="11.25" customHeight="1" x14ac:dyDescent="0.2">
      <c r="B1237" s="8" t="s">
        <v>819</v>
      </c>
      <c r="C1237" s="4" t="s">
        <v>1416</v>
      </c>
      <c r="D1237" s="106" t="s">
        <v>170</v>
      </c>
      <c r="E1237" s="13" t="s">
        <v>746</v>
      </c>
      <c r="F1237" s="66">
        <v>506167000</v>
      </c>
      <c r="G1237" s="21">
        <v>0</v>
      </c>
      <c r="H1237" s="20">
        <f>TRUNC($F1237*G1237*0.0000001,1)</f>
        <v>0</v>
      </c>
      <c r="I1237" s="21">
        <v>0</v>
      </c>
      <c r="J1237" s="20">
        <f>TRUNC($F1237*I1237*0.0000001,1)</f>
        <v>0</v>
      </c>
      <c r="K1237" s="19">
        <v>2299</v>
      </c>
      <c r="L1237" s="20">
        <f>TRUNC($F1237*K1237*0.0000001,1)</f>
        <v>116367.7</v>
      </c>
      <c r="M1237" s="39"/>
      <c r="N1237" s="32"/>
      <c r="O1237" s="3"/>
    </row>
    <row r="1238" spans="1:15" ht="11.25" customHeight="1" x14ac:dyDescent="0.2">
      <c r="C1238" s="107" t="s">
        <v>1289</v>
      </c>
      <c r="D1238" s="109"/>
      <c r="E1238" s="34"/>
      <c r="F1238" s="33"/>
      <c r="G1238" s="33"/>
      <c r="H1238" s="24">
        <f>TRUNC(SUM(H1235:H1237))</f>
        <v>39623</v>
      </c>
      <c r="I1238" s="33"/>
      <c r="J1238" s="24">
        <f>TRUNC(SUM(J1235:J1237))</f>
        <v>68558</v>
      </c>
      <c r="K1238" s="33"/>
      <c r="L1238" s="24">
        <f>TRUNC(SUM(L1235:L1237))</f>
        <v>116367</v>
      </c>
      <c r="M1238" s="39"/>
      <c r="N1238" s="32"/>
      <c r="O1238" s="3"/>
    </row>
    <row r="1239" spans="1:15" ht="11.25" customHeight="1" x14ac:dyDescent="0.2">
      <c r="C1239" s="4"/>
      <c r="D1239" s="4"/>
      <c r="E1239" s="18"/>
      <c r="F1239" s="18"/>
      <c r="G1239" s="18"/>
      <c r="H1239" s="18"/>
      <c r="I1239" s="18"/>
      <c r="J1239" s="18"/>
      <c r="K1239" s="18"/>
      <c r="L1239" s="18"/>
      <c r="O1239" s="3"/>
    </row>
    <row r="1240" spans="1:15" ht="11.25" customHeight="1" x14ac:dyDescent="0.2">
      <c r="C1240" s="126" t="s">
        <v>1286</v>
      </c>
      <c r="D1240" s="126"/>
      <c r="E1240" s="127"/>
      <c r="F1240" s="125"/>
      <c r="G1240" s="125"/>
      <c r="H1240" s="128">
        <f>TRUNC(H1238+H1230+H1233)</f>
        <v>115023</v>
      </c>
      <c r="I1240" s="125"/>
      <c r="J1240" s="128">
        <f>TRUNC(J1238+J1230+J1233)</f>
        <v>162836</v>
      </c>
      <c r="K1240" s="102"/>
      <c r="L1240" s="104">
        <f>TRUNC(L1238+L1230+L1233)</f>
        <v>216481</v>
      </c>
      <c r="O1240" s="3"/>
    </row>
    <row r="1241" spans="1:15" ht="11.25" customHeight="1" x14ac:dyDescent="0.2">
      <c r="B1241" s="186" t="s">
        <v>427</v>
      </c>
      <c r="C1241" s="187" t="s">
        <v>428</v>
      </c>
      <c r="D1241" s="187" t="s">
        <v>429</v>
      </c>
      <c r="E1241" s="188" t="s">
        <v>430</v>
      </c>
      <c r="F1241" s="188" t="s">
        <v>431</v>
      </c>
      <c r="G1241" s="94" t="s">
        <v>1271</v>
      </c>
      <c r="H1241" s="151"/>
      <c r="I1241" s="94" t="s">
        <v>1093</v>
      </c>
      <c r="J1241" s="151"/>
      <c r="O1241" s="3"/>
    </row>
    <row r="1242" spans="1:15" ht="11.25" customHeight="1" x14ac:dyDescent="0.2">
      <c r="B1242" s="186"/>
      <c r="C1242" s="187"/>
      <c r="D1242" s="187"/>
      <c r="E1242" s="188"/>
      <c r="F1242" s="188"/>
      <c r="G1242" s="17" t="s">
        <v>436</v>
      </c>
      <c r="H1242" s="17" t="s">
        <v>437</v>
      </c>
      <c r="I1242" s="17" t="s">
        <v>436</v>
      </c>
      <c r="J1242" s="17" t="s">
        <v>437</v>
      </c>
    </row>
    <row r="1243" spans="1:15" ht="11.25" customHeight="1" x14ac:dyDescent="0.2">
      <c r="A1243" s="9"/>
      <c r="C1243" s="4" t="s">
        <v>426</v>
      </c>
      <c r="D1243" s="4"/>
      <c r="E1243" s="13" t="s">
        <v>494</v>
      </c>
      <c r="F1243" s="25">
        <v>1505.45</v>
      </c>
      <c r="G1243" s="26">
        <v>28.9</v>
      </c>
      <c r="H1243" s="20">
        <f>TRUNC(($F1243*G1243),1)</f>
        <v>43507.5</v>
      </c>
      <c r="I1243" s="26">
        <v>38.700000000000003</v>
      </c>
      <c r="J1243" s="20">
        <f>TRUNC(($F1243*I1243),1)</f>
        <v>58260.9</v>
      </c>
      <c r="N1243" s="38"/>
    </row>
    <row r="1244" spans="1:15" ht="11.25" customHeight="1" x14ac:dyDescent="0.2">
      <c r="C1244" s="4" t="s">
        <v>878</v>
      </c>
      <c r="D1244" s="4" t="s">
        <v>203</v>
      </c>
      <c r="E1244" s="13" t="s">
        <v>232</v>
      </c>
      <c r="F1244" s="18"/>
      <c r="G1244" s="21">
        <v>14</v>
      </c>
      <c r="H1244" s="20">
        <f>TRUNC(H1243*G1244*0.01,1)</f>
        <v>6091</v>
      </c>
      <c r="I1244" s="21">
        <v>14</v>
      </c>
      <c r="J1244" s="20">
        <f>TRUNC(J1243*I1244*0.01,1)</f>
        <v>8156.5</v>
      </c>
      <c r="N1244" s="9"/>
    </row>
    <row r="1245" spans="1:15" ht="11.25" customHeight="1" x14ac:dyDescent="0.2">
      <c r="C1245" s="107" t="s">
        <v>799</v>
      </c>
      <c r="D1245" s="109"/>
      <c r="E1245" s="34"/>
      <c r="F1245" s="33"/>
      <c r="G1245" s="33"/>
      <c r="H1245" s="24">
        <f>TRUNC(SUM(H1243:H1244))</f>
        <v>49598</v>
      </c>
      <c r="I1245" s="33"/>
      <c r="J1245" s="24">
        <f>TRUNC(SUM(J1243:J1244))</f>
        <v>66417</v>
      </c>
      <c r="N1245" s="54"/>
    </row>
    <row r="1246" spans="1:15" ht="11.25" customHeight="1" x14ac:dyDescent="0.2">
      <c r="C1246" s="4"/>
      <c r="D1246" s="4"/>
      <c r="E1246" s="18"/>
      <c r="F1246" s="18"/>
      <c r="G1246" s="18"/>
      <c r="H1246" s="18"/>
      <c r="I1246" s="18"/>
      <c r="J1246" s="18"/>
      <c r="N1246" s="32"/>
    </row>
    <row r="1247" spans="1:15" ht="11.25" customHeight="1" x14ac:dyDescent="0.2">
      <c r="C1247" s="4" t="s">
        <v>798</v>
      </c>
      <c r="D1247" s="4" t="s">
        <v>866</v>
      </c>
      <c r="E1247" s="13" t="s">
        <v>497</v>
      </c>
      <c r="F1247" s="28">
        <v>283297</v>
      </c>
      <c r="G1247" s="18">
        <v>0.20799999999999999</v>
      </c>
      <c r="H1247" s="20">
        <f>TRUNC(($F1247*G1247),1)</f>
        <v>58925.7</v>
      </c>
      <c r="I1247" s="18">
        <v>0.20799999999999999</v>
      </c>
      <c r="J1247" s="20">
        <f>TRUNC(($F1247*I1247),1)</f>
        <v>58925.7</v>
      </c>
      <c r="N1247" s="32"/>
    </row>
    <row r="1248" spans="1:15" ht="11.25" customHeight="1" x14ac:dyDescent="0.2">
      <c r="C1248" s="107" t="s">
        <v>1285</v>
      </c>
      <c r="D1248" s="109"/>
      <c r="E1248" s="34"/>
      <c r="F1248" s="33"/>
      <c r="G1248" s="33"/>
      <c r="H1248" s="24">
        <f>TRUNC(SUM(H1247:H1247))</f>
        <v>58925</v>
      </c>
      <c r="I1248" s="33"/>
      <c r="J1248" s="24">
        <f>TRUNC(SUM(J1247:J1247))</f>
        <v>58925</v>
      </c>
    </row>
    <row r="1249" spans="1:14" ht="11.25" customHeight="1" x14ac:dyDescent="0.2">
      <c r="A1249" s="9"/>
      <c r="C1249" s="4"/>
      <c r="D1249" s="4"/>
      <c r="E1249" s="18"/>
      <c r="F1249" s="18"/>
      <c r="G1249" s="18"/>
      <c r="H1249" s="18"/>
      <c r="I1249" s="18"/>
      <c r="J1249" s="18"/>
      <c r="N1249" s="54"/>
    </row>
    <row r="1250" spans="1:14" ht="11.25" customHeight="1" x14ac:dyDescent="0.2">
      <c r="B1250" s="8" t="s">
        <v>1270</v>
      </c>
      <c r="C1250" s="4" t="s">
        <v>1416</v>
      </c>
      <c r="D1250" s="106" t="s">
        <v>1417</v>
      </c>
      <c r="E1250" s="13" t="s">
        <v>746</v>
      </c>
      <c r="F1250" s="66">
        <v>710540000</v>
      </c>
      <c r="G1250" s="19">
        <v>2299</v>
      </c>
      <c r="H1250" s="20">
        <f>TRUNC($F1250*G1250*0.0000001,1)</f>
        <v>163353.1</v>
      </c>
      <c r="I1250" s="21">
        <v>0</v>
      </c>
      <c r="J1250" s="20">
        <f>TRUNC($F1250*I1250*0.0000001,1)</f>
        <v>0</v>
      </c>
      <c r="N1250" s="54"/>
    </row>
    <row r="1251" spans="1:14" ht="11.25" customHeight="1" x14ac:dyDescent="0.2">
      <c r="B1251" s="8" t="s">
        <v>525</v>
      </c>
      <c r="C1251" s="4" t="s">
        <v>1416</v>
      </c>
      <c r="D1251" s="106" t="s">
        <v>28</v>
      </c>
      <c r="E1251" s="13" t="s">
        <v>746</v>
      </c>
      <c r="F1251" s="66">
        <v>807782000</v>
      </c>
      <c r="G1251" s="21">
        <v>0</v>
      </c>
      <c r="H1251" s="20">
        <f>TRUNC($F1251*G1251*0.0000001,1)</f>
        <v>0</v>
      </c>
      <c r="I1251" s="19">
        <v>2299</v>
      </c>
      <c r="J1251" s="20">
        <f>TRUNC($F1251*I1251*0.0000001,1)</f>
        <v>185709</v>
      </c>
      <c r="N1251" s="32"/>
    </row>
    <row r="1252" spans="1:14" ht="11.25" customHeight="1" x14ac:dyDescent="0.2">
      <c r="A1252" s="9"/>
      <c r="C1252" s="107" t="s">
        <v>1289</v>
      </c>
      <c r="D1252" s="109"/>
      <c r="E1252" s="34"/>
      <c r="F1252" s="33"/>
      <c r="G1252" s="33"/>
      <c r="H1252" s="24">
        <f>TRUNC(SUM(H1250:H1251))</f>
        <v>163353</v>
      </c>
      <c r="I1252" s="33"/>
      <c r="J1252" s="24">
        <f>TRUNC(SUM(J1250:J1251))</f>
        <v>185709</v>
      </c>
      <c r="N1252" s="32"/>
    </row>
    <row r="1253" spans="1:14" ht="11.25" customHeight="1" x14ac:dyDescent="0.2">
      <c r="C1253" s="4"/>
      <c r="D1253" s="4"/>
      <c r="E1253" s="18"/>
      <c r="F1253" s="18"/>
      <c r="G1253" s="18"/>
      <c r="H1253" s="18"/>
      <c r="I1253" s="18"/>
      <c r="J1253" s="18"/>
      <c r="N1253" s="32"/>
    </row>
    <row r="1254" spans="1:14" ht="11.25" customHeight="1" x14ac:dyDescent="0.2">
      <c r="B1254" s="16"/>
      <c r="C1254" s="108" t="s">
        <v>1286</v>
      </c>
      <c r="D1254" s="108"/>
      <c r="E1254" s="103"/>
      <c r="F1254" s="102"/>
      <c r="G1254" s="102"/>
      <c r="H1254" s="104">
        <f>TRUNC(H1252+H1245+H1248)</f>
        <v>271876</v>
      </c>
      <c r="I1254" s="102"/>
      <c r="J1254" s="104">
        <f>TRUNC(J1252+J1245+J1248)</f>
        <v>311051</v>
      </c>
      <c r="N1254" s="32"/>
    </row>
    <row r="1255" spans="1:14" ht="11.25" customHeight="1" x14ac:dyDescent="0.2">
      <c r="A1255" s="9"/>
    </row>
    <row r="1256" spans="1:14" ht="11.25" customHeight="1" x14ac:dyDescent="0.2">
      <c r="B1256" s="68" t="s">
        <v>1418</v>
      </c>
      <c r="C1256" s="119"/>
      <c r="H1256" s="49" t="s">
        <v>1307</v>
      </c>
    </row>
    <row r="1257" spans="1:14" ht="11.25" customHeight="1" x14ac:dyDescent="0.2">
      <c r="A1257" s="9"/>
      <c r="B1257" s="186" t="s">
        <v>427</v>
      </c>
      <c r="C1257" s="187" t="s">
        <v>428</v>
      </c>
      <c r="D1257" s="187" t="s">
        <v>429</v>
      </c>
      <c r="E1257" s="188" t="s">
        <v>430</v>
      </c>
      <c r="F1257" s="188" t="s">
        <v>431</v>
      </c>
      <c r="G1257" s="94" t="s">
        <v>1094</v>
      </c>
      <c r="H1257" s="151"/>
    </row>
    <row r="1258" spans="1:14" ht="11.25" customHeight="1" x14ac:dyDescent="0.2">
      <c r="B1258" s="186"/>
      <c r="C1258" s="187"/>
      <c r="D1258" s="187"/>
      <c r="E1258" s="188"/>
      <c r="F1258" s="188"/>
      <c r="G1258" s="17" t="s">
        <v>436</v>
      </c>
      <c r="H1258" s="17" t="s">
        <v>437</v>
      </c>
    </row>
    <row r="1259" spans="1:14" ht="11.25" customHeight="1" x14ac:dyDescent="0.2">
      <c r="C1259" s="4" t="s">
        <v>426</v>
      </c>
      <c r="D1259" s="4"/>
      <c r="E1259" s="13" t="s">
        <v>494</v>
      </c>
      <c r="F1259" s="25">
        <v>1505.45</v>
      </c>
      <c r="G1259" s="26">
        <v>10.6</v>
      </c>
      <c r="H1259" s="20">
        <f>TRUNC(($F1259*G1259),1)</f>
        <v>15957.7</v>
      </c>
    </row>
    <row r="1260" spans="1:14" ht="11.25" customHeight="1" x14ac:dyDescent="0.2">
      <c r="C1260" s="4" t="s">
        <v>878</v>
      </c>
      <c r="D1260" s="4" t="s">
        <v>203</v>
      </c>
      <c r="E1260" s="13" t="s">
        <v>232</v>
      </c>
      <c r="F1260" s="18"/>
      <c r="G1260" s="21">
        <v>18</v>
      </c>
      <c r="H1260" s="20">
        <f>TRUNC(H1259*G1260*0.01,1)</f>
        <v>2872.3</v>
      </c>
    </row>
    <row r="1261" spans="1:14" ht="11.25" customHeight="1" x14ac:dyDescent="0.2">
      <c r="C1261" s="107" t="s">
        <v>799</v>
      </c>
      <c r="D1261" s="109"/>
      <c r="E1261" s="34"/>
      <c r="F1261" s="33"/>
      <c r="G1261" s="33"/>
      <c r="H1261" s="24">
        <f>TRUNC(SUM(H1259:H1260))</f>
        <v>18830</v>
      </c>
    </row>
    <row r="1262" spans="1:14" ht="11.25" customHeight="1" x14ac:dyDescent="0.2">
      <c r="C1262" s="4"/>
      <c r="D1262" s="4"/>
      <c r="E1262" s="18"/>
      <c r="F1262" s="18"/>
      <c r="G1262" s="18"/>
      <c r="H1262" s="18"/>
    </row>
    <row r="1263" spans="1:14" ht="11.25" customHeight="1" x14ac:dyDescent="0.2">
      <c r="C1263" s="4" t="s">
        <v>798</v>
      </c>
      <c r="D1263" s="4" t="s">
        <v>866</v>
      </c>
      <c r="E1263" s="13" t="s">
        <v>497</v>
      </c>
      <c r="F1263" s="28">
        <v>283297</v>
      </c>
      <c r="G1263" s="18">
        <v>0.20799999999999999</v>
      </c>
      <c r="H1263" s="20">
        <f>TRUNC(($F1263*G1263),1)</f>
        <v>58925.7</v>
      </c>
    </row>
    <row r="1264" spans="1:14" ht="11.25" customHeight="1" x14ac:dyDescent="0.2">
      <c r="A1264" s="9"/>
      <c r="C1264" s="107" t="s">
        <v>1285</v>
      </c>
      <c r="D1264" s="109"/>
      <c r="E1264" s="34"/>
      <c r="F1264" s="33"/>
      <c r="G1264" s="33"/>
      <c r="H1264" s="24">
        <f>TRUNC(SUM(H1263:H1263))</f>
        <v>58925</v>
      </c>
    </row>
    <row r="1265" spans="1:8" ht="11.25" customHeight="1" x14ac:dyDescent="0.2">
      <c r="C1265" s="4"/>
      <c r="D1265" s="4"/>
      <c r="E1265" s="18"/>
      <c r="F1265" s="18"/>
      <c r="G1265" s="18"/>
      <c r="H1265" s="18"/>
    </row>
    <row r="1266" spans="1:8" ht="11.25" customHeight="1" x14ac:dyDescent="0.2">
      <c r="B1266" s="8" t="s">
        <v>916</v>
      </c>
      <c r="C1266" s="4" t="s">
        <v>1419</v>
      </c>
      <c r="D1266" s="106" t="s">
        <v>29</v>
      </c>
      <c r="E1266" s="13" t="s">
        <v>746</v>
      </c>
      <c r="F1266" s="66">
        <v>258567000</v>
      </c>
      <c r="G1266" s="19">
        <v>2424</v>
      </c>
      <c r="H1266" s="20">
        <f>TRUNC($F1266*G1266*0.0000001,1)</f>
        <v>62676.6</v>
      </c>
    </row>
    <row r="1267" spans="1:8" ht="11.25" customHeight="1" x14ac:dyDescent="0.2">
      <c r="A1267" s="9"/>
      <c r="C1267" s="107" t="s">
        <v>1289</v>
      </c>
      <c r="D1267" s="109"/>
      <c r="E1267" s="34"/>
      <c r="F1267" s="33"/>
      <c r="G1267" s="33"/>
      <c r="H1267" s="24">
        <f>TRUNC(SUM(H1266:H1266))</f>
        <v>62676</v>
      </c>
    </row>
    <row r="1268" spans="1:8" ht="11.25" customHeight="1" x14ac:dyDescent="0.2">
      <c r="C1268" s="4"/>
      <c r="D1268" s="4"/>
      <c r="E1268" s="18"/>
      <c r="F1268" s="18"/>
      <c r="G1268" s="18"/>
      <c r="H1268" s="18"/>
    </row>
    <row r="1269" spans="1:8" ht="11.25" customHeight="1" x14ac:dyDescent="0.2">
      <c r="B1269" s="16"/>
      <c r="C1269" s="108" t="s">
        <v>1286</v>
      </c>
      <c r="D1269" s="108"/>
      <c r="E1269" s="103"/>
      <c r="F1269" s="102"/>
      <c r="G1269" s="102"/>
      <c r="H1269" s="104">
        <f>TRUNC(H1267+H1261+H1264)</f>
        <v>140431</v>
      </c>
    </row>
    <row r="1270" spans="1:8" ht="11.25" customHeight="1" x14ac:dyDescent="0.2">
      <c r="A1270" s="9"/>
    </row>
    <row r="1271" spans="1:8" ht="11.25" customHeight="1" x14ac:dyDescent="0.2">
      <c r="B1271" s="68" t="s">
        <v>1420</v>
      </c>
      <c r="C1271" s="119"/>
      <c r="H1271" s="49" t="s">
        <v>1307</v>
      </c>
    </row>
    <row r="1272" spans="1:8" ht="11.25" customHeight="1" x14ac:dyDescent="0.2">
      <c r="B1272" s="186" t="s">
        <v>427</v>
      </c>
      <c r="C1272" s="187" t="s">
        <v>428</v>
      </c>
      <c r="D1272" s="187" t="s">
        <v>429</v>
      </c>
      <c r="E1272" s="188" t="s">
        <v>430</v>
      </c>
      <c r="F1272" s="188" t="s">
        <v>431</v>
      </c>
      <c r="G1272" s="94" t="s">
        <v>147</v>
      </c>
      <c r="H1272" s="151"/>
    </row>
    <row r="1273" spans="1:8" ht="11.25" customHeight="1" x14ac:dyDescent="0.2">
      <c r="A1273" s="7"/>
      <c r="B1273" s="186"/>
      <c r="C1273" s="187"/>
      <c r="D1273" s="187"/>
      <c r="E1273" s="188"/>
      <c r="F1273" s="188"/>
      <c r="G1273" s="17" t="s">
        <v>436</v>
      </c>
      <c r="H1273" s="17" t="s">
        <v>437</v>
      </c>
    </row>
    <row r="1274" spans="1:8" ht="11.25" customHeight="1" x14ac:dyDescent="0.2">
      <c r="C1274" s="4" t="s">
        <v>426</v>
      </c>
      <c r="D1274" s="4"/>
      <c r="E1274" s="13" t="s">
        <v>494</v>
      </c>
      <c r="F1274" s="25">
        <v>1505.45</v>
      </c>
      <c r="G1274" s="26">
        <v>12.7</v>
      </c>
      <c r="H1274" s="20">
        <f>TRUNC(($F1274*G1274),1)</f>
        <v>19119.2</v>
      </c>
    </row>
    <row r="1275" spans="1:8" ht="11.25" customHeight="1" x14ac:dyDescent="0.2">
      <c r="C1275" s="4" t="s">
        <v>878</v>
      </c>
      <c r="D1275" s="4" t="s">
        <v>203</v>
      </c>
      <c r="E1275" s="13" t="s">
        <v>232</v>
      </c>
      <c r="F1275" s="18"/>
      <c r="G1275" s="21">
        <v>18</v>
      </c>
      <c r="H1275" s="20">
        <f>TRUNC(H1274*G1275*0.01,1)</f>
        <v>3441.4</v>
      </c>
    </row>
    <row r="1276" spans="1:8" ht="11.25" customHeight="1" x14ac:dyDescent="0.2">
      <c r="C1276" s="107" t="s">
        <v>799</v>
      </c>
      <c r="D1276" s="109"/>
      <c r="E1276" s="34"/>
      <c r="F1276" s="33"/>
      <c r="G1276" s="33"/>
      <c r="H1276" s="24">
        <f>TRUNC(SUM(H1274:H1275))</f>
        <v>22560</v>
      </c>
    </row>
    <row r="1277" spans="1:8" ht="11.25" customHeight="1" x14ac:dyDescent="0.2">
      <c r="C1277" s="4"/>
      <c r="D1277" s="4"/>
      <c r="E1277" s="18"/>
      <c r="F1277" s="18"/>
      <c r="G1277" s="18"/>
      <c r="H1277" s="18"/>
    </row>
    <row r="1278" spans="1:8" ht="11.25" customHeight="1" x14ac:dyDescent="0.2">
      <c r="C1278" s="4" t="s">
        <v>798</v>
      </c>
      <c r="D1278" s="4" t="s">
        <v>866</v>
      </c>
      <c r="E1278" s="13" t="s">
        <v>497</v>
      </c>
      <c r="F1278" s="28">
        <v>283297</v>
      </c>
      <c r="G1278" s="18">
        <v>0.20799999999999999</v>
      </c>
      <c r="H1278" s="20">
        <f>TRUNC(($F1278*G1278),1)</f>
        <v>58925.7</v>
      </c>
    </row>
    <row r="1279" spans="1:8" ht="11.25" customHeight="1" x14ac:dyDescent="0.2">
      <c r="C1279" s="107" t="s">
        <v>1285</v>
      </c>
      <c r="D1279" s="109"/>
      <c r="E1279" s="34"/>
      <c r="F1279" s="33"/>
      <c r="G1279" s="33"/>
      <c r="H1279" s="24">
        <f>TRUNC(SUM(H1278:H1278))</f>
        <v>58925</v>
      </c>
    </row>
    <row r="1280" spans="1:8" ht="11.25" customHeight="1" x14ac:dyDescent="0.2">
      <c r="C1280" s="4"/>
      <c r="D1280" s="4"/>
      <c r="E1280" s="18"/>
      <c r="F1280" s="18"/>
      <c r="G1280" s="18"/>
      <c r="H1280" s="18"/>
    </row>
    <row r="1281" spans="2:15" ht="11.25" customHeight="1" x14ac:dyDescent="0.2">
      <c r="B1281" s="8" t="s">
        <v>918</v>
      </c>
      <c r="C1281" s="4" t="s">
        <v>1421</v>
      </c>
      <c r="D1281" s="106" t="s">
        <v>917</v>
      </c>
      <c r="E1281" s="13" t="s">
        <v>746</v>
      </c>
      <c r="F1281" s="66">
        <v>380335000</v>
      </c>
      <c r="G1281" s="19">
        <v>2424</v>
      </c>
      <c r="H1281" s="20">
        <f>TRUNC($F1281*G1281*0.0000001,1)</f>
        <v>92193.2</v>
      </c>
      <c r="O1281" s="3"/>
    </row>
    <row r="1282" spans="2:15" ht="11.25" customHeight="1" x14ac:dyDescent="0.2">
      <c r="C1282" s="107" t="s">
        <v>1289</v>
      </c>
      <c r="D1282" s="109"/>
      <c r="E1282" s="13"/>
      <c r="F1282" s="33"/>
      <c r="G1282" s="33"/>
      <c r="H1282" s="24">
        <f>TRUNC(SUM(H1281:H1281))</f>
        <v>92193</v>
      </c>
    </row>
    <row r="1283" spans="2:15" ht="11.25" customHeight="1" x14ac:dyDescent="0.2">
      <c r="C1283" s="4"/>
      <c r="D1283" s="4"/>
      <c r="E1283" s="18"/>
      <c r="F1283" s="18"/>
      <c r="G1283" s="18"/>
      <c r="H1283" s="18"/>
    </row>
    <row r="1284" spans="2:15" ht="11.25" customHeight="1" x14ac:dyDescent="0.2">
      <c r="B1284" s="16"/>
      <c r="C1284" s="108" t="s">
        <v>1286</v>
      </c>
      <c r="D1284" s="108"/>
      <c r="E1284" s="103"/>
      <c r="F1284" s="102"/>
      <c r="G1284" s="102"/>
      <c r="H1284" s="104">
        <f>TRUNC(H1282+H1276+H1279)</f>
        <v>173678</v>
      </c>
      <c r="O1284" s="3"/>
    </row>
    <row r="1285" spans="2:15" ht="11.25" customHeight="1" x14ac:dyDescent="0.2">
      <c r="C1285" s="112"/>
      <c r="D1285" s="116"/>
      <c r="E1285" s="71"/>
      <c r="F1285" s="70"/>
      <c r="G1285" s="70"/>
      <c r="H1285" s="36"/>
    </row>
    <row r="1286" spans="2:15" ht="11.25" customHeight="1" x14ac:dyDescent="0.2">
      <c r="B1286" s="68" t="s">
        <v>1422</v>
      </c>
      <c r="C1286" s="119"/>
      <c r="J1286" s="49" t="s">
        <v>1307</v>
      </c>
    </row>
    <row r="1287" spans="2:15" ht="11.25" customHeight="1" x14ac:dyDescent="0.2">
      <c r="B1287" s="186" t="s">
        <v>427</v>
      </c>
      <c r="C1287" s="187" t="s">
        <v>428</v>
      </c>
      <c r="D1287" s="187" t="s">
        <v>429</v>
      </c>
      <c r="E1287" s="188" t="s">
        <v>430</v>
      </c>
      <c r="F1287" s="188" t="s">
        <v>431</v>
      </c>
      <c r="G1287" s="94" t="s">
        <v>147</v>
      </c>
      <c r="H1287" s="151"/>
      <c r="I1287" s="94" t="s">
        <v>955</v>
      </c>
      <c r="J1287" s="151"/>
    </row>
    <row r="1288" spans="2:15" ht="11.25" customHeight="1" x14ac:dyDescent="0.2">
      <c r="B1288" s="186"/>
      <c r="C1288" s="187"/>
      <c r="D1288" s="187"/>
      <c r="E1288" s="188"/>
      <c r="F1288" s="188"/>
      <c r="G1288" s="17" t="s">
        <v>436</v>
      </c>
      <c r="H1288" s="17" t="s">
        <v>437</v>
      </c>
      <c r="I1288" s="17" t="s">
        <v>436</v>
      </c>
      <c r="J1288" s="17" t="s">
        <v>437</v>
      </c>
      <c r="O1288" s="3"/>
    </row>
    <row r="1289" spans="2:15" ht="11.25" customHeight="1" x14ac:dyDescent="0.2">
      <c r="C1289" s="4" t="s">
        <v>426</v>
      </c>
      <c r="D1289" s="4"/>
      <c r="E1289" s="13" t="s">
        <v>494</v>
      </c>
      <c r="F1289" s="25">
        <v>1505.45</v>
      </c>
      <c r="G1289" s="26">
        <v>3.9</v>
      </c>
      <c r="H1289" s="20">
        <f>TRUNC(($F1289*G1289),1)</f>
        <v>5871.2</v>
      </c>
      <c r="I1289" s="21"/>
      <c r="J1289" s="20"/>
    </row>
    <row r="1290" spans="2:15" ht="11.25" customHeight="1" x14ac:dyDescent="0.2">
      <c r="C1290" s="4" t="s">
        <v>1025</v>
      </c>
      <c r="D1290" s="4"/>
      <c r="E1290" s="13" t="s">
        <v>494</v>
      </c>
      <c r="F1290" s="25">
        <v>1584.54</v>
      </c>
      <c r="G1290" s="21"/>
      <c r="H1290" s="20"/>
      <c r="I1290" s="55">
        <v>5.0999999999999996</v>
      </c>
      <c r="J1290" s="20">
        <f>TRUNC(($F1290*I1290),1)</f>
        <v>8081.1</v>
      </c>
    </row>
    <row r="1291" spans="2:15" ht="11.25" customHeight="1" x14ac:dyDescent="0.2">
      <c r="C1291" s="4" t="s">
        <v>878</v>
      </c>
      <c r="D1291" s="4" t="s">
        <v>203</v>
      </c>
      <c r="E1291" s="13" t="s">
        <v>232</v>
      </c>
      <c r="F1291" s="18"/>
      <c r="G1291" s="21">
        <v>18</v>
      </c>
      <c r="H1291" s="20">
        <f>TRUNC(H1289*G1291*0.01,1)</f>
        <v>1056.8</v>
      </c>
      <c r="I1291" s="21"/>
      <c r="J1291" s="20"/>
    </row>
    <row r="1292" spans="2:15" ht="11.25" customHeight="1" x14ac:dyDescent="0.2">
      <c r="C1292" s="4" t="s">
        <v>878</v>
      </c>
      <c r="D1292" s="4" t="s">
        <v>203</v>
      </c>
      <c r="E1292" s="13" t="s">
        <v>232</v>
      </c>
      <c r="F1292" s="18"/>
      <c r="G1292" s="21"/>
      <c r="H1292" s="20"/>
      <c r="I1292" s="21">
        <v>6</v>
      </c>
      <c r="J1292" s="20">
        <f>TRUNC(J1290*I1292*0.01,1)</f>
        <v>484.8</v>
      </c>
    </row>
    <row r="1293" spans="2:15" ht="11.25" customHeight="1" x14ac:dyDescent="0.2">
      <c r="C1293" s="107" t="s">
        <v>799</v>
      </c>
      <c r="D1293" s="109"/>
      <c r="E1293" s="34"/>
      <c r="F1293" s="33"/>
      <c r="G1293" s="33"/>
      <c r="H1293" s="24">
        <f>TRUNC(SUM(H1289:H1292))</f>
        <v>6928</v>
      </c>
      <c r="I1293" s="33"/>
      <c r="J1293" s="24">
        <f>TRUNC(SUM(J1289:J1292))</f>
        <v>8565</v>
      </c>
    </row>
    <row r="1294" spans="2:15" ht="11.25" customHeight="1" x14ac:dyDescent="0.2">
      <c r="C1294" s="4"/>
      <c r="D1294" s="4"/>
      <c r="E1294" s="18"/>
      <c r="F1294" s="18"/>
      <c r="G1294" s="18"/>
      <c r="H1294" s="18"/>
      <c r="I1294" s="18"/>
      <c r="J1294" s="18"/>
      <c r="N1294" s="32"/>
    </row>
    <row r="1295" spans="2:15" ht="11.25" customHeight="1" x14ac:dyDescent="0.2">
      <c r="B1295" s="29"/>
      <c r="C1295" s="4" t="s">
        <v>798</v>
      </c>
      <c r="D1295" s="4" t="s">
        <v>866</v>
      </c>
      <c r="E1295" s="13" t="s">
        <v>497</v>
      </c>
      <c r="F1295" s="28">
        <v>283297</v>
      </c>
      <c r="G1295" s="18">
        <v>0.20799999999999999</v>
      </c>
      <c r="H1295" s="20">
        <f>TRUNC(($F1295*G1295),1)</f>
        <v>58925.7</v>
      </c>
      <c r="I1295" s="18">
        <v>0.20799999999999999</v>
      </c>
      <c r="J1295" s="20">
        <f>TRUNC(($F1295*I1295),1)</f>
        <v>58925.7</v>
      </c>
    </row>
    <row r="1296" spans="2:15" ht="11.25" customHeight="1" x14ac:dyDescent="0.2">
      <c r="B1296" s="29"/>
      <c r="C1296" s="107" t="s">
        <v>1285</v>
      </c>
      <c r="D1296" s="109"/>
      <c r="E1296" s="34"/>
      <c r="F1296" s="33"/>
      <c r="G1296" s="33"/>
      <c r="H1296" s="24">
        <f>TRUNC(SUM(H1295:H1295))</f>
        <v>58925</v>
      </c>
      <c r="I1296" s="33"/>
      <c r="J1296" s="24">
        <f>TRUNC(SUM(J1295:J1295))</f>
        <v>58925</v>
      </c>
    </row>
    <row r="1297" spans="1:14" ht="11.25" customHeight="1" x14ac:dyDescent="0.2">
      <c r="A1297" s="9"/>
      <c r="C1297" s="4"/>
      <c r="D1297" s="4"/>
      <c r="E1297" s="18"/>
      <c r="F1297" s="18"/>
      <c r="G1297" s="18"/>
      <c r="H1297" s="18"/>
      <c r="I1297" s="18"/>
      <c r="J1297" s="18"/>
      <c r="N1297" s="32"/>
    </row>
    <row r="1298" spans="1:14" ht="11.25" customHeight="1" x14ac:dyDescent="0.2">
      <c r="B1298" s="8" t="s">
        <v>63</v>
      </c>
      <c r="C1298" s="4" t="s">
        <v>1423</v>
      </c>
      <c r="D1298" s="106" t="s">
        <v>917</v>
      </c>
      <c r="E1298" s="13" t="s">
        <v>746</v>
      </c>
      <c r="F1298" s="66">
        <v>78960000</v>
      </c>
      <c r="G1298" s="19">
        <v>2424</v>
      </c>
      <c r="H1298" s="20">
        <f>TRUNC($F1298*G1298*0.0000001,1)</f>
        <v>19139.900000000001</v>
      </c>
      <c r="I1298" s="21">
        <v>0</v>
      </c>
      <c r="J1298" s="20">
        <f>TRUNC($F1298*I1298*0.0000001,1)</f>
        <v>0</v>
      </c>
    </row>
    <row r="1299" spans="1:14" ht="11.25" customHeight="1" x14ac:dyDescent="0.2">
      <c r="B1299" s="8" t="s">
        <v>713</v>
      </c>
      <c r="C1299" s="4" t="s">
        <v>1423</v>
      </c>
      <c r="D1299" s="106" t="s">
        <v>1203</v>
      </c>
      <c r="E1299" s="13" t="s">
        <v>746</v>
      </c>
      <c r="F1299" s="66">
        <v>85540000</v>
      </c>
      <c r="G1299" s="21">
        <v>0</v>
      </c>
      <c r="H1299" s="20">
        <f>TRUNC($F1299*G1299*0.0000001,1)</f>
        <v>0</v>
      </c>
      <c r="I1299" s="19">
        <v>2424</v>
      </c>
      <c r="J1299" s="20">
        <f>TRUNC($F1299*I1299*0.0000001,1)</f>
        <v>20734.8</v>
      </c>
    </row>
    <row r="1300" spans="1:14" ht="11.25" customHeight="1" x14ac:dyDescent="0.2">
      <c r="A1300" s="9"/>
      <c r="C1300" s="107" t="s">
        <v>1289</v>
      </c>
      <c r="D1300" s="109"/>
      <c r="E1300" s="13"/>
      <c r="F1300" s="33"/>
      <c r="G1300" s="33"/>
      <c r="H1300" s="24">
        <f>TRUNC(SUM(H1298:H1299))</f>
        <v>19139</v>
      </c>
      <c r="I1300" s="33"/>
      <c r="J1300" s="24">
        <f>TRUNC(SUM(J1298:J1299))</f>
        <v>20734</v>
      </c>
    </row>
    <row r="1301" spans="1:14" ht="11.25" customHeight="1" x14ac:dyDescent="0.2">
      <c r="C1301" s="4"/>
      <c r="D1301" s="4"/>
      <c r="E1301" s="18"/>
      <c r="F1301" s="18"/>
      <c r="G1301" s="18"/>
      <c r="H1301" s="18"/>
      <c r="I1301" s="18"/>
      <c r="J1301" s="18"/>
      <c r="N1301" s="32"/>
    </row>
    <row r="1302" spans="1:14" ht="11.25" customHeight="1" x14ac:dyDescent="0.2">
      <c r="B1302" s="48"/>
      <c r="C1302" s="108" t="s">
        <v>1286</v>
      </c>
      <c r="D1302" s="108"/>
      <c r="E1302" s="103"/>
      <c r="F1302" s="102"/>
      <c r="G1302" s="102"/>
      <c r="H1302" s="104">
        <f>TRUNC(H1300+H1293+H1296)</f>
        <v>84992</v>
      </c>
      <c r="I1302" s="102"/>
      <c r="J1302" s="104">
        <f>TRUNC(J1300+J1293+J1296)</f>
        <v>88224</v>
      </c>
    </row>
    <row r="1303" spans="1:14" ht="11.25" customHeight="1" x14ac:dyDescent="0.2">
      <c r="A1303" s="9"/>
      <c r="B1303" s="57"/>
    </row>
    <row r="1304" spans="1:14" ht="11.25" customHeight="1" x14ac:dyDescent="0.2">
      <c r="B1304" s="68" t="s">
        <v>1424</v>
      </c>
      <c r="C1304" s="119"/>
      <c r="H1304" s="49" t="s">
        <v>1307</v>
      </c>
    </row>
    <row r="1305" spans="1:14" ht="11.25" customHeight="1" x14ac:dyDescent="0.2">
      <c r="B1305" s="186" t="s">
        <v>427</v>
      </c>
      <c r="C1305" s="187" t="s">
        <v>428</v>
      </c>
      <c r="D1305" s="187" t="s">
        <v>429</v>
      </c>
      <c r="E1305" s="188" t="s">
        <v>430</v>
      </c>
      <c r="F1305" s="188" t="s">
        <v>431</v>
      </c>
      <c r="G1305" s="94" t="s">
        <v>955</v>
      </c>
      <c r="H1305" s="151"/>
    </row>
    <row r="1306" spans="1:14" ht="11.25" customHeight="1" x14ac:dyDescent="0.2">
      <c r="A1306" s="49"/>
      <c r="B1306" s="186"/>
      <c r="C1306" s="187"/>
      <c r="D1306" s="187"/>
      <c r="E1306" s="188"/>
      <c r="F1306" s="188"/>
      <c r="G1306" s="17" t="s">
        <v>436</v>
      </c>
      <c r="H1306" s="17" t="s">
        <v>437</v>
      </c>
    </row>
    <row r="1307" spans="1:14" ht="11.25" customHeight="1" x14ac:dyDescent="0.2">
      <c r="C1307" s="4" t="s">
        <v>1025</v>
      </c>
      <c r="D1307" s="4"/>
      <c r="E1307" s="13" t="s">
        <v>494</v>
      </c>
      <c r="F1307" s="25">
        <v>1584.54</v>
      </c>
      <c r="G1307" s="26">
        <v>4.0999999999999996</v>
      </c>
      <c r="H1307" s="20">
        <f>TRUNC(($F1307*G1307),1)</f>
        <v>6496.6</v>
      </c>
    </row>
    <row r="1308" spans="1:14" ht="11.25" customHeight="1" x14ac:dyDescent="0.2">
      <c r="C1308" s="4" t="s">
        <v>878</v>
      </c>
      <c r="D1308" s="4" t="s">
        <v>203</v>
      </c>
      <c r="E1308" s="13" t="s">
        <v>232</v>
      </c>
      <c r="F1308" s="18"/>
      <c r="G1308" s="21">
        <v>6</v>
      </c>
      <c r="H1308" s="20">
        <f>TRUNC(H1307*G1308*0.01,1)</f>
        <v>389.7</v>
      </c>
    </row>
    <row r="1309" spans="1:14" ht="11.25" customHeight="1" x14ac:dyDescent="0.2">
      <c r="C1309" s="107" t="s">
        <v>799</v>
      </c>
      <c r="D1309" s="109"/>
      <c r="E1309" s="34"/>
      <c r="F1309" s="33"/>
      <c r="G1309" s="33"/>
      <c r="H1309" s="24">
        <f>TRUNC(SUM(H1307:H1308))</f>
        <v>6886</v>
      </c>
    </row>
    <row r="1310" spans="1:14" ht="11.25" customHeight="1" x14ac:dyDescent="0.2">
      <c r="C1310" s="4"/>
      <c r="D1310" s="4"/>
      <c r="E1310" s="18"/>
      <c r="F1310" s="18"/>
      <c r="G1310" s="18"/>
      <c r="H1310" s="18"/>
    </row>
    <row r="1311" spans="1:14" ht="11.25" customHeight="1" x14ac:dyDescent="0.2">
      <c r="C1311" s="4" t="s">
        <v>798</v>
      </c>
      <c r="D1311" s="4" t="s">
        <v>866</v>
      </c>
      <c r="E1311" s="13" t="s">
        <v>497</v>
      </c>
      <c r="F1311" s="28">
        <v>283297</v>
      </c>
      <c r="G1311" s="18">
        <v>0.20799999999999999</v>
      </c>
      <c r="H1311" s="20">
        <f>TRUNC(($F1311*G1311),1)</f>
        <v>58925.7</v>
      </c>
    </row>
    <row r="1312" spans="1:14" ht="11.25" customHeight="1" x14ac:dyDescent="0.2">
      <c r="A1312" s="9"/>
      <c r="C1312" s="107" t="s">
        <v>1285</v>
      </c>
      <c r="D1312" s="109"/>
      <c r="E1312" s="34"/>
      <c r="F1312" s="33"/>
      <c r="G1312" s="33"/>
      <c r="H1312" s="24">
        <f>TRUNC(SUM(H1311:H1311))</f>
        <v>58925</v>
      </c>
    </row>
    <row r="1313" spans="1:8" ht="11.25" customHeight="1" x14ac:dyDescent="0.2">
      <c r="C1313" s="4"/>
      <c r="D1313" s="4"/>
      <c r="E1313" s="18"/>
      <c r="F1313" s="18"/>
      <c r="G1313" s="18"/>
      <c r="H1313" s="18"/>
    </row>
    <row r="1314" spans="1:8" ht="11.25" customHeight="1" x14ac:dyDescent="0.2">
      <c r="B1314" s="8" t="s">
        <v>86</v>
      </c>
      <c r="C1314" s="4" t="s">
        <v>1425</v>
      </c>
      <c r="D1314" s="106" t="s">
        <v>1203</v>
      </c>
      <c r="E1314" s="13" t="s">
        <v>746</v>
      </c>
      <c r="F1314" s="66">
        <v>85630000</v>
      </c>
      <c r="G1314" s="19">
        <v>2424</v>
      </c>
      <c r="H1314" s="20">
        <f>TRUNC($F1314*G1314*0.0000001,1)</f>
        <v>20756.7</v>
      </c>
    </row>
    <row r="1315" spans="1:8" ht="11.25" customHeight="1" x14ac:dyDescent="0.2">
      <c r="A1315" s="9"/>
      <c r="C1315" s="107" t="s">
        <v>1289</v>
      </c>
      <c r="D1315" s="109"/>
      <c r="E1315" s="13"/>
      <c r="F1315" s="33"/>
      <c r="G1315" s="33"/>
      <c r="H1315" s="24">
        <f>TRUNC(SUM(H1314:H1314))</f>
        <v>20756</v>
      </c>
    </row>
    <row r="1316" spans="1:8" ht="11.25" customHeight="1" x14ac:dyDescent="0.2">
      <c r="C1316" s="4"/>
      <c r="D1316" s="4"/>
      <c r="E1316" s="18"/>
      <c r="F1316" s="18"/>
      <c r="G1316" s="18"/>
      <c r="H1316" s="18"/>
    </row>
    <row r="1317" spans="1:8" ht="11.25" customHeight="1" x14ac:dyDescent="0.2">
      <c r="B1317" s="16"/>
      <c r="C1317" s="108" t="s">
        <v>1286</v>
      </c>
      <c r="D1317" s="108"/>
      <c r="E1317" s="103"/>
      <c r="F1317" s="102"/>
      <c r="G1317" s="102"/>
      <c r="H1317" s="104">
        <f>TRUNC(H1315+H1309+H1312)</f>
        <v>86567</v>
      </c>
    </row>
    <row r="1318" spans="1:8" ht="11.25" customHeight="1" x14ac:dyDescent="0.2">
      <c r="A1318" s="9"/>
    </row>
    <row r="1319" spans="1:8" ht="11.25" customHeight="1" x14ac:dyDescent="0.2">
      <c r="B1319" s="68" t="s">
        <v>1426</v>
      </c>
      <c r="C1319" s="119"/>
      <c r="H1319" s="49" t="s">
        <v>1307</v>
      </c>
    </row>
    <row r="1320" spans="1:8" ht="11.25" customHeight="1" x14ac:dyDescent="0.2">
      <c r="B1320" s="186" t="s">
        <v>427</v>
      </c>
      <c r="C1320" s="187" t="s">
        <v>428</v>
      </c>
      <c r="D1320" s="187" t="s">
        <v>429</v>
      </c>
      <c r="E1320" s="188" t="s">
        <v>430</v>
      </c>
      <c r="F1320" s="188" t="s">
        <v>431</v>
      </c>
      <c r="G1320" s="94" t="s">
        <v>164</v>
      </c>
      <c r="H1320" s="151"/>
    </row>
    <row r="1321" spans="1:8" ht="11.25" customHeight="1" x14ac:dyDescent="0.2">
      <c r="A1321" s="49"/>
      <c r="B1321" s="186"/>
      <c r="C1321" s="187"/>
      <c r="D1321" s="187"/>
      <c r="E1321" s="188"/>
      <c r="F1321" s="188"/>
      <c r="G1321" s="17" t="s">
        <v>436</v>
      </c>
      <c r="H1321" s="17" t="s">
        <v>437</v>
      </c>
    </row>
    <row r="1322" spans="1:8" ht="11.25" customHeight="1" x14ac:dyDescent="0.2">
      <c r="A1322" s="7"/>
      <c r="C1322" s="4" t="s">
        <v>426</v>
      </c>
      <c r="D1322" s="4"/>
      <c r="E1322" s="13" t="s">
        <v>494</v>
      </c>
      <c r="F1322" s="25">
        <v>1505.45</v>
      </c>
      <c r="G1322" s="26">
        <v>23.4</v>
      </c>
      <c r="H1322" s="20">
        <f>TRUNC(($F1322*G1322),1)</f>
        <v>35227.5</v>
      </c>
    </row>
    <row r="1323" spans="1:8" ht="11.25" customHeight="1" x14ac:dyDescent="0.2">
      <c r="C1323" s="4" t="s">
        <v>878</v>
      </c>
      <c r="D1323" s="4" t="s">
        <v>203</v>
      </c>
      <c r="E1323" s="13" t="s">
        <v>232</v>
      </c>
      <c r="F1323" s="18"/>
      <c r="G1323" s="21">
        <v>29</v>
      </c>
      <c r="H1323" s="20">
        <f>TRUNC(H1322*G1323*0.01,1)</f>
        <v>10215.9</v>
      </c>
    </row>
    <row r="1324" spans="1:8" ht="11.25" customHeight="1" x14ac:dyDescent="0.2">
      <c r="C1324" s="107" t="s">
        <v>799</v>
      </c>
      <c r="D1324" s="109"/>
      <c r="E1324" s="34"/>
      <c r="F1324" s="33"/>
      <c r="G1324" s="33"/>
      <c r="H1324" s="24">
        <f>TRUNC(SUM(H1322:H1323))</f>
        <v>45443</v>
      </c>
    </row>
    <row r="1325" spans="1:8" ht="11.25" customHeight="1" x14ac:dyDescent="0.2">
      <c r="C1325" s="4"/>
      <c r="D1325" s="4"/>
      <c r="E1325" s="18"/>
      <c r="F1325" s="18"/>
      <c r="G1325" s="18"/>
      <c r="H1325" s="18"/>
    </row>
    <row r="1326" spans="1:8" ht="11.25" customHeight="1" x14ac:dyDescent="0.2">
      <c r="C1326" s="4" t="s">
        <v>798</v>
      </c>
      <c r="D1326" s="4" t="s">
        <v>866</v>
      </c>
      <c r="E1326" s="13" t="s">
        <v>497</v>
      </c>
      <c r="F1326" s="28">
        <v>283297</v>
      </c>
      <c r="G1326" s="18">
        <v>0.20799999999999999</v>
      </c>
      <c r="H1326" s="20">
        <f>TRUNC(($F1326*G1326),1)</f>
        <v>58925.7</v>
      </c>
    </row>
    <row r="1327" spans="1:8" ht="11.25" customHeight="1" x14ac:dyDescent="0.2">
      <c r="C1327" s="107" t="s">
        <v>1285</v>
      </c>
      <c r="D1327" s="109"/>
      <c r="E1327" s="34"/>
      <c r="F1327" s="33"/>
      <c r="G1327" s="33"/>
      <c r="H1327" s="24">
        <f>TRUNC(SUM(H1326:H1326))</f>
        <v>58925</v>
      </c>
    </row>
    <row r="1328" spans="1:8" ht="11.25" customHeight="1" x14ac:dyDescent="0.2">
      <c r="C1328" s="4"/>
      <c r="D1328" s="4"/>
      <c r="E1328" s="18"/>
      <c r="F1328" s="18"/>
      <c r="G1328" s="18"/>
      <c r="H1328" s="18"/>
    </row>
    <row r="1329" spans="2:12" ht="11.25" customHeight="1" x14ac:dyDescent="0.2">
      <c r="B1329" s="8" t="s">
        <v>723</v>
      </c>
      <c r="C1329" s="4" t="s">
        <v>1427</v>
      </c>
      <c r="D1329" s="106" t="s">
        <v>1208</v>
      </c>
      <c r="E1329" s="13" t="s">
        <v>746</v>
      </c>
      <c r="F1329" s="66">
        <v>272836000</v>
      </c>
      <c r="G1329" s="19">
        <v>2237</v>
      </c>
      <c r="H1329" s="20">
        <f>TRUNC($F1329*G1329*0.0000001,1)</f>
        <v>61033.4</v>
      </c>
    </row>
    <row r="1330" spans="2:12" ht="11.25" customHeight="1" x14ac:dyDescent="0.2">
      <c r="C1330" s="107" t="s">
        <v>1289</v>
      </c>
      <c r="D1330" s="109"/>
      <c r="E1330" s="13"/>
      <c r="F1330" s="33"/>
      <c r="G1330" s="33"/>
      <c r="H1330" s="24">
        <f>TRUNC(SUM(H1329:H1329))</f>
        <v>61033</v>
      </c>
    </row>
    <row r="1331" spans="2:12" ht="11.25" customHeight="1" x14ac:dyDescent="0.2">
      <c r="C1331" s="4"/>
      <c r="D1331" s="4"/>
      <c r="E1331" s="18"/>
      <c r="F1331" s="18"/>
      <c r="G1331" s="18"/>
      <c r="H1331" s="18"/>
    </row>
    <row r="1332" spans="2:12" ht="11.25" customHeight="1" x14ac:dyDescent="0.2">
      <c r="B1332" s="16"/>
      <c r="C1332" s="108" t="s">
        <v>1286</v>
      </c>
      <c r="D1332" s="108"/>
      <c r="E1332" s="103"/>
      <c r="F1332" s="102"/>
      <c r="G1332" s="102"/>
      <c r="H1332" s="104">
        <f>TRUNC(H1330+H1324+H1327)</f>
        <v>165401</v>
      </c>
    </row>
    <row r="1334" spans="2:12" ht="11.25" customHeight="1" x14ac:dyDescent="0.2">
      <c r="B1334" s="68" t="s">
        <v>1428</v>
      </c>
      <c r="C1334" s="119"/>
      <c r="H1334" s="49"/>
    </row>
    <row r="1335" spans="2:12" ht="11.25" customHeight="1" x14ac:dyDescent="0.2">
      <c r="B1335" s="68" t="s">
        <v>1429</v>
      </c>
      <c r="C1335" s="160"/>
      <c r="L1335" s="49" t="s">
        <v>1307</v>
      </c>
    </row>
    <row r="1336" spans="2:12" ht="11.25" customHeight="1" x14ac:dyDescent="0.2">
      <c r="B1336" s="186" t="s">
        <v>427</v>
      </c>
      <c r="C1336" s="187" t="s">
        <v>428</v>
      </c>
      <c r="D1336" s="187" t="s">
        <v>429</v>
      </c>
      <c r="E1336" s="188" t="s">
        <v>430</v>
      </c>
      <c r="F1336" s="188" t="s">
        <v>431</v>
      </c>
      <c r="G1336" s="94" t="s">
        <v>1431</v>
      </c>
      <c r="H1336" s="151"/>
      <c r="I1336" s="94" t="s">
        <v>1432</v>
      </c>
      <c r="J1336" s="151"/>
      <c r="K1336" s="94" t="s">
        <v>1433</v>
      </c>
      <c r="L1336" s="151"/>
    </row>
    <row r="1337" spans="2:12" ht="11.25" customHeight="1" x14ac:dyDescent="0.2">
      <c r="B1337" s="186"/>
      <c r="C1337" s="187"/>
      <c r="D1337" s="187"/>
      <c r="E1337" s="188"/>
      <c r="F1337" s="188"/>
      <c r="G1337" s="17" t="s">
        <v>436</v>
      </c>
      <c r="H1337" s="17" t="s">
        <v>437</v>
      </c>
      <c r="I1337" s="17" t="s">
        <v>436</v>
      </c>
      <c r="J1337" s="17" t="s">
        <v>437</v>
      </c>
      <c r="K1337" s="17" t="s">
        <v>436</v>
      </c>
      <c r="L1337" s="17" t="s">
        <v>437</v>
      </c>
    </row>
    <row r="1338" spans="2:12" ht="11.25" customHeight="1" x14ac:dyDescent="0.2">
      <c r="C1338" s="4" t="s">
        <v>798</v>
      </c>
      <c r="D1338" s="4" t="s">
        <v>866</v>
      </c>
      <c r="E1338" s="13" t="s">
        <v>497</v>
      </c>
      <c r="F1338" s="28">
        <v>283297</v>
      </c>
      <c r="G1338" s="18">
        <v>0.20799999999999999</v>
      </c>
      <c r="H1338" s="20">
        <f>TRUNC(($F1338*G1338),1)</f>
        <v>58925.7</v>
      </c>
      <c r="I1338" s="18">
        <v>0.20799999999999999</v>
      </c>
      <c r="J1338" s="20">
        <f>TRUNC(($F1338*I1338),1)</f>
        <v>58925.7</v>
      </c>
      <c r="K1338" s="18">
        <v>0.20799999999999999</v>
      </c>
      <c r="L1338" s="20">
        <f>TRUNC(($F1338*K1338),1)</f>
        <v>58925.7</v>
      </c>
    </row>
    <row r="1339" spans="2:12" ht="11.25" customHeight="1" x14ac:dyDescent="0.2">
      <c r="C1339" s="107" t="s">
        <v>1285</v>
      </c>
      <c r="D1339" s="109"/>
      <c r="E1339" s="34"/>
      <c r="F1339" s="33"/>
      <c r="G1339" s="33"/>
      <c r="H1339" s="24">
        <f>TRUNC(SUM(H1338:H1338))</f>
        <v>58925</v>
      </c>
      <c r="I1339" s="33"/>
      <c r="J1339" s="24">
        <f>TRUNC(SUM(J1338:J1338))</f>
        <v>58925</v>
      </c>
      <c r="K1339" s="33"/>
      <c r="L1339" s="24">
        <f>TRUNC(SUM(L1338:L1338))</f>
        <v>58925</v>
      </c>
    </row>
    <row r="1340" spans="2:12" ht="11.25" customHeight="1" x14ac:dyDescent="0.2">
      <c r="C1340" s="4"/>
      <c r="D1340" s="4"/>
      <c r="E1340" s="18"/>
      <c r="F1340" s="18"/>
      <c r="G1340" s="18"/>
      <c r="H1340" s="18"/>
      <c r="I1340" s="18"/>
      <c r="J1340" s="18"/>
      <c r="K1340" s="18"/>
      <c r="L1340" s="18"/>
    </row>
    <row r="1341" spans="2:12" ht="11.25" customHeight="1" x14ac:dyDescent="0.2">
      <c r="B1341" s="8" t="s">
        <v>165</v>
      </c>
      <c r="C1341" s="4" t="s">
        <v>1430</v>
      </c>
      <c r="D1341" s="106" t="s">
        <v>30</v>
      </c>
      <c r="E1341" s="13" t="s">
        <v>746</v>
      </c>
      <c r="F1341" s="66">
        <v>204549000</v>
      </c>
      <c r="G1341" s="19">
        <v>2068</v>
      </c>
      <c r="H1341" s="20">
        <f>TRUNC($F1341*G1341*0.0000001,1)</f>
        <v>42300.7</v>
      </c>
      <c r="I1341" s="21">
        <v>0</v>
      </c>
      <c r="J1341" s="20">
        <f>TRUNC($F1341*I1341*0.0000001,1)</f>
        <v>0</v>
      </c>
      <c r="K1341" s="21">
        <v>0</v>
      </c>
      <c r="L1341" s="20">
        <f>TRUNC($F1341*K1341*0.0000001,1)</f>
        <v>0</v>
      </c>
    </row>
    <row r="1342" spans="2:12" ht="11.25" customHeight="1" x14ac:dyDescent="0.2">
      <c r="B1342" s="8" t="s">
        <v>32</v>
      </c>
      <c r="C1342" s="4" t="s">
        <v>1430</v>
      </c>
      <c r="D1342" s="106" t="s">
        <v>31</v>
      </c>
      <c r="E1342" s="13" t="s">
        <v>746</v>
      </c>
      <c r="F1342" s="66">
        <v>274436000</v>
      </c>
      <c r="G1342" s="21">
        <v>0</v>
      </c>
      <c r="H1342" s="20">
        <f>TRUNC($F1342*G1342*0.0000001,1)</f>
        <v>0</v>
      </c>
      <c r="I1342" s="19">
        <v>2068</v>
      </c>
      <c r="J1342" s="20">
        <f>TRUNC($F1342*I1342*0.0000001,1)</f>
        <v>56753.3</v>
      </c>
      <c r="K1342" s="21">
        <v>0</v>
      </c>
      <c r="L1342" s="20">
        <f>TRUNC($F1342*K1342*0.0000001,1)</f>
        <v>0</v>
      </c>
    </row>
    <row r="1343" spans="2:12" ht="11.25" customHeight="1" x14ac:dyDescent="0.2">
      <c r="B1343" s="8" t="s">
        <v>33</v>
      </c>
      <c r="C1343" s="4" t="s">
        <v>1430</v>
      </c>
      <c r="D1343" s="106" t="s">
        <v>145</v>
      </c>
      <c r="E1343" s="13" t="s">
        <v>746</v>
      </c>
      <c r="F1343" s="66">
        <v>379561000</v>
      </c>
      <c r="G1343" s="21">
        <v>0</v>
      </c>
      <c r="H1343" s="20">
        <f>TRUNC($F1343*G1343*0.0000001,1)</f>
        <v>0</v>
      </c>
      <c r="I1343" s="21">
        <v>0</v>
      </c>
      <c r="J1343" s="20">
        <f>TRUNC($F1343*I1343*0.0000001,1)</f>
        <v>0</v>
      </c>
      <c r="K1343" s="19">
        <v>2068</v>
      </c>
      <c r="L1343" s="20">
        <f>TRUNC($F1343*K1343*0.0000001,1)</f>
        <v>78493.2</v>
      </c>
    </row>
    <row r="1344" spans="2:12" ht="11.25" customHeight="1" x14ac:dyDescent="0.2">
      <c r="C1344" s="107" t="s">
        <v>1289</v>
      </c>
      <c r="D1344" s="109"/>
      <c r="E1344" s="34"/>
      <c r="F1344" s="33"/>
      <c r="G1344" s="33"/>
      <c r="H1344" s="24">
        <f>TRUNC(SUM(H1341:H1343))</f>
        <v>42300</v>
      </c>
      <c r="I1344" s="33"/>
      <c r="J1344" s="24">
        <f>TRUNC(SUM(J1341:J1343))</f>
        <v>56753</v>
      </c>
      <c r="K1344" s="33"/>
      <c r="L1344" s="24">
        <f>TRUNC(SUM(L1341:L1343))</f>
        <v>78493</v>
      </c>
    </row>
    <row r="1345" spans="1:12" ht="11.25" customHeight="1" x14ac:dyDescent="0.2">
      <c r="C1345" s="4"/>
      <c r="D1345" s="4"/>
      <c r="E1345" s="18"/>
      <c r="F1345" s="18"/>
      <c r="G1345" s="18"/>
      <c r="H1345" s="18"/>
      <c r="I1345" s="18"/>
      <c r="J1345" s="18"/>
      <c r="K1345" s="18"/>
      <c r="L1345" s="18"/>
    </row>
    <row r="1346" spans="1:12" ht="11.25" customHeight="1" x14ac:dyDescent="0.2">
      <c r="C1346" s="126" t="s">
        <v>1286</v>
      </c>
      <c r="D1346" s="126"/>
      <c r="E1346" s="127"/>
      <c r="F1346" s="125"/>
      <c r="G1346" s="125"/>
      <c r="H1346" s="128">
        <f>TRUNC(H1344+H1339)</f>
        <v>101225</v>
      </c>
      <c r="I1346" s="125"/>
      <c r="J1346" s="128">
        <f>TRUNC(J1344+J1339)</f>
        <v>115678</v>
      </c>
      <c r="K1346" s="125"/>
      <c r="L1346" s="128">
        <f>TRUNC(L1344+L1339)</f>
        <v>137418</v>
      </c>
    </row>
    <row r="1347" spans="1:12" ht="11.25" customHeight="1" x14ac:dyDescent="0.2">
      <c r="B1347" s="186" t="s">
        <v>427</v>
      </c>
      <c r="C1347" s="187" t="s">
        <v>428</v>
      </c>
      <c r="D1347" s="187" t="s">
        <v>429</v>
      </c>
      <c r="E1347" s="188" t="s">
        <v>430</v>
      </c>
      <c r="F1347" s="188" t="s">
        <v>431</v>
      </c>
      <c r="G1347" s="94" t="s">
        <v>1434</v>
      </c>
      <c r="H1347" s="151"/>
      <c r="I1347" s="94" t="s">
        <v>1435</v>
      </c>
      <c r="J1347" s="151"/>
      <c r="K1347" s="94" t="s">
        <v>1436</v>
      </c>
      <c r="L1347" s="151"/>
    </row>
    <row r="1348" spans="1:12" ht="11.25" customHeight="1" x14ac:dyDescent="0.2">
      <c r="B1348" s="186"/>
      <c r="C1348" s="187"/>
      <c r="D1348" s="187"/>
      <c r="E1348" s="188"/>
      <c r="F1348" s="188"/>
      <c r="G1348" s="17" t="s">
        <v>436</v>
      </c>
      <c r="H1348" s="17" t="s">
        <v>437</v>
      </c>
      <c r="I1348" s="17" t="s">
        <v>436</v>
      </c>
      <c r="J1348" s="17" t="s">
        <v>437</v>
      </c>
      <c r="K1348" s="17" t="s">
        <v>436</v>
      </c>
      <c r="L1348" s="17" t="s">
        <v>437</v>
      </c>
    </row>
    <row r="1349" spans="1:12" ht="11.25" customHeight="1" x14ac:dyDescent="0.2">
      <c r="C1349" s="4" t="s">
        <v>798</v>
      </c>
      <c r="D1349" s="4" t="s">
        <v>866</v>
      </c>
      <c r="E1349" s="13" t="s">
        <v>497</v>
      </c>
      <c r="F1349" s="28">
        <v>283297</v>
      </c>
      <c r="G1349" s="18">
        <v>0.20799999999999999</v>
      </c>
      <c r="H1349" s="20">
        <f>TRUNC(($F1349*G1349),1)</f>
        <v>58925.7</v>
      </c>
      <c r="I1349" s="18">
        <v>0.20799999999999999</v>
      </c>
      <c r="J1349" s="20">
        <f>TRUNC(($F1349*I1349),1)</f>
        <v>58925.7</v>
      </c>
      <c r="K1349" s="18">
        <v>0.20799999999999999</v>
      </c>
      <c r="L1349" s="20">
        <f>TRUNC(($F1349*K1349),1)</f>
        <v>58925.7</v>
      </c>
    </row>
    <row r="1350" spans="1:12" ht="11.25" customHeight="1" x14ac:dyDescent="0.2">
      <c r="C1350" s="107" t="s">
        <v>1285</v>
      </c>
      <c r="D1350" s="109"/>
      <c r="E1350" s="34"/>
      <c r="F1350" s="33"/>
      <c r="G1350" s="33"/>
      <c r="H1350" s="24">
        <f>TRUNC(SUM(H1349:H1349))</f>
        <v>58925</v>
      </c>
      <c r="I1350" s="33"/>
      <c r="J1350" s="24">
        <f>TRUNC(SUM(J1349:J1349))</f>
        <v>58925</v>
      </c>
      <c r="K1350" s="33"/>
      <c r="L1350" s="24">
        <f>TRUNC(SUM(L1349:L1349))</f>
        <v>58925</v>
      </c>
    </row>
    <row r="1351" spans="1:12" ht="11.25" customHeight="1" x14ac:dyDescent="0.2">
      <c r="C1351" s="4"/>
      <c r="D1351" s="4"/>
      <c r="E1351" s="18"/>
      <c r="F1351" s="18"/>
      <c r="G1351" s="18"/>
      <c r="H1351" s="18"/>
      <c r="I1351" s="18"/>
      <c r="J1351" s="18"/>
      <c r="K1351" s="18"/>
      <c r="L1351" s="18"/>
    </row>
    <row r="1352" spans="1:12" ht="11.25" customHeight="1" x14ac:dyDescent="0.2">
      <c r="A1352" s="9"/>
      <c r="B1352" s="8" t="s">
        <v>37</v>
      </c>
      <c r="C1352" s="4" t="s">
        <v>1430</v>
      </c>
      <c r="D1352" s="106" t="s">
        <v>34</v>
      </c>
      <c r="E1352" s="13" t="s">
        <v>746</v>
      </c>
      <c r="F1352" s="66">
        <v>448214000</v>
      </c>
      <c r="G1352" s="19">
        <v>2068</v>
      </c>
      <c r="H1352" s="20">
        <f>TRUNC($F1352*G1352*0.0000001,1)</f>
        <v>92690.6</v>
      </c>
      <c r="I1352" s="21">
        <v>0</v>
      </c>
      <c r="J1352" s="20">
        <f>TRUNC($F1352*I1352*0.0000001,1)</f>
        <v>0</v>
      </c>
      <c r="K1352" s="21">
        <v>0</v>
      </c>
      <c r="L1352" s="20">
        <f>TRUNC($F1352*K1352*0.0000001,1)</f>
        <v>0</v>
      </c>
    </row>
    <row r="1353" spans="1:12" ht="11.25" customHeight="1" x14ac:dyDescent="0.2">
      <c r="B1353" s="8" t="s">
        <v>38</v>
      </c>
      <c r="C1353" s="4" t="s">
        <v>1430</v>
      </c>
      <c r="D1353" s="106" t="s">
        <v>35</v>
      </c>
      <c r="E1353" s="13" t="s">
        <v>746</v>
      </c>
      <c r="F1353" s="66">
        <v>462857000</v>
      </c>
      <c r="G1353" s="21">
        <v>0</v>
      </c>
      <c r="H1353" s="20">
        <f>TRUNC($F1353*G1353*0.0000001,1)</f>
        <v>0</v>
      </c>
      <c r="I1353" s="19">
        <v>2068</v>
      </c>
      <c r="J1353" s="20">
        <f>TRUNC($F1353*I1353*0.0000001,1)</f>
        <v>95718.8</v>
      </c>
      <c r="K1353" s="21">
        <v>0</v>
      </c>
      <c r="L1353" s="20">
        <f>TRUNC($F1353*K1353*0.0000001,1)</f>
        <v>0</v>
      </c>
    </row>
    <row r="1354" spans="1:12" ht="11.25" customHeight="1" x14ac:dyDescent="0.2">
      <c r="B1354" s="8" t="s">
        <v>39</v>
      </c>
      <c r="C1354" s="4" t="s">
        <v>1430</v>
      </c>
      <c r="D1354" s="106" t="s">
        <v>36</v>
      </c>
      <c r="E1354" s="13" t="s">
        <v>746</v>
      </c>
      <c r="F1354" s="66">
        <v>536800000</v>
      </c>
      <c r="G1354" s="21">
        <v>0</v>
      </c>
      <c r="H1354" s="20">
        <f>TRUNC($F1354*G1354*0.0000001,1)</f>
        <v>0</v>
      </c>
      <c r="I1354" s="21">
        <v>0</v>
      </c>
      <c r="J1354" s="20">
        <f>TRUNC($F1354*I1354*0.0000001,1)</f>
        <v>0</v>
      </c>
      <c r="K1354" s="19">
        <v>2068</v>
      </c>
      <c r="L1354" s="20">
        <f>TRUNC($F1354*K1354*0.0000001,1)</f>
        <v>111010.2</v>
      </c>
    </row>
    <row r="1355" spans="1:12" ht="11.25" customHeight="1" x14ac:dyDescent="0.2">
      <c r="C1355" s="107" t="s">
        <v>1289</v>
      </c>
      <c r="D1355" s="109"/>
      <c r="E1355" s="34"/>
      <c r="F1355" s="33"/>
      <c r="G1355" s="33"/>
      <c r="H1355" s="24">
        <f>TRUNC(SUM(H1352:H1354))</f>
        <v>92690</v>
      </c>
      <c r="I1355" s="33"/>
      <c r="J1355" s="24">
        <f>TRUNC(SUM(J1352:J1354))</f>
        <v>95718</v>
      </c>
      <c r="K1355" s="33"/>
      <c r="L1355" s="24">
        <f>TRUNC(SUM(L1352:L1354))</f>
        <v>111010</v>
      </c>
    </row>
    <row r="1356" spans="1:12" ht="11.25" customHeight="1" x14ac:dyDescent="0.2">
      <c r="C1356" s="4"/>
      <c r="D1356" s="4"/>
      <c r="E1356" s="18"/>
      <c r="F1356" s="18"/>
      <c r="G1356" s="18"/>
      <c r="H1356" s="18"/>
      <c r="I1356" s="18"/>
      <c r="J1356" s="18"/>
      <c r="K1356" s="18"/>
      <c r="L1356" s="18"/>
    </row>
    <row r="1357" spans="1:12" ht="11.25" customHeight="1" x14ac:dyDescent="0.2">
      <c r="B1357" s="16"/>
      <c r="C1357" s="108" t="s">
        <v>1286</v>
      </c>
      <c r="D1357" s="108"/>
      <c r="E1357" s="103"/>
      <c r="F1357" s="102"/>
      <c r="G1357" s="102"/>
      <c r="H1357" s="104">
        <f>TRUNC(H1355+H1350)</f>
        <v>151615</v>
      </c>
      <c r="I1357" s="102"/>
      <c r="J1357" s="104">
        <f>TRUNC(J1355+J1350)</f>
        <v>154643</v>
      </c>
      <c r="K1357" s="102"/>
      <c r="L1357" s="104">
        <f>TRUNC(L1355+L1350)</f>
        <v>169935</v>
      </c>
    </row>
    <row r="1359" spans="1:12" ht="11.25" customHeight="1" x14ac:dyDescent="0.2">
      <c r="A1359" s="9"/>
      <c r="B1359" s="68" t="s">
        <v>1437</v>
      </c>
      <c r="C1359" s="119"/>
      <c r="J1359" s="49" t="s">
        <v>1307</v>
      </c>
      <c r="K1359" s="9"/>
      <c r="L1359" s="9"/>
    </row>
    <row r="1360" spans="1:12" ht="11.25" customHeight="1" x14ac:dyDescent="0.2">
      <c r="B1360" s="186" t="s">
        <v>427</v>
      </c>
      <c r="C1360" s="187" t="s">
        <v>428</v>
      </c>
      <c r="D1360" s="187" t="s">
        <v>429</v>
      </c>
      <c r="E1360" s="188" t="s">
        <v>430</v>
      </c>
      <c r="F1360" s="188" t="s">
        <v>431</v>
      </c>
      <c r="G1360" s="94" t="s">
        <v>1257</v>
      </c>
      <c r="H1360" s="151"/>
      <c r="I1360" s="94" t="s">
        <v>1258</v>
      </c>
      <c r="J1360" s="151"/>
      <c r="K1360" s="39"/>
      <c r="L1360" s="32"/>
    </row>
    <row r="1361" spans="2:12" ht="11.25" customHeight="1" x14ac:dyDescent="0.2">
      <c r="B1361" s="186"/>
      <c r="C1361" s="187"/>
      <c r="D1361" s="187"/>
      <c r="E1361" s="188"/>
      <c r="F1361" s="188"/>
      <c r="G1361" s="17" t="s">
        <v>436</v>
      </c>
      <c r="H1361" s="17" t="s">
        <v>437</v>
      </c>
      <c r="I1361" s="17" t="s">
        <v>436</v>
      </c>
      <c r="J1361" s="17" t="s">
        <v>437</v>
      </c>
      <c r="K1361" s="39"/>
      <c r="L1361" s="32"/>
    </row>
    <row r="1362" spans="2:12" ht="11.25" customHeight="1" x14ac:dyDescent="0.2">
      <c r="B1362" s="8" t="s">
        <v>249</v>
      </c>
      <c r="C1362" s="4" t="s">
        <v>1438</v>
      </c>
      <c r="D1362" s="106" t="s">
        <v>1439</v>
      </c>
      <c r="E1362" s="13" t="s">
        <v>746</v>
      </c>
      <c r="F1362" s="66">
        <v>31978000</v>
      </c>
      <c r="G1362" s="19">
        <v>1863</v>
      </c>
      <c r="H1362" s="20">
        <f>TRUNC($F1362*G1362*0.0000001,1)</f>
        <v>5957.5</v>
      </c>
      <c r="I1362" s="21">
        <v>0</v>
      </c>
      <c r="J1362" s="20">
        <f>TRUNC($F1362*I1362*0.0000001,1)</f>
        <v>0</v>
      </c>
      <c r="K1362" s="39"/>
      <c r="L1362" s="32"/>
    </row>
    <row r="1363" spans="2:12" ht="11.25" customHeight="1" x14ac:dyDescent="0.2">
      <c r="B1363" s="8" t="s">
        <v>250</v>
      </c>
      <c r="C1363" s="4" t="s">
        <v>1438</v>
      </c>
      <c r="D1363" s="106" t="s">
        <v>1440</v>
      </c>
      <c r="E1363" s="13" t="s">
        <v>746</v>
      </c>
      <c r="F1363" s="66">
        <v>39612000</v>
      </c>
      <c r="G1363" s="21">
        <v>0</v>
      </c>
      <c r="H1363" s="20">
        <f>TRUNC($F1363*G1363*0.0000001,1)</f>
        <v>0</v>
      </c>
      <c r="I1363" s="19">
        <v>1863</v>
      </c>
      <c r="J1363" s="20">
        <f>TRUNC($F1363*I1363*0.0000001,1)</f>
        <v>7379.7</v>
      </c>
      <c r="K1363" s="40"/>
      <c r="L1363" s="54"/>
    </row>
    <row r="1364" spans="2:12" ht="11.25" customHeight="1" x14ac:dyDescent="0.2">
      <c r="C1364" s="107" t="s">
        <v>1289</v>
      </c>
      <c r="D1364" s="109"/>
      <c r="E1364" s="34"/>
      <c r="F1364" s="33"/>
      <c r="G1364" s="33"/>
      <c r="H1364" s="73">
        <f>TRUNC(SUM(H1362:H1363))</f>
        <v>5957</v>
      </c>
      <c r="I1364" s="74"/>
      <c r="J1364" s="24">
        <f>TRUNC(SUM(J1362:J1363))</f>
        <v>7379</v>
      </c>
      <c r="L1364" s="32"/>
    </row>
    <row r="1365" spans="2:12" ht="11.25" customHeight="1" x14ac:dyDescent="0.2">
      <c r="C1365" s="4"/>
      <c r="D1365" s="4"/>
      <c r="E1365" s="18"/>
      <c r="F1365" s="18"/>
      <c r="G1365" s="18"/>
      <c r="H1365" s="30"/>
      <c r="I1365" s="30"/>
      <c r="J1365" s="18"/>
    </row>
    <row r="1366" spans="2:12" ht="11.25" customHeight="1" x14ac:dyDescent="0.2">
      <c r="C1366" s="126" t="s">
        <v>1286</v>
      </c>
      <c r="D1366" s="126"/>
      <c r="E1366" s="127"/>
      <c r="F1366" s="125"/>
      <c r="G1366" s="125"/>
      <c r="H1366" s="140">
        <f>TRUNC(H1364)</f>
        <v>5957</v>
      </c>
      <c r="I1366" s="149"/>
      <c r="J1366" s="128">
        <f>TRUNC(J1364)</f>
        <v>7379</v>
      </c>
      <c r="L1366" s="32"/>
    </row>
    <row r="1367" spans="2:12" ht="11.25" customHeight="1" x14ac:dyDescent="0.2">
      <c r="B1367" s="186" t="s">
        <v>427</v>
      </c>
      <c r="C1367" s="187" t="s">
        <v>428</v>
      </c>
      <c r="D1367" s="187" t="s">
        <v>429</v>
      </c>
      <c r="E1367" s="188" t="s">
        <v>430</v>
      </c>
      <c r="F1367" s="188" t="s">
        <v>431</v>
      </c>
      <c r="G1367" s="94" t="s">
        <v>1259</v>
      </c>
      <c r="H1367" s="151"/>
      <c r="I1367" s="94" t="s">
        <v>1260</v>
      </c>
      <c r="J1367" s="151"/>
      <c r="L1367" s="32"/>
    </row>
    <row r="1368" spans="2:12" ht="11.25" customHeight="1" x14ac:dyDescent="0.2">
      <c r="B1368" s="186"/>
      <c r="C1368" s="187"/>
      <c r="D1368" s="187"/>
      <c r="E1368" s="188"/>
      <c r="F1368" s="188"/>
      <c r="G1368" s="17" t="s">
        <v>436</v>
      </c>
      <c r="H1368" s="17" t="s">
        <v>437</v>
      </c>
      <c r="I1368" s="17" t="s">
        <v>436</v>
      </c>
      <c r="J1368" s="17" t="s">
        <v>437</v>
      </c>
      <c r="K1368" s="40"/>
      <c r="L1368" s="54"/>
    </row>
    <row r="1369" spans="2:12" ht="11.25" customHeight="1" x14ac:dyDescent="0.2">
      <c r="B1369" s="8" t="s">
        <v>251</v>
      </c>
      <c r="C1369" s="4" t="s">
        <v>1438</v>
      </c>
      <c r="D1369" s="106" t="s">
        <v>1441</v>
      </c>
      <c r="E1369" s="13" t="s">
        <v>746</v>
      </c>
      <c r="F1369" s="66">
        <v>47247000</v>
      </c>
      <c r="G1369" s="19">
        <v>1863</v>
      </c>
      <c r="H1369" s="20">
        <f>TRUNC($F1369*G1369*0.0000001,1)</f>
        <v>8802.1</v>
      </c>
      <c r="I1369" s="21">
        <v>0</v>
      </c>
      <c r="J1369" s="20">
        <f>TRUNC($F1369*I1369*0.0000001,1)</f>
        <v>0</v>
      </c>
      <c r="K1369" s="70"/>
      <c r="L1369" s="36"/>
    </row>
    <row r="1370" spans="2:12" ht="11.25" customHeight="1" x14ac:dyDescent="0.2">
      <c r="B1370" s="8" t="s">
        <v>252</v>
      </c>
      <c r="C1370" s="4" t="s">
        <v>1438</v>
      </c>
      <c r="D1370" s="106" t="s">
        <v>1442</v>
      </c>
      <c r="E1370" s="13" t="s">
        <v>746</v>
      </c>
      <c r="F1370" s="66">
        <v>54880000</v>
      </c>
      <c r="G1370" s="21">
        <v>0</v>
      </c>
      <c r="H1370" s="20">
        <f>TRUNC($F1370*G1370*0.0000001,1)</f>
        <v>0</v>
      </c>
      <c r="I1370" s="19">
        <v>1863</v>
      </c>
      <c r="J1370" s="20">
        <f>TRUNC($F1370*I1370*0.0000001,1)</f>
        <v>10224.1</v>
      </c>
      <c r="K1370" s="38"/>
      <c r="L1370" s="38"/>
    </row>
    <row r="1371" spans="2:12" ht="11.25" customHeight="1" x14ac:dyDescent="0.2">
      <c r="C1371" s="107" t="s">
        <v>1289</v>
      </c>
      <c r="D1371" s="109"/>
      <c r="E1371" s="34"/>
      <c r="F1371" s="33"/>
      <c r="G1371" s="33"/>
      <c r="H1371" s="73">
        <f>TRUNC(SUM(H1369:H1370))</f>
        <v>8802</v>
      </c>
      <c r="I1371" s="74"/>
      <c r="J1371" s="24">
        <f>TRUNC(SUM(J1369:J1370))</f>
        <v>10224</v>
      </c>
      <c r="K1371" s="9"/>
      <c r="L1371" s="9"/>
    </row>
    <row r="1372" spans="2:12" ht="11.25" customHeight="1" x14ac:dyDescent="0.2">
      <c r="C1372" s="4"/>
      <c r="D1372" s="4"/>
      <c r="E1372" s="18"/>
      <c r="F1372" s="18"/>
      <c r="G1372" s="18"/>
      <c r="H1372" s="30"/>
      <c r="I1372" s="30"/>
      <c r="J1372" s="18"/>
    </row>
    <row r="1373" spans="2:12" ht="11.25" customHeight="1" x14ac:dyDescent="0.2">
      <c r="B1373" s="16"/>
      <c r="C1373" s="108" t="s">
        <v>1286</v>
      </c>
      <c r="D1373" s="108"/>
      <c r="E1373" s="103"/>
      <c r="F1373" s="102"/>
      <c r="G1373" s="102"/>
      <c r="H1373" s="133">
        <f>TRUNC(H1371)</f>
        <v>8802</v>
      </c>
      <c r="I1373" s="129"/>
      <c r="J1373" s="104">
        <f>TRUNC(J1371)</f>
        <v>10224</v>
      </c>
      <c r="K1373" s="39"/>
      <c r="L1373" s="32"/>
    </row>
    <row r="1374" spans="2:12" ht="11.25" customHeight="1" x14ac:dyDescent="0.2">
      <c r="D1374" s="117"/>
      <c r="E1374" s="9"/>
      <c r="F1374" s="39"/>
      <c r="G1374" s="39"/>
      <c r="H1374" s="32"/>
      <c r="I1374" s="39"/>
      <c r="J1374" s="32"/>
      <c r="K1374" s="39"/>
      <c r="L1374" s="32"/>
    </row>
    <row r="1375" spans="2:12" ht="11.25" customHeight="1" x14ac:dyDescent="0.2">
      <c r="B1375" s="68" t="s">
        <v>1443</v>
      </c>
      <c r="C1375" s="119"/>
      <c r="L1375" s="49" t="s">
        <v>1307</v>
      </c>
    </row>
    <row r="1376" spans="2:12" ht="11.25" customHeight="1" x14ac:dyDescent="0.2">
      <c r="B1376" s="186" t="s">
        <v>427</v>
      </c>
      <c r="C1376" s="187" t="s">
        <v>428</v>
      </c>
      <c r="D1376" s="187" t="s">
        <v>429</v>
      </c>
      <c r="E1376" s="188" t="s">
        <v>430</v>
      </c>
      <c r="F1376" s="188" t="s">
        <v>431</v>
      </c>
      <c r="G1376" s="94" t="s">
        <v>1445</v>
      </c>
      <c r="H1376" s="151"/>
      <c r="I1376" s="94" t="s">
        <v>1446</v>
      </c>
      <c r="J1376" s="151"/>
      <c r="K1376" s="94" t="s">
        <v>1447</v>
      </c>
      <c r="L1376" s="151"/>
    </row>
    <row r="1377" spans="2:12" ht="11.25" customHeight="1" x14ac:dyDescent="0.2">
      <c r="B1377" s="186"/>
      <c r="C1377" s="187"/>
      <c r="D1377" s="187"/>
      <c r="E1377" s="188"/>
      <c r="F1377" s="188"/>
      <c r="G1377" s="17" t="s">
        <v>436</v>
      </c>
      <c r="H1377" s="17" t="s">
        <v>437</v>
      </c>
      <c r="I1377" s="17" t="s">
        <v>436</v>
      </c>
      <c r="J1377" s="17" t="s">
        <v>437</v>
      </c>
      <c r="K1377" s="17" t="s">
        <v>436</v>
      </c>
      <c r="L1377" s="17" t="s">
        <v>437</v>
      </c>
    </row>
    <row r="1378" spans="2:12" ht="11.25" customHeight="1" x14ac:dyDescent="0.2">
      <c r="C1378" s="4" t="s">
        <v>744</v>
      </c>
      <c r="D1378" s="4"/>
      <c r="E1378" s="13" t="s">
        <v>494</v>
      </c>
      <c r="F1378" s="25">
        <v>1584.54</v>
      </c>
      <c r="G1378" s="26">
        <v>1.3</v>
      </c>
      <c r="H1378" s="20">
        <f>TRUNC(($F1378*G1378),1)</f>
        <v>2059.9</v>
      </c>
      <c r="I1378" s="26">
        <v>1.3</v>
      </c>
      <c r="J1378" s="20">
        <f>TRUNC(($F1378*I1378),1)</f>
        <v>2059.9</v>
      </c>
      <c r="K1378" s="26">
        <v>1.3</v>
      </c>
      <c r="L1378" s="20">
        <f>TRUNC(($F1378*K1378),1)</f>
        <v>2059.9</v>
      </c>
    </row>
    <row r="1379" spans="2:12" ht="11.25" customHeight="1" x14ac:dyDescent="0.2">
      <c r="C1379" s="4" t="s">
        <v>878</v>
      </c>
      <c r="D1379" s="4" t="s">
        <v>203</v>
      </c>
      <c r="E1379" s="13" t="s">
        <v>232</v>
      </c>
      <c r="F1379" s="18"/>
      <c r="G1379" s="21">
        <v>2</v>
      </c>
      <c r="H1379" s="20">
        <f>TRUNC(H1378*G1379*0.01,1)</f>
        <v>41.1</v>
      </c>
      <c r="I1379" s="21">
        <v>2</v>
      </c>
      <c r="J1379" s="20">
        <f>TRUNC(J1378*I1379*0.01,1)</f>
        <v>41.1</v>
      </c>
      <c r="K1379" s="21">
        <v>2</v>
      </c>
      <c r="L1379" s="20">
        <f>TRUNC(L1378*K1379*0.01,1)</f>
        <v>41.1</v>
      </c>
    </row>
    <row r="1380" spans="2:12" ht="11.25" customHeight="1" x14ac:dyDescent="0.2">
      <c r="C1380" s="107" t="s">
        <v>799</v>
      </c>
      <c r="D1380" s="109"/>
      <c r="E1380" s="34"/>
      <c r="F1380" s="33"/>
      <c r="G1380" s="33"/>
      <c r="H1380" s="24">
        <f>TRUNC(SUM(H1378:H1379))</f>
        <v>2101</v>
      </c>
      <c r="I1380" s="33"/>
      <c r="J1380" s="24">
        <f>TRUNC(SUM(J1378:J1379))</f>
        <v>2101</v>
      </c>
      <c r="K1380" s="33"/>
      <c r="L1380" s="24">
        <f>TRUNC(SUM(L1378:L1379))</f>
        <v>2101</v>
      </c>
    </row>
    <row r="1381" spans="2:12" ht="11.25" customHeight="1" x14ac:dyDescent="0.2">
      <c r="C1381" s="4"/>
      <c r="D1381" s="4"/>
      <c r="E1381" s="18"/>
      <c r="F1381" s="18"/>
      <c r="G1381" s="18"/>
      <c r="H1381" s="18"/>
      <c r="I1381" s="18"/>
      <c r="J1381" s="18"/>
      <c r="K1381" s="18"/>
      <c r="L1381" s="18"/>
    </row>
    <row r="1382" spans="2:12" ht="11.25" customHeight="1" x14ac:dyDescent="0.2">
      <c r="C1382" s="4" t="s">
        <v>874</v>
      </c>
      <c r="D1382" s="4"/>
      <c r="E1382" s="13" t="s">
        <v>497</v>
      </c>
      <c r="F1382" s="28">
        <v>173995</v>
      </c>
      <c r="G1382" s="18">
        <v>0.20799999999999999</v>
      </c>
      <c r="H1382" s="20">
        <f>TRUNC(($F1382*G1382),1)</f>
        <v>36190.9</v>
      </c>
      <c r="I1382" s="18">
        <v>0.20799999999999999</v>
      </c>
      <c r="J1382" s="20">
        <f>TRUNC(($F1382*I1382),1)</f>
        <v>36190.9</v>
      </c>
      <c r="K1382" s="18">
        <v>0.20799999999999999</v>
      </c>
      <c r="L1382" s="20">
        <f>TRUNC(($F1382*K1382),1)</f>
        <v>36190.9</v>
      </c>
    </row>
    <row r="1383" spans="2:12" ht="11.25" customHeight="1" x14ac:dyDescent="0.2">
      <c r="C1383" s="107" t="s">
        <v>1285</v>
      </c>
      <c r="D1383" s="109"/>
      <c r="E1383" s="34"/>
      <c r="F1383" s="33"/>
      <c r="G1383" s="33"/>
      <c r="H1383" s="24">
        <f>TRUNC(SUM(H1382:H1382))</f>
        <v>36190</v>
      </c>
      <c r="I1383" s="33"/>
      <c r="J1383" s="24">
        <f>TRUNC(SUM(J1382:J1382))</f>
        <v>36190</v>
      </c>
      <c r="K1383" s="33"/>
      <c r="L1383" s="24">
        <f>TRUNC(SUM(L1382:L1382))</f>
        <v>36190</v>
      </c>
    </row>
    <row r="1384" spans="2:12" ht="11.25" customHeight="1" x14ac:dyDescent="0.2">
      <c r="C1384" s="4"/>
      <c r="D1384" s="4"/>
      <c r="E1384" s="18"/>
      <c r="F1384" s="18"/>
      <c r="G1384" s="18"/>
      <c r="H1384" s="18"/>
      <c r="I1384" s="18"/>
      <c r="J1384" s="18"/>
      <c r="K1384" s="18"/>
      <c r="L1384" s="18"/>
    </row>
    <row r="1385" spans="2:12" ht="11.25" customHeight="1" x14ac:dyDescent="0.2">
      <c r="B1385" s="8" t="s">
        <v>140</v>
      </c>
      <c r="C1385" s="4" t="s">
        <v>1444</v>
      </c>
      <c r="D1385" s="106" t="s">
        <v>40</v>
      </c>
      <c r="E1385" s="13" t="s">
        <v>746</v>
      </c>
      <c r="F1385" s="66">
        <v>1869000</v>
      </c>
      <c r="G1385" s="19">
        <v>3039</v>
      </c>
      <c r="H1385" s="20">
        <f>TRUNC($F1385*G1385*0.0000001,1)</f>
        <v>567.9</v>
      </c>
      <c r="I1385" s="21">
        <v>0</v>
      </c>
      <c r="J1385" s="20">
        <f>TRUNC($F1385*I1385*0.0000001,1)</f>
        <v>0</v>
      </c>
      <c r="K1385" s="21">
        <v>0</v>
      </c>
      <c r="L1385" s="20">
        <f>TRUNC($F1385*K1385*0.0000001,1)</f>
        <v>0</v>
      </c>
    </row>
    <row r="1386" spans="2:12" ht="11.25" customHeight="1" x14ac:dyDescent="0.2">
      <c r="B1386" s="8" t="s">
        <v>919</v>
      </c>
      <c r="C1386" s="4" t="s">
        <v>1444</v>
      </c>
      <c r="D1386" s="106" t="s">
        <v>41</v>
      </c>
      <c r="E1386" s="13" t="s">
        <v>746</v>
      </c>
      <c r="F1386" s="66">
        <v>3184000</v>
      </c>
      <c r="G1386" s="21">
        <v>0</v>
      </c>
      <c r="H1386" s="20">
        <f>TRUNC($F1386*G1386*0.0000001,1)</f>
        <v>0</v>
      </c>
      <c r="I1386" s="19">
        <v>3039</v>
      </c>
      <c r="J1386" s="20">
        <f>TRUNC($F1386*I1386*0.0000001,1)</f>
        <v>967.6</v>
      </c>
      <c r="K1386" s="21">
        <v>0</v>
      </c>
      <c r="L1386" s="20">
        <f>TRUNC($F1386*K1386*0.0000001,1)</f>
        <v>0</v>
      </c>
    </row>
    <row r="1387" spans="2:12" ht="11.25" customHeight="1" x14ac:dyDescent="0.2">
      <c r="B1387" s="8" t="s">
        <v>920</v>
      </c>
      <c r="C1387" s="4" t="s">
        <v>1444</v>
      </c>
      <c r="D1387" s="106" t="s">
        <v>42</v>
      </c>
      <c r="E1387" s="13" t="s">
        <v>746</v>
      </c>
      <c r="F1387" s="66">
        <v>3745000</v>
      </c>
      <c r="G1387" s="21">
        <v>0</v>
      </c>
      <c r="H1387" s="20">
        <f>TRUNC($F1387*G1387*0.0000001,1)</f>
        <v>0</v>
      </c>
      <c r="I1387" s="21">
        <v>0</v>
      </c>
      <c r="J1387" s="20">
        <f>TRUNC($F1387*I1387*0.0000001,1)</f>
        <v>0</v>
      </c>
      <c r="K1387" s="19">
        <v>3039</v>
      </c>
      <c r="L1387" s="20">
        <f>TRUNC($F1387*K1387*0.0000001,1)</f>
        <v>1138.0999999999999</v>
      </c>
    </row>
    <row r="1388" spans="2:12" ht="11.25" customHeight="1" x14ac:dyDescent="0.2">
      <c r="C1388" s="107" t="s">
        <v>1289</v>
      </c>
      <c r="D1388" s="109"/>
      <c r="E1388" s="34"/>
      <c r="F1388" s="33"/>
      <c r="G1388" s="33"/>
      <c r="H1388" s="24">
        <f>TRUNC(SUM(H1385:H1387))</f>
        <v>567</v>
      </c>
      <c r="I1388" s="33"/>
      <c r="J1388" s="24">
        <f>TRUNC(SUM(J1385:J1387))</f>
        <v>967</v>
      </c>
      <c r="K1388" s="33"/>
      <c r="L1388" s="24">
        <f>TRUNC(SUM(L1385:L1387))</f>
        <v>1138</v>
      </c>
    </row>
    <row r="1389" spans="2:12" ht="11.25" customHeight="1" x14ac:dyDescent="0.2">
      <c r="C1389" s="4"/>
      <c r="D1389" s="4"/>
      <c r="E1389" s="18"/>
      <c r="F1389" s="18"/>
      <c r="G1389" s="18"/>
      <c r="H1389" s="18"/>
      <c r="I1389" s="18"/>
      <c r="J1389" s="18"/>
      <c r="K1389" s="18"/>
      <c r="L1389" s="18"/>
    </row>
    <row r="1390" spans="2:12" ht="11.25" customHeight="1" x14ac:dyDescent="0.2">
      <c r="C1390" s="126" t="s">
        <v>1286</v>
      </c>
      <c r="D1390" s="126"/>
      <c r="E1390" s="127"/>
      <c r="F1390" s="125"/>
      <c r="G1390" s="125"/>
      <c r="H1390" s="128">
        <f>TRUNC(H1388+H1380+H1383)</f>
        <v>38858</v>
      </c>
      <c r="I1390" s="125"/>
      <c r="J1390" s="128">
        <f>TRUNC(J1388+J1380+J1383)</f>
        <v>39258</v>
      </c>
      <c r="K1390" s="125"/>
      <c r="L1390" s="128">
        <f>TRUNC(L1388+L1380+L1383)</f>
        <v>39429</v>
      </c>
    </row>
    <row r="1391" spans="2:12" ht="11.25" customHeight="1" x14ac:dyDescent="0.2">
      <c r="B1391" s="186" t="s">
        <v>427</v>
      </c>
      <c r="C1391" s="187" t="s">
        <v>428</v>
      </c>
      <c r="D1391" s="187" t="s">
        <v>429</v>
      </c>
      <c r="E1391" s="188" t="s">
        <v>430</v>
      </c>
      <c r="F1391" s="188" t="s">
        <v>431</v>
      </c>
      <c r="G1391" s="94" t="s">
        <v>1448</v>
      </c>
      <c r="H1391" s="151"/>
      <c r="I1391" s="94" t="s">
        <v>1449</v>
      </c>
      <c r="J1391" s="151"/>
      <c r="K1391" s="94" t="s">
        <v>1450</v>
      </c>
      <c r="L1391" s="151"/>
    </row>
    <row r="1392" spans="2:12" ht="11.25" customHeight="1" x14ac:dyDescent="0.2">
      <c r="B1392" s="186"/>
      <c r="C1392" s="187"/>
      <c r="D1392" s="187"/>
      <c r="E1392" s="188"/>
      <c r="F1392" s="188"/>
      <c r="G1392" s="17" t="s">
        <v>436</v>
      </c>
      <c r="H1392" s="17" t="s">
        <v>437</v>
      </c>
      <c r="I1392" s="17" t="s">
        <v>436</v>
      </c>
      <c r="J1392" s="17" t="s">
        <v>437</v>
      </c>
      <c r="K1392" s="17" t="s">
        <v>436</v>
      </c>
      <c r="L1392" s="17" t="s">
        <v>437</v>
      </c>
    </row>
    <row r="1393" spans="1:12" ht="11.25" customHeight="1" x14ac:dyDescent="0.2">
      <c r="C1393" s="4" t="s">
        <v>744</v>
      </c>
      <c r="D1393" s="4"/>
      <c r="E1393" s="13" t="s">
        <v>494</v>
      </c>
      <c r="F1393" s="25">
        <v>1584.54</v>
      </c>
      <c r="G1393" s="26">
        <v>2</v>
      </c>
      <c r="H1393" s="20">
        <f>TRUNC(($F1393*G1393),1)</f>
        <v>3169</v>
      </c>
      <c r="I1393" s="26">
        <v>3.9</v>
      </c>
      <c r="J1393" s="20">
        <f>TRUNC(($F1393*I1393),1)</f>
        <v>6179.7</v>
      </c>
      <c r="K1393" s="26">
        <v>3.9</v>
      </c>
      <c r="L1393" s="20">
        <f>TRUNC(($F1393*K1393),1)</f>
        <v>6179.7</v>
      </c>
    </row>
    <row r="1394" spans="1:12" ht="11.25" customHeight="1" x14ac:dyDescent="0.2">
      <c r="A1394" s="7"/>
      <c r="C1394" s="4" t="s">
        <v>878</v>
      </c>
      <c r="D1394" s="4" t="s">
        <v>203</v>
      </c>
      <c r="E1394" s="13" t="s">
        <v>232</v>
      </c>
      <c r="F1394" s="18"/>
      <c r="G1394" s="21">
        <v>2</v>
      </c>
      <c r="H1394" s="20">
        <f>TRUNC(H1393*G1394*0.01,1)</f>
        <v>63.3</v>
      </c>
      <c r="I1394" s="21">
        <v>2</v>
      </c>
      <c r="J1394" s="20">
        <f>TRUNC(J1393*I1394*0.01,1)</f>
        <v>123.5</v>
      </c>
      <c r="K1394" s="21">
        <v>2</v>
      </c>
      <c r="L1394" s="20">
        <f>TRUNC(L1393*K1394*0.01,1)</f>
        <v>123.5</v>
      </c>
    </row>
    <row r="1395" spans="1:12" ht="11.25" customHeight="1" x14ac:dyDescent="0.2">
      <c r="C1395" s="107" t="s">
        <v>799</v>
      </c>
      <c r="D1395" s="109"/>
      <c r="E1395" s="34"/>
      <c r="F1395" s="33"/>
      <c r="G1395" s="33"/>
      <c r="H1395" s="24">
        <f>TRUNC(SUM(H1393:H1394))</f>
        <v>3232</v>
      </c>
      <c r="I1395" s="33"/>
      <c r="J1395" s="24">
        <f>TRUNC(SUM(J1393:J1394))</f>
        <v>6303</v>
      </c>
      <c r="K1395" s="33"/>
      <c r="L1395" s="24">
        <f>TRUNC(SUM(L1393:L1394))</f>
        <v>6303</v>
      </c>
    </row>
    <row r="1396" spans="1:12" ht="11.25" customHeight="1" x14ac:dyDescent="0.2">
      <c r="C1396" s="4"/>
      <c r="D1396" s="4"/>
      <c r="E1396" s="18"/>
      <c r="F1396" s="18"/>
      <c r="G1396" s="18"/>
      <c r="H1396" s="18"/>
      <c r="I1396" s="18"/>
      <c r="J1396" s="18"/>
      <c r="K1396" s="18"/>
      <c r="L1396" s="18"/>
    </row>
    <row r="1397" spans="1:12" ht="11.25" customHeight="1" x14ac:dyDescent="0.2">
      <c r="C1397" s="4" t="s">
        <v>874</v>
      </c>
      <c r="D1397" s="4"/>
      <c r="E1397" s="13" t="s">
        <v>497</v>
      </c>
      <c r="F1397" s="28">
        <v>173995</v>
      </c>
      <c r="G1397" s="18">
        <v>0.20799999999999999</v>
      </c>
      <c r="H1397" s="20">
        <f>TRUNC(($F1397*G1397),1)</f>
        <v>36190.9</v>
      </c>
      <c r="I1397" s="18">
        <v>0.20799999999999999</v>
      </c>
      <c r="J1397" s="20">
        <f>TRUNC(($F1397*I1397),1)</f>
        <v>36190.9</v>
      </c>
      <c r="K1397" s="18">
        <v>0.20799999999999999</v>
      </c>
      <c r="L1397" s="20">
        <f>TRUNC(($F1397*K1397),1)</f>
        <v>36190.9</v>
      </c>
    </row>
    <row r="1398" spans="1:12" ht="11.25" customHeight="1" x14ac:dyDescent="0.2">
      <c r="C1398" s="107" t="s">
        <v>1285</v>
      </c>
      <c r="D1398" s="109"/>
      <c r="E1398" s="34"/>
      <c r="F1398" s="33"/>
      <c r="G1398" s="33"/>
      <c r="H1398" s="24">
        <f>TRUNC(SUM(H1397:H1397))</f>
        <v>36190</v>
      </c>
      <c r="I1398" s="33"/>
      <c r="J1398" s="24">
        <f>TRUNC(SUM(J1397:J1397))</f>
        <v>36190</v>
      </c>
      <c r="K1398" s="33"/>
      <c r="L1398" s="24">
        <f>TRUNC(SUM(L1397:L1397))</f>
        <v>36190</v>
      </c>
    </row>
    <row r="1399" spans="1:12" ht="11.25" customHeight="1" x14ac:dyDescent="0.2">
      <c r="C1399" s="4"/>
      <c r="D1399" s="4"/>
      <c r="E1399" s="18"/>
      <c r="F1399" s="18"/>
      <c r="G1399" s="18"/>
      <c r="H1399" s="18"/>
      <c r="I1399" s="18"/>
      <c r="J1399" s="18"/>
      <c r="K1399" s="18"/>
      <c r="L1399" s="18"/>
    </row>
    <row r="1400" spans="1:12" ht="11.25" customHeight="1" x14ac:dyDescent="0.2">
      <c r="B1400" s="8" t="s">
        <v>833</v>
      </c>
      <c r="C1400" s="4" t="s">
        <v>1444</v>
      </c>
      <c r="D1400" s="106" t="s">
        <v>43</v>
      </c>
      <c r="E1400" s="13" t="s">
        <v>746</v>
      </c>
      <c r="F1400" s="66">
        <v>4506000</v>
      </c>
      <c r="G1400" s="19">
        <v>3039</v>
      </c>
      <c r="H1400" s="20">
        <f>TRUNC($F1400*G1400*0.0000001,1)</f>
        <v>1369.3</v>
      </c>
      <c r="I1400" s="21">
        <v>0</v>
      </c>
      <c r="J1400" s="20">
        <f>TRUNC($F1400*I1400*0.0000001,1)</f>
        <v>0</v>
      </c>
      <c r="K1400" s="21">
        <v>0</v>
      </c>
      <c r="L1400" s="20">
        <f>TRUNC($F1400*K1400*0.0000001,1)</f>
        <v>0</v>
      </c>
    </row>
    <row r="1401" spans="1:12" ht="11.25" customHeight="1" x14ac:dyDescent="0.2">
      <c r="B1401" s="8" t="s">
        <v>834</v>
      </c>
      <c r="C1401" s="4" t="s">
        <v>1444</v>
      </c>
      <c r="D1401" s="106" t="s">
        <v>44</v>
      </c>
      <c r="E1401" s="13" t="s">
        <v>746</v>
      </c>
      <c r="F1401" s="66">
        <v>5154000</v>
      </c>
      <c r="G1401" s="21">
        <v>0</v>
      </c>
      <c r="H1401" s="20">
        <f>TRUNC($F1401*G1401*0.0000001,1)</f>
        <v>0</v>
      </c>
      <c r="I1401" s="19">
        <v>3039</v>
      </c>
      <c r="J1401" s="20">
        <f>TRUNC($F1401*I1401*0.0000001,1)</f>
        <v>1566.3</v>
      </c>
      <c r="K1401" s="21">
        <v>0</v>
      </c>
      <c r="L1401" s="20">
        <f>TRUNC($F1401*K1401*0.0000001,1)</f>
        <v>0</v>
      </c>
    </row>
    <row r="1402" spans="1:12" ht="11.25" customHeight="1" x14ac:dyDescent="0.2">
      <c r="B1402" s="8" t="s">
        <v>835</v>
      </c>
      <c r="C1402" s="4" t="s">
        <v>1444</v>
      </c>
      <c r="D1402" s="106" t="s">
        <v>45</v>
      </c>
      <c r="E1402" s="13" t="s">
        <v>746</v>
      </c>
      <c r="F1402" s="66">
        <v>5801000</v>
      </c>
      <c r="G1402" s="21">
        <v>0</v>
      </c>
      <c r="H1402" s="20">
        <f>TRUNC($F1402*G1402*0.0000001,1)</f>
        <v>0</v>
      </c>
      <c r="I1402" s="21">
        <v>0</v>
      </c>
      <c r="J1402" s="20">
        <f>TRUNC($F1402*I1402*0.0000001,1)</f>
        <v>0</v>
      </c>
      <c r="K1402" s="19">
        <v>3039</v>
      </c>
      <c r="L1402" s="20">
        <f>TRUNC($F1402*K1402*0.0000001,1)</f>
        <v>1762.9</v>
      </c>
    </row>
    <row r="1403" spans="1:12" ht="11.25" customHeight="1" x14ac:dyDescent="0.2">
      <c r="C1403" s="107" t="s">
        <v>1289</v>
      </c>
      <c r="D1403" s="109"/>
      <c r="E1403" s="34"/>
      <c r="F1403" s="33"/>
      <c r="G1403" s="33"/>
      <c r="H1403" s="24">
        <f>TRUNC(SUM(H1400:H1402))</f>
        <v>1369</v>
      </c>
      <c r="I1403" s="33"/>
      <c r="J1403" s="24">
        <f>TRUNC(SUM(J1400:J1402))</f>
        <v>1566</v>
      </c>
      <c r="K1403" s="33"/>
      <c r="L1403" s="24">
        <f>TRUNC(SUM(L1400:L1402))</f>
        <v>1762</v>
      </c>
    </row>
    <row r="1404" spans="1:12" ht="11.25" customHeight="1" x14ac:dyDescent="0.2">
      <c r="C1404" s="4"/>
      <c r="D1404" s="4"/>
      <c r="E1404" s="18"/>
      <c r="F1404" s="18"/>
      <c r="G1404" s="18"/>
      <c r="H1404" s="18"/>
      <c r="I1404" s="18"/>
      <c r="J1404" s="18"/>
      <c r="K1404" s="18"/>
      <c r="L1404" s="18"/>
    </row>
    <row r="1405" spans="1:12" ht="11.25" customHeight="1" x14ac:dyDescent="0.2">
      <c r="B1405" s="16"/>
      <c r="C1405" s="108" t="s">
        <v>1286</v>
      </c>
      <c r="D1405" s="108"/>
      <c r="E1405" s="103"/>
      <c r="F1405" s="102"/>
      <c r="G1405" s="102"/>
      <c r="H1405" s="104">
        <f>TRUNC(H1403+H1395+H1398)</f>
        <v>40791</v>
      </c>
      <c r="I1405" s="102"/>
      <c r="J1405" s="104">
        <f>TRUNC(J1403+J1395+J1398)</f>
        <v>44059</v>
      </c>
      <c r="K1405" s="102"/>
      <c r="L1405" s="104">
        <f>TRUNC(L1403+L1395+L1398)</f>
        <v>44255</v>
      </c>
    </row>
    <row r="1407" spans="1:12" ht="11.25" customHeight="1" x14ac:dyDescent="0.2">
      <c r="B1407" s="68" t="s">
        <v>1451</v>
      </c>
      <c r="C1407" s="119"/>
      <c r="J1407" s="49" t="s">
        <v>1307</v>
      </c>
    </row>
    <row r="1408" spans="1:12" ht="11.25" customHeight="1" x14ac:dyDescent="0.2">
      <c r="B1408" s="186" t="s">
        <v>427</v>
      </c>
      <c r="C1408" s="187" t="s">
        <v>428</v>
      </c>
      <c r="D1408" s="187" t="s">
        <v>429</v>
      </c>
      <c r="E1408" s="188" t="s">
        <v>430</v>
      </c>
      <c r="F1408" s="188" t="s">
        <v>431</v>
      </c>
      <c r="G1408" s="94" t="s">
        <v>1095</v>
      </c>
      <c r="H1408" s="151"/>
      <c r="I1408" s="94" t="s">
        <v>712</v>
      </c>
      <c r="J1408" s="151"/>
    </row>
    <row r="1409" spans="2:10" ht="11.25" customHeight="1" x14ac:dyDescent="0.2">
      <c r="B1409" s="186"/>
      <c r="C1409" s="187"/>
      <c r="D1409" s="187"/>
      <c r="E1409" s="188"/>
      <c r="F1409" s="188"/>
      <c r="G1409" s="17" t="s">
        <v>436</v>
      </c>
      <c r="H1409" s="17" t="s">
        <v>437</v>
      </c>
      <c r="I1409" s="17" t="s">
        <v>436</v>
      </c>
      <c r="J1409" s="17" t="s">
        <v>437</v>
      </c>
    </row>
    <row r="1410" spans="2:10" ht="11.25" customHeight="1" x14ac:dyDescent="0.2">
      <c r="C1410" s="4" t="s">
        <v>426</v>
      </c>
      <c r="D1410" s="4"/>
      <c r="E1410" s="13" t="s">
        <v>494</v>
      </c>
      <c r="F1410" s="25">
        <v>1505.45</v>
      </c>
      <c r="G1410" s="26">
        <v>13</v>
      </c>
      <c r="H1410" s="20">
        <f>TRUNC(($F1410*G1410),1)</f>
        <v>19570.8</v>
      </c>
      <c r="I1410" s="26">
        <v>13</v>
      </c>
      <c r="J1410" s="20">
        <f>TRUNC(($F1410*I1410),1)</f>
        <v>19570.8</v>
      </c>
    </row>
    <row r="1411" spans="2:10" ht="11.25" customHeight="1" x14ac:dyDescent="0.2">
      <c r="C1411" s="4" t="s">
        <v>878</v>
      </c>
      <c r="D1411" s="4" t="s">
        <v>203</v>
      </c>
      <c r="E1411" s="13" t="s">
        <v>232</v>
      </c>
      <c r="F1411" s="18"/>
      <c r="G1411" s="21">
        <v>44</v>
      </c>
      <c r="H1411" s="20">
        <f>TRUNC(H1410*G1411*0.01,1)</f>
        <v>8611.1</v>
      </c>
      <c r="I1411" s="21">
        <v>44</v>
      </c>
      <c r="J1411" s="20">
        <f>TRUNC(J1410*I1411*0.01,1)</f>
        <v>8611.1</v>
      </c>
    </row>
    <row r="1412" spans="2:10" ht="11.25" customHeight="1" x14ac:dyDescent="0.2">
      <c r="C1412" s="107" t="s">
        <v>799</v>
      </c>
      <c r="D1412" s="109"/>
      <c r="E1412" s="34"/>
      <c r="F1412" s="33"/>
      <c r="G1412" s="33"/>
      <c r="H1412" s="24">
        <f>TRUNC(SUM(H1410:H1411))</f>
        <v>28181</v>
      </c>
      <c r="I1412" s="33"/>
      <c r="J1412" s="24">
        <f>TRUNC(SUM(J1410:J1411))</f>
        <v>28181</v>
      </c>
    </row>
    <row r="1413" spans="2:10" ht="11.25" customHeight="1" x14ac:dyDescent="0.2">
      <c r="C1413" s="4"/>
      <c r="D1413" s="4"/>
      <c r="E1413" s="18"/>
      <c r="F1413" s="18"/>
      <c r="G1413" s="18"/>
      <c r="H1413" s="18"/>
      <c r="I1413" s="18"/>
      <c r="J1413" s="18"/>
    </row>
    <row r="1414" spans="2:10" ht="11.25" customHeight="1" x14ac:dyDescent="0.2">
      <c r="C1414" s="4" t="s">
        <v>798</v>
      </c>
      <c r="D1414" s="4" t="s">
        <v>866</v>
      </c>
      <c r="E1414" s="13" t="s">
        <v>497</v>
      </c>
      <c r="F1414" s="28">
        <v>283297</v>
      </c>
      <c r="G1414" s="18">
        <v>0.20799999999999999</v>
      </c>
      <c r="H1414" s="20">
        <f>TRUNC(($F1414*G1414),1)</f>
        <v>58925.7</v>
      </c>
      <c r="I1414" s="18">
        <v>0.20799999999999999</v>
      </c>
      <c r="J1414" s="20">
        <f>TRUNC(($F1414*I1414),1)</f>
        <v>58925.7</v>
      </c>
    </row>
    <row r="1415" spans="2:10" ht="11.25" customHeight="1" x14ac:dyDescent="0.2">
      <c r="C1415" s="107" t="s">
        <v>1285</v>
      </c>
      <c r="D1415" s="109"/>
      <c r="E1415" s="34"/>
      <c r="F1415" s="33"/>
      <c r="G1415" s="33"/>
      <c r="H1415" s="24">
        <f>TRUNC(SUM(H1414:H1414))</f>
        <v>58925</v>
      </c>
      <c r="I1415" s="33"/>
      <c r="J1415" s="24">
        <f>TRUNC(SUM(J1414:J1414))</f>
        <v>58925</v>
      </c>
    </row>
    <row r="1416" spans="2:10" ht="11.25" customHeight="1" x14ac:dyDescent="0.2">
      <c r="C1416" s="4"/>
      <c r="D1416" s="4"/>
      <c r="E1416" s="18"/>
      <c r="F1416" s="18"/>
      <c r="G1416" s="18"/>
      <c r="H1416" s="18"/>
      <c r="I1416" s="18"/>
      <c r="J1416" s="18"/>
    </row>
    <row r="1417" spans="2:10" ht="11.25" customHeight="1" x14ac:dyDescent="0.2">
      <c r="B1417" s="8" t="s">
        <v>836</v>
      </c>
      <c r="C1417" s="4" t="s">
        <v>1452</v>
      </c>
      <c r="D1417" s="106" t="s">
        <v>46</v>
      </c>
      <c r="E1417" s="13" t="s">
        <v>746</v>
      </c>
      <c r="F1417" s="66">
        <v>87812000</v>
      </c>
      <c r="G1417" s="19">
        <v>2955</v>
      </c>
      <c r="H1417" s="20">
        <f>TRUNC($F1417*G1417*0.0000001,1)</f>
        <v>25948.400000000001</v>
      </c>
      <c r="I1417" s="21">
        <v>0</v>
      </c>
      <c r="J1417" s="20">
        <f>TRUNC($F1417*I1417*0.0000001,1)</f>
        <v>0</v>
      </c>
    </row>
    <row r="1418" spans="2:10" ht="11.25" customHeight="1" x14ac:dyDescent="0.2">
      <c r="B1418" s="8" t="s">
        <v>837</v>
      </c>
      <c r="C1418" s="4" t="s">
        <v>1452</v>
      </c>
      <c r="D1418" s="106" t="s">
        <v>712</v>
      </c>
      <c r="E1418" s="13" t="s">
        <v>746</v>
      </c>
      <c r="F1418" s="66">
        <v>87919000</v>
      </c>
      <c r="G1418" s="21">
        <v>0</v>
      </c>
      <c r="H1418" s="20">
        <f>TRUNC($F1418*G1418*0.0000001,1)</f>
        <v>0</v>
      </c>
      <c r="I1418" s="19">
        <v>2955</v>
      </c>
      <c r="J1418" s="20">
        <f>TRUNC($F1418*I1418*0.0000001,1)</f>
        <v>25980</v>
      </c>
    </row>
    <row r="1419" spans="2:10" ht="11.25" customHeight="1" x14ac:dyDescent="0.2">
      <c r="C1419" s="107" t="s">
        <v>1289</v>
      </c>
      <c r="D1419" s="109"/>
      <c r="E1419" s="34"/>
      <c r="F1419" s="33"/>
      <c r="G1419" s="33"/>
      <c r="H1419" s="24">
        <f>TRUNC(SUM(H1417:H1418))</f>
        <v>25948</v>
      </c>
      <c r="I1419" s="33"/>
      <c r="J1419" s="24">
        <f>TRUNC(SUM(J1417:J1418))</f>
        <v>25980</v>
      </c>
    </row>
    <row r="1420" spans="2:10" ht="11.25" customHeight="1" x14ac:dyDescent="0.2">
      <c r="C1420" s="4"/>
      <c r="D1420" s="4"/>
      <c r="E1420" s="18"/>
      <c r="F1420" s="18"/>
      <c r="G1420" s="18"/>
      <c r="H1420" s="18"/>
      <c r="I1420" s="18"/>
      <c r="J1420" s="18"/>
    </row>
    <row r="1421" spans="2:10" ht="11.25" customHeight="1" x14ac:dyDescent="0.2">
      <c r="B1421" s="16"/>
      <c r="C1421" s="108" t="s">
        <v>1286</v>
      </c>
      <c r="D1421" s="108"/>
      <c r="E1421" s="103"/>
      <c r="F1421" s="102"/>
      <c r="G1421" s="102"/>
      <c r="H1421" s="104">
        <f>TRUNC(H1419+H1412+H1415)</f>
        <v>113054</v>
      </c>
      <c r="I1421" s="102"/>
      <c r="J1421" s="104">
        <f>TRUNC(J1419+J1412+J1415)</f>
        <v>113086</v>
      </c>
    </row>
    <row r="1423" spans="2:10" ht="11.25" customHeight="1" x14ac:dyDescent="0.2">
      <c r="B1423" s="68" t="s">
        <v>1453</v>
      </c>
      <c r="C1423" s="119"/>
      <c r="H1423" s="49" t="s">
        <v>1307</v>
      </c>
    </row>
    <row r="1424" spans="2:10" ht="11.25" customHeight="1" x14ac:dyDescent="0.2">
      <c r="B1424" s="186" t="s">
        <v>427</v>
      </c>
      <c r="C1424" s="187" t="s">
        <v>428</v>
      </c>
      <c r="D1424" s="187" t="s">
        <v>429</v>
      </c>
      <c r="E1424" s="188" t="s">
        <v>430</v>
      </c>
      <c r="F1424" s="188" t="s">
        <v>431</v>
      </c>
      <c r="G1424" s="94" t="s">
        <v>373</v>
      </c>
      <c r="H1424" s="151"/>
    </row>
    <row r="1425" spans="1:12" ht="11.25" customHeight="1" x14ac:dyDescent="0.2">
      <c r="A1425" s="7"/>
      <c r="B1425" s="186"/>
      <c r="C1425" s="187"/>
      <c r="D1425" s="187"/>
      <c r="E1425" s="188"/>
      <c r="F1425" s="188"/>
      <c r="G1425" s="17" t="s">
        <v>436</v>
      </c>
      <c r="H1425" s="17" t="s">
        <v>437</v>
      </c>
    </row>
    <row r="1426" spans="1:12" ht="11.25" customHeight="1" x14ac:dyDescent="0.2">
      <c r="C1426" s="4" t="s">
        <v>744</v>
      </c>
      <c r="D1426" s="4"/>
      <c r="E1426" s="13" t="s">
        <v>494</v>
      </c>
      <c r="F1426" s="25">
        <v>1584.54</v>
      </c>
      <c r="G1426" s="26">
        <v>5.6</v>
      </c>
      <c r="H1426" s="20">
        <f>TRUNC(($F1426*G1426),1)</f>
        <v>8873.4</v>
      </c>
    </row>
    <row r="1427" spans="1:12" ht="11.25" customHeight="1" x14ac:dyDescent="0.2">
      <c r="C1427" s="4" t="s">
        <v>878</v>
      </c>
      <c r="D1427" s="4" t="s">
        <v>203</v>
      </c>
      <c r="E1427" s="13" t="s">
        <v>232</v>
      </c>
      <c r="F1427" s="69"/>
      <c r="G1427" s="21">
        <v>20</v>
      </c>
      <c r="H1427" s="20">
        <f>TRUNC(H1426*G1427*0.01,1)</f>
        <v>1774.6</v>
      </c>
    </row>
    <row r="1428" spans="1:12" ht="11.25" customHeight="1" x14ac:dyDescent="0.2">
      <c r="C1428" s="107" t="s">
        <v>799</v>
      </c>
      <c r="D1428" s="109"/>
      <c r="E1428" s="34"/>
      <c r="F1428" s="33"/>
      <c r="G1428" s="33"/>
      <c r="H1428" s="24">
        <f>TRUNC(SUM(H1426:H1427))</f>
        <v>10648</v>
      </c>
    </row>
    <row r="1429" spans="1:12" ht="11.25" customHeight="1" x14ac:dyDescent="0.2">
      <c r="C1429" s="4"/>
      <c r="D1429" s="4"/>
      <c r="E1429" s="18"/>
      <c r="F1429" s="18"/>
      <c r="G1429" s="18"/>
      <c r="H1429" s="18"/>
    </row>
    <row r="1430" spans="1:12" ht="11.25" customHeight="1" x14ac:dyDescent="0.2">
      <c r="C1430" s="4" t="s">
        <v>874</v>
      </c>
      <c r="D1430" s="4" t="s">
        <v>866</v>
      </c>
      <c r="E1430" s="13" t="s">
        <v>497</v>
      </c>
      <c r="F1430" s="28">
        <v>173995</v>
      </c>
      <c r="G1430" s="18">
        <v>0.20799999999999999</v>
      </c>
      <c r="H1430" s="20">
        <f>TRUNC(($F1430*G1430),1)</f>
        <v>36190.9</v>
      </c>
    </row>
    <row r="1431" spans="1:12" ht="11.25" customHeight="1" x14ac:dyDescent="0.2">
      <c r="C1431" s="107" t="s">
        <v>1285</v>
      </c>
      <c r="D1431" s="109"/>
      <c r="E1431" s="34"/>
      <c r="F1431" s="33"/>
      <c r="G1431" s="33"/>
      <c r="H1431" s="24">
        <f>TRUNC(SUM(H1430:H1430))</f>
        <v>36190</v>
      </c>
    </row>
    <row r="1432" spans="1:12" ht="11.25" customHeight="1" x14ac:dyDescent="0.2">
      <c r="C1432" s="4"/>
      <c r="D1432" s="4"/>
      <c r="E1432" s="18"/>
      <c r="F1432" s="18"/>
      <c r="G1432" s="18"/>
      <c r="H1432" s="18"/>
    </row>
    <row r="1433" spans="1:12" ht="11.25" customHeight="1" x14ac:dyDescent="0.2">
      <c r="B1433" s="8" t="s">
        <v>148</v>
      </c>
      <c r="C1433" s="4" t="s">
        <v>1454</v>
      </c>
      <c r="D1433" s="106" t="s">
        <v>47</v>
      </c>
      <c r="E1433" s="13" t="s">
        <v>746</v>
      </c>
      <c r="F1433" s="66">
        <v>3249000</v>
      </c>
      <c r="G1433" s="19">
        <v>6354</v>
      </c>
      <c r="H1433" s="20">
        <f>TRUNC($F1433*G1433*0.0000001,1)</f>
        <v>2064.4</v>
      </c>
    </row>
    <row r="1434" spans="1:12" ht="11.25" customHeight="1" x14ac:dyDescent="0.2">
      <c r="C1434" s="107" t="s">
        <v>1289</v>
      </c>
      <c r="D1434" s="109"/>
      <c r="E1434" s="34"/>
      <c r="F1434" s="33"/>
      <c r="G1434" s="33"/>
      <c r="H1434" s="24">
        <f>TRUNC(SUM(H1433:H1433))</f>
        <v>2064</v>
      </c>
    </row>
    <row r="1435" spans="1:12" ht="11.25" customHeight="1" x14ac:dyDescent="0.2">
      <c r="C1435" s="4"/>
      <c r="D1435" s="4"/>
      <c r="E1435" s="18"/>
      <c r="F1435" s="18"/>
      <c r="G1435" s="18"/>
      <c r="H1435" s="18"/>
    </row>
    <row r="1436" spans="1:12" ht="11.25" customHeight="1" x14ac:dyDescent="0.2">
      <c r="B1436" s="16"/>
      <c r="C1436" s="108" t="s">
        <v>1286</v>
      </c>
      <c r="D1436" s="108"/>
      <c r="E1436" s="103"/>
      <c r="F1436" s="102"/>
      <c r="G1436" s="102"/>
      <c r="H1436" s="104">
        <f>TRUNC(H1434+H1428+H1431)</f>
        <v>48902</v>
      </c>
    </row>
    <row r="1438" spans="1:12" ht="11.25" customHeight="1" x14ac:dyDescent="0.2">
      <c r="B1438" s="68" t="s">
        <v>1455</v>
      </c>
      <c r="C1438" s="119"/>
      <c r="L1438" s="49" t="s">
        <v>1307</v>
      </c>
    </row>
    <row r="1439" spans="1:12" ht="11.25" customHeight="1" x14ac:dyDescent="0.2">
      <c r="B1439" s="186" t="s">
        <v>427</v>
      </c>
      <c r="C1439" s="187" t="s">
        <v>428</v>
      </c>
      <c r="D1439" s="187" t="s">
        <v>429</v>
      </c>
      <c r="E1439" s="188" t="s">
        <v>430</v>
      </c>
      <c r="F1439" s="188" t="s">
        <v>431</v>
      </c>
      <c r="G1439" s="94" t="s">
        <v>1096</v>
      </c>
      <c r="H1439" s="151"/>
      <c r="I1439" s="190" t="s">
        <v>1097</v>
      </c>
      <c r="J1439" s="186"/>
      <c r="K1439" s="94" t="s">
        <v>1098</v>
      </c>
      <c r="L1439" s="151"/>
    </row>
    <row r="1440" spans="1:12" ht="11.25" customHeight="1" x14ac:dyDescent="0.2">
      <c r="B1440" s="186"/>
      <c r="C1440" s="187"/>
      <c r="D1440" s="187"/>
      <c r="E1440" s="188"/>
      <c r="F1440" s="188"/>
      <c r="G1440" s="17" t="s">
        <v>436</v>
      </c>
      <c r="H1440" s="17" t="s">
        <v>437</v>
      </c>
      <c r="I1440" s="17" t="s">
        <v>436</v>
      </c>
      <c r="J1440" s="17" t="s">
        <v>437</v>
      </c>
      <c r="K1440" s="17" t="s">
        <v>436</v>
      </c>
      <c r="L1440" s="17" t="s">
        <v>437</v>
      </c>
    </row>
    <row r="1441" spans="2:12" ht="11.25" customHeight="1" x14ac:dyDescent="0.2">
      <c r="C1441" s="4" t="s">
        <v>426</v>
      </c>
      <c r="D1441" s="4"/>
      <c r="E1441" s="13" t="s">
        <v>494</v>
      </c>
      <c r="F1441" s="25">
        <v>1505.45</v>
      </c>
      <c r="G1441" s="26">
        <v>14.7</v>
      </c>
      <c r="H1441" s="20">
        <f>TRUNC(($F1441*G1441),1)</f>
        <v>22130.1</v>
      </c>
      <c r="I1441" s="26">
        <v>15.3</v>
      </c>
      <c r="J1441" s="20">
        <f>TRUNC(($F1441*I1441),1)</f>
        <v>23033.3</v>
      </c>
      <c r="K1441" s="65">
        <v>17.3</v>
      </c>
      <c r="L1441" s="20">
        <f>TRUNC(($F1441*K1441),1)</f>
        <v>26044.2</v>
      </c>
    </row>
    <row r="1442" spans="2:12" ht="11.25" customHeight="1" x14ac:dyDescent="0.2">
      <c r="C1442" s="4" t="s">
        <v>878</v>
      </c>
      <c r="D1442" s="4" t="s">
        <v>203</v>
      </c>
      <c r="E1442" s="13" t="s">
        <v>232</v>
      </c>
      <c r="F1442" s="18"/>
      <c r="G1442" s="21">
        <v>35</v>
      </c>
      <c r="H1442" s="20">
        <f>TRUNC(H1441*G1442*0.01,1)</f>
        <v>7745.5</v>
      </c>
      <c r="I1442" s="21">
        <v>35</v>
      </c>
      <c r="J1442" s="20">
        <f>TRUNC(J1441*I1442*0.01,1)</f>
        <v>8061.6</v>
      </c>
      <c r="K1442" s="46">
        <v>35</v>
      </c>
      <c r="L1442" s="20">
        <f>TRUNC(L1441*K1442*0.01,1)</f>
        <v>9115.4</v>
      </c>
    </row>
    <row r="1443" spans="2:12" ht="11.25" customHeight="1" x14ac:dyDescent="0.2">
      <c r="C1443" s="107" t="s">
        <v>799</v>
      </c>
      <c r="D1443" s="109"/>
      <c r="E1443" s="34"/>
      <c r="F1443" s="33"/>
      <c r="G1443" s="33"/>
      <c r="H1443" s="24">
        <f>TRUNC(SUM(H1441:H1442))</f>
        <v>29875</v>
      </c>
      <c r="I1443" s="33"/>
      <c r="J1443" s="24">
        <f>TRUNC(SUM(J1441:J1442))</f>
        <v>31094</v>
      </c>
      <c r="K1443" s="74"/>
      <c r="L1443" s="24">
        <f>TRUNC(SUM(L1441:L1442))</f>
        <v>35159</v>
      </c>
    </row>
    <row r="1444" spans="2:12" ht="11.25" customHeight="1" x14ac:dyDescent="0.2">
      <c r="C1444" s="4"/>
      <c r="D1444" s="4"/>
      <c r="E1444" s="18"/>
      <c r="F1444" s="18"/>
      <c r="G1444" s="18"/>
      <c r="H1444" s="18"/>
      <c r="I1444" s="18"/>
      <c r="J1444" s="18"/>
      <c r="K1444" s="30"/>
      <c r="L1444" s="18"/>
    </row>
    <row r="1445" spans="2:12" ht="11.25" customHeight="1" x14ac:dyDescent="0.2">
      <c r="C1445" s="4" t="s">
        <v>798</v>
      </c>
      <c r="D1445" s="4" t="s">
        <v>866</v>
      </c>
      <c r="E1445" s="13" t="s">
        <v>497</v>
      </c>
      <c r="F1445" s="28">
        <v>283297</v>
      </c>
      <c r="G1445" s="18">
        <v>0.20799999999999999</v>
      </c>
      <c r="H1445" s="20">
        <f>TRUNC(($F1445*G1445),1)</f>
        <v>58925.7</v>
      </c>
      <c r="I1445" s="18">
        <v>0.20799999999999999</v>
      </c>
      <c r="J1445" s="20">
        <f>TRUNC(($F1445*I1445),1)</f>
        <v>58925.7</v>
      </c>
      <c r="K1445" s="30">
        <v>0.20799999999999999</v>
      </c>
      <c r="L1445" s="20">
        <f>TRUNC(($F1445*K1445),1)</f>
        <v>58925.7</v>
      </c>
    </row>
    <row r="1446" spans="2:12" ht="11.25" customHeight="1" x14ac:dyDescent="0.2">
      <c r="C1446" s="107" t="s">
        <v>1285</v>
      </c>
      <c r="D1446" s="109"/>
      <c r="E1446" s="34"/>
      <c r="F1446" s="33"/>
      <c r="G1446" s="33"/>
      <c r="H1446" s="24">
        <f>TRUNC(SUM(H1445:H1445))</f>
        <v>58925</v>
      </c>
      <c r="I1446" s="33"/>
      <c r="J1446" s="24">
        <f>TRUNC(SUM(J1445:J1445))</f>
        <v>58925</v>
      </c>
      <c r="K1446" s="74"/>
      <c r="L1446" s="24">
        <f>TRUNC(SUM(L1445:L1445))</f>
        <v>58925</v>
      </c>
    </row>
    <row r="1447" spans="2:12" ht="11.25" customHeight="1" x14ac:dyDescent="0.2">
      <c r="C1447" s="4"/>
      <c r="D1447" s="4"/>
      <c r="E1447" s="18"/>
      <c r="F1447" s="18"/>
      <c r="G1447" s="18"/>
      <c r="H1447" s="18"/>
      <c r="I1447" s="18"/>
      <c r="J1447" s="18"/>
      <c r="K1447" s="30"/>
      <c r="L1447" s="18"/>
    </row>
    <row r="1448" spans="2:12" ht="11.25" customHeight="1" x14ac:dyDescent="0.2">
      <c r="B1448" s="8" t="s">
        <v>246</v>
      </c>
      <c r="C1448" s="4" t="s">
        <v>1464</v>
      </c>
      <c r="D1448" s="106" t="s">
        <v>1456</v>
      </c>
      <c r="E1448" s="13" t="s">
        <v>746</v>
      </c>
      <c r="F1448" s="66">
        <v>195829000</v>
      </c>
      <c r="G1448" s="19">
        <v>2640</v>
      </c>
      <c r="H1448" s="20">
        <f>TRUNC($F1448*G1448*0.0000001,1)</f>
        <v>51698.8</v>
      </c>
      <c r="I1448" s="21">
        <v>0</v>
      </c>
      <c r="J1448" s="20">
        <f>TRUNC($F1448*I1448*0.0000001,1)</f>
        <v>0</v>
      </c>
      <c r="K1448" s="46">
        <v>0</v>
      </c>
      <c r="L1448" s="20">
        <f>TRUNC($F1448*K1448*0.0000001,1)</f>
        <v>0</v>
      </c>
    </row>
    <row r="1449" spans="2:12" ht="11.25" customHeight="1" x14ac:dyDescent="0.2">
      <c r="B1449" s="8" t="s">
        <v>247</v>
      </c>
      <c r="C1449" s="4" t="s">
        <v>1464</v>
      </c>
      <c r="D1449" s="106" t="s">
        <v>1457</v>
      </c>
      <c r="E1449" s="13" t="s">
        <v>746</v>
      </c>
      <c r="F1449" s="66">
        <v>233210000</v>
      </c>
      <c r="G1449" s="21">
        <v>0</v>
      </c>
      <c r="H1449" s="20">
        <f>TRUNC($F1449*G1449*0.0000001,1)</f>
        <v>0</v>
      </c>
      <c r="I1449" s="19">
        <v>2640</v>
      </c>
      <c r="J1449" s="20">
        <f>TRUNC($F1449*I1449*0.0000001,1)</f>
        <v>61567.4</v>
      </c>
      <c r="K1449" s="46">
        <v>0</v>
      </c>
      <c r="L1449" s="20">
        <f>TRUNC($F1449*K1449*0.0000001,1)</f>
        <v>0</v>
      </c>
    </row>
    <row r="1450" spans="2:12" ht="11.25" customHeight="1" x14ac:dyDescent="0.2">
      <c r="B1450" s="8" t="s">
        <v>248</v>
      </c>
      <c r="C1450" s="4" t="s">
        <v>1464</v>
      </c>
      <c r="D1450" s="106" t="s">
        <v>1458</v>
      </c>
      <c r="E1450" s="13" t="s">
        <v>746</v>
      </c>
      <c r="F1450" s="66">
        <v>275000000</v>
      </c>
      <c r="G1450" s="21">
        <v>0</v>
      </c>
      <c r="H1450" s="20">
        <f>TRUNC($F1450*G1450*0.0000001,1)</f>
        <v>0</v>
      </c>
      <c r="I1450" s="21">
        <v>0</v>
      </c>
      <c r="J1450" s="20">
        <f>TRUNC($F1450*I1450*0.0000001,1)</f>
        <v>0</v>
      </c>
      <c r="K1450" s="161">
        <v>2640</v>
      </c>
      <c r="L1450" s="20">
        <f>TRUNC($F1450*K1450*0.0000001,1)</f>
        <v>72600</v>
      </c>
    </row>
    <row r="1451" spans="2:12" ht="11.25" customHeight="1" x14ac:dyDescent="0.2">
      <c r="C1451" s="107" t="s">
        <v>1289</v>
      </c>
      <c r="D1451" s="109"/>
      <c r="E1451" s="34"/>
      <c r="F1451" s="33"/>
      <c r="G1451" s="33"/>
      <c r="H1451" s="24">
        <f>TRUNC(SUM(H1448:H1450))</f>
        <v>51698</v>
      </c>
      <c r="I1451" s="33"/>
      <c r="J1451" s="24">
        <f>TRUNC(SUM(J1448:J1450))</f>
        <v>61567</v>
      </c>
      <c r="K1451" s="74"/>
      <c r="L1451" s="24">
        <f>TRUNC(SUM(L1448:L1450))</f>
        <v>72600</v>
      </c>
    </row>
    <row r="1452" spans="2:12" ht="11.25" customHeight="1" x14ac:dyDescent="0.2">
      <c r="C1452" s="4"/>
      <c r="D1452" s="4"/>
      <c r="E1452" s="18"/>
      <c r="F1452" s="18"/>
      <c r="G1452" s="18"/>
      <c r="H1452" s="18"/>
      <c r="I1452" s="18"/>
      <c r="J1452" s="18"/>
      <c r="K1452" s="30"/>
      <c r="L1452" s="18"/>
    </row>
    <row r="1453" spans="2:12" ht="11.25" customHeight="1" x14ac:dyDescent="0.2">
      <c r="C1453" s="126" t="s">
        <v>1286</v>
      </c>
      <c r="D1453" s="126"/>
      <c r="E1453" s="127"/>
      <c r="F1453" s="125"/>
      <c r="G1453" s="125"/>
      <c r="H1453" s="128">
        <f>TRUNC(H1451+H1443+H1446)</f>
        <v>140498</v>
      </c>
      <c r="I1453" s="125"/>
      <c r="J1453" s="128">
        <f>TRUNC(J1451+J1443+J1446)</f>
        <v>151586</v>
      </c>
      <c r="K1453" s="149"/>
      <c r="L1453" s="128">
        <f>TRUNC(L1451+L1443+L1446)</f>
        <v>166684</v>
      </c>
    </row>
    <row r="1454" spans="2:12" ht="11.25" customHeight="1" x14ac:dyDescent="0.2">
      <c r="B1454" s="186" t="s">
        <v>427</v>
      </c>
      <c r="C1454" s="187" t="s">
        <v>428</v>
      </c>
      <c r="D1454" s="187" t="s">
        <v>429</v>
      </c>
      <c r="E1454" s="188" t="s">
        <v>430</v>
      </c>
      <c r="F1454" s="188" t="s">
        <v>431</v>
      </c>
      <c r="G1454" s="94" t="s">
        <v>1099</v>
      </c>
      <c r="H1454" s="151"/>
      <c r="I1454" s="190" t="s">
        <v>1100</v>
      </c>
      <c r="J1454" s="186"/>
      <c r="K1454" s="94" t="s">
        <v>1101</v>
      </c>
      <c r="L1454" s="151"/>
    </row>
    <row r="1455" spans="2:12" ht="11.25" customHeight="1" x14ac:dyDescent="0.2">
      <c r="B1455" s="186"/>
      <c r="C1455" s="187"/>
      <c r="D1455" s="187"/>
      <c r="E1455" s="188"/>
      <c r="F1455" s="188"/>
      <c r="G1455" s="17" t="s">
        <v>436</v>
      </c>
      <c r="H1455" s="17" t="s">
        <v>437</v>
      </c>
      <c r="I1455" s="17" t="s">
        <v>436</v>
      </c>
      <c r="J1455" s="17" t="s">
        <v>437</v>
      </c>
      <c r="K1455" s="17" t="s">
        <v>436</v>
      </c>
      <c r="L1455" s="17" t="s">
        <v>437</v>
      </c>
    </row>
    <row r="1456" spans="2:12" ht="11.25" customHeight="1" x14ac:dyDescent="0.2">
      <c r="C1456" s="4" t="s">
        <v>426</v>
      </c>
      <c r="D1456" s="4"/>
      <c r="E1456" s="13" t="s">
        <v>494</v>
      </c>
      <c r="F1456" s="25">
        <v>1505.45</v>
      </c>
      <c r="G1456" s="26">
        <v>17.7</v>
      </c>
      <c r="H1456" s="20">
        <f>TRUNC(($F1456*G1456),1)</f>
        <v>26646.400000000001</v>
      </c>
      <c r="I1456" s="26">
        <v>23.3</v>
      </c>
      <c r="J1456" s="20">
        <f>TRUNC(($F1456*I1456),1)</f>
        <v>35076.9</v>
      </c>
      <c r="K1456" s="26">
        <v>26.3</v>
      </c>
      <c r="L1456" s="20">
        <f>TRUNC(($F1456*K1456),1)</f>
        <v>39593.300000000003</v>
      </c>
    </row>
    <row r="1457" spans="2:12" ht="11.25" customHeight="1" x14ac:dyDescent="0.2">
      <c r="C1457" s="4" t="s">
        <v>878</v>
      </c>
      <c r="D1457" s="4" t="s">
        <v>203</v>
      </c>
      <c r="E1457" s="13" t="s">
        <v>232</v>
      </c>
      <c r="F1457" s="18"/>
      <c r="G1457" s="21">
        <v>35</v>
      </c>
      <c r="H1457" s="20">
        <f>TRUNC(H1456*G1457*0.01,1)</f>
        <v>9326.2000000000007</v>
      </c>
      <c r="I1457" s="21">
        <v>35</v>
      </c>
      <c r="J1457" s="20">
        <f>TRUNC(J1456*I1457*0.01,1)</f>
        <v>12276.9</v>
      </c>
      <c r="K1457" s="21">
        <v>35</v>
      </c>
      <c r="L1457" s="20">
        <f>TRUNC(L1456*K1457*0.01,1)</f>
        <v>13857.6</v>
      </c>
    </row>
    <row r="1458" spans="2:12" ht="11.25" customHeight="1" x14ac:dyDescent="0.2">
      <c r="C1458" s="107" t="s">
        <v>799</v>
      </c>
      <c r="D1458" s="109"/>
      <c r="E1458" s="34"/>
      <c r="F1458" s="33"/>
      <c r="G1458" s="33"/>
      <c r="H1458" s="24">
        <f>TRUNC(SUM(H1456:H1457))</f>
        <v>35972</v>
      </c>
      <c r="I1458" s="33"/>
      <c r="J1458" s="24">
        <f>TRUNC(SUM(J1456:J1457))</f>
        <v>47353</v>
      </c>
      <c r="K1458" s="33"/>
      <c r="L1458" s="24">
        <f>TRUNC(SUM(L1456:L1457))</f>
        <v>53450</v>
      </c>
    </row>
    <row r="1459" spans="2:12" ht="11.25" customHeight="1" x14ac:dyDescent="0.2">
      <c r="C1459" s="4"/>
      <c r="D1459" s="4"/>
      <c r="E1459" s="18"/>
      <c r="F1459" s="18"/>
      <c r="G1459" s="18"/>
      <c r="H1459" s="18"/>
      <c r="I1459" s="18"/>
      <c r="J1459" s="18"/>
      <c r="K1459" s="30"/>
      <c r="L1459" s="18"/>
    </row>
    <row r="1460" spans="2:12" ht="11.25" customHeight="1" x14ac:dyDescent="0.2">
      <c r="C1460" s="4" t="s">
        <v>798</v>
      </c>
      <c r="D1460" s="4" t="s">
        <v>866</v>
      </c>
      <c r="E1460" s="13" t="s">
        <v>497</v>
      </c>
      <c r="F1460" s="28">
        <v>283297</v>
      </c>
      <c r="G1460" s="18">
        <v>0.20799999999999999</v>
      </c>
      <c r="H1460" s="20">
        <f>TRUNC(($F1460*G1460),1)</f>
        <v>58925.7</v>
      </c>
      <c r="I1460" s="18">
        <v>0.20799999999999999</v>
      </c>
      <c r="J1460" s="20">
        <f>TRUNC(($F1460*I1460),1)</f>
        <v>58925.7</v>
      </c>
      <c r="K1460" s="18">
        <v>0.20799999999999999</v>
      </c>
      <c r="L1460" s="20">
        <f>TRUNC(($F1460*K1460),1)</f>
        <v>58925.7</v>
      </c>
    </row>
    <row r="1461" spans="2:12" ht="11.25" customHeight="1" x14ac:dyDescent="0.2">
      <c r="C1461" s="107" t="s">
        <v>1285</v>
      </c>
      <c r="D1461" s="109"/>
      <c r="E1461" s="34"/>
      <c r="F1461" s="33"/>
      <c r="G1461" s="33"/>
      <c r="H1461" s="24">
        <f>TRUNC(SUM(H1460:H1460))</f>
        <v>58925</v>
      </c>
      <c r="I1461" s="33"/>
      <c r="J1461" s="24">
        <f>TRUNC(SUM(J1460:J1460))</f>
        <v>58925</v>
      </c>
      <c r="K1461" s="33"/>
      <c r="L1461" s="24">
        <f>TRUNC(SUM(L1460:L1460))</f>
        <v>58925</v>
      </c>
    </row>
    <row r="1462" spans="2:12" ht="11.25" customHeight="1" x14ac:dyDescent="0.2">
      <c r="C1462" s="4"/>
      <c r="D1462" s="4"/>
      <c r="E1462" s="18"/>
      <c r="F1462" s="18"/>
      <c r="G1462" s="18"/>
      <c r="H1462" s="18"/>
      <c r="I1462" s="18"/>
      <c r="J1462" s="18"/>
      <c r="K1462" s="30"/>
      <c r="L1462" s="18"/>
    </row>
    <row r="1463" spans="2:12" ht="11.25" customHeight="1" x14ac:dyDescent="0.2">
      <c r="B1463" s="8" t="s">
        <v>891</v>
      </c>
      <c r="C1463" s="4" t="s">
        <v>1464</v>
      </c>
      <c r="D1463" s="106" t="s">
        <v>1459</v>
      </c>
      <c r="E1463" s="13" t="s">
        <v>746</v>
      </c>
      <c r="F1463" s="66">
        <v>341000000</v>
      </c>
      <c r="G1463" s="19">
        <v>2640</v>
      </c>
      <c r="H1463" s="20">
        <f>TRUNC($F1463*G1463*0.0000001,1)</f>
        <v>90024</v>
      </c>
      <c r="I1463" s="21">
        <v>0</v>
      </c>
      <c r="J1463" s="20">
        <f>TRUNC($F1463*I1463*0.0000001,1)</f>
        <v>0</v>
      </c>
      <c r="K1463" s="21">
        <v>0</v>
      </c>
      <c r="L1463" s="20">
        <f>TRUNC($F1463*K1463*0.0000001,1)</f>
        <v>0</v>
      </c>
    </row>
    <row r="1464" spans="2:12" ht="11.25" customHeight="1" x14ac:dyDescent="0.2">
      <c r="B1464" s="8" t="s">
        <v>892</v>
      </c>
      <c r="C1464" s="4" t="s">
        <v>1464</v>
      </c>
      <c r="D1464" s="106" t="s">
        <v>1460</v>
      </c>
      <c r="E1464" s="13" t="s">
        <v>746</v>
      </c>
      <c r="F1464" s="66">
        <v>353000000</v>
      </c>
      <c r="G1464" s="21">
        <v>0</v>
      </c>
      <c r="H1464" s="20">
        <f>TRUNC($F1464*G1464*0.0000001,1)</f>
        <v>0</v>
      </c>
      <c r="I1464" s="19">
        <v>2640</v>
      </c>
      <c r="J1464" s="20">
        <f>TRUNC($F1464*I1464*0.0000001,1)</f>
        <v>93192</v>
      </c>
      <c r="K1464" s="21">
        <v>0</v>
      </c>
      <c r="L1464" s="20">
        <f>TRUNC($F1464*K1464*0.0000001,1)</f>
        <v>0</v>
      </c>
    </row>
    <row r="1465" spans="2:12" ht="11.25" customHeight="1" x14ac:dyDescent="0.2">
      <c r="B1465" s="8" t="s">
        <v>133</v>
      </c>
      <c r="C1465" s="4" t="s">
        <v>1464</v>
      </c>
      <c r="D1465" s="106" t="s">
        <v>1461</v>
      </c>
      <c r="E1465" s="13" t="s">
        <v>746</v>
      </c>
      <c r="F1465" s="66">
        <v>447500000</v>
      </c>
      <c r="G1465" s="21">
        <v>0</v>
      </c>
      <c r="H1465" s="20">
        <f>TRUNC($F1465*G1465*0.0000001,1)</f>
        <v>0</v>
      </c>
      <c r="I1465" s="21">
        <v>0</v>
      </c>
      <c r="J1465" s="20">
        <f>TRUNC($F1465*I1465*0.0000001,1)</f>
        <v>0</v>
      </c>
      <c r="K1465" s="19">
        <v>2640</v>
      </c>
      <c r="L1465" s="20">
        <f>TRUNC($F1465*K1465*0.0000001,1)</f>
        <v>118140</v>
      </c>
    </row>
    <row r="1466" spans="2:12" ht="11.25" customHeight="1" x14ac:dyDescent="0.2">
      <c r="C1466" s="107" t="s">
        <v>1289</v>
      </c>
      <c r="D1466" s="109"/>
      <c r="E1466" s="34"/>
      <c r="F1466" s="33"/>
      <c r="G1466" s="33"/>
      <c r="H1466" s="24">
        <f>TRUNC(SUM(H1463:H1465))</f>
        <v>90024</v>
      </c>
      <c r="I1466" s="33"/>
      <c r="J1466" s="24">
        <f>TRUNC(SUM(J1463:J1465))</f>
        <v>93192</v>
      </c>
      <c r="K1466" s="33"/>
      <c r="L1466" s="24">
        <f>TRUNC(SUM(L1463:L1465))</f>
        <v>118140</v>
      </c>
    </row>
    <row r="1467" spans="2:12" ht="11.25" customHeight="1" x14ac:dyDescent="0.2">
      <c r="C1467" s="4"/>
      <c r="D1467" s="4"/>
      <c r="E1467" s="18"/>
      <c r="F1467" s="18"/>
      <c r="G1467" s="18"/>
      <c r="H1467" s="18"/>
      <c r="I1467" s="18"/>
      <c r="J1467" s="18"/>
      <c r="K1467" s="30"/>
      <c r="L1467" s="18"/>
    </row>
    <row r="1468" spans="2:12" ht="11.25" customHeight="1" x14ac:dyDescent="0.2">
      <c r="C1468" s="126" t="s">
        <v>1286</v>
      </c>
      <c r="D1468" s="126"/>
      <c r="E1468" s="127"/>
      <c r="F1468" s="125"/>
      <c r="G1468" s="125"/>
      <c r="H1468" s="128">
        <f>TRUNC(H1466+H1458+H1461)</f>
        <v>184921</v>
      </c>
      <c r="I1468" s="125"/>
      <c r="J1468" s="128">
        <f>TRUNC(J1466+J1458+J1461)</f>
        <v>199470</v>
      </c>
      <c r="K1468" s="102"/>
      <c r="L1468" s="104">
        <f>TRUNC(L1466+L1458+L1461)</f>
        <v>230515</v>
      </c>
    </row>
    <row r="1469" spans="2:12" ht="11.25" customHeight="1" x14ac:dyDescent="0.2">
      <c r="B1469" s="186" t="s">
        <v>427</v>
      </c>
      <c r="C1469" s="187" t="s">
        <v>428</v>
      </c>
      <c r="D1469" s="187" t="s">
        <v>429</v>
      </c>
      <c r="E1469" s="188" t="s">
        <v>430</v>
      </c>
      <c r="F1469" s="188" t="s">
        <v>431</v>
      </c>
      <c r="G1469" s="94" t="s">
        <v>1102</v>
      </c>
      <c r="H1469" s="151"/>
      <c r="I1469" s="94" t="s">
        <v>1103</v>
      </c>
      <c r="J1469" s="151"/>
    </row>
    <row r="1470" spans="2:12" ht="11.25" customHeight="1" x14ac:dyDescent="0.2">
      <c r="B1470" s="186"/>
      <c r="C1470" s="187"/>
      <c r="D1470" s="187"/>
      <c r="E1470" s="188"/>
      <c r="F1470" s="188"/>
      <c r="G1470" s="17" t="s">
        <v>436</v>
      </c>
      <c r="H1470" s="17" t="s">
        <v>437</v>
      </c>
      <c r="I1470" s="17" t="s">
        <v>436</v>
      </c>
      <c r="J1470" s="17" t="s">
        <v>437</v>
      </c>
      <c r="K1470" s="9"/>
      <c r="L1470" s="9"/>
    </row>
    <row r="1471" spans="2:12" ht="11.25" customHeight="1" x14ac:dyDescent="0.2">
      <c r="C1471" s="4" t="s">
        <v>426</v>
      </c>
      <c r="D1471" s="4"/>
      <c r="E1471" s="13" t="s">
        <v>494</v>
      </c>
      <c r="F1471" s="25">
        <v>1505.45</v>
      </c>
      <c r="G1471" s="26">
        <v>26.3</v>
      </c>
      <c r="H1471" s="20">
        <f>TRUNC(($F1471*G1471),1)</f>
        <v>39593.300000000003</v>
      </c>
      <c r="I1471" s="65">
        <v>31</v>
      </c>
      <c r="J1471" s="20">
        <f>TRUNC(($F1471*I1471),1)</f>
        <v>46668.9</v>
      </c>
      <c r="K1471" s="52"/>
      <c r="L1471" s="32"/>
    </row>
    <row r="1472" spans="2:12" ht="11.25" customHeight="1" x14ac:dyDescent="0.2">
      <c r="C1472" s="4" t="s">
        <v>878</v>
      </c>
      <c r="D1472" s="4" t="s">
        <v>203</v>
      </c>
      <c r="E1472" s="13" t="s">
        <v>232</v>
      </c>
      <c r="F1472" s="18"/>
      <c r="G1472" s="21">
        <v>35</v>
      </c>
      <c r="H1472" s="20">
        <f>TRUNC(H1471*G1472*0.01,1)</f>
        <v>13857.6</v>
      </c>
      <c r="I1472" s="46">
        <v>35</v>
      </c>
      <c r="J1472" s="20">
        <f>TRUNC(J1471*I1472*0.01,1)</f>
        <v>16334.1</v>
      </c>
      <c r="K1472" s="39"/>
      <c r="L1472" s="32"/>
    </row>
    <row r="1473" spans="2:12" ht="11.25" customHeight="1" x14ac:dyDescent="0.2">
      <c r="C1473" s="107" t="s">
        <v>799</v>
      </c>
      <c r="D1473" s="109"/>
      <c r="E1473" s="34"/>
      <c r="F1473" s="33"/>
      <c r="G1473" s="33"/>
      <c r="H1473" s="24">
        <f>TRUNC(SUM(H1471:H1472))</f>
        <v>53450</v>
      </c>
      <c r="I1473" s="74"/>
      <c r="J1473" s="24">
        <f>TRUNC(SUM(J1471:J1472))</f>
        <v>63003</v>
      </c>
      <c r="K1473" s="40"/>
      <c r="L1473" s="54"/>
    </row>
    <row r="1474" spans="2:12" ht="11.25" customHeight="1" x14ac:dyDescent="0.2">
      <c r="C1474" s="4"/>
      <c r="D1474" s="4"/>
      <c r="E1474" s="18"/>
      <c r="F1474" s="18"/>
      <c r="G1474" s="18"/>
      <c r="H1474" s="18"/>
      <c r="I1474" s="30"/>
      <c r="J1474" s="18"/>
    </row>
    <row r="1475" spans="2:12" ht="11.25" customHeight="1" x14ac:dyDescent="0.2">
      <c r="C1475" s="4" t="s">
        <v>798</v>
      </c>
      <c r="D1475" s="4" t="s">
        <v>866</v>
      </c>
      <c r="E1475" s="13" t="s">
        <v>497</v>
      </c>
      <c r="F1475" s="28">
        <v>283297</v>
      </c>
      <c r="G1475" s="18">
        <v>0.20799999999999999</v>
      </c>
      <c r="H1475" s="20">
        <f>TRUNC(($F1475*G1475),1)</f>
        <v>58925.7</v>
      </c>
      <c r="I1475" s="30">
        <v>0.20799999999999999</v>
      </c>
      <c r="J1475" s="20">
        <f>TRUNC(($F1475*I1475),1)</f>
        <v>58925.7</v>
      </c>
      <c r="L1475" s="32"/>
    </row>
    <row r="1476" spans="2:12" ht="11.25" customHeight="1" x14ac:dyDescent="0.2">
      <c r="C1476" s="107" t="s">
        <v>1285</v>
      </c>
      <c r="D1476" s="109"/>
      <c r="E1476" s="34"/>
      <c r="F1476" s="33"/>
      <c r="G1476" s="33"/>
      <c r="H1476" s="24">
        <f>TRUNC(SUM(H1475:H1475))</f>
        <v>58925</v>
      </c>
      <c r="I1476" s="74"/>
      <c r="J1476" s="24">
        <f>TRUNC(SUM(J1475:J1475))</f>
        <v>58925</v>
      </c>
      <c r="K1476" s="40"/>
      <c r="L1476" s="54"/>
    </row>
    <row r="1477" spans="2:12" ht="11.25" customHeight="1" x14ac:dyDescent="0.2">
      <c r="C1477" s="4"/>
      <c r="D1477" s="4"/>
      <c r="E1477" s="18"/>
      <c r="F1477" s="18"/>
      <c r="G1477" s="18"/>
      <c r="H1477" s="18"/>
      <c r="I1477" s="30"/>
      <c r="J1477" s="18"/>
    </row>
    <row r="1478" spans="2:12" ht="11.25" customHeight="1" x14ac:dyDescent="0.2">
      <c r="B1478" s="8" t="s">
        <v>134</v>
      </c>
      <c r="C1478" s="4" t="s">
        <v>1464</v>
      </c>
      <c r="D1478" s="106" t="s">
        <v>1462</v>
      </c>
      <c r="E1478" s="13" t="s">
        <v>746</v>
      </c>
      <c r="F1478" s="66">
        <v>490833000</v>
      </c>
      <c r="G1478" s="19">
        <v>2640</v>
      </c>
      <c r="H1478" s="20">
        <f>TRUNC($F1478*G1478*0.0000001,1)</f>
        <v>129579.9</v>
      </c>
      <c r="I1478" s="46">
        <v>0</v>
      </c>
      <c r="J1478" s="20">
        <f>TRUNC($F1478*I1478*0.0000001,1)</f>
        <v>0</v>
      </c>
      <c r="K1478" s="39"/>
      <c r="L1478" s="32"/>
    </row>
    <row r="1479" spans="2:12" ht="11.25" customHeight="1" x14ac:dyDescent="0.2">
      <c r="B1479" s="8" t="s">
        <v>135</v>
      </c>
      <c r="C1479" s="4" t="s">
        <v>1464</v>
      </c>
      <c r="D1479" s="106" t="s">
        <v>1463</v>
      </c>
      <c r="E1479" s="13" t="s">
        <v>746</v>
      </c>
      <c r="F1479" s="66">
        <v>519667000</v>
      </c>
      <c r="G1479" s="21">
        <v>0</v>
      </c>
      <c r="H1479" s="20">
        <f>TRUNC($F1479*G1479*0.0000001,1)</f>
        <v>0</v>
      </c>
      <c r="I1479" s="161">
        <v>2640</v>
      </c>
      <c r="J1479" s="20">
        <f>TRUNC($F1479*I1479*0.0000001,1)</f>
        <v>137192</v>
      </c>
      <c r="K1479" s="39"/>
      <c r="L1479" s="32"/>
    </row>
    <row r="1480" spans="2:12" ht="11.25" customHeight="1" x14ac:dyDescent="0.2">
      <c r="C1480" s="107" t="s">
        <v>1289</v>
      </c>
      <c r="D1480" s="109"/>
      <c r="E1480" s="34"/>
      <c r="F1480" s="33"/>
      <c r="G1480" s="33"/>
      <c r="H1480" s="24">
        <f>TRUNC(SUM(H1478:H1479))</f>
        <v>129579</v>
      </c>
      <c r="I1480" s="74"/>
      <c r="J1480" s="24">
        <f>TRUNC(SUM(J1478:J1479))</f>
        <v>137192</v>
      </c>
      <c r="K1480" s="40"/>
      <c r="L1480" s="54"/>
    </row>
    <row r="1481" spans="2:12" ht="11.25" customHeight="1" x14ac:dyDescent="0.2">
      <c r="C1481" s="4"/>
      <c r="D1481" s="4"/>
      <c r="E1481" s="18"/>
      <c r="F1481" s="18"/>
      <c r="G1481" s="18"/>
      <c r="H1481" s="18"/>
      <c r="I1481" s="30"/>
      <c r="J1481" s="18"/>
    </row>
    <row r="1482" spans="2:12" ht="11.25" customHeight="1" x14ac:dyDescent="0.2">
      <c r="B1482" s="16"/>
      <c r="C1482" s="108" t="s">
        <v>1286</v>
      </c>
      <c r="D1482" s="108"/>
      <c r="E1482" s="103"/>
      <c r="F1482" s="102"/>
      <c r="G1482" s="102"/>
      <c r="H1482" s="104">
        <f>TRUNC(H1480+H1473+H1476)</f>
        <v>241954</v>
      </c>
      <c r="I1482" s="129"/>
      <c r="J1482" s="104">
        <f>TRUNC(J1480+J1473+J1476)</f>
        <v>259120</v>
      </c>
      <c r="K1482" s="70"/>
      <c r="L1482" s="36"/>
    </row>
    <row r="1484" spans="2:12" ht="11.25" customHeight="1" x14ac:dyDescent="0.2">
      <c r="B1484" s="68" t="s">
        <v>1470</v>
      </c>
      <c r="C1484" s="119"/>
      <c r="J1484" s="49" t="s">
        <v>1307</v>
      </c>
    </row>
    <row r="1485" spans="2:12" ht="11.25" customHeight="1" x14ac:dyDescent="0.2">
      <c r="B1485" s="186" t="s">
        <v>427</v>
      </c>
      <c r="C1485" s="187" t="s">
        <v>428</v>
      </c>
      <c r="D1485" s="187" t="s">
        <v>429</v>
      </c>
      <c r="E1485" s="188" t="s">
        <v>430</v>
      </c>
      <c r="F1485" s="188" t="s">
        <v>431</v>
      </c>
      <c r="G1485" s="94" t="s">
        <v>1467</v>
      </c>
      <c r="H1485" s="151"/>
      <c r="I1485" s="94" t="s">
        <v>1469</v>
      </c>
      <c r="J1485" s="151"/>
    </row>
    <row r="1486" spans="2:12" ht="11.25" customHeight="1" x14ac:dyDescent="0.2">
      <c r="B1486" s="186"/>
      <c r="C1486" s="187"/>
      <c r="D1486" s="187"/>
      <c r="E1486" s="188"/>
      <c r="F1486" s="188"/>
      <c r="G1486" s="17" t="s">
        <v>436</v>
      </c>
      <c r="H1486" s="17" t="s">
        <v>437</v>
      </c>
      <c r="I1486" s="17" t="s">
        <v>436</v>
      </c>
      <c r="J1486" s="17" t="s">
        <v>437</v>
      </c>
    </row>
    <row r="1487" spans="2:12" ht="11.25" customHeight="1" x14ac:dyDescent="0.2">
      <c r="B1487" s="8" t="s">
        <v>149</v>
      </c>
      <c r="C1487" s="4" t="s">
        <v>1471</v>
      </c>
      <c r="D1487" s="106" t="s">
        <v>1466</v>
      </c>
      <c r="E1487" s="13" t="s">
        <v>746</v>
      </c>
      <c r="F1487" s="66">
        <v>51595000</v>
      </c>
      <c r="G1487" s="19">
        <v>3026</v>
      </c>
      <c r="H1487" s="20">
        <f>TRUNC($F1487*G1487*0.0000001,1)</f>
        <v>15612.6</v>
      </c>
      <c r="I1487" s="21">
        <v>0</v>
      </c>
      <c r="J1487" s="20">
        <f>TRUNC($F1487*I1487*0.0000001,1)</f>
        <v>0</v>
      </c>
    </row>
    <row r="1488" spans="2:12" ht="11.25" customHeight="1" x14ac:dyDescent="0.2">
      <c r="B1488" s="8" t="s">
        <v>155</v>
      </c>
      <c r="C1488" s="4" t="s">
        <v>1471</v>
      </c>
      <c r="D1488" s="106" t="s">
        <v>1468</v>
      </c>
      <c r="E1488" s="13" t="s">
        <v>746</v>
      </c>
      <c r="F1488" s="66">
        <v>73468000</v>
      </c>
      <c r="G1488" s="21">
        <v>0</v>
      </c>
      <c r="H1488" s="20">
        <f>TRUNC($F1488*G1488*0.0000001,1)</f>
        <v>0</v>
      </c>
      <c r="I1488" s="19">
        <v>3026</v>
      </c>
      <c r="J1488" s="20">
        <f>TRUNC($F1488*I1488*0.0000001,1)</f>
        <v>22231.4</v>
      </c>
    </row>
    <row r="1489" spans="2:10" ht="11.25" customHeight="1" x14ac:dyDescent="0.2">
      <c r="C1489" s="107" t="s">
        <v>1465</v>
      </c>
      <c r="D1489" s="109"/>
      <c r="E1489" s="34"/>
      <c r="F1489" s="33"/>
      <c r="G1489" s="33"/>
      <c r="H1489" s="24">
        <f>TRUNC(SUM(H1487:H1488))</f>
        <v>15612</v>
      </c>
      <c r="I1489" s="33"/>
      <c r="J1489" s="24">
        <f>TRUNC(SUM(J1487:J1488))</f>
        <v>22231</v>
      </c>
    </row>
    <row r="1490" spans="2:10" ht="11.25" customHeight="1" x14ac:dyDescent="0.2">
      <c r="C1490" s="4"/>
      <c r="D1490" s="4"/>
      <c r="E1490" s="18"/>
      <c r="F1490" s="18"/>
      <c r="G1490" s="18"/>
      <c r="H1490" s="18"/>
      <c r="I1490" s="30"/>
      <c r="J1490" s="18"/>
    </row>
    <row r="1491" spans="2:10" ht="11.25" customHeight="1" x14ac:dyDescent="0.2">
      <c r="B1491" s="16"/>
      <c r="C1491" s="108" t="s">
        <v>1286</v>
      </c>
      <c r="D1491" s="108"/>
      <c r="E1491" s="103"/>
      <c r="F1491" s="102"/>
      <c r="G1491" s="102"/>
      <c r="H1491" s="104">
        <f>TRUNC(H1489)</f>
        <v>15612</v>
      </c>
      <c r="I1491" s="102"/>
      <c r="J1491" s="104">
        <f>TRUNC(J1489)</f>
        <v>22231</v>
      </c>
    </row>
    <row r="1492" spans="2:10" ht="11.25" customHeight="1" x14ac:dyDescent="0.2">
      <c r="C1492" s="112"/>
      <c r="D1492" s="118"/>
      <c r="E1492" s="72"/>
      <c r="F1492" s="40"/>
      <c r="G1492" s="40"/>
      <c r="H1492" s="54"/>
    </row>
    <row r="1493" spans="2:10" ht="11.25" customHeight="1" x14ac:dyDescent="0.2">
      <c r="B1493" s="68" t="s">
        <v>1472</v>
      </c>
      <c r="C1493" s="119"/>
      <c r="J1493" s="49" t="s">
        <v>1307</v>
      </c>
    </row>
    <row r="1494" spans="2:10" ht="11.25" customHeight="1" x14ac:dyDescent="0.2">
      <c r="B1494" s="186" t="s">
        <v>427</v>
      </c>
      <c r="C1494" s="187" t="s">
        <v>428</v>
      </c>
      <c r="D1494" s="187" t="s">
        <v>429</v>
      </c>
      <c r="E1494" s="188" t="s">
        <v>430</v>
      </c>
      <c r="F1494" s="188" t="s">
        <v>431</v>
      </c>
      <c r="G1494" s="94" t="s">
        <v>418</v>
      </c>
      <c r="H1494" s="151"/>
      <c r="I1494" s="94" t="s">
        <v>1153</v>
      </c>
      <c r="J1494" s="151"/>
    </row>
    <row r="1495" spans="2:10" ht="11.25" customHeight="1" x14ac:dyDescent="0.2">
      <c r="B1495" s="186"/>
      <c r="C1495" s="187"/>
      <c r="D1495" s="187"/>
      <c r="E1495" s="188"/>
      <c r="F1495" s="188"/>
      <c r="G1495" s="17" t="s">
        <v>436</v>
      </c>
      <c r="H1495" s="17" t="s">
        <v>437</v>
      </c>
      <c r="I1495" s="17" t="s">
        <v>436</v>
      </c>
      <c r="J1495" s="17" t="s">
        <v>437</v>
      </c>
    </row>
    <row r="1496" spans="2:10" ht="11.25" customHeight="1" x14ac:dyDescent="0.2">
      <c r="C1496" s="4" t="s">
        <v>426</v>
      </c>
      <c r="D1496" s="4"/>
      <c r="E1496" s="13" t="s">
        <v>494</v>
      </c>
      <c r="F1496" s="25">
        <v>1505.45</v>
      </c>
      <c r="G1496" s="26">
        <v>7.6</v>
      </c>
      <c r="H1496" s="20">
        <f>TRUNC(($F1496*G1496),1)</f>
        <v>11441.4</v>
      </c>
      <c r="I1496" s="26">
        <v>21.7</v>
      </c>
      <c r="J1496" s="20">
        <f>TRUNC(($F1496*I1496),1)</f>
        <v>32668.2</v>
      </c>
    </row>
    <row r="1497" spans="2:10" ht="11.25" customHeight="1" x14ac:dyDescent="0.2">
      <c r="C1497" s="4" t="s">
        <v>878</v>
      </c>
      <c r="D1497" s="4" t="s">
        <v>203</v>
      </c>
      <c r="E1497" s="13" t="s">
        <v>232</v>
      </c>
      <c r="F1497" s="18"/>
      <c r="G1497" s="21">
        <v>16</v>
      </c>
      <c r="H1497" s="20">
        <f>TRUNC(H1496*G1497*0.01,1)</f>
        <v>1830.6</v>
      </c>
      <c r="I1497" s="21">
        <v>16</v>
      </c>
      <c r="J1497" s="20">
        <f>TRUNC(J1496*I1497*0.01,1)</f>
        <v>5226.8999999999996</v>
      </c>
    </row>
    <row r="1498" spans="2:10" ht="11.25" customHeight="1" x14ac:dyDescent="0.2">
      <c r="C1498" s="107" t="s">
        <v>799</v>
      </c>
      <c r="D1498" s="109"/>
      <c r="E1498" s="34"/>
      <c r="F1498" s="33"/>
      <c r="G1498" s="33"/>
      <c r="H1498" s="24">
        <f>TRUNC(SUM(H1496:H1497))</f>
        <v>13272</v>
      </c>
      <c r="I1498" s="33"/>
      <c r="J1498" s="24">
        <f>TRUNC(SUM(J1496:J1497))</f>
        <v>37895</v>
      </c>
    </row>
    <row r="1499" spans="2:10" ht="11.25" customHeight="1" x14ac:dyDescent="0.2">
      <c r="C1499" s="107"/>
      <c r="D1499" s="109"/>
      <c r="E1499" s="34"/>
      <c r="F1499" s="33"/>
      <c r="G1499" s="33"/>
      <c r="H1499" s="24"/>
      <c r="I1499" s="33"/>
      <c r="J1499" s="24"/>
    </row>
    <row r="1500" spans="2:10" ht="11.25" customHeight="1" x14ac:dyDescent="0.2">
      <c r="B1500" s="8" t="s">
        <v>156</v>
      </c>
      <c r="C1500" s="4" t="s">
        <v>549</v>
      </c>
      <c r="D1500" s="106" t="s">
        <v>1193</v>
      </c>
      <c r="E1500" s="13" t="s">
        <v>746</v>
      </c>
      <c r="F1500" s="66">
        <v>67575000</v>
      </c>
      <c r="G1500" s="19">
        <v>3026</v>
      </c>
      <c r="H1500" s="20">
        <f>TRUNC($F1500*G1500*0.0000001,1)</f>
        <v>20448.099999999999</v>
      </c>
      <c r="I1500" s="21">
        <v>0</v>
      </c>
      <c r="J1500" s="20">
        <f>TRUNC($F1500*I1500*0.0000001,1)</f>
        <v>0</v>
      </c>
    </row>
    <row r="1501" spans="2:10" ht="11.25" customHeight="1" x14ac:dyDescent="0.2">
      <c r="B1501" s="8" t="s">
        <v>1152</v>
      </c>
      <c r="C1501" s="4" t="s">
        <v>549</v>
      </c>
      <c r="D1501" s="106" t="s">
        <v>1473</v>
      </c>
      <c r="E1501" s="13" t="s">
        <v>746</v>
      </c>
      <c r="F1501" s="66">
        <v>286206000</v>
      </c>
      <c r="G1501" s="21">
        <v>0</v>
      </c>
      <c r="H1501" s="20">
        <f>TRUNC($F1501*G1501*0.0000001,1)</f>
        <v>0</v>
      </c>
      <c r="I1501" s="19">
        <v>3026</v>
      </c>
      <c r="J1501" s="20">
        <f>TRUNC($F1501*I1501*0.0000001,1)</f>
        <v>86605.9</v>
      </c>
    </row>
    <row r="1502" spans="2:10" ht="11.25" customHeight="1" x14ac:dyDescent="0.2">
      <c r="C1502" s="107" t="s">
        <v>1289</v>
      </c>
      <c r="D1502" s="109"/>
      <c r="E1502" s="34"/>
      <c r="F1502" s="33"/>
      <c r="G1502" s="33"/>
      <c r="H1502" s="24">
        <f>TRUNC(SUM(H1500:H1501))</f>
        <v>20448</v>
      </c>
      <c r="I1502" s="33"/>
      <c r="J1502" s="24">
        <f>TRUNC(SUM(J1500:J1501))</f>
        <v>86605</v>
      </c>
    </row>
    <row r="1503" spans="2:10" ht="11.25" customHeight="1" x14ac:dyDescent="0.2">
      <c r="C1503" s="107"/>
      <c r="D1503" s="109"/>
      <c r="E1503" s="34"/>
      <c r="F1503" s="33"/>
      <c r="G1503" s="33"/>
      <c r="H1503" s="24"/>
      <c r="I1503" s="33"/>
      <c r="J1503" s="24"/>
    </row>
    <row r="1504" spans="2:10" ht="11.25" customHeight="1" x14ac:dyDescent="0.2">
      <c r="B1504" s="16"/>
      <c r="C1504" s="108" t="s">
        <v>1286</v>
      </c>
      <c r="D1504" s="108"/>
      <c r="E1504" s="103"/>
      <c r="F1504" s="102"/>
      <c r="G1504" s="102"/>
      <c r="H1504" s="104">
        <f>TRUNC(H1502+H1498)</f>
        <v>33720</v>
      </c>
      <c r="I1504" s="102"/>
      <c r="J1504" s="104">
        <f>TRUNC(J1502+J1498)</f>
        <v>124500</v>
      </c>
    </row>
    <row r="1505" spans="2:8" ht="11.25" customHeight="1" x14ac:dyDescent="0.2">
      <c r="C1505" s="112"/>
      <c r="D1505" s="118"/>
      <c r="E1505" s="72"/>
      <c r="F1505" s="40"/>
      <c r="G1505" s="40"/>
      <c r="H1505" s="54"/>
    </row>
    <row r="1506" spans="2:8" ht="11.25" customHeight="1" x14ac:dyDescent="0.2">
      <c r="B1506" s="68" t="s">
        <v>1474</v>
      </c>
      <c r="C1506" s="119"/>
      <c r="H1506" s="49" t="s">
        <v>1307</v>
      </c>
    </row>
    <row r="1507" spans="2:8" ht="11.25" customHeight="1" x14ac:dyDescent="0.2">
      <c r="B1507" s="186" t="s">
        <v>427</v>
      </c>
      <c r="C1507" s="187" t="s">
        <v>428</v>
      </c>
      <c r="D1507" s="187" t="s">
        <v>429</v>
      </c>
      <c r="E1507" s="188" t="s">
        <v>430</v>
      </c>
      <c r="F1507" s="188" t="s">
        <v>431</v>
      </c>
      <c r="G1507" s="94" t="s">
        <v>1478</v>
      </c>
      <c r="H1507" s="151"/>
    </row>
    <row r="1508" spans="2:8" ht="11.25" customHeight="1" x14ac:dyDescent="0.2">
      <c r="B1508" s="186"/>
      <c r="C1508" s="187"/>
      <c r="D1508" s="187"/>
      <c r="E1508" s="188"/>
      <c r="F1508" s="188"/>
      <c r="G1508" s="17" t="s">
        <v>436</v>
      </c>
      <c r="H1508" s="17" t="s">
        <v>437</v>
      </c>
    </row>
    <row r="1509" spans="2:8" ht="11.25" customHeight="1" x14ac:dyDescent="0.2">
      <c r="B1509" s="8" t="s">
        <v>157</v>
      </c>
      <c r="C1509" s="4" t="s">
        <v>1476</v>
      </c>
      <c r="D1509" s="106" t="s">
        <v>1478</v>
      </c>
      <c r="E1509" s="13" t="s">
        <v>746</v>
      </c>
      <c r="F1509" s="66">
        <v>145000</v>
      </c>
      <c r="G1509" s="19">
        <v>4935</v>
      </c>
      <c r="H1509" s="20">
        <f>TRUNC($F1509*G1509*0.0000001,1)</f>
        <v>71.5</v>
      </c>
    </row>
    <row r="1510" spans="2:8" ht="11.25" customHeight="1" x14ac:dyDescent="0.2">
      <c r="C1510" s="107" t="s">
        <v>1289</v>
      </c>
      <c r="D1510" s="109"/>
      <c r="E1510" s="34"/>
      <c r="F1510" s="33"/>
      <c r="G1510" s="33"/>
      <c r="H1510" s="24">
        <f>TRUNC(SUM(H1509:H1509))</f>
        <v>71</v>
      </c>
    </row>
    <row r="1511" spans="2:8" ht="11.25" customHeight="1" x14ac:dyDescent="0.2">
      <c r="C1511" s="4"/>
      <c r="D1511" s="4"/>
      <c r="E1511" s="13"/>
      <c r="F1511" s="56"/>
      <c r="G1511" s="18"/>
      <c r="H1511" s="20"/>
    </row>
    <row r="1512" spans="2:8" ht="11.25" customHeight="1" x14ac:dyDescent="0.2">
      <c r="B1512" s="16"/>
      <c r="C1512" s="108" t="s">
        <v>1286</v>
      </c>
      <c r="D1512" s="108"/>
      <c r="E1512" s="103"/>
      <c r="F1512" s="102"/>
      <c r="G1512" s="102"/>
      <c r="H1512" s="104">
        <f>TRUNC(H1510)</f>
        <v>71</v>
      </c>
    </row>
    <row r="1514" spans="2:8" ht="11.25" customHeight="1" thickBot="1" x14ac:dyDescent="0.25">
      <c r="B1514" s="10" t="s">
        <v>1475</v>
      </c>
      <c r="C1514" s="153"/>
      <c r="D1514" s="111"/>
      <c r="E1514" s="11"/>
      <c r="F1514" s="11"/>
      <c r="G1514" s="11"/>
      <c r="H1514" s="12" t="s">
        <v>1307</v>
      </c>
    </row>
    <row r="1515" spans="2:8" ht="11.25" customHeight="1" thickTop="1" x14ac:dyDescent="0.2">
      <c r="B1515" s="186" t="s">
        <v>427</v>
      </c>
      <c r="C1515" s="187" t="s">
        <v>428</v>
      </c>
      <c r="D1515" s="187" t="s">
        <v>429</v>
      </c>
      <c r="E1515" s="188" t="s">
        <v>430</v>
      </c>
      <c r="F1515" s="188" t="s">
        <v>431</v>
      </c>
      <c r="G1515" s="14" t="s">
        <v>1479</v>
      </c>
      <c r="H1515" s="15"/>
    </row>
    <row r="1516" spans="2:8" ht="11.25" customHeight="1" x14ac:dyDescent="0.2">
      <c r="B1516" s="186"/>
      <c r="C1516" s="187"/>
      <c r="D1516" s="187"/>
      <c r="E1516" s="188"/>
      <c r="F1516" s="188"/>
      <c r="G1516" s="17" t="s">
        <v>436</v>
      </c>
      <c r="H1516" s="17" t="s">
        <v>437</v>
      </c>
    </row>
    <row r="1517" spans="2:8" ht="11.25" customHeight="1" x14ac:dyDescent="0.2">
      <c r="C1517" s="4" t="s">
        <v>744</v>
      </c>
      <c r="D1517" s="4"/>
      <c r="E1517" s="13" t="s">
        <v>494</v>
      </c>
      <c r="F1517" s="25">
        <v>1584.54</v>
      </c>
      <c r="G1517" s="26">
        <v>1</v>
      </c>
      <c r="H1517" s="20">
        <f>TRUNC(($F1517*G1517),1)</f>
        <v>1584.5</v>
      </c>
    </row>
    <row r="1518" spans="2:8" ht="11.25" customHeight="1" x14ac:dyDescent="0.2">
      <c r="C1518" s="4" t="s">
        <v>878</v>
      </c>
      <c r="D1518" s="4" t="s">
        <v>203</v>
      </c>
      <c r="E1518" s="13" t="s">
        <v>232</v>
      </c>
      <c r="F1518" s="18"/>
      <c r="G1518" s="21">
        <v>10</v>
      </c>
      <c r="H1518" s="20">
        <f>TRUNC(H1517*G1518*0.01,1)</f>
        <v>158.4</v>
      </c>
    </row>
    <row r="1519" spans="2:8" ht="11.25" customHeight="1" x14ac:dyDescent="0.2">
      <c r="C1519" s="107" t="s">
        <v>799</v>
      </c>
      <c r="D1519" s="109"/>
      <c r="E1519" s="34"/>
      <c r="F1519" s="33"/>
      <c r="G1519" s="33"/>
      <c r="H1519" s="24">
        <f>TRUNC(SUM(H1517:H1518))</f>
        <v>1742</v>
      </c>
    </row>
    <row r="1520" spans="2:8" ht="11.25" customHeight="1" x14ac:dyDescent="0.2">
      <c r="C1520" s="4"/>
      <c r="D1520" s="4"/>
      <c r="E1520" s="13"/>
      <c r="F1520" s="56"/>
      <c r="G1520" s="18"/>
      <c r="H1520" s="20"/>
    </row>
    <row r="1521" spans="1:14" ht="11.25" customHeight="1" x14ac:dyDescent="0.2">
      <c r="B1521" s="8" t="s">
        <v>158</v>
      </c>
      <c r="C1521" s="4" t="s">
        <v>1477</v>
      </c>
      <c r="D1521" s="106" t="s">
        <v>1479</v>
      </c>
      <c r="E1521" s="13" t="s">
        <v>746</v>
      </c>
      <c r="F1521" s="66">
        <v>267000</v>
      </c>
      <c r="G1521" s="19">
        <v>5101</v>
      </c>
      <c r="H1521" s="20">
        <f>TRUNC($F1521*G1521*0.0000001,1)</f>
        <v>136.1</v>
      </c>
    </row>
    <row r="1522" spans="1:14" ht="11.25" customHeight="1" x14ac:dyDescent="0.2">
      <c r="C1522" s="107" t="s">
        <v>1289</v>
      </c>
      <c r="D1522" s="109"/>
      <c r="E1522" s="34"/>
      <c r="F1522" s="33"/>
      <c r="G1522" s="33"/>
      <c r="H1522" s="24">
        <f>TRUNC(SUM(H1521:H1521))</f>
        <v>136</v>
      </c>
    </row>
    <row r="1523" spans="1:14" ht="11.25" customHeight="1" x14ac:dyDescent="0.2">
      <c r="C1523" s="4"/>
      <c r="D1523" s="4"/>
      <c r="E1523" s="13"/>
      <c r="F1523" s="56"/>
      <c r="G1523" s="18"/>
      <c r="H1523" s="20"/>
    </row>
    <row r="1524" spans="1:14" ht="11.25" customHeight="1" x14ac:dyDescent="0.2">
      <c r="B1524" s="16"/>
      <c r="C1524" s="108" t="s">
        <v>1286</v>
      </c>
      <c r="D1524" s="108"/>
      <c r="E1524" s="103"/>
      <c r="F1524" s="102"/>
      <c r="G1524" s="102"/>
      <c r="H1524" s="104">
        <f>TRUNC(H1522+H1519)</f>
        <v>1878</v>
      </c>
    </row>
    <row r="1526" spans="1:14" ht="11.25" customHeight="1" x14ac:dyDescent="0.2">
      <c r="B1526" s="68" t="s">
        <v>1480</v>
      </c>
      <c r="C1526" s="119"/>
      <c r="L1526" s="49"/>
      <c r="N1526" s="49"/>
    </row>
    <row r="1527" spans="1:14" ht="11.25" customHeight="1" x14ac:dyDescent="0.2">
      <c r="B1527" s="68" t="s">
        <v>1489</v>
      </c>
      <c r="C1527" s="119"/>
      <c r="L1527" s="49"/>
      <c r="N1527" s="49" t="s">
        <v>1307</v>
      </c>
    </row>
    <row r="1528" spans="1:14" ht="11.25" customHeight="1" x14ac:dyDescent="0.2">
      <c r="A1528" s="7"/>
      <c r="B1528" s="186" t="s">
        <v>427</v>
      </c>
      <c r="C1528" s="187" t="s">
        <v>428</v>
      </c>
      <c r="D1528" s="187" t="s">
        <v>429</v>
      </c>
      <c r="E1528" s="188" t="s">
        <v>430</v>
      </c>
      <c r="F1528" s="188" t="s">
        <v>431</v>
      </c>
      <c r="G1528" s="94" t="s">
        <v>1482</v>
      </c>
      <c r="H1528" s="151"/>
      <c r="I1528" s="94" t="s">
        <v>1484</v>
      </c>
      <c r="J1528" s="151"/>
      <c r="K1528" s="94" t="s">
        <v>1486</v>
      </c>
      <c r="L1528" s="151"/>
      <c r="M1528" s="94" t="s">
        <v>1488</v>
      </c>
      <c r="N1528" s="151"/>
    </row>
    <row r="1529" spans="1:14" ht="11.25" customHeight="1" x14ac:dyDescent="0.2">
      <c r="B1529" s="186"/>
      <c r="C1529" s="187"/>
      <c r="D1529" s="187"/>
      <c r="E1529" s="188"/>
      <c r="F1529" s="188"/>
      <c r="G1529" s="17" t="s">
        <v>436</v>
      </c>
      <c r="H1529" s="17" t="s">
        <v>437</v>
      </c>
      <c r="I1529" s="17" t="s">
        <v>436</v>
      </c>
      <c r="J1529" s="17" t="s">
        <v>437</v>
      </c>
      <c r="K1529" s="17" t="s">
        <v>436</v>
      </c>
      <c r="L1529" s="17" t="s">
        <v>437</v>
      </c>
      <c r="M1529" s="17" t="s">
        <v>436</v>
      </c>
      <c r="N1529" s="17" t="s">
        <v>437</v>
      </c>
    </row>
    <row r="1530" spans="1:14" ht="11.25" customHeight="1" x14ac:dyDescent="0.2">
      <c r="C1530" s="4" t="s">
        <v>798</v>
      </c>
      <c r="D1530" s="4" t="s">
        <v>866</v>
      </c>
      <c r="E1530" s="13" t="s">
        <v>497</v>
      </c>
      <c r="F1530" s="28">
        <v>283297</v>
      </c>
      <c r="G1530" s="18">
        <v>0.20799999999999999</v>
      </c>
      <c r="H1530" s="20">
        <f>TRUNC(($F1530*G1530),1)</f>
        <v>58925.7</v>
      </c>
      <c r="I1530" s="18">
        <v>0.20799999999999999</v>
      </c>
      <c r="J1530" s="20">
        <f>TRUNC(($F1530*I1530),1)</f>
        <v>58925.7</v>
      </c>
      <c r="K1530" s="18">
        <v>0.20799999999999999</v>
      </c>
      <c r="L1530" s="20">
        <f>TRUNC(($F1530*K1530),1)</f>
        <v>58925.7</v>
      </c>
      <c r="M1530" s="18">
        <v>0.20799999999999999</v>
      </c>
      <c r="N1530" s="20">
        <f>TRUNC(($F1530*M1530),1)</f>
        <v>58925.7</v>
      </c>
    </row>
    <row r="1531" spans="1:14" ht="11.25" customHeight="1" x14ac:dyDescent="0.2">
      <c r="C1531" s="107" t="s">
        <v>1285</v>
      </c>
      <c r="D1531" s="109"/>
      <c r="E1531" s="34"/>
      <c r="F1531" s="33"/>
      <c r="G1531" s="33"/>
      <c r="H1531" s="73">
        <f>TRUNC(SUM(H1530:H1530))</f>
        <v>58925</v>
      </c>
      <c r="I1531" s="74"/>
      <c r="J1531" s="73">
        <f>TRUNC(SUM(J1530:J1530))</f>
        <v>58925</v>
      </c>
      <c r="K1531" s="74"/>
      <c r="L1531" s="24">
        <f>TRUNC(SUM(L1530:L1530))</f>
        <v>58925</v>
      </c>
      <c r="M1531" s="33"/>
      <c r="N1531" s="24">
        <f>TRUNC(SUM(N1530:N1530))</f>
        <v>58925</v>
      </c>
    </row>
    <row r="1532" spans="1:14" ht="11.25" customHeight="1" x14ac:dyDescent="0.2">
      <c r="C1532" s="4"/>
      <c r="D1532" s="4"/>
      <c r="E1532" s="13"/>
      <c r="F1532" s="56"/>
      <c r="G1532" s="18"/>
      <c r="H1532" s="45"/>
      <c r="I1532" s="30"/>
      <c r="J1532" s="30"/>
      <c r="K1532" s="30"/>
      <c r="L1532" s="18"/>
      <c r="M1532" s="18"/>
      <c r="N1532" s="20"/>
    </row>
    <row r="1533" spans="1:14" ht="11.25" customHeight="1" x14ac:dyDescent="0.2">
      <c r="B1533" s="8" t="s">
        <v>159</v>
      </c>
      <c r="C1533" s="4" t="s">
        <v>1490</v>
      </c>
      <c r="D1533" s="106" t="s">
        <v>1481</v>
      </c>
      <c r="E1533" s="13" t="s">
        <v>746</v>
      </c>
      <c r="F1533" s="66">
        <v>245857000</v>
      </c>
      <c r="G1533" s="19">
        <v>2612</v>
      </c>
      <c r="H1533" s="20">
        <f>TRUNC($F1533*G1533*0.0000001,1)</f>
        <v>64217.8</v>
      </c>
      <c r="I1533" s="21">
        <v>0</v>
      </c>
      <c r="J1533" s="20">
        <f>TRUNC($F1533*I1533*0.0000001,1)</f>
        <v>0</v>
      </c>
      <c r="K1533" s="21">
        <v>0</v>
      </c>
      <c r="L1533" s="20">
        <f>TRUNC($F1533*K1533*0.0000001,1)</f>
        <v>0</v>
      </c>
      <c r="M1533" s="21">
        <v>0</v>
      </c>
      <c r="N1533" s="20">
        <f>TRUNC($F1533*M1533*0.0000001,1)</f>
        <v>0</v>
      </c>
    </row>
    <row r="1534" spans="1:14" ht="11.25" customHeight="1" x14ac:dyDescent="0.2">
      <c r="B1534" s="8" t="s">
        <v>160</v>
      </c>
      <c r="C1534" s="4" t="s">
        <v>1490</v>
      </c>
      <c r="D1534" s="106" t="s">
        <v>1483</v>
      </c>
      <c r="E1534" s="13" t="s">
        <v>746</v>
      </c>
      <c r="F1534" s="66">
        <v>341313000</v>
      </c>
      <c r="G1534" s="21">
        <v>0</v>
      </c>
      <c r="H1534" s="20">
        <f>TRUNC($F1534*G1534*0.0000001,1)</f>
        <v>0</v>
      </c>
      <c r="I1534" s="19">
        <v>2612</v>
      </c>
      <c r="J1534" s="20">
        <f>TRUNC($F1534*I1534*0.0000001,1)</f>
        <v>89150.9</v>
      </c>
      <c r="K1534" s="21">
        <v>0</v>
      </c>
      <c r="L1534" s="20">
        <f>TRUNC($F1534*K1534*0.0000001,1)</f>
        <v>0</v>
      </c>
      <c r="M1534" s="21">
        <v>0</v>
      </c>
      <c r="N1534" s="20">
        <f>TRUNC($F1534*M1534*0.0000001,1)</f>
        <v>0</v>
      </c>
    </row>
    <row r="1535" spans="1:14" ht="11.25" customHeight="1" x14ac:dyDescent="0.2">
      <c r="B1535" s="8" t="s">
        <v>161</v>
      </c>
      <c r="C1535" s="4" t="s">
        <v>1490</v>
      </c>
      <c r="D1535" s="106" t="s">
        <v>1485</v>
      </c>
      <c r="E1535" s="13" t="s">
        <v>746</v>
      </c>
      <c r="F1535" s="66">
        <v>383979000</v>
      </c>
      <c r="G1535" s="21">
        <v>0</v>
      </c>
      <c r="H1535" s="20">
        <f>TRUNC($F1535*G1535*0.0000001,1)</f>
        <v>0</v>
      </c>
      <c r="I1535" s="21">
        <v>0</v>
      </c>
      <c r="J1535" s="20">
        <f>TRUNC($F1535*I1535*0.0000001,1)</f>
        <v>0</v>
      </c>
      <c r="K1535" s="19">
        <v>2612</v>
      </c>
      <c r="L1535" s="20">
        <f>TRUNC($F1535*K1535*0.0000001,1)</f>
        <v>100295.3</v>
      </c>
      <c r="M1535" s="21">
        <v>0</v>
      </c>
      <c r="N1535" s="20">
        <f>TRUNC($F1535*M1535*0.0000001,1)</f>
        <v>0</v>
      </c>
    </row>
    <row r="1536" spans="1:14" ht="11.25" customHeight="1" x14ac:dyDescent="0.2">
      <c r="B1536" s="8" t="s">
        <v>957</v>
      </c>
      <c r="C1536" s="4" t="s">
        <v>1490</v>
      </c>
      <c r="D1536" s="106" t="s">
        <v>1487</v>
      </c>
      <c r="E1536" s="13" t="s">
        <v>746</v>
      </c>
      <c r="F1536" s="66">
        <v>418118000</v>
      </c>
      <c r="G1536" s="21">
        <v>0</v>
      </c>
      <c r="H1536" s="20">
        <f>TRUNC($F1536*G1536*0.0000001,1)</f>
        <v>0</v>
      </c>
      <c r="I1536" s="21">
        <v>0</v>
      </c>
      <c r="J1536" s="20">
        <f>TRUNC($F1536*I1536*0.0000001,1)</f>
        <v>0</v>
      </c>
      <c r="K1536" s="21">
        <v>0</v>
      </c>
      <c r="L1536" s="20">
        <f>TRUNC($F1536*K1536*0.0000001,1)</f>
        <v>0</v>
      </c>
      <c r="M1536" s="19">
        <v>2612</v>
      </c>
      <c r="N1536" s="20">
        <f>TRUNC($F1536*M1536*0.0000001,1)</f>
        <v>109212.4</v>
      </c>
    </row>
    <row r="1537" spans="2:14" ht="11.25" customHeight="1" x14ac:dyDescent="0.2">
      <c r="C1537" s="107" t="s">
        <v>1289</v>
      </c>
      <c r="D1537" s="109"/>
      <c r="E1537" s="34"/>
      <c r="F1537" s="33"/>
      <c r="G1537" s="33"/>
      <c r="H1537" s="24">
        <f>TRUNC(SUM(H1533:H1535))</f>
        <v>64217</v>
      </c>
      <c r="I1537" s="33"/>
      <c r="J1537" s="24">
        <f>TRUNC(SUM(J1533:J1535))</f>
        <v>89150</v>
      </c>
      <c r="K1537" s="33"/>
      <c r="L1537" s="24">
        <f>TRUNC(SUM(L1533:L1535))</f>
        <v>100295</v>
      </c>
      <c r="M1537" s="33"/>
      <c r="N1537" s="24">
        <f>TRUNC(SUM(N1536:N1536))</f>
        <v>109212</v>
      </c>
    </row>
    <row r="1538" spans="2:14" ht="11.25" customHeight="1" x14ac:dyDescent="0.2">
      <c r="C1538" s="4"/>
      <c r="D1538" s="4"/>
      <c r="E1538" s="13"/>
      <c r="F1538" s="56"/>
      <c r="G1538" s="18"/>
      <c r="H1538" s="45"/>
      <c r="I1538" s="30"/>
      <c r="J1538" s="30"/>
      <c r="K1538" s="30"/>
      <c r="L1538" s="18"/>
      <c r="M1538" s="18"/>
      <c r="N1538" s="20"/>
    </row>
    <row r="1539" spans="2:14" ht="11.25" customHeight="1" x14ac:dyDescent="0.2">
      <c r="B1539" s="16"/>
      <c r="C1539" s="108" t="s">
        <v>1286</v>
      </c>
      <c r="D1539" s="108"/>
      <c r="E1539" s="103"/>
      <c r="F1539" s="102"/>
      <c r="G1539" s="102"/>
      <c r="H1539" s="104">
        <f>TRUNC(H1537+H1531)</f>
        <v>123142</v>
      </c>
      <c r="I1539" s="102"/>
      <c r="J1539" s="104">
        <f>TRUNC(J1537+J1531)</f>
        <v>148075</v>
      </c>
      <c r="K1539" s="102"/>
      <c r="L1539" s="104">
        <f>TRUNC(L1537+L1531)</f>
        <v>159220</v>
      </c>
      <c r="M1539" s="102"/>
      <c r="N1539" s="104">
        <f>TRUNC(N1537+N1531)</f>
        <v>168137</v>
      </c>
    </row>
    <row r="1541" spans="2:14" ht="11.25" customHeight="1" x14ac:dyDescent="0.2">
      <c r="B1541" s="68" t="s">
        <v>1497</v>
      </c>
      <c r="C1541" s="119"/>
      <c r="L1541" s="49" t="s">
        <v>1307</v>
      </c>
    </row>
    <row r="1542" spans="2:14" ht="11.25" customHeight="1" x14ac:dyDescent="0.2">
      <c r="B1542" s="186" t="s">
        <v>427</v>
      </c>
      <c r="C1542" s="187" t="s">
        <v>428</v>
      </c>
      <c r="D1542" s="187" t="s">
        <v>429</v>
      </c>
      <c r="E1542" s="188" t="s">
        <v>430</v>
      </c>
      <c r="F1542" s="188" t="s">
        <v>431</v>
      </c>
      <c r="G1542" s="94" t="s">
        <v>1492</v>
      </c>
      <c r="H1542" s="151"/>
      <c r="I1542" s="94" t="s">
        <v>1494</v>
      </c>
      <c r="J1542" s="151"/>
      <c r="K1542" s="94" t="s">
        <v>1496</v>
      </c>
      <c r="L1542" s="151"/>
    </row>
    <row r="1543" spans="2:14" ht="11.25" customHeight="1" x14ac:dyDescent="0.2">
      <c r="B1543" s="186"/>
      <c r="C1543" s="187"/>
      <c r="D1543" s="187"/>
      <c r="E1543" s="188"/>
      <c r="F1543" s="188"/>
      <c r="G1543" s="17" t="s">
        <v>436</v>
      </c>
      <c r="H1543" s="17" t="s">
        <v>437</v>
      </c>
      <c r="I1543" s="17" t="s">
        <v>436</v>
      </c>
      <c r="J1543" s="17" t="s">
        <v>437</v>
      </c>
      <c r="K1543" s="17" t="s">
        <v>436</v>
      </c>
      <c r="L1543" s="17" t="s">
        <v>437</v>
      </c>
    </row>
    <row r="1544" spans="2:14" ht="11.25" customHeight="1" x14ac:dyDescent="0.2">
      <c r="B1544" s="8" t="s">
        <v>958</v>
      </c>
      <c r="C1544" s="4" t="s">
        <v>1498</v>
      </c>
      <c r="D1544" s="106" t="s">
        <v>1491</v>
      </c>
      <c r="E1544" s="13" t="s">
        <v>746</v>
      </c>
      <c r="F1544" s="66">
        <v>6450000</v>
      </c>
      <c r="G1544" s="19">
        <v>2325</v>
      </c>
      <c r="H1544" s="20">
        <f>TRUNC($F1544*G1544*0.0000001,1)</f>
        <v>1499.6</v>
      </c>
      <c r="I1544" s="21">
        <v>0</v>
      </c>
      <c r="J1544" s="20">
        <f>TRUNC($F1544*I1544*0.0000001,1)</f>
        <v>0</v>
      </c>
      <c r="K1544" s="21">
        <v>0</v>
      </c>
      <c r="L1544" s="20">
        <f>TRUNC($F1544*K1544*0.0000001,1)</f>
        <v>0</v>
      </c>
    </row>
    <row r="1545" spans="2:14" ht="11.25" customHeight="1" x14ac:dyDescent="0.2">
      <c r="B1545" s="8" t="s">
        <v>959</v>
      </c>
      <c r="C1545" s="4" t="s">
        <v>1498</v>
      </c>
      <c r="D1545" s="106" t="s">
        <v>1493</v>
      </c>
      <c r="E1545" s="13" t="s">
        <v>746</v>
      </c>
      <c r="F1545" s="66">
        <v>6761000</v>
      </c>
      <c r="G1545" s="21">
        <v>0</v>
      </c>
      <c r="H1545" s="20">
        <f>TRUNC($F1545*G1545*0.0000001,1)</f>
        <v>0</v>
      </c>
      <c r="I1545" s="19">
        <v>2325</v>
      </c>
      <c r="J1545" s="20">
        <f>TRUNC($F1545*I1545*0.0000001,1)</f>
        <v>1571.9</v>
      </c>
      <c r="K1545" s="21">
        <v>0</v>
      </c>
      <c r="L1545" s="20">
        <f>TRUNC($F1545*K1545*0.0000001,1)</f>
        <v>0</v>
      </c>
    </row>
    <row r="1546" spans="2:14" ht="11.25" customHeight="1" x14ac:dyDescent="0.2">
      <c r="B1546" s="8" t="s">
        <v>960</v>
      </c>
      <c r="C1546" s="4" t="s">
        <v>1498</v>
      </c>
      <c r="D1546" s="106" t="s">
        <v>1495</v>
      </c>
      <c r="E1546" s="13" t="s">
        <v>746</v>
      </c>
      <c r="F1546" s="66">
        <v>8011000</v>
      </c>
      <c r="G1546" s="21">
        <v>0</v>
      </c>
      <c r="H1546" s="20">
        <f>TRUNC($F1546*G1546*0.0000001,1)</f>
        <v>0</v>
      </c>
      <c r="I1546" s="21">
        <v>0</v>
      </c>
      <c r="J1546" s="20">
        <f>TRUNC($F1546*I1546*0.0000001,1)</f>
        <v>0</v>
      </c>
      <c r="K1546" s="19">
        <v>2325</v>
      </c>
      <c r="L1546" s="20">
        <f>TRUNC($F1546*K1546*0.0000001,1)</f>
        <v>1862.5</v>
      </c>
    </row>
    <row r="1547" spans="2:14" ht="11.25" customHeight="1" x14ac:dyDescent="0.2">
      <c r="C1547" s="107" t="s">
        <v>1289</v>
      </c>
      <c r="D1547" s="109"/>
      <c r="E1547" s="34"/>
      <c r="F1547" s="33"/>
      <c r="G1547" s="33"/>
      <c r="H1547" s="24">
        <f>TRUNC(SUM(H1544:H1546))</f>
        <v>1499</v>
      </c>
      <c r="I1547" s="33"/>
      <c r="J1547" s="24">
        <f>TRUNC(SUM(J1544:J1546))</f>
        <v>1571</v>
      </c>
      <c r="K1547" s="33"/>
      <c r="L1547" s="24">
        <f>TRUNC(SUM(L1544:L1546))</f>
        <v>1862</v>
      </c>
    </row>
    <row r="1548" spans="2:14" ht="11.25" customHeight="1" x14ac:dyDescent="0.2">
      <c r="C1548" s="4"/>
      <c r="D1548" s="4"/>
      <c r="E1548" s="13"/>
      <c r="F1548" s="56"/>
      <c r="G1548" s="18"/>
      <c r="H1548" s="20"/>
      <c r="I1548" s="18"/>
      <c r="J1548" s="20"/>
      <c r="K1548" s="18"/>
      <c r="L1548" s="20"/>
    </row>
    <row r="1549" spans="2:14" ht="11.25" customHeight="1" x14ac:dyDescent="0.2">
      <c r="C1549" s="126" t="s">
        <v>1286</v>
      </c>
      <c r="D1549" s="126"/>
      <c r="E1549" s="127"/>
      <c r="F1549" s="125"/>
      <c r="G1549" s="125"/>
      <c r="H1549" s="128">
        <f>TRUNC(H1547)</f>
        <v>1499</v>
      </c>
      <c r="I1549" s="125"/>
      <c r="J1549" s="128">
        <f>TRUNC(J1547)</f>
        <v>1571</v>
      </c>
      <c r="K1549" s="102"/>
      <c r="L1549" s="104">
        <f>TRUNC(L1547)</f>
        <v>1862</v>
      </c>
    </row>
    <row r="1550" spans="2:14" ht="11.25" customHeight="1" x14ac:dyDescent="0.2">
      <c r="B1550" s="186" t="s">
        <v>427</v>
      </c>
      <c r="C1550" s="187" t="s">
        <v>428</v>
      </c>
      <c r="D1550" s="187" t="s">
        <v>429</v>
      </c>
      <c r="E1550" s="188" t="s">
        <v>430</v>
      </c>
      <c r="F1550" s="188" t="s">
        <v>431</v>
      </c>
      <c r="G1550" s="94" t="s">
        <v>1500</v>
      </c>
      <c r="H1550" s="151"/>
      <c r="I1550" s="94" t="s">
        <v>1502</v>
      </c>
      <c r="J1550" s="151"/>
    </row>
    <row r="1551" spans="2:14" ht="11.25" customHeight="1" x14ac:dyDescent="0.2">
      <c r="B1551" s="186"/>
      <c r="C1551" s="187"/>
      <c r="D1551" s="187"/>
      <c r="E1551" s="188"/>
      <c r="F1551" s="188"/>
      <c r="G1551" s="17" t="s">
        <v>436</v>
      </c>
      <c r="H1551" s="17" t="s">
        <v>437</v>
      </c>
      <c r="I1551" s="17" t="s">
        <v>436</v>
      </c>
      <c r="J1551" s="17" t="s">
        <v>437</v>
      </c>
    </row>
    <row r="1552" spans="2:14" ht="11.25" customHeight="1" x14ac:dyDescent="0.2">
      <c r="B1552" s="8" t="s">
        <v>961</v>
      </c>
      <c r="C1552" s="4" t="s">
        <v>1498</v>
      </c>
      <c r="D1552" s="106" t="s">
        <v>1499</v>
      </c>
      <c r="E1552" s="13" t="s">
        <v>746</v>
      </c>
      <c r="F1552" s="66">
        <v>9170000</v>
      </c>
      <c r="G1552" s="19">
        <v>2325</v>
      </c>
      <c r="H1552" s="20">
        <f>TRUNC($F1552*G1552*0.0000001,1)</f>
        <v>2132</v>
      </c>
      <c r="I1552" s="21">
        <v>0</v>
      </c>
      <c r="J1552" s="20">
        <f>TRUNC($F1552*I1552*0.0000001,1)</f>
        <v>0</v>
      </c>
    </row>
    <row r="1553" spans="1:12" ht="11.25" customHeight="1" x14ac:dyDescent="0.2">
      <c r="B1553" s="8" t="s">
        <v>962</v>
      </c>
      <c r="C1553" s="4" t="s">
        <v>1498</v>
      </c>
      <c r="D1553" s="106" t="s">
        <v>1501</v>
      </c>
      <c r="E1553" s="13" t="s">
        <v>746</v>
      </c>
      <c r="F1553" s="66">
        <v>10827000</v>
      </c>
      <c r="G1553" s="21">
        <v>0</v>
      </c>
      <c r="H1553" s="20">
        <f>TRUNC($F1553*G1553*0.0000001,1)</f>
        <v>0</v>
      </c>
      <c r="I1553" s="19">
        <v>2325</v>
      </c>
      <c r="J1553" s="20">
        <f>TRUNC($F1553*I1553*0.0000001,1)</f>
        <v>2517.1999999999998</v>
      </c>
    </row>
    <row r="1554" spans="1:12" ht="11.25" customHeight="1" x14ac:dyDescent="0.2">
      <c r="C1554" s="107" t="s">
        <v>1289</v>
      </c>
      <c r="D1554" s="109"/>
      <c r="E1554" s="34"/>
      <c r="F1554" s="33"/>
      <c r="G1554" s="33"/>
      <c r="H1554" s="24">
        <f>TRUNC(SUM(H1552:H1553))</f>
        <v>2132</v>
      </c>
      <c r="I1554" s="33"/>
      <c r="J1554" s="24">
        <f>TRUNC(SUM(J1552:J1553))</f>
        <v>2517</v>
      </c>
    </row>
    <row r="1555" spans="1:12" ht="11.25" customHeight="1" x14ac:dyDescent="0.2">
      <c r="C1555" s="107"/>
      <c r="D1555" s="109"/>
      <c r="E1555" s="34"/>
      <c r="F1555" s="33"/>
      <c r="G1555" s="33"/>
      <c r="H1555" s="24"/>
      <c r="I1555" s="33"/>
      <c r="J1555" s="24"/>
    </row>
    <row r="1556" spans="1:12" ht="11.25" customHeight="1" x14ac:dyDescent="0.2">
      <c r="B1556" s="16"/>
      <c r="C1556" s="108" t="s">
        <v>1286</v>
      </c>
      <c r="D1556" s="108"/>
      <c r="E1556" s="103"/>
      <c r="F1556" s="102"/>
      <c r="G1556" s="102"/>
      <c r="H1556" s="104">
        <f>TRUNC(H1554)</f>
        <v>2132</v>
      </c>
      <c r="I1556" s="102"/>
      <c r="J1556" s="104">
        <f>TRUNC(J1554)</f>
        <v>2517</v>
      </c>
    </row>
    <row r="1558" spans="1:12" ht="11.25" customHeight="1" x14ac:dyDescent="0.2">
      <c r="B1558" s="68" t="s">
        <v>1507</v>
      </c>
      <c r="C1558" s="119"/>
      <c r="L1558" s="49" t="s">
        <v>1307</v>
      </c>
    </row>
    <row r="1559" spans="1:12" ht="11.25" customHeight="1" x14ac:dyDescent="0.2">
      <c r="B1559" s="186" t="s">
        <v>427</v>
      </c>
      <c r="C1559" s="187" t="s">
        <v>428</v>
      </c>
      <c r="D1559" s="187" t="s">
        <v>429</v>
      </c>
      <c r="E1559" s="188" t="s">
        <v>430</v>
      </c>
      <c r="F1559" s="188" t="s">
        <v>431</v>
      </c>
      <c r="G1559" s="94" t="s">
        <v>150</v>
      </c>
      <c r="H1559" s="151"/>
      <c r="I1559" s="94" t="s">
        <v>1503</v>
      </c>
      <c r="J1559" s="151"/>
      <c r="K1559" s="94" t="s">
        <v>1504</v>
      </c>
      <c r="L1559" s="151"/>
    </row>
    <row r="1560" spans="1:12" ht="11.25" customHeight="1" x14ac:dyDescent="0.2">
      <c r="B1560" s="186"/>
      <c r="C1560" s="187"/>
      <c r="D1560" s="187"/>
      <c r="E1560" s="188"/>
      <c r="F1560" s="188"/>
      <c r="G1560" s="17" t="s">
        <v>436</v>
      </c>
      <c r="H1560" s="17" t="s">
        <v>437</v>
      </c>
      <c r="I1560" s="17" t="s">
        <v>436</v>
      </c>
      <c r="J1560" s="17" t="s">
        <v>437</v>
      </c>
      <c r="K1560" s="17" t="s">
        <v>436</v>
      </c>
      <c r="L1560" s="17" t="s">
        <v>437</v>
      </c>
    </row>
    <row r="1561" spans="1:12" ht="11.25" customHeight="1" x14ac:dyDescent="0.2">
      <c r="B1561" s="8" t="s">
        <v>963</v>
      </c>
      <c r="C1561" s="4" t="s">
        <v>1508</v>
      </c>
      <c r="D1561" s="106" t="s">
        <v>150</v>
      </c>
      <c r="E1561" s="13" t="s">
        <v>746</v>
      </c>
      <c r="F1561" s="66">
        <v>32315000</v>
      </c>
      <c r="G1561" s="19">
        <v>1738</v>
      </c>
      <c r="H1561" s="20">
        <f>TRUNC($F1561*G1561*0.0000001,1)</f>
        <v>5616.3</v>
      </c>
      <c r="I1561" s="21">
        <v>0</v>
      </c>
      <c r="J1561" s="20">
        <f>TRUNC($F1561*I1561*0.0000001,1)</f>
        <v>0</v>
      </c>
      <c r="K1561" s="21">
        <v>0</v>
      </c>
      <c r="L1561" s="20">
        <f>TRUNC($F1561*K1561*0.0000001,1)</f>
        <v>0</v>
      </c>
    </row>
    <row r="1562" spans="1:12" ht="11.25" customHeight="1" x14ac:dyDescent="0.2">
      <c r="A1562" s="7"/>
      <c r="B1562" s="8" t="s">
        <v>964</v>
      </c>
      <c r="C1562" s="4" t="s">
        <v>1508</v>
      </c>
      <c r="D1562" s="106" t="s">
        <v>151</v>
      </c>
      <c r="E1562" s="13" t="s">
        <v>746</v>
      </c>
      <c r="F1562" s="66">
        <v>35181000</v>
      </c>
      <c r="G1562" s="21">
        <v>0</v>
      </c>
      <c r="H1562" s="20">
        <f>TRUNC($F1562*G1562*0.0000001,1)</f>
        <v>0</v>
      </c>
      <c r="I1562" s="19">
        <v>1738</v>
      </c>
      <c r="J1562" s="20">
        <f>TRUNC($F1562*I1562*0.0000001,1)</f>
        <v>6114.4</v>
      </c>
      <c r="K1562" s="21">
        <v>0</v>
      </c>
      <c r="L1562" s="20">
        <f>TRUNC($F1562*K1562*0.0000001,1)</f>
        <v>0</v>
      </c>
    </row>
    <row r="1563" spans="1:12" ht="11.25" customHeight="1" x14ac:dyDescent="0.2">
      <c r="B1563" s="8" t="s">
        <v>965</v>
      </c>
      <c r="C1563" s="4" t="s">
        <v>1508</v>
      </c>
      <c r="D1563" s="106" t="s">
        <v>152</v>
      </c>
      <c r="E1563" s="13" t="s">
        <v>746</v>
      </c>
      <c r="F1563" s="66">
        <v>45546000</v>
      </c>
      <c r="G1563" s="21">
        <v>0</v>
      </c>
      <c r="H1563" s="20">
        <f>TRUNC($F1563*G1563*0.0000001,1)</f>
        <v>0</v>
      </c>
      <c r="I1563" s="21">
        <v>0</v>
      </c>
      <c r="J1563" s="20">
        <f>TRUNC($F1563*I1563*0.0000001,1)</f>
        <v>0</v>
      </c>
      <c r="K1563" s="19">
        <v>1738</v>
      </c>
      <c r="L1563" s="20">
        <f>TRUNC($F1563*K1563*0.0000001,1)</f>
        <v>7915.8</v>
      </c>
    </row>
    <row r="1564" spans="1:12" ht="11.25" customHeight="1" x14ac:dyDescent="0.2">
      <c r="C1564" s="107" t="s">
        <v>1289</v>
      </c>
      <c r="D1564" s="109"/>
      <c r="E1564" s="34"/>
      <c r="F1564" s="33"/>
      <c r="G1564" s="33"/>
      <c r="H1564" s="24">
        <f>TRUNC(SUM(H1561:H1563))</f>
        <v>5616</v>
      </c>
      <c r="I1564" s="33"/>
      <c r="J1564" s="24">
        <f>TRUNC(SUM(J1561:J1563))</f>
        <v>6114</v>
      </c>
      <c r="K1564" s="33"/>
      <c r="L1564" s="24">
        <f>TRUNC(SUM(L1561:L1563))</f>
        <v>7915</v>
      </c>
    </row>
    <row r="1565" spans="1:12" ht="11.25" customHeight="1" x14ac:dyDescent="0.2">
      <c r="C1565" s="4"/>
      <c r="D1565" s="4"/>
      <c r="E1565" s="13"/>
      <c r="F1565" s="56"/>
      <c r="G1565" s="18"/>
      <c r="H1565" s="20"/>
      <c r="I1565" s="18"/>
      <c r="J1565" s="20"/>
      <c r="K1565" s="18"/>
      <c r="L1565" s="20"/>
    </row>
    <row r="1566" spans="1:12" ht="11.25" customHeight="1" x14ac:dyDescent="0.2">
      <c r="C1566" s="126" t="s">
        <v>1286</v>
      </c>
      <c r="D1566" s="126"/>
      <c r="E1566" s="127"/>
      <c r="F1566" s="125"/>
      <c r="G1566" s="125"/>
      <c r="H1566" s="128">
        <f>TRUNC(H1564)</f>
        <v>5616</v>
      </c>
      <c r="I1566" s="125"/>
      <c r="J1566" s="128">
        <f>TRUNC(J1564)</f>
        <v>6114</v>
      </c>
      <c r="K1566" s="102"/>
      <c r="L1566" s="104">
        <f>TRUNC(L1564)</f>
        <v>7915</v>
      </c>
    </row>
    <row r="1567" spans="1:12" ht="11.25" customHeight="1" x14ac:dyDescent="0.2">
      <c r="B1567" s="186" t="s">
        <v>427</v>
      </c>
      <c r="C1567" s="187" t="s">
        <v>428</v>
      </c>
      <c r="D1567" s="187" t="s">
        <v>429</v>
      </c>
      <c r="E1567" s="188" t="s">
        <v>430</v>
      </c>
      <c r="F1567" s="188" t="s">
        <v>431</v>
      </c>
      <c r="G1567" s="94" t="s">
        <v>1505</v>
      </c>
      <c r="H1567" s="151"/>
      <c r="I1567" s="94" t="s">
        <v>1506</v>
      </c>
      <c r="J1567" s="151"/>
    </row>
    <row r="1568" spans="1:12" ht="11.25" customHeight="1" x14ac:dyDescent="0.2">
      <c r="B1568" s="186"/>
      <c r="C1568" s="187"/>
      <c r="D1568" s="187"/>
      <c r="E1568" s="188"/>
      <c r="F1568" s="188"/>
      <c r="G1568" s="17" t="s">
        <v>436</v>
      </c>
      <c r="H1568" s="17" t="s">
        <v>437</v>
      </c>
      <c r="I1568" s="17" t="s">
        <v>436</v>
      </c>
      <c r="J1568" s="17" t="s">
        <v>437</v>
      </c>
    </row>
    <row r="1569" spans="2:12" ht="11.25" customHeight="1" x14ac:dyDescent="0.2">
      <c r="B1569" s="8" t="s">
        <v>966</v>
      </c>
      <c r="C1569" s="4" t="s">
        <v>1508</v>
      </c>
      <c r="D1569" s="106" t="s">
        <v>153</v>
      </c>
      <c r="E1569" s="13" t="s">
        <v>746</v>
      </c>
      <c r="F1569" s="66">
        <v>47248000</v>
      </c>
      <c r="G1569" s="19">
        <v>1738</v>
      </c>
      <c r="H1569" s="20">
        <f>TRUNC($F1569*G1569*0.0000001,1)</f>
        <v>8211.7000000000007</v>
      </c>
      <c r="I1569" s="21">
        <v>0</v>
      </c>
      <c r="J1569" s="20">
        <f>TRUNC($F1569*I1569*0.0000001,1)</f>
        <v>0</v>
      </c>
    </row>
    <row r="1570" spans="2:12" ht="11.25" customHeight="1" x14ac:dyDescent="0.2">
      <c r="B1570" s="8" t="s">
        <v>967</v>
      </c>
      <c r="C1570" s="4" t="s">
        <v>1508</v>
      </c>
      <c r="D1570" s="106" t="s">
        <v>154</v>
      </c>
      <c r="E1570" s="13" t="s">
        <v>746</v>
      </c>
      <c r="F1570" s="66">
        <v>63391000</v>
      </c>
      <c r="G1570" s="21">
        <v>0</v>
      </c>
      <c r="H1570" s="20">
        <f>TRUNC($F1570*G1570*0.0000001,1)</f>
        <v>0</v>
      </c>
      <c r="I1570" s="19">
        <v>1738</v>
      </c>
      <c r="J1570" s="20">
        <f>TRUNC($F1570*I1570*0.0000001,1)</f>
        <v>11017.3</v>
      </c>
    </row>
    <row r="1571" spans="2:12" ht="11.25" customHeight="1" x14ac:dyDescent="0.2">
      <c r="C1571" s="107" t="s">
        <v>1289</v>
      </c>
      <c r="D1571" s="109"/>
      <c r="E1571" s="34"/>
      <c r="F1571" s="33"/>
      <c r="G1571" s="33"/>
      <c r="H1571" s="24">
        <f>TRUNC(SUM(H1569:H1570))</f>
        <v>8211</v>
      </c>
      <c r="I1571" s="33"/>
      <c r="J1571" s="24">
        <f>TRUNC(SUM(J1569:J1570))</f>
        <v>11017</v>
      </c>
    </row>
    <row r="1572" spans="2:12" ht="11.25" customHeight="1" x14ac:dyDescent="0.2">
      <c r="C1572" s="4"/>
      <c r="D1572" s="4"/>
      <c r="E1572" s="13"/>
      <c r="F1572" s="56"/>
      <c r="G1572" s="18"/>
      <c r="H1572" s="20"/>
      <c r="I1572" s="18"/>
      <c r="J1572" s="20"/>
    </row>
    <row r="1573" spans="2:12" ht="11.25" customHeight="1" x14ac:dyDescent="0.2">
      <c r="B1573" s="16"/>
      <c r="C1573" s="108" t="s">
        <v>1286</v>
      </c>
      <c r="D1573" s="108"/>
      <c r="E1573" s="103"/>
      <c r="F1573" s="102"/>
      <c r="G1573" s="102"/>
      <c r="H1573" s="104">
        <f>TRUNC(H1571)</f>
        <v>8211</v>
      </c>
      <c r="I1573" s="102"/>
      <c r="J1573" s="104">
        <f>TRUNC(J1571)</f>
        <v>11017</v>
      </c>
    </row>
    <row r="1575" spans="2:12" ht="11.25" customHeight="1" x14ac:dyDescent="0.2">
      <c r="B1575" s="68" t="s">
        <v>1529</v>
      </c>
      <c r="C1575" s="119"/>
      <c r="L1575" s="49" t="s">
        <v>1307</v>
      </c>
    </row>
    <row r="1576" spans="2:12" ht="11.25" customHeight="1" x14ac:dyDescent="0.2">
      <c r="B1576" s="186" t="s">
        <v>427</v>
      </c>
      <c r="C1576" s="187" t="s">
        <v>428</v>
      </c>
      <c r="D1576" s="187" t="s">
        <v>429</v>
      </c>
      <c r="E1576" s="188" t="s">
        <v>430</v>
      </c>
      <c r="F1576" s="188" t="s">
        <v>431</v>
      </c>
      <c r="G1576" s="94" t="s">
        <v>1509</v>
      </c>
      <c r="H1576" s="151"/>
      <c r="I1576" s="94" t="s">
        <v>1511</v>
      </c>
      <c r="J1576" s="151"/>
      <c r="K1576" s="94" t="s">
        <v>1513</v>
      </c>
      <c r="L1576" s="151"/>
    </row>
    <row r="1577" spans="2:12" ht="11.25" customHeight="1" x14ac:dyDescent="0.2">
      <c r="B1577" s="186"/>
      <c r="C1577" s="187"/>
      <c r="D1577" s="187"/>
      <c r="E1577" s="188"/>
      <c r="F1577" s="188"/>
      <c r="G1577" s="17" t="s">
        <v>436</v>
      </c>
      <c r="H1577" s="17" t="s">
        <v>437</v>
      </c>
      <c r="I1577" s="17" t="s">
        <v>436</v>
      </c>
      <c r="J1577" s="17" t="s">
        <v>437</v>
      </c>
      <c r="K1577" s="17" t="s">
        <v>436</v>
      </c>
      <c r="L1577" s="17" t="s">
        <v>437</v>
      </c>
    </row>
    <row r="1578" spans="2:12" ht="11.25" customHeight="1" x14ac:dyDescent="0.2">
      <c r="B1578" s="8" t="s">
        <v>968</v>
      </c>
      <c r="C1578" s="4" t="s">
        <v>1530</v>
      </c>
      <c r="D1578" s="106" t="s">
        <v>1509</v>
      </c>
      <c r="E1578" s="13" t="s">
        <v>746</v>
      </c>
      <c r="F1578" s="66">
        <v>29729000</v>
      </c>
      <c r="G1578" s="19">
        <v>2113</v>
      </c>
      <c r="H1578" s="20">
        <f>TRUNC($F1578*G1578*0.0000001,1)</f>
        <v>6281.7</v>
      </c>
      <c r="I1578" s="21">
        <v>0</v>
      </c>
      <c r="J1578" s="20">
        <f>TRUNC($F1578*I1578*0.0000001,1)</f>
        <v>0</v>
      </c>
      <c r="K1578" s="21">
        <v>0</v>
      </c>
      <c r="L1578" s="20">
        <f>TRUNC($F1578*K1578*0.0000001,1)</f>
        <v>0</v>
      </c>
    </row>
    <row r="1579" spans="2:12" ht="11.25" customHeight="1" x14ac:dyDescent="0.2">
      <c r="B1579" s="8" t="s">
        <v>969</v>
      </c>
      <c r="C1579" s="4" t="s">
        <v>1530</v>
      </c>
      <c r="D1579" s="106" t="s">
        <v>1510</v>
      </c>
      <c r="E1579" s="13" t="s">
        <v>746</v>
      </c>
      <c r="F1579" s="66">
        <v>31904000</v>
      </c>
      <c r="G1579" s="21">
        <v>0</v>
      </c>
      <c r="H1579" s="20">
        <f>TRUNC($F1579*G1579*0.0000001,1)</f>
        <v>0</v>
      </c>
      <c r="I1579" s="19">
        <v>2113</v>
      </c>
      <c r="J1579" s="20">
        <f>TRUNC($F1579*I1579*0.0000001,1)</f>
        <v>6741.3</v>
      </c>
      <c r="K1579" s="21">
        <v>0</v>
      </c>
      <c r="L1579" s="20">
        <f>TRUNC($F1579*K1579*0.0000001,1)</f>
        <v>0</v>
      </c>
    </row>
    <row r="1580" spans="2:12" ht="11.25" customHeight="1" x14ac:dyDescent="0.2">
      <c r="B1580" s="8" t="s">
        <v>970</v>
      </c>
      <c r="C1580" s="4" t="s">
        <v>1530</v>
      </c>
      <c r="D1580" s="106" t="s">
        <v>1512</v>
      </c>
      <c r="E1580" s="13" t="s">
        <v>746</v>
      </c>
      <c r="F1580" s="66">
        <v>37470000</v>
      </c>
      <c r="G1580" s="21">
        <v>0</v>
      </c>
      <c r="H1580" s="20">
        <f>TRUNC($F1580*G1580*0.0000001,1)</f>
        <v>0</v>
      </c>
      <c r="I1580" s="21">
        <v>0</v>
      </c>
      <c r="J1580" s="20">
        <f>TRUNC($F1580*I1580*0.0000001,1)</f>
        <v>0</v>
      </c>
      <c r="K1580" s="19">
        <v>2113</v>
      </c>
      <c r="L1580" s="20">
        <f>TRUNC($F1580*K1580*0.0000001,1)</f>
        <v>7917.4</v>
      </c>
    </row>
    <row r="1581" spans="2:12" ht="11.25" customHeight="1" x14ac:dyDescent="0.2">
      <c r="C1581" s="107" t="s">
        <v>1289</v>
      </c>
      <c r="D1581" s="109"/>
      <c r="E1581" s="34"/>
      <c r="F1581" s="33"/>
      <c r="G1581" s="33"/>
      <c r="H1581" s="24">
        <f>TRUNC(SUM(H1578:H1580))</f>
        <v>6281</v>
      </c>
      <c r="I1581" s="33"/>
      <c r="J1581" s="24">
        <f>TRUNC(SUM(J1578:J1580))</f>
        <v>6741</v>
      </c>
      <c r="K1581" s="33"/>
      <c r="L1581" s="24">
        <f>TRUNC(SUM(L1578:L1580))</f>
        <v>7917</v>
      </c>
    </row>
    <row r="1582" spans="2:12" ht="11.25" customHeight="1" x14ac:dyDescent="0.2">
      <c r="C1582" s="4"/>
      <c r="D1582" s="4"/>
      <c r="E1582" s="13"/>
      <c r="F1582" s="56"/>
      <c r="G1582" s="18"/>
      <c r="H1582" s="20"/>
      <c r="I1582" s="18"/>
      <c r="J1582" s="20"/>
      <c r="K1582" s="18"/>
      <c r="L1582" s="20"/>
    </row>
    <row r="1583" spans="2:12" ht="11.25" customHeight="1" x14ac:dyDescent="0.2">
      <c r="C1583" s="126" t="s">
        <v>1286</v>
      </c>
      <c r="D1583" s="126"/>
      <c r="E1583" s="127"/>
      <c r="F1583" s="125"/>
      <c r="G1583" s="125"/>
      <c r="H1583" s="128">
        <f>TRUNC(H1581)</f>
        <v>6281</v>
      </c>
      <c r="I1583" s="125"/>
      <c r="J1583" s="128">
        <f>TRUNC(J1581)</f>
        <v>6741</v>
      </c>
      <c r="K1583" s="125"/>
      <c r="L1583" s="128">
        <f>TRUNC(L1581)</f>
        <v>7917</v>
      </c>
    </row>
    <row r="1584" spans="2:12" ht="11.25" customHeight="1" x14ac:dyDescent="0.2">
      <c r="B1584" s="186" t="s">
        <v>427</v>
      </c>
      <c r="C1584" s="187" t="s">
        <v>428</v>
      </c>
      <c r="D1584" s="187" t="s">
        <v>429</v>
      </c>
      <c r="E1584" s="188" t="s">
        <v>430</v>
      </c>
      <c r="F1584" s="188" t="s">
        <v>431</v>
      </c>
      <c r="G1584" s="94" t="s">
        <v>1515</v>
      </c>
      <c r="H1584" s="151"/>
      <c r="I1584" s="94" t="s">
        <v>1517</v>
      </c>
      <c r="J1584" s="151"/>
      <c r="K1584" s="94" t="s">
        <v>1519</v>
      </c>
      <c r="L1584" s="151"/>
    </row>
    <row r="1585" spans="1:12" ht="11.25" customHeight="1" x14ac:dyDescent="0.2">
      <c r="B1585" s="186"/>
      <c r="C1585" s="187"/>
      <c r="D1585" s="187"/>
      <c r="E1585" s="188"/>
      <c r="F1585" s="188"/>
      <c r="G1585" s="17" t="s">
        <v>436</v>
      </c>
      <c r="H1585" s="17" t="s">
        <v>437</v>
      </c>
      <c r="I1585" s="17" t="s">
        <v>436</v>
      </c>
      <c r="J1585" s="17" t="s">
        <v>437</v>
      </c>
      <c r="K1585" s="17" t="s">
        <v>436</v>
      </c>
      <c r="L1585" s="17" t="s">
        <v>437</v>
      </c>
    </row>
    <row r="1586" spans="1:12" ht="11.25" customHeight="1" x14ac:dyDescent="0.2">
      <c r="B1586" s="8" t="s">
        <v>971</v>
      </c>
      <c r="C1586" s="4" t="s">
        <v>1530</v>
      </c>
      <c r="D1586" s="106" t="s">
        <v>1514</v>
      </c>
      <c r="E1586" s="13" t="s">
        <v>746</v>
      </c>
      <c r="F1586" s="66">
        <v>40164000</v>
      </c>
      <c r="G1586" s="19">
        <v>2113</v>
      </c>
      <c r="H1586" s="20">
        <f>TRUNC($F1586*G1586*0.0000001,1)</f>
        <v>8486.6</v>
      </c>
      <c r="I1586" s="21">
        <v>0</v>
      </c>
      <c r="J1586" s="20">
        <f>TRUNC($F1586*I1586*0.0000001,1)</f>
        <v>0</v>
      </c>
      <c r="K1586" s="21">
        <v>0</v>
      </c>
      <c r="L1586" s="20">
        <f>TRUNC($F1586*K1586*0.0000001,1)</f>
        <v>0</v>
      </c>
    </row>
    <row r="1587" spans="1:12" ht="11.25" customHeight="1" x14ac:dyDescent="0.2">
      <c r="B1587" s="8" t="s">
        <v>972</v>
      </c>
      <c r="C1587" s="4" t="s">
        <v>1530</v>
      </c>
      <c r="D1587" s="106" t="s">
        <v>1516</v>
      </c>
      <c r="E1587" s="13" t="s">
        <v>746</v>
      </c>
      <c r="F1587" s="66">
        <v>53901000</v>
      </c>
      <c r="G1587" s="21">
        <v>0</v>
      </c>
      <c r="H1587" s="20">
        <f>TRUNC($F1587*G1587*0.0000001,1)</f>
        <v>0</v>
      </c>
      <c r="I1587" s="19">
        <v>2113</v>
      </c>
      <c r="J1587" s="20">
        <f>TRUNC($F1587*I1587*0.0000001,1)</f>
        <v>11389.2</v>
      </c>
      <c r="K1587" s="21">
        <v>0</v>
      </c>
      <c r="L1587" s="20">
        <f>TRUNC($F1587*K1587*0.0000001,1)</f>
        <v>0</v>
      </c>
    </row>
    <row r="1588" spans="1:12" ht="11.25" customHeight="1" x14ac:dyDescent="0.2">
      <c r="B1588" s="8" t="s">
        <v>973</v>
      </c>
      <c r="C1588" s="4" t="s">
        <v>1530</v>
      </c>
      <c r="D1588" s="106" t="s">
        <v>1518</v>
      </c>
      <c r="E1588" s="13" t="s">
        <v>746</v>
      </c>
      <c r="F1588" s="66">
        <v>81507000</v>
      </c>
      <c r="G1588" s="21">
        <v>0</v>
      </c>
      <c r="H1588" s="20">
        <f>TRUNC($F1588*G1588*0.0000001,1)</f>
        <v>0</v>
      </c>
      <c r="I1588" s="21">
        <v>0</v>
      </c>
      <c r="J1588" s="20">
        <f>TRUNC($F1588*I1588*0.0000001,1)</f>
        <v>0</v>
      </c>
      <c r="K1588" s="19">
        <v>2113</v>
      </c>
      <c r="L1588" s="20">
        <f>TRUNC($F1588*K1588*0.0000001,1)</f>
        <v>17222.400000000001</v>
      </c>
    </row>
    <row r="1589" spans="1:12" ht="11.25" customHeight="1" x14ac:dyDescent="0.2">
      <c r="C1589" s="107" t="s">
        <v>1289</v>
      </c>
      <c r="D1589" s="109"/>
      <c r="E1589" s="34"/>
      <c r="F1589" s="33"/>
      <c r="G1589" s="33"/>
      <c r="H1589" s="24">
        <f>TRUNC(SUM(H1586:H1588))</f>
        <v>8486</v>
      </c>
      <c r="I1589" s="33"/>
      <c r="J1589" s="24">
        <f>TRUNC(SUM(J1586:J1588))</f>
        <v>11389</v>
      </c>
      <c r="K1589" s="33"/>
      <c r="L1589" s="24">
        <f>TRUNC(SUM(L1586:L1588))</f>
        <v>17222</v>
      </c>
    </row>
    <row r="1590" spans="1:12" ht="11.25" customHeight="1" x14ac:dyDescent="0.2">
      <c r="C1590" s="4"/>
      <c r="D1590" s="4"/>
      <c r="E1590" s="13"/>
      <c r="F1590" s="56"/>
      <c r="G1590" s="18"/>
      <c r="H1590" s="20"/>
      <c r="I1590" s="18"/>
      <c r="J1590" s="20"/>
      <c r="K1590" s="18"/>
      <c r="L1590" s="20"/>
    </row>
    <row r="1591" spans="1:12" ht="11.25" customHeight="1" x14ac:dyDescent="0.2">
      <c r="C1591" s="126" t="s">
        <v>1286</v>
      </c>
      <c r="D1591" s="126"/>
      <c r="E1591" s="127"/>
      <c r="F1591" s="125"/>
      <c r="G1591" s="125"/>
      <c r="H1591" s="128">
        <f>TRUNC(H1589)</f>
        <v>8486</v>
      </c>
      <c r="I1591" s="125"/>
      <c r="J1591" s="128">
        <f>TRUNC(J1589)</f>
        <v>11389</v>
      </c>
      <c r="K1591" s="125"/>
      <c r="L1591" s="128">
        <f>TRUNC(L1589)</f>
        <v>17222</v>
      </c>
    </row>
    <row r="1592" spans="1:12" ht="11.25" customHeight="1" x14ac:dyDescent="0.2">
      <c r="B1592" s="186" t="s">
        <v>427</v>
      </c>
      <c r="C1592" s="187" t="s">
        <v>428</v>
      </c>
      <c r="D1592" s="187" t="s">
        <v>429</v>
      </c>
      <c r="E1592" s="188" t="s">
        <v>430</v>
      </c>
      <c r="F1592" s="188" t="s">
        <v>431</v>
      </c>
      <c r="G1592" s="94" t="s">
        <v>1521</v>
      </c>
      <c r="H1592" s="151"/>
      <c r="I1592" s="94" t="s">
        <v>1523</v>
      </c>
      <c r="J1592" s="151"/>
      <c r="K1592" s="94" t="s">
        <v>1104</v>
      </c>
      <c r="L1592" s="151"/>
    </row>
    <row r="1593" spans="1:12" ht="11.25" customHeight="1" x14ac:dyDescent="0.2">
      <c r="B1593" s="186"/>
      <c r="C1593" s="187"/>
      <c r="D1593" s="187"/>
      <c r="E1593" s="188"/>
      <c r="F1593" s="188"/>
      <c r="G1593" s="17" t="s">
        <v>436</v>
      </c>
      <c r="H1593" s="17" t="s">
        <v>437</v>
      </c>
      <c r="I1593" s="17" t="s">
        <v>436</v>
      </c>
      <c r="J1593" s="17" t="s">
        <v>437</v>
      </c>
      <c r="K1593" s="17" t="s">
        <v>436</v>
      </c>
      <c r="L1593" s="17" t="s">
        <v>437</v>
      </c>
    </row>
    <row r="1594" spans="1:12" ht="11.25" customHeight="1" x14ac:dyDescent="0.2">
      <c r="B1594" s="8" t="s">
        <v>974</v>
      </c>
      <c r="C1594" s="4" t="s">
        <v>1530</v>
      </c>
      <c r="D1594" s="106" t="s">
        <v>1520</v>
      </c>
      <c r="E1594" s="13" t="s">
        <v>746</v>
      </c>
      <c r="F1594" s="66">
        <v>84425000</v>
      </c>
      <c r="G1594" s="19">
        <v>2113</v>
      </c>
      <c r="H1594" s="20">
        <f>TRUNC($F1594*G1594*0.0000001,1)</f>
        <v>17839</v>
      </c>
      <c r="I1594" s="21">
        <v>0</v>
      </c>
      <c r="J1594" s="20">
        <f>TRUNC($F1594*I1594*0.0000001,1)</f>
        <v>0</v>
      </c>
      <c r="K1594" s="21">
        <v>0</v>
      </c>
      <c r="L1594" s="20">
        <f>TRUNC($F1594*K1594*0.0000001,1)</f>
        <v>0</v>
      </c>
    </row>
    <row r="1595" spans="1:12" ht="11.25" customHeight="1" x14ac:dyDescent="0.2">
      <c r="B1595" s="8" t="s">
        <v>975</v>
      </c>
      <c r="C1595" s="4" t="s">
        <v>1530</v>
      </c>
      <c r="D1595" s="106" t="s">
        <v>1522</v>
      </c>
      <c r="E1595" s="13" t="s">
        <v>746</v>
      </c>
      <c r="F1595" s="66">
        <v>130908000</v>
      </c>
      <c r="G1595" s="21">
        <v>0</v>
      </c>
      <c r="H1595" s="20">
        <f>TRUNC($F1595*G1595*0.0000001,1)</f>
        <v>0</v>
      </c>
      <c r="I1595" s="19">
        <v>2113</v>
      </c>
      <c r="J1595" s="20">
        <f>TRUNC($F1595*I1595*0.0000001,1)</f>
        <v>27660.799999999999</v>
      </c>
      <c r="K1595" s="21">
        <v>0</v>
      </c>
      <c r="L1595" s="20">
        <f>TRUNC($F1595*K1595*0.0000001,1)</f>
        <v>0</v>
      </c>
    </row>
    <row r="1596" spans="1:12" ht="11.25" customHeight="1" x14ac:dyDescent="0.2">
      <c r="A1596" s="7"/>
      <c r="B1596" s="8" t="s">
        <v>978</v>
      </c>
      <c r="C1596" s="4" t="s">
        <v>1530</v>
      </c>
      <c r="D1596" s="106" t="s">
        <v>1524</v>
      </c>
      <c r="E1596" s="13" t="s">
        <v>746</v>
      </c>
      <c r="F1596" s="66">
        <v>158291000</v>
      </c>
      <c r="G1596" s="21">
        <v>0</v>
      </c>
      <c r="H1596" s="20">
        <f>TRUNC($F1596*G1596*0.0000001,1)</f>
        <v>0</v>
      </c>
      <c r="I1596" s="21">
        <v>0</v>
      </c>
      <c r="J1596" s="20">
        <f>TRUNC($F1596*I1596*0.0000001,1)</f>
        <v>0</v>
      </c>
      <c r="K1596" s="19">
        <v>2113</v>
      </c>
      <c r="L1596" s="20">
        <f>TRUNC($F1596*K1596*0.0000001,1)</f>
        <v>33446.800000000003</v>
      </c>
    </row>
    <row r="1597" spans="1:12" ht="11.25" customHeight="1" x14ac:dyDescent="0.2">
      <c r="C1597" s="4"/>
      <c r="D1597" s="4"/>
      <c r="E1597" s="13"/>
      <c r="F1597" s="56"/>
      <c r="G1597" s="18"/>
      <c r="H1597" s="45"/>
      <c r="I1597" s="30"/>
      <c r="J1597" s="30"/>
      <c r="K1597" s="30"/>
      <c r="L1597" s="18"/>
    </row>
    <row r="1598" spans="1:12" ht="11.25" customHeight="1" x14ac:dyDescent="0.2">
      <c r="C1598" s="107" t="s">
        <v>1289</v>
      </c>
      <c r="D1598" s="109"/>
      <c r="E1598" s="34"/>
      <c r="F1598" s="33"/>
      <c r="G1598" s="33"/>
      <c r="H1598" s="24">
        <f>TRUNC(SUM(H1594:H1596))</f>
        <v>17839</v>
      </c>
      <c r="I1598" s="33"/>
      <c r="J1598" s="24">
        <f>TRUNC(SUM(J1594:J1596))</f>
        <v>27660</v>
      </c>
      <c r="K1598" s="33"/>
      <c r="L1598" s="24">
        <f>TRUNC(SUM(L1594:L1596))</f>
        <v>33446</v>
      </c>
    </row>
    <row r="1599" spans="1:12" ht="11.25" customHeight="1" x14ac:dyDescent="0.2">
      <c r="C1599" s="4"/>
      <c r="D1599" s="4"/>
      <c r="E1599" s="13"/>
      <c r="F1599" s="56"/>
      <c r="G1599" s="18"/>
      <c r="H1599" s="20"/>
      <c r="I1599" s="18"/>
      <c r="J1599" s="20"/>
      <c r="K1599" s="18"/>
      <c r="L1599" s="20"/>
    </row>
    <row r="1600" spans="1:12" ht="11.25" customHeight="1" x14ac:dyDescent="0.2">
      <c r="C1600" s="126" t="s">
        <v>1286</v>
      </c>
      <c r="D1600" s="126"/>
      <c r="E1600" s="127"/>
      <c r="F1600" s="125"/>
      <c r="G1600" s="125"/>
      <c r="H1600" s="128">
        <f>TRUNC(H1598)</f>
        <v>17839</v>
      </c>
      <c r="I1600" s="125"/>
      <c r="J1600" s="128">
        <f>TRUNC(J1598)</f>
        <v>27660</v>
      </c>
      <c r="K1600" s="102"/>
      <c r="L1600" s="104">
        <f>TRUNC(L1598)</f>
        <v>33446</v>
      </c>
    </row>
    <row r="1601" spans="2:12" ht="11.25" customHeight="1" x14ac:dyDescent="0.2">
      <c r="B1601" s="186" t="s">
        <v>427</v>
      </c>
      <c r="C1601" s="187" t="s">
        <v>428</v>
      </c>
      <c r="D1601" s="187" t="s">
        <v>429</v>
      </c>
      <c r="E1601" s="188" t="s">
        <v>430</v>
      </c>
      <c r="F1601" s="188" t="s">
        <v>431</v>
      </c>
      <c r="G1601" s="94" t="s">
        <v>1526</v>
      </c>
      <c r="H1601" s="151"/>
      <c r="I1601" s="94" t="s">
        <v>1528</v>
      </c>
      <c r="J1601" s="151"/>
    </row>
    <row r="1602" spans="2:12" ht="11.25" customHeight="1" x14ac:dyDescent="0.2">
      <c r="B1602" s="186"/>
      <c r="C1602" s="187"/>
      <c r="D1602" s="187"/>
      <c r="E1602" s="188"/>
      <c r="F1602" s="188"/>
      <c r="G1602" s="17" t="s">
        <v>436</v>
      </c>
      <c r="H1602" s="17" t="s">
        <v>437</v>
      </c>
      <c r="I1602" s="17" t="s">
        <v>436</v>
      </c>
      <c r="J1602" s="17" t="s">
        <v>437</v>
      </c>
    </row>
    <row r="1603" spans="2:12" ht="11.25" customHeight="1" x14ac:dyDescent="0.2">
      <c r="B1603" s="8" t="s">
        <v>979</v>
      </c>
      <c r="C1603" s="4" t="s">
        <v>1530</v>
      </c>
      <c r="D1603" s="106" t="s">
        <v>1525</v>
      </c>
      <c r="E1603" s="13" t="s">
        <v>746</v>
      </c>
      <c r="F1603" s="66">
        <v>162763000</v>
      </c>
      <c r="G1603" s="19">
        <v>2113</v>
      </c>
      <c r="H1603" s="20">
        <f>TRUNC($F1603*G1603*0.0000001,1)</f>
        <v>34391.800000000003</v>
      </c>
      <c r="I1603" s="21">
        <v>0</v>
      </c>
      <c r="J1603" s="20">
        <f>TRUNC($F1603*I1603*0.0000001,1)</f>
        <v>0</v>
      </c>
    </row>
    <row r="1604" spans="2:12" ht="11.25" customHeight="1" x14ac:dyDescent="0.2">
      <c r="B1604" s="8" t="s">
        <v>838</v>
      </c>
      <c r="C1604" s="4" t="s">
        <v>1530</v>
      </c>
      <c r="D1604" s="106" t="s">
        <v>1527</v>
      </c>
      <c r="E1604" s="13" t="s">
        <v>746</v>
      </c>
      <c r="F1604" s="66">
        <v>376676000</v>
      </c>
      <c r="G1604" s="21">
        <v>0</v>
      </c>
      <c r="H1604" s="20">
        <f>TRUNC($F1604*G1604*0.0000001,1)</f>
        <v>0</v>
      </c>
      <c r="I1604" s="19">
        <v>2113</v>
      </c>
      <c r="J1604" s="20">
        <f>TRUNC($F1604*I1604*0.0000001,1)</f>
        <v>79591.600000000006</v>
      </c>
    </row>
    <row r="1605" spans="2:12" ht="11.25" customHeight="1" x14ac:dyDescent="0.2">
      <c r="C1605" s="107" t="s">
        <v>1289</v>
      </c>
      <c r="D1605" s="109"/>
      <c r="E1605" s="34"/>
      <c r="F1605" s="33"/>
      <c r="G1605" s="33"/>
      <c r="H1605" s="24">
        <f>TRUNC(SUM(H1603:H1604))</f>
        <v>34391</v>
      </c>
      <c r="I1605" s="33"/>
      <c r="J1605" s="24">
        <f>TRUNC(SUM(J1603:J1604))</f>
        <v>79591</v>
      </c>
    </row>
    <row r="1606" spans="2:12" ht="11.25" customHeight="1" x14ac:dyDescent="0.2">
      <c r="C1606" s="4"/>
      <c r="D1606" s="4"/>
      <c r="E1606" s="13"/>
      <c r="F1606" s="56"/>
      <c r="G1606" s="18"/>
      <c r="H1606" s="20"/>
      <c r="I1606" s="18"/>
      <c r="J1606" s="20"/>
    </row>
    <row r="1607" spans="2:12" ht="11.25" customHeight="1" x14ac:dyDescent="0.2">
      <c r="B1607" s="16"/>
      <c r="C1607" s="108" t="s">
        <v>1286</v>
      </c>
      <c r="D1607" s="108"/>
      <c r="E1607" s="103"/>
      <c r="F1607" s="102"/>
      <c r="G1607" s="102"/>
      <c r="H1607" s="104">
        <f>TRUNC(H1605)</f>
        <v>34391</v>
      </c>
      <c r="I1607" s="102"/>
      <c r="J1607" s="104">
        <f>TRUNC(J1605)</f>
        <v>79591</v>
      </c>
    </row>
    <row r="1609" spans="2:12" ht="11.25" customHeight="1" x14ac:dyDescent="0.2">
      <c r="B1609" s="68" t="s">
        <v>1531</v>
      </c>
      <c r="C1609" s="119"/>
      <c r="L1609" s="49" t="s">
        <v>1307</v>
      </c>
    </row>
    <row r="1610" spans="2:12" ht="11.25" customHeight="1" x14ac:dyDescent="0.2">
      <c r="B1610" s="186" t="s">
        <v>427</v>
      </c>
      <c r="C1610" s="187" t="s">
        <v>428</v>
      </c>
      <c r="D1610" s="187" t="s">
        <v>429</v>
      </c>
      <c r="E1610" s="188" t="s">
        <v>430</v>
      </c>
      <c r="F1610" s="188" t="s">
        <v>431</v>
      </c>
      <c r="G1610" s="94" t="s">
        <v>1533</v>
      </c>
      <c r="H1610" s="151"/>
      <c r="I1610" s="94" t="s">
        <v>1535</v>
      </c>
      <c r="J1610" s="151"/>
      <c r="K1610" s="94" t="s">
        <v>1537</v>
      </c>
      <c r="L1610" s="151"/>
    </row>
    <row r="1611" spans="2:12" ht="11.25" customHeight="1" x14ac:dyDescent="0.2">
      <c r="B1611" s="186"/>
      <c r="C1611" s="187"/>
      <c r="D1611" s="187"/>
      <c r="E1611" s="188"/>
      <c r="F1611" s="188"/>
      <c r="G1611" s="17" t="s">
        <v>436</v>
      </c>
      <c r="H1611" s="17" t="s">
        <v>437</v>
      </c>
      <c r="I1611" s="17" t="s">
        <v>436</v>
      </c>
      <c r="J1611" s="17" t="s">
        <v>437</v>
      </c>
      <c r="K1611" s="17" t="s">
        <v>436</v>
      </c>
      <c r="L1611" s="17" t="s">
        <v>437</v>
      </c>
    </row>
    <row r="1612" spans="2:12" ht="11.25" customHeight="1" x14ac:dyDescent="0.2">
      <c r="B1612" s="8" t="s">
        <v>839</v>
      </c>
      <c r="C1612" s="4" t="s">
        <v>596</v>
      </c>
      <c r="D1612" s="106" t="s">
        <v>1532</v>
      </c>
      <c r="E1612" s="13" t="s">
        <v>746</v>
      </c>
      <c r="F1612" s="66">
        <v>23170000</v>
      </c>
      <c r="G1612" s="19">
        <v>2113</v>
      </c>
      <c r="H1612" s="20">
        <f>TRUNC($F1612*G1612*0.0000001,1)</f>
        <v>4895.8</v>
      </c>
      <c r="I1612" s="21">
        <v>0</v>
      </c>
      <c r="J1612" s="20">
        <f>TRUNC($F1612*I1612*0.0000001,1)</f>
        <v>0</v>
      </c>
      <c r="K1612" s="21">
        <v>0</v>
      </c>
      <c r="L1612" s="20">
        <f>TRUNC($F1612*K1612*0.0000001,1)</f>
        <v>0</v>
      </c>
    </row>
    <row r="1613" spans="2:12" ht="11.25" customHeight="1" x14ac:dyDescent="0.2">
      <c r="B1613" s="8" t="s">
        <v>840</v>
      </c>
      <c r="C1613" s="4" t="s">
        <v>596</v>
      </c>
      <c r="D1613" s="106" t="s">
        <v>1534</v>
      </c>
      <c r="E1613" s="13" t="s">
        <v>746</v>
      </c>
      <c r="F1613" s="66">
        <v>32534000</v>
      </c>
      <c r="G1613" s="21">
        <v>0</v>
      </c>
      <c r="H1613" s="20">
        <f>TRUNC($F1613*G1613*0.0000001,1)</f>
        <v>0</v>
      </c>
      <c r="I1613" s="19">
        <v>2113</v>
      </c>
      <c r="J1613" s="20">
        <f>TRUNC($F1613*I1613*0.0000001,1)</f>
        <v>6874.4</v>
      </c>
      <c r="K1613" s="21">
        <v>0</v>
      </c>
      <c r="L1613" s="20">
        <f>TRUNC($F1613*K1613*0.0000001,1)</f>
        <v>0</v>
      </c>
    </row>
    <row r="1614" spans="2:12" ht="11.25" customHeight="1" x14ac:dyDescent="0.2">
      <c r="B1614" s="8" t="s">
        <v>841</v>
      </c>
      <c r="C1614" s="4" t="s">
        <v>596</v>
      </c>
      <c r="D1614" s="106" t="s">
        <v>1536</v>
      </c>
      <c r="E1614" s="13" t="s">
        <v>746</v>
      </c>
      <c r="F1614" s="66">
        <v>51367000</v>
      </c>
      <c r="G1614" s="21">
        <v>0</v>
      </c>
      <c r="H1614" s="20">
        <f>TRUNC($F1614*G1614*0.0000001,1)</f>
        <v>0</v>
      </c>
      <c r="I1614" s="21">
        <v>0</v>
      </c>
      <c r="J1614" s="20">
        <f>TRUNC($F1614*I1614*0.0000001,1)</f>
        <v>0</v>
      </c>
      <c r="K1614" s="19">
        <v>2113</v>
      </c>
      <c r="L1614" s="20">
        <f>TRUNC($F1614*K1614*0.0000001,1)</f>
        <v>10853.8</v>
      </c>
    </row>
    <row r="1615" spans="2:12" ht="11.25" customHeight="1" x14ac:dyDescent="0.2">
      <c r="C1615" s="107" t="s">
        <v>1289</v>
      </c>
      <c r="D1615" s="109"/>
      <c r="E1615" s="34"/>
      <c r="F1615" s="33"/>
      <c r="G1615" s="33"/>
      <c r="H1615" s="24">
        <f>TRUNC(SUM(H1612:H1614))</f>
        <v>4895</v>
      </c>
      <c r="I1615" s="33"/>
      <c r="J1615" s="24">
        <f>TRUNC(SUM(J1612:J1614))</f>
        <v>6874</v>
      </c>
      <c r="K1615" s="33"/>
      <c r="L1615" s="24">
        <f>TRUNC(SUM(L1612:L1614))</f>
        <v>10853</v>
      </c>
    </row>
    <row r="1616" spans="2:12" ht="11.25" customHeight="1" x14ac:dyDescent="0.2">
      <c r="C1616" s="4"/>
      <c r="D1616" s="4"/>
      <c r="E1616" s="13"/>
      <c r="F1616" s="56"/>
      <c r="G1616" s="18"/>
      <c r="H1616" s="20"/>
      <c r="I1616" s="18"/>
      <c r="J1616" s="20"/>
      <c r="K1616" s="18"/>
      <c r="L1616" s="20"/>
    </row>
    <row r="1617" spans="1:12" ht="11.25" customHeight="1" x14ac:dyDescent="0.2">
      <c r="C1617" s="126" t="s">
        <v>1286</v>
      </c>
      <c r="D1617" s="126"/>
      <c r="E1617" s="127"/>
      <c r="F1617" s="125"/>
      <c r="G1617" s="125"/>
      <c r="H1617" s="128">
        <f>TRUNC(H1615)</f>
        <v>4895</v>
      </c>
      <c r="I1617" s="125"/>
      <c r="J1617" s="128">
        <f>TRUNC(J1615)</f>
        <v>6874</v>
      </c>
      <c r="K1617" s="125"/>
      <c r="L1617" s="128">
        <f>TRUNC(L1615)</f>
        <v>10853</v>
      </c>
    </row>
    <row r="1618" spans="1:12" ht="11.25" customHeight="1" x14ac:dyDescent="0.2">
      <c r="B1618" s="186" t="s">
        <v>427</v>
      </c>
      <c r="C1618" s="187" t="s">
        <v>428</v>
      </c>
      <c r="D1618" s="187" t="s">
        <v>429</v>
      </c>
      <c r="E1618" s="188" t="s">
        <v>430</v>
      </c>
      <c r="F1618" s="188" t="s">
        <v>431</v>
      </c>
      <c r="G1618" s="94" t="s">
        <v>1538</v>
      </c>
      <c r="H1618" s="151"/>
      <c r="I1618" s="94" t="s">
        <v>1540</v>
      </c>
      <c r="J1618" s="151"/>
      <c r="K1618" s="94" t="s">
        <v>1542</v>
      </c>
      <c r="L1618" s="151"/>
    </row>
    <row r="1619" spans="1:12" ht="11.25" customHeight="1" x14ac:dyDescent="0.2">
      <c r="B1619" s="186"/>
      <c r="C1619" s="187"/>
      <c r="D1619" s="187"/>
      <c r="E1619" s="188"/>
      <c r="F1619" s="188"/>
      <c r="G1619" s="17" t="s">
        <v>436</v>
      </c>
      <c r="H1619" s="17" t="s">
        <v>437</v>
      </c>
      <c r="I1619" s="17" t="s">
        <v>436</v>
      </c>
      <c r="J1619" s="17" t="s">
        <v>437</v>
      </c>
      <c r="K1619" s="17" t="s">
        <v>436</v>
      </c>
      <c r="L1619" s="17" t="s">
        <v>437</v>
      </c>
    </row>
    <row r="1620" spans="1:12" ht="11.25" customHeight="1" x14ac:dyDescent="0.2">
      <c r="B1620" s="8" t="s">
        <v>842</v>
      </c>
      <c r="C1620" s="4" t="s">
        <v>596</v>
      </c>
      <c r="D1620" s="106" t="s">
        <v>1538</v>
      </c>
      <c r="E1620" s="13" t="s">
        <v>746</v>
      </c>
      <c r="F1620" s="66">
        <v>68878000</v>
      </c>
      <c r="G1620" s="19">
        <v>2113</v>
      </c>
      <c r="H1620" s="20">
        <f>TRUNC($F1620*G1620*0.0000001,1)</f>
        <v>14553.9</v>
      </c>
      <c r="I1620" s="21">
        <v>0</v>
      </c>
      <c r="J1620" s="20">
        <f>TRUNC($F1620*I1620*0.0000001,1)</f>
        <v>0</v>
      </c>
      <c r="K1620" s="21">
        <v>0</v>
      </c>
      <c r="L1620" s="20">
        <f>TRUNC($F1620*K1620*0.0000001,1)</f>
        <v>0</v>
      </c>
    </row>
    <row r="1621" spans="1:12" ht="11.25" customHeight="1" x14ac:dyDescent="0.2">
      <c r="A1621" s="7"/>
      <c r="B1621" s="8" t="s">
        <v>843</v>
      </c>
      <c r="C1621" s="4" t="s">
        <v>596</v>
      </c>
      <c r="D1621" s="106" t="s">
        <v>1539</v>
      </c>
      <c r="E1621" s="13" t="s">
        <v>746</v>
      </c>
      <c r="F1621" s="66">
        <v>71080000</v>
      </c>
      <c r="G1621" s="21">
        <v>0</v>
      </c>
      <c r="H1621" s="20">
        <f>TRUNC($F1621*G1621*0.0000001,1)</f>
        <v>0</v>
      </c>
      <c r="I1621" s="19">
        <v>2113</v>
      </c>
      <c r="J1621" s="20">
        <f>TRUNC($F1621*I1621*0.0000001,1)</f>
        <v>15019.2</v>
      </c>
      <c r="K1621" s="21">
        <v>0</v>
      </c>
      <c r="L1621" s="20">
        <f>TRUNC($F1621*K1621*0.0000001,1)</f>
        <v>0</v>
      </c>
    </row>
    <row r="1622" spans="1:12" ht="11.25" customHeight="1" x14ac:dyDescent="0.2">
      <c r="B1622" s="8" t="s">
        <v>848</v>
      </c>
      <c r="C1622" s="4" t="s">
        <v>596</v>
      </c>
      <c r="D1622" s="106" t="s">
        <v>1541</v>
      </c>
      <c r="E1622" s="13" t="s">
        <v>746</v>
      </c>
      <c r="F1622" s="66">
        <v>94475000</v>
      </c>
      <c r="G1622" s="21">
        <v>0</v>
      </c>
      <c r="H1622" s="20">
        <f>TRUNC($F1622*G1622*0.0000001,1)</f>
        <v>0</v>
      </c>
      <c r="I1622" s="21">
        <v>0</v>
      </c>
      <c r="J1622" s="20">
        <f>TRUNC($F1622*I1622*0.0000001,1)</f>
        <v>0</v>
      </c>
      <c r="K1622" s="19">
        <v>2113</v>
      </c>
      <c r="L1622" s="20">
        <f>TRUNC($F1622*K1622*0.0000001,1)</f>
        <v>19962.5</v>
      </c>
    </row>
    <row r="1623" spans="1:12" ht="11.25" customHeight="1" x14ac:dyDescent="0.2">
      <c r="C1623" s="107" t="s">
        <v>1289</v>
      </c>
      <c r="D1623" s="109"/>
      <c r="E1623" s="34"/>
      <c r="F1623" s="33"/>
      <c r="G1623" s="33"/>
      <c r="H1623" s="24">
        <f>TRUNC(SUM(H1620:H1622))</f>
        <v>14553</v>
      </c>
      <c r="I1623" s="33"/>
      <c r="J1623" s="24">
        <f>TRUNC(SUM(J1620:J1622))</f>
        <v>15019</v>
      </c>
      <c r="K1623" s="33"/>
      <c r="L1623" s="24">
        <f>TRUNC(SUM(L1620:L1622))</f>
        <v>19962</v>
      </c>
    </row>
    <row r="1624" spans="1:12" ht="11.25" customHeight="1" x14ac:dyDescent="0.2">
      <c r="C1624" s="4"/>
      <c r="D1624" s="4"/>
      <c r="E1624" s="13"/>
      <c r="F1624" s="56"/>
      <c r="G1624" s="18"/>
      <c r="H1624" s="20"/>
      <c r="I1624" s="18"/>
      <c r="J1624" s="20"/>
      <c r="K1624" s="18"/>
      <c r="L1624" s="20"/>
    </row>
    <row r="1625" spans="1:12" ht="11.25" customHeight="1" x14ac:dyDescent="0.2">
      <c r="C1625" s="126" t="s">
        <v>1286</v>
      </c>
      <c r="D1625" s="126"/>
      <c r="E1625" s="127"/>
      <c r="F1625" s="125"/>
      <c r="G1625" s="125"/>
      <c r="H1625" s="128">
        <f>TRUNC(H1623)</f>
        <v>14553</v>
      </c>
      <c r="I1625" s="125"/>
      <c r="J1625" s="128">
        <f>TRUNC(J1623)</f>
        <v>15019</v>
      </c>
      <c r="K1625" s="102"/>
      <c r="L1625" s="104">
        <f>TRUNC(L1623)</f>
        <v>19962</v>
      </c>
    </row>
    <row r="1626" spans="1:12" ht="11.25" customHeight="1" x14ac:dyDescent="0.2">
      <c r="B1626" s="186" t="s">
        <v>427</v>
      </c>
      <c r="C1626" s="187" t="s">
        <v>428</v>
      </c>
      <c r="D1626" s="187" t="s">
        <v>429</v>
      </c>
      <c r="E1626" s="188" t="s">
        <v>430</v>
      </c>
      <c r="F1626" s="188" t="s">
        <v>431</v>
      </c>
      <c r="G1626" s="94" t="s">
        <v>1544</v>
      </c>
      <c r="H1626" s="151"/>
      <c r="I1626" s="94" t="s">
        <v>1546</v>
      </c>
      <c r="J1626" s="151"/>
    </row>
    <row r="1627" spans="1:12" ht="11.25" customHeight="1" x14ac:dyDescent="0.2">
      <c r="B1627" s="186"/>
      <c r="C1627" s="187"/>
      <c r="D1627" s="187"/>
      <c r="E1627" s="188"/>
      <c r="F1627" s="188"/>
      <c r="G1627" s="17" t="s">
        <v>436</v>
      </c>
      <c r="H1627" s="17" t="s">
        <v>437</v>
      </c>
      <c r="I1627" s="17" t="s">
        <v>436</v>
      </c>
      <c r="J1627" s="17" t="s">
        <v>437</v>
      </c>
    </row>
    <row r="1628" spans="1:12" ht="11.25" customHeight="1" x14ac:dyDescent="0.2">
      <c r="B1628" s="8" t="s">
        <v>849</v>
      </c>
      <c r="C1628" s="4" t="s">
        <v>596</v>
      </c>
      <c r="D1628" s="106" t="s">
        <v>1543</v>
      </c>
      <c r="E1628" s="13" t="s">
        <v>746</v>
      </c>
      <c r="F1628" s="66">
        <v>132440000</v>
      </c>
      <c r="G1628" s="19">
        <v>2113</v>
      </c>
      <c r="H1628" s="20">
        <f>TRUNC($F1628*G1628*0.0000001,1)</f>
        <v>27984.5</v>
      </c>
      <c r="I1628" s="21">
        <v>0</v>
      </c>
      <c r="J1628" s="20">
        <f>TRUNC($F1628*I1628*0.0000001,1)</f>
        <v>0</v>
      </c>
    </row>
    <row r="1629" spans="1:12" ht="11.25" customHeight="1" x14ac:dyDescent="0.2">
      <c r="B1629" s="8" t="s">
        <v>850</v>
      </c>
      <c r="C1629" s="4" t="s">
        <v>596</v>
      </c>
      <c r="D1629" s="106" t="s">
        <v>1545</v>
      </c>
      <c r="E1629" s="13" t="s">
        <v>746</v>
      </c>
      <c r="F1629" s="66">
        <v>163662000</v>
      </c>
      <c r="G1629" s="21">
        <v>0</v>
      </c>
      <c r="H1629" s="20">
        <f>TRUNC($F1629*G1629*0.0000001,1)</f>
        <v>0</v>
      </c>
      <c r="I1629" s="19">
        <v>2113</v>
      </c>
      <c r="J1629" s="20">
        <f>TRUNC($F1629*I1629*0.0000001,1)</f>
        <v>34581.699999999997</v>
      </c>
    </row>
    <row r="1630" spans="1:12" ht="11.25" customHeight="1" x14ac:dyDescent="0.2">
      <c r="C1630" s="107" t="s">
        <v>1289</v>
      </c>
      <c r="D1630" s="109"/>
      <c r="E1630" s="34"/>
      <c r="F1630" s="33"/>
      <c r="G1630" s="33"/>
      <c r="H1630" s="24">
        <f>TRUNC(SUM(H1628:H1629))</f>
        <v>27984</v>
      </c>
      <c r="I1630" s="33"/>
      <c r="J1630" s="24">
        <f>TRUNC(SUM(J1628:J1629))</f>
        <v>34581</v>
      </c>
    </row>
    <row r="1631" spans="1:12" ht="11.25" customHeight="1" x14ac:dyDescent="0.2">
      <c r="C1631" s="4"/>
      <c r="D1631" s="4"/>
      <c r="E1631" s="13"/>
      <c r="F1631" s="56"/>
      <c r="G1631" s="18"/>
      <c r="H1631" s="20"/>
      <c r="I1631" s="18"/>
      <c r="J1631" s="20"/>
    </row>
    <row r="1632" spans="1:12" ht="11.25" customHeight="1" x14ac:dyDescent="0.2">
      <c r="B1632" s="16"/>
      <c r="C1632" s="108" t="s">
        <v>1286</v>
      </c>
      <c r="D1632" s="108"/>
      <c r="E1632" s="103"/>
      <c r="F1632" s="102"/>
      <c r="G1632" s="102"/>
      <c r="H1632" s="104">
        <f>TRUNC(H1630)</f>
        <v>27984</v>
      </c>
      <c r="I1632" s="102"/>
      <c r="J1632" s="104">
        <f>TRUNC(J1630)</f>
        <v>34581</v>
      </c>
    </row>
    <row r="1634" spans="2:11" ht="11.25" customHeight="1" x14ac:dyDescent="0.2">
      <c r="B1634" s="68" t="s">
        <v>1555</v>
      </c>
      <c r="C1634" s="119"/>
      <c r="J1634" s="49" t="s">
        <v>1307</v>
      </c>
    </row>
    <row r="1635" spans="2:11" ht="11.25" customHeight="1" x14ac:dyDescent="0.2">
      <c r="B1635" s="186" t="s">
        <v>427</v>
      </c>
      <c r="C1635" s="187" t="s">
        <v>428</v>
      </c>
      <c r="D1635" s="187" t="s">
        <v>429</v>
      </c>
      <c r="E1635" s="188" t="s">
        <v>430</v>
      </c>
      <c r="F1635" s="188" t="s">
        <v>431</v>
      </c>
      <c r="G1635" s="94" t="s">
        <v>1548</v>
      </c>
      <c r="H1635" s="151"/>
      <c r="I1635" s="94" t="s">
        <v>1550</v>
      </c>
      <c r="J1635" s="151"/>
    </row>
    <row r="1636" spans="2:11" ht="11.25" customHeight="1" x14ac:dyDescent="0.2">
      <c r="B1636" s="186"/>
      <c r="C1636" s="187"/>
      <c r="D1636" s="187"/>
      <c r="E1636" s="188"/>
      <c r="F1636" s="188"/>
      <c r="G1636" s="17" t="s">
        <v>436</v>
      </c>
      <c r="H1636" s="17" t="s">
        <v>437</v>
      </c>
      <c r="I1636" s="17" t="s">
        <v>436</v>
      </c>
      <c r="J1636" s="17" t="s">
        <v>437</v>
      </c>
    </row>
    <row r="1637" spans="2:11" ht="11.25" customHeight="1" x14ac:dyDescent="0.2">
      <c r="B1637" s="8" t="s">
        <v>851</v>
      </c>
      <c r="C1637" s="4" t="s">
        <v>1556</v>
      </c>
      <c r="D1637" s="106" t="s">
        <v>1547</v>
      </c>
      <c r="E1637" s="13" t="s">
        <v>746</v>
      </c>
      <c r="F1637" s="66">
        <v>60815000</v>
      </c>
      <c r="G1637" s="19">
        <v>1988</v>
      </c>
      <c r="H1637" s="20">
        <f>TRUNC($F1637*G1637*0.0000001,1)</f>
        <v>12090</v>
      </c>
      <c r="I1637" s="21">
        <v>0</v>
      </c>
      <c r="J1637" s="20">
        <f>TRUNC($F1637*I1637*0.0000001,1)</f>
        <v>0</v>
      </c>
    </row>
    <row r="1638" spans="2:11" ht="11.25" customHeight="1" x14ac:dyDescent="0.2">
      <c r="B1638" s="8" t="s">
        <v>852</v>
      </c>
      <c r="C1638" s="4" t="s">
        <v>1556</v>
      </c>
      <c r="D1638" s="106" t="s">
        <v>1549</v>
      </c>
      <c r="E1638" s="13" t="s">
        <v>746</v>
      </c>
      <c r="F1638" s="66">
        <v>93290000</v>
      </c>
      <c r="G1638" s="21">
        <v>0</v>
      </c>
      <c r="H1638" s="20">
        <f>TRUNC($F1638*G1638*0.0000001,1)</f>
        <v>0</v>
      </c>
      <c r="I1638" s="19">
        <v>1988</v>
      </c>
      <c r="J1638" s="20">
        <f>TRUNC($F1638*I1638*0.0000001,1)</f>
        <v>18546</v>
      </c>
    </row>
    <row r="1639" spans="2:11" ht="11.25" customHeight="1" x14ac:dyDescent="0.2">
      <c r="C1639" s="107" t="s">
        <v>1289</v>
      </c>
      <c r="D1639" s="109"/>
      <c r="E1639" s="34"/>
      <c r="F1639" s="33"/>
      <c r="G1639" s="33"/>
      <c r="H1639" s="24">
        <f>TRUNC(SUM(H1637:H1638))</f>
        <v>12090</v>
      </c>
      <c r="I1639" s="33"/>
      <c r="J1639" s="24">
        <f>TRUNC(SUM(J1637:J1638))</f>
        <v>18546</v>
      </c>
    </row>
    <row r="1640" spans="2:11" ht="11.25" customHeight="1" x14ac:dyDescent="0.2">
      <c r="C1640" s="4"/>
      <c r="D1640" s="4"/>
      <c r="E1640" s="13"/>
      <c r="F1640" s="56"/>
      <c r="G1640" s="18"/>
      <c r="H1640" s="20"/>
      <c r="I1640" s="18"/>
      <c r="J1640" s="20"/>
    </row>
    <row r="1641" spans="2:11" ht="11.25" customHeight="1" x14ac:dyDescent="0.2">
      <c r="C1641" s="126" t="s">
        <v>1286</v>
      </c>
      <c r="D1641" s="126"/>
      <c r="E1641" s="127"/>
      <c r="F1641" s="125"/>
      <c r="G1641" s="125"/>
      <c r="H1641" s="128">
        <f>TRUNC(H1639)</f>
        <v>12090</v>
      </c>
      <c r="I1641" s="125"/>
      <c r="J1641" s="128">
        <f>TRUNC(J1639)</f>
        <v>18546</v>
      </c>
      <c r="K1641" s="123"/>
    </row>
    <row r="1642" spans="2:11" ht="11.25" customHeight="1" x14ac:dyDescent="0.2">
      <c r="B1642" s="186" t="s">
        <v>427</v>
      </c>
      <c r="C1642" s="187" t="s">
        <v>428</v>
      </c>
      <c r="D1642" s="187" t="s">
        <v>429</v>
      </c>
      <c r="E1642" s="188" t="s">
        <v>430</v>
      </c>
      <c r="F1642" s="188" t="s">
        <v>431</v>
      </c>
      <c r="G1642" s="94" t="s">
        <v>1552</v>
      </c>
      <c r="H1642" s="151"/>
      <c r="I1642" s="94" t="s">
        <v>1554</v>
      </c>
      <c r="J1642" s="151"/>
    </row>
    <row r="1643" spans="2:11" ht="11.25" customHeight="1" x14ac:dyDescent="0.2">
      <c r="B1643" s="186"/>
      <c r="C1643" s="187"/>
      <c r="D1643" s="187"/>
      <c r="E1643" s="188"/>
      <c r="F1643" s="188"/>
      <c r="G1643" s="17" t="s">
        <v>436</v>
      </c>
      <c r="H1643" s="17" t="s">
        <v>437</v>
      </c>
      <c r="I1643" s="17" t="s">
        <v>436</v>
      </c>
      <c r="J1643" s="17" t="s">
        <v>437</v>
      </c>
    </row>
    <row r="1644" spans="2:11" ht="11.25" customHeight="1" x14ac:dyDescent="0.2">
      <c r="B1644" s="8" t="s">
        <v>256</v>
      </c>
      <c r="C1644" s="4" t="s">
        <v>1556</v>
      </c>
      <c r="D1644" s="106" t="s">
        <v>1551</v>
      </c>
      <c r="E1644" s="13" t="s">
        <v>746</v>
      </c>
      <c r="F1644" s="66">
        <v>142693000</v>
      </c>
      <c r="G1644" s="19">
        <v>1988</v>
      </c>
      <c r="H1644" s="20">
        <f>TRUNC($F1644*G1644*0.0000001,1)</f>
        <v>28367.3</v>
      </c>
      <c r="I1644" s="21">
        <v>0</v>
      </c>
      <c r="J1644" s="20">
        <f>TRUNC($F1644*I1644*0.0000001,1)</f>
        <v>0</v>
      </c>
    </row>
    <row r="1645" spans="2:11" ht="11.25" customHeight="1" x14ac:dyDescent="0.2">
      <c r="B1645" s="8" t="s">
        <v>257</v>
      </c>
      <c r="C1645" s="4" t="s">
        <v>1556</v>
      </c>
      <c r="D1645" s="106" t="s">
        <v>1553</v>
      </c>
      <c r="E1645" s="13" t="s">
        <v>746</v>
      </c>
      <c r="F1645" s="66">
        <v>158133000</v>
      </c>
      <c r="G1645" s="21">
        <v>0</v>
      </c>
      <c r="H1645" s="20">
        <f>TRUNC($F1645*G1645*0.0000001,1)</f>
        <v>0</v>
      </c>
      <c r="I1645" s="19">
        <v>1988</v>
      </c>
      <c r="J1645" s="20">
        <f>TRUNC($F1645*I1645*0.0000001,1)</f>
        <v>31436.799999999999</v>
      </c>
    </row>
    <row r="1646" spans="2:11" ht="11.25" customHeight="1" x14ac:dyDescent="0.2">
      <c r="C1646" s="107" t="s">
        <v>1289</v>
      </c>
      <c r="D1646" s="109"/>
      <c r="E1646" s="34"/>
      <c r="F1646" s="33"/>
      <c r="G1646" s="33"/>
      <c r="H1646" s="24">
        <f>TRUNC(SUM(H1644:H1645))</f>
        <v>28367</v>
      </c>
      <c r="I1646" s="33"/>
      <c r="J1646" s="24">
        <f>TRUNC(SUM(J1644:J1645))</f>
        <v>31436</v>
      </c>
    </row>
    <row r="1647" spans="2:11" ht="11.25" customHeight="1" x14ac:dyDescent="0.2">
      <c r="C1647" s="4"/>
      <c r="D1647" s="4"/>
      <c r="E1647" s="13"/>
      <c r="F1647" s="56"/>
      <c r="G1647" s="18"/>
      <c r="H1647" s="20"/>
      <c r="I1647" s="18"/>
      <c r="J1647" s="20"/>
    </row>
    <row r="1648" spans="2:11" ht="11.25" customHeight="1" x14ac:dyDescent="0.2">
      <c r="B1648" s="16"/>
      <c r="C1648" s="108" t="s">
        <v>1286</v>
      </c>
      <c r="D1648" s="108"/>
      <c r="E1648" s="103"/>
      <c r="F1648" s="102"/>
      <c r="G1648" s="102"/>
      <c r="H1648" s="104">
        <f>TRUNC(H1646)</f>
        <v>28367</v>
      </c>
      <c r="I1648" s="102"/>
      <c r="J1648" s="104">
        <f>TRUNC(J1646)</f>
        <v>31436</v>
      </c>
    </row>
    <row r="1650" spans="1:12" ht="11.25" customHeight="1" x14ac:dyDescent="0.2">
      <c r="B1650" s="68" t="s">
        <v>1573</v>
      </c>
      <c r="C1650" s="119"/>
      <c r="L1650" s="49" t="s">
        <v>1307</v>
      </c>
    </row>
    <row r="1651" spans="1:12" ht="11.25" customHeight="1" x14ac:dyDescent="0.2">
      <c r="B1651" s="186" t="s">
        <v>427</v>
      </c>
      <c r="C1651" s="187" t="s">
        <v>428</v>
      </c>
      <c r="D1651" s="187" t="s">
        <v>429</v>
      </c>
      <c r="E1651" s="188" t="s">
        <v>430</v>
      </c>
      <c r="F1651" s="188" t="s">
        <v>431</v>
      </c>
      <c r="G1651" s="94" t="s">
        <v>1558</v>
      </c>
      <c r="H1651" s="151"/>
      <c r="I1651" s="94" t="s">
        <v>1560</v>
      </c>
      <c r="J1651" s="151"/>
      <c r="K1651" s="94" t="s">
        <v>1562</v>
      </c>
      <c r="L1651" s="151"/>
    </row>
    <row r="1652" spans="1:12" ht="11.25" customHeight="1" x14ac:dyDescent="0.2">
      <c r="B1652" s="186"/>
      <c r="C1652" s="187"/>
      <c r="D1652" s="187"/>
      <c r="E1652" s="188"/>
      <c r="F1652" s="188"/>
      <c r="G1652" s="17" t="s">
        <v>436</v>
      </c>
      <c r="H1652" s="17" t="s">
        <v>437</v>
      </c>
      <c r="I1652" s="17" t="s">
        <v>436</v>
      </c>
      <c r="J1652" s="17" t="s">
        <v>437</v>
      </c>
      <c r="K1652" s="17" t="s">
        <v>436</v>
      </c>
      <c r="L1652" s="17" t="s">
        <v>437</v>
      </c>
    </row>
    <row r="1653" spans="1:12" ht="11.25" customHeight="1" x14ac:dyDescent="0.2">
      <c r="B1653" s="8" t="s">
        <v>258</v>
      </c>
      <c r="C1653" s="4" t="s">
        <v>1574</v>
      </c>
      <c r="D1653" s="106" t="s">
        <v>1557</v>
      </c>
      <c r="E1653" s="13" t="s">
        <v>746</v>
      </c>
      <c r="F1653" s="66">
        <v>18500000</v>
      </c>
      <c r="G1653" s="19">
        <v>1863</v>
      </c>
      <c r="H1653" s="20">
        <f>TRUNC($F1653*G1653*0.0000001,1)</f>
        <v>3446.5</v>
      </c>
      <c r="I1653" s="21">
        <v>0</v>
      </c>
      <c r="J1653" s="20">
        <f>TRUNC($F1653*I1653*0.0000001,1)</f>
        <v>0</v>
      </c>
      <c r="K1653" s="21">
        <v>0</v>
      </c>
      <c r="L1653" s="20">
        <f>TRUNC($F1653*K1653*0.0000001,1)</f>
        <v>0</v>
      </c>
    </row>
    <row r="1654" spans="1:12" ht="11.25" customHeight="1" x14ac:dyDescent="0.2">
      <c r="B1654" s="8" t="s">
        <v>259</v>
      </c>
      <c r="C1654" s="4" t="s">
        <v>1574</v>
      </c>
      <c r="D1654" s="106" t="s">
        <v>1559</v>
      </c>
      <c r="E1654" s="13" t="s">
        <v>746</v>
      </c>
      <c r="F1654" s="66">
        <v>20239000</v>
      </c>
      <c r="G1654" s="21">
        <v>0</v>
      </c>
      <c r="H1654" s="20">
        <f>TRUNC($F1654*G1654*0.0000001,1)</f>
        <v>0</v>
      </c>
      <c r="I1654" s="19">
        <v>1863</v>
      </c>
      <c r="J1654" s="20">
        <f>TRUNC($F1654*I1654*0.0000001,1)</f>
        <v>3770.5</v>
      </c>
      <c r="K1654" s="21">
        <v>0</v>
      </c>
      <c r="L1654" s="20">
        <f>TRUNC($F1654*K1654*0.0000001,1)</f>
        <v>0</v>
      </c>
    </row>
    <row r="1655" spans="1:12" ht="11.25" customHeight="1" x14ac:dyDescent="0.2">
      <c r="B1655" s="8" t="s">
        <v>260</v>
      </c>
      <c r="C1655" s="4" t="s">
        <v>1574</v>
      </c>
      <c r="D1655" s="106" t="s">
        <v>1561</v>
      </c>
      <c r="E1655" s="13" t="s">
        <v>746</v>
      </c>
      <c r="F1655" s="66">
        <v>21474000</v>
      </c>
      <c r="G1655" s="21">
        <v>0</v>
      </c>
      <c r="H1655" s="20">
        <f>TRUNC($F1655*G1655*0.0000001,1)</f>
        <v>0</v>
      </c>
      <c r="I1655" s="21">
        <v>0</v>
      </c>
      <c r="J1655" s="20">
        <f>TRUNC($F1655*I1655*0.0000001,1)</f>
        <v>0</v>
      </c>
      <c r="K1655" s="19">
        <v>1863</v>
      </c>
      <c r="L1655" s="20">
        <f>TRUNC($F1655*K1655*0.0000001,1)</f>
        <v>4000.6</v>
      </c>
    </row>
    <row r="1656" spans="1:12" ht="11.25" customHeight="1" x14ac:dyDescent="0.2">
      <c r="C1656" s="107" t="s">
        <v>1289</v>
      </c>
      <c r="D1656" s="109"/>
      <c r="E1656" s="34"/>
      <c r="F1656" s="33"/>
      <c r="G1656" s="33"/>
      <c r="H1656" s="24">
        <f>TRUNC(SUM(H1653:H1655))</f>
        <v>3446</v>
      </c>
      <c r="I1656" s="33"/>
      <c r="J1656" s="24">
        <f>TRUNC(SUM(J1653:J1655))</f>
        <v>3770</v>
      </c>
      <c r="K1656" s="33"/>
      <c r="L1656" s="24">
        <f>TRUNC(SUM(L1653:L1655))</f>
        <v>4000</v>
      </c>
    </row>
    <row r="1657" spans="1:12" ht="11.25" customHeight="1" x14ac:dyDescent="0.2">
      <c r="C1657" s="4"/>
      <c r="D1657" s="4"/>
      <c r="E1657" s="13"/>
      <c r="F1657" s="56"/>
      <c r="G1657" s="18"/>
      <c r="H1657" s="20"/>
      <c r="I1657" s="18"/>
      <c r="J1657" s="20"/>
      <c r="K1657" s="18"/>
      <c r="L1657" s="20"/>
    </row>
    <row r="1658" spans="1:12" ht="11.25" customHeight="1" x14ac:dyDescent="0.2">
      <c r="C1658" s="126" t="s">
        <v>1286</v>
      </c>
      <c r="D1658" s="126"/>
      <c r="E1658" s="127"/>
      <c r="F1658" s="125"/>
      <c r="G1658" s="125"/>
      <c r="H1658" s="128">
        <f>TRUNC(H1656)</f>
        <v>3446</v>
      </c>
      <c r="I1658" s="125"/>
      <c r="J1658" s="128">
        <f>TRUNC(J1656)</f>
        <v>3770</v>
      </c>
      <c r="K1658" s="125"/>
      <c r="L1658" s="128">
        <f>TRUNC(L1656)</f>
        <v>4000</v>
      </c>
    </row>
    <row r="1659" spans="1:12" ht="11.25" customHeight="1" x14ac:dyDescent="0.2">
      <c r="B1659" s="186" t="s">
        <v>427</v>
      </c>
      <c r="C1659" s="187" t="s">
        <v>428</v>
      </c>
      <c r="D1659" s="187" t="s">
        <v>429</v>
      </c>
      <c r="E1659" s="188" t="s">
        <v>430</v>
      </c>
      <c r="F1659" s="188" t="s">
        <v>431</v>
      </c>
      <c r="G1659" s="94" t="s">
        <v>1564</v>
      </c>
      <c r="H1659" s="151"/>
      <c r="I1659" s="94" t="s">
        <v>1566</v>
      </c>
      <c r="J1659" s="151"/>
      <c r="K1659" s="94" t="s">
        <v>1568</v>
      </c>
      <c r="L1659" s="151"/>
    </row>
    <row r="1660" spans="1:12" ht="11.25" customHeight="1" x14ac:dyDescent="0.2">
      <c r="B1660" s="186"/>
      <c r="C1660" s="187"/>
      <c r="D1660" s="187"/>
      <c r="E1660" s="188"/>
      <c r="F1660" s="188"/>
      <c r="G1660" s="17" t="s">
        <v>436</v>
      </c>
      <c r="H1660" s="17" t="s">
        <v>437</v>
      </c>
      <c r="I1660" s="17" t="s">
        <v>436</v>
      </c>
      <c r="J1660" s="17" t="s">
        <v>437</v>
      </c>
      <c r="K1660" s="17" t="s">
        <v>436</v>
      </c>
      <c r="L1660" s="17" t="s">
        <v>437</v>
      </c>
    </row>
    <row r="1661" spans="1:12" ht="11.25" customHeight="1" x14ac:dyDescent="0.2">
      <c r="B1661" s="8" t="s">
        <v>261</v>
      </c>
      <c r="C1661" s="4" t="s">
        <v>1574</v>
      </c>
      <c r="D1661" s="106" t="s">
        <v>1563</v>
      </c>
      <c r="E1661" s="13" t="s">
        <v>746</v>
      </c>
      <c r="F1661" s="66">
        <v>21810000</v>
      </c>
      <c r="G1661" s="19">
        <v>1863</v>
      </c>
      <c r="H1661" s="20">
        <f>TRUNC($F1661*G1661*0.0000001,1)</f>
        <v>4063.2</v>
      </c>
      <c r="I1661" s="21">
        <v>0</v>
      </c>
      <c r="J1661" s="20">
        <f>TRUNC($F1661*I1661*0.0000001,1)</f>
        <v>0</v>
      </c>
      <c r="K1661" s="21">
        <v>0</v>
      </c>
      <c r="L1661" s="20">
        <f>TRUNC($F1661*K1661*0.0000001,1)</f>
        <v>0</v>
      </c>
    </row>
    <row r="1662" spans="1:12" ht="11.25" customHeight="1" x14ac:dyDescent="0.2">
      <c r="A1662" s="7"/>
      <c r="B1662" s="8" t="s">
        <v>262</v>
      </c>
      <c r="C1662" s="4" t="s">
        <v>1574</v>
      </c>
      <c r="D1662" s="106" t="s">
        <v>1565</v>
      </c>
      <c r="E1662" s="13" t="s">
        <v>746</v>
      </c>
      <c r="F1662" s="66">
        <v>22258000</v>
      </c>
      <c r="G1662" s="21">
        <v>0</v>
      </c>
      <c r="H1662" s="20">
        <f>TRUNC($F1662*G1662*0.0000001,1)</f>
        <v>0</v>
      </c>
      <c r="I1662" s="19">
        <v>1863</v>
      </c>
      <c r="J1662" s="20">
        <f>TRUNC($F1662*I1662*0.0000001,1)</f>
        <v>4146.6000000000004</v>
      </c>
      <c r="K1662" s="21">
        <v>0</v>
      </c>
      <c r="L1662" s="20">
        <f>TRUNC($F1662*K1662*0.0000001,1)</f>
        <v>0</v>
      </c>
    </row>
    <row r="1663" spans="1:12" ht="11.25" customHeight="1" x14ac:dyDescent="0.2">
      <c r="B1663" s="8" t="s">
        <v>263</v>
      </c>
      <c r="C1663" s="4" t="s">
        <v>1574</v>
      </c>
      <c r="D1663" s="106" t="s">
        <v>1567</v>
      </c>
      <c r="E1663" s="13" t="s">
        <v>746</v>
      </c>
      <c r="F1663" s="66">
        <v>23346000</v>
      </c>
      <c r="G1663" s="21">
        <v>0</v>
      </c>
      <c r="H1663" s="20">
        <f>TRUNC($F1663*G1663*0.0000001,1)</f>
        <v>0</v>
      </c>
      <c r="I1663" s="21">
        <v>0</v>
      </c>
      <c r="J1663" s="20">
        <f>TRUNC($F1663*I1663*0.0000001,1)</f>
        <v>0</v>
      </c>
      <c r="K1663" s="19">
        <v>1863</v>
      </c>
      <c r="L1663" s="20">
        <f>TRUNC($F1663*K1663*0.0000001,1)</f>
        <v>4349.3</v>
      </c>
    </row>
    <row r="1664" spans="1:12" ht="11.25" customHeight="1" x14ac:dyDescent="0.2">
      <c r="C1664" s="107" t="s">
        <v>1289</v>
      </c>
      <c r="D1664" s="109"/>
      <c r="E1664" s="34"/>
      <c r="F1664" s="33"/>
      <c r="G1664" s="33"/>
      <c r="H1664" s="24">
        <f>TRUNC(SUM(H1661:H1663))</f>
        <v>4063</v>
      </c>
      <c r="I1664" s="33"/>
      <c r="J1664" s="24">
        <f>TRUNC(SUM(J1661:J1663))</f>
        <v>4146</v>
      </c>
      <c r="K1664" s="33"/>
      <c r="L1664" s="24">
        <f>TRUNC(SUM(L1661:L1663))</f>
        <v>4349</v>
      </c>
    </row>
    <row r="1665" spans="2:12" ht="11.25" customHeight="1" x14ac:dyDescent="0.2">
      <c r="C1665" s="4"/>
      <c r="D1665" s="4"/>
      <c r="E1665" s="13"/>
      <c r="F1665" s="56"/>
      <c r="G1665" s="18"/>
      <c r="H1665" s="20"/>
      <c r="I1665" s="18"/>
      <c r="J1665" s="20"/>
      <c r="K1665" s="18"/>
      <c r="L1665" s="20"/>
    </row>
    <row r="1666" spans="2:12" ht="11.25" customHeight="1" x14ac:dyDescent="0.2">
      <c r="C1666" s="126" t="s">
        <v>1286</v>
      </c>
      <c r="D1666" s="126"/>
      <c r="E1666" s="127"/>
      <c r="F1666" s="125"/>
      <c r="G1666" s="125"/>
      <c r="H1666" s="128">
        <f>TRUNC(H1664)</f>
        <v>4063</v>
      </c>
      <c r="I1666" s="125"/>
      <c r="J1666" s="128">
        <f>TRUNC(J1664)</f>
        <v>4146</v>
      </c>
      <c r="K1666" s="102"/>
      <c r="L1666" s="104">
        <f>TRUNC(L1664)</f>
        <v>4349</v>
      </c>
    </row>
    <row r="1667" spans="2:12" ht="11.25" customHeight="1" x14ac:dyDescent="0.2">
      <c r="B1667" s="186" t="s">
        <v>427</v>
      </c>
      <c r="C1667" s="187" t="s">
        <v>428</v>
      </c>
      <c r="D1667" s="187" t="s">
        <v>429</v>
      </c>
      <c r="E1667" s="188" t="s">
        <v>430</v>
      </c>
      <c r="F1667" s="188" t="s">
        <v>431</v>
      </c>
      <c r="G1667" s="94" t="s">
        <v>1570</v>
      </c>
      <c r="H1667" s="151"/>
      <c r="I1667" s="94" t="s">
        <v>1572</v>
      </c>
      <c r="J1667" s="151"/>
    </row>
    <row r="1668" spans="2:12" ht="11.25" customHeight="1" x14ac:dyDescent="0.2">
      <c r="B1668" s="186"/>
      <c r="C1668" s="187"/>
      <c r="D1668" s="187"/>
      <c r="E1668" s="188"/>
      <c r="F1668" s="188"/>
      <c r="G1668" s="17" t="s">
        <v>436</v>
      </c>
      <c r="H1668" s="17" t="s">
        <v>437</v>
      </c>
      <c r="I1668" s="17" t="s">
        <v>436</v>
      </c>
      <c r="J1668" s="17" t="s">
        <v>437</v>
      </c>
    </row>
    <row r="1669" spans="2:12" ht="11.25" customHeight="1" x14ac:dyDescent="0.2">
      <c r="B1669" s="8" t="s">
        <v>804</v>
      </c>
      <c r="C1669" s="4" t="s">
        <v>1574</v>
      </c>
      <c r="D1669" s="106" t="s">
        <v>1569</v>
      </c>
      <c r="E1669" s="13" t="s">
        <v>746</v>
      </c>
      <c r="F1669" s="66">
        <v>38456000</v>
      </c>
      <c r="G1669" s="19">
        <v>1863</v>
      </c>
      <c r="H1669" s="20">
        <f>TRUNC($F1669*G1669*0.0000001,1)</f>
        <v>7164.3</v>
      </c>
      <c r="I1669" s="21">
        <v>0</v>
      </c>
      <c r="J1669" s="20">
        <f>TRUNC($F1669*I1669*0.0000001,1)</f>
        <v>0</v>
      </c>
    </row>
    <row r="1670" spans="2:12" ht="11.25" customHeight="1" x14ac:dyDescent="0.2">
      <c r="B1670" s="8" t="s">
        <v>805</v>
      </c>
      <c r="C1670" s="4" t="s">
        <v>1574</v>
      </c>
      <c r="D1670" s="106" t="s">
        <v>1571</v>
      </c>
      <c r="E1670" s="13" t="s">
        <v>746</v>
      </c>
      <c r="F1670" s="66">
        <v>39798000</v>
      </c>
      <c r="G1670" s="21">
        <v>0</v>
      </c>
      <c r="H1670" s="20">
        <f>TRUNC($F1670*G1670*0.0000001,1)</f>
        <v>0</v>
      </c>
      <c r="I1670" s="19">
        <v>1863</v>
      </c>
      <c r="J1670" s="20">
        <f>TRUNC($F1670*I1670*0.0000001,1)</f>
        <v>7414.3</v>
      </c>
    </row>
    <row r="1671" spans="2:12" ht="11.25" customHeight="1" x14ac:dyDescent="0.2">
      <c r="C1671" s="107" t="s">
        <v>1289</v>
      </c>
      <c r="D1671" s="109"/>
      <c r="E1671" s="34"/>
      <c r="F1671" s="33"/>
      <c r="G1671" s="33"/>
      <c r="H1671" s="24">
        <f>TRUNC(SUM(H1669:H1670))</f>
        <v>7164</v>
      </c>
      <c r="I1671" s="33"/>
      <c r="J1671" s="24">
        <f>TRUNC(SUM(J1669:J1670))</f>
        <v>7414</v>
      </c>
    </row>
    <row r="1672" spans="2:12" ht="11.25" customHeight="1" x14ac:dyDescent="0.2">
      <c r="C1672" s="4"/>
      <c r="D1672" s="4"/>
      <c r="E1672" s="13"/>
      <c r="F1672" s="56"/>
      <c r="G1672" s="18"/>
      <c r="H1672" s="20"/>
      <c r="I1672" s="18"/>
      <c r="J1672" s="20"/>
    </row>
    <row r="1673" spans="2:12" ht="11.25" customHeight="1" x14ac:dyDescent="0.2">
      <c r="B1673" s="16"/>
      <c r="C1673" s="108" t="s">
        <v>1286</v>
      </c>
      <c r="D1673" s="108"/>
      <c r="E1673" s="103"/>
      <c r="F1673" s="102"/>
      <c r="G1673" s="102"/>
      <c r="H1673" s="104">
        <f>TRUNC(H1671)</f>
        <v>7164</v>
      </c>
      <c r="I1673" s="102"/>
      <c r="J1673" s="104">
        <f>TRUNC(J1671)</f>
        <v>7414</v>
      </c>
    </row>
    <row r="1675" spans="2:12" ht="11.25" customHeight="1" x14ac:dyDescent="0.2">
      <c r="B1675" s="68" t="s">
        <v>1591</v>
      </c>
      <c r="C1675" s="119"/>
      <c r="L1675" s="49" t="s">
        <v>1307</v>
      </c>
    </row>
    <row r="1676" spans="2:12" ht="11.25" customHeight="1" x14ac:dyDescent="0.2">
      <c r="B1676" s="186" t="s">
        <v>427</v>
      </c>
      <c r="C1676" s="187" t="s">
        <v>428</v>
      </c>
      <c r="D1676" s="187" t="s">
        <v>429</v>
      </c>
      <c r="E1676" s="188" t="s">
        <v>430</v>
      </c>
      <c r="F1676" s="188" t="s">
        <v>431</v>
      </c>
      <c r="G1676" s="94" t="s">
        <v>1576</v>
      </c>
      <c r="H1676" s="151"/>
      <c r="I1676" s="94" t="s">
        <v>1578</v>
      </c>
      <c r="J1676" s="151"/>
      <c r="K1676" s="94" t="s">
        <v>1580</v>
      </c>
      <c r="L1676" s="151"/>
    </row>
    <row r="1677" spans="2:12" ht="11.25" customHeight="1" x14ac:dyDescent="0.2">
      <c r="B1677" s="186"/>
      <c r="C1677" s="187"/>
      <c r="D1677" s="187"/>
      <c r="E1677" s="188"/>
      <c r="F1677" s="188"/>
      <c r="G1677" s="17" t="s">
        <v>436</v>
      </c>
      <c r="H1677" s="17" t="s">
        <v>437</v>
      </c>
      <c r="I1677" s="17" t="s">
        <v>436</v>
      </c>
      <c r="J1677" s="17" t="s">
        <v>437</v>
      </c>
      <c r="K1677" s="17" t="s">
        <v>436</v>
      </c>
      <c r="L1677" s="17" t="s">
        <v>437</v>
      </c>
    </row>
    <row r="1678" spans="2:12" ht="11.25" customHeight="1" x14ac:dyDescent="0.2">
      <c r="B1678" s="8" t="s">
        <v>806</v>
      </c>
      <c r="C1678" s="4" t="s">
        <v>1592</v>
      </c>
      <c r="D1678" s="106" t="s">
        <v>1575</v>
      </c>
      <c r="E1678" s="13" t="s">
        <v>746</v>
      </c>
      <c r="F1678" s="66">
        <v>22802000</v>
      </c>
      <c r="G1678" s="19">
        <v>1863</v>
      </c>
      <c r="H1678" s="20">
        <f>TRUNC($F1678*G1678*0.0000001,1)</f>
        <v>4248</v>
      </c>
      <c r="I1678" s="21">
        <v>0</v>
      </c>
      <c r="J1678" s="20">
        <f>TRUNC($F1678*I1678*0.0000001,1)</f>
        <v>0</v>
      </c>
      <c r="K1678" s="21">
        <v>0</v>
      </c>
      <c r="L1678" s="20">
        <f>TRUNC($F1678*K1678*0.0000001,1)</f>
        <v>0</v>
      </c>
    </row>
    <row r="1679" spans="2:12" ht="11.25" customHeight="1" x14ac:dyDescent="0.2">
      <c r="B1679" s="8" t="s">
        <v>807</v>
      </c>
      <c r="C1679" s="4" t="s">
        <v>1592</v>
      </c>
      <c r="D1679" s="106" t="s">
        <v>1577</v>
      </c>
      <c r="E1679" s="13" t="s">
        <v>746</v>
      </c>
      <c r="F1679" s="66">
        <v>23186000</v>
      </c>
      <c r="G1679" s="21">
        <v>0</v>
      </c>
      <c r="H1679" s="20">
        <f>TRUNC($F1679*G1679*0.0000001,1)</f>
        <v>0</v>
      </c>
      <c r="I1679" s="19">
        <v>1863</v>
      </c>
      <c r="J1679" s="20">
        <f>TRUNC($F1679*I1679*0.0000001,1)</f>
        <v>4319.5</v>
      </c>
      <c r="K1679" s="21">
        <v>0</v>
      </c>
      <c r="L1679" s="20">
        <f>TRUNC($F1679*K1679*0.0000001,1)</f>
        <v>0</v>
      </c>
    </row>
    <row r="1680" spans="2:12" ht="11.25" customHeight="1" x14ac:dyDescent="0.2">
      <c r="B1680" s="8" t="s">
        <v>808</v>
      </c>
      <c r="C1680" s="4" t="s">
        <v>1592</v>
      </c>
      <c r="D1680" s="106" t="s">
        <v>1579</v>
      </c>
      <c r="E1680" s="13" t="s">
        <v>746</v>
      </c>
      <c r="F1680" s="66">
        <v>25289000</v>
      </c>
      <c r="G1680" s="21">
        <v>0</v>
      </c>
      <c r="H1680" s="20">
        <f>TRUNC($F1680*G1680*0.0000001,1)</f>
        <v>0</v>
      </c>
      <c r="I1680" s="21">
        <v>0</v>
      </c>
      <c r="J1680" s="20">
        <f>TRUNC($F1680*I1680*0.0000001,1)</f>
        <v>0</v>
      </c>
      <c r="K1680" s="19">
        <v>1863</v>
      </c>
      <c r="L1680" s="20">
        <f>TRUNC($F1680*K1680*0.0000001,1)</f>
        <v>4711.3</v>
      </c>
    </row>
    <row r="1681" spans="2:12" ht="11.25" customHeight="1" x14ac:dyDescent="0.2">
      <c r="C1681" s="107" t="s">
        <v>1289</v>
      </c>
      <c r="D1681" s="109"/>
      <c r="E1681" s="34"/>
      <c r="F1681" s="33"/>
      <c r="G1681" s="33"/>
      <c r="H1681" s="24">
        <f>TRUNC(SUM(H1678:H1680))</f>
        <v>4248</v>
      </c>
      <c r="I1681" s="33"/>
      <c r="J1681" s="24">
        <f>TRUNC(SUM(J1678:J1680))</f>
        <v>4319</v>
      </c>
      <c r="K1681" s="33"/>
      <c r="L1681" s="24">
        <f>TRUNC(SUM(L1678:L1680))</f>
        <v>4711</v>
      </c>
    </row>
    <row r="1682" spans="2:12" ht="11.25" customHeight="1" x14ac:dyDescent="0.2">
      <c r="C1682" s="4"/>
      <c r="D1682" s="4"/>
      <c r="E1682" s="13"/>
      <c r="F1682" s="56"/>
      <c r="G1682" s="18"/>
      <c r="H1682" s="20"/>
      <c r="I1682" s="18"/>
      <c r="J1682" s="20"/>
      <c r="K1682" s="18"/>
      <c r="L1682" s="20"/>
    </row>
    <row r="1683" spans="2:12" ht="11.25" customHeight="1" x14ac:dyDescent="0.2">
      <c r="C1683" s="126" t="s">
        <v>1286</v>
      </c>
      <c r="D1683" s="126"/>
      <c r="E1683" s="127"/>
      <c r="F1683" s="125"/>
      <c r="G1683" s="125"/>
      <c r="H1683" s="128">
        <f>TRUNC(H1681)</f>
        <v>4248</v>
      </c>
      <c r="I1683" s="125"/>
      <c r="J1683" s="128">
        <f>TRUNC(J1681)</f>
        <v>4319</v>
      </c>
      <c r="K1683" s="125"/>
      <c r="L1683" s="128">
        <f>TRUNC(L1681)</f>
        <v>4711</v>
      </c>
    </row>
    <row r="1684" spans="2:12" ht="11.25" customHeight="1" x14ac:dyDescent="0.2">
      <c r="B1684" s="186" t="s">
        <v>427</v>
      </c>
      <c r="C1684" s="187" t="s">
        <v>428</v>
      </c>
      <c r="D1684" s="187" t="s">
        <v>429</v>
      </c>
      <c r="E1684" s="188" t="s">
        <v>430</v>
      </c>
      <c r="F1684" s="188" t="s">
        <v>431</v>
      </c>
      <c r="G1684" s="94" t="s">
        <v>1582</v>
      </c>
      <c r="H1684" s="151"/>
      <c r="I1684" s="94" t="s">
        <v>1584</v>
      </c>
      <c r="J1684" s="151"/>
      <c r="K1684" s="94" t="s">
        <v>1586</v>
      </c>
      <c r="L1684" s="151"/>
    </row>
    <row r="1685" spans="2:12" ht="11.25" customHeight="1" x14ac:dyDescent="0.2">
      <c r="B1685" s="186"/>
      <c r="C1685" s="187"/>
      <c r="D1685" s="187"/>
      <c r="E1685" s="188"/>
      <c r="F1685" s="188"/>
      <c r="G1685" s="17" t="s">
        <v>436</v>
      </c>
      <c r="H1685" s="17" t="s">
        <v>437</v>
      </c>
      <c r="I1685" s="17" t="s">
        <v>436</v>
      </c>
      <c r="J1685" s="17" t="s">
        <v>437</v>
      </c>
      <c r="K1685" s="17" t="s">
        <v>436</v>
      </c>
      <c r="L1685" s="17" t="s">
        <v>437</v>
      </c>
    </row>
    <row r="1686" spans="2:12" ht="11.25" customHeight="1" x14ac:dyDescent="0.2">
      <c r="B1686" s="8" t="s">
        <v>809</v>
      </c>
      <c r="C1686" s="4" t="s">
        <v>1592</v>
      </c>
      <c r="D1686" s="106" t="s">
        <v>1581</v>
      </c>
      <c r="E1686" s="13" t="s">
        <v>746</v>
      </c>
      <c r="F1686" s="66">
        <v>26558000</v>
      </c>
      <c r="G1686" s="19">
        <v>1863</v>
      </c>
      <c r="H1686" s="20">
        <f>TRUNC($F1686*G1686*0.0000001,1)</f>
        <v>4947.7</v>
      </c>
      <c r="I1686" s="21">
        <v>0</v>
      </c>
      <c r="J1686" s="20">
        <f>TRUNC($F1686*I1686*0.0000001,1)</f>
        <v>0</v>
      </c>
      <c r="K1686" s="21">
        <v>0</v>
      </c>
      <c r="L1686" s="20">
        <f>TRUNC($F1686*K1686*0.0000001,1)</f>
        <v>0</v>
      </c>
    </row>
    <row r="1687" spans="2:12" ht="11.25" customHeight="1" x14ac:dyDescent="0.2">
      <c r="B1687" s="8" t="s">
        <v>810</v>
      </c>
      <c r="C1687" s="4" t="s">
        <v>1592</v>
      </c>
      <c r="D1687" s="106" t="s">
        <v>1583</v>
      </c>
      <c r="E1687" s="13" t="s">
        <v>746</v>
      </c>
      <c r="F1687" s="66">
        <v>28105000</v>
      </c>
      <c r="G1687" s="21">
        <v>0</v>
      </c>
      <c r="H1687" s="20">
        <f>TRUNC($F1687*G1687*0.0000001,1)</f>
        <v>0</v>
      </c>
      <c r="I1687" s="19">
        <v>1863</v>
      </c>
      <c r="J1687" s="20">
        <f>TRUNC($F1687*I1687*0.0000001,1)</f>
        <v>5235.8999999999996</v>
      </c>
      <c r="K1687" s="21">
        <v>0</v>
      </c>
      <c r="L1687" s="20">
        <f>TRUNC($F1687*K1687*0.0000001,1)</f>
        <v>0</v>
      </c>
    </row>
    <row r="1688" spans="2:12" ht="11.25" customHeight="1" x14ac:dyDescent="0.2">
      <c r="B1688" s="8" t="s">
        <v>811</v>
      </c>
      <c r="C1688" s="4" t="s">
        <v>1592</v>
      </c>
      <c r="D1688" s="106" t="s">
        <v>1585</v>
      </c>
      <c r="E1688" s="13" t="s">
        <v>746</v>
      </c>
      <c r="F1688" s="66">
        <v>42552000</v>
      </c>
      <c r="G1688" s="21">
        <v>0</v>
      </c>
      <c r="H1688" s="20">
        <f>TRUNC($F1688*G1688*0.0000001,1)</f>
        <v>0</v>
      </c>
      <c r="I1688" s="21">
        <v>0</v>
      </c>
      <c r="J1688" s="20">
        <f>TRUNC($F1688*I1688*0.0000001,1)</f>
        <v>0</v>
      </c>
      <c r="K1688" s="19">
        <v>1863</v>
      </c>
      <c r="L1688" s="20">
        <f>TRUNC($F1688*K1688*0.0000001,1)</f>
        <v>7927.4</v>
      </c>
    </row>
    <row r="1689" spans="2:12" ht="11.25" customHeight="1" x14ac:dyDescent="0.2">
      <c r="C1689" s="107" t="s">
        <v>1289</v>
      </c>
      <c r="D1689" s="109"/>
      <c r="E1689" s="34"/>
      <c r="F1689" s="33"/>
      <c r="G1689" s="33"/>
      <c r="H1689" s="24">
        <f>TRUNC(SUM(H1686:H1688))</f>
        <v>4947</v>
      </c>
      <c r="I1689" s="33"/>
      <c r="J1689" s="24">
        <f>TRUNC(SUM(J1686:J1688))</f>
        <v>5235</v>
      </c>
      <c r="K1689" s="33"/>
      <c r="L1689" s="24">
        <f>TRUNC(SUM(L1686:L1688))</f>
        <v>7927</v>
      </c>
    </row>
    <row r="1690" spans="2:12" ht="11.25" customHeight="1" x14ac:dyDescent="0.2">
      <c r="C1690" s="4"/>
      <c r="D1690" s="4"/>
      <c r="E1690" s="13"/>
      <c r="F1690" s="56"/>
      <c r="G1690" s="18"/>
      <c r="H1690" s="20"/>
      <c r="I1690" s="18"/>
      <c r="J1690" s="20"/>
      <c r="K1690" s="18"/>
      <c r="L1690" s="20"/>
    </row>
    <row r="1691" spans="2:12" ht="11.25" customHeight="1" x14ac:dyDescent="0.2">
      <c r="C1691" s="126" t="s">
        <v>1286</v>
      </c>
      <c r="D1691" s="126"/>
      <c r="E1691" s="127"/>
      <c r="F1691" s="125"/>
      <c r="G1691" s="125"/>
      <c r="H1691" s="128">
        <f>TRUNC(H1689)</f>
        <v>4947</v>
      </c>
      <c r="I1691" s="125"/>
      <c r="J1691" s="128">
        <f>TRUNC(J1689)</f>
        <v>5235</v>
      </c>
      <c r="K1691" s="102"/>
      <c r="L1691" s="104">
        <f>TRUNC(L1689)</f>
        <v>7927</v>
      </c>
    </row>
    <row r="1692" spans="2:12" ht="11.25" customHeight="1" x14ac:dyDescent="0.2">
      <c r="B1692" s="186" t="s">
        <v>427</v>
      </c>
      <c r="C1692" s="187" t="s">
        <v>428</v>
      </c>
      <c r="D1692" s="187" t="s">
        <v>429</v>
      </c>
      <c r="E1692" s="188" t="s">
        <v>430</v>
      </c>
      <c r="F1692" s="188" t="s">
        <v>431</v>
      </c>
      <c r="G1692" s="94" t="s">
        <v>1588</v>
      </c>
      <c r="H1692" s="151"/>
      <c r="I1692" s="94" t="s">
        <v>1590</v>
      </c>
      <c r="J1692" s="151"/>
    </row>
    <row r="1693" spans="2:12" ht="11.25" customHeight="1" x14ac:dyDescent="0.2">
      <c r="B1693" s="186"/>
      <c r="C1693" s="187"/>
      <c r="D1693" s="187"/>
      <c r="E1693" s="188"/>
      <c r="F1693" s="188"/>
      <c r="G1693" s="17" t="s">
        <v>436</v>
      </c>
      <c r="H1693" s="17" t="s">
        <v>437</v>
      </c>
      <c r="I1693" s="17" t="s">
        <v>436</v>
      </c>
      <c r="J1693" s="17" t="s">
        <v>437</v>
      </c>
    </row>
    <row r="1694" spans="2:12" ht="11.25" customHeight="1" x14ac:dyDescent="0.2">
      <c r="B1694" s="8" t="s">
        <v>812</v>
      </c>
      <c r="C1694" s="4" t="s">
        <v>1592</v>
      </c>
      <c r="D1694" s="106" t="s">
        <v>1587</v>
      </c>
      <c r="E1694" s="13" t="s">
        <v>746</v>
      </c>
      <c r="F1694" s="66">
        <v>44266000</v>
      </c>
      <c r="G1694" s="19">
        <v>1863</v>
      </c>
      <c r="H1694" s="20">
        <f>TRUNC($F1694*G1694*0.0000001,1)</f>
        <v>8246.7000000000007</v>
      </c>
      <c r="I1694" s="21">
        <v>0</v>
      </c>
      <c r="J1694" s="20">
        <f>TRUNC($F1694*I1694*0.0000001,1)</f>
        <v>0</v>
      </c>
    </row>
    <row r="1695" spans="2:12" ht="11.25" customHeight="1" x14ac:dyDescent="0.2">
      <c r="B1695" s="8" t="s">
        <v>813</v>
      </c>
      <c r="C1695" s="4" t="s">
        <v>1592</v>
      </c>
      <c r="D1695" s="106" t="s">
        <v>1589</v>
      </c>
      <c r="E1695" s="13" t="s">
        <v>746</v>
      </c>
      <c r="F1695" s="66">
        <v>50365000</v>
      </c>
      <c r="G1695" s="21">
        <v>0</v>
      </c>
      <c r="H1695" s="20">
        <f>TRUNC($F1695*G1695*0.0000001,1)</f>
        <v>0</v>
      </c>
      <c r="I1695" s="19">
        <v>1863</v>
      </c>
      <c r="J1695" s="20">
        <f>TRUNC($F1695*I1695*0.0000001,1)</f>
        <v>9382.9</v>
      </c>
    </row>
    <row r="1696" spans="2:12" ht="11.25" customHeight="1" x14ac:dyDescent="0.2">
      <c r="C1696" s="107" t="s">
        <v>1289</v>
      </c>
      <c r="D1696" s="109"/>
      <c r="E1696" s="34"/>
      <c r="F1696" s="33"/>
      <c r="G1696" s="33"/>
      <c r="H1696" s="24">
        <f>TRUNC(SUM(H1694:H1695))</f>
        <v>8246</v>
      </c>
      <c r="I1696" s="33"/>
      <c r="J1696" s="24">
        <f>TRUNC(SUM(J1694:J1695))</f>
        <v>9382</v>
      </c>
    </row>
    <row r="1697" spans="1:10" ht="11.25" customHeight="1" x14ac:dyDescent="0.2">
      <c r="C1697" s="4"/>
      <c r="D1697" s="4"/>
      <c r="E1697" s="13"/>
      <c r="F1697" s="56"/>
      <c r="G1697" s="18"/>
      <c r="H1697" s="20"/>
      <c r="I1697" s="18"/>
      <c r="J1697" s="20"/>
    </row>
    <row r="1698" spans="1:10" ht="11.25" customHeight="1" x14ac:dyDescent="0.2">
      <c r="B1698" s="16"/>
      <c r="C1698" s="108" t="s">
        <v>1286</v>
      </c>
      <c r="D1698" s="108"/>
      <c r="E1698" s="103"/>
      <c r="F1698" s="102"/>
      <c r="G1698" s="102"/>
      <c r="H1698" s="104">
        <f>TRUNC(H1696)</f>
        <v>8246</v>
      </c>
      <c r="I1698" s="102"/>
      <c r="J1698" s="104">
        <f>TRUNC(J1696)</f>
        <v>9382</v>
      </c>
    </row>
    <row r="1700" spans="1:10" ht="11.25" customHeight="1" x14ac:dyDescent="0.2">
      <c r="B1700" s="68" t="s">
        <v>1593</v>
      </c>
      <c r="C1700" s="119"/>
      <c r="J1700" s="49" t="s">
        <v>1307</v>
      </c>
    </row>
    <row r="1701" spans="1:10" ht="11.25" customHeight="1" x14ac:dyDescent="0.2">
      <c r="B1701" s="186" t="s">
        <v>427</v>
      </c>
      <c r="C1701" s="187" t="s">
        <v>428</v>
      </c>
      <c r="D1701" s="187" t="s">
        <v>429</v>
      </c>
      <c r="E1701" s="188" t="s">
        <v>430</v>
      </c>
      <c r="F1701" s="188" t="s">
        <v>431</v>
      </c>
      <c r="G1701" s="94" t="s">
        <v>1596</v>
      </c>
      <c r="H1701" s="151"/>
      <c r="I1701" s="94" t="s">
        <v>1598</v>
      </c>
      <c r="J1701" s="151"/>
    </row>
    <row r="1702" spans="1:10" ht="11.25" customHeight="1" x14ac:dyDescent="0.2">
      <c r="B1702" s="186"/>
      <c r="C1702" s="187"/>
      <c r="D1702" s="187"/>
      <c r="E1702" s="188"/>
      <c r="F1702" s="188"/>
      <c r="G1702" s="17" t="s">
        <v>436</v>
      </c>
      <c r="H1702" s="17" t="s">
        <v>437</v>
      </c>
      <c r="I1702" s="17" t="s">
        <v>436</v>
      </c>
      <c r="J1702" s="17" t="s">
        <v>437</v>
      </c>
    </row>
    <row r="1703" spans="1:10" ht="11.25" customHeight="1" x14ac:dyDescent="0.2">
      <c r="A1703" s="49"/>
      <c r="B1703" s="8" t="s">
        <v>609</v>
      </c>
      <c r="C1703" s="4" t="s">
        <v>1594</v>
      </c>
      <c r="D1703" s="106" t="s">
        <v>1595</v>
      </c>
      <c r="E1703" s="13" t="s">
        <v>746</v>
      </c>
      <c r="F1703" s="66">
        <v>5834000</v>
      </c>
      <c r="G1703" s="19">
        <v>1613</v>
      </c>
      <c r="H1703" s="20">
        <f>TRUNC($F1703*G1703*0.0000001,1)</f>
        <v>941</v>
      </c>
      <c r="I1703" s="21">
        <v>0</v>
      </c>
      <c r="J1703" s="20">
        <f>TRUNC($F1703*I1703*0.0000001,1)</f>
        <v>0</v>
      </c>
    </row>
    <row r="1704" spans="1:10" ht="11.25" customHeight="1" x14ac:dyDescent="0.2">
      <c r="B1704" s="8" t="s">
        <v>610</v>
      </c>
      <c r="C1704" s="4" t="s">
        <v>1594</v>
      </c>
      <c r="D1704" s="106" t="s">
        <v>1597</v>
      </c>
      <c r="E1704" s="13" t="s">
        <v>746</v>
      </c>
      <c r="F1704" s="66">
        <v>6736000</v>
      </c>
      <c r="G1704" s="21">
        <v>0</v>
      </c>
      <c r="H1704" s="20">
        <f>TRUNC($F1704*G1704*0.0000001,1)</f>
        <v>0</v>
      </c>
      <c r="I1704" s="19">
        <v>1613</v>
      </c>
      <c r="J1704" s="20">
        <f>TRUNC($F1704*I1704*0.0000001,1)</f>
        <v>1086.5</v>
      </c>
    </row>
    <row r="1705" spans="1:10" ht="11.25" customHeight="1" x14ac:dyDescent="0.2">
      <c r="C1705" s="107" t="s">
        <v>1289</v>
      </c>
      <c r="D1705" s="109"/>
      <c r="E1705" s="34"/>
      <c r="F1705" s="33"/>
      <c r="G1705" s="33"/>
      <c r="H1705" s="24">
        <f>TRUNC(SUM(H1703:H1704))</f>
        <v>941</v>
      </c>
      <c r="I1705" s="33"/>
      <c r="J1705" s="24">
        <f>TRUNC(SUM(J1703:J1704))</f>
        <v>1086</v>
      </c>
    </row>
    <row r="1706" spans="1:10" ht="11.25" customHeight="1" x14ac:dyDescent="0.2">
      <c r="C1706" s="4"/>
      <c r="D1706" s="4"/>
      <c r="E1706" s="18"/>
      <c r="F1706" s="18"/>
      <c r="G1706" s="18"/>
      <c r="H1706" s="18"/>
      <c r="I1706" s="18"/>
      <c r="J1706" s="18"/>
    </row>
    <row r="1707" spans="1:10" ht="11.25" customHeight="1" x14ac:dyDescent="0.2">
      <c r="C1707" s="126" t="s">
        <v>1286</v>
      </c>
      <c r="D1707" s="126"/>
      <c r="E1707" s="127"/>
      <c r="F1707" s="125"/>
      <c r="G1707" s="125"/>
      <c r="H1707" s="128">
        <f>TRUNC(H1705)</f>
        <v>941</v>
      </c>
      <c r="I1707" s="125"/>
      <c r="J1707" s="128">
        <f>TRUNC(J1705)</f>
        <v>1086</v>
      </c>
    </row>
    <row r="1708" spans="1:10" ht="11.25" customHeight="1" x14ac:dyDescent="0.2">
      <c r="B1708" s="186" t="s">
        <v>427</v>
      </c>
      <c r="C1708" s="187" t="s">
        <v>428</v>
      </c>
      <c r="D1708" s="187" t="s">
        <v>429</v>
      </c>
      <c r="E1708" s="188" t="s">
        <v>430</v>
      </c>
      <c r="F1708" s="188" t="s">
        <v>431</v>
      </c>
      <c r="G1708" s="94" t="s">
        <v>1600</v>
      </c>
      <c r="H1708" s="151"/>
      <c r="I1708" s="94" t="s">
        <v>1602</v>
      </c>
      <c r="J1708" s="151"/>
    </row>
    <row r="1709" spans="1:10" ht="11.25" customHeight="1" x14ac:dyDescent="0.2">
      <c r="B1709" s="186"/>
      <c r="C1709" s="187"/>
      <c r="D1709" s="187"/>
      <c r="E1709" s="188"/>
      <c r="F1709" s="188"/>
      <c r="G1709" s="17" t="s">
        <v>436</v>
      </c>
      <c r="H1709" s="17" t="s">
        <v>437</v>
      </c>
      <c r="I1709" s="17" t="s">
        <v>436</v>
      </c>
      <c r="J1709" s="17" t="s">
        <v>437</v>
      </c>
    </row>
    <row r="1710" spans="1:10" ht="11.25" customHeight="1" x14ac:dyDescent="0.2">
      <c r="B1710" s="8" t="s">
        <v>611</v>
      </c>
      <c r="C1710" s="4" t="s">
        <v>1594</v>
      </c>
      <c r="D1710" s="106" t="s">
        <v>1599</v>
      </c>
      <c r="E1710" s="13" t="s">
        <v>746</v>
      </c>
      <c r="F1710" s="66">
        <v>9988000</v>
      </c>
      <c r="G1710" s="19">
        <v>1613</v>
      </c>
      <c r="H1710" s="20">
        <f>TRUNC($F1710*G1710*0.0000001,1)</f>
        <v>1611</v>
      </c>
      <c r="I1710" s="21">
        <v>0</v>
      </c>
      <c r="J1710" s="20">
        <f>TRUNC($F1710*I1710*0.0000001,1)</f>
        <v>0</v>
      </c>
    </row>
    <row r="1711" spans="1:10" ht="11.25" customHeight="1" x14ac:dyDescent="0.2">
      <c r="B1711" s="8" t="s">
        <v>612</v>
      </c>
      <c r="C1711" s="4" t="s">
        <v>1594</v>
      </c>
      <c r="D1711" s="106" t="s">
        <v>1601</v>
      </c>
      <c r="E1711" s="13" t="s">
        <v>746</v>
      </c>
      <c r="F1711" s="66">
        <v>13271000</v>
      </c>
      <c r="G1711" s="21">
        <v>0</v>
      </c>
      <c r="H1711" s="20">
        <f>TRUNC($F1711*G1711*0.0000001,1)</f>
        <v>0</v>
      </c>
      <c r="I1711" s="19">
        <v>1613</v>
      </c>
      <c r="J1711" s="20">
        <f>TRUNC($F1711*I1711*0.0000001,1)</f>
        <v>2140.6</v>
      </c>
    </row>
    <row r="1712" spans="1:10" ht="11.25" customHeight="1" x14ac:dyDescent="0.2">
      <c r="C1712" s="107" t="s">
        <v>1289</v>
      </c>
      <c r="D1712" s="109"/>
      <c r="E1712" s="34"/>
      <c r="F1712" s="33"/>
      <c r="G1712" s="33"/>
      <c r="H1712" s="24">
        <f>TRUNC(SUM(H1710:H1711))</f>
        <v>1611</v>
      </c>
      <c r="I1712" s="33"/>
      <c r="J1712" s="24">
        <f>TRUNC(SUM(J1710:J1711))</f>
        <v>2140</v>
      </c>
    </row>
    <row r="1713" spans="1:10" ht="11.25" customHeight="1" x14ac:dyDescent="0.2">
      <c r="C1713" s="4"/>
      <c r="D1713" s="4"/>
      <c r="E1713" s="18"/>
      <c r="F1713" s="18"/>
      <c r="G1713" s="18"/>
      <c r="H1713" s="18"/>
      <c r="I1713" s="18"/>
      <c r="J1713" s="18"/>
    </row>
    <row r="1714" spans="1:10" ht="11.25" customHeight="1" x14ac:dyDescent="0.2">
      <c r="C1714" s="126" t="s">
        <v>1286</v>
      </c>
      <c r="D1714" s="126"/>
      <c r="E1714" s="127"/>
      <c r="F1714" s="125"/>
      <c r="G1714" s="125"/>
      <c r="H1714" s="128">
        <f>TRUNC(H1712)</f>
        <v>1611</v>
      </c>
      <c r="I1714" s="125"/>
      <c r="J1714" s="128">
        <f>TRUNC(J1712)</f>
        <v>2140</v>
      </c>
    </row>
    <row r="1715" spans="1:10" ht="11.25" customHeight="1" x14ac:dyDescent="0.2">
      <c r="B1715" s="186" t="s">
        <v>427</v>
      </c>
      <c r="C1715" s="187" t="s">
        <v>428</v>
      </c>
      <c r="D1715" s="187" t="s">
        <v>429</v>
      </c>
      <c r="E1715" s="188" t="s">
        <v>430</v>
      </c>
      <c r="F1715" s="188" t="s">
        <v>431</v>
      </c>
      <c r="G1715" s="94" t="s">
        <v>1604</v>
      </c>
      <c r="H1715" s="151"/>
      <c r="I1715" s="94" t="s">
        <v>1606</v>
      </c>
      <c r="J1715" s="151"/>
    </row>
    <row r="1716" spans="1:10" ht="11.25" customHeight="1" x14ac:dyDescent="0.2">
      <c r="A1716" s="7"/>
      <c r="B1716" s="186"/>
      <c r="C1716" s="187"/>
      <c r="D1716" s="187"/>
      <c r="E1716" s="188"/>
      <c r="F1716" s="188"/>
      <c r="G1716" s="17" t="s">
        <v>436</v>
      </c>
      <c r="H1716" s="17" t="s">
        <v>437</v>
      </c>
      <c r="I1716" s="17" t="s">
        <v>436</v>
      </c>
      <c r="J1716" s="17" t="s">
        <v>437</v>
      </c>
    </row>
    <row r="1717" spans="1:10" ht="11.25" customHeight="1" x14ac:dyDescent="0.2">
      <c r="B1717" s="8" t="s">
        <v>613</v>
      </c>
      <c r="C1717" s="4" t="s">
        <v>1594</v>
      </c>
      <c r="D1717" s="106" t="s">
        <v>1603</v>
      </c>
      <c r="E1717" s="13" t="s">
        <v>746</v>
      </c>
      <c r="F1717" s="66">
        <v>20469000</v>
      </c>
      <c r="G1717" s="19">
        <v>1613</v>
      </c>
      <c r="H1717" s="20">
        <f>TRUNC($F1717*G1717*0.0000001,1)</f>
        <v>3301.6</v>
      </c>
      <c r="I1717" s="21">
        <v>0</v>
      </c>
      <c r="J1717" s="20">
        <f>TRUNC($F1717*I1717*0.0000001,1)</f>
        <v>0</v>
      </c>
    </row>
    <row r="1718" spans="1:10" ht="11.25" customHeight="1" x14ac:dyDescent="0.2">
      <c r="B1718" s="8" t="s">
        <v>614</v>
      </c>
      <c r="C1718" s="4" t="s">
        <v>1594</v>
      </c>
      <c r="D1718" s="106" t="s">
        <v>1605</v>
      </c>
      <c r="E1718" s="13" t="s">
        <v>746</v>
      </c>
      <c r="F1718" s="66">
        <v>27185000</v>
      </c>
      <c r="G1718" s="21">
        <v>0</v>
      </c>
      <c r="H1718" s="20">
        <f>TRUNC($F1718*G1718*0.0000001,1)</f>
        <v>0</v>
      </c>
      <c r="I1718" s="19">
        <v>1613</v>
      </c>
      <c r="J1718" s="20">
        <f>TRUNC($F1718*I1718*0.0000001,1)</f>
        <v>4384.8999999999996</v>
      </c>
    </row>
    <row r="1719" spans="1:10" ht="11.25" customHeight="1" x14ac:dyDescent="0.2">
      <c r="C1719" s="107" t="s">
        <v>1289</v>
      </c>
      <c r="D1719" s="109"/>
      <c r="E1719" s="34"/>
      <c r="F1719" s="33"/>
      <c r="G1719" s="33"/>
      <c r="H1719" s="24">
        <f>TRUNC(SUM(H1717:H1718))</f>
        <v>3301</v>
      </c>
      <c r="I1719" s="33"/>
      <c r="J1719" s="24">
        <f>TRUNC(SUM(J1717:J1718))</f>
        <v>4384</v>
      </c>
    </row>
    <row r="1720" spans="1:10" ht="11.25" customHeight="1" x14ac:dyDescent="0.2">
      <c r="C1720" s="107"/>
      <c r="D1720" s="109"/>
      <c r="E1720" s="34"/>
      <c r="F1720" s="33"/>
      <c r="G1720" s="33"/>
      <c r="H1720" s="24"/>
      <c r="I1720" s="33"/>
      <c r="J1720" s="24"/>
    </row>
    <row r="1721" spans="1:10" ht="11.25" customHeight="1" x14ac:dyDescent="0.2">
      <c r="C1721" s="126" t="s">
        <v>1286</v>
      </c>
      <c r="D1721" s="126"/>
      <c r="E1721" s="127"/>
      <c r="F1721" s="125"/>
      <c r="G1721" s="125"/>
      <c r="H1721" s="128">
        <f>TRUNC(H1719)</f>
        <v>3301</v>
      </c>
      <c r="I1721" s="102"/>
      <c r="J1721" s="104">
        <f>TRUNC(J1719)</f>
        <v>4384</v>
      </c>
    </row>
    <row r="1722" spans="1:10" ht="11.25" customHeight="1" x14ac:dyDescent="0.2">
      <c r="B1722" s="186" t="s">
        <v>427</v>
      </c>
      <c r="C1722" s="187" t="s">
        <v>428</v>
      </c>
      <c r="D1722" s="187" t="s">
        <v>429</v>
      </c>
      <c r="E1722" s="188" t="s">
        <v>430</v>
      </c>
      <c r="F1722" s="188" t="s">
        <v>431</v>
      </c>
      <c r="G1722" s="94" t="s">
        <v>1608</v>
      </c>
      <c r="H1722" s="151"/>
    </row>
    <row r="1723" spans="1:10" ht="11.25" customHeight="1" x14ac:dyDescent="0.2">
      <c r="B1723" s="186"/>
      <c r="C1723" s="187"/>
      <c r="D1723" s="187"/>
      <c r="E1723" s="188"/>
      <c r="F1723" s="188"/>
      <c r="G1723" s="17" t="s">
        <v>436</v>
      </c>
      <c r="H1723" s="17" t="s">
        <v>437</v>
      </c>
    </row>
    <row r="1724" spans="1:10" ht="11.25" customHeight="1" x14ac:dyDescent="0.2">
      <c r="B1724" s="8" t="s">
        <v>615</v>
      </c>
      <c r="C1724" s="4" t="s">
        <v>1594</v>
      </c>
      <c r="D1724" s="106" t="s">
        <v>1607</v>
      </c>
      <c r="E1724" s="13" t="s">
        <v>746</v>
      </c>
      <c r="F1724" s="66">
        <v>28872000</v>
      </c>
      <c r="G1724" s="19">
        <v>1613</v>
      </c>
      <c r="H1724" s="20">
        <f>TRUNC($F1724*G1724*0.0000001,1)</f>
        <v>4657</v>
      </c>
    </row>
    <row r="1725" spans="1:10" ht="11.25" customHeight="1" x14ac:dyDescent="0.2">
      <c r="C1725" s="107" t="s">
        <v>1289</v>
      </c>
      <c r="D1725" s="109"/>
      <c r="E1725" s="34"/>
      <c r="F1725" s="33"/>
      <c r="G1725" s="33"/>
      <c r="H1725" s="24">
        <f>TRUNC(SUM(H1724:H1724))</f>
        <v>4657</v>
      </c>
    </row>
    <row r="1726" spans="1:10" ht="11.25" customHeight="1" x14ac:dyDescent="0.2">
      <c r="C1726" s="107"/>
      <c r="D1726" s="109"/>
      <c r="E1726" s="34"/>
      <c r="F1726" s="33"/>
      <c r="G1726" s="33"/>
      <c r="H1726" s="24"/>
    </row>
    <row r="1727" spans="1:10" ht="11.25" customHeight="1" x14ac:dyDescent="0.2">
      <c r="B1727" s="16"/>
      <c r="C1727" s="108" t="s">
        <v>1286</v>
      </c>
      <c r="D1727" s="108"/>
      <c r="E1727" s="103"/>
      <c r="F1727" s="102"/>
      <c r="G1727" s="102"/>
      <c r="H1727" s="104">
        <f>TRUNC(H1725)</f>
        <v>4657</v>
      </c>
      <c r="I1727" s="9"/>
      <c r="J1727" s="9"/>
    </row>
    <row r="1729" spans="2:12" ht="11.25" customHeight="1" x14ac:dyDescent="0.2">
      <c r="B1729" s="68" t="s">
        <v>1609</v>
      </c>
      <c r="H1729" s="49" t="s">
        <v>1307</v>
      </c>
    </row>
    <row r="1730" spans="2:12" ht="11.25" customHeight="1" x14ac:dyDescent="0.2">
      <c r="B1730" s="186" t="s">
        <v>427</v>
      </c>
      <c r="C1730" s="187" t="s">
        <v>428</v>
      </c>
      <c r="D1730" s="187" t="s">
        <v>429</v>
      </c>
      <c r="E1730" s="188" t="s">
        <v>430</v>
      </c>
      <c r="F1730" s="188" t="s">
        <v>431</v>
      </c>
      <c r="G1730" s="94" t="s">
        <v>1105</v>
      </c>
      <c r="H1730" s="151"/>
    </row>
    <row r="1731" spans="2:12" ht="11.25" customHeight="1" x14ac:dyDescent="0.2">
      <c r="B1731" s="186"/>
      <c r="C1731" s="187"/>
      <c r="D1731" s="187"/>
      <c r="E1731" s="188"/>
      <c r="F1731" s="188"/>
      <c r="G1731" s="17" t="s">
        <v>436</v>
      </c>
      <c r="H1731" s="17" t="s">
        <v>437</v>
      </c>
    </row>
    <row r="1732" spans="2:12" ht="11.25" customHeight="1" x14ac:dyDescent="0.2">
      <c r="C1732" s="4" t="s">
        <v>798</v>
      </c>
      <c r="D1732" s="4" t="s">
        <v>866</v>
      </c>
      <c r="E1732" s="13" t="s">
        <v>497</v>
      </c>
      <c r="F1732" s="28">
        <v>283297</v>
      </c>
      <c r="G1732" s="18">
        <v>0.20799999999999999</v>
      </c>
      <c r="H1732" s="20">
        <f>TRUNC(($F1732*G1732),1)</f>
        <v>58925.7</v>
      </c>
    </row>
    <row r="1733" spans="2:12" ht="11.25" customHeight="1" x14ac:dyDescent="0.2">
      <c r="C1733" s="107" t="s">
        <v>1285</v>
      </c>
      <c r="D1733" s="109"/>
      <c r="E1733" s="34"/>
      <c r="F1733" s="33"/>
      <c r="G1733" s="33"/>
      <c r="H1733" s="24">
        <f>TRUNC(SUM(H1732:H1732))</f>
        <v>58925</v>
      </c>
    </row>
    <row r="1734" spans="2:12" ht="11.25" customHeight="1" x14ac:dyDescent="0.2">
      <c r="C1734" s="107"/>
      <c r="D1734" s="109"/>
      <c r="E1734" s="34"/>
      <c r="F1734" s="33"/>
      <c r="G1734" s="33"/>
      <c r="H1734" s="24"/>
    </row>
    <row r="1735" spans="2:12" ht="11.25" customHeight="1" x14ac:dyDescent="0.2">
      <c r="B1735" s="8" t="s">
        <v>515</v>
      </c>
      <c r="C1735" s="4" t="s">
        <v>893</v>
      </c>
      <c r="D1735" s="106" t="s">
        <v>1384</v>
      </c>
      <c r="E1735" s="13" t="s">
        <v>746</v>
      </c>
      <c r="F1735" s="66">
        <v>69127000</v>
      </c>
      <c r="G1735" s="19">
        <v>3089</v>
      </c>
      <c r="H1735" s="20">
        <f>TRUNC($F1735*G1735*0.0000001,1)</f>
        <v>21353.3</v>
      </c>
    </row>
    <row r="1736" spans="2:12" ht="11.25" customHeight="1" x14ac:dyDescent="0.2">
      <c r="C1736" s="107" t="s">
        <v>1289</v>
      </c>
      <c r="D1736" s="109"/>
      <c r="E1736" s="34"/>
      <c r="F1736" s="33"/>
      <c r="G1736" s="33"/>
      <c r="H1736" s="24">
        <f>TRUNC(SUM(H1735:H1735))</f>
        <v>21353</v>
      </c>
    </row>
    <row r="1737" spans="2:12" ht="11.25" customHeight="1" x14ac:dyDescent="0.2">
      <c r="C1737" s="107"/>
      <c r="D1737" s="109"/>
      <c r="E1737" s="34"/>
      <c r="F1737" s="33"/>
      <c r="G1737" s="33"/>
      <c r="H1737" s="24"/>
    </row>
    <row r="1738" spans="2:12" ht="11.25" customHeight="1" x14ac:dyDescent="0.2">
      <c r="B1738" s="16"/>
      <c r="C1738" s="108" t="s">
        <v>1286</v>
      </c>
      <c r="D1738" s="108"/>
      <c r="E1738" s="103"/>
      <c r="F1738" s="102"/>
      <c r="G1738" s="102"/>
      <c r="H1738" s="104">
        <f>TRUNC(H1736+H1733)</f>
        <v>80278</v>
      </c>
    </row>
    <row r="1740" spans="2:12" ht="11.25" customHeight="1" x14ac:dyDescent="0.2">
      <c r="B1740" s="68" t="s">
        <v>1617</v>
      </c>
      <c r="C1740" s="119"/>
      <c r="J1740" s="49"/>
      <c r="L1740" s="49" t="s">
        <v>1307</v>
      </c>
    </row>
    <row r="1741" spans="2:12" ht="11.25" customHeight="1" x14ac:dyDescent="0.2">
      <c r="B1741" s="186" t="s">
        <v>427</v>
      </c>
      <c r="C1741" s="187" t="s">
        <v>428</v>
      </c>
      <c r="D1741" s="187" t="s">
        <v>429</v>
      </c>
      <c r="E1741" s="188" t="s">
        <v>430</v>
      </c>
      <c r="F1741" s="188" t="s">
        <v>431</v>
      </c>
      <c r="G1741" s="94" t="s">
        <v>514</v>
      </c>
      <c r="H1741" s="151"/>
      <c r="I1741" s="94" t="s">
        <v>329</v>
      </c>
      <c r="J1741" s="151"/>
      <c r="K1741" s="94" t="s">
        <v>75</v>
      </c>
      <c r="L1741" s="151"/>
    </row>
    <row r="1742" spans="2:12" ht="11.25" customHeight="1" x14ac:dyDescent="0.2">
      <c r="B1742" s="186"/>
      <c r="C1742" s="187"/>
      <c r="D1742" s="187"/>
      <c r="E1742" s="188"/>
      <c r="F1742" s="188"/>
      <c r="G1742" s="17" t="s">
        <v>436</v>
      </c>
      <c r="H1742" s="17" t="s">
        <v>437</v>
      </c>
      <c r="I1742" s="17" t="s">
        <v>436</v>
      </c>
      <c r="J1742" s="17" t="s">
        <v>437</v>
      </c>
      <c r="K1742" s="17" t="s">
        <v>436</v>
      </c>
      <c r="L1742" s="17" t="s">
        <v>437</v>
      </c>
    </row>
    <row r="1743" spans="2:12" ht="11.25" customHeight="1" x14ac:dyDescent="0.2">
      <c r="B1743" s="8" t="s">
        <v>618</v>
      </c>
      <c r="C1743" s="4" t="s">
        <v>1618</v>
      </c>
      <c r="D1743" s="106" t="s">
        <v>616</v>
      </c>
      <c r="E1743" s="13" t="s">
        <v>746</v>
      </c>
      <c r="F1743" s="66">
        <v>166682000</v>
      </c>
      <c r="G1743" s="19">
        <v>4010</v>
      </c>
      <c r="H1743" s="20">
        <f>TRUNC($F1743*G1743*0.0000001,1)</f>
        <v>66839.399999999994</v>
      </c>
      <c r="I1743" s="21">
        <v>0</v>
      </c>
      <c r="J1743" s="20">
        <f>TRUNC($F1743*I1743*0.0000001,1)</f>
        <v>0</v>
      </c>
      <c r="K1743" s="21">
        <v>0</v>
      </c>
      <c r="L1743" s="20">
        <f>TRUNC($F1743*K1743*0.0000001,1)</f>
        <v>0</v>
      </c>
    </row>
    <row r="1744" spans="2:12" ht="11.25" customHeight="1" x14ac:dyDescent="0.2">
      <c r="B1744" s="8" t="s">
        <v>347</v>
      </c>
      <c r="C1744" s="4" t="s">
        <v>1618</v>
      </c>
      <c r="D1744" s="106" t="s">
        <v>617</v>
      </c>
      <c r="E1744" s="13" t="s">
        <v>746</v>
      </c>
      <c r="F1744" s="66">
        <v>373323000</v>
      </c>
      <c r="G1744" s="21">
        <v>0</v>
      </c>
      <c r="H1744" s="20">
        <f>TRUNC($F1744*G1744*0.0000001,1)</f>
        <v>0</v>
      </c>
      <c r="I1744" s="19">
        <v>4010</v>
      </c>
      <c r="J1744" s="20">
        <f>TRUNC($F1744*I1744*0.0000001,1)</f>
        <v>149702.5</v>
      </c>
      <c r="K1744" s="21">
        <v>0</v>
      </c>
      <c r="L1744" s="20">
        <f>TRUNC($F1744*K1744*0.0000001,1)</f>
        <v>0</v>
      </c>
    </row>
    <row r="1745" spans="1:12" ht="11.25" customHeight="1" x14ac:dyDescent="0.2">
      <c r="B1745" s="8" t="s">
        <v>349</v>
      </c>
      <c r="C1745" s="4" t="s">
        <v>1618</v>
      </c>
      <c r="D1745" s="106" t="s">
        <v>348</v>
      </c>
      <c r="E1745" s="13" t="s">
        <v>746</v>
      </c>
      <c r="F1745" s="66">
        <v>595673000</v>
      </c>
      <c r="G1745" s="21">
        <v>0</v>
      </c>
      <c r="H1745" s="20">
        <f>TRUNC($F1745*G1745*0.0000001,1)</f>
        <v>0</v>
      </c>
      <c r="I1745" s="21">
        <v>0</v>
      </c>
      <c r="J1745" s="20">
        <f>TRUNC($F1745*I1745*0.0000001,1)</f>
        <v>0</v>
      </c>
      <c r="K1745" s="19">
        <v>4010</v>
      </c>
      <c r="L1745" s="20">
        <f>TRUNC($F1745*K1745*0.0000001,1)</f>
        <v>238864.8</v>
      </c>
    </row>
    <row r="1746" spans="1:12" ht="11.25" customHeight="1" x14ac:dyDescent="0.2">
      <c r="C1746" s="107" t="s">
        <v>1289</v>
      </c>
      <c r="D1746" s="109"/>
      <c r="E1746" s="34"/>
      <c r="F1746" s="33"/>
      <c r="G1746" s="33"/>
      <c r="H1746" s="24">
        <f>TRUNC(SUM(H1743:H1744))</f>
        <v>66839</v>
      </c>
      <c r="I1746" s="33"/>
      <c r="J1746" s="24">
        <f>TRUNC(SUM(J1743:J1744))</f>
        <v>149702</v>
      </c>
      <c r="K1746" s="33"/>
      <c r="L1746" s="24">
        <f>TRUNC(SUM(L1745:L1745))</f>
        <v>238864</v>
      </c>
    </row>
    <row r="1747" spans="1:12" ht="11.25" customHeight="1" x14ac:dyDescent="0.2">
      <c r="B1747" s="29"/>
      <c r="C1747" s="121"/>
      <c r="D1747" s="110"/>
      <c r="E1747" s="30"/>
      <c r="F1747" s="30"/>
      <c r="G1747" s="30"/>
      <c r="H1747" s="73"/>
      <c r="I1747" s="30"/>
      <c r="J1747" s="73"/>
      <c r="K1747" s="30"/>
      <c r="L1747" s="24"/>
    </row>
    <row r="1748" spans="1:12" ht="11.25" customHeight="1" x14ac:dyDescent="0.2">
      <c r="B1748" s="16"/>
      <c r="C1748" s="108" t="s">
        <v>1286</v>
      </c>
      <c r="D1748" s="108"/>
      <c r="E1748" s="103"/>
      <c r="F1748" s="102"/>
      <c r="G1748" s="102"/>
      <c r="H1748" s="104">
        <f>TRUNC(H1746)</f>
        <v>66839</v>
      </c>
      <c r="I1748" s="102"/>
      <c r="J1748" s="104">
        <f>TRUNC(J1746)</f>
        <v>149702</v>
      </c>
      <c r="K1748" s="102"/>
      <c r="L1748" s="104">
        <f>TRUNC(L1746)</f>
        <v>238864</v>
      </c>
    </row>
    <row r="1750" spans="1:12" ht="11.25" customHeight="1" x14ac:dyDescent="0.2">
      <c r="B1750" s="68" t="s">
        <v>1610</v>
      </c>
      <c r="C1750" s="119"/>
      <c r="J1750" s="49" t="s">
        <v>1307</v>
      </c>
    </row>
    <row r="1751" spans="1:12" ht="11.25" customHeight="1" x14ac:dyDescent="0.2">
      <c r="B1751" s="186" t="s">
        <v>427</v>
      </c>
      <c r="C1751" s="187" t="s">
        <v>428</v>
      </c>
      <c r="D1751" s="187" t="s">
        <v>429</v>
      </c>
      <c r="E1751" s="188" t="s">
        <v>430</v>
      </c>
      <c r="F1751" s="188" t="s">
        <v>431</v>
      </c>
      <c r="G1751" s="94" t="s">
        <v>1612</v>
      </c>
      <c r="H1751" s="151"/>
      <c r="I1751" s="94" t="s">
        <v>1613</v>
      </c>
      <c r="J1751" s="151"/>
    </row>
    <row r="1752" spans="1:12" ht="11.25" customHeight="1" x14ac:dyDescent="0.2">
      <c r="B1752" s="186"/>
      <c r="C1752" s="187"/>
      <c r="D1752" s="187"/>
      <c r="E1752" s="188"/>
      <c r="F1752" s="188"/>
      <c r="G1752" s="17" t="s">
        <v>436</v>
      </c>
      <c r="H1752" s="17" t="s">
        <v>437</v>
      </c>
      <c r="I1752" s="17" t="s">
        <v>436</v>
      </c>
      <c r="J1752" s="17" t="s">
        <v>437</v>
      </c>
    </row>
    <row r="1753" spans="1:12" ht="11.25" customHeight="1" x14ac:dyDescent="0.2">
      <c r="B1753" s="8" t="s">
        <v>350</v>
      </c>
      <c r="C1753" s="4" t="s">
        <v>1611</v>
      </c>
      <c r="D1753" s="106" t="s">
        <v>516</v>
      </c>
      <c r="E1753" s="13" t="s">
        <v>746</v>
      </c>
      <c r="F1753" s="66">
        <v>40761000</v>
      </c>
      <c r="G1753" s="19">
        <v>4480</v>
      </c>
      <c r="H1753" s="20">
        <f>TRUNC($F1753*G1753*0.0000001,1)</f>
        <v>18260.900000000001</v>
      </c>
      <c r="I1753" s="51">
        <v>0</v>
      </c>
      <c r="J1753" s="20">
        <f>TRUNC($F1753*I1753*0.0000001,1)</f>
        <v>0</v>
      </c>
    </row>
    <row r="1754" spans="1:12" ht="11.25" customHeight="1" x14ac:dyDescent="0.2">
      <c r="B1754" s="8" t="s">
        <v>351</v>
      </c>
      <c r="C1754" s="4" t="s">
        <v>1611</v>
      </c>
      <c r="D1754" s="106" t="s">
        <v>517</v>
      </c>
      <c r="E1754" s="13" t="s">
        <v>746</v>
      </c>
      <c r="F1754" s="66">
        <v>49172000</v>
      </c>
      <c r="G1754" s="21">
        <v>0</v>
      </c>
      <c r="H1754" s="20">
        <f>TRUNC($F1754*G1754*0.0000001,1)</f>
        <v>0</v>
      </c>
      <c r="I1754" s="161">
        <v>4480</v>
      </c>
      <c r="J1754" s="20">
        <f>TRUNC($F1754*I1754*0.0000001,1)</f>
        <v>22029</v>
      </c>
    </row>
    <row r="1755" spans="1:12" ht="11.25" customHeight="1" x14ac:dyDescent="0.2">
      <c r="C1755" s="107" t="s">
        <v>1289</v>
      </c>
      <c r="D1755" s="109"/>
      <c r="E1755" s="34"/>
      <c r="F1755" s="33"/>
      <c r="G1755" s="33"/>
      <c r="H1755" s="24">
        <f>TRUNC(SUM(H1753:H1754))</f>
        <v>18260</v>
      </c>
      <c r="I1755" s="74"/>
      <c r="J1755" s="24">
        <f>TRUNC(SUM(J1753:J1754))</f>
        <v>22029</v>
      </c>
    </row>
    <row r="1756" spans="1:12" ht="11.25" customHeight="1" x14ac:dyDescent="0.2">
      <c r="C1756" s="107"/>
      <c r="D1756" s="109"/>
      <c r="E1756" s="34"/>
      <c r="F1756" s="33"/>
      <c r="G1756" s="33"/>
      <c r="H1756" s="24"/>
      <c r="I1756" s="30"/>
      <c r="J1756" s="18"/>
    </row>
    <row r="1757" spans="1:12" ht="11.25" customHeight="1" x14ac:dyDescent="0.2">
      <c r="C1757" s="126" t="s">
        <v>1286</v>
      </c>
      <c r="D1757" s="126"/>
      <c r="E1757" s="127"/>
      <c r="F1757" s="125"/>
      <c r="G1757" s="125"/>
      <c r="H1757" s="128">
        <f>TRUNC(H1755)</f>
        <v>18260</v>
      </c>
      <c r="I1757" s="149"/>
      <c r="J1757" s="128">
        <f>TRUNC(J1755)</f>
        <v>22029</v>
      </c>
    </row>
    <row r="1758" spans="1:12" ht="11.25" customHeight="1" x14ac:dyDescent="0.2">
      <c r="B1758" s="186" t="s">
        <v>427</v>
      </c>
      <c r="C1758" s="187" t="s">
        <v>428</v>
      </c>
      <c r="D1758" s="187" t="s">
        <v>429</v>
      </c>
      <c r="E1758" s="188" t="s">
        <v>430</v>
      </c>
      <c r="F1758" s="188" t="s">
        <v>431</v>
      </c>
      <c r="G1758" s="94" t="s">
        <v>1614</v>
      </c>
      <c r="H1758" s="151"/>
      <c r="I1758" s="93" t="s">
        <v>1615</v>
      </c>
      <c r="J1758" s="94"/>
    </row>
    <row r="1759" spans="1:12" ht="11.25" customHeight="1" x14ac:dyDescent="0.2">
      <c r="A1759" s="7"/>
      <c r="B1759" s="186"/>
      <c r="C1759" s="187"/>
      <c r="D1759" s="187"/>
      <c r="E1759" s="188"/>
      <c r="F1759" s="188"/>
      <c r="G1759" s="17" t="s">
        <v>436</v>
      </c>
      <c r="H1759" s="17" t="s">
        <v>437</v>
      </c>
      <c r="I1759" s="156" t="s">
        <v>436</v>
      </c>
      <c r="J1759" s="17" t="s">
        <v>437</v>
      </c>
    </row>
    <row r="1760" spans="1:12" ht="11.25" customHeight="1" x14ac:dyDescent="0.2">
      <c r="B1760" s="8" t="s">
        <v>352</v>
      </c>
      <c r="C1760" s="4" t="s">
        <v>1611</v>
      </c>
      <c r="D1760" s="106" t="s">
        <v>518</v>
      </c>
      <c r="E1760" s="13" t="s">
        <v>746</v>
      </c>
      <c r="F1760" s="66">
        <v>72181000</v>
      </c>
      <c r="G1760" s="19">
        <v>4480</v>
      </c>
      <c r="H1760" s="20">
        <f>TRUNC($F1760*G1760*0.0000001,1)</f>
        <v>32337</v>
      </c>
      <c r="I1760" s="46">
        <v>0</v>
      </c>
      <c r="J1760" s="20">
        <f>TRUNC($F1760*I1760*0.0000001,1)</f>
        <v>0</v>
      </c>
    </row>
    <row r="1761" spans="2:12" ht="11.25" customHeight="1" x14ac:dyDescent="0.2">
      <c r="B1761" s="8" t="s">
        <v>353</v>
      </c>
      <c r="C1761" s="4" t="s">
        <v>1611</v>
      </c>
      <c r="D1761" s="106" t="s">
        <v>906</v>
      </c>
      <c r="E1761" s="13" t="s">
        <v>746</v>
      </c>
      <c r="F1761" s="66">
        <v>103469000</v>
      </c>
      <c r="G1761" s="21">
        <v>0</v>
      </c>
      <c r="H1761" s="20">
        <f>TRUNC($F1761*G1761*0.0000001,1)</f>
        <v>0</v>
      </c>
      <c r="I1761" s="161">
        <v>4480</v>
      </c>
      <c r="J1761" s="20">
        <f>TRUNC($F1761*I1761*0.0000001,1)</f>
        <v>46354.1</v>
      </c>
    </row>
    <row r="1762" spans="2:12" ht="11.25" customHeight="1" x14ac:dyDescent="0.2">
      <c r="C1762" s="107" t="s">
        <v>1289</v>
      </c>
      <c r="D1762" s="109"/>
      <c r="E1762" s="34"/>
      <c r="F1762" s="33"/>
      <c r="G1762" s="33"/>
      <c r="H1762" s="24">
        <f>TRUNC(SUM(H1760:H1761))</f>
        <v>32337</v>
      </c>
      <c r="I1762" s="74"/>
      <c r="J1762" s="24">
        <f>TRUNC(SUM(J1760:J1761))</f>
        <v>46354</v>
      </c>
    </row>
    <row r="1763" spans="2:12" ht="11.25" customHeight="1" x14ac:dyDescent="0.2">
      <c r="C1763" s="107"/>
      <c r="D1763" s="109"/>
      <c r="E1763" s="34"/>
      <c r="F1763" s="33"/>
      <c r="G1763" s="33"/>
      <c r="H1763" s="24"/>
      <c r="I1763" s="30"/>
      <c r="J1763" s="18"/>
    </row>
    <row r="1764" spans="2:12" ht="11.25" customHeight="1" x14ac:dyDescent="0.2">
      <c r="C1764" s="126" t="s">
        <v>1286</v>
      </c>
      <c r="D1764" s="126"/>
      <c r="E1764" s="127"/>
      <c r="F1764" s="125"/>
      <c r="G1764" s="125"/>
      <c r="H1764" s="128">
        <f>TRUNC(H1762)</f>
        <v>32337</v>
      </c>
      <c r="I1764" s="129"/>
      <c r="J1764" s="104">
        <f>TRUNC(J1762)</f>
        <v>46354</v>
      </c>
    </row>
    <row r="1765" spans="2:12" ht="11.25" customHeight="1" x14ac:dyDescent="0.2">
      <c r="B1765" s="186" t="s">
        <v>427</v>
      </c>
      <c r="C1765" s="187" t="s">
        <v>428</v>
      </c>
      <c r="D1765" s="187" t="s">
        <v>429</v>
      </c>
      <c r="E1765" s="188" t="s">
        <v>430</v>
      </c>
      <c r="F1765" s="188" t="s">
        <v>431</v>
      </c>
      <c r="G1765" s="94" t="s">
        <v>1616</v>
      </c>
      <c r="H1765" s="151"/>
    </row>
    <row r="1766" spans="2:12" ht="11.25" customHeight="1" x14ac:dyDescent="0.2">
      <c r="B1766" s="186"/>
      <c r="C1766" s="187"/>
      <c r="D1766" s="187"/>
      <c r="E1766" s="188"/>
      <c r="F1766" s="188"/>
      <c r="G1766" s="17" t="s">
        <v>436</v>
      </c>
      <c r="H1766" s="17" t="s">
        <v>437</v>
      </c>
    </row>
    <row r="1767" spans="2:12" ht="11.25" customHeight="1" x14ac:dyDescent="0.2">
      <c r="B1767" s="8" t="s">
        <v>354</v>
      </c>
      <c r="C1767" s="4" t="s">
        <v>1611</v>
      </c>
      <c r="D1767" s="106" t="s">
        <v>519</v>
      </c>
      <c r="E1767" s="13" t="s">
        <v>746</v>
      </c>
      <c r="F1767" s="66">
        <v>168435000</v>
      </c>
      <c r="G1767" s="19">
        <v>4480</v>
      </c>
      <c r="H1767" s="20">
        <f>TRUNC($F1767*G1767*0.0000001,1)</f>
        <v>75458.8</v>
      </c>
    </row>
    <row r="1768" spans="2:12" ht="11.25" customHeight="1" x14ac:dyDescent="0.2">
      <c r="C1768" s="107" t="s">
        <v>1289</v>
      </c>
      <c r="D1768" s="109"/>
      <c r="E1768" s="34"/>
      <c r="F1768" s="33"/>
      <c r="G1768" s="33"/>
      <c r="H1768" s="24">
        <f>TRUNC(SUM(H1767:H1767))</f>
        <v>75458</v>
      </c>
    </row>
    <row r="1769" spans="2:12" ht="11.25" customHeight="1" x14ac:dyDescent="0.2">
      <c r="C1769" s="107"/>
      <c r="D1769" s="109"/>
      <c r="E1769" s="34"/>
      <c r="F1769" s="33"/>
      <c r="G1769" s="33"/>
      <c r="H1769" s="24"/>
    </row>
    <row r="1770" spans="2:12" ht="11.25" customHeight="1" x14ac:dyDescent="0.2">
      <c r="B1770" s="16"/>
      <c r="C1770" s="108" t="s">
        <v>1286</v>
      </c>
      <c r="D1770" s="108"/>
      <c r="E1770" s="103"/>
      <c r="F1770" s="102"/>
      <c r="G1770" s="102"/>
      <c r="H1770" s="104">
        <f>TRUNC(H1768)</f>
        <v>75458</v>
      </c>
    </row>
    <row r="1773" spans="2:12" ht="11.25" customHeight="1" x14ac:dyDescent="0.2">
      <c r="B1773" s="8" t="s">
        <v>1619</v>
      </c>
      <c r="L1773" s="49" t="s">
        <v>1307</v>
      </c>
    </row>
    <row r="1774" spans="2:12" ht="11.25" customHeight="1" x14ac:dyDescent="0.2">
      <c r="B1774" s="186" t="s">
        <v>427</v>
      </c>
      <c r="C1774" s="187" t="s">
        <v>428</v>
      </c>
      <c r="D1774" s="187" t="s">
        <v>429</v>
      </c>
      <c r="E1774" s="188" t="s">
        <v>430</v>
      </c>
      <c r="F1774" s="188" t="s">
        <v>431</v>
      </c>
      <c r="G1774" s="94" t="s">
        <v>728</v>
      </c>
      <c r="H1774" s="151"/>
      <c r="I1774" s="94" t="s">
        <v>75</v>
      </c>
      <c r="J1774" s="151"/>
      <c r="K1774" s="94" t="s">
        <v>542</v>
      </c>
      <c r="L1774" s="151"/>
    </row>
    <row r="1775" spans="2:12" ht="11.25" customHeight="1" x14ac:dyDescent="0.2">
      <c r="B1775" s="186"/>
      <c r="C1775" s="187"/>
      <c r="D1775" s="187"/>
      <c r="E1775" s="188"/>
      <c r="F1775" s="188"/>
      <c r="G1775" s="17" t="s">
        <v>436</v>
      </c>
      <c r="H1775" s="17" t="s">
        <v>437</v>
      </c>
      <c r="I1775" s="17" t="s">
        <v>436</v>
      </c>
      <c r="J1775" s="17" t="s">
        <v>437</v>
      </c>
      <c r="K1775" s="17" t="s">
        <v>436</v>
      </c>
      <c r="L1775" s="17" t="s">
        <v>437</v>
      </c>
    </row>
    <row r="1776" spans="2:12" ht="11.25" customHeight="1" x14ac:dyDescent="0.2">
      <c r="B1776" s="29" t="s">
        <v>538</v>
      </c>
      <c r="C1776" s="110" t="s">
        <v>1620</v>
      </c>
      <c r="D1776" s="110" t="s">
        <v>728</v>
      </c>
      <c r="E1776" s="47" t="s">
        <v>746</v>
      </c>
      <c r="F1776" s="96">
        <v>51515000</v>
      </c>
      <c r="G1776" s="19">
        <v>4566</v>
      </c>
      <c r="H1776" s="20">
        <f>TRUNC($F1776*G1776*0.0000001,1)</f>
        <v>23521.7</v>
      </c>
      <c r="I1776" s="46">
        <v>0</v>
      </c>
      <c r="J1776" s="20">
        <f>TRUNC($F1776*I1776*0.0000001,1)</f>
        <v>0</v>
      </c>
      <c r="K1776" s="46">
        <v>0</v>
      </c>
      <c r="L1776" s="20">
        <f>TRUNC($F1776*K1776*0.0000001,1)</f>
        <v>0</v>
      </c>
    </row>
    <row r="1777" spans="2:15" ht="11.25" customHeight="1" x14ac:dyDescent="0.2">
      <c r="B1777" s="29" t="s">
        <v>789</v>
      </c>
      <c r="C1777" s="110" t="s">
        <v>1620</v>
      </c>
      <c r="D1777" s="110" t="s">
        <v>75</v>
      </c>
      <c r="E1777" s="30"/>
      <c r="F1777" s="96">
        <v>56794000</v>
      </c>
      <c r="G1777" s="46">
        <v>0</v>
      </c>
      <c r="H1777" s="20">
        <f>TRUNC($F1777*G1777*0.0000001,1)</f>
        <v>0</v>
      </c>
      <c r="I1777" s="19">
        <v>4566</v>
      </c>
      <c r="J1777" s="20">
        <f>TRUNC($F1777*I1777*0.0000001,1)</f>
        <v>25932.1</v>
      </c>
      <c r="K1777" s="46">
        <v>0</v>
      </c>
      <c r="L1777" s="20">
        <f>TRUNC($F1777*K1777*0.0000001,1)</f>
        <v>0</v>
      </c>
    </row>
    <row r="1778" spans="2:15" ht="11.25" customHeight="1" x14ac:dyDescent="0.2">
      <c r="B1778" s="29" t="s">
        <v>539</v>
      </c>
      <c r="C1778" s="110" t="s">
        <v>1620</v>
      </c>
      <c r="D1778" s="110" t="s">
        <v>542</v>
      </c>
      <c r="E1778" s="30"/>
      <c r="F1778" s="96">
        <v>59872000</v>
      </c>
      <c r="G1778" s="46">
        <v>0</v>
      </c>
      <c r="H1778" s="20">
        <f>TRUNC($F1778*G1778*0.0000001,1)</f>
        <v>0</v>
      </c>
      <c r="I1778" s="46">
        <v>0</v>
      </c>
      <c r="J1778" s="20">
        <f>TRUNC($F1778*I1778*0.0000001,1)</f>
        <v>0</v>
      </c>
      <c r="K1778" s="19">
        <v>4566</v>
      </c>
      <c r="L1778" s="20">
        <f>TRUNC($F1778*K1778*0.0000001,1)</f>
        <v>27337.5</v>
      </c>
      <c r="O1778" s="38"/>
    </row>
    <row r="1779" spans="2:15" ht="11.25" customHeight="1" x14ac:dyDescent="0.2">
      <c r="B1779" s="29"/>
      <c r="C1779" s="121" t="s">
        <v>1289</v>
      </c>
      <c r="D1779" s="110"/>
      <c r="E1779" s="30"/>
      <c r="F1779" s="30"/>
      <c r="G1779" s="30"/>
      <c r="H1779" s="73">
        <f>TRUNC(SUM(H1776:H1778))</f>
        <v>23521</v>
      </c>
      <c r="I1779" s="30"/>
      <c r="J1779" s="73">
        <f>TRUNC(SUM(J1776:J1778))</f>
        <v>25932</v>
      </c>
      <c r="K1779" s="30"/>
      <c r="L1779" s="24">
        <f>TRUNC(SUM(L1776:L1778))</f>
        <v>27337</v>
      </c>
      <c r="O1779" s="9"/>
    </row>
    <row r="1780" spans="2:15" ht="11.25" customHeight="1" x14ac:dyDescent="0.2">
      <c r="B1780" s="29"/>
      <c r="C1780" s="121"/>
      <c r="D1780" s="110"/>
      <c r="E1780" s="30"/>
      <c r="F1780" s="30"/>
      <c r="G1780" s="30"/>
      <c r="H1780" s="73"/>
      <c r="I1780" s="30"/>
      <c r="J1780" s="73"/>
      <c r="K1780" s="30"/>
      <c r="L1780" s="24"/>
    </row>
    <row r="1781" spans="2:15" ht="11.25" customHeight="1" x14ac:dyDescent="0.2">
      <c r="B1781" s="48"/>
      <c r="C1781" s="134" t="s">
        <v>1286</v>
      </c>
      <c r="D1781" s="130"/>
      <c r="E1781" s="131"/>
      <c r="F1781" s="131"/>
      <c r="G1781" s="131"/>
      <c r="H1781" s="133">
        <f>SUM(H1779)</f>
        <v>23521</v>
      </c>
      <c r="I1781" s="131"/>
      <c r="J1781" s="133">
        <f>SUM(J1779)</f>
        <v>25932</v>
      </c>
      <c r="K1781" s="131"/>
      <c r="L1781" s="104">
        <f>SUM(L1779)</f>
        <v>27337</v>
      </c>
    </row>
    <row r="1782" spans="2:15" ht="11.25" customHeight="1" x14ac:dyDescent="0.2">
      <c r="B1782" s="186" t="s">
        <v>427</v>
      </c>
      <c r="C1782" s="187" t="s">
        <v>428</v>
      </c>
      <c r="D1782" s="187" t="s">
        <v>429</v>
      </c>
      <c r="E1782" s="188" t="s">
        <v>430</v>
      </c>
      <c r="F1782" s="188" t="s">
        <v>431</v>
      </c>
      <c r="G1782" s="14" t="s">
        <v>543</v>
      </c>
      <c r="H1782" s="15"/>
      <c r="I1782" s="192" t="s">
        <v>544</v>
      </c>
      <c r="J1782" s="193"/>
      <c r="K1782" s="38"/>
      <c r="L1782" s="38"/>
    </row>
    <row r="1783" spans="2:15" ht="11.25" customHeight="1" x14ac:dyDescent="0.2">
      <c r="B1783" s="186"/>
      <c r="C1783" s="187"/>
      <c r="D1783" s="187"/>
      <c r="E1783" s="188"/>
      <c r="F1783" s="188"/>
      <c r="G1783" s="17" t="s">
        <v>436</v>
      </c>
      <c r="H1783" s="17" t="s">
        <v>437</v>
      </c>
      <c r="I1783" s="17" t="s">
        <v>436</v>
      </c>
      <c r="J1783" s="17" t="s">
        <v>437</v>
      </c>
      <c r="K1783" s="9"/>
      <c r="L1783" s="9"/>
    </row>
    <row r="1784" spans="2:15" ht="11.25" customHeight="1" x14ac:dyDescent="0.2">
      <c r="B1784" s="29" t="s">
        <v>540</v>
      </c>
      <c r="C1784" s="110" t="s">
        <v>1620</v>
      </c>
      <c r="D1784" s="110" t="s">
        <v>543</v>
      </c>
      <c r="E1784" s="30"/>
      <c r="F1784" s="66">
        <v>67368000</v>
      </c>
      <c r="G1784" s="19">
        <v>4566</v>
      </c>
      <c r="H1784" s="20">
        <f>TRUNC($F1784*G1784*0.0000001,1)</f>
        <v>30760.2</v>
      </c>
      <c r="I1784" s="46">
        <v>0</v>
      </c>
      <c r="J1784" s="20">
        <f>TRUNC($F1784*I1784*0.0000001,1)</f>
        <v>0</v>
      </c>
      <c r="K1784" s="39"/>
      <c r="L1784" s="32"/>
      <c r="M1784" s="38"/>
      <c r="N1784" s="38"/>
    </row>
    <row r="1785" spans="2:15" ht="11.25" customHeight="1" x14ac:dyDescent="0.2">
      <c r="B1785" s="29" t="s">
        <v>541</v>
      </c>
      <c r="C1785" s="110" t="s">
        <v>1620</v>
      </c>
      <c r="D1785" s="110" t="s">
        <v>544</v>
      </c>
      <c r="E1785" s="30"/>
      <c r="F1785" s="66">
        <v>77517000</v>
      </c>
      <c r="G1785" s="46">
        <v>0</v>
      </c>
      <c r="H1785" s="20">
        <f>TRUNC($F1785*G1785*0.0000001,1)</f>
        <v>0</v>
      </c>
      <c r="I1785" s="19">
        <v>4566</v>
      </c>
      <c r="J1785" s="20">
        <f>TRUNC($F1785*I1785*0.0000001,1)</f>
        <v>35394.199999999997</v>
      </c>
      <c r="K1785" s="39"/>
      <c r="L1785" s="32"/>
      <c r="M1785" s="9"/>
      <c r="N1785" s="9"/>
    </row>
    <row r="1786" spans="2:15" ht="11.25" customHeight="1" x14ac:dyDescent="0.2">
      <c r="B1786" s="29"/>
      <c r="C1786" s="121" t="s">
        <v>1289</v>
      </c>
      <c r="D1786" s="110"/>
      <c r="E1786" s="30"/>
      <c r="F1786" s="18"/>
      <c r="G1786" s="30"/>
      <c r="H1786" s="73">
        <f>TRUNC(SUM(H1784:H1785))</f>
        <v>30760</v>
      </c>
      <c r="I1786" s="30"/>
      <c r="J1786" s="24">
        <f>TRUNC(SUM(J1784:J1785))</f>
        <v>35394</v>
      </c>
      <c r="L1786" s="54"/>
      <c r="M1786" s="39"/>
      <c r="N1786" s="32"/>
    </row>
    <row r="1787" spans="2:15" ht="11.25" customHeight="1" x14ac:dyDescent="0.2">
      <c r="B1787" s="29"/>
      <c r="C1787" s="121"/>
      <c r="D1787" s="110"/>
      <c r="E1787" s="30"/>
      <c r="F1787" s="18"/>
      <c r="G1787" s="30"/>
      <c r="H1787" s="73"/>
      <c r="I1787" s="30"/>
      <c r="J1787" s="24"/>
      <c r="L1787" s="54"/>
      <c r="M1787" s="39"/>
      <c r="N1787" s="32"/>
      <c r="O1787" s="39"/>
    </row>
    <row r="1788" spans="2:15" ht="11.25" customHeight="1" x14ac:dyDescent="0.2">
      <c r="B1788" s="48"/>
      <c r="C1788" s="134" t="s">
        <v>1286</v>
      </c>
      <c r="D1788" s="130"/>
      <c r="E1788" s="131"/>
      <c r="F1788" s="137"/>
      <c r="G1788" s="131"/>
      <c r="H1788" s="133">
        <f>SUM(H1786)</f>
        <v>30760</v>
      </c>
      <c r="I1788" s="131"/>
      <c r="J1788" s="104">
        <f>SUM(J1786)</f>
        <v>35394</v>
      </c>
      <c r="K1788" s="123"/>
      <c r="L1788" s="150"/>
      <c r="N1788" s="54"/>
    </row>
    <row r="1789" spans="2:15" ht="11.25" customHeight="1" x14ac:dyDescent="0.2">
      <c r="N1789" s="54"/>
      <c r="O1789" s="123"/>
    </row>
    <row r="1790" spans="2:15" ht="11.25" customHeight="1" x14ac:dyDescent="0.2">
      <c r="B1790" s="68" t="s">
        <v>1622</v>
      </c>
      <c r="C1790" s="119"/>
      <c r="L1790" s="49" t="s">
        <v>1307</v>
      </c>
      <c r="M1790" s="123"/>
      <c r="N1790" s="150"/>
    </row>
    <row r="1791" spans="2:15" ht="11.25" customHeight="1" x14ac:dyDescent="0.2">
      <c r="B1791" s="186" t="s">
        <v>427</v>
      </c>
      <c r="C1791" s="187" t="s">
        <v>428</v>
      </c>
      <c r="D1791" s="187" t="s">
        <v>429</v>
      </c>
      <c r="E1791" s="188" t="s">
        <v>430</v>
      </c>
      <c r="F1791" s="188" t="s">
        <v>431</v>
      </c>
      <c r="G1791" s="94" t="s">
        <v>1248</v>
      </c>
      <c r="H1791" s="151"/>
      <c r="I1791" s="94" t="s">
        <v>1621</v>
      </c>
      <c r="J1791" s="151"/>
      <c r="K1791" s="94" t="s">
        <v>419</v>
      </c>
      <c r="L1791" s="151"/>
    </row>
    <row r="1792" spans="2:15" ht="11.25" customHeight="1" x14ac:dyDescent="0.2">
      <c r="B1792" s="186"/>
      <c r="C1792" s="187"/>
      <c r="D1792" s="187"/>
      <c r="E1792" s="188"/>
      <c r="F1792" s="188"/>
      <c r="G1792" s="17" t="s">
        <v>436</v>
      </c>
      <c r="H1792" s="17" t="s">
        <v>437</v>
      </c>
      <c r="I1792" s="17" t="s">
        <v>436</v>
      </c>
      <c r="J1792" s="17" t="s">
        <v>437</v>
      </c>
      <c r="K1792" s="17" t="s">
        <v>436</v>
      </c>
      <c r="L1792" s="17" t="s">
        <v>437</v>
      </c>
    </row>
    <row r="1793" spans="1:12" ht="11.25" customHeight="1" x14ac:dyDescent="0.2">
      <c r="C1793" s="4" t="s">
        <v>426</v>
      </c>
      <c r="D1793" s="4"/>
      <c r="E1793" s="13" t="s">
        <v>494</v>
      </c>
      <c r="F1793" s="25">
        <v>1505.45</v>
      </c>
      <c r="G1793" s="26">
        <v>6.2</v>
      </c>
      <c r="H1793" s="20">
        <f>TRUNC(($F1793*G1793),1)</f>
        <v>9333.7000000000007</v>
      </c>
      <c r="I1793" s="26">
        <v>10</v>
      </c>
      <c r="J1793" s="20">
        <f>TRUNC(($F1793*I1793),1)</f>
        <v>15054.5</v>
      </c>
      <c r="K1793" s="26">
        <v>14.2</v>
      </c>
      <c r="L1793" s="20">
        <f>TRUNC(($F1793*K1793),1)</f>
        <v>21377.3</v>
      </c>
    </row>
    <row r="1794" spans="1:12" ht="11.25" customHeight="1" x14ac:dyDescent="0.2">
      <c r="C1794" s="4" t="s">
        <v>878</v>
      </c>
      <c r="D1794" s="4" t="s">
        <v>203</v>
      </c>
      <c r="E1794" s="13" t="s">
        <v>232</v>
      </c>
      <c r="F1794" s="18"/>
      <c r="G1794" s="21">
        <v>16</v>
      </c>
      <c r="H1794" s="20">
        <f>TRUNC(H1793*G1794*0.01,1)</f>
        <v>1493.3</v>
      </c>
      <c r="I1794" s="21">
        <v>16</v>
      </c>
      <c r="J1794" s="20">
        <f>TRUNC(J1793*I1794*0.01,1)</f>
        <v>2408.6999999999998</v>
      </c>
      <c r="K1794" s="21">
        <v>16</v>
      </c>
      <c r="L1794" s="20">
        <f>TRUNC(L1793*K1794*0.01,1)</f>
        <v>3420.3</v>
      </c>
    </row>
    <row r="1795" spans="1:12" ht="11.25" customHeight="1" x14ac:dyDescent="0.2">
      <c r="A1795" s="7"/>
      <c r="C1795" s="107" t="s">
        <v>799</v>
      </c>
      <c r="D1795" s="109"/>
      <c r="E1795" s="34"/>
      <c r="F1795" s="33"/>
      <c r="G1795" s="33"/>
      <c r="H1795" s="24">
        <f>TRUNC(SUM(H1793:H1794))</f>
        <v>10827</v>
      </c>
      <c r="I1795" s="33"/>
      <c r="J1795" s="24">
        <f>TRUNC(SUM(J1793:J1794))</f>
        <v>17463</v>
      </c>
      <c r="K1795" s="33"/>
      <c r="L1795" s="24">
        <f>TRUNC(SUM(L1793:L1794))</f>
        <v>24797</v>
      </c>
    </row>
    <row r="1796" spans="1:12" ht="11.25" customHeight="1" x14ac:dyDescent="0.2">
      <c r="C1796" s="4"/>
      <c r="D1796" s="4"/>
      <c r="E1796" s="18"/>
      <c r="F1796" s="18"/>
      <c r="G1796" s="18"/>
      <c r="H1796" s="18"/>
      <c r="I1796" s="18"/>
      <c r="J1796" s="18"/>
      <c r="K1796" s="18"/>
      <c r="L1796" s="18"/>
    </row>
    <row r="1797" spans="1:12" ht="11.25" customHeight="1" x14ac:dyDescent="0.2">
      <c r="C1797" s="4" t="s">
        <v>798</v>
      </c>
      <c r="D1797" s="4" t="s">
        <v>866</v>
      </c>
      <c r="E1797" s="13" t="s">
        <v>497</v>
      </c>
      <c r="F1797" s="28">
        <v>283297</v>
      </c>
      <c r="G1797" s="18">
        <v>0.20799999999999999</v>
      </c>
      <c r="H1797" s="20">
        <f>TRUNC(($F1797*G1797),1)</f>
        <v>58925.7</v>
      </c>
      <c r="I1797" s="18">
        <v>0.20799999999999999</v>
      </c>
      <c r="J1797" s="20">
        <f>TRUNC(($F1797*I1797),1)</f>
        <v>58925.7</v>
      </c>
      <c r="K1797" s="18">
        <v>0.20799999999999999</v>
      </c>
      <c r="L1797" s="20">
        <f>TRUNC(($F1797*K1797),1)</f>
        <v>58925.7</v>
      </c>
    </row>
    <row r="1798" spans="1:12" ht="11.25" customHeight="1" x14ac:dyDescent="0.2">
      <c r="C1798" s="107" t="s">
        <v>1285</v>
      </c>
      <c r="D1798" s="109"/>
      <c r="E1798" s="34"/>
      <c r="F1798" s="33"/>
      <c r="G1798" s="33"/>
      <c r="H1798" s="24">
        <f>TRUNC(SUM(H1797:H1797))</f>
        <v>58925</v>
      </c>
      <c r="I1798" s="33"/>
      <c r="J1798" s="24">
        <f>TRUNC(SUM(J1797:J1797))</f>
        <v>58925</v>
      </c>
      <c r="K1798" s="33"/>
      <c r="L1798" s="24">
        <f>TRUNC(SUM(L1797:L1797))</f>
        <v>58925</v>
      </c>
    </row>
    <row r="1799" spans="1:12" ht="11.25" customHeight="1" x14ac:dyDescent="0.2">
      <c r="C1799" s="4"/>
      <c r="D1799" s="4"/>
      <c r="E1799" s="18"/>
      <c r="F1799" s="18"/>
      <c r="G1799" s="18"/>
      <c r="H1799" s="18"/>
      <c r="I1799" s="18"/>
      <c r="J1799" s="18"/>
      <c r="K1799" s="18"/>
      <c r="L1799" s="18"/>
    </row>
    <row r="1800" spans="1:12" ht="11.25" customHeight="1" x14ac:dyDescent="0.2">
      <c r="B1800" s="8" t="s">
        <v>355</v>
      </c>
      <c r="C1800" s="4" t="s">
        <v>1623</v>
      </c>
      <c r="D1800" s="106" t="s">
        <v>575</v>
      </c>
      <c r="E1800" s="13" t="s">
        <v>746</v>
      </c>
      <c r="F1800" s="66">
        <v>14224000</v>
      </c>
      <c r="G1800" s="19">
        <v>1719</v>
      </c>
      <c r="H1800" s="20">
        <f>TRUNC($F1800*G1800*0.0000001,1)</f>
        <v>2445.1</v>
      </c>
      <c r="I1800" s="21">
        <v>0</v>
      </c>
      <c r="J1800" s="20">
        <f>TRUNC($F1800*I1800*0.0000001,1)</f>
        <v>0</v>
      </c>
      <c r="K1800" s="21">
        <v>0</v>
      </c>
      <c r="L1800" s="20">
        <f>TRUNC($F1800*K1800*0.0000001,1)</f>
        <v>0</v>
      </c>
    </row>
    <row r="1801" spans="1:12" ht="11.25" customHeight="1" x14ac:dyDescent="0.2">
      <c r="B1801" s="8" t="s">
        <v>356</v>
      </c>
      <c r="C1801" s="4" t="s">
        <v>1623</v>
      </c>
      <c r="D1801" s="106" t="s">
        <v>576</v>
      </c>
      <c r="E1801" s="13" t="s">
        <v>746</v>
      </c>
      <c r="F1801" s="66">
        <v>20311000</v>
      </c>
      <c r="G1801" s="21">
        <v>0</v>
      </c>
      <c r="H1801" s="20">
        <f>TRUNC($F1801*G1801*0.0000001,1)</f>
        <v>0</v>
      </c>
      <c r="I1801" s="19">
        <v>1719</v>
      </c>
      <c r="J1801" s="20">
        <f>TRUNC($F1801*I1801*0.0000001,1)</f>
        <v>3491.4</v>
      </c>
      <c r="K1801" s="21">
        <v>0</v>
      </c>
      <c r="L1801" s="20">
        <f>TRUNC($F1801*K1801*0.0000001,1)</f>
        <v>0</v>
      </c>
    </row>
    <row r="1802" spans="1:12" ht="11.25" customHeight="1" x14ac:dyDescent="0.2">
      <c r="B1802" s="8" t="s">
        <v>357</v>
      </c>
      <c r="C1802" s="4" t="s">
        <v>1623</v>
      </c>
      <c r="D1802" s="106" t="s">
        <v>577</v>
      </c>
      <c r="E1802" s="13" t="s">
        <v>746</v>
      </c>
      <c r="F1802" s="66">
        <v>34228000</v>
      </c>
      <c r="G1802" s="21">
        <v>0</v>
      </c>
      <c r="H1802" s="20">
        <f>TRUNC($F1802*G1802*0.0000001,1)</f>
        <v>0</v>
      </c>
      <c r="I1802" s="21">
        <v>0</v>
      </c>
      <c r="J1802" s="20">
        <f>TRUNC($F1802*I1802*0.0000001,1)</f>
        <v>0</v>
      </c>
      <c r="K1802" s="19">
        <v>1719</v>
      </c>
      <c r="L1802" s="20">
        <f>TRUNC($F1802*K1802*0.0000001,1)</f>
        <v>5883.7</v>
      </c>
    </row>
    <row r="1803" spans="1:12" ht="11.25" customHeight="1" x14ac:dyDescent="0.2">
      <c r="C1803" s="107" t="s">
        <v>1289</v>
      </c>
      <c r="D1803" s="109"/>
      <c r="E1803" s="34"/>
      <c r="F1803" s="33"/>
      <c r="G1803" s="33"/>
      <c r="H1803" s="24">
        <f>TRUNC(SUM(H1800:H1802))</f>
        <v>2445</v>
      </c>
      <c r="I1803" s="33"/>
      <c r="J1803" s="24">
        <f>TRUNC(SUM(J1800:J1802))</f>
        <v>3491</v>
      </c>
      <c r="K1803" s="33"/>
      <c r="L1803" s="24">
        <f>TRUNC(SUM(L1800:L1802))</f>
        <v>5883</v>
      </c>
    </row>
    <row r="1804" spans="1:12" ht="11.25" customHeight="1" x14ac:dyDescent="0.2">
      <c r="C1804" s="4"/>
      <c r="D1804" s="4"/>
      <c r="E1804" s="18"/>
      <c r="F1804" s="18"/>
      <c r="G1804" s="18"/>
      <c r="H1804" s="18"/>
      <c r="I1804" s="18"/>
      <c r="J1804" s="18"/>
      <c r="K1804" s="18"/>
      <c r="L1804" s="18"/>
    </row>
    <row r="1805" spans="1:12" ht="11.25" customHeight="1" x14ac:dyDescent="0.2">
      <c r="C1805" s="126" t="s">
        <v>1286</v>
      </c>
      <c r="D1805" s="126"/>
      <c r="E1805" s="127"/>
      <c r="F1805" s="125"/>
      <c r="G1805" s="125"/>
      <c r="H1805" s="128">
        <f>TRUNC(H1803+H1795+H1798)</f>
        <v>72197</v>
      </c>
      <c r="I1805" s="125"/>
      <c r="J1805" s="128">
        <f>TRUNC(J1803+J1795+J1798)</f>
        <v>79879</v>
      </c>
      <c r="K1805" s="125"/>
      <c r="L1805" s="128">
        <f>TRUNC(L1803+L1795+L1798)</f>
        <v>89605</v>
      </c>
    </row>
    <row r="1806" spans="1:12" ht="11.25" customHeight="1" x14ac:dyDescent="0.2">
      <c r="B1806" s="186" t="s">
        <v>427</v>
      </c>
      <c r="C1806" s="187" t="s">
        <v>428</v>
      </c>
      <c r="D1806" s="187" t="s">
        <v>429</v>
      </c>
      <c r="E1806" s="188" t="s">
        <v>430</v>
      </c>
      <c r="F1806" s="188" t="s">
        <v>431</v>
      </c>
      <c r="G1806" s="94" t="s">
        <v>420</v>
      </c>
      <c r="H1806" s="151"/>
      <c r="I1806" s="94" t="s">
        <v>1106</v>
      </c>
      <c r="J1806" s="151"/>
      <c r="K1806" s="94" t="s">
        <v>23</v>
      </c>
      <c r="L1806" s="151"/>
    </row>
    <row r="1807" spans="1:12" ht="11.25" customHeight="1" x14ac:dyDescent="0.2">
      <c r="B1807" s="186"/>
      <c r="C1807" s="187"/>
      <c r="D1807" s="187"/>
      <c r="E1807" s="188"/>
      <c r="F1807" s="188"/>
      <c r="G1807" s="17" t="s">
        <v>436</v>
      </c>
      <c r="H1807" s="17" t="s">
        <v>437</v>
      </c>
      <c r="I1807" s="17" t="s">
        <v>436</v>
      </c>
      <c r="J1807" s="17" t="s">
        <v>437</v>
      </c>
      <c r="K1807" s="17" t="s">
        <v>436</v>
      </c>
      <c r="L1807" s="17" t="s">
        <v>437</v>
      </c>
    </row>
    <row r="1808" spans="1:12" ht="11.25" customHeight="1" x14ac:dyDescent="0.2">
      <c r="C1808" s="4" t="s">
        <v>426</v>
      </c>
      <c r="D1808" s="4"/>
      <c r="E1808" s="13" t="s">
        <v>494</v>
      </c>
      <c r="F1808" s="25">
        <v>1505.45</v>
      </c>
      <c r="G1808" s="26">
        <v>23.5</v>
      </c>
      <c r="H1808" s="20">
        <f>TRUNC(($F1808*G1808),1)</f>
        <v>35378</v>
      </c>
      <c r="I1808" s="26">
        <v>27.6</v>
      </c>
      <c r="J1808" s="20">
        <f>TRUNC(($F1808*I1808),1)</f>
        <v>41550.400000000001</v>
      </c>
      <c r="K1808" s="26">
        <v>32.299999999999997</v>
      </c>
      <c r="L1808" s="20">
        <f>TRUNC(($F1808*K1808),1)</f>
        <v>48626</v>
      </c>
    </row>
    <row r="1809" spans="2:14" ht="11.25" customHeight="1" x14ac:dyDescent="0.2">
      <c r="C1809" s="4" t="s">
        <v>878</v>
      </c>
      <c r="D1809" s="4" t="s">
        <v>203</v>
      </c>
      <c r="E1809" s="13" t="s">
        <v>232</v>
      </c>
      <c r="F1809" s="18"/>
      <c r="G1809" s="21">
        <v>16</v>
      </c>
      <c r="H1809" s="20">
        <f>TRUNC(H1808*G1809*0.01,1)</f>
        <v>5660.4</v>
      </c>
      <c r="I1809" s="21">
        <v>16</v>
      </c>
      <c r="J1809" s="20">
        <f>TRUNC(J1808*I1809*0.01,1)</f>
        <v>6648</v>
      </c>
      <c r="K1809" s="21">
        <v>16</v>
      </c>
      <c r="L1809" s="20">
        <f>TRUNC(L1808*K1809*0.01,1)</f>
        <v>7780.1</v>
      </c>
    </row>
    <row r="1810" spans="2:14" ht="11.25" customHeight="1" x14ac:dyDescent="0.2">
      <c r="C1810" s="107" t="s">
        <v>799</v>
      </c>
      <c r="D1810" s="109"/>
      <c r="E1810" s="34"/>
      <c r="F1810" s="33"/>
      <c r="G1810" s="33"/>
      <c r="H1810" s="24">
        <f>TRUNC(SUM(H1808:H1809))</f>
        <v>41038</v>
      </c>
      <c r="I1810" s="33"/>
      <c r="J1810" s="24">
        <f>TRUNC(SUM(J1808:J1809))</f>
        <v>48198</v>
      </c>
      <c r="K1810" s="33"/>
      <c r="L1810" s="24">
        <f>TRUNC(SUM(L1808:L1809))</f>
        <v>56406</v>
      </c>
    </row>
    <row r="1811" spans="2:14" ht="11.25" customHeight="1" x14ac:dyDescent="0.2">
      <c r="C1811" s="4"/>
      <c r="D1811" s="4"/>
      <c r="E1811" s="18"/>
      <c r="F1811" s="18"/>
      <c r="G1811" s="18"/>
      <c r="H1811" s="18"/>
      <c r="I1811" s="18"/>
      <c r="J1811" s="18"/>
      <c r="K1811" s="18"/>
      <c r="L1811" s="18"/>
    </row>
    <row r="1812" spans="2:14" ht="11.25" customHeight="1" x14ac:dyDescent="0.2">
      <c r="C1812" s="4" t="s">
        <v>798</v>
      </c>
      <c r="D1812" s="4" t="s">
        <v>866</v>
      </c>
      <c r="E1812" s="13" t="s">
        <v>497</v>
      </c>
      <c r="F1812" s="28">
        <v>283297</v>
      </c>
      <c r="G1812" s="18">
        <v>0.20799999999999999</v>
      </c>
      <c r="H1812" s="20">
        <f>TRUNC(($F1812*G1812),1)</f>
        <v>58925.7</v>
      </c>
      <c r="I1812" s="18">
        <v>0.20799999999999999</v>
      </c>
      <c r="J1812" s="20">
        <f>TRUNC(($F1812*I1812),1)</f>
        <v>58925.7</v>
      </c>
      <c r="K1812" s="18">
        <v>0.20799999999999999</v>
      </c>
      <c r="L1812" s="20">
        <f>TRUNC(($F1812*K1812),1)</f>
        <v>58925.7</v>
      </c>
    </row>
    <row r="1813" spans="2:14" ht="11.25" customHeight="1" x14ac:dyDescent="0.2">
      <c r="C1813" s="107" t="s">
        <v>1285</v>
      </c>
      <c r="D1813" s="109"/>
      <c r="E1813" s="34"/>
      <c r="F1813" s="33"/>
      <c r="G1813" s="33"/>
      <c r="H1813" s="24">
        <f>TRUNC(SUM(H1812:H1812))</f>
        <v>58925</v>
      </c>
      <c r="I1813" s="33"/>
      <c r="J1813" s="24">
        <f>TRUNC(SUM(J1812:J1812))</f>
        <v>58925</v>
      </c>
      <c r="K1813" s="33"/>
      <c r="L1813" s="24">
        <f>TRUNC(SUM(L1812:L1812))</f>
        <v>58925</v>
      </c>
    </row>
    <row r="1814" spans="2:14" ht="11.25" customHeight="1" x14ac:dyDescent="0.2">
      <c r="C1814" s="4"/>
      <c r="D1814" s="4"/>
      <c r="E1814" s="18"/>
      <c r="F1814" s="18"/>
      <c r="G1814" s="18"/>
      <c r="H1814" s="18"/>
      <c r="I1814" s="18"/>
      <c r="J1814" s="18"/>
      <c r="K1814" s="18"/>
      <c r="L1814" s="18"/>
    </row>
    <row r="1815" spans="2:14" ht="11.25" customHeight="1" x14ac:dyDescent="0.2">
      <c r="B1815" s="8" t="s">
        <v>358</v>
      </c>
      <c r="C1815" s="4" t="s">
        <v>1623</v>
      </c>
      <c r="D1815" s="106" t="s">
        <v>578</v>
      </c>
      <c r="E1815" s="13" t="s">
        <v>746</v>
      </c>
      <c r="F1815" s="66">
        <v>37532000</v>
      </c>
      <c r="G1815" s="19">
        <v>1719</v>
      </c>
      <c r="H1815" s="20">
        <f>TRUNC($F1815*G1815*0.0000001,1)</f>
        <v>6451.7</v>
      </c>
      <c r="I1815" s="21">
        <v>0</v>
      </c>
      <c r="J1815" s="20">
        <f>TRUNC($F1815*I1815*0.0000001,1)</f>
        <v>0</v>
      </c>
      <c r="K1815" s="21">
        <v>0</v>
      </c>
      <c r="L1815" s="20">
        <f>TRUNC($F1815*K1815*0.0000001,1)</f>
        <v>0</v>
      </c>
    </row>
    <row r="1816" spans="2:14" ht="11.25" customHeight="1" x14ac:dyDescent="0.2">
      <c r="B1816" s="8" t="s">
        <v>359</v>
      </c>
      <c r="C1816" s="4" t="s">
        <v>1623</v>
      </c>
      <c r="D1816" s="106" t="s">
        <v>579</v>
      </c>
      <c r="E1816" s="13" t="s">
        <v>746</v>
      </c>
      <c r="F1816" s="66">
        <v>46039000</v>
      </c>
      <c r="G1816" s="21">
        <v>0</v>
      </c>
      <c r="H1816" s="20">
        <f>TRUNC($F1816*G1816*0.0000001,1)</f>
        <v>0</v>
      </c>
      <c r="I1816" s="19">
        <v>1719</v>
      </c>
      <c r="J1816" s="20">
        <f>TRUNC($F1816*I1816*0.0000001,1)</f>
        <v>7914.1</v>
      </c>
      <c r="K1816" s="21">
        <v>0</v>
      </c>
      <c r="L1816" s="20">
        <f>TRUNC($F1816*K1816*0.0000001,1)</f>
        <v>0</v>
      </c>
    </row>
    <row r="1817" spans="2:14" ht="11.25" customHeight="1" x14ac:dyDescent="0.2">
      <c r="B1817" s="8" t="s">
        <v>879</v>
      </c>
      <c r="C1817" s="4" t="s">
        <v>1623</v>
      </c>
      <c r="D1817" s="106" t="s">
        <v>580</v>
      </c>
      <c r="E1817" s="13" t="s">
        <v>746</v>
      </c>
      <c r="F1817" s="66">
        <v>73964000</v>
      </c>
      <c r="G1817" s="21">
        <v>0</v>
      </c>
      <c r="H1817" s="20">
        <f>TRUNC($F1817*G1817*0.0000001,1)</f>
        <v>0</v>
      </c>
      <c r="I1817" s="21">
        <v>0</v>
      </c>
      <c r="J1817" s="20">
        <f>TRUNC($F1817*I1817*0.0000001,1)</f>
        <v>0</v>
      </c>
      <c r="K1817" s="19">
        <v>1719</v>
      </c>
      <c r="L1817" s="20">
        <f>TRUNC($F1817*K1817*0.0000001,1)</f>
        <v>12714.4</v>
      </c>
    </row>
    <row r="1818" spans="2:14" ht="11.25" customHeight="1" x14ac:dyDescent="0.2">
      <c r="C1818" s="107" t="s">
        <v>1289</v>
      </c>
      <c r="D1818" s="109"/>
      <c r="E1818" s="34"/>
      <c r="F1818" s="33"/>
      <c r="G1818" s="33"/>
      <c r="H1818" s="24">
        <f>TRUNC(SUM(H1815:H1817))</f>
        <v>6451</v>
      </c>
      <c r="I1818" s="33"/>
      <c r="J1818" s="24">
        <f>TRUNC(SUM(J1815:J1817))</f>
        <v>7914</v>
      </c>
      <c r="K1818" s="33"/>
      <c r="L1818" s="24">
        <f>TRUNC(SUM(L1815:L1817))</f>
        <v>12714</v>
      </c>
    </row>
    <row r="1819" spans="2:14" ht="11.25" customHeight="1" x14ac:dyDescent="0.2">
      <c r="C1819" s="4"/>
      <c r="D1819" s="4"/>
      <c r="E1819" s="18"/>
      <c r="F1819" s="18"/>
      <c r="G1819" s="18"/>
      <c r="H1819" s="18"/>
      <c r="I1819" s="18"/>
      <c r="J1819" s="18"/>
      <c r="K1819" s="18"/>
      <c r="L1819" s="18"/>
    </row>
    <row r="1820" spans="2:14" ht="11.25" customHeight="1" x14ac:dyDescent="0.2">
      <c r="B1820" s="16"/>
      <c r="C1820" s="108" t="s">
        <v>1286</v>
      </c>
      <c r="D1820" s="108"/>
      <c r="E1820" s="103"/>
      <c r="F1820" s="102"/>
      <c r="G1820" s="102"/>
      <c r="H1820" s="104">
        <f>TRUNC(H1818+H1810+H1813)</f>
        <v>106414</v>
      </c>
      <c r="I1820" s="102"/>
      <c r="J1820" s="104">
        <f>TRUNC(J1818+J1810+J1813)</f>
        <v>115037</v>
      </c>
      <c r="K1820" s="102"/>
      <c r="L1820" s="104">
        <f>TRUNC(L1818+L1810+L1813)</f>
        <v>128045</v>
      </c>
    </row>
    <row r="1822" spans="2:14" ht="11.25" customHeight="1" x14ac:dyDescent="0.2">
      <c r="B1822" s="68" t="s">
        <v>1627</v>
      </c>
      <c r="C1822" s="119"/>
      <c r="D1822" s="119"/>
      <c r="N1822" s="49" t="s">
        <v>1307</v>
      </c>
    </row>
    <row r="1823" spans="2:14" ht="11.25" customHeight="1" x14ac:dyDescent="0.2">
      <c r="B1823" s="186" t="s">
        <v>427</v>
      </c>
      <c r="C1823" s="187" t="s">
        <v>428</v>
      </c>
      <c r="D1823" s="187" t="s">
        <v>429</v>
      </c>
      <c r="E1823" s="188" t="s">
        <v>430</v>
      </c>
      <c r="F1823" s="188" t="s">
        <v>431</v>
      </c>
      <c r="G1823" s="94" t="s">
        <v>1226</v>
      </c>
      <c r="H1823" s="151"/>
      <c r="I1823" s="94" t="s">
        <v>1227</v>
      </c>
      <c r="J1823" s="151"/>
      <c r="K1823" s="94" t="s">
        <v>1228</v>
      </c>
      <c r="L1823" s="151"/>
      <c r="M1823" s="94" t="s">
        <v>422</v>
      </c>
      <c r="N1823" s="151"/>
    </row>
    <row r="1824" spans="2:14" ht="11.25" customHeight="1" x14ac:dyDescent="0.2">
      <c r="B1824" s="186"/>
      <c r="C1824" s="187"/>
      <c r="D1824" s="187"/>
      <c r="E1824" s="188"/>
      <c r="F1824" s="188"/>
      <c r="G1824" s="17" t="s">
        <v>436</v>
      </c>
      <c r="H1824" s="17" t="s">
        <v>437</v>
      </c>
      <c r="I1824" s="17" t="s">
        <v>436</v>
      </c>
      <c r="J1824" s="17" t="s">
        <v>437</v>
      </c>
      <c r="K1824" s="17" t="s">
        <v>436</v>
      </c>
      <c r="L1824" s="17" t="s">
        <v>437</v>
      </c>
      <c r="M1824" s="17" t="s">
        <v>436</v>
      </c>
      <c r="N1824" s="17" t="s">
        <v>437</v>
      </c>
    </row>
    <row r="1825" spans="1:14" ht="11.25" customHeight="1" x14ac:dyDescent="0.2">
      <c r="A1825" s="7"/>
      <c r="B1825" s="8" t="s">
        <v>1223</v>
      </c>
      <c r="C1825" s="4" t="s">
        <v>1628</v>
      </c>
      <c r="D1825" s="106" t="s">
        <v>1624</v>
      </c>
      <c r="E1825" s="13" t="s">
        <v>746</v>
      </c>
      <c r="F1825" s="66">
        <v>1951000</v>
      </c>
      <c r="G1825" s="19">
        <v>2500</v>
      </c>
      <c r="H1825" s="20">
        <f>TRUNC($F1825*G1825*0.0000001,1)</f>
        <v>487.7</v>
      </c>
      <c r="I1825" s="21">
        <v>0</v>
      </c>
      <c r="J1825" s="20">
        <f>TRUNC($F1825*I1825*0.0000001,1)</f>
        <v>0</v>
      </c>
      <c r="K1825" s="21">
        <v>0</v>
      </c>
      <c r="L1825" s="20">
        <f>TRUNC($F1825*K1825*0.0000001,1)</f>
        <v>0</v>
      </c>
      <c r="M1825" s="21">
        <v>0</v>
      </c>
      <c r="N1825" s="20">
        <f>TRUNC($F1825*M1825*0.0000001,1)</f>
        <v>0</v>
      </c>
    </row>
    <row r="1826" spans="1:14" ht="11.25" customHeight="1" x14ac:dyDescent="0.2">
      <c r="B1826" s="8" t="s">
        <v>1224</v>
      </c>
      <c r="C1826" s="4" t="s">
        <v>1628</v>
      </c>
      <c r="D1826" s="106" t="s">
        <v>1625</v>
      </c>
      <c r="E1826" s="13" t="s">
        <v>746</v>
      </c>
      <c r="F1826" s="66">
        <v>1976000</v>
      </c>
      <c r="G1826" s="21">
        <v>0</v>
      </c>
      <c r="H1826" s="20">
        <f>TRUNC($F1826*G1826*0.0000001,1)</f>
        <v>0</v>
      </c>
      <c r="I1826" s="19">
        <v>2500</v>
      </c>
      <c r="J1826" s="20">
        <f>TRUNC($F1826*I1826*0.0000001,1)</f>
        <v>494</v>
      </c>
      <c r="K1826" s="21">
        <v>0</v>
      </c>
      <c r="L1826" s="20">
        <f>TRUNC($F1826*K1826*0.0000001,1)</f>
        <v>0</v>
      </c>
      <c r="M1826" s="21">
        <v>0</v>
      </c>
      <c r="N1826" s="20">
        <f>TRUNC($F1826*M1826*0.0000001,1)</f>
        <v>0</v>
      </c>
    </row>
    <row r="1827" spans="1:14" ht="11.25" customHeight="1" x14ac:dyDescent="0.2">
      <c r="B1827" s="8" t="s">
        <v>1225</v>
      </c>
      <c r="C1827" s="4" t="s">
        <v>1628</v>
      </c>
      <c r="D1827" s="106" t="s">
        <v>1626</v>
      </c>
      <c r="E1827" s="13" t="s">
        <v>746</v>
      </c>
      <c r="F1827" s="66">
        <v>2576000</v>
      </c>
      <c r="G1827" s="21">
        <v>0</v>
      </c>
      <c r="H1827" s="20">
        <f>TRUNC($F1827*G1827*0.0000001,1)</f>
        <v>0</v>
      </c>
      <c r="I1827" s="21">
        <v>0</v>
      </c>
      <c r="J1827" s="20">
        <f>TRUNC($F1827*I1827*0.0000001,1)</f>
        <v>0</v>
      </c>
      <c r="K1827" s="19">
        <v>2500</v>
      </c>
      <c r="L1827" s="20">
        <f>TRUNC($F1827*K1827*0.0000001,1)</f>
        <v>644</v>
      </c>
      <c r="M1827" s="21">
        <v>0</v>
      </c>
      <c r="N1827" s="20">
        <f>TRUNC($F1827*M1827*0.0000001,1)</f>
        <v>0</v>
      </c>
    </row>
    <row r="1828" spans="1:14" ht="11.25" customHeight="1" x14ac:dyDescent="0.2">
      <c r="B1828" s="8" t="s">
        <v>1230</v>
      </c>
      <c r="C1828" s="4" t="s">
        <v>1628</v>
      </c>
      <c r="D1828" s="106" t="s">
        <v>512</v>
      </c>
      <c r="E1828" s="13" t="s">
        <v>746</v>
      </c>
      <c r="F1828" s="66">
        <v>3106000</v>
      </c>
      <c r="G1828" s="21">
        <v>0</v>
      </c>
      <c r="H1828" s="20">
        <f>TRUNC($F1828*G1828*0.0000001,1)</f>
        <v>0</v>
      </c>
      <c r="I1828" s="21">
        <v>0</v>
      </c>
      <c r="J1828" s="20">
        <f>TRUNC($F1828*I1828*0.0000001,1)</f>
        <v>0</v>
      </c>
      <c r="K1828" s="21">
        <v>0</v>
      </c>
      <c r="L1828" s="20">
        <f>TRUNC($F1828*K1828*0.0000001,1)</f>
        <v>0</v>
      </c>
      <c r="M1828" s="19">
        <v>2500</v>
      </c>
      <c r="N1828" s="20">
        <f>TRUNC($F1828*M1828*0.0000001,1)</f>
        <v>776.5</v>
      </c>
    </row>
    <row r="1829" spans="1:14" ht="11.25" customHeight="1" x14ac:dyDescent="0.2">
      <c r="C1829" s="107" t="s">
        <v>1289</v>
      </c>
      <c r="D1829" s="109"/>
      <c r="E1829" s="34"/>
      <c r="F1829" s="33"/>
      <c r="G1829" s="33"/>
      <c r="H1829" s="24">
        <f>TRUNC(SUM(H1825:H1828))</f>
        <v>487</v>
      </c>
      <c r="I1829" s="33"/>
      <c r="J1829" s="24">
        <f>TRUNC(SUM(J1825:J1828))</f>
        <v>494</v>
      </c>
      <c r="K1829" s="33"/>
      <c r="L1829" s="24">
        <f>TRUNC(SUM(L1825:L1828))</f>
        <v>644</v>
      </c>
      <c r="M1829" s="33"/>
      <c r="N1829" s="24">
        <f>TRUNC(SUM(N1825:N1828))</f>
        <v>776</v>
      </c>
    </row>
    <row r="1830" spans="1:14" ht="11.25" customHeight="1" x14ac:dyDescent="0.2">
      <c r="C1830" s="4"/>
      <c r="D1830" s="4"/>
      <c r="E1830" s="13"/>
      <c r="F1830" s="53"/>
      <c r="G1830" s="26"/>
      <c r="H1830" s="20"/>
      <c r="I1830" s="26"/>
      <c r="J1830" s="20"/>
      <c r="K1830" s="26"/>
      <c r="L1830" s="20"/>
      <c r="M1830" s="26"/>
      <c r="N1830" s="20"/>
    </row>
    <row r="1831" spans="1:14" ht="11.25" customHeight="1" x14ac:dyDescent="0.2">
      <c r="B1831" s="16"/>
      <c r="C1831" s="108" t="s">
        <v>1286</v>
      </c>
      <c r="D1831" s="108"/>
      <c r="E1831" s="103"/>
      <c r="F1831" s="102"/>
      <c r="G1831" s="102"/>
      <c r="H1831" s="104">
        <f>TRUNC(H1829)</f>
        <v>487</v>
      </c>
      <c r="I1831" s="102"/>
      <c r="J1831" s="104">
        <f>TRUNC(J1829)</f>
        <v>494</v>
      </c>
      <c r="K1831" s="102"/>
      <c r="L1831" s="104">
        <f>TRUNC(L1829)</f>
        <v>644</v>
      </c>
      <c r="M1831" s="102"/>
      <c r="N1831" s="104">
        <f>TRUNC(N1829)</f>
        <v>776</v>
      </c>
    </row>
    <row r="1833" spans="1:14" ht="11.25" customHeight="1" x14ac:dyDescent="0.2">
      <c r="B1833" s="68" t="s">
        <v>1629</v>
      </c>
      <c r="C1833" s="119"/>
      <c r="H1833" s="49" t="s">
        <v>1307</v>
      </c>
    </row>
    <row r="1834" spans="1:14" ht="11.25" customHeight="1" x14ac:dyDescent="0.2">
      <c r="B1834" s="186" t="s">
        <v>427</v>
      </c>
      <c r="C1834" s="187" t="s">
        <v>428</v>
      </c>
      <c r="D1834" s="187" t="s">
        <v>429</v>
      </c>
      <c r="E1834" s="188" t="s">
        <v>430</v>
      </c>
      <c r="F1834" s="188" t="s">
        <v>431</v>
      </c>
      <c r="G1834" s="94" t="s">
        <v>1233</v>
      </c>
      <c r="H1834" s="151"/>
    </row>
    <row r="1835" spans="1:14" ht="11.25" customHeight="1" x14ac:dyDescent="0.2">
      <c r="B1835" s="186"/>
      <c r="C1835" s="187"/>
      <c r="D1835" s="187"/>
      <c r="E1835" s="188"/>
      <c r="F1835" s="188"/>
      <c r="G1835" s="17" t="s">
        <v>436</v>
      </c>
      <c r="H1835" s="17" t="s">
        <v>437</v>
      </c>
    </row>
    <row r="1836" spans="1:14" ht="11.25" customHeight="1" x14ac:dyDescent="0.2">
      <c r="B1836" s="8" t="s">
        <v>1222</v>
      </c>
      <c r="C1836" s="4" t="s">
        <v>1232</v>
      </c>
      <c r="D1836" s="106" t="s">
        <v>1237</v>
      </c>
      <c r="E1836" s="13" t="s">
        <v>746</v>
      </c>
      <c r="F1836" s="66">
        <v>1375000</v>
      </c>
      <c r="G1836" s="19">
        <v>2500</v>
      </c>
      <c r="H1836" s="20">
        <f>TRUNC($F1836*G1836*0.0000001,1)</f>
        <v>343.7</v>
      </c>
    </row>
    <row r="1837" spans="1:14" ht="11.25" customHeight="1" x14ac:dyDescent="0.2">
      <c r="C1837" s="107" t="s">
        <v>1289</v>
      </c>
      <c r="D1837" s="109"/>
      <c r="E1837" s="34"/>
      <c r="F1837" s="33"/>
      <c r="G1837" s="33"/>
      <c r="H1837" s="24">
        <f>TRUNC(SUM(H1836:H1836))</f>
        <v>343</v>
      </c>
    </row>
    <row r="1838" spans="1:14" ht="11.25" customHeight="1" x14ac:dyDescent="0.2">
      <c r="C1838" s="4"/>
      <c r="D1838" s="4"/>
      <c r="E1838" s="13"/>
      <c r="F1838" s="53"/>
      <c r="G1838" s="26"/>
      <c r="H1838" s="20"/>
    </row>
    <row r="1839" spans="1:14" ht="11.25" customHeight="1" x14ac:dyDescent="0.2">
      <c r="B1839" s="16"/>
      <c r="C1839" s="108" t="s">
        <v>1286</v>
      </c>
      <c r="D1839" s="108"/>
      <c r="E1839" s="103"/>
      <c r="F1839" s="102"/>
      <c r="G1839" s="102"/>
      <c r="H1839" s="104">
        <f>TRUNC(H1837)</f>
        <v>343</v>
      </c>
    </row>
    <row r="1841" spans="1:10" ht="11.25" customHeight="1" x14ac:dyDescent="0.2">
      <c r="B1841" s="68" t="s">
        <v>1630</v>
      </c>
      <c r="C1841" s="119"/>
      <c r="H1841" s="49" t="s">
        <v>1307</v>
      </c>
    </row>
    <row r="1842" spans="1:10" ht="11.25" customHeight="1" x14ac:dyDescent="0.2">
      <c r="B1842" s="186" t="s">
        <v>427</v>
      </c>
      <c r="C1842" s="187" t="s">
        <v>428</v>
      </c>
      <c r="D1842" s="187" t="s">
        <v>429</v>
      </c>
      <c r="E1842" s="188" t="s">
        <v>430</v>
      </c>
      <c r="F1842" s="188" t="s">
        <v>431</v>
      </c>
      <c r="G1842" s="94" t="s">
        <v>1633</v>
      </c>
      <c r="H1842" s="151"/>
    </row>
    <row r="1843" spans="1:10" ht="11.25" customHeight="1" x14ac:dyDescent="0.2">
      <c r="B1843" s="186"/>
      <c r="C1843" s="187"/>
      <c r="D1843" s="187"/>
      <c r="E1843" s="188"/>
      <c r="F1843" s="188"/>
      <c r="G1843" s="17" t="s">
        <v>436</v>
      </c>
      <c r="H1843" s="17" t="s">
        <v>437</v>
      </c>
    </row>
    <row r="1844" spans="1:10" ht="11.25" customHeight="1" x14ac:dyDescent="0.2">
      <c r="B1844" s="8" t="s">
        <v>880</v>
      </c>
      <c r="C1844" s="4" t="s">
        <v>1631</v>
      </c>
      <c r="D1844" s="106" t="s">
        <v>1632</v>
      </c>
      <c r="E1844" s="13" t="s">
        <v>746</v>
      </c>
      <c r="F1844" s="66">
        <v>18294000</v>
      </c>
      <c r="G1844" s="19">
        <v>2506</v>
      </c>
      <c r="H1844" s="20">
        <f>TRUNC($F1844*G1844*0.0000001,1)</f>
        <v>4584.3999999999996</v>
      </c>
    </row>
    <row r="1845" spans="1:10" ht="11.25" customHeight="1" x14ac:dyDescent="0.2">
      <c r="C1845" s="107" t="s">
        <v>1289</v>
      </c>
      <c r="D1845" s="109"/>
      <c r="E1845" s="34"/>
      <c r="F1845" s="33"/>
      <c r="G1845" s="33"/>
      <c r="H1845" s="24">
        <f>TRUNC(SUM(H1844:H1844))</f>
        <v>4584</v>
      </c>
    </row>
    <row r="1846" spans="1:10" ht="11.25" customHeight="1" x14ac:dyDescent="0.2">
      <c r="C1846" s="4"/>
      <c r="D1846" s="4"/>
      <c r="E1846" s="13"/>
      <c r="F1846" s="53"/>
      <c r="G1846" s="26"/>
      <c r="H1846" s="20"/>
    </row>
    <row r="1847" spans="1:10" ht="11.25" customHeight="1" x14ac:dyDescent="0.2">
      <c r="B1847" s="16"/>
      <c r="C1847" s="108" t="s">
        <v>1286</v>
      </c>
      <c r="D1847" s="108"/>
      <c r="E1847" s="103"/>
      <c r="F1847" s="102"/>
      <c r="G1847" s="102"/>
      <c r="H1847" s="104">
        <f>TRUNC(H1845)</f>
        <v>4584</v>
      </c>
    </row>
    <row r="1849" spans="1:10" ht="11.25" customHeight="1" x14ac:dyDescent="0.2">
      <c r="B1849" s="68" t="s">
        <v>1634</v>
      </c>
      <c r="C1849" s="119"/>
      <c r="J1849" s="49" t="s">
        <v>1307</v>
      </c>
    </row>
    <row r="1850" spans="1:10" ht="11.25" customHeight="1" x14ac:dyDescent="0.2">
      <c r="B1850" s="186" t="s">
        <v>427</v>
      </c>
      <c r="C1850" s="187" t="s">
        <v>428</v>
      </c>
      <c r="D1850" s="187" t="s">
        <v>429</v>
      </c>
      <c r="E1850" s="188" t="s">
        <v>430</v>
      </c>
      <c r="F1850" s="188" t="s">
        <v>431</v>
      </c>
      <c r="G1850" s="94" t="s">
        <v>1107</v>
      </c>
      <c r="H1850" s="151"/>
      <c r="I1850" s="94" t="s">
        <v>1108</v>
      </c>
      <c r="J1850" s="151"/>
    </row>
    <row r="1851" spans="1:10" ht="11.25" customHeight="1" x14ac:dyDescent="0.2">
      <c r="B1851" s="186"/>
      <c r="C1851" s="187"/>
      <c r="D1851" s="187"/>
      <c r="E1851" s="188"/>
      <c r="F1851" s="188"/>
      <c r="G1851" s="17" t="s">
        <v>436</v>
      </c>
      <c r="H1851" s="17" t="s">
        <v>437</v>
      </c>
      <c r="I1851" s="17" t="s">
        <v>436</v>
      </c>
      <c r="J1851" s="17" t="s">
        <v>437</v>
      </c>
    </row>
    <row r="1852" spans="1:10" ht="11.25" customHeight="1" x14ac:dyDescent="0.2">
      <c r="C1852" s="4" t="s">
        <v>798</v>
      </c>
      <c r="D1852" s="4" t="s">
        <v>866</v>
      </c>
      <c r="E1852" s="13" t="s">
        <v>497</v>
      </c>
      <c r="F1852" s="28">
        <v>283297</v>
      </c>
      <c r="G1852" s="18">
        <v>0.20799999999999999</v>
      </c>
      <c r="H1852" s="20">
        <f>TRUNC(($F1852*G1852),1)</f>
        <v>58925.7</v>
      </c>
      <c r="I1852" s="18">
        <v>0.20799999999999999</v>
      </c>
      <c r="J1852" s="20">
        <f>TRUNC(($F1852*I1852),1)</f>
        <v>58925.7</v>
      </c>
    </row>
    <row r="1853" spans="1:10" ht="11.25" customHeight="1" x14ac:dyDescent="0.2">
      <c r="C1853" s="107" t="s">
        <v>1285</v>
      </c>
      <c r="D1853" s="109"/>
      <c r="E1853" s="34"/>
      <c r="F1853" s="33"/>
      <c r="G1853" s="33"/>
      <c r="H1853" s="24">
        <f>TRUNC(SUM(H1852:H1852))</f>
        <v>58925</v>
      </c>
      <c r="I1853" s="33"/>
      <c r="J1853" s="24">
        <f>TRUNC(SUM(J1852:J1852))</f>
        <v>58925</v>
      </c>
    </row>
    <row r="1854" spans="1:10" ht="11.25" customHeight="1" x14ac:dyDescent="0.2">
      <c r="C1854" s="4"/>
      <c r="D1854" s="4"/>
      <c r="E1854" s="18"/>
      <c r="F1854" s="18"/>
      <c r="G1854" s="18"/>
      <c r="H1854" s="18"/>
      <c r="I1854" s="18"/>
      <c r="J1854" s="18"/>
    </row>
    <row r="1855" spans="1:10" ht="11.25" customHeight="1" x14ac:dyDescent="0.2">
      <c r="B1855" s="8" t="s">
        <v>881</v>
      </c>
      <c r="C1855" s="4" t="s">
        <v>1635</v>
      </c>
      <c r="D1855" s="106" t="s">
        <v>1107</v>
      </c>
      <c r="E1855" s="13" t="s">
        <v>746</v>
      </c>
      <c r="F1855" s="66">
        <v>105609000</v>
      </c>
      <c r="G1855" s="19">
        <v>1548</v>
      </c>
      <c r="H1855" s="20">
        <f>TRUNC($F1855*G1855*0.0000001,1)</f>
        <v>16348.2</v>
      </c>
      <c r="I1855" s="21"/>
      <c r="J1855" s="20">
        <f>TRUNC($F1855*I1855*0.0000001,1)</f>
        <v>0</v>
      </c>
    </row>
    <row r="1856" spans="1:10" ht="11.25" customHeight="1" x14ac:dyDescent="0.2">
      <c r="A1856" s="7"/>
      <c r="B1856" s="8" t="s">
        <v>882</v>
      </c>
      <c r="C1856" s="4" t="s">
        <v>1635</v>
      </c>
      <c r="D1856" s="106" t="s">
        <v>1108</v>
      </c>
      <c r="E1856" s="13" t="s">
        <v>746</v>
      </c>
      <c r="F1856" s="66">
        <v>52136000</v>
      </c>
      <c r="G1856" s="21"/>
      <c r="H1856" s="20">
        <f>TRUNC($F1856*G1856*0.0000001,1)</f>
        <v>0</v>
      </c>
      <c r="I1856" s="19">
        <v>2506</v>
      </c>
      <c r="J1856" s="20">
        <f>TRUNC($F1856*I1856*0.0000001,1)</f>
        <v>13065.2</v>
      </c>
    </row>
    <row r="1857" spans="2:12" ht="11.25" customHeight="1" x14ac:dyDescent="0.2">
      <c r="C1857" s="107" t="s">
        <v>1289</v>
      </c>
      <c r="D1857" s="109"/>
      <c r="E1857" s="34"/>
      <c r="F1857" s="33"/>
      <c r="G1857" s="33"/>
      <c r="H1857" s="24">
        <f>TRUNC(SUM(H1855:H1856))</f>
        <v>16348</v>
      </c>
      <c r="I1857" s="33"/>
      <c r="J1857" s="24">
        <f>TRUNC(SUM(J1855:J1856))</f>
        <v>13065</v>
      </c>
    </row>
    <row r="1858" spans="2:12" ht="11.25" customHeight="1" x14ac:dyDescent="0.2">
      <c r="C1858" s="4"/>
      <c r="D1858" s="4"/>
      <c r="E1858" s="18"/>
      <c r="F1858" s="18"/>
      <c r="G1858" s="18"/>
      <c r="H1858" s="18"/>
      <c r="I1858" s="18"/>
      <c r="J1858" s="18"/>
    </row>
    <row r="1859" spans="2:12" ht="11.25" customHeight="1" x14ac:dyDescent="0.2">
      <c r="B1859" s="16"/>
      <c r="C1859" s="108" t="s">
        <v>1286</v>
      </c>
      <c r="D1859" s="108"/>
      <c r="E1859" s="103"/>
      <c r="F1859" s="102"/>
      <c r="G1859" s="102"/>
      <c r="H1859" s="104">
        <f>TRUNC(H1857+H1853)</f>
        <v>75273</v>
      </c>
      <c r="I1859" s="102"/>
      <c r="J1859" s="104">
        <f>TRUNC(J1857+J1853)</f>
        <v>71990</v>
      </c>
    </row>
    <row r="1861" spans="2:12" ht="11.25" customHeight="1" x14ac:dyDescent="0.2">
      <c r="B1861" s="68" t="s">
        <v>1636</v>
      </c>
      <c r="C1861" s="119"/>
      <c r="J1861" s="49" t="s">
        <v>1307</v>
      </c>
    </row>
    <row r="1862" spans="2:12" ht="11.25" customHeight="1" x14ac:dyDescent="0.2">
      <c r="B1862" s="186" t="s">
        <v>427</v>
      </c>
      <c r="C1862" s="187" t="s">
        <v>428</v>
      </c>
      <c r="D1862" s="187" t="s">
        <v>429</v>
      </c>
      <c r="E1862" s="188" t="s">
        <v>430</v>
      </c>
      <c r="F1862" s="188" t="s">
        <v>431</v>
      </c>
      <c r="G1862" s="94" t="s">
        <v>1238</v>
      </c>
      <c r="H1862" s="151"/>
      <c r="I1862" s="94" t="s">
        <v>672</v>
      </c>
      <c r="J1862" s="151"/>
    </row>
    <row r="1863" spans="2:12" ht="11.25" customHeight="1" x14ac:dyDescent="0.2">
      <c r="B1863" s="186"/>
      <c r="C1863" s="187"/>
      <c r="D1863" s="187"/>
      <c r="E1863" s="188"/>
      <c r="F1863" s="188"/>
      <c r="G1863" s="17" t="s">
        <v>436</v>
      </c>
      <c r="H1863" s="17" t="s">
        <v>437</v>
      </c>
      <c r="I1863" s="17" t="s">
        <v>436</v>
      </c>
      <c r="J1863" s="17" t="s">
        <v>437</v>
      </c>
    </row>
    <row r="1864" spans="2:12" ht="11.25" customHeight="1" x14ac:dyDescent="0.2">
      <c r="C1864" s="4" t="s">
        <v>426</v>
      </c>
      <c r="D1864" s="4"/>
      <c r="E1864" s="13" t="s">
        <v>494</v>
      </c>
      <c r="F1864" s="25">
        <v>1505.45</v>
      </c>
      <c r="G1864" s="26">
        <v>18.600000000000001</v>
      </c>
      <c r="H1864" s="20">
        <f>TRUNC(($F1864*G1864),1)</f>
        <v>28001.3</v>
      </c>
      <c r="I1864" s="26">
        <v>25.7</v>
      </c>
      <c r="J1864" s="20">
        <f>TRUNC(($F1864*I1864),1)</f>
        <v>38690</v>
      </c>
      <c r="K1864" s="52"/>
      <c r="L1864" s="32"/>
    </row>
    <row r="1865" spans="2:12" ht="11.25" customHeight="1" x14ac:dyDescent="0.2">
      <c r="C1865" s="4" t="s">
        <v>878</v>
      </c>
      <c r="D1865" s="4" t="s">
        <v>203</v>
      </c>
      <c r="E1865" s="13" t="s">
        <v>232</v>
      </c>
      <c r="F1865" s="18"/>
      <c r="G1865" s="21">
        <v>23</v>
      </c>
      <c r="H1865" s="20">
        <f>TRUNC(H1864*G1865*0.01,1)</f>
        <v>6440.2</v>
      </c>
      <c r="I1865" s="21">
        <v>23</v>
      </c>
      <c r="J1865" s="20">
        <f>TRUNC(J1864*I1865*0.01,1)</f>
        <v>8898.7000000000007</v>
      </c>
      <c r="K1865" s="39"/>
      <c r="L1865" s="32"/>
    </row>
    <row r="1866" spans="2:12" ht="11.25" customHeight="1" x14ac:dyDescent="0.2">
      <c r="C1866" s="107" t="s">
        <v>799</v>
      </c>
      <c r="D1866" s="109"/>
      <c r="E1866" s="34"/>
      <c r="F1866" s="33"/>
      <c r="G1866" s="33"/>
      <c r="H1866" s="24">
        <f>TRUNC(SUM(H1864:H1865))</f>
        <v>34441</v>
      </c>
      <c r="I1866" s="33"/>
      <c r="J1866" s="24">
        <f>TRUNC(SUM(J1864:J1865))</f>
        <v>47588</v>
      </c>
      <c r="K1866" s="40"/>
      <c r="L1866" s="54"/>
    </row>
    <row r="1867" spans="2:12" ht="11.25" customHeight="1" x14ac:dyDescent="0.2">
      <c r="C1867" s="4"/>
      <c r="D1867" s="4"/>
      <c r="E1867" s="18"/>
      <c r="F1867" s="18"/>
      <c r="G1867" s="18"/>
      <c r="H1867" s="18"/>
      <c r="I1867" s="18"/>
      <c r="J1867" s="18"/>
    </row>
    <row r="1868" spans="2:12" ht="11.25" customHeight="1" x14ac:dyDescent="0.2">
      <c r="C1868" s="4" t="s">
        <v>798</v>
      </c>
      <c r="D1868" s="4" t="s">
        <v>866</v>
      </c>
      <c r="E1868" s="13" t="s">
        <v>497</v>
      </c>
      <c r="F1868" s="28">
        <v>283297</v>
      </c>
      <c r="G1868" s="18">
        <v>0.20799999999999999</v>
      </c>
      <c r="H1868" s="20">
        <f>TRUNC(($F1868*G1868),1)</f>
        <v>58925.7</v>
      </c>
      <c r="I1868" s="18">
        <v>0.20799999999999999</v>
      </c>
      <c r="J1868" s="20">
        <f>TRUNC(($F1868*I1868),1)</f>
        <v>58925.7</v>
      </c>
    </row>
    <row r="1869" spans="2:12" ht="11.25" customHeight="1" x14ac:dyDescent="0.2">
      <c r="C1869" s="107" t="s">
        <v>1285</v>
      </c>
      <c r="D1869" s="109"/>
      <c r="E1869" s="34"/>
      <c r="F1869" s="33"/>
      <c r="G1869" s="33"/>
      <c r="H1869" s="24">
        <f>TRUNC(SUM(H1868:H1868))</f>
        <v>58925</v>
      </c>
      <c r="I1869" s="33"/>
      <c r="J1869" s="24">
        <f>TRUNC(SUM(J1868:J1868))</f>
        <v>58925</v>
      </c>
    </row>
    <row r="1870" spans="2:12" ht="11.25" customHeight="1" x14ac:dyDescent="0.2">
      <c r="C1870" s="4"/>
      <c r="D1870" s="4"/>
      <c r="E1870" s="18"/>
      <c r="F1870" s="18"/>
      <c r="G1870" s="18"/>
      <c r="H1870" s="18"/>
      <c r="I1870" s="18"/>
      <c r="J1870" s="18"/>
    </row>
    <row r="1871" spans="2:12" ht="11.25" customHeight="1" x14ac:dyDescent="0.2">
      <c r="B1871" s="8" t="s">
        <v>137</v>
      </c>
      <c r="C1871" s="4" t="s">
        <v>141</v>
      </c>
      <c r="D1871" s="106" t="s">
        <v>1238</v>
      </c>
      <c r="E1871" s="13" t="s">
        <v>746</v>
      </c>
      <c r="F1871" s="66">
        <v>162382000</v>
      </c>
      <c r="G1871" s="19">
        <v>1548</v>
      </c>
      <c r="H1871" s="20">
        <f>TRUNC($F1871*G1871*0.0000001,1)</f>
        <v>25136.7</v>
      </c>
      <c r="I1871" s="21">
        <v>0</v>
      </c>
      <c r="J1871" s="20">
        <f>TRUNC($F1871*I1871*0.0000001,1)</f>
        <v>0</v>
      </c>
    </row>
    <row r="1872" spans="2:12" ht="11.25" customHeight="1" x14ac:dyDescent="0.2">
      <c r="B1872" s="8" t="s">
        <v>138</v>
      </c>
      <c r="C1872" s="4" t="s">
        <v>1209</v>
      </c>
      <c r="D1872" s="106" t="s">
        <v>672</v>
      </c>
      <c r="E1872" s="13" t="s">
        <v>746</v>
      </c>
      <c r="F1872" s="66">
        <v>218600000</v>
      </c>
      <c r="G1872" s="21">
        <v>0</v>
      </c>
      <c r="H1872" s="20">
        <f>TRUNC($F1872*G1872*0.0000001,1)</f>
        <v>0</v>
      </c>
      <c r="I1872" s="19">
        <v>1548</v>
      </c>
      <c r="J1872" s="20">
        <f>TRUNC($F1872*I1872*0.0000001,1)</f>
        <v>33839.199999999997</v>
      </c>
    </row>
    <row r="1873" spans="2:10" ht="11.25" customHeight="1" x14ac:dyDescent="0.2">
      <c r="C1873" s="107" t="s">
        <v>1289</v>
      </c>
      <c r="D1873" s="109"/>
      <c r="E1873" s="34"/>
      <c r="F1873" s="33"/>
      <c r="G1873" s="33"/>
      <c r="H1873" s="24">
        <f>TRUNC(SUM(H1871:H1872))</f>
        <v>25136</v>
      </c>
      <c r="I1873" s="33"/>
      <c r="J1873" s="24">
        <f>TRUNC(SUM(J1871:J1872))</f>
        <v>33839</v>
      </c>
    </row>
    <row r="1874" spans="2:10" ht="11.25" customHeight="1" x14ac:dyDescent="0.2">
      <c r="C1874" s="4"/>
      <c r="D1874" s="4"/>
      <c r="E1874" s="18"/>
      <c r="F1874" s="18"/>
      <c r="G1874" s="18"/>
      <c r="H1874" s="18"/>
      <c r="I1874" s="18"/>
      <c r="J1874" s="18"/>
    </row>
    <row r="1875" spans="2:10" ht="11.25" customHeight="1" x14ac:dyDescent="0.2">
      <c r="B1875" s="16"/>
      <c r="C1875" s="108" t="s">
        <v>1286</v>
      </c>
      <c r="D1875" s="108"/>
      <c r="E1875" s="103"/>
      <c r="F1875" s="102"/>
      <c r="G1875" s="102"/>
      <c r="H1875" s="104">
        <f>TRUNC(H1873+H1866+H1869)</f>
        <v>118502</v>
      </c>
      <c r="I1875" s="102"/>
      <c r="J1875" s="104">
        <f>TRUNC(J1873+J1866+J1869)</f>
        <v>140352</v>
      </c>
    </row>
    <row r="1877" spans="2:10" ht="11.25" customHeight="1" x14ac:dyDescent="0.2">
      <c r="B1877" s="68" t="s">
        <v>1637</v>
      </c>
      <c r="C1877" s="119"/>
      <c r="H1877" s="49" t="s">
        <v>1307</v>
      </c>
    </row>
    <row r="1878" spans="2:10" ht="11.25" customHeight="1" x14ac:dyDescent="0.2">
      <c r="B1878" s="186" t="s">
        <v>427</v>
      </c>
      <c r="C1878" s="187" t="s">
        <v>428</v>
      </c>
      <c r="D1878" s="187" t="s">
        <v>429</v>
      </c>
      <c r="E1878" s="188" t="s">
        <v>430</v>
      </c>
      <c r="F1878" s="188" t="s">
        <v>431</v>
      </c>
      <c r="G1878" s="94" t="s">
        <v>1273</v>
      </c>
      <c r="H1878" s="151"/>
    </row>
    <row r="1879" spans="2:10" ht="11.25" customHeight="1" x14ac:dyDescent="0.2">
      <c r="B1879" s="186"/>
      <c r="C1879" s="187"/>
      <c r="D1879" s="187"/>
      <c r="E1879" s="188"/>
      <c r="F1879" s="188"/>
      <c r="G1879" s="17" t="s">
        <v>436</v>
      </c>
      <c r="H1879" s="17" t="s">
        <v>437</v>
      </c>
    </row>
    <row r="1880" spans="2:10" ht="11.25" customHeight="1" x14ac:dyDescent="0.2">
      <c r="B1880" s="8" t="s">
        <v>1275</v>
      </c>
      <c r="C1880" s="4" t="s">
        <v>1272</v>
      </c>
      <c r="D1880" s="106" t="s">
        <v>1273</v>
      </c>
      <c r="E1880" s="13" t="s">
        <v>746</v>
      </c>
      <c r="F1880" s="66">
        <v>17334000</v>
      </c>
      <c r="G1880" s="19">
        <v>3299</v>
      </c>
      <c r="H1880" s="20">
        <f>TRUNC($F1880*G1880*0.0000001,1)</f>
        <v>5718.4</v>
      </c>
    </row>
    <row r="1881" spans="2:10" ht="11.25" customHeight="1" x14ac:dyDescent="0.2">
      <c r="C1881" s="107" t="s">
        <v>1289</v>
      </c>
      <c r="D1881" s="109"/>
      <c r="E1881" s="34"/>
      <c r="F1881" s="33"/>
      <c r="G1881" s="33"/>
      <c r="H1881" s="24">
        <f>TRUNC(SUM(H1880:H1880))</f>
        <v>5718</v>
      </c>
    </row>
    <row r="1882" spans="2:10" ht="11.25" customHeight="1" x14ac:dyDescent="0.2">
      <c r="C1882" s="4"/>
      <c r="D1882" s="4"/>
      <c r="E1882" s="13"/>
      <c r="F1882" s="53"/>
      <c r="G1882" s="26"/>
      <c r="H1882" s="20"/>
    </row>
    <row r="1883" spans="2:10" ht="11.25" customHeight="1" x14ac:dyDescent="0.2">
      <c r="B1883" s="16"/>
      <c r="C1883" s="108" t="s">
        <v>1286</v>
      </c>
      <c r="D1883" s="108"/>
      <c r="E1883" s="103"/>
      <c r="F1883" s="102"/>
      <c r="G1883" s="102"/>
      <c r="H1883" s="104">
        <f>TRUNC(H1881)</f>
        <v>5718</v>
      </c>
    </row>
    <row r="1885" spans="2:10" ht="11.25" customHeight="1" x14ac:dyDescent="0.2">
      <c r="B1885" s="68" t="s">
        <v>1638</v>
      </c>
      <c r="C1885" s="119"/>
      <c r="J1885" s="49" t="s">
        <v>1307</v>
      </c>
    </row>
    <row r="1886" spans="2:10" ht="11.25" customHeight="1" x14ac:dyDescent="0.2">
      <c r="B1886" s="186" t="s">
        <v>427</v>
      </c>
      <c r="C1886" s="187" t="s">
        <v>428</v>
      </c>
      <c r="D1886" s="187" t="s">
        <v>429</v>
      </c>
      <c r="E1886" s="188" t="s">
        <v>430</v>
      </c>
      <c r="F1886" s="188" t="s">
        <v>431</v>
      </c>
      <c r="G1886" s="94" t="s">
        <v>22</v>
      </c>
      <c r="H1886" s="151"/>
      <c r="I1886" s="94" t="s">
        <v>722</v>
      </c>
      <c r="J1886" s="151"/>
    </row>
    <row r="1887" spans="2:10" ht="11.25" customHeight="1" x14ac:dyDescent="0.2">
      <c r="B1887" s="186"/>
      <c r="C1887" s="187"/>
      <c r="D1887" s="187"/>
      <c r="E1887" s="188"/>
      <c r="F1887" s="188"/>
      <c r="G1887" s="17" t="s">
        <v>436</v>
      </c>
      <c r="H1887" s="17" t="s">
        <v>437</v>
      </c>
      <c r="I1887" s="17" t="s">
        <v>436</v>
      </c>
      <c r="J1887" s="17" t="s">
        <v>437</v>
      </c>
    </row>
    <row r="1888" spans="2:10" ht="11.25" customHeight="1" x14ac:dyDescent="0.2">
      <c r="C1888" s="4" t="s">
        <v>426</v>
      </c>
      <c r="D1888" s="4"/>
      <c r="E1888" s="13" t="s">
        <v>494</v>
      </c>
      <c r="F1888" s="25">
        <v>1505.45</v>
      </c>
      <c r="G1888" s="26">
        <v>13.9</v>
      </c>
      <c r="H1888" s="20">
        <f>TRUNC(($F1888*G1888),1)</f>
        <v>20925.7</v>
      </c>
      <c r="I1888" s="26">
        <v>52.7</v>
      </c>
      <c r="J1888" s="20">
        <f>TRUNC(($F1888*I1888),1)</f>
        <v>79337.2</v>
      </c>
    </row>
    <row r="1889" spans="2:10" ht="11.25" customHeight="1" x14ac:dyDescent="0.2">
      <c r="C1889" s="4" t="s">
        <v>878</v>
      </c>
      <c r="D1889" s="4" t="s">
        <v>203</v>
      </c>
      <c r="E1889" s="13" t="s">
        <v>232</v>
      </c>
      <c r="F1889" s="18"/>
      <c r="G1889" s="21">
        <v>16</v>
      </c>
      <c r="H1889" s="20">
        <f>TRUNC(H1888*G1889*0.01,1)</f>
        <v>3348.1</v>
      </c>
      <c r="I1889" s="21">
        <v>16</v>
      </c>
      <c r="J1889" s="20">
        <f>TRUNC(J1888*I1889*0.01,1)</f>
        <v>12693.9</v>
      </c>
    </row>
    <row r="1890" spans="2:10" ht="11.25" customHeight="1" x14ac:dyDescent="0.2">
      <c r="C1890" s="107" t="s">
        <v>799</v>
      </c>
      <c r="D1890" s="109"/>
      <c r="E1890" s="34"/>
      <c r="F1890" s="33"/>
      <c r="G1890" s="33"/>
      <c r="H1890" s="24">
        <f>TRUNC(SUM(H1888:H1889))</f>
        <v>24273</v>
      </c>
      <c r="I1890" s="33"/>
      <c r="J1890" s="24">
        <f>TRUNC(SUM(J1888:J1889))</f>
        <v>92031</v>
      </c>
    </row>
    <row r="1891" spans="2:10" ht="11.25" customHeight="1" x14ac:dyDescent="0.2">
      <c r="C1891" s="4"/>
      <c r="D1891" s="4"/>
      <c r="E1891" s="18"/>
      <c r="F1891" s="18"/>
      <c r="G1891" s="18"/>
      <c r="H1891" s="18"/>
      <c r="I1891" s="18"/>
      <c r="J1891" s="18"/>
    </row>
    <row r="1892" spans="2:10" ht="11.25" customHeight="1" x14ac:dyDescent="0.2">
      <c r="C1892" s="4" t="s">
        <v>738</v>
      </c>
      <c r="D1892" s="4" t="s">
        <v>866</v>
      </c>
      <c r="E1892" s="13" t="s">
        <v>497</v>
      </c>
      <c r="F1892" s="28">
        <v>283297</v>
      </c>
      <c r="G1892" s="18">
        <v>0.20799999999999999</v>
      </c>
      <c r="H1892" s="20">
        <f>TRUNC(($F1892*G1892),1)</f>
        <v>58925.7</v>
      </c>
      <c r="I1892" s="18">
        <v>0.20799999999999999</v>
      </c>
      <c r="J1892" s="20">
        <f>TRUNC(($F1892*I1892),1)</f>
        <v>58925.7</v>
      </c>
    </row>
    <row r="1893" spans="2:10" ht="11.25" customHeight="1" x14ac:dyDescent="0.2">
      <c r="C1893" s="107" t="s">
        <v>1285</v>
      </c>
      <c r="D1893" s="109"/>
      <c r="E1893" s="34"/>
      <c r="F1893" s="33"/>
      <c r="G1893" s="33"/>
      <c r="H1893" s="24">
        <f>TRUNC(SUM(H1892:H1892))</f>
        <v>58925</v>
      </c>
      <c r="I1893" s="33"/>
      <c r="J1893" s="24">
        <f>TRUNC(SUM(J1892:J1892))</f>
        <v>58925</v>
      </c>
    </row>
    <row r="1894" spans="2:10" ht="11.25" customHeight="1" x14ac:dyDescent="0.2">
      <c r="C1894" s="4"/>
      <c r="D1894" s="4"/>
      <c r="E1894" s="18"/>
      <c r="F1894" s="18"/>
      <c r="G1894" s="18"/>
      <c r="H1894" s="18"/>
      <c r="I1894" s="18"/>
      <c r="J1894" s="18"/>
    </row>
    <row r="1895" spans="2:10" ht="11.25" customHeight="1" x14ac:dyDescent="0.2">
      <c r="B1895" s="8" t="s">
        <v>884</v>
      </c>
      <c r="C1895" s="4" t="s">
        <v>1199</v>
      </c>
      <c r="D1895" s="106" t="s">
        <v>883</v>
      </c>
      <c r="E1895" s="13" t="s">
        <v>746</v>
      </c>
      <c r="F1895" s="66">
        <v>325000000</v>
      </c>
      <c r="G1895" s="19">
        <v>4032</v>
      </c>
      <c r="H1895" s="20">
        <f>TRUNC($F1895*G1895*0.0000001,1)</f>
        <v>131040</v>
      </c>
      <c r="I1895" s="21">
        <v>0</v>
      </c>
      <c r="J1895" s="20">
        <f>TRUNC($F1895*I1895*0.0000001,1)</f>
        <v>0</v>
      </c>
    </row>
    <row r="1896" spans="2:10" ht="11.25" customHeight="1" x14ac:dyDescent="0.2">
      <c r="B1896" s="8" t="s">
        <v>721</v>
      </c>
      <c r="C1896" s="4" t="s">
        <v>1199</v>
      </c>
      <c r="D1896" s="106" t="s">
        <v>1207</v>
      </c>
      <c r="E1896" s="13" t="s">
        <v>746</v>
      </c>
      <c r="F1896" s="66">
        <v>438356000</v>
      </c>
      <c r="G1896" s="21">
        <v>0</v>
      </c>
      <c r="H1896" s="20">
        <f>TRUNC($F1896*G1896*0.0000001,1)</f>
        <v>0</v>
      </c>
      <c r="I1896" s="19">
        <v>4032</v>
      </c>
      <c r="J1896" s="20">
        <f>TRUNC($F1896*I1896*0.0000001,1)</f>
        <v>176745.1</v>
      </c>
    </row>
    <row r="1897" spans="2:10" ht="11.25" customHeight="1" x14ac:dyDescent="0.2">
      <c r="C1897" s="107" t="s">
        <v>1289</v>
      </c>
      <c r="D1897" s="109"/>
      <c r="E1897" s="34"/>
      <c r="F1897" s="33"/>
      <c r="G1897" s="33"/>
      <c r="H1897" s="24">
        <f>TRUNC(SUM(H1895:H1896))</f>
        <v>131040</v>
      </c>
      <c r="I1897" s="33"/>
      <c r="J1897" s="24">
        <f>TRUNC(SUM(J1895:J1896))</f>
        <v>176745</v>
      </c>
    </row>
    <row r="1898" spans="2:10" ht="11.25" customHeight="1" x14ac:dyDescent="0.2">
      <c r="C1898" s="4"/>
      <c r="D1898" s="4"/>
      <c r="E1898" s="18"/>
      <c r="F1898" s="18"/>
      <c r="G1898" s="18"/>
      <c r="H1898" s="18"/>
      <c r="I1898" s="18"/>
      <c r="J1898" s="18"/>
    </row>
    <row r="1899" spans="2:10" ht="11.25" customHeight="1" x14ac:dyDescent="0.2">
      <c r="B1899" s="16"/>
      <c r="C1899" s="108" t="s">
        <v>1286</v>
      </c>
      <c r="D1899" s="108"/>
      <c r="E1899" s="103"/>
      <c r="F1899" s="102"/>
      <c r="G1899" s="102"/>
      <c r="H1899" s="104">
        <f>TRUNC(H1897+H1890+H1893)</f>
        <v>214238</v>
      </c>
      <c r="I1899" s="102"/>
      <c r="J1899" s="104">
        <f>TRUNC(J1897+J1890+J1893)</f>
        <v>327701</v>
      </c>
    </row>
    <row r="1901" spans="2:10" ht="11.25" customHeight="1" x14ac:dyDescent="0.2">
      <c r="B1901" s="68" t="s">
        <v>1639</v>
      </c>
      <c r="C1901" s="119"/>
      <c r="H1901" s="49" t="s">
        <v>1307</v>
      </c>
    </row>
    <row r="1902" spans="2:10" ht="11.25" customHeight="1" x14ac:dyDescent="0.2">
      <c r="B1902" s="186" t="s">
        <v>427</v>
      </c>
      <c r="C1902" s="187" t="s">
        <v>428</v>
      </c>
      <c r="D1902" s="187" t="s">
        <v>429</v>
      </c>
      <c r="E1902" s="188" t="s">
        <v>430</v>
      </c>
      <c r="F1902" s="188" t="s">
        <v>431</v>
      </c>
      <c r="G1902" s="94" t="s">
        <v>1073</v>
      </c>
      <c r="H1902" s="151"/>
    </row>
    <row r="1903" spans="2:10" ht="11.25" customHeight="1" x14ac:dyDescent="0.2">
      <c r="B1903" s="186"/>
      <c r="C1903" s="187"/>
      <c r="D1903" s="187"/>
      <c r="E1903" s="188"/>
      <c r="F1903" s="188"/>
      <c r="G1903" s="17" t="s">
        <v>436</v>
      </c>
      <c r="H1903" s="17" t="s">
        <v>437</v>
      </c>
    </row>
    <row r="1904" spans="2:10" ht="11.25" customHeight="1" x14ac:dyDescent="0.2">
      <c r="B1904" s="8" t="s">
        <v>1276</v>
      </c>
      <c r="C1904" s="4" t="s">
        <v>1274</v>
      </c>
      <c r="D1904" s="106" t="s">
        <v>1073</v>
      </c>
      <c r="E1904" s="13" t="s">
        <v>746</v>
      </c>
      <c r="F1904" s="66">
        <v>29250000</v>
      </c>
      <c r="G1904" s="19">
        <v>4032</v>
      </c>
      <c r="H1904" s="20">
        <f>TRUNC($F1904*G1904*0.0000001,1)</f>
        <v>11793.6</v>
      </c>
    </row>
    <row r="1905" spans="1:10" ht="11.25" customHeight="1" x14ac:dyDescent="0.2">
      <c r="A1905" s="7"/>
      <c r="C1905" s="107" t="s">
        <v>1289</v>
      </c>
      <c r="D1905" s="109"/>
      <c r="E1905" s="34"/>
      <c r="F1905" s="33"/>
      <c r="G1905" s="33"/>
      <c r="H1905" s="24">
        <f>TRUNC(SUM(H1904:H1904))</f>
        <v>11793</v>
      </c>
    </row>
    <row r="1906" spans="1:10" ht="11.25" customHeight="1" x14ac:dyDescent="0.2">
      <c r="C1906" s="4"/>
      <c r="D1906" s="4"/>
      <c r="E1906" s="13"/>
      <c r="F1906" s="53"/>
      <c r="G1906" s="26"/>
      <c r="H1906" s="20"/>
    </row>
    <row r="1907" spans="1:10" ht="11.25" customHeight="1" x14ac:dyDescent="0.2">
      <c r="B1907" s="16"/>
      <c r="C1907" s="108" t="s">
        <v>1286</v>
      </c>
      <c r="D1907" s="108"/>
      <c r="E1907" s="103"/>
      <c r="F1907" s="102"/>
      <c r="G1907" s="102"/>
      <c r="H1907" s="104">
        <f>TRUNC(H1905)</f>
        <v>11793</v>
      </c>
    </row>
    <row r="1909" spans="1:10" ht="11.25" customHeight="1" x14ac:dyDescent="0.2">
      <c r="B1909" s="68" t="s">
        <v>1643</v>
      </c>
      <c r="C1909" s="119"/>
      <c r="J1909" s="49" t="s">
        <v>1307</v>
      </c>
    </row>
    <row r="1910" spans="1:10" ht="11.25" customHeight="1" x14ac:dyDescent="0.2">
      <c r="B1910" s="186" t="s">
        <v>427</v>
      </c>
      <c r="C1910" s="187" t="s">
        <v>428</v>
      </c>
      <c r="D1910" s="187" t="s">
        <v>429</v>
      </c>
      <c r="E1910" s="188" t="s">
        <v>430</v>
      </c>
      <c r="F1910" s="188" t="s">
        <v>431</v>
      </c>
      <c r="G1910" s="94" t="s">
        <v>1640</v>
      </c>
      <c r="H1910" s="151"/>
      <c r="I1910" s="94" t="s">
        <v>1</v>
      </c>
      <c r="J1910" s="151"/>
    </row>
    <row r="1911" spans="1:10" ht="11.25" customHeight="1" x14ac:dyDescent="0.2">
      <c r="B1911" s="186"/>
      <c r="C1911" s="187"/>
      <c r="D1911" s="187"/>
      <c r="E1911" s="188"/>
      <c r="F1911" s="188"/>
      <c r="G1911" s="17" t="s">
        <v>436</v>
      </c>
      <c r="H1911" s="17" t="s">
        <v>437</v>
      </c>
      <c r="I1911" s="17" t="s">
        <v>436</v>
      </c>
      <c r="J1911" s="17" t="s">
        <v>437</v>
      </c>
    </row>
    <row r="1912" spans="1:10" ht="11.25" customHeight="1" x14ac:dyDescent="0.2">
      <c r="B1912" s="8" t="s">
        <v>887</v>
      </c>
      <c r="C1912" s="4" t="s">
        <v>1644</v>
      </c>
      <c r="D1912" s="106" t="s">
        <v>885</v>
      </c>
      <c r="E1912" s="13" t="s">
        <v>746</v>
      </c>
      <c r="F1912" s="75">
        <v>0</v>
      </c>
      <c r="G1912" s="19">
        <v>870</v>
      </c>
      <c r="H1912" s="20">
        <f>TRUNC($F1912*G1912*0.0000001,1)</f>
        <v>0</v>
      </c>
      <c r="I1912" s="21">
        <v>0</v>
      </c>
      <c r="J1912" s="20">
        <f>TRUNC($F1912*I1912*0.0000001,1)</f>
        <v>0</v>
      </c>
    </row>
    <row r="1913" spans="1:10" ht="11.25" customHeight="1" x14ac:dyDescent="0.2">
      <c r="B1913" s="8" t="s">
        <v>888</v>
      </c>
      <c r="C1913" s="4" t="s">
        <v>1644</v>
      </c>
      <c r="D1913" s="106" t="s">
        <v>886</v>
      </c>
      <c r="E1913" s="13" t="s">
        <v>746</v>
      </c>
      <c r="F1913" s="75">
        <v>0</v>
      </c>
      <c r="G1913" s="21">
        <v>0</v>
      </c>
      <c r="H1913" s="20">
        <f>TRUNC($F1913*G1913*0.0000001,1)</f>
        <v>0</v>
      </c>
      <c r="I1913" s="19">
        <v>870</v>
      </c>
      <c r="J1913" s="20">
        <f>TRUNC($F1913*I1913*0.0000001,1)</f>
        <v>0</v>
      </c>
    </row>
    <row r="1914" spans="1:10" ht="11.25" customHeight="1" x14ac:dyDescent="0.2">
      <c r="C1914" s="107" t="s">
        <v>1289</v>
      </c>
      <c r="D1914" s="109"/>
      <c r="E1914" s="34"/>
      <c r="F1914" s="33"/>
      <c r="G1914" s="33"/>
      <c r="H1914" s="24">
        <f>TRUNC(SUM(H1912:H1913))</f>
        <v>0</v>
      </c>
      <c r="I1914" s="33"/>
      <c r="J1914" s="24">
        <f>TRUNC(SUM(J1912:J1913))</f>
        <v>0</v>
      </c>
    </row>
    <row r="1915" spans="1:10" ht="11.25" customHeight="1" x14ac:dyDescent="0.2">
      <c r="C1915" s="4"/>
      <c r="D1915" s="4"/>
      <c r="E1915" s="13"/>
      <c r="F1915" s="53"/>
      <c r="G1915" s="26"/>
      <c r="H1915" s="20"/>
      <c r="I1915" s="26"/>
      <c r="J1915" s="20"/>
    </row>
    <row r="1916" spans="1:10" ht="11.25" customHeight="1" x14ac:dyDescent="0.2">
      <c r="C1916" s="126" t="s">
        <v>1286</v>
      </c>
      <c r="D1916" s="126"/>
      <c r="E1916" s="127"/>
      <c r="F1916" s="125"/>
      <c r="G1916" s="125"/>
      <c r="H1916" s="128">
        <f>TRUNC(H1914)</f>
        <v>0</v>
      </c>
      <c r="I1916" s="125"/>
      <c r="J1916" s="128">
        <f>TRUNC(J1914)</f>
        <v>0</v>
      </c>
    </row>
    <row r="1917" spans="1:10" ht="11.25" customHeight="1" x14ac:dyDescent="0.2">
      <c r="B1917" s="186" t="s">
        <v>427</v>
      </c>
      <c r="C1917" s="187" t="s">
        <v>428</v>
      </c>
      <c r="D1917" s="187" t="s">
        <v>429</v>
      </c>
      <c r="E1917" s="188" t="s">
        <v>430</v>
      </c>
      <c r="F1917" s="188" t="s">
        <v>431</v>
      </c>
      <c r="G1917" s="94" t="s">
        <v>1641</v>
      </c>
      <c r="H1917" s="151"/>
      <c r="I1917" s="94" t="s">
        <v>715</v>
      </c>
      <c r="J1917" s="151"/>
    </row>
    <row r="1918" spans="1:10" ht="11.25" customHeight="1" x14ac:dyDescent="0.2">
      <c r="B1918" s="186"/>
      <c r="C1918" s="187"/>
      <c r="D1918" s="187"/>
      <c r="E1918" s="188"/>
      <c r="F1918" s="188"/>
      <c r="G1918" s="17" t="s">
        <v>436</v>
      </c>
      <c r="H1918" s="17" t="s">
        <v>437</v>
      </c>
      <c r="I1918" s="17" t="s">
        <v>436</v>
      </c>
      <c r="J1918" s="17" t="s">
        <v>437</v>
      </c>
    </row>
    <row r="1919" spans="1:10" ht="11.25" customHeight="1" x14ac:dyDescent="0.2">
      <c r="B1919" s="8" t="s">
        <v>890</v>
      </c>
      <c r="C1919" s="4" t="s">
        <v>1644</v>
      </c>
      <c r="D1919" s="106" t="s">
        <v>889</v>
      </c>
      <c r="E1919" s="13" t="s">
        <v>746</v>
      </c>
      <c r="F1919" s="75">
        <v>0</v>
      </c>
      <c r="G1919" s="19">
        <v>870</v>
      </c>
      <c r="H1919" s="20">
        <f>TRUNC($F1919*G1919*0.0000001,1)</f>
        <v>0</v>
      </c>
      <c r="I1919" s="21">
        <v>0</v>
      </c>
      <c r="J1919" s="20">
        <f>TRUNC($F1919*I1919*0.0000001,1)</f>
        <v>0</v>
      </c>
    </row>
    <row r="1920" spans="1:10" ht="11.25" customHeight="1" x14ac:dyDescent="0.2">
      <c r="B1920" s="8" t="s">
        <v>513</v>
      </c>
      <c r="C1920" s="4" t="s">
        <v>1644</v>
      </c>
      <c r="D1920" s="106" t="s">
        <v>1642</v>
      </c>
      <c r="E1920" s="13" t="s">
        <v>746</v>
      </c>
      <c r="F1920" s="75">
        <v>0</v>
      </c>
      <c r="G1920" s="21">
        <v>0</v>
      </c>
      <c r="H1920" s="20">
        <f>TRUNC($F1920*G1920*0.0000001,1)</f>
        <v>0</v>
      </c>
      <c r="I1920" s="19">
        <v>870</v>
      </c>
      <c r="J1920" s="20">
        <f>TRUNC($F1920*I1920*0.0000001,1)</f>
        <v>0</v>
      </c>
    </row>
    <row r="1921" spans="2:10" ht="11.25" customHeight="1" x14ac:dyDescent="0.2">
      <c r="C1921" s="107" t="s">
        <v>1289</v>
      </c>
      <c r="D1921" s="109"/>
      <c r="E1921" s="34"/>
      <c r="F1921" s="33"/>
      <c r="G1921" s="33"/>
      <c r="H1921" s="24">
        <f>TRUNC(SUM(H1919:H1920))</f>
        <v>0</v>
      </c>
      <c r="I1921" s="33"/>
      <c r="J1921" s="24">
        <f>TRUNC(SUM(J1919:J1920))</f>
        <v>0</v>
      </c>
    </row>
    <row r="1922" spans="2:10" ht="11.25" customHeight="1" x14ac:dyDescent="0.2">
      <c r="C1922" s="4"/>
      <c r="D1922" s="4"/>
      <c r="E1922" s="18"/>
      <c r="F1922" s="18"/>
      <c r="G1922" s="18"/>
      <c r="H1922" s="18"/>
      <c r="I1922" s="18"/>
      <c r="J1922" s="18"/>
    </row>
    <row r="1923" spans="2:10" ht="11.25" customHeight="1" x14ac:dyDescent="0.2">
      <c r="B1923" s="16"/>
      <c r="C1923" s="108" t="s">
        <v>1286</v>
      </c>
      <c r="D1923" s="108"/>
      <c r="E1923" s="103"/>
      <c r="F1923" s="102"/>
      <c r="G1923" s="102"/>
      <c r="H1923" s="128">
        <f>TRUNC(H1921)</f>
        <v>0</v>
      </c>
      <c r="I1923" s="102"/>
      <c r="J1923" s="104">
        <f>TRUNC(J1921)</f>
        <v>0</v>
      </c>
    </row>
    <row r="1924" spans="2:10" ht="11.25" customHeight="1" x14ac:dyDescent="0.2">
      <c r="B1924" s="57"/>
      <c r="C1924" s="120"/>
      <c r="D1924" s="120"/>
      <c r="E1924" s="57"/>
      <c r="F1924" s="57"/>
      <c r="G1924" s="57"/>
      <c r="H1924" s="57"/>
    </row>
    <row r="1925" spans="2:10" ht="11.25" customHeight="1" x14ac:dyDescent="0.2">
      <c r="B1925" s="8" t="s">
        <v>1645</v>
      </c>
      <c r="J1925" s="49" t="s">
        <v>1307</v>
      </c>
    </row>
    <row r="1926" spans="2:10" ht="11.25" customHeight="1" x14ac:dyDescent="0.2">
      <c r="B1926" s="186" t="s">
        <v>427</v>
      </c>
      <c r="C1926" s="187" t="s">
        <v>428</v>
      </c>
      <c r="D1926" s="187" t="s">
        <v>429</v>
      </c>
      <c r="E1926" s="188" t="s">
        <v>430</v>
      </c>
      <c r="F1926" s="188" t="s">
        <v>431</v>
      </c>
      <c r="G1926" s="172" t="s">
        <v>1249</v>
      </c>
      <c r="H1926" s="172"/>
      <c r="I1926" s="172" t="s">
        <v>1250</v>
      </c>
      <c r="J1926" s="162"/>
    </row>
    <row r="1927" spans="2:10" ht="11.25" customHeight="1" x14ac:dyDescent="0.2">
      <c r="B1927" s="186"/>
      <c r="C1927" s="187"/>
      <c r="D1927" s="187"/>
      <c r="E1927" s="188"/>
      <c r="F1927" s="188"/>
      <c r="G1927" s="5" t="s">
        <v>436</v>
      </c>
      <c r="H1927" s="5" t="s">
        <v>437</v>
      </c>
      <c r="I1927" s="5" t="s">
        <v>436</v>
      </c>
      <c r="J1927" s="6" t="s">
        <v>437</v>
      </c>
    </row>
    <row r="1928" spans="2:10" ht="11.25" customHeight="1" x14ac:dyDescent="0.2">
      <c r="B1928" s="29"/>
      <c r="C1928" s="110" t="s">
        <v>1056</v>
      </c>
      <c r="D1928" s="110" t="s">
        <v>581</v>
      </c>
      <c r="E1928" s="47" t="s">
        <v>264</v>
      </c>
      <c r="F1928" s="80">
        <v>0</v>
      </c>
      <c r="G1928" s="30">
        <v>135</v>
      </c>
      <c r="H1928" s="20">
        <f>TRUNC($F1928*G1928,1)</f>
        <v>0</v>
      </c>
      <c r="I1928" s="30">
        <v>239</v>
      </c>
      <c r="J1928" s="20">
        <f>TRUNC($F1928*I1928,1)</f>
        <v>0</v>
      </c>
    </row>
    <row r="1929" spans="2:10" ht="11.25" customHeight="1" x14ac:dyDescent="0.2">
      <c r="B1929" s="29"/>
      <c r="C1929" s="110" t="s">
        <v>582</v>
      </c>
      <c r="D1929" s="4" t="s">
        <v>203</v>
      </c>
      <c r="E1929" s="47" t="s">
        <v>232</v>
      </c>
      <c r="F1929" s="47"/>
      <c r="G1929" s="30">
        <v>6</v>
      </c>
      <c r="H1929" s="20">
        <f>TRUNC(H1928*G1929*0.01,1)</f>
        <v>0</v>
      </c>
      <c r="I1929" s="30">
        <v>10</v>
      </c>
      <c r="J1929" s="20">
        <f>TRUNC(J1928*I1929*0.01,1)</f>
        <v>0</v>
      </c>
    </row>
    <row r="1930" spans="2:10" ht="11.25" customHeight="1" x14ac:dyDescent="0.2">
      <c r="B1930" s="29"/>
      <c r="C1930" s="121" t="s">
        <v>799</v>
      </c>
      <c r="D1930" s="121"/>
      <c r="E1930" s="31"/>
      <c r="F1930" s="31"/>
      <c r="G1930" s="31"/>
      <c r="H1930" s="35">
        <f>TRUNC(SUM(H1928:H1929))</f>
        <v>0</v>
      </c>
      <c r="I1930" s="31"/>
      <c r="J1930" s="35">
        <f>TRUNC(SUM(J1928:J1929))</f>
        <v>0</v>
      </c>
    </row>
    <row r="1931" spans="2:10" ht="11.25" customHeight="1" x14ac:dyDescent="0.2">
      <c r="B1931" s="29"/>
      <c r="C1931" s="121"/>
      <c r="D1931" s="121"/>
      <c r="E1931" s="31"/>
      <c r="F1931" s="31"/>
      <c r="G1931" s="31"/>
      <c r="H1931" s="35"/>
      <c r="I1931" s="31"/>
      <c r="J1931" s="35"/>
    </row>
    <row r="1932" spans="2:10" ht="11.25" customHeight="1" x14ac:dyDescent="0.2">
      <c r="B1932" s="29"/>
      <c r="C1932" s="110" t="s">
        <v>738</v>
      </c>
      <c r="D1932" s="110"/>
      <c r="E1932" s="47" t="s">
        <v>711</v>
      </c>
      <c r="F1932" s="81">
        <v>283297</v>
      </c>
      <c r="G1932" s="30">
        <v>0.20799999999999999</v>
      </c>
      <c r="H1932" s="20">
        <f>TRUNC(($F1932*G1932),1)</f>
        <v>58925.7</v>
      </c>
      <c r="I1932" s="30">
        <v>0.20799999999999999</v>
      </c>
      <c r="J1932" s="20">
        <f>TRUNC(($F1932*I1932),1)</f>
        <v>58925.7</v>
      </c>
    </row>
    <row r="1933" spans="2:10" ht="11.25" customHeight="1" x14ac:dyDescent="0.2">
      <c r="B1933" s="29"/>
      <c r="C1933" s="121" t="s">
        <v>1285</v>
      </c>
      <c r="D1933" s="121"/>
      <c r="E1933" s="31"/>
      <c r="F1933" s="31"/>
      <c r="G1933" s="31"/>
      <c r="H1933" s="35">
        <f>TRUNC(SUM(H1932))</f>
        <v>58925</v>
      </c>
      <c r="I1933" s="31"/>
      <c r="J1933" s="35">
        <f>TRUNC(SUM(J1932))</f>
        <v>58925</v>
      </c>
    </row>
    <row r="1934" spans="2:10" ht="11.25" customHeight="1" x14ac:dyDescent="0.2">
      <c r="B1934" s="29"/>
      <c r="C1934" s="121"/>
      <c r="D1934" s="121"/>
      <c r="E1934" s="31"/>
      <c r="F1934" s="31"/>
      <c r="G1934" s="31"/>
      <c r="H1934" s="35"/>
      <c r="I1934" s="31"/>
      <c r="J1934" s="35"/>
    </row>
    <row r="1935" spans="2:10" ht="11.25" customHeight="1" x14ac:dyDescent="0.2">
      <c r="B1935" s="29" t="s">
        <v>773</v>
      </c>
      <c r="C1935" s="110" t="s">
        <v>1253</v>
      </c>
      <c r="D1935" s="115" t="s">
        <v>1254</v>
      </c>
      <c r="E1935" s="47" t="s">
        <v>746</v>
      </c>
      <c r="F1935" s="96">
        <v>605472000</v>
      </c>
      <c r="G1935" s="19">
        <v>2515</v>
      </c>
      <c r="H1935" s="20">
        <f>TRUNC($F1935*G1935*0.0000001,1)</f>
        <v>152276.20000000001</v>
      </c>
      <c r="I1935" s="46">
        <v>0</v>
      </c>
      <c r="J1935" s="20">
        <f>TRUNC($F1935*I1935*0.0000001,1)</f>
        <v>0</v>
      </c>
    </row>
    <row r="1936" spans="2:10" ht="11.25" customHeight="1" x14ac:dyDescent="0.2">
      <c r="B1936" s="78" t="s">
        <v>1192</v>
      </c>
      <c r="C1936" s="110" t="s">
        <v>1253</v>
      </c>
      <c r="D1936" s="110" t="s">
        <v>1250</v>
      </c>
      <c r="E1936" s="13" t="s">
        <v>746</v>
      </c>
      <c r="F1936" s="95">
        <v>1153045000</v>
      </c>
      <c r="G1936" s="46">
        <v>0</v>
      </c>
      <c r="H1936" s="20">
        <f>TRUNC($F1936*G1936*0.0000001,1)</f>
        <v>0</v>
      </c>
      <c r="I1936" s="19">
        <v>2515</v>
      </c>
      <c r="J1936" s="20">
        <f>TRUNC($F1936*I1936*0.0000001,1)</f>
        <v>289990.8</v>
      </c>
    </row>
    <row r="1937" spans="1:12" ht="11.25" customHeight="1" x14ac:dyDescent="0.2">
      <c r="A1937" s="7"/>
      <c r="B1937" s="29"/>
      <c r="C1937" s="121" t="s">
        <v>1289</v>
      </c>
      <c r="D1937" s="121"/>
      <c r="E1937" s="31"/>
      <c r="F1937" s="31"/>
      <c r="G1937" s="31"/>
      <c r="H1937" s="79">
        <f>TRUNC(SUM(H1935:H1936))</f>
        <v>152276</v>
      </c>
      <c r="I1937" s="31"/>
      <c r="J1937" s="79">
        <f>TRUNC(SUM(J1935:J1936))</f>
        <v>289990</v>
      </c>
    </row>
    <row r="1938" spans="1:12" ht="11.25" customHeight="1" x14ac:dyDescent="0.2">
      <c r="B1938" s="29"/>
      <c r="C1938" s="121"/>
      <c r="D1938" s="121"/>
      <c r="E1938" s="31"/>
      <c r="F1938" s="31"/>
      <c r="G1938" s="31"/>
      <c r="H1938" s="79"/>
      <c r="I1938" s="31"/>
      <c r="J1938" s="79"/>
    </row>
    <row r="1939" spans="1:12" ht="11.25" customHeight="1" x14ac:dyDescent="0.2">
      <c r="B1939" s="48"/>
      <c r="C1939" s="134" t="s">
        <v>1286</v>
      </c>
      <c r="D1939" s="134"/>
      <c r="E1939" s="129"/>
      <c r="F1939" s="129"/>
      <c r="G1939" s="129"/>
      <c r="H1939" s="104">
        <f>H1937+H1930+H1933</f>
        <v>211201</v>
      </c>
      <c r="I1939" s="129"/>
      <c r="J1939" s="104">
        <f>J1937+J1930+J1933</f>
        <v>348915</v>
      </c>
    </row>
    <row r="1941" spans="1:12" ht="11.25" customHeight="1" x14ac:dyDescent="0.2">
      <c r="B1941" s="68" t="s">
        <v>1646</v>
      </c>
      <c r="C1941" s="119"/>
      <c r="L1941" s="49" t="s">
        <v>1307</v>
      </c>
    </row>
    <row r="1942" spans="1:12" ht="11.25" customHeight="1" x14ac:dyDescent="0.2">
      <c r="B1942" s="186" t="s">
        <v>427</v>
      </c>
      <c r="C1942" s="187" t="s">
        <v>428</v>
      </c>
      <c r="D1942" s="187" t="s">
        <v>429</v>
      </c>
      <c r="E1942" s="188" t="s">
        <v>430</v>
      </c>
      <c r="F1942" s="188" t="s">
        <v>431</v>
      </c>
      <c r="G1942" s="94" t="s">
        <v>1109</v>
      </c>
      <c r="H1942" s="151"/>
      <c r="I1942" s="94" t="s">
        <v>1647</v>
      </c>
      <c r="J1942" s="151"/>
      <c r="K1942" s="94" t="s">
        <v>305</v>
      </c>
      <c r="L1942" s="151"/>
    </row>
    <row r="1943" spans="1:12" ht="11.25" customHeight="1" x14ac:dyDescent="0.2">
      <c r="B1943" s="186"/>
      <c r="C1943" s="187"/>
      <c r="D1943" s="187"/>
      <c r="E1943" s="188"/>
      <c r="F1943" s="188"/>
      <c r="G1943" s="17" t="s">
        <v>436</v>
      </c>
      <c r="H1943" s="17" t="s">
        <v>437</v>
      </c>
      <c r="I1943" s="17" t="s">
        <v>436</v>
      </c>
      <c r="J1943" s="17" t="s">
        <v>437</v>
      </c>
      <c r="K1943" s="17" t="s">
        <v>436</v>
      </c>
      <c r="L1943" s="17" t="s">
        <v>437</v>
      </c>
    </row>
    <row r="1944" spans="1:12" ht="11.25" customHeight="1" x14ac:dyDescent="0.2">
      <c r="B1944" s="8" t="s">
        <v>621</v>
      </c>
      <c r="C1944" s="4" t="s">
        <v>758</v>
      </c>
      <c r="D1944" s="106" t="s">
        <v>583</v>
      </c>
      <c r="E1944" s="13" t="s">
        <v>746</v>
      </c>
      <c r="F1944" s="66">
        <v>896000</v>
      </c>
      <c r="G1944" s="19">
        <v>5268</v>
      </c>
      <c r="H1944" s="20">
        <f>TRUNC($F1944*G1944*0.0000001,1)</f>
        <v>472</v>
      </c>
      <c r="I1944" s="21">
        <v>0</v>
      </c>
      <c r="J1944" s="20">
        <f>TRUNC($F1944*I1944*0.0000001,1)</f>
        <v>0</v>
      </c>
      <c r="K1944" s="21">
        <v>0</v>
      </c>
      <c r="L1944" s="20">
        <f>TRUNC($F1944*K1944*0.0000001,1)</f>
        <v>0</v>
      </c>
    </row>
    <row r="1945" spans="1:12" ht="11.25" customHeight="1" x14ac:dyDescent="0.2">
      <c r="B1945" s="8" t="s">
        <v>622</v>
      </c>
      <c r="C1945" s="4" t="s">
        <v>758</v>
      </c>
      <c r="D1945" s="106" t="s">
        <v>584</v>
      </c>
      <c r="E1945" s="13" t="s">
        <v>746</v>
      </c>
      <c r="F1945" s="66">
        <v>1265000</v>
      </c>
      <c r="G1945" s="21">
        <v>0</v>
      </c>
      <c r="H1945" s="20">
        <f>TRUNC($F1945*G1945*0.0000001,1)</f>
        <v>0</v>
      </c>
      <c r="I1945" s="19">
        <v>5268</v>
      </c>
      <c r="J1945" s="20">
        <f>TRUNC($F1945*I1945*0.0000001,1)</f>
        <v>666.4</v>
      </c>
      <c r="K1945" s="21">
        <v>0</v>
      </c>
      <c r="L1945" s="20">
        <f>TRUNC($F1945*K1945*0.0000001,1)</f>
        <v>0</v>
      </c>
    </row>
    <row r="1946" spans="1:12" ht="11.25" customHeight="1" x14ac:dyDescent="0.2">
      <c r="B1946" s="8" t="s">
        <v>1057</v>
      </c>
      <c r="C1946" s="4" t="s">
        <v>758</v>
      </c>
      <c r="D1946" s="106" t="s">
        <v>1212</v>
      </c>
      <c r="E1946" s="13" t="s">
        <v>746</v>
      </c>
      <c r="F1946" s="66">
        <v>2262000</v>
      </c>
      <c r="G1946" s="21">
        <v>0</v>
      </c>
      <c r="H1946" s="20">
        <f>TRUNC($F1946*G1946*0.0000001,1)</f>
        <v>0</v>
      </c>
      <c r="I1946" s="21">
        <v>0</v>
      </c>
      <c r="J1946" s="20">
        <f>TRUNC($F1946*I1946*0.0000001,1)</f>
        <v>0</v>
      </c>
      <c r="K1946" s="19">
        <v>5268</v>
      </c>
      <c r="L1946" s="20">
        <f>TRUNC($F1946*K1946*0.0000001,1)</f>
        <v>1191.5999999999999</v>
      </c>
    </row>
    <row r="1947" spans="1:12" ht="11.25" customHeight="1" x14ac:dyDescent="0.2">
      <c r="C1947" s="107" t="s">
        <v>1289</v>
      </c>
      <c r="D1947" s="109"/>
      <c r="E1947" s="34"/>
      <c r="F1947" s="33"/>
      <c r="G1947" s="33"/>
      <c r="H1947" s="24">
        <f>TRUNC(SUM(H1944:H1946))</f>
        <v>472</v>
      </c>
      <c r="I1947" s="33"/>
      <c r="J1947" s="24">
        <f>TRUNC(SUM(J1944:J1946))</f>
        <v>666</v>
      </c>
      <c r="K1947" s="33"/>
      <c r="L1947" s="24">
        <f>TRUNC(SUM(L1944:L1946))</f>
        <v>1191</v>
      </c>
    </row>
    <row r="1948" spans="1:12" ht="11.25" customHeight="1" x14ac:dyDescent="0.2">
      <c r="C1948" s="4"/>
      <c r="D1948" s="4"/>
      <c r="E1948" s="13"/>
      <c r="F1948" s="53"/>
      <c r="G1948" s="26"/>
      <c r="H1948" s="20"/>
      <c r="I1948" s="26"/>
      <c r="J1948" s="20"/>
      <c r="K1948" s="26"/>
      <c r="L1948" s="20"/>
    </row>
    <row r="1949" spans="1:12" ht="11.25" customHeight="1" x14ac:dyDescent="0.2">
      <c r="B1949" s="16"/>
      <c r="C1949" s="108" t="s">
        <v>1286</v>
      </c>
      <c r="D1949" s="108"/>
      <c r="E1949" s="103"/>
      <c r="F1949" s="102"/>
      <c r="G1949" s="102"/>
      <c r="H1949" s="104">
        <f>TRUNC(H1947)</f>
        <v>472</v>
      </c>
      <c r="I1949" s="102"/>
      <c r="J1949" s="104">
        <f>TRUNC(J1947)</f>
        <v>666</v>
      </c>
      <c r="K1949" s="102"/>
      <c r="L1949" s="104">
        <f>TRUNC(L1947)</f>
        <v>1191</v>
      </c>
    </row>
    <row r="1951" spans="1:12" ht="11.25" customHeight="1" x14ac:dyDescent="0.2">
      <c r="B1951" s="68" t="s">
        <v>1664</v>
      </c>
      <c r="C1951" s="119"/>
      <c r="J1951" s="49"/>
    </row>
    <row r="1952" spans="1:12" ht="11.25" customHeight="1" x14ac:dyDescent="0.2">
      <c r="B1952" s="68" t="s">
        <v>1648</v>
      </c>
      <c r="C1952" s="119"/>
      <c r="J1952" s="49" t="s">
        <v>1307</v>
      </c>
    </row>
    <row r="1953" spans="2:12" ht="11.25" customHeight="1" x14ac:dyDescent="0.2">
      <c r="B1953" s="186" t="s">
        <v>427</v>
      </c>
      <c r="C1953" s="187" t="s">
        <v>428</v>
      </c>
      <c r="D1953" s="187" t="s">
        <v>429</v>
      </c>
      <c r="E1953" s="188" t="s">
        <v>430</v>
      </c>
      <c r="F1953" s="188" t="s">
        <v>431</v>
      </c>
      <c r="G1953" s="94" t="s">
        <v>1650</v>
      </c>
      <c r="H1953" s="151"/>
      <c r="I1953" s="94" t="s">
        <v>1652</v>
      </c>
      <c r="J1953" s="151"/>
    </row>
    <row r="1954" spans="2:12" ht="11.25" customHeight="1" x14ac:dyDescent="0.2">
      <c r="B1954" s="186"/>
      <c r="C1954" s="187"/>
      <c r="D1954" s="187"/>
      <c r="E1954" s="188"/>
      <c r="F1954" s="188"/>
      <c r="G1954" s="17" t="s">
        <v>436</v>
      </c>
      <c r="H1954" s="17" t="s">
        <v>437</v>
      </c>
      <c r="I1954" s="17" t="s">
        <v>436</v>
      </c>
      <c r="J1954" s="17" t="s">
        <v>437</v>
      </c>
    </row>
    <row r="1955" spans="2:12" ht="11.25" customHeight="1" x14ac:dyDescent="0.2">
      <c r="B1955" s="8" t="s">
        <v>623</v>
      </c>
      <c r="C1955" s="4" t="s">
        <v>1110</v>
      </c>
      <c r="D1955" s="106" t="s">
        <v>1649</v>
      </c>
      <c r="E1955" s="13" t="s">
        <v>746</v>
      </c>
      <c r="F1955" s="66">
        <v>2900000</v>
      </c>
      <c r="G1955" s="19">
        <v>4355</v>
      </c>
      <c r="H1955" s="20">
        <f>TRUNC($F1955*G1955*0.0000001,1)</f>
        <v>1262.9000000000001</v>
      </c>
      <c r="I1955" s="21">
        <v>0</v>
      </c>
      <c r="J1955" s="20">
        <f>TRUNC($F1955*I1955*0.0000001,1)</f>
        <v>0</v>
      </c>
    </row>
    <row r="1956" spans="2:12" ht="11.25" customHeight="1" x14ac:dyDescent="0.2">
      <c r="B1956" s="8" t="s">
        <v>624</v>
      </c>
      <c r="C1956" s="4" t="s">
        <v>1110</v>
      </c>
      <c r="D1956" s="106" t="s">
        <v>1651</v>
      </c>
      <c r="E1956" s="13" t="s">
        <v>746</v>
      </c>
      <c r="F1956" s="66">
        <v>6033000</v>
      </c>
      <c r="G1956" s="21">
        <v>0</v>
      </c>
      <c r="H1956" s="20">
        <f>TRUNC($F1956*G1956*0.0000001,1)</f>
        <v>0</v>
      </c>
      <c r="I1956" s="19">
        <v>4355</v>
      </c>
      <c r="J1956" s="20">
        <f>TRUNC($F1956*I1956*0.0000001,1)</f>
        <v>2627.3</v>
      </c>
    </row>
    <row r="1957" spans="2:12" ht="11.25" customHeight="1" x14ac:dyDescent="0.2">
      <c r="C1957" s="107" t="s">
        <v>1289</v>
      </c>
      <c r="D1957" s="109"/>
      <c r="E1957" s="34"/>
      <c r="F1957" s="33"/>
      <c r="G1957" s="33"/>
      <c r="H1957" s="24">
        <f>TRUNC(SUM(H1955:H1956))</f>
        <v>1262</v>
      </c>
      <c r="I1957" s="33"/>
      <c r="J1957" s="24">
        <f>TRUNC(SUM(J1955:J1956))</f>
        <v>2627</v>
      </c>
    </row>
    <row r="1958" spans="2:12" ht="11.25" customHeight="1" x14ac:dyDescent="0.2">
      <c r="C1958" s="4"/>
      <c r="D1958" s="4"/>
      <c r="E1958" s="13"/>
      <c r="F1958" s="53"/>
      <c r="G1958" s="26"/>
      <c r="H1958" s="20"/>
      <c r="I1958" s="26"/>
      <c r="J1958" s="20"/>
    </row>
    <row r="1959" spans="2:12" ht="11.25" customHeight="1" x14ac:dyDescent="0.2">
      <c r="B1959" s="16"/>
      <c r="C1959" s="108" t="s">
        <v>1286</v>
      </c>
      <c r="D1959" s="108"/>
      <c r="E1959" s="103"/>
      <c r="F1959" s="102"/>
      <c r="G1959" s="102"/>
      <c r="H1959" s="104">
        <f>TRUNC(H1957)</f>
        <v>1262</v>
      </c>
      <c r="I1959" s="102"/>
      <c r="J1959" s="104">
        <f>TRUNC(J1957)</f>
        <v>2627</v>
      </c>
    </row>
    <row r="1961" spans="2:12" ht="11.25" customHeight="1" x14ac:dyDescent="0.2">
      <c r="B1961" s="68" t="s">
        <v>1659</v>
      </c>
      <c r="C1961" s="119"/>
      <c r="L1961" s="49" t="s">
        <v>1307</v>
      </c>
    </row>
    <row r="1962" spans="2:12" ht="11.25" customHeight="1" x14ac:dyDescent="0.2">
      <c r="B1962" s="186" t="s">
        <v>427</v>
      </c>
      <c r="C1962" s="187" t="s">
        <v>428</v>
      </c>
      <c r="D1962" s="187" t="s">
        <v>429</v>
      </c>
      <c r="E1962" s="188" t="s">
        <v>430</v>
      </c>
      <c r="F1962" s="188" t="s">
        <v>431</v>
      </c>
      <c r="G1962" s="94" t="s">
        <v>1654</v>
      </c>
      <c r="H1962" s="151"/>
      <c r="I1962" s="94" t="s">
        <v>1656</v>
      </c>
      <c r="J1962" s="151"/>
      <c r="K1962" s="94" t="s">
        <v>1658</v>
      </c>
      <c r="L1962" s="151"/>
    </row>
    <row r="1963" spans="2:12" ht="11.25" customHeight="1" x14ac:dyDescent="0.2">
      <c r="B1963" s="186"/>
      <c r="C1963" s="187"/>
      <c r="D1963" s="187"/>
      <c r="E1963" s="188"/>
      <c r="F1963" s="188"/>
      <c r="G1963" s="17" t="s">
        <v>436</v>
      </c>
      <c r="H1963" s="17" t="s">
        <v>437</v>
      </c>
      <c r="I1963" s="17" t="s">
        <v>436</v>
      </c>
      <c r="J1963" s="17" t="s">
        <v>437</v>
      </c>
      <c r="K1963" s="17" t="s">
        <v>436</v>
      </c>
      <c r="L1963" s="17" t="s">
        <v>437</v>
      </c>
    </row>
    <row r="1964" spans="2:12" ht="11.25" customHeight="1" x14ac:dyDescent="0.2">
      <c r="B1964" s="8" t="s">
        <v>1006</v>
      </c>
      <c r="C1964" s="4" t="s">
        <v>1660</v>
      </c>
      <c r="D1964" s="4" t="s">
        <v>1653</v>
      </c>
      <c r="E1964" s="13" t="s">
        <v>746</v>
      </c>
      <c r="F1964" s="66">
        <v>4086000</v>
      </c>
      <c r="G1964" s="19">
        <v>4355</v>
      </c>
      <c r="H1964" s="20">
        <f>TRUNC($F1964*G1964*0.0000001,1)</f>
        <v>1779.4</v>
      </c>
      <c r="I1964" s="21">
        <v>0</v>
      </c>
      <c r="J1964" s="20">
        <f>TRUNC($F1964*I1964*0.0000001,1)</f>
        <v>0</v>
      </c>
      <c r="K1964" s="21">
        <v>0</v>
      </c>
      <c r="L1964" s="20">
        <f>TRUNC($F1964*K1964*0.0000001,1)</f>
        <v>0</v>
      </c>
    </row>
    <row r="1965" spans="2:12" ht="11.25" customHeight="1" x14ac:dyDescent="0.2">
      <c r="B1965" s="8" t="s">
        <v>1007</v>
      </c>
      <c r="C1965" s="4" t="s">
        <v>1660</v>
      </c>
      <c r="D1965" s="4" t="s">
        <v>1655</v>
      </c>
      <c r="E1965" s="13" t="s">
        <v>746</v>
      </c>
      <c r="F1965" s="66">
        <v>5949000</v>
      </c>
      <c r="G1965" s="21">
        <v>0</v>
      </c>
      <c r="H1965" s="20">
        <f>TRUNC($F1965*G1965*0.0000001,1)</f>
        <v>0</v>
      </c>
      <c r="I1965" s="19">
        <v>4355</v>
      </c>
      <c r="J1965" s="20">
        <f>TRUNC($F1965*I1965*0.0000001,1)</f>
        <v>2590.6999999999998</v>
      </c>
      <c r="K1965" s="21">
        <v>0</v>
      </c>
      <c r="L1965" s="20">
        <f>TRUNC($F1965*K1965*0.0000001,1)</f>
        <v>0</v>
      </c>
    </row>
    <row r="1966" spans="2:12" ht="11.25" customHeight="1" x14ac:dyDescent="0.2">
      <c r="B1966" s="8" t="s">
        <v>1008</v>
      </c>
      <c r="C1966" s="4" t="s">
        <v>1660</v>
      </c>
      <c r="D1966" s="4" t="s">
        <v>1657</v>
      </c>
      <c r="E1966" s="13" t="s">
        <v>746</v>
      </c>
      <c r="F1966" s="66">
        <v>8591000</v>
      </c>
      <c r="G1966" s="21">
        <v>0</v>
      </c>
      <c r="H1966" s="20">
        <f>TRUNC($F1966*G1966*0.0000001,1)</f>
        <v>0</v>
      </c>
      <c r="I1966" s="21">
        <v>0</v>
      </c>
      <c r="J1966" s="20">
        <f>TRUNC($F1966*I1966*0.0000001,1)</f>
        <v>0</v>
      </c>
      <c r="K1966" s="19">
        <v>4355</v>
      </c>
      <c r="L1966" s="20">
        <f>TRUNC($F1966*K1966*0.0000001,1)</f>
        <v>3741.3</v>
      </c>
    </row>
    <row r="1967" spans="2:12" ht="11.25" customHeight="1" x14ac:dyDescent="0.2">
      <c r="C1967" s="107" t="s">
        <v>1289</v>
      </c>
      <c r="D1967" s="109"/>
      <c r="E1967" s="34"/>
      <c r="F1967" s="33"/>
      <c r="G1967" s="33"/>
      <c r="H1967" s="24">
        <f>TRUNC(SUM(H1964:H1966))</f>
        <v>1779</v>
      </c>
      <c r="I1967" s="33"/>
      <c r="J1967" s="24">
        <f>TRUNC(SUM(J1964:J1966))</f>
        <v>2590</v>
      </c>
      <c r="K1967" s="33"/>
      <c r="L1967" s="24">
        <f>TRUNC(SUM(L1964:L1966))</f>
        <v>3741</v>
      </c>
    </row>
    <row r="1968" spans="2:12" ht="11.25" customHeight="1" x14ac:dyDescent="0.2">
      <c r="C1968" s="4"/>
      <c r="D1968" s="4"/>
      <c r="E1968" s="13"/>
      <c r="F1968" s="53"/>
      <c r="G1968" s="26"/>
      <c r="H1968" s="20"/>
      <c r="I1968" s="26"/>
      <c r="J1968" s="20"/>
      <c r="K1968" s="26"/>
      <c r="L1968" s="20"/>
    </row>
    <row r="1969" spans="1:12" ht="11.25" customHeight="1" x14ac:dyDescent="0.2">
      <c r="B1969" s="16"/>
      <c r="C1969" s="108" t="s">
        <v>1286</v>
      </c>
      <c r="D1969" s="108"/>
      <c r="E1969" s="103"/>
      <c r="F1969" s="102"/>
      <c r="G1969" s="102"/>
      <c r="H1969" s="104">
        <f>TRUNC(H1967)</f>
        <v>1779</v>
      </c>
      <c r="I1969" s="102"/>
      <c r="J1969" s="104">
        <f>TRUNC(J1967)</f>
        <v>2590</v>
      </c>
      <c r="K1969" s="102"/>
      <c r="L1969" s="104">
        <f>TRUNC(L1967)</f>
        <v>3741</v>
      </c>
    </row>
    <row r="1971" spans="1:12" ht="11.25" customHeight="1" x14ac:dyDescent="0.2">
      <c r="B1971" s="68" t="s">
        <v>1662</v>
      </c>
      <c r="C1971" s="119"/>
      <c r="J1971" s="49" t="s">
        <v>1307</v>
      </c>
    </row>
    <row r="1972" spans="1:12" ht="11.25" customHeight="1" x14ac:dyDescent="0.2">
      <c r="B1972" s="186" t="s">
        <v>427</v>
      </c>
      <c r="C1972" s="187" t="s">
        <v>428</v>
      </c>
      <c r="D1972" s="187" t="s">
        <v>429</v>
      </c>
      <c r="E1972" s="188" t="s">
        <v>430</v>
      </c>
      <c r="F1972" s="188" t="s">
        <v>431</v>
      </c>
      <c r="G1972" s="94" t="s">
        <v>5</v>
      </c>
      <c r="H1972" s="151"/>
      <c r="I1972" s="94" t="s">
        <v>593</v>
      </c>
      <c r="J1972" s="151"/>
    </row>
    <row r="1973" spans="1:12" ht="11.25" customHeight="1" x14ac:dyDescent="0.2">
      <c r="B1973" s="186"/>
      <c r="C1973" s="187"/>
      <c r="D1973" s="187"/>
      <c r="E1973" s="188"/>
      <c r="F1973" s="188"/>
      <c r="G1973" s="17" t="s">
        <v>436</v>
      </c>
      <c r="H1973" s="17" t="s">
        <v>437</v>
      </c>
      <c r="I1973" s="17" t="s">
        <v>436</v>
      </c>
      <c r="J1973" s="17" t="s">
        <v>437</v>
      </c>
    </row>
    <row r="1974" spans="1:12" ht="11.25" customHeight="1" x14ac:dyDescent="0.2">
      <c r="C1974" s="4" t="s">
        <v>426</v>
      </c>
      <c r="D1974" s="4"/>
      <c r="E1974" s="13" t="s">
        <v>494</v>
      </c>
      <c r="F1974" s="25">
        <v>1505.45</v>
      </c>
      <c r="G1974" s="26">
        <v>7.3</v>
      </c>
      <c r="H1974" s="20">
        <f>TRUNC(($F1974*G1974),1)</f>
        <v>10989.7</v>
      </c>
      <c r="I1974" s="26">
        <v>11.8</v>
      </c>
      <c r="J1974" s="20">
        <f>TRUNC(($F1974*I1974),1)</f>
        <v>17764.3</v>
      </c>
    </row>
    <row r="1975" spans="1:12" ht="11.25" customHeight="1" x14ac:dyDescent="0.2">
      <c r="A1975" s="7"/>
      <c r="C1975" s="4" t="s">
        <v>878</v>
      </c>
      <c r="D1975" s="4" t="s">
        <v>203</v>
      </c>
      <c r="E1975" s="13" t="s">
        <v>232</v>
      </c>
      <c r="F1975" s="18"/>
      <c r="G1975" s="21">
        <v>36</v>
      </c>
      <c r="H1975" s="20">
        <f>TRUNC(H1974*G1975*0.01,1)</f>
        <v>3956.2</v>
      </c>
      <c r="I1975" s="21">
        <v>36</v>
      </c>
      <c r="J1975" s="20">
        <f>TRUNC(J1974*I1975*0.01,1)</f>
        <v>6395.1</v>
      </c>
    </row>
    <row r="1976" spans="1:12" ht="11.25" customHeight="1" x14ac:dyDescent="0.2">
      <c r="C1976" s="107" t="s">
        <v>799</v>
      </c>
      <c r="D1976" s="109"/>
      <c r="E1976" s="34"/>
      <c r="F1976" s="33"/>
      <c r="G1976" s="33"/>
      <c r="H1976" s="24">
        <f>TRUNC(SUM(H1974:H1975))</f>
        <v>14945</v>
      </c>
      <c r="I1976" s="33"/>
      <c r="J1976" s="24">
        <f>TRUNC(SUM(J1974:J1975))</f>
        <v>24159</v>
      </c>
    </row>
    <row r="1977" spans="1:12" ht="11.25" customHeight="1" x14ac:dyDescent="0.2">
      <c r="C1977" s="4"/>
      <c r="D1977" s="4"/>
      <c r="E1977" s="18"/>
      <c r="F1977" s="18"/>
      <c r="G1977" s="18"/>
      <c r="H1977" s="18"/>
      <c r="I1977" s="18"/>
      <c r="J1977" s="18"/>
    </row>
    <row r="1978" spans="1:12" ht="11.25" customHeight="1" x14ac:dyDescent="0.2">
      <c r="C1978" s="4" t="s">
        <v>798</v>
      </c>
      <c r="D1978" s="4" t="s">
        <v>866</v>
      </c>
      <c r="E1978" s="13" t="s">
        <v>497</v>
      </c>
      <c r="F1978" s="28">
        <v>283297</v>
      </c>
      <c r="G1978" s="18">
        <v>0.20799999999999999</v>
      </c>
      <c r="H1978" s="20">
        <f>TRUNC(($F1978*G1978),1)</f>
        <v>58925.7</v>
      </c>
      <c r="I1978" s="18">
        <v>0.20799999999999999</v>
      </c>
      <c r="J1978" s="20">
        <f>TRUNC(($F1978*I1978),1)</f>
        <v>58925.7</v>
      </c>
    </row>
    <row r="1979" spans="1:12" ht="11.25" customHeight="1" x14ac:dyDescent="0.2">
      <c r="C1979" s="107" t="s">
        <v>1285</v>
      </c>
      <c r="D1979" s="109"/>
      <c r="E1979" s="34"/>
      <c r="F1979" s="33"/>
      <c r="G1979" s="33"/>
      <c r="H1979" s="24">
        <f>TRUNC(SUM(H1978:H1978))</f>
        <v>58925</v>
      </c>
      <c r="I1979" s="33"/>
      <c r="J1979" s="24">
        <f>TRUNC(SUM(J1978:J1978))</f>
        <v>58925</v>
      </c>
    </row>
    <row r="1980" spans="1:12" ht="11.25" customHeight="1" x14ac:dyDescent="0.2">
      <c r="C1980" s="4"/>
      <c r="D1980" s="4"/>
      <c r="E1980" s="18"/>
      <c r="F1980" s="18"/>
      <c r="G1980" s="18"/>
      <c r="H1980" s="18"/>
      <c r="I1980" s="18"/>
      <c r="J1980" s="18"/>
    </row>
    <row r="1981" spans="1:12" ht="11.25" customHeight="1" x14ac:dyDescent="0.2">
      <c r="B1981" s="8" t="s">
        <v>1011</v>
      </c>
      <c r="C1981" s="4" t="s">
        <v>1663</v>
      </c>
      <c r="D1981" s="106" t="s">
        <v>5</v>
      </c>
      <c r="E1981" s="13" t="s">
        <v>746</v>
      </c>
      <c r="F1981" s="66">
        <v>35124000</v>
      </c>
      <c r="G1981" s="19">
        <v>2682</v>
      </c>
      <c r="H1981" s="20">
        <f>TRUNC($F1981*G1981*0.0000001,1)</f>
        <v>9420.2000000000007</v>
      </c>
      <c r="I1981" s="21">
        <v>0</v>
      </c>
      <c r="J1981" s="20">
        <f>TRUNC($F1981*I1981*0.0000001,1)</f>
        <v>0</v>
      </c>
    </row>
    <row r="1982" spans="1:12" ht="11.25" customHeight="1" x14ac:dyDescent="0.2">
      <c r="B1982" s="8" t="s">
        <v>1012</v>
      </c>
      <c r="C1982" s="4" t="s">
        <v>1663</v>
      </c>
      <c r="D1982" s="106" t="s">
        <v>1009</v>
      </c>
      <c r="E1982" s="13" t="s">
        <v>746</v>
      </c>
      <c r="F1982" s="66">
        <v>45361000</v>
      </c>
      <c r="G1982" s="21">
        <v>0</v>
      </c>
      <c r="H1982" s="20">
        <f>TRUNC($F1982*G1982*0.0000001,1)</f>
        <v>0</v>
      </c>
      <c r="I1982" s="19">
        <v>2682</v>
      </c>
      <c r="J1982" s="20">
        <f>TRUNC($F1982*I1982*0.0000001,1)</f>
        <v>12165.8</v>
      </c>
    </row>
    <row r="1983" spans="1:12" ht="11.25" customHeight="1" x14ac:dyDescent="0.2">
      <c r="C1983" s="107" t="s">
        <v>1289</v>
      </c>
      <c r="D1983" s="109"/>
      <c r="E1983" s="34"/>
      <c r="F1983" s="33"/>
      <c r="G1983" s="33"/>
      <c r="H1983" s="24">
        <f>TRUNC(SUM(H1981:H1982))</f>
        <v>9420</v>
      </c>
      <c r="I1983" s="33"/>
      <c r="J1983" s="24">
        <f>TRUNC(SUM(J1981:J1982))</f>
        <v>12165</v>
      </c>
    </row>
    <row r="1984" spans="1:12" ht="11.25" customHeight="1" x14ac:dyDescent="0.2">
      <c r="C1984" s="4"/>
      <c r="D1984" s="4"/>
      <c r="E1984" s="18"/>
      <c r="F1984" s="18"/>
      <c r="G1984" s="18"/>
      <c r="H1984" s="18"/>
      <c r="I1984" s="18"/>
      <c r="J1984" s="18"/>
    </row>
    <row r="1985" spans="2:10" ht="11.25" customHeight="1" x14ac:dyDescent="0.2">
      <c r="C1985" s="126" t="s">
        <v>1286</v>
      </c>
      <c r="D1985" s="126"/>
      <c r="E1985" s="127"/>
      <c r="F1985" s="125"/>
      <c r="G1985" s="125"/>
      <c r="H1985" s="128">
        <f>TRUNC(H1983+H1976+H1979)</f>
        <v>83290</v>
      </c>
      <c r="I1985" s="125"/>
      <c r="J1985" s="128">
        <f>TRUNC(J1983+J1976+J1979)</f>
        <v>95249</v>
      </c>
    </row>
    <row r="1986" spans="2:10" ht="11.25" customHeight="1" x14ac:dyDescent="0.2">
      <c r="B1986" s="186" t="s">
        <v>427</v>
      </c>
      <c r="C1986" s="187" t="s">
        <v>428</v>
      </c>
      <c r="D1986" s="187" t="s">
        <v>429</v>
      </c>
      <c r="E1986" s="188" t="s">
        <v>430</v>
      </c>
      <c r="F1986" s="188" t="s">
        <v>431</v>
      </c>
      <c r="G1986" s="94" t="s">
        <v>594</v>
      </c>
      <c r="H1986" s="151"/>
      <c r="I1986" s="94" t="s">
        <v>1661</v>
      </c>
      <c r="J1986" s="151"/>
    </row>
    <row r="1987" spans="2:10" ht="11.25" customHeight="1" x14ac:dyDescent="0.2">
      <c r="B1987" s="186"/>
      <c r="C1987" s="187"/>
      <c r="D1987" s="187"/>
      <c r="E1987" s="188"/>
      <c r="F1987" s="188"/>
      <c r="G1987" s="17" t="s">
        <v>436</v>
      </c>
      <c r="H1987" s="17" t="s">
        <v>437</v>
      </c>
      <c r="I1987" s="17" t="s">
        <v>436</v>
      </c>
      <c r="J1987" s="17" t="s">
        <v>437</v>
      </c>
    </row>
    <row r="1988" spans="2:10" ht="11.25" customHeight="1" x14ac:dyDescent="0.2">
      <c r="C1988" s="4" t="s">
        <v>426</v>
      </c>
      <c r="D1988" s="4"/>
      <c r="E1988" s="13" t="s">
        <v>494</v>
      </c>
      <c r="F1988" s="25">
        <v>1505.45</v>
      </c>
      <c r="G1988" s="26">
        <v>15.5</v>
      </c>
      <c r="H1988" s="20">
        <f>TRUNC(($F1988*G1988),1)</f>
        <v>23334.400000000001</v>
      </c>
      <c r="I1988" s="26">
        <v>20</v>
      </c>
      <c r="J1988" s="20">
        <f>TRUNC(($F1988*I1988),1)</f>
        <v>30109</v>
      </c>
    </row>
    <row r="1989" spans="2:10" ht="11.25" customHeight="1" x14ac:dyDescent="0.2">
      <c r="C1989" s="4" t="s">
        <v>878</v>
      </c>
      <c r="D1989" s="4" t="s">
        <v>203</v>
      </c>
      <c r="E1989" s="13" t="s">
        <v>232</v>
      </c>
      <c r="F1989" s="18"/>
      <c r="G1989" s="21">
        <v>36</v>
      </c>
      <c r="H1989" s="20">
        <f>TRUNC(H1988*G1989*0.01,1)</f>
        <v>8400.2999999999993</v>
      </c>
      <c r="I1989" s="21">
        <v>36</v>
      </c>
      <c r="J1989" s="20">
        <f>TRUNC(J1988*I1989*0.01,1)</f>
        <v>10839.2</v>
      </c>
    </row>
    <row r="1990" spans="2:10" ht="11.25" customHeight="1" x14ac:dyDescent="0.2">
      <c r="C1990" s="107" t="s">
        <v>799</v>
      </c>
      <c r="D1990" s="109"/>
      <c r="E1990" s="34"/>
      <c r="F1990" s="33"/>
      <c r="G1990" s="33"/>
      <c r="H1990" s="24">
        <f>TRUNC(SUM(H1988:H1989))</f>
        <v>31734</v>
      </c>
      <c r="I1990" s="33"/>
      <c r="J1990" s="24">
        <f>TRUNC(SUM(J1988:J1989))</f>
        <v>40948</v>
      </c>
    </row>
    <row r="1991" spans="2:10" ht="11.25" customHeight="1" x14ac:dyDescent="0.2">
      <c r="C1991" s="4"/>
      <c r="D1991" s="4"/>
      <c r="E1991" s="18"/>
      <c r="F1991" s="18"/>
      <c r="G1991" s="18"/>
      <c r="H1991" s="18"/>
      <c r="I1991" s="18"/>
      <c r="J1991" s="18"/>
    </row>
    <row r="1992" spans="2:10" ht="11.25" customHeight="1" x14ac:dyDescent="0.2">
      <c r="C1992" s="4" t="s">
        <v>798</v>
      </c>
      <c r="D1992" s="4" t="s">
        <v>866</v>
      </c>
      <c r="E1992" s="13" t="s">
        <v>497</v>
      </c>
      <c r="F1992" s="28">
        <v>283297</v>
      </c>
      <c r="G1992" s="18">
        <v>0.20799999999999999</v>
      </c>
      <c r="H1992" s="20">
        <f>TRUNC(($F1992*G1992),1)</f>
        <v>58925.7</v>
      </c>
      <c r="I1992" s="18">
        <v>0.20799999999999999</v>
      </c>
      <c r="J1992" s="20">
        <f>TRUNC(($F1992*I1992),1)</f>
        <v>58925.7</v>
      </c>
    </row>
    <row r="1993" spans="2:10" ht="11.25" customHeight="1" x14ac:dyDescent="0.2">
      <c r="C1993" s="107" t="s">
        <v>1285</v>
      </c>
      <c r="D1993" s="109"/>
      <c r="E1993" s="34"/>
      <c r="F1993" s="33"/>
      <c r="G1993" s="33"/>
      <c r="H1993" s="24">
        <f>TRUNC(SUM(H1992:H1992))</f>
        <v>58925</v>
      </c>
      <c r="I1993" s="33"/>
      <c r="J1993" s="24">
        <f>TRUNC(SUM(J1992:J1992))</f>
        <v>58925</v>
      </c>
    </row>
    <row r="1994" spans="2:10" ht="11.25" customHeight="1" x14ac:dyDescent="0.2">
      <c r="C1994" s="4"/>
      <c r="D1994" s="4"/>
      <c r="E1994" s="18"/>
      <c r="F1994" s="18"/>
      <c r="G1994" s="18"/>
      <c r="H1994" s="18"/>
      <c r="I1994" s="18"/>
      <c r="J1994" s="18"/>
    </row>
    <row r="1995" spans="2:10" ht="11.25" customHeight="1" x14ac:dyDescent="0.2">
      <c r="B1995" s="8" t="s">
        <v>1013</v>
      </c>
      <c r="C1995" s="4" t="s">
        <v>1663</v>
      </c>
      <c r="D1995" s="106" t="s">
        <v>1010</v>
      </c>
      <c r="E1995" s="13" t="s">
        <v>746</v>
      </c>
      <c r="F1995" s="66">
        <v>68038000</v>
      </c>
      <c r="G1995" s="19">
        <v>2682</v>
      </c>
      <c r="H1995" s="20">
        <f>TRUNC($F1995*G1995*0.0000001,1)</f>
        <v>18247.7</v>
      </c>
      <c r="I1995" s="21">
        <v>0</v>
      </c>
      <c r="J1995" s="20">
        <f>TRUNC($F1995*I1995*0.0000001,1)</f>
        <v>0</v>
      </c>
    </row>
    <row r="1996" spans="2:10" ht="11.25" customHeight="1" x14ac:dyDescent="0.2">
      <c r="B1996" s="8" t="s">
        <v>1015</v>
      </c>
      <c r="C1996" s="4" t="s">
        <v>1663</v>
      </c>
      <c r="D1996" s="106" t="s">
        <v>1014</v>
      </c>
      <c r="E1996" s="13" t="s">
        <v>746</v>
      </c>
      <c r="F1996" s="66">
        <v>85473000</v>
      </c>
      <c r="G1996" s="21">
        <v>0</v>
      </c>
      <c r="H1996" s="20">
        <f>TRUNC($F1996*G1996*0.0000001,1)</f>
        <v>0</v>
      </c>
      <c r="I1996" s="19">
        <v>2682</v>
      </c>
      <c r="J1996" s="20">
        <f>TRUNC($F1996*I1996*0.0000001,1)</f>
        <v>22923.8</v>
      </c>
    </row>
    <row r="1997" spans="2:10" ht="11.25" customHeight="1" x14ac:dyDescent="0.2">
      <c r="C1997" s="107" t="s">
        <v>1289</v>
      </c>
      <c r="D1997" s="109"/>
      <c r="E1997" s="34"/>
      <c r="F1997" s="33"/>
      <c r="G1997" s="33"/>
      <c r="H1997" s="24">
        <f>TRUNC(SUM(H1995:H1996))</f>
        <v>18247</v>
      </c>
      <c r="I1997" s="33"/>
      <c r="J1997" s="24">
        <f>TRUNC(SUM(J1995:J1996))</f>
        <v>22923</v>
      </c>
    </row>
    <row r="1998" spans="2:10" ht="11.25" customHeight="1" x14ac:dyDescent="0.2">
      <c r="C1998" s="4"/>
      <c r="D1998" s="4"/>
      <c r="E1998" s="18"/>
      <c r="F1998" s="18"/>
      <c r="G1998" s="18"/>
      <c r="H1998" s="18"/>
      <c r="I1998" s="18"/>
      <c r="J1998" s="18"/>
    </row>
    <row r="1999" spans="2:10" ht="11.25" customHeight="1" x14ac:dyDescent="0.2">
      <c r="B1999" s="16"/>
      <c r="C1999" s="108" t="s">
        <v>1286</v>
      </c>
      <c r="D1999" s="108"/>
      <c r="E1999" s="103"/>
      <c r="F1999" s="102"/>
      <c r="G1999" s="102"/>
      <c r="H1999" s="104">
        <f>TRUNC(H1997+H1990+H1993)</f>
        <v>108906</v>
      </c>
      <c r="I1999" s="102"/>
      <c r="J1999" s="104">
        <f>TRUNC(J1997+J1990+J1993)</f>
        <v>122796</v>
      </c>
    </row>
    <row r="2001" spans="2:12" ht="11.25" customHeight="1" x14ac:dyDescent="0.2">
      <c r="B2001" s="68" t="s">
        <v>1672</v>
      </c>
      <c r="C2001" s="119"/>
      <c r="L2001" s="49" t="s">
        <v>1307</v>
      </c>
    </row>
    <row r="2002" spans="2:12" ht="11.25" customHeight="1" x14ac:dyDescent="0.2">
      <c r="B2002" s="186" t="s">
        <v>427</v>
      </c>
      <c r="C2002" s="187" t="s">
        <v>428</v>
      </c>
      <c r="D2002" s="187" t="s">
        <v>429</v>
      </c>
      <c r="E2002" s="188" t="s">
        <v>430</v>
      </c>
      <c r="F2002" s="188" t="s">
        <v>431</v>
      </c>
      <c r="G2002" s="94" t="s">
        <v>597</v>
      </c>
      <c r="H2002" s="151"/>
      <c r="I2002" s="94" t="s">
        <v>598</v>
      </c>
      <c r="J2002" s="151"/>
      <c r="K2002" s="94" t="s">
        <v>599</v>
      </c>
      <c r="L2002" s="151"/>
    </row>
    <row r="2003" spans="2:12" ht="11.25" customHeight="1" x14ac:dyDescent="0.2">
      <c r="B2003" s="186"/>
      <c r="C2003" s="187"/>
      <c r="D2003" s="187"/>
      <c r="E2003" s="188"/>
      <c r="F2003" s="188"/>
      <c r="G2003" s="17" t="s">
        <v>436</v>
      </c>
      <c r="H2003" s="17" t="s">
        <v>437</v>
      </c>
      <c r="I2003" s="17" t="s">
        <v>436</v>
      </c>
      <c r="J2003" s="17" t="s">
        <v>437</v>
      </c>
      <c r="K2003" s="17" t="s">
        <v>436</v>
      </c>
      <c r="L2003" s="17" t="s">
        <v>437</v>
      </c>
    </row>
    <row r="2004" spans="2:12" ht="11.25" customHeight="1" x14ac:dyDescent="0.2">
      <c r="B2004" s="8" t="s">
        <v>1016</v>
      </c>
      <c r="C2004" s="4" t="s">
        <v>1673</v>
      </c>
      <c r="D2004" s="106" t="s">
        <v>1665</v>
      </c>
      <c r="E2004" s="13" t="s">
        <v>746</v>
      </c>
      <c r="F2004" s="66">
        <v>7539000</v>
      </c>
      <c r="G2004" s="19">
        <v>3299</v>
      </c>
      <c r="H2004" s="20">
        <f>TRUNC($F2004*G2004*0.0000001,1)</f>
        <v>2487.1</v>
      </c>
      <c r="I2004" s="21">
        <v>0</v>
      </c>
      <c r="J2004" s="20">
        <f>TRUNC($F2004*I2004*0.0000001,1)</f>
        <v>0</v>
      </c>
      <c r="K2004" s="21">
        <v>0</v>
      </c>
      <c r="L2004" s="20">
        <f>TRUNC($F2004*K2004*0.0000001,1)</f>
        <v>0</v>
      </c>
    </row>
    <row r="2005" spans="2:12" ht="11.25" customHeight="1" x14ac:dyDescent="0.2">
      <c r="B2005" s="8" t="s">
        <v>1017</v>
      </c>
      <c r="C2005" s="4" t="s">
        <v>1673</v>
      </c>
      <c r="D2005" s="106" t="s">
        <v>1666</v>
      </c>
      <c r="E2005" s="13" t="s">
        <v>746</v>
      </c>
      <c r="F2005" s="66">
        <v>8472000</v>
      </c>
      <c r="G2005" s="21">
        <v>0</v>
      </c>
      <c r="H2005" s="20">
        <f>TRUNC($F2005*G2005*0.0000001,1)</f>
        <v>0</v>
      </c>
      <c r="I2005" s="19">
        <v>3299</v>
      </c>
      <c r="J2005" s="20">
        <f>TRUNC($F2005*I2005*0.0000001,1)</f>
        <v>2794.9</v>
      </c>
      <c r="K2005" s="21">
        <v>0</v>
      </c>
      <c r="L2005" s="20">
        <f>TRUNC($F2005*K2005*0.0000001,1)</f>
        <v>0</v>
      </c>
    </row>
    <row r="2006" spans="2:12" ht="11.25" customHeight="1" x14ac:dyDescent="0.2">
      <c r="B2006" s="8" t="s">
        <v>1018</v>
      </c>
      <c r="C2006" s="4" t="s">
        <v>1673</v>
      </c>
      <c r="D2006" s="106" t="s">
        <v>1667</v>
      </c>
      <c r="E2006" s="13" t="s">
        <v>746</v>
      </c>
      <c r="F2006" s="66">
        <v>9027000</v>
      </c>
      <c r="G2006" s="21">
        <v>0</v>
      </c>
      <c r="H2006" s="20">
        <f>TRUNC($F2006*G2006*0.0000001,1)</f>
        <v>0</v>
      </c>
      <c r="I2006" s="21">
        <v>0</v>
      </c>
      <c r="J2006" s="20">
        <f>TRUNC($F2006*I2006*0.0000001,1)</f>
        <v>0</v>
      </c>
      <c r="K2006" s="19">
        <v>3299</v>
      </c>
      <c r="L2006" s="20">
        <f>TRUNC($F2006*K2006*0.0000001,1)</f>
        <v>2978</v>
      </c>
    </row>
    <row r="2007" spans="2:12" ht="11.25" customHeight="1" x14ac:dyDescent="0.2">
      <c r="C2007" s="107" t="s">
        <v>1289</v>
      </c>
      <c r="D2007" s="109"/>
      <c r="E2007" s="34"/>
      <c r="F2007" s="33"/>
      <c r="G2007" s="33"/>
      <c r="H2007" s="24">
        <f>TRUNC(SUM(H2004:H2006))</f>
        <v>2487</v>
      </c>
      <c r="I2007" s="33"/>
      <c r="J2007" s="24">
        <f>TRUNC(SUM(J2004:J2006))</f>
        <v>2794</v>
      </c>
      <c r="K2007" s="33"/>
      <c r="L2007" s="24">
        <f>TRUNC(SUM(L2004:L2006))</f>
        <v>2978</v>
      </c>
    </row>
    <row r="2008" spans="2:12" ht="11.25" customHeight="1" x14ac:dyDescent="0.2">
      <c r="C2008" s="4"/>
      <c r="D2008" s="4"/>
      <c r="E2008" s="18"/>
      <c r="F2008" s="18"/>
      <c r="G2008" s="18"/>
      <c r="H2008" s="18"/>
      <c r="I2008" s="18"/>
      <c r="J2008" s="18"/>
      <c r="K2008" s="18"/>
      <c r="L2008" s="18"/>
    </row>
    <row r="2009" spans="2:12" ht="11.25" customHeight="1" x14ac:dyDescent="0.2">
      <c r="C2009" s="126" t="s">
        <v>1286</v>
      </c>
      <c r="D2009" s="126"/>
      <c r="E2009" s="127"/>
      <c r="F2009" s="125"/>
      <c r="G2009" s="125"/>
      <c r="H2009" s="128">
        <f>TRUNC(H2007)</f>
        <v>2487</v>
      </c>
      <c r="I2009" s="125"/>
      <c r="J2009" s="128">
        <f>TRUNC(J2007)</f>
        <v>2794</v>
      </c>
      <c r="K2009" s="125"/>
      <c r="L2009" s="128">
        <f>TRUNC(L2007)</f>
        <v>2978</v>
      </c>
    </row>
    <row r="2010" spans="2:12" ht="11.25" customHeight="1" x14ac:dyDescent="0.2">
      <c r="B2010" s="186" t="s">
        <v>427</v>
      </c>
      <c r="C2010" s="187" t="s">
        <v>428</v>
      </c>
      <c r="D2010" s="187" t="s">
        <v>429</v>
      </c>
      <c r="E2010" s="188" t="s">
        <v>430</v>
      </c>
      <c r="F2010" s="188" t="s">
        <v>431</v>
      </c>
      <c r="G2010" s="94" t="s">
        <v>600</v>
      </c>
      <c r="H2010" s="151"/>
      <c r="I2010" s="94" t="s">
        <v>601</v>
      </c>
      <c r="J2010" s="151"/>
      <c r="K2010" s="94" t="s">
        <v>602</v>
      </c>
      <c r="L2010" s="151"/>
    </row>
    <row r="2011" spans="2:12" ht="11.25" customHeight="1" x14ac:dyDescent="0.2">
      <c r="B2011" s="186"/>
      <c r="C2011" s="187"/>
      <c r="D2011" s="187"/>
      <c r="E2011" s="188"/>
      <c r="F2011" s="188"/>
      <c r="G2011" s="17" t="s">
        <v>436</v>
      </c>
      <c r="H2011" s="17" t="s">
        <v>437</v>
      </c>
      <c r="I2011" s="17" t="s">
        <v>436</v>
      </c>
      <c r="J2011" s="17" t="s">
        <v>437</v>
      </c>
      <c r="K2011" s="17" t="s">
        <v>436</v>
      </c>
      <c r="L2011" s="17" t="s">
        <v>437</v>
      </c>
    </row>
    <row r="2012" spans="2:12" ht="11.25" customHeight="1" x14ac:dyDescent="0.2">
      <c r="B2012" s="8" t="s">
        <v>1019</v>
      </c>
      <c r="C2012" s="4" t="s">
        <v>1673</v>
      </c>
      <c r="D2012" s="106" t="s">
        <v>1668</v>
      </c>
      <c r="E2012" s="13" t="s">
        <v>746</v>
      </c>
      <c r="F2012" s="66">
        <v>15017000</v>
      </c>
      <c r="G2012" s="19">
        <v>3299</v>
      </c>
      <c r="H2012" s="20">
        <f>TRUNC($F2012*G2012*0.0000001,1)</f>
        <v>4954.1000000000004</v>
      </c>
      <c r="I2012" s="21">
        <v>0</v>
      </c>
      <c r="J2012" s="20">
        <f>TRUNC($F2012*I2012*0.0000001,1)</f>
        <v>0</v>
      </c>
      <c r="K2012" s="21">
        <v>0</v>
      </c>
      <c r="L2012" s="20">
        <f>TRUNC($F2012*K2012*0.0000001,1)</f>
        <v>0</v>
      </c>
    </row>
    <row r="2013" spans="2:12" ht="11.25" customHeight="1" x14ac:dyDescent="0.2">
      <c r="B2013" s="8" t="s">
        <v>1020</v>
      </c>
      <c r="C2013" s="4" t="s">
        <v>1673</v>
      </c>
      <c r="D2013" s="106" t="s">
        <v>1669</v>
      </c>
      <c r="E2013" s="13" t="s">
        <v>746</v>
      </c>
      <c r="F2013" s="66">
        <v>18470000</v>
      </c>
      <c r="G2013" s="21">
        <v>0</v>
      </c>
      <c r="H2013" s="20">
        <f>TRUNC($F2013*G2013*0.0000001,1)</f>
        <v>0</v>
      </c>
      <c r="I2013" s="19">
        <v>3299</v>
      </c>
      <c r="J2013" s="20">
        <f>TRUNC($F2013*I2013*0.0000001,1)</f>
        <v>6093.2</v>
      </c>
      <c r="K2013" s="21">
        <v>0</v>
      </c>
      <c r="L2013" s="20">
        <f>TRUNC($F2013*K2013*0.0000001,1)</f>
        <v>0</v>
      </c>
    </row>
    <row r="2014" spans="2:12" ht="11.25" customHeight="1" x14ac:dyDescent="0.2">
      <c r="B2014" s="8" t="s">
        <v>1021</v>
      </c>
      <c r="C2014" s="4" t="s">
        <v>1673</v>
      </c>
      <c r="D2014" s="106" t="s">
        <v>1670</v>
      </c>
      <c r="E2014" s="13" t="s">
        <v>746</v>
      </c>
      <c r="F2014" s="66">
        <v>23096000</v>
      </c>
      <c r="G2014" s="21">
        <v>0</v>
      </c>
      <c r="H2014" s="20">
        <f>TRUNC($F2014*G2014*0.0000001,1)</f>
        <v>0</v>
      </c>
      <c r="I2014" s="21">
        <v>0</v>
      </c>
      <c r="J2014" s="20">
        <f>TRUNC($F2014*I2014*0.0000001,1)</f>
        <v>0</v>
      </c>
      <c r="K2014" s="19">
        <v>3299</v>
      </c>
      <c r="L2014" s="20">
        <f>TRUNC($F2014*K2014*0.0000001,1)</f>
        <v>7619.3</v>
      </c>
    </row>
    <row r="2015" spans="2:12" ht="11.25" customHeight="1" x14ac:dyDescent="0.2">
      <c r="C2015" s="107" t="s">
        <v>1289</v>
      </c>
      <c r="D2015" s="109"/>
      <c r="E2015" s="34"/>
      <c r="F2015" s="33"/>
      <c r="G2015" s="33"/>
      <c r="H2015" s="24">
        <f>TRUNC(SUM(H2012:H2014))</f>
        <v>4954</v>
      </c>
      <c r="I2015" s="33"/>
      <c r="J2015" s="24">
        <f>TRUNC(SUM(J2012:J2014))</f>
        <v>6093</v>
      </c>
      <c r="K2015" s="33"/>
      <c r="L2015" s="24">
        <f>TRUNC(SUM(L2012:L2014))</f>
        <v>7619</v>
      </c>
    </row>
    <row r="2016" spans="2:12" ht="11.25" customHeight="1" x14ac:dyDescent="0.2">
      <c r="C2016" s="4"/>
      <c r="D2016" s="4"/>
      <c r="E2016" s="18"/>
      <c r="F2016" s="18"/>
      <c r="G2016" s="18"/>
      <c r="H2016" s="18"/>
      <c r="I2016" s="18"/>
      <c r="J2016" s="18"/>
      <c r="K2016" s="18"/>
      <c r="L2016" s="18"/>
    </row>
    <row r="2017" spans="2:12" ht="11.25" customHeight="1" x14ac:dyDescent="0.2">
      <c r="C2017" s="126" t="s">
        <v>1286</v>
      </c>
      <c r="D2017" s="126"/>
      <c r="E2017" s="127"/>
      <c r="F2017" s="125"/>
      <c r="G2017" s="125"/>
      <c r="H2017" s="128">
        <f>TRUNC(H2015)</f>
        <v>4954</v>
      </c>
      <c r="I2017" s="102"/>
      <c r="J2017" s="104">
        <f>TRUNC(J2015)</f>
        <v>6093</v>
      </c>
      <c r="K2017" s="102"/>
      <c r="L2017" s="104">
        <f>TRUNC(L2015)</f>
        <v>7619</v>
      </c>
    </row>
    <row r="2018" spans="2:12" ht="11.25" customHeight="1" x14ac:dyDescent="0.2">
      <c r="B2018" s="186" t="s">
        <v>427</v>
      </c>
      <c r="C2018" s="187" t="s">
        <v>428</v>
      </c>
      <c r="D2018" s="187" t="s">
        <v>429</v>
      </c>
      <c r="E2018" s="188" t="s">
        <v>430</v>
      </c>
      <c r="F2018" s="188" t="s">
        <v>431</v>
      </c>
      <c r="G2018" s="94" t="s">
        <v>493</v>
      </c>
      <c r="H2018" s="151"/>
    </row>
    <row r="2019" spans="2:12" ht="11.25" customHeight="1" x14ac:dyDescent="0.2">
      <c r="B2019" s="186"/>
      <c r="C2019" s="187"/>
      <c r="D2019" s="187"/>
      <c r="E2019" s="188"/>
      <c r="F2019" s="188"/>
      <c r="G2019" s="17" t="s">
        <v>436</v>
      </c>
      <c r="H2019" s="17" t="s">
        <v>437</v>
      </c>
    </row>
    <row r="2020" spans="2:12" ht="11.25" customHeight="1" x14ac:dyDescent="0.2">
      <c r="B2020" s="8" t="s">
        <v>1022</v>
      </c>
      <c r="C2020" s="4" t="s">
        <v>1673</v>
      </c>
      <c r="D2020" s="106" t="s">
        <v>1671</v>
      </c>
      <c r="E2020" s="13" t="s">
        <v>746</v>
      </c>
      <c r="F2020" s="66">
        <v>25982000</v>
      </c>
      <c r="G2020" s="19">
        <v>3299</v>
      </c>
      <c r="H2020" s="20">
        <f>TRUNC($F2020*G2020*0.0000001,1)</f>
        <v>8571.4</v>
      </c>
    </row>
    <row r="2021" spans="2:12" ht="11.25" customHeight="1" x14ac:dyDescent="0.2">
      <c r="C2021" s="107" t="s">
        <v>1289</v>
      </c>
      <c r="D2021" s="109"/>
      <c r="E2021" s="34"/>
      <c r="F2021" s="33"/>
      <c r="G2021" s="33"/>
      <c r="H2021" s="24">
        <f>TRUNC(SUM(H2020:H2020))</f>
        <v>8571</v>
      </c>
    </row>
    <row r="2022" spans="2:12" ht="11.25" customHeight="1" x14ac:dyDescent="0.2">
      <c r="C2022" s="4"/>
      <c r="D2022" s="4"/>
      <c r="E2022" s="18"/>
      <c r="F2022" s="18"/>
      <c r="G2022" s="18"/>
      <c r="H2022" s="18"/>
    </row>
    <row r="2023" spans="2:12" ht="11.25" customHeight="1" x14ac:dyDescent="0.2">
      <c r="B2023" s="16"/>
      <c r="C2023" s="108" t="s">
        <v>1286</v>
      </c>
      <c r="D2023" s="108"/>
      <c r="E2023" s="103"/>
      <c r="F2023" s="102"/>
      <c r="G2023" s="102"/>
      <c r="H2023" s="104">
        <f>TRUNC(H2021)</f>
        <v>8571</v>
      </c>
    </row>
    <row r="2024" spans="2:12" ht="11.25" customHeight="1" x14ac:dyDescent="0.2">
      <c r="C2024" s="112"/>
      <c r="D2024" s="116"/>
      <c r="E2024" s="71"/>
      <c r="F2024" s="70"/>
      <c r="G2024" s="70"/>
      <c r="H2024" s="36"/>
    </row>
    <row r="2025" spans="2:12" ht="11.25" customHeight="1" x14ac:dyDescent="0.2">
      <c r="B2025" s="68" t="s">
        <v>1675</v>
      </c>
      <c r="C2025" s="119"/>
      <c r="L2025" s="49" t="s">
        <v>1307</v>
      </c>
    </row>
    <row r="2026" spans="2:12" ht="11.25" customHeight="1" x14ac:dyDescent="0.2">
      <c r="B2026" s="186" t="s">
        <v>427</v>
      </c>
      <c r="C2026" s="187" t="s">
        <v>428</v>
      </c>
      <c r="D2026" s="187" t="s">
        <v>429</v>
      </c>
      <c r="E2026" s="188" t="s">
        <v>430</v>
      </c>
      <c r="F2026" s="188" t="s">
        <v>431</v>
      </c>
      <c r="G2026" s="94" t="s">
        <v>1067</v>
      </c>
      <c r="H2026" s="151"/>
      <c r="I2026" s="94" t="s">
        <v>1141</v>
      </c>
      <c r="J2026" s="151"/>
      <c r="K2026" s="94" t="s">
        <v>1674</v>
      </c>
      <c r="L2026" s="151"/>
    </row>
    <row r="2027" spans="2:12" ht="11.25" customHeight="1" x14ac:dyDescent="0.2">
      <c r="B2027" s="186"/>
      <c r="C2027" s="187"/>
      <c r="D2027" s="187"/>
      <c r="E2027" s="188"/>
      <c r="F2027" s="188"/>
      <c r="G2027" s="17" t="s">
        <v>436</v>
      </c>
      <c r="H2027" s="17" t="s">
        <v>437</v>
      </c>
      <c r="I2027" s="17" t="s">
        <v>436</v>
      </c>
      <c r="J2027" s="17" t="s">
        <v>437</v>
      </c>
      <c r="K2027" s="17" t="s">
        <v>436</v>
      </c>
      <c r="L2027" s="17" t="s">
        <v>437</v>
      </c>
    </row>
    <row r="2028" spans="2:12" ht="11.25" customHeight="1" x14ac:dyDescent="0.2">
      <c r="B2028" s="8" t="s">
        <v>1066</v>
      </c>
      <c r="C2028" s="4" t="s">
        <v>1676</v>
      </c>
      <c r="D2028" s="106" t="s">
        <v>679</v>
      </c>
      <c r="E2028" s="13" t="s">
        <v>746</v>
      </c>
      <c r="F2028" s="66">
        <v>68667000</v>
      </c>
      <c r="G2028" s="19">
        <v>3299</v>
      </c>
      <c r="H2028" s="20">
        <f>TRUNC($F2028*G2028*0.0000001,1)</f>
        <v>22653.200000000001</v>
      </c>
      <c r="I2028" s="21">
        <v>0</v>
      </c>
      <c r="J2028" s="20">
        <f>TRUNC($F2028*I2028*0.0000001,1)</f>
        <v>0</v>
      </c>
      <c r="K2028" s="21">
        <v>0</v>
      </c>
      <c r="L2028" s="20">
        <f>TRUNC($F2028*K2028*0.0000001,1)</f>
        <v>0</v>
      </c>
    </row>
    <row r="2029" spans="2:12" ht="11.25" customHeight="1" x14ac:dyDescent="0.2">
      <c r="B2029" s="8" t="s">
        <v>1023</v>
      </c>
      <c r="C2029" s="4" t="s">
        <v>1676</v>
      </c>
      <c r="D2029" s="106" t="s">
        <v>680</v>
      </c>
      <c r="E2029" s="13" t="s">
        <v>746</v>
      </c>
      <c r="F2029" s="66">
        <v>78378000</v>
      </c>
      <c r="G2029" s="21">
        <v>0</v>
      </c>
      <c r="H2029" s="20">
        <f>TRUNC($F2029*G2029*0.0000001,1)</f>
        <v>0</v>
      </c>
      <c r="I2029" s="19">
        <v>3299</v>
      </c>
      <c r="J2029" s="20">
        <f>TRUNC($F2029*I2029*0.0000001,1)</f>
        <v>25856.9</v>
      </c>
      <c r="K2029" s="21">
        <v>0</v>
      </c>
      <c r="L2029" s="20">
        <f>TRUNC($F2029*K2029*0.0000001,1)</f>
        <v>0</v>
      </c>
    </row>
    <row r="2030" spans="2:12" ht="11.25" customHeight="1" x14ac:dyDescent="0.2">
      <c r="B2030" s="8" t="s">
        <v>1024</v>
      </c>
      <c r="C2030" s="4" t="s">
        <v>1676</v>
      </c>
      <c r="D2030" s="106" t="s">
        <v>681</v>
      </c>
      <c r="E2030" s="13" t="s">
        <v>746</v>
      </c>
      <c r="F2030" s="66">
        <v>93811000</v>
      </c>
      <c r="G2030" s="21">
        <v>0</v>
      </c>
      <c r="H2030" s="20">
        <f>TRUNC($F2030*G2030*0.0000001,1)</f>
        <v>0</v>
      </c>
      <c r="I2030" s="21">
        <v>0</v>
      </c>
      <c r="J2030" s="20">
        <f>TRUNC($F2030*I2030*0.0000001,1)</f>
        <v>0</v>
      </c>
      <c r="K2030" s="19">
        <v>3299</v>
      </c>
      <c r="L2030" s="20">
        <f>TRUNC($F2030*K2030*0.0000001,1)</f>
        <v>30948.2</v>
      </c>
    </row>
    <row r="2031" spans="2:12" ht="11.25" customHeight="1" x14ac:dyDescent="0.2">
      <c r="C2031" s="107" t="s">
        <v>1289</v>
      </c>
      <c r="D2031" s="109"/>
      <c r="E2031" s="34"/>
      <c r="F2031" s="33"/>
      <c r="G2031" s="33"/>
      <c r="H2031" s="24">
        <f>TRUNC(SUM(H2028:H2030))</f>
        <v>22653</v>
      </c>
      <c r="I2031" s="33"/>
      <c r="J2031" s="24">
        <f>TRUNC(SUM(J2028:J2030))</f>
        <v>25856</v>
      </c>
      <c r="K2031" s="33"/>
      <c r="L2031" s="24">
        <f>TRUNC(SUM(L2028:L2030))</f>
        <v>30948</v>
      </c>
    </row>
    <row r="2032" spans="2:12" ht="11.25" customHeight="1" x14ac:dyDescent="0.2">
      <c r="C2032" s="4"/>
      <c r="D2032" s="4"/>
      <c r="E2032" s="18"/>
      <c r="F2032" s="18"/>
      <c r="G2032" s="18"/>
      <c r="H2032" s="18"/>
      <c r="I2032" s="18"/>
      <c r="J2032" s="30"/>
      <c r="K2032" s="30"/>
      <c r="L2032" s="18"/>
    </row>
    <row r="2033" spans="1:12" ht="11.25" customHeight="1" x14ac:dyDescent="0.2">
      <c r="A2033" s="7"/>
      <c r="C2033" s="126" t="s">
        <v>1286</v>
      </c>
      <c r="D2033" s="163"/>
      <c r="E2033" s="164"/>
      <c r="F2033" s="165"/>
      <c r="G2033" s="165"/>
      <c r="H2033" s="104">
        <f>TRUNC(H2031)</f>
        <v>22653</v>
      </c>
      <c r="I2033" s="165"/>
      <c r="J2033" s="104">
        <f>TRUNC(J2031)</f>
        <v>25856</v>
      </c>
      <c r="K2033" s="137"/>
      <c r="L2033" s="104">
        <f>TRUNC(L2031)</f>
        <v>30948</v>
      </c>
    </row>
    <row r="2034" spans="1:12" ht="11.25" customHeight="1" x14ac:dyDescent="0.2">
      <c r="B2034" s="186" t="s">
        <v>427</v>
      </c>
      <c r="C2034" s="187" t="s">
        <v>428</v>
      </c>
      <c r="D2034" s="187" t="s">
        <v>429</v>
      </c>
      <c r="E2034" s="188" t="s">
        <v>430</v>
      </c>
      <c r="F2034" s="188" t="s">
        <v>431</v>
      </c>
      <c r="G2034" s="94" t="s">
        <v>1142</v>
      </c>
      <c r="H2034" s="151"/>
      <c r="I2034" s="94" t="s">
        <v>1143</v>
      </c>
      <c r="J2034" s="151"/>
    </row>
    <row r="2035" spans="1:12" ht="11.25" customHeight="1" x14ac:dyDescent="0.2">
      <c r="B2035" s="186"/>
      <c r="C2035" s="187"/>
      <c r="D2035" s="187"/>
      <c r="E2035" s="188"/>
      <c r="F2035" s="188"/>
      <c r="G2035" s="17" t="s">
        <v>436</v>
      </c>
      <c r="H2035" s="17" t="s">
        <v>437</v>
      </c>
      <c r="I2035" s="17" t="s">
        <v>436</v>
      </c>
      <c r="J2035" s="17" t="s">
        <v>437</v>
      </c>
    </row>
    <row r="2036" spans="1:12" ht="11.25" customHeight="1" x14ac:dyDescent="0.2">
      <c r="B2036" s="8" t="s">
        <v>1026</v>
      </c>
      <c r="C2036" s="4" t="s">
        <v>1676</v>
      </c>
      <c r="D2036" s="106" t="s">
        <v>500</v>
      </c>
      <c r="E2036" s="13" t="s">
        <v>746</v>
      </c>
      <c r="F2036" s="66">
        <v>184636000</v>
      </c>
      <c r="G2036" s="19">
        <v>3299</v>
      </c>
      <c r="H2036" s="20">
        <f>TRUNC($F2036*G2036*0.0000001,1)</f>
        <v>60911.4</v>
      </c>
      <c r="I2036" s="21"/>
      <c r="J2036" s="20">
        <f>TRUNC($F2036*I2036*0.0000001,1)</f>
        <v>0</v>
      </c>
    </row>
    <row r="2037" spans="1:12" ht="11.25" customHeight="1" x14ac:dyDescent="0.2">
      <c r="B2037" s="8" t="s">
        <v>1027</v>
      </c>
      <c r="C2037" s="4" t="s">
        <v>1676</v>
      </c>
      <c r="D2037" s="106" t="s">
        <v>501</v>
      </c>
      <c r="E2037" s="13" t="s">
        <v>746</v>
      </c>
      <c r="F2037" s="66">
        <v>224427000</v>
      </c>
      <c r="G2037" s="21"/>
      <c r="H2037" s="20">
        <f>TRUNC($F2037*G2037*0.0000001,1)</f>
        <v>0</v>
      </c>
      <c r="I2037" s="19">
        <v>3299</v>
      </c>
      <c r="J2037" s="20">
        <f>TRUNC($F2037*I2037*0.0000001,1)</f>
        <v>74038.399999999994</v>
      </c>
    </row>
    <row r="2038" spans="1:12" ht="11.25" customHeight="1" x14ac:dyDescent="0.2">
      <c r="C2038" s="107" t="s">
        <v>1289</v>
      </c>
      <c r="D2038" s="109"/>
      <c r="E2038" s="34"/>
      <c r="F2038" s="33"/>
      <c r="G2038" s="33"/>
      <c r="H2038" s="24">
        <f>TRUNC(SUM(H2036:H2037))</f>
        <v>60911</v>
      </c>
      <c r="I2038" s="33"/>
      <c r="J2038" s="24">
        <f>TRUNC(SUM(J2036:J2037))</f>
        <v>74038</v>
      </c>
    </row>
    <row r="2039" spans="1:12" ht="11.25" customHeight="1" x14ac:dyDescent="0.2">
      <c r="C2039" s="4"/>
      <c r="D2039" s="4"/>
      <c r="E2039" s="18"/>
      <c r="F2039" s="18"/>
      <c r="G2039" s="18"/>
      <c r="H2039" s="18"/>
      <c r="I2039" s="18"/>
      <c r="J2039" s="18"/>
    </row>
    <row r="2040" spans="1:12" ht="11.25" customHeight="1" x14ac:dyDescent="0.2">
      <c r="B2040" s="16"/>
      <c r="C2040" s="108" t="s">
        <v>1286</v>
      </c>
      <c r="D2040" s="135"/>
      <c r="E2040" s="136"/>
      <c r="F2040" s="137"/>
      <c r="G2040" s="137"/>
      <c r="H2040" s="104">
        <f>TRUNC(H2038)</f>
        <v>60911</v>
      </c>
      <c r="I2040" s="137"/>
      <c r="J2040" s="104">
        <f>TRUNC(J2038)</f>
        <v>74038</v>
      </c>
    </row>
    <row r="2042" spans="1:12" ht="11.25" customHeight="1" x14ac:dyDescent="0.2">
      <c r="B2042" s="68" t="s">
        <v>1682</v>
      </c>
      <c r="C2042" s="119"/>
      <c r="L2042" s="49" t="s">
        <v>1307</v>
      </c>
    </row>
    <row r="2043" spans="1:12" ht="11.25" customHeight="1" x14ac:dyDescent="0.2">
      <c r="B2043" s="186" t="s">
        <v>427</v>
      </c>
      <c r="C2043" s="187" t="s">
        <v>428</v>
      </c>
      <c r="D2043" s="187" t="s">
        <v>429</v>
      </c>
      <c r="E2043" s="188" t="s">
        <v>430</v>
      </c>
      <c r="F2043" s="188" t="s">
        <v>431</v>
      </c>
      <c r="G2043" s="94" t="s">
        <v>716</v>
      </c>
      <c r="H2043" s="151"/>
      <c r="I2043" s="94" t="s">
        <v>1159</v>
      </c>
      <c r="J2043" s="151"/>
      <c r="K2043" s="94" t="s">
        <v>1160</v>
      </c>
      <c r="L2043" s="151"/>
    </row>
    <row r="2044" spans="1:12" ht="11.25" customHeight="1" x14ac:dyDescent="0.2">
      <c r="B2044" s="186"/>
      <c r="C2044" s="187"/>
      <c r="D2044" s="187"/>
      <c r="E2044" s="188"/>
      <c r="F2044" s="188"/>
      <c r="G2044" s="17" t="s">
        <v>436</v>
      </c>
      <c r="H2044" s="17" t="s">
        <v>437</v>
      </c>
      <c r="I2044" s="17" t="s">
        <v>436</v>
      </c>
      <c r="J2044" s="17" t="s">
        <v>437</v>
      </c>
      <c r="K2044" s="17" t="s">
        <v>436</v>
      </c>
      <c r="L2044" s="17" t="s">
        <v>437</v>
      </c>
    </row>
    <row r="2045" spans="1:12" ht="11.25" customHeight="1" x14ac:dyDescent="0.2">
      <c r="B2045" s="8" t="s">
        <v>1155</v>
      </c>
      <c r="C2045" s="4" t="s">
        <v>1683</v>
      </c>
      <c r="D2045" s="106" t="s">
        <v>1677</v>
      </c>
      <c r="E2045" s="13" t="s">
        <v>746</v>
      </c>
      <c r="F2045" s="66">
        <v>338676000</v>
      </c>
      <c r="G2045" s="19">
        <v>2118</v>
      </c>
      <c r="H2045" s="20">
        <f>TRUNC($F2045*G2045*0.0000001,1)</f>
        <v>71731.5</v>
      </c>
      <c r="I2045" s="21">
        <v>0</v>
      </c>
      <c r="J2045" s="20">
        <f>TRUNC($F2045*I2045*0.0000001,1)</f>
        <v>0</v>
      </c>
      <c r="K2045" s="21">
        <v>0</v>
      </c>
      <c r="L2045" s="20">
        <f>TRUNC($F2045*K2045*0.0000001,1)</f>
        <v>0</v>
      </c>
    </row>
    <row r="2046" spans="1:12" ht="11.25" customHeight="1" x14ac:dyDescent="0.2">
      <c r="B2046" s="8" t="s">
        <v>1154</v>
      </c>
      <c r="C2046" s="4" t="s">
        <v>1683</v>
      </c>
      <c r="D2046" s="106" t="s">
        <v>1678</v>
      </c>
      <c r="E2046" s="13" t="s">
        <v>746</v>
      </c>
      <c r="F2046" s="66">
        <v>393664000</v>
      </c>
      <c r="G2046" s="21">
        <v>0</v>
      </c>
      <c r="H2046" s="20">
        <f>TRUNC($F2046*G2046*0.0000001,1)</f>
        <v>0</v>
      </c>
      <c r="I2046" s="19">
        <v>2118</v>
      </c>
      <c r="J2046" s="20">
        <f>TRUNC($F2046*I2046*0.0000001,1)</f>
        <v>83378</v>
      </c>
      <c r="K2046" s="21">
        <v>0</v>
      </c>
      <c r="L2046" s="20">
        <f>TRUNC($F2046*K2046*0.0000001,1)</f>
        <v>0</v>
      </c>
    </row>
    <row r="2047" spans="1:12" ht="11.25" customHeight="1" x14ac:dyDescent="0.2">
      <c r="B2047" s="8" t="s">
        <v>1156</v>
      </c>
      <c r="C2047" s="4" t="s">
        <v>1683</v>
      </c>
      <c r="D2047" s="106" t="s">
        <v>1679</v>
      </c>
      <c r="E2047" s="13" t="s">
        <v>746</v>
      </c>
      <c r="F2047" s="66">
        <v>449902000</v>
      </c>
      <c r="G2047" s="21">
        <v>0</v>
      </c>
      <c r="H2047" s="20">
        <f>TRUNC($F2047*G2047*0.0000001,1)</f>
        <v>0</v>
      </c>
      <c r="I2047" s="21">
        <v>0</v>
      </c>
      <c r="J2047" s="20">
        <f>TRUNC($F2047*I2047*0.0000001,1)</f>
        <v>0</v>
      </c>
      <c r="K2047" s="19">
        <v>2118</v>
      </c>
      <c r="L2047" s="20">
        <f>TRUNC($F2047*K2047*0.0000001,1)</f>
        <v>95289.2</v>
      </c>
    </row>
    <row r="2048" spans="1:12" ht="11.25" customHeight="1" x14ac:dyDescent="0.2">
      <c r="C2048" s="107" t="s">
        <v>1289</v>
      </c>
      <c r="D2048" s="109"/>
      <c r="E2048" s="34"/>
      <c r="F2048" s="33"/>
      <c r="G2048" s="33"/>
      <c r="H2048" s="24">
        <f>TRUNC(SUM(H2045:H2047))</f>
        <v>71731</v>
      </c>
      <c r="I2048" s="33"/>
      <c r="J2048" s="24">
        <f>TRUNC(SUM(J2045:J2047))</f>
        <v>83378</v>
      </c>
      <c r="K2048" s="33"/>
      <c r="L2048" s="24">
        <f>TRUNC(SUM(L2045:L2047))</f>
        <v>95289</v>
      </c>
    </row>
    <row r="2049" spans="2:12" ht="11.25" customHeight="1" x14ac:dyDescent="0.2">
      <c r="C2049" s="4"/>
      <c r="D2049" s="4"/>
      <c r="E2049" s="18"/>
      <c r="F2049" s="18"/>
      <c r="G2049" s="18"/>
      <c r="H2049" s="18"/>
      <c r="I2049" s="18"/>
      <c r="J2049" s="30"/>
      <c r="K2049" s="30"/>
      <c r="L2049" s="18"/>
    </row>
    <row r="2050" spans="2:12" ht="11.25" customHeight="1" x14ac:dyDescent="0.2">
      <c r="C2050" s="126" t="s">
        <v>1286</v>
      </c>
      <c r="D2050" s="163"/>
      <c r="E2050" s="164"/>
      <c r="F2050" s="165"/>
      <c r="G2050" s="165"/>
      <c r="H2050" s="104">
        <f>TRUNC(H2048)</f>
        <v>71731</v>
      </c>
      <c r="I2050" s="165"/>
      <c r="J2050" s="104">
        <f>TRUNC(J2048)</f>
        <v>83378</v>
      </c>
      <c r="K2050" s="137"/>
      <c r="L2050" s="104">
        <f>TRUNC(L2048)</f>
        <v>95289</v>
      </c>
    </row>
    <row r="2051" spans="2:12" ht="11.25" customHeight="1" x14ac:dyDescent="0.2">
      <c r="B2051" s="186" t="s">
        <v>427</v>
      </c>
      <c r="C2051" s="187" t="s">
        <v>428</v>
      </c>
      <c r="D2051" s="187" t="s">
        <v>429</v>
      </c>
      <c r="E2051" s="188" t="s">
        <v>430</v>
      </c>
      <c r="F2051" s="188" t="s">
        <v>431</v>
      </c>
      <c r="G2051" s="94" t="s">
        <v>1161</v>
      </c>
      <c r="H2051" s="151"/>
      <c r="I2051" s="94" t="s">
        <v>1162</v>
      </c>
      <c r="J2051" s="151"/>
    </row>
    <row r="2052" spans="2:12" ht="11.25" customHeight="1" x14ac:dyDescent="0.2">
      <c r="B2052" s="186"/>
      <c r="C2052" s="187"/>
      <c r="D2052" s="187"/>
      <c r="E2052" s="188"/>
      <c r="F2052" s="188"/>
      <c r="G2052" s="17" t="s">
        <v>436</v>
      </c>
      <c r="H2052" s="17" t="s">
        <v>437</v>
      </c>
      <c r="I2052" s="17" t="s">
        <v>436</v>
      </c>
      <c r="J2052" s="17" t="s">
        <v>437</v>
      </c>
    </row>
    <row r="2053" spans="2:12" ht="11.25" customHeight="1" x14ac:dyDescent="0.2">
      <c r="B2053" s="8" t="s">
        <v>1157</v>
      </c>
      <c r="C2053" s="4" t="s">
        <v>1683</v>
      </c>
      <c r="D2053" s="106" t="s">
        <v>1680</v>
      </c>
      <c r="E2053" s="13" t="s">
        <v>746</v>
      </c>
      <c r="F2053" s="66">
        <v>562377000</v>
      </c>
      <c r="G2053" s="19">
        <v>2118</v>
      </c>
      <c r="H2053" s="20">
        <f>TRUNC($F2053*G2053*0.0000001,1)</f>
        <v>119111.4</v>
      </c>
      <c r="I2053" s="21">
        <v>0</v>
      </c>
      <c r="J2053" s="20">
        <f>TRUNC($F2053*I2053*0.0000001,1)</f>
        <v>0</v>
      </c>
    </row>
    <row r="2054" spans="2:12" ht="11.25" customHeight="1" x14ac:dyDescent="0.2">
      <c r="B2054" s="8" t="s">
        <v>1158</v>
      </c>
      <c r="C2054" s="4" t="s">
        <v>1683</v>
      </c>
      <c r="D2054" s="106" t="s">
        <v>1681</v>
      </c>
      <c r="E2054" s="13" t="s">
        <v>746</v>
      </c>
      <c r="F2054" s="66">
        <v>753585000</v>
      </c>
      <c r="G2054" s="21">
        <v>0</v>
      </c>
      <c r="H2054" s="20">
        <f>TRUNC($F2054*G2054*0.0000001,1)</f>
        <v>0</v>
      </c>
      <c r="I2054" s="19">
        <v>2118</v>
      </c>
      <c r="J2054" s="20">
        <f>TRUNC($F2054*I2054*0.0000001,1)</f>
        <v>159609.29999999999</v>
      </c>
    </row>
    <row r="2055" spans="2:12" ht="11.25" customHeight="1" x14ac:dyDescent="0.2">
      <c r="C2055" s="107" t="s">
        <v>1289</v>
      </c>
      <c r="D2055" s="109"/>
      <c r="E2055" s="34"/>
      <c r="F2055" s="33"/>
      <c r="G2055" s="33"/>
      <c r="H2055" s="24">
        <f>TRUNC(SUM(H2053:H2054))</f>
        <v>119111</v>
      </c>
      <c r="I2055" s="33"/>
      <c r="J2055" s="24">
        <f>TRUNC(SUM(J2053:J2054))</f>
        <v>159609</v>
      </c>
    </row>
    <row r="2056" spans="2:12" ht="11.25" customHeight="1" x14ac:dyDescent="0.2">
      <c r="C2056" s="4"/>
      <c r="D2056" s="4"/>
      <c r="E2056" s="18"/>
      <c r="F2056" s="18"/>
      <c r="G2056" s="18"/>
      <c r="H2056" s="18"/>
      <c r="I2056" s="18"/>
      <c r="J2056" s="18"/>
    </row>
    <row r="2057" spans="2:12" ht="11.25" customHeight="1" x14ac:dyDescent="0.2">
      <c r="B2057" s="16"/>
      <c r="C2057" s="108" t="s">
        <v>1286</v>
      </c>
      <c r="D2057" s="135"/>
      <c r="E2057" s="136"/>
      <c r="F2057" s="137"/>
      <c r="G2057" s="137"/>
      <c r="H2057" s="104">
        <f>TRUNC(H2055)</f>
        <v>119111</v>
      </c>
      <c r="I2057" s="137"/>
      <c r="J2057" s="104">
        <f>TRUNC(J2055)</f>
        <v>159609</v>
      </c>
    </row>
    <row r="2059" spans="2:12" ht="11.25" customHeight="1" x14ac:dyDescent="0.2">
      <c r="B2059" s="68" t="s">
        <v>1684</v>
      </c>
      <c r="C2059" s="119"/>
      <c r="H2059" s="49" t="s">
        <v>1307</v>
      </c>
    </row>
    <row r="2060" spans="2:12" ht="11.25" customHeight="1" x14ac:dyDescent="0.2">
      <c r="B2060" s="186" t="s">
        <v>427</v>
      </c>
      <c r="C2060" s="187" t="s">
        <v>428</v>
      </c>
      <c r="D2060" s="187" t="s">
        <v>429</v>
      </c>
      <c r="E2060" s="188" t="s">
        <v>430</v>
      </c>
      <c r="F2060" s="188" t="s">
        <v>431</v>
      </c>
      <c r="G2060" s="94" t="s">
        <v>302</v>
      </c>
      <c r="H2060" s="151"/>
    </row>
    <row r="2061" spans="2:12" ht="11.25" customHeight="1" x14ac:dyDescent="0.2">
      <c r="B2061" s="186"/>
      <c r="C2061" s="187"/>
      <c r="D2061" s="187"/>
      <c r="E2061" s="188"/>
      <c r="F2061" s="188"/>
      <c r="G2061" s="17" t="s">
        <v>436</v>
      </c>
      <c r="H2061" s="17" t="s">
        <v>437</v>
      </c>
    </row>
    <row r="2062" spans="2:12" ht="11.25" customHeight="1" x14ac:dyDescent="0.2">
      <c r="B2062" s="8" t="s">
        <v>1028</v>
      </c>
      <c r="C2062" s="4" t="s">
        <v>301</v>
      </c>
      <c r="D2062" s="106" t="s">
        <v>1385</v>
      </c>
      <c r="E2062" s="13" t="s">
        <v>746</v>
      </c>
      <c r="F2062" s="66">
        <v>116113000</v>
      </c>
      <c r="G2062" s="19">
        <v>3299</v>
      </c>
      <c r="H2062" s="20">
        <f>TRUNC($F2062*G2062*0.0000001,1)</f>
        <v>38305.599999999999</v>
      </c>
    </row>
    <row r="2063" spans="2:12" ht="11.25" customHeight="1" x14ac:dyDescent="0.2">
      <c r="C2063" s="107" t="s">
        <v>1289</v>
      </c>
      <c r="D2063" s="109"/>
      <c r="E2063" s="34"/>
      <c r="F2063" s="33"/>
      <c r="G2063" s="33"/>
      <c r="H2063" s="24">
        <f>TRUNC(SUM(H2062:H2062))</f>
        <v>38305</v>
      </c>
    </row>
    <row r="2064" spans="2:12" ht="11.25" customHeight="1" x14ac:dyDescent="0.2">
      <c r="C2064" s="4"/>
      <c r="D2064" s="4"/>
      <c r="E2064" s="13"/>
      <c r="F2064" s="53"/>
      <c r="G2064" s="26"/>
      <c r="H2064" s="20"/>
    </row>
    <row r="2065" spans="2:14" ht="11.25" customHeight="1" x14ac:dyDescent="0.2">
      <c r="B2065" s="16"/>
      <c r="C2065" s="108" t="s">
        <v>1286</v>
      </c>
      <c r="D2065" s="108"/>
      <c r="E2065" s="103"/>
      <c r="F2065" s="102"/>
      <c r="G2065" s="102"/>
      <c r="H2065" s="104">
        <f>TRUNC(H2063)</f>
        <v>38305</v>
      </c>
    </row>
    <row r="2067" spans="2:14" ht="11.25" customHeight="1" x14ac:dyDescent="0.2">
      <c r="B2067" s="68" t="s">
        <v>1685</v>
      </c>
      <c r="N2067" s="49" t="s">
        <v>1307</v>
      </c>
    </row>
    <row r="2068" spans="2:14" ht="11.25" customHeight="1" x14ac:dyDescent="0.2">
      <c r="B2068" s="186" t="s">
        <v>427</v>
      </c>
      <c r="C2068" s="187" t="s">
        <v>428</v>
      </c>
      <c r="D2068" s="187" t="s">
        <v>429</v>
      </c>
      <c r="E2068" s="188" t="s">
        <v>430</v>
      </c>
      <c r="F2068" s="188" t="s">
        <v>431</v>
      </c>
      <c r="G2068" s="94" t="s">
        <v>78</v>
      </c>
      <c r="H2068" s="151"/>
      <c r="I2068" s="94" t="s">
        <v>48</v>
      </c>
      <c r="J2068" s="151"/>
      <c r="K2068" s="94" t="s">
        <v>729</v>
      </c>
      <c r="L2068" s="151"/>
      <c r="M2068" s="94" t="s">
        <v>75</v>
      </c>
      <c r="N2068" s="151"/>
    </row>
    <row r="2069" spans="2:14" ht="11.25" customHeight="1" x14ac:dyDescent="0.2">
      <c r="B2069" s="186"/>
      <c r="C2069" s="187"/>
      <c r="D2069" s="187"/>
      <c r="E2069" s="188"/>
      <c r="F2069" s="188"/>
      <c r="G2069" s="17" t="s">
        <v>436</v>
      </c>
      <c r="H2069" s="17" t="s">
        <v>437</v>
      </c>
      <c r="I2069" s="17" t="s">
        <v>436</v>
      </c>
      <c r="J2069" s="17" t="s">
        <v>437</v>
      </c>
      <c r="K2069" s="17" t="s">
        <v>436</v>
      </c>
      <c r="L2069" s="17" t="s">
        <v>437</v>
      </c>
      <c r="M2069" s="17" t="s">
        <v>436</v>
      </c>
      <c r="N2069" s="17" t="s">
        <v>437</v>
      </c>
    </row>
    <row r="2070" spans="2:14" ht="11.25" customHeight="1" x14ac:dyDescent="0.2">
      <c r="B2070" s="8" t="s">
        <v>1058</v>
      </c>
      <c r="C2070" s="4" t="s">
        <v>1216</v>
      </c>
      <c r="D2070" s="106" t="s">
        <v>485</v>
      </c>
      <c r="E2070" s="13" t="s">
        <v>746</v>
      </c>
      <c r="F2070" s="66">
        <v>7036000</v>
      </c>
      <c r="G2070" s="19">
        <v>4566</v>
      </c>
      <c r="H2070" s="20">
        <f>TRUNC($F2070*G2070*0.0000001,1)</f>
        <v>3212.6</v>
      </c>
      <c r="I2070" s="21">
        <v>0</v>
      </c>
      <c r="J2070" s="20">
        <f>TRUNC($F2070*I2070*0.0000001,1)</f>
        <v>0</v>
      </c>
      <c r="K2070" s="21">
        <v>0</v>
      </c>
      <c r="L2070" s="20">
        <f>TRUNC($F2070*K2070*0.0000001,1)</f>
        <v>0</v>
      </c>
      <c r="M2070" s="21">
        <v>0</v>
      </c>
      <c r="N2070" s="20">
        <f>TRUNC($F2070*M2070*0.0000001,1)</f>
        <v>0</v>
      </c>
    </row>
    <row r="2071" spans="2:14" ht="11.25" customHeight="1" x14ac:dyDescent="0.2">
      <c r="B2071" s="8" t="s">
        <v>1059</v>
      </c>
      <c r="C2071" s="4" t="s">
        <v>1216</v>
      </c>
      <c r="D2071" s="106" t="s">
        <v>655</v>
      </c>
      <c r="E2071" s="13" t="s">
        <v>746</v>
      </c>
      <c r="F2071" s="66">
        <v>8536000</v>
      </c>
      <c r="G2071" s="21">
        <v>0</v>
      </c>
      <c r="H2071" s="20">
        <f t="shared" ref="H2071:J2073" si="0">TRUNC($F2071*G2071*0.0000001,1)</f>
        <v>0</v>
      </c>
      <c r="I2071" s="19">
        <v>4566</v>
      </c>
      <c r="J2071" s="20">
        <f t="shared" si="0"/>
        <v>3897.5</v>
      </c>
      <c r="K2071" s="21">
        <v>0</v>
      </c>
      <c r="L2071" s="20">
        <f t="shared" ref="L2071:L2073" si="1">TRUNC($F2071*K2071*0.0000001,1)</f>
        <v>0</v>
      </c>
      <c r="M2071" s="21">
        <v>0</v>
      </c>
      <c r="N2071" s="20">
        <f t="shared" ref="N2071:N2073" si="2">TRUNC($F2071*M2071*0.0000001,1)</f>
        <v>0</v>
      </c>
    </row>
    <row r="2072" spans="2:14" ht="11.25" customHeight="1" x14ac:dyDescent="0.2">
      <c r="B2072" s="8" t="s">
        <v>1188</v>
      </c>
      <c r="C2072" s="4" t="s">
        <v>1216</v>
      </c>
      <c r="D2072" s="106" t="s">
        <v>1217</v>
      </c>
      <c r="E2072" s="13" t="s">
        <v>746</v>
      </c>
      <c r="F2072" s="66">
        <v>21245000</v>
      </c>
      <c r="G2072" s="21">
        <v>0</v>
      </c>
      <c r="H2072" s="20">
        <f t="shared" si="0"/>
        <v>0</v>
      </c>
      <c r="I2072" s="21">
        <v>0</v>
      </c>
      <c r="J2072" s="20">
        <f t="shared" si="0"/>
        <v>0</v>
      </c>
      <c r="K2072" s="19">
        <v>4566</v>
      </c>
      <c r="L2072" s="20">
        <f t="shared" si="1"/>
        <v>9700.4</v>
      </c>
      <c r="M2072" s="21">
        <v>0</v>
      </c>
      <c r="N2072" s="20">
        <f t="shared" si="2"/>
        <v>0</v>
      </c>
    </row>
    <row r="2073" spans="2:14" ht="11.25" customHeight="1" x14ac:dyDescent="0.2">
      <c r="B2073" s="8" t="s">
        <v>1189</v>
      </c>
      <c r="C2073" s="4" t="s">
        <v>1216</v>
      </c>
      <c r="D2073" s="106" t="s">
        <v>348</v>
      </c>
      <c r="E2073" s="13" t="s">
        <v>746</v>
      </c>
      <c r="F2073" s="66">
        <v>22495000</v>
      </c>
      <c r="G2073" s="21">
        <v>0</v>
      </c>
      <c r="H2073" s="20">
        <f t="shared" si="0"/>
        <v>0</v>
      </c>
      <c r="I2073" s="21">
        <v>0</v>
      </c>
      <c r="J2073" s="20">
        <f t="shared" si="0"/>
        <v>0</v>
      </c>
      <c r="K2073" s="21">
        <v>0</v>
      </c>
      <c r="L2073" s="20">
        <f t="shared" si="1"/>
        <v>0</v>
      </c>
      <c r="M2073" s="19">
        <v>4566</v>
      </c>
      <c r="N2073" s="20">
        <f t="shared" si="2"/>
        <v>10271.200000000001</v>
      </c>
    </row>
    <row r="2074" spans="2:14" ht="11.25" customHeight="1" x14ac:dyDescent="0.2">
      <c r="C2074" s="107" t="s">
        <v>1289</v>
      </c>
      <c r="D2074" s="106"/>
      <c r="E2074" s="13"/>
      <c r="F2074" s="82"/>
      <c r="G2074" s="21"/>
      <c r="H2074" s="24">
        <f>TRUNC(SUM(H2070:H2073))</f>
        <v>3212</v>
      </c>
      <c r="I2074" s="21"/>
      <c r="J2074" s="24">
        <f>TRUNC(SUM(J2070:J2073))</f>
        <v>3897</v>
      </c>
      <c r="K2074" s="21"/>
      <c r="L2074" s="24">
        <f>TRUNC(SUM(L2070:L2073))</f>
        <v>9700</v>
      </c>
      <c r="M2074" s="21"/>
      <c r="N2074" s="24">
        <f>TRUNC(SUM(N2070:N2073))</f>
        <v>10271</v>
      </c>
    </row>
    <row r="2075" spans="2:14" ht="11.25" customHeight="1" x14ac:dyDescent="0.2">
      <c r="C2075" s="4"/>
      <c r="D2075" s="4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</row>
    <row r="2076" spans="2:14" ht="11.25" customHeight="1" x14ac:dyDescent="0.2">
      <c r="B2076" s="16"/>
      <c r="C2076" s="108" t="s">
        <v>1286</v>
      </c>
      <c r="D2076" s="135"/>
      <c r="E2076" s="136"/>
      <c r="F2076" s="137"/>
      <c r="G2076" s="137"/>
      <c r="H2076" s="104">
        <f>TRUNC(H2074)</f>
        <v>3212</v>
      </c>
      <c r="I2076" s="137"/>
      <c r="J2076" s="104">
        <f>TRUNC(J2074)</f>
        <v>3897</v>
      </c>
      <c r="K2076" s="137"/>
      <c r="L2076" s="104">
        <f>TRUNC(L2074)</f>
        <v>9700</v>
      </c>
      <c r="M2076" s="137"/>
      <c r="N2076" s="104">
        <f>TRUNC(N2074)</f>
        <v>10271</v>
      </c>
    </row>
    <row r="2078" spans="2:14" ht="11.25" customHeight="1" x14ac:dyDescent="0.2">
      <c r="B2078" s="68" t="s">
        <v>1686</v>
      </c>
      <c r="C2078" s="119"/>
      <c r="L2078" s="49" t="s">
        <v>1307</v>
      </c>
    </row>
    <row r="2079" spans="2:14" ht="11.25" customHeight="1" x14ac:dyDescent="0.2">
      <c r="B2079" s="186" t="s">
        <v>427</v>
      </c>
      <c r="C2079" s="187" t="s">
        <v>428</v>
      </c>
      <c r="D2079" s="187" t="s">
        <v>429</v>
      </c>
      <c r="E2079" s="188" t="s">
        <v>430</v>
      </c>
      <c r="F2079" s="188" t="s">
        <v>431</v>
      </c>
      <c r="G2079" s="94" t="s">
        <v>716</v>
      </c>
      <c r="H2079" s="151"/>
      <c r="I2079" s="94" t="s">
        <v>1159</v>
      </c>
      <c r="J2079" s="151"/>
      <c r="K2079" s="94" t="s">
        <v>1160</v>
      </c>
      <c r="L2079" s="151"/>
    </row>
    <row r="2080" spans="2:14" ht="11.25" customHeight="1" x14ac:dyDescent="0.2">
      <c r="B2080" s="186"/>
      <c r="C2080" s="187"/>
      <c r="D2080" s="187"/>
      <c r="E2080" s="188"/>
      <c r="F2080" s="188"/>
      <c r="G2080" s="17" t="s">
        <v>436</v>
      </c>
      <c r="H2080" s="17" t="s">
        <v>437</v>
      </c>
      <c r="I2080" s="17" t="s">
        <v>436</v>
      </c>
      <c r="J2080" s="17" t="s">
        <v>437</v>
      </c>
      <c r="K2080" s="17" t="s">
        <v>436</v>
      </c>
      <c r="L2080" s="17" t="s">
        <v>437</v>
      </c>
    </row>
    <row r="2081" spans="1:13" ht="11.25" customHeight="1" x14ac:dyDescent="0.2">
      <c r="B2081" s="8" t="s">
        <v>1180</v>
      </c>
      <c r="C2081" s="4" t="s">
        <v>1687</v>
      </c>
      <c r="D2081" s="106" t="s">
        <v>1677</v>
      </c>
      <c r="E2081" s="13" t="s">
        <v>746</v>
      </c>
      <c r="F2081" s="66">
        <v>688412000</v>
      </c>
      <c r="G2081" s="19">
        <v>1615</v>
      </c>
      <c r="H2081" s="20">
        <f t="shared" ref="H2081:H2083" si="3">TRUNC($F2081*G2081*0.0000001,1)</f>
        <v>111178.5</v>
      </c>
      <c r="I2081" s="21">
        <v>0</v>
      </c>
      <c r="J2081" s="20">
        <f t="shared" ref="J2081:J2083" si="4">TRUNC($F2081*I2081*0.0000001,1)</f>
        <v>0</v>
      </c>
      <c r="K2081" s="21">
        <v>0</v>
      </c>
      <c r="L2081" s="20">
        <f t="shared" ref="L2081:L2083" si="5">TRUNC($F2081*K2081*0.0000001,1)</f>
        <v>0</v>
      </c>
    </row>
    <row r="2082" spans="1:13" ht="11.25" customHeight="1" x14ac:dyDescent="0.2">
      <c r="B2082" s="8" t="s">
        <v>1163</v>
      </c>
      <c r="C2082" s="4" t="s">
        <v>1687</v>
      </c>
      <c r="D2082" s="106" t="s">
        <v>1678</v>
      </c>
      <c r="E2082" s="13" t="s">
        <v>746</v>
      </c>
      <c r="F2082" s="66">
        <v>740463000</v>
      </c>
      <c r="G2082" s="21">
        <v>0</v>
      </c>
      <c r="H2082" s="20">
        <f t="shared" si="3"/>
        <v>0</v>
      </c>
      <c r="I2082" s="19">
        <v>1615</v>
      </c>
      <c r="J2082" s="20">
        <f t="shared" si="4"/>
        <v>119584.7</v>
      </c>
      <c r="K2082" s="21">
        <v>0</v>
      </c>
      <c r="L2082" s="20">
        <f t="shared" si="5"/>
        <v>0</v>
      </c>
    </row>
    <row r="2083" spans="1:13" ht="11.25" customHeight="1" x14ac:dyDescent="0.2">
      <c r="B2083" s="8" t="s">
        <v>1164</v>
      </c>
      <c r="C2083" s="4" t="s">
        <v>1687</v>
      </c>
      <c r="D2083" s="106" t="s">
        <v>1679</v>
      </c>
      <c r="E2083" s="13" t="s">
        <v>746</v>
      </c>
      <c r="F2083" s="66">
        <v>815447000</v>
      </c>
      <c r="G2083" s="21">
        <v>0</v>
      </c>
      <c r="H2083" s="20">
        <f t="shared" si="3"/>
        <v>0</v>
      </c>
      <c r="I2083" s="21">
        <v>0</v>
      </c>
      <c r="J2083" s="20">
        <f t="shared" si="4"/>
        <v>0</v>
      </c>
      <c r="K2083" s="19">
        <v>1615</v>
      </c>
      <c r="L2083" s="20">
        <f t="shared" si="5"/>
        <v>131694.6</v>
      </c>
    </row>
    <row r="2084" spans="1:13" ht="11.25" customHeight="1" x14ac:dyDescent="0.2">
      <c r="C2084" s="107" t="s">
        <v>1289</v>
      </c>
      <c r="D2084" s="109"/>
      <c r="E2084" s="34"/>
      <c r="F2084" s="33"/>
      <c r="G2084" s="33"/>
      <c r="H2084" s="24">
        <f>TRUNC(SUM(H2081:H2083))</f>
        <v>111178</v>
      </c>
      <c r="I2084" s="33"/>
      <c r="J2084" s="24">
        <f>TRUNC(SUM(J2081:J2083))</f>
        <v>119584</v>
      </c>
      <c r="K2084" s="33"/>
      <c r="L2084" s="24">
        <f>TRUNC(SUM(L2081:L2083))</f>
        <v>131694</v>
      </c>
    </row>
    <row r="2085" spans="1:13" ht="11.25" customHeight="1" x14ac:dyDescent="0.2">
      <c r="C2085" s="4"/>
      <c r="D2085" s="4"/>
      <c r="E2085" s="18"/>
      <c r="F2085" s="18"/>
      <c r="G2085" s="18"/>
      <c r="H2085" s="18"/>
      <c r="I2085" s="18"/>
      <c r="J2085" s="30"/>
      <c r="K2085" s="30"/>
      <c r="L2085" s="18"/>
    </row>
    <row r="2086" spans="1:13" ht="11.25" customHeight="1" x14ac:dyDescent="0.2">
      <c r="A2086" s="7"/>
      <c r="C2086" s="126" t="s">
        <v>1286</v>
      </c>
      <c r="D2086" s="163"/>
      <c r="E2086" s="164"/>
      <c r="F2086" s="165"/>
      <c r="G2086" s="165"/>
      <c r="H2086" s="104">
        <f>TRUNC(H2084)</f>
        <v>111178</v>
      </c>
      <c r="I2086" s="165"/>
      <c r="J2086" s="104">
        <f>TRUNC(J2084)</f>
        <v>119584</v>
      </c>
      <c r="K2086" s="137"/>
      <c r="L2086" s="104">
        <f>TRUNC(L2084)</f>
        <v>131694</v>
      </c>
      <c r="M2086" s="123"/>
    </row>
    <row r="2087" spans="1:13" ht="11.25" customHeight="1" x14ac:dyDescent="0.2">
      <c r="B2087" s="186" t="s">
        <v>427</v>
      </c>
      <c r="C2087" s="187" t="s">
        <v>428</v>
      </c>
      <c r="D2087" s="187" t="s">
        <v>429</v>
      </c>
      <c r="E2087" s="188" t="s">
        <v>430</v>
      </c>
      <c r="F2087" s="188" t="s">
        <v>431</v>
      </c>
      <c r="G2087" s="94" t="s">
        <v>1161</v>
      </c>
      <c r="H2087" s="151"/>
      <c r="I2087" s="94" t="s">
        <v>1162</v>
      </c>
      <c r="J2087" s="151"/>
    </row>
    <row r="2088" spans="1:13" ht="11.25" customHeight="1" x14ac:dyDescent="0.2">
      <c r="B2088" s="186"/>
      <c r="C2088" s="187"/>
      <c r="D2088" s="187"/>
      <c r="E2088" s="188"/>
      <c r="F2088" s="188"/>
      <c r="G2088" s="17" t="s">
        <v>436</v>
      </c>
      <c r="H2088" s="17" t="s">
        <v>437</v>
      </c>
      <c r="I2088" s="17" t="s">
        <v>436</v>
      </c>
      <c r="J2088" s="17" t="s">
        <v>437</v>
      </c>
    </row>
    <row r="2089" spans="1:13" ht="11.25" customHeight="1" x14ac:dyDescent="0.2">
      <c r="B2089" s="8" t="s">
        <v>1165</v>
      </c>
      <c r="C2089" s="4" t="s">
        <v>1687</v>
      </c>
      <c r="D2089" s="106" t="s">
        <v>1680</v>
      </c>
      <c r="E2089" s="13" t="s">
        <v>746</v>
      </c>
      <c r="F2089" s="66">
        <v>889181000</v>
      </c>
      <c r="G2089" s="19">
        <v>1615</v>
      </c>
      <c r="H2089" s="20">
        <f t="shared" ref="H2089:H2090" si="6">TRUNC($F2089*G2089*0.0000001,1)</f>
        <v>143602.70000000001</v>
      </c>
      <c r="I2089" s="21">
        <v>0</v>
      </c>
      <c r="J2089" s="20">
        <f t="shared" ref="J2089:J2090" si="7">TRUNC($F2089*I2089*0.0000001,1)</f>
        <v>0</v>
      </c>
    </row>
    <row r="2090" spans="1:13" ht="11.25" customHeight="1" x14ac:dyDescent="0.2">
      <c r="B2090" s="8" t="s">
        <v>1166</v>
      </c>
      <c r="C2090" s="4" t="s">
        <v>1687</v>
      </c>
      <c r="D2090" s="106" t="s">
        <v>1681</v>
      </c>
      <c r="E2090" s="13" t="s">
        <v>746</v>
      </c>
      <c r="F2090" s="66">
        <v>1026988000</v>
      </c>
      <c r="G2090" s="21">
        <v>0</v>
      </c>
      <c r="H2090" s="20">
        <f t="shared" si="6"/>
        <v>0</v>
      </c>
      <c r="I2090" s="19">
        <v>1615</v>
      </c>
      <c r="J2090" s="20">
        <f t="shared" si="7"/>
        <v>165858.5</v>
      </c>
    </row>
    <row r="2091" spans="1:13" ht="11.25" customHeight="1" x14ac:dyDescent="0.2">
      <c r="C2091" s="107" t="s">
        <v>1289</v>
      </c>
      <c r="D2091" s="109"/>
      <c r="E2091" s="34"/>
      <c r="F2091" s="33"/>
      <c r="G2091" s="33"/>
      <c r="H2091" s="24">
        <f>TRUNC(SUM(H2089:H2090))</f>
        <v>143602</v>
      </c>
      <c r="I2091" s="33"/>
      <c r="J2091" s="24">
        <f>TRUNC(SUM(J2089:J2090))</f>
        <v>165858</v>
      </c>
    </row>
    <row r="2092" spans="1:13" ht="11.25" customHeight="1" x14ac:dyDescent="0.2">
      <c r="C2092" s="4"/>
      <c r="D2092" s="4"/>
      <c r="E2092" s="18"/>
      <c r="F2092" s="18"/>
      <c r="G2092" s="18"/>
      <c r="H2092" s="18"/>
      <c r="I2092" s="18"/>
      <c r="J2092" s="18"/>
    </row>
    <row r="2093" spans="1:13" ht="11.25" customHeight="1" x14ac:dyDescent="0.2">
      <c r="B2093" s="16"/>
      <c r="C2093" s="108" t="s">
        <v>1286</v>
      </c>
      <c r="D2093" s="135"/>
      <c r="E2093" s="136"/>
      <c r="F2093" s="137"/>
      <c r="G2093" s="137"/>
      <c r="H2093" s="104">
        <f>TRUNC(H2091)</f>
        <v>143602</v>
      </c>
      <c r="I2093" s="137"/>
      <c r="J2093" s="104">
        <f>TRUNC(J2091)</f>
        <v>165858</v>
      </c>
    </row>
    <row r="2095" spans="1:13" ht="11.25" customHeight="1" x14ac:dyDescent="0.2">
      <c r="B2095" s="68" t="s">
        <v>1689</v>
      </c>
      <c r="C2095" s="119"/>
      <c r="L2095" s="49" t="s">
        <v>1307</v>
      </c>
    </row>
    <row r="2096" spans="1:13" ht="11.25" customHeight="1" x14ac:dyDescent="0.2">
      <c r="B2096" s="186" t="s">
        <v>427</v>
      </c>
      <c r="C2096" s="187" t="s">
        <v>428</v>
      </c>
      <c r="D2096" s="187" t="s">
        <v>429</v>
      </c>
      <c r="E2096" s="188" t="s">
        <v>430</v>
      </c>
      <c r="F2096" s="188" t="s">
        <v>431</v>
      </c>
      <c r="G2096" s="94" t="s">
        <v>716</v>
      </c>
      <c r="H2096" s="151"/>
      <c r="I2096" s="94" t="s">
        <v>1159</v>
      </c>
      <c r="J2096" s="151"/>
      <c r="K2096" s="94" t="s">
        <v>1160</v>
      </c>
      <c r="L2096" s="151"/>
    </row>
    <row r="2097" spans="2:12" ht="11.25" customHeight="1" x14ac:dyDescent="0.2">
      <c r="B2097" s="186"/>
      <c r="C2097" s="187"/>
      <c r="D2097" s="187"/>
      <c r="E2097" s="188"/>
      <c r="F2097" s="188"/>
      <c r="G2097" s="17" t="s">
        <v>436</v>
      </c>
      <c r="H2097" s="17" t="s">
        <v>437</v>
      </c>
      <c r="I2097" s="17" t="s">
        <v>436</v>
      </c>
      <c r="J2097" s="17" t="s">
        <v>437</v>
      </c>
      <c r="K2097" s="17" t="s">
        <v>436</v>
      </c>
      <c r="L2097" s="17" t="s">
        <v>437</v>
      </c>
    </row>
    <row r="2098" spans="2:12" ht="11.25" customHeight="1" x14ac:dyDescent="0.2">
      <c r="B2098" s="8" t="s">
        <v>1181</v>
      </c>
      <c r="C2098" s="4" t="s">
        <v>1688</v>
      </c>
      <c r="D2098" s="106" t="s">
        <v>1677</v>
      </c>
      <c r="E2098" s="13" t="s">
        <v>746</v>
      </c>
      <c r="F2098" s="66">
        <v>1225642000</v>
      </c>
      <c r="G2098" s="19">
        <v>1615</v>
      </c>
      <c r="H2098" s="20">
        <f t="shared" ref="H2098:H2100" si="8">TRUNC($F2098*G2098*0.0000001,1)</f>
        <v>197941.1</v>
      </c>
      <c r="I2098" s="21">
        <v>0</v>
      </c>
      <c r="J2098" s="20">
        <f t="shared" ref="J2098:J2100" si="9">TRUNC($F2098*I2098*0.0000001,1)</f>
        <v>0</v>
      </c>
      <c r="K2098" s="21">
        <v>0</v>
      </c>
      <c r="L2098" s="20">
        <f t="shared" ref="L2098:L2100" si="10">TRUNC($F2098*K2098*0.0000001,1)</f>
        <v>0</v>
      </c>
    </row>
    <row r="2099" spans="2:12" ht="11.25" customHeight="1" x14ac:dyDescent="0.2">
      <c r="B2099" s="8" t="s">
        <v>1167</v>
      </c>
      <c r="C2099" s="4" t="s">
        <v>1688</v>
      </c>
      <c r="D2099" s="106" t="s">
        <v>1678</v>
      </c>
      <c r="E2099" s="13" t="s">
        <v>746</v>
      </c>
      <c r="F2099" s="66">
        <v>1378222000</v>
      </c>
      <c r="G2099" s="21">
        <v>0</v>
      </c>
      <c r="H2099" s="20">
        <f t="shared" si="8"/>
        <v>0</v>
      </c>
      <c r="I2099" s="19">
        <v>1615</v>
      </c>
      <c r="J2099" s="20">
        <f t="shared" si="9"/>
        <v>222582.8</v>
      </c>
      <c r="K2099" s="21">
        <v>0</v>
      </c>
      <c r="L2099" s="20">
        <f t="shared" si="10"/>
        <v>0</v>
      </c>
    </row>
    <row r="2100" spans="2:12" ht="11.25" customHeight="1" x14ac:dyDescent="0.2">
      <c r="B2100" s="8" t="s">
        <v>1168</v>
      </c>
      <c r="C2100" s="4" t="s">
        <v>1688</v>
      </c>
      <c r="D2100" s="106" t="s">
        <v>1679</v>
      </c>
      <c r="E2100" s="13" t="s">
        <v>746</v>
      </c>
      <c r="F2100" s="66">
        <v>1872969000</v>
      </c>
      <c r="G2100" s="21">
        <v>0</v>
      </c>
      <c r="H2100" s="20">
        <f t="shared" si="8"/>
        <v>0</v>
      </c>
      <c r="I2100" s="21">
        <v>0</v>
      </c>
      <c r="J2100" s="20">
        <f t="shared" si="9"/>
        <v>0</v>
      </c>
      <c r="K2100" s="19">
        <v>1615</v>
      </c>
      <c r="L2100" s="20">
        <f t="shared" si="10"/>
        <v>302484.40000000002</v>
      </c>
    </row>
    <row r="2101" spans="2:12" ht="11.25" customHeight="1" x14ac:dyDescent="0.2">
      <c r="C2101" s="107" t="s">
        <v>1289</v>
      </c>
      <c r="D2101" s="109"/>
      <c r="E2101" s="34"/>
      <c r="F2101" s="33"/>
      <c r="G2101" s="33"/>
      <c r="H2101" s="24">
        <f>TRUNC(SUM(H2098:H2100))</f>
        <v>197941</v>
      </c>
      <c r="I2101" s="33"/>
      <c r="J2101" s="24">
        <f>TRUNC(SUM(J2098:J2100))</f>
        <v>222582</v>
      </c>
      <c r="K2101" s="33"/>
      <c r="L2101" s="24">
        <f>TRUNC(SUM(L2098:L2100))</f>
        <v>302484</v>
      </c>
    </row>
    <row r="2102" spans="2:12" ht="11.25" customHeight="1" x14ac:dyDescent="0.2">
      <c r="C2102" s="4"/>
      <c r="D2102" s="4"/>
      <c r="E2102" s="18"/>
      <c r="F2102" s="18"/>
      <c r="G2102" s="18"/>
      <c r="H2102" s="18"/>
      <c r="I2102" s="18"/>
      <c r="J2102" s="30"/>
      <c r="K2102" s="30"/>
      <c r="L2102" s="18"/>
    </row>
    <row r="2103" spans="2:12" ht="11.25" customHeight="1" x14ac:dyDescent="0.2">
      <c r="C2103" s="126" t="s">
        <v>1286</v>
      </c>
      <c r="D2103" s="163"/>
      <c r="E2103" s="164"/>
      <c r="F2103" s="165"/>
      <c r="G2103" s="165"/>
      <c r="H2103" s="104">
        <f>TRUNC(H2101)</f>
        <v>197941</v>
      </c>
      <c r="I2103" s="165"/>
      <c r="J2103" s="104">
        <f>TRUNC(J2101)</f>
        <v>222582</v>
      </c>
      <c r="K2103" s="137"/>
      <c r="L2103" s="104">
        <f>TRUNC(L2101)</f>
        <v>302484</v>
      </c>
    </row>
    <row r="2104" spans="2:12" ht="11.25" customHeight="1" x14ac:dyDescent="0.2">
      <c r="B2104" s="186" t="s">
        <v>427</v>
      </c>
      <c r="C2104" s="187" t="s">
        <v>428</v>
      </c>
      <c r="D2104" s="187" t="s">
        <v>429</v>
      </c>
      <c r="E2104" s="188" t="s">
        <v>430</v>
      </c>
      <c r="F2104" s="188" t="s">
        <v>431</v>
      </c>
      <c r="G2104" s="94" t="s">
        <v>1161</v>
      </c>
      <c r="H2104" s="151"/>
      <c r="I2104" s="94" t="s">
        <v>1162</v>
      </c>
      <c r="J2104" s="151"/>
    </row>
    <row r="2105" spans="2:12" ht="11.25" customHeight="1" x14ac:dyDescent="0.2">
      <c r="B2105" s="186"/>
      <c r="C2105" s="187"/>
      <c r="D2105" s="187"/>
      <c r="E2105" s="188"/>
      <c r="F2105" s="188"/>
      <c r="G2105" s="17" t="s">
        <v>436</v>
      </c>
      <c r="H2105" s="17" t="s">
        <v>437</v>
      </c>
      <c r="I2105" s="17" t="s">
        <v>436</v>
      </c>
      <c r="J2105" s="17" t="s">
        <v>437</v>
      </c>
    </row>
    <row r="2106" spans="2:12" ht="11.25" customHeight="1" x14ac:dyDescent="0.2">
      <c r="B2106" s="8" t="s">
        <v>1169</v>
      </c>
      <c r="C2106" s="4" t="s">
        <v>1688</v>
      </c>
      <c r="D2106" s="106" t="s">
        <v>1680</v>
      </c>
      <c r="E2106" s="13" t="s">
        <v>746</v>
      </c>
      <c r="F2106" s="66">
        <v>2297037000</v>
      </c>
      <c r="G2106" s="19">
        <v>1615</v>
      </c>
      <c r="H2106" s="20">
        <f t="shared" ref="H2106:H2107" si="11">TRUNC($F2106*G2106*0.0000001,1)</f>
        <v>370971.4</v>
      </c>
      <c r="I2106" s="21">
        <v>0</v>
      </c>
      <c r="J2106" s="20">
        <f t="shared" ref="J2106:J2107" si="12">TRUNC($F2106*I2106*0.0000001,1)</f>
        <v>0</v>
      </c>
    </row>
    <row r="2107" spans="2:12" ht="11.25" customHeight="1" x14ac:dyDescent="0.2">
      <c r="B2107" s="8" t="s">
        <v>1170</v>
      </c>
      <c r="C2107" s="4" t="s">
        <v>1688</v>
      </c>
      <c r="D2107" s="106" t="s">
        <v>1681</v>
      </c>
      <c r="E2107" s="13" t="s">
        <v>746</v>
      </c>
      <c r="F2107" s="66">
        <v>2827123000</v>
      </c>
      <c r="G2107" s="21">
        <v>0</v>
      </c>
      <c r="H2107" s="20">
        <f t="shared" si="11"/>
        <v>0</v>
      </c>
      <c r="I2107" s="19">
        <v>1615</v>
      </c>
      <c r="J2107" s="20">
        <f t="shared" si="12"/>
        <v>456580.3</v>
      </c>
    </row>
    <row r="2108" spans="2:12" ht="11.25" customHeight="1" x14ac:dyDescent="0.2">
      <c r="C2108" s="107" t="s">
        <v>1289</v>
      </c>
      <c r="D2108" s="109"/>
      <c r="E2108" s="34"/>
      <c r="F2108" s="33"/>
      <c r="G2108" s="33"/>
      <c r="H2108" s="24">
        <f>TRUNC(SUM(H2106:H2107))</f>
        <v>370971</v>
      </c>
      <c r="I2108" s="33"/>
      <c r="J2108" s="24">
        <f>TRUNC(SUM(J2106:J2107))</f>
        <v>456580</v>
      </c>
    </row>
    <row r="2109" spans="2:12" ht="11.25" customHeight="1" x14ac:dyDescent="0.2">
      <c r="C2109" s="4"/>
      <c r="D2109" s="4"/>
      <c r="E2109" s="18"/>
      <c r="F2109" s="18"/>
      <c r="G2109" s="18"/>
      <c r="H2109" s="18"/>
      <c r="I2109" s="18"/>
      <c r="J2109" s="18"/>
    </row>
    <row r="2110" spans="2:12" ht="11.25" customHeight="1" x14ac:dyDescent="0.2">
      <c r="B2110" s="16"/>
      <c r="C2110" s="108" t="s">
        <v>1286</v>
      </c>
      <c r="D2110" s="135"/>
      <c r="E2110" s="136"/>
      <c r="F2110" s="137"/>
      <c r="G2110" s="137"/>
      <c r="H2110" s="104">
        <f>TRUNC(H2108)</f>
        <v>370971</v>
      </c>
      <c r="I2110" s="137"/>
      <c r="J2110" s="104">
        <f>TRUNC(J2108)</f>
        <v>456580</v>
      </c>
    </row>
    <row r="2112" spans="2:12" ht="11.25" customHeight="1" x14ac:dyDescent="0.2">
      <c r="B2112" s="68" t="s">
        <v>1691</v>
      </c>
      <c r="C2112" s="119"/>
      <c r="L2112" s="49" t="s">
        <v>1307</v>
      </c>
    </row>
    <row r="2113" spans="2:12" ht="11.25" customHeight="1" x14ac:dyDescent="0.2">
      <c r="B2113" s="186" t="s">
        <v>427</v>
      </c>
      <c r="C2113" s="187" t="s">
        <v>428</v>
      </c>
      <c r="D2113" s="187" t="s">
        <v>429</v>
      </c>
      <c r="E2113" s="188" t="s">
        <v>430</v>
      </c>
      <c r="F2113" s="188" t="s">
        <v>431</v>
      </c>
      <c r="G2113" s="94" t="s">
        <v>1111</v>
      </c>
      <c r="H2113" s="151"/>
      <c r="I2113" s="94" t="s">
        <v>1112</v>
      </c>
      <c r="J2113" s="151"/>
      <c r="K2113" s="94" t="s">
        <v>1113</v>
      </c>
      <c r="L2113" s="151"/>
    </row>
    <row r="2114" spans="2:12" ht="11.25" customHeight="1" x14ac:dyDescent="0.2">
      <c r="B2114" s="186"/>
      <c r="C2114" s="187"/>
      <c r="D2114" s="187"/>
      <c r="E2114" s="188"/>
      <c r="F2114" s="188"/>
      <c r="G2114" s="17" t="s">
        <v>436</v>
      </c>
      <c r="H2114" s="17" t="s">
        <v>437</v>
      </c>
      <c r="I2114" s="17" t="s">
        <v>436</v>
      </c>
      <c r="J2114" s="17" t="s">
        <v>437</v>
      </c>
      <c r="K2114" s="17" t="s">
        <v>436</v>
      </c>
      <c r="L2114" s="17" t="s">
        <v>437</v>
      </c>
    </row>
    <row r="2115" spans="2:12" ht="11.25" customHeight="1" x14ac:dyDescent="0.2">
      <c r="B2115" s="8" t="s">
        <v>1029</v>
      </c>
      <c r="C2115" s="4" t="s">
        <v>1692</v>
      </c>
      <c r="D2115" s="106" t="s">
        <v>760</v>
      </c>
      <c r="E2115" s="13" t="s">
        <v>746</v>
      </c>
      <c r="F2115" s="66">
        <v>82114000</v>
      </c>
      <c r="G2115" s="19">
        <v>2682</v>
      </c>
      <c r="H2115" s="20">
        <f t="shared" ref="H2115:H2117" si="13">TRUNC($F2115*G2115*0.0000001,1)</f>
        <v>22022.9</v>
      </c>
      <c r="I2115" s="21">
        <v>0</v>
      </c>
      <c r="J2115" s="20">
        <f t="shared" ref="J2115:J2117" si="14">TRUNC($F2115*I2115*0.0000001,1)</f>
        <v>0</v>
      </c>
      <c r="K2115" s="21">
        <v>0</v>
      </c>
      <c r="L2115" s="20">
        <f t="shared" ref="L2115:L2117" si="15">TRUNC($F2115*K2115*0.0000001,1)</f>
        <v>0</v>
      </c>
    </row>
    <row r="2116" spans="2:12" ht="11.25" customHeight="1" x14ac:dyDescent="0.2">
      <c r="B2116" s="8" t="s">
        <v>1030</v>
      </c>
      <c r="C2116" s="4" t="s">
        <v>1692</v>
      </c>
      <c r="D2116" s="106" t="s">
        <v>502</v>
      </c>
      <c r="E2116" s="13" t="s">
        <v>746</v>
      </c>
      <c r="F2116" s="66">
        <v>102463000</v>
      </c>
      <c r="G2116" s="21">
        <v>0</v>
      </c>
      <c r="H2116" s="20">
        <f t="shared" si="13"/>
        <v>0</v>
      </c>
      <c r="I2116" s="19">
        <v>2682</v>
      </c>
      <c r="J2116" s="20">
        <f t="shared" si="14"/>
        <v>27480.5</v>
      </c>
      <c r="K2116" s="21">
        <v>0</v>
      </c>
      <c r="L2116" s="20">
        <f t="shared" si="15"/>
        <v>0</v>
      </c>
    </row>
    <row r="2117" spans="2:12" ht="11.25" customHeight="1" x14ac:dyDescent="0.2">
      <c r="B2117" s="8" t="s">
        <v>554</v>
      </c>
      <c r="C2117" s="4" t="s">
        <v>1692</v>
      </c>
      <c r="D2117" s="106" t="s">
        <v>761</v>
      </c>
      <c r="E2117" s="13" t="s">
        <v>746</v>
      </c>
      <c r="F2117" s="66">
        <v>114210000</v>
      </c>
      <c r="G2117" s="21">
        <v>0</v>
      </c>
      <c r="H2117" s="20">
        <f t="shared" si="13"/>
        <v>0</v>
      </c>
      <c r="I2117" s="21">
        <v>0</v>
      </c>
      <c r="J2117" s="20">
        <f t="shared" si="14"/>
        <v>0</v>
      </c>
      <c r="K2117" s="19">
        <v>2682</v>
      </c>
      <c r="L2117" s="20">
        <f t="shared" si="15"/>
        <v>30631.1</v>
      </c>
    </row>
    <row r="2118" spans="2:12" ht="11.25" customHeight="1" x14ac:dyDescent="0.2">
      <c r="C2118" s="107" t="s">
        <v>1289</v>
      </c>
      <c r="D2118" s="109"/>
      <c r="E2118" s="34"/>
      <c r="F2118" s="33"/>
      <c r="G2118" s="33"/>
      <c r="H2118" s="24">
        <f>TRUNC(SUM(H2115:H2117))</f>
        <v>22022</v>
      </c>
      <c r="I2118" s="33"/>
      <c r="J2118" s="24">
        <f>TRUNC(SUM(J2115:J2117))</f>
        <v>27480</v>
      </c>
      <c r="K2118" s="33"/>
      <c r="L2118" s="24">
        <f>TRUNC(SUM(L2115:L2117))</f>
        <v>30631</v>
      </c>
    </row>
    <row r="2119" spans="2:12" ht="11.25" customHeight="1" x14ac:dyDescent="0.2">
      <c r="C2119" s="4"/>
      <c r="D2119" s="4"/>
      <c r="E2119" s="18"/>
      <c r="F2119" s="18"/>
      <c r="G2119" s="18"/>
      <c r="H2119" s="18"/>
      <c r="I2119" s="18"/>
      <c r="J2119" s="30"/>
      <c r="K2119" s="30"/>
      <c r="L2119" s="18"/>
    </row>
    <row r="2120" spans="2:12" ht="11.25" customHeight="1" x14ac:dyDescent="0.2">
      <c r="C2120" s="126" t="s">
        <v>1286</v>
      </c>
      <c r="D2120" s="126"/>
      <c r="E2120" s="127"/>
      <c r="F2120" s="125"/>
      <c r="G2120" s="125"/>
      <c r="H2120" s="128">
        <f>TRUNC(H2118)</f>
        <v>22022</v>
      </c>
      <c r="I2120" s="125"/>
      <c r="J2120" s="128">
        <f>TRUNC(J2118)</f>
        <v>27480</v>
      </c>
      <c r="K2120" s="125"/>
      <c r="L2120" s="128">
        <f>TRUNC(L2118)</f>
        <v>30631</v>
      </c>
    </row>
    <row r="2121" spans="2:12" ht="11.25" customHeight="1" x14ac:dyDescent="0.2">
      <c r="B2121" s="186" t="s">
        <v>427</v>
      </c>
      <c r="C2121" s="187" t="s">
        <v>428</v>
      </c>
      <c r="D2121" s="187" t="s">
        <v>429</v>
      </c>
      <c r="E2121" s="188" t="s">
        <v>430</v>
      </c>
      <c r="F2121" s="188" t="s">
        <v>431</v>
      </c>
      <c r="G2121" s="94" t="s">
        <v>1114</v>
      </c>
      <c r="H2121" s="151"/>
      <c r="I2121" s="94" t="s">
        <v>1115</v>
      </c>
      <c r="J2121" s="151"/>
      <c r="K2121" s="94" t="s">
        <v>504</v>
      </c>
      <c r="L2121" s="151"/>
    </row>
    <row r="2122" spans="2:12" ht="11.25" customHeight="1" x14ac:dyDescent="0.2">
      <c r="B2122" s="186"/>
      <c r="C2122" s="187"/>
      <c r="D2122" s="187"/>
      <c r="E2122" s="188"/>
      <c r="F2122" s="188"/>
      <c r="G2122" s="17" t="s">
        <v>436</v>
      </c>
      <c r="H2122" s="17" t="s">
        <v>437</v>
      </c>
      <c r="I2122" s="17" t="s">
        <v>436</v>
      </c>
      <c r="J2122" s="17" t="s">
        <v>437</v>
      </c>
      <c r="K2122" s="17" t="s">
        <v>436</v>
      </c>
      <c r="L2122" s="17" t="s">
        <v>437</v>
      </c>
    </row>
    <row r="2123" spans="2:12" ht="11.25" customHeight="1" x14ac:dyDescent="0.2">
      <c r="B2123" s="8" t="s">
        <v>977</v>
      </c>
      <c r="C2123" s="4" t="s">
        <v>1692</v>
      </c>
      <c r="D2123" s="106" t="s">
        <v>511</v>
      </c>
      <c r="E2123" s="13" t="s">
        <v>746</v>
      </c>
      <c r="F2123" s="66">
        <v>146643000</v>
      </c>
      <c r="G2123" s="19">
        <v>2682</v>
      </c>
      <c r="H2123" s="20">
        <f t="shared" ref="H2123:H2125" si="16">TRUNC($F2123*G2123*0.0000001,1)</f>
        <v>39329.599999999999</v>
      </c>
      <c r="I2123" s="21">
        <v>0</v>
      </c>
      <c r="J2123" s="20">
        <f t="shared" ref="J2123:J2125" si="17">TRUNC($F2123*I2123*0.0000001,1)</f>
        <v>0</v>
      </c>
      <c r="K2123" s="21">
        <v>0</v>
      </c>
      <c r="L2123" s="20">
        <f t="shared" ref="L2123:L2125" si="18">TRUNC($F2123*K2123*0.0000001,1)</f>
        <v>0</v>
      </c>
    </row>
    <row r="2124" spans="2:12" ht="11.25" customHeight="1" x14ac:dyDescent="0.2">
      <c r="B2124" s="8" t="s">
        <v>555</v>
      </c>
      <c r="C2124" s="4" t="s">
        <v>1692</v>
      </c>
      <c r="D2124" s="106" t="s">
        <v>503</v>
      </c>
      <c r="E2124" s="13" t="s">
        <v>746</v>
      </c>
      <c r="F2124" s="66">
        <v>232666000</v>
      </c>
      <c r="G2124" s="21">
        <v>0</v>
      </c>
      <c r="H2124" s="20">
        <f t="shared" si="16"/>
        <v>0</v>
      </c>
      <c r="I2124" s="19">
        <v>2682</v>
      </c>
      <c r="J2124" s="20">
        <f t="shared" si="17"/>
        <v>62401</v>
      </c>
      <c r="K2124" s="21">
        <v>0</v>
      </c>
      <c r="L2124" s="20">
        <f t="shared" si="18"/>
        <v>0</v>
      </c>
    </row>
    <row r="2125" spans="2:12" ht="11.25" customHeight="1" x14ac:dyDescent="0.2">
      <c r="B2125" s="8" t="s">
        <v>976</v>
      </c>
      <c r="C2125" s="4" t="s">
        <v>1692</v>
      </c>
      <c r="D2125" s="106" t="s">
        <v>1690</v>
      </c>
      <c r="E2125" s="13" t="s">
        <v>746</v>
      </c>
      <c r="F2125" s="66">
        <v>301677000</v>
      </c>
      <c r="G2125" s="21">
        <v>0</v>
      </c>
      <c r="H2125" s="20">
        <f t="shared" si="16"/>
        <v>0</v>
      </c>
      <c r="I2125" s="21">
        <v>0</v>
      </c>
      <c r="J2125" s="20">
        <f t="shared" si="17"/>
        <v>0</v>
      </c>
      <c r="K2125" s="19">
        <v>2682</v>
      </c>
      <c r="L2125" s="20">
        <f t="shared" si="18"/>
        <v>80909.7</v>
      </c>
    </row>
    <row r="2126" spans="2:12" ht="11.25" customHeight="1" x14ac:dyDescent="0.2">
      <c r="C2126" s="107" t="s">
        <v>1289</v>
      </c>
      <c r="D2126" s="109"/>
      <c r="E2126" s="34"/>
      <c r="F2126" s="33"/>
      <c r="G2126" s="33"/>
      <c r="H2126" s="24">
        <f>TRUNC(SUM(H2123:H2125))</f>
        <v>39329</v>
      </c>
      <c r="I2126" s="33"/>
      <c r="J2126" s="24">
        <f>TRUNC(SUM(J2123:J2125))</f>
        <v>62401</v>
      </c>
      <c r="K2126" s="33"/>
      <c r="L2126" s="24">
        <f>TRUNC(SUM(L2123:L2125))</f>
        <v>80909</v>
      </c>
    </row>
    <row r="2127" spans="2:12" ht="11.25" customHeight="1" x14ac:dyDescent="0.2">
      <c r="C2127" s="4"/>
      <c r="D2127" s="4"/>
      <c r="E2127" s="18"/>
      <c r="F2127" s="18"/>
      <c r="G2127" s="18"/>
      <c r="H2127" s="18"/>
      <c r="I2127" s="18"/>
      <c r="J2127" s="30"/>
      <c r="K2127" s="30"/>
      <c r="L2127" s="18"/>
    </row>
    <row r="2128" spans="2:12" ht="11.25" customHeight="1" x14ac:dyDescent="0.2">
      <c r="B2128" s="16"/>
      <c r="C2128" s="108" t="s">
        <v>1286</v>
      </c>
      <c r="D2128" s="108"/>
      <c r="E2128" s="103"/>
      <c r="F2128" s="102"/>
      <c r="G2128" s="102"/>
      <c r="H2128" s="104">
        <f>TRUNC(H2126)</f>
        <v>39329</v>
      </c>
      <c r="I2128" s="102"/>
      <c r="J2128" s="104">
        <f>TRUNC(J2126)</f>
        <v>62401</v>
      </c>
      <c r="K2128" s="102"/>
      <c r="L2128" s="104">
        <f>TRUNC(L2126)</f>
        <v>80909</v>
      </c>
    </row>
    <row r="2130" spans="1:8" ht="11.25" customHeight="1" x14ac:dyDescent="0.2">
      <c r="B2130" s="68" t="s">
        <v>1693</v>
      </c>
      <c r="C2130" s="119"/>
      <c r="H2130" s="49" t="s">
        <v>1307</v>
      </c>
    </row>
    <row r="2131" spans="1:8" ht="11.25" customHeight="1" x14ac:dyDescent="0.2">
      <c r="A2131" s="7"/>
      <c r="B2131" s="186" t="s">
        <v>427</v>
      </c>
      <c r="C2131" s="187" t="s">
        <v>428</v>
      </c>
      <c r="D2131" s="187" t="s">
        <v>429</v>
      </c>
      <c r="E2131" s="188" t="s">
        <v>430</v>
      </c>
      <c r="F2131" s="188" t="s">
        <v>431</v>
      </c>
      <c r="G2131" s="94" t="s">
        <v>1116</v>
      </c>
      <c r="H2131" s="151"/>
    </row>
    <row r="2132" spans="1:8" ht="11.25" customHeight="1" x14ac:dyDescent="0.2">
      <c r="B2132" s="186"/>
      <c r="C2132" s="187"/>
      <c r="D2132" s="187"/>
      <c r="E2132" s="188"/>
      <c r="F2132" s="188"/>
      <c r="G2132" s="17" t="s">
        <v>436</v>
      </c>
      <c r="H2132" s="17" t="s">
        <v>437</v>
      </c>
    </row>
    <row r="2133" spans="1:8" ht="11.25" customHeight="1" x14ac:dyDescent="0.2">
      <c r="B2133" s="8" t="s">
        <v>556</v>
      </c>
      <c r="C2133" s="4" t="s">
        <v>303</v>
      </c>
      <c r="D2133" s="106" t="s">
        <v>1386</v>
      </c>
      <c r="E2133" s="13" t="s">
        <v>746</v>
      </c>
      <c r="F2133" s="66">
        <v>468750000</v>
      </c>
      <c r="G2133" s="19">
        <v>2682</v>
      </c>
      <c r="H2133" s="20">
        <f t="shared" ref="H2133" si="19">TRUNC($F2133*G2133*0.0000001,1)</f>
        <v>125718.7</v>
      </c>
    </row>
    <row r="2134" spans="1:8" ht="11.25" customHeight="1" x14ac:dyDescent="0.2">
      <c r="A2134" s="7"/>
      <c r="C2134" s="107" t="s">
        <v>1289</v>
      </c>
      <c r="D2134" s="109"/>
      <c r="E2134" s="34"/>
      <c r="F2134" s="83"/>
      <c r="G2134" s="33"/>
      <c r="H2134" s="24">
        <f>TRUNC(SUM(H2133:H2133))</f>
        <v>125718</v>
      </c>
    </row>
    <row r="2135" spans="1:8" ht="11.25" customHeight="1" x14ac:dyDescent="0.2">
      <c r="C2135" s="4"/>
      <c r="D2135" s="4"/>
      <c r="E2135" s="13"/>
      <c r="F2135" s="53"/>
      <c r="G2135" s="26"/>
      <c r="H2135" s="20"/>
    </row>
    <row r="2136" spans="1:8" ht="11.25" customHeight="1" x14ac:dyDescent="0.2">
      <c r="B2136" s="16"/>
      <c r="C2136" s="108" t="s">
        <v>1286</v>
      </c>
      <c r="D2136" s="108"/>
      <c r="E2136" s="103"/>
      <c r="F2136" s="102"/>
      <c r="G2136" s="102"/>
      <c r="H2136" s="104">
        <f>TRUNC(H2134)</f>
        <v>125718</v>
      </c>
    </row>
    <row r="2138" spans="1:8" ht="11.25" customHeight="1" x14ac:dyDescent="0.2">
      <c r="B2138" s="68" t="s">
        <v>1694</v>
      </c>
      <c r="C2138" s="119"/>
      <c r="H2138" s="49" t="s">
        <v>1307</v>
      </c>
    </row>
    <row r="2139" spans="1:8" ht="11.25" customHeight="1" x14ac:dyDescent="0.2">
      <c r="B2139" s="186" t="s">
        <v>427</v>
      </c>
      <c r="C2139" s="187" t="s">
        <v>428</v>
      </c>
      <c r="D2139" s="187" t="s">
        <v>429</v>
      </c>
      <c r="E2139" s="188" t="s">
        <v>430</v>
      </c>
      <c r="F2139" s="188" t="s">
        <v>431</v>
      </c>
      <c r="G2139" s="94" t="s">
        <v>1117</v>
      </c>
      <c r="H2139" s="151"/>
    </row>
    <row r="2140" spans="1:8" ht="11.25" customHeight="1" x14ac:dyDescent="0.2">
      <c r="B2140" s="186"/>
      <c r="C2140" s="187"/>
      <c r="D2140" s="187"/>
      <c r="E2140" s="188"/>
      <c r="F2140" s="188"/>
      <c r="G2140" s="17" t="s">
        <v>436</v>
      </c>
      <c r="H2140" s="17" t="s">
        <v>437</v>
      </c>
    </row>
    <row r="2141" spans="1:8" ht="11.25" customHeight="1" x14ac:dyDescent="0.2">
      <c r="C2141" s="4" t="s">
        <v>426</v>
      </c>
      <c r="D2141" s="4"/>
      <c r="E2141" s="13" t="s">
        <v>494</v>
      </c>
      <c r="F2141" s="25">
        <v>1505.45</v>
      </c>
      <c r="G2141" s="26">
        <v>25</v>
      </c>
      <c r="H2141" s="20">
        <f>TRUNC(($F2141*G2141),1)</f>
        <v>37636.199999999997</v>
      </c>
    </row>
    <row r="2142" spans="1:8" ht="11.25" customHeight="1" x14ac:dyDescent="0.2">
      <c r="C2142" s="4" t="s">
        <v>878</v>
      </c>
      <c r="D2142" s="4" t="s">
        <v>203</v>
      </c>
      <c r="E2142" s="13" t="s">
        <v>232</v>
      </c>
      <c r="F2142" s="18"/>
      <c r="G2142" s="21">
        <v>18</v>
      </c>
      <c r="H2142" s="20">
        <f>TRUNC(H2141*G2142*0.01,1)</f>
        <v>6774.5</v>
      </c>
    </row>
    <row r="2143" spans="1:8" ht="11.25" customHeight="1" x14ac:dyDescent="0.2">
      <c r="C2143" s="107" t="s">
        <v>799</v>
      </c>
      <c r="D2143" s="109"/>
      <c r="E2143" s="34"/>
      <c r="F2143" s="33"/>
      <c r="G2143" s="33"/>
      <c r="H2143" s="24">
        <f>TRUNC(SUM(H2141:H2142))</f>
        <v>44410</v>
      </c>
    </row>
    <row r="2144" spans="1:8" ht="11.25" customHeight="1" x14ac:dyDescent="0.2">
      <c r="C2144" s="107"/>
      <c r="D2144" s="109"/>
      <c r="E2144" s="34"/>
      <c r="F2144" s="33"/>
      <c r="G2144" s="33"/>
      <c r="H2144" s="24"/>
    </row>
    <row r="2145" spans="2:12" ht="11.25" customHeight="1" x14ac:dyDescent="0.2">
      <c r="B2145" s="8" t="s">
        <v>254</v>
      </c>
      <c r="C2145" s="4" t="s">
        <v>253</v>
      </c>
      <c r="D2145" s="106" t="s">
        <v>1117</v>
      </c>
      <c r="E2145" s="13" t="s">
        <v>746</v>
      </c>
      <c r="F2145" s="66">
        <v>216392000</v>
      </c>
      <c r="G2145" s="19">
        <v>3922</v>
      </c>
      <c r="H2145" s="20">
        <f>TRUNC($F2145*G2145*0.0000001,1)</f>
        <v>84868.9</v>
      </c>
    </row>
    <row r="2146" spans="2:12" ht="11.25" customHeight="1" x14ac:dyDescent="0.2">
      <c r="C2146" s="107" t="s">
        <v>1289</v>
      </c>
      <c r="D2146" s="109"/>
      <c r="E2146" s="34"/>
      <c r="F2146" s="33"/>
      <c r="G2146" s="33"/>
      <c r="H2146" s="24">
        <f>TRUNC(SUM(H2145:H2145))</f>
        <v>84868</v>
      </c>
    </row>
    <row r="2147" spans="2:12" ht="11.25" customHeight="1" x14ac:dyDescent="0.2">
      <c r="C2147" s="107"/>
      <c r="D2147" s="109"/>
      <c r="E2147" s="34"/>
      <c r="F2147" s="33"/>
      <c r="G2147" s="33"/>
      <c r="H2147" s="24"/>
    </row>
    <row r="2148" spans="2:12" ht="11.25" customHeight="1" x14ac:dyDescent="0.2">
      <c r="B2148" s="16"/>
      <c r="C2148" s="108" t="s">
        <v>1286</v>
      </c>
      <c r="D2148" s="108"/>
      <c r="E2148" s="103"/>
      <c r="F2148" s="102"/>
      <c r="G2148" s="102"/>
      <c r="H2148" s="104">
        <f>TRUNC(H2146+H2143)</f>
        <v>129278</v>
      </c>
    </row>
    <row r="2150" spans="2:12" ht="11.25" customHeight="1" x14ac:dyDescent="0.2">
      <c r="B2150" s="68" t="s">
        <v>1695</v>
      </c>
      <c r="C2150" s="119"/>
      <c r="H2150" s="49" t="s">
        <v>1307</v>
      </c>
    </row>
    <row r="2151" spans="2:12" ht="11.25" customHeight="1" x14ac:dyDescent="0.2">
      <c r="B2151" s="186" t="s">
        <v>427</v>
      </c>
      <c r="C2151" s="187" t="s">
        <v>428</v>
      </c>
      <c r="D2151" s="187" t="s">
        <v>429</v>
      </c>
      <c r="E2151" s="188" t="s">
        <v>430</v>
      </c>
      <c r="F2151" s="188" t="s">
        <v>431</v>
      </c>
      <c r="G2151" s="94" t="s">
        <v>980</v>
      </c>
      <c r="H2151" s="151"/>
    </row>
    <row r="2152" spans="2:12" ht="11.25" customHeight="1" x14ac:dyDescent="0.2">
      <c r="B2152" s="186"/>
      <c r="C2152" s="187"/>
      <c r="D2152" s="187"/>
      <c r="E2152" s="188"/>
      <c r="F2152" s="188"/>
      <c r="G2152" s="17" t="s">
        <v>436</v>
      </c>
      <c r="H2152" s="17" t="s">
        <v>437</v>
      </c>
    </row>
    <row r="2153" spans="2:12" ht="11.25" customHeight="1" x14ac:dyDescent="0.2">
      <c r="B2153" s="8" t="s">
        <v>562</v>
      </c>
      <c r="C2153" s="4" t="s">
        <v>255</v>
      </c>
      <c r="D2153" s="106" t="s">
        <v>980</v>
      </c>
      <c r="E2153" s="13" t="s">
        <v>746</v>
      </c>
      <c r="F2153" s="66">
        <v>1074422000</v>
      </c>
      <c r="G2153" s="19">
        <v>2468</v>
      </c>
      <c r="H2153" s="20">
        <f t="shared" ref="H2153" si="20">TRUNC($F2153*G2153*0.0000001,1)</f>
        <v>265167.3</v>
      </c>
    </row>
    <row r="2154" spans="2:12" ht="11.25" customHeight="1" x14ac:dyDescent="0.2">
      <c r="C2154" s="107" t="s">
        <v>1289</v>
      </c>
      <c r="D2154" s="109"/>
      <c r="E2154" s="34"/>
      <c r="F2154" s="33"/>
      <c r="G2154" s="33"/>
      <c r="H2154" s="24">
        <f>TRUNC(SUM(H2153:H2153))</f>
        <v>265167</v>
      </c>
    </row>
    <row r="2155" spans="2:12" ht="11.25" customHeight="1" x14ac:dyDescent="0.2">
      <c r="C2155" s="107"/>
      <c r="D2155" s="109"/>
      <c r="E2155" s="34"/>
      <c r="F2155" s="33"/>
      <c r="G2155" s="33"/>
      <c r="H2155" s="24"/>
    </row>
    <row r="2156" spans="2:12" ht="11.25" customHeight="1" x14ac:dyDescent="0.2">
      <c r="B2156" s="16"/>
      <c r="C2156" s="108" t="s">
        <v>1286</v>
      </c>
      <c r="D2156" s="108"/>
      <c r="E2156" s="103"/>
      <c r="F2156" s="102"/>
      <c r="G2156" s="102"/>
      <c r="H2156" s="104">
        <f>TRUNC(H2154)</f>
        <v>265167</v>
      </c>
    </row>
    <row r="2158" spans="2:12" ht="11.25" customHeight="1" x14ac:dyDescent="0.2">
      <c r="B2158" s="68" t="s">
        <v>1696</v>
      </c>
      <c r="C2158" s="119"/>
      <c r="L2158" s="49" t="s">
        <v>1307</v>
      </c>
    </row>
    <row r="2159" spans="2:12" ht="11.25" customHeight="1" x14ac:dyDescent="0.2">
      <c r="B2159" s="186" t="s">
        <v>427</v>
      </c>
      <c r="C2159" s="187" t="s">
        <v>428</v>
      </c>
      <c r="D2159" s="187" t="s">
        <v>429</v>
      </c>
      <c r="E2159" s="188" t="s">
        <v>430</v>
      </c>
      <c r="F2159" s="188" t="s">
        <v>431</v>
      </c>
      <c r="G2159" s="94" t="s">
        <v>424</v>
      </c>
      <c r="H2159" s="151"/>
      <c r="I2159" s="94" t="s">
        <v>81</v>
      </c>
      <c r="J2159" s="151"/>
      <c r="K2159" s="94" t="s">
        <v>1037</v>
      </c>
      <c r="L2159" s="151"/>
    </row>
    <row r="2160" spans="2:12" ht="11.25" customHeight="1" x14ac:dyDescent="0.2">
      <c r="B2160" s="186"/>
      <c r="C2160" s="187"/>
      <c r="D2160" s="187"/>
      <c r="E2160" s="188"/>
      <c r="F2160" s="188"/>
      <c r="G2160" s="17" t="s">
        <v>436</v>
      </c>
      <c r="H2160" s="17" t="s">
        <v>437</v>
      </c>
      <c r="I2160" s="17" t="s">
        <v>436</v>
      </c>
      <c r="J2160" s="17" t="s">
        <v>437</v>
      </c>
      <c r="K2160" s="17" t="s">
        <v>436</v>
      </c>
      <c r="L2160" s="17" t="s">
        <v>437</v>
      </c>
    </row>
    <row r="2161" spans="2:13" ht="11.25" customHeight="1" x14ac:dyDescent="0.2">
      <c r="C2161" s="4" t="s">
        <v>426</v>
      </c>
      <c r="D2161" s="4"/>
      <c r="E2161" s="13" t="s">
        <v>494</v>
      </c>
      <c r="F2161" s="25">
        <v>1505.45</v>
      </c>
      <c r="G2161" s="27">
        <v>15.4</v>
      </c>
      <c r="H2161" s="20">
        <f>TRUNC(($F2161*G2161),1)</f>
        <v>23183.9</v>
      </c>
      <c r="I2161" s="26">
        <v>19.3</v>
      </c>
      <c r="J2161" s="20">
        <f>TRUNC(($F2161*I2161),1)</f>
        <v>29055.1</v>
      </c>
      <c r="K2161" s="26">
        <v>24</v>
      </c>
      <c r="L2161" s="20">
        <f>TRUNC(($F2161*K2161),1)</f>
        <v>36130.800000000003</v>
      </c>
    </row>
    <row r="2162" spans="2:13" ht="11.25" customHeight="1" x14ac:dyDescent="0.2">
      <c r="C2162" s="4" t="s">
        <v>878</v>
      </c>
      <c r="D2162" s="4" t="s">
        <v>203</v>
      </c>
      <c r="E2162" s="13" t="s">
        <v>232</v>
      </c>
      <c r="F2162" s="18"/>
      <c r="G2162" s="21">
        <v>18</v>
      </c>
      <c r="H2162" s="20">
        <f>TRUNC(H2161*G2162*0.01,1)</f>
        <v>4173.1000000000004</v>
      </c>
      <c r="I2162" s="21">
        <v>18</v>
      </c>
      <c r="J2162" s="20">
        <f>TRUNC(J2161*I2162*0.01,1)</f>
        <v>5229.8999999999996</v>
      </c>
      <c r="K2162" s="21">
        <v>18</v>
      </c>
      <c r="L2162" s="20">
        <f>TRUNC(L2161*K2162*0.01,1)</f>
        <v>6503.5</v>
      </c>
    </row>
    <row r="2163" spans="2:13" ht="11.25" customHeight="1" x14ac:dyDescent="0.2">
      <c r="C2163" s="107" t="s">
        <v>799</v>
      </c>
      <c r="D2163" s="107"/>
      <c r="E2163" s="23"/>
      <c r="F2163" s="22"/>
      <c r="G2163" s="22"/>
      <c r="H2163" s="24">
        <f>TRUNC(SUM(H2161:H2162))</f>
        <v>27357</v>
      </c>
      <c r="I2163" s="22"/>
      <c r="J2163" s="24">
        <f>TRUNC(SUM(J2161:J2162))</f>
        <v>34285</v>
      </c>
      <c r="K2163" s="22"/>
      <c r="L2163" s="24">
        <f>TRUNC(SUM(L2161:L2162))</f>
        <v>42634</v>
      </c>
    </row>
    <row r="2164" spans="2:13" ht="11.25" customHeight="1" x14ac:dyDescent="0.2">
      <c r="C2164" s="107"/>
      <c r="D2164" s="109"/>
      <c r="E2164" s="34"/>
      <c r="F2164" s="33"/>
      <c r="G2164" s="33"/>
      <c r="H2164" s="73"/>
      <c r="I2164" s="30"/>
      <c r="J2164" s="30"/>
      <c r="K2164" s="30"/>
      <c r="L2164" s="18"/>
    </row>
    <row r="2165" spans="2:13" ht="11.25" customHeight="1" x14ac:dyDescent="0.2">
      <c r="B2165" s="8" t="s">
        <v>557</v>
      </c>
      <c r="C2165" s="4" t="s">
        <v>1697</v>
      </c>
      <c r="D2165" s="106" t="s">
        <v>735</v>
      </c>
      <c r="E2165" s="13" t="s">
        <v>746</v>
      </c>
      <c r="F2165" s="66">
        <v>125886000</v>
      </c>
      <c r="G2165" s="19">
        <v>2682</v>
      </c>
      <c r="H2165" s="20">
        <f>TRUNC($F2165*G2165*0.0000001,1)</f>
        <v>33762.6</v>
      </c>
      <c r="I2165" s="21">
        <v>0</v>
      </c>
      <c r="J2165" s="20">
        <f>TRUNC($F2165*I2165*0.0000001,1)</f>
        <v>0</v>
      </c>
      <c r="K2165" s="21">
        <v>0</v>
      </c>
      <c r="L2165" s="20">
        <f>TRUNC($F2165*K2165*0.0000001,1)</f>
        <v>0</v>
      </c>
    </row>
    <row r="2166" spans="2:13" ht="11.25" customHeight="1" x14ac:dyDescent="0.2">
      <c r="B2166" s="8" t="s">
        <v>558</v>
      </c>
      <c r="C2166" s="4" t="s">
        <v>1697</v>
      </c>
      <c r="D2166" s="106" t="s">
        <v>736</v>
      </c>
      <c r="E2166" s="13" t="s">
        <v>746</v>
      </c>
      <c r="F2166" s="66">
        <v>172212000</v>
      </c>
      <c r="G2166" s="21">
        <v>0</v>
      </c>
      <c r="H2166" s="20">
        <f>TRUNC($F2166*G2166*0.0000001,1)</f>
        <v>0</v>
      </c>
      <c r="I2166" s="19">
        <v>2682</v>
      </c>
      <c r="J2166" s="20">
        <f>TRUNC($F2166*I2166*0.0000001,1)</f>
        <v>46187.199999999997</v>
      </c>
      <c r="K2166" s="21">
        <v>0</v>
      </c>
      <c r="L2166" s="20">
        <f>TRUNC($F2166*K2166*0.0000001,1)</f>
        <v>0</v>
      </c>
    </row>
    <row r="2167" spans="2:13" ht="11.25" customHeight="1" x14ac:dyDescent="0.2">
      <c r="B2167" s="8" t="s">
        <v>559</v>
      </c>
      <c r="C2167" s="4" t="s">
        <v>1697</v>
      </c>
      <c r="D2167" s="106" t="s">
        <v>432</v>
      </c>
      <c r="E2167" s="13" t="s">
        <v>746</v>
      </c>
      <c r="F2167" s="66">
        <v>190340000</v>
      </c>
      <c r="G2167" s="21">
        <v>0</v>
      </c>
      <c r="H2167" s="20">
        <f>TRUNC($F2167*G2167*0.0000001,1)</f>
        <v>0</v>
      </c>
      <c r="I2167" s="21">
        <v>0</v>
      </c>
      <c r="J2167" s="20">
        <f>TRUNC($F2167*I2167*0.0000001,1)</f>
        <v>0</v>
      </c>
      <c r="K2167" s="19">
        <v>2682</v>
      </c>
      <c r="L2167" s="20">
        <f>TRUNC($F2167*K2167*0.0000001,1)</f>
        <v>51049.1</v>
      </c>
    </row>
    <row r="2168" spans="2:13" ht="11.25" customHeight="1" x14ac:dyDescent="0.2">
      <c r="C2168" s="107" t="s">
        <v>1289</v>
      </c>
      <c r="D2168" s="106"/>
      <c r="E2168" s="23"/>
      <c r="F2168" s="22"/>
      <c r="G2168" s="22"/>
      <c r="H2168" s="24">
        <f>TRUNC(SUM(H2165:H2167))</f>
        <v>33762</v>
      </c>
      <c r="I2168" s="22"/>
      <c r="J2168" s="24">
        <f>TRUNC(SUM(J2165:J2167))</f>
        <v>46187</v>
      </c>
      <c r="K2168" s="22"/>
      <c r="L2168" s="24">
        <f>TRUNC(SUM(L2165:L2167))</f>
        <v>51049</v>
      </c>
    </row>
    <row r="2169" spans="2:13" ht="11.25" customHeight="1" x14ac:dyDescent="0.2">
      <c r="C2169" s="107"/>
      <c r="D2169" s="107"/>
      <c r="E2169" s="23"/>
      <c r="F2169" s="22"/>
      <c r="G2169" s="22"/>
      <c r="H2169" s="24"/>
      <c r="I2169" s="22"/>
      <c r="J2169" s="24"/>
      <c r="K2169" s="22"/>
      <c r="L2169" s="24"/>
    </row>
    <row r="2170" spans="2:13" ht="11.25" customHeight="1" x14ac:dyDescent="0.2">
      <c r="C2170" s="126" t="s">
        <v>1286</v>
      </c>
      <c r="D2170" s="126"/>
      <c r="E2170" s="127"/>
      <c r="F2170" s="125"/>
      <c r="G2170" s="125"/>
      <c r="H2170" s="128">
        <f>TRUNC(H2168+H2163)</f>
        <v>61119</v>
      </c>
      <c r="I2170" s="125"/>
      <c r="J2170" s="128">
        <f>TRUNC(J2168+J2163)</f>
        <v>80472</v>
      </c>
      <c r="K2170" s="102"/>
      <c r="L2170" s="104">
        <f>TRUNC(L2168+L2163)</f>
        <v>93683</v>
      </c>
      <c r="M2170" s="123"/>
    </row>
    <row r="2171" spans="2:13" ht="11.25" customHeight="1" x14ac:dyDescent="0.2">
      <c r="B2171" s="186" t="s">
        <v>427</v>
      </c>
      <c r="C2171" s="187" t="s">
        <v>428</v>
      </c>
      <c r="D2171" s="187" t="s">
        <v>429</v>
      </c>
      <c r="E2171" s="188" t="s">
        <v>430</v>
      </c>
      <c r="F2171" s="188" t="s">
        <v>431</v>
      </c>
      <c r="G2171" s="94" t="s">
        <v>663</v>
      </c>
      <c r="H2171" s="151"/>
      <c r="I2171" s="94" t="s">
        <v>985</v>
      </c>
      <c r="J2171" s="151"/>
    </row>
    <row r="2172" spans="2:13" ht="11.25" customHeight="1" x14ac:dyDescent="0.2">
      <c r="B2172" s="186"/>
      <c r="C2172" s="187"/>
      <c r="D2172" s="187"/>
      <c r="E2172" s="188"/>
      <c r="F2172" s="188"/>
      <c r="G2172" s="17" t="s">
        <v>436</v>
      </c>
      <c r="H2172" s="17" t="s">
        <v>437</v>
      </c>
      <c r="I2172" s="17" t="s">
        <v>436</v>
      </c>
      <c r="J2172" s="17" t="s">
        <v>437</v>
      </c>
    </row>
    <row r="2173" spans="2:13" ht="11.25" customHeight="1" x14ac:dyDescent="0.2">
      <c r="C2173" s="4" t="s">
        <v>426</v>
      </c>
      <c r="D2173" s="4"/>
      <c r="E2173" s="13" t="s">
        <v>494</v>
      </c>
      <c r="F2173" s="25">
        <v>1505.45</v>
      </c>
      <c r="G2173" s="27">
        <v>31.8</v>
      </c>
      <c r="H2173" s="20">
        <f>TRUNC(($F2173*G2173),1)</f>
        <v>47873.3</v>
      </c>
      <c r="I2173" s="26">
        <v>42.3</v>
      </c>
      <c r="J2173" s="20">
        <f>TRUNC(($F2173*I2173),1)</f>
        <v>63680.5</v>
      </c>
    </row>
    <row r="2174" spans="2:13" ht="11.25" customHeight="1" x14ac:dyDescent="0.2">
      <c r="C2174" s="4" t="s">
        <v>878</v>
      </c>
      <c r="D2174" s="4" t="s">
        <v>203</v>
      </c>
      <c r="E2174" s="13" t="s">
        <v>232</v>
      </c>
      <c r="F2174" s="18"/>
      <c r="G2174" s="21">
        <v>18</v>
      </c>
      <c r="H2174" s="20">
        <f>TRUNC(H2173*G2174*0.01,1)</f>
        <v>8617.1</v>
      </c>
      <c r="I2174" s="21">
        <v>18</v>
      </c>
      <c r="J2174" s="20">
        <f>TRUNC(J2173*I2174*0.01,1)</f>
        <v>11462.4</v>
      </c>
    </row>
    <row r="2175" spans="2:13" ht="11.25" customHeight="1" x14ac:dyDescent="0.2">
      <c r="C2175" s="107" t="s">
        <v>799</v>
      </c>
      <c r="D2175" s="107"/>
      <c r="E2175" s="23"/>
      <c r="F2175" s="22"/>
      <c r="G2175" s="22"/>
      <c r="H2175" s="24">
        <f>TRUNC(SUM(H2173:H2174))</f>
        <v>56490</v>
      </c>
      <c r="I2175" s="22"/>
      <c r="J2175" s="24">
        <f>TRUNC(SUM(J2173:J2174))</f>
        <v>75142</v>
      </c>
    </row>
    <row r="2176" spans="2:13" ht="11.25" customHeight="1" x14ac:dyDescent="0.2">
      <c r="C2176" s="107"/>
      <c r="D2176" s="109"/>
      <c r="E2176" s="34"/>
      <c r="F2176" s="33"/>
      <c r="G2176" s="33"/>
      <c r="H2176" s="73"/>
      <c r="I2176" s="30"/>
      <c r="J2176" s="18"/>
    </row>
    <row r="2177" spans="2:10" ht="11.25" customHeight="1" x14ac:dyDescent="0.2">
      <c r="B2177" s="8" t="s">
        <v>560</v>
      </c>
      <c r="C2177" s="4" t="s">
        <v>1697</v>
      </c>
      <c r="D2177" s="106" t="s">
        <v>433</v>
      </c>
      <c r="E2177" s="13" t="s">
        <v>746</v>
      </c>
      <c r="F2177" s="66">
        <v>262851000</v>
      </c>
      <c r="G2177" s="19">
        <v>2682</v>
      </c>
      <c r="H2177" s="20">
        <f>TRUNC($F2177*G2177*0.0000001,1)</f>
        <v>70496.600000000006</v>
      </c>
      <c r="I2177" s="21">
        <v>0</v>
      </c>
      <c r="J2177" s="20">
        <f>TRUNC($F2177*I2177*0.0000001,1)</f>
        <v>0</v>
      </c>
    </row>
    <row r="2178" spans="2:10" ht="11.25" customHeight="1" x14ac:dyDescent="0.2">
      <c r="B2178" s="8" t="s">
        <v>561</v>
      </c>
      <c r="C2178" s="4" t="s">
        <v>1697</v>
      </c>
      <c r="D2178" s="106" t="s">
        <v>94</v>
      </c>
      <c r="E2178" s="13" t="s">
        <v>746</v>
      </c>
      <c r="F2178" s="66">
        <v>317233000</v>
      </c>
      <c r="G2178" s="21">
        <v>0</v>
      </c>
      <c r="H2178" s="20">
        <f>TRUNC($F2178*G2178*0.0000001,1)</f>
        <v>0</v>
      </c>
      <c r="I2178" s="19">
        <v>2682</v>
      </c>
      <c r="J2178" s="20">
        <f>TRUNC($F2178*I2178*0.0000001,1)</f>
        <v>85081.8</v>
      </c>
    </row>
    <row r="2179" spans="2:10" ht="11.25" customHeight="1" x14ac:dyDescent="0.2">
      <c r="C2179" s="107" t="s">
        <v>1289</v>
      </c>
      <c r="D2179" s="107"/>
      <c r="E2179" s="23"/>
      <c r="F2179" s="22"/>
      <c r="G2179" s="22"/>
      <c r="H2179" s="24">
        <f>TRUNC(SUM(H2177:H2178))</f>
        <v>70496</v>
      </c>
      <c r="I2179" s="22"/>
      <c r="J2179" s="24">
        <f>TRUNC(SUM(J2177:J2178))</f>
        <v>85081</v>
      </c>
    </row>
    <row r="2180" spans="2:10" ht="11.25" customHeight="1" x14ac:dyDescent="0.2">
      <c r="C2180" s="107"/>
      <c r="D2180" s="107"/>
      <c r="E2180" s="23"/>
      <c r="F2180" s="22"/>
      <c r="G2180" s="22"/>
      <c r="H2180" s="24"/>
      <c r="I2180" s="22"/>
      <c r="J2180" s="24"/>
    </row>
    <row r="2181" spans="2:10" ht="11.25" customHeight="1" x14ac:dyDescent="0.2">
      <c r="B2181" s="16"/>
      <c r="C2181" s="108" t="s">
        <v>1286</v>
      </c>
      <c r="D2181" s="108"/>
      <c r="E2181" s="103"/>
      <c r="F2181" s="102"/>
      <c r="G2181" s="102"/>
      <c r="H2181" s="104">
        <f>TRUNC(H2179+H2175)</f>
        <v>126986</v>
      </c>
      <c r="I2181" s="102"/>
      <c r="J2181" s="104">
        <f>TRUNC(J2179+J2175)</f>
        <v>160223</v>
      </c>
    </row>
    <row r="2183" spans="2:10" ht="11.25" customHeight="1" x14ac:dyDescent="0.2">
      <c r="B2183" s="68" t="s">
        <v>1698</v>
      </c>
      <c r="C2183" s="119"/>
      <c r="J2183" s="49" t="s">
        <v>1307</v>
      </c>
    </row>
    <row r="2184" spans="2:10" ht="11.25" customHeight="1" x14ac:dyDescent="0.2">
      <c r="B2184" s="186" t="s">
        <v>427</v>
      </c>
      <c r="C2184" s="187" t="s">
        <v>428</v>
      </c>
      <c r="D2184" s="187" t="s">
        <v>429</v>
      </c>
      <c r="E2184" s="188" t="s">
        <v>430</v>
      </c>
      <c r="F2184" s="188" t="s">
        <v>431</v>
      </c>
      <c r="G2184" s="94" t="s">
        <v>1699</v>
      </c>
      <c r="H2184" s="151"/>
      <c r="I2184" s="94" t="s">
        <v>1700</v>
      </c>
      <c r="J2184" s="151"/>
    </row>
    <row r="2185" spans="2:10" ht="11.25" customHeight="1" x14ac:dyDescent="0.2">
      <c r="B2185" s="186"/>
      <c r="C2185" s="187"/>
      <c r="D2185" s="187"/>
      <c r="E2185" s="188"/>
      <c r="F2185" s="188"/>
      <c r="G2185" s="157" t="s">
        <v>436</v>
      </c>
      <c r="H2185" s="17" t="s">
        <v>437</v>
      </c>
      <c r="I2185" s="64" t="s">
        <v>436</v>
      </c>
      <c r="J2185" s="17" t="s">
        <v>437</v>
      </c>
    </row>
    <row r="2186" spans="2:10" ht="11.25" customHeight="1" x14ac:dyDescent="0.2">
      <c r="C2186" s="4" t="s">
        <v>426</v>
      </c>
      <c r="D2186" s="4"/>
      <c r="E2186" s="13" t="s">
        <v>494</v>
      </c>
      <c r="F2186" s="25">
        <v>1505.45</v>
      </c>
      <c r="G2186" s="26">
        <v>29.8</v>
      </c>
      <c r="H2186" s="20">
        <f>TRUNC(($F2186*G2186),1)</f>
        <v>44862.400000000001</v>
      </c>
      <c r="I2186" s="26">
        <v>37.5</v>
      </c>
      <c r="J2186" s="20">
        <f>TRUNC(($F2186*I2186),1)</f>
        <v>56454.3</v>
      </c>
    </row>
    <row r="2187" spans="2:10" ht="11.25" customHeight="1" x14ac:dyDescent="0.2">
      <c r="C2187" s="4" t="s">
        <v>878</v>
      </c>
      <c r="D2187" s="4" t="s">
        <v>203</v>
      </c>
      <c r="E2187" s="13" t="s">
        <v>232</v>
      </c>
      <c r="F2187" s="18"/>
      <c r="G2187" s="21">
        <v>15</v>
      </c>
      <c r="H2187" s="20">
        <f>TRUNC(H2186*G2187*0.01,1)</f>
        <v>6729.3</v>
      </c>
      <c r="I2187" s="21">
        <v>15</v>
      </c>
      <c r="J2187" s="20">
        <f>TRUNC(J2186*I2187*0.01,1)</f>
        <v>8468.1</v>
      </c>
    </row>
    <row r="2188" spans="2:10" ht="11.25" customHeight="1" x14ac:dyDescent="0.2">
      <c r="C2188" s="107" t="s">
        <v>799</v>
      </c>
      <c r="D2188" s="109"/>
      <c r="E2188" s="34"/>
      <c r="F2188" s="33"/>
      <c r="G2188" s="33"/>
      <c r="H2188" s="24">
        <f>TRUNC(SUM(H2186:H2187))</f>
        <v>51591</v>
      </c>
      <c r="I2188" s="33"/>
      <c r="J2188" s="24">
        <f>TRUNC(SUM(J2186:J2187))</f>
        <v>64922</v>
      </c>
    </row>
    <row r="2189" spans="2:10" ht="11.25" customHeight="1" x14ac:dyDescent="0.2">
      <c r="C2189" s="4"/>
      <c r="D2189" s="4"/>
      <c r="E2189" s="18"/>
      <c r="F2189" s="21"/>
      <c r="G2189" s="18"/>
      <c r="H2189" s="20"/>
      <c r="I2189" s="18"/>
      <c r="J2189" s="20"/>
    </row>
    <row r="2190" spans="2:10" ht="11.25" customHeight="1" x14ac:dyDescent="0.2">
      <c r="C2190" s="4" t="s">
        <v>738</v>
      </c>
      <c r="D2190" s="4" t="s">
        <v>866</v>
      </c>
      <c r="E2190" s="13" t="s">
        <v>497</v>
      </c>
      <c r="F2190" s="28">
        <v>283297</v>
      </c>
      <c r="G2190" s="18">
        <v>0.20799999999999999</v>
      </c>
      <c r="H2190" s="20">
        <f>TRUNC(($F2190*G2190),1)</f>
        <v>58925.7</v>
      </c>
      <c r="I2190" s="18">
        <v>0.20799999999999999</v>
      </c>
      <c r="J2190" s="20">
        <f>TRUNC(($F2190*I2190),1)</f>
        <v>58925.7</v>
      </c>
    </row>
    <row r="2191" spans="2:10" ht="11.25" customHeight="1" x14ac:dyDescent="0.2">
      <c r="C2191" s="107" t="s">
        <v>1285</v>
      </c>
      <c r="D2191" s="109"/>
      <c r="E2191" s="34"/>
      <c r="F2191" s="33"/>
      <c r="G2191" s="33"/>
      <c r="H2191" s="24">
        <f>TRUNC(SUM(H2190:H2190))</f>
        <v>58925</v>
      </c>
      <c r="I2191" s="33"/>
      <c r="J2191" s="24">
        <f>TRUNC(SUM(J2190:J2190))</f>
        <v>58925</v>
      </c>
    </row>
    <row r="2192" spans="2:10" ht="11.25" customHeight="1" x14ac:dyDescent="0.2">
      <c r="C2192" s="4"/>
      <c r="D2192" s="4"/>
      <c r="E2192" s="18"/>
      <c r="F2192" s="21"/>
      <c r="G2192" s="18"/>
      <c r="H2192" s="20"/>
      <c r="I2192" s="18"/>
      <c r="J2192" s="20"/>
    </row>
    <row r="2193" spans="1:10" ht="11.25" customHeight="1" x14ac:dyDescent="0.2">
      <c r="B2193" s="9" t="s">
        <v>742</v>
      </c>
      <c r="C2193" s="155" t="s">
        <v>1219</v>
      </c>
      <c r="D2193" s="155" t="s">
        <v>1699</v>
      </c>
      <c r="E2193" s="13" t="s">
        <v>746</v>
      </c>
      <c r="F2193" s="66">
        <v>499891000</v>
      </c>
      <c r="G2193" s="19">
        <v>2085</v>
      </c>
      <c r="H2193" s="20">
        <f>TRUNC($F2193*G2193*0.0000001,1)</f>
        <v>104227.2</v>
      </c>
      <c r="I2193" s="21">
        <v>0</v>
      </c>
      <c r="J2193" s="20">
        <f>TRUNC($F2193*I2193*0.0000001,1)</f>
        <v>0</v>
      </c>
    </row>
    <row r="2194" spans="1:10" ht="11.25" customHeight="1" x14ac:dyDescent="0.2">
      <c r="B2194" s="9" t="s">
        <v>743</v>
      </c>
      <c r="C2194" s="4" t="s">
        <v>1219</v>
      </c>
      <c r="D2194" s="106" t="s">
        <v>1700</v>
      </c>
      <c r="E2194" s="13" t="s">
        <v>746</v>
      </c>
      <c r="F2194" s="66">
        <v>599869000</v>
      </c>
      <c r="G2194" s="21">
        <v>0</v>
      </c>
      <c r="H2194" s="20">
        <f>TRUNC($F2194*G2194*0.0000001,1)</f>
        <v>0</v>
      </c>
      <c r="I2194" s="19">
        <v>2085</v>
      </c>
      <c r="J2194" s="20">
        <f>TRUNC($F2194*I2194*0.0000001,1)</f>
        <v>125072.6</v>
      </c>
    </row>
    <row r="2195" spans="1:10" ht="11.25" customHeight="1" x14ac:dyDescent="0.2">
      <c r="C2195" s="107" t="s">
        <v>1289</v>
      </c>
      <c r="D2195" s="109"/>
      <c r="E2195" s="34"/>
      <c r="F2195" s="33"/>
      <c r="G2195" s="33"/>
      <c r="H2195" s="24">
        <f>TRUNC(SUM(H2193:H2194))</f>
        <v>104227</v>
      </c>
      <c r="I2195" s="33"/>
      <c r="J2195" s="24">
        <f>TRUNC(SUM(J2193:J2194))</f>
        <v>125072</v>
      </c>
    </row>
    <row r="2196" spans="1:10" ht="11.25" customHeight="1" x14ac:dyDescent="0.2">
      <c r="C2196" s="4"/>
      <c r="D2196" s="4"/>
      <c r="E2196" s="18"/>
      <c r="F2196" s="21"/>
      <c r="G2196" s="18"/>
      <c r="H2196" s="20"/>
      <c r="I2196" s="18"/>
      <c r="J2196" s="20"/>
    </row>
    <row r="2197" spans="1:10" ht="11.25" customHeight="1" x14ac:dyDescent="0.2">
      <c r="A2197" s="7"/>
      <c r="B2197" s="16"/>
      <c r="C2197" s="108" t="s">
        <v>1286</v>
      </c>
      <c r="D2197" s="108"/>
      <c r="E2197" s="103"/>
      <c r="F2197" s="102"/>
      <c r="G2197" s="102"/>
      <c r="H2197" s="104">
        <f>TRUNC(H2195+H2188+H2191)</f>
        <v>214743</v>
      </c>
      <c r="I2197" s="102"/>
      <c r="J2197" s="104">
        <f>TRUNC(J2195+J2188+J2191)</f>
        <v>248919</v>
      </c>
    </row>
    <row r="2198" spans="1:10" ht="11.25" customHeight="1" x14ac:dyDescent="0.2">
      <c r="C2198" s="112"/>
      <c r="D2198" s="116"/>
      <c r="E2198" s="71"/>
      <c r="F2198" s="70"/>
      <c r="G2198" s="70"/>
      <c r="H2198" s="36"/>
      <c r="I2198" s="70"/>
      <c r="J2198" s="36"/>
    </row>
    <row r="2199" spans="1:10" ht="11.25" customHeight="1" x14ac:dyDescent="0.2">
      <c r="B2199" s="68" t="s">
        <v>1701</v>
      </c>
      <c r="C2199" s="119"/>
      <c r="H2199" s="49" t="s">
        <v>1307</v>
      </c>
    </row>
    <row r="2200" spans="1:10" ht="11.25" customHeight="1" x14ac:dyDescent="0.2">
      <c r="B2200" s="186" t="s">
        <v>427</v>
      </c>
      <c r="C2200" s="187" t="s">
        <v>428</v>
      </c>
      <c r="D2200" s="187" t="s">
        <v>429</v>
      </c>
      <c r="E2200" s="188" t="s">
        <v>430</v>
      </c>
      <c r="F2200" s="188" t="s">
        <v>431</v>
      </c>
      <c r="G2200" s="94" t="s">
        <v>68</v>
      </c>
      <c r="H2200" s="151"/>
    </row>
    <row r="2201" spans="1:10" ht="11.25" customHeight="1" x14ac:dyDescent="0.2">
      <c r="B2201" s="186"/>
      <c r="C2201" s="187"/>
      <c r="D2201" s="187"/>
      <c r="E2201" s="188"/>
      <c r="F2201" s="188"/>
      <c r="G2201" s="17" t="s">
        <v>436</v>
      </c>
      <c r="H2201" s="17" t="s">
        <v>437</v>
      </c>
    </row>
    <row r="2202" spans="1:10" ht="11.25" customHeight="1" x14ac:dyDescent="0.2">
      <c r="C2202" s="4" t="s">
        <v>426</v>
      </c>
      <c r="D2202" s="4"/>
      <c r="E2202" s="13" t="s">
        <v>494</v>
      </c>
      <c r="F2202" s="25">
        <v>1505.45</v>
      </c>
      <c r="G2202" s="26">
        <v>16.3</v>
      </c>
      <c r="H2202" s="20">
        <f>TRUNC(($F2202*G2202),1)</f>
        <v>24538.799999999999</v>
      </c>
    </row>
    <row r="2203" spans="1:10" ht="11.25" customHeight="1" x14ac:dyDescent="0.2">
      <c r="C2203" s="4" t="s">
        <v>878</v>
      </c>
      <c r="D2203" s="4" t="s">
        <v>203</v>
      </c>
      <c r="E2203" s="13" t="s">
        <v>232</v>
      </c>
      <c r="F2203" s="18"/>
      <c r="G2203" s="21">
        <v>16</v>
      </c>
      <c r="H2203" s="20">
        <f>TRUNC(H2202*G2203*0.01,1)</f>
        <v>3926.2</v>
      </c>
    </row>
    <row r="2204" spans="1:10" ht="11.25" customHeight="1" x14ac:dyDescent="0.2">
      <c r="C2204" s="107" t="s">
        <v>799</v>
      </c>
      <c r="D2204" s="109"/>
      <c r="E2204" s="34"/>
      <c r="F2204" s="33"/>
      <c r="G2204" s="33"/>
      <c r="H2204" s="24">
        <f>TRUNC(SUM(H2202:H2203))</f>
        <v>28465</v>
      </c>
    </row>
    <row r="2205" spans="1:10" ht="11.25" customHeight="1" x14ac:dyDescent="0.2">
      <c r="C2205" s="107"/>
      <c r="D2205" s="109"/>
      <c r="E2205" s="34"/>
      <c r="F2205" s="33"/>
      <c r="G2205" s="33"/>
      <c r="H2205" s="24"/>
    </row>
    <row r="2206" spans="1:10" ht="11.25" customHeight="1" x14ac:dyDescent="0.2">
      <c r="C2206" s="4" t="s">
        <v>798</v>
      </c>
      <c r="D2206" s="4" t="s">
        <v>866</v>
      </c>
      <c r="E2206" s="13" t="s">
        <v>497</v>
      </c>
      <c r="F2206" s="28">
        <v>283297</v>
      </c>
      <c r="G2206" s="18">
        <v>0.20799999999999999</v>
      </c>
      <c r="H2206" s="20">
        <f>TRUNC(($F2206*G2206),1)</f>
        <v>58925.7</v>
      </c>
    </row>
    <row r="2207" spans="1:10" ht="11.25" customHeight="1" x14ac:dyDescent="0.2">
      <c r="C2207" s="107" t="s">
        <v>1285</v>
      </c>
      <c r="D2207" s="109"/>
      <c r="E2207" s="34"/>
      <c r="F2207" s="33"/>
      <c r="G2207" s="33"/>
      <c r="H2207" s="24">
        <f>TRUNC(SUM(H2206:H2206))</f>
        <v>58925</v>
      </c>
    </row>
    <row r="2208" spans="1:10" ht="11.25" customHeight="1" x14ac:dyDescent="0.2">
      <c r="C2208" s="107"/>
      <c r="D2208" s="109"/>
      <c r="E2208" s="34"/>
      <c r="F2208" s="33"/>
      <c r="G2208" s="33"/>
      <c r="H2208" s="24"/>
    </row>
    <row r="2209" spans="2:12" ht="11.25" customHeight="1" x14ac:dyDescent="0.2">
      <c r="B2209" s="8" t="s">
        <v>1183</v>
      </c>
      <c r="C2209" s="4" t="s">
        <v>1182</v>
      </c>
      <c r="D2209" s="106" t="s">
        <v>821</v>
      </c>
      <c r="E2209" s="13" t="s">
        <v>746</v>
      </c>
      <c r="F2209" s="66">
        <v>256827000</v>
      </c>
      <c r="G2209" s="19">
        <v>1615</v>
      </c>
      <c r="H2209" s="20">
        <f>TRUNC($F2209*G2209*0.0000001,1)</f>
        <v>41477.5</v>
      </c>
    </row>
    <row r="2210" spans="2:12" ht="11.25" customHeight="1" x14ac:dyDescent="0.2">
      <c r="C2210" s="107" t="s">
        <v>1289</v>
      </c>
      <c r="D2210" s="109"/>
      <c r="E2210" s="34"/>
      <c r="F2210" s="33"/>
      <c r="G2210" s="33"/>
      <c r="H2210" s="24">
        <f>TRUNC(SUM(H2209:H2209))</f>
        <v>41477</v>
      </c>
    </row>
    <row r="2211" spans="2:12" ht="11.25" customHeight="1" x14ac:dyDescent="0.2">
      <c r="C2211" s="107"/>
      <c r="D2211" s="109"/>
      <c r="E2211" s="34"/>
      <c r="F2211" s="33"/>
      <c r="G2211" s="33"/>
      <c r="H2211" s="24"/>
    </row>
    <row r="2212" spans="2:12" ht="11.25" customHeight="1" x14ac:dyDescent="0.2">
      <c r="B2212" s="16"/>
      <c r="C2212" s="108" t="s">
        <v>1286</v>
      </c>
      <c r="D2212" s="108"/>
      <c r="E2212" s="103"/>
      <c r="F2212" s="102"/>
      <c r="G2212" s="102"/>
      <c r="H2212" s="104">
        <f>TRUNC(H2210+H2204+H2207)</f>
        <v>128867</v>
      </c>
      <c r="I2212" s="123"/>
    </row>
    <row r="2214" spans="2:12" ht="11.25" customHeight="1" x14ac:dyDescent="0.2">
      <c r="B2214" s="68" t="s">
        <v>1702</v>
      </c>
      <c r="C2214" s="119"/>
      <c r="L2214" s="49" t="s">
        <v>1307</v>
      </c>
    </row>
    <row r="2215" spans="2:12" ht="11.25" customHeight="1" x14ac:dyDescent="0.2">
      <c r="B2215" s="186" t="s">
        <v>427</v>
      </c>
      <c r="C2215" s="187" t="s">
        <v>428</v>
      </c>
      <c r="D2215" s="187" t="s">
        <v>429</v>
      </c>
      <c r="E2215" s="188" t="s">
        <v>430</v>
      </c>
      <c r="F2215" s="188" t="s">
        <v>431</v>
      </c>
      <c r="G2215" s="94" t="s">
        <v>70</v>
      </c>
      <c r="H2215" s="151"/>
      <c r="I2215" s="94" t="s">
        <v>78</v>
      </c>
      <c r="J2215" s="151"/>
      <c r="K2215" s="94" t="s">
        <v>74</v>
      </c>
      <c r="L2215" s="151"/>
    </row>
    <row r="2216" spans="2:12" ht="11.25" customHeight="1" x14ac:dyDescent="0.2">
      <c r="B2216" s="186"/>
      <c r="C2216" s="187"/>
      <c r="D2216" s="187"/>
      <c r="E2216" s="188"/>
      <c r="F2216" s="188"/>
      <c r="G2216" s="17" t="s">
        <v>436</v>
      </c>
      <c r="H2216" s="17" t="s">
        <v>437</v>
      </c>
      <c r="I2216" s="17" t="s">
        <v>436</v>
      </c>
      <c r="J2216" s="17" t="s">
        <v>437</v>
      </c>
      <c r="K2216" s="17" t="s">
        <v>436</v>
      </c>
      <c r="L2216" s="17" t="s">
        <v>437</v>
      </c>
    </row>
    <row r="2217" spans="2:12" ht="11.25" customHeight="1" x14ac:dyDescent="0.2">
      <c r="C2217" s="4" t="s">
        <v>426</v>
      </c>
      <c r="D2217" s="4"/>
      <c r="E2217" s="13" t="s">
        <v>494</v>
      </c>
      <c r="F2217" s="25">
        <v>1505.45</v>
      </c>
      <c r="G2217" s="84">
        <v>9.02</v>
      </c>
      <c r="H2217" s="20">
        <f>TRUNC(($F2217*G2217),1)</f>
        <v>13579.1</v>
      </c>
      <c r="I2217" s="84">
        <v>13.3</v>
      </c>
      <c r="J2217" s="20">
        <f>TRUNC(($F2217*I2217),1)</f>
        <v>20022.400000000001</v>
      </c>
      <c r="K2217" s="84">
        <v>18.690000000000001</v>
      </c>
      <c r="L2217" s="20">
        <f>TRUNC(($F2217*K2217),1)</f>
        <v>28136.799999999999</v>
      </c>
    </row>
    <row r="2218" spans="2:12" ht="11.25" customHeight="1" x14ac:dyDescent="0.2">
      <c r="C2218" s="4" t="s">
        <v>878</v>
      </c>
      <c r="D2218" s="4" t="s">
        <v>203</v>
      </c>
      <c r="E2218" s="13" t="s">
        <v>232</v>
      </c>
      <c r="F2218" s="18"/>
      <c r="G2218" s="21">
        <v>20</v>
      </c>
      <c r="H2218" s="20">
        <f>TRUNC(H2217*G2218*0.01,1)</f>
        <v>2715.8</v>
      </c>
      <c r="I2218" s="21">
        <v>20</v>
      </c>
      <c r="J2218" s="20">
        <f>TRUNC(J2217*I2218*0.01,1)</f>
        <v>4004.4</v>
      </c>
      <c r="K2218" s="21">
        <v>20</v>
      </c>
      <c r="L2218" s="20">
        <f>TRUNC(L2217*K2218*0.01,1)</f>
        <v>5627.3</v>
      </c>
    </row>
    <row r="2219" spans="2:12" ht="11.25" customHeight="1" x14ac:dyDescent="0.2">
      <c r="C2219" s="107" t="s">
        <v>799</v>
      </c>
      <c r="D2219" s="109"/>
      <c r="E2219" s="34"/>
      <c r="F2219" s="33"/>
      <c r="G2219" s="33"/>
      <c r="H2219" s="24">
        <f>TRUNC(SUM(H2217:H2218))</f>
        <v>16294</v>
      </c>
      <c r="I2219" s="33"/>
      <c r="J2219" s="24">
        <f>TRUNC(SUM(J2217:J2218))</f>
        <v>24026</v>
      </c>
      <c r="K2219" s="33"/>
      <c r="L2219" s="24">
        <f>TRUNC(SUM(L2217:L2218))</f>
        <v>33764</v>
      </c>
    </row>
    <row r="2220" spans="2:12" ht="11.25" customHeight="1" x14ac:dyDescent="0.2">
      <c r="C2220" s="4"/>
      <c r="D2220" s="4"/>
      <c r="E2220" s="18"/>
      <c r="F2220" s="21"/>
      <c r="G2220" s="18"/>
      <c r="H2220" s="20"/>
      <c r="I2220" s="18"/>
      <c r="J2220" s="20"/>
      <c r="K2220" s="18"/>
      <c r="L2220" s="20"/>
    </row>
    <row r="2221" spans="2:12" ht="11.25" customHeight="1" x14ac:dyDescent="0.2">
      <c r="C2221" s="4" t="s">
        <v>798</v>
      </c>
      <c r="D2221" s="4" t="s">
        <v>866</v>
      </c>
      <c r="E2221" s="13" t="s">
        <v>497</v>
      </c>
      <c r="F2221" s="28">
        <v>283297</v>
      </c>
      <c r="G2221" s="18">
        <v>0.20799999999999999</v>
      </c>
      <c r="H2221" s="20">
        <f>TRUNC(($F2221*G2221),1)</f>
        <v>58925.7</v>
      </c>
      <c r="I2221" s="18">
        <v>0.20799999999999999</v>
      </c>
      <c r="J2221" s="20">
        <f>TRUNC(($F2221*I2221),1)</f>
        <v>58925.7</v>
      </c>
      <c r="K2221" s="18">
        <v>0.20799999999999999</v>
      </c>
      <c r="L2221" s="20">
        <f>TRUNC(($F2221*K2221),1)</f>
        <v>58925.7</v>
      </c>
    </row>
    <row r="2222" spans="2:12" ht="11.25" customHeight="1" x14ac:dyDescent="0.2">
      <c r="C2222" s="107" t="s">
        <v>1285</v>
      </c>
      <c r="D2222" s="109"/>
      <c r="E2222" s="34"/>
      <c r="F2222" s="33"/>
      <c r="G2222" s="33"/>
      <c r="H2222" s="24">
        <f>TRUNC(SUM(H2221:H2221))</f>
        <v>58925</v>
      </c>
      <c r="I2222" s="33"/>
      <c r="J2222" s="24">
        <f>TRUNC(SUM(J2221:J2221))</f>
        <v>58925</v>
      </c>
      <c r="K2222" s="33"/>
      <c r="L2222" s="24">
        <f>TRUNC(SUM(L2221:L2221))</f>
        <v>58925</v>
      </c>
    </row>
    <row r="2223" spans="2:12" ht="11.25" customHeight="1" x14ac:dyDescent="0.2">
      <c r="C2223" s="4"/>
      <c r="D2223" s="4"/>
      <c r="E2223" s="18"/>
      <c r="F2223" s="21"/>
      <c r="G2223" s="18"/>
      <c r="H2223" s="20"/>
      <c r="I2223" s="18"/>
      <c r="J2223" s="20"/>
      <c r="K2223" s="18"/>
      <c r="L2223" s="20"/>
    </row>
    <row r="2224" spans="2:12" ht="11.25" customHeight="1" x14ac:dyDescent="0.2">
      <c r="B2224" s="8" t="s">
        <v>1184</v>
      </c>
      <c r="C2224" s="4" t="s">
        <v>1704</v>
      </c>
      <c r="D2224" s="106" t="s">
        <v>796</v>
      </c>
      <c r="E2224" s="13" t="s">
        <v>746</v>
      </c>
      <c r="F2224" s="66">
        <v>128405000</v>
      </c>
      <c r="G2224" s="19">
        <v>1615</v>
      </c>
      <c r="H2224" s="20">
        <f>TRUNC($F2224*G2224*0.0000001,1)</f>
        <v>20737.400000000001</v>
      </c>
      <c r="I2224" s="21">
        <v>0</v>
      </c>
      <c r="J2224" s="20">
        <f>TRUNC($F2224*I2224*0.0000001,1)</f>
        <v>0</v>
      </c>
      <c r="K2224" s="21">
        <v>0</v>
      </c>
      <c r="L2224" s="20">
        <f>TRUNC($F2224*K2224*0.0000001,1)</f>
        <v>0</v>
      </c>
    </row>
    <row r="2225" spans="2:12" ht="11.25" customHeight="1" x14ac:dyDescent="0.2">
      <c r="B2225" s="8" t="s">
        <v>1171</v>
      </c>
      <c r="C2225" s="4" t="s">
        <v>1704</v>
      </c>
      <c r="D2225" s="106" t="s">
        <v>78</v>
      </c>
      <c r="E2225" s="13" t="s">
        <v>746</v>
      </c>
      <c r="F2225" s="66">
        <v>293608000</v>
      </c>
      <c r="G2225" s="21">
        <v>0</v>
      </c>
      <c r="H2225" s="20">
        <f>TRUNC($F2225*G2225*0.0000001,1)</f>
        <v>0</v>
      </c>
      <c r="I2225" s="19">
        <v>1615</v>
      </c>
      <c r="J2225" s="20">
        <f>TRUNC($F2225*I2225*0.0000001,1)</f>
        <v>47417.599999999999</v>
      </c>
      <c r="K2225" s="21">
        <v>0</v>
      </c>
      <c r="L2225" s="20">
        <f>TRUNC($F2225*K2225*0.0000001,1)</f>
        <v>0</v>
      </c>
    </row>
    <row r="2226" spans="2:12" ht="11.25" customHeight="1" x14ac:dyDescent="0.2">
      <c r="B2226" s="8" t="s">
        <v>1172</v>
      </c>
      <c r="C2226" s="4" t="s">
        <v>1704</v>
      </c>
      <c r="D2226" s="106" t="s">
        <v>182</v>
      </c>
      <c r="E2226" s="13" t="s">
        <v>746</v>
      </c>
      <c r="F2226" s="66">
        <v>354745000</v>
      </c>
      <c r="G2226" s="21">
        <v>0</v>
      </c>
      <c r="H2226" s="20">
        <f>TRUNC($F2226*G2226*0.0000001,1)</f>
        <v>0</v>
      </c>
      <c r="I2226" s="21">
        <v>0</v>
      </c>
      <c r="J2226" s="20">
        <f>TRUNC($F2226*I2226*0.0000001,1)</f>
        <v>0</v>
      </c>
      <c r="K2226" s="19">
        <v>1615</v>
      </c>
      <c r="L2226" s="20">
        <f>TRUNC($F2226*K2226*0.0000001,1)</f>
        <v>57291.3</v>
      </c>
    </row>
    <row r="2227" spans="2:12" ht="11.25" customHeight="1" x14ac:dyDescent="0.2">
      <c r="C2227" s="107" t="s">
        <v>1289</v>
      </c>
      <c r="D2227" s="109"/>
      <c r="E2227" s="34"/>
      <c r="F2227" s="33"/>
      <c r="G2227" s="33"/>
      <c r="H2227" s="24">
        <f>TRUNC(SUM(H2224:H2226))</f>
        <v>20737</v>
      </c>
      <c r="I2227" s="33"/>
      <c r="J2227" s="24">
        <f>TRUNC(SUM(J2224:J2226))</f>
        <v>47417</v>
      </c>
      <c r="K2227" s="33"/>
      <c r="L2227" s="24">
        <f>TRUNC(SUM(L2224:L2226))</f>
        <v>57291</v>
      </c>
    </row>
    <row r="2228" spans="2:12" ht="11.25" customHeight="1" x14ac:dyDescent="0.2">
      <c r="C2228" s="4"/>
      <c r="D2228" s="4"/>
      <c r="E2228" s="18"/>
      <c r="F2228" s="21"/>
      <c r="G2228" s="18"/>
      <c r="H2228" s="20"/>
      <c r="I2228" s="18"/>
      <c r="J2228" s="20"/>
      <c r="K2228" s="18"/>
      <c r="L2228" s="20"/>
    </row>
    <row r="2229" spans="2:12" ht="11.25" customHeight="1" x14ac:dyDescent="0.2">
      <c r="C2229" s="126" t="s">
        <v>1286</v>
      </c>
      <c r="D2229" s="126"/>
      <c r="E2229" s="127"/>
      <c r="F2229" s="125"/>
      <c r="G2229" s="125"/>
      <c r="H2229" s="128">
        <f>TRUNC(H2227+H2219+H2222)</f>
        <v>95956</v>
      </c>
      <c r="I2229" s="125"/>
      <c r="J2229" s="128">
        <f>TRUNC(J2227+J2219+J2222)</f>
        <v>130368</v>
      </c>
      <c r="K2229" s="125"/>
      <c r="L2229" s="128">
        <f>TRUNC(L2227+L2219+L2222)</f>
        <v>149980</v>
      </c>
    </row>
    <row r="2230" spans="2:12" ht="11.25" customHeight="1" x14ac:dyDescent="0.2">
      <c r="B2230" s="186" t="s">
        <v>427</v>
      </c>
      <c r="C2230" s="187" t="s">
        <v>428</v>
      </c>
      <c r="D2230" s="187" t="s">
        <v>429</v>
      </c>
      <c r="E2230" s="188" t="s">
        <v>430</v>
      </c>
      <c r="F2230" s="188" t="s">
        <v>431</v>
      </c>
      <c r="G2230" s="94" t="s">
        <v>48</v>
      </c>
      <c r="H2230" s="151"/>
      <c r="I2230" s="94" t="s">
        <v>1176</v>
      </c>
      <c r="J2230" s="151"/>
      <c r="K2230" s="94" t="s">
        <v>727</v>
      </c>
      <c r="L2230" s="151"/>
    </row>
    <row r="2231" spans="2:12" ht="11.25" customHeight="1" x14ac:dyDescent="0.2">
      <c r="B2231" s="186"/>
      <c r="C2231" s="187"/>
      <c r="D2231" s="187"/>
      <c r="E2231" s="188"/>
      <c r="F2231" s="188"/>
      <c r="G2231" s="17" t="s">
        <v>436</v>
      </c>
      <c r="H2231" s="17" t="s">
        <v>437</v>
      </c>
      <c r="I2231" s="17" t="s">
        <v>436</v>
      </c>
      <c r="J2231" s="17" t="s">
        <v>437</v>
      </c>
      <c r="K2231" s="17" t="s">
        <v>436</v>
      </c>
      <c r="L2231" s="17" t="s">
        <v>437</v>
      </c>
    </row>
    <row r="2232" spans="2:12" ht="11.25" customHeight="1" x14ac:dyDescent="0.2">
      <c r="C2232" s="4" t="s">
        <v>426</v>
      </c>
      <c r="D2232" s="4"/>
      <c r="E2232" s="13" t="s">
        <v>494</v>
      </c>
      <c r="F2232" s="25">
        <v>1505.45</v>
      </c>
      <c r="G2232" s="84">
        <v>20.61</v>
      </c>
      <c r="H2232" s="20">
        <f>TRUNC(($F2232*G2232),1)</f>
        <v>31027.3</v>
      </c>
      <c r="I2232" s="84">
        <v>21.85</v>
      </c>
      <c r="J2232" s="20">
        <f>TRUNC(($F2232*I2232),1)</f>
        <v>32894</v>
      </c>
      <c r="K2232" s="84">
        <v>23.65</v>
      </c>
      <c r="L2232" s="20">
        <f>TRUNC(($F2232*K2232),1)</f>
        <v>35603.800000000003</v>
      </c>
    </row>
    <row r="2233" spans="2:12" ht="11.25" customHeight="1" x14ac:dyDescent="0.2">
      <c r="C2233" s="4" t="s">
        <v>878</v>
      </c>
      <c r="D2233" s="4" t="s">
        <v>203</v>
      </c>
      <c r="E2233" s="13" t="s">
        <v>232</v>
      </c>
      <c r="F2233" s="18"/>
      <c r="G2233" s="21">
        <v>20</v>
      </c>
      <c r="H2233" s="20">
        <f>TRUNC(H2232*G2233*0.01,1)</f>
        <v>6205.4</v>
      </c>
      <c r="I2233" s="21">
        <v>20</v>
      </c>
      <c r="J2233" s="20">
        <f>TRUNC(J2232*I2233*0.01,1)</f>
        <v>6578.8</v>
      </c>
      <c r="K2233" s="21">
        <v>20</v>
      </c>
      <c r="L2233" s="20">
        <f>TRUNC(L2232*K2233*0.01,1)</f>
        <v>7120.7</v>
      </c>
    </row>
    <row r="2234" spans="2:12" ht="11.25" customHeight="1" x14ac:dyDescent="0.2">
      <c r="C2234" s="107" t="s">
        <v>799</v>
      </c>
      <c r="D2234" s="109"/>
      <c r="E2234" s="34"/>
      <c r="F2234" s="33"/>
      <c r="G2234" s="33"/>
      <c r="H2234" s="24">
        <f>TRUNC(SUM(H2232:H2233))</f>
        <v>37232</v>
      </c>
      <c r="I2234" s="33"/>
      <c r="J2234" s="24">
        <f>TRUNC(SUM(J2232:J2233))</f>
        <v>39472</v>
      </c>
      <c r="K2234" s="33"/>
      <c r="L2234" s="24">
        <f>TRUNC(SUM(L2232:L2233))</f>
        <v>42724</v>
      </c>
    </row>
    <row r="2235" spans="2:12" ht="11.25" customHeight="1" x14ac:dyDescent="0.2">
      <c r="C2235" s="4"/>
      <c r="D2235" s="4"/>
      <c r="E2235" s="18"/>
      <c r="F2235" s="21"/>
      <c r="G2235" s="18"/>
      <c r="H2235" s="20"/>
      <c r="I2235" s="18"/>
      <c r="J2235" s="20"/>
      <c r="K2235" s="18"/>
      <c r="L2235" s="20"/>
    </row>
    <row r="2236" spans="2:12" ht="11.25" customHeight="1" x14ac:dyDescent="0.2">
      <c r="C2236" s="4" t="s">
        <v>798</v>
      </c>
      <c r="D2236" s="4" t="s">
        <v>866</v>
      </c>
      <c r="E2236" s="13" t="s">
        <v>497</v>
      </c>
      <c r="F2236" s="28">
        <v>283297</v>
      </c>
      <c r="G2236" s="18">
        <v>0.20799999999999999</v>
      </c>
      <c r="H2236" s="20">
        <f>TRUNC(($F2236*G2236),1)</f>
        <v>58925.7</v>
      </c>
      <c r="I2236" s="18">
        <v>0.20799999999999999</v>
      </c>
      <c r="J2236" s="20">
        <f>TRUNC(($F2236*I2236),1)</f>
        <v>58925.7</v>
      </c>
      <c r="K2236" s="18">
        <v>0.20799999999999999</v>
      </c>
      <c r="L2236" s="20">
        <f>TRUNC(($F2236*K2236),1)</f>
        <v>58925.7</v>
      </c>
    </row>
    <row r="2237" spans="2:12" ht="11.25" customHeight="1" x14ac:dyDescent="0.2">
      <c r="C2237" s="107" t="s">
        <v>1285</v>
      </c>
      <c r="D2237" s="109"/>
      <c r="E2237" s="34"/>
      <c r="F2237" s="33"/>
      <c r="G2237" s="33"/>
      <c r="H2237" s="24">
        <f>TRUNC(SUM(H2236:H2236))</f>
        <v>58925</v>
      </c>
      <c r="I2237" s="33"/>
      <c r="J2237" s="24">
        <f>TRUNC(SUM(J2236:J2236))</f>
        <v>58925</v>
      </c>
      <c r="K2237" s="33"/>
      <c r="L2237" s="24">
        <f>TRUNC(SUM(L2236:L2236))</f>
        <v>58925</v>
      </c>
    </row>
    <row r="2238" spans="2:12" ht="11.25" customHeight="1" x14ac:dyDescent="0.2">
      <c r="C2238" s="4"/>
      <c r="D2238" s="4"/>
      <c r="E2238" s="18"/>
      <c r="F2238" s="21"/>
      <c r="G2238" s="18"/>
      <c r="H2238" s="20"/>
      <c r="I2238" s="18"/>
      <c r="J2238" s="20"/>
      <c r="K2238" s="18"/>
      <c r="L2238" s="20"/>
    </row>
    <row r="2239" spans="2:12" ht="11.25" customHeight="1" x14ac:dyDescent="0.2">
      <c r="B2239" s="8" t="s">
        <v>1173</v>
      </c>
      <c r="C2239" s="4" t="s">
        <v>1704</v>
      </c>
      <c r="D2239" s="106" t="s">
        <v>655</v>
      </c>
      <c r="E2239" s="13" t="s">
        <v>746</v>
      </c>
      <c r="F2239" s="66">
        <v>520513000</v>
      </c>
      <c r="G2239" s="19">
        <v>1615</v>
      </c>
      <c r="H2239" s="20">
        <f>TRUNC($F2239*G2239*0.0000001,1)</f>
        <v>84062.8</v>
      </c>
      <c r="I2239" s="21">
        <v>0</v>
      </c>
      <c r="J2239" s="20">
        <f>TRUNC($F2239*I2239*0.0000001,1)</f>
        <v>0</v>
      </c>
      <c r="K2239" s="21">
        <v>0</v>
      </c>
      <c r="L2239" s="20">
        <f>TRUNC($F2239*K2239*0.0000001,1)</f>
        <v>0</v>
      </c>
    </row>
    <row r="2240" spans="2:12" ht="11.25" customHeight="1" x14ac:dyDescent="0.2">
      <c r="B2240" s="8" t="s">
        <v>1174</v>
      </c>
      <c r="C2240" s="4" t="s">
        <v>1704</v>
      </c>
      <c r="D2240" s="106" t="s">
        <v>1703</v>
      </c>
      <c r="E2240" s="13" t="s">
        <v>746</v>
      </c>
      <c r="F2240" s="66">
        <v>1069779000</v>
      </c>
      <c r="G2240" s="21">
        <v>0</v>
      </c>
      <c r="H2240" s="20">
        <f>TRUNC($F2240*G2240*0.0000001,1)</f>
        <v>0</v>
      </c>
      <c r="I2240" s="19">
        <v>1615</v>
      </c>
      <c r="J2240" s="20">
        <f>TRUNC($F2240*I2240*0.0000001,1)</f>
        <v>172769.3</v>
      </c>
      <c r="K2240" s="21">
        <v>0</v>
      </c>
      <c r="L2240" s="20">
        <f>TRUNC($F2240*K2240*0.0000001,1)</f>
        <v>0</v>
      </c>
    </row>
    <row r="2241" spans="1:12" ht="11.25" customHeight="1" x14ac:dyDescent="0.2">
      <c r="B2241" s="8" t="s">
        <v>1175</v>
      </c>
      <c r="C2241" s="4" t="s">
        <v>1704</v>
      </c>
      <c r="D2241" s="106" t="s">
        <v>1356</v>
      </c>
      <c r="E2241" s="13" t="s">
        <v>746</v>
      </c>
      <c r="F2241" s="66">
        <v>1956651000</v>
      </c>
      <c r="G2241" s="21">
        <v>0</v>
      </c>
      <c r="H2241" s="20">
        <f>TRUNC($F2241*G2241*0.0000001,1)</f>
        <v>0</v>
      </c>
      <c r="I2241" s="21">
        <v>0</v>
      </c>
      <c r="J2241" s="20">
        <f>TRUNC($F2241*I2241*0.0000001,1)</f>
        <v>0</v>
      </c>
      <c r="K2241" s="19">
        <v>1615</v>
      </c>
      <c r="L2241" s="20">
        <f>TRUNC($F2241*K2241*0.0000001,1)</f>
        <v>315999.09999999998</v>
      </c>
    </row>
    <row r="2242" spans="1:12" ht="11.25" customHeight="1" x14ac:dyDescent="0.2">
      <c r="C2242" s="107" t="s">
        <v>1289</v>
      </c>
      <c r="D2242" s="109"/>
      <c r="E2242" s="34"/>
      <c r="F2242" s="33"/>
      <c r="G2242" s="33"/>
      <c r="H2242" s="24">
        <f>TRUNC(SUM(H2239:H2241))</f>
        <v>84062</v>
      </c>
      <c r="I2242" s="33"/>
      <c r="J2242" s="24">
        <f>TRUNC(SUM(J2239:J2241))</f>
        <v>172769</v>
      </c>
      <c r="K2242" s="33"/>
      <c r="L2242" s="24">
        <f>TRUNC(SUM(L2239:L2241))</f>
        <v>315999</v>
      </c>
    </row>
    <row r="2243" spans="1:12" ht="11.25" customHeight="1" x14ac:dyDescent="0.2">
      <c r="C2243" s="4"/>
      <c r="D2243" s="4"/>
      <c r="E2243" s="18"/>
      <c r="F2243" s="21"/>
      <c r="G2243" s="18"/>
      <c r="H2243" s="20"/>
      <c r="I2243" s="18"/>
      <c r="J2243" s="20"/>
      <c r="K2243" s="18"/>
      <c r="L2243" s="20"/>
    </row>
    <row r="2244" spans="1:12" ht="11.25" customHeight="1" x14ac:dyDescent="0.2">
      <c r="B2244" s="16"/>
      <c r="C2244" s="108" t="s">
        <v>1286</v>
      </c>
      <c r="D2244" s="108"/>
      <c r="E2244" s="103"/>
      <c r="F2244" s="102"/>
      <c r="G2244" s="102"/>
      <c r="H2244" s="104">
        <f>TRUNC(H2242+H2234+H2237)</f>
        <v>180219</v>
      </c>
      <c r="I2244" s="102"/>
      <c r="J2244" s="104">
        <f>TRUNC(J2242+J2234+J2237)</f>
        <v>271166</v>
      </c>
      <c r="K2244" s="102"/>
      <c r="L2244" s="104">
        <f>TRUNC(L2242+L2234+L2237)</f>
        <v>417648</v>
      </c>
    </row>
    <row r="2245" spans="1:12" ht="11.25" customHeight="1" x14ac:dyDescent="0.2">
      <c r="A2245" s="7"/>
    </row>
    <row r="2246" spans="1:12" ht="11.25" customHeight="1" x14ac:dyDescent="0.2">
      <c r="B2246" s="68" t="s">
        <v>1892</v>
      </c>
      <c r="C2246" s="119"/>
      <c r="J2246" s="49" t="s">
        <v>1307</v>
      </c>
    </row>
    <row r="2247" spans="1:12" ht="11.25" customHeight="1" x14ac:dyDescent="0.2">
      <c r="B2247" s="186" t="s">
        <v>427</v>
      </c>
      <c r="C2247" s="187" t="s">
        <v>428</v>
      </c>
      <c r="D2247" s="187" t="s">
        <v>429</v>
      </c>
      <c r="E2247" s="188" t="s">
        <v>430</v>
      </c>
      <c r="F2247" s="188" t="s">
        <v>431</v>
      </c>
      <c r="G2247" s="94" t="s">
        <v>74</v>
      </c>
      <c r="H2247" s="151"/>
      <c r="I2247" s="94" t="s">
        <v>48</v>
      </c>
      <c r="J2247" s="151"/>
    </row>
    <row r="2248" spans="1:12" ht="11.25" customHeight="1" x14ac:dyDescent="0.2">
      <c r="B2248" s="186"/>
      <c r="C2248" s="187"/>
      <c r="D2248" s="187"/>
      <c r="E2248" s="188"/>
      <c r="F2248" s="188"/>
      <c r="G2248" s="17" t="s">
        <v>436</v>
      </c>
      <c r="H2248" s="17" t="s">
        <v>437</v>
      </c>
      <c r="I2248" s="17" t="s">
        <v>436</v>
      </c>
      <c r="J2248" s="17" t="s">
        <v>437</v>
      </c>
    </row>
    <row r="2249" spans="1:12" ht="11.25" customHeight="1" x14ac:dyDescent="0.2">
      <c r="C2249" s="4" t="s">
        <v>426</v>
      </c>
      <c r="D2249" s="4"/>
      <c r="E2249" s="13" t="s">
        <v>494</v>
      </c>
      <c r="F2249" s="25">
        <v>1505.45</v>
      </c>
      <c r="G2249" s="26">
        <v>12</v>
      </c>
      <c r="H2249" s="20">
        <f>TRUNC(($F2249*G2249),1)</f>
        <v>18065.400000000001</v>
      </c>
      <c r="I2249" s="26">
        <v>19.100000000000001</v>
      </c>
      <c r="J2249" s="20">
        <f>TRUNC(($F2249*I2249),1)</f>
        <v>28754</v>
      </c>
    </row>
    <row r="2250" spans="1:12" ht="11.25" customHeight="1" x14ac:dyDescent="0.2">
      <c r="C2250" s="4" t="s">
        <v>878</v>
      </c>
      <c r="D2250" s="4" t="s">
        <v>203</v>
      </c>
      <c r="E2250" s="13" t="s">
        <v>232</v>
      </c>
      <c r="F2250" s="18"/>
      <c r="G2250" s="21">
        <v>20</v>
      </c>
      <c r="H2250" s="20">
        <f>TRUNC(H2249*G2250*0.01,1)</f>
        <v>3613</v>
      </c>
      <c r="I2250" s="21">
        <v>20</v>
      </c>
      <c r="J2250" s="20">
        <f>TRUNC(J2249*I2250*0.01,1)</f>
        <v>5750.8</v>
      </c>
    </row>
    <row r="2251" spans="1:12" ht="11.25" customHeight="1" x14ac:dyDescent="0.2">
      <c r="C2251" s="107" t="s">
        <v>799</v>
      </c>
      <c r="D2251" s="109"/>
      <c r="E2251" s="34"/>
      <c r="F2251" s="33"/>
      <c r="G2251" s="33"/>
      <c r="H2251" s="24">
        <f>TRUNC(SUM(H2249:H2250))</f>
        <v>21678</v>
      </c>
      <c r="I2251" s="33"/>
      <c r="J2251" s="24">
        <f>TRUNC(SUM(J2249:J2250))</f>
        <v>34504</v>
      </c>
    </row>
    <row r="2252" spans="1:12" ht="11.25" customHeight="1" x14ac:dyDescent="0.2">
      <c r="C2252" s="4"/>
      <c r="D2252" s="4"/>
      <c r="E2252" s="18"/>
      <c r="F2252" s="18"/>
      <c r="G2252" s="18"/>
      <c r="H2252" s="18"/>
      <c r="I2252" s="18"/>
      <c r="J2252" s="18"/>
    </row>
    <row r="2253" spans="1:12" ht="11.25" customHeight="1" x14ac:dyDescent="0.2">
      <c r="C2253" s="4" t="s">
        <v>798</v>
      </c>
      <c r="D2253" s="4" t="s">
        <v>866</v>
      </c>
      <c r="E2253" s="13" t="s">
        <v>497</v>
      </c>
      <c r="F2253" s="28">
        <v>283297</v>
      </c>
      <c r="G2253" s="18">
        <v>0.20799999999999999</v>
      </c>
      <c r="H2253" s="20">
        <f>TRUNC(($F2253*G2253),1)</f>
        <v>58925.7</v>
      </c>
      <c r="I2253" s="18">
        <v>0.20799999999999999</v>
      </c>
      <c r="J2253" s="20">
        <f>TRUNC(($F2253*I2253),1)</f>
        <v>58925.7</v>
      </c>
    </row>
    <row r="2254" spans="1:12" ht="11.25" customHeight="1" x14ac:dyDescent="0.2">
      <c r="C2254" s="107" t="s">
        <v>1285</v>
      </c>
      <c r="D2254" s="109"/>
      <c r="E2254" s="34"/>
      <c r="F2254" s="33"/>
      <c r="G2254" s="33"/>
      <c r="H2254" s="24">
        <f>TRUNC(SUM(H2253:H2253))</f>
        <v>58925</v>
      </c>
      <c r="I2254" s="33"/>
      <c r="J2254" s="24">
        <f>TRUNC(SUM(J2253:J2253))</f>
        <v>58925</v>
      </c>
    </row>
    <row r="2255" spans="1:12" ht="11.25" customHeight="1" x14ac:dyDescent="0.2">
      <c r="C2255" s="4"/>
      <c r="D2255" s="4"/>
      <c r="E2255" s="18"/>
      <c r="F2255" s="18"/>
      <c r="G2255" s="18"/>
      <c r="H2255" s="18"/>
      <c r="I2255" s="18"/>
      <c r="J2255" s="18"/>
    </row>
    <row r="2256" spans="1:12" ht="11.25" customHeight="1" x14ac:dyDescent="0.2">
      <c r="B2256" s="8" t="s">
        <v>1894</v>
      </c>
      <c r="C2256" s="4" t="s">
        <v>1893</v>
      </c>
      <c r="D2256" s="106" t="s">
        <v>182</v>
      </c>
      <c r="E2256" s="13" t="s">
        <v>746</v>
      </c>
      <c r="F2256" s="66">
        <v>491891000</v>
      </c>
      <c r="G2256" s="19">
        <v>2085</v>
      </c>
      <c r="H2256" s="20">
        <f>TRUNC($F2256*G2256*0.0000001,1)</f>
        <v>102559.2</v>
      </c>
      <c r="I2256" s="21">
        <v>0</v>
      </c>
      <c r="J2256" s="20">
        <f>TRUNC($F2256*I2256*0.0000001,1)</f>
        <v>0</v>
      </c>
    </row>
    <row r="2257" spans="2:10" ht="11.25" customHeight="1" x14ac:dyDescent="0.2">
      <c r="B2257" s="8" t="s">
        <v>1895</v>
      </c>
      <c r="C2257" s="4" t="s">
        <v>1893</v>
      </c>
      <c r="D2257" s="106" t="s">
        <v>655</v>
      </c>
      <c r="E2257" s="13" t="s">
        <v>746</v>
      </c>
      <c r="F2257" s="66">
        <v>698542000</v>
      </c>
      <c r="G2257" s="21">
        <v>0</v>
      </c>
      <c r="H2257" s="20">
        <f>TRUNC($F2257*G2257*0.0000001,1)</f>
        <v>0</v>
      </c>
      <c r="I2257" s="19">
        <v>2085</v>
      </c>
      <c r="J2257" s="20">
        <f>TRUNC($F2257*I2257*0.0000001,1)</f>
        <v>145646</v>
      </c>
    </row>
    <row r="2258" spans="2:10" ht="11.25" customHeight="1" x14ac:dyDescent="0.2">
      <c r="C2258" s="107" t="s">
        <v>1289</v>
      </c>
      <c r="D2258" s="109"/>
      <c r="E2258" s="34"/>
      <c r="F2258" s="33"/>
      <c r="G2258" s="33"/>
      <c r="H2258" s="24">
        <f>TRUNC(SUM(H2256:H2257))</f>
        <v>102559</v>
      </c>
      <c r="I2258" s="33"/>
      <c r="J2258" s="24">
        <f>TRUNC(SUM(J2256:J2257))</f>
        <v>145646</v>
      </c>
    </row>
    <row r="2259" spans="2:10" ht="11.25" customHeight="1" x14ac:dyDescent="0.2">
      <c r="C2259" s="4"/>
      <c r="D2259" s="4"/>
      <c r="E2259" s="18"/>
      <c r="F2259" s="18"/>
      <c r="G2259" s="18"/>
      <c r="H2259" s="18"/>
      <c r="I2259" s="18"/>
      <c r="J2259" s="18"/>
    </row>
    <row r="2260" spans="2:10" ht="11.25" customHeight="1" x14ac:dyDescent="0.2">
      <c r="B2260" s="16"/>
      <c r="C2260" s="108" t="s">
        <v>1286</v>
      </c>
      <c r="D2260" s="108"/>
      <c r="E2260" s="103"/>
      <c r="F2260" s="102"/>
      <c r="G2260" s="102"/>
      <c r="H2260" s="104">
        <f>TRUNC(H2258+H2251+H2254)</f>
        <v>183162</v>
      </c>
      <c r="I2260" s="102"/>
      <c r="J2260" s="104">
        <f>TRUNC(J2258+J2251+J2254)</f>
        <v>239075</v>
      </c>
    </row>
    <row r="2262" spans="2:10" ht="11.25" customHeight="1" x14ac:dyDescent="0.2">
      <c r="B2262" s="68" t="s">
        <v>1705</v>
      </c>
      <c r="C2262" s="119"/>
      <c r="H2262" s="49" t="s">
        <v>1307</v>
      </c>
    </row>
    <row r="2263" spans="2:10" ht="11.25" customHeight="1" x14ac:dyDescent="0.2">
      <c r="B2263" s="186" t="s">
        <v>427</v>
      </c>
      <c r="C2263" s="187" t="s">
        <v>428</v>
      </c>
      <c r="D2263" s="187" t="s">
        <v>429</v>
      </c>
      <c r="E2263" s="188" t="s">
        <v>430</v>
      </c>
      <c r="F2263" s="188" t="s">
        <v>431</v>
      </c>
      <c r="G2263" s="94" t="s">
        <v>1187</v>
      </c>
      <c r="H2263" s="151"/>
    </row>
    <row r="2264" spans="2:10" ht="11.25" customHeight="1" x14ac:dyDescent="0.2">
      <c r="B2264" s="186"/>
      <c r="C2264" s="187"/>
      <c r="D2264" s="187"/>
      <c r="E2264" s="188"/>
      <c r="F2264" s="188"/>
      <c r="G2264" s="17" t="s">
        <v>436</v>
      </c>
      <c r="H2264" s="17" t="s">
        <v>437</v>
      </c>
    </row>
    <row r="2265" spans="2:10" ht="11.25" customHeight="1" x14ac:dyDescent="0.2">
      <c r="B2265" s="8" t="s">
        <v>1186</v>
      </c>
      <c r="C2265" s="4" t="s">
        <v>1185</v>
      </c>
      <c r="D2265" s="106" t="s">
        <v>1387</v>
      </c>
      <c r="E2265" s="13" t="s">
        <v>746</v>
      </c>
      <c r="F2265" s="66">
        <v>93037000</v>
      </c>
      <c r="G2265" s="19">
        <v>1449</v>
      </c>
      <c r="H2265" s="20">
        <f t="shared" ref="H2265" si="21">TRUNC($F2265*G2265*0.0000001,1)</f>
        <v>13481</v>
      </c>
    </row>
    <row r="2266" spans="2:10" ht="11.25" customHeight="1" x14ac:dyDescent="0.2">
      <c r="C2266" s="107" t="s">
        <v>1289</v>
      </c>
      <c r="D2266" s="109"/>
      <c r="E2266" s="34"/>
      <c r="F2266" s="33"/>
      <c r="G2266" s="33"/>
      <c r="H2266" s="24">
        <f>TRUNC(SUM(H2265:H2265))</f>
        <v>13481</v>
      </c>
    </row>
    <row r="2267" spans="2:10" ht="11.25" customHeight="1" x14ac:dyDescent="0.2">
      <c r="C2267" s="4"/>
      <c r="D2267" s="4"/>
      <c r="E2267" s="13"/>
      <c r="F2267" s="53"/>
      <c r="G2267" s="26"/>
      <c r="H2267" s="20"/>
    </row>
    <row r="2268" spans="2:10" ht="11.25" customHeight="1" x14ac:dyDescent="0.2">
      <c r="B2268" s="16"/>
      <c r="C2268" s="108" t="s">
        <v>1286</v>
      </c>
      <c r="D2268" s="108"/>
      <c r="E2268" s="103"/>
      <c r="F2268" s="102"/>
      <c r="G2268" s="102"/>
      <c r="H2268" s="104">
        <f>TRUNC(H2266)</f>
        <v>13481</v>
      </c>
    </row>
    <row r="2270" spans="2:10" ht="11.25" customHeight="1" x14ac:dyDescent="0.2">
      <c r="B2270" s="8" t="s">
        <v>1706</v>
      </c>
    </row>
    <row r="2271" spans="2:10" ht="11.25" customHeight="1" x14ac:dyDescent="0.2">
      <c r="B2271" s="68" t="s">
        <v>1707</v>
      </c>
      <c r="C2271" s="119"/>
      <c r="H2271" s="49" t="s">
        <v>1307</v>
      </c>
    </row>
    <row r="2272" spans="2:10" ht="11.25" customHeight="1" x14ac:dyDescent="0.2">
      <c r="B2272" s="186" t="s">
        <v>427</v>
      </c>
      <c r="C2272" s="187" t="s">
        <v>428</v>
      </c>
      <c r="D2272" s="187" t="s">
        <v>429</v>
      </c>
      <c r="E2272" s="188" t="s">
        <v>430</v>
      </c>
      <c r="F2272" s="188" t="s">
        <v>431</v>
      </c>
      <c r="G2272" s="94" t="s">
        <v>1118</v>
      </c>
      <c r="H2272" s="151"/>
    </row>
    <row r="2273" spans="1:10" ht="11.25" customHeight="1" x14ac:dyDescent="0.2">
      <c r="B2273" s="186"/>
      <c r="C2273" s="187"/>
      <c r="D2273" s="187"/>
      <c r="E2273" s="188"/>
      <c r="F2273" s="188"/>
      <c r="G2273" s="17" t="s">
        <v>436</v>
      </c>
      <c r="H2273" s="17" t="s">
        <v>437</v>
      </c>
      <c r="I2273" s="9"/>
      <c r="J2273" s="9"/>
    </row>
    <row r="2274" spans="1:10" ht="11.25" customHeight="1" x14ac:dyDescent="0.2">
      <c r="C2274" s="4" t="s">
        <v>426</v>
      </c>
      <c r="D2274" s="4"/>
      <c r="E2274" s="13" t="s">
        <v>494</v>
      </c>
      <c r="F2274" s="25">
        <v>1505.45</v>
      </c>
      <c r="G2274" s="26">
        <v>39.5</v>
      </c>
      <c r="H2274" s="20">
        <f>TRUNC(($F2274*G2274),1)</f>
        <v>59465.2</v>
      </c>
      <c r="I2274" s="52"/>
      <c r="J2274" s="32"/>
    </row>
    <row r="2275" spans="1:10" ht="11.25" customHeight="1" x14ac:dyDescent="0.2">
      <c r="C2275" s="4" t="s">
        <v>878</v>
      </c>
      <c r="D2275" s="4" t="s">
        <v>203</v>
      </c>
      <c r="E2275" s="13" t="s">
        <v>232</v>
      </c>
      <c r="F2275" s="18"/>
      <c r="G2275" s="21">
        <v>50</v>
      </c>
      <c r="H2275" s="20">
        <f>TRUNC(H2274*G2275*0.01,1)</f>
        <v>29732.6</v>
      </c>
      <c r="I2275" s="39"/>
      <c r="J2275" s="32"/>
    </row>
    <row r="2276" spans="1:10" ht="11.25" customHeight="1" x14ac:dyDescent="0.2">
      <c r="C2276" s="107" t="s">
        <v>799</v>
      </c>
      <c r="D2276" s="109"/>
      <c r="E2276" s="34"/>
      <c r="F2276" s="33"/>
      <c r="G2276" s="33"/>
      <c r="H2276" s="24">
        <f>TRUNC(SUM(H2274:H2275))</f>
        <v>89197</v>
      </c>
      <c r="I2276" s="40"/>
      <c r="J2276" s="54"/>
    </row>
    <row r="2277" spans="1:10" ht="11.25" customHeight="1" x14ac:dyDescent="0.2">
      <c r="C2277" s="4"/>
      <c r="D2277" s="4"/>
      <c r="E2277" s="18"/>
      <c r="F2277" s="21"/>
      <c r="G2277" s="18"/>
      <c r="H2277" s="20"/>
      <c r="I2277" s="39"/>
      <c r="J2277" s="32"/>
    </row>
    <row r="2278" spans="1:10" ht="11.25" customHeight="1" x14ac:dyDescent="0.2">
      <c r="C2278" s="4" t="s">
        <v>798</v>
      </c>
      <c r="D2278" s="4" t="s">
        <v>866</v>
      </c>
      <c r="E2278" s="13" t="s">
        <v>497</v>
      </c>
      <c r="F2278" s="28">
        <v>283297</v>
      </c>
      <c r="G2278" s="18">
        <v>0.20799999999999999</v>
      </c>
      <c r="H2278" s="20">
        <f>TRUNC(($F2278*G2278),1)</f>
        <v>58925.7</v>
      </c>
      <c r="J2278" s="32"/>
    </row>
    <row r="2279" spans="1:10" ht="11.25" customHeight="1" x14ac:dyDescent="0.2">
      <c r="C2279" s="107" t="s">
        <v>1285</v>
      </c>
      <c r="D2279" s="109"/>
      <c r="E2279" s="34"/>
      <c r="F2279" s="33"/>
      <c r="G2279" s="33"/>
      <c r="H2279" s="24">
        <f>TRUNC(SUM(H2278:H2278))</f>
        <v>58925</v>
      </c>
      <c r="I2279" s="40"/>
      <c r="J2279" s="54"/>
    </row>
    <row r="2280" spans="1:10" ht="11.25" customHeight="1" x14ac:dyDescent="0.2">
      <c r="C2280" s="4"/>
      <c r="D2280" s="4"/>
      <c r="E2280" s="18"/>
      <c r="F2280" s="21"/>
      <c r="G2280" s="18"/>
      <c r="H2280" s="20"/>
      <c r="I2280" s="39"/>
      <c r="J2280" s="32"/>
    </row>
    <row r="2281" spans="1:10" ht="11.25" customHeight="1" x14ac:dyDescent="0.2">
      <c r="A2281" s="70"/>
      <c r="B2281" s="8" t="s">
        <v>563</v>
      </c>
      <c r="C2281" s="4" t="s">
        <v>1708</v>
      </c>
      <c r="D2281" s="106" t="s">
        <v>1118</v>
      </c>
      <c r="E2281" s="13" t="s">
        <v>746</v>
      </c>
      <c r="F2281" s="66">
        <v>488355000</v>
      </c>
      <c r="G2281" s="19">
        <v>3220</v>
      </c>
      <c r="H2281" s="20">
        <f>TRUNC($F2281*G2281*0.0000001,1)</f>
        <v>157250.29999999999</v>
      </c>
      <c r="I2281" s="39"/>
      <c r="J2281" s="32"/>
    </row>
    <row r="2282" spans="1:10" ht="11.25" customHeight="1" x14ac:dyDescent="0.2">
      <c r="A2282" s="70"/>
      <c r="C2282" s="107" t="s">
        <v>1289</v>
      </c>
      <c r="D2282" s="109"/>
      <c r="E2282" s="34"/>
      <c r="F2282" s="33"/>
      <c r="G2282" s="33"/>
      <c r="H2282" s="24">
        <f>TRUNC(SUM(H2281:H2281))</f>
        <v>157250</v>
      </c>
      <c r="I2282" s="40"/>
      <c r="J2282" s="54"/>
    </row>
    <row r="2283" spans="1:10" ht="11.25" customHeight="1" x14ac:dyDescent="0.2">
      <c r="C2283" s="4"/>
      <c r="D2283" s="4"/>
      <c r="E2283" s="18"/>
      <c r="F2283" s="21"/>
      <c r="G2283" s="18"/>
      <c r="H2283" s="20"/>
      <c r="I2283" s="39"/>
      <c r="J2283" s="32"/>
    </row>
    <row r="2284" spans="1:10" ht="11.25" customHeight="1" x14ac:dyDescent="0.2">
      <c r="B2284" s="16"/>
      <c r="C2284" s="108" t="s">
        <v>1286</v>
      </c>
      <c r="D2284" s="108"/>
      <c r="E2284" s="103"/>
      <c r="F2284" s="102"/>
      <c r="G2284" s="102"/>
      <c r="H2284" s="104">
        <f>TRUNC(H2282+H2276+H2279)</f>
        <v>305372</v>
      </c>
      <c r="I2284" s="70"/>
      <c r="J2284" s="36"/>
    </row>
    <row r="2286" spans="1:10" ht="11.25" customHeight="1" x14ac:dyDescent="0.2">
      <c r="B2286" s="68" t="s">
        <v>1709</v>
      </c>
      <c r="C2286" s="119"/>
      <c r="H2286" s="49" t="s">
        <v>1307</v>
      </c>
    </row>
    <row r="2287" spans="1:10" ht="11.25" customHeight="1" x14ac:dyDescent="0.2">
      <c r="B2287" s="186" t="s">
        <v>427</v>
      </c>
      <c r="C2287" s="187" t="s">
        <v>428</v>
      </c>
      <c r="D2287" s="187" t="s">
        <v>429</v>
      </c>
      <c r="E2287" s="188" t="s">
        <v>430</v>
      </c>
      <c r="F2287" s="188" t="s">
        <v>431</v>
      </c>
      <c r="G2287" s="94" t="s">
        <v>0</v>
      </c>
      <c r="H2287" s="151"/>
    </row>
    <row r="2288" spans="1:10" ht="11.25" customHeight="1" x14ac:dyDescent="0.2">
      <c r="B2288" s="186"/>
      <c r="C2288" s="187"/>
      <c r="D2288" s="187"/>
      <c r="E2288" s="188"/>
      <c r="F2288" s="188"/>
      <c r="G2288" s="17" t="s">
        <v>436</v>
      </c>
      <c r="H2288" s="17" t="s">
        <v>437</v>
      </c>
    </row>
    <row r="2289" spans="2:10" ht="11.25" customHeight="1" x14ac:dyDescent="0.2">
      <c r="B2289" s="8" t="s">
        <v>564</v>
      </c>
      <c r="C2289" s="4" t="s">
        <v>565</v>
      </c>
      <c r="D2289" s="106" t="s">
        <v>162</v>
      </c>
      <c r="E2289" s="13" t="s">
        <v>746</v>
      </c>
      <c r="F2289" s="66">
        <v>970000</v>
      </c>
      <c r="G2289" s="19">
        <v>3220</v>
      </c>
      <c r="H2289" s="20">
        <f t="shared" ref="H2289" si="22">TRUNC($F2289*G2289*0.0000001,1)</f>
        <v>312.3</v>
      </c>
    </row>
    <row r="2290" spans="2:10" ht="11.25" customHeight="1" x14ac:dyDescent="0.2">
      <c r="C2290" s="107" t="s">
        <v>1289</v>
      </c>
      <c r="D2290" s="109"/>
      <c r="E2290" s="34"/>
      <c r="F2290" s="33"/>
      <c r="G2290" s="33"/>
      <c r="H2290" s="24">
        <f>TRUNC(SUM(H2289:H2289))</f>
        <v>312</v>
      </c>
    </row>
    <row r="2291" spans="2:10" ht="11.25" customHeight="1" x14ac:dyDescent="0.2">
      <c r="C2291" s="4"/>
      <c r="D2291" s="4"/>
      <c r="E2291" s="18"/>
      <c r="F2291" s="21"/>
      <c r="G2291" s="18"/>
      <c r="H2291" s="20"/>
      <c r="I2291" s="39"/>
      <c r="J2291" s="32"/>
    </row>
    <row r="2292" spans="2:10" ht="11.25" customHeight="1" x14ac:dyDescent="0.2">
      <c r="B2292" s="16"/>
      <c r="C2292" s="108" t="s">
        <v>1286</v>
      </c>
      <c r="D2292" s="108"/>
      <c r="E2292" s="103"/>
      <c r="F2292" s="102"/>
      <c r="G2292" s="102"/>
      <c r="H2292" s="104">
        <f>TRUNC(H2290)</f>
        <v>312</v>
      </c>
    </row>
    <row r="2294" spans="2:10" ht="11.25" customHeight="1" x14ac:dyDescent="0.2">
      <c r="B2294" s="68" t="s">
        <v>1710</v>
      </c>
      <c r="C2294" s="119"/>
      <c r="H2294" s="49" t="s">
        <v>1307</v>
      </c>
    </row>
    <row r="2295" spans="2:10" ht="11.25" customHeight="1" x14ac:dyDescent="0.2">
      <c r="B2295" s="186" t="s">
        <v>427</v>
      </c>
      <c r="C2295" s="187" t="s">
        <v>428</v>
      </c>
      <c r="D2295" s="187" t="s">
        <v>429</v>
      </c>
      <c r="E2295" s="188" t="s">
        <v>430</v>
      </c>
      <c r="F2295" s="188" t="s">
        <v>431</v>
      </c>
      <c r="G2295" s="94" t="s">
        <v>0</v>
      </c>
      <c r="H2295" s="151"/>
    </row>
    <row r="2296" spans="2:10" ht="11.25" customHeight="1" x14ac:dyDescent="0.2">
      <c r="B2296" s="186"/>
      <c r="C2296" s="187"/>
      <c r="D2296" s="187"/>
      <c r="E2296" s="188"/>
      <c r="F2296" s="188"/>
      <c r="G2296" s="17" t="s">
        <v>436</v>
      </c>
      <c r="H2296" s="17" t="s">
        <v>437</v>
      </c>
    </row>
    <row r="2297" spans="2:10" ht="11.25" customHeight="1" x14ac:dyDescent="0.2">
      <c r="B2297" s="8" t="s">
        <v>10</v>
      </c>
      <c r="C2297" s="4" t="s">
        <v>11</v>
      </c>
      <c r="D2297" s="106" t="s">
        <v>162</v>
      </c>
      <c r="E2297" s="13" t="s">
        <v>746</v>
      </c>
      <c r="F2297" s="66">
        <v>1856000</v>
      </c>
      <c r="G2297" s="19">
        <v>3220</v>
      </c>
      <c r="H2297" s="20">
        <f t="shared" ref="H2297" si="23">TRUNC($F2297*G2297*0.0000001,1)</f>
        <v>597.6</v>
      </c>
    </row>
    <row r="2298" spans="2:10" ht="11.25" customHeight="1" x14ac:dyDescent="0.2">
      <c r="C2298" s="107" t="s">
        <v>1289</v>
      </c>
      <c r="D2298" s="109"/>
      <c r="E2298" s="34"/>
      <c r="F2298" s="33"/>
      <c r="G2298" s="33"/>
      <c r="H2298" s="24">
        <f>TRUNC(SUM(H2297:H2297))</f>
        <v>597</v>
      </c>
    </row>
    <row r="2299" spans="2:10" ht="11.25" customHeight="1" x14ac:dyDescent="0.2">
      <c r="C2299" s="4"/>
      <c r="D2299" s="4"/>
      <c r="E2299" s="18"/>
      <c r="F2299" s="21"/>
      <c r="G2299" s="18"/>
      <c r="H2299" s="20"/>
      <c r="I2299" s="39"/>
      <c r="J2299" s="32"/>
    </row>
    <row r="2300" spans="2:10" ht="11.25" customHeight="1" x14ac:dyDescent="0.2">
      <c r="B2300" s="16"/>
      <c r="C2300" s="108" t="s">
        <v>1286</v>
      </c>
      <c r="D2300" s="108"/>
      <c r="E2300" s="103"/>
      <c r="F2300" s="102"/>
      <c r="G2300" s="102"/>
      <c r="H2300" s="104">
        <f>TRUNC(H2298)</f>
        <v>597</v>
      </c>
    </row>
    <row r="2302" spans="2:10" ht="11.25" customHeight="1" x14ac:dyDescent="0.2">
      <c r="B2302" s="68" t="s">
        <v>1711</v>
      </c>
      <c r="C2302" s="119"/>
      <c r="H2302" s="49" t="s">
        <v>1307</v>
      </c>
    </row>
    <row r="2303" spans="2:10" ht="11.25" customHeight="1" x14ac:dyDescent="0.2">
      <c r="B2303" s="186" t="s">
        <v>427</v>
      </c>
      <c r="C2303" s="187" t="s">
        <v>428</v>
      </c>
      <c r="D2303" s="187" t="s">
        <v>429</v>
      </c>
      <c r="E2303" s="188" t="s">
        <v>430</v>
      </c>
      <c r="F2303" s="188" t="s">
        <v>431</v>
      </c>
      <c r="G2303" s="94" t="s">
        <v>1</v>
      </c>
      <c r="H2303" s="151"/>
    </row>
    <row r="2304" spans="2:10" ht="11.25" customHeight="1" x14ac:dyDescent="0.2">
      <c r="B2304" s="186"/>
      <c r="C2304" s="187"/>
      <c r="D2304" s="187"/>
      <c r="E2304" s="188"/>
      <c r="F2304" s="188"/>
      <c r="G2304" s="17" t="s">
        <v>436</v>
      </c>
      <c r="H2304" s="17" t="s">
        <v>437</v>
      </c>
    </row>
    <row r="2305" spans="1:10" ht="11.25" customHeight="1" x14ac:dyDescent="0.2">
      <c r="C2305" s="4" t="s">
        <v>426</v>
      </c>
      <c r="D2305" s="4"/>
      <c r="E2305" s="13" t="s">
        <v>494</v>
      </c>
      <c r="F2305" s="25">
        <v>1505.45</v>
      </c>
      <c r="G2305" s="26">
        <v>3.2</v>
      </c>
      <c r="H2305" s="20">
        <f>TRUNC(($F2305*G2305),1)</f>
        <v>4817.3999999999996</v>
      </c>
    </row>
    <row r="2306" spans="1:10" ht="11.25" customHeight="1" x14ac:dyDescent="0.2">
      <c r="C2306" s="4" t="s">
        <v>878</v>
      </c>
      <c r="D2306" s="4" t="s">
        <v>203</v>
      </c>
      <c r="E2306" s="13" t="s">
        <v>232</v>
      </c>
      <c r="F2306" s="18"/>
      <c r="G2306" s="21">
        <v>24</v>
      </c>
      <c r="H2306" s="20">
        <f>TRUNC(H2305*G2306*0.01,1)</f>
        <v>1156.0999999999999</v>
      </c>
    </row>
    <row r="2307" spans="1:10" ht="11.25" customHeight="1" x14ac:dyDescent="0.2">
      <c r="C2307" s="107" t="s">
        <v>799</v>
      </c>
      <c r="D2307" s="109"/>
      <c r="E2307" s="34"/>
      <c r="F2307" s="33"/>
      <c r="G2307" s="33"/>
      <c r="H2307" s="24">
        <f>TRUNC(SUM(H2305:H2306))</f>
        <v>5973</v>
      </c>
    </row>
    <row r="2308" spans="1:10" ht="11.25" customHeight="1" x14ac:dyDescent="0.2">
      <c r="A2308" s="7"/>
      <c r="C2308" s="4"/>
      <c r="D2308" s="4"/>
      <c r="E2308" s="18"/>
      <c r="F2308" s="21"/>
      <c r="G2308" s="18"/>
      <c r="H2308" s="20"/>
      <c r="I2308" s="39"/>
      <c r="J2308" s="32"/>
    </row>
    <row r="2309" spans="1:10" ht="11.25" customHeight="1" x14ac:dyDescent="0.2">
      <c r="C2309" s="4" t="s">
        <v>798</v>
      </c>
      <c r="D2309" s="4" t="s">
        <v>866</v>
      </c>
      <c r="E2309" s="13" t="s">
        <v>497</v>
      </c>
      <c r="F2309" s="28">
        <v>283297</v>
      </c>
      <c r="G2309" s="18">
        <v>0.20799999999999999</v>
      </c>
      <c r="H2309" s="20">
        <f>TRUNC(($F2309*G2309),1)</f>
        <v>58925.7</v>
      </c>
    </row>
    <row r="2310" spans="1:10" ht="11.25" customHeight="1" x14ac:dyDescent="0.2">
      <c r="C2310" s="107" t="s">
        <v>1285</v>
      </c>
      <c r="D2310" s="109"/>
      <c r="E2310" s="34"/>
      <c r="F2310" s="33"/>
      <c r="G2310" s="33"/>
      <c r="H2310" s="24">
        <f>TRUNC(SUM(H2309:H2309))</f>
        <v>58925</v>
      </c>
    </row>
    <row r="2311" spans="1:10" ht="11.25" customHeight="1" x14ac:dyDescent="0.2">
      <c r="C2311" s="107"/>
      <c r="D2311" s="109"/>
      <c r="E2311" s="34"/>
      <c r="F2311" s="33"/>
      <c r="G2311" s="33"/>
      <c r="H2311" s="24"/>
    </row>
    <row r="2312" spans="1:10" ht="11.25" customHeight="1" x14ac:dyDescent="0.2">
      <c r="B2312" s="8" t="s">
        <v>751</v>
      </c>
      <c r="C2312" s="4" t="s">
        <v>1712</v>
      </c>
      <c r="D2312" s="106" t="s">
        <v>886</v>
      </c>
      <c r="E2312" s="13" t="s">
        <v>746</v>
      </c>
      <c r="F2312" s="66">
        <v>60669000</v>
      </c>
      <c r="G2312" s="19">
        <v>2612</v>
      </c>
      <c r="H2312" s="20">
        <f>TRUNC($F2312*G2312*0.0000001,1)</f>
        <v>15846.7</v>
      </c>
    </row>
    <row r="2313" spans="1:10" ht="11.25" customHeight="1" x14ac:dyDescent="0.2">
      <c r="C2313" s="107" t="s">
        <v>1289</v>
      </c>
      <c r="D2313" s="109"/>
      <c r="E2313" s="34"/>
      <c r="F2313" s="33"/>
      <c r="G2313" s="33"/>
      <c r="H2313" s="24">
        <f>TRUNC(SUM(H2312:H2312))</f>
        <v>15846</v>
      </c>
    </row>
    <row r="2314" spans="1:10" ht="11.25" customHeight="1" x14ac:dyDescent="0.2">
      <c r="C2314" s="4"/>
      <c r="D2314" s="4"/>
      <c r="E2314" s="18"/>
      <c r="F2314" s="21"/>
      <c r="G2314" s="18"/>
      <c r="H2314" s="20"/>
      <c r="I2314" s="39"/>
      <c r="J2314" s="32"/>
    </row>
    <row r="2315" spans="1:10" ht="11.25" customHeight="1" x14ac:dyDescent="0.2">
      <c r="B2315" s="16"/>
      <c r="C2315" s="108" t="s">
        <v>1286</v>
      </c>
      <c r="D2315" s="108"/>
      <c r="E2315" s="103"/>
      <c r="F2315" s="102"/>
      <c r="G2315" s="102"/>
      <c r="H2315" s="104">
        <f>TRUNC(H2313+H2307+H2310)</f>
        <v>80744</v>
      </c>
    </row>
    <row r="2317" spans="1:10" ht="11.25" customHeight="1" x14ac:dyDescent="0.2">
      <c r="B2317" s="68" t="s">
        <v>1713</v>
      </c>
      <c r="C2317" s="119"/>
      <c r="J2317" s="49" t="s">
        <v>1307</v>
      </c>
    </row>
    <row r="2318" spans="1:10" ht="11.25" customHeight="1" x14ac:dyDescent="0.2">
      <c r="B2318" s="186" t="s">
        <v>427</v>
      </c>
      <c r="C2318" s="187" t="s">
        <v>428</v>
      </c>
      <c r="D2318" s="187" t="s">
        <v>429</v>
      </c>
      <c r="E2318" s="188" t="s">
        <v>430</v>
      </c>
      <c r="F2318" s="188" t="s">
        <v>431</v>
      </c>
      <c r="G2318" s="94" t="s">
        <v>180</v>
      </c>
      <c r="H2318" s="151"/>
      <c r="I2318" s="94" t="s">
        <v>181</v>
      </c>
      <c r="J2318" s="151"/>
    </row>
    <row r="2319" spans="1:10" ht="11.25" customHeight="1" x14ac:dyDescent="0.2">
      <c r="B2319" s="186"/>
      <c r="C2319" s="187"/>
      <c r="D2319" s="187"/>
      <c r="E2319" s="188"/>
      <c r="F2319" s="188"/>
      <c r="G2319" s="157" t="s">
        <v>436</v>
      </c>
      <c r="H2319" s="17" t="s">
        <v>437</v>
      </c>
      <c r="I2319" s="64" t="s">
        <v>436</v>
      </c>
      <c r="J2319" s="17" t="s">
        <v>437</v>
      </c>
    </row>
    <row r="2320" spans="1:10" ht="11.25" customHeight="1" x14ac:dyDescent="0.2">
      <c r="C2320" s="4" t="s">
        <v>426</v>
      </c>
      <c r="D2320" s="4"/>
      <c r="E2320" s="13" t="s">
        <v>494</v>
      </c>
      <c r="F2320" s="25">
        <v>1505.45</v>
      </c>
      <c r="G2320" s="26">
        <v>15.2</v>
      </c>
      <c r="H2320" s="20">
        <f>TRUNC(($F2320*G2320),1)</f>
        <v>22882.799999999999</v>
      </c>
      <c r="I2320" s="26">
        <v>27.6</v>
      </c>
      <c r="J2320" s="20">
        <f>TRUNC(($F2320*I2320),1)</f>
        <v>41550.400000000001</v>
      </c>
    </row>
    <row r="2321" spans="2:10" ht="11.25" customHeight="1" x14ac:dyDescent="0.2">
      <c r="C2321" s="4" t="s">
        <v>878</v>
      </c>
      <c r="D2321" s="4" t="s">
        <v>203</v>
      </c>
      <c r="E2321" s="13" t="s">
        <v>232</v>
      </c>
      <c r="F2321" s="18"/>
      <c r="G2321" s="21">
        <v>40</v>
      </c>
      <c r="H2321" s="20">
        <f>TRUNC(H2320*G2321*0.01,1)</f>
        <v>9153.1</v>
      </c>
      <c r="I2321" s="21">
        <v>40</v>
      </c>
      <c r="J2321" s="20">
        <f>TRUNC(J2320*I2321*0.01,1)</f>
        <v>16620.099999999999</v>
      </c>
    </row>
    <row r="2322" spans="2:10" ht="11.25" customHeight="1" x14ac:dyDescent="0.2">
      <c r="C2322" s="107" t="s">
        <v>799</v>
      </c>
      <c r="D2322" s="109"/>
      <c r="E2322" s="34"/>
      <c r="F2322" s="33"/>
      <c r="G2322" s="33"/>
      <c r="H2322" s="24">
        <f>TRUNC(SUM(H2320:H2321))</f>
        <v>32035</v>
      </c>
      <c r="I2322" s="33"/>
      <c r="J2322" s="24">
        <f>TRUNC(SUM(J2320:J2321))</f>
        <v>58170</v>
      </c>
    </row>
    <row r="2323" spans="2:10" ht="11.25" customHeight="1" x14ac:dyDescent="0.2">
      <c r="C2323" s="4"/>
      <c r="D2323" s="4"/>
      <c r="E2323" s="18"/>
      <c r="F2323" s="21"/>
      <c r="G2323" s="18"/>
      <c r="H2323" s="20"/>
      <c r="I2323" s="18"/>
      <c r="J2323" s="20"/>
    </row>
    <row r="2324" spans="2:10" ht="11.25" customHeight="1" x14ac:dyDescent="0.2">
      <c r="C2324" s="4" t="s">
        <v>738</v>
      </c>
      <c r="D2324" s="4" t="s">
        <v>866</v>
      </c>
      <c r="E2324" s="13" t="s">
        <v>497</v>
      </c>
      <c r="F2324" s="28">
        <v>283297</v>
      </c>
      <c r="G2324" s="18">
        <v>0.20799999999999999</v>
      </c>
      <c r="H2324" s="20">
        <f>TRUNC(($F2324*G2324),1)</f>
        <v>58925.7</v>
      </c>
      <c r="I2324" s="18">
        <v>0.20799999999999999</v>
      </c>
      <c r="J2324" s="20">
        <f>TRUNC(($F2324*I2324),1)</f>
        <v>58925.7</v>
      </c>
    </row>
    <row r="2325" spans="2:10" ht="11.25" customHeight="1" x14ac:dyDescent="0.2">
      <c r="C2325" s="107" t="s">
        <v>1285</v>
      </c>
      <c r="D2325" s="109"/>
      <c r="E2325" s="34"/>
      <c r="F2325" s="33"/>
      <c r="G2325" s="33"/>
      <c r="H2325" s="24">
        <f>TRUNC(SUM(H2324:H2324))</f>
        <v>58925</v>
      </c>
      <c r="I2325" s="33"/>
      <c r="J2325" s="24">
        <f>TRUNC(SUM(J2324:J2324))</f>
        <v>58925</v>
      </c>
    </row>
    <row r="2326" spans="2:10" ht="11.25" customHeight="1" x14ac:dyDescent="0.2">
      <c r="C2326" s="4"/>
      <c r="D2326" s="4"/>
      <c r="E2326" s="18"/>
      <c r="F2326" s="21"/>
      <c r="G2326" s="18"/>
      <c r="H2326" s="20"/>
      <c r="I2326" s="18"/>
      <c r="J2326" s="20"/>
    </row>
    <row r="2327" spans="2:10" ht="11.25" customHeight="1" x14ac:dyDescent="0.2">
      <c r="B2327" s="9" t="s">
        <v>179</v>
      </c>
      <c r="C2327" s="155" t="s">
        <v>897</v>
      </c>
      <c r="D2327" s="155" t="s">
        <v>1714</v>
      </c>
      <c r="E2327" s="13" t="s">
        <v>746</v>
      </c>
      <c r="F2327" s="66">
        <v>196754000</v>
      </c>
      <c r="G2327" s="19">
        <v>2413</v>
      </c>
      <c r="H2327" s="20">
        <f>TRUNC($F2327*G2327*0.0000001,1)</f>
        <v>47476.7</v>
      </c>
      <c r="I2327" s="21">
        <v>0</v>
      </c>
      <c r="J2327" s="20">
        <f>TRUNC($F2327*I2327*0.0000001,1)</f>
        <v>0</v>
      </c>
    </row>
    <row r="2328" spans="2:10" ht="11.25" customHeight="1" x14ac:dyDescent="0.2">
      <c r="B2328" s="9" t="s">
        <v>178</v>
      </c>
      <c r="C2328" s="155" t="s">
        <v>897</v>
      </c>
      <c r="D2328" s="106" t="s">
        <v>1715</v>
      </c>
      <c r="E2328" s="13" t="s">
        <v>746</v>
      </c>
      <c r="F2328" s="66">
        <v>302677000</v>
      </c>
      <c r="G2328" s="21">
        <v>0</v>
      </c>
      <c r="H2328" s="20">
        <f>TRUNC($F2328*G2328*0.0000001,1)</f>
        <v>0</v>
      </c>
      <c r="I2328" s="19">
        <v>2413</v>
      </c>
      <c r="J2328" s="20">
        <f>TRUNC($F2328*I2328*0.0000001,1)</f>
        <v>73035.899999999994</v>
      </c>
    </row>
    <row r="2329" spans="2:10" ht="11.25" customHeight="1" x14ac:dyDescent="0.2">
      <c r="C2329" s="107" t="s">
        <v>1289</v>
      </c>
      <c r="D2329" s="109"/>
      <c r="E2329" s="34"/>
      <c r="F2329" s="33"/>
      <c r="G2329" s="33"/>
      <c r="H2329" s="24">
        <f>TRUNC(SUM(H2327:H2328))</f>
        <v>47476</v>
      </c>
      <c r="I2329" s="33"/>
      <c r="J2329" s="24">
        <f>TRUNC(SUM(J2327:J2328))</f>
        <v>73035</v>
      </c>
    </row>
    <row r="2330" spans="2:10" ht="11.25" customHeight="1" x14ac:dyDescent="0.2">
      <c r="C2330" s="4"/>
      <c r="D2330" s="4"/>
      <c r="E2330" s="18"/>
      <c r="F2330" s="21"/>
      <c r="G2330" s="18"/>
      <c r="H2330" s="20"/>
      <c r="I2330" s="18"/>
      <c r="J2330" s="20"/>
    </row>
    <row r="2331" spans="2:10" ht="11.25" customHeight="1" x14ac:dyDescent="0.2">
      <c r="B2331" s="16"/>
      <c r="C2331" s="108" t="s">
        <v>1286</v>
      </c>
      <c r="D2331" s="108"/>
      <c r="E2331" s="103"/>
      <c r="F2331" s="102"/>
      <c r="G2331" s="102"/>
      <c r="H2331" s="104">
        <f>TRUNC(H2329+H2322+H2325)</f>
        <v>138436</v>
      </c>
      <c r="I2331" s="102"/>
      <c r="J2331" s="104">
        <f>TRUNC(J2329+J2322+J2325)</f>
        <v>190130</v>
      </c>
    </row>
    <row r="2333" spans="2:10" ht="11.25" customHeight="1" x14ac:dyDescent="0.2">
      <c r="B2333" s="68" t="s">
        <v>1716</v>
      </c>
      <c r="C2333" s="119"/>
      <c r="H2333" s="49" t="s">
        <v>1307</v>
      </c>
    </row>
    <row r="2334" spans="2:10" ht="11.25" customHeight="1" x14ac:dyDescent="0.2">
      <c r="B2334" s="186" t="s">
        <v>427</v>
      </c>
      <c r="C2334" s="187" t="s">
        <v>428</v>
      </c>
      <c r="D2334" s="187" t="s">
        <v>429</v>
      </c>
      <c r="E2334" s="188" t="s">
        <v>430</v>
      </c>
      <c r="F2334" s="188" t="s">
        <v>431</v>
      </c>
      <c r="G2334" s="94" t="s">
        <v>1060</v>
      </c>
      <c r="H2334" s="151"/>
    </row>
    <row r="2335" spans="2:10" ht="11.25" customHeight="1" x14ac:dyDescent="0.2">
      <c r="B2335" s="186"/>
      <c r="C2335" s="187"/>
      <c r="D2335" s="187"/>
      <c r="E2335" s="188"/>
      <c r="F2335" s="188"/>
      <c r="G2335" s="17" t="s">
        <v>436</v>
      </c>
      <c r="H2335" s="17" t="s">
        <v>437</v>
      </c>
    </row>
    <row r="2336" spans="2:10" ht="11.25" customHeight="1" x14ac:dyDescent="0.2">
      <c r="C2336" s="4" t="s">
        <v>426</v>
      </c>
      <c r="D2336" s="4"/>
      <c r="E2336" s="13" t="s">
        <v>494</v>
      </c>
      <c r="F2336" s="25">
        <v>1505.45</v>
      </c>
      <c r="G2336" s="26">
        <v>1.3</v>
      </c>
      <c r="H2336" s="20">
        <f>TRUNC(($F2336*G2336),1)</f>
        <v>1957</v>
      </c>
    </row>
    <row r="2337" spans="2:10" ht="11.25" customHeight="1" x14ac:dyDescent="0.2">
      <c r="C2337" s="4" t="s">
        <v>878</v>
      </c>
      <c r="D2337" s="4" t="s">
        <v>203</v>
      </c>
      <c r="E2337" s="13" t="s">
        <v>232</v>
      </c>
      <c r="F2337" s="18"/>
      <c r="G2337" s="21">
        <v>20</v>
      </c>
      <c r="H2337" s="20">
        <f>TRUNC(H2336*G2337*0.01,1)</f>
        <v>391.4</v>
      </c>
    </row>
    <row r="2338" spans="2:10" ht="11.25" customHeight="1" x14ac:dyDescent="0.2">
      <c r="C2338" s="107" t="s">
        <v>799</v>
      </c>
      <c r="D2338" s="109"/>
      <c r="E2338" s="34"/>
      <c r="F2338" s="33"/>
      <c r="G2338" s="33"/>
      <c r="H2338" s="24">
        <f>TRUNC(SUM(H2336:H2337))</f>
        <v>2348</v>
      </c>
    </row>
    <row r="2339" spans="2:10" ht="11.25" customHeight="1" x14ac:dyDescent="0.2">
      <c r="C2339" s="4"/>
      <c r="D2339" s="4"/>
      <c r="E2339" s="18"/>
      <c r="F2339" s="21"/>
      <c r="G2339" s="18"/>
      <c r="H2339" s="20"/>
    </row>
    <row r="2340" spans="2:10" ht="11.25" customHeight="1" x14ac:dyDescent="0.2">
      <c r="C2340" s="4" t="s">
        <v>874</v>
      </c>
      <c r="D2340" s="4" t="s">
        <v>866</v>
      </c>
      <c r="E2340" s="13" t="s">
        <v>497</v>
      </c>
      <c r="F2340" s="28">
        <v>173995</v>
      </c>
      <c r="G2340" s="18">
        <v>0.20799999999999999</v>
      </c>
      <c r="H2340" s="20">
        <f>TRUNC(($F2340*G2340),1)</f>
        <v>36190.9</v>
      </c>
    </row>
    <row r="2341" spans="2:10" ht="11.25" customHeight="1" x14ac:dyDescent="0.2">
      <c r="C2341" s="107" t="s">
        <v>1285</v>
      </c>
      <c r="D2341" s="109"/>
      <c r="E2341" s="34"/>
      <c r="F2341" s="33"/>
      <c r="G2341" s="33"/>
      <c r="H2341" s="24">
        <f>TRUNC(SUM(H2340:H2340))</f>
        <v>36190</v>
      </c>
    </row>
    <row r="2342" spans="2:10" ht="11.25" customHeight="1" x14ac:dyDescent="0.2">
      <c r="C2342" s="4"/>
      <c r="D2342" s="4"/>
      <c r="E2342" s="18"/>
      <c r="F2342" s="21"/>
      <c r="G2342" s="18"/>
      <c r="H2342" s="20"/>
    </row>
    <row r="2343" spans="2:10" ht="11.25" customHeight="1" x14ac:dyDescent="0.2">
      <c r="B2343" s="8" t="s">
        <v>1244</v>
      </c>
      <c r="C2343" s="4" t="s">
        <v>1246</v>
      </c>
      <c r="D2343" s="106" t="s">
        <v>172</v>
      </c>
      <c r="E2343" s="13" t="s">
        <v>746</v>
      </c>
      <c r="F2343" s="66">
        <v>43960000</v>
      </c>
      <c r="G2343" s="19">
        <v>3508</v>
      </c>
      <c r="H2343" s="20">
        <f>TRUNC($F2343*G2343*0.0000001,1)</f>
        <v>15421.1</v>
      </c>
    </row>
    <row r="2344" spans="2:10" ht="11.25" customHeight="1" x14ac:dyDescent="0.2">
      <c r="C2344" s="107" t="s">
        <v>1289</v>
      </c>
      <c r="D2344" s="109"/>
      <c r="E2344" s="34"/>
      <c r="F2344" s="33"/>
      <c r="G2344" s="33"/>
      <c r="H2344" s="24">
        <f>TRUNC(SUM(H2343:H2343))</f>
        <v>15421</v>
      </c>
    </row>
    <row r="2345" spans="2:10" ht="11.25" customHeight="1" x14ac:dyDescent="0.2">
      <c r="C2345" s="4"/>
      <c r="D2345" s="4"/>
      <c r="E2345" s="18"/>
      <c r="F2345" s="21"/>
      <c r="G2345" s="18"/>
      <c r="H2345" s="20"/>
    </row>
    <row r="2346" spans="2:10" ht="11.25" customHeight="1" x14ac:dyDescent="0.2">
      <c r="B2346" s="16"/>
      <c r="C2346" s="108" t="s">
        <v>1286</v>
      </c>
      <c r="D2346" s="108"/>
      <c r="E2346" s="103"/>
      <c r="F2346" s="102"/>
      <c r="G2346" s="102"/>
      <c r="H2346" s="104">
        <f>TRUNC(H2344+H2338+H2341)</f>
        <v>53959</v>
      </c>
    </row>
    <row r="2348" spans="2:10" ht="11.25" customHeight="1" x14ac:dyDescent="0.2">
      <c r="B2348" s="68" t="s">
        <v>1717</v>
      </c>
      <c r="C2348" s="119"/>
      <c r="H2348" s="49"/>
      <c r="J2348" s="49" t="s">
        <v>1307</v>
      </c>
    </row>
    <row r="2349" spans="2:10" ht="11.25" customHeight="1" x14ac:dyDescent="0.2">
      <c r="B2349" s="186" t="s">
        <v>427</v>
      </c>
      <c r="C2349" s="187" t="s">
        <v>428</v>
      </c>
      <c r="D2349" s="187" t="s">
        <v>429</v>
      </c>
      <c r="E2349" s="188" t="s">
        <v>430</v>
      </c>
      <c r="F2349" s="188" t="s">
        <v>431</v>
      </c>
      <c r="G2349" s="148" t="s">
        <v>595</v>
      </c>
      <c r="H2349" s="148"/>
      <c r="I2349" s="166" t="s">
        <v>741</v>
      </c>
      <c r="J2349" s="148"/>
    </row>
    <row r="2350" spans="2:10" ht="11.25" customHeight="1" x14ac:dyDescent="0.2">
      <c r="B2350" s="186"/>
      <c r="C2350" s="187"/>
      <c r="D2350" s="187"/>
      <c r="E2350" s="188"/>
      <c r="F2350" s="188"/>
      <c r="G2350" s="85" t="s">
        <v>436</v>
      </c>
      <c r="H2350" s="85" t="s">
        <v>437</v>
      </c>
      <c r="I2350" s="85" t="s">
        <v>436</v>
      </c>
      <c r="J2350" s="85" t="s">
        <v>437</v>
      </c>
    </row>
    <row r="2351" spans="2:10" ht="11.25" customHeight="1" x14ac:dyDescent="0.2">
      <c r="C2351" s="4" t="s">
        <v>620</v>
      </c>
      <c r="D2351" s="4"/>
      <c r="E2351" s="13" t="s">
        <v>264</v>
      </c>
      <c r="F2351" s="75">
        <v>0</v>
      </c>
      <c r="G2351" s="26">
        <v>15.1</v>
      </c>
      <c r="H2351" s="20">
        <f>TRUNC(($F2351*G2351),1)</f>
        <v>0</v>
      </c>
      <c r="I2351" s="26">
        <v>15.1</v>
      </c>
      <c r="J2351" s="20">
        <f>TRUNC(($F2351*I2351),1)</f>
        <v>0</v>
      </c>
    </row>
    <row r="2352" spans="2:10" ht="11.25" customHeight="1" x14ac:dyDescent="0.2">
      <c r="C2352" s="107" t="s">
        <v>799</v>
      </c>
      <c r="D2352" s="109"/>
      <c r="E2352" s="34"/>
      <c r="F2352" s="33"/>
      <c r="G2352" s="33"/>
      <c r="H2352" s="24">
        <f>TRUNC(SUM(H2351:H2351))</f>
        <v>0</v>
      </c>
      <c r="I2352" s="33"/>
      <c r="J2352" s="24">
        <f>TRUNC(SUM(J2351:J2351))</f>
        <v>0</v>
      </c>
    </row>
    <row r="2353" spans="1:12" ht="11.25" customHeight="1" x14ac:dyDescent="0.2">
      <c r="C2353" s="4"/>
      <c r="D2353" s="4"/>
      <c r="E2353" s="18"/>
      <c r="F2353" s="21"/>
      <c r="G2353" s="18"/>
      <c r="H2353" s="20"/>
      <c r="I2353" s="18"/>
      <c r="J2353" s="20"/>
    </row>
    <row r="2354" spans="1:12" ht="11.25" customHeight="1" x14ac:dyDescent="0.2">
      <c r="B2354" s="8" t="s">
        <v>739</v>
      </c>
      <c r="C2354" s="4" t="s">
        <v>1720</v>
      </c>
      <c r="D2354" s="106" t="s">
        <v>1718</v>
      </c>
      <c r="E2354" s="13" t="s">
        <v>223</v>
      </c>
      <c r="F2354" s="66">
        <v>16828000</v>
      </c>
      <c r="G2354" s="19">
        <v>6502</v>
      </c>
      <c r="H2354" s="20">
        <f>TRUNC($F2354*G2354*0.0000001,1)</f>
        <v>10941.5</v>
      </c>
      <c r="I2354" s="21">
        <v>0</v>
      </c>
      <c r="J2354" s="20">
        <f>TRUNC($F2354*I2354*0.0000001,1)</f>
        <v>0</v>
      </c>
    </row>
    <row r="2355" spans="1:12" ht="11.25" customHeight="1" x14ac:dyDescent="0.2">
      <c r="B2355" s="8" t="s">
        <v>740</v>
      </c>
      <c r="C2355" s="4" t="s">
        <v>1720</v>
      </c>
      <c r="D2355" s="106" t="s">
        <v>1719</v>
      </c>
      <c r="E2355" s="13" t="s">
        <v>223</v>
      </c>
      <c r="F2355" s="66">
        <v>21722000</v>
      </c>
      <c r="G2355" s="21">
        <v>0</v>
      </c>
      <c r="H2355" s="20">
        <f>TRUNC($F2355*G2355*0.0000001,1)</f>
        <v>0</v>
      </c>
      <c r="I2355" s="19">
        <v>6502</v>
      </c>
      <c r="J2355" s="20">
        <f>TRUNC($F2355*I2355*0.0000001,1)</f>
        <v>14123.6</v>
      </c>
    </row>
    <row r="2356" spans="1:12" ht="11.25" customHeight="1" x14ac:dyDescent="0.2">
      <c r="C2356" s="107" t="s">
        <v>1289</v>
      </c>
      <c r="D2356" s="109"/>
      <c r="E2356" s="34"/>
      <c r="F2356" s="33"/>
      <c r="G2356" s="33"/>
      <c r="H2356" s="24">
        <f>TRUNC(SUM(H2354:H2355))</f>
        <v>10941</v>
      </c>
      <c r="I2356" s="33"/>
      <c r="J2356" s="24">
        <f>TRUNC(SUM(J2354:J2355))</f>
        <v>14123</v>
      </c>
    </row>
    <row r="2357" spans="1:12" ht="11.25" customHeight="1" x14ac:dyDescent="0.2">
      <c r="C2357" s="4"/>
      <c r="D2357" s="4"/>
      <c r="E2357" s="18"/>
      <c r="F2357" s="21"/>
      <c r="G2357" s="18"/>
      <c r="H2357" s="20"/>
      <c r="I2357" s="18"/>
      <c r="J2357" s="20"/>
    </row>
    <row r="2358" spans="1:12" ht="11.25" customHeight="1" x14ac:dyDescent="0.2">
      <c r="B2358" s="16"/>
      <c r="C2358" s="108" t="s">
        <v>1286</v>
      </c>
      <c r="D2358" s="108"/>
      <c r="E2358" s="103"/>
      <c r="F2358" s="102"/>
      <c r="G2358" s="102"/>
      <c r="H2358" s="104">
        <f>TRUNC(H2356+H2352)</f>
        <v>10941</v>
      </c>
      <c r="I2358" s="102"/>
      <c r="J2358" s="104">
        <f>TRUNC(J2356+J2352)</f>
        <v>14123</v>
      </c>
    </row>
    <row r="2360" spans="1:12" ht="11.25" customHeight="1" x14ac:dyDescent="0.2">
      <c r="B2360" s="68" t="s">
        <v>1722</v>
      </c>
      <c r="C2360" s="119"/>
      <c r="L2360" s="49" t="s">
        <v>1307</v>
      </c>
    </row>
    <row r="2361" spans="1:12" ht="11.25" customHeight="1" x14ac:dyDescent="0.2">
      <c r="B2361" s="186" t="s">
        <v>427</v>
      </c>
      <c r="C2361" s="187" t="s">
        <v>428</v>
      </c>
      <c r="D2361" s="187" t="s">
        <v>429</v>
      </c>
      <c r="E2361" s="188" t="s">
        <v>430</v>
      </c>
      <c r="F2361" s="188" t="s">
        <v>431</v>
      </c>
      <c r="G2361" s="94" t="s">
        <v>1256</v>
      </c>
      <c r="H2361" s="151"/>
      <c r="I2361" s="94" t="s">
        <v>439</v>
      </c>
      <c r="J2361" s="151"/>
      <c r="K2361" s="94" t="s">
        <v>1119</v>
      </c>
      <c r="L2361" s="151"/>
    </row>
    <row r="2362" spans="1:12" ht="11.25" customHeight="1" x14ac:dyDescent="0.2">
      <c r="B2362" s="186"/>
      <c r="C2362" s="187"/>
      <c r="D2362" s="187"/>
      <c r="E2362" s="188"/>
      <c r="F2362" s="188"/>
      <c r="G2362" s="17" t="s">
        <v>436</v>
      </c>
      <c r="H2362" s="17" t="s">
        <v>437</v>
      </c>
      <c r="I2362" s="17" t="s">
        <v>436</v>
      </c>
      <c r="J2362" s="17" t="s">
        <v>437</v>
      </c>
      <c r="K2362" s="17" t="s">
        <v>436</v>
      </c>
      <c r="L2362" s="17" t="s">
        <v>437</v>
      </c>
    </row>
    <row r="2363" spans="1:12" ht="11.25" customHeight="1" x14ac:dyDescent="0.2">
      <c r="C2363" s="4" t="s">
        <v>426</v>
      </c>
      <c r="D2363" s="4"/>
      <c r="E2363" s="13" t="s">
        <v>494</v>
      </c>
      <c r="F2363" s="25">
        <v>1505.45</v>
      </c>
      <c r="G2363" s="26">
        <v>8.1999999999999993</v>
      </c>
      <c r="H2363" s="20">
        <f>TRUNC(($F2363*G2363),1)</f>
        <v>12344.6</v>
      </c>
      <c r="I2363" s="26">
        <v>8.6</v>
      </c>
      <c r="J2363" s="20">
        <f>TRUNC(($F2363*I2363),1)</f>
        <v>12946.8</v>
      </c>
      <c r="K2363" s="26">
        <v>9.3000000000000007</v>
      </c>
      <c r="L2363" s="20">
        <f>TRUNC(($F2363*K2363),1)</f>
        <v>14000.6</v>
      </c>
    </row>
    <row r="2364" spans="1:12" ht="11.25" customHeight="1" x14ac:dyDescent="0.2">
      <c r="C2364" s="4" t="s">
        <v>878</v>
      </c>
      <c r="D2364" s="4" t="s">
        <v>203</v>
      </c>
      <c r="E2364" s="13" t="s">
        <v>232</v>
      </c>
      <c r="F2364" s="18"/>
      <c r="G2364" s="21">
        <v>30</v>
      </c>
      <c r="H2364" s="20">
        <f>TRUNC(H2363*G2364*0.01,1)</f>
        <v>3703.3</v>
      </c>
      <c r="I2364" s="21">
        <v>30</v>
      </c>
      <c r="J2364" s="20">
        <f>TRUNC(J2363*I2364*0.01,1)</f>
        <v>3884</v>
      </c>
      <c r="K2364" s="21">
        <v>30</v>
      </c>
      <c r="L2364" s="20">
        <f>TRUNC(L2363*K2364*0.01,1)</f>
        <v>4200.1000000000004</v>
      </c>
    </row>
    <row r="2365" spans="1:12" ht="11.25" customHeight="1" x14ac:dyDescent="0.2">
      <c r="A2365" s="7"/>
      <c r="C2365" s="107" t="s">
        <v>799</v>
      </c>
      <c r="D2365" s="109"/>
      <c r="E2365" s="34"/>
      <c r="F2365" s="33"/>
      <c r="G2365" s="33"/>
      <c r="H2365" s="24">
        <f>TRUNC(SUM(H2363:H2364))</f>
        <v>16047</v>
      </c>
      <c r="I2365" s="33"/>
      <c r="J2365" s="24">
        <f>TRUNC(SUM(J2363:J2364))</f>
        <v>16830</v>
      </c>
      <c r="K2365" s="33"/>
      <c r="L2365" s="24">
        <f>TRUNC(SUM(L2363:L2364))</f>
        <v>18200</v>
      </c>
    </row>
    <row r="2366" spans="1:12" ht="11.25" customHeight="1" x14ac:dyDescent="0.2">
      <c r="C2366" s="107"/>
      <c r="D2366" s="109"/>
      <c r="E2366" s="34"/>
      <c r="F2366" s="33"/>
      <c r="G2366" s="33"/>
      <c r="H2366" s="24"/>
      <c r="I2366" s="33"/>
      <c r="J2366" s="24"/>
      <c r="K2366" s="33"/>
      <c r="L2366" s="24"/>
    </row>
    <row r="2367" spans="1:12" ht="11.25" customHeight="1" x14ac:dyDescent="0.2">
      <c r="C2367" s="4" t="s">
        <v>875</v>
      </c>
      <c r="D2367" s="4" t="s">
        <v>866</v>
      </c>
      <c r="E2367" s="13" t="s">
        <v>497</v>
      </c>
      <c r="F2367" s="28">
        <v>238936</v>
      </c>
      <c r="G2367" s="18">
        <v>0.20799999999999999</v>
      </c>
      <c r="H2367" s="20">
        <f>TRUNC(($F2367*G2367),1)</f>
        <v>49698.6</v>
      </c>
      <c r="I2367" s="18">
        <v>0.20799999999999999</v>
      </c>
      <c r="J2367" s="20">
        <f>TRUNC(($F2367*I2367),1)</f>
        <v>49698.6</v>
      </c>
      <c r="K2367" s="18">
        <v>0.20799999999999999</v>
      </c>
      <c r="L2367" s="20">
        <f>TRUNC(($F2367*K2367),1)</f>
        <v>49698.6</v>
      </c>
    </row>
    <row r="2368" spans="1:12" ht="11.25" customHeight="1" x14ac:dyDescent="0.2">
      <c r="C2368" s="107" t="s">
        <v>1285</v>
      </c>
      <c r="D2368" s="109"/>
      <c r="E2368" s="34"/>
      <c r="F2368" s="33"/>
      <c r="G2368" s="33"/>
      <c r="H2368" s="24">
        <f>TRUNC(SUM(H2367:H2367))</f>
        <v>49698</v>
      </c>
      <c r="I2368" s="33"/>
      <c r="J2368" s="24">
        <f>TRUNC(SUM(J2367:J2367))</f>
        <v>49698</v>
      </c>
      <c r="K2368" s="33"/>
      <c r="L2368" s="24">
        <f>TRUNC(SUM(L2367:L2367))</f>
        <v>49698</v>
      </c>
    </row>
    <row r="2369" spans="2:12" ht="11.25" customHeight="1" x14ac:dyDescent="0.2">
      <c r="C2369" s="107"/>
      <c r="D2369" s="109"/>
      <c r="E2369" s="34"/>
      <c r="F2369" s="33"/>
      <c r="G2369" s="33"/>
      <c r="H2369" s="24"/>
      <c r="I2369" s="33"/>
      <c r="J2369" s="24"/>
      <c r="K2369" s="33"/>
      <c r="L2369" s="24"/>
    </row>
    <row r="2370" spans="2:12" ht="11.25" customHeight="1" x14ac:dyDescent="0.2">
      <c r="B2370" s="8" t="s">
        <v>1255</v>
      </c>
      <c r="C2370" s="4" t="s">
        <v>1194</v>
      </c>
      <c r="D2370" s="155" t="s">
        <v>1264</v>
      </c>
      <c r="E2370" s="13" t="s">
        <v>746</v>
      </c>
      <c r="F2370" s="66">
        <v>35141000</v>
      </c>
      <c r="G2370" s="19">
        <v>2113</v>
      </c>
      <c r="H2370" s="20">
        <f>TRUNC($F2370*G2370*0.0000001,1)</f>
        <v>7425.2</v>
      </c>
      <c r="I2370" s="21">
        <v>0</v>
      </c>
      <c r="J2370" s="20">
        <f>TRUNC($F2370*I2370*0.0000001,1)</f>
        <v>0</v>
      </c>
      <c r="K2370" s="21">
        <v>0</v>
      </c>
      <c r="L2370" s="20">
        <f>TRUNC($F2370*K2370*0.0000001,1)</f>
        <v>0</v>
      </c>
    </row>
    <row r="2371" spans="2:12" ht="11.25" customHeight="1" x14ac:dyDescent="0.2">
      <c r="B2371" s="8" t="s">
        <v>1241</v>
      </c>
      <c r="C2371" s="4" t="s">
        <v>1194</v>
      </c>
      <c r="D2371" s="106" t="s">
        <v>293</v>
      </c>
      <c r="E2371" s="13" t="s">
        <v>223</v>
      </c>
      <c r="F2371" s="66">
        <v>40753000</v>
      </c>
      <c r="G2371" s="21">
        <v>0</v>
      </c>
      <c r="H2371" s="20">
        <f>TRUNC($F2371*G2371*0.0000001,1)</f>
        <v>0</v>
      </c>
      <c r="I2371" s="19">
        <v>2113</v>
      </c>
      <c r="J2371" s="20">
        <f>TRUNC($F2371*I2371*0.0000001,1)</f>
        <v>8611.1</v>
      </c>
      <c r="K2371" s="21">
        <v>0</v>
      </c>
      <c r="L2371" s="20">
        <f>TRUNC($F2371*K2371*0.0000001,1)</f>
        <v>0</v>
      </c>
    </row>
    <row r="2372" spans="2:12" ht="11.25" customHeight="1" x14ac:dyDescent="0.2">
      <c r="B2372" s="8" t="s">
        <v>1240</v>
      </c>
      <c r="C2372" s="4" t="s">
        <v>1194</v>
      </c>
      <c r="D2372" s="106" t="s">
        <v>759</v>
      </c>
      <c r="E2372" s="13" t="s">
        <v>746</v>
      </c>
      <c r="F2372" s="66">
        <v>47263000</v>
      </c>
      <c r="G2372" s="21">
        <v>0</v>
      </c>
      <c r="H2372" s="20">
        <f>TRUNC($F2372*G2372*0.0000001,1)</f>
        <v>0</v>
      </c>
      <c r="I2372" s="21">
        <v>0</v>
      </c>
      <c r="J2372" s="20">
        <f>TRUNC($F2372*I2372*0.0000001,1)</f>
        <v>0</v>
      </c>
      <c r="K2372" s="19">
        <v>2113</v>
      </c>
      <c r="L2372" s="20">
        <f>TRUNC($F2372*K2372*0.0000001,1)</f>
        <v>9986.6</v>
      </c>
    </row>
    <row r="2373" spans="2:12" ht="11.25" customHeight="1" x14ac:dyDescent="0.2">
      <c r="C2373" s="107" t="s">
        <v>1289</v>
      </c>
      <c r="D2373" s="109"/>
      <c r="E2373" s="34"/>
      <c r="F2373" s="33"/>
      <c r="G2373" s="33"/>
      <c r="H2373" s="24">
        <f>TRUNC(SUM(H2370:H2372))</f>
        <v>7425</v>
      </c>
      <c r="I2373" s="33"/>
      <c r="J2373" s="24">
        <f>TRUNC(SUM(J2370:J2372))</f>
        <v>8611</v>
      </c>
      <c r="K2373" s="33"/>
      <c r="L2373" s="24">
        <f>TRUNC(SUM(L2370:L2372))</f>
        <v>9986</v>
      </c>
    </row>
    <row r="2374" spans="2:12" ht="11.25" customHeight="1" x14ac:dyDescent="0.2">
      <c r="C2374" s="107"/>
      <c r="D2374" s="109"/>
      <c r="E2374" s="34"/>
      <c r="F2374" s="33"/>
      <c r="G2374" s="33"/>
      <c r="H2374" s="24"/>
      <c r="I2374" s="33"/>
      <c r="J2374" s="24"/>
      <c r="K2374" s="33"/>
      <c r="L2374" s="24"/>
    </row>
    <row r="2375" spans="2:12" ht="11.25" customHeight="1" x14ac:dyDescent="0.2">
      <c r="C2375" s="126" t="s">
        <v>1286</v>
      </c>
      <c r="D2375" s="126"/>
      <c r="E2375" s="127"/>
      <c r="F2375" s="125"/>
      <c r="G2375" s="125"/>
      <c r="H2375" s="128">
        <f>TRUNC(H2373+H2365+H2368)</f>
        <v>73170</v>
      </c>
      <c r="I2375" s="125"/>
      <c r="J2375" s="128">
        <f>TRUNC(J2373+J2365+J2368)</f>
        <v>75139</v>
      </c>
      <c r="K2375" s="102"/>
      <c r="L2375" s="104">
        <f>TRUNC(L2373+L2365+L2368)</f>
        <v>77884</v>
      </c>
    </row>
    <row r="2376" spans="2:12" ht="11.25" customHeight="1" x14ac:dyDescent="0.2">
      <c r="B2376" s="186" t="s">
        <v>427</v>
      </c>
      <c r="C2376" s="187" t="s">
        <v>428</v>
      </c>
      <c r="D2376" s="187" t="s">
        <v>429</v>
      </c>
      <c r="E2376" s="188" t="s">
        <v>430</v>
      </c>
      <c r="F2376" s="188" t="s">
        <v>431</v>
      </c>
      <c r="G2376" s="94" t="s">
        <v>1243</v>
      </c>
      <c r="H2376" s="151"/>
      <c r="I2376" s="94" t="s">
        <v>9</v>
      </c>
      <c r="J2376" s="151"/>
    </row>
    <row r="2377" spans="2:12" ht="11.25" customHeight="1" x14ac:dyDescent="0.2">
      <c r="B2377" s="186"/>
      <c r="C2377" s="187"/>
      <c r="D2377" s="187"/>
      <c r="E2377" s="188"/>
      <c r="F2377" s="188"/>
      <c r="G2377" s="17" t="s">
        <v>436</v>
      </c>
      <c r="H2377" s="17" t="s">
        <v>437</v>
      </c>
      <c r="I2377" s="17" t="s">
        <v>436</v>
      </c>
      <c r="J2377" s="17" t="s">
        <v>437</v>
      </c>
    </row>
    <row r="2378" spans="2:12" ht="11.25" customHeight="1" x14ac:dyDescent="0.2">
      <c r="C2378" s="4" t="s">
        <v>426</v>
      </c>
      <c r="D2378" s="4"/>
      <c r="E2378" s="13" t="s">
        <v>494</v>
      </c>
      <c r="F2378" s="25">
        <v>1505.45</v>
      </c>
      <c r="G2378" s="26">
        <v>9.4</v>
      </c>
      <c r="H2378" s="20">
        <f>TRUNC(($F2378*G2378),1)</f>
        <v>14151.2</v>
      </c>
      <c r="I2378" s="26">
        <v>12.9</v>
      </c>
      <c r="J2378" s="20">
        <f>TRUNC(($F2378*I2378),1)</f>
        <v>19420.3</v>
      </c>
    </row>
    <row r="2379" spans="2:12" ht="11.25" customHeight="1" x14ac:dyDescent="0.2">
      <c r="C2379" s="4" t="s">
        <v>878</v>
      </c>
      <c r="D2379" s="4" t="s">
        <v>203</v>
      </c>
      <c r="E2379" s="13" t="s">
        <v>232</v>
      </c>
      <c r="F2379" s="18"/>
      <c r="G2379" s="21">
        <v>30</v>
      </c>
      <c r="H2379" s="20">
        <f>TRUNC(H2378*G2379*0.01,1)</f>
        <v>4245.3</v>
      </c>
      <c r="I2379" s="21">
        <v>30</v>
      </c>
      <c r="J2379" s="20">
        <f>TRUNC(J2378*I2379*0.01,1)</f>
        <v>5826</v>
      </c>
    </row>
    <row r="2380" spans="2:12" ht="11.25" customHeight="1" x14ac:dyDescent="0.2">
      <c r="C2380" s="107" t="s">
        <v>799</v>
      </c>
      <c r="D2380" s="109"/>
      <c r="E2380" s="34"/>
      <c r="F2380" s="33"/>
      <c r="G2380" s="33"/>
      <c r="H2380" s="24">
        <f>TRUNC(SUM(H2378:H2379))</f>
        <v>18396</v>
      </c>
      <c r="I2380" s="33"/>
      <c r="J2380" s="24">
        <f>TRUNC(SUM(J2378:J2379))</f>
        <v>25246</v>
      </c>
    </row>
    <row r="2381" spans="2:12" ht="11.25" customHeight="1" x14ac:dyDescent="0.2">
      <c r="C2381" s="107"/>
      <c r="D2381" s="109"/>
      <c r="E2381" s="34"/>
      <c r="F2381" s="33"/>
      <c r="G2381" s="33"/>
      <c r="H2381" s="24"/>
      <c r="I2381" s="33"/>
      <c r="J2381" s="24"/>
    </row>
    <row r="2382" spans="2:12" ht="11.25" customHeight="1" x14ac:dyDescent="0.2">
      <c r="C2382" s="4" t="s">
        <v>875</v>
      </c>
      <c r="D2382" s="4" t="s">
        <v>866</v>
      </c>
      <c r="E2382" s="13" t="s">
        <v>497</v>
      </c>
      <c r="F2382" s="28">
        <v>238936</v>
      </c>
      <c r="G2382" s="18">
        <v>0.20799999999999999</v>
      </c>
      <c r="H2382" s="20">
        <f>TRUNC(($F2382*G2382),1)</f>
        <v>49698.6</v>
      </c>
      <c r="I2382" s="18">
        <v>0.20799999999999999</v>
      </c>
      <c r="J2382" s="20">
        <f>TRUNC(($F2382*I2382),1)</f>
        <v>49698.6</v>
      </c>
    </row>
    <row r="2383" spans="2:12" ht="11.25" customHeight="1" x14ac:dyDescent="0.2">
      <c r="C2383" s="107" t="s">
        <v>1285</v>
      </c>
      <c r="D2383" s="109"/>
      <c r="E2383" s="34"/>
      <c r="F2383" s="33"/>
      <c r="G2383" s="33"/>
      <c r="H2383" s="24">
        <f>TRUNC(SUM(H2382:H2382))</f>
        <v>49698</v>
      </c>
      <c r="I2383" s="33"/>
      <c r="J2383" s="24">
        <f>TRUNC(SUM(J2382:J2382))</f>
        <v>49698</v>
      </c>
    </row>
    <row r="2384" spans="2:12" ht="11.25" customHeight="1" x14ac:dyDescent="0.2">
      <c r="C2384" s="107"/>
      <c r="D2384" s="109"/>
      <c r="E2384" s="34"/>
      <c r="F2384" s="33"/>
      <c r="G2384" s="33"/>
      <c r="H2384" s="24"/>
      <c r="I2384" s="33"/>
      <c r="J2384" s="24"/>
    </row>
    <row r="2385" spans="2:12" ht="11.25" customHeight="1" x14ac:dyDescent="0.2">
      <c r="B2385" s="8" t="s">
        <v>1242</v>
      </c>
      <c r="C2385" s="4" t="s">
        <v>1194</v>
      </c>
      <c r="D2385" s="106" t="s">
        <v>1721</v>
      </c>
      <c r="E2385" s="13" t="s">
        <v>746</v>
      </c>
      <c r="F2385" s="66">
        <v>51396000</v>
      </c>
      <c r="G2385" s="19">
        <v>2113</v>
      </c>
      <c r="H2385" s="20">
        <f>TRUNC($F2385*G2385*0.0000001,1)</f>
        <v>10859.9</v>
      </c>
      <c r="I2385" s="21">
        <v>0</v>
      </c>
      <c r="J2385" s="20">
        <f>TRUNC($F2385*I2385*0.0000001,1)</f>
        <v>0</v>
      </c>
    </row>
    <row r="2386" spans="2:12" ht="11.25" customHeight="1" x14ac:dyDescent="0.2">
      <c r="B2386" s="8" t="s">
        <v>8</v>
      </c>
      <c r="C2386" s="4" t="s">
        <v>1194</v>
      </c>
      <c r="D2386" s="106" t="s">
        <v>1200</v>
      </c>
      <c r="E2386" s="13" t="s">
        <v>746</v>
      </c>
      <c r="F2386" s="66">
        <v>90649000</v>
      </c>
      <c r="G2386" s="21">
        <v>0</v>
      </c>
      <c r="H2386" s="20">
        <f>TRUNC($F2386*G2386*0.0000001,1)</f>
        <v>0</v>
      </c>
      <c r="I2386" s="19">
        <v>2113</v>
      </c>
      <c r="J2386" s="20">
        <f>TRUNC($F2386*I2386*0.0000001,1)</f>
        <v>19154.099999999999</v>
      </c>
    </row>
    <row r="2387" spans="2:12" ht="11.25" customHeight="1" x14ac:dyDescent="0.2">
      <c r="C2387" s="107" t="s">
        <v>1289</v>
      </c>
      <c r="D2387" s="109"/>
      <c r="E2387" s="34"/>
      <c r="F2387" s="33"/>
      <c r="G2387" s="33"/>
      <c r="H2387" s="24">
        <f>TRUNC(SUM(H2385:H2386))</f>
        <v>10859</v>
      </c>
      <c r="I2387" s="33"/>
      <c r="J2387" s="24">
        <f>TRUNC(SUM(J2385:J2386))</f>
        <v>19154</v>
      </c>
    </row>
    <row r="2388" spans="2:12" ht="11.25" customHeight="1" x14ac:dyDescent="0.2">
      <c r="C2388" s="107"/>
      <c r="D2388" s="109"/>
      <c r="E2388" s="34"/>
      <c r="F2388" s="33"/>
      <c r="G2388" s="33"/>
      <c r="H2388" s="24"/>
      <c r="I2388" s="33"/>
      <c r="J2388" s="24"/>
    </row>
    <row r="2389" spans="2:12" ht="11.25" customHeight="1" x14ac:dyDescent="0.2">
      <c r="B2389" s="16"/>
      <c r="C2389" s="108" t="s">
        <v>1286</v>
      </c>
      <c r="D2389" s="108"/>
      <c r="E2389" s="103"/>
      <c r="F2389" s="102"/>
      <c r="G2389" s="102"/>
      <c r="H2389" s="104">
        <f>TRUNC(H2387+H2380+H2383)</f>
        <v>78953</v>
      </c>
      <c r="I2389" s="102"/>
      <c r="J2389" s="104">
        <f>TRUNC(J2387+J2380+J2383)</f>
        <v>94098</v>
      </c>
    </row>
    <row r="2390" spans="2:12" ht="11.25" customHeight="1" x14ac:dyDescent="0.2">
      <c r="B2390" s="57"/>
      <c r="C2390" s="120"/>
      <c r="D2390" s="120"/>
      <c r="E2390" s="57"/>
      <c r="F2390" s="57"/>
      <c r="G2390" s="57"/>
      <c r="H2390" s="57"/>
      <c r="I2390" s="57"/>
    </row>
    <row r="2391" spans="2:12" ht="11.25" customHeight="1" x14ac:dyDescent="0.2">
      <c r="B2391" s="8" t="s">
        <v>1725</v>
      </c>
      <c r="L2391" s="49" t="s">
        <v>1307</v>
      </c>
    </row>
    <row r="2392" spans="2:12" ht="11.25" customHeight="1" x14ac:dyDescent="0.2">
      <c r="B2392" s="186" t="s">
        <v>427</v>
      </c>
      <c r="C2392" s="187" t="s">
        <v>428</v>
      </c>
      <c r="D2392" s="187" t="s">
        <v>429</v>
      </c>
      <c r="E2392" s="188" t="s">
        <v>430</v>
      </c>
      <c r="F2392" s="188" t="s">
        <v>431</v>
      </c>
      <c r="G2392" s="194" t="s">
        <v>226</v>
      </c>
      <c r="H2392" s="195"/>
      <c r="I2392" s="194" t="s">
        <v>217</v>
      </c>
      <c r="J2392" s="195"/>
      <c r="K2392" s="194" t="s">
        <v>227</v>
      </c>
      <c r="L2392" s="195"/>
    </row>
    <row r="2393" spans="2:12" ht="11.25" customHeight="1" x14ac:dyDescent="0.2">
      <c r="B2393" s="186"/>
      <c r="C2393" s="187"/>
      <c r="D2393" s="187"/>
      <c r="E2393" s="188"/>
      <c r="F2393" s="188"/>
      <c r="G2393" s="5" t="s">
        <v>221</v>
      </c>
      <c r="H2393" s="6" t="s">
        <v>222</v>
      </c>
      <c r="I2393" s="5" t="s">
        <v>221</v>
      </c>
      <c r="J2393" s="6" t="s">
        <v>222</v>
      </c>
      <c r="K2393" s="5" t="s">
        <v>221</v>
      </c>
      <c r="L2393" s="6" t="s">
        <v>222</v>
      </c>
    </row>
    <row r="2394" spans="2:12" ht="11.25" customHeight="1" x14ac:dyDescent="0.2">
      <c r="C2394" s="4" t="s">
        <v>426</v>
      </c>
      <c r="D2394" s="107"/>
      <c r="E2394" s="13" t="s">
        <v>494</v>
      </c>
      <c r="F2394" s="25">
        <v>1505.45</v>
      </c>
      <c r="G2394" s="21">
        <v>0</v>
      </c>
      <c r="H2394" s="20">
        <f>TRUNC(($F2394*G2394),1)</f>
        <v>0</v>
      </c>
      <c r="I2394" s="86">
        <v>80.900000000000006</v>
      </c>
      <c r="J2394" s="20">
        <f>TRUNC(($F2394*I2394),1)</f>
        <v>121790.9</v>
      </c>
      <c r="K2394" s="86">
        <v>95.8</v>
      </c>
      <c r="L2394" s="20">
        <f>TRUNC(($F2394*K2394),1)</f>
        <v>144222.1</v>
      </c>
    </row>
    <row r="2395" spans="2:12" ht="11.25" customHeight="1" x14ac:dyDescent="0.2">
      <c r="C2395" s="4" t="s">
        <v>878</v>
      </c>
      <c r="D2395" s="4" t="s">
        <v>203</v>
      </c>
      <c r="E2395" s="13" t="s">
        <v>232</v>
      </c>
      <c r="F2395" s="22"/>
      <c r="G2395" s="21">
        <v>0</v>
      </c>
      <c r="H2395" s="20">
        <f>TRUNC(H2394*G2395*0.01,1)</f>
        <v>0</v>
      </c>
      <c r="I2395" s="21">
        <v>24</v>
      </c>
      <c r="J2395" s="20">
        <f>TRUNC(J2394*I2395*0.01,1)</f>
        <v>29229.8</v>
      </c>
      <c r="K2395" s="21">
        <v>24</v>
      </c>
      <c r="L2395" s="20">
        <f>TRUNC(L2394*K2395*0.01,1)</f>
        <v>34613.300000000003</v>
      </c>
    </row>
    <row r="2396" spans="2:12" ht="11.25" customHeight="1" x14ac:dyDescent="0.2">
      <c r="C2396" s="107" t="s">
        <v>799</v>
      </c>
      <c r="D2396" s="107"/>
      <c r="E2396" s="22"/>
      <c r="F2396" s="22"/>
      <c r="G2396" s="22"/>
      <c r="H2396" s="24">
        <f>TRUNC(SUM(H2394:H2395))</f>
        <v>0</v>
      </c>
      <c r="I2396" s="22"/>
      <c r="J2396" s="24">
        <f>TRUNC(SUM(J2394:J2395))</f>
        <v>151020</v>
      </c>
      <c r="K2396" s="22"/>
      <c r="L2396" s="24">
        <f>TRUNC(SUM(L2394:L2395))</f>
        <v>178835</v>
      </c>
    </row>
    <row r="2397" spans="2:12" ht="11.25" customHeight="1" x14ac:dyDescent="0.2">
      <c r="C2397" s="107"/>
      <c r="D2397" s="109"/>
      <c r="E2397" s="34"/>
      <c r="F2397" s="33"/>
      <c r="G2397" s="33"/>
      <c r="H2397" s="24"/>
      <c r="I2397" s="33"/>
      <c r="J2397" s="24"/>
      <c r="K2397" s="33"/>
      <c r="L2397" s="24"/>
    </row>
    <row r="2398" spans="2:12" ht="11.25" customHeight="1" x14ac:dyDescent="0.2">
      <c r="B2398" s="29"/>
      <c r="C2398" s="110" t="s">
        <v>738</v>
      </c>
      <c r="D2398" s="4" t="s">
        <v>866</v>
      </c>
      <c r="E2398" s="47" t="s">
        <v>711</v>
      </c>
      <c r="F2398" s="81">
        <v>283297</v>
      </c>
      <c r="G2398" s="30">
        <v>0.20799999999999999</v>
      </c>
      <c r="H2398" s="20">
        <f>TRUNC(($F2398*G2398),1)</f>
        <v>58925.7</v>
      </c>
      <c r="I2398" s="30">
        <v>0.20799999999999999</v>
      </c>
      <c r="J2398" s="20">
        <f>TRUNC(($F2398*I2398),1)</f>
        <v>58925.7</v>
      </c>
      <c r="K2398" s="30">
        <v>0.20799999999999999</v>
      </c>
      <c r="L2398" s="20">
        <f>TRUNC(($F2398*K2398),1)</f>
        <v>58925.7</v>
      </c>
    </row>
    <row r="2399" spans="2:12" ht="11.25" customHeight="1" x14ac:dyDescent="0.2">
      <c r="B2399" s="29"/>
      <c r="C2399" s="121" t="s">
        <v>1285</v>
      </c>
      <c r="D2399" s="121"/>
      <c r="E2399" s="31"/>
      <c r="F2399" s="31"/>
      <c r="G2399" s="31"/>
      <c r="H2399" s="35">
        <f>TRUNC(SUM(H2398))</f>
        <v>58925</v>
      </c>
      <c r="I2399" s="31"/>
      <c r="J2399" s="35">
        <f>TRUNC(SUM(J2398))</f>
        <v>58925</v>
      </c>
      <c r="K2399" s="31"/>
      <c r="L2399" s="35">
        <f>TRUNC(SUM(L2398))</f>
        <v>58925</v>
      </c>
    </row>
    <row r="2400" spans="2:12" ht="11.25" customHeight="1" x14ac:dyDescent="0.2">
      <c r="C2400" s="107"/>
      <c r="D2400" s="109"/>
      <c r="E2400" s="97"/>
      <c r="F2400" s="33"/>
      <c r="G2400" s="33"/>
      <c r="H2400" s="24"/>
      <c r="I2400" s="33"/>
      <c r="J2400" s="24"/>
      <c r="K2400" s="33"/>
      <c r="L2400" s="24"/>
    </row>
    <row r="2401" spans="2:12" ht="11.25" customHeight="1" x14ac:dyDescent="0.2">
      <c r="B2401" s="29" t="s">
        <v>491</v>
      </c>
      <c r="C2401" s="110" t="s">
        <v>1726</v>
      </c>
      <c r="D2401" s="115" t="s">
        <v>226</v>
      </c>
      <c r="E2401" s="47" t="s">
        <v>746</v>
      </c>
      <c r="F2401" s="66">
        <v>150146000</v>
      </c>
      <c r="G2401" s="19">
        <v>3174</v>
      </c>
      <c r="H2401" s="20">
        <f>TRUNC($F2401*G2401*0.0000001,1)</f>
        <v>47656.3</v>
      </c>
      <c r="I2401" s="21">
        <v>0</v>
      </c>
      <c r="J2401" s="20">
        <f>TRUNC($F2401*I2401*0.0000001,1)</f>
        <v>0</v>
      </c>
      <c r="K2401" s="21">
        <v>0</v>
      </c>
      <c r="L2401" s="20">
        <f>TRUNC($F2401*K2401*0.0000001,1)</f>
        <v>0</v>
      </c>
    </row>
    <row r="2402" spans="2:12" ht="11.25" customHeight="1" x14ac:dyDescent="0.2">
      <c r="B2402" s="29" t="s">
        <v>224</v>
      </c>
      <c r="C2402" s="110" t="s">
        <v>1726</v>
      </c>
      <c r="D2402" s="115" t="s">
        <v>1723</v>
      </c>
      <c r="E2402" s="47" t="s">
        <v>223</v>
      </c>
      <c r="F2402" s="66">
        <v>519479000</v>
      </c>
      <c r="G2402" s="21">
        <v>0</v>
      </c>
      <c r="H2402" s="20">
        <f>TRUNC($F2402*G2402*0.0000001,1)</f>
        <v>0</v>
      </c>
      <c r="I2402" s="19">
        <v>3174</v>
      </c>
      <c r="J2402" s="20">
        <f>TRUNC($F2402*I2402*0.0000001,1)</f>
        <v>164882.6</v>
      </c>
      <c r="K2402" s="21">
        <v>0</v>
      </c>
      <c r="L2402" s="20">
        <f>TRUNC($F2402*K2402*0.0000001,1)</f>
        <v>0</v>
      </c>
    </row>
    <row r="2403" spans="2:12" ht="11.25" customHeight="1" x14ac:dyDescent="0.2">
      <c r="B2403" s="29" t="s">
        <v>225</v>
      </c>
      <c r="C2403" s="110" t="s">
        <v>1726</v>
      </c>
      <c r="D2403" s="115" t="s">
        <v>1724</v>
      </c>
      <c r="E2403" s="47" t="s">
        <v>223</v>
      </c>
      <c r="F2403" s="66">
        <v>545494000</v>
      </c>
      <c r="G2403" s="21">
        <v>0</v>
      </c>
      <c r="H2403" s="20">
        <f>TRUNC($F2403*G2403*0.0000001,1)</f>
        <v>0</v>
      </c>
      <c r="I2403" s="21">
        <v>0</v>
      </c>
      <c r="J2403" s="20">
        <f>TRUNC($F2403*I2403*0.0000001,1)</f>
        <v>0</v>
      </c>
      <c r="K2403" s="19">
        <v>3174</v>
      </c>
      <c r="L2403" s="20">
        <f>TRUNC($F2403*K2403*0.0000001,1)</f>
        <v>173139.7</v>
      </c>
    </row>
    <row r="2404" spans="2:12" ht="11.25" customHeight="1" x14ac:dyDescent="0.2">
      <c r="B2404" s="29"/>
      <c r="C2404" s="121" t="s">
        <v>1289</v>
      </c>
      <c r="D2404" s="121"/>
      <c r="E2404" s="31"/>
      <c r="F2404" s="31"/>
      <c r="G2404" s="31"/>
      <c r="H2404" s="79">
        <f>TRUNC(SUM(H2401:H2403))</f>
        <v>47656</v>
      </c>
      <c r="I2404" s="31"/>
      <c r="J2404" s="79">
        <f>TRUNC(SUM(J2401:J2403))</f>
        <v>164882</v>
      </c>
      <c r="K2404" s="31"/>
      <c r="L2404" s="79">
        <f>TRUNC(SUM(L2401:L2403))</f>
        <v>173139</v>
      </c>
    </row>
    <row r="2405" spans="2:12" ht="11.25" customHeight="1" x14ac:dyDescent="0.2">
      <c r="C2405" s="107"/>
      <c r="D2405" s="107"/>
      <c r="E2405" s="22"/>
      <c r="F2405" s="22"/>
      <c r="G2405" s="22"/>
      <c r="H2405" s="79"/>
      <c r="I2405" s="22"/>
      <c r="J2405" s="79"/>
      <c r="K2405" s="22"/>
      <c r="L2405" s="79"/>
    </row>
    <row r="2406" spans="2:12" ht="11.25" customHeight="1" x14ac:dyDescent="0.2">
      <c r="B2406" s="48"/>
      <c r="C2406" s="134" t="s">
        <v>1286</v>
      </c>
      <c r="D2406" s="134"/>
      <c r="E2406" s="129"/>
      <c r="F2406" s="129"/>
      <c r="G2406" s="129"/>
      <c r="H2406" s="104">
        <f>H2404+H2396+H2399</f>
        <v>106581</v>
      </c>
      <c r="I2406" s="129"/>
      <c r="J2406" s="104">
        <f>J2404+J2396+J2399</f>
        <v>374827</v>
      </c>
      <c r="K2406" s="129"/>
      <c r="L2406" s="104">
        <f>L2404+L2396+L2399</f>
        <v>410899</v>
      </c>
    </row>
    <row r="2407" spans="2:12" ht="11.25" customHeight="1" x14ac:dyDescent="0.2">
      <c r="B2407" s="57"/>
      <c r="C2407" s="120"/>
      <c r="D2407" s="120"/>
      <c r="E2407" s="57"/>
      <c r="F2407" s="57"/>
      <c r="G2407" s="57"/>
      <c r="H2407" s="57"/>
    </row>
    <row r="2408" spans="2:12" ht="11.25" customHeight="1" x14ac:dyDescent="0.2">
      <c r="B2408" s="8" t="s">
        <v>1727</v>
      </c>
      <c r="L2408" s="49" t="s">
        <v>1307</v>
      </c>
    </row>
    <row r="2409" spans="2:12" ht="11.25" customHeight="1" x14ac:dyDescent="0.2">
      <c r="B2409" s="186" t="s">
        <v>427</v>
      </c>
      <c r="C2409" s="187" t="s">
        <v>428</v>
      </c>
      <c r="D2409" s="187" t="s">
        <v>429</v>
      </c>
      <c r="E2409" s="188" t="s">
        <v>430</v>
      </c>
      <c r="F2409" s="188" t="s">
        <v>431</v>
      </c>
      <c r="G2409" s="196" t="s">
        <v>440</v>
      </c>
      <c r="H2409" s="197"/>
      <c r="I2409" s="196" t="s">
        <v>1262</v>
      </c>
      <c r="J2409" s="197"/>
      <c r="K2409" s="196" t="s">
        <v>676</v>
      </c>
      <c r="L2409" s="197"/>
    </row>
    <row r="2410" spans="2:12" ht="11.25" customHeight="1" x14ac:dyDescent="0.2">
      <c r="B2410" s="186"/>
      <c r="C2410" s="187"/>
      <c r="D2410" s="187"/>
      <c r="E2410" s="188"/>
      <c r="F2410" s="188"/>
      <c r="G2410" s="5" t="s">
        <v>436</v>
      </c>
      <c r="H2410" s="159" t="s">
        <v>437</v>
      </c>
      <c r="I2410" s="5" t="s">
        <v>436</v>
      </c>
      <c r="J2410" s="159" t="s">
        <v>437</v>
      </c>
      <c r="K2410" s="5" t="s">
        <v>436</v>
      </c>
      <c r="L2410" s="159" t="s">
        <v>437</v>
      </c>
    </row>
    <row r="2411" spans="2:12" ht="11.25" customHeight="1" x14ac:dyDescent="0.2">
      <c r="B2411" s="76" t="s">
        <v>441</v>
      </c>
      <c r="C2411" s="154" t="s">
        <v>876</v>
      </c>
      <c r="D2411" s="114" t="s">
        <v>898</v>
      </c>
      <c r="E2411" s="77" t="s">
        <v>746</v>
      </c>
      <c r="F2411" s="66">
        <v>4833000</v>
      </c>
      <c r="G2411" s="19">
        <v>7435</v>
      </c>
      <c r="H2411" s="20">
        <f t="shared" ref="H2411:H2413" si="24">TRUNC($F2411*G2411*0.0000001,1)</f>
        <v>3593.3</v>
      </c>
      <c r="I2411" s="21">
        <v>0</v>
      </c>
      <c r="J2411" s="20">
        <f t="shared" ref="J2411:J2413" si="25">TRUNC($F2411*I2411*0.0000001,1)</f>
        <v>0</v>
      </c>
      <c r="K2411" s="21">
        <v>0</v>
      </c>
      <c r="L2411" s="20">
        <f t="shared" ref="L2411:L2413" si="26">TRUNC($F2411*K2411*0.0000001,1)</f>
        <v>0</v>
      </c>
    </row>
    <row r="2412" spans="2:12" ht="11.25" customHeight="1" x14ac:dyDescent="0.2">
      <c r="B2412" s="29" t="s">
        <v>989</v>
      </c>
      <c r="C2412" s="110" t="s">
        <v>876</v>
      </c>
      <c r="D2412" s="115" t="s">
        <v>1263</v>
      </c>
      <c r="E2412" s="47" t="s">
        <v>746</v>
      </c>
      <c r="F2412" s="66">
        <v>7610000</v>
      </c>
      <c r="G2412" s="21">
        <v>0</v>
      </c>
      <c r="H2412" s="20">
        <f t="shared" ref="H2412" si="27">TRUNC($F2412*G2412*0.0000001,1)</f>
        <v>0</v>
      </c>
      <c r="I2412" s="19">
        <v>7435</v>
      </c>
      <c r="J2412" s="20">
        <f t="shared" ref="J2412" si="28">TRUNC($F2412*I2412*0.0000001,1)</f>
        <v>5658</v>
      </c>
      <c r="K2412" s="21">
        <v>0</v>
      </c>
      <c r="L2412" s="20">
        <f t="shared" si="26"/>
        <v>0</v>
      </c>
    </row>
    <row r="2413" spans="2:12" ht="11.25" customHeight="1" x14ac:dyDescent="0.2">
      <c r="B2413" s="29" t="s">
        <v>1927</v>
      </c>
      <c r="C2413" s="110" t="s">
        <v>876</v>
      </c>
      <c r="D2413" s="115" t="s">
        <v>676</v>
      </c>
      <c r="E2413" s="47" t="s">
        <v>746</v>
      </c>
      <c r="F2413" s="66">
        <v>9331000</v>
      </c>
      <c r="G2413" s="21">
        <v>0</v>
      </c>
      <c r="H2413" s="20">
        <f t="shared" si="24"/>
        <v>0</v>
      </c>
      <c r="I2413" s="21">
        <v>0</v>
      </c>
      <c r="J2413" s="20">
        <f t="shared" si="25"/>
        <v>0</v>
      </c>
      <c r="K2413" s="19">
        <v>7435</v>
      </c>
      <c r="L2413" s="20">
        <f t="shared" si="26"/>
        <v>6937.5</v>
      </c>
    </row>
    <row r="2414" spans="2:12" ht="11.25" customHeight="1" x14ac:dyDescent="0.2">
      <c r="C2414" s="107" t="s">
        <v>1289</v>
      </c>
      <c r="D2414" s="109"/>
      <c r="E2414" s="34"/>
      <c r="F2414" s="33"/>
      <c r="G2414" s="33"/>
      <c r="H2414" s="24">
        <f>TRUNC(SUM(H2411:H2413))</f>
        <v>3593</v>
      </c>
      <c r="I2414" s="33"/>
      <c r="J2414" s="24">
        <f>TRUNC(SUM(J2411:J2413))</f>
        <v>5658</v>
      </c>
      <c r="K2414" s="33"/>
      <c r="L2414" s="24">
        <f>TRUNC(SUM(L2411:L2413))</f>
        <v>6937</v>
      </c>
    </row>
    <row r="2415" spans="2:12" ht="11.25" customHeight="1" x14ac:dyDescent="0.2">
      <c r="C2415" s="107"/>
      <c r="D2415" s="109"/>
      <c r="E2415" s="34"/>
      <c r="F2415" s="33"/>
      <c r="G2415" s="33"/>
      <c r="H2415" s="24"/>
      <c r="I2415" s="33"/>
      <c r="J2415" s="24"/>
      <c r="K2415" s="33"/>
      <c r="L2415" s="24"/>
    </row>
    <row r="2416" spans="2:12" ht="11.25" customHeight="1" x14ac:dyDescent="0.2">
      <c r="B2416" s="48"/>
      <c r="C2416" s="134" t="s">
        <v>1289</v>
      </c>
      <c r="D2416" s="134"/>
      <c r="E2416" s="129"/>
      <c r="F2416" s="129"/>
      <c r="G2416" s="129"/>
      <c r="H2416" s="138">
        <f>TRUNC(H2414)</f>
        <v>3593</v>
      </c>
      <c r="I2416" s="129"/>
      <c r="J2416" s="138">
        <f>TRUNC(J2414)</f>
        <v>5658</v>
      </c>
      <c r="K2416" s="129"/>
      <c r="L2416" s="138">
        <f>TRUNC(L2414)</f>
        <v>6937</v>
      </c>
    </row>
    <row r="2417" spans="1:8" ht="11.25" customHeight="1" x14ac:dyDescent="0.2">
      <c r="E2417" s="9"/>
      <c r="H2417" s="32"/>
    </row>
    <row r="2418" spans="1:8" ht="11.25" customHeight="1" x14ac:dyDescent="0.2">
      <c r="A2418" s="7"/>
      <c r="B2418" s="68" t="s">
        <v>1728</v>
      </c>
      <c r="C2418" s="119"/>
      <c r="H2418" s="49" t="s">
        <v>1307</v>
      </c>
    </row>
    <row r="2419" spans="1:8" ht="11.25" customHeight="1" x14ac:dyDescent="0.2">
      <c r="B2419" s="186" t="s">
        <v>427</v>
      </c>
      <c r="C2419" s="187" t="s">
        <v>428</v>
      </c>
      <c r="D2419" s="187" t="s">
        <v>429</v>
      </c>
      <c r="E2419" s="188" t="s">
        <v>430</v>
      </c>
      <c r="F2419" s="188" t="s">
        <v>431</v>
      </c>
      <c r="G2419" s="94" t="s">
        <v>1065</v>
      </c>
      <c r="H2419" s="151"/>
    </row>
    <row r="2420" spans="1:8" ht="11.25" customHeight="1" x14ac:dyDescent="0.2">
      <c r="B2420" s="186"/>
      <c r="C2420" s="187"/>
      <c r="D2420" s="187"/>
      <c r="E2420" s="188"/>
      <c r="F2420" s="188"/>
      <c r="G2420" s="17" t="s">
        <v>436</v>
      </c>
      <c r="H2420" s="17" t="s">
        <v>437</v>
      </c>
    </row>
    <row r="2421" spans="1:8" ht="11.25" customHeight="1" x14ac:dyDescent="0.2">
      <c r="C2421" s="4" t="s">
        <v>1025</v>
      </c>
      <c r="D2421" s="4"/>
      <c r="E2421" s="13" t="s">
        <v>494</v>
      </c>
      <c r="F2421" s="25">
        <v>1584.54</v>
      </c>
      <c r="G2421" s="26">
        <v>1.3</v>
      </c>
      <c r="H2421" s="20">
        <f>TRUNC(($F2421*G2421),1)</f>
        <v>2059.9</v>
      </c>
    </row>
    <row r="2422" spans="1:8" ht="11.25" customHeight="1" x14ac:dyDescent="0.2">
      <c r="C2422" s="4" t="s">
        <v>878</v>
      </c>
      <c r="D2422" s="4" t="s">
        <v>203</v>
      </c>
      <c r="E2422" s="13" t="s">
        <v>232</v>
      </c>
      <c r="F2422" s="18"/>
      <c r="G2422" s="21">
        <v>20</v>
      </c>
      <c r="H2422" s="20">
        <f>TRUNC(H2421*G2422*0.01,1)</f>
        <v>411.9</v>
      </c>
    </row>
    <row r="2423" spans="1:8" ht="11.25" customHeight="1" x14ac:dyDescent="0.2">
      <c r="C2423" s="107" t="s">
        <v>799</v>
      </c>
      <c r="D2423" s="109"/>
      <c r="E2423" s="34"/>
      <c r="F2423" s="33"/>
      <c r="G2423" s="33"/>
      <c r="H2423" s="24">
        <f>TRUNC(SUM(H2421:H2422))</f>
        <v>2471</v>
      </c>
    </row>
    <row r="2424" spans="1:8" ht="11.25" customHeight="1" x14ac:dyDescent="0.2">
      <c r="C2424" s="107"/>
      <c r="D2424" s="109"/>
      <c r="E2424" s="34"/>
      <c r="F2424" s="33"/>
      <c r="G2424" s="33"/>
      <c r="H2424" s="24"/>
    </row>
    <row r="2425" spans="1:8" ht="11.25" customHeight="1" x14ac:dyDescent="0.2">
      <c r="B2425" s="8" t="s">
        <v>1063</v>
      </c>
      <c r="C2425" s="4" t="s">
        <v>1064</v>
      </c>
      <c r="D2425" s="106" t="s">
        <v>1215</v>
      </c>
      <c r="E2425" s="13" t="s">
        <v>746</v>
      </c>
      <c r="F2425" s="66">
        <v>922000</v>
      </c>
      <c r="G2425" s="19">
        <v>2799</v>
      </c>
      <c r="H2425" s="20">
        <f>TRUNC($F2425*G2425*0.0000001,1)</f>
        <v>258</v>
      </c>
    </row>
    <row r="2426" spans="1:8" ht="11.25" customHeight="1" x14ac:dyDescent="0.2">
      <c r="C2426" s="107" t="s">
        <v>1289</v>
      </c>
      <c r="D2426" s="109"/>
      <c r="E2426" s="34"/>
      <c r="F2426" s="33"/>
      <c r="G2426" s="33"/>
      <c r="H2426" s="24">
        <f>TRUNC(SUM(H2425:H2425))</f>
        <v>258</v>
      </c>
    </row>
    <row r="2427" spans="1:8" ht="11.25" customHeight="1" x14ac:dyDescent="0.2">
      <c r="C2427" s="107"/>
      <c r="D2427" s="109"/>
      <c r="E2427" s="34"/>
      <c r="F2427" s="33"/>
      <c r="G2427" s="33"/>
      <c r="H2427" s="24"/>
    </row>
    <row r="2428" spans="1:8" ht="11.25" customHeight="1" x14ac:dyDescent="0.2">
      <c r="B2428" s="16"/>
      <c r="C2428" s="108" t="s">
        <v>1286</v>
      </c>
      <c r="D2428" s="108"/>
      <c r="E2428" s="103"/>
      <c r="F2428" s="102"/>
      <c r="G2428" s="102"/>
      <c r="H2428" s="104">
        <f>TRUNC(H2426+H2423)</f>
        <v>2729</v>
      </c>
    </row>
    <row r="2429" spans="1:8" ht="11.25" customHeight="1" x14ac:dyDescent="0.2">
      <c r="E2429" s="9"/>
      <c r="H2429" s="32"/>
    </row>
    <row r="2430" spans="1:8" ht="11.25" customHeight="1" x14ac:dyDescent="0.2">
      <c r="B2430" s="68" t="s">
        <v>1729</v>
      </c>
      <c r="C2430" s="119"/>
      <c r="H2430" s="49" t="s">
        <v>1307</v>
      </c>
    </row>
    <row r="2431" spans="1:8" ht="11.25" customHeight="1" x14ac:dyDescent="0.2">
      <c r="B2431" s="186" t="s">
        <v>427</v>
      </c>
      <c r="C2431" s="187" t="s">
        <v>428</v>
      </c>
      <c r="D2431" s="187" t="s">
        <v>429</v>
      </c>
      <c r="E2431" s="188" t="s">
        <v>430</v>
      </c>
      <c r="F2431" s="188" t="s">
        <v>431</v>
      </c>
      <c r="G2431" s="94" t="s">
        <v>14</v>
      </c>
      <c r="H2431" s="151"/>
    </row>
    <row r="2432" spans="1:8" ht="11.25" customHeight="1" x14ac:dyDescent="0.2">
      <c r="B2432" s="186"/>
      <c r="C2432" s="187"/>
      <c r="D2432" s="187"/>
      <c r="E2432" s="188"/>
      <c r="F2432" s="188"/>
      <c r="G2432" s="17" t="s">
        <v>436</v>
      </c>
      <c r="H2432" s="17" t="s">
        <v>437</v>
      </c>
    </row>
    <row r="2433" spans="2:10" ht="11.25" customHeight="1" x14ac:dyDescent="0.2">
      <c r="C2433" s="4" t="s">
        <v>426</v>
      </c>
      <c r="D2433" s="4"/>
      <c r="E2433" s="13" t="s">
        <v>494</v>
      </c>
      <c r="F2433" s="25">
        <v>1505.45</v>
      </c>
      <c r="G2433" s="26">
        <v>20.7</v>
      </c>
      <c r="H2433" s="20">
        <f>TRUNC(($F2433*G2433),1)</f>
        <v>31162.799999999999</v>
      </c>
    </row>
    <row r="2434" spans="2:10" ht="11.25" customHeight="1" x14ac:dyDescent="0.2">
      <c r="C2434" s="4" t="s">
        <v>878</v>
      </c>
      <c r="D2434" s="4" t="s">
        <v>203</v>
      </c>
      <c r="E2434" s="13" t="s">
        <v>232</v>
      </c>
      <c r="F2434" s="18"/>
      <c r="G2434" s="21">
        <v>4</v>
      </c>
      <c r="H2434" s="20">
        <f>TRUNC(H2433*G2434*0.01,1)</f>
        <v>1246.5</v>
      </c>
    </row>
    <row r="2435" spans="2:10" ht="11.25" customHeight="1" x14ac:dyDescent="0.2">
      <c r="C2435" s="107" t="s">
        <v>799</v>
      </c>
      <c r="D2435" s="109"/>
      <c r="E2435" s="34"/>
      <c r="F2435" s="33"/>
      <c r="G2435" s="33"/>
      <c r="H2435" s="24">
        <f>TRUNC(SUM(H2433:H2434))</f>
        <v>32409</v>
      </c>
    </row>
    <row r="2436" spans="2:10" ht="11.25" customHeight="1" x14ac:dyDescent="0.2">
      <c r="C2436" s="107"/>
      <c r="D2436" s="109"/>
      <c r="E2436" s="34"/>
      <c r="F2436" s="33"/>
      <c r="G2436" s="33"/>
      <c r="H2436" s="24"/>
      <c r="I2436" s="40"/>
      <c r="J2436" s="54"/>
    </row>
    <row r="2437" spans="2:10" ht="11.25" customHeight="1" x14ac:dyDescent="0.2">
      <c r="C2437" s="4" t="s">
        <v>874</v>
      </c>
      <c r="D2437" s="4" t="s">
        <v>866</v>
      </c>
      <c r="E2437" s="13" t="s">
        <v>497</v>
      </c>
      <c r="F2437" s="28">
        <v>173995</v>
      </c>
      <c r="G2437" s="18">
        <v>0.20799999999999999</v>
      </c>
      <c r="H2437" s="20">
        <f>TRUNC(($F2437*G2437),1)</f>
        <v>36190.9</v>
      </c>
    </row>
    <row r="2438" spans="2:10" ht="11.25" customHeight="1" x14ac:dyDescent="0.2">
      <c r="C2438" s="107" t="s">
        <v>1285</v>
      </c>
      <c r="D2438" s="109"/>
      <c r="E2438" s="34"/>
      <c r="F2438" s="33"/>
      <c r="G2438" s="33"/>
      <c r="H2438" s="24">
        <f>TRUNC(SUM(H2437:H2437))</f>
        <v>36190</v>
      </c>
    </row>
    <row r="2439" spans="2:10" ht="11.25" customHeight="1" x14ac:dyDescent="0.2">
      <c r="C2439" s="107"/>
      <c r="D2439" s="109"/>
      <c r="E2439" s="34"/>
      <c r="F2439" s="33"/>
      <c r="G2439" s="33"/>
      <c r="H2439" s="24"/>
      <c r="I2439" s="40"/>
      <c r="J2439" s="54"/>
    </row>
    <row r="2440" spans="2:10" ht="11.25" customHeight="1" x14ac:dyDescent="0.2">
      <c r="B2440" s="8" t="s">
        <v>265</v>
      </c>
      <c r="C2440" s="4" t="s">
        <v>291</v>
      </c>
      <c r="D2440" s="106" t="s">
        <v>1201</v>
      </c>
      <c r="E2440" s="13" t="s">
        <v>746</v>
      </c>
      <c r="F2440" s="66">
        <v>68298000</v>
      </c>
      <c r="G2440" s="19">
        <v>2362</v>
      </c>
      <c r="H2440" s="20">
        <f>TRUNC($F2440*G2440*0.0000001,1)</f>
        <v>16131.9</v>
      </c>
    </row>
    <row r="2441" spans="2:10" ht="11.25" customHeight="1" x14ac:dyDescent="0.2">
      <c r="C2441" s="107" t="s">
        <v>1289</v>
      </c>
      <c r="D2441" s="109"/>
      <c r="E2441" s="34"/>
      <c r="F2441" s="33"/>
      <c r="G2441" s="33"/>
      <c r="H2441" s="24">
        <f>TRUNC(SUM(H2440:H2440))</f>
        <v>16131</v>
      </c>
    </row>
    <row r="2442" spans="2:10" ht="11.25" customHeight="1" x14ac:dyDescent="0.2">
      <c r="C2442" s="107"/>
      <c r="D2442" s="109"/>
      <c r="E2442" s="34"/>
      <c r="F2442" s="69"/>
      <c r="G2442" s="33"/>
      <c r="H2442" s="24"/>
      <c r="I2442" s="40"/>
      <c r="J2442" s="54"/>
    </row>
    <row r="2443" spans="2:10" ht="11.25" customHeight="1" x14ac:dyDescent="0.2">
      <c r="B2443" s="16"/>
      <c r="C2443" s="108" t="s">
        <v>1286</v>
      </c>
      <c r="D2443" s="108"/>
      <c r="E2443" s="103"/>
      <c r="F2443" s="102"/>
      <c r="G2443" s="102"/>
      <c r="H2443" s="104">
        <f>TRUNC(H2441+H2435+H2438)</f>
        <v>84730</v>
      </c>
    </row>
    <row r="2445" spans="2:10" ht="11.25" customHeight="1" x14ac:dyDescent="0.2">
      <c r="B2445" s="68" t="s">
        <v>1730</v>
      </c>
      <c r="C2445" s="119"/>
      <c r="H2445" s="49"/>
      <c r="J2445" s="49" t="s">
        <v>1307</v>
      </c>
    </row>
    <row r="2446" spans="2:10" ht="11.25" customHeight="1" x14ac:dyDescent="0.2">
      <c r="B2446" s="186" t="s">
        <v>427</v>
      </c>
      <c r="C2446" s="187" t="s">
        <v>428</v>
      </c>
      <c r="D2446" s="187" t="s">
        <v>429</v>
      </c>
      <c r="E2446" s="188" t="s">
        <v>430</v>
      </c>
      <c r="F2446" s="188" t="s">
        <v>431</v>
      </c>
      <c r="G2446" s="196" t="s">
        <v>1120</v>
      </c>
      <c r="H2446" s="197"/>
      <c r="I2446" s="196" t="s">
        <v>1136</v>
      </c>
      <c r="J2446" s="197"/>
    </row>
    <row r="2447" spans="2:10" ht="11.25" customHeight="1" x14ac:dyDescent="0.2">
      <c r="B2447" s="186"/>
      <c r="C2447" s="187"/>
      <c r="D2447" s="187"/>
      <c r="E2447" s="188"/>
      <c r="F2447" s="188"/>
      <c r="G2447" s="5" t="s">
        <v>436</v>
      </c>
      <c r="H2447" s="159" t="s">
        <v>437</v>
      </c>
      <c r="I2447" s="5" t="s">
        <v>436</v>
      </c>
      <c r="J2447" s="159" t="s">
        <v>437</v>
      </c>
    </row>
    <row r="2448" spans="2:10" ht="11.25" customHeight="1" x14ac:dyDescent="0.2">
      <c r="B2448" s="29"/>
      <c r="C2448" s="110" t="s">
        <v>1025</v>
      </c>
      <c r="D2448" s="110"/>
      <c r="E2448" s="47" t="s">
        <v>494</v>
      </c>
      <c r="F2448" s="98">
        <v>1584.54</v>
      </c>
      <c r="G2448" s="99">
        <v>3.38</v>
      </c>
      <c r="H2448" s="20">
        <f>TRUNC(($F2448*G2448),1)</f>
        <v>5355.7</v>
      </c>
      <c r="I2448" s="99">
        <v>5.53</v>
      </c>
      <c r="J2448" s="20">
        <f>TRUNC(($F2448*I2448),1)</f>
        <v>8762.5</v>
      </c>
    </row>
    <row r="2449" spans="1:12" ht="11.25" customHeight="1" x14ac:dyDescent="0.2">
      <c r="B2449" s="29"/>
      <c r="C2449" s="110" t="s">
        <v>878</v>
      </c>
      <c r="D2449" s="4" t="s">
        <v>203</v>
      </c>
      <c r="E2449" s="47" t="s">
        <v>232</v>
      </c>
      <c r="F2449" s="30"/>
      <c r="G2449" s="46">
        <v>20</v>
      </c>
      <c r="H2449" s="20">
        <f>TRUNC(H2448*G2449*0.01,1)</f>
        <v>1071.0999999999999</v>
      </c>
      <c r="I2449" s="46">
        <v>20</v>
      </c>
      <c r="J2449" s="20">
        <f>TRUNC(J2448*I2449*0.01,1)</f>
        <v>1752.5</v>
      </c>
    </row>
    <row r="2450" spans="1:12" ht="11.25" customHeight="1" x14ac:dyDescent="0.2">
      <c r="B2450" s="29"/>
      <c r="C2450" s="121" t="s">
        <v>799</v>
      </c>
      <c r="D2450" s="122"/>
      <c r="E2450" s="97"/>
      <c r="F2450" s="74"/>
      <c r="G2450" s="74"/>
      <c r="H2450" s="73">
        <f>TRUNC(SUM(H2448:H2449))</f>
        <v>6426</v>
      </c>
      <c r="I2450" s="74"/>
      <c r="J2450" s="24">
        <f>TRUNC(SUM(J2448:J2449))</f>
        <v>10515</v>
      </c>
    </row>
    <row r="2451" spans="1:12" ht="11.25" customHeight="1" x14ac:dyDescent="0.2">
      <c r="B2451" s="29"/>
      <c r="C2451" s="121"/>
      <c r="D2451" s="122"/>
      <c r="E2451" s="97"/>
      <c r="F2451" s="74"/>
      <c r="G2451" s="74"/>
      <c r="H2451" s="73"/>
      <c r="I2451" s="74"/>
      <c r="J2451" s="24"/>
    </row>
    <row r="2452" spans="1:12" ht="11.25" customHeight="1" x14ac:dyDescent="0.2">
      <c r="B2452" s="29"/>
      <c r="C2452" s="110" t="s">
        <v>874</v>
      </c>
      <c r="D2452" s="110" t="s">
        <v>866</v>
      </c>
      <c r="E2452" s="47" t="s">
        <v>497</v>
      </c>
      <c r="F2452" s="81">
        <v>173995</v>
      </c>
      <c r="G2452" s="30">
        <v>0.20799999999999999</v>
      </c>
      <c r="H2452" s="20">
        <f>TRUNC(($F2452*G2452),1)</f>
        <v>36190.9</v>
      </c>
      <c r="I2452" s="30">
        <v>0.20799999999999999</v>
      </c>
      <c r="J2452" s="20">
        <f>TRUNC(($F2452*I2452),1)</f>
        <v>36190.9</v>
      </c>
    </row>
    <row r="2453" spans="1:12" ht="11.25" customHeight="1" x14ac:dyDescent="0.2">
      <c r="B2453" s="29"/>
      <c r="C2453" s="121" t="s">
        <v>1285</v>
      </c>
      <c r="D2453" s="122"/>
      <c r="E2453" s="97"/>
      <c r="F2453" s="74"/>
      <c r="G2453" s="74"/>
      <c r="H2453" s="73">
        <f>TRUNC(SUM(H2452:H2452))</f>
        <v>36190</v>
      </c>
      <c r="I2453" s="74"/>
      <c r="J2453" s="24">
        <f>TRUNC(SUM(J2452:J2452))</f>
        <v>36190</v>
      </c>
    </row>
    <row r="2454" spans="1:12" ht="11.25" customHeight="1" x14ac:dyDescent="0.2">
      <c r="B2454" s="29"/>
      <c r="C2454" s="121"/>
      <c r="D2454" s="122"/>
      <c r="E2454" s="97"/>
      <c r="F2454" s="74"/>
      <c r="G2454" s="74"/>
      <c r="H2454" s="73"/>
      <c r="I2454" s="74"/>
      <c r="J2454" s="24"/>
    </row>
    <row r="2455" spans="1:12" ht="11.25" customHeight="1" x14ac:dyDescent="0.2">
      <c r="B2455" s="29" t="s">
        <v>12</v>
      </c>
      <c r="C2455" s="110" t="s">
        <v>13</v>
      </c>
      <c r="D2455" s="115" t="s">
        <v>1731</v>
      </c>
      <c r="E2455" s="47" t="s">
        <v>746</v>
      </c>
      <c r="F2455" s="96">
        <v>13075000</v>
      </c>
      <c r="G2455" s="19">
        <v>2799</v>
      </c>
      <c r="H2455" s="20">
        <f>TRUNC($F2455*G2455*0.0000001,1)</f>
        <v>3659.6</v>
      </c>
      <c r="I2455" s="46">
        <v>0</v>
      </c>
      <c r="J2455" s="20">
        <f>TRUNC($F2455*I2455*0.0000001,1)</f>
        <v>0</v>
      </c>
    </row>
    <row r="2456" spans="1:12" ht="11.25" customHeight="1" x14ac:dyDescent="0.2">
      <c r="B2456" s="29" t="s">
        <v>1277</v>
      </c>
      <c r="C2456" s="110" t="s">
        <v>13</v>
      </c>
      <c r="D2456" s="115" t="s">
        <v>1045</v>
      </c>
      <c r="E2456" s="13" t="s">
        <v>746</v>
      </c>
      <c r="F2456" s="96">
        <v>13445000</v>
      </c>
      <c r="G2456" s="46">
        <v>0</v>
      </c>
      <c r="H2456" s="20">
        <f>TRUNC($F2456*G2456*0.0000001,1)</f>
        <v>0</v>
      </c>
      <c r="I2456" s="19">
        <v>2799</v>
      </c>
      <c r="J2456" s="20">
        <f>TRUNC($F2456*I2456*0.0000001,1)</f>
        <v>3763.2</v>
      </c>
    </row>
    <row r="2457" spans="1:12" ht="11.25" customHeight="1" x14ac:dyDescent="0.2">
      <c r="B2457" s="29"/>
      <c r="C2457" s="121" t="s">
        <v>1289</v>
      </c>
      <c r="D2457" s="122"/>
      <c r="E2457" s="97"/>
      <c r="F2457" s="74"/>
      <c r="G2457" s="74"/>
      <c r="H2457" s="73">
        <f>TRUNC(SUM(H2455:H2456))</f>
        <v>3659</v>
      </c>
      <c r="I2457" s="74"/>
      <c r="J2457" s="24">
        <f>TRUNC(SUM(J2455:J2456))</f>
        <v>3763</v>
      </c>
    </row>
    <row r="2458" spans="1:12" ht="11.25" customHeight="1" x14ac:dyDescent="0.2">
      <c r="B2458" s="29"/>
      <c r="C2458" s="121"/>
      <c r="D2458" s="122"/>
      <c r="E2458" s="97"/>
      <c r="F2458" s="74"/>
      <c r="G2458" s="74"/>
      <c r="H2458" s="73"/>
      <c r="I2458" s="74"/>
      <c r="J2458" s="24"/>
    </row>
    <row r="2459" spans="1:12" ht="11.25" customHeight="1" x14ac:dyDescent="0.2">
      <c r="B2459" s="48"/>
      <c r="C2459" s="134" t="s">
        <v>1286</v>
      </c>
      <c r="D2459" s="134"/>
      <c r="E2459" s="139"/>
      <c r="F2459" s="129"/>
      <c r="G2459" s="129"/>
      <c r="H2459" s="133">
        <f>TRUNC(H2457+H2450+H2453)</f>
        <v>46275</v>
      </c>
      <c r="I2459" s="129"/>
      <c r="J2459" s="104">
        <f>TRUNC(J2457+J2450+J2453)</f>
        <v>50468</v>
      </c>
    </row>
    <row r="2461" spans="1:12" ht="11.25" customHeight="1" x14ac:dyDescent="0.2">
      <c r="A2461" s="7"/>
      <c r="B2461" s="68" t="s">
        <v>1732</v>
      </c>
      <c r="C2461" s="119"/>
    </row>
    <row r="2462" spans="1:12" ht="11.25" customHeight="1" x14ac:dyDescent="0.2">
      <c r="B2462" s="68" t="s">
        <v>1733</v>
      </c>
      <c r="C2462" s="119"/>
      <c r="L2462" s="49" t="s">
        <v>1307</v>
      </c>
    </row>
    <row r="2463" spans="1:12" ht="11.25" customHeight="1" x14ac:dyDescent="0.2">
      <c r="B2463" s="186" t="s">
        <v>427</v>
      </c>
      <c r="C2463" s="187" t="s">
        <v>428</v>
      </c>
      <c r="D2463" s="187" t="s">
        <v>429</v>
      </c>
      <c r="E2463" s="188" t="s">
        <v>430</v>
      </c>
      <c r="F2463" s="188" t="s">
        <v>431</v>
      </c>
      <c r="G2463" s="94" t="s">
        <v>1736</v>
      </c>
      <c r="H2463" s="151"/>
      <c r="I2463" s="94" t="s">
        <v>1738</v>
      </c>
      <c r="J2463" s="151"/>
      <c r="K2463" s="94" t="s">
        <v>1740</v>
      </c>
      <c r="L2463" s="151"/>
    </row>
    <row r="2464" spans="1:12" ht="11.25" customHeight="1" x14ac:dyDescent="0.2">
      <c r="B2464" s="186"/>
      <c r="C2464" s="187"/>
      <c r="D2464" s="187"/>
      <c r="E2464" s="188"/>
      <c r="F2464" s="188"/>
      <c r="G2464" s="17" t="s">
        <v>436</v>
      </c>
      <c r="H2464" s="17" t="s">
        <v>437</v>
      </c>
      <c r="I2464" s="17" t="s">
        <v>436</v>
      </c>
      <c r="J2464" s="17" t="s">
        <v>437</v>
      </c>
      <c r="K2464" s="17" t="s">
        <v>436</v>
      </c>
      <c r="L2464" s="17" t="s">
        <v>437</v>
      </c>
    </row>
    <row r="2465" spans="2:12" ht="11.25" customHeight="1" x14ac:dyDescent="0.2">
      <c r="B2465" s="8" t="s">
        <v>266</v>
      </c>
      <c r="C2465" s="4" t="s">
        <v>18</v>
      </c>
      <c r="D2465" s="106" t="s">
        <v>1735</v>
      </c>
      <c r="E2465" s="13" t="s">
        <v>746</v>
      </c>
      <c r="F2465" s="66">
        <v>1419000</v>
      </c>
      <c r="G2465" s="19">
        <v>3174</v>
      </c>
      <c r="H2465" s="20">
        <f t="shared" ref="H2465:H2467" si="29">TRUNC($F2465*G2465*0.0000001,1)</f>
        <v>450.3</v>
      </c>
      <c r="I2465" s="21">
        <v>0</v>
      </c>
      <c r="J2465" s="20">
        <f t="shared" ref="J2465:J2467" si="30">TRUNC($F2465*I2465*0.0000001,1)</f>
        <v>0</v>
      </c>
      <c r="K2465" s="21">
        <v>0</v>
      </c>
      <c r="L2465" s="20">
        <f t="shared" ref="L2465:L2467" si="31">TRUNC($F2465*K2465*0.0000001,1)</f>
        <v>0</v>
      </c>
    </row>
    <row r="2466" spans="2:12" ht="11.25" customHeight="1" x14ac:dyDescent="0.2">
      <c r="B2466" s="8" t="s">
        <v>267</v>
      </c>
      <c r="C2466" s="4" t="s">
        <v>18</v>
      </c>
      <c r="D2466" s="106" t="s">
        <v>1737</v>
      </c>
      <c r="E2466" s="13" t="s">
        <v>746</v>
      </c>
      <c r="F2466" s="66">
        <v>2335000</v>
      </c>
      <c r="G2466" s="21">
        <v>0</v>
      </c>
      <c r="H2466" s="20">
        <f t="shared" si="29"/>
        <v>0</v>
      </c>
      <c r="I2466" s="19">
        <v>3174</v>
      </c>
      <c r="J2466" s="20">
        <f t="shared" si="30"/>
        <v>741.1</v>
      </c>
      <c r="K2466" s="21">
        <v>0</v>
      </c>
      <c r="L2466" s="20">
        <f t="shared" si="31"/>
        <v>0</v>
      </c>
    </row>
    <row r="2467" spans="2:12" ht="11.25" customHeight="1" x14ac:dyDescent="0.2">
      <c r="B2467" s="8" t="s">
        <v>268</v>
      </c>
      <c r="C2467" s="4" t="s">
        <v>18</v>
      </c>
      <c r="D2467" s="106" t="s">
        <v>1739</v>
      </c>
      <c r="E2467" s="13" t="s">
        <v>746</v>
      </c>
      <c r="F2467" s="66">
        <v>3113000</v>
      </c>
      <c r="G2467" s="21">
        <v>0</v>
      </c>
      <c r="H2467" s="20">
        <f t="shared" si="29"/>
        <v>0</v>
      </c>
      <c r="I2467" s="21">
        <v>0</v>
      </c>
      <c r="J2467" s="20">
        <f t="shared" si="30"/>
        <v>0</v>
      </c>
      <c r="K2467" s="19">
        <v>3174</v>
      </c>
      <c r="L2467" s="20">
        <f t="shared" si="31"/>
        <v>988</v>
      </c>
    </row>
    <row r="2468" spans="2:12" ht="11.25" customHeight="1" x14ac:dyDescent="0.2">
      <c r="C2468" s="107" t="s">
        <v>1289</v>
      </c>
      <c r="D2468" s="109"/>
      <c r="E2468" s="34"/>
      <c r="F2468" s="33"/>
      <c r="G2468" s="33"/>
      <c r="H2468" s="24">
        <f>TRUNC(SUM(H2465:H2467))</f>
        <v>450</v>
      </c>
      <c r="I2468" s="33"/>
      <c r="J2468" s="24">
        <f>TRUNC(SUM(J2465:J2467))</f>
        <v>741</v>
      </c>
      <c r="K2468" s="33"/>
      <c r="L2468" s="24">
        <f>TRUNC(SUM(L2465:L2467))</f>
        <v>988</v>
      </c>
    </row>
    <row r="2469" spans="2:12" ht="11.25" customHeight="1" x14ac:dyDescent="0.2">
      <c r="C2469" s="107"/>
      <c r="D2469" s="109"/>
      <c r="E2469" s="34"/>
      <c r="F2469" s="33"/>
      <c r="G2469" s="33"/>
      <c r="H2469" s="24"/>
      <c r="I2469" s="33"/>
      <c r="J2469" s="24"/>
      <c r="K2469" s="33"/>
      <c r="L2469" s="24"/>
    </row>
    <row r="2470" spans="2:12" ht="11.25" customHeight="1" x14ac:dyDescent="0.2">
      <c r="B2470" s="16"/>
      <c r="C2470" s="108" t="s">
        <v>1286</v>
      </c>
      <c r="D2470" s="108"/>
      <c r="E2470" s="103"/>
      <c r="F2470" s="102"/>
      <c r="G2470" s="102"/>
      <c r="H2470" s="104">
        <f>TRUNC(H2468)</f>
        <v>450</v>
      </c>
      <c r="I2470" s="102"/>
      <c r="J2470" s="104">
        <f>TRUNC(J2468)</f>
        <v>741</v>
      </c>
      <c r="K2470" s="102"/>
      <c r="L2470" s="104">
        <f>TRUNC(L2468)</f>
        <v>988</v>
      </c>
    </row>
    <row r="2471" spans="2:12" ht="11.25" customHeight="1" x14ac:dyDescent="0.2">
      <c r="C2471" s="112"/>
      <c r="D2471" s="116"/>
      <c r="E2471" s="71"/>
      <c r="F2471" s="70"/>
      <c r="G2471" s="70"/>
      <c r="H2471" s="36"/>
      <c r="I2471" s="70"/>
      <c r="J2471" s="36"/>
      <c r="K2471" s="70"/>
      <c r="L2471" s="36"/>
    </row>
    <row r="2472" spans="2:12" ht="11.25" customHeight="1" x14ac:dyDescent="0.2">
      <c r="B2472" s="68" t="s">
        <v>1734</v>
      </c>
      <c r="C2472" s="119"/>
      <c r="J2472" s="49" t="s">
        <v>1307</v>
      </c>
    </row>
    <row r="2473" spans="2:12" ht="11.25" customHeight="1" x14ac:dyDescent="0.2">
      <c r="B2473" s="186" t="s">
        <v>427</v>
      </c>
      <c r="C2473" s="187" t="s">
        <v>428</v>
      </c>
      <c r="D2473" s="187" t="s">
        <v>429</v>
      </c>
      <c r="E2473" s="188" t="s">
        <v>430</v>
      </c>
      <c r="F2473" s="188" t="s">
        <v>431</v>
      </c>
      <c r="G2473" s="94" t="s">
        <v>1738</v>
      </c>
      <c r="H2473" s="151"/>
      <c r="I2473" s="94" t="s">
        <v>1740</v>
      </c>
      <c r="J2473" s="151"/>
    </row>
    <row r="2474" spans="2:12" ht="11.25" customHeight="1" x14ac:dyDescent="0.2">
      <c r="B2474" s="186"/>
      <c r="C2474" s="187"/>
      <c r="D2474" s="187"/>
      <c r="E2474" s="188"/>
      <c r="F2474" s="188"/>
      <c r="G2474" s="17" t="s">
        <v>436</v>
      </c>
      <c r="H2474" s="17" t="s">
        <v>437</v>
      </c>
      <c r="I2474" s="17" t="s">
        <v>436</v>
      </c>
      <c r="J2474" s="17" t="s">
        <v>437</v>
      </c>
    </row>
    <row r="2475" spans="2:12" ht="11.25" customHeight="1" x14ac:dyDescent="0.2">
      <c r="B2475" s="8" t="s">
        <v>269</v>
      </c>
      <c r="C2475" s="4" t="s">
        <v>18</v>
      </c>
      <c r="D2475" s="106" t="s">
        <v>1737</v>
      </c>
      <c r="E2475" s="13" t="s">
        <v>746</v>
      </c>
      <c r="F2475" s="66">
        <v>4981000</v>
      </c>
      <c r="G2475" s="19">
        <v>3174</v>
      </c>
      <c r="H2475" s="20">
        <f t="shared" ref="H2475:H2476" si="32">TRUNC($F2475*G2475*0.0000001,1)</f>
        <v>1580.9</v>
      </c>
      <c r="I2475" s="21">
        <v>0</v>
      </c>
      <c r="J2475" s="20">
        <f t="shared" ref="J2475:J2476" si="33">TRUNC($F2475*I2475*0.0000001,1)</f>
        <v>0</v>
      </c>
    </row>
    <row r="2476" spans="2:12" ht="11.25" customHeight="1" x14ac:dyDescent="0.2">
      <c r="B2476" s="8" t="s">
        <v>270</v>
      </c>
      <c r="C2476" s="4" t="s">
        <v>18</v>
      </c>
      <c r="D2476" s="106" t="s">
        <v>1739</v>
      </c>
      <c r="E2476" s="13" t="s">
        <v>746</v>
      </c>
      <c r="F2476" s="66">
        <v>6538000</v>
      </c>
      <c r="G2476" s="21">
        <v>0</v>
      </c>
      <c r="H2476" s="20">
        <f t="shared" si="32"/>
        <v>0</v>
      </c>
      <c r="I2476" s="19">
        <v>3174</v>
      </c>
      <c r="J2476" s="20">
        <f t="shared" si="33"/>
        <v>2075.1</v>
      </c>
    </row>
    <row r="2477" spans="2:12" ht="11.25" customHeight="1" x14ac:dyDescent="0.2">
      <c r="C2477" s="107" t="s">
        <v>1289</v>
      </c>
      <c r="D2477" s="109"/>
      <c r="E2477" s="34"/>
      <c r="F2477" s="33"/>
      <c r="G2477" s="33"/>
      <c r="H2477" s="24">
        <f>TRUNC(SUM(H2475:H2476))</f>
        <v>1580</v>
      </c>
      <c r="I2477" s="33"/>
      <c r="J2477" s="24">
        <f>TRUNC(SUM(J2475:J2476))</f>
        <v>2075</v>
      </c>
    </row>
    <row r="2478" spans="2:12" ht="11.25" customHeight="1" x14ac:dyDescent="0.2">
      <c r="C2478" s="107"/>
      <c r="D2478" s="109"/>
      <c r="E2478" s="34"/>
      <c r="F2478" s="33"/>
      <c r="G2478" s="33"/>
      <c r="H2478" s="24"/>
      <c r="I2478" s="33"/>
      <c r="J2478" s="24"/>
      <c r="K2478" s="40"/>
      <c r="L2478" s="54"/>
    </row>
    <row r="2479" spans="2:12" ht="11.25" customHeight="1" x14ac:dyDescent="0.2">
      <c r="B2479" s="16"/>
      <c r="C2479" s="108" t="s">
        <v>1286</v>
      </c>
      <c r="D2479" s="108"/>
      <c r="E2479" s="103"/>
      <c r="F2479" s="102"/>
      <c r="G2479" s="102"/>
      <c r="H2479" s="104">
        <f>TRUNC(H2477)</f>
        <v>1580</v>
      </c>
      <c r="I2479" s="102"/>
      <c r="J2479" s="104">
        <f>TRUNC(J2477)</f>
        <v>2075</v>
      </c>
    </row>
    <row r="2481" spans="2:12" ht="11.25" customHeight="1" x14ac:dyDescent="0.2">
      <c r="B2481" s="68" t="s">
        <v>1743</v>
      </c>
      <c r="C2481" s="119"/>
    </row>
    <row r="2482" spans="2:12" ht="11.25" customHeight="1" x14ac:dyDescent="0.2">
      <c r="B2482" s="68" t="s">
        <v>1741</v>
      </c>
      <c r="C2482" s="119"/>
      <c r="J2482" s="49" t="s">
        <v>1307</v>
      </c>
    </row>
    <row r="2483" spans="2:12" ht="11.25" customHeight="1" x14ac:dyDescent="0.2">
      <c r="B2483" s="186" t="s">
        <v>427</v>
      </c>
      <c r="C2483" s="187" t="s">
        <v>428</v>
      </c>
      <c r="D2483" s="187" t="s">
        <v>429</v>
      </c>
      <c r="E2483" s="188" t="s">
        <v>430</v>
      </c>
      <c r="F2483" s="188" t="s">
        <v>431</v>
      </c>
      <c r="G2483" s="94" t="s">
        <v>1736</v>
      </c>
      <c r="H2483" s="151"/>
      <c r="I2483" s="94" t="s">
        <v>1738</v>
      </c>
      <c r="J2483" s="151"/>
    </row>
    <row r="2484" spans="2:12" ht="11.25" customHeight="1" x14ac:dyDescent="0.2">
      <c r="B2484" s="186"/>
      <c r="C2484" s="187"/>
      <c r="D2484" s="187"/>
      <c r="E2484" s="188"/>
      <c r="F2484" s="188"/>
      <c r="G2484" s="17" t="s">
        <v>436</v>
      </c>
      <c r="H2484" s="17" t="s">
        <v>437</v>
      </c>
      <c r="I2484" s="17" t="s">
        <v>436</v>
      </c>
      <c r="J2484" s="17" t="s">
        <v>437</v>
      </c>
    </row>
    <row r="2485" spans="2:12" ht="11.25" customHeight="1" x14ac:dyDescent="0.2">
      <c r="B2485" s="8" t="s">
        <v>271</v>
      </c>
      <c r="C2485" s="4" t="s">
        <v>1195</v>
      </c>
      <c r="D2485" s="106" t="s">
        <v>1735</v>
      </c>
      <c r="E2485" s="13" t="s">
        <v>746</v>
      </c>
      <c r="F2485" s="66">
        <v>3862000</v>
      </c>
      <c r="G2485" s="19">
        <v>3174</v>
      </c>
      <c r="H2485" s="20">
        <f t="shared" ref="H2485:H2486" si="34">TRUNC($F2485*G2485*0.0000001,1)</f>
        <v>1225.7</v>
      </c>
      <c r="I2485" s="21">
        <v>0</v>
      </c>
      <c r="J2485" s="20">
        <f t="shared" ref="J2485:J2486" si="35">TRUNC($F2485*I2485*0.0000001,1)</f>
        <v>0</v>
      </c>
    </row>
    <row r="2486" spans="2:12" ht="11.25" customHeight="1" x14ac:dyDescent="0.2">
      <c r="B2486" s="8" t="s">
        <v>272</v>
      </c>
      <c r="C2486" s="4" t="s">
        <v>1195</v>
      </c>
      <c r="D2486" s="106" t="s">
        <v>1737</v>
      </c>
      <c r="E2486" s="13" t="s">
        <v>746</v>
      </c>
      <c r="F2486" s="66">
        <v>6538000</v>
      </c>
      <c r="G2486" s="21">
        <v>0</v>
      </c>
      <c r="H2486" s="20">
        <f t="shared" si="34"/>
        <v>0</v>
      </c>
      <c r="I2486" s="19">
        <v>3174</v>
      </c>
      <c r="J2486" s="20">
        <f t="shared" si="35"/>
        <v>2075.1</v>
      </c>
    </row>
    <row r="2487" spans="2:12" ht="11.25" customHeight="1" x14ac:dyDescent="0.2">
      <c r="C2487" s="107" t="s">
        <v>1289</v>
      </c>
      <c r="D2487" s="109"/>
      <c r="E2487" s="34"/>
      <c r="F2487" s="33"/>
      <c r="G2487" s="33"/>
      <c r="H2487" s="24">
        <f>TRUNC(SUM(H2485:H2486))</f>
        <v>1225</v>
      </c>
      <c r="I2487" s="33"/>
      <c r="J2487" s="24">
        <f>TRUNC(SUM(J2485:J2486))</f>
        <v>2075</v>
      </c>
    </row>
    <row r="2488" spans="2:12" ht="11.25" customHeight="1" x14ac:dyDescent="0.2">
      <c r="C2488" s="107"/>
      <c r="D2488" s="109"/>
      <c r="E2488" s="34"/>
      <c r="F2488" s="33"/>
      <c r="G2488" s="33"/>
      <c r="H2488" s="24"/>
      <c r="I2488" s="33"/>
      <c r="J2488" s="24"/>
      <c r="K2488" s="40"/>
      <c r="L2488" s="54"/>
    </row>
    <row r="2489" spans="2:12" ht="11.25" customHeight="1" x14ac:dyDescent="0.2">
      <c r="B2489" s="16"/>
      <c r="C2489" s="108" t="s">
        <v>1286</v>
      </c>
      <c r="D2489" s="108"/>
      <c r="E2489" s="103"/>
      <c r="F2489" s="102"/>
      <c r="G2489" s="102"/>
      <c r="H2489" s="104">
        <f>TRUNC(H2487)</f>
        <v>1225</v>
      </c>
      <c r="I2489" s="102"/>
      <c r="J2489" s="104">
        <f>TRUNC(J2487)</f>
        <v>2075</v>
      </c>
    </row>
    <row r="2491" spans="2:12" ht="11.25" customHeight="1" x14ac:dyDescent="0.2">
      <c r="B2491" s="68" t="s">
        <v>1742</v>
      </c>
      <c r="C2491" s="119"/>
      <c r="J2491" s="49" t="s">
        <v>1307</v>
      </c>
    </row>
    <row r="2492" spans="2:12" ht="11.25" customHeight="1" x14ac:dyDescent="0.2">
      <c r="B2492" s="186" t="s">
        <v>427</v>
      </c>
      <c r="C2492" s="187" t="s">
        <v>428</v>
      </c>
      <c r="D2492" s="187" t="s">
        <v>429</v>
      </c>
      <c r="E2492" s="188" t="s">
        <v>430</v>
      </c>
      <c r="F2492" s="188" t="s">
        <v>431</v>
      </c>
      <c r="G2492" s="94" t="s">
        <v>1738</v>
      </c>
      <c r="H2492" s="151"/>
      <c r="I2492" s="94" t="s">
        <v>1740</v>
      </c>
      <c r="J2492" s="151"/>
    </row>
    <row r="2493" spans="2:12" ht="11.25" customHeight="1" x14ac:dyDescent="0.2">
      <c r="B2493" s="186"/>
      <c r="C2493" s="187"/>
      <c r="D2493" s="187"/>
      <c r="E2493" s="188"/>
      <c r="F2493" s="188"/>
      <c r="G2493" s="17" t="s">
        <v>436</v>
      </c>
      <c r="H2493" s="17" t="s">
        <v>437</v>
      </c>
      <c r="I2493" s="17" t="s">
        <v>436</v>
      </c>
      <c r="J2493" s="17" t="s">
        <v>437</v>
      </c>
    </row>
    <row r="2494" spans="2:12" ht="11.25" customHeight="1" x14ac:dyDescent="0.2">
      <c r="B2494" s="8" t="s">
        <v>273</v>
      </c>
      <c r="C2494" s="4" t="s">
        <v>1195</v>
      </c>
      <c r="D2494" s="106" t="s">
        <v>1737</v>
      </c>
      <c r="E2494" s="13" t="s">
        <v>746</v>
      </c>
      <c r="F2494" s="66">
        <v>10118000</v>
      </c>
      <c r="G2494" s="19">
        <v>3174</v>
      </c>
      <c r="H2494" s="20">
        <f t="shared" ref="H2494:H2495" si="36">TRUNC($F2494*G2494*0.0000001,1)</f>
        <v>3211.4</v>
      </c>
      <c r="I2494" s="21">
        <v>0</v>
      </c>
      <c r="J2494" s="20">
        <f t="shared" ref="J2494:J2495" si="37">TRUNC($F2494*I2494*0.0000001,1)</f>
        <v>0</v>
      </c>
    </row>
    <row r="2495" spans="2:12" ht="11.25" customHeight="1" x14ac:dyDescent="0.2">
      <c r="B2495" s="8" t="s">
        <v>274</v>
      </c>
      <c r="C2495" s="4" t="s">
        <v>1195</v>
      </c>
      <c r="D2495" s="106" t="s">
        <v>1739</v>
      </c>
      <c r="E2495" s="13" t="s">
        <v>746</v>
      </c>
      <c r="F2495" s="66">
        <v>23349000</v>
      </c>
      <c r="G2495" s="21">
        <v>0</v>
      </c>
      <c r="H2495" s="20">
        <f t="shared" si="36"/>
        <v>0</v>
      </c>
      <c r="I2495" s="19">
        <v>3174</v>
      </c>
      <c r="J2495" s="20">
        <f t="shared" si="37"/>
        <v>7410.9</v>
      </c>
    </row>
    <row r="2496" spans="2:12" ht="11.25" customHeight="1" x14ac:dyDescent="0.2">
      <c r="C2496" s="107" t="s">
        <v>1289</v>
      </c>
      <c r="D2496" s="109"/>
      <c r="E2496" s="34"/>
      <c r="F2496" s="33"/>
      <c r="G2496" s="33"/>
      <c r="H2496" s="24">
        <f>TRUNC(SUM(H2494:H2495))</f>
        <v>3211</v>
      </c>
      <c r="I2496" s="33"/>
      <c r="J2496" s="24">
        <f>TRUNC(SUM(J2494:J2495))</f>
        <v>7410</v>
      </c>
    </row>
    <row r="2497" spans="2:12" ht="11.25" customHeight="1" x14ac:dyDescent="0.2">
      <c r="C2497" s="107"/>
      <c r="D2497" s="109"/>
      <c r="E2497" s="34"/>
      <c r="F2497" s="33"/>
      <c r="G2497" s="33"/>
      <c r="H2497" s="24"/>
      <c r="I2497" s="33"/>
      <c r="J2497" s="24"/>
      <c r="K2497" s="40"/>
      <c r="L2497" s="54"/>
    </row>
    <row r="2498" spans="2:12" ht="11.25" customHeight="1" x14ac:dyDescent="0.2">
      <c r="B2498" s="16"/>
      <c r="C2498" s="108" t="s">
        <v>1286</v>
      </c>
      <c r="D2498" s="108"/>
      <c r="E2498" s="103"/>
      <c r="F2498" s="102"/>
      <c r="G2498" s="102"/>
      <c r="H2498" s="104">
        <f>TRUNC(H2496)</f>
        <v>3211</v>
      </c>
      <c r="I2498" s="102"/>
      <c r="J2498" s="104">
        <f>TRUNC(J2496)</f>
        <v>7410</v>
      </c>
    </row>
    <row r="2500" spans="2:12" ht="11.25" customHeight="1" x14ac:dyDescent="0.2">
      <c r="B2500" s="68" t="s">
        <v>1744</v>
      </c>
      <c r="C2500" s="119"/>
      <c r="L2500" s="49" t="s">
        <v>1307</v>
      </c>
    </row>
    <row r="2501" spans="2:12" ht="11.25" customHeight="1" x14ac:dyDescent="0.2">
      <c r="B2501" s="186" t="s">
        <v>427</v>
      </c>
      <c r="C2501" s="187" t="s">
        <v>428</v>
      </c>
      <c r="D2501" s="187" t="s">
        <v>429</v>
      </c>
      <c r="E2501" s="188" t="s">
        <v>430</v>
      </c>
      <c r="F2501" s="188" t="s">
        <v>431</v>
      </c>
      <c r="G2501" s="94" t="s">
        <v>1121</v>
      </c>
      <c r="H2501" s="151"/>
      <c r="I2501" s="94" t="s">
        <v>1122</v>
      </c>
      <c r="J2501" s="151"/>
      <c r="K2501" s="94" t="s">
        <v>671</v>
      </c>
      <c r="L2501" s="151"/>
    </row>
    <row r="2502" spans="2:12" ht="11.25" customHeight="1" x14ac:dyDescent="0.2">
      <c r="B2502" s="186"/>
      <c r="C2502" s="187"/>
      <c r="D2502" s="187"/>
      <c r="E2502" s="188"/>
      <c r="F2502" s="188"/>
      <c r="G2502" s="17" t="s">
        <v>436</v>
      </c>
      <c r="H2502" s="17" t="s">
        <v>437</v>
      </c>
      <c r="I2502" s="17" t="s">
        <v>436</v>
      </c>
      <c r="J2502" s="17" t="s">
        <v>437</v>
      </c>
      <c r="K2502" s="17" t="s">
        <v>436</v>
      </c>
      <c r="L2502" s="17" t="s">
        <v>437</v>
      </c>
    </row>
    <row r="2503" spans="2:12" ht="11.25" customHeight="1" x14ac:dyDescent="0.2">
      <c r="C2503" s="4" t="s">
        <v>426</v>
      </c>
      <c r="D2503" s="4"/>
      <c r="E2503" s="13" t="s">
        <v>494</v>
      </c>
      <c r="F2503" s="37">
        <v>1505.45</v>
      </c>
      <c r="G2503" s="26">
        <v>4.3</v>
      </c>
      <c r="H2503" s="20">
        <f>TRUNC(($F2503*G2503),1)</f>
        <v>6473.4</v>
      </c>
      <c r="I2503" s="26">
        <v>8.6999999999999993</v>
      </c>
      <c r="J2503" s="20">
        <f>TRUNC(($F2503*I2503),1)</f>
        <v>13097.4</v>
      </c>
      <c r="K2503" s="26">
        <v>17.399999999999999</v>
      </c>
      <c r="L2503" s="20">
        <f>TRUNC(($F2503*K2503),1)</f>
        <v>26194.799999999999</v>
      </c>
    </row>
    <row r="2504" spans="2:12" ht="11.25" customHeight="1" x14ac:dyDescent="0.2">
      <c r="C2504" s="4" t="s">
        <v>878</v>
      </c>
      <c r="D2504" s="4" t="s">
        <v>203</v>
      </c>
      <c r="E2504" s="13" t="s">
        <v>232</v>
      </c>
      <c r="F2504" s="18"/>
      <c r="G2504" s="21">
        <v>24</v>
      </c>
      <c r="H2504" s="20">
        <f>TRUNC(H2503*G2504*0.01,1)</f>
        <v>1553.6</v>
      </c>
      <c r="I2504" s="21">
        <v>24</v>
      </c>
      <c r="J2504" s="20">
        <f>TRUNC(J2503*I2504*0.01,1)</f>
        <v>3143.3</v>
      </c>
      <c r="K2504" s="21">
        <v>24</v>
      </c>
      <c r="L2504" s="20">
        <f>TRUNC(L2503*K2504*0.01,1)</f>
        <v>6286.7</v>
      </c>
    </row>
    <row r="2505" spans="2:12" ht="11.25" customHeight="1" x14ac:dyDescent="0.2">
      <c r="C2505" s="107" t="s">
        <v>799</v>
      </c>
      <c r="D2505" s="109"/>
      <c r="E2505" s="34"/>
      <c r="F2505" s="33"/>
      <c r="G2505" s="33"/>
      <c r="H2505" s="24">
        <f>TRUNC(SUM(H2503:H2504))</f>
        <v>8027</v>
      </c>
      <c r="I2505" s="33"/>
      <c r="J2505" s="24">
        <f>TRUNC(SUM(J2503:J2504))</f>
        <v>16240</v>
      </c>
      <c r="K2505" s="33"/>
      <c r="L2505" s="24">
        <f>TRUNC(SUM(L2503:L2504))</f>
        <v>32481</v>
      </c>
    </row>
    <row r="2506" spans="2:12" ht="11.25" customHeight="1" x14ac:dyDescent="0.2">
      <c r="C2506" s="107"/>
      <c r="D2506" s="109"/>
      <c r="E2506" s="34"/>
      <c r="F2506" s="33"/>
      <c r="G2506" s="33"/>
      <c r="H2506" s="24"/>
      <c r="I2506" s="33"/>
      <c r="J2506" s="24"/>
      <c r="K2506" s="33"/>
      <c r="L2506" s="24"/>
    </row>
    <row r="2507" spans="2:12" ht="11.25" customHeight="1" x14ac:dyDescent="0.2">
      <c r="C2507" s="4" t="s">
        <v>874</v>
      </c>
      <c r="D2507" s="4" t="s">
        <v>866</v>
      </c>
      <c r="E2507" s="13" t="s">
        <v>497</v>
      </c>
      <c r="F2507" s="28">
        <v>173995</v>
      </c>
      <c r="G2507" s="18">
        <v>0.20799999999999999</v>
      </c>
      <c r="H2507" s="20">
        <f>TRUNC(($F2507*G2507),1)</f>
        <v>36190.9</v>
      </c>
      <c r="I2507" s="18">
        <v>0.20799999999999999</v>
      </c>
      <c r="J2507" s="20">
        <f>TRUNC(($F2507*I2507),1)</f>
        <v>36190.9</v>
      </c>
      <c r="K2507" s="18">
        <v>0.20799999999999999</v>
      </c>
      <c r="L2507" s="20">
        <f>TRUNC(($F2507*K2507),1)</f>
        <v>36190.9</v>
      </c>
    </row>
    <row r="2508" spans="2:12" ht="11.25" customHeight="1" x14ac:dyDescent="0.2">
      <c r="C2508" s="107" t="s">
        <v>1285</v>
      </c>
      <c r="D2508" s="109"/>
      <c r="E2508" s="34"/>
      <c r="F2508" s="33"/>
      <c r="G2508" s="33"/>
      <c r="H2508" s="24">
        <f>TRUNC(SUM(H2507:H2507))</f>
        <v>36190</v>
      </c>
      <c r="I2508" s="33"/>
      <c r="J2508" s="24">
        <f>TRUNC(SUM(J2507:J2507))</f>
        <v>36190</v>
      </c>
      <c r="K2508" s="33"/>
      <c r="L2508" s="24">
        <f>TRUNC(SUM(L2507:L2507))</f>
        <v>36190</v>
      </c>
    </row>
    <row r="2509" spans="2:12" ht="11.25" customHeight="1" x14ac:dyDescent="0.2">
      <c r="C2509" s="107"/>
      <c r="D2509" s="109"/>
      <c r="E2509" s="34"/>
      <c r="F2509" s="33"/>
      <c r="G2509" s="33"/>
      <c r="H2509" s="24"/>
      <c r="I2509" s="33"/>
      <c r="J2509" s="24"/>
      <c r="K2509" s="33"/>
      <c r="L2509" s="24"/>
    </row>
    <row r="2510" spans="2:12" ht="11.25" customHeight="1" x14ac:dyDescent="0.2">
      <c r="B2510" s="8" t="s">
        <v>275</v>
      </c>
      <c r="C2510" s="4" t="s">
        <v>815</v>
      </c>
      <c r="D2510" s="106" t="s">
        <v>455</v>
      </c>
      <c r="E2510" s="13" t="s">
        <v>746</v>
      </c>
      <c r="F2510" s="66">
        <v>14452000</v>
      </c>
      <c r="G2510" s="19">
        <v>2362</v>
      </c>
      <c r="H2510" s="20">
        <f>TRUNC($F2510*G2510*0.0000001,1)</f>
        <v>3413.5</v>
      </c>
      <c r="I2510" s="21">
        <v>0</v>
      </c>
      <c r="J2510" s="20">
        <f>TRUNC($F2510*I2510*0.0000001,1)</f>
        <v>0</v>
      </c>
      <c r="K2510" s="21">
        <v>0</v>
      </c>
      <c r="L2510" s="20">
        <f>TRUNC($F2510*K2510*0.0000001,1)</f>
        <v>0</v>
      </c>
    </row>
    <row r="2511" spans="2:12" ht="11.25" customHeight="1" x14ac:dyDescent="0.2">
      <c r="B2511" s="8" t="s">
        <v>276</v>
      </c>
      <c r="C2511" s="4" t="s">
        <v>815</v>
      </c>
      <c r="D2511" s="106" t="s">
        <v>456</v>
      </c>
      <c r="E2511" s="13" t="s">
        <v>746</v>
      </c>
      <c r="F2511" s="66">
        <v>19856000</v>
      </c>
      <c r="G2511" s="21">
        <v>0</v>
      </c>
      <c r="H2511" s="20">
        <f>TRUNC($F2511*G2511*0.0000001,1)</f>
        <v>0</v>
      </c>
      <c r="I2511" s="19">
        <v>2362</v>
      </c>
      <c r="J2511" s="20">
        <f>TRUNC($F2511*I2511*0.0000001,1)</f>
        <v>4689.8999999999996</v>
      </c>
      <c r="K2511" s="21">
        <v>0</v>
      </c>
      <c r="L2511" s="20">
        <f>TRUNC($F2511*K2511*0.0000001,1)</f>
        <v>0</v>
      </c>
    </row>
    <row r="2512" spans="2:12" ht="11.25" customHeight="1" x14ac:dyDescent="0.2">
      <c r="B2512" s="8" t="s">
        <v>277</v>
      </c>
      <c r="C2512" s="4" t="s">
        <v>815</v>
      </c>
      <c r="D2512" s="106" t="s">
        <v>457</v>
      </c>
      <c r="E2512" s="13" t="s">
        <v>746</v>
      </c>
      <c r="F2512" s="66">
        <v>24124000</v>
      </c>
      <c r="G2512" s="21">
        <v>0</v>
      </c>
      <c r="H2512" s="20">
        <f>TRUNC($F2512*G2512*0.0000001,1)</f>
        <v>0</v>
      </c>
      <c r="I2512" s="21">
        <v>0</v>
      </c>
      <c r="J2512" s="20">
        <f>TRUNC($F2512*I2512*0.0000001,1)</f>
        <v>0</v>
      </c>
      <c r="K2512" s="19">
        <v>2362</v>
      </c>
      <c r="L2512" s="20">
        <f>TRUNC($F2512*K2512*0.0000001,1)</f>
        <v>5698</v>
      </c>
    </row>
    <row r="2513" spans="1:12" ht="11.25" customHeight="1" x14ac:dyDescent="0.2">
      <c r="C2513" s="107" t="s">
        <v>1289</v>
      </c>
      <c r="D2513" s="109"/>
      <c r="E2513" s="34"/>
      <c r="F2513" s="33"/>
      <c r="G2513" s="33"/>
      <c r="H2513" s="24">
        <f>TRUNC(SUM(H2510:H2512))</f>
        <v>3413</v>
      </c>
      <c r="I2513" s="33"/>
      <c r="J2513" s="24">
        <f>TRUNC(SUM(J2510:J2512))</f>
        <v>4689</v>
      </c>
      <c r="K2513" s="33"/>
      <c r="L2513" s="24">
        <f>TRUNC(SUM(L2510:L2512))</f>
        <v>5698</v>
      </c>
    </row>
    <row r="2514" spans="1:12" ht="11.25" customHeight="1" x14ac:dyDescent="0.2">
      <c r="C2514" s="107"/>
      <c r="D2514" s="109"/>
      <c r="E2514" s="34"/>
      <c r="F2514" s="33"/>
      <c r="G2514" s="33"/>
      <c r="H2514" s="24"/>
      <c r="I2514" s="33"/>
      <c r="J2514" s="24"/>
      <c r="K2514" s="33"/>
      <c r="L2514" s="24"/>
    </row>
    <row r="2515" spans="1:12" ht="11.25" customHeight="1" x14ac:dyDescent="0.2">
      <c r="C2515" s="126" t="s">
        <v>1286</v>
      </c>
      <c r="D2515" s="126"/>
      <c r="E2515" s="127"/>
      <c r="F2515" s="125"/>
      <c r="G2515" s="125"/>
      <c r="H2515" s="128">
        <f>TRUNC(H2513+H2505+H2508)</f>
        <v>47630</v>
      </c>
      <c r="I2515" s="125"/>
      <c r="J2515" s="128">
        <f>TRUNC(J2513+J2505+J2508)</f>
        <v>57119</v>
      </c>
      <c r="K2515" s="125"/>
      <c r="L2515" s="128">
        <f>TRUNC(L2513+L2505+L2508)</f>
        <v>74369</v>
      </c>
    </row>
    <row r="2516" spans="1:12" ht="11.25" customHeight="1" x14ac:dyDescent="0.2">
      <c r="B2516" s="186" t="s">
        <v>427</v>
      </c>
      <c r="C2516" s="187" t="s">
        <v>428</v>
      </c>
      <c r="D2516" s="187" t="s">
        <v>429</v>
      </c>
      <c r="E2516" s="188" t="s">
        <v>430</v>
      </c>
      <c r="F2516" s="188" t="s">
        <v>431</v>
      </c>
      <c r="G2516" s="94" t="s">
        <v>669</v>
      </c>
      <c r="H2516" s="151"/>
      <c r="I2516" s="94" t="s">
        <v>672</v>
      </c>
      <c r="J2516" s="151"/>
      <c r="K2516" s="94" t="s">
        <v>144</v>
      </c>
      <c r="L2516" s="151"/>
    </row>
    <row r="2517" spans="1:12" ht="11.25" customHeight="1" x14ac:dyDescent="0.2">
      <c r="B2517" s="186"/>
      <c r="C2517" s="187"/>
      <c r="D2517" s="187"/>
      <c r="E2517" s="188"/>
      <c r="F2517" s="188"/>
      <c r="G2517" s="17" t="s">
        <v>436</v>
      </c>
      <c r="H2517" s="17" t="s">
        <v>437</v>
      </c>
      <c r="I2517" s="17" t="s">
        <v>436</v>
      </c>
      <c r="J2517" s="17" t="s">
        <v>437</v>
      </c>
      <c r="K2517" s="17" t="s">
        <v>436</v>
      </c>
      <c r="L2517" s="17" t="s">
        <v>437</v>
      </c>
    </row>
    <row r="2518" spans="1:12" ht="11.25" customHeight="1" x14ac:dyDescent="0.2">
      <c r="C2518" s="4" t="s">
        <v>426</v>
      </c>
      <c r="D2518" s="4"/>
      <c r="E2518" s="13" t="s">
        <v>494</v>
      </c>
      <c r="F2518" s="37">
        <v>1505.45</v>
      </c>
      <c r="G2518" s="26">
        <v>19.399999999999999</v>
      </c>
      <c r="H2518" s="20">
        <f>TRUNC(($F2518*G2518),1)</f>
        <v>29205.7</v>
      </c>
      <c r="I2518" s="26">
        <v>23</v>
      </c>
      <c r="J2518" s="20">
        <f>TRUNC(($F2518*I2518),1)</f>
        <v>34625.300000000003</v>
      </c>
      <c r="K2518" s="26">
        <v>30.6</v>
      </c>
      <c r="L2518" s="20">
        <f>TRUNC(($F2518*K2518),1)</f>
        <v>46066.7</v>
      </c>
    </row>
    <row r="2519" spans="1:12" ht="11.25" customHeight="1" x14ac:dyDescent="0.2">
      <c r="C2519" s="4" t="s">
        <v>878</v>
      </c>
      <c r="D2519" s="4" t="s">
        <v>203</v>
      </c>
      <c r="E2519" s="13" t="s">
        <v>232</v>
      </c>
      <c r="F2519" s="18"/>
      <c r="G2519" s="21">
        <v>24</v>
      </c>
      <c r="H2519" s="20">
        <f>TRUNC(H2518*G2519*0.01,1)</f>
        <v>7009.3</v>
      </c>
      <c r="I2519" s="21">
        <v>24</v>
      </c>
      <c r="J2519" s="20">
        <f>TRUNC(J2518*I2519*0.01,1)</f>
        <v>8310</v>
      </c>
      <c r="K2519" s="21">
        <v>24</v>
      </c>
      <c r="L2519" s="20">
        <f>TRUNC(L2518*K2519*0.01,1)</f>
        <v>11056</v>
      </c>
    </row>
    <row r="2520" spans="1:12" ht="11.25" customHeight="1" x14ac:dyDescent="0.2">
      <c r="C2520" s="107" t="s">
        <v>799</v>
      </c>
      <c r="D2520" s="109"/>
      <c r="E2520" s="34"/>
      <c r="F2520" s="33"/>
      <c r="G2520" s="33"/>
      <c r="H2520" s="24">
        <f>TRUNC(SUM(H2518:H2519))</f>
        <v>36215</v>
      </c>
      <c r="I2520" s="33"/>
      <c r="J2520" s="24">
        <f>TRUNC(SUM(J2518:J2519))</f>
        <v>42935</v>
      </c>
      <c r="K2520" s="33"/>
      <c r="L2520" s="24">
        <f>TRUNC(SUM(L2518:L2519))</f>
        <v>57122</v>
      </c>
    </row>
    <row r="2521" spans="1:12" ht="11.25" customHeight="1" x14ac:dyDescent="0.2">
      <c r="C2521" s="107"/>
      <c r="D2521" s="109"/>
      <c r="E2521" s="34"/>
      <c r="F2521" s="33"/>
      <c r="G2521" s="33"/>
      <c r="H2521" s="24"/>
      <c r="I2521" s="33"/>
      <c r="J2521" s="24"/>
      <c r="K2521" s="33"/>
      <c r="L2521" s="24"/>
    </row>
    <row r="2522" spans="1:12" ht="11.25" customHeight="1" x14ac:dyDescent="0.2">
      <c r="C2522" s="4" t="s">
        <v>874</v>
      </c>
      <c r="D2522" s="4" t="s">
        <v>866</v>
      </c>
      <c r="E2522" s="13" t="s">
        <v>497</v>
      </c>
      <c r="F2522" s="28">
        <v>173995</v>
      </c>
      <c r="G2522" s="18">
        <v>0.20799999999999999</v>
      </c>
      <c r="H2522" s="20">
        <f>TRUNC(($F2522*G2522),1)</f>
        <v>36190.9</v>
      </c>
      <c r="I2522" s="18">
        <v>0.20799999999999999</v>
      </c>
      <c r="J2522" s="20">
        <f>TRUNC(($F2522*I2522),1)</f>
        <v>36190.9</v>
      </c>
      <c r="K2522" s="18">
        <v>0.20799999999999999</v>
      </c>
      <c r="L2522" s="20">
        <f>TRUNC(($F2522*K2522),1)</f>
        <v>36190.9</v>
      </c>
    </row>
    <row r="2523" spans="1:12" ht="11.25" customHeight="1" x14ac:dyDescent="0.2">
      <c r="C2523" s="107" t="s">
        <v>1285</v>
      </c>
      <c r="D2523" s="109"/>
      <c r="E2523" s="34"/>
      <c r="F2523" s="33"/>
      <c r="G2523" s="33"/>
      <c r="H2523" s="24">
        <f>TRUNC(SUM(H2522:H2522))</f>
        <v>36190</v>
      </c>
      <c r="I2523" s="33"/>
      <c r="J2523" s="24">
        <f>TRUNC(SUM(J2522:J2522))</f>
        <v>36190</v>
      </c>
      <c r="K2523" s="33"/>
      <c r="L2523" s="24">
        <f>TRUNC(SUM(L2522:L2522))</f>
        <v>36190</v>
      </c>
    </row>
    <row r="2524" spans="1:12" ht="11.25" customHeight="1" x14ac:dyDescent="0.2">
      <c r="C2524" s="107"/>
      <c r="D2524" s="109"/>
      <c r="E2524" s="34"/>
      <c r="F2524" s="33"/>
      <c r="G2524" s="33"/>
      <c r="H2524" s="24"/>
      <c r="I2524" s="33"/>
      <c r="J2524" s="24"/>
      <c r="K2524" s="33"/>
      <c r="L2524" s="24"/>
    </row>
    <row r="2525" spans="1:12" ht="11.25" customHeight="1" x14ac:dyDescent="0.2">
      <c r="B2525" s="8" t="s">
        <v>278</v>
      </c>
      <c r="C2525" s="4" t="s">
        <v>815</v>
      </c>
      <c r="D2525" s="106" t="s">
        <v>458</v>
      </c>
      <c r="E2525" s="13" t="s">
        <v>746</v>
      </c>
      <c r="F2525" s="66">
        <v>29410000</v>
      </c>
      <c r="G2525" s="19">
        <v>2362</v>
      </c>
      <c r="H2525" s="20">
        <f>TRUNC($F2525*G2525*0.0000001,1)</f>
        <v>6946.6</v>
      </c>
      <c r="I2525" s="21">
        <v>0</v>
      </c>
      <c r="J2525" s="20">
        <f>TRUNC($F2525*I2525*0.0000001,1)</f>
        <v>0</v>
      </c>
      <c r="K2525" s="21">
        <v>0</v>
      </c>
      <c r="L2525" s="20">
        <f>TRUNC($F2525*K2525*0.0000001,1)</f>
        <v>0</v>
      </c>
    </row>
    <row r="2526" spans="1:12" ht="11.25" customHeight="1" x14ac:dyDescent="0.2">
      <c r="B2526" s="8" t="s">
        <v>279</v>
      </c>
      <c r="C2526" s="4" t="s">
        <v>815</v>
      </c>
      <c r="D2526" s="106" t="s">
        <v>459</v>
      </c>
      <c r="E2526" s="13" t="s">
        <v>746</v>
      </c>
      <c r="F2526" s="66">
        <v>30347000</v>
      </c>
      <c r="G2526" s="21">
        <v>0</v>
      </c>
      <c r="H2526" s="20">
        <f>TRUNC($F2526*G2526*0.0000001,1)</f>
        <v>0</v>
      </c>
      <c r="I2526" s="19">
        <v>2362</v>
      </c>
      <c r="J2526" s="20">
        <f>TRUNC($F2526*I2526*0.0000001,1)</f>
        <v>7167.9</v>
      </c>
      <c r="K2526" s="21">
        <v>0</v>
      </c>
      <c r="L2526" s="20">
        <f>TRUNC($F2526*K2526*0.0000001,1)</f>
        <v>0</v>
      </c>
    </row>
    <row r="2527" spans="1:12" ht="11.25" customHeight="1" x14ac:dyDescent="0.2">
      <c r="A2527" s="7"/>
      <c r="B2527" s="8" t="s">
        <v>280</v>
      </c>
      <c r="C2527" s="4" t="s">
        <v>815</v>
      </c>
      <c r="D2527" s="106" t="s">
        <v>460</v>
      </c>
      <c r="E2527" s="13" t="s">
        <v>746</v>
      </c>
      <c r="F2527" s="66">
        <v>39471000</v>
      </c>
      <c r="G2527" s="21">
        <v>0</v>
      </c>
      <c r="H2527" s="20">
        <f>TRUNC($F2527*G2527*0.0000001,1)</f>
        <v>0</v>
      </c>
      <c r="I2527" s="21">
        <v>0</v>
      </c>
      <c r="J2527" s="20">
        <f>TRUNC($F2527*I2527*0.0000001,1)</f>
        <v>0</v>
      </c>
      <c r="K2527" s="19">
        <v>2362</v>
      </c>
      <c r="L2527" s="20">
        <f>TRUNC($F2527*K2527*0.0000001,1)</f>
        <v>9323</v>
      </c>
    </row>
    <row r="2528" spans="1:12" ht="11.25" customHeight="1" x14ac:dyDescent="0.2">
      <c r="C2528" s="107" t="s">
        <v>1289</v>
      </c>
      <c r="D2528" s="109"/>
      <c r="E2528" s="34"/>
      <c r="F2528" s="33"/>
      <c r="G2528" s="33"/>
      <c r="H2528" s="24">
        <f>TRUNC(SUM(H2525:H2527))</f>
        <v>6946</v>
      </c>
      <c r="I2528" s="33"/>
      <c r="J2528" s="24">
        <f>TRUNC(SUM(J2525:J2527))</f>
        <v>7167</v>
      </c>
      <c r="K2528" s="33"/>
      <c r="L2528" s="24">
        <f>TRUNC(SUM(L2525:L2527))</f>
        <v>9323</v>
      </c>
    </row>
    <row r="2529" spans="1:12" ht="11.25" customHeight="1" x14ac:dyDescent="0.2">
      <c r="C2529" s="107"/>
      <c r="D2529" s="109"/>
      <c r="E2529" s="34"/>
      <c r="F2529" s="33"/>
      <c r="G2529" s="33"/>
      <c r="H2529" s="24"/>
      <c r="I2529" s="33"/>
      <c r="J2529" s="24"/>
      <c r="K2529" s="33"/>
      <c r="L2529" s="24"/>
    </row>
    <row r="2530" spans="1:12" ht="11.25" customHeight="1" x14ac:dyDescent="0.2">
      <c r="C2530" s="126" t="s">
        <v>1286</v>
      </c>
      <c r="D2530" s="126"/>
      <c r="E2530" s="127"/>
      <c r="F2530" s="125"/>
      <c r="G2530" s="125"/>
      <c r="H2530" s="128">
        <f>TRUNC(H2528+H2520+H2523)</f>
        <v>79351</v>
      </c>
      <c r="I2530" s="125"/>
      <c r="J2530" s="128">
        <f>TRUNC(J2528+J2520+J2523)</f>
        <v>86292</v>
      </c>
      <c r="K2530" s="125"/>
      <c r="L2530" s="128">
        <f>TRUNC(L2528+L2520+L2523)</f>
        <v>102635</v>
      </c>
    </row>
    <row r="2531" spans="1:12" ht="11.25" customHeight="1" x14ac:dyDescent="0.2">
      <c r="B2531" s="186" t="s">
        <v>427</v>
      </c>
      <c r="C2531" s="187" t="s">
        <v>428</v>
      </c>
      <c r="D2531" s="187" t="s">
        <v>429</v>
      </c>
      <c r="E2531" s="188" t="s">
        <v>430</v>
      </c>
      <c r="F2531" s="188" t="s">
        <v>431</v>
      </c>
      <c r="G2531" s="94" t="s">
        <v>20</v>
      </c>
      <c r="H2531" s="151"/>
      <c r="I2531" s="94" t="s">
        <v>1123</v>
      </c>
      <c r="J2531" s="151"/>
      <c r="K2531" s="94" t="s">
        <v>1124</v>
      </c>
      <c r="L2531" s="151"/>
    </row>
    <row r="2532" spans="1:12" ht="11.25" customHeight="1" x14ac:dyDescent="0.2">
      <c r="B2532" s="186"/>
      <c r="C2532" s="187"/>
      <c r="D2532" s="187"/>
      <c r="E2532" s="188"/>
      <c r="F2532" s="188"/>
      <c r="G2532" s="17" t="s">
        <v>436</v>
      </c>
      <c r="H2532" s="17" t="s">
        <v>437</v>
      </c>
      <c r="I2532" s="17" t="s">
        <v>436</v>
      </c>
      <c r="J2532" s="17" t="s">
        <v>437</v>
      </c>
      <c r="K2532" s="17" t="s">
        <v>436</v>
      </c>
      <c r="L2532" s="17" t="s">
        <v>437</v>
      </c>
    </row>
    <row r="2533" spans="1:12" ht="11.25" customHeight="1" x14ac:dyDescent="0.2">
      <c r="A2533" s="49"/>
      <c r="C2533" s="4" t="s">
        <v>426</v>
      </c>
      <c r="D2533" s="4"/>
      <c r="E2533" s="13" t="s">
        <v>494</v>
      </c>
      <c r="F2533" s="37">
        <v>1505.45</v>
      </c>
      <c r="G2533" s="26">
        <v>38.299999999999997</v>
      </c>
      <c r="H2533" s="20">
        <f>TRUNC(($F2533*G2533),1)</f>
        <v>57658.7</v>
      </c>
      <c r="I2533" s="26">
        <v>53.6</v>
      </c>
      <c r="J2533" s="20">
        <f>TRUNC(($F2533*I2533),1)</f>
        <v>80692.100000000006</v>
      </c>
      <c r="K2533" s="26">
        <v>68.900000000000006</v>
      </c>
      <c r="L2533" s="20">
        <f>TRUNC(($F2533*K2533),1)</f>
        <v>103725.5</v>
      </c>
    </row>
    <row r="2534" spans="1:12" ht="11.25" customHeight="1" x14ac:dyDescent="0.2">
      <c r="C2534" s="4" t="s">
        <v>878</v>
      </c>
      <c r="D2534" s="4" t="s">
        <v>203</v>
      </c>
      <c r="E2534" s="13" t="s">
        <v>232</v>
      </c>
      <c r="F2534" s="18"/>
      <c r="G2534" s="21">
        <v>24</v>
      </c>
      <c r="H2534" s="20">
        <f>TRUNC(H2533*G2534*0.01,1)</f>
        <v>13838</v>
      </c>
      <c r="I2534" s="21">
        <v>24</v>
      </c>
      <c r="J2534" s="20">
        <f>TRUNC(J2533*I2534*0.01,1)</f>
        <v>19366.099999999999</v>
      </c>
      <c r="K2534" s="21">
        <v>24</v>
      </c>
      <c r="L2534" s="20">
        <f>TRUNC(L2533*K2534*0.01,1)</f>
        <v>24894.1</v>
      </c>
    </row>
    <row r="2535" spans="1:12" ht="11.25" customHeight="1" x14ac:dyDescent="0.2">
      <c r="C2535" s="107" t="s">
        <v>799</v>
      </c>
      <c r="D2535" s="109"/>
      <c r="E2535" s="34"/>
      <c r="F2535" s="33"/>
      <c r="G2535" s="33"/>
      <c r="H2535" s="24">
        <f>TRUNC(SUM(H2533:H2534))</f>
        <v>71496</v>
      </c>
      <c r="I2535" s="33"/>
      <c r="J2535" s="24">
        <f>TRUNC(SUM(J2533:J2534))</f>
        <v>100058</v>
      </c>
      <c r="K2535" s="33"/>
      <c r="L2535" s="24">
        <f>TRUNC(SUM(L2533:L2534))</f>
        <v>128619</v>
      </c>
    </row>
    <row r="2536" spans="1:12" ht="11.25" customHeight="1" x14ac:dyDescent="0.2">
      <c r="C2536" s="107"/>
      <c r="D2536" s="109"/>
      <c r="E2536" s="34"/>
      <c r="F2536" s="33"/>
      <c r="G2536" s="33"/>
      <c r="H2536" s="24"/>
      <c r="I2536" s="33"/>
      <c r="J2536" s="24"/>
      <c r="K2536" s="33"/>
      <c r="L2536" s="24"/>
    </row>
    <row r="2537" spans="1:12" ht="11.25" customHeight="1" x14ac:dyDescent="0.2">
      <c r="C2537" s="4" t="s">
        <v>874</v>
      </c>
      <c r="D2537" s="4" t="s">
        <v>866</v>
      </c>
      <c r="E2537" s="13" t="s">
        <v>497</v>
      </c>
      <c r="F2537" s="28">
        <v>173995</v>
      </c>
      <c r="G2537" s="18">
        <v>0.20799999999999999</v>
      </c>
      <c r="H2537" s="20">
        <f>TRUNC(($F2537*G2537),1)</f>
        <v>36190.9</v>
      </c>
      <c r="I2537" s="18">
        <v>0.20799999999999999</v>
      </c>
      <c r="J2537" s="20">
        <f>TRUNC(($F2537*I2537),1)</f>
        <v>36190.9</v>
      </c>
      <c r="K2537" s="18">
        <v>0.20799999999999999</v>
      </c>
      <c r="L2537" s="20">
        <f>TRUNC(($F2537*K2537),1)</f>
        <v>36190.9</v>
      </c>
    </row>
    <row r="2538" spans="1:12" ht="11.25" customHeight="1" x14ac:dyDescent="0.2">
      <c r="C2538" s="107" t="s">
        <v>1285</v>
      </c>
      <c r="D2538" s="109"/>
      <c r="E2538" s="34"/>
      <c r="F2538" s="33"/>
      <c r="G2538" s="33"/>
      <c r="H2538" s="24">
        <f>TRUNC(SUM(H2537:H2537))</f>
        <v>36190</v>
      </c>
      <c r="I2538" s="33"/>
      <c r="J2538" s="24">
        <f>TRUNC(SUM(J2537:J2537))</f>
        <v>36190</v>
      </c>
      <c r="K2538" s="33"/>
      <c r="L2538" s="24">
        <f>TRUNC(SUM(L2537:L2537))</f>
        <v>36190</v>
      </c>
    </row>
    <row r="2539" spans="1:12" ht="11.25" customHeight="1" x14ac:dyDescent="0.2">
      <c r="C2539" s="107"/>
      <c r="D2539" s="109"/>
      <c r="E2539" s="34"/>
      <c r="F2539" s="33"/>
      <c r="G2539" s="33"/>
      <c r="H2539" s="24"/>
      <c r="I2539" s="33"/>
      <c r="J2539" s="24"/>
      <c r="K2539" s="33"/>
      <c r="L2539" s="24"/>
    </row>
    <row r="2540" spans="1:12" ht="11.25" customHeight="1" x14ac:dyDescent="0.2">
      <c r="B2540" s="8" t="s">
        <v>281</v>
      </c>
      <c r="C2540" s="4" t="s">
        <v>815</v>
      </c>
      <c r="D2540" s="106" t="s">
        <v>461</v>
      </c>
      <c r="E2540" s="13" t="s">
        <v>746</v>
      </c>
      <c r="F2540" s="66">
        <v>52374000</v>
      </c>
      <c r="G2540" s="19">
        <v>2362</v>
      </c>
      <c r="H2540" s="20">
        <f>TRUNC($F2540*G2540*0.0000001,1)</f>
        <v>12370.7</v>
      </c>
      <c r="I2540" s="21">
        <v>0</v>
      </c>
      <c r="J2540" s="20">
        <f>TRUNC($F2540*I2540*0.0000001,1)</f>
        <v>0</v>
      </c>
      <c r="K2540" s="21">
        <v>0</v>
      </c>
      <c r="L2540" s="20">
        <f>TRUNC($F2540*K2540*0.0000001,1)</f>
        <v>0</v>
      </c>
    </row>
    <row r="2541" spans="1:12" ht="11.25" customHeight="1" x14ac:dyDescent="0.2">
      <c r="B2541" s="8" t="s">
        <v>58</v>
      </c>
      <c r="C2541" s="4" t="s">
        <v>815</v>
      </c>
      <c r="D2541" s="106" t="s">
        <v>462</v>
      </c>
      <c r="E2541" s="13" t="s">
        <v>746</v>
      </c>
      <c r="F2541" s="66">
        <v>63968000</v>
      </c>
      <c r="G2541" s="21">
        <v>0</v>
      </c>
      <c r="H2541" s="20">
        <f>TRUNC($F2541*G2541*0.0000001,1)</f>
        <v>0</v>
      </c>
      <c r="I2541" s="19">
        <v>2362</v>
      </c>
      <c r="J2541" s="20">
        <f>TRUNC($F2541*I2541*0.0000001,1)</f>
        <v>15109.2</v>
      </c>
      <c r="K2541" s="21">
        <v>0</v>
      </c>
      <c r="L2541" s="20">
        <f>TRUNC($F2541*K2541*0.0000001,1)</f>
        <v>0</v>
      </c>
    </row>
    <row r="2542" spans="1:12" ht="11.25" customHeight="1" x14ac:dyDescent="0.2">
      <c r="B2542" s="8" t="s">
        <v>282</v>
      </c>
      <c r="C2542" s="4" t="s">
        <v>815</v>
      </c>
      <c r="D2542" s="106" t="s">
        <v>463</v>
      </c>
      <c r="E2542" s="13" t="s">
        <v>746</v>
      </c>
      <c r="F2542" s="66">
        <v>93167000</v>
      </c>
      <c r="G2542" s="21">
        <v>0</v>
      </c>
      <c r="H2542" s="20">
        <f>TRUNC($F2542*G2542*0.0000001,1)</f>
        <v>0</v>
      </c>
      <c r="I2542" s="21">
        <v>0</v>
      </c>
      <c r="J2542" s="20">
        <f>TRUNC($F2542*I2542*0.0000001,1)</f>
        <v>0</v>
      </c>
      <c r="K2542" s="19">
        <v>2362</v>
      </c>
      <c r="L2542" s="20">
        <f>TRUNC($F2542*K2542*0.0000001,1)</f>
        <v>22006</v>
      </c>
    </row>
    <row r="2543" spans="1:12" ht="11.25" customHeight="1" x14ac:dyDescent="0.2">
      <c r="C2543" s="107" t="s">
        <v>1289</v>
      </c>
      <c r="D2543" s="109"/>
      <c r="E2543" s="34"/>
      <c r="F2543" s="33"/>
      <c r="G2543" s="33"/>
      <c r="H2543" s="24">
        <f>TRUNC(SUM(H2540:H2542))</f>
        <v>12370</v>
      </c>
      <c r="I2543" s="33"/>
      <c r="J2543" s="24">
        <f>TRUNC(SUM(J2540:J2542))</f>
        <v>15109</v>
      </c>
      <c r="K2543" s="33"/>
      <c r="L2543" s="24">
        <f>TRUNC(SUM(L2540:L2542))</f>
        <v>22006</v>
      </c>
    </row>
    <row r="2544" spans="1:12" ht="11.25" customHeight="1" x14ac:dyDescent="0.2">
      <c r="C2544" s="107"/>
      <c r="D2544" s="109"/>
      <c r="E2544" s="34"/>
      <c r="F2544" s="33"/>
      <c r="G2544" s="33"/>
      <c r="H2544" s="24"/>
      <c r="I2544" s="33"/>
      <c r="J2544" s="24"/>
      <c r="K2544" s="33"/>
      <c r="L2544" s="24"/>
    </row>
    <row r="2545" spans="2:12" ht="11.25" customHeight="1" x14ac:dyDescent="0.2">
      <c r="C2545" s="126" t="s">
        <v>1286</v>
      </c>
      <c r="D2545" s="126"/>
      <c r="E2545" s="127"/>
      <c r="F2545" s="125"/>
      <c r="G2545" s="125"/>
      <c r="H2545" s="128">
        <f>TRUNC(H2543+H2535+H2538)</f>
        <v>120056</v>
      </c>
      <c r="I2545" s="125"/>
      <c r="J2545" s="140">
        <f>TRUNC(J2543+J2535+J2538)</f>
        <v>151357</v>
      </c>
      <c r="K2545" s="102"/>
      <c r="L2545" s="104">
        <f>TRUNC(L2543+L2535+L2538)</f>
        <v>186815</v>
      </c>
    </row>
    <row r="2546" spans="2:12" ht="11.25" customHeight="1" x14ac:dyDescent="0.2">
      <c r="B2546" s="186" t="s">
        <v>427</v>
      </c>
      <c r="C2546" s="187" t="s">
        <v>428</v>
      </c>
      <c r="D2546" s="187" t="s">
        <v>429</v>
      </c>
      <c r="E2546" s="188" t="s">
        <v>430</v>
      </c>
      <c r="F2546" s="188" t="s">
        <v>431</v>
      </c>
      <c r="G2546" s="94" t="s">
        <v>1125</v>
      </c>
      <c r="H2546" s="151"/>
      <c r="I2546" s="94" t="s">
        <v>1126</v>
      </c>
      <c r="J2546" s="151"/>
    </row>
    <row r="2547" spans="2:12" ht="11.25" customHeight="1" x14ac:dyDescent="0.2">
      <c r="B2547" s="186"/>
      <c r="C2547" s="187"/>
      <c r="D2547" s="187"/>
      <c r="E2547" s="188"/>
      <c r="F2547" s="188"/>
      <c r="G2547" s="17" t="s">
        <v>436</v>
      </c>
      <c r="H2547" s="17" t="s">
        <v>437</v>
      </c>
      <c r="I2547" s="17" t="s">
        <v>436</v>
      </c>
      <c r="J2547" s="17" t="s">
        <v>437</v>
      </c>
    </row>
    <row r="2548" spans="2:12" ht="11.25" customHeight="1" x14ac:dyDescent="0.2">
      <c r="C2548" s="4" t="s">
        <v>426</v>
      </c>
      <c r="D2548" s="4"/>
      <c r="E2548" s="13" t="s">
        <v>494</v>
      </c>
      <c r="F2548" s="25">
        <v>1505.45</v>
      </c>
      <c r="G2548" s="26">
        <v>76.599999999999994</v>
      </c>
      <c r="H2548" s="20">
        <f>TRUNC(($F2548*G2548),1)</f>
        <v>115317.4</v>
      </c>
      <c r="I2548" s="26">
        <v>107.3</v>
      </c>
      <c r="J2548" s="20">
        <f>TRUNC(($F2548*I2548),1)</f>
        <v>161534.70000000001</v>
      </c>
    </row>
    <row r="2549" spans="2:12" ht="11.25" customHeight="1" x14ac:dyDescent="0.2">
      <c r="C2549" s="4" t="s">
        <v>878</v>
      </c>
      <c r="D2549" s="4" t="s">
        <v>203</v>
      </c>
      <c r="E2549" s="13" t="s">
        <v>232</v>
      </c>
      <c r="F2549" s="18"/>
      <c r="G2549" s="21">
        <v>24</v>
      </c>
      <c r="H2549" s="20">
        <f>TRUNC(H2548*G2549*0.01,1)</f>
        <v>27676.1</v>
      </c>
      <c r="I2549" s="21">
        <v>24</v>
      </c>
      <c r="J2549" s="20">
        <f>TRUNC(J2548*I2549*0.01,1)</f>
        <v>38768.300000000003</v>
      </c>
    </row>
    <row r="2550" spans="2:12" ht="11.25" customHeight="1" x14ac:dyDescent="0.2">
      <c r="C2550" s="107" t="s">
        <v>799</v>
      </c>
      <c r="D2550" s="109"/>
      <c r="E2550" s="34"/>
      <c r="F2550" s="33"/>
      <c r="G2550" s="33"/>
      <c r="H2550" s="24">
        <f>TRUNC(SUM(H2548:H2549))</f>
        <v>142993</v>
      </c>
      <c r="I2550" s="33"/>
      <c r="J2550" s="24">
        <f>TRUNC(SUM(J2548:J2549))</f>
        <v>200303</v>
      </c>
    </row>
    <row r="2551" spans="2:12" ht="11.25" customHeight="1" x14ac:dyDescent="0.2">
      <c r="C2551" s="107"/>
      <c r="D2551" s="109"/>
      <c r="E2551" s="34"/>
      <c r="F2551" s="33"/>
      <c r="G2551" s="33"/>
      <c r="H2551" s="24"/>
      <c r="I2551" s="33"/>
      <c r="J2551" s="24"/>
      <c r="K2551" s="40"/>
      <c r="L2551" s="54"/>
    </row>
    <row r="2552" spans="2:12" ht="11.25" customHeight="1" x14ac:dyDescent="0.2">
      <c r="C2552" s="4" t="s">
        <v>874</v>
      </c>
      <c r="D2552" s="4" t="s">
        <v>866</v>
      </c>
      <c r="E2552" s="13" t="s">
        <v>497</v>
      </c>
      <c r="F2552" s="28">
        <v>173995</v>
      </c>
      <c r="G2552" s="18">
        <v>0.20799999999999999</v>
      </c>
      <c r="H2552" s="20">
        <f>TRUNC(($F2552*G2552),1)</f>
        <v>36190.9</v>
      </c>
      <c r="I2552" s="18">
        <v>0.20799999999999999</v>
      </c>
      <c r="J2552" s="20">
        <f>TRUNC(($F2552*I2552),1)</f>
        <v>36190.9</v>
      </c>
    </row>
    <row r="2553" spans="2:12" ht="11.25" customHeight="1" x14ac:dyDescent="0.2">
      <c r="C2553" s="107" t="s">
        <v>1285</v>
      </c>
      <c r="D2553" s="109"/>
      <c r="E2553" s="34"/>
      <c r="F2553" s="33"/>
      <c r="G2553" s="33"/>
      <c r="H2553" s="24">
        <f>TRUNC(SUM(H2552:H2552))</f>
        <v>36190</v>
      </c>
      <c r="I2553" s="33"/>
      <c r="J2553" s="24">
        <f>TRUNC(SUM(J2552:J2552))</f>
        <v>36190</v>
      </c>
    </row>
    <row r="2554" spans="2:12" ht="11.25" customHeight="1" x14ac:dyDescent="0.2">
      <c r="C2554" s="107"/>
      <c r="D2554" s="109"/>
      <c r="E2554" s="34"/>
      <c r="F2554" s="33"/>
      <c r="G2554" s="33"/>
      <c r="H2554" s="24"/>
      <c r="I2554" s="33"/>
      <c r="J2554" s="24"/>
      <c r="K2554" s="40"/>
      <c r="L2554" s="54"/>
    </row>
    <row r="2555" spans="2:12" ht="11.25" customHeight="1" x14ac:dyDescent="0.2">
      <c r="B2555" s="8" t="s">
        <v>283</v>
      </c>
      <c r="C2555" s="4" t="s">
        <v>815</v>
      </c>
      <c r="D2555" s="106" t="s">
        <v>464</v>
      </c>
      <c r="E2555" s="13" t="s">
        <v>746</v>
      </c>
      <c r="F2555" s="66">
        <v>104159000</v>
      </c>
      <c r="G2555" s="19">
        <v>2362</v>
      </c>
      <c r="H2555" s="20">
        <f>TRUNC($F2555*G2555*0.0000001,1)</f>
        <v>24602.3</v>
      </c>
      <c r="I2555" s="21">
        <v>0</v>
      </c>
      <c r="J2555" s="20">
        <f>TRUNC($F2555*I2555*0.0000001,1)</f>
        <v>0</v>
      </c>
    </row>
    <row r="2556" spans="2:12" ht="11.25" customHeight="1" x14ac:dyDescent="0.2">
      <c r="B2556" s="8" t="s">
        <v>284</v>
      </c>
      <c r="C2556" s="4" t="s">
        <v>815</v>
      </c>
      <c r="D2556" s="106" t="s">
        <v>465</v>
      </c>
      <c r="E2556" s="13" t="s">
        <v>746</v>
      </c>
      <c r="F2556" s="66">
        <v>156403000</v>
      </c>
      <c r="G2556" s="21">
        <v>0</v>
      </c>
      <c r="H2556" s="20">
        <f>TRUNC($F2556*G2556*0.0000001,1)</f>
        <v>0</v>
      </c>
      <c r="I2556" s="19">
        <v>2362</v>
      </c>
      <c r="J2556" s="20">
        <f>TRUNC($F2556*I2556*0.0000001,1)</f>
        <v>36942.300000000003</v>
      </c>
    </row>
    <row r="2557" spans="2:12" ht="11.25" customHeight="1" x14ac:dyDescent="0.2">
      <c r="C2557" s="107" t="s">
        <v>1289</v>
      </c>
      <c r="D2557" s="109"/>
      <c r="E2557" s="34"/>
      <c r="F2557" s="33"/>
      <c r="G2557" s="33"/>
      <c r="H2557" s="24">
        <f>TRUNC(SUM(H2555:H2556))</f>
        <v>24602</v>
      </c>
      <c r="I2557" s="33"/>
      <c r="J2557" s="24">
        <f>TRUNC(SUM(J2555:J2556))</f>
        <v>36942</v>
      </c>
    </row>
    <row r="2558" spans="2:12" ht="11.25" customHeight="1" x14ac:dyDescent="0.2">
      <c r="C2558" s="107"/>
      <c r="D2558" s="109"/>
      <c r="E2558" s="34"/>
      <c r="F2558" s="33"/>
      <c r="G2558" s="33"/>
      <c r="H2558" s="24"/>
      <c r="I2558" s="33"/>
      <c r="J2558" s="24"/>
      <c r="K2558" s="40"/>
      <c r="L2558" s="54"/>
    </row>
    <row r="2559" spans="2:12" ht="11.25" customHeight="1" x14ac:dyDescent="0.2">
      <c r="B2559" s="16"/>
      <c r="C2559" s="108" t="s">
        <v>1286</v>
      </c>
      <c r="D2559" s="108"/>
      <c r="E2559" s="103"/>
      <c r="F2559" s="102"/>
      <c r="G2559" s="102"/>
      <c r="H2559" s="104">
        <f>TRUNC(H2557+H2550+H2553)</f>
        <v>203785</v>
      </c>
      <c r="I2559" s="102"/>
      <c r="J2559" s="104">
        <f>TRUNC(J2557+J2550+J2553)</f>
        <v>273435</v>
      </c>
    </row>
    <row r="2561" spans="1:12" ht="11.25" customHeight="1" x14ac:dyDescent="0.2">
      <c r="B2561" s="68" t="s">
        <v>1745</v>
      </c>
      <c r="C2561" s="119"/>
      <c r="J2561" s="49" t="s">
        <v>1307</v>
      </c>
      <c r="L2561" s="49"/>
    </row>
    <row r="2562" spans="1:12" ht="11.25" customHeight="1" x14ac:dyDescent="0.2">
      <c r="B2562" s="186" t="s">
        <v>427</v>
      </c>
      <c r="C2562" s="187" t="s">
        <v>428</v>
      </c>
      <c r="D2562" s="187" t="s">
        <v>429</v>
      </c>
      <c r="E2562" s="188" t="s">
        <v>430</v>
      </c>
      <c r="F2562" s="188" t="s">
        <v>431</v>
      </c>
      <c r="G2562" s="94" t="s">
        <v>2</v>
      </c>
      <c r="H2562" s="151"/>
      <c r="I2562" s="94" t="s">
        <v>130</v>
      </c>
      <c r="J2562" s="151"/>
    </row>
    <row r="2563" spans="1:12" ht="11.25" customHeight="1" x14ac:dyDescent="0.2">
      <c r="B2563" s="186"/>
      <c r="C2563" s="187"/>
      <c r="D2563" s="187"/>
      <c r="E2563" s="188"/>
      <c r="F2563" s="188"/>
      <c r="G2563" s="17" t="s">
        <v>436</v>
      </c>
      <c r="H2563" s="17" t="s">
        <v>437</v>
      </c>
      <c r="I2563" s="17" t="s">
        <v>436</v>
      </c>
      <c r="J2563" s="17" t="s">
        <v>437</v>
      </c>
    </row>
    <row r="2564" spans="1:12" ht="11.25" customHeight="1" x14ac:dyDescent="0.2">
      <c r="B2564" s="8" t="s">
        <v>288</v>
      </c>
      <c r="C2564" s="4" t="s">
        <v>1204</v>
      </c>
      <c r="D2564" s="106" t="s">
        <v>285</v>
      </c>
      <c r="E2564" s="13" t="s">
        <v>746</v>
      </c>
      <c r="F2564" s="66">
        <v>391000</v>
      </c>
      <c r="G2564" s="19">
        <v>2362</v>
      </c>
      <c r="H2564" s="20">
        <f t="shared" ref="H2564:H2565" si="38">TRUNC($F2564*G2564*0.0000001,1)</f>
        <v>92.3</v>
      </c>
      <c r="I2564" s="21">
        <v>0</v>
      </c>
      <c r="J2564" s="20">
        <f t="shared" ref="J2564:J2565" si="39">TRUNC($F2564*I2564*0.0000001,1)</f>
        <v>0</v>
      </c>
    </row>
    <row r="2565" spans="1:12" ht="11.25" customHeight="1" x14ac:dyDescent="0.2">
      <c r="B2565" s="8" t="s">
        <v>289</v>
      </c>
      <c r="C2565" s="4" t="s">
        <v>1204</v>
      </c>
      <c r="D2565" s="106" t="s">
        <v>286</v>
      </c>
      <c r="E2565" s="13" t="s">
        <v>746</v>
      </c>
      <c r="F2565" s="66">
        <v>506000</v>
      </c>
      <c r="G2565" s="21">
        <v>0</v>
      </c>
      <c r="H2565" s="20">
        <f t="shared" si="38"/>
        <v>0</v>
      </c>
      <c r="I2565" s="19">
        <v>2362</v>
      </c>
      <c r="J2565" s="20">
        <f t="shared" si="39"/>
        <v>119.5</v>
      </c>
    </row>
    <row r="2566" spans="1:12" ht="11.25" customHeight="1" x14ac:dyDescent="0.2">
      <c r="A2566" s="7"/>
      <c r="C2566" s="107" t="s">
        <v>1289</v>
      </c>
      <c r="D2566" s="109"/>
      <c r="E2566" s="34"/>
      <c r="F2566" s="33"/>
      <c r="G2566" s="33"/>
      <c r="H2566" s="24">
        <f>TRUNC(SUM(H2564:H2565))</f>
        <v>92</v>
      </c>
      <c r="I2566" s="33"/>
      <c r="J2566" s="24">
        <f>TRUNC(SUM(J2564:J2565))</f>
        <v>119</v>
      </c>
    </row>
    <row r="2567" spans="1:12" ht="11.25" customHeight="1" x14ac:dyDescent="0.2">
      <c r="C2567" s="107"/>
      <c r="D2567" s="109"/>
      <c r="E2567" s="34"/>
      <c r="F2567" s="33"/>
      <c r="G2567" s="33"/>
      <c r="H2567" s="24"/>
      <c r="I2567" s="33"/>
      <c r="J2567" s="24"/>
    </row>
    <row r="2568" spans="1:12" ht="11.25" customHeight="1" x14ac:dyDescent="0.2">
      <c r="C2568" s="126" t="s">
        <v>1286</v>
      </c>
      <c r="D2568" s="126"/>
      <c r="E2568" s="127"/>
      <c r="F2568" s="125"/>
      <c r="G2568" s="125"/>
      <c r="H2568" s="128">
        <f>TRUNC(H2566)</f>
        <v>92</v>
      </c>
      <c r="I2568" s="102"/>
      <c r="J2568" s="104">
        <f>TRUNC(J2566)</f>
        <v>119</v>
      </c>
    </row>
    <row r="2569" spans="1:12" ht="11.25" customHeight="1" x14ac:dyDescent="0.2">
      <c r="B2569" s="186" t="s">
        <v>427</v>
      </c>
      <c r="C2569" s="187" t="s">
        <v>428</v>
      </c>
      <c r="D2569" s="187" t="s">
        <v>429</v>
      </c>
      <c r="E2569" s="188" t="s">
        <v>430</v>
      </c>
      <c r="F2569" s="188" t="s">
        <v>431</v>
      </c>
      <c r="G2569" s="94" t="s">
        <v>417</v>
      </c>
      <c r="H2569" s="151"/>
      <c r="I2569" s="94" t="s">
        <v>131</v>
      </c>
      <c r="J2569" s="151"/>
    </row>
    <row r="2570" spans="1:12" ht="11.25" customHeight="1" x14ac:dyDescent="0.2">
      <c r="A2570" s="49"/>
      <c r="B2570" s="186"/>
      <c r="C2570" s="187"/>
      <c r="D2570" s="187"/>
      <c r="E2570" s="188"/>
      <c r="F2570" s="188"/>
      <c r="G2570" s="17" t="s">
        <v>436</v>
      </c>
      <c r="H2570" s="17" t="s">
        <v>437</v>
      </c>
      <c r="I2570" s="17" t="s">
        <v>436</v>
      </c>
      <c r="J2570" s="17" t="s">
        <v>437</v>
      </c>
    </row>
    <row r="2571" spans="1:12" ht="11.25" customHeight="1" x14ac:dyDescent="0.2">
      <c r="B2571" s="8" t="s">
        <v>1190</v>
      </c>
      <c r="C2571" s="4" t="s">
        <v>1204</v>
      </c>
      <c r="D2571" s="106" t="s">
        <v>287</v>
      </c>
      <c r="E2571" s="13" t="s">
        <v>746</v>
      </c>
      <c r="F2571" s="66">
        <v>568000</v>
      </c>
      <c r="G2571" s="19">
        <v>2362</v>
      </c>
      <c r="H2571" s="20">
        <f>TRUNC($F2571*G2571*0.0000001,1)</f>
        <v>134.1</v>
      </c>
      <c r="I2571" s="21">
        <v>0</v>
      </c>
      <c r="J2571" s="20">
        <f t="shared" ref="J2571:J2572" si="40">TRUNC($F2571*I2571*0.0000001,1)</f>
        <v>0</v>
      </c>
    </row>
    <row r="2572" spans="1:12" ht="11.25" customHeight="1" x14ac:dyDescent="0.2">
      <c r="B2572" s="8" t="s">
        <v>289</v>
      </c>
      <c r="C2572" s="4" t="s">
        <v>1204</v>
      </c>
      <c r="D2572" s="106" t="s">
        <v>290</v>
      </c>
      <c r="E2572" s="13" t="s">
        <v>746</v>
      </c>
      <c r="F2572" s="66">
        <v>666000</v>
      </c>
      <c r="G2572" s="21">
        <v>0</v>
      </c>
      <c r="H2572" s="20">
        <f>TRUNC($F2572*G2572*0.0000001,1)</f>
        <v>0</v>
      </c>
      <c r="I2572" s="19">
        <v>2362</v>
      </c>
      <c r="J2572" s="20">
        <f t="shared" si="40"/>
        <v>157.30000000000001</v>
      </c>
    </row>
    <row r="2573" spans="1:12" ht="11.25" customHeight="1" x14ac:dyDescent="0.2">
      <c r="C2573" s="107" t="s">
        <v>1289</v>
      </c>
      <c r="D2573" s="109"/>
      <c r="E2573" s="34"/>
      <c r="F2573" s="33"/>
      <c r="G2573" s="33"/>
      <c r="H2573" s="24">
        <f>TRUNC(SUM(H2571:H2572))</f>
        <v>134</v>
      </c>
      <c r="I2573" s="33"/>
      <c r="J2573" s="24">
        <f>TRUNC(SUM(J2571:J2572))</f>
        <v>157</v>
      </c>
    </row>
    <row r="2574" spans="1:12" ht="11.25" customHeight="1" x14ac:dyDescent="0.2">
      <c r="C2574" s="107"/>
      <c r="D2574" s="109"/>
      <c r="E2574" s="34"/>
      <c r="F2574" s="33"/>
      <c r="G2574" s="33"/>
      <c r="H2574" s="24"/>
      <c r="I2574" s="33"/>
      <c r="J2574" s="24"/>
    </row>
    <row r="2575" spans="1:12" ht="11.25" customHeight="1" x14ac:dyDescent="0.2">
      <c r="B2575" s="16"/>
      <c r="C2575" s="108" t="s">
        <v>1286</v>
      </c>
      <c r="D2575" s="108"/>
      <c r="E2575" s="103"/>
      <c r="F2575" s="102"/>
      <c r="G2575" s="102"/>
      <c r="H2575" s="104">
        <f>TRUNC(H2573)</f>
        <v>134</v>
      </c>
      <c r="I2575" s="102"/>
      <c r="J2575" s="104">
        <f>TRUNC(J2573)</f>
        <v>157</v>
      </c>
    </row>
    <row r="2577" spans="2:12" ht="11.25" customHeight="1" x14ac:dyDescent="0.2">
      <c r="B2577" s="68" t="s">
        <v>1746</v>
      </c>
      <c r="C2577" s="119"/>
      <c r="L2577" s="49" t="s">
        <v>1307</v>
      </c>
    </row>
    <row r="2578" spans="2:12" ht="11.25" customHeight="1" x14ac:dyDescent="0.2">
      <c r="B2578" s="186" t="s">
        <v>427</v>
      </c>
      <c r="C2578" s="187" t="s">
        <v>428</v>
      </c>
      <c r="D2578" s="187" t="s">
        <v>429</v>
      </c>
      <c r="E2578" s="188" t="s">
        <v>430</v>
      </c>
      <c r="F2578" s="188" t="s">
        <v>431</v>
      </c>
      <c r="G2578" s="94" t="s">
        <v>2</v>
      </c>
      <c r="H2578" s="151"/>
      <c r="I2578" s="94" t="s">
        <v>130</v>
      </c>
      <c r="J2578" s="151"/>
      <c r="K2578" s="94" t="s">
        <v>417</v>
      </c>
      <c r="L2578" s="151"/>
    </row>
    <row r="2579" spans="2:12" ht="11.25" customHeight="1" x14ac:dyDescent="0.2">
      <c r="B2579" s="186"/>
      <c r="C2579" s="187"/>
      <c r="D2579" s="187"/>
      <c r="E2579" s="188"/>
      <c r="F2579" s="188"/>
      <c r="G2579" s="17" t="s">
        <v>436</v>
      </c>
      <c r="H2579" s="17" t="s">
        <v>437</v>
      </c>
      <c r="I2579" s="17" t="s">
        <v>436</v>
      </c>
      <c r="J2579" s="17" t="s">
        <v>437</v>
      </c>
      <c r="K2579" s="17" t="s">
        <v>436</v>
      </c>
      <c r="L2579" s="17" t="s">
        <v>437</v>
      </c>
    </row>
    <row r="2580" spans="2:12" ht="11.25" customHeight="1" x14ac:dyDescent="0.2">
      <c r="B2580" s="8" t="s">
        <v>921</v>
      </c>
      <c r="C2580" s="4" t="s">
        <v>1747</v>
      </c>
      <c r="D2580" s="106" t="s">
        <v>285</v>
      </c>
      <c r="E2580" s="13" t="s">
        <v>746</v>
      </c>
      <c r="F2580" s="66">
        <v>1505000</v>
      </c>
      <c r="G2580" s="19">
        <v>2362</v>
      </c>
      <c r="H2580" s="20">
        <f t="shared" ref="H2580:H2582" si="41">TRUNC($F2580*G2580*0.0000001,1)</f>
        <v>355.4</v>
      </c>
      <c r="I2580" s="21">
        <v>0</v>
      </c>
      <c r="J2580" s="20">
        <f>TRUNC($F2580*I2580*0.0000001,1)</f>
        <v>0</v>
      </c>
      <c r="K2580" s="21">
        <v>0</v>
      </c>
      <c r="L2580" s="20">
        <f t="shared" ref="L2580:L2582" si="42">TRUNC($F2580*K2580*0.0000001,1)</f>
        <v>0</v>
      </c>
    </row>
    <row r="2581" spans="2:12" ht="11.25" customHeight="1" x14ac:dyDescent="0.2">
      <c r="B2581" s="8" t="s">
        <v>922</v>
      </c>
      <c r="C2581" s="4" t="s">
        <v>1747</v>
      </c>
      <c r="D2581" s="106" t="s">
        <v>286</v>
      </c>
      <c r="E2581" s="13" t="s">
        <v>746</v>
      </c>
      <c r="F2581" s="66">
        <v>1715000</v>
      </c>
      <c r="G2581" s="21">
        <v>0</v>
      </c>
      <c r="H2581" s="20">
        <f t="shared" si="41"/>
        <v>0</v>
      </c>
      <c r="I2581" s="19">
        <v>2362</v>
      </c>
      <c r="J2581" s="20">
        <f>TRUNC($F2581*I2581*0.0000001,1)</f>
        <v>405</v>
      </c>
      <c r="K2581" s="21">
        <v>0</v>
      </c>
      <c r="L2581" s="20">
        <f t="shared" si="42"/>
        <v>0</v>
      </c>
    </row>
    <row r="2582" spans="2:12" ht="11.25" customHeight="1" x14ac:dyDescent="0.2">
      <c r="B2582" s="8" t="s">
        <v>923</v>
      </c>
      <c r="C2582" s="4" t="s">
        <v>1747</v>
      </c>
      <c r="D2582" s="106" t="s">
        <v>287</v>
      </c>
      <c r="E2582" s="13" t="s">
        <v>746</v>
      </c>
      <c r="F2582" s="66">
        <v>2477000</v>
      </c>
      <c r="G2582" s="21">
        <v>0</v>
      </c>
      <c r="H2582" s="20">
        <f t="shared" si="41"/>
        <v>0</v>
      </c>
      <c r="I2582" s="21">
        <v>0</v>
      </c>
      <c r="J2582" s="20">
        <f>TRUNC($F2582*I2582*0.0000001,1)</f>
        <v>0</v>
      </c>
      <c r="K2582" s="19">
        <v>2362</v>
      </c>
      <c r="L2582" s="20">
        <f t="shared" si="42"/>
        <v>585</v>
      </c>
    </row>
    <row r="2583" spans="2:12" ht="11.25" customHeight="1" x14ac:dyDescent="0.2">
      <c r="C2583" s="107" t="s">
        <v>1289</v>
      </c>
      <c r="D2583" s="109"/>
      <c r="E2583" s="34"/>
      <c r="F2583" s="33"/>
      <c r="G2583" s="33"/>
      <c r="H2583" s="24">
        <f>TRUNC(SUM(H2580:H2582))</f>
        <v>355</v>
      </c>
      <c r="I2583" s="33"/>
      <c r="J2583" s="24">
        <f>TRUNC(SUM(J2580:J2582))</f>
        <v>405</v>
      </c>
      <c r="K2583" s="33"/>
      <c r="L2583" s="24">
        <f>TRUNC(SUM(L2580:L2582))</f>
        <v>585</v>
      </c>
    </row>
    <row r="2584" spans="2:12" ht="11.25" customHeight="1" x14ac:dyDescent="0.2">
      <c r="C2584" s="107"/>
      <c r="D2584" s="109"/>
      <c r="E2584" s="34"/>
      <c r="F2584" s="33"/>
      <c r="G2584" s="33"/>
      <c r="H2584" s="24"/>
      <c r="I2584" s="33"/>
      <c r="J2584" s="24"/>
      <c r="K2584" s="33"/>
      <c r="L2584" s="24"/>
    </row>
    <row r="2585" spans="2:12" ht="11.25" customHeight="1" x14ac:dyDescent="0.2">
      <c r="B2585" s="16"/>
      <c r="C2585" s="108" t="s">
        <v>1286</v>
      </c>
      <c r="D2585" s="108"/>
      <c r="E2585" s="103"/>
      <c r="F2585" s="102"/>
      <c r="G2585" s="102"/>
      <c r="H2585" s="104">
        <f>TRUNC(H2583)</f>
        <v>355</v>
      </c>
      <c r="I2585" s="102"/>
      <c r="J2585" s="104">
        <f>TRUNC(J2583)</f>
        <v>405</v>
      </c>
      <c r="K2585" s="102"/>
      <c r="L2585" s="104">
        <f>TRUNC(L2583)</f>
        <v>585</v>
      </c>
    </row>
    <row r="2587" spans="2:12" ht="11.25" customHeight="1" x14ac:dyDescent="0.2">
      <c r="B2587" s="68" t="s">
        <v>1751</v>
      </c>
      <c r="C2587" s="119"/>
      <c r="L2587" s="49" t="s">
        <v>1307</v>
      </c>
    </row>
    <row r="2588" spans="2:12" ht="11.25" customHeight="1" x14ac:dyDescent="0.2">
      <c r="B2588" s="186" t="s">
        <v>427</v>
      </c>
      <c r="C2588" s="187" t="s">
        <v>428</v>
      </c>
      <c r="D2588" s="187" t="s">
        <v>429</v>
      </c>
      <c r="E2588" s="188" t="s">
        <v>430</v>
      </c>
      <c r="F2588" s="188" t="s">
        <v>431</v>
      </c>
      <c r="G2588" s="94" t="s">
        <v>665</v>
      </c>
      <c r="H2588" s="151"/>
      <c r="I2588" s="94" t="s">
        <v>1748</v>
      </c>
      <c r="J2588" s="151"/>
      <c r="K2588" s="94" t="s">
        <v>1749</v>
      </c>
      <c r="L2588" s="151"/>
    </row>
    <row r="2589" spans="2:12" ht="11.25" customHeight="1" x14ac:dyDescent="0.2">
      <c r="B2589" s="186"/>
      <c r="C2589" s="187"/>
      <c r="D2589" s="187"/>
      <c r="E2589" s="188"/>
      <c r="F2589" s="188"/>
      <c r="G2589" s="17" t="s">
        <v>436</v>
      </c>
      <c r="H2589" s="17" t="s">
        <v>437</v>
      </c>
      <c r="I2589" s="17" t="s">
        <v>436</v>
      </c>
      <c r="J2589" s="17" t="s">
        <v>437</v>
      </c>
      <c r="K2589" s="17" t="s">
        <v>436</v>
      </c>
      <c r="L2589" s="17" t="s">
        <v>437</v>
      </c>
    </row>
    <row r="2590" spans="2:12" ht="11.25" customHeight="1" x14ac:dyDescent="0.2">
      <c r="B2590" s="8" t="s">
        <v>531</v>
      </c>
      <c r="C2590" s="4" t="s">
        <v>1752</v>
      </c>
      <c r="D2590" s="106" t="s">
        <v>466</v>
      </c>
      <c r="E2590" s="13" t="s">
        <v>746</v>
      </c>
      <c r="F2590" s="66">
        <v>3626000</v>
      </c>
      <c r="G2590" s="19">
        <v>2362</v>
      </c>
      <c r="H2590" s="20">
        <f t="shared" ref="H2590:H2592" si="43">TRUNC($F2590*G2590*0.0000001,1)</f>
        <v>856.4</v>
      </c>
      <c r="I2590" s="21">
        <v>0</v>
      </c>
      <c r="J2590" s="20">
        <f>TRUNC($F2590*I2590*0.0000001,1)</f>
        <v>0</v>
      </c>
      <c r="K2590" s="21">
        <v>0</v>
      </c>
      <c r="L2590" s="20">
        <f t="shared" ref="L2590:L2592" si="44">TRUNC($F2590*K2590*0.0000001,1)</f>
        <v>0</v>
      </c>
    </row>
    <row r="2591" spans="2:12" ht="11.25" customHeight="1" x14ac:dyDescent="0.2">
      <c r="B2591" s="8" t="s">
        <v>532</v>
      </c>
      <c r="C2591" s="4" t="s">
        <v>1752</v>
      </c>
      <c r="D2591" s="106" t="s">
        <v>904</v>
      </c>
      <c r="E2591" s="13" t="s">
        <v>746</v>
      </c>
      <c r="F2591" s="66">
        <v>5448000</v>
      </c>
      <c r="G2591" s="21">
        <v>0</v>
      </c>
      <c r="H2591" s="20">
        <f t="shared" si="43"/>
        <v>0</v>
      </c>
      <c r="I2591" s="19">
        <v>2362</v>
      </c>
      <c r="J2591" s="20">
        <f>TRUNC($F2591*I2591*0.0000001,1)</f>
        <v>1286.8</v>
      </c>
      <c r="K2591" s="21">
        <v>0</v>
      </c>
      <c r="L2591" s="20">
        <f t="shared" si="44"/>
        <v>0</v>
      </c>
    </row>
    <row r="2592" spans="2:12" ht="11.25" customHeight="1" x14ac:dyDescent="0.2">
      <c r="B2592" s="8" t="s">
        <v>533</v>
      </c>
      <c r="C2592" s="4" t="s">
        <v>1752</v>
      </c>
      <c r="D2592" s="106" t="s">
        <v>905</v>
      </c>
      <c r="E2592" s="13" t="s">
        <v>746</v>
      </c>
      <c r="F2592" s="66">
        <v>7472000</v>
      </c>
      <c r="G2592" s="21">
        <v>0</v>
      </c>
      <c r="H2592" s="20">
        <f t="shared" si="43"/>
        <v>0</v>
      </c>
      <c r="I2592" s="21">
        <v>0</v>
      </c>
      <c r="J2592" s="20">
        <f>TRUNC($F2592*I2592*0.0000001,1)</f>
        <v>0</v>
      </c>
      <c r="K2592" s="19">
        <v>2362</v>
      </c>
      <c r="L2592" s="20">
        <f t="shared" si="44"/>
        <v>1764.8</v>
      </c>
    </row>
    <row r="2593" spans="1:12" ht="11.25" customHeight="1" x14ac:dyDescent="0.2">
      <c r="C2593" s="107" t="s">
        <v>1289</v>
      </c>
      <c r="D2593" s="109"/>
      <c r="E2593" s="34"/>
      <c r="F2593" s="33"/>
      <c r="G2593" s="33"/>
      <c r="H2593" s="24">
        <f>TRUNC(SUM(H2590:H2592))</f>
        <v>856</v>
      </c>
      <c r="I2593" s="33"/>
      <c r="J2593" s="24">
        <f>TRUNC(SUM(J2590:J2592))</f>
        <v>1286</v>
      </c>
      <c r="K2593" s="33"/>
      <c r="L2593" s="24">
        <f>TRUNC(SUM(L2590:L2592))</f>
        <v>1764</v>
      </c>
    </row>
    <row r="2594" spans="1:12" ht="11.25" customHeight="1" x14ac:dyDescent="0.2">
      <c r="C2594" s="107"/>
      <c r="D2594" s="109"/>
      <c r="E2594" s="34"/>
      <c r="F2594" s="33"/>
      <c r="G2594" s="33"/>
      <c r="H2594" s="24"/>
      <c r="I2594" s="33"/>
      <c r="J2594" s="24"/>
      <c r="K2594" s="33"/>
      <c r="L2594" s="24"/>
    </row>
    <row r="2595" spans="1:12" ht="11.25" customHeight="1" x14ac:dyDescent="0.2">
      <c r="C2595" s="126" t="s">
        <v>1286</v>
      </c>
      <c r="D2595" s="126"/>
      <c r="E2595" s="127"/>
      <c r="F2595" s="125"/>
      <c r="G2595" s="125"/>
      <c r="H2595" s="128">
        <f>TRUNC(H2593)</f>
        <v>856</v>
      </c>
      <c r="I2595" s="125"/>
      <c r="J2595" s="128">
        <f>TRUNC(J2593)</f>
        <v>1286</v>
      </c>
      <c r="K2595" s="125"/>
      <c r="L2595" s="128">
        <f>TRUNC(L2593)</f>
        <v>1764</v>
      </c>
    </row>
    <row r="2596" spans="1:12" ht="11.25" customHeight="1" x14ac:dyDescent="0.2">
      <c r="B2596" s="186" t="s">
        <v>427</v>
      </c>
      <c r="C2596" s="187" t="s">
        <v>428</v>
      </c>
      <c r="D2596" s="187" t="s">
        <v>429</v>
      </c>
      <c r="E2596" s="188" t="s">
        <v>430</v>
      </c>
      <c r="F2596" s="188" t="s">
        <v>431</v>
      </c>
      <c r="G2596" s="94" t="s">
        <v>1615</v>
      </c>
      <c r="H2596" s="151"/>
      <c r="I2596" s="94" t="s">
        <v>1750</v>
      </c>
      <c r="J2596" s="151"/>
      <c r="K2596" s="94" t="s">
        <v>16</v>
      </c>
      <c r="L2596" s="151"/>
    </row>
    <row r="2597" spans="1:12" ht="11.25" customHeight="1" x14ac:dyDescent="0.2">
      <c r="B2597" s="186"/>
      <c r="C2597" s="187"/>
      <c r="D2597" s="187"/>
      <c r="E2597" s="188"/>
      <c r="F2597" s="188"/>
      <c r="G2597" s="17" t="s">
        <v>436</v>
      </c>
      <c r="H2597" s="17" t="s">
        <v>437</v>
      </c>
      <c r="I2597" s="17" t="s">
        <v>436</v>
      </c>
      <c r="J2597" s="17" t="s">
        <v>437</v>
      </c>
      <c r="K2597" s="17" t="s">
        <v>436</v>
      </c>
      <c r="L2597" s="17" t="s">
        <v>437</v>
      </c>
    </row>
    <row r="2598" spans="1:12" ht="11.25" customHeight="1" x14ac:dyDescent="0.2">
      <c r="B2598" s="8" t="s">
        <v>534</v>
      </c>
      <c r="C2598" s="4" t="s">
        <v>1752</v>
      </c>
      <c r="D2598" s="106" t="s">
        <v>906</v>
      </c>
      <c r="E2598" s="13" t="s">
        <v>746</v>
      </c>
      <c r="F2598" s="66">
        <v>10118000</v>
      </c>
      <c r="G2598" s="19">
        <v>2362</v>
      </c>
      <c r="H2598" s="20">
        <f t="shared" ref="H2598:H2600" si="45">TRUNC($F2598*G2598*0.0000001,1)</f>
        <v>2389.8000000000002</v>
      </c>
      <c r="I2598" s="21">
        <v>0</v>
      </c>
      <c r="J2598" s="20">
        <f>TRUNC($F2598*I2598*0.0000001,1)</f>
        <v>0</v>
      </c>
      <c r="K2598" s="21">
        <v>0</v>
      </c>
      <c r="L2598" s="20">
        <f t="shared" ref="L2598:L2600" si="46">TRUNC($F2598*K2598*0.0000001,1)</f>
        <v>0</v>
      </c>
    </row>
    <row r="2599" spans="1:12" ht="11.25" customHeight="1" x14ac:dyDescent="0.2">
      <c r="B2599" s="8" t="s">
        <v>535</v>
      </c>
      <c r="C2599" s="4" t="s">
        <v>1752</v>
      </c>
      <c r="D2599" s="106" t="s">
        <v>907</v>
      </c>
      <c r="E2599" s="13" t="s">
        <v>746</v>
      </c>
      <c r="F2599" s="66">
        <v>12920000</v>
      </c>
      <c r="G2599" s="21">
        <v>0</v>
      </c>
      <c r="H2599" s="20">
        <f t="shared" si="45"/>
        <v>0</v>
      </c>
      <c r="I2599" s="19">
        <v>2362</v>
      </c>
      <c r="J2599" s="20">
        <f>TRUNC($F2599*I2599*0.0000001,1)</f>
        <v>3051.7</v>
      </c>
      <c r="K2599" s="21">
        <v>0</v>
      </c>
      <c r="L2599" s="20">
        <f t="shared" si="46"/>
        <v>0</v>
      </c>
    </row>
    <row r="2600" spans="1:12" ht="11.25" customHeight="1" x14ac:dyDescent="0.2">
      <c r="B2600" s="8" t="s">
        <v>15</v>
      </c>
      <c r="C2600" s="4" t="s">
        <v>1752</v>
      </c>
      <c r="D2600" s="106" t="s">
        <v>1202</v>
      </c>
      <c r="E2600" s="13" t="s">
        <v>746</v>
      </c>
      <c r="F2600" s="66">
        <v>34097000</v>
      </c>
      <c r="G2600" s="21">
        <v>0</v>
      </c>
      <c r="H2600" s="20">
        <f t="shared" si="45"/>
        <v>0</v>
      </c>
      <c r="I2600" s="21">
        <v>0</v>
      </c>
      <c r="J2600" s="20">
        <f>TRUNC($F2600*I2600*0.0000001,1)</f>
        <v>0</v>
      </c>
      <c r="K2600" s="19">
        <v>2362</v>
      </c>
      <c r="L2600" s="20">
        <f t="shared" si="46"/>
        <v>8053.7</v>
      </c>
    </row>
    <row r="2601" spans="1:12" ht="11.25" customHeight="1" x14ac:dyDescent="0.2">
      <c r="C2601" s="107" t="s">
        <v>1289</v>
      </c>
      <c r="D2601" s="109"/>
      <c r="E2601" s="13"/>
      <c r="F2601" s="33"/>
      <c r="G2601" s="33"/>
      <c r="H2601" s="24">
        <f>TRUNC(SUM(H2598:H2600))</f>
        <v>2389</v>
      </c>
      <c r="I2601" s="33"/>
      <c r="J2601" s="24">
        <f>TRUNC(SUM(J2598:J2600))</f>
        <v>3051</v>
      </c>
      <c r="K2601" s="33"/>
      <c r="L2601" s="24">
        <f>TRUNC(SUM(L2598:L2600))</f>
        <v>8053</v>
      </c>
    </row>
    <row r="2602" spans="1:12" ht="11.25" customHeight="1" x14ac:dyDescent="0.2">
      <c r="C2602" s="107"/>
      <c r="D2602" s="109"/>
      <c r="E2602" s="34"/>
      <c r="F2602" s="33"/>
      <c r="G2602" s="33"/>
      <c r="H2602" s="24"/>
      <c r="I2602" s="33"/>
      <c r="J2602" s="24"/>
      <c r="K2602" s="33"/>
      <c r="L2602" s="24"/>
    </row>
    <row r="2603" spans="1:12" ht="11.25" customHeight="1" x14ac:dyDescent="0.2">
      <c r="B2603" s="16"/>
      <c r="C2603" s="108" t="s">
        <v>1286</v>
      </c>
      <c r="D2603" s="108"/>
      <c r="E2603" s="103"/>
      <c r="F2603" s="102"/>
      <c r="G2603" s="102"/>
      <c r="H2603" s="104">
        <f>TRUNC(H2601)</f>
        <v>2389</v>
      </c>
      <c r="I2603" s="102"/>
      <c r="J2603" s="104">
        <f>TRUNC(J2601)</f>
        <v>3051</v>
      </c>
      <c r="K2603" s="102"/>
      <c r="L2603" s="104">
        <f>TRUNC(L2601)</f>
        <v>8053</v>
      </c>
    </row>
    <row r="2605" spans="1:12" ht="11.25" customHeight="1" x14ac:dyDescent="0.2">
      <c r="B2605" s="68" t="s">
        <v>1753</v>
      </c>
      <c r="C2605" s="119"/>
      <c r="H2605" s="49" t="s">
        <v>1307</v>
      </c>
    </row>
    <row r="2606" spans="1:12" ht="11.25" customHeight="1" x14ac:dyDescent="0.2">
      <c r="B2606" s="186" t="s">
        <v>427</v>
      </c>
      <c r="C2606" s="187" t="s">
        <v>428</v>
      </c>
      <c r="D2606" s="187" t="s">
        <v>429</v>
      </c>
      <c r="E2606" s="188" t="s">
        <v>430</v>
      </c>
      <c r="F2606" s="188" t="s">
        <v>431</v>
      </c>
      <c r="G2606" s="94" t="s">
        <v>130</v>
      </c>
      <c r="H2606" s="151"/>
    </row>
    <row r="2607" spans="1:12" ht="11.25" customHeight="1" x14ac:dyDescent="0.2">
      <c r="B2607" s="186"/>
      <c r="C2607" s="187"/>
      <c r="D2607" s="187"/>
      <c r="E2607" s="188"/>
      <c r="F2607" s="188"/>
      <c r="G2607" s="17" t="s">
        <v>436</v>
      </c>
      <c r="H2607" s="17" t="s">
        <v>437</v>
      </c>
    </row>
    <row r="2608" spans="1:12" ht="11.25" customHeight="1" x14ac:dyDescent="0.2">
      <c r="A2608" s="7"/>
      <c r="B2608" s="76" t="s">
        <v>844</v>
      </c>
      <c r="C2608" s="154" t="s">
        <v>845</v>
      </c>
      <c r="D2608" s="114" t="s">
        <v>286</v>
      </c>
      <c r="E2608" s="77" t="s">
        <v>746</v>
      </c>
      <c r="F2608" s="91">
        <v>1958000</v>
      </c>
      <c r="G2608" s="19">
        <v>2362</v>
      </c>
      <c r="H2608" s="20">
        <f t="shared" ref="H2608" si="47">TRUNC($F2608*G2608*0.0000001,1)</f>
        <v>462.4</v>
      </c>
    </row>
    <row r="2609" spans="2:12" ht="11.25" customHeight="1" x14ac:dyDescent="0.2">
      <c r="B2609" s="29"/>
      <c r="C2609" s="121" t="s">
        <v>1289</v>
      </c>
      <c r="D2609" s="110"/>
      <c r="E2609" s="30"/>
      <c r="F2609" s="30"/>
      <c r="G2609" s="30"/>
      <c r="H2609" s="88">
        <f>TRUNC(SUM(H2608:H2608))</f>
        <v>462</v>
      </c>
    </row>
    <row r="2610" spans="2:12" ht="11.25" customHeight="1" x14ac:dyDescent="0.2">
      <c r="C2610" s="107"/>
      <c r="D2610" s="109"/>
      <c r="E2610" s="34"/>
      <c r="F2610" s="33"/>
      <c r="G2610" s="33"/>
      <c r="H2610" s="24"/>
      <c r="I2610" s="40"/>
      <c r="J2610" s="54"/>
      <c r="K2610" s="40"/>
      <c r="L2610" s="54"/>
    </row>
    <row r="2611" spans="2:12" ht="11.25" customHeight="1" x14ac:dyDescent="0.2">
      <c r="B2611" s="48"/>
      <c r="C2611" s="134" t="s">
        <v>1286</v>
      </c>
      <c r="D2611" s="130"/>
      <c r="E2611" s="131"/>
      <c r="F2611" s="131"/>
      <c r="G2611" s="131"/>
      <c r="H2611" s="141">
        <f>H2609</f>
        <v>462</v>
      </c>
    </row>
    <row r="2613" spans="2:12" ht="11.25" customHeight="1" x14ac:dyDescent="0.2">
      <c r="B2613" s="68" t="s">
        <v>1754</v>
      </c>
      <c r="C2613" s="119"/>
      <c r="J2613" s="49" t="s">
        <v>1307</v>
      </c>
    </row>
    <row r="2614" spans="2:12" ht="11.25" customHeight="1" x14ac:dyDescent="0.2">
      <c r="B2614" s="186" t="s">
        <v>427</v>
      </c>
      <c r="C2614" s="187" t="s">
        <v>428</v>
      </c>
      <c r="D2614" s="187" t="s">
        <v>429</v>
      </c>
      <c r="E2614" s="188" t="s">
        <v>430</v>
      </c>
      <c r="F2614" s="188" t="s">
        <v>431</v>
      </c>
      <c r="G2614" s="94" t="s">
        <v>1127</v>
      </c>
      <c r="H2614" s="151"/>
      <c r="I2614" s="94" t="s">
        <v>305</v>
      </c>
      <c r="J2614" s="151"/>
    </row>
    <row r="2615" spans="2:12" ht="11.25" customHeight="1" x14ac:dyDescent="0.2">
      <c r="B2615" s="186"/>
      <c r="C2615" s="187"/>
      <c r="D2615" s="187"/>
      <c r="E2615" s="188"/>
      <c r="F2615" s="188"/>
      <c r="G2615" s="17" t="s">
        <v>436</v>
      </c>
      <c r="H2615" s="17" t="s">
        <v>437</v>
      </c>
      <c r="I2615" s="17" t="s">
        <v>436</v>
      </c>
      <c r="J2615" s="17" t="s">
        <v>437</v>
      </c>
    </row>
    <row r="2616" spans="2:12" ht="11.25" customHeight="1" x14ac:dyDescent="0.2">
      <c r="B2616" s="8" t="s">
        <v>536</v>
      </c>
      <c r="C2616" s="4" t="s">
        <v>1211</v>
      </c>
      <c r="D2616" s="106" t="s">
        <v>467</v>
      </c>
      <c r="E2616" s="13" t="s">
        <v>746</v>
      </c>
      <c r="F2616" s="66">
        <v>644000</v>
      </c>
      <c r="G2616" s="19">
        <v>6132</v>
      </c>
      <c r="H2616" s="20">
        <f t="shared" ref="H2616:H2617" si="48">TRUNC($F2616*G2616*0.0000001,1)</f>
        <v>394.9</v>
      </c>
      <c r="I2616" s="21">
        <v>0</v>
      </c>
      <c r="J2616" s="20">
        <f>TRUNC($F2616*I2616*0.0000001,1)</f>
        <v>0</v>
      </c>
    </row>
    <row r="2617" spans="2:12" ht="11.25" customHeight="1" x14ac:dyDescent="0.2">
      <c r="B2617" s="8" t="s">
        <v>306</v>
      </c>
      <c r="C2617" s="4" t="s">
        <v>1211</v>
      </c>
      <c r="D2617" s="106" t="s">
        <v>1212</v>
      </c>
      <c r="E2617" s="13" t="s">
        <v>746</v>
      </c>
      <c r="F2617" s="66">
        <v>2010000</v>
      </c>
      <c r="G2617" s="21">
        <v>0</v>
      </c>
      <c r="H2617" s="20">
        <f t="shared" si="48"/>
        <v>0</v>
      </c>
      <c r="I2617" s="19">
        <v>6132</v>
      </c>
      <c r="J2617" s="20">
        <f>TRUNC($F2617*I2617*0.0000001,1)</f>
        <v>1232.5</v>
      </c>
    </row>
    <row r="2618" spans="2:12" ht="11.25" customHeight="1" x14ac:dyDescent="0.2">
      <c r="C2618" s="107" t="s">
        <v>1289</v>
      </c>
      <c r="D2618" s="109"/>
      <c r="E2618" s="34"/>
      <c r="F2618" s="33"/>
      <c r="G2618" s="33"/>
      <c r="H2618" s="24">
        <f>TRUNC(SUM(H2616:H2617))</f>
        <v>394</v>
      </c>
      <c r="I2618" s="33"/>
      <c r="J2618" s="24">
        <f>TRUNC(SUM(J2616:J2617))</f>
        <v>1232</v>
      </c>
    </row>
    <row r="2619" spans="2:12" ht="11.25" customHeight="1" x14ac:dyDescent="0.2">
      <c r="C2619" s="107"/>
      <c r="D2619" s="109"/>
      <c r="E2619" s="34"/>
      <c r="F2619" s="33"/>
      <c r="G2619" s="33"/>
      <c r="H2619" s="24"/>
      <c r="I2619" s="33"/>
      <c r="J2619" s="24"/>
      <c r="K2619" s="40"/>
      <c r="L2619" s="54"/>
    </row>
    <row r="2620" spans="2:12" ht="11.25" customHeight="1" x14ac:dyDescent="0.2">
      <c r="B2620" s="16"/>
      <c r="C2620" s="108" t="s">
        <v>1286</v>
      </c>
      <c r="D2620" s="108"/>
      <c r="E2620" s="103"/>
      <c r="F2620" s="102"/>
      <c r="G2620" s="102"/>
      <c r="H2620" s="104">
        <f>TRUNC(H2618)</f>
        <v>394</v>
      </c>
      <c r="I2620" s="102"/>
      <c r="J2620" s="104">
        <f>TRUNC(J2618)</f>
        <v>1232</v>
      </c>
    </row>
    <row r="2622" spans="2:12" ht="11.25" customHeight="1" x14ac:dyDescent="0.2">
      <c r="B2622" s="68" t="s">
        <v>1755</v>
      </c>
      <c r="C2622" s="119"/>
      <c r="H2622" s="49" t="s">
        <v>1307</v>
      </c>
    </row>
    <row r="2623" spans="2:12" ht="11.25" customHeight="1" x14ac:dyDescent="0.2">
      <c r="B2623" s="186" t="s">
        <v>427</v>
      </c>
      <c r="C2623" s="187" t="s">
        <v>428</v>
      </c>
      <c r="D2623" s="187" t="s">
        <v>429</v>
      </c>
      <c r="E2623" s="188" t="s">
        <v>430</v>
      </c>
      <c r="F2623" s="188" t="s">
        <v>431</v>
      </c>
      <c r="G2623" s="94" t="s">
        <v>132</v>
      </c>
      <c r="H2623" s="151"/>
    </row>
    <row r="2624" spans="2:12" ht="11.25" customHeight="1" x14ac:dyDescent="0.2">
      <c r="B2624" s="186"/>
      <c r="C2624" s="187"/>
      <c r="D2624" s="187"/>
      <c r="E2624" s="188"/>
      <c r="F2624" s="188"/>
      <c r="G2624" s="17" t="s">
        <v>436</v>
      </c>
      <c r="H2624" s="17" t="s">
        <v>437</v>
      </c>
    </row>
    <row r="2625" spans="2:12" ht="11.25" customHeight="1" x14ac:dyDescent="0.2">
      <c r="B2625" s="76" t="s">
        <v>847</v>
      </c>
      <c r="C2625" s="154" t="s">
        <v>846</v>
      </c>
      <c r="D2625" s="114" t="s">
        <v>700</v>
      </c>
      <c r="E2625" s="77" t="s">
        <v>746</v>
      </c>
      <c r="F2625" s="91">
        <v>3470000</v>
      </c>
      <c r="G2625" s="19">
        <v>2362</v>
      </c>
      <c r="H2625" s="20">
        <f t="shared" ref="H2625" si="49">TRUNC($F2625*G2625*0.0000001,1)</f>
        <v>819.6</v>
      </c>
    </row>
    <row r="2626" spans="2:12" ht="11.25" customHeight="1" x14ac:dyDescent="0.2">
      <c r="B2626" s="29"/>
      <c r="C2626" s="121" t="s">
        <v>1289</v>
      </c>
      <c r="D2626" s="110"/>
      <c r="E2626" s="30"/>
      <c r="F2626" s="30"/>
      <c r="G2626" s="30"/>
      <c r="H2626" s="88">
        <f>TRUNC(SUM(H2625:H2625))</f>
        <v>819</v>
      </c>
    </row>
    <row r="2627" spans="2:12" ht="11.25" customHeight="1" x14ac:dyDescent="0.2">
      <c r="C2627" s="107"/>
      <c r="D2627" s="109"/>
      <c r="E2627" s="34"/>
      <c r="F2627" s="33"/>
      <c r="G2627" s="33"/>
      <c r="H2627" s="24"/>
      <c r="I2627" s="40"/>
      <c r="J2627" s="54"/>
      <c r="K2627" s="40"/>
      <c r="L2627" s="54"/>
    </row>
    <row r="2628" spans="2:12" ht="11.25" customHeight="1" x14ac:dyDescent="0.2">
      <c r="B2628" s="48"/>
      <c r="C2628" s="134" t="s">
        <v>1286</v>
      </c>
      <c r="D2628" s="130"/>
      <c r="E2628" s="131"/>
      <c r="F2628" s="131"/>
      <c r="G2628" s="131"/>
      <c r="H2628" s="141">
        <f>H2626</f>
        <v>819</v>
      </c>
    </row>
    <row r="2630" spans="2:12" ht="11.25" customHeight="1" x14ac:dyDescent="0.2">
      <c r="B2630" s="68" t="s">
        <v>1756</v>
      </c>
      <c r="C2630" s="119"/>
      <c r="L2630" s="49" t="s">
        <v>1307</v>
      </c>
    </row>
    <row r="2631" spans="2:12" ht="11.25" customHeight="1" x14ac:dyDescent="0.2">
      <c r="B2631" s="186" t="s">
        <v>427</v>
      </c>
      <c r="C2631" s="187" t="s">
        <v>428</v>
      </c>
      <c r="D2631" s="187" t="s">
        <v>429</v>
      </c>
      <c r="E2631" s="188" t="s">
        <v>430</v>
      </c>
      <c r="F2631" s="188" t="s">
        <v>431</v>
      </c>
      <c r="G2631" s="94" t="s">
        <v>1128</v>
      </c>
      <c r="H2631" s="151"/>
      <c r="I2631" s="94" t="s">
        <v>1757</v>
      </c>
      <c r="J2631" s="151"/>
      <c r="K2631" s="94" t="s">
        <v>1758</v>
      </c>
      <c r="L2631" s="151"/>
    </row>
    <row r="2632" spans="2:12" ht="11.25" customHeight="1" x14ac:dyDescent="0.2">
      <c r="B2632" s="186"/>
      <c r="C2632" s="187"/>
      <c r="D2632" s="187"/>
      <c r="E2632" s="188"/>
      <c r="F2632" s="188"/>
      <c r="G2632" s="17" t="s">
        <v>436</v>
      </c>
      <c r="H2632" s="17" t="s">
        <v>437</v>
      </c>
      <c r="I2632" s="17" t="s">
        <v>436</v>
      </c>
      <c r="J2632" s="17" t="s">
        <v>437</v>
      </c>
      <c r="K2632" s="17" t="s">
        <v>436</v>
      </c>
      <c r="L2632" s="17" t="s">
        <v>437</v>
      </c>
    </row>
    <row r="2633" spans="2:12" ht="11.25" customHeight="1" x14ac:dyDescent="0.2">
      <c r="B2633" s="8" t="s">
        <v>762</v>
      </c>
      <c r="C2633" s="4" t="s">
        <v>1252</v>
      </c>
      <c r="D2633" s="106" t="s">
        <v>1128</v>
      </c>
      <c r="E2633" s="13" t="s">
        <v>746</v>
      </c>
      <c r="F2633" s="66">
        <v>259000</v>
      </c>
      <c r="G2633" s="19">
        <v>2754</v>
      </c>
      <c r="H2633" s="20">
        <f t="shared" ref="H2633:H2635" si="50">TRUNC($F2633*G2633*0.0000001,1)</f>
        <v>71.3</v>
      </c>
      <c r="I2633" s="21">
        <v>0</v>
      </c>
      <c r="J2633" s="20">
        <f>TRUNC($F2633*I2633*0.0000001,1)</f>
        <v>0</v>
      </c>
      <c r="K2633" s="21">
        <v>0</v>
      </c>
      <c r="L2633" s="20">
        <f t="shared" ref="L2633:L2635" si="51">TRUNC($F2633*K2633*0.0000001,1)</f>
        <v>0</v>
      </c>
    </row>
    <row r="2634" spans="2:12" ht="11.25" customHeight="1" x14ac:dyDescent="0.2">
      <c r="B2634" s="8" t="s">
        <v>776</v>
      </c>
      <c r="C2634" s="4" t="s">
        <v>1252</v>
      </c>
      <c r="D2634" s="106" t="s">
        <v>1757</v>
      </c>
      <c r="E2634" s="13" t="s">
        <v>746</v>
      </c>
      <c r="F2634" s="66">
        <v>319000</v>
      </c>
      <c r="G2634" s="21">
        <v>0</v>
      </c>
      <c r="H2634" s="20">
        <f t="shared" si="50"/>
        <v>0</v>
      </c>
      <c r="I2634" s="19">
        <v>2754</v>
      </c>
      <c r="J2634" s="20">
        <f>TRUNC($F2634*I2634*0.0000001,1)</f>
        <v>87.8</v>
      </c>
      <c r="K2634" s="21">
        <v>0</v>
      </c>
      <c r="L2634" s="20">
        <f t="shared" si="51"/>
        <v>0</v>
      </c>
    </row>
    <row r="2635" spans="2:12" ht="11.25" customHeight="1" x14ac:dyDescent="0.2">
      <c r="B2635" s="8" t="s">
        <v>777</v>
      </c>
      <c r="C2635" s="4" t="s">
        <v>1252</v>
      </c>
      <c r="D2635" s="106" t="s">
        <v>1758</v>
      </c>
      <c r="E2635" s="13" t="s">
        <v>746</v>
      </c>
      <c r="F2635" s="66">
        <v>367000</v>
      </c>
      <c r="G2635" s="21">
        <v>0</v>
      </c>
      <c r="H2635" s="20">
        <f t="shared" si="50"/>
        <v>0</v>
      </c>
      <c r="I2635" s="21">
        <v>0</v>
      </c>
      <c r="J2635" s="20">
        <f>TRUNC($F2635*I2635*0.0000001,1)</f>
        <v>0</v>
      </c>
      <c r="K2635" s="19">
        <v>2754</v>
      </c>
      <c r="L2635" s="20">
        <f t="shared" si="51"/>
        <v>101</v>
      </c>
    </row>
    <row r="2636" spans="2:12" ht="11.25" customHeight="1" x14ac:dyDescent="0.2">
      <c r="C2636" s="107" t="s">
        <v>1289</v>
      </c>
      <c r="D2636" s="109"/>
      <c r="E2636" s="34"/>
      <c r="F2636" s="33"/>
      <c r="G2636" s="33"/>
      <c r="H2636" s="24">
        <f>TRUNC(SUM(H2633:H2635))</f>
        <v>71</v>
      </c>
      <c r="I2636" s="33"/>
      <c r="J2636" s="24">
        <f>TRUNC(SUM(J2633:J2635))</f>
        <v>87</v>
      </c>
      <c r="K2636" s="33"/>
      <c r="L2636" s="24">
        <f>TRUNC(SUM(L2633:L2635))</f>
        <v>101</v>
      </c>
    </row>
    <row r="2637" spans="2:12" ht="11.25" customHeight="1" x14ac:dyDescent="0.2">
      <c r="C2637" s="107"/>
      <c r="D2637" s="109"/>
      <c r="E2637" s="34"/>
      <c r="F2637" s="33"/>
      <c r="G2637" s="33"/>
      <c r="H2637" s="24"/>
      <c r="I2637" s="33"/>
      <c r="J2637" s="24"/>
      <c r="K2637" s="33"/>
      <c r="L2637" s="24"/>
    </row>
    <row r="2638" spans="2:12" ht="11.25" customHeight="1" x14ac:dyDescent="0.2">
      <c r="C2638" s="126" t="s">
        <v>1286</v>
      </c>
      <c r="D2638" s="126"/>
      <c r="E2638" s="127"/>
      <c r="F2638" s="125"/>
      <c r="G2638" s="125"/>
      <c r="H2638" s="128">
        <f>TRUNC(H2636)</f>
        <v>71</v>
      </c>
      <c r="I2638" s="125"/>
      <c r="J2638" s="140">
        <f>TRUNC(J2636)</f>
        <v>87</v>
      </c>
      <c r="K2638" s="102"/>
      <c r="L2638" s="104">
        <f>TRUNC(L2636)</f>
        <v>101</v>
      </c>
    </row>
    <row r="2639" spans="2:12" ht="11.25" customHeight="1" x14ac:dyDescent="0.2">
      <c r="B2639" s="186" t="s">
        <v>427</v>
      </c>
      <c r="C2639" s="187" t="s">
        <v>428</v>
      </c>
      <c r="D2639" s="187" t="s">
        <v>429</v>
      </c>
      <c r="E2639" s="188" t="s">
        <v>430</v>
      </c>
      <c r="F2639" s="188" t="s">
        <v>431</v>
      </c>
      <c r="G2639" s="94" t="s">
        <v>1759</v>
      </c>
      <c r="H2639" s="151"/>
      <c r="I2639" s="94" t="s">
        <v>1760</v>
      </c>
      <c r="J2639" s="151"/>
    </row>
    <row r="2640" spans="2:12" ht="11.25" customHeight="1" x14ac:dyDescent="0.2">
      <c r="B2640" s="186"/>
      <c r="C2640" s="187"/>
      <c r="D2640" s="187"/>
      <c r="E2640" s="188"/>
      <c r="F2640" s="188"/>
      <c r="G2640" s="17" t="s">
        <v>436</v>
      </c>
      <c r="H2640" s="17" t="s">
        <v>437</v>
      </c>
      <c r="I2640" s="17" t="s">
        <v>436</v>
      </c>
      <c r="J2640" s="17" t="s">
        <v>437</v>
      </c>
    </row>
    <row r="2641" spans="2:12" ht="11.25" customHeight="1" x14ac:dyDescent="0.2">
      <c r="B2641" s="8" t="s">
        <v>471</v>
      </c>
      <c r="C2641" s="4" t="s">
        <v>1252</v>
      </c>
      <c r="D2641" s="106" t="s">
        <v>1759</v>
      </c>
      <c r="E2641" s="13" t="s">
        <v>746</v>
      </c>
      <c r="F2641" s="66">
        <v>882000</v>
      </c>
      <c r="G2641" s="19">
        <v>2754</v>
      </c>
      <c r="H2641" s="20">
        <f t="shared" ref="H2641:H2642" si="52">TRUNC($F2641*G2641*0.0000001,1)</f>
        <v>242.9</v>
      </c>
      <c r="I2641" s="21">
        <v>0</v>
      </c>
      <c r="J2641" s="20">
        <f>TRUNC($F2641*I2641*0.0000001,1)</f>
        <v>0</v>
      </c>
    </row>
    <row r="2642" spans="2:12" ht="11.25" customHeight="1" x14ac:dyDescent="0.2">
      <c r="B2642" s="8" t="s">
        <v>778</v>
      </c>
      <c r="C2642" s="4" t="s">
        <v>1252</v>
      </c>
      <c r="D2642" s="106" t="s">
        <v>1760</v>
      </c>
      <c r="E2642" s="13" t="s">
        <v>746</v>
      </c>
      <c r="F2642" s="66">
        <v>1155000</v>
      </c>
      <c r="G2642" s="21">
        <v>0</v>
      </c>
      <c r="H2642" s="20">
        <f t="shared" si="52"/>
        <v>0</v>
      </c>
      <c r="I2642" s="19">
        <v>2754</v>
      </c>
      <c r="J2642" s="20">
        <f>TRUNC($F2642*I2642*0.0000001,1)</f>
        <v>318</v>
      </c>
    </row>
    <row r="2643" spans="2:12" ht="11.25" customHeight="1" x14ac:dyDescent="0.2">
      <c r="C2643" s="107" t="s">
        <v>1289</v>
      </c>
      <c r="D2643" s="109"/>
      <c r="E2643" s="34"/>
      <c r="F2643" s="33"/>
      <c r="G2643" s="33"/>
      <c r="H2643" s="24">
        <f>TRUNC(SUM(H2641:H2642))</f>
        <v>242</v>
      </c>
      <c r="I2643" s="33"/>
      <c r="J2643" s="24">
        <f>TRUNC(SUM(J2641:J2642))</f>
        <v>318</v>
      </c>
    </row>
    <row r="2644" spans="2:12" ht="11.25" customHeight="1" x14ac:dyDescent="0.2">
      <c r="C2644" s="107"/>
      <c r="D2644" s="109"/>
      <c r="E2644" s="34"/>
      <c r="F2644" s="33"/>
      <c r="G2644" s="33"/>
      <c r="H2644" s="24"/>
      <c r="I2644" s="33"/>
      <c r="J2644" s="24"/>
      <c r="K2644" s="40"/>
      <c r="L2644" s="54"/>
    </row>
    <row r="2645" spans="2:12" ht="11.25" customHeight="1" x14ac:dyDescent="0.2">
      <c r="B2645" s="16"/>
      <c r="C2645" s="108" t="s">
        <v>1286</v>
      </c>
      <c r="D2645" s="108"/>
      <c r="E2645" s="103"/>
      <c r="F2645" s="102"/>
      <c r="G2645" s="102"/>
      <c r="H2645" s="104">
        <f>TRUNC(H2643)</f>
        <v>242</v>
      </c>
      <c r="I2645" s="102"/>
      <c r="J2645" s="104">
        <f>TRUNC(J2643)</f>
        <v>318</v>
      </c>
    </row>
    <row r="2647" spans="2:12" ht="11.25" customHeight="1" x14ac:dyDescent="0.2">
      <c r="B2647" s="68" t="s">
        <v>1761</v>
      </c>
      <c r="C2647" s="119"/>
      <c r="L2647" s="49" t="s">
        <v>1307</v>
      </c>
    </row>
    <row r="2648" spans="2:12" ht="11.25" customHeight="1" x14ac:dyDescent="0.2">
      <c r="B2648" s="186" t="s">
        <v>427</v>
      </c>
      <c r="C2648" s="187" t="s">
        <v>428</v>
      </c>
      <c r="D2648" s="187" t="s">
        <v>429</v>
      </c>
      <c r="E2648" s="188" t="s">
        <v>430</v>
      </c>
      <c r="F2648" s="188" t="s">
        <v>431</v>
      </c>
      <c r="G2648" s="94" t="s">
        <v>947</v>
      </c>
      <c r="H2648" s="151"/>
      <c r="I2648" s="94" t="s">
        <v>673</v>
      </c>
      <c r="J2648" s="151"/>
      <c r="K2648" s="94" t="s">
        <v>698</v>
      </c>
      <c r="L2648" s="151"/>
    </row>
    <row r="2649" spans="2:12" ht="11.25" customHeight="1" x14ac:dyDescent="0.2">
      <c r="B2649" s="186"/>
      <c r="C2649" s="187"/>
      <c r="D2649" s="187"/>
      <c r="E2649" s="188"/>
      <c r="F2649" s="188"/>
      <c r="G2649" s="17" t="s">
        <v>436</v>
      </c>
      <c r="H2649" s="17" t="s">
        <v>437</v>
      </c>
      <c r="I2649" s="17" t="s">
        <v>436</v>
      </c>
      <c r="J2649" s="17" t="s">
        <v>437</v>
      </c>
      <c r="K2649" s="17" t="s">
        <v>436</v>
      </c>
      <c r="L2649" s="17" t="s">
        <v>437</v>
      </c>
    </row>
    <row r="2650" spans="2:12" ht="11.25" customHeight="1" x14ac:dyDescent="0.2">
      <c r="B2650" s="8" t="s">
        <v>779</v>
      </c>
      <c r="C2650" s="4" t="s">
        <v>21</v>
      </c>
      <c r="D2650" s="106" t="s">
        <v>468</v>
      </c>
      <c r="E2650" s="13" t="s">
        <v>746</v>
      </c>
      <c r="F2650" s="66">
        <v>863000</v>
      </c>
      <c r="G2650" s="19">
        <v>3756</v>
      </c>
      <c r="H2650" s="20">
        <f t="shared" ref="H2650:H2652" si="53">TRUNC($F2650*G2650*0.0000001,1)</f>
        <v>324.10000000000002</v>
      </c>
      <c r="I2650" s="21">
        <v>0</v>
      </c>
      <c r="J2650" s="20">
        <f>TRUNC($F2650*I2650*0.0000001,1)</f>
        <v>0</v>
      </c>
      <c r="K2650" s="21">
        <v>0</v>
      </c>
      <c r="L2650" s="20">
        <f t="shared" ref="L2650:L2652" si="54">TRUNC($F2650*K2650*0.0000001,1)</f>
        <v>0</v>
      </c>
    </row>
    <row r="2651" spans="2:12" ht="11.25" customHeight="1" x14ac:dyDescent="0.2">
      <c r="B2651" s="8" t="s">
        <v>780</v>
      </c>
      <c r="C2651" s="4" t="s">
        <v>21</v>
      </c>
      <c r="D2651" s="106" t="s">
        <v>469</v>
      </c>
      <c r="E2651" s="13" t="s">
        <v>746</v>
      </c>
      <c r="F2651" s="66">
        <v>1010000</v>
      </c>
      <c r="G2651" s="21">
        <v>0</v>
      </c>
      <c r="H2651" s="20">
        <f t="shared" si="53"/>
        <v>0</v>
      </c>
      <c r="I2651" s="19">
        <v>3756</v>
      </c>
      <c r="J2651" s="20">
        <f>TRUNC($F2651*I2651*0.0000001,1)</f>
        <v>379.3</v>
      </c>
      <c r="K2651" s="21">
        <v>0</v>
      </c>
      <c r="L2651" s="20">
        <f t="shared" si="54"/>
        <v>0</v>
      </c>
    </row>
    <row r="2652" spans="2:12" ht="11.25" customHeight="1" x14ac:dyDescent="0.2">
      <c r="B2652" s="8" t="s">
        <v>781</v>
      </c>
      <c r="C2652" s="4" t="s">
        <v>21</v>
      </c>
      <c r="D2652" s="106" t="s">
        <v>470</v>
      </c>
      <c r="E2652" s="13" t="s">
        <v>746</v>
      </c>
      <c r="F2652" s="66">
        <v>1938000</v>
      </c>
      <c r="G2652" s="21">
        <v>0</v>
      </c>
      <c r="H2652" s="20">
        <f t="shared" si="53"/>
        <v>0</v>
      </c>
      <c r="I2652" s="21">
        <v>0</v>
      </c>
      <c r="J2652" s="20">
        <f>TRUNC($F2652*I2652*0.0000001,1)</f>
        <v>0</v>
      </c>
      <c r="K2652" s="19">
        <v>3756</v>
      </c>
      <c r="L2652" s="20">
        <f t="shared" si="54"/>
        <v>727.9</v>
      </c>
    </row>
    <row r="2653" spans="2:12" ht="11.25" customHeight="1" x14ac:dyDescent="0.2">
      <c r="C2653" s="107" t="s">
        <v>1289</v>
      </c>
      <c r="D2653" s="109"/>
      <c r="E2653" s="34"/>
      <c r="F2653" s="33"/>
      <c r="G2653" s="33"/>
      <c r="H2653" s="24">
        <f>TRUNC(SUM(H2650:H2652))</f>
        <v>324</v>
      </c>
      <c r="I2653" s="33"/>
      <c r="J2653" s="24">
        <f>TRUNC(SUM(J2650:J2652))</f>
        <v>379</v>
      </c>
      <c r="K2653" s="33"/>
      <c r="L2653" s="24">
        <f>TRUNC(SUM(L2650:L2652))</f>
        <v>727</v>
      </c>
    </row>
    <row r="2654" spans="2:12" ht="11.25" customHeight="1" x14ac:dyDescent="0.2">
      <c r="C2654" s="107"/>
      <c r="D2654" s="109"/>
      <c r="E2654" s="34"/>
      <c r="F2654" s="33"/>
      <c r="G2654" s="33"/>
      <c r="H2654" s="24"/>
      <c r="I2654" s="33"/>
      <c r="J2654" s="24"/>
      <c r="K2654" s="33"/>
      <c r="L2654" s="24"/>
    </row>
    <row r="2655" spans="2:12" ht="11.25" customHeight="1" x14ac:dyDescent="0.2">
      <c r="B2655" s="16"/>
      <c r="C2655" s="108" t="s">
        <v>1286</v>
      </c>
      <c r="D2655" s="108"/>
      <c r="E2655" s="103"/>
      <c r="F2655" s="102"/>
      <c r="G2655" s="102"/>
      <c r="H2655" s="104">
        <f>TRUNC(H2653)</f>
        <v>324</v>
      </c>
      <c r="I2655" s="102"/>
      <c r="J2655" s="104">
        <f>TRUNC(J2653)</f>
        <v>379</v>
      </c>
      <c r="K2655" s="102"/>
      <c r="L2655" s="104">
        <f>TRUNC(L2653)</f>
        <v>727</v>
      </c>
    </row>
    <row r="2657" spans="1:12" ht="11.25" customHeight="1" x14ac:dyDescent="0.2">
      <c r="B2657" s="68" t="s">
        <v>1762</v>
      </c>
      <c r="C2657" s="119"/>
      <c r="J2657" s="49" t="s">
        <v>1307</v>
      </c>
    </row>
    <row r="2658" spans="1:12" ht="11.25" customHeight="1" x14ac:dyDescent="0.2">
      <c r="B2658" s="186" t="s">
        <v>427</v>
      </c>
      <c r="C2658" s="187" t="s">
        <v>428</v>
      </c>
      <c r="D2658" s="187" t="s">
        <v>429</v>
      </c>
      <c r="E2658" s="188" t="s">
        <v>430</v>
      </c>
      <c r="F2658" s="188" t="s">
        <v>431</v>
      </c>
      <c r="G2658" s="94" t="s">
        <v>1129</v>
      </c>
      <c r="H2658" s="151"/>
      <c r="I2658" s="94" t="s">
        <v>1130</v>
      </c>
      <c r="J2658" s="151"/>
    </row>
    <row r="2659" spans="1:12" ht="11.25" customHeight="1" x14ac:dyDescent="0.2">
      <c r="B2659" s="186"/>
      <c r="C2659" s="187"/>
      <c r="D2659" s="187"/>
      <c r="E2659" s="188"/>
      <c r="F2659" s="188"/>
      <c r="G2659" s="17" t="s">
        <v>436</v>
      </c>
      <c r="H2659" s="17" t="s">
        <v>437</v>
      </c>
      <c r="I2659" s="17" t="s">
        <v>436</v>
      </c>
      <c r="J2659" s="17" t="s">
        <v>437</v>
      </c>
    </row>
    <row r="2660" spans="1:12" ht="11.25" customHeight="1" x14ac:dyDescent="0.2">
      <c r="B2660" s="8" t="s">
        <v>782</v>
      </c>
      <c r="C2660" s="4" t="s">
        <v>670</v>
      </c>
      <c r="D2660" s="106" t="s">
        <v>472</v>
      </c>
      <c r="E2660" s="13" t="s">
        <v>746</v>
      </c>
      <c r="F2660" s="66">
        <v>46603000</v>
      </c>
      <c r="G2660" s="19">
        <v>4355</v>
      </c>
      <c r="H2660" s="20">
        <f t="shared" ref="H2660:H2661" si="55">TRUNC($F2660*G2660*0.0000001,1)</f>
        <v>20295.599999999999</v>
      </c>
      <c r="I2660" s="21">
        <v>0</v>
      </c>
      <c r="J2660" s="20">
        <f>TRUNC($F2660*I2660*0.0000001,1)</f>
        <v>0</v>
      </c>
    </row>
    <row r="2661" spans="1:12" ht="11.25" customHeight="1" x14ac:dyDescent="0.2">
      <c r="B2661" s="8" t="s">
        <v>783</v>
      </c>
      <c r="C2661" s="4" t="s">
        <v>670</v>
      </c>
      <c r="D2661" s="106" t="s">
        <v>473</v>
      </c>
      <c r="E2661" s="13" t="s">
        <v>746</v>
      </c>
      <c r="F2661" s="66">
        <v>71951000</v>
      </c>
      <c r="G2661" s="21">
        <v>0</v>
      </c>
      <c r="H2661" s="20">
        <f t="shared" si="55"/>
        <v>0</v>
      </c>
      <c r="I2661" s="19">
        <v>4355</v>
      </c>
      <c r="J2661" s="20">
        <f>TRUNC($F2661*I2661*0.0000001,1)</f>
        <v>31334.6</v>
      </c>
    </row>
    <row r="2662" spans="1:12" ht="11.25" customHeight="1" x14ac:dyDescent="0.2">
      <c r="C2662" s="107" t="s">
        <v>1289</v>
      </c>
      <c r="D2662" s="109"/>
      <c r="E2662" s="34"/>
      <c r="F2662" s="33"/>
      <c r="G2662" s="33"/>
      <c r="H2662" s="24">
        <f>TRUNC(SUM(H2660:H2661))</f>
        <v>20295</v>
      </c>
      <c r="I2662" s="33"/>
      <c r="J2662" s="24">
        <f>TRUNC(SUM(J2660:J2661))</f>
        <v>31334</v>
      </c>
    </row>
    <row r="2663" spans="1:12" ht="11.25" customHeight="1" x14ac:dyDescent="0.2">
      <c r="C2663" s="107"/>
      <c r="D2663" s="109"/>
      <c r="E2663" s="34"/>
      <c r="F2663" s="33"/>
      <c r="G2663" s="33"/>
      <c r="H2663" s="24"/>
      <c r="I2663" s="33"/>
      <c r="J2663" s="24"/>
      <c r="K2663" s="40"/>
      <c r="L2663" s="54"/>
    </row>
    <row r="2664" spans="1:12" ht="11.25" customHeight="1" x14ac:dyDescent="0.2">
      <c r="B2664" s="16"/>
      <c r="C2664" s="108" t="s">
        <v>1286</v>
      </c>
      <c r="D2664" s="108"/>
      <c r="E2664" s="103"/>
      <c r="F2664" s="102"/>
      <c r="G2664" s="102"/>
      <c r="H2664" s="104">
        <f>TRUNC(H2662)</f>
        <v>20295</v>
      </c>
      <c r="I2664" s="102"/>
      <c r="J2664" s="104">
        <f>TRUNC(J2662)</f>
        <v>31334</v>
      </c>
    </row>
    <row r="2666" spans="1:12" ht="11.25" customHeight="1" x14ac:dyDescent="0.2">
      <c r="B2666" s="68" t="s">
        <v>1763</v>
      </c>
      <c r="C2666" s="119"/>
      <c r="H2666" s="49" t="s">
        <v>1307</v>
      </c>
    </row>
    <row r="2667" spans="1:12" ht="11.25" customHeight="1" x14ac:dyDescent="0.2">
      <c r="A2667" s="7"/>
      <c r="B2667" s="186" t="s">
        <v>427</v>
      </c>
      <c r="C2667" s="187" t="s">
        <v>428</v>
      </c>
      <c r="D2667" s="187" t="s">
        <v>429</v>
      </c>
      <c r="E2667" s="188" t="s">
        <v>430</v>
      </c>
      <c r="F2667" s="188" t="s">
        <v>431</v>
      </c>
      <c r="G2667" s="94" t="s">
        <v>1765</v>
      </c>
      <c r="H2667" s="151"/>
    </row>
    <row r="2668" spans="1:12" ht="11.25" customHeight="1" x14ac:dyDescent="0.2">
      <c r="B2668" s="186"/>
      <c r="C2668" s="187"/>
      <c r="D2668" s="187"/>
      <c r="E2668" s="188"/>
      <c r="F2668" s="188"/>
      <c r="G2668" s="17" t="s">
        <v>436</v>
      </c>
      <c r="H2668" s="17" t="s">
        <v>437</v>
      </c>
    </row>
    <row r="2669" spans="1:12" ht="11.25" customHeight="1" x14ac:dyDescent="0.2">
      <c r="B2669" s="8" t="s">
        <v>784</v>
      </c>
      <c r="C2669" s="4" t="s">
        <v>785</v>
      </c>
      <c r="D2669" s="106" t="s">
        <v>1764</v>
      </c>
      <c r="E2669" s="13" t="s">
        <v>746</v>
      </c>
      <c r="F2669" s="66">
        <v>18306000</v>
      </c>
      <c r="G2669" s="19">
        <v>4355</v>
      </c>
      <c r="H2669" s="20">
        <f t="shared" ref="H2669" si="56">TRUNC($F2669*G2669*0.0000001,1)</f>
        <v>7972.2</v>
      </c>
    </row>
    <row r="2670" spans="1:12" ht="11.25" customHeight="1" x14ac:dyDescent="0.2">
      <c r="C2670" s="107" t="s">
        <v>1289</v>
      </c>
      <c r="D2670" s="109"/>
      <c r="E2670" s="34"/>
      <c r="F2670" s="33"/>
      <c r="G2670" s="33"/>
      <c r="H2670" s="24">
        <f>TRUNC(SUM(H2669:H2669))</f>
        <v>7972</v>
      </c>
    </row>
    <row r="2671" spans="1:12" ht="11.25" customHeight="1" x14ac:dyDescent="0.2">
      <c r="C2671" s="107"/>
      <c r="D2671" s="109"/>
      <c r="E2671" s="34"/>
      <c r="F2671" s="33"/>
      <c r="G2671" s="33"/>
      <c r="H2671" s="24"/>
      <c r="I2671" s="40"/>
      <c r="J2671" s="54"/>
      <c r="K2671" s="40"/>
      <c r="L2671" s="54"/>
    </row>
    <row r="2672" spans="1:12" ht="11.25" customHeight="1" x14ac:dyDescent="0.2">
      <c r="B2672" s="16"/>
      <c r="C2672" s="108" t="s">
        <v>1286</v>
      </c>
      <c r="D2672" s="108"/>
      <c r="E2672" s="103"/>
      <c r="F2672" s="102"/>
      <c r="G2672" s="102"/>
      <c r="H2672" s="104">
        <f>TRUNC(H2670)</f>
        <v>7972</v>
      </c>
    </row>
    <row r="2674" spans="2:12" ht="11.25" customHeight="1" x14ac:dyDescent="0.2">
      <c r="B2674" s="68" t="s">
        <v>1766</v>
      </c>
      <c r="C2674" s="119"/>
      <c r="L2674" s="49" t="s">
        <v>1307</v>
      </c>
    </row>
    <row r="2675" spans="2:12" ht="11.25" customHeight="1" x14ac:dyDescent="0.2">
      <c r="B2675" s="186" t="s">
        <v>427</v>
      </c>
      <c r="C2675" s="187" t="s">
        <v>428</v>
      </c>
      <c r="D2675" s="187" t="s">
        <v>429</v>
      </c>
      <c r="E2675" s="188" t="s">
        <v>430</v>
      </c>
      <c r="F2675" s="188" t="s">
        <v>431</v>
      </c>
      <c r="G2675" s="94" t="s">
        <v>1131</v>
      </c>
      <c r="H2675" s="151"/>
      <c r="I2675" s="94" t="s">
        <v>1132</v>
      </c>
      <c r="J2675" s="151"/>
      <c r="K2675" s="94" t="s">
        <v>1133</v>
      </c>
      <c r="L2675" s="151"/>
    </row>
    <row r="2676" spans="2:12" ht="11.25" customHeight="1" x14ac:dyDescent="0.2">
      <c r="B2676" s="186"/>
      <c r="C2676" s="187"/>
      <c r="D2676" s="187"/>
      <c r="E2676" s="188"/>
      <c r="F2676" s="188"/>
      <c r="G2676" s="17" t="s">
        <v>436</v>
      </c>
      <c r="H2676" s="17" t="s">
        <v>437</v>
      </c>
      <c r="I2676" s="17" t="s">
        <v>436</v>
      </c>
      <c r="J2676" s="17" t="s">
        <v>437</v>
      </c>
      <c r="K2676" s="17" t="s">
        <v>436</v>
      </c>
      <c r="L2676" s="17" t="s">
        <v>437</v>
      </c>
    </row>
    <row r="2677" spans="2:12" ht="11.25" customHeight="1" x14ac:dyDescent="0.2">
      <c r="C2677" s="4" t="s">
        <v>744</v>
      </c>
      <c r="D2677" s="4"/>
      <c r="E2677" s="13" t="s">
        <v>494</v>
      </c>
      <c r="F2677" s="25">
        <v>1584.54</v>
      </c>
      <c r="G2677" s="26">
        <v>0.5</v>
      </c>
      <c r="H2677" s="20">
        <f>TRUNC(($F2677*G2677),1)</f>
        <v>792.2</v>
      </c>
      <c r="I2677" s="26">
        <v>0.6</v>
      </c>
      <c r="J2677" s="20">
        <f>TRUNC(($F2677*I2677),1)</f>
        <v>950.7</v>
      </c>
      <c r="K2677" s="26">
        <v>0.8</v>
      </c>
      <c r="L2677" s="20">
        <f>TRUNC(($F2677*K2677),1)</f>
        <v>1267.5999999999999</v>
      </c>
    </row>
    <row r="2678" spans="2:12" ht="11.25" customHeight="1" x14ac:dyDescent="0.2">
      <c r="C2678" s="4" t="s">
        <v>878</v>
      </c>
      <c r="D2678" s="4" t="s">
        <v>203</v>
      </c>
      <c r="E2678" s="13" t="s">
        <v>232</v>
      </c>
      <c r="F2678" s="18"/>
      <c r="G2678" s="21">
        <v>20</v>
      </c>
      <c r="H2678" s="20">
        <f>TRUNC(H2677*G2678*0.01,1)</f>
        <v>158.4</v>
      </c>
      <c r="I2678" s="21">
        <v>20</v>
      </c>
      <c r="J2678" s="20">
        <f>TRUNC(J2677*I2678*0.01,1)</f>
        <v>190.1</v>
      </c>
      <c r="K2678" s="21">
        <v>20</v>
      </c>
      <c r="L2678" s="20">
        <f>TRUNC(L2677*K2678*0.01,1)</f>
        <v>253.5</v>
      </c>
    </row>
    <row r="2679" spans="2:12" ht="11.25" customHeight="1" x14ac:dyDescent="0.2">
      <c r="C2679" s="107" t="s">
        <v>799</v>
      </c>
      <c r="D2679" s="109"/>
      <c r="E2679" s="34"/>
      <c r="F2679" s="33"/>
      <c r="G2679" s="33"/>
      <c r="H2679" s="24">
        <f>TRUNC(SUM(H2677:H2678))</f>
        <v>950</v>
      </c>
      <c r="I2679" s="33"/>
      <c r="J2679" s="24">
        <f>TRUNC(SUM(J2677:J2678))</f>
        <v>1140</v>
      </c>
      <c r="K2679" s="33"/>
      <c r="L2679" s="24">
        <f>TRUNC(SUM(L2677:L2678))</f>
        <v>1521</v>
      </c>
    </row>
    <row r="2680" spans="2:12" ht="11.25" customHeight="1" x14ac:dyDescent="0.2">
      <c r="C2680" s="107"/>
      <c r="D2680" s="109"/>
      <c r="E2680" s="34"/>
      <c r="F2680" s="33"/>
      <c r="G2680" s="33"/>
      <c r="H2680" s="24"/>
      <c r="I2680" s="33"/>
      <c r="J2680" s="24"/>
      <c r="K2680" s="33"/>
      <c r="L2680" s="24"/>
    </row>
    <row r="2681" spans="2:12" ht="11.25" customHeight="1" x14ac:dyDescent="0.2">
      <c r="B2681" s="8" t="s">
        <v>786</v>
      </c>
      <c r="C2681" s="4" t="s">
        <v>1767</v>
      </c>
      <c r="D2681" s="106" t="s">
        <v>474</v>
      </c>
      <c r="E2681" s="13" t="s">
        <v>746</v>
      </c>
      <c r="F2681" s="66">
        <v>201000</v>
      </c>
      <c r="G2681" s="19">
        <v>2799</v>
      </c>
      <c r="H2681" s="20">
        <f>TRUNC($F2681*G2681*0.0000001,1)</f>
        <v>56.2</v>
      </c>
      <c r="I2681" s="21">
        <v>0</v>
      </c>
      <c r="J2681" s="20">
        <f>TRUNC($F2681*I2681*0.0000001,1)</f>
        <v>0</v>
      </c>
      <c r="K2681" s="21">
        <v>0</v>
      </c>
      <c r="L2681" s="20">
        <f>TRUNC($F2681*K2681*0.0000001,1)</f>
        <v>0</v>
      </c>
    </row>
    <row r="2682" spans="2:12" ht="11.25" customHeight="1" x14ac:dyDescent="0.2">
      <c r="B2682" s="8" t="s">
        <v>787</v>
      </c>
      <c r="C2682" s="4" t="s">
        <v>1767</v>
      </c>
      <c r="D2682" s="106" t="s">
        <v>1040</v>
      </c>
      <c r="E2682" s="13" t="s">
        <v>746</v>
      </c>
      <c r="F2682" s="66">
        <v>219000</v>
      </c>
      <c r="G2682" s="21">
        <v>0</v>
      </c>
      <c r="H2682" s="20">
        <f>TRUNC($F2682*G2682*0.0000001,1)</f>
        <v>0</v>
      </c>
      <c r="I2682" s="19">
        <v>2799</v>
      </c>
      <c r="J2682" s="20">
        <f>TRUNC($F2682*I2682*0.0000001,1)</f>
        <v>61.2</v>
      </c>
      <c r="K2682" s="21">
        <v>0</v>
      </c>
      <c r="L2682" s="20">
        <f>TRUNC($F2682*K2682*0.0000001,1)</f>
        <v>0</v>
      </c>
    </row>
    <row r="2683" spans="2:12" ht="11.25" customHeight="1" x14ac:dyDescent="0.2">
      <c r="B2683" s="8" t="s">
        <v>788</v>
      </c>
      <c r="C2683" s="4" t="s">
        <v>1767</v>
      </c>
      <c r="D2683" s="106" t="s">
        <v>1041</v>
      </c>
      <c r="E2683" s="13" t="s">
        <v>746</v>
      </c>
      <c r="F2683" s="66">
        <v>290000</v>
      </c>
      <c r="G2683" s="21">
        <v>0</v>
      </c>
      <c r="H2683" s="20">
        <f>TRUNC($F2683*G2683*0.0000001,1)</f>
        <v>0</v>
      </c>
      <c r="I2683" s="21">
        <v>0</v>
      </c>
      <c r="J2683" s="20">
        <f>TRUNC($F2683*I2683*0.0000001,1)</f>
        <v>0</v>
      </c>
      <c r="K2683" s="19">
        <v>2799</v>
      </c>
      <c r="L2683" s="20">
        <f>TRUNC($F2683*K2683*0.0000001,1)</f>
        <v>81.099999999999994</v>
      </c>
    </row>
    <row r="2684" spans="2:12" ht="11.25" customHeight="1" x14ac:dyDescent="0.2">
      <c r="C2684" s="107" t="s">
        <v>1289</v>
      </c>
      <c r="D2684" s="109"/>
      <c r="E2684" s="34"/>
      <c r="F2684" s="33"/>
      <c r="G2684" s="33"/>
      <c r="H2684" s="24">
        <f>TRUNC(SUM(H2681:H2683))</f>
        <v>56</v>
      </c>
      <c r="I2684" s="33"/>
      <c r="J2684" s="24">
        <f>TRUNC(SUM(J2681:J2683))</f>
        <v>61</v>
      </c>
      <c r="K2684" s="33"/>
      <c r="L2684" s="24">
        <f>TRUNC(SUM(L2681:L2683))</f>
        <v>81</v>
      </c>
    </row>
    <row r="2685" spans="2:12" ht="11.25" customHeight="1" x14ac:dyDescent="0.2">
      <c r="C2685" s="107"/>
      <c r="D2685" s="109"/>
      <c r="E2685" s="34"/>
      <c r="F2685" s="33"/>
      <c r="G2685" s="33"/>
      <c r="H2685" s="24"/>
      <c r="I2685" s="33"/>
      <c r="J2685" s="24"/>
      <c r="K2685" s="33"/>
      <c r="L2685" s="24"/>
    </row>
    <row r="2686" spans="2:12" ht="11.25" customHeight="1" x14ac:dyDescent="0.2">
      <c r="C2686" s="126" t="s">
        <v>1286</v>
      </c>
      <c r="D2686" s="126"/>
      <c r="E2686" s="127"/>
      <c r="F2686" s="125"/>
      <c r="G2686" s="125"/>
      <c r="H2686" s="128">
        <f>TRUNC(H2684+H2679)</f>
        <v>1006</v>
      </c>
      <c r="I2686" s="125"/>
      <c r="J2686" s="128">
        <f>TRUNC(J2684+J2679)</f>
        <v>1201</v>
      </c>
      <c r="K2686" s="125"/>
      <c r="L2686" s="128">
        <f>TRUNC(L2684+L2679)</f>
        <v>1602</v>
      </c>
    </row>
    <row r="2687" spans="2:12" ht="11.25" customHeight="1" x14ac:dyDescent="0.2">
      <c r="B2687" s="186" t="s">
        <v>427</v>
      </c>
      <c r="C2687" s="187" t="s">
        <v>428</v>
      </c>
      <c r="D2687" s="187" t="s">
        <v>429</v>
      </c>
      <c r="E2687" s="188" t="s">
        <v>430</v>
      </c>
      <c r="F2687" s="188" t="s">
        <v>431</v>
      </c>
      <c r="G2687" s="94" t="s">
        <v>1134</v>
      </c>
      <c r="H2687" s="151"/>
      <c r="I2687" s="94" t="s">
        <v>1135</v>
      </c>
      <c r="J2687" s="151"/>
      <c r="K2687" s="94" t="s">
        <v>699</v>
      </c>
      <c r="L2687" s="151"/>
    </row>
    <row r="2688" spans="2:12" ht="11.25" customHeight="1" x14ac:dyDescent="0.2">
      <c r="B2688" s="186"/>
      <c r="C2688" s="187"/>
      <c r="D2688" s="187"/>
      <c r="E2688" s="188"/>
      <c r="F2688" s="188"/>
      <c r="G2688" s="17" t="s">
        <v>436</v>
      </c>
      <c r="H2688" s="17" t="s">
        <v>437</v>
      </c>
      <c r="I2688" s="17" t="s">
        <v>436</v>
      </c>
      <c r="J2688" s="17" t="s">
        <v>437</v>
      </c>
      <c r="K2688" s="17" t="s">
        <v>436</v>
      </c>
      <c r="L2688" s="17" t="s">
        <v>437</v>
      </c>
    </row>
    <row r="2689" spans="2:12" ht="11.25" customHeight="1" x14ac:dyDescent="0.2">
      <c r="C2689" s="4" t="s">
        <v>744</v>
      </c>
      <c r="D2689" s="4"/>
      <c r="E2689" s="13" t="s">
        <v>494</v>
      </c>
      <c r="F2689" s="25">
        <v>1584.54</v>
      </c>
      <c r="G2689" s="26">
        <v>0.9</v>
      </c>
      <c r="H2689" s="20">
        <f>TRUNC(($F2689*G2689),1)</f>
        <v>1426</v>
      </c>
      <c r="I2689" s="26">
        <v>1.4</v>
      </c>
      <c r="J2689" s="20">
        <f>TRUNC(($F2689*I2689),1)</f>
        <v>2218.3000000000002</v>
      </c>
      <c r="K2689" s="26">
        <v>2.4</v>
      </c>
      <c r="L2689" s="20">
        <f>TRUNC(($F2689*K2689),1)</f>
        <v>3802.8</v>
      </c>
    </row>
    <row r="2690" spans="2:12" ht="11.25" customHeight="1" x14ac:dyDescent="0.2">
      <c r="C2690" s="4" t="s">
        <v>878</v>
      </c>
      <c r="D2690" s="4" t="s">
        <v>203</v>
      </c>
      <c r="E2690" s="13" t="s">
        <v>232</v>
      </c>
      <c r="F2690" s="18"/>
      <c r="G2690" s="21">
        <v>20</v>
      </c>
      <c r="H2690" s="20">
        <f>TRUNC(H2689*G2690*0.01,1)</f>
        <v>285.2</v>
      </c>
      <c r="I2690" s="21">
        <v>20</v>
      </c>
      <c r="J2690" s="20">
        <f>TRUNC(J2689*I2690*0.01,1)</f>
        <v>443.6</v>
      </c>
      <c r="K2690" s="21">
        <v>20</v>
      </c>
      <c r="L2690" s="20">
        <f>TRUNC(L2689*K2690*0.01,1)</f>
        <v>760.5</v>
      </c>
    </row>
    <row r="2691" spans="2:12" ht="11.25" customHeight="1" x14ac:dyDescent="0.2">
      <c r="C2691" s="107" t="s">
        <v>799</v>
      </c>
      <c r="D2691" s="109"/>
      <c r="E2691" s="34"/>
      <c r="F2691" s="33"/>
      <c r="G2691" s="33"/>
      <c r="H2691" s="24">
        <f>TRUNC(SUM(H2689:H2690))</f>
        <v>1711</v>
      </c>
      <c r="I2691" s="33"/>
      <c r="J2691" s="24">
        <f>TRUNC(SUM(J2689:J2690))</f>
        <v>2661</v>
      </c>
      <c r="K2691" s="33"/>
      <c r="L2691" s="24">
        <f>TRUNC(SUM(L2689:L2690))</f>
        <v>4563</v>
      </c>
    </row>
    <row r="2692" spans="2:12" ht="11.25" customHeight="1" x14ac:dyDescent="0.2">
      <c r="C2692" s="107"/>
      <c r="D2692" s="109"/>
      <c r="E2692" s="34"/>
      <c r="F2692" s="33"/>
      <c r="G2692" s="33"/>
      <c r="H2692" s="24"/>
      <c r="I2692" s="33"/>
      <c r="J2692" s="24"/>
      <c r="K2692" s="33"/>
      <c r="L2692" s="24"/>
    </row>
    <row r="2693" spans="2:12" ht="11.25" customHeight="1" x14ac:dyDescent="0.2">
      <c r="B2693" s="8" t="s">
        <v>393</v>
      </c>
      <c r="C2693" s="4" t="s">
        <v>1767</v>
      </c>
      <c r="D2693" s="106" t="s">
        <v>1042</v>
      </c>
      <c r="E2693" s="13" t="s">
        <v>746</v>
      </c>
      <c r="F2693" s="66">
        <v>390000</v>
      </c>
      <c r="G2693" s="19">
        <v>2799</v>
      </c>
      <c r="H2693" s="20">
        <f>TRUNC($F2693*G2693*0.0000001,1)</f>
        <v>109.1</v>
      </c>
      <c r="I2693" s="21">
        <v>0</v>
      </c>
      <c r="J2693" s="20">
        <f>TRUNC($F2693*I2693*0.0000001,1)</f>
        <v>0</v>
      </c>
      <c r="K2693" s="21">
        <v>0</v>
      </c>
      <c r="L2693" s="20">
        <f>TRUNC($F2693*K2693*0.0000001,1)</f>
        <v>0</v>
      </c>
    </row>
    <row r="2694" spans="2:12" ht="11.25" customHeight="1" x14ac:dyDescent="0.2">
      <c r="B2694" s="8" t="s">
        <v>394</v>
      </c>
      <c r="C2694" s="4" t="s">
        <v>1767</v>
      </c>
      <c r="D2694" s="106" t="s">
        <v>1043</v>
      </c>
      <c r="E2694" s="13" t="s">
        <v>746</v>
      </c>
      <c r="F2694" s="66">
        <v>510000</v>
      </c>
      <c r="G2694" s="21">
        <v>0</v>
      </c>
      <c r="H2694" s="20">
        <f>TRUNC($F2694*G2694*0.0000001,1)</f>
        <v>0</v>
      </c>
      <c r="I2694" s="19">
        <v>2799</v>
      </c>
      <c r="J2694" s="20">
        <f>TRUNC($F2694*I2694*0.0000001,1)</f>
        <v>142.69999999999999</v>
      </c>
      <c r="K2694" s="21">
        <v>0</v>
      </c>
      <c r="L2694" s="20">
        <f>TRUNC($F2694*K2694*0.0000001,1)</f>
        <v>0</v>
      </c>
    </row>
    <row r="2695" spans="2:12" ht="11.25" customHeight="1" x14ac:dyDescent="0.2">
      <c r="B2695" s="8" t="s">
        <v>395</v>
      </c>
      <c r="C2695" s="4" t="s">
        <v>1767</v>
      </c>
      <c r="D2695" s="106" t="s">
        <v>1044</v>
      </c>
      <c r="E2695" s="13" t="s">
        <v>746</v>
      </c>
      <c r="F2695" s="66">
        <v>1144000</v>
      </c>
      <c r="G2695" s="21">
        <v>0</v>
      </c>
      <c r="H2695" s="20">
        <f>TRUNC($F2695*G2695*0.0000001,1)</f>
        <v>0</v>
      </c>
      <c r="I2695" s="21">
        <v>0</v>
      </c>
      <c r="J2695" s="20">
        <f>TRUNC($F2695*I2695*0.0000001,1)</f>
        <v>0</v>
      </c>
      <c r="K2695" s="19">
        <v>2799</v>
      </c>
      <c r="L2695" s="20">
        <f>TRUNC($F2695*K2695*0.0000001,1)</f>
        <v>320.2</v>
      </c>
    </row>
    <row r="2696" spans="2:12" ht="11.25" customHeight="1" x14ac:dyDescent="0.2">
      <c r="C2696" s="107" t="s">
        <v>1289</v>
      </c>
      <c r="D2696" s="109"/>
      <c r="E2696" s="34"/>
      <c r="F2696" s="33"/>
      <c r="G2696" s="33"/>
      <c r="H2696" s="24">
        <f>TRUNC(SUM(H2693:H2695))</f>
        <v>109</v>
      </c>
      <c r="I2696" s="33"/>
      <c r="J2696" s="24">
        <f>TRUNC(SUM(J2693:J2695))</f>
        <v>142</v>
      </c>
      <c r="K2696" s="33"/>
      <c r="L2696" s="24">
        <f>TRUNC(SUM(L2693:L2695))</f>
        <v>320</v>
      </c>
    </row>
    <row r="2697" spans="2:12" ht="11.25" customHeight="1" x14ac:dyDescent="0.2">
      <c r="C2697" s="107"/>
      <c r="D2697" s="109"/>
      <c r="E2697" s="34"/>
      <c r="F2697" s="33"/>
      <c r="G2697" s="33"/>
      <c r="H2697" s="24"/>
      <c r="I2697" s="33"/>
      <c r="J2697" s="24"/>
      <c r="K2697" s="33"/>
      <c r="L2697" s="24"/>
    </row>
    <row r="2698" spans="2:12" ht="11.25" customHeight="1" x14ac:dyDescent="0.2">
      <c r="B2698" s="16"/>
      <c r="C2698" s="108" t="s">
        <v>1286</v>
      </c>
      <c r="D2698" s="108"/>
      <c r="E2698" s="103"/>
      <c r="F2698" s="102"/>
      <c r="G2698" s="102"/>
      <c r="H2698" s="104">
        <f>TRUNC(H2696+H2691)</f>
        <v>1820</v>
      </c>
      <c r="I2698" s="102"/>
      <c r="J2698" s="104">
        <f>TRUNC(J2696+J2691)</f>
        <v>2803</v>
      </c>
      <c r="K2698" s="102"/>
      <c r="L2698" s="104">
        <f>TRUNC(L2696+L2691)</f>
        <v>4883</v>
      </c>
    </row>
    <row r="2700" spans="2:12" ht="11.25" customHeight="1" x14ac:dyDescent="0.2">
      <c r="B2700" s="68" t="s">
        <v>1768</v>
      </c>
      <c r="C2700" s="119"/>
      <c r="L2700" s="49" t="s">
        <v>1307</v>
      </c>
    </row>
    <row r="2701" spans="2:12" ht="11.25" customHeight="1" x14ac:dyDescent="0.2">
      <c r="B2701" s="186" t="s">
        <v>427</v>
      </c>
      <c r="C2701" s="187" t="s">
        <v>428</v>
      </c>
      <c r="D2701" s="187" t="s">
        <v>429</v>
      </c>
      <c r="E2701" s="188" t="s">
        <v>430</v>
      </c>
      <c r="F2701" s="188" t="s">
        <v>431</v>
      </c>
      <c r="G2701" s="94" t="s">
        <v>188</v>
      </c>
      <c r="H2701" s="151"/>
      <c r="I2701" s="94" t="s">
        <v>1135</v>
      </c>
      <c r="J2701" s="151"/>
      <c r="K2701" s="94" t="s">
        <v>1136</v>
      </c>
      <c r="L2701" s="151"/>
    </row>
    <row r="2702" spans="2:12" ht="11.25" customHeight="1" x14ac:dyDescent="0.2">
      <c r="B2702" s="186"/>
      <c r="C2702" s="187"/>
      <c r="D2702" s="187"/>
      <c r="E2702" s="188"/>
      <c r="F2702" s="188"/>
      <c r="G2702" s="17" t="s">
        <v>436</v>
      </c>
      <c r="H2702" s="17" t="s">
        <v>437</v>
      </c>
      <c r="I2702" s="17" t="s">
        <v>436</v>
      </c>
      <c r="J2702" s="17" t="s">
        <v>437</v>
      </c>
      <c r="K2702" s="17" t="s">
        <v>436</v>
      </c>
      <c r="L2702" s="17" t="s">
        <v>437</v>
      </c>
    </row>
    <row r="2703" spans="2:12" ht="11.25" customHeight="1" x14ac:dyDescent="0.2">
      <c r="C2703" s="4" t="s">
        <v>426</v>
      </c>
      <c r="D2703" s="4"/>
      <c r="E2703" s="13" t="s">
        <v>494</v>
      </c>
      <c r="F2703" s="25">
        <v>1505.45</v>
      </c>
      <c r="G2703" s="26">
        <v>0.5</v>
      </c>
      <c r="H2703" s="20">
        <f>TRUNC(($F2703*G2703),1)</f>
        <v>752.7</v>
      </c>
      <c r="I2703" s="26">
        <v>0.8</v>
      </c>
      <c r="J2703" s="20">
        <f>TRUNC(($F2703*I2703),1)</f>
        <v>1204.3</v>
      </c>
      <c r="K2703" s="26">
        <v>1</v>
      </c>
      <c r="L2703" s="20">
        <f>TRUNC(($F2703*K2703),1)</f>
        <v>1505.4</v>
      </c>
    </row>
    <row r="2704" spans="2:12" ht="11.25" customHeight="1" x14ac:dyDescent="0.2">
      <c r="C2704" s="4" t="s">
        <v>878</v>
      </c>
      <c r="D2704" s="4" t="s">
        <v>203</v>
      </c>
      <c r="E2704" s="13" t="s">
        <v>232</v>
      </c>
      <c r="F2704" s="18"/>
      <c r="G2704" s="21">
        <v>16</v>
      </c>
      <c r="H2704" s="20">
        <f>TRUNC(H2703*G2704*0.01,1)</f>
        <v>120.4</v>
      </c>
      <c r="I2704" s="21">
        <v>16</v>
      </c>
      <c r="J2704" s="20">
        <f>TRUNC(J2703*I2704*0.01,1)</f>
        <v>192.6</v>
      </c>
      <c r="K2704" s="21">
        <v>16</v>
      </c>
      <c r="L2704" s="20">
        <f>TRUNC(L2703*K2704*0.01,1)</f>
        <v>240.8</v>
      </c>
    </row>
    <row r="2705" spans="1:12" ht="11.25" customHeight="1" x14ac:dyDescent="0.2">
      <c r="C2705" s="107" t="s">
        <v>799</v>
      </c>
      <c r="D2705" s="109"/>
      <c r="E2705" s="34"/>
      <c r="F2705" s="33"/>
      <c r="G2705" s="33"/>
      <c r="H2705" s="24">
        <f>TRUNC(SUM(H2703:H2704))</f>
        <v>873</v>
      </c>
      <c r="I2705" s="33"/>
      <c r="J2705" s="24">
        <f>TRUNC(SUM(J2703:J2704))</f>
        <v>1396</v>
      </c>
      <c r="K2705" s="33"/>
      <c r="L2705" s="24">
        <f>TRUNC(SUM(L2703:L2704))</f>
        <v>1746</v>
      </c>
    </row>
    <row r="2706" spans="1:12" ht="11.25" customHeight="1" x14ac:dyDescent="0.2">
      <c r="C2706" s="107"/>
      <c r="D2706" s="109"/>
      <c r="E2706" s="34"/>
      <c r="F2706" s="33"/>
      <c r="G2706" s="33"/>
      <c r="H2706" s="24"/>
      <c r="I2706" s="33"/>
      <c r="J2706" s="24"/>
      <c r="K2706" s="33"/>
      <c r="L2706" s="24"/>
    </row>
    <row r="2707" spans="1:12" ht="11.25" customHeight="1" x14ac:dyDescent="0.2">
      <c r="B2707" s="8" t="s">
        <v>396</v>
      </c>
      <c r="C2707" s="4" t="s">
        <v>391</v>
      </c>
      <c r="D2707" s="106" t="s">
        <v>171</v>
      </c>
      <c r="E2707" s="13" t="s">
        <v>746</v>
      </c>
      <c r="F2707" s="66">
        <v>309000</v>
      </c>
      <c r="G2707" s="19">
        <v>2799</v>
      </c>
      <c r="H2707" s="20">
        <f>TRUNC($F2707*G2707*0.0000001,1)</f>
        <v>86.4</v>
      </c>
      <c r="I2707" s="21">
        <v>0</v>
      </c>
      <c r="J2707" s="20">
        <f>TRUNC($F2707*I2707*0.0000001,1)</f>
        <v>0</v>
      </c>
      <c r="K2707" s="21">
        <v>0</v>
      </c>
      <c r="L2707" s="20">
        <f>TRUNC($F2707*K2707*0.0000001,1)</f>
        <v>0</v>
      </c>
    </row>
    <row r="2708" spans="1:12" ht="11.25" customHeight="1" x14ac:dyDescent="0.2">
      <c r="B2708" s="8" t="s">
        <v>397</v>
      </c>
      <c r="C2708" s="4" t="s">
        <v>391</v>
      </c>
      <c r="D2708" s="106" t="s">
        <v>1043</v>
      </c>
      <c r="E2708" s="13" t="s">
        <v>746</v>
      </c>
      <c r="F2708" s="66">
        <v>359000</v>
      </c>
      <c r="G2708" s="21">
        <v>0</v>
      </c>
      <c r="H2708" s="20">
        <f>TRUNC($F2708*G2708*0.0000001,1)</f>
        <v>0</v>
      </c>
      <c r="I2708" s="19">
        <v>2799</v>
      </c>
      <c r="J2708" s="20">
        <f>TRUNC($F2708*I2708*0.0000001,1)</f>
        <v>100.4</v>
      </c>
      <c r="K2708" s="21">
        <v>0</v>
      </c>
      <c r="L2708" s="20">
        <f>TRUNC($F2708*K2708*0.0000001,1)</f>
        <v>0</v>
      </c>
    </row>
    <row r="2709" spans="1:12" ht="11.25" customHeight="1" x14ac:dyDescent="0.2">
      <c r="B2709" s="8" t="s">
        <v>398</v>
      </c>
      <c r="C2709" s="4" t="s">
        <v>391</v>
      </c>
      <c r="D2709" s="106" t="s">
        <v>1045</v>
      </c>
      <c r="E2709" s="13" t="s">
        <v>746</v>
      </c>
      <c r="F2709" s="66">
        <v>454000</v>
      </c>
      <c r="G2709" s="21">
        <v>0</v>
      </c>
      <c r="H2709" s="20">
        <f>TRUNC($F2709*G2709*0.0000001,1)</f>
        <v>0</v>
      </c>
      <c r="I2709" s="21">
        <v>0</v>
      </c>
      <c r="J2709" s="20">
        <f>TRUNC($F2709*I2709*0.0000001,1)</f>
        <v>0</v>
      </c>
      <c r="K2709" s="19">
        <v>2799</v>
      </c>
      <c r="L2709" s="20">
        <f>TRUNC($F2709*K2709*0.0000001,1)</f>
        <v>127</v>
      </c>
    </row>
    <row r="2710" spans="1:12" ht="11.25" customHeight="1" x14ac:dyDescent="0.2">
      <c r="C2710" s="107" t="s">
        <v>1289</v>
      </c>
      <c r="D2710" s="109"/>
      <c r="E2710" s="34"/>
      <c r="F2710" s="33"/>
      <c r="G2710" s="33"/>
      <c r="H2710" s="24">
        <f>TRUNC(SUM(H2707:H2709))</f>
        <v>86</v>
      </c>
      <c r="I2710" s="33"/>
      <c r="J2710" s="24">
        <f>TRUNC(SUM(J2707:J2709))</f>
        <v>100</v>
      </c>
      <c r="K2710" s="33"/>
      <c r="L2710" s="24">
        <f>TRUNC(SUM(L2707:L2709))</f>
        <v>127</v>
      </c>
    </row>
    <row r="2711" spans="1:12" ht="11.25" customHeight="1" x14ac:dyDescent="0.2">
      <c r="C2711" s="107"/>
      <c r="D2711" s="109"/>
      <c r="E2711" s="34"/>
      <c r="F2711" s="33"/>
      <c r="G2711" s="33"/>
      <c r="H2711" s="24"/>
      <c r="I2711" s="33"/>
      <c r="J2711" s="24"/>
      <c r="K2711" s="33"/>
      <c r="L2711" s="24"/>
    </row>
    <row r="2712" spans="1:12" ht="11.25" customHeight="1" x14ac:dyDescent="0.2">
      <c r="C2712" s="126" t="s">
        <v>1286</v>
      </c>
      <c r="D2712" s="126"/>
      <c r="E2712" s="127"/>
      <c r="F2712" s="125"/>
      <c r="G2712" s="125"/>
      <c r="H2712" s="128">
        <f>TRUNC(H2710+H2705)</f>
        <v>959</v>
      </c>
      <c r="I2712" s="125"/>
      <c r="J2712" s="128">
        <f>TRUNC(J2710+J2705)</f>
        <v>1496</v>
      </c>
      <c r="K2712" s="125"/>
      <c r="L2712" s="128">
        <f>TRUNC(L2710+L2705)</f>
        <v>1873</v>
      </c>
    </row>
    <row r="2713" spans="1:12" ht="11.25" customHeight="1" x14ac:dyDescent="0.2">
      <c r="B2713" s="186" t="s">
        <v>427</v>
      </c>
      <c r="C2713" s="187" t="s">
        <v>428</v>
      </c>
      <c r="D2713" s="187" t="s">
        <v>429</v>
      </c>
      <c r="E2713" s="188" t="s">
        <v>430</v>
      </c>
      <c r="F2713" s="188" t="s">
        <v>431</v>
      </c>
      <c r="G2713" s="94" t="s">
        <v>307</v>
      </c>
      <c r="H2713" s="151"/>
      <c r="I2713" s="94" t="s">
        <v>1137</v>
      </c>
      <c r="J2713" s="151"/>
      <c r="K2713" s="94" t="s">
        <v>1138</v>
      </c>
      <c r="L2713" s="151"/>
    </row>
    <row r="2714" spans="1:12" ht="11.25" customHeight="1" x14ac:dyDescent="0.2">
      <c r="B2714" s="186"/>
      <c r="C2714" s="187"/>
      <c r="D2714" s="187"/>
      <c r="E2714" s="188"/>
      <c r="F2714" s="188"/>
      <c r="G2714" s="17" t="s">
        <v>436</v>
      </c>
      <c r="H2714" s="17" t="s">
        <v>437</v>
      </c>
      <c r="I2714" s="17" t="s">
        <v>436</v>
      </c>
      <c r="J2714" s="17" t="s">
        <v>437</v>
      </c>
      <c r="K2714" s="17" t="s">
        <v>436</v>
      </c>
      <c r="L2714" s="17" t="s">
        <v>437</v>
      </c>
    </row>
    <row r="2715" spans="1:12" ht="11.25" customHeight="1" x14ac:dyDescent="0.2">
      <c r="C2715" s="4" t="s">
        <v>426</v>
      </c>
      <c r="D2715" s="4"/>
      <c r="E2715" s="13" t="s">
        <v>494</v>
      </c>
      <c r="F2715" s="25">
        <v>1505.45</v>
      </c>
      <c r="G2715" s="26">
        <v>1.6</v>
      </c>
      <c r="H2715" s="20">
        <f>TRUNC(($F2715*G2715),1)</f>
        <v>2408.6999999999998</v>
      </c>
      <c r="I2715" s="26">
        <v>2</v>
      </c>
      <c r="J2715" s="20">
        <f>TRUNC(($F2715*I2715),1)</f>
        <v>3010.9</v>
      </c>
      <c r="K2715" s="26">
        <v>2.2000000000000002</v>
      </c>
      <c r="L2715" s="20">
        <f>TRUNC(($F2715*K2715),1)</f>
        <v>3311.9</v>
      </c>
    </row>
    <row r="2716" spans="1:12" ht="11.25" customHeight="1" x14ac:dyDescent="0.2">
      <c r="C2716" s="4" t="s">
        <v>878</v>
      </c>
      <c r="D2716" s="4" t="s">
        <v>203</v>
      </c>
      <c r="E2716" s="13" t="s">
        <v>232</v>
      </c>
      <c r="F2716" s="18"/>
      <c r="G2716" s="21">
        <v>16</v>
      </c>
      <c r="H2716" s="20">
        <f>TRUNC(H2715*G2716*0.01,1)</f>
        <v>385.3</v>
      </c>
      <c r="I2716" s="21">
        <v>16</v>
      </c>
      <c r="J2716" s="20">
        <f>TRUNC(J2715*I2716*0.01,1)</f>
        <v>481.7</v>
      </c>
      <c r="K2716" s="21">
        <v>16</v>
      </c>
      <c r="L2716" s="20">
        <f>TRUNC(L2715*K2716*0.01,1)</f>
        <v>529.9</v>
      </c>
    </row>
    <row r="2717" spans="1:12" ht="11.25" customHeight="1" x14ac:dyDescent="0.2">
      <c r="C2717" s="107" t="s">
        <v>799</v>
      </c>
      <c r="D2717" s="109"/>
      <c r="E2717" s="34"/>
      <c r="F2717" s="33"/>
      <c r="G2717" s="33"/>
      <c r="H2717" s="24">
        <f>TRUNC(SUM(H2715:H2716))</f>
        <v>2794</v>
      </c>
      <c r="I2717" s="33"/>
      <c r="J2717" s="24">
        <f>TRUNC(SUM(J2715:J2716))</f>
        <v>3492</v>
      </c>
      <c r="K2717" s="33"/>
      <c r="L2717" s="24">
        <f>TRUNC(SUM(L2715:L2716))</f>
        <v>3841</v>
      </c>
    </row>
    <row r="2718" spans="1:12" ht="11.25" customHeight="1" x14ac:dyDescent="0.2">
      <c r="A2718" s="7"/>
      <c r="C2718" s="107"/>
      <c r="D2718" s="109"/>
      <c r="E2718" s="34"/>
      <c r="F2718" s="33"/>
      <c r="G2718" s="33"/>
      <c r="H2718" s="24"/>
      <c r="I2718" s="33"/>
      <c r="J2718" s="24"/>
      <c r="K2718" s="33"/>
      <c r="L2718" s="24"/>
    </row>
    <row r="2719" spans="1:12" ht="11.25" customHeight="1" x14ac:dyDescent="0.2">
      <c r="B2719" s="8" t="s">
        <v>399</v>
      </c>
      <c r="C2719" s="4" t="s">
        <v>391</v>
      </c>
      <c r="D2719" s="106" t="s">
        <v>173</v>
      </c>
      <c r="E2719" s="13" t="s">
        <v>746</v>
      </c>
      <c r="F2719" s="66">
        <v>1188000</v>
      </c>
      <c r="G2719" s="19">
        <v>2799</v>
      </c>
      <c r="H2719" s="20">
        <f>TRUNC($F2719*G2719*0.0000001,1)</f>
        <v>332.5</v>
      </c>
      <c r="I2719" s="21">
        <v>0</v>
      </c>
      <c r="J2719" s="20">
        <f>TRUNC($F2719*I2719*0.0000001,1)</f>
        <v>0</v>
      </c>
      <c r="K2719" s="21">
        <v>0</v>
      </c>
      <c r="L2719" s="20">
        <f>TRUNC($F2719*K2719*0.0000001,1)</f>
        <v>0</v>
      </c>
    </row>
    <row r="2720" spans="1:12" ht="11.25" customHeight="1" x14ac:dyDescent="0.2">
      <c r="B2720" s="8" t="s">
        <v>400</v>
      </c>
      <c r="C2720" s="4" t="s">
        <v>391</v>
      </c>
      <c r="D2720" s="106" t="s">
        <v>1046</v>
      </c>
      <c r="E2720" s="13" t="s">
        <v>746</v>
      </c>
      <c r="F2720" s="66">
        <v>2411000</v>
      </c>
      <c r="G2720" s="21">
        <v>0</v>
      </c>
      <c r="H2720" s="20">
        <f>TRUNC($F2720*G2720*0.0000001,1)</f>
        <v>0</v>
      </c>
      <c r="I2720" s="19">
        <v>2799</v>
      </c>
      <c r="J2720" s="20">
        <f>TRUNC($F2720*I2720*0.0000001,1)</f>
        <v>674.8</v>
      </c>
      <c r="K2720" s="21">
        <v>0</v>
      </c>
      <c r="L2720" s="20">
        <f>TRUNC($F2720*K2720*0.0000001,1)</f>
        <v>0</v>
      </c>
    </row>
    <row r="2721" spans="2:12" ht="11.25" customHeight="1" x14ac:dyDescent="0.2">
      <c r="B2721" s="8" t="s">
        <v>401</v>
      </c>
      <c r="C2721" s="4" t="s">
        <v>391</v>
      </c>
      <c r="D2721" s="106" t="s">
        <v>174</v>
      </c>
      <c r="E2721" s="13" t="s">
        <v>746</v>
      </c>
      <c r="F2721" s="66">
        <v>3227000</v>
      </c>
      <c r="G2721" s="21">
        <v>0</v>
      </c>
      <c r="H2721" s="20">
        <f>TRUNC($F2721*G2721*0.0000001,1)</f>
        <v>0</v>
      </c>
      <c r="I2721" s="21">
        <v>0</v>
      </c>
      <c r="J2721" s="20">
        <f>TRUNC($F2721*I2721*0.0000001,1)</f>
        <v>0</v>
      </c>
      <c r="K2721" s="19">
        <v>2799</v>
      </c>
      <c r="L2721" s="20">
        <f>TRUNC($F2721*K2721*0.0000001,1)</f>
        <v>903.2</v>
      </c>
    </row>
    <row r="2722" spans="2:12" ht="11.25" customHeight="1" x14ac:dyDescent="0.2">
      <c r="C2722" s="107" t="s">
        <v>1289</v>
      </c>
      <c r="D2722" s="109"/>
      <c r="E2722" s="34"/>
      <c r="F2722" s="33"/>
      <c r="G2722" s="33"/>
      <c r="H2722" s="24">
        <f>TRUNC(SUM(H2719:H2721))</f>
        <v>332</v>
      </c>
      <c r="I2722" s="33"/>
      <c r="J2722" s="24">
        <f>TRUNC(SUM(J2719:J2721))</f>
        <v>674</v>
      </c>
      <c r="K2722" s="33"/>
      <c r="L2722" s="24">
        <f>TRUNC(SUM(L2719:L2721))</f>
        <v>903</v>
      </c>
    </row>
    <row r="2723" spans="2:12" ht="11.25" customHeight="1" x14ac:dyDescent="0.2">
      <c r="C2723" s="107"/>
      <c r="D2723" s="109"/>
      <c r="E2723" s="34"/>
      <c r="F2723" s="33"/>
      <c r="G2723" s="33"/>
      <c r="H2723" s="24"/>
      <c r="I2723" s="33"/>
      <c r="J2723" s="24"/>
      <c r="K2723" s="33"/>
      <c r="L2723" s="24"/>
    </row>
    <row r="2724" spans="2:12" ht="11.25" customHeight="1" x14ac:dyDescent="0.2">
      <c r="C2724" s="126" t="s">
        <v>1286</v>
      </c>
      <c r="D2724" s="126"/>
      <c r="E2724" s="127"/>
      <c r="F2724" s="125"/>
      <c r="G2724" s="125"/>
      <c r="H2724" s="128">
        <f>TRUNC(H2722+H2717)</f>
        <v>3126</v>
      </c>
      <c r="I2724" s="125"/>
      <c r="J2724" s="128">
        <f>TRUNC(J2722+J2717)</f>
        <v>4166</v>
      </c>
      <c r="K2724" s="125"/>
      <c r="L2724" s="128">
        <f>TRUNC(L2722+L2717)</f>
        <v>4744</v>
      </c>
    </row>
    <row r="2725" spans="2:12" ht="11.25" customHeight="1" x14ac:dyDescent="0.2">
      <c r="B2725" s="186" t="s">
        <v>427</v>
      </c>
      <c r="C2725" s="187" t="s">
        <v>428</v>
      </c>
      <c r="D2725" s="187" t="s">
        <v>429</v>
      </c>
      <c r="E2725" s="188" t="s">
        <v>430</v>
      </c>
      <c r="F2725" s="188" t="s">
        <v>431</v>
      </c>
      <c r="G2725" s="94" t="s">
        <v>1139</v>
      </c>
      <c r="H2725" s="151"/>
      <c r="I2725" s="94" t="s">
        <v>1140</v>
      </c>
      <c r="J2725" s="151"/>
      <c r="K2725" s="94" t="s">
        <v>1141</v>
      </c>
      <c r="L2725" s="151"/>
    </row>
    <row r="2726" spans="2:12" ht="11.25" customHeight="1" x14ac:dyDescent="0.2">
      <c r="B2726" s="186"/>
      <c r="C2726" s="187"/>
      <c r="D2726" s="187"/>
      <c r="E2726" s="188"/>
      <c r="F2726" s="188"/>
      <c r="G2726" s="17" t="s">
        <v>436</v>
      </c>
      <c r="H2726" s="17" t="s">
        <v>437</v>
      </c>
      <c r="I2726" s="17" t="s">
        <v>436</v>
      </c>
      <c r="J2726" s="17" t="s">
        <v>437</v>
      </c>
      <c r="K2726" s="17" t="s">
        <v>436</v>
      </c>
      <c r="L2726" s="17" t="s">
        <v>437</v>
      </c>
    </row>
    <row r="2727" spans="2:12" ht="11.25" customHeight="1" x14ac:dyDescent="0.2">
      <c r="C2727" s="4" t="s">
        <v>426</v>
      </c>
      <c r="D2727" s="4"/>
      <c r="E2727" s="13" t="s">
        <v>494</v>
      </c>
      <c r="F2727" s="25">
        <v>1505.45</v>
      </c>
      <c r="G2727" s="26">
        <v>3.8</v>
      </c>
      <c r="H2727" s="20">
        <f>TRUNC(($F2727*G2727),1)</f>
        <v>5720.7</v>
      </c>
      <c r="I2727" s="26">
        <v>7.6</v>
      </c>
      <c r="J2727" s="20">
        <f>TRUNC(($F2727*I2727),1)</f>
        <v>11441.4</v>
      </c>
      <c r="K2727" s="26">
        <v>10.8</v>
      </c>
      <c r="L2727" s="20">
        <f>TRUNC(($F2727*K2727),1)</f>
        <v>16258.8</v>
      </c>
    </row>
    <row r="2728" spans="2:12" ht="11.25" customHeight="1" x14ac:dyDescent="0.2">
      <c r="C2728" s="4" t="s">
        <v>878</v>
      </c>
      <c r="D2728" s="4" t="s">
        <v>203</v>
      </c>
      <c r="E2728" s="13" t="s">
        <v>232</v>
      </c>
      <c r="F2728" s="18"/>
      <c r="G2728" s="21">
        <v>16</v>
      </c>
      <c r="H2728" s="20">
        <f>TRUNC(H2727*G2728*0.01,1)</f>
        <v>915.3</v>
      </c>
      <c r="I2728" s="21">
        <v>16</v>
      </c>
      <c r="J2728" s="20">
        <f>TRUNC(J2727*I2728*0.01,1)</f>
        <v>1830.6</v>
      </c>
      <c r="K2728" s="21">
        <v>16</v>
      </c>
      <c r="L2728" s="20">
        <f>TRUNC(L2727*K2728*0.01,1)</f>
        <v>2601.4</v>
      </c>
    </row>
    <row r="2729" spans="2:12" ht="11.25" customHeight="1" x14ac:dyDescent="0.2">
      <c r="C2729" s="107" t="s">
        <v>799</v>
      </c>
      <c r="D2729" s="109"/>
      <c r="E2729" s="34"/>
      <c r="F2729" s="33"/>
      <c r="G2729" s="33"/>
      <c r="H2729" s="24">
        <f>TRUNC(SUM(H2727:H2728))</f>
        <v>6636</v>
      </c>
      <c r="I2729" s="33"/>
      <c r="J2729" s="24">
        <f>TRUNC(SUM(J2727:J2728))</f>
        <v>13272</v>
      </c>
      <c r="K2729" s="33"/>
      <c r="L2729" s="24">
        <f>TRUNC(SUM(L2727:L2728))</f>
        <v>18860</v>
      </c>
    </row>
    <row r="2730" spans="2:12" ht="11.25" customHeight="1" x14ac:dyDescent="0.2">
      <c r="C2730" s="107"/>
      <c r="D2730" s="109"/>
      <c r="E2730" s="34"/>
      <c r="F2730" s="33"/>
      <c r="G2730" s="33"/>
      <c r="H2730" s="24"/>
      <c r="I2730" s="33"/>
      <c r="J2730" s="24"/>
      <c r="K2730" s="33"/>
      <c r="L2730" s="24"/>
    </row>
    <row r="2731" spans="2:12" ht="11.25" customHeight="1" x14ac:dyDescent="0.2">
      <c r="B2731" s="8" t="s">
        <v>402</v>
      </c>
      <c r="C2731" s="4" t="s">
        <v>391</v>
      </c>
      <c r="D2731" s="106" t="s">
        <v>1047</v>
      </c>
      <c r="E2731" s="13" t="s">
        <v>746</v>
      </c>
      <c r="F2731" s="66">
        <v>3763000</v>
      </c>
      <c r="G2731" s="19">
        <v>2799</v>
      </c>
      <c r="H2731" s="20">
        <f>TRUNC($F2731*G2731*0.0000001,1)</f>
        <v>1053.2</v>
      </c>
      <c r="I2731" s="21">
        <v>0</v>
      </c>
      <c r="J2731" s="20">
        <f>TRUNC($F2731*I2731*0.0000001,1)</f>
        <v>0</v>
      </c>
      <c r="K2731" s="21">
        <v>0</v>
      </c>
      <c r="L2731" s="20">
        <f>TRUNC($F2731*K2731*0.0000001,1)</f>
        <v>0</v>
      </c>
    </row>
    <row r="2732" spans="2:12" ht="11.25" customHeight="1" x14ac:dyDescent="0.2">
      <c r="B2732" s="8" t="s">
        <v>403</v>
      </c>
      <c r="C2732" s="4" t="s">
        <v>391</v>
      </c>
      <c r="D2732" s="106" t="s">
        <v>1048</v>
      </c>
      <c r="E2732" s="13" t="s">
        <v>746</v>
      </c>
      <c r="F2732" s="66">
        <v>4831000</v>
      </c>
      <c r="G2732" s="21">
        <v>0</v>
      </c>
      <c r="H2732" s="20">
        <f>TRUNC($F2732*G2732*0.0000001,1)</f>
        <v>0</v>
      </c>
      <c r="I2732" s="19">
        <v>2799</v>
      </c>
      <c r="J2732" s="20">
        <f>TRUNC($F2732*I2732*0.0000001,1)</f>
        <v>1352.1</v>
      </c>
      <c r="K2732" s="21">
        <v>0</v>
      </c>
      <c r="L2732" s="20">
        <f>TRUNC($F2732*K2732*0.0000001,1)</f>
        <v>0</v>
      </c>
    </row>
    <row r="2733" spans="2:12" ht="11.25" customHeight="1" x14ac:dyDescent="0.2">
      <c r="B2733" s="8" t="s">
        <v>404</v>
      </c>
      <c r="C2733" s="4" t="s">
        <v>391</v>
      </c>
      <c r="D2733" s="106" t="s">
        <v>680</v>
      </c>
      <c r="E2733" s="13" t="s">
        <v>746</v>
      </c>
      <c r="F2733" s="66">
        <v>5747000</v>
      </c>
      <c r="G2733" s="21">
        <v>0</v>
      </c>
      <c r="H2733" s="20">
        <f>TRUNC($F2733*G2733*0.0000001,1)</f>
        <v>0</v>
      </c>
      <c r="I2733" s="21">
        <v>0</v>
      </c>
      <c r="J2733" s="20">
        <f>TRUNC($F2733*I2733*0.0000001,1)</f>
        <v>0</v>
      </c>
      <c r="K2733" s="19">
        <v>2799</v>
      </c>
      <c r="L2733" s="20">
        <f>TRUNC($F2733*K2733*0.0000001,1)</f>
        <v>1608.5</v>
      </c>
    </row>
    <row r="2734" spans="2:12" ht="11.25" customHeight="1" x14ac:dyDescent="0.2">
      <c r="C2734" s="107" t="s">
        <v>1289</v>
      </c>
      <c r="D2734" s="109"/>
      <c r="E2734" s="34"/>
      <c r="F2734" s="33"/>
      <c r="G2734" s="33"/>
      <c r="H2734" s="24">
        <f>TRUNC(SUM(H2731:H2733))</f>
        <v>1053</v>
      </c>
      <c r="I2734" s="33"/>
      <c r="J2734" s="24">
        <f>TRUNC(SUM(J2731:J2733))</f>
        <v>1352</v>
      </c>
      <c r="K2734" s="33"/>
      <c r="L2734" s="24">
        <f>TRUNC(SUM(L2731:L2733))</f>
        <v>1608</v>
      </c>
    </row>
    <row r="2735" spans="2:12" ht="11.25" customHeight="1" x14ac:dyDescent="0.2">
      <c r="C2735" s="107"/>
      <c r="D2735" s="109"/>
      <c r="E2735" s="34"/>
      <c r="F2735" s="33"/>
      <c r="G2735" s="33"/>
      <c r="H2735" s="24"/>
      <c r="I2735" s="33"/>
      <c r="J2735" s="24"/>
      <c r="K2735" s="33"/>
      <c r="L2735" s="24"/>
    </row>
    <row r="2736" spans="2:12" ht="11.25" customHeight="1" x14ac:dyDescent="0.2">
      <c r="B2736" s="16"/>
      <c r="C2736" s="108" t="s">
        <v>1286</v>
      </c>
      <c r="D2736" s="108"/>
      <c r="E2736" s="103"/>
      <c r="F2736" s="102"/>
      <c r="G2736" s="102"/>
      <c r="H2736" s="104">
        <f>TRUNC(H2734+H2729)</f>
        <v>7689</v>
      </c>
      <c r="I2736" s="102"/>
      <c r="J2736" s="104">
        <f>TRUNC(J2734+J2729)</f>
        <v>14624</v>
      </c>
      <c r="K2736" s="102"/>
      <c r="L2736" s="104">
        <f>TRUNC(L2734+L2729)</f>
        <v>20468</v>
      </c>
    </row>
    <row r="2737" spans="2:12" ht="11.25" customHeight="1" x14ac:dyDescent="0.2">
      <c r="B2737" s="181" t="s">
        <v>427</v>
      </c>
      <c r="C2737" s="183" t="s">
        <v>428</v>
      </c>
      <c r="D2737" s="183" t="s">
        <v>429</v>
      </c>
      <c r="E2737" s="185" t="s">
        <v>430</v>
      </c>
      <c r="F2737" s="185" t="s">
        <v>431</v>
      </c>
      <c r="G2737" s="14" t="s">
        <v>1142</v>
      </c>
      <c r="H2737" s="15"/>
      <c r="I2737" s="14" t="s">
        <v>1143</v>
      </c>
      <c r="J2737" s="15"/>
    </row>
    <row r="2738" spans="2:12" ht="11.25" customHeight="1" x14ac:dyDescent="0.2">
      <c r="B2738" s="186"/>
      <c r="C2738" s="187"/>
      <c r="D2738" s="187"/>
      <c r="E2738" s="188"/>
      <c r="F2738" s="188"/>
      <c r="G2738" s="17" t="s">
        <v>436</v>
      </c>
      <c r="H2738" s="17" t="s">
        <v>437</v>
      </c>
      <c r="I2738" s="17" t="s">
        <v>436</v>
      </c>
      <c r="J2738" s="17" t="s">
        <v>437</v>
      </c>
    </row>
    <row r="2739" spans="2:12" ht="11.25" customHeight="1" x14ac:dyDescent="0.2">
      <c r="C2739" s="4" t="s">
        <v>426</v>
      </c>
      <c r="D2739" s="4"/>
      <c r="E2739" s="13" t="s">
        <v>494</v>
      </c>
      <c r="F2739" s="25">
        <v>1505.45</v>
      </c>
      <c r="G2739" s="26">
        <v>16.3</v>
      </c>
      <c r="H2739" s="20">
        <f>TRUNC(($F2739*G2739),1)</f>
        <v>24538.799999999999</v>
      </c>
      <c r="I2739" s="26">
        <v>21.7</v>
      </c>
      <c r="J2739" s="20">
        <f>TRUNC(($F2739*I2739),1)</f>
        <v>32668.2</v>
      </c>
    </row>
    <row r="2740" spans="2:12" ht="11.25" customHeight="1" x14ac:dyDescent="0.2">
      <c r="C2740" s="4" t="s">
        <v>878</v>
      </c>
      <c r="D2740" s="4" t="s">
        <v>203</v>
      </c>
      <c r="E2740" s="13" t="s">
        <v>232</v>
      </c>
      <c r="F2740" s="18"/>
      <c r="G2740" s="21">
        <v>16</v>
      </c>
      <c r="H2740" s="20">
        <f>TRUNC(H2739*G2740*0.01,1)</f>
        <v>3926.2</v>
      </c>
      <c r="I2740" s="21">
        <v>16</v>
      </c>
      <c r="J2740" s="20">
        <f>TRUNC(J2739*I2740*0.01,1)</f>
        <v>5226.8999999999996</v>
      </c>
    </row>
    <row r="2741" spans="2:12" ht="11.25" customHeight="1" x14ac:dyDescent="0.2">
      <c r="C2741" s="107" t="s">
        <v>799</v>
      </c>
      <c r="D2741" s="109"/>
      <c r="E2741" s="34"/>
      <c r="F2741" s="33"/>
      <c r="G2741" s="33"/>
      <c r="H2741" s="24">
        <f>TRUNC(SUM(H2739:H2740))</f>
        <v>28465</v>
      </c>
      <c r="I2741" s="33"/>
      <c r="J2741" s="24">
        <f>TRUNC(SUM(J2739:J2740))</f>
        <v>37895</v>
      </c>
    </row>
    <row r="2742" spans="2:12" ht="11.25" customHeight="1" x14ac:dyDescent="0.2">
      <c r="C2742" s="107"/>
      <c r="D2742" s="109"/>
      <c r="E2742" s="34"/>
      <c r="F2742" s="33"/>
      <c r="G2742" s="33"/>
      <c r="H2742" s="24"/>
      <c r="I2742" s="33"/>
      <c r="J2742" s="24"/>
      <c r="K2742" s="40"/>
      <c r="L2742" s="54"/>
    </row>
    <row r="2743" spans="2:12" ht="11.25" customHeight="1" x14ac:dyDescent="0.2">
      <c r="B2743" s="8" t="s">
        <v>405</v>
      </c>
      <c r="C2743" s="4" t="s">
        <v>391</v>
      </c>
      <c r="D2743" s="106" t="s">
        <v>500</v>
      </c>
      <c r="E2743" s="13" t="s">
        <v>746</v>
      </c>
      <c r="F2743" s="66">
        <v>7274000</v>
      </c>
      <c r="G2743" s="19">
        <v>2799</v>
      </c>
      <c r="H2743" s="20">
        <f>TRUNC($F2743*G2743*0.0000001,1)</f>
        <v>2035.9</v>
      </c>
      <c r="I2743" s="21">
        <v>0</v>
      </c>
      <c r="J2743" s="20">
        <f>TRUNC($F2743*I2743*0.0000001,1)</f>
        <v>0</v>
      </c>
    </row>
    <row r="2744" spans="2:12" ht="11.25" customHeight="1" x14ac:dyDescent="0.2">
      <c r="B2744" s="8" t="s">
        <v>406</v>
      </c>
      <c r="C2744" s="4" t="s">
        <v>391</v>
      </c>
      <c r="D2744" s="106" t="s">
        <v>501</v>
      </c>
      <c r="E2744" s="13" t="s">
        <v>746</v>
      </c>
      <c r="F2744" s="66">
        <v>13796000</v>
      </c>
      <c r="G2744" s="21">
        <v>0</v>
      </c>
      <c r="H2744" s="20">
        <f>TRUNC($F2744*G2744*0.0000001,1)</f>
        <v>0</v>
      </c>
      <c r="I2744" s="19">
        <v>2799</v>
      </c>
      <c r="J2744" s="20">
        <f>TRUNC($F2744*I2744*0.0000001,1)</f>
        <v>3861.5</v>
      </c>
    </row>
    <row r="2745" spans="2:12" ht="11.25" customHeight="1" x14ac:dyDescent="0.2">
      <c r="C2745" s="107" t="s">
        <v>1289</v>
      </c>
      <c r="D2745" s="109"/>
      <c r="E2745" s="34"/>
      <c r="F2745" s="33"/>
      <c r="G2745" s="33"/>
      <c r="H2745" s="24">
        <f>TRUNC(SUM(H2743:H2744))</f>
        <v>2035</v>
      </c>
      <c r="I2745" s="33"/>
      <c r="J2745" s="24">
        <f>TRUNC(SUM(J2743:J2744))</f>
        <v>3861</v>
      </c>
    </row>
    <row r="2746" spans="2:12" ht="11.25" customHeight="1" x14ac:dyDescent="0.2">
      <c r="C2746" s="107"/>
      <c r="D2746" s="109"/>
      <c r="E2746" s="34"/>
      <c r="F2746" s="33"/>
      <c r="G2746" s="33"/>
      <c r="H2746" s="24"/>
      <c r="I2746" s="33"/>
      <c r="J2746" s="24"/>
      <c r="K2746" s="40"/>
      <c r="L2746" s="54"/>
    </row>
    <row r="2747" spans="2:12" ht="11.25" customHeight="1" x14ac:dyDescent="0.2">
      <c r="B2747" s="16"/>
      <c r="C2747" s="108" t="s">
        <v>1286</v>
      </c>
      <c r="D2747" s="108"/>
      <c r="E2747" s="103"/>
      <c r="F2747" s="102"/>
      <c r="G2747" s="102"/>
      <c r="H2747" s="104">
        <f>TRUNC(H2745+H2741)</f>
        <v>30500</v>
      </c>
      <c r="I2747" s="102"/>
      <c r="J2747" s="104">
        <f>TRUNC(J2745+J2741)</f>
        <v>41756</v>
      </c>
    </row>
    <row r="2749" spans="2:12" ht="11.25" customHeight="1" x14ac:dyDescent="0.2">
      <c r="B2749" s="8" t="s">
        <v>1769</v>
      </c>
      <c r="H2749" s="49" t="s">
        <v>1307</v>
      </c>
    </row>
    <row r="2750" spans="2:12" ht="11.25" customHeight="1" x14ac:dyDescent="0.2">
      <c r="B2750" s="186" t="s">
        <v>427</v>
      </c>
      <c r="C2750" s="187" t="s">
        <v>428</v>
      </c>
      <c r="D2750" s="187" t="s">
        <v>429</v>
      </c>
      <c r="E2750" s="188" t="s">
        <v>430</v>
      </c>
      <c r="F2750" s="188" t="s">
        <v>431</v>
      </c>
      <c r="G2750" s="94" t="s">
        <v>1178</v>
      </c>
      <c r="H2750" s="151"/>
    </row>
    <row r="2751" spans="2:12" ht="11.25" customHeight="1" x14ac:dyDescent="0.2">
      <c r="B2751" s="186"/>
      <c r="C2751" s="187"/>
      <c r="D2751" s="187"/>
      <c r="E2751" s="188"/>
      <c r="F2751" s="188"/>
      <c r="G2751" s="17" t="s">
        <v>436</v>
      </c>
      <c r="H2751" s="17" t="s">
        <v>437</v>
      </c>
    </row>
    <row r="2752" spans="2:12" ht="11.25" customHeight="1" x14ac:dyDescent="0.2">
      <c r="B2752" s="8" t="s">
        <v>1177</v>
      </c>
      <c r="C2752" s="110" t="s">
        <v>1179</v>
      </c>
      <c r="D2752" s="106" t="s">
        <v>1178</v>
      </c>
      <c r="E2752" s="13" t="s">
        <v>746</v>
      </c>
      <c r="F2752" s="66">
        <v>28434000</v>
      </c>
      <c r="G2752" s="19">
        <v>3026</v>
      </c>
      <c r="H2752" s="20">
        <f t="shared" ref="H2752" si="57">TRUNC($F2752*G2752*0.0000001,1)</f>
        <v>8604.1</v>
      </c>
    </row>
    <row r="2753" spans="1:12" ht="11.25" customHeight="1" x14ac:dyDescent="0.2">
      <c r="C2753" s="121" t="s">
        <v>1289</v>
      </c>
      <c r="D2753" s="121"/>
      <c r="E2753" s="31"/>
      <c r="F2753" s="31"/>
      <c r="G2753" s="31"/>
      <c r="H2753" s="79">
        <f>TRUNC(SUM(H2752))</f>
        <v>8604</v>
      </c>
    </row>
    <row r="2754" spans="1:12" ht="11.25" customHeight="1" x14ac:dyDescent="0.2">
      <c r="C2754" s="121"/>
      <c r="D2754" s="109"/>
      <c r="E2754" s="34"/>
      <c r="F2754" s="33"/>
      <c r="G2754" s="33"/>
      <c r="H2754" s="24"/>
    </row>
    <row r="2755" spans="1:12" ht="11.25" customHeight="1" x14ac:dyDescent="0.2">
      <c r="B2755" s="16"/>
      <c r="C2755" s="134" t="s">
        <v>1286</v>
      </c>
      <c r="D2755" s="108"/>
      <c r="E2755" s="103"/>
      <c r="F2755" s="102"/>
      <c r="G2755" s="102"/>
      <c r="H2755" s="104">
        <f>TRUNC(H2753)</f>
        <v>8604</v>
      </c>
    </row>
    <row r="2757" spans="1:12" ht="11.25" customHeight="1" x14ac:dyDescent="0.2">
      <c r="B2757" s="68" t="s">
        <v>1770</v>
      </c>
      <c r="C2757" s="119"/>
      <c r="L2757" s="49" t="s">
        <v>1307</v>
      </c>
    </row>
    <row r="2758" spans="1:12" ht="11.25" customHeight="1" x14ac:dyDescent="0.2">
      <c r="B2758" s="186" t="s">
        <v>427</v>
      </c>
      <c r="C2758" s="187" t="s">
        <v>428</v>
      </c>
      <c r="D2758" s="187" t="s">
        <v>429</v>
      </c>
      <c r="E2758" s="188" t="s">
        <v>430</v>
      </c>
      <c r="F2758" s="188" t="s">
        <v>431</v>
      </c>
      <c r="G2758" s="94" t="s">
        <v>1144</v>
      </c>
      <c r="H2758" s="151"/>
      <c r="I2758" s="94" t="s">
        <v>310</v>
      </c>
      <c r="J2758" s="151"/>
      <c r="K2758" s="94" t="s">
        <v>1132</v>
      </c>
      <c r="L2758" s="151"/>
    </row>
    <row r="2759" spans="1:12" ht="11.25" customHeight="1" x14ac:dyDescent="0.2">
      <c r="B2759" s="186"/>
      <c r="C2759" s="187"/>
      <c r="D2759" s="187"/>
      <c r="E2759" s="188"/>
      <c r="F2759" s="188"/>
      <c r="G2759" s="17" t="s">
        <v>436</v>
      </c>
      <c r="H2759" s="17" t="s">
        <v>437</v>
      </c>
      <c r="I2759" s="17" t="s">
        <v>436</v>
      </c>
      <c r="J2759" s="17" t="s">
        <v>437</v>
      </c>
      <c r="K2759" s="17" t="s">
        <v>436</v>
      </c>
      <c r="L2759" s="17" t="s">
        <v>437</v>
      </c>
    </row>
    <row r="2760" spans="1:12" ht="11.25" customHeight="1" x14ac:dyDescent="0.2">
      <c r="B2760" s="8" t="s">
        <v>407</v>
      </c>
      <c r="C2760" s="4" t="s">
        <v>814</v>
      </c>
      <c r="D2760" s="106" t="s">
        <v>60</v>
      </c>
      <c r="E2760" s="13" t="s">
        <v>746</v>
      </c>
      <c r="F2760" s="66">
        <v>168000</v>
      </c>
      <c r="G2760" s="19">
        <v>1549</v>
      </c>
      <c r="H2760" s="20">
        <f t="shared" ref="H2760:H2762" si="58">TRUNC($F2760*G2760*0.0000001,1)</f>
        <v>26</v>
      </c>
      <c r="I2760" s="21">
        <v>0</v>
      </c>
      <c r="J2760" s="20">
        <f>TRUNC($F2760*I2760*0.0000001,1)</f>
        <v>0</v>
      </c>
      <c r="K2760" s="21">
        <v>0</v>
      </c>
      <c r="L2760" s="20">
        <f t="shared" ref="L2760:L2762" si="59">TRUNC($F2760*K2760*0.0000001,1)</f>
        <v>0</v>
      </c>
    </row>
    <row r="2761" spans="1:12" ht="11.25" customHeight="1" x14ac:dyDescent="0.2">
      <c r="B2761" s="8" t="s">
        <v>408</v>
      </c>
      <c r="C2761" s="4" t="s">
        <v>814</v>
      </c>
      <c r="D2761" s="106" t="s">
        <v>1049</v>
      </c>
      <c r="E2761" s="13" t="s">
        <v>746</v>
      </c>
      <c r="F2761" s="66">
        <v>194000</v>
      </c>
      <c r="G2761" s="21">
        <v>0</v>
      </c>
      <c r="H2761" s="20">
        <f t="shared" si="58"/>
        <v>0</v>
      </c>
      <c r="I2761" s="19">
        <v>1549</v>
      </c>
      <c r="J2761" s="20">
        <f>TRUNC($F2761*I2761*0.0000001,1)</f>
        <v>30</v>
      </c>
      <c r="K2761" s="21">
        <v>0</v>
      </c>
      <c r="L2761" s="20">
        <f t="shared" si="59"/>
        <v>0</v>
      </c>
    </row>
    <row r="2762" spans="1:12" ht="11.25" customHeight="1" x14ac:dyDescent="0.2">
      <c r="B2762" s="8" t="s">
        <v>409</v>
      </c>
      <c r="C2762" s="4" t="s">
        <v>814</v>
      </c>
      <c r="D2762" s="106" t="s">
        <v>1040</v>
      </c>
      <c r="E2762" s="13" t="s">
        <v>746</v>
      </c>
      <c r="F2762" s="66">
        <v>232000</v>
      </c>
      <c r="G2762" s="21">
        <v>0</v>
      </c>
      <c r="H2762" s="20">
        <f t="shared" si="58"/>
        <v>0</v>
      </c>
      <c r="I2762" s="21">
        <v>0</v>
      </c>
      <c r="J2762" s="20">
        <f>TRUNC($F2762*I2762*0.0000001,1)</f>
        <v>0</v>
      </c>
      <c r="K2762" s="19">
        <v>1549</v>
      </c>
      <c r="L2762" s="20">
        <f t="shared" si="59"/>
        <v>35.9</v>
      </c>
    </row>
    <row r="2763" spans="1:12" ht="11.25" customHeight="1" x14ac:dyDescent="0.2">
      <c r="C2763" s="107" t="s">
        <v>1289</v>
      </c>
      <c r="D2763" s="109"/>
      <c r="E2763" s="34"/>
      <c r="F2763" s="33"/>
      <c r="G2763" s="33"/>
      <c r="H2763" s="24">
        <f>TRUNC(SUM(H2760:H2762))</f>
        <v>26</v>
      </c>
      <c r="I2763" s="33"/>
      <c r="J2763" s="24">
        <f>TRUNC(SUM(J2760:J2762))</f>
        <v>30</v>
      </c>
      <c r="K2763" s="33"/>
      <c r="L2763" s="24">
        <f>TRUNC(SUM(L2760:L2762))</f>
        <v>35</v>
      </c>
    </row>
    <row r="2764" spans="1:12" ht="11.25" customHeight="1" x14ac:dyDescent="0.2">
      <c r="C2764" s="107"/>
      <c r="D2764" s="109"/>
      <c r="E2764" s="34"/>
      <c r="F2764" s="33"/>
      <c r="G2764" s="33"/>
      <c r="H2764" s="24"/>
      <c r="I2764" s="33"/>
      <c r="J2764" s="24"/>
      <c r="K2764" s="33"/>
      <c r="L2764" s="24"/>
    </row>
    <row r="2765" spans="1:12" ht="11.25" customHeight="1" x14ac:dyDescent="0.2">
      <c r="C2765" s="126" t="s">
        <v>1286</v>
      </c>
      <c r="D2765" s="126"/>
      <c r="E2765" s="127"/>
      <c r="F2765" s="125"/>
      <c r="G2765" s="125"/>
      <c r="H2765" s="128">
        <f>TRUNC(H2763)</f>
        <v>26</v>
      </c>
      <c r="I2765" s="125"/>
      <c r="J2765" s="128">
        <f>TRUNC(J2763)</f>
        <v>30</v>
      </c>
      <c r="K2765" s="125"/>
      <c r="L2765" s="128">
        <f>TRUNC(L2763)</f>
        <v>35</v>
      </c>
    </row>
    <row r="2766" spans="1:12" ht="11.25" customHeight="1" x14ac:dyDescent="0.2">
      <c r="B2766" s="186" t="s">
        <v>427</v>
      </c>
      <c r="C2766" s="187" t="s">
        <v>428</v>
      </c>
      <c r="D2766" s="187" t="s">
        <v>429</v>
      </c>
      <c r="E2766" s="188" t="s">
        <v>430</v>
      </c>
      <c r="F2766" s="188" t="s">
        <v>431</v>
      </c>
      <c r="G2766" s="94" t="s">
        <v>188</v>
      </c>
      <c r="H2766" s="151"/>
      <c r="I2766" s="94" t="s">
        <v>1145</v>
      </c>
      <c r="J2766" s="151"/>
      <c r="K2766" s="94" t="s">
        <v>1060</v>
      </c>
      <c r="L2766" s="151"/>
    </row>
    <row r="2767" spans="1:12" ht="11.25" customHeight="1" x14ac:dyDescent="0.2">
      <c r="A2767" s="7"/>
      <c r="B2767" s="186"/>
      <c r="C2767" s="187"/>
      <c r="D2767" s="187"/>
      <c r="E2767" s="188"/>
      <c r="F2767" s="188"/>
      <c r="G2767" s="17" t="s">
        <v>436</v>
      </c>
      <c r="H2767" s="17" t="s">
        <v>437</v>
      </c>
      <c r="I2767" s="17" t="s">
        <v>436</v>
      </c>
      <c r="J2767" s="17" t="s">
        <v>437</v>
      </c>
      <c r="K2767" s="17" t="s">
        <v>436</v>
      </c>
      <c r="L2767" s="17" t="s">
        <v>437</v>
      </c>
    </row>
    <row r="2768" spans="1:12" ht="11.25" customHeight="1" x14ac:dyDescent="0.2">
      <c r="B2768" s="8" t="s">
        <v>410</v>
      </c>
      <c r="C2768" s="4" t="s">
        <v>814</v>
      </c>
      <c r="D2768" s="106" t="s">
        <v>171</v>
      </c>
      <c r="E2768" s="13" t="s">
        <v>746</v>
      </c>
      <c r="F2768" s="66">
        <v>295000</v>
      </c>
      <c r="G2768" s="19">
        <v>1549</v>
      </c>
      <c r="H2768" s="20">
        <f t="shared" ref="H2768:H2770" si="60">TRUNC($F2768*G2768*0.0000001,1)</f>
        <v>45.6</v>
      </c>
      <c r="I2768" s="21">
        <v>0</v>
      </c>
      <c r="J2768" s="20">
        <f>TRUNC($F2768*I2768*0.0000001,1)</f>
        <v>0</v>
      </c>
      <c r="K2768" s="21">
        <v>0</v>
      </c>
      <c r="L2768" s="20">
        <f t="shared" ref="L2768:L2770" si="61">TRUNC($F2768*K2768*0.0000001,1)</f>
        <v>0</v>
      </c>
    </row>
    <row r="2769" spans="2:12" ht="11.25" customHeight="1" x14ac:dyDescent="0.2">
      <c r="B2769" s="8" t="s">
        <v>411</v>
      </c>
      <c r="C2769" s="4" t="s">
        <v>814</v>
      </c>
      <c r="D2769" s="106" t="s">
        <v>189</v>
      </c>
      <c r="E2769" s="13" t="s">
        <v>746</v>
      </c>
      <c r="F2769" s="66">
        <v>376000</v>
      </c>
      <c r="G2769" s="21">
        <v>0</v>
      </c>
      <c r="H2769" s="20">
        <f t="shared" si="60"/>
        <v>0</v>
      </c>
      <c r="I2769" s="19">
        <v>1549</v>
      </c>
      <c r="J2769" s="20">
        <f>TRUNC($F2769*I2769*0.0000001,1)</f>
        <v>58.2</v>
      </c>
      <c r="K2769" s="21">
        <v>0</v>
      </c>
      <c r="L2769" s="20">
        <f t="shared" si="61"/>
        <v>0</v>
      </c>
    </row>
    <row r="2770" spans="2:12" ht="11.25" customHeight="1" x14ac:dyDescent="0.2">
      <c r="B2770" s="8" t="s">
        <v>412</v>
      </c>
      <c r="C2770" s="4" t="s">
        <v>814</v>
      </c>
      <c r="D2770" s="106" t="s">
        <v>172</v>
      </c>
      <c r="E2770" s="13" t="s">
        <v>746</v>
      </c>
      <c r="F2770" s="66">
        <v>497000</v>
      </c>
      <c r="G2770" s="21">
        <v>0</v>
      </c>
      <c r="H2770" s="20">
        <f t="shared" si="60"/>
        <v>0</v>
      </c>
      <c r="I2770" s="21">
        <v>0</v>
      </c>
      <c r="J2770" s="20">
        <f>TRUNC($F2770*I2770*0.0000001,1)</f>
        <v>0</v>
      </c>
      <c r="K2770" s="19">
        <v>1549</v>
      </c>
      <c r="L2770" s="20">
        <f t="shared" si="61"/>
        <v>76.900000000000006</v>
      </c>
    </row>
    <row r="2771" spans="2:12" ht="11.25" customHeight="1" x14ac:dyDescent="0.2">
      <c r="C2771" s="107" t="s">
        <v>1289</v>
      </c>
      <c r="D2771" s="109"/>
      <c r="E2771" s="34"/>
      <c r="F2771" s="33"/>
      <c r="G2771" s="33"/>
      <c r="H2771" s="24">
        <f>TRUNC(SUM(H2768:H2770))</f>
        <v>45</v>
      </c>
      <c r="I2771" s="33"/>
      <c r="J2771" s="24">
        <f>TRUNC(SUM(J2768:J2770))</f>
        <v>58</v>
      </c>
      <c r="K2771" s="33"/>
      <c r="L2771" s="24">
        <f>TRUNC(SUM(L2768:L2770))</f>
        <v>76</v>
      </c>
    </row>
    <row r="2772" spans="2:12" ht="11.25" customHeight="1" x14ac:dyDescent="0.2">
      <c r="C2772" s="107"/>
      <c r="D2772" s="109"/>
      <c r="E2772" s="34"/>
      <c r="F2772" s="33"/>
      <c r="G2772" s="33"/>
      <c r="H2772" s="24"/>
      <c r="I2772" s="33"/>
      <c r="J2772" s="24"/>
      <c r="K2772" s="33"/>
      <c r="L2772" s="24"/>
    </row>
    <row r="2773" spans="2:12" ht="11.25" customHeight="1" x14ac:dyDescent="0.2">
      <c r="C2773" s="126" t="s">
        <v>1286</v>
      </c>
      <c r="D2773" s="126"/>
      <c r="E2773" s="127"/>
      <c r="F2773" s="125"/>
      <c r="G2773" s="125"/>
      <c r="H2773" s="128">
        <f>TRUNC(H2771)</f>
        <v>45</v>
      </c>
      <c r="I2773" s="125"/>
      <c r="J2773" s="128">
        <f>TRUNC(J2771)</f>
        <v>58</v>
      </c>
      <c r="K2773" s="125"/>
      <c r="L2773" s="128">
        <f>TRUNC(L2771)</f>
        <v>76</v>
      </c>
    </row>
    <row r="2774" spans="2:12" ht="11.25" customHeight="1" x14ac:dyDescent="0.2">
      <c r="B2774" s="186" t="s">
        <v>427</v>
      </c>
      <c r="C2774" s="187" t="s">
        <v>428</v>
      </c>
      <c r="D2774" s="187" t="s">
        <v>429</v>
      </c>
      <c r="E2774" s="188" t="s">
        <v>430</v>
      </c>
      <c r="F2774" s="188" t="s">
        <v>431</v>
      </c>
      <c r="G2774" s="94" t="s">
        <v>307</v>
      </c>
      <c r="H2774" s="151"/>
      <c r="I2774" s="94" t="s">
        <v>1138</v>
      </c>
      <c r="J2774" s="151"/>
      <c r="K2774" s="94" t="s">
        <v>1130</v>
      </c>
      <c r="L2774" s="151"/>
    </row>
    <row r="2775" spans="2:12" ht="11.25" customHeight="1" x14ac:dyDescent="0.2">
      <c r="B2775" s="186"/>
      <c r="C2775" s="187"/>
      <c r="D2775" s="187"/>
      <c r="E2775" s="188"/>
      <c r="F2775" s="188"/>
      <c r="G2775" s="17" t="s">
        <v>436</v>
      </c>
      <c r="H2775" s="17" t="s">
        <v>437</v>
      </c>
      <c r="I2775" s="17" t="s">
        <v>436</v>
      </c>
      <c r="J2775" s="17" t="s">
        <v>437</v>
      </c>
      <c r="K2775" s="17" t="s">
        <v>436</v>
      </c>
      <c r="L2775" s="17" t="s">
        <v>437</v>
      </c>
    </row>
    <row r="2776" spans="2:12" ht="11.25" customHeight="1" x14ac:dyDescent="0.2">
      <c r="B2776" s="8" t="s">
        <v>413</v>
      </c>
      <c r="C2776" s="4" t="s">
        <v>814</v>
      </c>
      <c r="D2776" s="106" t="s">
        <v>173</v>
      </c>
      <c r="E2776" s="13" t="s">
        <v>746</v>
      </c>
      <c r="F2776" s="66">
        <v>607000</v>
      </c>
      <c r="G2776" s="19">
        <v>1549</v>
      </c>
      <c r="H2776" s="20">
        <f t="shared" ref="H2776:H2778" si="62">TRUNC($F2776*G2776*0.0000001,1)</f>
        <v>94</v>
      </c>
      <c r="I2776" s="21">
        <v>0</v>
      </c>
      <c r="J2776" s="20">
        <f>TRUNC($F2776*I2776*0.0000001,1)</f>
        <v>0</v>
      </c>
      <c r="K2776" s="21">
        <v>0</v>
      </c>
      <c r="L2776" s="20">
        <f t="shared" ref="L2776:L2778" si="63">TRUNC($F2776*K2776*0.0000001,1)</f>
        <v>0</v>
      </c>
    </row>
    <row r="2777" spans="2:12" ht="11.25" customHeight="1" x14ac:dyDescent="0.2">
      <c r="B2777" s="8" t="s">
        <v>414</v>
      </c>
      <c r="C2777" s="4" t="s">
        <v>814</v>
      </c>
      <c r="D2777" s="106" t="s">
        <v>174</v>
      </c>
      <c r="E2777" s="13" t="s">
        <v>746</v>
      </c>
      <c r="F2777" s="66">
        <v>872000</v>
      </c>
      <c r="G2777" s="21">
        <v>0</v>
      </c>
      <c r="H2777" s="20">
        <f t="shared" si="62"/>
        <v>0</v>
      </c>
      <c r="I2777" s="19">
        <v>1549</v>
      </c>
      <c r="J2777" s="20">
        <f>TRUNC($F2777*I2777*0.0000001,1)</f>
        <v>135</v>
      </c>
      <c r="K2777" s="21">
        <v>0</v>
      </c>
      <c r="L2777" s="20">
        <f t="shared" si="63"/>
        <v>0</v>
      </c>
    </row>
    <row r="2778" spans="2:12" ht="11.25" customHeight="1" x14ac:dyDescent="0.2">
      <c r="B2778" s="8" t="s">
        <v>415</v>
      </c>
      <c r="C2778" s="4" t="s">
        <v>814</v>
      </c>
      <c r="D2778" s="106" t="s">
        <v>473</v>
      </c>
      <c r="E2778" s="13" t="s">
        <v>746</v>
      </c>
      <c r="F2778" s="66">
        <v>1144000</v>
      </c>
      <c r="G2778" s="21">
        <v>0</v>
      </c>
      <c r="H2778" s="20">
        <f t="shared" si="62"/>
        <v>0</v>
      </c>
      <c r="I2778" s="21">
        <v>0</v>
      </c>
      <c r="J2778" s="20">
        <f>TRUNC($F2778*I2778*0.0000001,1)</f>
        <v>0</v>
      </c>
      <c r="K2778" s="19">
        <v>1549</v>
      </c>
      <c r="L2778" s="20">
        <f t="shared" si="63"/>
        <v>177.2</v>
      </c>
    </row>
    <row r="2779" spans="2:12" ht="11.25" customHeight="1" x14ac:dyDescent="0.2">
      <c r="C2779" s="107" t="s">
        <v>1289</v>
      </c>
      <c r="D2779" s="109"/>
      <c r="E2779" s="34"/>
      <c r="F2779" s="33"/>
      <c r="G2779" s="33"/>
      <c r="H2779" s="24">
        <f>TRUNC(SUM(H2776:H2778))</f>
        <v>94</v>
      </c>
      <c r="I2779" s="33"/>
      <c r="J2779" s="24">
        <f>TRUNC(SUM(J2776:J2778))</f>
        <v>135</v>
      </c>
      <c r="K2779" s="33"/>
      <c r="L2779" s="24">
        <f>TRUNC(SUM(L2776:L2778))</f>
        <v>177</v>
      </c>
    </row>
    <row r="2780" spans="2:12" ht="11.25" customHeight="1" x14ac:dyDescent="0.2">
      <c r="C2780" s="107"/>
      <c r="D2780" s="109"/>
      <c r="E2780" s="34"/>
      <c r="F2780" s="33"/>
      <c r="G2780" s="33"/>
      <c r="H2780" s="24"/>
      <c r="I2780" s="33"/>
      <c r="J2780" s="24"/>
      <c r="K2780" s="33"/>
      <c r="L2780" s="24"/>
    </row>
    <row r="2781" spans="2:12" ht="11.25" customHeight="1" x14ac:dyDescent="0.2">
      <c r="C2781" s="126" t="s">
        <v>1286</v>
      </c>
      <c r="D2781" s="126"/>
      <c r="E2781" s="127"/>
      <c r="F2781" s="125"/>
      <c r="G2781" s="125"/>
      <c r="H2781" s="128">
        <f>TRUNC(H2779)</f>
        <v>94</v>
      </c>
      <c r="I2781" s="125"/>
      <c r="J2781" s="128">
        <f>TRUNC(J2779)</f>
        <v>135</v>
      </c>
      <c r="K2781" s="125"/>
      <c r="L2781" s="128">
        <f>TRUNC(L2779)</f>
        <v>177</v>
      </c>
    </row>
    <row r="2782" spans="2:12" ht="11.25" customHeight="1" x14ac:dyDescent="0.2">
      <c r="B2782" s="186" t="s">
        <v>427</v>
      </c>
      <c r="C2782" s="187" t="s">
        <v>428</v>
      </c>
      <c r="D2782" s="187" t="s">
        <v>429</v>
      </c>
      <c r="E2782" s="188" t="s">
        <v>430</v>
      </c>
      <c r="F2782" s="188" t="s">
        <v>431</v>
      </c>
      <c r="G2782" s="94" t="s">
        <v>1146</v>
      </c>
      <c r="H2782" s="151"/>
      <c r="I2782" s="94" t="s">
        <v>1147</v>
      </c>
      <c r="J2782" s="151"/>
      <c r="K2782" s="94" t="s">
        <v>1148</v>
      </c>
      <c r="L2782" s="151"/>
    </row>
    <row r="2783" spans="2:12" ht="11.25" customHeight="1" x14ac:dyDescent="0.2">
      <c r="B2783" s="186"/>
      <c r="C2783" s="187"/>
      <c r="D2783" s="187"/>
      <c r="E2783" s="188"/>
      <c r="F2783" s="188"/>
      <c r="G2783" s="17" t="s">
        <v>436</v>
      </c>
      <c r="H2783" s="17" t="s">
        <v>437</v>
      </c>
      <c r="I2783" s="17" t="s">
        <v>436</v>
      </c>
      <c r="J2783" s="17" t="s">
        <v>437</v>
      </c>
      <c r="K2783" s="17" t="s">
        <v>436</v>
      </c>
      <c r="L2783" s="17" t="s">
        <v>437</v>
      </c>
    </row>
    <row r="2784" spans="2:12" ht="11.25" customHeight="1" x14ac:dyDescent="0.2">
      <c r="B2784" s="8" t="s">
        <v>416</v>
      </c>
      <c r="C2784" s="4" t="s">
        <v>814</v>
      </c>
      <c r="D2784" s="106" t="s">
        <v>1050</v>
      </c>
      <c r="E2784" s="13" t="s">
        <v>746</v>
      </c>
      <c r="F2784" s="66">
        <v>1571000</v>
      </c>
      <c r="G2784" s="19">
        <v>1549</v>
      </c>
      <c r="H2784" s="20">
        <f t="shared" ref="H2784:H2786" si="64">TRUNC($F2784*G2784*0.0000001,1)</f>
        <v>243.3</v>
      </c>
      <c r="I2784" s="21">
        <v>0</v>
      </c>
      <c r="J2784" s="20">
        <f>TRUNC($F2784*I2784*0.0000001,1)</f>
        <v>0</v>
      </c>
      <c r="K2784" s="21">
        <v>0</v>
      </c>
      <c r="L2784" s="20">
        <f t="shared" ref="L2784:L2786" si="65">TRUNC($F2784*K2784*0.0000001,1)</f>
        <v>0</v>
      </c>
    </row>
    <row r="2785" spans="2:12" ht="11.25" customHeight="1" x14ac:dyDescent="0.2">
      <c r="B2785" s="8" t="s">
        <v>949</v>
      </c>
      <c r="C2785" s="4" t="s">
        <v>814</v>
      </c>
      <c r="D2785" s="106" t="s">
        <v>1051</v>
      </c>
      <c r="E2785" s="13" t="s">
        <v>746</v>
      </c>
      <c r="F2785" s="66">
        <v>1910000</v>
      </c>
      <c r="G2785" s="21">
        <v>0</v>
      </c>
      <c r="H2785" s="20">
        <f t="shared" si="64"/>
        <v>0</v>
      </c>
      <c r="I2785" s="19">
        <v>1549</v>
      </c>
      <c r="J2785" s="20">
        <f>TRUNC($F2785*I2785*0.0000001,1)</f>
        <v>295.8</v>
      </c>
      <c r="K2785" s="21">
        <v>0</v>
      </c>
      <c r="L2785" s="20">
        <f t="shared" si="65"/>
        <v>0</v>
      </c>
    </row>
    <row r="2786" spans="2:12" ht="11.25" customHeight="1" x14ac:dyDescent="0.2">
      <c r="B2786" s="8" t="s">
        <v>950</v>
      </c>
      <c r="C2786" s="4" t="s">
        <v>814</v>
      </c>
      <c r="D2786" s="106" t="s">
        <v>1052</v>
      </c>
      <c r="E2786" s="13" t="s">
        <v>746</v>
      </c>
      <c r="F2786" s="66">
        <v>2189000</v>
      </c>
      <c r="G2786" s="21">
        <v>0</v>
      </c>
      <c r="H2786" s="20">
        <f t="shared" si="64"/>
        <v>0</v>
      </c>
      <c r="I2786" s="21">
        <v>0</v>
      </c>
      <c r="J2786" s="20">
        <f>TRUNC($F2786*I2786*0.0000001,1)</f>
        <v>0</v>
      </c>
      <c r="K2786" s="19">
        <v>1549</v>
      </c>
      <c r="L2786" s="20">
        <f t="shared" si="65"/>
        <v>339</v>
      </c>
    </row>
    <row r="2787" spans="2:12" ht="11.25" customHeight="1" x14ac:dyDescent="0.2">
      <c r="C2787" s="107" t="s">
        <v>1289</v>
      </c>
      <c r="D2787" s="109"/>
      <c r="E2787" s="34"/>
      <c r="F2787" s="33"/>
      <c r="G2787" s="33"/>
      <c r="H2787" s="24">
        <f>TRUNC(SUM(H2784:H2786))</f>
        <v>243</v>
      </c>
      <c r="I2787" s="33"/>
      <c r="J2787" s="24">
        <f>TRUNC(SUM(J2784:J2786))</f>
        <v>295</v>
      </c>
      <c r="K2787" s="33"/>
      <c r="L2787" s="24">
        <f>TRUNC(SUM(L2784:L2786))</f>
        <v>339</v>
      </c>
    </row>
    <row r="2788" spans="2:12" ht="11.25" customHeight="1" x14ac:dyDescent="0.2">
      <c r="C2788" s="107"/>
      <c r="D2788" s="109"/>
      <c r="E2788" s="34"/>
      <c r="F2788" s="33"/>
      <c r="G2788" s="33"/>
      <c r="H2788" s="24"/>
      <c r="I2788" s="33"/>
      <c r="J2788" s="24"/>
      <c r="K2788" s="33"/>
      <c r="L2788" s="24"/>
    </row>
    <row r="2789" spans="2:12" ht="11.25" customHeight="1" x14ac:dyDescent="0.2">
      <c r="C2789" s="126" t="s">
        <v>1286</v>
      </c>
      <c r="D2789" s="126"/>
      <c r="E2789" s="127"/>
      <c r="F2789" s="125"/>
      <c r="G2789" s="125"/>
      <c r="H2789" s="128">
        <f>TRUNC(H2787)</f>
        <v>243</v>
      </c>
      <c r="I2789" s="125"/>
      <c r="J2789" s="128">
        <f>TRUNC(J2787)</f>
        <v>295</v>
      </c>
      <c r="K2789" s="102"/>
      <c r="L2789" s="104">
        <f>TRUNC(L2787)</f>
        <v>339</v>
      </c>
    </row>
    <row r="2790" spans="2:12" ht="11.25" customHeight="1" x14ac:dyDescent="0.2">
      <c r="B2790" s="186" t="s">
        <v>427</v>
      </c>
      <c r="C2790" s="187" t="s">
        <v>428</v>
      </c>
      <c r="D2790" s="187" t="s">
        <v>429</v>
      </c>
      <c r="E2790" s="188" t="s">
        <v>430</v>
      </c>
      <c r="F2790" s="188" t="s">
        <v>431</v>
      </c>
      <c r="G2790" s="94" t="s">
        <v>1149</v>
      </c>
      <c r="H2790" s="151"/>
      <c r="I2790" s="94" t="s">
        <v>1141</v>
      </c>
      <c r="J2790" s="151"/>
    </row>
    <row r="2791" spans="2:12" ht="11.25" customHeight="1" x14ac:dyDescent="0.2">
      <c r="B2791" s="186"/>
      <c r="C2791" s="187"/>
      <c r="D2791" s="187"/>
      <c r="E2791" s="188"/>
      <c r="F2791" s="188"/>
      <c r="G2791" s="17" t="s">
        <v>436</v>
      </c>
      <c r="H2791" s="17" t="s">
        <v>437</v>
      </c>
      <c r="I2791" s="17" t="s">
        <v>436</v>
      </c>
      <c r="J2791" s="17" t="s">
        <v>437</v>
      </c>
    </row>
    <row r="2792" spans="2:12" ht="11.25" customHeight="1" x14ac:dyDescent="0.2">
      <c r="B2792" s="8" t="s">
        <v>951</v>
      </c>
      <c r="C2792" s="4" t="s">
        <v>814</v>
      </c>
      <c r="D2792" s="106" t="s">
        <v>1053</v>
      </c>
      <c r="E2792" s="13" t="s">
        <v>746</v>
      </c>
      <c r="F2792" s="66">
        <v>3785000</v>
      </c>
      <c r="G2792" s="19">
        <v>1549</v>
      </c>
      <c r="H2792" s="20">
        <f t="shared" ref="H2792:H2793" si="66">TRUNC($F2792*G2792*0.0000001,1)</f>
        <v>586.20000000000005</v>
      </c>
      <c r="I2792" s="21">
        <v>0</v>
      </c>
      <c r="J2792" s="20">
        <f>TRUNC($F2792*I2792*0.0000001,1)</f>
        <v>0</v>
      </c>
    </row>
    <row r="2793" spans="2:12" ht="11.25" customHeight="1" x14ac:dyDescent="0.2">
      <c r="B2793" s="8" t="s">
        <v>952</v>
      </c>
      <c r="C2793" s="4" t="s">
        <v>814</v>
      </c>
      <c r="D2793" s="106" t="s">
        <v>680</v>
      </c>
      <c r="E2793" s="13" t="s">
        <v>746</v>
      </c>
      <c r="F2793" s="66">
        <v>6575000</v>
      </c>
      <c r="G2793" s="21">
        <v>0</v>
      </c>
      <c r="H2793" s="20">
        <f t="shared" si="66"/>
        <v>0</v>
      </c>
      <c r="I2793" s="19">
        <v>1549</v>
      </c>
      <c r="J2793" s="20">
        <f>TRUNC($F2793*I2793*0.0000001,1)</f>
        <v>1018.4</v>
      </c>
    </row>
    <row r="2794" spans="2:12" ht="11.25" customHeight="1" x14ac:dyDescent="0.2">
      <c r="C2794" s="107" t="s">
        <v>1289</v>
      </c>
      <c r="D2794" s="109"/>
      <c r="E2794" s="34"/>
      <c r="F2794" s="33"/>
      <c r="G2794" s="33"/>
      <c r="H2794" s="24">
        <f>TRUNC(SUM(H2792:H2793))</f>
        <v>586</v>
      </c>
      <c r="I2794" s="33"/>
      <c r="J2794" s="24">
        <f>TRUNC(SUM(J2792:J2793))</f>
        <v>1018</v>
      </c>
    </row>
    <row r="2795" spans="2:12" ht="11.25" customHeight="1" x14ac:dyDescent="0.2">
      <c r="C2795" s="107"/>
      <c r="D2795" s="109"/>
      <c r="E2795" s="34"/>
      <c r="F2795" s="33"/>
      <c r="G2795" s="33"/>
      <c r="H2795" s="24"/>
      <c r="I2795" s="33"/>
      <c r="J2795" s="24"/>
      <c r="K2795" s="40"/>
      <c r="L2795" s="54"/>
    </row>
    <row r="2796" spans="2:12" ht="11.25" customHeight="1" x14ac:dyDescent="0.2">
      <c r="B2796" s="16"/>
      <c r="C2796" s="108" t="s">
        <v>1286</v>
      </c>
      <c r="D2796" s="108"/>
      <c r="E2796" s="103"/>
      <c r="F2796" s="102"/>
      <c r="G2796" s="102"/>
      <c r="H2796" s="104">
        <f>TRUNC(H2794)</f>
        <v>586</v>
      </c>
      <c r="I2796" s="102"/>
      <c r="J2796" s="104">
        <f>TRUNC(J2794)</f>
        <v>1018</v>
      </c>
    </row>
    <row r="2798" spans="2:12" ht="11.25" customHeight="1" x14ac:dyDescent="0.2">
      <c r="B2798" s="167" t="s">
        <v>1771</v>
      </c>
      <c r="C2798" s="119"/>
      <c r="H2798" s="49" t="s">
        <v>1307</v>
      </c>
    </row>
    <row r="2799" spans="2:12" ht="11.25" customHeight="1" x14ac:dyDescent="0.2">
      <c r="B2799" s="186" t="s">
        <v>427</v>
      </c>
      <c r="C2799" s="187" t="s">
        <v>428</v>
      </c>
      <c r="D2799" s="187" t="s">
        <v>429</v>
      </c>
      <c r="E2799" s="188" t="s">
        <v>430</v>
      </c>
      <c r="F2799" s="188" t="s">
        <v>431</v>
      </c>
      <c r="G2799" s="94" t="s">
        <v>1150</v>
      </c>
      <c r="H2799" s="151"/>
    </row>
    <row r="2800" spans="2:12" ht="11.25" customHeight="1" x14ac:dyDescent="0.2">
      <c r="B2800" s="186"/>
      <c r="C2800" s="187"/>
      <c r="D2800" s="187"/>
      <c r="E2800" s="188"/>
      <c r="F2800" s="188"/>
      <c r="G2800" s="17" t="s">
        <v>436</v>
      </c>
      <c r="H2800" s="17" t="s">
        <v>437</v>
      </c>
    </row>
    <row r="2801" spans="1:12" ht="11.25" customHeight="1" x14ac:dyDescent="0.2">
      <c r="B2801" s="8" t="s">
        <v>990</v>
      </c>
      <c r="C2801" s="4" t="s">
        <v>139</v>
      </c>
      <c r="D2801" s="106" t="s">
        <v>1388</v>
      </c>
      <c r="E2801" s="13" t="s">
        <v>746</v>
      </c>
      <c r="F2801" s="66">
        <v>252362000</v>
      </c>
      <c r="G2801" s="19">
        <v>1549</v>
      </c>
      <c r="H2801" s="20">
        <f t="shared" ref="H2801" si="67">TRUNC($F2801*G2801*0.0000001,1)</f>
        <v>39090.800000000003</v>
      </c>
    </row>
    <row r="2802" spans="1:12" ht="11.25" customHeight="1" x14ac:dyDescent="0.2">
      <c r="B2802" s="29"/>
      <c r="C2802" s="121" t="s">
        <v>1289</v>
      </c>
      <c r="D2802" s="121"/>
      <c r="E2802" s="31"/>
      <c r="F2802" s="31"/>
      <c r="G2802" s="31"/>
      <c r="H2802" s="79">
        <f>TRUNC(SUM(H2801))</f>
        <v>39090</v>
      </c>
    </row>
    <row r="2803" spans="1:12" ht="11.25" customHeight="1" x14ac:dyDescent="0.2">
      <c r="C2803" s="107"/>
      <c r="D2803" s="109"/>
      <c r="E2803" s="34"/>
      <c r="F2803" s="33"/>
      <c r="G2803" s="33"/>
      <c r="H2803" s="24"/>
      <c r="I2803" s="40"/>
      <c r="J2803" s="54"/>
      <c r="K2803" s="40"/>
      <c r="L2803" s="54"/>
    </row>
    <row r="2804" spans="1:12" ht="11.25" customHeight="1" x14ac:dyDescent="0.2">
      <c r="B2804" s="16"/>
      <c r="C2804" s="108" t="s">
        <v>1286</v>
      </c>
      <c r="D2804" s="108"/>
      <c r="E2804" s="103"/>
      <c r="F2804" s="102"/>
      <c r="G2804" s="102"/>
      <c r="H2804" s="104">
        <f>TRUNC(H2802)</f>
        <v>39090</v>
      </c>
    </row>
    <row r="2805" spans="1:12" ht="11.25" customHeight="1" x14ac:dyDescent="0.2">
      <c r="C2805" s="112"/>
      <c r="D2805" s="116"/>
      <c r="E2805" s="71"/>
      <c r="F2805" s="70"/>
      <c r="G2805" s="70"/>
      <c r="H2805" s="36"/>
    </row>
    <row r="2806" spans="1:12" ht="11.25" customHeight="1" x14ac:dyDescent="0.2">
      <c r="B2806" s="8" t="s">
        <v>1772</v>
      </c>
      <c r="C2806" s="119"/>
      <c r="H2806" s="49" t="s">
        <v>1307</v>
      </c>
    </row>
    <row r="2807" spans="1:12" ht="11.25" customHeight="1" x14ac:dyDescent="0.2">
      <c r="B2807" s="186" t="s">
        <v>427</v>
      </c>
      <c r="C2807" s="187" t="s">
        <v>428</v>
      </c>
      <c r="D2807" s="187" t="s">
        <v>429</v>
      </c>
      <c r="E2807" s="188" t="s">
        <v>430</v>
      </c>
      <c r="F2807" s="188" t="s">
        <v>431</v>
      </c>
      <c r="G2807" s="94" t="s">
        <v>310</v>
      </c>
      <c r="H2807" s="151"/>
    </row>
    <row r="2808" spans="1:12" ht="11.25" customHeight="1" x14ac:dyDescent="0.2">
      <c r="B2808" s="186"/>
      <c r="C2808" s="187"/>
      <c r="D2808" s="187"/>
      <c r="E2808" s="188"/>
      <c r="F2808" s="188"/>
      <c r="G2808" s="17" t="s">
        <v>436</v>
      </c>
      <c r="H2808" s="17" t="s">
        <v>437</v>
      </c>
    </row>
    <row r="2809" spans="1:12" ht="11.25" customHeight="1" x14ac:dyDescent="0.2">
      <c r="B2809" s="76" t="s">
        <v>311</v>
      </c>
      <c r="C2809" s="154" t="s">
        <v>312</v>
      </c>
      <c r="D2809" s="106" t="s">
        <v>1049</v>
      </c>
      <c r="E2809" s="13" t="s">
        <v>746</v>
      </c>
      <c r="F2809" s="66">
        <v>3128000</v>
      </c>
      <c r="G2809" s="19">
        <v>3220</v>
      </c>
      <c r="H2809" s="20">
        <f t="shared" ref="H2809" si="68">TRUNC($F2809*G2809*0.0000001,1)</f>
        <v>1007.2</v>
      </c>
      <c r="I2809" s="9"/>
      <c r="J2809" s="9"/>
    </row>
    <row r="2810" spans="1:12" ht="11.25" customHeight="1" x14ac:dyDescent="0.2">
      <c r="B2810" s="29"/>
      <c r="C2810" s="121" t="s">
        <v>1289</v>
      </c>
      <c r="D2810" s="121"/>
      <c r="E2810" s="31"/>
      <c r="F2810" s="31"/>
      <c r="G2810" s="31"/>
      <c r="H2810" s="79">
        <f>TRUNC(SUM(H2809))</f>
        <v>1007</v>
      </c>
      <c r="I2810" s="39"/>
      <c r="J2810" s="32"/>
    </row>
    <row r="2811" spans="1:12" ht="11.25" customHeight="1" x14ac:dyDescent="0.2">
      <c r="A2811" s="7"/>
      <c r="C2811" s="107"/>
      <c r="D2811" s="109"/>
      <c r="E2811" s="34"/>
      <c r="F2811" s="33"/>
      <c r="G2811" s="33"/>
      <c r="H2811" s="24"/>
      <c r="I2811" s="43"/>
      <c r="J2811" s="88"/>
    </row>
    <row r="2812" spans="1:12" ht="11.25" customHeight="1" x14ac:dyDescent="0.2">
      <c r="B2812" s="16"/>
      <c r="C2812" s="108" t="s">
        <v>1286</v>
      </c>
      <c r="D2812" s="108"/>
      <c r="E2812" s="103"/>
      <c r="F2812" s="102"/>
      <c r="G2812" s="102"/>
      <c r="H2812" s="104">
        <f>TRUNC(H2810)</f>
        <v>1007</v>
      </c>
      <c r="I2812" s="43"/>
      <c r="J2812" s="88"/>
    </row>
    <row r="2813" spans="1:12" ht="11.25" customHeight="1" x14ac:dyDescent="0.2">
      <c r="C2813" s="112"/>
      <c r="D2813" s="116"/>
      <c r="E2813" s="71"/>
      <c r="F2813" s="70"/>
      <c r="G2813" s="70"/>
      <c r="H2813" s="36"/>
    </row>
    <row r="2814" spans="1:12" ht="11.25" customHeight="1" x14ac:dyDescent="0.2">
      <c r="B2814" s="8" t="s">
        <v>1773</v>
      </c>
      <c r="C2814" s="119"/>
      <c r="H2814" s="49" t="s">
        <v>1307</v>
      </c>
    </row>
    <row r="2815" spans="1:12" ht="11.25" customHeight="1" x14ac:dyDescent="0.2">
      <c r="B2815" s="186" t="s">
        <v>427</v>
      </c>
      <c r="C2815" s="187" t="s">
        <v>428</v>
      </c>
      <c r="D2815" s="187" t="s">
        <v>429</v>
      </c>
      <c r="E2815" s="188" t="s">
        <v>430</v>
      </c>
      <c r="F2815" s="188" t="s">
        <v>431</v>
      </c>
      <c r="G2815" s="94" t="s">
        <v>315</v>
      </c>
      <c r="H2815" s="151"/>
    </row>
    <row r="2816" spans="1:12" ht="11.25" customHeight="1" x14ac:dyDescent="0.2">
      <c r="B2816" s="186"/>
      <c r="C2816" s="187"/>
      <c r="D2816" s="187"/>
      <c r="E2816" s="188"/>
      <c r="F2816" s="188"/>
      <c r="G2816" s="17" t="s">
        <v>436</v>
      </c>
      <c r="H2816" s="17" t="s">
        <v>437</v>
      </c>
    </row>
    <row r="2817" spans="2:8" ht="11.25" customHeight="1" x14ac:dyDescent="0.2">
      <c r="B2817" s="76" t="s">
        <v>313</v>
      </c>
      <c r="C2817" s="154" t="s">
        <v>314</v>
      </c>
      <c r="D2817" s="106" t="s">
        <v>1213</v>
      </c>
      <c r="E2817" s="13" t="s">
        <v>746</v>
      </c>
      <c r="F2817" s="66">
        <v>7507000</v>
      </c>
      <c r="G2817" s="19">
        <v>2799</v>
      </c>
      <c r="H2817" s="20">
        <f t="shared" ref="H2817" si="69">TRUNC($F2817*G2817*0.0000001,1)</f>
        <v>2101.1999999999998</v>
      </c>
    </row>
    <row r="2818" spans="2:8" ht="11.25" customHeight="1" x14ac:dyDescent="0.2">
      <c r="B2818" s="29"/>
      <c r="C2818" s="121" t="s">
        <v>1289</v>
      </c>
      <c r="D2818" s="121"/>
      <c r="E2818" s="31"/>
      <c r="F2818" s="31"/>
      <c r="G2818" s="31"/>
      <c r="H2818" s="79">
        <f>TRUNC(SUM(H2817))</f>
        <v>2101</v>
      </c>
    </row>
    <row r="2819" spans="2:8" ht="11.25" customHeight="1" x14ac:dyDescent="0.2">
      <c r="C2819" s="107"/>
      <c r="D2819" s="109"/>
      <c r="E2819" s="34"/>
      <c r="F2819" s="33"/>
      <c r="G2819" s="33"/>
      <c r="H2819" s="24"/>
    </row>
    <row r="2820" spans="2:8" ht="11.25" customHeight="1" x14ac:dyDescent="0.2">
      <c r="B2820" s="16"/>
      <c r="C2820" s="108" t="s">
        <v>1286</v>
      </c>
      <c r="D2820" s="108"/>
      <c r="E2820" s="103"/>
      <c r="F2820" s="102"/>
      <c r="G2820" s="102"/>
      <c r="H2820" s="104">
        <f>TRUNC(H2818)</f>
        <v>2101</v>
      </c>
    </row>
    <row r="2821" spans="2:8" ht="11.25" customHeight="1" x14ac:dyDescent="0.2">
      <c r="C2821" s="112"/>
      <c r="D2821" s="116"/>
      <c r="E2821" s="71"/>
      <c r="F2821" s="70"/>
      <c r="G2821" s="70"/>
      <c r="H2821" s="36"/>
    </row>
    <row r="2822" spans="2:8" ht="11.25" customHeight="1" x14ac:dyDescent="0.2">
      <c r="B2822" s="8" t="s">
        <v>1774</v>
      </c>
      <c r="C2822" s="119"/>
      <c r="H2822" s="49" t="s">
        <v>1307</v>
      </c>
    </row>
    <row r="2823" spans="2:8" ht="11.25" customHeight="1" x14ac:dyDescent="0.2">
      <c r="B2823" s="186" t="s">
        <v>427</v>
      </c>
      <c r="C2823" s="187" t="s">
        <v>428</v>
      </c>
      <c r="D2823" s="187" t="s">
        <v>429</v>
      </c>
      <c r="E2823" s="188" t="s">
        <v>430</v>
      </c>
      <c r="F2823" s="188" t="s">
        <v>431</v>
      </c>
      <c r="G2823" s="94" t="s">
        <v>317</v>
      </c>
      <c r="H2823" s="151"/>
    </row>
    <row r="2824" spans="2:8" ht="11.25" customHeight="1" x14ac:dyDescent="0.2">
      <c r="B2824" s="186"/>
      <c r="C2824" s="187"/>
      <c r="D2824" s="187"/>
      <c r="E2824" s="188"/>
      <c r="F2824" s="188"/>
      <c r="G2824" s="17" t="s">
        <v>436</v>
      </c>
      <c r="H2824" s="17" t="s">
        <v>437</v>
      </c>
    </row>
    <row r="2825" spans="2:8" ht="11.25" customHeight="1" x14ac:dyDescent="0.2">
      <c r="B2825" s="76" t="s">
        <v>318</v>
      </c>
      <c r="C2825" s="154" t="s">
        <v>316</v>
      </c>
      <c r="D2825" s="106" t="s">
        <v>1214</v>
      </c>
      <c r="E2825" s="13" t="s">
        <v>746</v>
      </c>
      <c r="F2825" s="66">
        <v>997000</v>
      </c>
      <c r="G2825" s="19">
        <v>3220</v>
      </c>
      <c r="H2825" s="20">
        <f t="shared" ref="H2825" si="70">TRUNC($F2825*G2825*0.0000001,1)</f>
        <v>321</v>
      </c>
    </row>
    <row r="2826" spans="2:8" ht="11.25" customHeight="1" x14ac:dyDescent="0.2">
      <c r="B2826" s="29"/>
      <c r="C2826" s="121" t="s">
        <v>1289</v>
      </c>
      <c r="D2826" s="121"/>
      <c r="E2826" s="31"/>
      <c r="F2826" s="31"/>
      <c r="G2826" s="31"/>
      <c r="H2826" s="79">
        <f>TRUNC(SUM(H2825))</f>
        <v>321</v>
      </c>
    </row>
    <row r="2827" spans="2:8" ht="11.25" customHeight="1" x14ac:dyDescent="0.2">
      <c r="C2827" s="107"/>
      <c r="D2827" s="109"/>
      <c r="E2827" s="34"/>
      <c r="F2827" s="33"/>
      <c r="G2827" s="33"/>
      <c r="H2827" s="24"/>
    </row>
    <row r="2828" spans="2:8" ht="11.25" customHeight="1" x14ac:dyDescent="0.2">
      <c r="B2828" s="16"/>
      <c r="C2828" s="108" t="s">
        <v>1286</v>
      </c>
      <c r="D2828" s="108"/>
      <c r="E2828" s="103"/>
      <c r="F2828" s="102"/>
      <c r="G2828" s="102"/>
      <c r="H2828" s="104">
        <f>TRUNC(H2826)</f>
        <v>321</v>
      </c>
    </row>
    <row r="2829" spans="2:8" ht="11.25" customHeight="1" x14ac:dyDescent="0.2">
      <c r="C2829" s="112"/>
      <c r="D2829" s="116"/>
      <c r="E2829" s="71"/>
      <c r="F2829" s="70"/>
      <c r="G2829" s="70"/>
      <c r="H2829" s="36"/>
    </row>
    <row r="2830" spans="2:8" ht="11.25" customHeight="1" x14ac:dyDescent="0.2">
      <c r="B2830" s="8" t="s">
        <v>1775</v>
      </c>
      <c r="C2830" s="119"/>
      <c r="H2830" s="49" t="s">
        <v>1307</v>
      </c>
    </row>
    <row r="2831" spans="2:8" ht="11.25" customHeight="1" x14ac:dyDescent="0.2">
      <c r="B2831" s="186" t="s">
        <v>427</v>
      </c>
      <c r="C2831" s="187" t="s">
        <v>428</v>
      </c>
      <c r="D2831" s="187" t="s">
        <v>429</v>
      </c>
      <c r="E2831" s="188" t="s">
        <v>430</v>
      </c>
      <c r="F2831" s="188" t="s">
        <v>431</v>
      </c>
      <c r="G2831" s="94" t="s">
        <v>1390</v>
      </c>
      <c r="H2831" s="151"/>
    </row>
    <row r="2832" spans="2:8" ht="11.25" customHeight="1" x14ac:dyDescent="0.2">
      <c r="B2832" s="186"/>
      <c r="C2832" s="187"/>
      <c r="D2832" s="187"/>
      <c r="E2832" s="188"/>
      <c r="F2832" s="188"/>
      <c r="G2832" s="17" t="s">
        <v>436</v>
      </c>
      <c r="H2832" s="17" t="s">
        <v>437</v>
      </c>
    </row>
    <row r="2833" spans="2:10" ht="11.25" customHeight="1" x14ac:dyDescent="0.2">
      <c r="B2833" s="76" t="s">
        <v>626</v>
      </c>
      <c r="C2833" s="154" t="s">
        <v>319</v>
      </c>
      <c r="D2833" s="106" t="s">
        <v>1389</v>
      </c>
      <c r="E2833" s="13" t="s">
        <v>746</v>
      </c>
      <c r="F2833" s="66">
        <v>18768000</v>
      </c>
      <c r="G2833" s="19">
        <v>4935</v>
      </c>
      <c r="H2833" s="20">
        <f t="shared" ref="H2833" si="71">TRUNC($F2833*G2833*0.0000001,1)</f>
        <v>9262</v>
      </c>
    </row>
    <row r="2834" spans="2:10" ht="11.25" customHeight="1" x14ac:dyDescent="0.2">
      <c r="B2834" s="29"/>
      <c r="C2834" s="121" t="s">
        <v>1289</v>
      </c>
      <c r="D2834" s="121"/>
      <c r="E2834" s="31"/>
      <c r="F2834" s="31"/>
      <c r="G2834" s="31"/>
      <c r="H2834" s="79">
        <f>TRUNC(SUM(H2833))</f>
        <v>9262</v>
      </c>
    </row>
    <row r="2835" spans="2:10" ht="11.25" customHeight="1" x14ac:dyDescent="0.2">
      <c r="C2835" s="107"/>
      <c r="D2835" s="109"/>
      <c r="E2835" s="34"/>
      <c r="F2835" s="33"/>
      <c r="G2835" s="33"/>
      <c r="H2835" s="24"/>
    </row>
    <row r="2836" spans="2:10" ht="11.25" customHeight="1" x14ac:dyDescent="0.2">
      <c r="B2836" s="16"/>
      <c r="C2836" s="108" t="s">
        <v>1286</v>
      </c>
      <c r="D2836" s="108"/>
      <c r="E2836" s="103"/>
      <c r="F2836" s="102"/>
      <c r="G2836" s="102"/>
      <c r="H2836" s="104">
        <f>TRUNC(H2834)</f>
        <v>9262</v>
      </c>
    </row>
    <row r="2837" spans="2:10" ht="11.25" customHeight="1" x14ac:dyDescent="0.2">
      <c r="C2837" s="112"/>
      <c r="D2837" s="116"/>
      <c r="E2837" s="71"/>
      <c r="F2837" s="70"/>
      <c r="G2837" s="70"/>
      <c r="H2837" s="36"/>
    </row>
    <row r="2838" spans="2:10" ht="11.25" customHeight="1" x14ac:dyDescent="0.2">
      <c r="B2838" s="68" t="s">
        <v>1776</v>
      </c>
      <c r="C2838" s="119"/>
      <c r="H2838" s="49" t="s">
        <v>1307</v>
      </c>
    </row>
    <row r="2839" spans="2:10" ht="11.25" customHeight="1" x14ac:dyDescent="0.2">
      <c r="B2839" s="186" t="s">
        <v>427</v>
      </c>
      <c r="C2839" s="187" t="s">
        <v>428</v>
      </c>
      <c r="D2839" s="187" t="s">
        <v>429</v>
      </c>
      <c r="E2839" s="188" t="s">
        <v>430</v>
      </c>
      <c r="F2839" s="188" t="s">
        <v>431</v>
      </c>
      <c r="G2839" s="94" t="s">
        <v>307</v>
      </c>
      <c r="H2839" s="151"/>
    </row>
    <row r="2840" spans="2:10" ht="11.25" customHeight="1" x14ac:dyDescent="0.2">
      <c r="B2840" s="186"/>
      <c r="C2840" s="187"/>
      <c r="D2840" s="187"/>
      <c r="E2840" s="188"/>
      <c r="F2840" s="188"/>
      <c r="G2840" s="17" t="s">
        <v>436</v>
      </c>
      <c r="H2840" s="17" t="s">
        <v>437</v>
      </c>
    </row>
    <row r="2841" spans="2:10" ht="11.25" customHeight="1" x14ac:dyDescent="0.2">
      <c r="C2841" s="4" t="s">
        <v>426</v>
      </c>
      <c r="D2841" s="4"/>
      <c r="E2841" s="13" t="s">
        <v>494</v>
      </c>
      <c r="F2841" s="25">
        <v>1505.45</v>
      </c>
      <c r="G2841" s="26">
        <v>1.6</v>
      </c>
      <c r="H2841" s="20">
        <f>TRUNC(($F2841*G2841),1)</f>
        <v>2408.6999999999998</v>
      </c>
      <c r="I2841" s="52"/>
      <c r="J2841" s="32"/>
    </row>
    <row r="2842" spans="2:10" ht="11.25" customHeight="1" x14ac:dyDescent="0.2">
      <c r="C2842" s="4" t="s">
        <v>878</v>
      </c>
      <c r="D2842" s="4" t="s">
        <v>203</v>
      </c>
      <c r="E2842" s="13" t="s">
        <v>232</v>
      </c>
      <c r="F2842" s="18"/>
      <c r="G2842" s="21">
        <v>16</v>
      </c>
      <c r="H2842" s="20">
        <f>TRUNC(H2841*G2842*0.01,1)</f>
        <v>385.3</v>
      </c>
      <c r="I2842" s="39"/>
      <c r="J2842" s="32"/>
    </row>
    <row r="2843" spans="2:10" ht="11.25" customHeight="1" x14ac:dyDescent="0.2">
      <c r="C2843" s="107" t="s">
        <v>799</v>
      </c>
      <c r="D2843" s="109"/>
      <c r="E2843" s="34"/>
      <c r="F2843" s="33"/>
      <c r="G2843" s="33"/>
      <c r="H2843" s="24">
        <f>TRUNC(SUM(H2841:H2842))</f>
        <v>2794</v>
      </c>
      <c r="I2843" s="40"/>
      <c r="J2843" s="54"/>
    </row>
    <row r="2844" spans="2:10" ht="11.25" customHeight="1" x14ac:dyDescent="0.2">
      <c r="C2844" s="107"/>
      <c r="D2844" s="109"/>
      <c r="E2844" s="34"/>
      <c r="F2844" s="33"/>
      <c r="G2844" s="33"/>
      <c r="H2844" s="24"/>
      <c r="I2844" s="40"/>
      <c r="J2844" s="54"/>
    </row>
    <row r="2845" spans="2:10" ht="11.25" customHeight="1" x14ac:dyDescent="0.2">
      <c r="C2845" s="4" t="s">
        <v>874</v>
      </c>
      <c r="D2845" s="4" t="s">
        <v>866</v>
      </c>
      <c r="E2845" s="13" t="s">
        <v>497</v>
      </c>
      <c r="F2845" s="28">
        <v>173995</v>
      </c>
      <c r="G2845" s="18">
        <v>0.20799999999999999</v>
      </c>
      <c r="H2845" s="20">
        <f>TRUNC(($F2845*G2845),1)</f>
        <v>36190.9</v>
      </c>
      <c r="J2845" s="32"/>
    </row>
    <row r="2846" spans="2:10" ht="11.25" customHeight="1" x14ac:dyDescent="0.2">
      <c r="C2846" s="107" t="s">
        <v>1285</v>
      </c>
      <c r="D2846" s="109"/>
      <c r="E2846" s="34"/>
      <c r="F2846" s="33"/>
      <c r="G2846" s="33"/>
      <c r="H2846" s="24">
        <f>TRUNC(SUM(H2845:H2845))</f>
        <v>36190</v>
      </c>
      <c r="I2846" s="40"/>
      <c r="J2846" s="54"/>
    </row>
    <row r="2847" spans="2:10" ht="11.25" customHeight="1" x14ac:dyDescent="0.2">
      <c r="C2847" s="107"/>
      <c r="D2847" s="109"/>
      <c r="E2847" s="34"/>
      <c r="F2847" s="74"/>
      <c r="G2847" s="33"/>
      <c r="H2847" s="24"/>
      <c r="I2847" s="40"/>
      <c r="J2847" s="54"/>
    </row>
    <row r="2848" spans="2:10" ht="11.25" customHeight="1" x14ac:dyDescent="0.2">
      <c r="B2848" s="8" t="s">
        <v>309</v>
      </c>
      <c r="C2848" s="110" t="s">
        <v>308</v>
      </c>
      <c r="D2848" s="106" t="s">
        <v>307</v>
      </c>
      <c r="E2848" s="13" t="s">
        <v>746</v>
      </c>
      <c r="F2848" s="96">
        <v>33032000</v>
      </c>
      <c r="G2848" s="19">
        <v>2799</v>
      </c>
      <c r="H2848" s="20">
        <f>TRUNC($F2848*G2848*0.0000001,1)</f>
        <v>9245.6</v>
      </c>
      <c r="I2848" s="39"/>
      <c r="J2848" s="32"/>
    </row>
    <row r="2849" spans="2:12" ht="11.25" customHeight="1" x14ac:dyDescent="0.2">
      <c r="C2849" s="107" t="s">
        <v>1289</v>
      </c>
      <c r="D2849" s="109"/>
      <c r="E2849" s="34"/>
      <c r="F2849" s="33"/>
      <c r="G2849" s="33"/>
      <c r="H2849" s="24">
        <f>TRUNC(SUM(H2848:H2848))</f>
        <v>9245</v>
      </c>
      <c r="I2849" s="40"/>
      <c r="J2849" s="54"/>
    </row>
    <row r="2850" spans="2:12" ht="11.25" customHeight="1" x14ac:dyDescent="0.2">
      <c r="C2850" s="107"/>
      <c r="D2850" s="109"/>
      <c r="E2850" s="34"/>
      <c r="F2850" s="33"/>
      <c r="G2850" s="33"/>
      <c r="H2850" s="24"/>
      <c r="I2850" s="40"/>
      <c r="J2850" s="54"/>
    </row>
    <row r="2851" spans="2:12" ht="11.25" customHeight="1" x14ac:dyDescent="0.2">
      <c r="B2851" s="16"/>
      <c r="C2851" s="108" t="s">
        <v>1286</v>
      </c>
      <c r="D2851" s="108"/>
      <c r="E2851" s="103"/>
      <c r="F2851" s="102"/>
      <c r="G2851" s="102"/>
      <c r="H2851" s="104">
        <f>TRUNC(H2849+H2843+H2846)</f>
        <v>48229</v>
      </c>
      <c r="I2851" s="142"/>
      <c r="J2851" s="36"/>
    </row>
    <row r="2852" spans="2:12" ht="11.25" customHeight="1" x14ac:dyDescent="0.2">
      <c r="C2852" s="112"/>
      <c r="D2852" s="116"/>
      <c r="E2852" s="71"/>
      <c r="F2852" s="70"/>
      <c r="G2852" s="70"/>
      <c r="H2852" s="36"/>
    </row>
    <row r="2853" spans="2:12" ht="11.25" customHeight="1" x14ac:dyDescent="0.2">
      <c r="B2853" s="8" t="s">
        <v>1777</v>
      </c>
      <c r="L2853" s="49" t="s">
        <v>1307</v>
      </c>
    </row>
    <row r="2854" spans="2:12" ht="11.25" customHeight="1" x14ac:dyDescent="0.2">
      <c r="B2854" s="186" t="s">
        <v>427</v>
      </c>
      <c r="C2854" s="187" t="s">
        <v>428</v>
      </c>
      <c r="D2854" s="187" t="s">
        <v>429</v>
      </c>
      <c r="E2854" s="188" t="s">
        <v>430</v>
      </c>
      <c r="F2854" s="188" t="s">
        <v>431</v>
      </c>
      <c r="G2854" s="94" t="s">
        <v>188</v>
      </c>
      <c r="H2854" s="151"/>
      <c r="I2854" s="94" t="s">
        <v>1060</v>
      </c>
      <c r="J2854" s="151"/>
      <c r="K2854" s="94" t="s">
        <v>1062</v>
      </c>
      <c r="L2854" s="151"/>
    </row>
    <row r="2855" spans="2:12" ht="11.25" customHeight="1" x14ac:dyDescent="0.2">
      <c r="B2855" s="186"/>
      <c r="C2855" s="187"/>
      <c r="D2855" s="187"/>
      <c r="E2855" s="188"/>
      <c r="F2855" s="188"/>
      <c r="G2855" s="17" t="s">
        <v>436</v>
      </c>
      <c r="H2855" s="17" t="s">
        <v>437</v>
      </c>
      <c r="I2855" s="17" t="s">
        <v>436</v>
      </c>
      <c r="J2855" s="17" t="s">
        <v>437</v>
      </c>
      <c r="K2855" s="17" t="s">
        <v>436</v>
      </c>
      <c r="L2855" s="17" t="s">
        <v>437</v>
      </c>
    </row>
    <row r="2856" spans="2:12" ht="11.25" customHeight="1" x14ac:dyDescent="0.2">
      <c r="B2856" s="29"/>
      <c r="C2856" s="110" t="s">
        <v>1056</v>
      </c>
      <c r="D2856" s="110" t="s">
        <v>581</v>
      </c>
      <c r="E2856" s="47" t="s">
        <v>264</v>
      </c>
      <c r="F2856" s="171">
        <v>0</v>
      </c>
      <c r="G2856" s="30">
        <v>3.73</v>
      </c>
      <c r="H2856" s="20">
        <f>TRUNC(($F2856*G2856),1)</f>
        <v>0</v>
      </c>
      <c r="I2856" s="30">
        <v>7.46</v>
      </c>
      <c r="J2856" s="20">
        <f>TRUNC(($F2856*I2856),1)</f>
        <v>0</v>
      </c>
      <c r="K2856" s="30">
        <v>37</v>
      </c>
      <c r="L2856" s="20">
        <f>TRUNC(($F2856*K2856),1)</f>
        <v>0</v>
      </c>
    </row>
    <row r="2857" spans="2:12" ht="11.25" customHeight="1" x14ac:dyDescent="0.2">
      <c r="B2857" s="29"/>
      <c r="C2857" s="121" t="s">
        <v>799</v>
      </c>
      <c r="D2857" s="121"/>
      <c r="E2857" s="31"/>
      <c r="F2857" s="31"/>
      <c r="G2857" s="31"/>
      <c r="H2857" s="87">
        <f>TRUNC(H2856)</f>
        <v>0</v>
      </c>
      <c r="I2857" s="31"/>
      <c r="J2857" s="35">
        <f>TRUNC(J2856)</f>
        <v>0</v>
      </c>
      <c r="K2857" s="31"/>
      <c r="L2857" s="35">
        <f>TRUNC(L2856)</f>
        <v>0</v>
      </c>
    </row>
    <row r="2858" spans="2:12" ht="11.25" customHeight="1" x14ac:dyDescent="0.2">
      <c r="C2858" s="107"/>
      <c r="D2858" s="109"/>
      <c r="E2858" s="34"/>
      <c r="F2858" s="74"/>
      <c r="G2858" s="33"/>
      <c r="H2858" s="24"/>
      <c r="I2858" s="33"/>
      <c r="J2858" s="24"/>
      <c r="K2858" s="33"/>
      <c r="L2858" s="24"/>
    </row>
    <row r="2859" spans="2:12" ht="11.25" customHeight="1" x14ac:dyDescent="0.2">
      <c r="B2859" s="29" t="s">
        <v>3</v>
      </c>
      <c r="C2859" s="110" t="s">
        <v>1778</v>
      </c>
      <c r="D2859" s="110" t="s">
        <v>188</v>
      </c>
      <c r="E2859" s="47" t="s">
        <v>746</v>
      </c>
      <c r="F2859" s="96">
        <v>16913000</v>
      </c>
      <c r="G2859" s="19">
        <v>4677</v>
      </c>
      <c r="H2859" s="20">
        <f>TRUNC($F2859*G2859*0.0000001,1)</f>
        <v>7910.2</v>
      </c>
      <c r="I2859" s="46">
        <v>0</v>
      </c>
      <c r="J2859" s="20">
        <f>TRUNC($F2859*I2859*0.0000001,1)</f>
        <v>0</v>
      </c>
      <c r="K2859" s="46">
        <v>0</v>
      </c>
      <c r="L2859" s="20">
        <f>TRUNC($F2859*K2859*0.0000001,1)</f>
        <v>0</v>
      </c>
    </row>
    <row r="2860" spans="2:12" ht="11.25" customHeight="1" x14ac:dyDescent="0.2">
      <c r="B2860" s="29" t="s">
        <v>749</v>
      </c>
      <c r="C2860" s="110" t="s">
        <v>1778</v>
      </c>
      <c r="D2860" s="110" t="s">
        <v>1060</v>
      </c>
      <c r="E2860" s="13" t="s">
        <v>746</v>
      </c>
      <c r="F2860" s="96">
        <v>21887000</v>
      </c>
      <c r="G2860" s="46">
        <v>0</v>
      </c>
      <c r="H2860" s="20">
        <f>TRUNC($F2860*G2860*0.0000001,1)</f>
        <v>0</v>
      </c>
      <c r="I2860" s="161">
        <v>4677</v>
      </c>
      <c r="J2860" s="20">
        <f>TRUNC($F2860*I2860*0.0000001,1)</f>
        <v>10236.5</v>
      </c>
      <c r="K2860" s="46">
        <v>0</v>
      </c>
      <c r="L2860" s="20">
        <f>TRUNC($F2860*K2860*0.0000001,1)</f>
        <v>0</v>
      </c>
    </row>
    <row r="2861" spans="2:12" ht="11.25" customHeight="1" x14ac:dyDescent="0.2">
      <c r="B2861" s="29" t="s">
        <v>1061</v>
      </c>
      <c r="C2861" s="110" t="s">
        <v>1778</v>
      </c>
      <c r="D2861" s="110" t="s">
        <v>1062</v>
      </c>
      <c r="E2861" s="13" t="s">
        <v>746</v>
      </c>
      <c r="F2861" s="96">
        <v>40769000</v>
      </c>
      <c r="G2861" s="46">
        <v>0</v>
      </c>
      <c r="H2861" s="20">
        <f>TRUNC($F2861*G2861*0.0000001,1)</f>
        <v>0</v>
      </c>
      <c r="I2861" s="46">
        <v>0</v>
      </c>
      <c r="J2861" s="20">
        <f>TRUNC($F2861*I2861*0.0000001,1)</f>
        <v>0</v>
      </c>
      <c r="K2861" s="161">
        <v>4677</v>
      </c>
      <c r="L2861" s="20">
        <f>TRUNC($F2861*K2861*0.0000001,1)</f>
        <v>19067.599999999999</v>
      </c>
    </row>
    <row r="2862" spans="2:12" ht="11.25" customHeight="1" x14ac:dyDescent="0.2">
      <c r="B2862" s="29"/>
      <c r="C2862" s="121" t="s">
        <v>1289</v>
      </c>
      <c r="D2862" s="121"/>
      <c r="E2862" s="31"/>
      <c r="F2862" s="31"/>
      <c r="G2862" s="31"/>
      <c r="H2862" s="89">
        <f>TRUNC(SUM(H2859:H2861))</f>
        <v>7910</v>
      </c>
      <c r="I2862" s="31"/>
      <c r="J2862" s="79">
        <f>TRUNC(SUM(J2859:J2861))</f>
        <v>10236</v>
      </c>
      <c r="K2862" s="31"/>
      <c r="L2862" s="79">
        <f>TRUNC(SUM(L2859:L2861))</f>
        <v>19067</v>
      </c>
    </row>
    <row r="2863" spans="2:12" ht="11.25" customHeight="1" x14ac:dyDescent="0.2">
      <c r="B2863" s="29"/>
      <c r="C2863" s="121"/>
      <c r="D2863" s="121"/>
      <c r="E2863" s="31"/>
      <c r="F2863" s="31"/>
      <c r="G2863" s="31"/>
      <c r="H2863" s="89"/>
      <c r="I2863" s="31"/>
      <c r="J2863" s="79"/>
      <c r="K2863" s="31"/>
      <c r="L2863" s="79"/>
    </row>
    <row r="2864" spans="2:12" ht="11.25" customHeight="1" x14ac:dyDescent="0.2">
      <c r="B2864" s="48"/>
      <c r="C2864" s="134" t="s">
        <v>1286</v>
      </c>
      <c r="D2864" s="134"/>
      <c r="E2864" s="129"/>
      <c r="F2864" s="129"/>
      <c r="G2864" s="129"/>
      <c r="H2864" s="133">
        <f>H2862+H2857</f>
        <v>7910</v>
      </c>
      <c r="I2864" s="129"/>
      <c r="J2864" s="104">
        <f>J2862+J2857</f>
        <v>10236</v>
      </c>
      <c r="K2864" s="129"/>
      <c r="L2864" s="104">
        <f>L2862+L2857</f>
        <v>19067</v>
      </c>
    </row>
    <row r="2865" spans="1:12" ht="11.25" customHeight="1" x14ac:dyDescent="0.2">
      <c r="B2865" s="57"/>
      <c r="C2865" s="120"/>
      <c r="D2865" s="120"/>
      <c r="E2865" s="57"/>
      <c r="F2865" s="57"/>
      <c r="G2865" s="57"/>
      <c r="H2865" s="57"/>
    </row>
    <row r="2866" spans="1:12" ht="11.25" customHeight="1" x14ac:dyDescent="0.2">
      <c r="B2866" s="8" t="s">
        <v>1779</v>
      </c>
      <c r="H2866" s="49" t="s">
        <v>1307</v>
      </c>
    </row>
    <row r="2867" spans="1:12" ht="11.25" customHeight="1" x14ac:dyDescent="0.2">
      <c r="B2867" s="186" t="s">
        <v>427</v>
      </c>
      <c r="C2867" s="187" t="s">
        <v>428</v>
      </c>
      <c r="D2867" s="187" t="s">
        <v>429</v>
      </c>
      <c r="E2867" s="188" t="s">
        <v>430</v>
      </c>
      <c r="F2867" s="188" t="s">
        <v>431</v>
      </c>
      <c r="G2867" s="94" t="s">
        <v>928</v>
      </c>
      <c r="H2867" s="151"/>
    </row>
    <row r="2868" spans="1:12" ht="11.25" customHeight="1" x14ac:dyDescent="0.2">
      <c r="B2868" s="186"/>
      <c r="C2868" s="187"/>
      <c r="D2868" s="187"/>
      <c r="E2868" s="188"/>
      <c r="F2868" s="188"/>
      <c r="G2868" s="17" t="s">
        <v>436</v>
      </c>
      <c r="H2868" s="17" t="s">
        <v>437</v>
      </c>
    </row>
    <row r="2869" spans="1:12" ht="11.25" customHeight="1" x14ac:dyDescent="0.2">
      <c r="B2869" s="29"/>
      <c r="C2869" s="110" t="s">
        <v>1056</v>
      </c>
      <c r="D2869" s="110" t="s">
        <v>581</v>
      </c>
      <c r="E2869" s="47" t="s">
        <v>264</v>
      </c>
      <c r="F2869" s="171">
        <v>0</v>
      </c>
      <c r="G2869" s="30">
        <v>1.87</v>
      </c>
      <c r="H2869" s="20">
        <f>TRUNC(($F2869*G2869),1)</f>
        <v>0</v>
      </c>
    </row>
    <row r="2870" spans="1:12" ht="11.25" customHeight="1" x14ac:dyDescent="0.2">
      <c r="B2870" s="29"/>
      <c r="C2870" s="110" t="s">
        <v>1025</v>
      </c>
      <c r="D2870" s="110" t="s">
        <v>581</v>
      </c>
      <c r="E2870" s="47" t="s">
        <v>1054</v>
      </c>
      <c r="F2870" s="90">
        <v>1584.54</v>
      </c>
      <c r="G2870" s="30">
        <v>1.3</v>
      </c>
      <c r="H2870" s="20">
        <f>TRUNC(($F2870*G2870),1)</f>
        <v>2059.9</v>
      </c>
    </row>
    <row r="2871" spans="1:12" ht="11.25" customHeight="1" x14ac:dyDescent="0.2">
      <c r="B2871" s="29"/>
      <c r="C2871" s="110" t="s">
        <v>1055</v>
      </c>
      <c r="D2871" s="4" t="s">
        <v>203</v>
      </c>
      <c r="E2871" s="47" t="s">
        <v>232</v>
      </c>
      <c r="F2871" s="47"/>
      <c r="G2871" s="30">
        <v>2</v>
      </c>
      <c r="H2871" s="20">
        <f>TRUNC(SUM(H2869:H2870)*G2871*0.01,1)</f>
        <v>41.1</v>
      </c>
    </row>
    <row r="2872" spans="1:12" ht="11.25" customHeight="1" x14ac:dyDescent="0.2">
      <c r="B2872" s="29"/>
      <c r="C2872" s="121" t="s">
        <v>799</v>
      </c>
      <c r="D2872" s="121"/>
      <c r="E2872" s="31"/>
      <c r="F2872" s="31"/>
      <c r="G2872" s="31"/>
      <c r="H2872" s="35">
        <f>TRUNC(SUM(H2869:H2871))</f>
        <v>2101</v>
      </c>
    </row>
    <row r="2873" spans="1:12" ht="11.25" customHeight="1" x14ac:dyDescent="0.2">
      <c r="A2873" s="9"/>
      <c r="C2873" s="107"/>
      <c r="D2873" s="109"/>
      <c r="E2873" s="34"/>
      <c r="F2873" s="33"/>
      <c r="G2873" s="33"/>
      <c r="H2873" s="24"/>
      <c r="I2873" s="40"/>
      <c r="J2873" s="54"/>
      <c r="K2873" s="40"/>
      <c r="L2873" s="54"/>
    </row>
    <row r="2874" spans="1:12" ht="11.25" customHeight="1" x14ac:dyDescent="0.2">
      <c r="A2874" s="9"/>
      <c r="B2874" s="29" t="s">
        <v>146</v>
      </c>
      <c r="C2874" s="110" t="s">
        <v>1780</v>
      </c>
      <c r="D2874" s="110" t="s">
        <v>928</v>
      </c>
      <c r="E2874" s="47" t="s">
        <v>746</v>
      </c>
      <c r="F2874" s="96">
        <v>5696000</v>
      </c>
      <c r="G2874" s="19">
        <v>3708</v>
      </c>
      <c r="H2874" s="20">
        <f>TRUNC($F2874*G2874*0.0000001,1)</f>
        <v>2112</v>
      </c>
    </row>
    <row r="2875" spans="1:12" ht="11.25" customHeight="1" x14ac:dyDescent="0.2">
      <c r="A2875" s="9"/>
      <c r="B2875" s="29"/>
      <c r="C2875" s="121" t="s">
        <v>1289</v>
      </c>
      <c r="D2875" s="121"/>
      <c r="E2875" s="31"/>
      <c r="F2875" s="31"/>
      <c r="G2875" s="31"/>
      <c r="H2875" s="79">
        <f>TRUNC(SUM(H2874))</f>
        <v>2112</v>
      </c>
    </row>
    <row r="2876" spans="1:12" ht="11.25" customHeight="1" x14ac:dyDescent="0.2">
      <c r="A2876" s="9"/>
      <c r="B2876" s="29"/>
      <c r="C2876" s="121"/>
      <c r="D2876" s="121"/>
      <c r="E2876" s="31"/>
      <c r="F2876" s="31"/>
      <c r="G2876" s="31"/>
      <c r="H2876" s="79"/>
    </row>
    <row r="2877" spans="1:12" ht="11.25" customHeight="1" x14ac:dyDescent="0.2">
      <c r="A2877" s="9"/>
      <c r="B2877" s="48"/>
      <c r="C2877" s="134" t="s">
        <v>1286</v>
      </c>
      <c r="D2877" s="134"/>
      <c r="E2877" s="129"/>
      <c r="F2877" s="129"/>
      <c r="G2877" s="129"/>
      <c r="H2877" s="104">
        <f>H2875+H2872</f>
        <v>4213</v>
      </c>
    </row>
    <row r="2878" spans="1:12" ht="11.25" customHeight="1" x14ac:dyDescent="0.2">
      <c r="A2878" s="9"/>
      <c r="B2878" s="57"/>
      <c r="C2878" s="120"/>
      <c r="D2878" s="120"/>
      <c r="E2878" s="57"/>
      <c r="F2878" s="57"/>
      <c r="G2878" s="57"/>
      <c r="H2878" s="57"/>
    </row>
    <row r="2879" spans="1:12" ht="11.25" customHeight="1" x14ac:dyDescent="0.2">
      <c r="A2879" s="9"/>
      <c r="B2879" s="8" t="s">
        <v>1781</v>
      </c>
      <c r="H2879" s="49" t="s">
        <v>1307</v>
      </c>
    </row>
    <row r="2880" spans="1:12" ht="11.25" customHeight="1" x14ac:dyDescent="0.2">
      <c r="A2880" s="9"/>
      <c r="B2880" s="186" t="s">
        <v>427</v>
      </c>
      <c r="C2880" s="187" t="s">
        <v>428</v>
      </c>
      <c r="D2880" s="187" t="s">
        <v>429</v>
      </c>
      <c r="E2880" s="188" t="s">
        <v>430</v>
      </c>
      <c r="F2880" s="188" t="s">
        <v>431</v>
      </c>
      <c r="G2880" s="94" t="s">
        <v>310</v>
      </c>
      <c r="H2880" s="151"/>
    </row>
    <row r="2881" spans="1:12" ht="11.25" customHeight="1" x14ac:dyDescent="0.2">
      <c r="A2881" s="9"/>
      <c r="B2881" s="186"/>
      <c r="C2881" s="187"/>
      <c r="D2881" s="187"/>
      <c r="E2881" s="188"/>
      <c r="F2881" s="188"/>
      <c r="G2881" s="17" t="s">
        <v>436</v>
      </c>
      <c r="H2881" s="17" t="s">
        <v>437</v>
      </c>
    </row>
    <row r="2882" spans="1:12" ht="11.25" customHeight="1" x14ac:dyDescent="0.2">
      <c r="A2882" s="9"/>
      <c r="B2882" s="29"/>
      <c r="C2882" s="110" t="s">
        <v>1056</v>
      </c>
      <c r="D2882" s="110" t="s">
        <v>581</v>
      </c>
      <c r="E2882" s="47" t="s">
        <v>264</v>
      </c>
      <c r="F2882" s="171">
        <v>0</v>
      </c>
      <c r="G2882" s="30">
        <v>1.49</v>
      </c>
      <c r="H2882" s="20">
        <f>TRUNC(($F2882*G2882),1)</f>
        <v>0</v>
      </c>
    </row>
    <row r="2883" spans="1:12" ht="11.25" customHeight="1" x14ac:dyDescent="0.2">
      <c r="A2883" s="9"/>
      <c r="B2883" s="29"/>
      <c r="C2883" s="121" t="s">
        <v>799</v>
      </c>
      <c r="D2883" s="121"/>
      <c r="E2883" s="31"/>
      <c r="F2883" s="31"/>
      <c r="G2883" s="31"/>
      <c r="H2883" s="35">
        <f>TRUNC(SUM(H2882))</f>
        <v>0</v>
      </c>
    </row>
    <row r="2884" spans="1:12" ht="11.25" customHeight="1" x14ac:dyDescent="0.2">
      <c r="A2884" s="9"/>
      <c r="C2884" s="107"/>
      <c r="D2884" s="109"/>
      <c r="E2884" s="34"/>
      <c r="F2884" s="74"/>
      <c r="G2884" s="33"/>
      <c r="H2884" s="24"/>
      <c r="I2884" s="40"/>
      <c r="J2884" s="54"/>
      <c r="K2884" s="40"/>
      <c r="L2884" s="54"/>
    </row>
    <row r="2885" spans="1:12" ht="11.25" customHeight="1" x14ac:dyDescent="0.2">
      <c r="A2885" s="9"/>
      <c r="B2885" s="29" t="s">
        <v>944</v>
      </c>
      <c r="C2885" s="110" t="s">
        <v>1261</v>
      </c>
      <c r="D2885" s="110" t="s">
        <v>310</v>
      </c>
      <c r="E2885" s="47" t="s">
        <v>746</v>
      </c>
      <c r="F2885" s="96">
        <v>38000</v>
      </c>
      <c r="G2885" s="19">
        <v>3375</v>
      </c>
      <c r="H2885" s="20">
        <f>TRUNC($F2885*G2885*0.0000001,1)</f>
        <v>12.8</v>
      </c>
    </row>
    <row r="2886" spans="1:12" ht="11.25" customHeight="1" x14ac:dyDescent="0.2">
      <c r="A2886" s="9"/>
      <c r="B2886" s="29"/>
      <c r="C2886" s="121" t="s">
        <v>1289</v>
      </c>
      <c r="D2886" s="121"/>
      <c r="E2886" s="31"/>
      <c r="F2886" s="31"/>
      <c r="G2886" s="31"/>
      <c r="H2886" s="79">
        <f>TRUNC(SUM(H2885))</f>
        <v>12</v>
      </c>
    </row>
    <row r="2887" spans="1:12" ht="11.25" customHeight="1" x14ac:dyDescent="0.2">
      <c r="A2887" s="9"/>
      <c r="B2887" s="29"/>
      <c r="C2887" s="121"/>
      <c r="D2887" s="121"/>
      <c r="E2887" s="31"/>
      <c r="F2887" s="31"/>
      <c r="G2887" s="31"/>
      <c r="H2887" s="79"/>
    </row>
    <row r="2888" spans="1:12" ht="11.25" customHeight="1" x14ac:dyDescent="0.2">
      <c r="A2888" s="9"/>
      <c r="B2888" s="48"/>
      <c r="C2888" s="134" t="s">
        <v>1286</v>
      </c>
      <c r="D2888" s="134"/>
      <c r="E2888" s="129"/>
      <c r="F2888" s="129"/>
      <c r="G2888" s="129"/>
      <c r="H2888" s="104">
        <f>H2886+H2883</f>
        <v>12</v>
      </c>
    </row>
    <row r="2889" spans="1:12" ht="11.25" customHeight="1" x14ac:dyDescent="0.2">
      <c r="A2889" s="9"/>
      <c r="B2889" s="57"/>
      <c r="C2889" s="120"/>
      <c r="D2889" s="120"/>
      <c r="E2889" s="57"/>
      <c r="F2889" s="57"/>
      <c r="G2889" s="57"/>
      <c r="H2889" s="57"/>
    </row>
    <row r="2890" spans="1:12" ht="11.25" customHeight="1" x14ac:dyDescent="0.2">
      <c r="A2890" s="9"/>
      <c r="B2890" s="8" t="s">
        <v>1782</v>
      </c>
      <c r="H2890" s="49" t="s">
        <v>1307</v>
      </c>
    </row>
    <row r="2891" spans="1:12" ht="11.25" customHeight="1" x14ac:dyDescent="0.2">
      <c r="A2891" s="9"/>
      <c r="B2891" s="186" t="s">
        <v>427</v>
      </c>
      <c r="C2891" s="187" t="s">
        <v>428</v>
      </c>
      <c r="D2891" s="187" t="s">
        <v>429</v>
      </c>
      <c r="E2891" s="188" t="s">
        <v>430</v>
      </c>
      <c r="F2891" s="188" t="s">
        <v>431</v>
      </c>
      <c r="G2891" s="94" t="s">
        <v>188</v>
      </c>
      <c r="H2891" s="151"/>
    </row>
    <row r="2892" spans="1:12" ht="11.25" customHeight="1" x14ac:dyDescent="0.2">
      <c r="A2892" s="9"/>
      <c r="B2892" s="186"/>
      <c r="C2892" s="187"/>
      <c r="D2892" s="187"/>
      <c r="E2892" s="188"/>
      <c r="F2892" s="188"/>
      <c r="G2892" s="17" t="s">
        <v>436</v>
      </c>
      <c r="H2892" s="17" t="s">
        <v>437</v>
      </c>
    </row>
    <row r="2893" spans="1:12" ht="11.25" customHeight="1" x14ac:dyDescent="0.2">
      <c r="A2893" s="9"/>
      <c r="B2893" s="29"/>
      <c r="C2893" s="110" t="s">
        <v>1025</v>
      </c>
      <c r="D2893" s="110" t="s">
        <v>581</v>
      </c>
      <c r="E2893" s="47" t="s">
        <v>1054</v>
      </c>
      <c r="F2893" s="90">
        <v>1584.54</v>
      </c>
      <c r="G2893" s="30">
        <v>1</v>
      </c>
      <c r="H2893" s="20">
        <f>TRUNC(($F2893*G2893),1)</f>
        <v>1584.5</v>
      </c>
    </row>
    <row r="2894" spans="1:12" ht="11.25" customHeight="1" x14ac:dyDescent="0.2">
      <c r="A2894" s="9"/>
      <c r="B2894" s="29"/>
      <c r="C2894" s="110" t="s">
        <v>1055</v>
      </c>
      <c r="D2894" s="4" t="s">
        <v>203</v>
      </c>
      <c r="E2894" s="47" t="s">
        <v>232</v>
      </c>
      <c r="F2894" s="47"/>
      <c r="G2894" s="30">
        <v>10</v>
      </c>
      <c r="H2894" s="20">
        <f>TRUNC(H2893*G2894*0.01,1)</f>
        <v>158.4</v>
      </c>
    </row>
    <row r="2895" spans="1:12" ht="11.25" customHeight="1" x14ac:dyDescent="0.2">
      <c r="A2895" s="9"/>
      <c r="B2895" s="29"/>
      <c r="C2895" s="121" t="s">
        <v>799</v>
      </c>
      <c r="D2895" s="121"/>
      <c r="E2895" s="31"/>
      <c r="F2895" s="31"/>
      <c r="G2895" s="31"/>
      <c r="H2895" s="35">
        <f>TRUNC(SUM(H2893:H2894))</f>
        <v>1742</v>
      </c>
    </row>
    <row r="2896" spans="1:12" ht="11.25" customHeight="1" x14ac:dyDescent="0.2">
      <c r="A2896" s="9"/>
      <c r="C2896" s="107"/>
      <c r="D2896" s="109"/>
      <c r="E2896" s="34"/>
      <c r="F2896" s="74"/>
      <c r="G2896" s="33"/>
      <c r="H2896" s="24"/>
      <c r="I2896" s="40"/>
      <c r="J2896" s="54"/>
      <c r="K2896" s="40"/>
      <c r="L2896" s="54"/>
    </row>
    <row r="2897" spans="1:12" ht="11.25" customHeight="1" x14ac:dyDescent="0.2">
      <c r="A2897" s="9"/>
      <c r="B2897" s="29" t="s">
        <v>945</v>
      </c>
      <c r="C2897" s="110" t="s">
        <v>1783</v>
      </c>
      <c r="D2897" s="110" t="s">
        <v>188</v>
      </c>
      <c r="E2897" s="47" t="s">
        <v>746</v>
      </c>
      <c r="F2897" s="96">
        <v>2680000</v>
      </c>
      <c r="G2897" s="19">
        <v>5313</v>
      </c>
      <c r="H2897" s="20">
        <f>TRUNC($F2897*G2897*0.0000001,1)</f>
        <v>1423.8</v>
      </c>
    </row>
    <row r="2898" spans="1:12" ht="11.25" customHeight="1" x14ac:dyDescent="0.2">
      <c r="A2898" s="9"/>
      <c r="B2898" s="29"/>
      <c r="C2898" s="121" t="s">
        <v>1289</v>
      </c>
      <c r="D2898" s="121"/>
      <c r="E2898" s="31"/>
      <c r="F2898" s="31"/>
      <c r="G2898" s="31"/>
      <c r="H2898" s="79">
        <f>TRUNC(SUM(H2897))</f>
        <v>1423</v>
      </c>
    </row>
    <row r="2899" spans="1:12" ht="11.25" customHeight="1" x14ac:dyDescent="0.2">
      <c r="A2899" s="9"/>
      <c r="B2899" s="29"/>
      <c r="C2899" s="121"/>
      <c r="D2899" s="121"/>
      <c r="E2899" s="31"/>
      <c r="F2899" s="31"/>
      <c r="G2899" s="31"/>
      <c r="H2899" s="79"/>
    </row>
    <row r="2900" spans="1:12" ht="11.25" customHeight="1" x14ac:dyDescent="0.2">
      <c r="A2900" s="9"/>
      <c r="B2900" s="48"/>
      <c r="C2900" s="134" t="s">
        <v>1286</v>
      </c>
      <c r="D2900" s="134"/>
      <c r="E2900" s="129"/>
      <c r="F2900" s="129"/>
      <c r="G2900" s="129"/>
      <c r="H2900" s="104">
        <f>H2898+H2895</f>
        <v>3165</v>
      </c>
    </row>
    <row r="2901" spans="1:12" ht="11.25" customHeight="1" x14ac:dyDescent="0.2">
      <c r="A2901" s="9"/>
      <c r="B2901" s="57"/>
      <c r="C2901" s="120"/>
      <c r="D2901" s="120"/>
      <c r="E2901" s="57"/>
      <c r="F2901" s="57"/>
      <c r="G2901" s="57"/>
      <c r="H2901" s="57"/>
    </row>
    <row r="2902" spans="1:12" ht="11.25" customHeight="1" x14ac:dyDescent="0.2">
      <c r="A2902" s="9"/>
      <c r="B2902" s="8" t="s">
        <v>1785</v>
      </c>
      <c r="H2902" s="49" t="s">
        <v>1307</v>
      </c>
    </row>
    <row r="2903" spans="1:12" ht="11.25" customHeight="1" x14ac:dyDescent="0.2">
      <c r="A2903" s="9"/>
      <c r="B2903" s="186" t="s">
        <v>427</v>
      </c>
      <c r="C2903" s="187" t="s">
        <v>428</v>
      </c>
      <c r="D2903" s="187" t="s">
        <v>429</v>
      </c>
      <c r="E2903" s="188" t="s">
        <v>430</v>
      </c>
      <c r="F2903" s="188" t="s">
        <v>431</v>
      </c>
      <c r="G2903" s="94" t="s">
        <v>1784</v>
      </c>
      <c r="H2903" s="151"/>
    </row>
    <row r="2904" spans="1:12" ht="11.25" customHeight="1" x14ac:dyDescent="0.2">
      <c r="A2904" s="9"/>
      <c r="B2904" s="186"/>
      <c r="C2904" s="187"/>
      <c r="D2904" s="187"/>
      <c r="E2904" s="188"/>
      <c r="F2904" s="188"/>
      <c r="G2904" s="17" t="s">
        <v>436</v>
      </c>
      <c r="H2904" s="17" t="s">
        <v>437</v>
      </c>
    </row>
    <row r="2905" spans="1:12" ht="11.25" customHeight="1" x14ac:dyDescent="0.2">
      <c r="A2905" s="9"/>
      <c r="B2905" s="76" t="s">
        <v>750</v>
      </c>
      <c r="C2905" s="154" t="s">
        <v>816</v>
      </c>
      <c r="D2905" s="114" t="s">
        <v>1784</v>
      </c>
      <c r="E2905" s="77" t="s">
        <v>223</v>
      </c>
      <c r="F2905" s="91">
        <v>17000</v>
      </c>
      <c r="G2905" s="19">
        <v>5000</v>
      </c>
      <c r="H2905" s="20">
        <f t="shared" ref="H2905" si="72">TRUNC($F2905*G2905*0.0000001,1)</f>
        <v>8.5</v>
      </c>
    </row>
    <row r="2906" spans="1:12" ht="11.25" customHeight="1" x14ac:dyDescent="0.2">
      <c r="A2906" s="9"/>
      <c r="B2906" s="29"/>
      <c r="C2906" s="121" t="s">
        <v>1289</v>
      </c>
      <c r="D2906" s="121"/>
      <c r="E2906" s="31"/>
      <c r="F2906" s="31"/>
      <c r="G2906" s="31"/>
      <c r="H2906" s="79">
        <f>TRUNC(SUM(H2905))</f>
        <v>8</v>
      </c>
    </row>
    <row r="2907" spans="1:12" ht="11.25" customHeight="1" x14ac:dyDescent="0.2">
      <c r="A2907" s="9"/>
      <c r="C2907" s="107"/>
      <c r="D2907" s="109"/>
      <c r="E2907" s="34"/>
      <c r="F2907" s="33"/>
      <c r="G2907" s="33"/>
      <c r="H2907" s="24"/>
      <c r="I2907" s="40"/>
      <c r="J2907" s="54"/>
      <c r="K2907" s="40"/>
      <c r="L2907" s="54"/>
    </row>
    <row r="2908" spans="1:12" ht="11.25" customHeight="1" x14ac:dyDescent="0.2">
      <c r="A2908" s="9"/>
      <c r="B2908" s="16"/>
      <c r="C2908" s="134" t="s">
        <v>1286</v>
      </c>
      <c r="D2908" s="134"/>
      <c r="E2908" s="129"/>
      <c r="F2908" s="129"/>
      <c r="G2908" s="129"/>
      <c r="H2908" s="104">
        <f>H2906</f>
        <v>8</v>
      </c>
    </row>
    <row r="2909" spans="1:12" ht="11.25" customHeight="1" x14ac:dyDescent="0.2">
      <c r="A2909" s="9"/>
    </row>
    <row r="2910" spans="1:12" ht="11.25" customHeight="1" x14ac:dyDescent="0.2">
      <c r="A2910" s="9"/>
      <c r="B2910" s="68" t="s">
        <v>1898</v>
      </c>
      <c r="C2910" s="119"/>
    </row>
    <row r="2911" spans="1:12" ht="11.25" customHeight="1" x14ac:dyDescent="0.2">
      <c r="A2911" s="9"/>
      <c r="B2911" s="8" t="s">
        <v>1917</v>
      </c>
      <c r="H2911" s="49" t="s">
        <v>1307</v>
      </c>
    </row>
    <row r="2912" spans="1:12" ht="11.25" customHeight="1" x14ac:dyDescent="0.2">
      <c r="A2912" s="9"/>
      <c r="B2912" s="186" t="s">
        <v>427</v>
      </c>
      <c r="C2912" s="187" t="s">
        <v>428</v>
      </c>
      <c r="D2912" s="187" t="s">
        <v>429</v>
      </c>
      <c r="E2912" s="188" t="s">
        <v>430</v>
      </c>
      <c r="F2912" s="188" t="s">
        <v>431</v>
      </c>
      <c r="G2912" s="94" t="s">
        <v>1899</v>
      </c>
      <c r="H2912" s="151"/>
    </row>
    <row r="2913" spans="1:12" ht="11.25" customHeight="1" x14ac:dyDescent="0.2">
      <c r="A2913" s="9"/>
      <c r="B2913" s="186"/>
      <c r="C2913" s="187"/>
      <c r="D2913" s="187"/>
      <c r="E2913" s="188"/>
      <c r="F2913" s="188"/>
      <c r="G2913" s="17" t="s">
        <v>436</v>
      </c>
      <c r="H2913" s="17" t="s">
        <v>437</v>
      </c>
    </row>
    <row r="2914" spans="1:12" ht="11.25" customHeight="1" x14ac:dyDescent="0.2">
      <c r="A2914" s="9"/>
      <c r="B2914" s="76" t="s">
        <v>1900</v>
      </c>
      <c r="C2914" s="154" t="s">
        <v>1901</v>
      </c>
      <c r="D2914" s="114" t="s">
        <v>1899</v>
      </c>
      <c r="E2914" s="77" t="s">
        <v>223</v>
      </c>
      <c r="F2914" s="91">
        <v>55000000</v>
      </c>
      <c r="G2914" s="19">
        <v>3930</v>
      </c>
      <c r="H2914" s="20">
        <f t="shared" ref="H2914" si="73">TRUNC($F2914*G2914*0.0000001,1)</f>
        <v>21615</v>
      </c>
    </row>
    <row r="2915" spans="1:12" ht="11.25" customHeight="1" x14ac:dyDescent="0.2">
      <c r="A2915" s="9"/>
      <c r="B2915" s="29"/>
      <c r="C2915" s="121" t="s">
        <v>1289</v>
      </c>
      <c r="D2915" s="121"/>
      <c r="E2915" s="31"/>
      <c r="F2915" s="31"/>
      <c r="G2915" s="31"/>
      <c r="H2915" s="79">
        <f>TRUNC(SUM(H2914))</f>
        <v>21615</v>
      </c>
    </row>
    <row r="2916" spans="1:12" ht="11.25" customHeight="1" x14ac:dyDescent="0.2">
      <c r="A2916" s="9"/>
      <c r="C2916" s="107"/>
      <c r="D2916" s="109"/>
      <c r="E2916" s="34"/>
      <c r="F2916" s="33"/>
      <c r="G2916" s="33"/>
      <c r="H2916" s="24"/>
      <c r="I2916" s="40"/>
      <c r="J2916" s="54"/>
      <c r="K2916" s="40"/>
      <c r="L2916" s="54"/>
    </row>
    <row r="2917" spans="1:12" ht="11.25" customHeight="1" x14ac:dyDescent="0.2">
      <c r="A2917" s="9"/>
      <c r="B2917" s="16"/>
      <c r="C2917" s="134" t="s">
        <v>1286</v>
      </c>
      <c r="D2917" s="134"/>
      <c r="E2917" s="129"/>
      <c r="F2917" s="129"/>
      <c r="G2917" s="129"/>
      <c r="H2917" s="104">
        <f>H2915</f>
        <v>21615</v>
      </c>
    </row>
    <row r="2918" spans="1:12" ht="11.25" customHeight="1" x14ac:dyDescent="0.2">
      <c r="A2918" s="9"/>
    </row>
    <row r="2919" spans="1:12" ht="11.25" customHeight="1" x14ac:dyDescent="0.2">
      <c r="A2919" s="9"/>
      <c r="B2919" s="8" t="s">
        <v>1918</v>
      </c>
      <c r="H2919" s="49" t="s">
        <v>1307</v>
      </c>
    </row>
    <row r="2920" spans="1:12" ht="11.25" customHeight="1" x14ac:dyDescent="0.2">
      <c r="A2920" s="9"/>
      <c r="B2920" s="186" t="s">
        <v>427</v>
      </c>
      <c r="C2920" s="187" t="s">
        <v>428</v>
      </c>
      <c r="D2920" s="187" t="s">
        <v>429</v>
      </c>
      <c r="E2920" s="188" t="s">
        <v>430</v>
      </c>
      <c r="F2920" s="188" t="s">
        <v>431</v>
      </c>
      <c r="G2920" s="94" t="s">
        <v>1908</v>
      </c>
      <c r="H2920" s="151"/>
    </row>
    <row r="2921" spans="1:12" ht="11.25" customHeight="1" x14ac:dyDescent="0.2">
      <c r="A2921" s="9"/>
      <c r="B2921" s="186"/>
      <c r="C2921" s="187"/>
      <c r="D2921" s="187"/>
      <c r="E2921" s="188"/>
      <c r="F2921" s="188"/>
      <c r="G2921" s="17" t="s">
        <v>436</v>
      </c>
      <c r="H2921" s="17" t="s">
        <v>437</v>
      </c>
    </row>
    <row r="2922" spans="1:12" ht="11.25" customHeight="1" x14ac:dyDescent="0.2">
      <c r="A2922" s="9"/>
      <c r="B2922" s="76" t="s">
        <v>1902</v>
      </c>
      <c r="C2922" s="154" t="s">
        <v>1903</v>
      </c>
      <c r="D2922" s="114" t="s">
        <v>1908</v>
      </c>
      <c r="E2922" s="77" t="s">
        <v>223</v>
      </c>
      <c r="F2922" s="91">
        <v>70000000</v>
      </c>
      <c r="G2922" s="19">
        <v>3930</v>
      </c>
      <c r="H2922" s="20">
        <f t="shared" ref="H2922" si="74">TRUNC($F2922*G2922*0.0000001,1)</f>
        <v>27510</v>
      </c>
    </row>
    <row r="2923" spans="1:12" ht="11.25" customHeight="1" x14ac:dyDescent="0.2">
      <c r="A2923" s="9"/>
      <c r="B2923" s="29"/>
      <c r="C2923" s="121" t="s">
        <v>1289</v>
      </c>
      <c r="D2923" s="121"/>
      <c r="E2923" s="31"/>
      <c r="F2923" s="31"/>
      <c r="G2923" s="31"/>
      <c r="H2923" s="79">
        <f>TRUNC(SUM(H2922))</f>
        <v>27510</v>
      </c>
    </row>
    <row r="2924" spans="1:12" ht="11.25" customHeight="1" x14ac:dyDescent="0.2">
      <c r="A2924" s="9"/>
      <c r="C2924" s="107"/>
      <c r="D2924" s="109"/>
      <c r="E2924" s="34"/>
      <c r="F2924" s="33"/>
      <c r="G2924" s="33"/>
      <c r="H2924" s="24"/>
      <c r="I2924" s="40"/>
      <c r="J2924" s="54"/>
      <c r="K2924" s="40"/>
      <c r="L2924" s="54"/>
    </row>
    <row r="2925" spans="1:12" ht="11.25" customHeight="1" x14ac:dyDescent="0.2">
      <c r="A2925" s="9"/>
      <c r="B2925" s="16"/>
      <c r="C2925" s="134" t="s">
        <v>1286</v>
      </c>
      <c r="D2925" s="134"/>
      <c r="E2925" s="129"/>
      <c r="F2925" s="129"/>
      <c r="G2925" s="129"/>
      <c r="H2925" s="104">
        <f>H2923</f>
        <v>27510</v>
      </c>
    </row>
    <row r="2926" spans="1:12" ht="11.25" customHeight="1" x14ac:dyDescent="0.2">
      <c r="A2926" s="9"/>
    </row>
    <row r="2927" spans="1:12" ht="11.25" customHeight="1" x14ac:dyDescent="0.2">
      <c r="A2927" s="9"/>
      <c r="B2927" s="8" t="s">
        <v>1904</v>
      </c>
      <c r="H2927" s="49" t="s">
        <v>1307</v>
      </c>
    </row>
    <row r="2928" spans="1:12" ht="11.25" customHeight="1" x14ac:dyDescent="0.2">
      <c r="A2928" s="9"/>
      <c r="B2928" s="186" t="s">
        <v>427</v>
      </c>
      <c r="C2928" s="187" t="s">
        <v>428</v>
      </c>
      <c r="D2928" s="187" t="s">
        <v>429</v>
      </c>
      <c r="E2928" s="188" t="s">
        <v>430</v>
      </c>
      <c r="F2928" s="188" t="s">
        <v>431</v>
      </c>
      <c r="G2928" s="94" t="s">
        <v>1907</v>
      </c>
      <c r="H2928" s="151"/>
    </row>
    <row r="2929" spans="1:12" ht="11.25" customHeight="1" x14ac:dyDescent="0.2">
      <c r="A2929" s="9"/>
      <c r="B2929" s="186"/>
      <c r="C2929" s="187"/>
      <c r="D2929" s="187"/>
      <c r="E2929" s="188"/>
      <c r="F2929" s="188"/>
      <c r="G2929" s="17" t="s">
        <v>436</v>
      </c>
      <c r="H2929" s="17" t="s">
        <v>437</v>
      </c>
    </row>
    <row r="2930" spans="1:12" ht="11.25" customHeight="1" x14ac:dyDescent="0.2">
      <c r="A2930" s="9"/>
      <c r="B2930" s="76" t="s">
        <v>1906</v>
      </c>
      <c r="C2930" s="154" t="s">
        <v>1905</v>
      </c>
      <c r="D2930" s="114" t="s">
        <v>1907</v>
      </c>
      <c r="E2930" s="77" t="s">
        <v>223</v>
      </c>
      <c r="F2930" s="91">
        <v>60000000</v>
      </c>
      <c r="G2930" s="19">
        <v>3930</v>
      </c>
      <c r="H2930" s="20">
        <f t="shared" ref="H2930" si="75">TRUNC($F2930*G2930*0.0000001,1)</f>
        <v>23580</v>
      </c>
    </row>
    <row r="2931" spans="1:12" ht="11.25" customHeight="1" x14ac:dyDescent="0.2">
      <c r="A2931" s="9"/>
      <c r="B2931" s="29"/>
      <c r="C2931" s="121" t="s">
        <v>1289</v>
      </c>
      <c r="D2931" s="121"/>
      <c r="E2931" s="31"/>
      <c r="F2931" s="31"/>
      <c r="G2931" s="31"/>
      <c r="H2931" s="79">
        <f>TRUNC(SUM(H2930))</f>
        <v>23580</v>
      </c>
    </row>
    <row r="2932" spans="1:12" ht="11.25" customHeight="1" x14ac:dyDescent="0.2">
      <c r="A2932" s="9"/>
      <c r="C2932" s="107"/>
      <c r="D2932" s="109"/>
      <c r="E2932" s="34"/>
      <c r="F2932" s="33"/>
      <c r="G2932" s="33"/>
      <c r="H2932" s="24"/>
      <c r="I2932" s="40"/>
      <c r="J2932" s="54"/>
      <c r="K2932" s="40"/>
      <c r="L2932" s="54"/>
    </row>
    <row r="2933" spans="1:12" ht="11.25" customHeight="1" x14ac:dyDescent="0.2">
      <c r="A2933" s="9"/>
      <c r="B2933" s="16"/>
      <c r="C2933" s="134" t="s">
        <v>1286</v>
      </c>
      <c r="D2933" s="134"/>
      <c r="E2933" s="129"/>
      <c r="F2933" s="129"/>
      <c r="G2933" s="129"/>
      <c r="H2933" s="104">
        <f>H2931</f>
        <v>23580</v>
      </c>
    </row>
    <row r="2934" spans="1:12" ht="11.25" customHeight="1" x14ac:dyDescent="0.2">
      <c r="A2934" s="9"/>
    </row>
    <row r="2935" spans="1:12" ht="11.25" customHeight="1" x14ac:dyDescent="0.2">
      <c r="A2935" s="9"/>
      <c r="B2935" s="8" t="s">
        <v>1919</v>
      </c>
      <c r="H2935" s="49" t="s">
        <v>1307</v>
      </c>
    </row>
    <row r="2936" spans="1:12" ht="11.25" customHeight="1" x14ac:dyDescent="0.2">
      <c r="A2936" s="9"/>
      <c r="B2936" s="186" t="s">
        <v>427</v>
      </c>
      <c r="C2936" s="187" t="s">
        <v>428</v>
      </c>
      <c r="D2936" s="187" t="s">
        <v>429</v>
      </c>
      <c r="E2936" s="188" t="s">
        <v>430</v>
      </c>
      <c r="F2936" s="188" t="s">
        <v>431</v>
      </c>
      <c r="G2936" s="94" t="s">
        <v>1921</v>
      </c>
      <c r="H2936" s="151"/>
    </row>
    <row r="2937" spans="1:12" ht="11.25" customHeight="1" x14ac:dyDescent="0.2">
      <c r="A2937" s="9"/>
      <c r="B2937" s="186"/>
      <c r="C2937" s="187"/>
      <c r="D2937" s="187"/>
      <c r="E2937" s="188"/>
      <c r="F2937" s="188"/>
      <c r="G2937" s="17" t="s">
        <v>436</v>
      </c>
      <c r="H2937" s="17" t="s">
        <v>437</v>
      </c>
    </row>
    <row r="2938" spans="1:12" ht="11.25" customHeight="1" x14ac:dyDescent="0.2">
      <c r="A2938" s="9"/>
      <c r="B2938" s="76" t="s">
        <v>1920</v>
      </c>
      <c r="C2938" s="154" t="s">
        <v>1922</v>
      </c>
      <c r="D2938" s="114" t="s">
        <v>1921</v>
      </c>
      <c r="E2938" s="77" t="s">
        <v>223</v>
      </c>
      <c r="F2938" s="91">
        <v>75000000</v>
      </c>
      <c r="G2938" s="19">
        <v>3930</v>
      </c>
      <c r="H2938" s="20">
        <f t="shared" ref="H2938" si="76">TRUNC($F2938*G2938*0.0000001,1)</f>
        <v>29475</v>
      </c>
    </row>
    <row r="2939" spans="1:12" ht="11.25" customHeight="1" x14ac:dyDescent="0.2">
      <c r="A2939" s="9"/>
      <c r="B2939" s="29"/>
      <c r="C2939" s="121" t="s">
        <v>1289</v>
      </c>
      <c r="D2939" s="121"/>
      <c r="E2939" s="31"/>
      <c r="F2939" s="31"/>
      <c r="G2939" s="31"/>
      <c r="H2939" s="79">
        <f>TRUNC(SUM(H2938))</f>
        <v>29475</v>
      </c>
    </row>
    <row r="2940" spans="1:12" ht="11.25" customHeight="1" x14ac:dyDescent="0.2">
      <c r="A2940" s="9"/>
      <c r="C2940" s="107"/>
      <c r="D2940" s="109"/>
      <c r="E2940" s="34"/>
      <c r="F2940" s="33"/>
      <c r="G2940" s="33"/>
      <c r="H2940" s="24"/>
      <c r="I2940" s="40"/>
      <c r="J2940" s="54"/>
      <c r="K2940" s="40"/>
      <c r="L2940" s="54"/>
    </row>
    <row r="2941" spans="1:12" ht="11.25" customHeight="1" x14ac:dyDescent="0.2">
      <c r="A2941" s="9"/>
      <c r="B2941" s="16"/>
      <c r="C2941" s="134" t="s">
        <v>1286</v>
      </c>
      <c r="D2941" s="134"/>
      <c r="E2941" s="129"/>
      <c r="F2941" s="129"/>
      <c r="G2941" s="129"/>
      <c r="H2941" s="104">
        <f>H2939</f>
        <v>29475</v>
      </c>
    </row>
    <row r="2942" spans="1:12" ht="11.25" customHeight="1" x14ac:dyDescent="0.2">
      <c r="A2942" s="9"/>
    </row>
    <row r="2943" spans="1:12" ht="11.25" customHeight="1" x14ac:dyDescent="0.2">
      <c r="A2943" s="9"/>
      <c r="B2943" s="8" t="s">
        <v>1923</v>
      </c>
      <c r="H2943" s="49" t="s">
        <v>1307</v>
      </c>
    </row>
    <row r="2944" spans="1:12" ht="11.25" customHeight="1" x14ac:dyDescent="0.2">
      <c r="A2944" s="9"/>
      <c r="B2944" s="186" t="s">
        <v>427</v>
      </c>
      <c r="C2944" s="187" t="s">
        <v>428</v>
      </c>
      <c r="D2944" s="187" t="s">
        <v>429</v>
      </c>
      <c r="E2944" s="188" t="s">
        <v>430</v>
      </c>
      <c r="F2944" s="188" t="s">
        <v>431</v>
      </c>
      <c r="G2944" s="94" t="s">
        <v>1925</v>
      </c>
      <c r="H2944" s="151"/>
    </row>
    <row r="2945" spans="1:12" ht="11.25" customHeight="1" x14ac:dyDescent="0.2">
      <c r="A2945" s="9"/>
      <c r="B2945" s="186"/>
      <c r="C2945" s="187"/>
      <c r="D2945" s="187"/>
      <c r="E2945" s="188"/>
      <c r="F2945" s="188"/>
      <c r="G2945" s="17" t="s">
        <v>436</v>
      </c>
      <c r="H2945" s="17" t="s">
        <v>437</v>
      </c>
    </row>
    <row r="2946" spans="1:12" ht="11.25" customHeight="1" x14ac:dyDescent="0.2">
      <c r="A2946" s="9"/>
      <c r="B2946" s="76" t="s">
        <v>1926</v>
      </c>
      <c r="C2946" s="154" t="s">
        <v>1925</v>
      </c>
      <c r="D2946" s="114" t="s">
        <v>1924</v>
      </c>
      <c r="E2946" s="77" t="s">
        <v>223</v>
      </c>
      <c r="F2946" s="91">
        <v>20000000</v>
      </c>
      <c r="G2946" s="19">
        <v>3930</v>
      </c>
      <c r="H2946" s="20">
        <f t="shared" ref="H2946" si="77">TRUNC($F2946*G2946*0.0000001,1)</f>
        <v>7860</v>
      </c>
    </row>
    <row r="2947" spans="1:12" ht="11.25" customHeight="1" x14ac:dyDescent="0.2">
      <c r="A2947" s="9"/>
      <c r="B2947" s="29"/>
      <c r="C2947" s="121" t="s">
        <v>1289</v>
      </c>
      <c r="D2947" s="121"/>
      <c r="E2947" s="31"/>
      <c r="F2947" s="31"/>
      <c r="G2947" s="31"/>
      <c r="H2947" s="79">
        <f>TRUNC(SUM(H2946))</f>
        <v>7860</v>
      </c>
    </row>
    <row r="2948" spans="1:12" ht="11.25" customHeight="1" x14ac:dyDescent="0.2">
      <c r="A2948" s="9"/>
      <c r="C2948" s="107"/>
      <c r="D2948" s="109"/>
      <c r="E2948" s="34"/>
      <c r="F2948" s="33"/>
      <c r="G2948" s="33"/>
      <c r="H2948" s="24"/>
      <c r="I2948" s="40"/>
      <c r="J2948" s="54"/>
      <c r="K2948" s="40"/>
      <c r="L2948" s="54"/>
    </row>
    <row r="2949" spans="1:12" ht="11.25" customHeight="1" x14ac:dyDescent="0.2">
      <c r="A2949" s="9"/>
      <c r="B2949" s="16"/>
      <c r="C2949" s="134" t="s">
        <v>1286</v>
      </c>
      <c r="D2949" s="134"/>
      <c r="E2949" s="129"/>
      <c r="F2949" s="129"/>
      <c r="G2949" s="129"/>
      <c r="H2949" s="104">
        <f>H2947</f>
        <v>7860</v>
      </c>
    </row>
    <row r="2950" spans="1:12" ht="11.25" customHeight="1" x14ac:dyDescent="0.2">
      <c r="A2950" s="9"/>
    </row>
    <row r="2951" spans="1:12" ht="11.25" customHeight="1" x14ac:dyDescent="0.2">
      <c r="A2951" s="9"/>
      <c r="B2951" s="68" t="s">
        <v>1786</v>
      </c>
      <c r="C2951" s="119"/>
    </row>
    <row r="2952" spans="1:12" ht="11.25" customHeight="1" x14ac:dyDescent="0.2">
      <c r="A2952" s="9"/>
      <c r="B2952" s="68" t="s">
        <v>1787</v>
      </c>
      <c r="C2952" s="119"/>
      <c r="L2952" s="49" t="s">
        <v>1307</v>
      </c>
    </row>
    <row r="2953" spans="1:12" ht="11.25" customHeight="1" x14ac:dyDescent="0.2">
      <c r="A2953" s="9"/>
      <c r="B2953" s="186" t="s">
        <v>427</v>
      </c>
      <c r="C2953" s="187" t="s">
        <v>428</v>
      </c>
      <c r="D2953" s="187" t="s">
        <v>429</v>
      </c>
      <c r="E2953" s="188" t="s">
        <v>430</v>
      </c>
      <c r="F2953" s="188" t="s">
        <v>431</v>
      </c>
      <c r="G2953" s="94" t="s">
        <v>1788</v>
      </c>
      <c r="H2953" s="151"/>
      <c r="I2953" s="94" t="s">
        <v>1789</v>
      </c>
      <c r="J2953" s="151"/>
      <c r="K2953" s="94" t="s">
        <v>88</v>
      </c>
      <c r="L2953" s="151"/>
    </row>
    <row r="2954" spans="1:12" ht="11.25" customHeight="1" x14ac:dyDescent="0.2">
      <c r="A2954" s="9"/>
      <c r="B2954" s="186"/>
      <c r="C2954" s="187"/>
      <c r="D2954" s="187"/>
      <c r="E2954" s="188"/>
      <c r="F2954" s="188"/>
      <c r="G2954" s="17" t="s">
        <v>436</v>
      </c>
      <c r="H2954" s="17" t="s">
        <v>437</v>
      </c>
      <c r="I2954" s="17" t="s">
        <v>436</v>
      </c>
      <c r="J2954" s="17" t="s">
        <v>437</v>
      </c>
      <c r="K2954" s="17" t="s">
        <v>436</v>
      </c>
      <c r="L2954" s="17" t="s">
        <v>437</v>
      </c>
    </row>
    <row r="2955" spans="1:12" ht="11.25" customHeight="1" x14ac:dyDescent="0.2">
      <c r="A2955" s="9"/>
      <c r="C2955" s="4" t="s">
        <v>426</v>
      </c>
      <c r="D2955" s="4"/>
      <c r="E2955" s="13" t="s">
        <v>494</v>
      </c>
      <c r="F2955" s="25">
        <v>1505.45</v>
      </c>
      <c r="G2955" s="26">
        <v>50.1</v>
      </c>
      <c r="H2955" s="20">
        <f>TRUNC(($F2955*G2955),1)</f>
        <v>75423</v>
      </c>
      <c r="I2955" s="26">
        <v>101.9</v>
      </c>
      <c r="J2955" s="20">
        <f>TRUNC(($F2955*I2955),1)</f>
        <v>153405.29999999999</v>
      </c>
      <c r="K2955" s="26">
        <v>163.1</v>
      </c>
      <c r="L2955" s="20">
        <f>TRUNC(($F2955*K2955),1)</f>
        <v>245538.8</v>
      </c>
    </row>
    <row r="2956" spans="1:12" ht="11.25" customHeight="1" x14ac:dyDescent="0.2">
      <c r="A2956" s="9"/>
      <c r="C2956" s="4" t="s">
        <v>495</v>
      </c>
      <c r="D2956" s="4" t="s">
        <v>203</v>
      </c>
      <c r="E2956" s="13" t="s">
        <v>232</v>
      </c>
      <c r="F2956" s="18"/>
      <c r="G2956" s="21">
        <v>36</v>
      </c>
      <c r="H2956" s="20">
        <f>TRUNC(H2955*G2956*0.01,1)</f>
        <v>27152.2</v>
      </c>
      <c r="I2956" s="21">
        <v>27</v>
      </c>
      <c r="J2956" s="20">
        <f>TRUNC(J2955*I2956*0.01,1)</f>
        <v>41419.4</v>
      </c>
      <c r="K2956" s="21">
        <v>27</v>
      </c>
      <c r="L2956" s="20">
        <f>TRUNC(L2955*K2956*0.01,1)</f>
        <v>66295.399999999994</v>
      </c>
    </row>
    <row r="2957" spans="1:12" ht="11.25" customHeight="1" x14ac:dyDescent="0.2">
      <c r="A2957" s="9"/>
      <c r="C2957" s="107" t="s">
        <v>799</v>
      </c>
      <c r="D2957" s="107"/>
      <c r="E2957" s="23"/>
      <c r="F2957" s="22"/>
      <c r="G2957" s="22"/>
      <c r="H2957" s="24">
        <f>TRUNC(SUM(H2955:H2956))</f>
        <v>102575</v>
      </c>
      <c r="I2957" s="22"/>
      <c r="J2957" s="24">
        <f>TRUNC(SUM(J2955:J2956))</f>
        <v>194824</v>
      </c>
      <c r="K2957" s="22"/>
      <c r="L2957" s="24">
        <f>TRUNC(SUM(L2955:L2956))</f>
        <v>311834</v>
      </c>
    </row>
    <row r="2958" spans="1:12" ht="11.25" customHeight="1" x14ac:dyDescent="0.2">
      <c r="A2958" s="9"/>
      <c r="C2958" s="4"/>
      <c r="D2958" s="4"/>
      <c r="E2958" s="13"/>
      <c r="F2958" s="18"/>
      <c r="G2958" s="18"/>
      <c r="H2958" s="18"/>
      <c r="I2958" s="18"/>
      <c r="J2958" s="18"/>
      <c r="K2958" s="18"/>
      <c r="L2958" s="18"/>
    </row>
    <row r="2959" spans="1:12" ht="11.25" customHeight="1" x14ac:dyDescent="0.2">
      <c r="A2959" s="9"/>
      <c r="C2959" s="4" t="s">
        <v>496</v>
      </c>
      <c r="D2959" s="4" t="s">
        <v>866</v>
      </c>
      <c r="E2959" s="13" t="s">
        <v>497</v>
      </c>
      <c r="F2959" s="28">
        <v>244461</v>
      </c>
      <c r="G2959" s="173">
        <v>0.20799999999999999</v>
      </c>
      <c r="H2959" s="20">
        <f>TRUNC(($F2959*G2959),1)</f>
        <v>50847.8</v>
      </c>
      <c r="I2959" s="173">
        <v>0.20799999999999999</v>
      </c>
      <c r="J2959" s="20">
        <f>TRUNC(($F2959*I2959),1)</f>
        <v>50847.8</v>
      </c>
      <c r="K2959" s="173">
        <v>0.20799999999999999</v>
      </c>
      <c r="L2959" s="20">
        <f t="shared" ref="L2959:L2962" si="78">TRUNC(($F2959*K2959),1)</f>
        <v>50847.8</v>
      </c>
    </row>
    <row r="2960" spans="1:12" ht="11.25" customHeight="1" x14ac:dyDescent="0.2">
      <c r="A2960" s="9"/>
      <c r="C2960" s="4" t="s">
        <v>498</v>
      </c>
      <c r="D2960" s="4" t="s">
        <v>867</v>
      </c>
      <c r="E2960" s="13" t="s">
        <v>497</v>
      </c>
      <c r="F2960" s="28">
        <v>215132</v>
      </c>
      <c r="G2960" s="173">
        <v>0.41599999999999998</v>
      </c>
      <c r="H2960" s="20">
        <f>TRUNC(($F2960*G2960),1)</f>
        <v>89494.9</v>
      </c>
      <c r="I2960" s="173">
        <v>0.41599999999999998</v>
      </c>
      <c r="J2960" s="20">
        <f>TRUNC(($F2960*I2960),1)</f>
        <v>89494.9</v>
      </c>
      <c r="K2960" s="173">
        <v>0.41599999999999998</v>
      </c>
      <c r="L2960" s="20">
        <f t="shared" si="78"/>
        <v>89494.9</v>
      </c>
    </row>
    <row r="2961" spans="1:12" ht="11.25" customHeight="1" x14ac:dyDescent="0.2">
      <c r="A2961" s="9"/>
      <c r="C2961" s="4" t="s">
        <v>499</v>
      </c>
      <c r="D2961" s="4" t="s">
        <v>867</v>
      </c>
      <c r="E2961" s="13" t="s">
        <v>497</v>
      </c>
      <c r="F2961" s="28">
        <v>209409</v>
      </c>
      <c r="G2961" s="173">
        <v>0.41599999999999998</v>
      </c>
      <c r="H2961" s="20">
        <f>TRUNC(($F2961*G2961),1)</f>
        <v>87114.1</v>
      </c>
      <c r="I2961" s="173">
        <v>0.41599999999999998</v>
      </c>
      <c r="J2961" s="20">
        <f>TRUNC(($F2961*I2961),1)</f>
        <v>87114.1</v>
      </c>
      <c r="K2961" s="173">
        <v>0.41599999999999998</v>
      </c>
      <c r="L2961" s="20">
        <f t="shared" si="78"/>
        <v>87114.1</v>
      </c>
    </row>
    <row r="2962" spans="1:12" ht="11.25" customHeight="1" x14ac:dyDescent="0.2">
      <c r="A2962" s="9"/>
      <c r="C2962" s="4" t="s">
        <v>59</v>
      </c>
      <c r="D2962" s="4" t="s">
        <v>865</v>
      </c>
      <c r="E2962" s="13" t="s">
        <v>497</v>
      </c>
      <c r="F2962" s="28">
        <v>208490</v>
      </c>
      <c r="G2962" s="173">
        <v>0.625</v>
      </c>
      <c r="H2962" s="20">
        <f>TRUNC(($F2962*G2962),1)</f>
        <v>130306.2</v>
      </c>
      <c r="I2962" s="173">
        <v>0.625</v>
      </c>
      <c r="J2962" s="20">
        <f>TRUNC(($F2962*I2962),1)</f>
        <v>130306.2</v>
      </c>
      <c r="K2962" s="173">
        <v>0.83299999999999996</v>
      </c>
      <c r="L2962" s="20">
        <f t="shared" si="78"/>
        <v>173672.1</v>
      </c>
    </row>
    <row r="2963" spans="1:12" ht="11.25" customHeight="1" x14ac:dyDescent="0.2">
      <c r="A2963" s="9"/>
      <c r="C2963" s="107" t="s">
        <v>1285</v>
      </c>
      <c r="D2963" s="107"/>
      <c r="E2963" s="23"/>
      <c r="F2963" s="22"/>
      <c r="G2963" s="22"/>
      <c r="H2963" s="24">
        <f>TRUNC(SUM(H2959:H2962))</f>
        <v>357763</v>
      </c>
      <c r="I2963" s="22"/>
      <c r="J2963" s="24">
        <f>TRUNC(SUM(J2959:J2962))</f>
        <v>357763</v>
      </c>
      <c r="K2963" s="22"/>
      <c r="L2963" s="24">
        <f>TRUNC(SUM(L2959:L2962))</f>
        <v>401128</v>
      </c>
    </row>
    <row r="2964" spans="1:12" ht="11.25" customHeight="1" x14ac:dyDescent="0.2">
      <c r="A2964" s="9"/>
      <c r="C2964" s="4"/>
      <c r="D2964" s="4"/>
      <c r="E2964" s="13"/>
      <c r="F2964" s="18"/>
      <c r="G2964" s="18"/>
      <c r="H2964" s="18"/>
      <c r="I2964" s="18"/>
      <c r="J2964" s="18"/>
      <c r="K2964" s="18"/>
      <c r="L2964" s="18"/>
    </row>
    <row r="2965" spans="1:12" ht="11.25" customHeight="1" x14ac:dyDescent="0.2">
      <c r="A2965" s="9"/>
      <c r="B2965" s="8" t="s">
        <v>229</v>
      </c>
      <c r="C2965" s="4" t="s">
        <v>24</v>
      </c>
      <c r="D2965" s="106" t="s">
        <v>201</v>
      </c>
      <c r="E2965" s="47" t="s">
        <v>746</v>
      </c>
      <c r="F2965" s="66">
        <v>729965000</v>
      </c>
      <c r="G2965" s="19">
        <v>749</v>
      </c>
      <c r="H2965" s="20">
        <f>TRUNC($F2965*G2965*0.0000001,1)</f>
        <v>54674.3</v>
      </c>
      <c r="I2965" s="21">
        <v>0</v>
      </c>
      <c r="J2965" s="20">
        <f>TRUNC($F2965*I2965*0.0000001,1)</f>
        <v>0</v>
      </c>
      <c r="K2965" s="21">
        <v>0</v>
      </c>
      <c r="L2965" s="20">
        <f>TRUNC($F2965*K2965*0.0000001,1)</f>
        <v>0</v>
      </c>
    </row>
    <row r="2966" spans="1:12" ht="11.25" customHeight="1" x14ac:dyDescent="0.2">
      <c r="A2966" s="9"/>
      <c r="B2966" s="8" t="s">
        <v>230</v>
      </c>
      <c r="C2966" s="4" t="s">
        <v>24</v>
      </c>
      <c r="D2966" s="106" t="s">
        <v>202</v>
      </c>
      <c r="E2966" s="47" t="s">
        <v>746</v>
      </c>
      <c r="F2966" s="66">
        <v>1389207000</v>
      </c>
      <c r="G2966" s="21">
        <v>0</v>
      </c>
      <c r="H2966" s="20">
        <f>TRUNC($F2966*G2966*0.0000001,1)</f>
        <v>0</v>
      </c>
      <c r="I2966" s="19">
        <v>749</v>
      </c>
      <c r="J2966" s="20">
        <f>TRUNC($F2966*I2966*0.0000001,1)</f>
        <v>104051.6</v>
      </c>
      <c r="K2966" s="21">
        <v>0</v>
      </c>
      <c r="L2966" s="20">
        <f>TRUNC($F2966*K2966*0.0000001,1)</f>
        <v>0</v>
      </c>
    </row>
    <row r="2967" spans="1:12" ht="11.25" customHeight="1" x14ac:dyDescent="0.2">
      <c r="A2967" s="9"/>
      <c r="B2967" s="8" t="s">
        <v>231</v>
      </c>
      <c r="C2967" s="4" t="s">
        <v>24</v>
      </c>
      <c r="D2967" s="106" t="s">
        <v>674</v>
      </c>
      <c r="E2967" s="47" t="s">
        <v>746</v>
      </c>
      <c r="F2967" s="66">
        <v>2244831000</v>
      </c>
      <c r="G2967" s="21">
        <v>0</v>
      </c>
      <c r="H2967" s="20">
        <f>TRUNC($F2967*G2967*0.0000001,1)</f>
        <v>0</v>
      </c>
      <c r="I2967" s="21">
        <v>0</v>
      </c>
      <c r="J2967" s="20">
        <f>TRUNC($F2967*I2967*0.0000001,1)</f>
        <v>0</v>
      </c>
      <c r="K2967" s="19">
        <v>749</v>
      </c>
      <c r="L2967" s="20">
        <f>TRUNC($F2967*K2967*0.0000001,1)</f>
        <v>168137.8</v>
      </c>
    </row>
    <row r="2968" spans="1:12" ht="11.25" customHeight="1" x14ac:dyDescent="0.2">
      <c r="A2968" s="9"/>
      <c r="C2968" s="107" t="s">
        <v>1289</v>
      </c>
      <c r="D2968" s="107"/>
      <c r="E2968" s="23"/>
      <c r="F2968" s="22"/>
      <c r="G2968" s="22"/>
      <c r="H2968" s="24">
        <f>TRUNC(SUM(H2965:H2967))</f>
        <v>54674</v>
      </c>
      <c r="I2968" s="22"/>
      <c r="J2968" s="24">
        <f>TRUNC(SUM(J2965:J2967))</f>
        <v>104051</v>
      </c>
      <c r="K2968" s="22"/>
      <c r="L2968" s="24">
        <f>TRUNC(SUM(L2965:L2967))</f>
        <v>168137</v>
      </c>
    </row>
    <row r="2969" spans="1:12" ht="11.25" customHeight="1" x14ac:dyDescent="0.2">
      <c r="A2969" s="9"/>
      <c r="C2969" s="4"/>
      <c r="D2969" s="4"/>
      <c r="E2969" s="13"/>
      <c r="F2969" s="18"/>
      <c r="G2969" s="18"/>
      <c r="H2969" s="18"/>
      <c r="I2969" s="18"/>
      <c r="J2969" s="18"/>
      <c r="K2969" s="18"/>
      <c r="L2969" s="18"/>
    </row>
    <row r="2970" spans="1:12" ht="11.25" customHeight="1" x14ac:dyDescent="0.2">
      <c r="A2970" s="9"/>
      <c r="C2970" s="126" t="s">
        <v>1286</v>
      </c>
      <c r="D2970" s="126"/>
      <c r="E2970" s="127"/>
      <c r="F2970" s="125"/>
      <c r="G2970" s="125"/>
      <c r="H2970" s="128">
        <f>TRUNC(H2968+H2957+H2963)</f>
        <v>515012</v>
      </c>
      <c r="I2970" s="125"/>
      <c r="J2970" s="128">
        <f>TRUNC(J2968+J2957+J2963)</f>
        <v>656638</v>
      </c>
      <c r="K2970" s="125"/>
      <c r="L2970" s="128">
        <f>TRUNC(L2968+L2957+L2963)</f>
        <v>881099</v>
      </c>
    </row>
    <row r="2971" spans="1:12" ht="11.25" customHeight="1" x14ac:dyDescent="0.2">
      <c r="A2971" s="9"/>
      <c r="B2971" s="186" t="s">
        <v>427</v>
      </c>
      <c r="C2971" s="187" t="s">
        <v>428</v>
      </c>
      <c r="D2971" s="187" t="s">
        <v>429</v>
      </c>
      <c r="E2971" s="188" t="s">
        <v>430</v>
      </c>
      <c r="F2971" s="188" t="s">
        <v>431</v>
      </c>
      <c r="G2971" s="94" t="s">
        <v>89</v>
      </c>
      <c r="H2971" s="151"/>
      <c r="I2971" s="94" t="s">
        <v>1790</v>
      </c>
      <c r="J2971" s="151"/>
      <c r="K2971" s="94" t="s">
        <v>1791</v>
      </c>
      <c r="L2971" s="151"/>
    </row>
    <row r="2972" spans="1:12" ht="11.25" customHeight="1" x14ac:dyDescent="0.2">
      <c r="A2972" s="9"/>
      <c r="B2972" s="186"/>
      <c r="C2972" s="187"/>
      <c r="D2972" s="187"/>
      <c r="E2972" s="188"/>
      <c r="F2972" s="188"/>
      <c r="G2972" s="17" t="s">
        <v>436</v>
      </c>
      <c r="H2972" s="17" t="s">
        <v>437</v>
      </c>
      <c r="I2972" s="17" t="s">
        <v>436</v>
      </c>
      <c r="J2972" s="17" t="s">
        <v>437</v>
      </c>
      <c r="K2972" s="17" t="s">
        <v>436</v>
      </c>
      <c r="L2972" s="17" t="s">
        <v>437</v>
      </c>
    </row>
    <row r="2973" spans="1:12" ht="11.25" customHeight="1" x14ac:dyDescent="0.2">
      <c r="A2973" s="9"/>
      <c r="C2973" s="4" t="s">
        <v>426</v>
      </c>
      <c r="D2973" s="4"/>
      <c r="E2973" s="13" t="s">
        <v>494</v>
      </c>
      <c r="F2973" s="25">
        <v>1505.45</v>
      </c>
      <c r="G2973" s="26">
        <v>222.8</v>
      </c>
      <c r="H2973" s="20">
        <f>TRUNC(($F2973*G2973),1)</f>
        <v>335414.2</v>
      </c>
      <c r="I2973" s="26">
        <v>370</v>
      </c>
      <c r="J2973" s="20">
        <f>TRUNC(($F2973*I2973),1)</f>
        <v>557016.5</v>
      </c>
      <c r="K2973" s="26">
        <v>409</v>
      </c>
      <c r="L2973" s="20">
        <f>TRUNC(($F2973*K2973),1)</f>
        <v>615729</v>
      </c>
    </row>
    <row r="2974" spans="1:12" ht="11.25" customHeight="1" x14ac:dyDescent="0.2">
      <c r="A2974" s="9"/>
      <c r="C2974" s="4" t="s">
        <v>495</v>
      </c>
      <c r="D2974" s="4" t="s">
        <v>203</v>
      </c>
      <c r="E2974" s="13" t="s">
        <v>232</v>
      </c>
      <c r="F2974" s="18"/>
      <c r="G2974" s="21">
        <v>27</v>
      </c>
      <c r="H2974" s="20">
        <f>TRUNC(H2973*G2974*0.01,1)</f>
        <v>90561.8</v>
      </c>
      <c r="I2974" s="21">
        <v>23</v>
      </c>
      <c r="J2974" s="20">
        <f>TRUNC(J2973*I2974*0.01,1)</f>
        <v>128113.7</v>
      </c>
      <c r="K2974" s="21">
        <v>23</v>
      </c>
      <c r="L2974" s="20">
        <f>TRUNC(L2973*K2974*0.01,1)</f>
        <v>141617.60000000001</v>
      </c>
    </row>
    <row r="2975" spans="1:12" ht="11.25" customHeight="1" x14ac:dyDescent="0.2">
      <c r="A2975" s="9"/>
      <c r="C2975" s="107" t="s">
        <v>799</v>
      </c>
      <c r="D2975" s="107"/>
      <c r="E2975" s="23"/>
      <c r="F2975" s="22"/>
      <c r="G2975" s="22"/>
      <c r="H2975" s="24">
        <f>TRUNC(SUM(H2973:H2974))</f>
        <v>425976</v>
      </c>
      <c r="I2975" s="22"/>
      <c r="J2975" s="24">
        <f>TRUNC(SUM(J2973:J2974))</f>
        <v>685130</v>
      </c>
      <c r="K2975" s="22"/>
      <c r="L2975" s="24">
        <f>TRUNC(SUM(L2973:L2974))</f>
        <v>757346</v>
      </c>
    </row>
    <row r="2976" spans="1:12" ht="11.25" customHeight="1" x14ac:dyDescent="0.2">
      <c r="A2976" s="9"/>
      <c r="C2976" s="4"/>
      <c r="D2976" s="4"/>
      <c r="E2976" s="13"/>
      <c r="F2976" s="18"/>
      <c r="G2976" s="18"/>
      <c r="H2976" s="18"/>
      <c r="I2976" s="18"/>
      <c r="J2976" s="18"/>
      <c r="K2976" s="18"/>
      <c r="L2976" s="18"/>
    </row>
    <row r="2977" spans="1:12" ht="11.25" customHeight="1" x14ac:dyDescent="0.2">
      <c r="A2977" s="9"/>
      <c r="C2977" s="4" t="s">
        <v>496</v>
      </c>
      <c r="D2977" s="4" t="s">
        <v>866</v>
      </c>
      <c r="E2977" s="13" t="s">
        <v>497</v>
      </c>
      <c r="F2977" s="28">
        <v>244461</v>
      </c>
      <c r="G2977" s="173">
        <v>0.20799999999999999</v>
      </c>
      <c r="H2977" s="20">
        <f t="shared" ref="H2977:H2980" si="79">TRUNC(($F2977*G2977),1)</f>
        <v>50847.8</v>
      </c>
      <c r="I2977" s="173">
        <v>0.20799999999999999</v>
      </c>
      <c r="J2977" s="20">
        <f>TRUNC(($F2977*I2977),1)</f>
        <v>50847.8</v>
      </c>
      <c r="K2977" s="173">
        <v>0.20799999999999999</v>
      </c>
      <c r="L2977" s="20">
        <f t="shared" ref="L2977:L2980" si="80">TRUNC(($F2977*K2977),1)</f>
        <v>50847.8</v>
      </c>
    </row>
    <row r="2978" spans="1:12" ht="11.25" customHeight="1" x14ac:dyDescent="0.2">
      <c r="A2978" s="9"/>
      <c r="C2978" s="4" t="s">
        <v>498</v>
      </c>
      <c r="D2978" s="4" t="s">
        <v>861</v>
      </c>
      <c r="E2978" s="13" t="s">
        <v>497</v>
      </c>
      <c r="F2978" s="28">
        <v>215132</v>
      </c>
      <c r="G2978" s="173">
        <v>0.625</v>
      </c>
      <c r="H2978" s="20">
        <f t="shared" si="79"/>
        <v>134457.5</v>
      </c>
      <c r="I2978" s="173">
        <v>0.625</v>
      </c>
      <c r="J2978" s="20">
        <f>TRUNC(($F2978*I2978),1)</f>
        <v>134457.5</v>
      </c>
      <c r="K2978" s="173">
        <v>0.625</v>
      </c>
      <c r="L2978" s="20">
        <f t="shared" si="80"/>
        <v>134457.5</v>
      </c>
    </row>
    <row r="2979" spans="1:12" ht="11.25" customHeight="1" x14ac:dyDescent="0.2">
      <c r="A2979" s="9"/>
      <c r="C2979" s="4" t="s">
        <v>499</v>
      </c>
      <c r="D2979" s="4" t="s">
        <v>867</v>
      </c>
      <c r="E2979" s="13" t="s">
        <v>497</v>
      </c>
      <c r="F2979" s="28">
        <v>209409</v>
      </c>
      <c r="G2979" s="173">
        <v>0.41599999999999998</v>
      </c>
      <c r="H2979" s="20">
        <f t="shared" si="79"/>
        <v>87114.1</v>
      </c>
      <c r="I2979" s="173">
        <v>0.41599999999999998</v>
      </c>
      <c r="J2979" s="20">
        <f>TRUNC(($F2979*I2979),1)</f>
        <v>87114.1</v>
      </c>
      <c r="K2979" s="173">
        <v>0.41599999999999998</v>
      </c>
      <c r="L2979" s="20">
        <f t="shared" si="80"/>
        <v>87114.1</v>
      </c>
    </row>
    <row r="2980" spans="1:12" ht="11.25" customHeight="1" x14ac:dyDescent="0.2">
      <c r="A2980" s="9"/>
      <c r="C2980" s="4" t="s">
        <v>59</v>
      </c>
      <c r="D2980" s="4" t="s">
        <v>862</v>
      </c>
      <c r="E2980" s="13" t="s">
        <v>497</v>
      </c>
      <c r="F2980" s="28">
        <v>208490</v>
      </c>
      <c r="G2980" s="173">
        <v>0.83299999999999996</v>
      </c>
      <c r="H2980" s="20">
        <f t="shared" si="79"/>
        <v>173672.1</v>
      </c>
      <c r="I2980" s="173">
        <v>0.83299999999999996</v>
      </c>
      <c r="J2980" s="20">
        <f>TRUNC(($F2980*I2980),1)</f>
        <v>173672.1</v>
      </c>
      <c r="K2980" s="173">
        <v>0.83299999999999996</v>
      </c>
      <c r="L2980" s="20">
        <f t="shared" si="80"/>
        <v>173672.1</v>
      </c>
    </row>
    <row r="2981" spans="1:12" ht="11.25" customHeight="1" x14ac:dyDescent="0.2">
      <c r="A2981" s="9"/>
      <c r="C2981" s="107" t="s">
        <v>1285</v>
      </c>
      <c r="D2981" s="107"/>
      <c r="E2981" s="23"/>
      <c r="F2981" s="22"/>
      <c r="G2981" s="22"/>
      <c r="H2981" s="24">
        <f>TRUNC(SUM(H2977:H2980))</f>
        <v>446091</v>
      </c>
      <c r="I2981" s="174"/>
      <c r="J2981" s="24">
        <f>TRUNC(SUM(J2977:J2980))</f>
        <v>446091</v>
      </c>
      <c r="K2981" s="174"/>
      <c r="L2981" s="24">
        <f>TRUNC(SUM(L2977:L2980))</f>
        <v>446091</v>
      </c>
    </row>
    <row r="2982" spans="1:12" ht="11.25" customHeight="1" x14ac:dyDescent="0.2">
      <c r="A2982" s="9"/>
      <c r="C2982" s="4"/>
      <c r="D2982" s="4"/>
      <c r="E2982" s="13"/>
      <c r="F2982" s="18"/>
      <c r="G2982" s="18"/>
      <c r="H2982" s="18"/>
      <c r="I2982" s="18"/>
      <c r="J2982" s="18"/>
      <c r="K2982" s="18"/>
      <c r="L2982" s="18"/>
    </row>
    <row r="2983" spans="1:12" ht="11.25" customHeight="1" x14ac:dyDescent="0.2">
      <c r="A2983" s="9"/>
      <c r="B2983" s="8" t="s">
        <v>233</v>
      </c>
      <c r="C2983" s="4" t="s">
        <v>24</v>
      </c>
      <c r="D2983" s="106" t="s">
        <v>675</v>
      </c>
      <c r="E2983" s="13" t="s">
        <v>746</v>
      </c>
      <c r="F2983" s="66">
        <v>2693800000</v>
      </c>
      <c r="G2983" s="19">
        <v>749</v>
      </c>
      <c r="H2983" s="20">
        <f>TRUNC($F2983*G2983*0.0000001,1)</f>
        <v>201765.6</v>
      </c>
      <c r="I2983" s="21">
        <v>0</v>
      </c>
      <c r="J2983" s="20">
        <f>TRUNC($F2983*I2983*0.0000001,1)</f>
        <v>0</v>
      </c>
      <c r="K2983" s="21">
        <v>0</v>
      </c>
      <c r="L2983" s="20">
        <f>TRUNC($F2983*K2983*0.0000001,1)</f>
        <v>0</v>
      </c>
    </row>
    <row r="2984" spans="1:12" ht="11.25" customHeight="1" x14ac:dyDescent="0.2">
      <c r="A2984" s="9"/>
      <c r="B2984" s="8" t="s">
        <v>234</v>
      </c>
      <c r="C2984" s="4" t="s">
        <v>24</v>
      </c>
      <c r="D2984" s="106" t="s">
        <v>204</v>
      </c>
      <c r="E2984" s="47" t="s">
        <v>746</v>
      </c>
      <c r="F2984" s="66">
        <v>4622275000</v>
      </c>
      <c r="G2984" s="21">
        <v>0</v>
      </c>
      <c r="H2984" s="20">
        <f>TRUNC($F2984*G2984*0.0000001,1)</f>
        <v>0</v>
      </c>
      <c r="I2984" s="19">
        <v>749</v>
      </c>
      <c r="J2984" s="20">
        <f>TRUNC($F2984*I2984*0.0000001,1)</f>
        <v>346208.3</v>
      </c>
      <c r="K2984" s="21">
        <v>0</v>
      </c>
      <c r="L2984" s="20">
        <f>TRUNC($F2984*K2984*0.0000001,1)</f>
        <v>0</v>
      </c>
    </row>
    <row r="2985" spans="1:12" ht="11.25" customHeight="1" x14ac:dyDescent="0.2">
      <c r="A2985" s="9"/>
      <c r="B2985" s="8" t="s">
        <v>235</v>
      </c>
      <c r="C2985" s="4" t="s">
        <v>24</v>
      </c>
      <c r="D2985" s="106" t="s">
        <v>205</v>
      </c>
      <c r="E2985" s="47" t="s">
        <v>746</v>
      </c>
      <c r="F2985" s="66">
        <v>5186166000</v>
      </c>
      <c r="G2985" s="21">
        <v>0</v>
      </c>
      <c r="H2985" s="20">
        <f>TRUNC($F2985*G2985*0.0000001,1)</f>
        <v>0</v>
      </c>
      <c r="I2985" s="21">
        <v>0</v>
      </c>
      <c r="J2985" s="20">
        <f>TRUNC($F2985*I2985*0.0000001,1)</f>
        <v>0</v>
      </c>
      <c r="K2985" s="19">
        <v>749</v>
      </c>
      <c r="L2985" s="20">
        <f>TRUNC($F2985*K2985*0.0000001,1)</f>
        <v>388443.8</v>
      </c>
    </row>
    <row r="2986" spans="1:12" ht="11.25" customHeight="1" x14ac:dyDescent="0.2">
      <c r="A2986" s="9"/>
      <c r="C2986" s="107" t="s">
        <v>1289</v>
      </c>
      <c r="D2986" s="107"/>
      <c r="E2986" s="23"/>
      <c r="F2986" s="22"/>
      <c r="G2986" s="22"/>
      <c r="H2986" s="24">
        <f>TRUNC(SUM(H2983:H2985))</f>
        <v>201765</v>
      </c>
      <c r="I2986" s="22"/>
      <c r="J2986" s="24">
        <f>TRUNC(SUM(J2983:J2985))</f>
        <v>346208</v>
      </c>
      <c r="K2986" s="22"/>
      <c r="L2986" s="24">
        <f>TRUNC(SUM(L2983:L2985))</f>
        <v>388443</v>
      </c>
    </row>
    <row r="2987" spans="1:12" ht="11.25" customHeight="1" x14ac:dyDescent="0.2">
      <c r="A2987" s="9"/>
      <c r="C2987" s="4"/>
      <c r="D2987" s="4"/>
      <c r="E2987" s="13"/>
      <c r="F2987" s="18"/>
      <c r="G2987" s="18"/>
      <c r="H2987" s="18"/>
      <c r="I2987" s="18"/>
      <c r="J2987" s="18"/>
      <c r="K2987" s="18"/>
      <c r="L2987" s="18"/>
    </row>
    <row r="2988" spans="1:12" ht="11.25" customHeight="1" x14ac:dyDescent="0.2">
      <c r="A2988" s="9"/>
      <c r="B2988" s="16"/>
      <c r="C2988" s="108" t="s">
        <v>1286</v>
      </c>
      <c r="D2988" s="108"/>
      <c r="E2988" s="103"/>
      <c r="F2988" s="102"/>
      <c r="G2988" s="102"/>
      <c r="H2988" s="104">
        <f>TRUNC(H2986+H2975+H2981)</f>
        <v>1073832</v>
      </c>
      <c r="I2988" s="102"/>
      <c r="J2988" s="104">
        <f>TRUNC(J2986+J2975+J2981)</f>
        <v>1477429</v>
      </c>
      <c r="K2988" s="102"/>
      <c r="L2988" s="104">
        <f>TRUNC(L2986+L2975+L2981)</f>
        <v>1591880</v>
      </c>
    </row>
    <row r="2989" spans="1:12" ht="11.25" customHeight="1" x14ac:dyDescent="0.2">
      <c r="A2989" s="9"/>
      <c r="B2989" s="186" t="s">
        <v>427</v>
      </c>
      <c r="C2989" s="187" t="s">
        <v>428</v>
      </c>
      <c r="D2989" s="187" t="s">
        <v>429</v>
      </c>
      <c r="E2989" s="188" t="s">
        <v>430</v>
      </c>
      <c r="F2989" s="188" t="s">
        <v>431</v>
      </c>
      <c r="G2989" s="94" t="s">
        <v>206</v>
      </c>
      <c r="H2989" s="151"/>
      <c r="I2989" s="94" t="s">
        <v>207</v>
      </c>
      <c r="J2989" s="151"/>
      <c r="K2989" s="94" t="s">
        <v>208</v>
      </c>
      <c r="L2989" s="151"/>
    </row>
    <row r="2990" spans="1:12" ht="11.25" customHeight="1" x14ac:dyDescent="0.2">
      <c r="A2990" s="9"/>
      <c r="B2990" s="186"/>
      <c r="C2990" s="187"/>
      <c r="D2990" s="187"/>
      <c r="E2990" s="188"/>
      <c r="F2990" s="188"/>
      <c r="G2990" s="17" t="s">
        <v>436</v>
      </c>
      <c r="H2990" s="17" t="s">
        <v>437</v>
      </c>
      <c r="I2990" s="17" t="s">
        <v>436</v>
      </c>
      <c r="J2990" s="17" t="s">
        <v>437</v>
      </c>
      <c r="K2990" s="17" t="s">
        <v>436</v>
      </c>
      <c r="L2990" s="17" t="s">
        <v>437</v>
      </c>
    </row>
    <row r="2991" spans="1:12" ht="11.25" customHeight="1" x14ac:dyDescent="0.2">
      <c r="A2991" s="9"/>
      <c r="C2991" s="4" t="s">
        <v>426</v>
      </c>
      <c r="D2991" s="4"/>
      <c r="E2991" s="13" t="s">
        <v>494</v>
      </c>
      <c r="F2991" s="25">
        <v>1505.45</v>
      </c>
      <c r="G2991" s="26">
        <v>560.20000000000005</v>
      </c>
      <c r="H2991" s="20">
        <f>TRUNC(($F2991*G2991),1)</f>
        <v>843353</v>
      </c>
      <c r="I2991" s="26">
        <v>649.4</v>
      </c>
      <c r="J2991" s="20">
        <f>TRUNC(($F2991*I2991),1)</f>
        <v>977639.2</v>
      </c>
      <c r="K2991" s="26">
        <v>753.8</v>
      </c>
      <c r="L2991" s="20">
        <f>TRUNC(($F2991*K2991),1)</f>
        <v>1134808.2</v>
      </c>
    </row>
    <row r="2992" spans="1:12" ht="11.25" customHeight="1" x14ac:dyDescent="0.2">
      <c r="A2992" s="9"/>
      <c r="C2992" s="4" t="s">
        <v>495</v>
      </c>
      <c r="D2992" s="4" t="s">
        <v>203</v>
      </c>
      <c r="E2992" s="13" t="s">
        <v>232</v>
      </c>
      <c r="F2992" s="18"/>
      <c r="G2992" s="21">
        <v>23</v>
      </c>
      <c r="H2992" s="20">
        <f>TRUNC(H2991*G2992*0.01,1)</f>
        <v>193971.1</v>
      </c>
      <c r="I2992" s="21">
        <v>23</v>
      </c>
      <c r="J2992" s="20">
        <f>TRUNC(J2991*I2992*0.01,1)</f>
        <v>224857</v>
      </c>
      <c r="K2992" s="21">
        <v>23</v>
      </c>
      <c r="L2992" s="20">
        <f>TRUNC(L2991*K2992*0.01,1)</f>
        <v>261005.8</v>
      </c>
    </row>
    <row r="2993" spans="1:14" ht="11.25" customHeight="1" x14ac:dyDescent="0.2">
      <c r="A2993" s="9"/>
      <c r="C2993" s="107" t="s">
        <v>799</v>
      </c>
      <c r="D2993" s="107"/>
      <c r="E2993" s="23"/>
      <c r="F2993" s="22"/>
      <c r="G2993" s="22"/>
      <c r="H2993" s="24">
        <f>TRUNC(SUM(H2991:H2992))</f>
        <v>1037324</v>
      </c>
      <c r="I2993" s="22"/>
      <c r="J2993" s="24">
        <f>TRUNC(SUM(J2991:J2992))</f>
        <v>1202496</v>
      </c>
      <c r="K2993" s="22"/>
      <c r="L2993" s="24">
        <f>TRUNC(SUM(L2991:L2992))</f>
        <v>1395814</v>
      </c>
    </row>
    <row r="2994" spans="1:14" ht="11.25" customHeight="1" x14ac:dyDescent="0.2">
      <c r="A2994" s="9"/>
      <c r="C2994" s="4"/>
      <c r="D2994" s="4"/>
      <c r="E2994" s="13"/>
      <c r="F2994" s="18"/>
      <c r="G2994" s="18"/>
      <c r="H2994" s="18"/>
      <c r="I2994" s="18"/>
      <c r="J2994" s="18"/>
      <c r="K2994" s="18"/>
      <c r="L2994" s="18"/>
    </row>
    <row r="2995" spans="1:14" ht="11.25" customHeight="1" x14ac:dyDescent="0.2">
      <c r="A2995" s="9"/>
      <c r="C2995" s="4" t="s">
        <v>496</v>
      </c>
      <c r="D2995" s="4" t="s">
        <v>866</v>
      </c>
      <c r="E2995" s="13" t="s">
        <v>497</v>
      </c>
      <c r="F2995" s="28">
        <v>244461</v>
      </c>
      <c r="G2995" s="173">
        <v>0.20799999999999999</v>
      </c>
      <c r="H2995" s="20">
        <f t="shared" ref="H2995:H2998" si="81">TRUNC(($F2995*G2995),1)</f>
        <v>50847.8</v>
      </c>
      <c r="I2995" s="173">
        <v>0.20799999999999999</v>
      </c>
      <c r="J2995" s="20">
        <f>TRUNC(($F2995*I2995),1)</f>
        <v>50847.8</v>
      </c>
      <c r="K2995" s="173">
        <v>0.20799999999999999</v>
      </c>
      <c r="L2995" s="20">
        <f>TRUNC(($F2995*K2995),1)</f>
        <v>50847.8</v>
      </c>
    </row>
    <row r="2996" spans="1:14" ht="11.25" customHeight="1" x14ac:dyDescent="0.2">
      <c r="A2996" s="9"/>
      <c r="C2996" s="4" t="s">
        <v>498</v>
      </c>
      <c r="D2996" s="4" t="s">
        <v>861</v>
      </c>
      <c r="E2996" s="13" t="s">
        <v>497</v>
      </c>
      <c r="F2996" s="28">
        <v>215132</v>
      </c>
      <c r="G2996" s="173">
        <v>0.625</v>
      </c>
      <c r="H2996" s="20">
        <f t="shared" si="81"/>
        <v>134457.5</v>
      </c>
      <c r="I2996" s="173">
        <v>0.625</v>
      </c>
      <c r="J2996" s="20">
        <f>TRUNC(($F2996*I2996),1)</f>
        <v>134457.5</v>
      </c>
      <c r="K2996" s="173">
        <v>0.625</v>
      </c>
      <c r="L2996" s="20">
        <f>TRUNC(($F2996*K2996),1)</f>
        <v>134457.5</v>
      </c>
    </row>
    <row r="2997" spans="1:14" ht="11.25" customHeight="1" x14ac:dyDescent="0.2">
      <c r="A2997" s="9"/>
      <c r="C2997" s="4" t="s">
        <v>499</v>
      </c>
      <c r="D2997" s="4" t="s">
        <v>867</v>
      </c>
      <c r="E2997" s="13" t="s">
        <v>497</v>
      </c>
      <c r="F2997" s="28">
        <v>209409</v>
      </c>
      <c r="G2997" s="173">
        <v>0.41599999999999998</v>
      </c>
      <c r="H2997" s="20">
        <f t="shared" si="81"/>
        <v>87114.1</v>
      </c>
      <c r="I2997" s="173">
        <v>0.41599999999999998</v>
      </c>
      <c r="J2997" s="20">
        <f>TRUNC(($F2997*I2997),1)</f>
        <v>87114.1</v>
      </c>
      <c r="K2997" s="173">
        <v>0.41599999999999998</v>
      </c>
      <c r="L2997" s="20">
        <f>TRUNC(($F2997*K2997),1)</f>
        <v>87114.1</v>
      </c>
    </row>
    <row r="2998" spans="1:14" ht="11.25" customHeight="1" x14ac:dyDescent="0.2">
      <c r="A2998" s="9"/>
      <c r="C2998" s="4" t="s">
        <v>59</v>
      </c>
      <c r="D2998" s="4" t="s">
        <v>868</v>
      </c>
      <c r="E2998" s="13" t="s">
        <v>497</v>
      </c>
      <c r="F2998" s="28">
        <v>208490</v>
      </c>
      <c r="G2998" s="173">
        <v>0.83299999999999996</v>
      </c>
      <c r="H2998" s="20">
        <f t="shared" si="81"/>
        <v>173672.1</v>
      </c>
      <c r="I2998" s="173">
        <v>1.0409999999999999</v>
      </c>
      <c r="J2998" s="20">
        <f>TRUNC(($F2998*I2998),1)</f>
        <v>217038</v>
      </c>
      <c r="K2998" s="173">
        <v>1.0409999999999999</v>
      </c>
      <c r="L2998" s="20">
        <f>TRUNC(($F2998*K2998),1)</f>
        <v>217038</v>
      </c>
    </row>
    <row r="2999" spans="1:14" ht="11.25" customHeight="1" x14ac:dyDescent="0.2">
      <c r="A2999" s="9"/>
      <c r="C2999" s="107" t="s">
        <v>1285</v>
      </c>
      <c r="D2999" s="107"/>
      <c r="E2999" s="23"/>
      <c r="F2999" s="22"/>
      <c r="G2999" s="22"/>
      <c r="H2999" s="24">
        <f>TRUNC(SUM(H2995:H2998))</f>
        <v>446091</v>
      </c>
      <c r="I2999" s="22"/>
      <c r="J2999" s="24">
        <f>TRUNC(SUM(J2995:J2998))</f>
        <v>489457</v>
      </c>
      <c r="K2999" s="22"/>
      <c r="L2999" s="24">
        <f>TRUNC(SUM(L2995:L2998))</f>
        <v>489457</v>
      </c>
    </row>
    <row r="3000" spans="1:14" ht="11.25" customHeight="1" x14ac:dyDescent="0.2">
      <c r="A3000" s="9"/>
      <c r="C3000" s="4"/>
      <c r="D3000" s="4"/>
      <c r="E3000" s="13"/>
      <c r="F3000" s="18"/>
      <c r="G3000" s="18"/>
      <c r="H3000" s="18"/>
      <c r="I3000" s="18"/>
      <c r="J3000" s="18"/>
      <c r="K3000" s="18"/>
      <c r="L3000" s="18"/>
    </row>
    <row r="3001" spans="1:14" ht="11.25" customHeight="1" x14ac:dyDescent="0.2">
      <c r="A3001" s="9"/>
      <c r="B3001" s="8" t="s">
        <v>236</v>
      </c>
      <c r="C3001" s="4" t="s">
        <v>209</v>
      </c>
      <c r="D3001" s="106"/>
      <c r="E3001" s="13" t="s">
        <v>746</v>
      </c>
      <c r="F3001" s="66">
        <v>7944375000</v>
      </c>
      <c r="G3001" s="19">
        <v>749</v>
      </c>
      <c r="H3001" s="20">
        <f>TRUNC($F3001*G3001*0.0000001,1)</f>
        <v>595033.59999999998</v>
      </c>
      <c r="I3001" s="21">
        <v>0</v>
      </c>
      <c r="J3001" s="20">
        <f>TRUNC($F3001*I3001*0.0000001,1)</f>
        <v>0</v>
      </c>
      <c r="K3001" s="21">
        <v>0</v>
      </c>
      <c r="L3001" s="20">
        <f>TRUNC($F3001*K3001*0.0000001,1)</f>
        <v>0</v>
      </c>
    </row>
    <row r="3002" spans="1:14" ht="11.25" customHeight="1" x14ac:dyDescent="0.2">
      <c r="A3002" s="9"/>
      <c r="B3002" s="8" t="s">
        <v>237</v>
      </c>
      <c r="C3002" s="4" t="s">
        <v>210</v>
      </c>
      <c r="D3002" s="106"/>
      <c r="E3002" s="13" t="s">
        <v>746</v>
      </c>
      <c r="F3002" s="66">
        <v>9724459000</v>
      </c>
      <c r="G3002" s="21">
        <v>0</v>
      </c>
      <c r="H3002" s="20">
        <f>TRUNC($F3002*G3002*0.0000001,1)</f>
        <v>0</v>
      </c>
      <c r="I3002" s="19">
        <v>749</v>
      </c>
      <c r="J3002" s="20">
        <f>TRUNC($F3002*I3002*0.0000001,1)</f>
        <v>728361.9</v>
      </c>
      <c r="K3002" s="21">
        <v>0</v>
      </c>
      <c r="L3002" s="20">
        <f>TRUNC($F3002*K3002*0.0000001,1)</f>
        <v>0</v>
      </c>
    </row>
    <row r="3003" spans="1:14" ht="11.25" customHeight="1" x14ac:dyDescent="0.2">
      <c r="A3003" s="9"/>
      <c r="B3003" s="8" t="s">
        <v>238</v>
      </c>
      <c r="C3003" s="4" t="s">
        <v>211</v>
      </c>
      <c r="D3003" s="106"/>
      <c r="E3003" s="13" t="s">
        <v>746</v>
      </c>
      <c r="F3003" s="66">
        <v>10696903000</v>
      </c>
      <c r="G3003" s="21">
        <v>0</v>
      </c>
      <c r="H3003" s="20">
        <f>TRUNC($F3003*G3003*0.0000001,1)</f>
        <v>0</v>
      </c>
      <c r="I3003" s="21">
        <v>0</v>
      </c>
      <c r="J3003" s="20">
        <f>TRUNC($F3003*I3003*0.0000001,1)</f>
        <v>0</v>
      </c>
      <c r="K3003" s="19">
        <v>749</v>
      </c>
      <c r="L3003" s="20">
        <f>TRUNC($F3003*K3003*0.0000001,1)</f>
        <v>801198</v>
      </c>
    </row>
    <row r="3004" spans="1:14" ht="11.25" customHeight="1" x14ac:dyDescent="0.2">
      <c r="A3004" s="9"/>
      <c r="C3004" s="107" t="s">
        <v>1289</v>
      </c>
      <c r="D3004" s="107"/>
      <c r="E3004" s="23"/>
      <c r="F3004" s="22"/>
      <c r="G3004" s="22"/>
      <c r="H3004" s="24">
        <f>TRUNC(SUM(H3001:H3003))</f>
        <v>595033</v>
      </c>
      <c r="I3004" s="22"/>
      <c r="J3004" s="24">
        <f>TRUNC(SUM(J3001:J3003))</f>
        <v>728361</v>
      </c>
      <c r="K3004" s="22"/>
      <c r="L3004" s="24">
        <f>TRUNC(SUM(L3001:L3003))</f>
        <v>801198</v>
      </c>
    </row>
    <row r="3005" spans="1:14" ht="11.25" customHeight="1" x14ac:dyDescent="0.2">
      <c r="A3005" s="9"/>
      <c r="C3005" s="4"/>
      <c r="D3005" s="4"/>
      <c r="E3005" s="13"/>
      <c r="F3005" s="18"/>
      <c r="G3005" s="18"/>
      <c r="H3005" s="18"/>
      <c r="I3005" s="18"/>
      <c r="J3005" s="18"/>
      <c r="K3005" s="18"/>
      <c r="L3005" s="18"/>
    </row>
    <row r="3006" spans="1:14" ht="11.25" customHeight="1" x14ac:dyDescent="0.2">
      <c r="A3006" s="9"/>
      <c r="C3006" s="126" t="s">
        <v>1286</v>
      </c>
      <c r="D3006" s="126"/>
      <c r="E3006" s="127"/>
      <c r="F3006" s="125"/>
      <c r="G3006" s="125"/>
      <c r="H3006" s="128">
        <f>TRUNC(H3004+H2993+H2999)</f>
        <v>2078448</v>
      </c>
      <c r="I3006" s="125"/>
      <c r="J3006" s="140">
        <f>TRUNC(J3004+J2993+J2999)</f>
        <v>2420314</v>
      </c>
      <c r="K3006" s="102"/>
      <c r="L3006" s="104">
        <f>TRUNC(L3004+L2993+L2999)</f>
        <v>2686469</v>
      </c>
    </row>
    <row r="3007" spans="1:14" ht="11.25" customHeight="1" x14ac:dyDescent="0.2">
      <c r="A3007" s="9"/>
      <c r="B3007" s="186" t="s">
        <v>427</v>
      </c>
      <c r="C3007" s="187" t="s">
        <v>428</v>
      </c>
      <c r="D3007" s="187" t="s">
        <v>429</v>
      </c>
      <c r="E3007" s="188" t="s">
        <v>430</v>
      </c>
      <c r="F3007" s="188" t="s">
        <v>431</v>
      </c>
      <c r="G3007" s="94" t="s">
        <v>52</v>
      </c>
      <c r="H3007" s="151"/>
      <c r="I3007" s="94" t="s">
        <v>54</v>
      </c>
      <c r="J3007" s="151"/>
      <c r="N3007" s="38"/>
    </row>
    <row r="3008" spans="1:14" ht="11.25" customHeight="1" x14ac:dyDescent="0.2">
      <c r="A3008" s="9"/>
      <c r="B3008" s="186"/>
      <c r="C3008" s="187"/>
      <c r="D3008" s="187"/>
      <c r="E3008" s="188"/>
      <c r="F3008" s="188"/>
      <c r="G3008" s="17" t="s">
        <v>436</v>
      </c>
      <c r="H3008" s="17" t="s">
        <v>437</v>
      </c>
      <c r="I3008" s="17" t="s">
        <v>436</v>
      </c>
      <c r="J3008" s="17" t="s">
        <v>437</v>
      </c>
      <c r="K3008" s="9"/>
      <c r="L3008" s="9"/>
      <c r="M3008" s="9"/>
      <c r="N3008" s="9"/>
    </row>
    <row r="3009" spans="1:14" ht="11.25" customHeight="1" x14ac:dyDescent="0.2">
      <c r="A3009" s="9"/>
      <c r="C3009" s="4" t="s">
        <v>426</v>
      </c>
      <c r="D3009" s="4"/>
      <c r="E3009" s="13" t="s">
        <v>494</v>
      </c>
      <c r="F3009" s="25">
        <v>1505.45</v>
      </c>
      <c r="G3009" s="55">
        <v>1268</v>
      </c>
      <c r="H3009" s="20">
        <f t="shared" ref="H3009" si="82">TRUNC(($F3009*G3009),1)</f>
        <v>1908910.6</v>
      </c>
      <c r="I3009" s="55">
        <v>1690</v>
      </c>
      <c r="J3009" s="20">
        <f>TRUNC(($F3009*I3009),1)</f>
        <v>2544210.5</v>
      </c>
      <c r="K3009" s="143"/>
      <c r="L3009" s="32"/>
      <c r="M3009" s="143"/>
      <c r="N3009" s="32"/>
    </row>
    <row r="3010" spans="1:14" ht="11.25" customHeight="1" x14ac:dyDescent="0.2">
      <c r="A3010" s="9"/>
      <c r="C3010" s="4" t="s">
        <v>495</v>
      </c>
      <c r="D3010" s="4" t="s">
        <v>203</v>
      </c>
      <c r="E3010" s="13" t="s">
        <v>232</v>
      </c>
      <c r="F3010" s="18"/>
      <c r="G3010" s="21">
        <v>23</v>
      </c>
      <c r="H3010" s="20">
        <f>TRUNC(H3009*G3010*0.01,1)</f>
        <v>439049.4</v>
      </c>
      <c r="I3010" s="21">
        <v>23</v>
      </c>
      <c r="J3010" s="20">
        <f>TRUNC(J3009*I3010*0.01,1)</f>
        <v>585168.4</v>
      </c>
      <c r="K3010" s="143"/>
      <c r="L3010" s="32"/>
      <c r="M3010" s="143"/>
      <c r="N3010" s="32"/>
    </row>
    <row r="3011" spans="1:14" ht="11.25" customHeight="1" x14ac:dyDescent="0.2">
      <c r="A3011" s="9"/>
      <c r="C3011" s="107" t="s">
        <v>799</v>
      </c>
      <c r="D3011" s="107"/>
      <c r="E3011" s="23"/>
      <c r="F3011" s="22"/>
      <c r="G3011" s="22"/>
      <c r="H3011" s="24">
        <f>TRUNC(SUM(H3009:H3010))</f>
        <v>2347960</v>
      </c>
      <c r="I3011" s="22"/>
      <c r="J3011" s="24">
        <f>TRUNC(SUM(J3009:J3010))</f>
        <v>3129378</v>
      </c>
      <c r="K3011" s="43"/>
      <c r="L3011" s="54"/>
      <c r="M3011" s="43"/>
      <c r="N3011" s="54"/>
    </row>
    <row r="3012" spans="1:14" ht="11.25" customHeight="1" x14ac:dyDescent="0.2">
      <c r="A3012" s="9"/>
      <c r="C3012" s="4"/>
      <c r="D3012" s="4"/>
      <c r="E3012" s="13"/>
      <c r="F3012" s="18"/>
      <c r="G3012" s="18"/>
      <c r="H3012" s="18"/>
      <c r="I3012" s="18"/>
      <c r="J3012" s="18"/>
    </row>
    <row r="3013" spans="1:14" ht="11.25" customHeight="1" x14ac:dyDescent="0.2">
      <c r="A3013" s="9"/>
      <c r="C3013" s="4" t="s">
        <v>496</v>
      </c>
      <c r="D3013" s="4" t="s">
        <v>866</v>
      </c>
      <c r="E3013" s="13" t="s">
        <v>497</v>
      </c>
      <c r="F3013" s="28">
        <v>244461</v>
      </c>
      <c r="G3013" s="173">
        <v>0.20799999999999999</v>
      </c>
      <c r="H3013" s="20">
        <f t="shared" ref="H3013:H3016" si="83">TRUNC(($F3013*G3013),1)</f>
        <v>50847.8</v>
      </c>
      <c r="I3013" s="173">
        <v>0.20799999999999999</v>
      </c>
      <c r="J3013" s="20">
        <f>TRUNC(($F3013*I3013),1)</f>
        <v>50847.8</v>
      </c>
      <c r="K3013" s="144"/>
      <c r="L3013" s="32"/>
      <c r="M3013" s="144"/>
      <c r="N3013" s="32"/>
    </row>
    <row r="3014" spans="1:14" ht="11.25" customHeight="1" x14ac:dyDescent="0.2">
      <c r="A3014" s="9"/>
      <c r="C3014" s="4" t="s">
        <v>498</v>
      </c>
      <c r="D3014" s="4" t="s">
        <v>861</v>
      </c>
      <c r="E3014" s="13" t="s">
        <v>497</v>
      </c>
      <c r="F3014" s="28">
        <v>215132</v>
      </c>
      <c r="G3014" s="173">
        <v>0.625</v>
      </c>
      <c r="H3014" s="20">
        <f t="shared" si="83"/>
        <v>134457.5</v>
      </c>
      <c r="I3014" s="173">
        <v>0.625</v>
      </c>
      <c r="J3014" s="20">
        <f>TRUNC(($F3014*I3014),1)</f>
        <v>134457.5</v>
      </c>
      <c r="K3014" s="144"/>
      <c r="L3014" s="32"/>
      <c r="M3014" s="144"/>
      <c r="N3014" s="32"/>
    </row>
    <row r="3015" spans="1:14" ht="11.25" customHeight="1" x14ac:dyDescent="0.2">
      <c r="A3015" s="9"/>
      <c r="C3015" s="4" t="s">
        <v>499</v>
      </c>
      <c r="D3015" s="4" t="s">
        <v>867</v>
      </c>
      <c r="E3015" s="13" t="s">
        <v>497</v>
      </c>
      <c r="F3015" s="28">
        <v>209409</v>
      </c>
      <c r="G3015" s="173">
        <v>0.41599999999999998</v>
      </c>
      <c r="H3015" s="20">
        <f t="shared" si="83"/>
        <v>87114.1</v>
      </c>
      <c r="I3015" s="173">
        <v>0.41599999999999998</v>
      </c>
      <c r="J3015" s="20">
        <f>TRUNC(($F3015*I3015),1)</f>
        <v>87114.1</v>
      </c>
      <c r="K3015" s="144"/>
      <c r="L3015" s="32"/>
      <c r="M3015" s="144"/>
      <c r="N3015" s="32"/>
    </row>
    <row r="3016" spans="1:14" ht="11.25" customHeight="1" x14ac:dyDescent="0.2">
      <c r="A3016" s="9"/>
      <c r="C3016" s="4" t="s">
        <v>59</v>
      </c>
      <c r="D3016" s="4" t="s">
        <v>869</v>
      </c>
      <c r="E3016" s="13" t="s">
        <v>497</v>
      </c>
      <c r="F3016" s="28">
        <v>208490</v>
      </c>
      <c r="G3016" s="173">
        <v>1.25</v>
      </c>
      <c r="H3016" s="20">
        <f t="shared" si="83"/>
        <v>260612.5</v>
      </c>
      <c r="I3016" s="173">
        <v>1.25</v>
      </c>
      <c r="J3016" s="20">
        <f>TRUNC(($F3016*I3016),1)</f>
        <v>260612.5</v>
      </c>
      <c r="K3016" s="144"/>
      <c r="L3016" s="32"/>
      <c r="M3016" s="144"/>
      <c r="N3016" s="32"/>
    </row>
    <row r="3017" spans="1:14" ht="11.25" customHeight="1" x14ac:dyDescent="0.2">
      <c r="A3017" s="9"/>
      <c r="C3017" s="107" t="s">
        <v>1285</v>
      </c>
      <c r="D3017" s="107"/>
      <c r="E3017" s="23"/>
      <c r="F3017" s="22"/>
      <c r="G3017" s="22"/>
      <c r="H3017" s="24">
        <f>TRUNC(SUM(H3013:H3016))</f>
        <v>533031</v>
      </c>
      <c r="I3017" s="22"/>
      <c r="J3017" s="24">
        <f>TRUNC(SUM(J3013:J3016))</f>
        <v>533031</v>
      </c>
      <c r="K3017" s="43"/>
      <c r="L3017" s="54"/>
      <c r="M3017" s="43"/>
      <c r="N3017" s="145"/>
    </row>
    <row r="3018" spans="1:14" ht="11.25" customHeight="1" x14ac:dyDescent="0.2">
      <c r="A3018" s="9"/>
      <c r="C3018" s="4"/>
      <c r="D3018" s="4"/>
      <c r="E3018" s="13"/>
      <c r="F3018" s="18"/>
      <c r="G3018" s="18"/>
      <c r="H3018" s="18"/>
      <c r="I3018" s="18"/>
      <c r="J3018" s="18"/>
    </row>
    <row r="3019" spans="1:14" ht="11.25" customHeight="1" x14ac:dyDescent="0.2">
      <c r="A3019" s="9"/>
      <c r="B3019" s="8" t="s">
        <v>55</v>
      </c>
      <c r="C3019" s="4" t="s">
        <v>50</v>
      </c>
      <c r="D3019" s="106"/>
      <c r="E3019" s="13" t="s">
        <v>746</v>
      </c>
      <c r="F3019" s="66">
        <v>14650006000</v>
      </c>
      <c r="G3019" s="19">
        <v>749</v>
      </c>
      <c r="H3019" s="20">
        <f>TRUNC($F3019*G3019*0.0000001,1)</f>
        <v>1097285.3999999999</v>
      </c>
      <c r="I3019" s="21">
        <v>0</v>
      </c>
      <c r="J3019" s="20">
        <f>TRUNC($F3019*I3019*0.0000001,1)</f>
        <v>0</v>
      </c>
      <c r="K3019" s="39"/>
      <c r="L3019" s="32"/>
      <c r="M3019" s="39"/>
      <c r="N3019" s="32"/>
    </row>
    <row r="3020" spans="1:14" ht="11.25" customHeight="1" x14ac:dyDescent="0.2">
      <c r="A3020" s="9"/>
      <c r="B3020" s="8" t="s">
        <v>56</v>
      </c>
      <c r="C3020" s="4" t="s">
        <v>53</v>
      </c>
      <c r="D3020" s="106"/>
      <c r="E3020" s="13" t="s">
        <v>746</v>
      </c>
      <c r="F3020" s="66">
        <v>19621816000</v>
      </c>
      <c r="G3020" s="21">
        <v>0</v>
      </c>
      <c r="H3020" s="20">
        <f>TRUNC($F3020*G3020*0.0000001,1)</f>
        <v>0</v>
      </c>
      <c r="I3020" s="19">
        <v>749</v>
      </c>
      <c r="J3020" s="20">
        <f>TRUNC($F3020*I3020*0.0000001,1)</f>
        <v>1469674</v>
      </c>
      <c r="K3020" s="39"/>
      <c r="L3020" s="32"/>
      <c r="M3020" s="39"/>
      <c r="N3020" s="32"/>
    </row>
    <row r="3021" spans="1:14" ht="11.25" customHeight="1" x14ac:dyDescent="0.2">
      <c r="A3021" s="9"/>
      <c r="C3021" s="107" t="s">
        <v>1289</v>
      </c>
      <c r="D3021" s="107"/>
      <c r="E3021" s="23"/>
      <c r="F3021" s="22"/>
      <c r="G3021" s="22"/>
      <c r="H3021" s="24">
        <f>TRUNC(SUM(H3019:H3020))</f>
        <v>1097285</v>
      </c>
      <c r="I3021" s="22"/>
      <c r="J3021" s="24">
        <f>TRUNC(SUM(J3019:J3020))</f>
        <v>1469674</v>
      </c>
      <c r="K3021" s="43"/>
      <c r="L3021" s="54"/>
      <c r="M3021" s="43"/>
      <c r="N3021" s="54"/>
    </row>
    <row r="3022" spans="1:14" ht="11.25" customHeight="1" x14ac:dyDescent="0.2">
      <c r="A3022" s="9"/>
      <c r="C3022" s="4"/>
      <c r="D3022" s="4"/>
      <c r="E3022" s="13"/>
      <c r="F3022" s="18"/>
      <c r="G3022" s="18"/>
      <c r="H3022" s="18"/>
      <c r="I3022" s="18"/>
      <c r="J3022" s="18"/>
    </row>
    <row r="3023" spans="1:14" ht="11.25" customHeight="1" x14ac:dyDescent="0.2">
      <c r="A3023" s="9"/>
      <c r="C3023" s="126" t="s">
        <v>1286</v>
      </c>
      <c r="D3023" s="126"/>
      <c r="E3023" s="127"/>
      <c r="F3023" s="125"/>
      <c r="G3023" s="125"/>
      <c r="H3023" s="128">
        <f>TRUNC(H3021+H3011+H3017)</f>
        <v>3978276</v>
      </c>
      <c r="I3023" s="125"/>
      <c r="J3023" s="128">
        <f>TRUNC(J3021+J3011+J3017)</f>
        <v>5132083</v>
      </c>
      <c r="K3023" s="43"/>
      <c r="L3023" s="36"/>
      <c r="M3023" s="43"/>
      <c r="N3023" s="36"/>
    </row>
    <row r="3024" spans="1:14" ht="11.25" customHeight="1" x14ac:dyDescent="0.2">
      <c r="A3024" s="9"/>
      <c r="B3024" s="186" t="s">
        <v>427</v>
      </c>
      <c r="C3024" s="187" t="s">
        <v>428</v>
      </c>
      <c r="D3024" s="187" t="s">
        <v>429</v>
      </c>
      <c r="E3024" s="188" t="s">
        <v>430</v>
      </c>
      <c r="F3024" s="188" t="s">
        <v>431</v>
      </c>
      <c r="G3024" s="94" t="s">
        <v>212</v>
      </c>
      <c r="H3024" s="151"/>
      <c r="I3024" s="94" t="s">
        <v>213</v>
      </c>
      <c r="J3024" s="151"/>
    </row>
    <row r="3025" spans="1:10" ht="11.25" customHeight="1" x14ac:dyDescent="0.2">
      <c r="A3025" s="9"/>
      <c r="B3025" s="186"/>
      <c r="C3025" s="187"/>
      <c r="D3025" s="187"/>
      <c r="E3025" s="188"/>
      <c r="F3025" s="188"/>
      <c r="G3025" s="17" t="s">
        <v>436</v>
      </c>
      <c r="H3025" s="17" t="s">
        <v>437</v>
      </c>
      <c r="I3025" s="17" t="s">
        <v>436</v>
      </c>
      <c r="J3025" s="17" t="s">
        <v>437</v>
      </c>
    </row>
    <row r="3026" spans="1:10" ht="11.25" customHeight="1" x14ac:dyDescent="0.2">
      <c r="A3026" s="9"/>
      <c r="C3026" s="4" t="s">
        <v>426</v>
      </c>
      <c r="D3026" s="4"/>
      <c r="E3026" s="13" t="s">
        <v>494</v>
      </c>
      <c r="F3026" s="25">
        <v>1505.45</v>
      </c>
      <c r="G3026" s="55">
        <v>2291.9</v>
      </c>
      <c r="H3026" s="20">
        <f t="shared" ref="H3026" si="84">TRUNC(($F3026*G3026),1)</f>
        <v>3450340.8</v>
      </c>
      <c r="I3026" s="55">
        <v>3819.9</v>
      </c>
      <c r="J3026" s="20">
        <f>TRUNC(($F3026*I3026),1)</f>
        <v>5750668.4000000004</v>
      </c>
    </row>
    <row r="3027" spans="1:10" ht="11.25" customHeight="1" x14ac:dyDescent="0.2">
      <c r="A3027" s="9"/>
      <c r="C3027" s="4" t="s">
        <v>495</v>
      </c>
      <c r="D3027" s="4" t="s">
        <v>203</v>
      </c>
      <c r="E3027" s="13" t="s">
        <v>232</v>
      </c>
      <c r="F3027" s="18"/>
      <c r="G3027" s="55">
        <v>15.5</v>
      </c>
      <c r="H3027" s="20">
        <f>TRUNC(H3026*G3027*0.01,1)</f>
        <v>534802.80000000005</v>
      </c>
      <c r="I3027" s="55">
        <v>15.5</v>
      </c>
      <c r="J3027" s="20">
        <f>TRUNC(J3026*I3027*0.01,1)</f>
        <v>891353.59999999998</v>
      </c>
    </row>
    <row r="3028" spans="1:10" ht="11.25" customHeight="1" x14ac:dyDescent="0.2">
      <c r="A3028" s="9"/>
      <c r="C3028" s="107" t="s">
        <v>799</v>
      </c>
      <c r="D3028" s="107"/>
      <c r="E3028" s="23"/>
      <c r="F3028" s="22"/>
      <c r="G3028" s="22"/>
      <c r="H3028" s="24">
        <f>TRUNC(SUM(H3026:H3027))</f>
        <v>3985143</v>
      </c>
      <c r="I3028" s="22"/>
      <c r="J3028" s="24">
        <f>TRUNC(SUM(J3026:J3027))</f>
        <v>6642022</v>
      </c>
    </row>
    <row r="3029" spans="1:10" ht="11.25" customHeight="1" x14ac:dyDescent="0.2">
      <c r="A3029" s="9"/>
      <c r="C3029" s="4"/>
      <c r="D3029" s="4"/>
      <c r="E3029" s="13"/>
      <c r="F3029" s="18"/>
      <c r="G3029" s="18"/>
      <c r="H3029" s="18"/>
      <c r="I3029" s="18"/>
      <c r="J3029" s="18"/>
    </row>
    <row r="3030" spans="1:10" ht="11.25" customHeight="1" x14ac:dyDescent="0.2">
      <c r="A3030" s="9"/>
      <c r="C3030" s="4" t="s">
        <v>496</v>
      </c>
      <c r="D3030" s="4" t="s">
        <v>866</v>
      </c>
      <c r="E3030" s="13" t="s">
        <v>497</v>
      </c>
      <c r="F3030" s="28">
        <v>244461</v>
      </c>
      <c r="G3030" s="173">
        <v>0.20799999999999999</v>
      </c>
      <c r="H3030" s="20">
        <f t="shared" ref="H3030:H3033" si="85">TRUNC(($F3030*G3030),1)</f>
        <v>50847.8</v>
      </c>
      <c r="I3030" s="173">
        <v>0.20799999999999999</v>
      </c>
      <c r="J3030" s="20">
        <f>TRUNC(($F3030*I3030),1)</f>
        <v>50847.8</v>
      </c>
    </row>
    <row r="3031" spans="1:10" ht="11.25" customHeight="1" x14ac:dyDescent="0.2">
      <c r="A3031" s="9"/>
      <c r="C3031" s="4" t="s">
        <v>498</v>
      </c>
      <c r="D3031" s="4" t="s">
        <v>861</v>
      </c>
      <c r="E3031" s="13" t="s">
        <v>497</v>
      </c>
      <c r="F3031" s="28">
        <v>215132</v>
      </c>
      <c r="G3031" s="173">
        <v>0.625</v>
      </c>
      <c r="H3031" s="20">
        <f t="shared" si="85"/>
        <v>134457.5</v>
      </c>
      <c r="I3031" s="173">
        <v>0.625</v>
      </c>
      <c r="J3031" s="20">
        <f>TRUNC(($F3031*I3031),1)</f>
        <v>134457.5</v>
      </c>
    </row>
    <row r="3032" spans="1:10" ht="11.25" customHeight="1" x14ac:dyDescent="0.2">
      <c r="A3032" s="9"/>
      <c r="C3032" s="4" t="s">
        <v>499</v>
      </c>
      <c r="D3032" s="4" t="s">
        <v>867</v>
      </c>
      <c r="E3032" s="13" t="s">
        <v>497</v>
      </c>
      <c r="F3032" s="28">
        <v>209409</v>
      </c>
      <c r="G3032" s="173">
        <v>0.41599999999999998</v>
      </c>
      <c r="H3032" s="20">
        <f t="shared" si="85"/>
        <v>87114.1</v>
      </c>
      <c r="I3032" s="173">
        <v>0.41599999999999998</v>
      </c>
      <c r="J3032" s="20">
        <f>TRUNC(($F3032*I3032),1)</f>
        <v>87114.1</v>
      </c>
    </row>
    <row r="3033" spans="1:10" ht="11.25" customHeight="1" x14ac:dyDescent="0.2">
      <c r="A3033" s="9"/>
      <c r="C3033" s="4" t="s">
        <v>59</v>
      </c>
      <c r="D3033" s="4" t="s">
        <v>870</v>
      </c>
      <c r="E3033" s="13" t="s">
        <v>497</v>
      </c>
      <c r="F3033" s="28">
        <v>208490</v>
      </c>
      <c r="G3033" s="173">
        <v>1.25</v>
      </c>
      <c r="H3033" s="20">
        <f t="shared" si="85"/>
        <v>260612.5</v>
      </c>
      <c r="I3033" s="173">
        <v>1.6659999999999999</v>
      </c>
      <c r="J3033" s="20">
        <f>TRUNC(($F3033*I3033),1)</f>
        <v>347344.3</v>
      </c>
    </row>
    <row r="3034" spans="1:10" ht="11.25" customHeight="1" x14ac:dyDescent="0.2">
      <c r="A3034" s="9"/>
      <c r="C3034" s="107" t="s">
        <v>1285</v>
      </c>
      <c r="D3034" s="107"/>
      <c r="E3034" s="23"/>
      <c r="F3034" s="22"/>
      <c r="G3034" s="22"/>
      <c r="H3034" s="24">
        <f>TRUNC(SUM(H3030:H3033))</f>
        <v>533031</v>
      </c>
      <c r="I3034" s="22"/>
      <c r="J3034" s="24">
        <f>TRUNC(SUM(J3030:J3033))</f>
        <v>619763</v>
      </c>
    </row>
    <row r="3035" spans="1:10" ht="11.25" customHeight="1" x14ac:dyDescent="0.2">
      <c r="A3035" s="9"/>
      <c r="C3035" s="4"/>
      <c r="D3035" s="4"/>
      <c r="E3035" s="13"/>
      <c r="F3035" s="18"/>
      <c r="G3035" s="18"/>
      <c r="H3035" s="18"/>
      <c r="I3035" s="18"/>
      <c r="J3035" s="18"/>
    </row>
    <row r="3036" spans="1:10" ht="11.25" customHeight="1" x14ac:dyDescent="0.2">
      <c r="A3036" s="9"/>
      <c r="B3036" s="8" t="s">
        <v>57</v>
      </c>
      <c r="C3036" s="4" t="s">
        <v>51</v>
      </c>
      <c r="D3036" s="106"/>
      <c r="E3036" s="13" t="s">
        <v>746</v>
      </c>
      <c r="F3036" s="66">
        <v>29706290000</v>
      </c>
      <c r="G3036" s="19">
        <v>749</v>
      </c>
      <c r="H3036" s="20">
        <f>TRUNC($F3036*G3036*0.0000001,1)</f>
        <v>2225001.1</v>
      </c>
      <c r="I3036" s="21">
        <v>0</v>
      </c>
      <c r="J3036" s="20">
        <f>TRUNC($F3036*I3036*0.0000001,1)</f>
        <v>0</v>
      </c>
    </row>
    <row r="3037" spans="1:10" ht="11.25" customHeight="1" x14ac:dyDescent="0.2">
      <c r="A3037" s="9"/>
      <c r="B3037" s="8" t="s">
        <v>214</v>
      </c>
      <c r="C3037" s="4" t="s">
        <v>215</v>
      </c>
      <c r="D3037" s="106"/>
      <c r="E3037" s="13" t="s">
        <v>746</v>
      </c>
      <c r="F3037" s="66">
        <v>52076577000</v>
      </c>
      <c r="G3037" s="21">
        <v>0</v>
      </c>
      <c r="H3037" s="20">
        <f>TRUNC($F3037*G3037*0.0000001,1)</f>
        <v>0</v>
      </c>
      <c r="I3037" s="19">
        <v>749</v>
      </c>
      <c r="J3037" s="20">
        <f>TRUNC($F3037*I3037*0.0000001,1)</f>
        <v>3900535.6</v>
      </c>
    </row>
    <row r="3038" spans="1:10" ht="11.25" customHeight="1" x14ac:dyDescent="0.2">
      <c r="A3038" s="9"/>
      <c r="C3038" s="107" t="s">
        <v>1289</v>
      </c>
      <c r="D3038" s="107"/>
      <c r="E3038" s="23"/>
      <c r="F3038" s="22"/>
      <c r="G3038" s="22"/>
      <c r="H3038" s="24">
        <f>TRUNC(SUM(H3036:H3037))</f>
        <v>2225001</v>
      </c>
      <c r="I3038" s="22"/>
      <c r="J3038" s="24">
        <f>TRUNC(SUM(J3036:J3037))</f>
        <v>3900535</v>
      </c>
    </row>
    <row r="3039" spans="1:10" ht="11.25" customHeight="1" x14ac:dyDescent="0.2">
      <c r="A3039" s="9"/>
      <c r="C3039" s="4"/>
      <c r="D3039" s="4"/>
      <c r="E3039" s="13"/>
      <c r="F3039" s="18"/>
      <c r="G3039" s="18"/>
      <c r="H3039" s="18"/>
      <c r="I3039" s="18"/>
      <c r="J3039" s="18"/>
    </row>
    <row r="3040" spans="1:10" ht="11.25" customHeight="1" x14ac:dyDescent="0.2">
      <c r="A3040" s="9"/>
      <c r="B3040" s="16"/>
      <c r="C3040" s="108" t="s">
        <v>1286</v>
      </c>
      <c r="D3040" s="108"/>
      <c r="E3040" s="103"/>
      <c r="F3040" s="102"/>
      <c r="G3040" s="102"/>
      <c r="H3040" s="104">
        <f>TRUNC(H3038+H3028+H3034)</f>
        <v>6743175</v>
      </c>
      <c r="I3040" s="102"/>
      <c r="J3040" s="104">
        <f>TRUNC(J3038+J3028+J3034)</f>
        <v>11162320</v>
      </c>
    </row>
    <row r="3041" spans="1:12" ht="11.25" customHeight="1" x14ac:dyDescent="0.2">
      <c r="A3041" s="9"/>
    </row>
    <row r="3042" spans="1:12" ht="11.25" customHeight="1" x14ac:dyDescent="0.2">
      <c r="A3042" s="9"/>
      <c r="B3042" s="68" t="s">
        <v>1792</v>
      </c>
      <c r="C3042" s="119"/>
      <c r="L3042" s="49" t="s">
        <v>1307</v>
      </c>
    </row>
    <row r="3043" spans="1:12" ht="11.25" customHeight="1" x14ac:dyDescent="0.2">
      <c r="A3043" s="9"/>
      <c r="B3043" s="186" t="s">
        <v>427</v>
      </c>
      <c r="C3043" s="187" t="s">
        <v>428</v>
      </c>
      <c r="D3043" s="187" t="s">
        <v>429</v>
      </c>
      <c r="E3043" s="188" t="s">
        <v>430</v>
      </c>
      <c r="F3043" s="188" t="s">
        <v>431</v>
      </c>
      <c r="G3043" s="94" t="s">
        <v>216</v>
      </c>
      <c r="H3043" s="151"/>
      <c r="I3043" s="94" t="s">
        <v>325</v>
      </c>
      <c r="J3043" s="151"/>
      <c r="K3043" s="94" t="s">
        <v>326</v>
      </c>
      <c r="L3043" s="151"/>
    </row>
    <row r="3044" spans="1:12" ht="11.25" customHeight="1" x14ac:dyDescent="0.2">
      <c r="A3044" s="9"/>
      <c r="B3044" s="186"/>
      <c r="C3044" s="187"/>
      <c r="D3044" s="187"/>
      <c r="E3044" s="188"/>
      <c r="F3044" s="188"/>
      <c r="G3044" s="17" t="s">
        <v>436</v>
      </c>
      <c r="H3044" s="17" t="s">
        <v>437</v>
      </c>
      <c r="I3044" s="17" t="s">
        <v>436</v>
      </c>
      <c r="J3044" s="17" t="s">
        <v>437</v>
      </c>
      <c r="K3044" s="17" t="s">
        <v>436</v>
      </c>
      <c r="L3044" s="17" t="s">
        <v>437</v>
      </c>
    </row>
    <row r="3045" spans="1:12" ht="11.25" customHeight="1" x14ac:dyDescent="0.2">
      <c r="A3045" s="9"/>
      <c r="C3045" s="4" t="s">
        <v>426</v>
      </c>
      <c r="D3045" s="4"/>
      <c r="E3045" s="13" t="s">
        <v>494</v>
      </c>
      <c r="F3045" s="25">
        <v>1505.45</v>
      </c>
      <c r="G3045" s="26">
        <v>12.7</v>
      </c>
      <c r="H3045" s="20">
        <f t="shared" ref="H3045" si="86">TRUNC(($F3045*G3045),1)</f>
        <v>19119.2</v>
      </c>
      <c r="I3045" s="26">
        <v>19.100000000000001</v>
      </c>
      <c r="J3045" s="20">
        <f>TRUNC(($F3045*I3045),1)</f>
        <v>28754</v>
      </c>
      <c r="K3045" s="26">
        <v>20.399999999999999</v>
      </c>
      <c r="L3045" s="20">
        <f t="shared" ref="L3045" si="87">TRUNC(($F3045*K3045),1)</f>
        <v>30711.1</v>
      </c>
    </row>
    <row r="3046" spans="1:12" ht="11.25" customHeight="1" x14ac:dyDescent="0.2">
      <c r="A3046" s="9"/>
      <c r="C3046" s="4" t="s">
        <v>495</v>
      </c>
      <c r="D3046" s="4" t="s">
        <v>203</v>
      </c>
      <c r="E3046" s="13" t="s">
        <v>232</v>
      </c>
      <c r="F3046" s="18"/>
      <c r="G3046" s="21">
        <v>63</v>
      </c>
      <c r="H3046" s="20">
        <f>TRUNC(H3045*G3046*0.01,1)</f>
        <v>12045</v>
      </c>
      <c r="I3046" s="21">
        <v>63</v>
      </c>
      <c r="J3046" s="20">
        <f>TRUNC(J3045*I3046*0.01,1)</f>
        <v>18115</v>
      </c>
      <c r="K3046" s="21">
        <v>63</v>
      </c>
      <c r="L3046" s="20">
        <f>TRUNC(L3045*K3046*0.01,1)</f>
        <v>19347.900000000001</v>
      </c>
    </row>
    <row r="3047" spans="1:12" ht="11.25" customHeight="1" x14ac:dyDescent="0.2">
      <c r="A3047" s="9"/>
      <c r="C3047" s="107" t="s">
        <v>799</v>
      </c>
      <c r="D3047" s="107"/>
      <c r="E3047" s="23"/>
      <c r="F3047" s="22"/>
      <c r="G3047" s="22"/>
      <c r="H3047" s="24">
        <f>TRUNC(SUM(H3045:H3046))</f>
        <v>31164</v>
      </c>
      <c r="I3047" s="22"/>
      <c r="J3047" s="24">
        <f>TRUNC(SUM(J3045:J3046))</f>
        <v>46869</v>
      </c>
      <c r="K3047" s="22"/>
      <c r="L3047" s="24">
        <f>TRUNC(SUM(L3045:L3046))</f>
        <v>50059</v>
      </c>
    </row>
    <row r="3048" spans="1:12" ht="11.25" customHeight="1" x14ac:dyDescent="0.2">
      <c r="A3048" s="9"/>
      <c r="C3048" s="4"/>
      <c r="D3048" s="4"/>
      <c r="E3048" s="13"/>
      <c r="F3048" s="18"/>
      <c r="G3048" s="18"/>
      <c r="H3048" s="18"/>
      <c r="I3048" s="18"/>
      <c r="J3048" s="18"/>
      <c r="K3048" s="18"/>
      <c r="L3048" s="18"/>
    </row>
    <row r="3049" spans="1:12" ht="11.25" customHeight="1" x14ac:dyDescent="0.2">
      <c r="A3049" s="9"/>
      <c r="C3049" s="4" t="s">
        <v>496</v>
      </c>
      <c r="D3049" s="4" t="s">
        <v>866</v>
      </c>
      <c r="E3049" s="13" t="s">
        <v>497</v>
      </c>
      <c r="F3049" s="28">
        <v>244461</v>
      </c>
      <c r="G3049" s="173">
        <v>0.20799999999999999</v>
      </c>
      <c r="H3049" s="20">
        <f t="shared" ref="H3049:H3052" si="88">TRUNC(($F3049*G3049),1)</f>
        <v>50847.8</v>
      </c>
      <c r="I3049" s="173">
        <v>0.20799999999999999</v>
      </c>
      <c r="J3049" s="20">
        <f>TRUNC(($F3049*I3049),1)</f>
        <v>50847.8</v>
      </c>
      <c r="K3049" s="173">
        <v>0.20799999999999999</v>
      </c>
      <c r="L3049" s="20">
        <f t="shared" ref="L3049:L3052" si="89">TRUNC(($F3049*K3049),1)</f>
        <v>50847.8</v>
      </c>
    </row>
    <row r="3050" spans="1:12" ht="11.25" customHeight="1" x14ac:dyDescent="0.2">
      <c r="A3050" s="9"/>
      <c r="B3050" s="29"/>
      <c r="C3050" s="4" t="s">
        <v>498</v>
      </c>
      <c r="D3050" s="4" t="s">
        <v>866</v>
      </c>
      <c r="E3050" s="13" t="s">
        <v>497</v>
      </c>
      <c r="F3050" s="28">
        <v>215132</v>
      </c>
      <c r="G3050" s="61">
        <v>0</v>
      </c>
      <c r="H3050" s="20">
        <f t="shared" si="88"/>
        <v>0</v>
      </c>
      <c r="I3050" s="173">
        <v>0.20799999999999999</v>
      </c>
      <c r="J3050" s="20">
        <f>TRUNC(($F3050*I3050),1)</f>
        <v>44747.4</v>
      </c>
      <c r="K3050" s="173">
        <v>0.20799999999999999</v>
      </c>
      <c r="L3050" s="20">
        <f t="shared" si="89"/>
        <v>44747.4</v>
      </c>
    </row>
    <row r="3051" spans="1:12" ht="11.25" customHeight="1" x14ac:dyDescent="0.2">
      <c r="A3051" s="9"/>
      <c r="C3051" s="4" t="s">
        <v>499</v>
      </c>
      <c r="D3051" s="4" t="s">
        <v>866</v>
      </c>
      <c r="E3051" s="13" t="s">
        <v>497</v>
      </c>
      <c r="F3051" s="28">
        <v>209409</v>
      </c>
      <c r="G3051" s="173">
        <v>0.20799999999999999</v>
      </c>
      <c r="H3051" s="20">
        <f t="shared" si="88"/>
        <v>43557</v>
      </c>
      <c r="I3051" s="173">
        <v>0.20799999999999999</v>
      </c>
      <c r="J3051" s="20">
        <f>TRUNC(($F3051*I3051),1)</f>
        <v>43557</v>
      </c>
      <c r="K3051" s="173">
        <v>0.20799999999999999</v>
      </c>
      <c r="L3051" s="20">
        <f t="shared" si="89"/>
        <v>43557</v>
      </c>
    </row>
    <row r="3052" spans="1:12" ht="11.25" customHeight="1" x14ac:dyDescent="0.2">
      <c r="A3052" s="9"/>
      <c r="C3052" s="4" t="s">
        <v>59</v>
      </c>
      <c r="D3052" s="4" t="s">
        <v>867</v>
      </c>
      <c r="E3052" s="13" t="s">
        <v>497</v>
      </c>
      <c r="F3052" s="28">
        <v>208490</v>
      </c>
      <c r="G3052" s="173">
        <v>0.41599999999999998</v>
      </c>
      <c r="H3052" s="20">
        <f t="shared" si="88"/>
        <v>86731.8</v>
      </c>
      <c r="I3052" s="173">
        <v>0.41599999999999998</v>
      </c>
      <c r="J3052" s="20">
        <f>TRUNC(($F3052*I3052),1)</f>
        <v>86731.8</v>
      </c>
      <c r="K3052" s="173">
        <v>0.41599999999999998</v>
      </c>
      <c r="L3052" s="20">
        <f t="shared" si="89"/>
        <v>86731.8</v>
      </c>
    </row>
    <row r="3053" spans="1:12" ht="11.25" customHeight="1" x14ac:dyDescent="0.2">
      <c r="A3053" s="9"/>
      <c r="C3053" s="107" t="s">
        <v>1285</v>
      </c>
      <c r="D3053" s="107"/>
      <c r="E3053" s="23"/>
      <c r="F3053" s="22"/>
      <c r="G3053" s="22"/>
      <c r="H3053" s="24">
        <f>TRUNC(SUM(H3049:H3052))</f>
        <v>181136</v>
      </c>
      <c r="I3053" s="22"/>
      <c r="J3053" s="24">
        <f>TRUNC(SUM(J3049:J3052))</f>
        <v>225884</v>
      </c>
      <c r="K3053" s="22"/>
      <c r="L3053" s="24">
        <f>TRUNC(SUM(L3049:L3052))</f>
        <v>225884</v>
      </c>
    </row>
    <row r="3054" spans="1:12" ht="11.25" customHeight="1" x14ac:dyDescent="0.2">
      <c r="A3054" s="9"/>
      <c r="C3054" s="4"/>
      <c r="D3054" s="4"/>
      <c r="E3054" s="13"/>
      <c r="F3054" s="18"/>
      <c r="G3054" s="18"/>
      <c r="H3054" s="18"/>
      <c r="I3054" s="18"/>
      <c r="J3054" s="18"/>
      <c r="K3054" s="18"/>
      <c r="L3054" s="18"/>
    </row>
    <row r="3055" spans="1:12" ht="11.25" customHeight="1" x14ac:dyDescent="0.2">
      <c r="A3055" s="9"/>
      <c r="B3055" s="8" t="s">
        <v>769</v>
      </c>
      <c r="C3055" s="4" t="s">
        <v>953</v>
      </c>
      <c r="D3055" s="106" t="s">
        <v>1793</v>
      </c>
      <c r="E3055" s="13" t="s">
        <v>746</v>
      </c>
      <c r="F3055" s="66">
        <v>202333000</v>
      </c>
      <c r="G3055" s="19">
        <v>1156</v>
      </c>
      <c r="H3055" s="20">
        <f>TRUNC($F3055*G3055*0.0000001,1)</f>
        <v>23389.599999999999</v>
      </c>
      <c r="I3055" s="21">
        <v>0</v>
      </c>
      <c r="J3055" s="20">
        <f>TRUNC($F3055*I3055*0.0000001,1)</f>
        <v>0</v>
      </c>
      <c r="K3055" s="21">
        <v>0</v>
      </c>
      <c r="L3055" s="20">
        <f>TRUNC($F3055*K3055*0.0000001,1)</f>
        <v>0</v>
      </c>
    </row>
    <row r="3056" spans="1:12" ht="11.25" customHeight="1" x14ac:dyDescent="0.2">
      <c r="A3056" s="9"/>
      <c r="B3056" s="8" t="s">
        <v>770</v>
      </c>
      <c r="C3056" s="4" t="s">
        <v>953</v>
      </c>
      <c r="D3056" s="106" t="s">
        <v>1794</v>
      </c>
      <c r="E3056" s="13" t="s">
        <v>746</v>
      </c>
      <c r="F3056" s="66">
        <v>314743000</v>
      </c>
      <c r="G3056" s="21">
        <v>0</v>
      </c>
      <c r="H3056" s="20">
        <f>TRUNC($F3056*G3056*0.0000001,1)</f>
        <v>0</v>
      </c>
      <c r="I3056" s="19">
        <v>1156</v>
      </c>
      <c r="J3056" s="20">
        <f>TRUNC($F3056*I3056*0.0000001,1)</f>
        <v>36384.199999999997</v>
      </c>
      <c r="K3056" s="21">
        <v>0</v>
      </c>
      <c r="L3056" s="20">
        <f>TRUNC($F3056*K3056*0.0000001,1)</f>
        <v>0</v>
      </c>
    </row>
    <row r="3057" spans="1:12" ht="11.25" customHeight="1" x14ac:dyDescent="0.2">
      <c r="A3057" s="9"/>
      <c r="B3057" s="8" t="s">
        <v>771</v>
      </c>
      <c r="C3057" s="4" t="s">
        <v>953</v>
      </c>
      <c r="D3057" s="106" t="s">
        <v>1795</v>
      </c>
      <c r="E3057" s="13" t="s">
        <v>746</v>
      </c>
      <c r="F3057" s="66">
        <v>431650000</v>
      </c>
      <c r="G3057" s="21">
        <v>0</v>
      </c>
      <c r="H3057" s="20">
        <f>TRUNC($F3057*G3057*0.0000001,1)</f>
        <v>0</v>
      </c>
      <c r="I3057" s="21">
        <v>0</v>
      </c>
      <c r="J3057" s="20">
        <f>TRUNC($F3057*I3057*0.0000001,1)</f>
        <v>0</v>
      </c>
      <c r="K3057" s="19">
        <v>1156</v>
      </c>
      <c r="L3057" s="20">
        <f>TRUNC($F3057*K3057*0.0000001,1)</f>
        <v>49898.7</v>
      </c>
    </row>
    <row r="3058" spans="1:12" ht="11.25" customHeight="1" x14ac:dyDescent="0.2">
      <c r="A3058" s="9"/>
      <c r="C3058" s="107" t="s">
        <v>1289</v>
      </c>
      <c r="D3058" s="107"/>
      <c r="E3058" s="23"/>
      <c r="F3058" s="22"/>
      <c r="G3058" s="22"/>
      <c r="H3058" s="24">
        <f>TRUNC(SUM(H3055:H3057))</f>
        <v>23389</v>
      </c>
      <c r="I3058" s="22"/>
      <c r="J3058" s="24">
        <f>TRUNC(SUM(J3055:J3057))</f>
        <v>36384</v>
      </c>
      <c r="K3058" s="22"/>
      <c r="L3058" s="24">
        <f>TRUNC(SUM(L3055:L3057))</f>
        <v>49898</v>
      </c>
    </row>
    <row r="3059" spans="1:12" ht="11.25" customHeight="1" x14ac:dyDescent="0.2">
      <c r="A3059" s="9"/>
      <c r="C3059" s="4"/>
      <c r="D3059" s="4"/>
      <c r="E3059" s="13"/>
      <c r="F3059" s="18"/>
      <c r="G3059" s="18"/>
      <c r="H3059" s="18"/>
      <c r="I3059" s="18"/>
      <c r="J3059" s="18"/>
      <c r="K3059" s="18"/>
      <c r="L3059" s="18"/>
    </row>
    <row r="3060" spans="1:12" ht="11.25" customHeight="1" x14ac:dyDescent="0.2">
      <c r="A3060" s="9"/>
      <c r="C3060" s="126" t="s">
        <v>1286</v>
      </c>
      <c r="D3060" s="126"/>
      <c r="E3060" s="127"/>
      <c r="F3060" s="125"/>
      <c r="G3060" s="125"/>
      <c r="H3060" s="128">
        <f>TRUNC(H3058+H3047+H3053)</f>
        <v>235689</v>
      </c>
      <c r="I3060" s="125"/>
      <c r="J3060" s="128">
        <f>TRUNC(J3058+J3047+J3053)</f>
        <v>309137</v>
      </c>
      <c r="K3060" s="125"/>
      <c r="L3060" s="128">
        <f>TRUNC(L3058+L3047+L3053)</f>
        <v>325841</v>
      </c>
    </row>
    <row r="3061" spans="1:12" ht="11.25" customHeight="1" x14ac:dyDescent="0.2">
      <c r="A3061" s="9"/>
      <c r="B3061" s="186" t="s">
        <v>427</v>
      </c>
      <c r="C3061" s="187" t="s">
        <v>428</v>
      </c>
      <c r="D3061" s="187" t="s">
        <v>429</v>
      </c>
      <c r="E3061" s="188" t="s">
        <v>430</v>
      </c>
      <c r="F3061" s="188" t="s">
        <v>431</v>
      </c>
      <c r="G3061" s="94" t="s">
        <v>327</v>
      </c>
      <c r="H3061" s="151"/>
      <c r="I3061" s="94" t="s">
        <v>239</v>
      </c>
      <c r="J3061" s="151"/>
      <c r="K3061" s="94" t="s">
        <v>240</v>
      </c>
      <c r="L3061" s="151"/>
    </row>
    <row r="3062" spans="1:12" ht="11.25" customHeight="1" x14ac:dyDescent="0.2">
      <c r="A3062" s="9"/>
      <c r="B3062" s="186"/>
      <c r="C3062" s="187"/>
      <c r="D3062" s="187"/>
      <c r="E3062" s="188"/>
      <c r="F3062" s="188"/>
      <c r="G3062" s="17" t="s">
        <v>436</v>
      </c>
      <c r="H3062" s="17" t="s">
        <v>437</v>
      </c>
      <c r="I3062" s="17" t="s">
        <v>436</v>
      </c>
      <c r="J3062" s="17" t="s">
        <v>437</v>
      </c>
      <c r="K3062" s="17" t="s">
        <v>436</v>
      </c>
      <c r="L3062" s="17" t="s">
        <v>437</v>
      </c>
    </row>
    <row r="3063" spans="1:12" ht="11.25" customHeight="1" x14ac:dyDescent="0.2">
      <c r="A3063" s="9"/>
      <c r="C3063" s="4" t="s">
        <v>426</v>
      </c>
      <c r="D3063" s="4"/>
      <c r="E3063" s="13" t="s">
        <v>494</v>
      </c>
      <c r="F3063" s="25">
        <v>1505.45</v>
      </c>
      <c r="G3063" s="26">
        <v>28</v>
      </c>
      <c r="H3063" s="20">
        <f t="shared" ref="H3063" si="90">TRUNC(($F3063*G3063),1)</f>
        <v>42152.6</v>
      </c>
      <c r="I3063" s="26">
        <v>67.900000000000006</v>
      </c>
      <c r="J3063" s="20">
        <f>TRUNC(($F3063*I3063),1)</f>
        <v>102220</v>
      </c>
      <c r="K3063" s="26">
        <v>79.900000000000006</v>
      </c>
      <c r="L3063" s="20">
        <f t="shared" ref="L3063" si="91">TRUNC(($F3063*K3063),1)</f>
        <v>120285.4</v>
      </c>
    </row>
    <row r="3064" spans="1:12" ht="11.25" customHeight="1" x14ac:dyDescent="0.2">
      <c r="A3064" s="9"/>
      <c r="C3064" s="4" t="s">
        <v>495</v>
      </c>
      <c r="D3064" s="4" t="s">
        <v>203</v>
      </c>
      <c r="E3064" s="13" t="s">
        <v>232</v>
      </c>
      <c r="F3064" s="18"/>
      <c r="G3064" s="21">
        <v>54</v>
      </c>
      <c r="H3064" s="20">
        <f>TRUNC(H3063*G3064*0.01,1)</f>
        <v>22762.400000000001</v>
      </c>
      <c r="I3064" s="21">
        <v>54</v>
      </c>
      <c r="J3064" s="20">
        <f>TRUNC(J3063*I3064*0.01,1)</f>
        <v>55198.8</v>
      </c>
      <c r="K3064" s="21">
        <v>27</v>
      </c>
      <c r="L3064" s="20">
        <f>TRUNC(L3063*K3064*0.01,1)</f>
        <v>32477</v>
      </c>
    </row>
    <row r="3065" spans="1:12" ht="11.25" customHeight="1" x14ac:dyDescent="0.2">
      <c r="A3065" s="9"/>
      <c r="C3065" s="107" t="s">
        <v>799</v>
      </c>
      <c r="D3065" s="107"/>
      <c r="E3065" s="23"/>
      <c r="F3065" s="22"/>
      <c r="G3065" s="22"/>
      <c r="H3065" s="24">
        <f>TRUNC(SUM(H3063:H3064))</f>
        <v>64915</v>
      </c>
      <c r="I3065" s="22"/>
      <c r="J3065" s="24">
        <f>TRUNC(SUM(J3063:J3064))</f>
        <v>157418</v>
      </c>
      <c r="K3065" s="22"/>
      <c r="L3065" s="24">
        <f>TRUNC(SUM(L3063:L3064))</f>
        <v>152762</v>
      </c>
    </row>
    <row r="3066" spans="1:12" ht="11.25" customHeight="1" x14ac:dyDescent="0.2">
      <c r="A3066" s="9"/>
      <c r="C3066" s="4"/>
      <c r="D3066" s="4"/>
      <c r="E3066" s="13"/>
      <c r="F3066" s="18"/>
      <c r="G3066" s="18"/>
      <c r="H3066" s="18"/>
      <c r="I3066" s="18"/>
      <c r="J3066" s="18"/>
      <c r="K3066" s="18"/>
      <c r="L3066" s="18"/>
    </row>
    <row r="3067" spans="1:12" ht="11.25" customHeight="1" x14ac:dyDescent="0.2">
      <c r="A3067" s="9"/>
      <c r="C3067" s="4" t="s">
        <v>496</v>
      </c>
      <c r="D3067" s="4" t="s">
        <v>866</v>
      </c>
      <c r="E3067" s="13" t="s">
        <v>497</v>
      </c>
      <c r="F3067" s="28">
        <v>244461</v>
      </c>
      <c r="G3067" s="173">
        <v>0.20799999999999999</v>
      </c>
      <c r="H3067" s="20">
        <f t="shared" ref="H3067:H3070" si="92">TRUNC(($F3067*G3067),1)</f>
        <v>50847.8</v>
      </c>
      <c r="I3067" s="173">
        <v>0.20799999999999999</v>
      </c>
      <c r="J3067" s="20">
        <f>TRUNC(($F3067*I3067),1)</f>
        <v>50847.8</v>
      </c>
      <c r="K3067" s="173">
        <v>0.20799999999999999</v>
      </c>
      <c r="L3067" s="20">
        <f t="shared" ref="L3067:L3070" si="93">TRUNC(($F3067*K3067),1)</f>
        <v>50847.8</v>
      </c>
    </row>
    <row r="3068" spans="1:12" ht="11.25" customHeight="1" x14ac:dyDescent="0.2">
      <c r="A3068" s="9"/>
      <c r="C3068" s="4" t="s">
        <v>498</v>
      </c>
      <c r="D3068" s="4" t="s">
        <v>867</v>
      </c>
      <c r="E3068" s="13" t="s">
        <v>497</v>
      </c>
      <c r="F3068" s="28">
        <v>215132</v>
      </c>
      <c r="G3068" s="173">
        <v>0.41599999999999998</v>
      </c>
      <c r="H3068" s="20">
        <f t="shared" si="92"/>
        <v>89494.9</v>
      </c>
      <c r="I3068" s="173">
        <v>0.41599999999999998</v>
      </c>
      <c r="J3068" s="20">
        <f>TRUNC(($F3068*I3068),1)</f>
        <v>89494.9</v>
      </c>
      <c r="K3068" s="173">
        <v>0.41599999999999998</v>
      </c>
      <c r="L3068" s="20">
        <f t="shared" si="93"/>
        <v>89494.9</v>
      </c>
    </row>
    <row r="3069" spans="1:12" ht="11.25" customHeight="1" x14ac:dyDescent="0.2">
      <c r="A3069" s="9"/>
      <c r="C3069" s="4" t="s">
        <v>499</v>
      </c>
      <c r="D3069" s="4" t="s">
        <v>866</v>
      </c>
      <c r="E3069" s="13" t="s">
        <v>497</v>
      </c>
      <c r="F3069" s="28">
        <v>209409</v>
      </c>
      <c r="G3069" s="173">
        <v>0.20799999999999999</v>
      </c>
      <c r="H3069" s="20">
        <f t="shared" si="92"/>
        <v>43557</v>
      </c>
      <c r="I3069" s="173">
        <v>0.20799999999999999</v>
      </c>
      <c r="J3069" s="20">
        <f>TRUNC(($F3069*I3069),1)</f>
        <v>43557</v>
      </c>
      <c r="K3069" s="173">
        <v>0.20799999999999999</v>
      </c>
      <c r="L3069" s="20">
        <f t="shared" si="93"/>
        <v>43557</v>
      </c>
    </row>
    <row r="3070" spans="1:12" ht="11.25" customHeight="1" x14ac:dyDescent="0.2">
      <c r="A3070" s="9"/>
      <c r="C3070" s="4" t="s">
        <v>59</v>
      </c>
      <c r="D3070" s="4" t="s">
        <v>871</v>
      </c>
      <c r="E3070" s="13" t="s">
        <v>497</v>
      </c>
      <c r="F3070" s="28">
        <v>208490</v>
      </c>
      <c r="G3070" s="173">
        <v>0.41599999999999998</v>
      </c>
      <c r="H3070" s="20">
        <f t="shared" si="92"/>
        <v>86731.8</v>
      </c>
      <c r="I3070" s="173">
        <v>0.41599999999999998</v>
      </c>
      <c r="J3070" s="20">
        <f>TRUNC(($F3070*I3070),1)</f>
        <v>86731.8</v>
      </c>
      <c r="K3070" s="173">
        <v>0.625</v>
      </c>
      <c r="L3070" s="20">
        <f t="shared" si="93"/>
        <v>130306.2</v>
      </c>
    </row>
    <row r="3071" spans="1:12" ht="11.25" customHeight="1" x14ac:dyDescent="0.2">
      <c r="A3071" s="9"/>
      <c r="C3071" s="107" t="s">
        <v>1285</v>
      </c>
      <c r="D3071" s="107"/>
      <c r="E3071" s="23"/>
      <c r="F3071" s="22"/>
      <c r="G3071" s="22"/>
      <c r="H3071" s="24">
        <f>TRUNC(SUM(H3067:H3070))</f>
        <v>270631</v>
      </c>
      <c r="I3071" s="22"/>
      <c r="J3071" s="24">
        <f>TRUNC(SUM(J3067:J3070))</f>
        <v>270631</v>
      </c>
      <c r="K3071" s="22"/>
      <c r="L3071" s="24">
        <f>TRUNC(SUM(L3067:L3070))</f>
        <v>314205</v>
      </c>
    </row>
    <row r="3072" spans="1:12" ht="11.25" customHeight="1" x14ac:dyDescent="0.2">
      <c r="A3072" s="9"/>
      <c r="C3072" s="4"/>
      <c r="D3072" s="4"/>
      <c r="E3072" s="13"/>
      <c r="F3072" s="18"/>
      <c r="G3072" s="18"/>
      <c r="H3072" s="18"/>
      <c r="I3072" s="18"/>
      <c r="J3072" s="18"/>
      <c r="K3072" s="18"/>
      <c r="L3072" s="18"/>
    </row>
    <row r="3073" spans="1:14" ht="11.25" customHeight="1" x14ac:dyDescent="0.2">
      <c r="A3073" s="9"/>
      <c r="B3073" s="8" t="s">
        <v>772</v>
      </c>
      <c r="C3073" s="4" t="s">
        <v>953</v>
      </c>
      <c r="D3073" s="106" t="s">
        <v>1796</v>
      </c>
      <c r="E3073" s="13" t="s">
        <v>746</v>
      </c>
      <c r="F3073" s="66">
        <v>724319000</v>
      </c>
      <c r="G3073" s="19">
        <v>1156</v>
      </c>
      <c r="H3073" s="20">
        <f>TRUNC($F3073*G3073*0.0000001,1)</f>
        <v>83731.199999999997</v>
      </c>
      <c r="I3073" s="21">
        <v>0</v>
      </c>
      <c r="J3073" s="20">
        <f>TRUNC($F3073*I3073*0.0000001,1)</f>
        <v>0</v>
      </c>
      <c r="K3073" s="21">
        <v>0</v>
      </c>
      <c r="L3073" s="20">
        <f>TRUNC($F3073*K3073*0.0000001,1)</f>
        <v>0</v>
      </c>
    </row>
    <row r="3074" spans="1:14" ht="11.25" customHeight="1" x14ac:dyDescent="0.2">
      <c r="A3074" s="9"/>
      <c r="B3074" s="8" t="s">
        <v>320</v>
      </c>
      <c r="C3074" s="4" t="s">
        <v>953</v>
      </c>
      <c r="D3074" s="106" t="s">
        <v>1797</v>
      </c>
      <c r="E3074" s="13" t="s">
        <v>746</v>
      </c>
      <c r="F3074" s="66">
        <v>886911000</v>
      </c>
      <c r="G3074" s="21">
        <v>0</v>
      </c>
      <c r="H3074" s="20">
        <f>TRUNC($F3074*G3074*0.0000001,1)</f>
        <v>0</v>
      </c>
      <c r="I3074" s="19">
        <v>1156</v>
      </c>
      <c r="J3074" s="20">
        <f>TRUNC($F3074*I3074*0.0000001,1)</f>
        <v>102526.9</v>
      </c>
      <c r="K3074" s="21">
        <v>0</v>
      </c>
      <c r="L3074" s="20">
        <f>TRUNC($F3074*K3074*0.0000001,1)</f>
        <v>0</v>
      </c>
    </row>
    <row r="3075" spans="1:14" ht="11.25" customHeight="1" x14ac:dyDescent="0.2">
      <c r="A3075" s="9"/>
      <c r="B3075" s="8" t="s">
        <v>321</v>
      </c>
      <c r="C3075" s="4" t="s">
        <v>953</v>
      </c>
      <c r="D3075" s="106" t="s">
        <v>1798</v>
      </c>
      <c r="E3075" s="13" t="s">
        <v>746</v>
      </c>
      <c r="F3075" s="66">
        <v>1227141000</v>
      </c>
      <c r="G3075" s="21">
        <v>0</v>
      </c>
      <c r="H3075" s="20">
        <f>TRUNC($F3075*G3075*0.0000001,1)</f>
        <v>0</v>
      </c>
      <c r="I3075" s="21">
        <v>0</v>
      </c>
      <c r="J3075" s="20">
        <f>TRUNC($F3075*I3075*0.0000001,1)</f>
        <v>0</v>
      </c>
      <c r="K3075" s="19">
        <v>1156</v>
      </c>
      <c r="L3075" s="20">
        <f>TRUNC($F3075*K3075*0.0000001,1)</f>
        <v>141857.4</v>
      </c>
    </row>
    <row r="3076" spans="1:14" ht="11.25" customHeight="1" x14ac:dyDescent="0.2">
      <c r="A3076" s="9"/>
      <c r="C3076" s="107" t="s">
        <v>1289</v>
      </c>
      <c r="D3076" s="107"/>
      <c r="E3076" s="23"/>
      <c r="F3076" s="22"/>
      <c r="G3076" s="22"/>
      <c r="H3076" s="24">
        <f>TRUNC(SUM(H3073:H3075))</f>
        <v>83731</v>
      </c>
      <c r="I3076" s="22"/>
      <c r="J3076" s="24">
        <f>TRUNC(SUM(J3073:J3075))</f>
        <v>102526</v>
      </c>
      <c r="K3076" s="22"/>
      <c r="L3076" s="24">
        <f>TRUNC(SUM(L3073:L3075))</f>
        <v>141857</v>
      </c>
    </row>
    <row r="3077" spans="1:14" ht="11.25" customHeight="1" x14ac:dyDescent="0.2">
      <c r="A3077" s="9"/>
      <c r="C3077" s="4"/>
      <c r="D3077" s="4"/>
      <c r="E3077" s="13"/>
      <c r="F3077" s="18"/>
      <c r="G3077" s="18"/>
      <c r="H3077" s="18"/>
      <c r="I3077" s="18"/>
      <c r="J3077" s="18"/>
      <c r="K3077" s="18"/>
      <c r="L3077" s="18"/>
    </row>
    <row r="3078" spans="1:14" ht="11.25" customHeight="1" x14ac:dyDescent="0.2">
      <c r="A3078" s="9"/>
      <c r="B3078" s="16"/>
      <c r="C3078" s="108" t="s">
        <v>1286</v>
      </c>
      <c r="D3078" s="108"/>
      <c r="E3078" s="103"/>
      <c r="F3078" s="102"/>
      <c r="G3078" s="102"/>
      <c r="H3078" s="104">
        <f>TRUNC(H3076+H3065+H3071)</f>
        <v>419277</v>
      </c>
      <c r="I3078" s="102"/>
      <c r="J3078" s="104">
        <f>TRUNC(J3076+J3065+J3071)</f>
        <v>530575</v>
      </c>
      <c r="K3078" s="102"/>
      <c r="L3078" s="104">
        <f>TRUNC(L3076+L3065+L3071)</f>
        <v>608824</v>
      </c>
    </row>
    <row r="3079" spans="1:14" ht="11.25" customHeight="1" x14ac:dyDescent="0.2">
      <c r="A3079" s="9"/>
      <c r="B3079" s="186" t="s">
        <v>427</v>
      </c>
      <c r="C3079" s="187" t="s">
        <v>428</v>
      </c>
      <c r="D3079" s="187" t="s">
        <v>429</v>
      </c>
      <c r="E3079" s="188" t="s">
        <v>430</v>
      </c>
      <c r="F3079" s="188" t="s">
        <v>431</v>
      </c>
      <c r="G3079" s="94" t="s">
        <v>241</v>
      </c>
      <c r="H3079" s="151"/>
      <c r="I3079" s="190" t="s">
        <v>242</v>
      </c>
      <c r="J3079" s="191"/>
      <c r="K3079" s="38"/>
      <c r="L3079" s="38"/>
      <c r="M3079" s="38"/>
      <c r="N3079" s="38"/>
    </row>
    <row r="3080" spans="1:14" ht="11.25" customHeight="1" x14ac:dyDescent="0.2">
      <c r="A3080" s="9"/>
      <c r="B3080" s="186"/>
      <c r="C3080" s="187"/>
      <c r="D3080" s="187"/>
      <c r="E3080" s="188"/>
      <c r="F3080" s="188"/>
      <c r="G3080" s="17" t="s">
        <v>436</v>
      </c>
      <c r="H3080" s="17" t="s">
        <v>437</v>
      </c>
      <c r="I3080" s="17" t="s">
        <v>436</v>
      </c>
      <c r="J3080" s="17" t="s">
        <v>437</v>
      </c>
      <c r="K3080" s="9"/>
      <c r="L3080" s="9"/>
      <c r="M3080" s="9"/>
      <c r="N3080" s="9"/>
    </row>
    <row r="3081" spans="1:14" ht="11.25" customHeight="1" x14ac:dyDescent="0.2">
      <c r="A3081" s="9"/>
      <c r="C3081" s="4" t="s">
        <v>426</v>
      </c>
      <c r="D3081" s="4"/>
      <c r="E3081" s="13" t="s">
        <v>494</v>
      </c>
      <c r="F3081" s="25">
        <v>1505.45</v>
      </c>
      <c r="G3081" s="26">
        <v>91.7</v>
      </c>
      <c r="H3081" s="20">
        <f t="shared" ref="H3081" si="94">TRUNC(($F3081*G3081),1)</f>
        <v>138049.70000000001</v>
      </c>
      <c r="I3081" s="26">
        <v>203.7</v>
      </c>
      <c r="J3081" s="20">
        <f>TRUNC(($F3081*I3081),1)</f>
        <v>306660.09999999998</v>
      </c>
      <c r="K3081" s="52"/>
      <c r="L3081" s="32"/>
      <c r="M3081" s="52"/>
      <c r="N3081" s="32"/>
    </row>
    <row r="3082" spans="1:14" ht="11.25" customHeight="1" x14ac:dyDescent="0.2">
      <c r="A3082" s="9"/>
      <c r="C3082" s="4" t="s">
        <v>495</v>
      </c>
      <c r="D3082" s="4" t="s">
        <v>203</v>
      </c>
      <c r="E3082" s="13" t="s">
        <v>232</v>
      </c>
      <c r="F3082" s="18"/>
      <c r="G3082" s="21">
        <v>27</v>
      </c>
      <c r="H3082" s="20">
        <f>TRUNC(H3081*G3082*0.01,1)</f>
        <v>37273.4</v>
      </c>
      <c r="I3082" s="21">
        <v>23</v>
      </c>
      <c r="J3082" s="20">
        <f>TRUNC(J3081*I3082*0.01,1)</f>
        <v>70531.8</v>
      </c>
      <c r="K3082" s="39"/>
      <c r="L3082" s="32"/>
      <c r="M3082" s="39"/>
      <c r="N3082" s="32"/>
    </row>
    <row r="3083" spans="1:14" ht="11.25" customHeight="1" x14ac:dyDescent="0.2">
      <c r="A3083" s="9"/>
      <c r="C3083" s="107" t="s">
        <v>799</v>
      </c>
      <c r="D3083" s="107"/>
      <c r="E3083" s="23"/>
      <c r="F3083" s="22"/>
      <c r="G3083" s="22"/>
      <c r="H3083" s="24">
        <f>TRUNC(SUM(H3081:H3082))</f>
        <v>175323</v>
      </c>
      <c r="I3083" s="22"/>
      <c r="J3083" s="24">
        <f>TRUNC(SUM(J3081:J3082))</f>
        <v>377191</v>
      </c>
      <c r="K3083" s="43"/>
      <c r="L3083" s="54"/>
      <c r="M3083" s="43"/>
      <c r="N3083" s="54"/>
    </row>
    <row r="3084" spans="1:14" ht="11.25" customHeight="1" x14ac:dyDescent="0.2">
      <c r="A3084" s="9"/>
      <c r="C3084" s="4"/>
      <c r="D3084" s="4"/>
      <c r="E3084" s="18"/>
      <c r="F3084" s="18"/>
      <c r="G3084" s="18"/>
      <c r="H3084" s="18"/>
      <c r="I3084" s="18"/>
      <c r="J3084" s="18"/>
    </row>
    <row r="3085" spans="1:14" ht="11.25" customHeight="1" x14ac:dyDescent="0.2">
      <c r="A3085" s="9"/>
      <c r="C3085" s="4" t="s">
        <v>496</v>
      </c>
      <c r="D3085" s="4" t="s">
        <v>866</v>
      </c>
      <c r="E3085" s="13" t="s">
        <v>497</v>
      </c>
      <c r="F3085" s="28">
        <v>244461</v>
      </c>
      <c r="G3085" s="173">
        <v>0.20799999999999999</v>
      </c>
      <c r="H3085" s="20">
        <f t="shared" ref="H3085:H3088" si="95">TRUNC(($F3085*G3085),1)</f>
        <v>50847.8</v>
      </c>
      <c r="I3085" s="173">
        <v>0.20799999999999999</v>
      </c>
      <c r="J3085" s="20">
        <f>TRUNC(($F3085*I3085),1)</f>
        <v>50847.8</v>
      </c>
      <c r="K3085" s="144"/>
      <c r="L3085" s="32"/>
      <c r="M3085" s="144"/>
      <c r="N3085" s="32"/>
    </row>
    <row r="3086" spans="1:14" ht="11.25" customHeight="1" x14ac:dyDescent="0.2">
      <c r="A3086" s="9"/>
      <c r="C3086" s="4" t="s">
        <v>498</v>
      </c>
      <c r="D3086" s="4" t="s">
        <v>871</v>
      </c>
      <c r="E3086" s="13" t="s">
        <v>497</v>
      </c>
      <c r="F3086" s="28">
        <v>215132</v>
      </c>
      <c r="G3086" s="173">
        <v>0.41599999999999998</v>
      </c>
      <c r="H3086" s="20">
        <f t="shared" si="95"/>
        <v>89494.9</v>
      </c>
      <c r="I3086" s="173">
        <v>0.625</v>
      </c>
      <c r="J3086" s="20">
        <f>TRUNC(($F3086*I3086),1)</f>
        <v>134457.5</v>
      </c>
      <c r="K3086" s="144"/>
      <c r="L3086" s="32"/>
      <c r="M3086" s="144"/>
      <c r="N3086" s="32"/>
    </row>
    <row r="3087" spans="1:14" ht="11.25" customHeight="1" x14ac:dyDescent="0.2">
      <c r="A3087" s="9"/>
      <c r="C3087" s="4" t="s">
        <v>499</v>
      </c>
      <c r="D3087" s="4" t="s">
        <v>866</v>
      </c>
      <c r="E3087" s="13" t="s">
        <v>497</v>
      </c>
      <c r="F3087" s="28">
        <v>209409</v>
      </c>
      <c r="G3087" s="173">
        <v>0.20799999999999999</v>
      </c>
      <c r="H3087" s="20">
        <f t="shared" si="95"/>
        <v>43557</v>
      </c>
      <c r="I3087" s="173">
        <v>0.20799999999999999</v>
      </c>
      <c r="J3087" s="20">
        <f>TRUNC(($F3087*I3087),1)</f>
        <v>43557</v>
      </c>
      <c r="K3087" s="144"/>
      <c r="L3087" s="32"/>
      <c r="M3087" s="144"/>
      <c r="N3087" s="32"/>
    </row>
    <row r="3088" spans="1:14" ht="11.25" customHeight="1" x14ac:dyDescent="0.2">
      <c r="A3088" s="9"/>
      <c r="C3088" s="4" t="s">
        <v>59</v>
      </c>
      <c r="D3088" s="4" t="s">
        <v>861</v>
      </c>
      <c r="E3088" s="13" t="s">
        <v>497</v>
      </c>
      <c r="F3088" s="28">
        <v>208490</v>
      </c>
      <c r="G3088" s="173">
        <v>0.625</v>
      </c>
      <c r="H3088" s="20">
        <f t="shared" si="95"/>
        <v>130306.2</v>
      </c>
      <c r="I3088" s="173">
        <v>0.625</v>
      </c>
      <c r="J3088" s="20">
        <f>TRUNC(($F3088*I3088),1)</f>
        <v>130306.2</v>
      </c>
      <c r="K3088" s="144"/>
      <c r="L3088" s="32"/>
      <c r="M3088" s="144"/>
      <c r="N3088" s="32"/>
    </row>
    <row r="3089" spans="1:14" ht="11.25" customHeight="1" x14ac:dyDescent="0.2">
      <c r="A3089" s="9"/>
      <c r="C3089" s="107" t="s">
        <v>1285</v>
      </c>
      <c r="D3089" s="107"/>
      <c r="E3089" s="23"/>
      <c r="F3089" s="22"/>
      <c r="G3089" s="22"/>
      <c r="H3089" s="24">
        <f>TRUNC(SUM(H3085:H3088))</f>
        <v>314205</v>
      </c>
      <c r="I3089" s="22"/>
      <c r="J3089" s="24">
        <f>TRUNC(SUM(J3085:J3088))</f>
        <v>359168</v>
      </c>
      <c r="K3089" s="43"/>
      <c r="L3089" s="54"/>
      <c r="M3089" s="43"/>
      <c r="N3089" s="54"/>
    </row>
    <row r="3090" spans="1:14" ht="11.25" customHeight="1" x14ac:dyDescent="0.2">
      <c r="A3090" s="9"/>
      <c r="C3090" s="4"/>
      <c r="D3090" s="4"/>
      <c r="E3090" s="13"/>
      <c r="F3090" s="18"/>
      <c r="G3090" s="18"/>
      <c r="H3090" s="18"/>
      <c r="I3090" s="18"/>
      <c r="J3090" s="18"/>
    </row>
    <row r="3091" spans="1:14" ht="11.25" customHeight="1" x14ac:dyDescent="0.2">
      <c r="A3091" s="9"/>
      <c r="B3091" s="8" t="s">
        <v>774</v>
      </c>
      <c r="C3091" s="4" t="s">
        <v>953</v>
      </c>
      <c r="D3091" s="168" t="s">
        <v>1799</v>
      </c>
      <c r="E3091" s="13" t="s">
        <v>746</v>
      </c>
      <c r="F3091" s="66">
        <v>1948080000</v>
      </c>
      <c r="G3091" s="19">
        <v>1156</v>
      </c>
      <c r="H3091" s="20">
        <f>TRUNC($F3091*G3091*0.0000001,1)</f>
        <v>225198</v>
      </c>
      <c r="I3091" s="21">
        <v>0</v>
      </c>
      <c r="J3091" s="20">
        <f>TRUNC($F3091*I3091*0.0000001,1)</f>
        <v>0</v>
      </c>
      <c r="K3091" s="39"/>
      <c r="L3091" s="32"/>
      <c r="M3091" s="39"/>
      <c r="N3091" s="32"/>
    </row>
    <row r="3092" spans="1:14" ht="11.25" customHeight="1" x14ac:dyDescent="0.2">
      <c r="A3092" s="9"/>
      <c r="B3092" s="8" t="s">
        <v>322</v>
      </c>
      <c r="C3092" s="4" t="s">
        <v>953</v>
      </c>
      <c r="D3092" s="168" t="s">
        <v>1800</v>
      </c>
      <c r="E3092" s="13" t="s">
        <v>746</v>
      </c>
      <c r="F3092" s="66">
        <v>3672033000</v>
      </c>
      <c r="G3092" s="21">
        <v>0</v>
      </c>
      <c r="H3092" s="20">
        <f>TRUNC($F3092*G3092*0.0000001,1)</f>
        <v>0</v>
      </c>
      <c r="I3092" s="19">
        <v>1156</v>
      </c>
      <c r="J3092" s="20">
        <f>TRUNC($F3092*I3092*0.0000001,1)</f>
        <v>424487</v>
      </c>
      <c r="K3092" s="39"/>
      <c r="L3092" s="32"/>
      <c r="M3092" s="39"/>
      <c r="N3092" s="32"/>
    </row>
    <row r="3093" spans="1:14" ht="11.25" customHeight="1" x14ac:dyDescent="0.2">
      <c r="A3093" s="9"/>
      <c r="C3093" s="107" t="s">
        <v>1289</v>
      </c>
      <c r="D3093" s="107"/>
      <c r="E3093" s="23"/>
      <c r="F3093" s="22"/>
      <c r="G3093" s="22"/>
      <c r="H3093" s="24">
        <f>TRUNC(SUM(H3091:H3092))</f>
        <v>225198</v>
      </c>
      <c r="I3093" s="22"/>
      <c r="J3093" s="24">
        <f>TRUNC(SUM(J3091:J3092))</f>
        <v>424487</v>
      </c>
      <c r="K3093" s="43"/>
      <c r="L3093" s="54"/>
      <c r="M3093" s="43"/>
      <c r="N3093" s="54"/>
    </row>
    <row r="3094" spans="1:14" ht="11.25" customHeight="1" x14ac:dyDescent="0.2">
      <c r="A3094" s="9"/>
      <c r="C3094" s="4"/>
      <c r="D3094" s="4"/>
      <c r="E3094" s="18"/>
      <c r="F3094" s="18"/>
      <c r="G3094" s="18"/>
      <c r="H3094" s="18"/>
      <c r="I3094" s="18"/>
      <c r="J3094" s="18"/>
    </row>
    <row r="3095" spans="1:14" ht="11.25" customHeight="1" x14ac:dyDescent="0.2">
      <c r="A3095" s="9"/>
      <c r="C3095" s="126" t="s">
        <v>1286</v>
      </c>
      <c r="D3095" s="126"/>
      <c r="E3095" s="127"/>
      <c r="F3095" s="125"/>
      <c r="G3095" s="125"/>
      <c r="H3095" s="128">
        <f>TRUNC(H3093+H3083+H3089)</f>
        <v>714726</v>
      </c>
      <c r="I3095" s="125"/>
      <c r="J3095" s="128">
        <f>TRUNC(J3093+J3083+J3089)</f>
        <v>1160846</v>
      </c>
      <c r="K3095" s="43"/>
      <c r="L3095" s="36"/>
      <c r="M3095" s="43"/>
      <c r="N3095" s="36"/>
    </row>
    <row r="3096" spans="1:14" ht="11.25" customHeight="1" x14ac:dyDescent="0.2">
      <c r="A3096" s="9"/>
      <c r="B3096" s="186" t="s">
        <v>427</v>
      </c>
      <c r="C3096" s="187" t="s">
        <v>428</v>
      </c>
      <c r="D3096" s="187" t="s">
        <v>429</v>
      </c>
      <c r="E3096" s="188" t="s">
        <v>430</v>
      </c>
      <c r="F3096" s="188" t="s">
        <v>431</v>
      </c>
      <c r="G3096" s="94" t="s">
        <v>243</v>
      </c>
      <c r="H3096" s="151"/>
      <c r="I3096" s="94" t="s">
        <v>244</v>
      </c>
      <c r="J3096" s="151"/>
      <c r="K3096" s="43"/>
      <c r="L3096" s="36"/>
      <c r="M3096" s="43"/>
      <c r="N3096" s="36"/>
    </row>
    <row r="3097" spans="1:14" ht="11.25" customHeight="1" x14ac:dyDescent="0.2">
      <c r="A3097" s="9"/>
      <c r="B3097" s="186"/>
      <c r="C3097" s="187"/>
      <c r="D3097" s="187"/>
      <c r="E3097" s="188"/>
      <c r="F3097" s="188"/>
      <c r="G3097" s="17" t="s">
        <v>436</v>
      </c>
      <c r="H3097" s="17" t="s">
        <v>437</v>
      </c>
      <c r="I3097" s="17" t="s">
        <v>436</v>
      </c>
      <c r="J3097" s="17" t="s">
        <v>437</v>
      </c>
      <c r="K3097" s="43"/>
      <c r="L3097" s="36"/>
      <c r="M3097" s="43"/>
      <c r="N3097" s="36"/>
    </row>
    <row r="3098" spans="1:14" ht="11.25" customHeight="1" x14ac:dyDescent="0.2">
      <c r="A3098" s="9"/>
      <c r="C3098" s="4" t="s">
        <v>426</v>
      </c>
      <c r="D3098" s="4"/>
      <c r="E3098" s="13" t="s">
        <v>494</v>
      </c>
      <c r="F3098" s="25">
        <v>1505.45</v>
      </c>
      <c r="G3098" s="26">
        <v>224.2</v>
      </c>
      <c r="H3098" s="20">
        <f t="shared" ref="H3098" si="96">TRUNC(($F3098*G3098),1)</f>
        <v>337521.8</v>
      </c>
      <c r="I3098" s="26">
        <v>250.5</v>
      </c>
      <c r="J3098" s="20">
        <f>TRUNC(($F3098*I3098),1)</f>
        <v>377115.2</v>
      </c>
      <c r="K3098" s="43"/>
      <c r="L3098" s="36"/>
      <c r="M3098" s="43"/>
      <c r="N3098" s="36"/>
    </row>
    <row r="3099" spans="1:14" ht="11.25" customHeight="1" x14ac:dyDescent="0.2">
      <c r="A3099" s="9"/>
      <c r="C3099" s="4" t="s">
        <v>495</v>
      </c>
      <c r="D3099" s="4" t="s">
        <v>203</v>
      </c>
      <c r="E3099" s="13" t="s">
        <v>232</v>
      </c>
      <c r="F3099" s="18"/>
      <c r="G3099" s="21">
        <v>23</v>
      </c>
      <c r="H3099" s="20">
        <f>TRUNC(H3098*G3099*0.01,1)</f>
        <v>77630</v>
      </c>
      <c r="I3099" s="21">
        <v>23</v>
      </c>
      <c r="J3099" s="20">
        <f>TRUNC(J3098*I3099*0.01,1)</f>
        <v>86736.4</v>
      </c>
      <c r="K3099" s="43"/>
      <c r="L3099" s="36"/>
      <c r="M3099" s="43"/>
      <c r="N3099" s="36"/>
    </row>
    <row r="3100" spans="1:14" ht="11.25" customHeight="1" x14ac:dyDescent="0.2">
      <c r="A3100" s="9"/>
      <c r="C3100" s="107" t="s">
        <v>799</v>
      </c>
      <c r="D3100" s="107"/>
      <c r="E3100" s="23"/>
      <c r="F3100" s="22"/>
      <c r="G3100" s="22"/>
      <c r="H3100" s="24">
        <f>TRUNC(SUM(H3098:H3099))</f>
        <v>415151</v>
      </c>
      <c r="I3100" s="22"/>
      <c r="J3100" s="24">
        <f>TRUNC(SUM(J3098:J3099))</f>
        <v>463851</v>
      </c>
      <c r="K3100" s="43"/>
      <c r="L3100" s="36"/>
      <c r="M3100" s="43"/>
      <c r="N3100" s="36"/>
    </row>
    <row r="3101" spans="1:14" ht="11.25" customHeight="1" x14ac:dyDescent="0.2">
      <c r="A3101" s="9"/>
      <c r="C3101" s="4"/>
      <c r="D3101" s="4"/>
      <c r="E3101" s="18"/>
      <c r="F3101" s="18"/>
      <c r="G3101" s="18"/>
      <c r="H3101" s="18"/>
      <c r="I3101" s="18"/>
      <c r="J3101" s="18"/>
      <c r="K3101" s="43"/>
      <c r="L3101" s="36"/>
      <c r="M3101" s="43"/>
      <c r="N3101" s="36"/>
    </row>
    <row r="3102" spans="1:14" ht="11.25" customHeight="1" x14ac:dyDescent="0.2">
      <c r="A3102" s="9"/>
      <c r="C3102" s="4" t="s">
        <v>496</v>
      </c>
      <c r="D3102" s="4" t="s">
        <v>866</v>
      </c>
      <c r="E3102" s="13" t="s">
        <v>497</v>
      </c>
      <c r="F3102" s="28">
        <v>244461</v>
      </c>
      <c r="G3102" s="173">
        <v>0.20799999999999999</v>
      </c>
      <c r="H3102" s="20">
        <f t="shared" ref="H3102:H3105" si="97">TRUNC(($F3102*G3102),1)</f>
        <v>50847.8</v>
      </c>
      <c r="I3102" s="173">
        <v>0.20799999999999999</v>
      </c>
      <c r="J3102" s="20">
        <f>TRUNC(($F3102*I3102),1)</f>
        <v>50847.8</v>
      </c>
      <c r="K3102" s="43"/>
      <c r="L3102" s="36"/>
      <c r="M3102" s="43"/>
      <c r="N3102" s="36"/>
    </row>
    <row r="3103" spans="1:14" ht="11.25" customHeight="1" x14ac:dyDescent="0.2">
      <c r="A3103" s="9"/>
      <c r="C3103" s="4" t="s">
        <v>498</v>
      </c>
      <c r="D3103" s="4" t="s">
        <v>861</v>
      </c>
      <c r="E3103" s="13" t="s">
        <v>497</v>
      </c>
      <c r="F3103" s="28">
        <v>215132</v>
      </c>
      <c r="G3103" s="173">
        <v>0.625</v>
      </c>
      <c r="H3103" s="20">
        <f t="shared" si="97"/>
        <v>134457.5</v>
      </c>
      <c r="I3103" s="173">
        <v>0.625</v>
      </c>
      <c r="J3103" s="20">
        <f>TRUNC(($F3103*I3103),1)</f>
        <v>134457.5</v>
      </c>
      <c r="K3103" s="43"/>
      <c r="L3103" s="36"/>
      <c r="M3103" s="43"/>
      <c r="N3103" s="36"/>
    </row>
    <row r="3104" spans="1:14" ht="11.25" customHeight="1" x14ac:dyDescent="0.2">
      <c r="A3104" s="9"/>
      <c r="C3104" s="4" t="s">
        <v>499</v>
      </c>
      <c r="D3104" s="4" t="s">
        <v>866</v>
      </c>
      <c r="E3104" s="13" t="s">
        <v>497</v>
      </c>
      <c r="F3104" s="28">
        <v>209409</v>
      </c>
      <c r="G3104" s="173">
        <v>0.20799999999999999</v>
      </c>
      <c r="H3104" s="20">
        <f t="shared" si="97"/>
        <v>43557</v>
      </c>
      <c r="I3104" s="173">
        <v>0.20799999999999999</v>
      </c>
      <c r="J3104" s="20">
        <f>TRUNC(($F3104*I3104),1)</f>
        <v>43557</v>
      </c>
      <c r="K3104" s="43"/>
      <c r="L3104" s="36"/>
      <c r="M3104" s="43"/>
      <c r="N3104" s="36"/>
    </row>
    <row r="3105" spans="1:14" ht="11.25" customHeight="1" x14ac:dyDescent="0.2">
      <c r="A3105" s="9"/>
      <c r="C3105" s="4" t="s">
        <v>59</v>
      </c>
      <c r="D3105" s="4" t="s">
        <v>861</v>
      </c>
      <c r="E3105" s="13" t="s">
        <v>497</v>
      </c>
      <c r="F3105" s="28">
        <v>208490</v>
      </c>
      <c r="G3105" s="173">
        <v>0.625</v>
      </c>
      <c r="H3105" s="20">
        <f t="shared" si="97"/>
        <v>130306.2</v>
      </c>
      <c r="I3105" s="173">
        <v>0.625</v>
      </c>
      <c r="J3105" s="20">
        <f>TRUNC(($F3105*I3105),1)</f>
        <v>130306.2</v>
      </c>
      <c r="K3105" s="43"/>
      <c r="L3105" s="36"/>
      <c r="M3105" s="43"/>
      <c r="N3105" s="36"/>
    </row>
    <row r="3106" spans="1:14" ht="11.25" customHeight="1" x14ac:dyDescent="0.2">
      <c r="A3106" s="9"/>
      <c r="C3106" s="107" t="s">
        <v>1285</v>
      </c>
      <c r="D3106" s="107"/>
      <c r="E3106" s="23"/>
      <c r="F3106" s="22"/>
      <c r="G3106" s="22"/>
      <c r="H3106" s="24">
        <f>TRUNC(SUM(H3102:H3105))</f>
        <v>359168</v>
      </c>
      <c r="I3106" s="22"/>
      <c r="J3106" s="24">
        <f>TRUNC(SUM(J3102:J3105))</f>
        <v>359168</v>
      </c>
      <c r="K3106" s="43"/>
      <c r="L3106" s="36"/>
      <c r="M3106" s="43"/>
      <c r="N3106" s="36"/>
    </row>
    <row r="3107" spans="1:14" ht="11.25" customHeight="1" x14ac:dyDescent="0.2">
      <c r="A3107" s="9"/>
      <c r="C3107" s="4"/>
      <c r="D3107" s="4"/>
      <c r="E3107" s="13"/>
      <c r="F3107" s="18"/>
      <c r="G3107" s="18"/>
      <c r="H3107" s="18"/>
      <c r="I3107" s="18"/>
      <c r="J3107" s="18"/>
      <c r="K3107" s="43"/>
      <c r="L3107" s="36"/>
      <c r="M3107" s="43"/>
      <c r="N3107" s="36"/>
    </row>
    <row r="3108" spans="1:14" ht="11.25" customHeight="1" x14ac:dyDescent="0.2">
      <c r="A3108" s="9"/>
      <c r="B3108" s="8" t="s">
        <v>323</v>
      </c>
      <c r="C3108" s="4" t="s">
        <v>953</v>
      </c>
      <c r="D3108" s="168" t="s">
        <v>1801</v>
      </c>
      <c r="E3108" s="13" t="s">
        <v>746</v>
      </c>
      <c r="F3108" s="66">
        <v>4131037000</v>
      </c>
      <c r="G3108" s="19">
        <v>1156</v>
      </c>
      <c r="H3108" s="20">
        <f>TRUNC($F3108*G3108*0.0000001,1)</f>
        <v>477547.8</v>
      </c>
      <c r="I3108" s="21">
        <v>0</v>
      </c>
      <c r="J3108" s="20">
        <f>TRUNC($F3108*I3108*0.0000001,1)</f>
        <v>0</v>
      </c>
      <c r="K3108" s="43"/>
      <c r="L3108" s="36"/>
      <c r="M3108" s="43"/>
      <c r="N3108" s="36"/>
    </row>
    <row r="3109" spans="1:14" ht="11.25" customHeight="1" x14ac:dyDescent="0.2">
      <c r="A3109" s="9"/>
      <c r="B3109" s="8" t="s">
        <v>324</v>
      </c>
      <c r="C3109" s="4" t="s">
        <v>953</v>
      </c>
      <c r="D3109" s="168" t="s">
        <v>1802</v>
      </c>
      <c r="E3109" s="13" t="s">
        <v>746</v>
      </c>
      <c r="F3109" s="66">
        <v>4623165000</v>
      </c>
      <c r="G3109" s="21">
        <v>0</v>
      </c>
      <c r="H3109" s="20">
        <f>TRUNC($F3109*G3109*0.0000001,1)</f>
        <v>0</v>
      </c>
      <c r="I3109" s="19">
        <v>1156</v>
      </c>
      <c r="J3109" s="20">
        <f>TRUNC($F3109*I3109*0.0000001,1)</f>
        <v>534437.80000000005</v>
      </c>
      <c r="K3109" s="43"/>
      <c r="L3109" s="36"/>
      <c r="M3109" s="43"/>
      <c r="N3109" s="36"/>
    </row>
    <row r="3110" spans="1:14" ht="11.25" customHeight="1" x14ac:dyDescent="0.2">
      <c r="A3110" s="9"/>
      <c r="C3110" s="107" t="s">
        <v>1289</v>
      </c>
      <c r="D3110" s="107"/>
      <c r="E3110" s="23"/>
      <c r="F3110" s="22"/>
      <c r="G3110" s="22"/>
      <c r="H3110" s="24">
        <f>TRUNC(SUM(H3108:H3109))</f>
        <v>477547</v>
      </c>
      <c r="I3110" s="22"/>
      <c r="J3110" s="24">
        <f>TRUNC(SUM(J3108:J3109))</f>
        <v>534437</v>
      </c>
      <c r="K3110" s="43"/>
      <c r="L3110" s="36"/>
      <c r="M3110" s="43"/>
      <c r="N3110" s="36"/>
    </row>
    <row r="3111" spans="1:14" ht="11.25" customHeight="1" x14ac:dyDescent="0.2">
      <c r="A3111" s="9"/>
      <c r="C3111" s="4"/>
      <c r="D3111" s="4"/>
      <c r="E3111" s="18"/>
      <c r="F3111" s="18"/>
      <c r="G3111" s="18"/>
      <c r="H3111" s="18"/>
      <c r="I3111" s="18"/>
      <c r="J3111" s="18"/>
      <c r="K3111" s="43"/>
      <c r="L3111" s="36"/>
      <c r="M3111" s="43"/>
      <c r="N3111" s="36"/>
    </row>
    <row r="3112" spans="1:14" ht="11.25" customHeight="1" x14ac:dyDescent="0.2">
      <c r="A3112" s="9"/>
      <c r="B3112" s="16"/>
      <c r="C3112" s="108" t="s">
        <v>1286</v>
      </c>
      <c r="D3112" s="108"/>
      <c r="E3112" s="103"/>
      <c r="F3112" s="102"/>
      <c r="G3112" s="102"/>
      <c r="H3112" s="104">
        <f>TRUNC(H3110+H3100+H3106)</f>
        <v>1251866</v>
      </c>
      <c r="I3112" s="102"/>
      <c r="J3112" s="104">
        <f>TRUNC(J3110+J3100+J3106)</f>
        <v>1357456</v>
      </c>
      <c r="K3112" s="43"/>
      <c r="L3112" s="36"/>
      <c r="M3112" s="43"/>
      <c r="N3112" s="36"/>
    </row>
    <row r="3113" spans="1:14" ht="11.25" customHeight="1" x14ac:dyDescent="0.2">
      <c r="A3113" s="9"/>
    </row>
    <row r="3114" spans="1:14" ht="11.25" customHeight="1" x14ac:dyDescent="0.2">
      <c r="A3114" s="9"/>
      <c r="B3114" s="68" t="s">
        <v>1803</v>
      </c>
      <c r="L3114" s="49" t="s">
        <v>1307</v>
      </c>
    </row>
    <row r="3115" spans="1:14" ht="11.25" customHeight="1" x14ac:dyDescent="0.2">
      <c r="A3115" s="9"/>
      <c r="B3115" s="186" t="s">
        <v>427</v>
      </c>
      <c r="C3115" s="187" t="s">
        <v>428</v>
      </c>
      <c r="D3115" s="187" t="s">
        <v>429</v>
      </c>
      <c r="E3115" s="188" t="s">
        <v>430</v>
      </c>
      <c r="F3115" s="188" t="s">
        <v>431</v>
      </c>
      <c r="G3115" s="94" t="s">
        <v>1804</v>
      </c>
      <c r="H3115" s="151"/>
      <c r="I3115" s="94" t="s">
        <v>1805</v>
      </c>
      <c r="J3115" s="151"/>
      <c r="K3115" s="94" t="s">
        <v>1806</v>
      </c>
      <c r="L3115" s="151"/>
      <c r="N3115" s="38"/>
    </row>
    <row r="3116" spans="1:14" ht="11.25" customHeight="1" x14ac:dyDescent="0.2">
      <c r="A3116" s="9"/>
      <c r="B3116" s="186"/>
      <c r="C3116" s="187"/>
      <c r="D3116" s="187"/>
      <c r="E3116" s="188"/>
      <c r="F3116" s="188"/>
      <c r="G3116" s="17" t="s">
        <v>436</v>
      </c>
      <c r="H3116" s="17" t="s">
        <v>437</v>
      </c>
      <c r="I3116" s="17" t="s">
        <v>436</v>
      </c>
      <c r="J3116" s="17" t="s">
        <v>437</v>
      </c>
      <c r="K3116" s="17" t="s">
        <v>436</v>
      </c>
      <c r="L3116" s="17" t="s">
        <v>437</v>
      </c>
      <c r="M3116" s="9"/>
      <c r="N3116" s="9"/>
    </row>
    <row r="3117" spans="1:14" ht="11.25" customHeight="1" x14ac:dyDescent="0.2">
      <c r="A3117" s="9"/>
      <c r="C3117" s="4" t="s">
        <v>426</v>
      </c>
      <c r="D3117" s="4"/>
      <c r="E3117" s="13" t="s">
        <v>494</v>
      </c>
      <c r="F3117" s="25">
        <v>1505.45</v>
      </c>
      <c r="G3117" s="26">
        <v>23.2</v>
      </c>
      <c r="H3117" s="20">
        <f t="shared" ref="H3117" si="98">TRUNC(($F3117*G3117),1)</f>
        <v>34926.400000000001</v>
      </c>
      <c r="I3117" s="26">
        <v>26.2</v>
      </c>
      <c r="J3117" s="20">
        <f>TRUNC(($F3117*I3117),1)</f>
        <v>39442.699999999997</v>
      </c>
      <c r="K3117" s="26">
        <v>36.4</v>
      </c>
      <c r="L3117" s="20">
        <f t="shared" ref="L3117" si="99">TRUNC(($F3117*K3117),1)</f>
        <v>54798.3</v>
      </c>
      <c r="M3117" s="52"/>
      <c r="N3117" s="32"/>
    </row>
    <row r="3118" spans="1:14" ht="11.25" customHeight="1" x14ac:dyDescent="0.2">
      <c r="A3118" s="9"/>
      <c r="C3118" s="4" t="s">
        <v>495</v>
      </c>
      <c r="D3118" s="4" t="s">
        <v>203</v>
      </c>
      <c r="E3118" s="13" t="s">
        <v>232</v>
      </c>
      <c r="F3118" s="18"/>
      <c r="G3118" s="21">
        <v>45</v>
      </c>
      <c r="H3118" s="20">
        <f>TRUNC(H3117*G3118*0.01,1)</f>
        <v>15716.8</v>
      </c>
      <c r="I3118" s="21">
        <v>45</v>
      </c>
      <c r="J3118" s="20">
        <f>TRUNC(J3117*I3118*0.01,1)</f>
        <v>17749.2</v>
      </c>
      <c r="K3118" s="21">
        <v>36</v>
      </c>
      <c r="L3118" s="20">
        <f>TRUNC(L3117*K3118*0.01,1)</f>
        <v>19727.3</v>
      </c>
      <c r="M3118" s="39"/>
      <c r="N3118" s="32"/>
    </row>
    <row r="3119" spans="1:14" ht="11.25" customHeight="1" x14ac:dyDescent="0.2">
      <c r="A3119" s="9"/>
      <c r="C3119" s="107" t="s">
        <v>799</v>
      </c>
      <c r="D3119" s="107"/>
      <c r="E3119" s="23"/>
      <c r="F3119" s="22"/>
      <c r="G3119" s="22"/>
      <c r="H3119" s="24">
        <f>TRUNC(SUM(H3117:H3118))</f>
        <v>50643</v>
      </c>
      <c r="I3119" s="22"/>
      <c r="J3119" s="24">
        <f>TRUNC(SUM(J3117:J3118))</f>
        <v>57191</v>
      </c>
      <c r="K3119" s="22"/>
      <c r="L3119" s="24">
        <f>TRUNC(SUM(L3117:L3118))</f>
        <v>74525</v>
      </c>
      <c r="M3119" s="43"/>
      <c r="N3119" s="54"/>
    </row>
    <row r="3120" spans="1:14" ht="11.25" customHeight="1" x14ac:dyDescent="0.2">
      <c r="A3120" s="9"/>
      <c r="C3120" s="4"/>
      <c r="D3120" s="4"/>
      <c r="E3120" s="18"/>
      <c r="F3120" s="18"/>
      <c r="G3120" s="18"/>
      <c r="H3120" s="18"/>
      <c r="I3120" s="18"/>
      <c r="J3120" s="18"/>
      <c r="K3120" s="18"/>
      <c r="L3120" s="18"/>
    </row>
    <row r="3121" spans="1:14" ht="11.25" customHeight="1" x14ac:dyDescent="0.2">
      <c r="A3121" s="9"/>
      <c r="C3121" s="4" t="s">
        <v>59</v>
      </c>
      <c r="D3121" s="4" t="s">
        <v>861</v>
      </c>
      <c r="E3121" s="13" t="s">
        <v>497</v>
      </c>
      <c r="F3121" s="28">
        <v>208490</v>
      </c>
      <c r="G3121" s="173">
        <v>0.625</v>
      </c>
      <c r="H3121" s="20">
        <f t="shared" ref="H3121" si="100">TRUNC(($F3121*G3121),1)</f>
        <v>130306.2</v>
      </c>
      <c r="I3121" s="173">
        <v>0.625</v>
      </c>
      <c r="J3121" s="20">
        <f>TRUNC(($F3121*I3121),1)</f>
        <v>130306.2</v>
      </c>
      <c r="K3121" s="173">
        <v>0.625</v>
      </c>
      <c r="L3121" s="20">
        <f t="shared" ref="L3121" si="101">TRUNC(($F3121*K3121),1)</f>
        <v>130306.2</v>
      </c>
      <c r="M3121" s="144"/>
      <c r="N3121" s="32"/>
    </row>
    <row r="3122" spans="1:14" ht="11.25" customHeight="1" x14ac:dyDescent="0.2">
      <c r="A3122" s="9"/>
      <c r="C3122" s="107" t="s">
        <v>1285</v>
      </c>
      <c r="D3122" s="107"/>
      <c r="E3122" s="23"/>
      <c r="F3122" s="22"/>
      <c r="G3122" s="22"/>
      <c r="H3122" s="24">
        <f>TRUNC(SUM(H3121:H3121))</f>
        <v>130306</v>
      </c>
      <c r="I3122" s="22"/>
      <c r="J3122" s="24">
        <f>TRUNC(SUM(J3121:J3121))</f>
        <v>130306</v>
      </c>
      <c r="K3122" s="22"/>
      <c r="L3122" s="24">
        <f>TRUNC(SUM(L3121:L3121))</f>
        <v>130306</v>
      </c>
      <c r="M3122" s="43"/>
      <c r="N3122" s="54"/>
    </row>
    <row r="3123" spans="1:14" ht="11.25" customHeight="1" x14ac:dyDescent="0.2">
      <c r="A3123" s="9"/>
      <c r="C3123" s="4"/>
      <c r="D3123" s="4"/>
      <c r="E3123" s="13"/>
      <c r="F3123" s="18"/>
      <c r="G3123" s="18"/>
      <c r="H3123" s="18"/>
      <c r="I3123" s="18"/>
      <c r="J3123" s="18"/>
      <c r="K3123" s="18"/>
      <c r="L3123" s="18"/>
    </row>
    <row r="3124" spans="1:14" ht="11.25" customHeight="1" x14ac:dyDescent="0.2">
      <c r="A3124" s="9"/>
      <c r="B3124" s="8" t="s">
        <v>330</v>
      </c>
      <c r="C3124" s="4" t="s">
        <v>954</v>
      </c>
      <c r="D3124" s="106" t="s">
        <v>1812</v>
      </c>
      <c r="E3124" s="13" t="s">
        <v>746</v>
      </c>
      <c r="F3124" s="66">
        <v>180790000</v>
      </c>
      <c r="G3124" s="19">
        <v>1008</v>
      </c>
      <c r="H3124" s="20">
        <f>TRUNC($F3124*G3124*0.0000001,1)</f>
        <v>18223.599999999999</v>
      </c>
      <c r="I3124" s="21">
        <v>0</v>
      </c>
      <c r="J3124" s="20">
        <f>TRUNC($F3124*I3124*0.0000001,1)</f>
        <v>0</v>
      </c>
      <c r="K3124" s="21">
        <v>0</v>
      </c>
      <c r="L3124" s="20">
        <f>TRUNC($F3124*K3124*0.0000001,1)</f>
        <v>0</v>
      </c>
      <c r="M3124" s="39"/>
      <c r="N3124" s="32"/>
    </row>
    <row r="3125" spans="1:14" ht="11.25" customHeight="1" x14ac:dyDescent="0.2">
      <c r="A3125" s="9"/>
      <c r="B3125" s="8" t="s">
        <v>331</v>
      </c>
      <c r="C3125" s="4" t="s">
        <v>954</v>
      </c>
      <c r="D3125" s="106" t="s">
        <v>1813</v>
      </c>
      <c r="E3125" s="13" t="s">
        <v>746</v>
      </c>
      <c r="F3125" s="66">
        <v>187027000</v>
      </c>
      <c r="G3125" s="21">
        <v>0</v>
      </c>
      <c r="H3125" s="20">
        <f>TRUNC($F3125*G3125*0.0000001,1)</f>
        <v>0</v>
      </c>
      <c r="I3125" s="19">
        <v>1008</v>
      </c>
      <c r="J3125" s="20">
        <f>TRUNC($F3125*I3125*0.0000001,1)</f>
        <v>18852.3</v>
      </c>
      <c r="K3125" s="21">
        <v>0</v>
      </c>
      <c r="L3125" s="20">
        <f>TRUNC($F3125*K3125*0.0000001,1)</f>
        <v>0</v>
      </c>
    </row>
    <row r="3126" spans="1:14" ht="11.25" customHeight="1" x14ac:dyDescent="0.2">
      <c r="A3126" s="9"/>
      <c r="B3126" s="8" t="s">
        <v>332</v>
      </c>
      <c r="C3126" s="4" t="s">
        <v>954</v>
      </c>
      <c r="D3126" s="106" t="s">
        <v>1814</v>
      </c>
      <c r="E3126" s="13" t="s">
        <v>746</v>
      </c>
      <c r="F3126" s="66">
        <v>246875000</v>
      </c>
      <c r="G3126" s="21">
        <v>0</v>
      </c>
      <c r="H3126" s="20">
        <f>TRUNC($F3126*G3126*0.0000001,1)</f>
        <v>0</v>
      </c>
      <c r="I3126" s="21">
        <v>0</v>
      </c>
      <c r="J3126" s="20">
        <f>TRUNC($F3126*I3126*0.0000001,1)</f>
        <v>0</v>
      </c>
      <c r="K3126" s="19">
        <v>1008</v>
      </c>
      <c r="L3126" s="20">
        <f>TRUNC($F3126*K3126*0.0000001,1)</f>
        <v>24885</v>
      </c>
      <c r="M3126" s="39"/>
      <c r="N3126" s="32"/>
    </row>
    <row r="3127" spans="1:14" ht="11.25" customHeight="1" x14ac:dyDescent="0.2">
      <c r="A3127" s="9"/>
      <c r="C3127" s="107" t="s">
        <v>1289</v>
      </c>
      <c r="D3127" s="107"/>
      <c r="E3127" s="23"/>
      <c r="F3127" s="22"/>
      <c r="G3127" s="22"/>
      <c r="H3127" s="24">
        <f>TRUNC(SUM(H3124:H3126))</f>
        <v>18223</v>
      </c>
      <c r="I3127" s="22"/>
      <c r="J3127" s="24">
        <f>TRUNC(SUM(J3124:J3126))</f>
        <v>18852</v>
      </c>
      <c r="K3127" s="22"/>
      <c r="L3127" s="24">
        <f>TRUNC(SUM(L3124:L3126))</f>
        <v>24885</v>
      </c>
      <c r="M3127" s="43"/>
      <c r="N3127" s="54"/>
    </row>
    <row r="3128" spans="1:14" ht="11.25" customHeight="1" x14ac:dyDescent="0.2">
      <c r="A3128" s="9"/>
      <c r="C3128" s="4"/>
      <c r="D3128" s="4"/>
      <c r="E3128" s="18"/>
      <c r="F3128" s="18"/>
      <c r="G3128" s="18"/>
      <c r="H3128" s="18"/>
      <c r="I3128" s="18"/>
      <c r="J3128" s="18"/>
      <c r="K3128" s="18"/>
      <c r="L3128" s="18"/>
    </row>
    <row r="3129" spans="1:14" ht="11.25" customHeight="1" x14ac:dyDescent="0.2">
      <c r="A3129" s="9"/>
      <c r="C3129" s="126" t="s">
        <v>1286</v>
      </c>
      <c r="D3129" s="126"/>
      <c r="E3129" s="127"/>
      <c r="F3129" s="125"/>
      <c r="G3129" s="125"/>
      <c r="H3129" s="128">
        <f>TRUNC(H3127+H3119+H3122)</f>
        <v>199172</v>
      </c>
      <c r="I3129" s="125"/>
      <c r="J3129" s="128">
        <f>TRUNC(J3127+J3119+J3122)</f>
        <v>206349</v>
      </c>
      <c r="K3129" s="125"/>
      <c r="L3129" s="128">
        <f>TRUNC(L3127+L3119+L3122)</f>
        <v>229716</v>
      </c>
      <c r="M3129" s="43"/>
      <c r="N3129" s="36"/>
    </row>
    <row r="3130" spans="1:14" ht="11.25" customHeight="1" x14ac:dyDescent="0.2">
      <c r="A3130" s="9"/>
      <c r="B3130" s="186" t="s">
        <v>427</v>
      </c>
      <c r="C3130" s="187" t="s">
        <v>428</v>
      </c>
      <c r="D3130" s="187" t="s">
        <v>429</v>
      </c>
      <c r="E3130" s="188" t="s">
        <v>430</v>
      </c>
      <c r="F3130" s="188" t="s">
        <v>431</v>
      </c>
      <c r="G3130" s="94" t="s">
        <v>1807</v>
      </c>
      <c r="H3130" s="151"/>
      <c r="I3130" s="94" t="s">
        <v>1808</v>
      </c>
      <c r="J3130" s="151"/>
      <c r="K3130" s="94" t="s">
        <v>1809</v>
      </c>
      <c r="L3130" s="151"/>
    </row>
    <row r="3131" spans="1:14" ht="11.25" customHeight="1" x14ac:dyDescent="0.2">
      <c r="A3131" s="9"/>
      <c r="B3131" s="186"/>
      <c r="C3131" s="187"/>
      <c r="D3131" s="187"/>
      <c r="E3131" s="188"/>
      <c r="F3131" s="188"/>
      <c r="G3131" s="17" t="s">
        <v>436</v>
      </c>
      <c r="H3131" s="17" t="s">
        <v>437</v>
      </c>
      <c r="I3131" s="17" t="s">
        <v>436</v>
      </c>
      <c r="J3131" s="17" t="s">
        <v>437</v>
      </c>
      <c r="K3131" s="17" t="s">
        <v>436</v>
      </c>
      <c r="L3131" s="17" t="s">
        <v>437</v>
      </c>
    </row>
    <row r="3132" spans="1:14" ht="11.25" customHeight="1" x14ac:dyDescent="0.2">
      <c r="A3132" s="9"/>
      <c r="C3132" s="4" t="s">
        <v>426</v>
      </c>
      <c r="D3132" s="4"/>
      <c r="E3132" s="13" t="s">
        <v>494</v>
      </c>
      <c r="F3132" s="25">
        <v>1505.45</v>
      </c>
      <c r="G3132" s="26">
        <v>50.9</v>
      </c>
      <c r="H3132" s="20">
        <f t="shared" ref="H3132" si="102">TRUNC(($F3132*G3132),1)</f>
        <v>76627.399999999994</v>
      </c>
      <c r="I3132" s="26">
        <v>65.5</v>
      </c>
      <c r="J3132" s="20">
        <f>TRUNC(($F3132*I3132),1)</f>
        <v>98606.9</v>
      </c>
      <c r="K3132" s="26">
        <v>72.8</v>
      </c>
      <c r="L3132" s="20">
        <f t="shared" ref="L3132" si="103">TRUNC(($F3132*K3132),1)</f>
        <v>109596.7</v>
      </c>
    </row>
    <row r="3133" spans="1:14" ht="11.25" customHeight="1" x14ac:dyDescent="0.2">
      <c r="A3133" s="9"/>
      <c r="C3133" s="4" t="s">
        <v>495</v>
      </c>
      <c r="D3133" s="4" t="s">
        <v>203</v>
      </c>
      <c r="E3133" s="13" t="s">
        <v>232</v>
      </c>
      <c r="F3133" s="18"/>
      <c r="G3133" s="21">
        <v>36</v>
      </c>
      <c r="H3133" s="20">
        <f>TRUNC(H3132*G3133*0.01,1)</f>
        <v>27585.8</v>
      </c>
      <c r="I3133" s="21">
        <v>32</v>
      </c>
      <c r="J3133" s="20">
        <f>TRUNC(J3132*I3133*0.01,1)</f>
        <v>31554.2</v>
      </c>
      <c r="K3133" s="21">
        <v>32</v>
      </c>
      <c r="L3133" s="20">
        <f>TRUNC(L3132*K3133*0.01,1)</f>
        <v>35070.9</v>
      </c>
    </row>
    <row r="3134" spans="1:14" ht="11.25" customHeight="1" x14ac:dyDescent="0.2">
      <c r="A3134" s="9"/>
      <c r="C3134" s="107" t="s">
        <v>799</v>
      </c>
      <c r="D3134" s="107"/>
      <c r="E3134" s="23"/>
      <c r="F3134" s="22"/>
      <c r="G3134" s="22"/>
      <c r="H3134" s="24">
        <f>TRUNC(SUM(H3132:H3133))</f>
        <v>104213</v>
      </c>
      <c r="I3134" s="22"/>
      <c r="J3134" s="24">
        <f>TRUNC(SUM(J3132:J3133))</f>
        <v>130161</v>
      </c>
      <c r="K3134" s="22"/>
      <c r="L3134" s="24">
        <f>TRUNC(SUM(L3132:L3133))</f>
        <v>144667</v>
      </c>
    </row>
    <row r="3135" spans="1:14" ht="11.25" customHeight="1" x14ac:dyDescent="0.2">
      <c r="A3135" s="9"/>
      <c r="C3135" s="4"/>
      <c r="D3135" s="4"/>
      <c r="E3135" s="18"/>
      <c r="F3135" s="18"/>
      <c r="G3135" s="18"/>
      <c r="H3135" s="18"/>
      <c r="I3135" s="18"/>
      <c r="J3135" s="18"/>
      <c r="K3135" s="18"/>
      <c r="L3135" s="18"/>
    </row>
    <row r="3136" spans="1:14" ht="11.25" customHeight="1" x14ac:dyDescent="0.2">
      <c r="A3136" s="9"/>
      <c r="C3136" s="4" t="s">
        <v>59</v>
      </c>
      <c r="D3136" s="4" t="s">
        <v>861</v>
      </c>
      <c r="E3136" s="13" t="s">
        <v>497</v>
      </c>
      <c r="F3136" s="28">
        <v>208490</v>
      </c>
      <c r="G3136" s="173">
        <v>0.625</v>
      </c>
      <c r="H3136" s="20">
        <f t="shared" ref="H3136" si="104">TRUNC(($F3136*G3136),1)</f>
        <v>130306.2</v>
      </c>
      <c r="I3136" s="173">
        <v>0.625</v>
      </c>
      <c r="J3136" s="20">
        <f>TRUNC(($F3136*I3136),1)</f>
        <v>130306.2</v>
      </c>
      <c r="K3136" s="173">
        <v>0.625</v>
      </c>
      <c r="L3136" s="20">
        <f t="shared" ref="L3136" si="105">TRUNC(($F3136*K3136),1)</f>
        <v>130306.2</v>
      </c>
    </row>
    <row r="3137" spans="1:14" ht="11.25" customHeight="1" x14ac:dyDescent="0.2">
      <c r="A3137" s="9"/>
      <c r="C3137" s="107" t="s">
        <v>1285</v>
      </c>
      <c r="D3137" s="107"/>
      <c r="E3137" s="23"/>
      <c r="F3137" s="22"/>
      <c r="G3137" s="22"/>
      <c r="H3137" s="24">
        <f>TRUNC(SUM(H3136:H3136))</f>
        <v>130306</v>
      </c>
      <c r="I3137" s="22"/>
      <c r="J3137" s="24">
        <f>TRUNC(SUM(J3136:J3136))</f>
        <v>130306</v>
      </c>
      <c r="K3137" s="22"/>
      <c r="L3137" s="24">
        <f>TRUNC(SUM(L3136:L3136))</f>
        <v>130306</v>
      </c>
    </row>
    <row r="3138" spans="1:14" ht="11.25" customHeight="1" x14ac:dyDescent="0.2">
      <c r="A3138" s="9"/>
      <c r="C3138" s="4"/>
      <c r="D3138" s="4"/>
      <c r="E3138" s="13"/>
      <c r="F3138" s="18"/>
      <c r="G3138" s="18"/>
      <c r="H3138" s="18"/>
      <c r="I3138" s="18"/>
      <c r="J3138" s="18"/>
      <c r="K3138" s="18"/>
      <c r="L3138" s="18"/>
    </row>
    <row r="3139" spans="1:14" ht="11.25" customHeight="1" x14ac:dyDescent="0.2">
      <c r="A3139" s="9"/>
      <c r="B3139" s="8" t="s">
        <v>333</v>
      </c>
      <c r="C3139" s="4" t="s">
        <v>954</v>
      </c>
      <c r="D3139" s="106" t="s">
        <v>1815</v>
      </c>
      <c r="E3139" s="13" t="s">
        <v>746</v>
      </c>
      <c r="F3139" s="66">
        <v>314205000</v>
      </c>
      <c r="G3139" s="19">
        <v>1008</v>
      </c>
      <c r="H3139" s="20">
        <f>TRUNC($F3139*G3139*0.0000001,1)</f>
        <v>31671.8</v>
      </c>
      <c r="I3139" s="21">
        <v>0</v>
      </c>
      <c r="J3139" s="20">
        <f>TRUNC($F3139*I3139*0.0000001,1)</f>
        <v>0</v>
      </c>
      <c r="K3139" s="21">
        <v>0</v>
      </c>
      <c r="L3139" s="20">
        <f>TRUNC($F3139*K3139*0.0000001,1)</f>
        <v>0</v>
      </c>
    </row>
    <row r="3140" spans="1:14" ht="11.25" customHeight="1" x14ac:dyDescent="0.2">
      <c r="A3140" s="9"/>
      <c r="B3140" s="8" t="s">
        <v>334</v>
      </c>
      <c r="C3140" s="4" t="s">
        <v>954</v>
      </c>
      <c r="D3140" s="106" t="s">
        <v>1816</v>
      </c>
      <c r="E3140" s="13" t="s">
        <v>746</v>
      </c>
      <c r="F3140" s="66">
        <v>389017000</v>
      </c>
      <c r="G3140" s="21">
        <v>0</v>
      </c>
      <c r="H3140" s="20">
        <f>TRUNC($F3140*G3140*0.0000001,1)</f>
        <v>0</v>
      </c>
      <c r="I3140" s="19">
        <v>1008</v>
      </c>
      <c r="J3140" s="20">
        <f>TRUNC($F3140*I3140*0.0000001,1)</f>
        <v>39212.9</v>
      </c>
      <c r="K3140" s="21">
        <v>0</v>
      </c>
      <c r="L3140" s="20">
        <f>TRUNC($F3140*K3140*0.0000001,1)</f>
        <v>0</v>
      </c>
    </row>
    <row r="3141" spans="1:14" ht="11.25" customHeight="1" x14ac:dyDescent="0.2">
      <c r="A3141" s="9"/>
      <c r="B3141" s="8" t="s">
        <v>775</v>
      </c>
      <c r="C3141" s="4" t="s">
        <v>954</v>
      </c>
      <c r="D3141" s="106" t="s">
        <v>1817</v>
      </c>
      <c r="E3141" s="13" t="s">
        <v>746</v>
      </c>
      <c r="F3141" s="66">
        <v>426423000</v>
      </c>
      <c r="G3141" s="21">
        <v>0</v>
      </c>
      <c r="H3141" s="20">
        <f>TRUNC($F3141*G3141*0.0000001,1)</f>
        <v>0</v>
      </c>
      <c r="I3141" s="21">
        <v>0</v>
      </c>
      <c r="J3141" s="20">
        <f>TRUNC($F3141*I3141*0.0000001,1)</f>
        <v>0</v>
      </c>
      <c r="K3141" s="19">
        <v>1008</v>
      </c>
      <c r="L3141" s="20">
        <f>TRUNC($F3141*K3141*0.0000001,1)</f>
        <v>42983.4</v>
      </c>
    </row>
    <row r="3142" spans="1:14" ht="11.25" customHeight="1" x14ac:dyDescent="0.2">
      <c r="A3142" s="9"/>
      <c r="C3142" s="107" t="s">
        <v>1289</v>
      </c>
      <c r="D3142" s="107"/>
      <c r="E3142" s="23"/>
      <c r="F3142" s="22"/>
      <c r="G3142" s="22"/>
      <c r="H3142" s="24">
        <f>TRUNC(SUM(H3139:H3141))</f>
        <v>31671</v>
      </c>
      <c r="I3142" s="22"/>
      <c r="J3142" s="24">
        <f>TRUNC(SUM(J3139:J3141))</f>
        <v>39212</v>
      </c>
      <c r="K3142" s="22"/>
      <c r="L3142" s="24">
        <f>TRUNC(SUM(L3139:L3141))</f>
        <v>42983</v>
      </c>
    </row>
    <row r="3143" spans="1:14" ht="11.25" customHeight="1" x14ac:dyDescent="0.2">
      <c r="A3143" s="9"/>
      <c r="C3143" s="4"/>
      <c r="D3143" s="4"/>
      <c r="E3143" s="18"/>
      <c r="F3143" s="18"/>
      <c r="G3143" s="18"/>
      <c r="H3143" s="18"/>
      <c r="I3143" s="18"/>
      <c r="J3143" s="18"/>
      <c r="K3143" s="18"/>
      <c r="L3143" s="18"/>
    </row>
    <row r="3144" spans="1:14" ht="11.25" customHeight="1" x14ac:dyDescent="0.2">
      <c r="A3144" s="9"/>
      <c r="C3144" s="126" t="s">
        <v>1286</v>
      </c>
      <c r="D3144" s="126"/>
      <c r="E3144" s="127"/>
      <c r="F3144" s="125"/>
      <c r="G3144" s="125"/>
      <c r="H3144" s="128">
        <f>TRUNC(H3142+H3134+H3137)</f>
        <v>266190</v>
      </c>
      <c r="I3144" s="125"/>
      <c r="J3144" s="128">
        <f>TRUNC(J3142+J3134+J3137)</f>
        <v>299679</v>
      </c>
      <c r="K3144" s="125"/>
      <c r="L3144" s="128">
        <f>TRUNC(L3142+L3134+L3137)</f>
        <v>317956</v>
      </c>
    </row>
    <row r="3145" spans="1:14" ht="11.25" customHeight="1" x14ac:dyDescent="0.2">
      <c r="A3145" s="9"/>
      <c r="B3145" s="186" t="s">
        <v>427</v>
      </c>
      <c r="C3145" s="187" t="s">
        <v>428</v>
      </c>
      <c r="D3145" s="187" t="s">
        <v>429</v>
      </c>
      <c r="E3145" s="188" t="s">
        <v>430</v>
      </c>
      <c r="F3145" s="188" t="s">
        <v>431</v>
      </c>
      <c r="G3145" s="94" t="s">
        <v>1810</v>
      </c>
      <c r="H3145" s="151"/>
      <c r="I3145" s="94" t="s">
        <v>1811</v>
      </c>
      <c r="J3145" s="151"/>
      <c r="K3145" s="94" t="s">
        <v>328</v>
      </c>
      <c r="L3145" s="151"/>
      <c r="N3145" s="38"/>
    </row>
    <row r="3146" spans="1:14" ht="11.25" customHeight="1" x14ac:dyDescent="0.2">
      <c r="A3146" s="9"/>
      <c r="B3146" s="186"/>
      <c r="C3146" s="187"/>
      <c r="D3146" s="187"/>
      <c r="E3146" s="188"/>
      <c r="F3146" s="188"/>
      <c r="G3146" s="17" t="s">
        <v>436</v>
      </c>
      <c r="H3146" s="17" t="s">
        <v>437</v>
      </c>
      <c r="I3146" s="17" t="s">
        <v>436</v>
      </c>
      <c r="J3146" s="17" t="s">
        <v>437</v>
      </c>
      <c r="K3146" s="17" t="s">
        <v>436</v>
      </c>
      <c r="L3146" s="17" t="s">
        <v>437</v>
      </c>
      <c r="M3146" s="9"/>
      <c r="N3146" s="9"/>
    </row>
    <row r="3147" spans="1:14" ht="11.25" customHeight="1" x14ac:dyDescent="0.2">
      <c r="A3147" s="9"/>
      <c r="C3147" s="4" t="s">
        <v>426</v>
      </c>
      <c r="D3147" s="4"/>
      <c r="E3147" s="13" t="s">
        <v>494</v>
      </c>
      <c r="F3147" s="25">
        <v>1505.45</v>
      </c>
      <c r="G3147" s="26">
        <v>116.4</v>
      </c>
      <c r="H3147" s="20">
        <f t="shared" ref="H3147" si="106">TRUNC(($F3147*G3147),1)</f>
        <v>175234.3</v>
      </c>
      <c r="I3147" s="26">
        <v>145.5</v>
      </c>
      <c r="J3147" s="20">
        <f>TRUNC(($F3147*I3147),1)</f>
        <v>219042.9</v>
      </c>
      <c r="K3147" s="26">
        <v>349.2</v>
      </c>
      <c r="L3147" s="20">
        <f t="shared" ref="L3147" si="107">TRUNC(($F3147*K3147),1)</f>
        <v>525703.1</v>
      </c>
      <c r="M3147" s="52"/>
      <c r="N3147" s="32"/>
    </row>
    <row r="3148" spans="1:14" ht="11.25" customHeight="1" x14ac:dyDescent="0.2">
      <c r="A3148" s="9"/>
      <c r="C3148" s="4" t="s">
        <v>495</v>
      </c>
      <c r="D3148" s="4" t="s">
        <v>203</v>
      </c>
      <c r="E3148" s="13" t="s">
        <v>232</v>
      </c>
      <c r="F3148" s="18"/>
      <c r="G3148" s="21">
        <v>27</v>
      </c>
      <c r="H3148" s="20">
        <f>TRUNC(H3147*G3148*0.01,1)</f>
        <v>47313.2</v>
      </c>
      <c r="I3148" s="21">
        <v>27</v>
      </c>
      <c r="J3148" s="20">
        <f>TRUNC(J3147*I3148*0.01,1)</f>
        <v>59141.5</v>
      </c>
      <c r="K3148" s="21">
        <v>18</v>
      </c>
      <c r="L3148" s="20">
        <f>TRUNC(L3147*K3148*0.01,1)</f>
        <v>94626.5</v>
      </c>
      <c r="M3148" s="39"/>
      <c r="N3148" s="32"/>
    </row>
    <row r="3149" spans="1:14" ht="11.25" customHeight="1" x14ac:dyDescent="0.2">
      <c r="A3149" s="9"/>
      <c r="C3149" s="107" t="s">
        <v>799</v>
      </c>
      <c r="D3149" s="107"/>
      <c r="E3149" s="23"/>
      <c r="F3149" s="22"/>
      <c r="G3149" s="22"/>
      <c r="H3149" s="24">
        <f>TRUNC(SUM(H3147:H3148))</f>
        <v>222547</v>
      </c>
      <c r="I3149" s="22"/>
      <c r="J3149" s="24">
        <f>TRUNC(SUM(J3147:J3148))</f>
        <v>278184</v>
      </c>
      <c r="K3149" s="22"/>
      <c r="L3149" s="24">
        <f>TRUNC(SUM(L3147:L3148))</f>
        <v>620329</v>
      </c>
      <c r="M3149" s="43"/>
      <c r="N3149" s="54"/>
    </row>
    <row r="3150" spans="1:14" ht="11.25" customHeight="1" x14ac:dyDescent="0.2">
      <c r="A3150" s="9"/>
      <c r="C3150" s="4"/>
      <c r="D3150" s="4"/>
      <c r="E3150" s="18"/>
      <c r="F3150" s="18"/>
      <c r="G3150" s="18"/>
      <c r="H3150" s="18"/>
      <c r="I3150" s="18"/>
      <c r="J3150" s="18"/>
      <c r="K3150" s="18"/>
      <c r="L3150" s="18"/>
    </row>
    <row r="3151" spans="1:14" ht="11.25" customHeight="1" x14ac:dyDescent="0.2">
      <c r="A3151" s="9"/>
      <c r="C3151" s="4" t="s">
        <v>59</v>
      </c>
      <c r="D3151" s="4" t="s">
        <v>862</v>
      </c>
      <c r="E3151" s="13" t="s">
        <v>497</v>
      </c>
      <c r="F3151" s="28">
        <v>208490</v>
      </c>
      <c r="G3151" s="173">
        <v>0.83299999999999996</v>
      </c>
      <c r="H3151" s="20">
        <f t="shared" ref="H3151" si="108">TRUNC(($F3151*G3151),1)</f>
        <v>173672.1</v>
      </c>
      <c r="I3151" s="173">
        <v>0.83299999999999996</v>
      </c>
      <c r="J3151" s="20">
        <f>TRUNC(($F3151*I3151),1)</f>
        <v>173672.1</v>
      </c>
      <c r="K3151" s="173">
        <v>0.83299999999999996</v>
      </c>
      <c r="L3151" s="20">
        <f t="shared" ref="L3151" si="109">TRUNC(($F3151*K3151),1)</f>
        <v>173672.1</v>
      </c>
      <c r="M3151" s="144"/>
      <c r="N3151" s="32"/>
    </row>
    <row r="3152" spans="1:14" ht="11.25" customHeight="1" x14ac:dyDescent="0.2">
      <c r="A3152" s="9"/>
      <c r="C3152" s="107" t="s">
        <v>1285</v>
      </c>
      <c r="D3152" s="107"/>
      <c r="E3152" s="23"/>
      <c r="F3152" s="22"/>
      <c r="G3152" s="22"/>
      <c r="H3152" s="24">
        <f>TRUNC(SUM(H3151:H3151))</f>
        <v>173672</v>
      </c>
      <c r="I3152" s="22"/>
      <c r="J3152" s="24">
        <f>TRUNC(SUM(J3151:J3151))</f>
        <v>173672</v>
      </c>
      <c r="K3152" s="22"/>
      <c r="L3152" s="24">
        <f>TRUNC(SUM(L3151:L3151))</f>
        <v>173672</v>
      </c>
      <c r="M3152" s="43"/>
      <c r="N3152" s="54"/>
    </row>
    <row r="3153" spans="1:14" ht="11.25" customHeight="1" x14ac:dyDescent="0.2">
      <c r="A3153" s="9"/>
      <c r="C3153" s="4"/>
      <c r="D3153" s="4"/>
      <c r="E3153" s="13"/>
      <c r="F3153" s="18"/>
      <c r="G3153" s="18"/>
      <c r="H3153" s="18"/>
      <c r="I3153" s="18"/>
      <c r="J3153" s="18"/>
      <c r="K3153" s="18"/>
      <c r="L3153" s="18"/>
    </row>
    <row r="3154" spans="1:14" ht="11.25" customHeight="1" x14ac:dyDescent="0.2">
      <c r="A3154" s="9"/>
      <c r="B3154" s="8" t="s">
        <v>335</v>
      </c>
      <c r="C3154" s="4" t="s">
        <v>954</v>
      </c>
      <c r="D3154" s="106" t="s">
        <v>1818</v>
      </c>
      <c r="E3154" s="13" t="s">
        <v>746</v>
      </c>
      <c r="F3154" s="66">
        <v>613450000</v>
      </c>
      <c r="G3154" s="19">
        <v>1008</v>
      </c>
      <c r="H3154" s="20">
        <f>TRUNC($F3154*G3154*0.0000001,1)</f>
        <v>61835.7</v>
      </c>
      <c r="I3154" s="21">
        <v>0</v>
      </c>
      <c r="J3154" s="20">
        <f>TRUNC($F3154*I3154*0.0000001,1)</f>
        <v>0</v>
      </c>
      <c r="K3154" s="21">
        <v>0</v>
      </c>
      <c r="L3154" s="20">
        <f>TRUNC($F3154*K3154*0.0000001,1)</f>
        <v>0</v>
      </c>
      <c r="M3154" s="39"/>
      <c r="N3154" s="32"/>
    </row>
    <row r="3155" spans="1:14" ht="11.25" customHeight="1" x14ac:dyDescent="0.2">
      <c r="A3155" s="9"/>
      <c r="B3155" s="8" t="s">
        <v>336</v>
      </c>
      <c r="C3155" s="4" t="s">
        <v>954</v>
      </c>
      <c r="D3155" s="106" t="s">
        <v>1819</v>
      </c>
      <c r="E3155" s="13" t="s">
        <v>746</v>
      </c>
      <c r="F3155" s="66">
        <v>773044000</v>
      </c>
      <c r="G3155" s="21">
        <v>0</v>
      </c>
      <c r="H3155" s="20">
        <f>TRUNC($F3155*G3155*0.0000001,1)</f>
        <v>0</v>
      </c>
      <c r="I3155" s="19">
        <v>1008</v>
      </c>
      <c r="J3155" s="20">
        <f>TRUNC($F3155*I3155*0.0000001,1)</f>
        <v>77922.8</v>
      </c>
      <c r="K3155" s="21">
        <v>0</v>
      </c>
      <c r="L3155" s="20">
        <f>TRUNC($F3155*K3155*0.0000001,1)</f>
        <v>0</v>
      </c>
    </row>
    <row r="3156" spans="1:14" ht="11.25" customHeight="1" x14ac:dyDescent="0.2">
      <c r="A3156" s="9"/>
      <c r="B3156" s="8" t="s">
        <v>337</v>
      </c>
      <c r="C3156" s="4" t="s">
        <v>954</v>
      </c>
      <c r="D3156" s="106" t="s">
        <v>1820</v>
      </c>
      <c r="E3156" s="13" t="s">
        <v>746</v>
      </c>
      <c r="F3156" s="66">
        <v>1743584000</v>
      </c>
      <c r="G3156" s="21">
        <v>0</v>
      </c>
      <c r="H3156" s="20">
        <f>TRUNC($F3156*G3156*0.0000001,1)</f>
        <v>0</v>
      </c>
      <c r="I3156" s="21">
        <v>0</v>
      </c>
      <c r="J3156" s="20">
        <f>TRUNC($F3156*I3156*0.0000001,1)</f>
        <v>0</v>
      </c>
      <c r="K3156" s="19">
        <v>1008</v>
      </c>
      <c r="L3156" s="20">
        <f>TRUNC($F3156*K3156*0.0000001,1)</f>
        <v>175753.2</v>
      </c>
      <c r="M3156" s="39"/>
      <c r="N3156" s="32"/>
    </row>
    <row r="3157" spans="1:14" ht="11.25" customHeight="1" x14ac:dyDescent="0.2">
      <c r="A3157" s="9"/>
      <c r="C3157" s="107" t="s">
        <v>1289</v>
      </c>
      <c r="D3157" s="107"/>
      <c r="E3157" s="23"/>
      <c r="F3157" s="22"/>
      <c r="G3157" s="22"/>
      <c r="H3157" s="24">
        <f>TRUNC(SUM(H3154:H3156))</f>
        <v>61835</v>
      </c>
      <c r="I3157" s="22"/>
      <c r="J3157" s="24">
        <f>TRUNC(SUM(J3154:J3156))</f>
        <v>77922</v>
      </c>
      <c r="K3157" s="22"/>
      <c r="L3157" s="24">
        <f>TRUNC(SUM(L3154:L3156))</f>
        <v>175753</v>
      </c>
      <c r="M3157" s="43"/>
      <c r="N3157" s="54"/>
    </row>
    <row r="3158" spans="1:14" ht="11.25" customHeight="1" x14ac:dyDescent="0.2">
      <c r="A3158" s="9"/>
      <c r="C3158" s="4"/>
      <c r="D3158" s="4"/>
      <c r="E3158" s="18"/>
      <c r="F3158" s="18"/>
      <c r="G3158" s="18"/>
      <c r="H3158" s="18"/>
      <c r="I3158" s="18"/>
      <c r="J3158" s="18"/>
      <c r="K3158" s="18"/>
      <c r="L3158" s="18"/>
    </row>
    <row r="3159" spans="1:14" ht="11.25" customHeight="1" x14ac:dyDescent="0.2">
      <c r="A3159" s="9"/>
      <c r="B3159" s="16"/>
      <c r="C3159" s="108" t="s">
        <v>1286</v>
      </c>
      <c r="D3159" s="108"/>
      <c r="E3159" s="103"/>
      <c r="F3159" s="102"/>
      <c r="G3159" s="102"/>
      <c r="H3159" s="104">
        <f>TRUNC(H3157+H3149+H3152)</f>
        <v>458054</v>
      </c>
      <c r="I3159" s="102"/>
      <c r="J3159" s="104">
        <f>TRUNC(J3157+J3149+J3152)</f>
        <v>529778</v>
      </c>
      <c r="K3159" s="102"/>
      <c r="L3159" s="104">
        <f>TRUNC(L3157+L3149+L3152)</f>
        <v>969754</v>
      </c>
      <c r="M3159" s="43"/>
      <c r="N3159" s="36"/>
    </row>
    <row r="3160" spans="1:14" ht="11.25" customHeight="1" x14ac:dyDescent="0.2">
      <c r="A3160" s="9"/>
    </row>
    <row r="3161" spans="1:14" ht="11.25" customHeight="1" x14ac:dyDescent="0.2">
      <c r="A3161" s="9"/>
      <c r="B3161" s="68" t="s">
        <v>1840</v>
      </c>
      <c r="C3161" s="119"/>
      <c r="L3161" s="49" t="s">
        <v>1307</v>
      </c>
    </row>
    <row r="3162" spans="1:14" ht="11.25" customHeight="1" x14ac:dyDescent="0.2">
      <c r="A3162" s="9"/>
      <c r="B3162" s="186" t="s">
        <v>427</v>
      </c>
      <c r="C3162" s="187" t="s">
        <v>428</v>
      </c>
      <c r="D3162" s="187" t="s">
        <v>429</v>
      </c>
      <c r="E3162" s="188" t="s">
        <v>430</v>
      </c>
      <c r="F3162" s="188" t="s">
        <v>431</v>
      </c>
      <c r="G3162" s="94" t="s">
        <v>1821</v>
      </c>
      <c r="H3162" s="151"/>
      <c r="I3162" s="94" t="s">
        <v>1822</v>
      </c>
      <c r="J3162" s="151"/>
      <c r="K3162" s="94" t="s">
        <v>1823</v>
      </c>
      <c r="L3162" s="151"/>
    </row>
    <row r="3163" spans="1:14" ht="11.25" customHeight="1" x14ac:dyDescent="0.2">
      <c r="A3163" s="9"/>
      <c r="B3163" s="186"/>
      <c r="C3163" s="187"/>
      <c r="D3163" s="187"/>
      <c r="E3163" s="188"/>
      <c r="F3163" s="188"/>
      <c r="G3163" s="17" t="s">
        <v>436</v>
      </c>
      <c r="H3163" s="17" t="s">
        <v>437</v>
      </c>
      <c r="I3163" s="17" t="s">
        <v>436</v>
      </c>
      <c r="J3163" s="17" t="s">
        <v>437</v>
      </c>
      <c r="K3163" s="17" t="s">
        <v>436</v>
      </c>
      <c r="L3163" s="17" t="s">
        <v>437</v>
      </c>
    </row>
    <row r="3164" spans="1:14" ht="11.25" customHeight="1" x14ac:dyDescent="0.2">
      <c r="A3164" s="9"/>
      <c r="C3164" s="4" t="s">
        <v>426</v>
      </c>
      <c r="D3164" s="4"/>
      <c r="E3164" s="13" t="s">
        <v>494</v>
      </c>
      <c r="F3164" s="25">
        <v>1505.45</v>
      </c>
      <c r="G3164" s="26">
        <v>1.3</v>
      </c>
      <c r="H3164" s="20">
        <f t="shared" ref="H3164" si="110">TRUNC(($F3164*G3164),1)</f>
        <v>1957</v>
      </c>
      <c r="I3164" s="26">
        <v>3.8</v>
      </c>
      <c r="J3164" s="20">
        <f>TRUNC(($F3164*I3164),1)</f>
        <v>5720.7</v>
      </c>
      <c r="K3164" s="26">
        <v>7.1</v>
      </c>
      <c r="L3164" s="20">
        <f t="shared" ref="L3164" si="111">TRUNC(($F3164*K3164),1)</f>
        <v>10688.6</v>
      </c>
    </row>
    <row r="3165" spans="1:14" ht="11.25" customHeight="1" x14ac:dyDescent="0.2">
      <c r="A3165" s="9"/>
      <c r="C3165" s="4" t="s">
        <v>495</v>
      </c>
      <c r="D3165" s="4" t="s">
        <v>203</v>
      </c>
      <c r="E3165" s="13" t="s">
        <v>232</v>
      </c>
      <c r="F3165" s="18"/>
      <c r="G3165" s="21">
        <v>63</v>
      </c>
      <c r="H3165" s="20">
        <f>TRUNC(H3164*G3165*0.01,1)</f>
        <v>1232.9000000000001</v>
      </c>
      <c r="I3165" s="21">
        <v>63</v>
      </c>
      <c r="J3165" s="20">
        <f>TRUNC(J3164*I3165*0.01,1)</f>
        <v>3604</v>
      </c>
      <c r="K3165" s="21">
        <v>63</v>
      </c>
      <c r="L3165" s="20">
        <f>TRUNC(L3164*K3165*0.01,1)</f>
        <v>6733.8</v>
      </c>
    </row>
    <row r="3166" spans="1:14" ht="11.25" customHeight="1" x14ac:dyDescent="0.2">
      <c r="A3166" s="9"/>
      <c r="C3166" s="107" t="s">
        <v>799</v>
      </c>
      <c r="D3166" s="107"/>
      <c r="E3166" s="23"/>
      <c r="F3166" s="22"/>
      <c r="G3166" s="22"/>
      <c r="H3166" s="24">
        <f>TRUNC(SUM(H3164:H3165))</f>
        <v>3189</v>
      </c>
      <c r="I3166" s="22"/>
      <c r="J3166" s="24">
        <f>TRUNC(SUM(J3164:J3165))</f>
        <v>9324</v>
      </c>
      <c r="K3166" s="22"/>
      <c r="L3166" s="24">
        <f>TRUNC(SUM(L3164:L3165))</f>
        <v>17422</v>
      </c>
    </row>
    <row r="3167" spans="1:14" ht="11.25" customHeight="1" x14ac:dyDescent="0.2">
      <c r="A3167" s="9"/>
      <c r="C3167" s="107"/>
      <c r="D3167" s="107"/>
      <c r="E3167" s="23"/>
      <c r="F3167" s="22"/>
      <c r="G3167" s="22"/>
      <c r="H3167" s="24"/>
      <c r="I3167" s="22"/>
      <c r="J3167" s="24"/>
      <c r="K3167" s="22"/>
      <c r="L3167" s="24"/>
    </row>
    <row r="3168" spans="1:14" ht="11.25" customHeight="1" x14ac:dyDescent="0.2">
      <c r="A3168" s="9"/>
      <c r="C3168" s="4" t="s">
        <v>59</v>
      </c>
      <c r="D3168" s="4" t="s">
        <v>867</v>
      </c>
      <c r="E3168" s="13" t="s">
        <v>497</v>
      </c>
      <c r="F3168" s="28">
        <v>208490</v>
      </c>
      <c r="G3168" s="173">
        <v>0.41599999999999998</v>
      </c>
      <c r="H3168" s="20">
        <f t="shared" ref="H3168" si="112">TRUNC(($F3168*G3168),1)</f>
        <v>86731.8</v>
      </c>
      <c r="I3168" s="173">
        <v>0.41599999999999998</v>
      </c>
      <c r="J3168" s="20">
        <f>TRUNC(($F3168*I3168),1)</f>
        <v>86731.8</v>
      </c>
      <c r="K3168" s="173">
        <v>0.41599999999999998</v>
      </c>
      <c r="L3168" s="20">
        <f t="shared" ref="L3168" si="113">TRUNC(($F3168*K3168),1)</f>
        <v>86731.8</v>
      </c>
    </row>
    <row r="3169" spans="1:12" ht="11.25" customHeight="1" x14ac:dyDescent="0.2">
      <c r="A3169" s="9"/>
      <c r="C3169" s="107" t="s">
        <v>1285</v>
      </c>
      <c r="D3169" s="107"/>
      <c r="E3169" s="23"/>
      <c r="F3169" s="22"/>
      <c r="G3169" s="22"/>
      <c r="H3169" s="24">
        <f>TRUNC(SUM(H3168:H3168))</f>
        <v>86731</v>
      </c>
      <c r="I3169" s="22"/>
      <c r="J3169" s="24">
        <f>TRUNC(SUM(J3168:J3168))</f>
        <v>86731</v>
      </c>
      <c r="K3169" s="22"/>
      <c r="L3169" s="24">
        <f>TRUNC(SUM(L3168:L3168))</f>
        <v>86731</v>
      </c>
    </row>
    <row r="3170" spans="1:12" ht="11.25" customHeight="1" x14ac:dyDescent="0.2">
      <c r="A3170" s="9"/>
      <c r="C3170" s="4"/>
      <c r="D3170" s="4"/>
      <c r="E3170" s="13"/>
      <c r="F3170" s="18"/>
      <c r="G3170" s="18"/>
      <c r="H3170" s="18"/>
      <c r="I3170" s="18"/>
      <c r="J3170" s="18"/>
      <c r="K3170" s="18"/>
      <c r="L3170" s="18"/>
    </row>
    <row r="3171" spans="1:12" ht="11.25" customHeight="1" x14ac:dyDescent="0.2">
      <c r="A3171" s="9"/>
      <c r="B3171" s="8" t="s">
        <v>505</v>
      </c>
      <c r="C3171" s="4" t="s">
        <v>1841</v>
      </c>
      <c r="D3171" s="106" t="s">
        <v>1829</v>
      </c>
      <c r="E3171" s="13" t="s">
        <v>746</v>
      </c>
      <c r="F3171" s="66">
        <v>26181000</v>
      </c>
      <c r="G3171" s="19">
        <v>991</v>
      </c>
      <c r="H3171" s="20">
        <f>TRUNC($F3171*G3171*0.0000001,1)</f>
        <v>2594.5</v>
      </c>
      <c r="I3171" s="21">
        <v>0</v>
      </c>
      <c r="J3171" s="20">
        <f>TRUNC($F3171*I3171*0.0000001,1)</f>
        <v>0</v>
      </c>
      <c r="K3171" s="21">
        <v>0</v>
      </c>
      <c r="L3171" s="20">
        <f>TRUNC($F3171*K3171*0.0000001,1)</f>
        <v>0</v>
      </c>
    </row>
    <row r="3172" spans="1:12" ht="11.25" customHeight="1" x14ac:dyDescent="0.2">
      <c r="A3172" s="9"/>
      <c r="B3172" s="8" t="s">
        <v>506</v>
      </c>
      <c r="C3172" s="4" t="s">
        <v>1841</v>
      </c>
      <c r="D3172" s="106" t="s">
        <v>1830</v>
      </c>
      <c r="E3172" s="13" t="s">
        <v>746</v>
      </c>
      <c r="F3172" s="66">
        <v>41145000</v>
      </c>
      <c r="G3172" s="21">
        <v>0</v>
      </c>
      <c r="H3172" s="20">
        <f>TRUNC($F3172*G3172*0.0000001,1)</f>
        <v>0</v>
      </c>
      <c r="I3172" s="19">
        <v>991</v>
      </c>
      <c r="J3172" s="20">
        <f>TRUNC($F3172*I3172*0.0000001,1)</f>
        <v>4077.4</v>
      </c>
      <c r="K3172" s="21">
        <v>0</v>
      </c>
      <c r="L3172" s="20">
        <f>TRUNC($F3172*K3172*0.0000001,1)</f>
        <v>0</v>
      </c>
    </row>
    <row r="3173" spans="1:12" ht="11.25" customHeight="1" x14ac:dyDescent="0.2">
      <c r="A3173" s="9"/>
      <c r="B3173" s="8" t="s">
        <v>507</v>
      </c>
      <c r="C3173" s="4" t="s">
        <v>1841</v>
      </c>
      <c r="D3173" s="106" t="s">
        <v>1831</v>
      </c>
      <c r="E3173" s="13" t="s">
        <v>746</v>
      </c>
      <c r="F3173" s="66">
        <v>67328000</v>
      </c>
      <c r="G3173" s="21">
        <v>0</v>
      </c>
      <c r="H3173" s="20">
        <f>TRUNC($F3173*G3173*0.0000001,1)</f>
        <v>0</v>
      </c>
      <c r="I3173" s="21">
        <v>0</v>
      </c>
      <c r="J3173" s="20">
        <f>TRUNC($F3173*I3173*0.0000001,1)</f>
        <v>0</v>
      </c>
      <c r="K3173" s="19">
        <v>991</v>
      </c>
      <c r="L3173" s="20">
        <f>TRUNC($F3173*K3173*0.0000001,1)</f>
        <v>6672.2</v>
      </c>
    </row>
    <row r="3174" spans="1:12" ht="11.25" customHeight="1" x14ac:dyDescent="0.2">
      <c r="A3174" s="9"/>
      <c r="C3174" s="107" t="s">
        <v>1289</v>
      </c>
      <c r="D3174" s="107"/>
      <c r="E3174" s="23"/>
      <c r="F3174" s="22"/>
      <c r="G3174" s="22"/>
      <c r="H3174" s="24">
        <f>TRUNC(SUM(H3171:H3173))</f>
        <v>2594</v>
      </c>
      <c r="I3174" s="22"/>
      <c r="J3174" s="24">
        <f>TRUNC(SUM(J3171:J3173))</f>
        <v>4077</v>
      </c>
      <c r="K3174" s="22"/>
      <c r="L3174" s="24">
        <f>TRUNC(SUM(L3171:L3173))</f>
        <v>6672</v>
      </c>
    </row>
    <row r="3175" spans="1:12" ht="11.25" customHeight="1" x14ac:dyDescent="0.2">
      <c r="A3175" s="9"/>
      <c r="C3175" s="107"/>
      <c r="D3175" s="107"/>
      <c r="E3175" s="23"/>
      <c r="F3175" s="22"/>
      <c r="G3175" s="22"/>
      <c r="H3175" s="24"/>
      <c r="I3175" s="22"/>
      <c r="J3175" s="24"/>
      <c r="K3175" s="22"/>
      <c r="L3175" s="24"/>
    </row>
    <row r="3176" spans="1:12" ht="11.25" customHeight="1" x14ac:dyDescent="0.2">
      <c r="A3176" s="9"/>
      <c r="C3176" s="126" t="s">
        <v>1286</v>
      </c>
      <c r="D3176" s="126"/>
      <c r="E3176" s="127"/>
      <c r="F3176" s="125"/>
      <c r="G3176" s="125"/>
      <c r="H3176" s="128">
        <f>TRUNC(H3174+H3166+H3169)</f>
        <v>92514</v>
      </c>
      <c r="I3176" s="125"/>
      <c r="J3176" s="128">
        <f>TRUNC(J3174+J3166+J3169)</f>
        <v>100132</v>
      </c>
      <c r="K3176" s="125"/>
      <c r="L3176" s="128">
        <f>TRUNC(L3174+L3166+L3169)</f>
        <v>110825</v>
      </c>
    </row>
    <row r="3177" spans="1:12" ht="11.25" customHeight="1" x14ac:dyDescent="0.2">
      <c r="A3177" s="9"/>
      <c r="B3177" s="186" t="s">
        <v>427</v>
      </c>
      <c r="C3177" s="187" t="s">
        <v>428</v>
      </c>
      <c r="D3177" s="187" t="s">
        <v>429</v>
      </c>
      <c r="E3177" s="188" t="s">
        <v>430</v>
      </c>
      <c r="F3177" s="188" t="s">
        <v>431</v>
      </c>
      <c r="G3177" s="94" t="s">
        <v>1824</v>
      </c>
      <c r="H3177" s="151"/>
      <c r="I3177" s="94" t="s">
        <v>1090</v>
      </c>
      <c r="J3177" s="151"/>
      <c r="K3177" s="94" t="s">
        <v>1825</v>
      </c>
      <c r="L3177" s="151"/>
    </row>
    <row r="3178" spans="1:12" ht="11.25" customHeight="1" x14ac:dyDescent="0.2">
      <c r="A3178" s="9"/>
      <c r="B3178" s="186"/>
      <c r="C3178" s="187"/>
      <c r="D3178" s="187"/>
      <c r="E3178" s="188"/>
      <c r="F3178" s="188"/>
      <c r="G3178" s="17" t="s">
        <v>436</v>
      </c>
      <c r="H3178" s="17" t="s">
        <v>437</v>
      </c>
      <c r="I3178" s="17" t="s">
        <v>436</v>
      </c>
      <c r="J3178" s="17" t="s">
        <v>437</v>
      </c>
      <c r="K3178" s="17" t="s">
        <v>436</v>
      </c>
      <c r="L3178" s="17" t="s">
        <v>437</v>
      </c>
    </row>
    <row r="3179" spans="1:12" ht="11.25" customHeight="1" x14ac:dyDescent="0.2">
      <c r="A3179" s="9"/>
      <c r="C3179" s="4" t="s">
        <v>426</v>
      </c>
      <c r="D3179" s="4"/>
      <c r="E3179" s="13" t="s">
        <v>494</v>
      </c>
      <c r="F3179" s="25">
        <v>1505.45</v>
      </c>
      <c r="G3179" s="26">
        <v>7.6</v>
      </c>
      <c r="H3179" s="20">
        <f t="shared" ref="H3179" si="114">TRUNC(($F3179*G3179),1)</f>
        <v>11441.4</v>
      </c>
      <c r="I3179" s="26">
        <v>12.7</v>
      </c>
      <c r="J3179" s="20">
        <f>TRUNC(($F3179*I3179),1)</f>
        <v>19119.2</v>
      </c>
      <c r="K3179" s="26">
        <v>15.3</v>
      </c>
      <c r="L3179" s="20">
        <f t="shared" ref="L3179" si="115">TRUNC(($F3179*K3179),1)</f>
        <v>23033.3</v>
      </c>
    </row>
    <row r="3180" spans="1:12" ht="11.25" customHeight="1" x14ac:dyDescent="0.2">
      <c r="A3180" s="9"/>
      <c r="C3180" s="4" t="s">
        <v>495</v>
      </c>
      <c r="D3180" s="4" t="s">
        <v>203</v>
      </c>
      <c r="E3180" s="13" t="s">
        <v>232</v>
      </c>
      <c r="F3180" s="18"/>
      <c r="G3180" s="21">
        <v>63</v>
      </c>
      <c r="H3180" s="20">
        <f>TRUNC(H3179*G3180*0.01,1)</f>
        <v>7208</v>
      </c>
      <c r="I3180" s="21">
        <v>63</v>
      </c>
      <c r="J3180" s="20">
        <f>TRUNC(J3179*I3180*0.01,1)</f>
        <v>12045</v>
      </c>
      <c r="K3180" s="21">
        <v>63</v>
      </c>
      <c r="L3180" s="20">
        <f>TRUNC(L3179*K3180*0.01,1)</f>
        <v>14510.9</v>
      </c>
    </row>
    <row r="3181" spans="1:12" ht="11.25" customHeight="1" x14ac:dyDescent="0.2">
      <c r="A3181" s="9"/>
      <c r="C3181" s="107" t="s">
        <v>799</v>
      </c>
      <c r="D3181" s="107"/>
      <c r="E3181" s="23"/>
      <c r="F3181" s="22"/>
      <c r="G3181" s="22"/>
      <c r="H3181" s="24">
        <f>TRUNC(SUM(H3179:H3180))</f>
        <v>18649</v>
      </c>
      <c r="I3181" s="22"/>
      <c r="J3181" s="24">
        <f>TRUNC(SUM(J3179:J3180))</f>
        <v>31164</v>
      </c>
      <c r="K3181" s="22"/>
      <c r="L3181" s="24">
        <f>TRUNC(SUM(L3179:L3180))</f>
        <v>37544</v>
      </c>
    </row>
    <row r="3182" spans="1:12" ht="11.25" customHeight="1" x14ac:dyDescent="0.2">
      <c r="A3182" s="9"/>
      <c r="C3182" s="4"/>
      <c r="D3182" s="4"/>
      <c r="E3182" s="13"/>
      <c r="F3182" s="18"/>
      <c r="G3182" s="18"/>
      <c r="H3182" s="18"/>
      <c r="I3182" s="18"/>
      <c r="J3182" s="18"/>
      <c r="K3182" s="18"/>
      <c r="L3182" s="18"/>
    </row>
    <row r="3183" spans="1:12" ht="11.25" customHeight="1" x14ac:dyDescent="0.2">
      <c r="A3183" s="9"/>
      <c r="C3183" s="4" t="s">
        <v>59</v>
      </c>
      <c r="D3183" s="4" t="s">
        <v>867</v>
      </c>
      <c r="E3183" s="13" t="s">
        <v>497</v>
      </c>
      <c r="F3183" s="28">
        <v>208490</v>
      </c>
      <c r="G3183" s="173">
        <v>0.41599999999999998</v>
      </c>
      <c r="H3183" s="20">
        <f t="shared" ref="H3183" si="116">TRUNC(($F3183*G3183),1)</f>
        <v>86731.8</v>
      </c>
      <c r="I3183" s="173">
        <v>0.41599999999999998</v>
      </c>
      <c r="J3183" s="20">
        <f>TRUNC(($F3183*I3183),1)</f>
        <v>86731.8</v>
      </c>
      <c r="K3183" s="173">
        <v>0.41599999999999998</v>
      </c>
      <c r="L3183" s="20">
        <f t="shared" ref="L3183" si="117">TRUNC(($F3183*K3183),1)</f>
        <v>86731.8</v>
      </c>
    </row>
    <row r="3184" spans="1:12" ht="11.25" customHeight="1" x14ac:dyDescent="0.2">
      <c r="A3184" s="9"/>
      <c r="C3184" s="107" t="s">
        <v>1285</v>
      </c>
      <c r="D3184" s="107"/>
      <c r="E3184" s="23"/>
      <c r="F3184" s="22"/>
      <c r="G3184" s="22"/>
      <c r="H3184" s="24">
        <f>TRUNC(SUM(H3183:H3183))</f>
        <v>86731</v>
      </c>
      <c r="I3184" s="22"/>
      <c r="J3184" s="24">
        <f>TRUNC(SUM(J3183:J3183))</f>
        <v>86731</v>
      </c>
      <c r="K3184" s="22"/>
      <c r="L3184" s="24">
        <f>TRUNC(SUM(L3183:L3183))</f>
        <v>86731</v>
      </c>
    </row>
    <row r="3185" spans="1:12" ht="11.25" customHeight="1" x14ac:dyDescent="0.2">
      <c r="A3185" s="9"/>
      <c r="C3185" s="4"/>
      <c r="D3185" s="4"/>
      <c r="E3185" s="13"/>
      <c r="F3185" s="18"/>
      <c r="G3185" s="18"/>
      <c r="H3185" s="18"/>
      <c r="I3185" s="18"/>
      <c r="J3185" s="18"/>
      <c r="K3185" s="18"/>
      <c r="L3185" s="18"/>
    </row>
    <row r="3186" spans="1:12" ht="11.25" customHeight="1" x14ac:dyDescent="0.2">
      <c r="A3186" s="9"/>
      <c r="B3186" s="8" t="s">
        <v>508</v>
      </c>
      <c r="C3186" s="4" t="s">
        <v>1841</v>
      </c>
      <c r="D3186" s="106" t="s">
        <v>1832</v>
      </c>
      <c r="E3186" s="13" t="s">
        <v>746</v>
      </c>
      <c r="F3186" s="66">
        <v>80421000</v>
      </c>
      <c r="G3186" s="19">
        <v>991</v>
      </c>
      <c r="H3186" s="20">
        <f>TRUNC($F3186*G3186*0.0000001,1)</f>
        <v>7969.7</v>
      </c>
      <c r="I3186" s="21">
        <v>0</v>
      </c>
      <c r="J3186" s="20">
        <f>TRUNC($F3186*I3186*0.0000001,1)</f>
        <v>0</v>
      </c>
      <c r="K3186" s="21">
        <v>0</v>
      </c>
      <c r="L3186" s="20">
        <f>TRUNC($F3186*K3186*0.0000001,1)</f>
        <v>0</v>
      </c>
    </row>
    <row r="3187" spans="1:12" ht="11.25" customHeight="1" x14ac:dyDescent="0.2">
      <c r="A3187" s="9"/>
      <c r="B3187" s="8" t="s">
        <v>509</v>
      </c>
      <c r="C3187" s="4" t="s">
        <v>1841</v>
      </c>
      <c r="D3187" s="106" t="s">
        <v>1833</v>
      </c>
      <c r="E3187" s="13" t="s">
        <v>746</v>
      </c>
      <c r="F3187" s="66">
        <v>168323000</v>
      </c>
      <c r="G3187" s="21">
        <v>0</v>
      </c>
      <c r="H3187" s="20">
        <f>TRUNC($F3187*G3187*0.0000001,1)</f>
        <v>0</v>
      </c>
      <c r="I3187" s="19">
        <v>991</v>
      </c>
      <c r="J3187" s="20">
        <f>TRUNC($F3187*I3187*0.0000001,1)</f>
        <v>16680.8</v>
      </c>
      <c r="K3187" s="21">
        <v>0</v>
      </c>
      <c r="L3187" s="20">
        <f>TRUNC($F3187*K3187*0.0000001,1)</f>
        <v>0</v>
      </c>
    </row>
    <row r="3188" spans="1:12" ht="11.25" customHeight="1" x14ac:dyDescent="0.2">
      <c r="A3188" s="9"/>
      <c r="B3188" s="8" t="s">
        <v>510</v>
      </c>
      <c r="C3188" s="4" t="s">
        <v>1841</v>
      </c>
      <c r="D3188" s="106" t="s">
        <v>1834</v>
      </c>
      <c r="E3188" s="13" t="s">
        <v>746</v>
      </c>
      <c r="F3188" s="66">
        <v>202119000</v>
      </c>
      <c r="G3188" s="21">
        <v>0</v>
      </c>
      <c r="H3188" s="20">
        <f>TRUNC($F3188*G3188*0.0000001,1)</f>
        <v>0</v>
      </c>
      <c r="I3188" s="21">
        <v>0</v>
      </c>
      <c r="J3188" s="20">
        <f>TRUNC($F3188*I3188*0.0000001,1)</f>
        <v>0</v>
      </c>
      <c r="K3188" s="19">
        <v>991</v>
      </c>
      <c r="L3188" s="20">
        <f>TRUNC($F3188*K3188*0.0000001,1)</f>
        <v>20029.900000000001</v>
      </c>
    </row>
    <row r="3189" spans="1:12" ht="11.25" customHeight="1" x14ac:dyDescent="0.2">
      <c r="A3189" s="9"/>
      <c r="C3189" s="107" t="s">
        <v>1289</v>
      </c>
      <c r="D3189" s="107"/>
      <c r="E3189" s="23"/>
      <c r="F3189" s="22"/>
      <c r="G3189" s="22"/>
      <c r="H3189" s="24">
        <f>TRUNC(SUM(H3186:H3188))</f>
        <v>7969</v>
      </c>
      <c r="I3189" s="22"/>
      <c r="J3189" s="24">
        <f>TRUNC(SUM(J3186:J3188))</f>
        <v>16680</v>
      </c>
      <c r="K3189" s="22"/>
      <c r="L3189" s="24">
        <f>TRUNC(SUM(L3186:L3188))</f>
        <v>20029</v>
      </c>
    </row>
    <row r="3190" spans="1:12" ht="11.25" customHeight="1" x14ac:dyDescent="0.2">
      <c r="A3190" s="9"/>
      <c r="C3190" s="4"/>
      <c r="D3190" s="4"/>
      <c r="E3190" s="13"/>
      <c r="F3190" s="18"/>
      <c r="G3190" s="18"/>
      <c r="H3190" s="18"/>
      <c r="I3190" s="18"/>
      <c r="J3190" s="18"/>
      <c r="K3190" s="18"/>
      <c r="L3190" s="18"/>
    </row>
    <row r="3191" spans="1:12" ht="11.25" customHeight="1" x14ac:dyDescent="0.2">
      <c r="A3191" s="9"/>
      <c r="C3191" s="126" t="s">
        <v>1286</v>
      </c>
      <c r="D3191" s="126"/>
      <c r="E3191" s="127"/>
      <c r="F3191" s="125"/>
      <c r="G3191" s="125"/>
      <c r="H3191" s="128">
        <f>TRUNC(H3189+H3181+H3184)</f>
        <v>113349</v>
      </c>
      <c r="I3191" s="125"/>
      <c r="J3191" s="128">
        <f>TRUNC(J3189+J3181+J3184)</f>
        <v>134575</v>
      </c>
      <c r="K3191" s="125"/>
      <c r="L3191" s="128">
        <f>TRUNC(L3189+L3181+L3184)</f>
        <v>144304</v>
      </c>
    </row>
    <row r="3192" spans="1:12" ht="11.25" customHeight="1" x14ac:dyDescent="0.2">
      <c r="A3192" s="9"/>
      <c r="B3192" s="186" t="s">
        <v>427</v>
      </c>
      <c r="C3192" s="187" t="s">
        <v>428</v>
      </c>
      <c r="D3192" s="187" t="s">
        <v>429</v>
      </c>
      <c r="E3192" s="188" t="s">
        <v>430</v>
      </c>
      <c r="F3192" s="188" t="s">
        <v>431</v>
      </c>
      <c r="G3192" s="94" t="s">
        <v>1826</v>
      </c>
      <c r="H3192" s="151"/>
      <c r="I3192" s="94" t="s">
        <v>1092</v>
      </c>
      <c r="J3192" s="152"/>
      <c r="K3192" s="94" t="s">
        <v>1827</v>
      </c>
      <c r="L3192" s="151"/>
    </row>
    <row r="3193" spans="1:12" ht="11.25" customHeight="1" x14ac:dyDescent="0.2">
      <c r="A3193" s="9"/>
      <c r="B3193" s="186"/>
      <c r="C3193" s="187"/>
      <c r="D3193" s="187"/>
      <c r="E3193" s="188"/>
      <c r="F3193" s="188"/>
      <c r="G3193" s="17" t="s">
        <v>436</v>
      </c>
      <c r="H3193" s="17" t="s">
        <v>437</v>
      </c>
      <c r="I3193" s="17" t="s">
        <v>436</v>
      </c>
      <c r="J3193" s="17" t="s">
        <v>437</v>
      </c>
      <c r="K3193" s="17" t="s">
        <v>436</v>
      </c>
      <c r="L3193" s="17" t="s">
        <v>437</v>
      </c>
    </row>
    <row r="3194" spans="1:12" ht="11.25" customHeight="1" x14ac:dyDescent="0.2">
      <c r="A3194" s="9"/>
      <c r="C3194" s="4" t="s">
        <v>426</v>
      </c>
      <c r="D3194" s="4"/>
      <c r="E3194" s="13" t="s">
        <v>494</v>
      </c>
      <c r="F3194" s="25">
        <v>1505.45</v>
      </c>
      <c r="G3194" s="26">
        <v>25.5</v>
      </c>
      <c r="H3194" s="20">
        <f t="shared" ref="H3194" si="118">TRUNC(($F3194*G3194),1)</f>
        <v>38388.9</v>
      </c>
      <c r="I3194" s="26">
        <v>31.8</v>
      </c>
      <c r="J3194" s="20">
        <f>TRUNC(($F3194*I3194),1)</f>
        <v>47873.3</v>
      </c>
      <c r="K3194" s="26">
        <v>38.1</v>
      </c>
      <c r="L3194" s="20">
        <f t="shared" ref="L3194" si="119">TRUNC(($F3194*K3194),1)</f>
        <v>57357.599999999999</v>
      </c>
    </row>
    <row r="3195" spans="1:12" ht="11.25" customHeight="1" x14ac:dyDescent="0.2">
      <c r="A3195" s="9"/>
      <c r="C3195" s="4" t="s">
        <v>495</v>
      </c>
      <c r="D3195" s="4" t="s">
        <v>203</v>
      </c>
      <c r="E3195" s="13" t="s">
        <v>232</v>
      </c>
      <c r="F3195" s="18"/>
      <c r="G3195" s="21">
        <v>63</v>
      </c>
      <c r="H3195" s="20">
        <f>TRUNC(H3194*G3195*0.01,1)</f>
        <v>24185</v>
      </c>
      <c r="I3195" s="21">
        <v>63</v>
      </c>
      <c r="J3195" s="20">
        <f>TRUNC(J3194*I3195*0.01,1)</f>
        <v>30160.1</v>
      </c>
      <c r="K3195" s="21">
        <v>63</v>
      </c>
      <c r="L3195" s="20">
        <f>TRUNC(L3194*K3195*0.01,1)</f>
        <v>36135.199999999997</v>
      </c>
    </row>
    <row r="3196" spans="1:12" ht="11.25" customHeight="1" x14ac:dyDescent="0.2">
      <c r="A3196" s="9"/>
      <c r="C3196" s="107" t="s">
        <v>799</v>
      </c>
      <c r="D3196" s="107"/>
      <c r="E3196" s="23"/>
      <c r="F3196" s="22"/>
      <c r="G3196" s="22"/>
      <c r="H3196" s="24">
        <f>TRUNC(SUM(H3194:H3195))</f>
        <v>62573</v>
      </c>
      <c r="I3196" s="22"/>
      <c r="J3196" s="24">
        <f>TRUNC(SUM(J3194:J3195))</f>
        <v>78033</v>
      </c>
      <c r="K3196" s="22"/>
      <c r="L3196" s="24">
        <f>TRUNC(SUM(L3194:L3195))</f>
        <v>93492</v>
      </c>
    </row>
    <row r="3197" spans="1:12" ht="11.25" customHeight="1" x14ac:dyDescent="0.2">
      <c r="A3197" s="9"/>
      <c r="C3197" s="4"/>
      <c r="D3197" s="4"/>
      <c r="E3197" s="18"/>
      <c r="F3197" s="18"/>
      <c r="G3197" s="18"/>
      <c r="H3197" s="18"/>
      <c r="I3197" s="18"/>
      <c r="J3197" s="18"/>
      <c r="K3197" s="18"/>
      <c r="L3197" s="18"/>
    </row>
    <row r="3198" spans="1:12" ht="11.25" customHeight="1" x14ac:dyDescent="0.2">
      <c r="A3198" s="9"/>
      <c r="C3198" s="4" t="s">
        <v>59</v>
      </c>
      <c r="D3198" s="4" t="s">
        <v>861</v>
      </c>
      <c r="E3198" s="13" t="s">
        <v>497</v>
      </c>
      <c r="F3198" s="28">
        <v>208490</v>
      </c>
      <c r="G3198" s="173">
        <v>0.625</v>
      </c>
      <c r="H3198" s="20">
        <f t="shared" ref="H3198" si="120">TRUNC(($F3198*G3198),1)</f>
        <v>130306.2</v>
      </c>
      <c r="I3198" s="173">
        <v>0.625</v>
      </c>
      <c r="J3198" s="20">
        <f>TRUNC(($F3198*I3198),1)</f>
        <v>130306.2</v>
      </c>
      <c r="K3198" s="173">
        <v>0.625</v>
      </c>
      <c r="L3198" s="20">
        <f t="shared" ref="L3198" si="121">TRUNC(($F3198*K3198),1)</f>
        <v>130306.2</v>
      </c>
    </row>
    <row r="3199" spans="1:12" ht="11.25" customHeight="1" x14ac:dyDescent="0.2">
      <c r="A3199" s="9"/>
      <c r="C3199" s="107" t="s">
        <v>1285</v>
      </c>
      <c r="D3199" s="107"/>
      <c r="E3199" s="23"/>
      <c r="F3199" s="22"/>
      <c r="G3199" s="22"/>
      <c r="H3199" s="24">
        <f>TRUNC(SUM(H3198:H3198))</f>
        <v>130306</v>
      </c>
      <c r="I3199" s="22"/>
      <c r="J3199" s="24">
        <f>TRUNC(SUM(J3198:J3198))</f>
        <v>130306</v>
      </c>
      <c r="K3199" s="22"/>
      <c r="L3199" s="24">
        <f>TRUNC(SUM(L3198:L3198))</f>
        <v>130306</v>
      </c>
    </row>
    <row r="3200" spans="1:12" ht="11.25" customHeight="1" x14ac:dyDescent="0.2">
      <c r="A3200" s="9"/>
      <c r="C3200" s="4"/>
      <c r="D3200" s="4"/>
      <c r="E3200" s="13"/>
      <c r="F3200" s="18"/>
      <c r="G3200" s="18"/>
      <c r="H3200" s="18"/>
      <c r="I3200" s="18"/>
      <c r="J3200" s="18"/>
      <c r="K3200" s="18"/>
      <c r="L3200" s="18"/>
    </row>
    <row r="3201" spans="1:12" ht="11.25" customHeight="1" x14ac:dyDescent="0.2">
      <c r="A3201" s="9"/>
      <c r="B3201" s="8" t="s">
        <v>339</v>
      </c>
      <c r="C3201" s="4" t="s">
        <v>1841</v>
      </c>
      <c r="D3201" s="106" t="s">
        <v>1835</v>
      </c>
      <c r="E3201" s="13" t="s">
        <v>746</v>
      </c>
      <c r="F3201" s="66">
        <v>336865000</v>
      </c>
      <c r="G3201" s="19">
        <v>991</v>
      </c>
      <c r="H3201" s="20">
        <f>TRUNC($F3201*G3201*0.0000001,1)</f>
        <v>33383.300000000003</v>
      </c>
      <c r="I3201" s="21">
        <v>0</v>
      </c>
      <c r="J3201" s="20">
        <f>TRUNC($F3201*I3201*0.0000001,1)</f>
        <v>0</v>
      </c>
      <c r="K3201" s="21">
        <v>0</v>
      </c>
      <c r="L3201" s="20">
        <f>TRUNC($F3201*K3201*0.0000001,1)</f>
        <v>0</v>
      </c>
    </row>
    <row r="3202" spans="1:12" ht="11.25" customHeight="1" x14ac:dyDescent="0.2">
      <c r="A3202" s="9"/>
      <c r="B3202" s="8" t="s">
        <v>340</v>
      </c>
      <c r="C3202" s="4" t="s">
        <v>1841</v>
      </c>
      <c r="D3202" s="106" t="s">
        <v>1836</v>
      </c>
      <c r="E3202" s="13" t="s">
        <v>746</v>
      </c>
      <c r="F3202" s="66">
        <v>421083000</v>
      </c>
      <c r="G3202" s="21">
        <v>0</v>
      </c>
      <c r="H3202" s="20">
        <f>TRUNC($F3202*G3202*0.0000001,1)</f>
        <v>0</v>
      </c>
      <c r="I3202" s="19">
        <v>991</v>
      </c>
      <c r="J3202" s="20">
        <f>TRUNC($F3202*I3202*0.0000001,1)</f>
        <v>41729.300000000003</v>
      </c>
      <c r="K3202" s="21">
        <v>0</v>
      </c>
      <c r="L3202" s="20">
        <f>TRUNC($F3202*K3202*0.0000001,1)</f>
        <v>0</v>
      </c>
    </row>
    <row r="3203" spans="1:12" ht="11.25" customHeight="1" x14ac:dyDescent="0.2">
      <c r="A3203" s="9"/>
      <c r="B3203" s="8" t="s">
        <v>341</v>
      </c>
      <c r="C3203" s="4" t="s">
        <v>1841</v>
      </c>
      <c r="D3203" s="106" t="s">
        <v>1837</v>
      </c>
      <c r="E3203" s="13" t="s">
        <v>746</v>
      </c>
      <c r="F3203" s="66">
        <v>506890000</v>
      </c>
      <c r="G3203" s="21">
        <v>0</v>
      </c>
      <c r="H3203" s="20">
        <f>TRUNC($F3203*G3203*0.0000001,1)</f>
        <v>0</v>
      </c>
      <c r="I3203" s="21">
        <v>0</v>
      </c>
      <c r="J3203" s="20">
        <f>TRUNC($F3203*I3203*0.0000001,1)</f>
        <v>0</v>
      </c>
      <c r="K3203" s="19">
        <v>991</v>
      </c>
      <c r="L3203" s="20">
        <f>TRUNC($F3203*K3203*0.0000001,1)</f>
        <v>50232.7</v>
      </c>
    </row>
    <row r="3204" spans="1:12" ht="11.25" customHeight="1" x14ac:dyDescent="0.2">
      <c r="A3204" s="9"/>
      <c r="C3204" s="107" t="s">
        <v>1289</v>
      </c>
      <c r="D3204" s="107"/>
      <c r="E3204" s="23"/>
      <c r="F3204" s="22"/>
      <c r="G3204" s="22"/>
      <c r="H3204" s="24">
        <f>TRUNC(SUM(H3201:H3203))</f>
        <v>33383</v>
      </c>
      <c r="I3204" s="22"/>
      <c r="J3204" s="24">
        <f>TRUNC(SUM(J3201:J3203))</f>
        <v>41729</v>
      </c>
      <c r="K3204" s="22"/>
      <c r="L3204" s="24">
        <f>TRUNC(SUM(L3201:L3203))</f>
        <v>50232</v>
      </c>
    </row>
    <row r="3205" spans="1:12" ht="11.25" customHeight="1" x14ac:dyDescent="0.2">
      <c r="A3205" s="9"/>
      <c r="C3205" s="4"/>
      <c r="D3205" s="4"/>
      <c r="E3205" s="18"/>
      <c r="F3205" s="18"/>
      <c r="G3205" s="18"/>
      <c r="H3205" s="18"/>
      <c r="I3205" s="18"/>
      <c r="J3205" s="18"/>
      <c r="K3205" s="18"/>
      <c r="L3205" s="18"/>
    </row>
    <row r="3206" spans="1:12" ht="11.25" customHeight="1" x14ac:dyDescent="0.2">
      <c r="A3206" s="9"/>
      <c r="C3206" s="126" t="s">
        <v>1286</v>
      </c>
      <c r="D3206" s="126"/>
      <c r="E3206" s="127"/>
      <c r="F3206" s="125"/>
      <c r="G3206" s="125"/>
      <c r="H3206" s="128">
        <f>TRUNC(H3204+H3196+H3199)</f>
        <v>226262</v>
      </c>
      <c r="I3206" s="125"/>
      <c r="J3206" s="128">
        <f>TRUNC(J3204+J3196+J3199)</f>
        <v>250068</v>
      </c>
      <c r="K3206" s="102"/>
      <c r="L3206" s="104">
        <f>TRUNC(L3204+L3196+L3199)</f>
        <v>274030</v>
      </c>
    </row>
    <row r="3207" spans="1:12" ht="11.25" customHeight="1" x14ac:dyDescent="0.2">
      <c r="A3207" s="9"/>
      <c r="B3207" s="186" t="s">
        <v>427</v>
      </c>
      <c r="C3207" s="187" t="s">
        <v>428</v>
      </c>
      <c r="D3207" s="187" t="s">
        <v>429</v>
      </c>
      <c r="E3207" s="188" t="s">
        <v>430</v>
      </c>
      <c r="F3207" s="188" t="s">
        <v>431</v>
      </c>
      <c r="G3207" s="94" t="s">
        <v>1828</v>
      </c>
      <c r="H3207" s="151"/>
      <c r="I3207" s="190" t="s">
        <v>338</v>
      </c>
      <c r="J3207" s="191"/>
      <c r="K3207" s="38"/>
      <c r="L3207" s="38"/>
    </row>
    <row r="3208" spans="1:12" ht="11.25" customHeight="1" x14ac:dyDescent="0.2">
      <c r="A3208" s="9"/>
      <c r="B3208" s="186"/>
      <c r="C3208" s="187"/>
      <c r="D3208" s="187"/>
      <c r="E3208" s="188"/>
      <c r="F3208" s="188"/>
      <c r="G3208" s="17" t="s">
        <v>436</v>
      </c>
      <c r="H3208" s="17" t="s">
        <v>437</v>
      </c>
      <c r="I3208" s="17" t="s">
        <v>436</v>
      </c>
      <c r="J3208" s="17" t="s">
        <v>437</v>
      </c>
      <c r="K3208" s="9"/>
      <c r="L3208" s="9"/>
    </row>
    <row r="3209" spans="1:12" ht="11.25" customHeight="1" x14ac:dyDescent="0.2">
      <c r="A3209" s="9"/>
      <c r="C3209" s="4" t="s">
        <v>426</v>
      </c>
      <c r="D3209" s="4"/>
      <c r="E3209" s="13" t="s">
        <v>494</v>
      </c>
      <c r="F3209" s="25">
        <v>1505.45</v>
      </c>
      <c r="G3209" s="26">
        <v>48.3</v>
      </c>
      <c r="H3209" s="20">
        <f t="shared" ref="H3209" si="122">TRUNC(($F3209*G3209),1)</f>
        <v>72713.2</v>
      </c>
      <c r="I3209" s="26">
        <v>86.3</v>
      </c>
      <c r="J3209" s="20">
        <f>TRUNC(($F3209*I3209),1)</f>
        <v>129920.3</v>
      </c>
      <c r="K3209" s="52"/>
      <c r="L3209" s="32"/>
    </row>
    <row r="3210" spans="1:12" ht="11.25" customHeight="1" x14ac:dyDescent="0.2">
      <c r="A3210" s="9"/>
      <c r="C3210" s="4" t="s">
        <v>495</v>
      </c>
      <c r="D3210" s="4" t="s">
        <v>203</v>
      </c>
      <c r="E3210" s="13" t="s">
        <v>232</v>
      </c>
      <c r="F3210" s="18"/>
      <c r="G3210" s="21">
        <v>63</v>
      </c>
      <c r="H3210" s="20">
        <f>TRUNC(H3209*G3210*0.01,1)</f>
        <v>45809.3</v>
      </c>
      <c r="I3210" s="21">
        <v>63</v>
      </c>
      <c r="J3210" s="20">
        <f>TRUNC(J3209*I3210*0.01,1)</f>
        <v>81849.7</v>
      </c>
      <c r="K3210" s="39"/>
      <c r="L3210" s="32"/>
    </row>
    <row r="3211" spans="1:12" ht="11.25" customHeight="1" x14ac:dyDescent="0.2">
      <c r="A3211" s="9"/>
      <c r="C3211" s="107" t="s">
        <v>799</v>
      </c>
      <c r="D3211" s="107"/>
      <c r="E3211" s="23"/>
      <c r="F3211" s="22"/>
      <c r="G3211" s="22"/>
      <c r="H3211" s="24">
        <f>TRUNC(SUM(H3209:H3210))</f>
        <v>118522</v>
      </c>
      <c r="I3211" s="22"/>
      <c r="J3211" s="24">
        <f>TRUNC(SUM(J3209:J3210))</f>
        <v>211770</v>
      </c>
      <c r="K3211" s="43"/>
      <c r="L3211" s="54"/>
    </row>
    <row r="3212" spans="1:12" ht="11.25" customHeight="1" x14ac:dyDescent="0.2">
      <c r="A3212" s="9"/>
      <c r="C3212" s="4"/>
      <c r="D3212" s="4"/>
      <c r="E3212" s="18"/>
      <c r="F3212" s="18"/>
      <c r="G3212" s="18"/>
      <c r="H3212" s="18"/>
      <c r="I3212" s="18"/>
      <c r="J3212" s="18"/>
    </row>
    <row r="3213" spans="1:12" ht="11.25" customHeight="1" x14ac:dyDescent="0.2">
      <c r="A3213" s="9"/>
      <c r="C3213" s="4" t="s">
        <v>59</v>
      </c>
      <c r="D3213" s="4" t="s">
        <v>861</v>
      </c>
      <c r="E3213" s="13" t="s">
        <v>497</v>
      </c>
      <c r="F3213" s="28">
        <v>208490</v>
      </c>
      <c r="G3213" s="173">
        <v>0.625</v>
      </c>
      <c r="H3213" s="20">
        <f t="shared" ref="H3213" si="123">TRUNC(($F3213*G3213),1)</f>
        <v>130306.2</v>
      </c>
      <c r="I3213" s="173">
        <v>0.625</v>
      </c>
      <c r="J3213" s="20">
        <f>TRUNC(($F3213*I3213),1)</f>
        <v>130306.2</v>
      </c>
      <c r="K3213" s="144"/>
      <c r="L3213" s="32"/>
    </row>
    <row r="3214" spans="1:12" ht="11.25" customHeight="1" x14ac:dyDescent="0.2">
      <c r="A3214" s="9"/>
      <c r="C3214" s="107" t="s">
        <v>1285</v>
      </c>
      <c r="D3214" s="107"/>
      <c r="E3214" s="23"/>
      <c r="F3214" s="22"/>
      <c r="G3214" s="22"/>
      <c r="H3214" s="24">
        <f>TRUNC(SUM(H3213:H3213))</f>
        <v>130306</v>
      </c>
      <c r="I3214" s="22"/>
      <c r="J3214" s="24">
        <f>TRUNC(SUM(J3213:J3213))</f>
        <v>130306</v>
      </c>
      <c r="K3214" s="43"/>
      <c r="L3214" s="54"/>
    </row>
    <row r="3215" spans="1:12" ht="11.25" customHeight="1" x14ac:dyDescent="0.2">
      <c r="A3215" s="9"/>
      <c r="C3215" s="4"/>
      <c r="D3215" s="4"/>
      <c r="E3215" s="13"/>
      <c r="F3215" s="18"/>
      <c r="G3215" s="18"/>
      <c r="H3215" s="18"/>
      <c r="I3215" s="18"/>
      <c r="J3215" s="18"/>
    </row>
    <row r="3216" spans="1:12" ht="11.25" customHeight="1" x14ac:dyDescent="0.2">
      <c r="A3216" s="9"/>
      <c r="B3216" s="8" t="s">
        <v>342</v>
      </c>
      <c r="C3216" s="4" t="s">
        <v>1841</v>
      </c>
      <c r="D3216" s="106" t="s">
        <v>1838</v>
      </c>
      <c r="E3216" s="13" t="s">
        <v>746</v>
      </c>
      <c r="F3216" s="66">
        <v>644244000</v>
      </c>
      <c r="G3216" s="19">
        <v>991</v>
      </c>
      <c r="H3216" s="20">
        <f>TRUNC($F3216*G3216*0.0000001,1)</f>
        <v>63844.5</v>
      </c>
      <c r="I3216" s="21">
        <v>0</v>
      </c>
      <c r="J3216" s="20">
        <f>TRUNC($F3216*I3216*0.0000001,1)</f>
        <v>0</v>
      </c>
      <c r="K3216" s="39"/>
      <c r="L3216" s="32"/>
    </row>
    <row r="3217" spans="1:12" ht="11.25" customHeight="1" x14ac:dyDescent="0.2">
      <c r="A3217" s="9"/>
      <c r="B3217" s="8" t="s">
        <v>343</v>
      </c>
      <c r="C3217" s="4" t="s">
        <v>1841</v>
      </c>
      <c r="D3217" s="106" t="s">
        <v>1839</v>
      </c>
      <c r="E3217" s="13" t="s">
        <v>746</v>
      </c>
      <c r="F3217" s="66">
        <v>1159145000</v>
      </c>
      <c r="G3217" s="21">
        <v>0</v>
      </c>
      <c r="H3217" s="20">
        <f>TRUNC($F3217*G3217*0.0000001,1)</f>
        <v>0</v>
      </c>
      <c r="I3217" s="19">
        <v>991</v>
      </c>
      <c r="J3217" s="20">
        <f>TRUNC($F3217*I3217*0.0000001,1)</f>
        <v>114871.2</v>
      </c>
      <c r="K3217" s="39"/>
      <c r="L3217" s="32"/>
    </row>
    <row r="3218" spans="1:12" ht="11.25" customHeight="1" x14ac:dyDescent="0.2">
      <c r="A3218" s="9"/>
      <c r="C3218" s="107" t="s">
        <v>1289</v>
      </c>
      <c r="D3218" s="107"/>
      <c r="E3218" s="23"/>
      <c r="F3218" s="22"/>
      <c r="G3218" s="22"/>
      <c r="H3218" s="24">
        <f>TRUNC(SUM(H3216:H3217))</f>
        <v>63844</v>
      </c>
      <c r="I3218" s="22"/>
      <c r="J3218" s="24">
        <f>TRUNC(SUM(J3216:J3217))</f>
        <v>114871</v>
      </c>
      <c r="K3218" s="43"/>
      <c r="L3218" s="54"/>
    </row>
    <row r="3219" spans="1:12" ht="11.25" customHeight="1" x14ac:dyDescent="0.2">
      <c r="A3219" s="9"/>
      <c r="C3219" s="4"/>
      <c r="D3219" s="4"/>
      <c r="E3219" s="18"/>
      <c r="F3219" s="18"/>
      <c r="G3219" s="18"/>
      <c r="H3219" s="18"/>
      <c r="I3219" s="18"/>
      <c r="J3219" s="18"/>
    </row>
    <row r="3220" spans="1:12" ht="11.25" customHeight="1" x14ac:dyDescent="0.2">
      <c r="A3220" s="9"/>
      <c r="B3220" s="16"/>
      <c r="C3220" s="108" t="s">
        <v>1286</v>
      </c>
      <c r="D3220" s="108"/>
      <c r="E3220" s="103"/>
      <c r="F3220" s="102"/>
      <c r="G3220" s="102"/>
      <c r="H3220" s="104">
        <f>TRUNC(H3218+H3211+H3214)</f>
        <v>312672</v>
      </c>
      <c r="I3220" s="102"/>
      <c r="J3220" s="104">
        <f>TRUNC(J3218+J3211+J3214)</f>
        <v>456947</v>
      </c>
      <c r="K3220" s="43"/>
      <c r="L3220" s="36"/>
    </row>
    <row r="3221" spans="1:12" ht="11.25" customHeight="1" x14ac:dyDescent="0.2">
      <c r="A3221" s="9"/>
      <c r="C3221" s="112"/>
      <c r="D3221" s="112"/>
      <c r="E3221" s="44"/>
      <c r="F3221" s="43"/>
      <c r="G3221" s="43"/>
      <c r="H3221" s="36"/>
      <c r="I3221" s="43"/>
      <c r="J3221" s="36"/>
    </row>
    <row r="3222" spans="1:12" ht="11.25" customHeight="1" x14ac:dyDescent="0.2">
      <c r="A3222" s="9"/>
      <c r="B3222" s="68" t="s">
        <v>1842</v>
      </c>
      <c r="C3222" s="119"/>
      <c r="L3222" s="49" t="s">
        <v>1307</v>
      </c>
    </row>
    <row r="3223" spans="1:12" ht="11.25" customHeight="1" x14ac:dyDescent="0.2">
      <c r="A3223" s="9"/>
      <c r="B3223" s="186" t="s">
        <v>427</v>
      </c>
      <c r="C3223" s="187" t="s">
        <v>428</v>
      </c>
      <c r="D3223" s="187" t="s">
        <v>429</v>
      </c>
      <c r="E3223" s="188" t="s">
        <v>430</v>
      </c>
      <c r="F3223" s="188" t="s">
        <v>431</v>
      </c>
      <c r="G3223" s="94" t="s">
        <v>1843</v>
      </c>
      <c r="H3223" s="151"/>
      <c r="I3223" s="94" t="s">
        <v>1844</v>
      </c>
      <c r="J3223" s="151"/>
      <c r="K3223" s="94" t="s">
        <v>1845</v>
      </c>
      <c r="L3223" s="151"/>
    </row>
    <row r="3224" spans="1:12" ht="11.25" customHeight="1" x14ac:dyDescent="0.2">
      <c r="A3224" s="9"/>
      <c r="B3224" s="186"/>
      <c r="C3224" s="187"/>
      <c r="D3224" s="187"/>
      <c r="E3224" s="188"/>
      <c r="F3224" s="188"/>
      <c r="G3224" s="17" t="s">
        <v>436</v>
      </c>
      <c r="H3224" s="17" t="s">
        <v>437</v>
      </c>
      <c r="I3224" s="17" t="s">
        <v>436</v>
      </c>
      <c r="J3224" s="17" t="s">
        <v>437</v>
      </c>
      <c r="K3224" s="17" t="s">
        <v>436</v>
      </c>
      <c r="L3224" s="17" t="s">
        <v>437</v>
      </c>
    </row>
    <row r="3225" spans="1:12" ht="11.25" customHeight="1" x14ac:dyDescent="0.2">
      <c r="A3225" s="9"/>
      <c r="C3225" s="4" t="s">
        <v>426</v>
      </c>
      <c r="D3225" s="4"/>
      <c r="E3225" s="13" t="s">
        <v>494</v>
      </c>
      <c r="F3225" s="25">
        <v>1505.45</v>
      </c>
      <c r="G3225" s="26">
        <v>9.5</v>
      </c>
      <c r="H3225" s="20">
        <f t="shared" ref="H3225" si="124">TRUNC(($F3225*G3225),1)</f>
        <v>14301.7</v>
      </c>
      <c r="I3225" s="26">
        <v>19.100000000000001</v>
      </c>
      <c r="J3225" s="20">
        <f>TRUNC(($F3225*I3225),1)</f>
        <v>28754</v>
      </c>
      <c r="K3225" s="26">
        <v>57.3</v>
      </c>
      <c r="L3225" s="20">
        <f t="shared" ref="L3225" si="125">TRUNC(($F3225*K3225),1)</f>
        <v>86262.2</v>
      </c>
    </row>
    <row r="3226" spans="1:12" ht="11.25" customHeight="1" x14ac:dyDescent="0.2">
      <c r="A3226" s="9"/>
      <c r="C3226" s="4" t="s">
        <v>495</v>
      </c>
      <c r="D3226" s="4" t="s">
        <v>203</v>
      </c>
      <c r="E3226" s="13" t="s">
        <v>232</v>
      </c>
      <c r="F3226" s="18"/>
      <c r="G3226" s="21">
        <v>81</v>
      </c>
      <c r="H3226" s="20">
        <f>TRUNC(H3225*G3226*0.01,1)</f>
        <v>11584.3</v>
      </c>
      <c r="I3226" s="21">
        <v>73</v>
      </c>
      <c r="J3226" s="20">
        <f>TRUNC(J3225*I3226*0.01,1)</f>
        <v>20990.400000000001</v>
      </c>
      <c r="K3226" s="21">
        <v>63</v>
      </c>
      <c r="L3226" s="20">
        <f>TRUNC(L3225*K3226*0.01,1)</f>
        <v>54345.1</v>
      </c>
    </row>
    <row r="3227" spans="1:12" ht="11.25" customHeight="1" x14ac:dyDescent="0.2">
      <c r="A3227" s="9"/>
      <c r="C3227" s="107" t="s">
        <v>799</v>
      </c>
      <c r="D3227" s="107"/>
      <c r="E3227" s="23"/>
      <c r="F3227" s="22"/>
      <c r="G3227" s="22"/>
      <c r="H3227" s="24">
        <f>TRUNC(SUM(H3225:H3226))</f>
        <v>25886</v>
      </c>
      <c r="I3227" s="22"/>
      <c r="J3227" s="24">
        <f>TRUNC(SUM(J3225:J3226))</f>
        <v>49744</v>
      </c>
      <c r="K3227" s="22"/>
      <c r="L3227" s="24">
        <f>TRUNC(SUM(L3225:L3226))</f>
        <v>140607</v>
      </c>
    </row>
    <row r="3228" spans="1:12" ht="11.25" customHeight="1" x14ac:dyDescent="0.2">
      <c r="A3228" s="9"/>
      <c r="C3228" s="4"/>
      <c r="D3228" s="4"/>
      <c r="E3228" s="13"/>
      <c r="F3228" s="18"/>
      <c r="G3228" s="18"/>
      <c r="H3228" s="18"/>
      <c r="I3228" s="18"/>
      <c r="J3228" s="18"/>
      <c r="K3228" s="18"/>
      <c r="L3228" s="18"/>
    </row>
    <row r="3229" spans="1:12" ht="11.25" customHeight="1" x14ac:dyDescent="0.2">
      <c r="A3229" s="9"/>
      <c r="C3229" s="4" t="s">
        <v>738</v>
      </c>
      <c r="D3229" s="4" t="s">
        <v>866</v>
      </c>
      <c r="E3229" s="13" t="s">
        <v>497</v>
      </c>
      <c r="F3229" s="28">
        <v>283297</v>
      </c>
      <c r="G3229" s="173">
        <v>0.20799999999999999</v>
      </c>
      <c r="H3229" s="20">
        <f t="shared" ref="H3229:H3230" si="126">TRUNC(($F3229*G3229),1)</f>
        <v>58925.7</v>
      </c>
      <c r="I3229" s="173">
        <v>0.20799999999999999</v>
      </c>
      <c r="J3229" s="20">
        <f>TRUNC(($F3229*I3229),1)</f>
        <v>58925.7</v>
      </c>
      <c r="K3229" s="173">
        <v>0.20799999999999999</v>
      </c>
      <c r="L3229" s="20">
        <f t="shared" ref="L3229:L3230" si="127">TRUNC(($F3229*K3229),1)</f>
        <v>58925.7</v>
      </c>
    </row>
    <row r="3230" spans="1:12" ht="11.25" customHeight="1" x14ac:dyDescent="0.2">
      <c r="A3230" s="9"/>
      <c r="C3230" s="4" t="s">
        <v>59</v>
      </c>
      <c r="D3230" s="4" t="s">
        <v>871</v>
      </c>
      <c r="E3230" s="13" t="s">
        <v>497</v>
      </c>
      <c r="F3230" s="28">
        <v>208490</v>
      </c>
      <c r="G3230" s="173">
        <v>0.41599999999999998</v>
      </c>
      <c r="H3230" s="20">
        <f t="shared" si="126"/>
        <v>86731.8</v>
      </c>
      <c r="I3230" s="173">
        <v>0.41599999999999998</v>
      </c>
      <c r="J3230" s="20">
        <f>TRUNC(($F3230*I3230),1)</f>
        <v>86731.8</v>
      </c>
      <c r="K3230" s="173">
        <v>0.625</v>
      </c>
      <c r="L3230" s="20">
        <f t="shared" si="127"/>
        <v>130306.2</v>
      </c>
    </row>
    <row r="3231" spans="1:12" ht="11.25" customHeight="1" x14ac:dyDescent="0.2">
      <c r="A3231" s="9"/>
      <c r="C3231" s="107" t="s">
        <v>1285</v>
      </c>
      <c r="D3231" s="107"/>
      <c r="E3231" s="23"/>
      <c r="F3231" s="22"/>
      <c r="G3231" s="22"/>
      <c r="H3231" s="24">
        <f>TRUNC(SUM(H3229:H3230))</f>
        <v>145657</v>
      </c>
      <c r="I3231" s="22"/>
      <c r="J3231" s="24">
        <f>TRUNC(SUM(J3229:J3230))</f>
        <v>145657</v>
      </c>
      <c r="K3231" s="22"/>
      <c r="L3231" s="24">
        <f>TRUNC(SUM(L3229:L3230))</f>
        <v>189231</v>
      </c>
    </row>
    <row r="3232" spans="1:12" ht="11.25" customHeight="1" x14ac:dyDescent="0.2">
      <c r="A3232" s="9"/>
      <c r="C3232" s="4"/>
      <c r="D3232" s="4"/>
      <c r="E3232" s="13"/>
      <c r="F3232" s="18"/>
      <c r="G3232" s="18"/>
      <c r="H3232" s="18"/>
      <c r="I3232" s="18"/>
      <c r="J3232" s="18"/>
      <c r="K3232" s="18"/>
      <c r="L3232" s="18"/>
    </row>
    <row r="3233" spans="1:12" ht="11.25" customHeight="1" x14ac:dyDescent="0.2">
      <c r="A3233" s="9"/>
      <c r="B3233" s="8" t="s">
        <v>638</v>
      </c>
      <c r="C3233" s="4" t="s">
        <v>1849</v>
      </c>
      <c r="D3233" s="106" t="s">
        <v>1846</v>
      </c>
      <c r="E3233" s="13" t="s">
        <v>746</v>
      </c>
      <c r="F3233" s="66">
        <v>172358000</v>
      </c>
      <c r="G3233" s="19">
        <v>1268</v>
      </c>
      <c r="H3233" s="20">
        <f>TRUNC($F3233*G3233*0.0000001,1)</f>
        <v>21854.9</v>
      </c>
      <c r="I3233" s="21">
        <v>0</v>
      </c>
      <c r="J3233" s="20">
        <f>TRUNC($F3233*I3233*0.0000001,1)</f>
        <v>0</v>
      </c>
      <c r="K3233" s="21">
        <v>0</v>
      </c>
      <c r="L3233" s="20">
        <f>TRUNC($F3233*K3233*0.0000001,1)</f>
        <v>0</v>
      </c>
    </row>
    <row r="3234" spans="1:12" ht="11.25" customHeight="1" x14ac:dyDescent="0.2">
      <c r="A3234" s="9"/>
      <c r="B3234" s="8" t="s">
        <v>360</v>
      </c>
      <c r="C3234" s="4" t="s">
        <v>1849</v>
      </c>
      <c r="D3234" s="106" t="s">
        <v>1847</v>
      </c>
      <c r="E3234" s="13" t="s">
        <v>746</v>
      </c>
      <c r="F3234" s="66">
        <v>277274000</v>
      </c>
      <c r="G3234" s="21">
        <v>0</v>
      </c>
      <c r="H3234" s="20">
        <f>TRUNC($F3234*G3234*0.0000001,1)</f>
        <v>0</v>
      </c>
      <c r="I3234" s="19">
        <v>1268</v>
      </c>
      <c r="J3234" s="20">
        <f>TRUNC($F3234*I3234*0.0000001,1)</f>
        <v>35158.300000000003</v>
      </c>
      <c r="K3234" s="21">
        <v>0</v>
      </c>
      <c r="L3234" s="20">
        <f>TRUNC($F3234*K3234*0.0000001,1)</f>
        <v>0</v>
      </c>
    </row>
    <row r="3235" spans="1:12" ht="11.25" customHeight="1" x14ac:dyDescent="0.2">
      <c r="A3235" s="9"/>
      <c r="B3235" s="8" t="s">
        <v>361</v>
      </c>
      <c r="C3235" s="4" t="s">
        <v>1849</v>
      </c>
      <c r="D3235" s="106" t="s">
        <v>1848</v>
      </c>
      <c r="E3235" s="13" t="s">
        <v>746</v>
      </c>
      <c r="F3235" s="66">
        <v>503341000</v>
      </c>
      <c r="G3235" s="21">
        <v>0</v>
      </c>
      <c r="H3235" s="20">
        <f>TRUNC($F3235*G3235*0.0000001,1)</f>
        <v>0</v>
      </c>
      <c r="I3235" s="21">
        <v>0</v>
      </c>
      <c r="J3235" s="20">
        <f>TRUNC($F3235*I3235*0.0000001,1)</f>
        <v>0</v>
      </c>
      <c r="K3235" s="19">
        <v>1268</v>
      </c>
      <c r="L3235" s="20">
        <f>TRUNC($F3235*K3235*0.0000001,1)</f>
        <v>63823.6</v>
      </c>
    </row>
    <row r="3236" spans="1:12" ht="11.25" customHeight="1" x14ac:dyDescent="0.2">
      <c r="A3236" s="9"/>
      <c r="C3236" s="107" t="s">
        <v>1289</v>
      </c>
      <c r="D3236" s="107"/>
      <c r="E3236" s="23"/>
      <c r="F3236" s="22"/>
      <c r="G3236" s="22"/>
      <c r="H3236" s="24">
        <f>TRUNC(SUM(H3233:H3235))</f>
        <v>21854</v>
      </c>
      <c r="I3236" s="22"/>
      <c r="J3236" s="24">
        <f>TRUNC(SUM(J3233:J3235))</f>
        <v>35158</v>
      </c>
      <c r="K3236" s="22"/>
      <c r="L3236" s="24">
        <f>TRUNC(SUM(L3233:L3235))</f>
        <v>63823</v>
      </c>
    </row>
    <row r="3237" spans="1:12" ht="11.25" customHeight="1" x14ac:dyDescent="0.2">
      <c r="A3237" s="9"/>
      <c r="C3237" s="4"/>
      <c r="D3237" s="4"/>
      <c r="E3237" s="13"/>
      <c r="F3237" s="18"/>
      <c r="G3237" s="18"/>
      <c r="H3237" s="18"/>
      <c r="I3237" s="18"/>
      <c r="J3237" s="18"/>
      <c r="K3237" s="18"/>
      <c r="L3237" s="18"/>
    </row>
    <row r="3238" spans="1:12" ht="11.25" customHeight="1" x14ac:dyDescent="0.2">
      <c r="A3238" s="9"/>
      <c r="C3238" s="126" t="s">
        <v>1286</v>
      </c>
      <c r="D3238" s="126"/>
      <c r="E3238" s="127"/>
      <c r="F3238" s="125"/>
      <c r="G3238" s="125"/>
      <c r="H3238" s="128">
        <f>TRUNC(H3236+H3227+H3231)</f>
        <v>193397</v>
      </c>
      <c r="I3238" s="125"/>
      <c r="J3238" s="128">
        <f>TRUNC(J3236+J3227+J3231)</f>
        <v>230559</v>
      </c>
      <c r="K3238" s="102"/>
      <c r="L3238" s="104">
        <f>TRUNC(L3236+L3227+L3231)</f>
        <v>393661</v>
      </c>
    </row>
    <row r="3239" spans="1:12" ht="11.25" customHeight="1" x14ac:dyDescent="0.2">
      <c r="A3239" s="9"/>
      <c r="B3239" s="186" t="s">
        <v>427</v>
      </c>
      <c r="C3239" s="187" t="s">
        <v>428</v>
      </c>
      <c r="D3239" s="187" t="s">
        <v>429</v>
      </c>
      <c r="E3239" s="188" t="s">
        <v>430</v>
      </c>
      <c r="F3239" s="188" t="s">
        <v>431</v>
      </c>
      <c r="G3239" s="94" t="s">
        <v>1850</v>
      </c>
      <c r="H3239" s="151"/>
      <c r="I3239" s="94" t="s">
        <v>1851</v>
      </c>
      <c r="J3239" s="151"/>
      <c r="K3239" s="57"/>
      <c r="L3239" s="57"/>
    </row>
    <row r="3240" spans="1:12" ht="11.25" customHeight="1" x14ac:dyDescent="0.2">
      <c r="A3240" s="9"/>
      <c r="B3240" s="186"/>
      <c r="C3240" s="187"/>
      <c r="D3240" s="187"/>
      <c r="E3240" s="188"/>
      <c r="F3240" s="188"/>
      <c r="G3240" s="17" t="s">
        <v>436</v>
      </c>
      <c r="H3240" s="17" t="s">
        <v>437</v>
      </c>
      <c r="I3240" s="17" t="s">
        <v>436</v>
      </c>
      <c r="J3240" s="17" t="s">
        <v>437</v>
      </c>
      <c r="K3240" s="9"/>
      <c r="L3240" s="9"/>
    </row>
    <row r="3241" spans="1:12" ht="11.25" customHeight="1" x14ac:dyDescent="0.2">
      <c r="A3241" s="9"/>
      <c r="C3241" s="4" t="s">
        <v>426</v>
      </c>
      <c r="D3241" s="4"/>
      <c r="E3241" s="13" t="s">
        <v>494</v>
      </c>
      <c r="F3241" s="25">
        <v>1505.45</v>
      </c>
      <c r="G3241" s="26">
        <v>95.5</v>
      </c>
      <c r="H3241" s="20">
        <f t="shared" ref="H3241" si="128">TRUNC(($F3241*G3241),1)</f>
        <v>143770.4</v>
      </c>
      <c r="I3241" s="26">
        <v>108.3</v>
      </c>
      <c r="J3241" s="20">
        <f>TRUNC(($F3241*I3241),1)</f>
        <v>163040.20000000001</v>
      </c>
      <c r="K3241" s="52"/>
      <c r="L3241" s="32"/>
    </row>
    <row r="3242" spans="1:12" ht="11.25" customHeight="1" x14ac:dyDescent="0.2">
      <c r="A3242" s="9"/>
      <c r="C3242" s="4" t="s">
        <v>495</v>
      </c>
      <c r="D3242" s="4" t="s">
        <v>203</v>
      </c>
      <c r="E3242" s="13" t="s">
        <v>232</v>
      </c>
      <c r="F3242" s="18"/>
      <c r="G3242" s="21">
        <v>58</v>
      </c>
      <c r="H3242" s="20">
        <f>TRUNC(H3241*G3242*0.01,1)</f>
        <v>83386.8</v>
      </c>
      <c r="I3242" s="21">
        <v>56</v>
      </c>
      <c r="J3242" s="20">
        <f>TRUNC(J3241*I3242*0.01,1)</f>
        <v>91302.5</v>
      </c>
      <c r="K3242" s="39"/>
      <c r="L3242" s="32"/>
    </row>
    <row r="3243" spans="1:12" ht="11.25" customHeight="1" x14ac:dyDescent="0.2">
      <c r="A3243" s="9"/>
      <c r="C3243" s="107" t="s">
        <v>799</v>
      </c>
      <c r="D3243" s="107"/>
      <c r="E3243" s="23"/>
      <c r="F3243" s="22"/>
      <c r="G3243" s="22"/>
      <c r="H3243" s="24">
        <f>TRUNC(SUM(H3241:H3242))</f>
        <v>227157</v>
      </c>
      <c r="I3243" s="22"/>
      <c r="J3243" s="24">
        <f>TRUNC(SUM(J3241:J3242))</f>
        <v>254342</v>
      </c>
      <c r="K3243" s="43"/>
      <c r="L3243" s="54"/>
    </row>
    <row r="3244" spans="1:12" ht="11.25" customHeight="1" x14ac:dyDescent="0.2">
      <c r="A3244" s="9"/>
      <c r="C3244" s="4"/>
      <c r="D3244" s="4"/>
      <c r="E3244" s="13"/>
      <c r="F3244" s="18"/>
      <c r="G3244" s="18"/>
      <c r="H3244" s="18"/>
      <c r="I3244" s="18"/>
      <c r="J3244" s="18"/>
    </row>
    <row r="3245" spans="1:12" ht="11.25" customHeight="1" x14ac:dyDescent="0.2">
      <c r="A3245" s="9"/>
      <c r="C3245" s="4" t="s">
        <v>738</v>
      </c>
      <c r="D3245" s="4" t="s">
        <v>866</v>
      </c>
      <c r="E3245" s="13" t="s">
        <v>497</v>
      </c>
      <c r="F3245" s="28">
        <v>283297</v>
      </c>
      <c r="G3245" s="173">
        <v>0.20799999999999999</v>
      </c>
      <c r="H3245" s="20">
        <f t="shared" ref="H3245:H3246" si="129">TRUNC(($F3245*G3245),1)</f>
        <v>58925.7</v>
      </c>
      <c r="I3245" s="173">
        <v>0.20799999999999999</v>
      </c>
      <c r="J3245" s="20">
        <f>TRUNC(($F3245*I3245),1)</f>
        <v>58925.7</v>
      </c>
      <c r="K3245" s="144"/>
      <c r="L3245" s="32"/>
    </row>
    <row r="3246" spans="1:12" ht="11.25" customHeight="1" x14ac:dyDescent="0.2">
      <c r="A3246" s="9"/>
      <c r="C3246" s="4" t="s">
        <v>59</v>
      </c>
      <c r="D3246" s="4" t="s">
        <v>862</v>
      </c>
      <c r="E3246" s="13" t="s">
        <v>497</v>
      </c>
      <c r="F3246" s="28">
        <v>208490</v>
      </c>
      <c r="G3246" s="173">
        <v>0.83299999999999996</v>
      </c>
      <c r="H3246" s="20">
        <f t="shared" si="129"/>
        <v>173672.1</v>
      </c>
      <c r="I3246" s="173">
        <v>0.83299999999999996</v>
      </c>
      <c r="J3246" s="20">
        <f>TRUNC(($F3246*I3246),1)</f>
        <v>173672.1</v>
      </c>
      <c r="K3246" s="144"/>
      <c r="L3246" s="32"/>
    </row>
    <row r="3247" spans="1:12" ht="11.25" customHeight="1" x14ac:dyDescent="0.2">
      <c r="A3247" s="9"/>
      <c r="C3247" s="107" t="s">
        <v>1285</v>
      </c>
      <c r="D3247" s="107"/>
      <c r="E3247" s="23"/>
      <c r="F3247" s="22"/>
      <c r="G3247" s="22"/>
      <c r="H3247" s="24">
        <f>TRUNC(SUM(H3245:H3246))</f>
        <v>232597</v>
      </c>
      <c r="I3247" s="22"/>
      <c r="J3247" s="24">
        <f>TRUNC(SUM(J3245:J3246))</f>
        <v>232597</v>
      </c>
      <c r="K3247" s="43"/>
      <c r="L3247" s="54"/>
    </row>
    <row r="3248" spans="1:12" ht="11.25" customHeight="1" x14ac:dyDescent="0.2">
      <c r="A3248" s="9"/>
      <c r="C3248" s="4"/>
      <c r="D3248" s="4"/>
      <c r="E3248" s="13"/>
      <c r="F3248" s="18"/>
      <c r="G3248" s="18"/>
      <c r="H3248" s="18"/>
      <c r="I3248" s="18"/>
      <c r="J3248" s="18"/>
    </row>
    <row r="3249" spans="1:12" ht="11.25" customHeight="1" x14ac:dyDescent="0.2">
      <c r="A3249" s="9"/>
      <c r="B3249" s="8" t="s">
        <v>362</v>
      </c>
      <c r="C3249" s="4" t="s">
        <v>1849</v>
      </c>
      <c r="D3249" s="106" t="s">
        <v>1852</v>
      </c>
      <c r="E3249" s="13" t="s">
        <v>746</v>
      </c>
      <c r="F3249" s="66">
        <v>761706000</v>
      </c>
      <c r="G3249" s="19">
        <v>1268</v>
      </c>
      <c r="H3249" s="20">
        <f>TRUNC($F3249*G3249*0.0000001,1)</f>
        <v>96584.3</v>
      </c>
      <c r="I3249" s="21">
        <v>0</v>
      </c>
      <c r="J3249" s="20">
        <f>TRUNC($F3249*I3249*0.0000001,1)</f>
        <v>0</v>
      </c>
      <c r="K3249" s="39"/>
      <c r="L3249" s="32"/>
    </row>
    <row r="3250" spans="1:12" ht="11.25" customHeight="1" x14ac:dyDescent="0.2">
      <c r="A3250" s="9"/>
      <c r="B3250" s="8" t="s">
        <v>363</v>
      </c>
      <c r="C3250" s="4" t="s">
        <v>1849</v>
      </c>
      <c r="D3250" s="106" t="s">
        <v>1853</v>
      </c>
      <c r="E3250" s="13" t="s">
        <v>746</v>
      </c>
      <c r="F3250" s="66">
        <v>846289000</v>
      </c>
      <c r="G3250" s="21">
        <v>0</v>
      </c>
      <c r="H3250" s="20">
        <f>TRUNC($F3250*G3250*0.0000001,1)</f>
        <v>0</v>
      </c>
      <c r="I3250" s="19">
        <v>1268</v>
      </c>
      <c r="J3250" s="20">
        <f>TRUNC($F3250*I3250*0.0000001,1)</f>
        <v>107309.4</v>
      </c>
      <c r="K3250" s="39"/>
      <c r="L3250" s="32"/>
    </row>
    <row r="3251" spans="1:12" ht="11.25" customHeight="1" x14ac:dyDescent="0.2">
      <c r="A3251" s="9"/>
      <c r="C3251" s="107" t="s">
        <v>1289</v>
      </c>
      <c r="D3251" s="107"/>
      <c r="E3251" s="23"/>
      <c r="F3251" s="22"/>
      <c r="G3251" s="22"/>
      <c r="H3251" s="24">
        <f>TRUNC(SUM(H3249:H3250))</f>
        <v>96584</v>
      </c>
      <c r="I3251" s="22"/>
      <c r="J3251" s="24">
        <f>TRUNC(SUM(J3249:J3250))</f>
        <v>107309</v>
      </c>
      <c r="K3251" s="43"/>
      <c r="L3251" s="54"/>
    </row>
    <row r="3252" spans="1:12" ht="11.25" customHeight="1" x14ac:dyDescent="0.2">
      <c r="A3252" s="9"/>
      <c r="C3252" s="4"/>
      <c r="D3252" s="4"/>
      <c r="E3252" s="13"/>
      <c r="F3252" s="18"/>
      <c r="G3252" s="18"/>
      <c r="H3252" s="18"/>
      <c r="I3252" s="18"/>
      <c r="J3252" s="18"/>
    </row>
    <row r="3253" spans="1:12" ht="11.25" customHeight="1" x14ac:dyDescent="0.2">
      <c r="A3253" s="9"/>
      <c r="B3253" s="16"/>
      <c r="C3253" s="108" t="s">
        <v>1286</v>
      </c>
      <c r="D3253" s="108"/>
      <c r="E3253" s="103"/>
      <c r="F3253" s="102"/>
      <c r="G3253" s="102"/>
      <c r="H3253" s="104">
        <f>TRUNC(H3251+H3243+H3247)</f>
        <v>556338</v>
      </c>
      <c r="I3253" s="102"/>
      <c r="J3253" s="104">
        <f>TRUNC(J3251+J3243+J3247)</f>
        <v>594248</v>
      </c>
      <c r="K3253" s="43"/>
      <c r="L3253" s="36"/>
    </row>
    <row r="3254" spans="1:12" ht="11.25" customHeight="1" x14ac:dyDescent="0.2">
      <c r="A3254" s="9"/>
    </row>
    <row r="3255" spans="1:12" ht="11.25" customHeight="1" x14ac:dyDescent="0.2">
      <c r="A3255" s="9"/>
      <c r="B3255" s="68" t="s">
        <v>1854</v>
      </c>
      <c r="C3255" s="119"/>
      <c r="J3255" s="49" t="s">
        <v>1307</v>
      </c>
    </row>
    <row r="3256" spans="1:12" ht="11.25" customHeight="1" x14ac:dyDescent="0.2">
      <c r="A3256" s="9"/>
      <c r="B3256" s="186" t="s">
        <v>427</v>
      </c>
      <c r="C3256" s="187" t="s">
        <v>428</v>
      </c>
      <c r="D3256" s="187" t="s">
        <v>429</v>
      </c>
      <c r="E3256" s="188" t="s">
        <v>430</v>
      </c>
      <c r="F3256" s="188" t="s">
        <v>431</v>
      </c>
      <c r="G3256" s="94" t="s">
        <v>1855</v>
      </c>
      <c r="H3256" s="151"/>
      <c r="I3256" s="190" t="s">
        <v>1856</v>
      </c>
      <c r="J3256" s="191"/>
      <c r="K3256" s="38"/>
      <c r="L3256" s="38"/>
    </row>
    <row r="3257" spans="1:12" ht="11.25" customHeight="1" x14ac:dyDescent="0.2">
      <c r="A3257" s="9"/>
      <c r="B3257" s="186"/>
      <c r="C3257" s="187"/>
      <c r="D3257" s="187"/>
      <c r="E3257" s="188"/>
      <c r="F3257" s="188"/>
      <c r="G3257" s="17" t="s">
        <v>436</v>
      </c>
      <c r="H3257" s="17" t="s">
        <v>437</v>
      </c>
      <c r="I3257" s="17" t="s">
        <v>436</v>
      </c>
      <c r="J3257" s="17" t="s">
        <v>437</v>
      </c>
      <c r="K3257" s="9"/>
      <c r="L3257" s="9"/>
    </row>
    <row r="3258" spans="1:12" ht="11.25" customHeight="1" x14ac:dyDescent="0.2">
      <c r="A3258" s="9"/>
      <c r="C3258" s="4" t="s">
        <v>59</v>
      </c>
      <c r="D3258" s="4" t="s">
        <v>866</v>
      </c>
      <c r="E3258" s="13" t="s">
        <v>497</v>
      </c>
      <c r="F3258" s="28">
        <v>208490</v>
      </c>
      <c r="G3258" s="173">
        <v>0.20799999999999999</v>
      </c>
      <c r="H3258" s="20">
        <f t="shared" ref="H3258" si="130">TRUNC(($F3258*G3258),1)</f>
        <v>43365.9</v>
      </c>
      <c r="I3258" s="173">
        <v>0.20799999999999999</v>
      </c>
      <c r="J3258" s="20">
        <f>TRUNC(($F3258*I3258),1)</f>
        <v>43365.9</v>
      </c>
      <c r="K3258" s="144"/>
      <c r="L3258" s="32"/>
    </row>
    <row r="3259" spans="1:12" ht="11.25" customHeight="1" x14ac:dyDescent="0.2">
      <c r="A3259" s="9"/>
      <c r="C3259" s="107" t="s">
        <v>1285</v>
      </c>
      <c r="D3259" s="107"/>
      <c r="E3259" s="23"/>
      <c r="F3259" s="22"/>
      <c r="G3259" s="22"/>
      <c r="H3259" s="24">
        <f>TRUNC(SUM(H3258:H3258))</f>
        <v>43365</v>
      </c>
      <c r="I3259" s="22"/>
      <c r="J3259" s="24">
        <f>TRUNC(SUM(J3258:J3258))</f>
        <v>43365</v>
      </c>
      <c r="K3259" s="43"/>
      <c r="L3259" s="54"/>
    </row>
    <row r="3260" spans="1:12" ht="11.25" customHeight="1" x14ac:dyDescent="0.2">
      <c r="A3260" s="9"/>
      <c r="C3260" s="4"/>
      <c r="D3260" s="4"/>
      <c r="E3260" s="13"/>
      <c r="F3260" s="18"/>
      <c r="G3260" s="18"/>
      <c r="H3260" s="18"/>
      <c r="I3260" s="18"/>
      <c r="J3260" s="18"/>
    </row>
    <row r="3261" spans="1:12" ht="11.25" customHeight="1" x14ac:dyDescent="0.2">
      <c r="A3261" s="9"/>
      <c r="B3261" s="8" t="s">
        <v>345</v>
      </c>
      <c r="C3261" s="4" t="s">
        <v>1866</v>
      </c>
      <c r="D3261" s="106" t="s">
        <v>1860</v>
      </c>
      <c r="E3261" s="13" t="s">
        <v>746</v>
      </c>
      <c r="F3261" s="66">
        <v>66826000</v>
      </c>
      <c r="G3261" s="19">
        <v>1268</v>
      </c>
      <c r="H3261" s="20">
        <f>TRUNC($F3261*G3261*0.0000001,1)</f>
        <v>8473.5</v>
      </c>
      <c r="I3261" s="21">
        <v>0</v>
      </c>
      <c r="J3261" s="20">
        <f>TRUNC($F3261*I3261*0.0000001,1)</f>
        <v>0</v>
      </c>
      <c r="K3261" s="39"/>
      <c r="L3261" s="32"/>
    </row>
    <row r="3262" spans="1:12" ht="11.25" customHeight="1" x14ac:dyDescent="0.2">
      <c r="A3262" s="9"/>
      <c r="B3262" s="8" t="s">
        <v>346</v>
      </c>
      <c r="C3262" s="4" t="s">
        <v>1866</v>
      </c>
      <c r="D3262" s="106" t="s">
        <v>1861</v>
      </c>
      <c r="E3262" s="13" t="s">
        <v>746</v>
      </c>
      <c r="F3262" s="66">
        <v>96966000</v>
      </c>
      <c r="G3262" s="21">
        <v>0</v>
      </c>
      <c r="H3262" s="20">
        <f>TRUNC($F3262*G3262*0.0000001,1)</f>
        <v>0</v>
      </c>
      <c r="I3262" s="19">
        <v>1268</v>
      </c>
      <c r="J3262" s="20">
        <f>TRUNC($F3262*I3262*0.0000001,1)</f>
        <v>12295.2</v>
      </c>
      <c r="K3262" s="39"/>
      <c r="L3262" s="32"/>
    </row>
    <row r="3263" spans="1:12" ht="11.25" customHeight="1" x14ac:dyDescent="0.2">
      <c r="A3263" s="9"/>
      <c r="C3263" s="107" t="s">
        <v>1289</v>
      </c>
      <c r="D3263" s="107"/>
      <c r="E3263" s="23"/>
      <c r="F3263" s="22"/>
      <c r="G3263" s="22"/>
      <c r="H3263" s="24">
        <f>TRUNC(SUM(H3261:H3262))</f>
        <v>8473</v>
      </c>
      <c r="I3263" s="22"/>
      <c r="J3263" s="24">
        <f>TRUNC(SUM(J3261:J3262))</f>
        <v>12295</v>
      </c>
      <c r="K3263" s="43"/>
      <c r="L3263" s="54"/>
    </row>
    <row r="3264" spans="1:12" ht="11.25" customHeight="1" x14ac:dyDescent="0.2">
      <c r="A3264" s="9"/>
      <c r="C3264" s="107"/>
      <c r="D3264" s="107"/>
      <c r="E3264" s="23"/>
      <c r="F3264" s="22"/>
      <c r="G3264" s="22"/>
      <c r="H3264" s="24"/>
      <c r="I3264" s="22"/>
      <c r="J3264" s="24"/>
      <c r="K3264" s="43"/>
      <c r="L3264" s="54"/>
    </row>
    <row r="3265" spans="1:12" ht="11.25" customHeight="1" x14ac:dyDescent="0.2">
      <c r="A3265" s="9"/>
      <c r="C3265" s="126" t="s">
        <v>1286</v>
      </c>
      <c r="D3265" s="126"/>
      <c r="E3265" s="127"/>
      <c r="F3265" s="125"/>
      <c r="G3265" s="125"/>
      <c r="H3265" s="128">
        <f>TRUNC(H3263+H3259)</f>
        <v>51838</v>
      </c>
      <c r="I3265" s="125"/>
      <c r="J3265" s="128">
        <f>TRUNC(J3263+J3259)</f>
        <v>55660</v>
      </c>
      <c r="K3265" s="43"/>
      <c r="L3265" s="36"/>
    </row>
    <row r="3266" spans="1:12" ht="11.25" customHeight="1" x14ac:dyDescent="0.2">
      <c r="A3266" s="9"/>
      <c r="B3266" s="186" t="s">
        <v>427</v>
      </c>
      <c r="C3266" s="187" t="s">
        <v>428</v>
      </c>
      <c r="D3266" s="187" t="s">
        <v>429</v>
      </c>
      <c r="E3266" s="188" t="s">
        <v>430</v>
      </c>
      <c r="F3266" s="188" t="s">
        <v>431</v>
      </c>
      <c r="G3266" s="94" t="s">
        <v>1857</v>
      </c>
      <c r="H3266" s="151"/>
      <c r="I3266" s="190" t="s">
        <v>1858</v>
      </c>
      <c r="J3266" s="191"/>
      <c r="K3266" s="38"/>
      <c r="L3266" s="38"/>
    </row>
    <row r="3267" spans="1:12" ht="11.25" customHeight="1" x14ac:dyDescent="0.2">
      <c r="A3267" s="9"/>
      <c r="B3267" s="186"/>
      <c r="C3267" s="187"/>
      <c r="D3267" s="187"/>
      <c r="E3267" s="188"/>
      <c r="F3267" s="188"/>
      <c r="G3267" s="17" t="s">
        <v>436</v>
      </c>
      <c r="H3267" s="17" t="s">
        <v>437</v>
      </c>
      <c r="I3267" s="17" t="s">
        <v>436</v>
      </c>
      <c r="J3267" s="17" t="s">
        <v>437</v>
      </c>
      <c r="K3267" s="9"/>
      <c r="L3267" s="9"/>
    </row>
    <row r="3268" spans="1:12" ht="11.25" customHeight="1" x14ac:dyDescent="0.2">
      <c r="A3268" s="9"/>
      <c r="C3268" s="4" t="s">
        <v>59</v>
      </c>
      <c r="D3268" s="4" t="s">
        <v>866</v>
      </c>
      <c r="E3268" s="13" t="s">
        <v>497</v>
      </c>
      <c r="F3268" s="28">
        <v>208490</v>
      </c>
      <c r="G3268" s="173">
        <v>0.20799999999999999</v>
      </c>
      <c r="H3268" s="20">
        <f t="shared" ref="H3268" si="131">TRUNC(($F3268*G3268),1)</f>
        <v>43365.9</v>
      </c>
      <c r="I3268" s="173">
        <v>0.20799999999999999</v>
      </c>
      <c r="J3268" s="20">
        <f>TRUNC(($F3268*I3268),1)</f>
        <v>43365.9</v>
      </c>
      <c r="K3268" s="144"/>
      <c r="L3268" s="32"/>
    </row>
    <row r="3269" spans="1:12" ht="11.25" customHeight="1" x14ac:dyDescent="0.2">
      <c r="A3269" s="9"/>
      <c r="C3269" s="107" t="s">
        <v>1285</v>
      </c>
      <c r="D3269" s="107"/>
      <c r="E3269" s="23"/>
      <c r="F3269" s="22"/>
      <c r="G3269" s="22"/>
      <c r="H3269" s="24">
        <f>TRUNC(SUM(H3268:H3268))</f>
        <v>43365</v>
      </c>
      <c r="I3269" s="22"/>
      <c r="J3269" s="24">
        <f>TRUNC(SUM(J3268:J3268))</f>
        <v>43365</v>
      </c>
      <c r="K3269" s="43"/>
      <c r="L3269" s="54"/>
    </row>
    <row r="3270" spans="1:12" ht="11.25" customHeight="1" x14ac:dyDescent="0.2">
      <c r="A3270" s="9"/>
      <c r="C3270" s="4"/>
      <c r="D3270" s="4"/>
      <c r="E3270" s="13"/>
      <c r="F3270" s="18"/>
      <c r="G3270" s="18"/>
      <c r="H3270" s="18"/>
      <c r="I3270" s="18"/>
      <c r="J3270" s="18"/>
    </row>
    <row r="3271" spans="1:12" ht="11.25" customHeight="1" x14ac:dyDescent="0.2">
      <c r="A3271" s="9"/>
      <c r="B3271" s="8" t="s">
        <v>634</v>
      </c>
      <c r="C3271" s="4" t="s">
        <v>1866</v>
      </c>
      <c r="D3271" s="106" t="s">
        <v>1862</v>
      </c>
      <c r="E3271" s="13" t="s">
        <v>746</v>
      </c>
      <c r="F3271" s="66">
        <v>184105000</v>
      </c>
      <c r="G3271" s="19">
        <v>1268</v>
      </c>
      <c r="H3271" s="20">
        <f>TRUNC($F3271*G3271*0.0000001,1)</f>
        <v>23344.5</v>
      </c>
      <c r="I3271" s="21">
        <v>0</v>
      </c>
      <c r="J3271" s="20">
        <f>TRUNC($F3271*I3271*0.0000001,1)</f>
        <v>0</v>
      </c>
      <c r="K3271" s="39"/>
      <c r="L3271" s="32"/>
    </row>
    <row r="3272" spans="1:12" ht="11.25" customHeight="1" x14ac:dyDescent="0.2">
      <c r="A3272" s="9"/>
      <c r="B3272" s="8" t="s">
        <v>635</v>
      </c>
      <c r="C3272" s="4" t="s">
        <v>1866</v>
      </c>
      <c r="D3272" s="106" t="s">
        <v>1863</v>
      </c>
      <c r="E3272" s="13" t="s">
        <v>746</v>
      </c>
      <c r="F3272" s="66">
        <v>247658000</v>
      </c>
      <c r="G3272" s="21">
        <v>0</v>
      </c>
      <c r="H3272" s="20">
        <f>TRUNC($F3272*G3272*0.0000001,1)</f>
        <v>0</v>
      </c>
      <c r="I3272" s="19">
        <v>1268</v>
      </c>
      <c r="J3272" s="20">
        <f>TRUNC($F3272*I3272*0.0000001,1)</f>
        <v>31403</v>
      </c>
      <c r="K3272" s="39"/>
      <c r="L3272" s="32"/>
    </row>
    <row r="3273" spans="1:12" ht="11.25" customHeight="1" x14ac:dyDescent="0.2">
      <c r="A3273" s="9"/>
      <c r="C3273" s="107" t="s">
        <v>1289</v>
      </c>
      <c r="D3273" s="107"/>
      <c r="E3273" s="23"/>
      <c r="F3273" s="22"/>
      <c r="G3273" s="22"/>
      <c r="H3273" s="24">
        <f>TRUNC(SUM(H3271:H3272))</f>
        <v>23344</v>
      </c>
      <c r="I3273" s="22"/>
      <c r="J3273" s="24">
        <f>TRUNC(SUM(J3271:J3272))</f>
        <v>31403</v>
      </c>
      <c r="K3273" s="43"/>
      <c r="L3273" s="54"/>
    </row>
    <row r="3274" spans="1:12" ht="11.25" customHeight="1" x14ac:dyDescent="0.2">
      <c r="A3274" s="9"/>
      <c r="C3274" s="107"/>
      <c r="D3274" s="107"/>
      <c r="E3274" s="23"/>
      <c r="F3274" s="22"/>
      <c r="G3274" s="22"/>
      <c r="H3274" s="24"/>
      <c r="I3274" s="22"/>
      <c r="J3274" s="24"/>
      <c r="K3274" s="43"/>
      <c r="L3274" s="54"/>
    </row>
    <row r="3275" spans="1:12" ht="11.25" customHeight="1" x14ac:dyDescent="0.2">
      <c r="A3275" s="9"/>
      <c r="C3275" s="126" t="s">
        <v>1286</v>
      </c>
      <c r="D3275" s="126"/>
      <c r="E3275" s="127"/>
      <c r="F3275" s="125"/>
      <c r="G3275" s="125"/>
      <c r="H3275" s="128">
        <f>TRUNC(H3273+H3269)</f>
        <v>66709</v>
      </c>
      <c r="I3275" s="125"/>
      <c r="J3275" s="128">
        <f>TRUNC(J3273+J3269)</f>
        <v>74768</v>
      </c>
      <c r="K3275" s="43"/>
      <c r="L3275" s="36"/>
    </row>
    <row r="3276" spans="1:12" ht="11.25" customHeight="1" x14ac:dyDescent="0.2">
      <c r="A3276" s="9"/>
      <c r="B3276" s="186" t="s">
        <v>427</v>
      </c>
      <c r="C3276" s="187" t="s">
        <v>428</v>
      </c>
      <c r="D3276" s="187" t="s">
        <v>429</v>
      </c>
      <c r="E3276" s="188" t="s">
        <v>430</v>
      </c>
      <c r="F3276" s="188" t="s">
        <v>431</v>
      </c>
      <c r="G3276" s="94" t="s">
        <v>1859</v>
      </c>
      <c r="H3276" s="151"/>
      <c r="I3276" s="190" t="s">
        <v>344</v>
      </c>
      <c r="J3276" s="191"/>
      <c r="K3276" s="38"/>
      <c r="L3276" s="38"/>
    </row>
    <row r="3277" spans="1:12" ht="11.25" customHeight="1" x14ac:dyDescent="0.2">
      <c r="A3277" s="9"/>
      <c r="B3277" s="186"/>
      <c r="C3277" s="187"/>
      <c r="D3277" s="187"/>
      <c r="E3277" s="188"/>
      <c r="F3277" s="188"/>
      <c r="G3277" s="17" t="s">
        <v>436</v>
      </c>
      <c r="H3277" s="17" t="s">
        <v>437</v>
      </c>
      <c r="I3277" s="17" t="s">
        <v>436</v>
      </c>
      <c r="J3277" s="17" t="s">
        <v>437</v>
      </c>
      <c r="K3277" s="9"/>
      <c r="L3277" s="9"/>
    </row>
    <row r="3278" spans="1:12" ht="11.25" customHeight="1" x14ac:dyDescent="0.2">
      <c r="A3278" s="9"/>
      <c r="C3278" s="4" t="s">
        <v>59</v>
      </c>
      <c r="D3278" s="4" t="s">
        <v>866</v>
      </c>
      <c r="E3278" s="13" t="s">
        <v>497</v>
      </c>
      <c r="F3278" s="28">
        <v>208490</v>
      </c>
      <c r="G3278" s="173">
        <v>0.20799999999999999</v>
      </c>
      <c r="H3278" s="20">
        <f t="shared" ref="H3278" si="132">TRUNC(($F3278*G3278),1)</f>
        <v>43365.9</v>
      </c>
      <c r="I3278" s="173">
        <v>0.20799999999999999</v>
      </c>
      <c r="J3278" s="20">
        <f>TRUNC(($F3278*I3278),1)</f>
        <v>43365.9</v>
      </c>
      <c r="K3278" s="144"/>
      <c r="L3278" s="32"/>
    </row>
    <row r="3279" spans="1:12" ht="11.25" customHeight="1" x14ac:dyDescent="0.2">
      <c r="A3279" s="9"/>
      <c r="C3279" s="107" t="s">
        <v>1285</v>
      </c>
      <c r="D3279" s="107"/>
      <c r="E3279" s="23"/>
      <c r="F3279" s="22"/>
      <c r="G3279" s="22"/>
      <c r="H3279" s="24">
        <f>TRUNC(SUM(H3278:H3278))</f>
        <v>43365</v>
      </c>
      <c r="I3279" s="22"/>
      <c r="J3279" s="24">
        <f>TRUNC(SUM(J3278:J3278))</f>
        <v>43365</v>
      </c>
      <c r="K3279" s="43"/>
      <c r="L3279" s="54"/>
    </row>
    <row r="3280" spans="1:12" ht="11.25" customHeight="1" x14ac:dyDescent="0.2">
      <c r="A3280" s="9"/>
      <c r="C3280" s="4"/>
      <c r="D3280" s="4"/>
      <c r="E3280" s="13"/>
      <c r="F3280" s="18"/>
      <c r="G3280" s="18"/>
      <c r="H3280" s="18"/>
      <c r="I3280" s="18"/>
      <c r="J3280" s="18"/>
    </row>
    <row r="3281" spans="1:12" ht="11.25" customHeight="1" x14ac:dyDescent="0.2">
      <c r="A3281" s="9"/>
      <c r="B3281" s="8" t="s">
        <v>636</v>
      </c>
      <c r="C3281" s="4" t="s">
        <v>1866</v>
      </c>
      <c r="D3281" s="106" t="s">
        <v>1864</v>
      </c>
      <c r="E3281" s="13" t="s">
        <v>746</v>
      </c>
      <c r="F3281" s="66">
        <v>393035000</v>
      </c>
      <c r="G3281" s="19">
        <v>1268</v>
      </c>
      <c r="H3281" s="20">
        <f>TRUNC($F3281*G3281*0.0000001,1)</f>
        <v>49836.800000000003</v>
      </c>
      <c r="I3281" s="21">
        <v>0</v>
      </c>
      <c r="J3281" s="20">
        <f>TRUNC($F3281*I3281*0.0000001,1)</f>
        <v>0</v>
      </c>
      <c r="K3281" s="39"/>
      <c r="L3281" s="32"/>
    </row>
    <row r="3282" spans="1:12" ht="11.25" customHeight="1" x14ac:dyDescent="0.2">
      <c r="A3282" s="9"/>
      <c r="B3282" s="8" t="s">
        <v>637</v>
      </c>
      <c r="C3282" s="4" t="s">
        <v>1866</v>
      </c>
      <c r="D3282" s="106" t="s">
        <v>1865</v>
      </c>
      <c r="E3282" s="13" t="s">
        <v>746</v>
      </c>
      <c r="F3282" s="66">
        <v>469667000</v>
      </c>
      <c r="G3282" s="21">
        <v>0</v>
      </c>
      <c r="H3282" s="20">
        <f>TRUNC($F3282*G3282*0.0000001,1)</f>
        <v>0</v>
      </c>
      <c r="I3282" s="19">
        <v>1268</v>
      </c>
      <c r="J3282" s="20">
        <f>TRUNC($F3282*I3282*0.0000001,1)</f>
        <v>59553.7</v>
      </c>
      <c r="K3282" s="39"/>
      <c r="L3282" s="32"/>
    </row>
    <row r="3283" spans="1:12" ht="11.25" customHeight="1" x14ac:dyDescent="0.2">
      <c r="A3283" s="9"/>
      <c r="C3283" s="107" t="s">
        <v>1289</v>
      </c>
      <c r="D3283" s="107"/>
      <c r="E3283" s="23"/>
      <c r="F3283" s="22"/>
      <c r="G3283" s="22"/>
      <c r="H3283" s="24">
        <f>TRUNC(SUM(H3281:H3282))</f>
        <v>49836</v>
      </c>
      <c r="I3283" s="22"/>
      <c r="J3283" s="24">
        <f>TRUNC(SUM(J3281:J3282))</f>
        <v>59553</v>
      </c>
      <c r="K3283" s="43"/>
      <c r="L3283" s="54"/>
    </row>
    <row r="3284" spans="1:12" ht="11.25" customHeight="1" x14ac:dyDescent="0.2">
      <c r="A3284" s="9"/>
      <c r="C3284" s="107"/>
      <c r="D3284" s="107"/>
      <c r="E3284" s="23"/>
      <c r="F3284" s="22"/>
      <c r="G3284" s="22"/>
      <c r="H3284" s="24"/>
      <c r="I3284" s="22"/>
      <c r="J3284" s="24"/>
      <c r="K3284" s="43"/>
      <c r="L3284" s="54"/>
    </row>
    <row r="3285" spans="1:12" ht="11.25" customHeight="1" x14ac:dyDescent="0.2">
      <c r="A3285" s="9"/>
      <c r="B3285" s="16"/>
      <c r="C3285" s="108" t="s">
        <v>1286</v>
      </c>
      <c r="D3285" s="108"/>
      <c r="E3285" s="103"/>
      <c r="F3285" s="102"/>
      <c r="G3285" s="102"/>
      <c r="H3285" s="128">
        <f>TRUNC(H3283+H3279)</f>
        <v>93201</v>
      </c>
      <c r="I3285" s="125"/>
      <c r="J3285" s="128">
        <f>TRUNC(J3283+J3279)</f>
        <v>102918</v>
      </c>
      <c r="K3285" s="43"/>
      <c r="L3285" s="36"/>
    </row>
    <row r="3286" spans="1:12" ht="11.25" customHeight="1" x14ac:dyDescent="0.2">
      <c r="A3286" s="9"/>
      <c r="C3286" s="112"/>
      <c r="D3286" s="112"/>
      <c r="E3286" s="44"/>
      <c r="F3286" s="43"/>
      <c r="G3286" s="43"/>
      <c r="H3286" s="59"/>
      <c r="I3286" s="58"/>
      <c r="J3286" s="59"/>
      <c r="K3286" s="43"/>
      <c r="L3286" s="36"/>
    </row>
    <row r="3287" spans="1:12" ht="11.25" customHeight="1" x14ac:dyDescent="0.2">
      <c r="A3287" s="9"/>
    </row>
    <row r="3288" spans="1:12" ht="11.25" customHeight="1" x14ac:dyDescent="0.2">
      <c r="A3288" s="9"/>
      <c r="B3288" s="68" t="s">
        <v>1867</v>
      </c>
      <c r="C3288" s="119"/>
      <c r="J3288" s="49" t="s">
        <v>1307</v>
      </c>
    </row>
    <row r="3289" spans="1:12" ht="11.25" customHeight="1" x14ac:dyDescent="0.2">
      <c r="A3289" s="9"/>
      <c r="B3289" s="186" t="s">
        <v>427</v>
      </c>
      <c r="C3289" s="187" t="s">
        <v>428</v>
      </c>
      <c r="D3289" s="187" t="s">
        <v>429</v>
      </c>
      <c r="E3289" s="188" t="s">
        <v>430</v>
      </c>
      <c r="F3289" s="188" t="s">
        <v>431</v>
      </c>
      <c r="G3289" s="169" t="s">
        <v>894</v>
      </c>
      <c r="H3289" s="170"/>
      <c r="I3289" s="169" t="s">
        <v>895</v>
      </c>
      <c r="J3289" s="170"/>
    </row>
    <row r="3290" spans="1:12" ht="11.25" customHeight="1" x14ac:dyDescent="0.2">
      <c r="A3290" s="9"/>
      <c r="B3290" s="186"/>
      <c r="C3290" s="187"/>
      <c r="D3290" s="187"/>
      <c r="E3290" s="188"/>
      <c r="F3290" s="188"/>
      <c r="G3290" s="17" t="s">
        <v>436</v>
      </c>
      <c r="H3290" s="17" t="s">
        <v>437</v>
      </c>
      <c r="I3290" s="17" t="s">
        <v>436</v>
      </c>
      <c r="J3290" s="17" t="s">
        <v>437</v>
      </c>
    </row>
    <row r="3291" spans="1:12" ht="11.25" customHeight="1" x14ac:dyDescent="0.2">
      <c r="A3291" s="9"/>
      <c r="C3291" s="4" t="s">
        <v>426</v>
      </c>
      <c r="D3291" s="4"/>
      <c r="E3291" s="13" t="s">
        <v>494</v>
      </c>
      <c r="F3291" s="25">
        <v>1505.45</v>
      </c>
      <c r="G3291" s="26">
        <v>1.9</v>
      </c>
      <c r="H3291" s="20">
        <f t="shared" ref="H3291" si="133">TRUNC(($F3291*G3291),1)</f>
        <v>2860.3</v>
      </c>
      <c r="I3291" s="26">
        <v>2.5</v>
      </c>
      <c r="J3291" s="20">
        <f>TRUNC(($F3291*I3291),1)</f>
        <v>3763.6</v>
      </c>
    </row>
    <row r="3292" spans="1:12" ht="11.25" customHeight="1" x14ac:dyDescent="0.2">
      <c r="A3292" s="9"/>
      <c r="C3292" s="4" t="s">
        <v>495</v>
      </c>
      <c r="D3292" s="4" t="s">
        <v>203</v>
      </c>
      <c r="E3292" s="13" t="s">
        <v>232</v>
      </c>
      <c r="F3292" s="18"/>
      <c r="G3292" s="21">
        <v>63</v>
      </c>
      <c r="H3292" s="20">
        <f>TRUNC(H3291*G3292*0.01,1)</f>
        <v>1801.9</v>
      </c>
      <c r="I3292" s="21">
        <v>63</v>
      </c>
      <c r="J3292" s="20">
        <f>TRUNC(J3291*I3292*0.01,1)</f>
        <v>2371</v>
      </c>
    </row>
    <row r="3293" spans="1:12" ht="11.25" customHeight="1" x14ac:dyDescent="0.2">
      <c r="A3293" s="9"/>
      <c r="C3293" s="107" t="s">
        <v>799</v>
      </c>
      <c r="D3293" s="107"/>
      <c r="E3293" s="23"/>
      <c r="F3293" s="22"/>
      <c r="G3293" s="22"/>
      <c r="H3293" s="24">
        <f>TRUNC(SUM(H3291:H3292))</f>
        <v>4662</v>
      </c>
      <c r="I3293" s="22"/>
      <c r="J3293" s="24">
        <f>TRUNC(SUM(J3291:J3292))</f>
        <v>6134</v>
      </c>
    </row>
    <row r="3294" spans="1:12" ht="11.25" customHeight="1" x14ac:dyDescent="0.2">
      <c r="A3294" s="9"/>
      <c r="C3294" s="107"/>
      <c r="D3294" s="107"/>
      <c r="E3294" s="23"/>
      <c r="F3294" s="22"/>
      <c r="G3294" s="22"/>
      <c r="H3294" s="24"/>
      <c r="I3294" s="22"/>
      <c r="J3294" s="24"/>
    </row>
    <row r="3295" spans="1:12" ht="11.25" customHeight="1" x14ac:dyDescent="0.2">
      <c r="A3295" s="9"/>
      <c r="C3295" s="4" t="s">
        <v>59</v>
      </c>
      <c r="D3295" s="4" t="s">
        <v>861</v>
      </c>
      <c r="E3295" s="13" t="s">
        <v>497</v>
      </c>
      <c r="F3295" s="28">
        <v>208490</v>
      </c>
      <c r="G3295" s="173">
        <v>0.625</v>
      </c>
      <c r="H3295" s="20">
        <f t="shared" ref="H3295" si="134">TRUNC(($F3295*G3295),1)</f>
        <v>130306.2</v>
      </c>
      <c r="I3295" s="173">
        <v>0.625</v>
      </c>
      <c r="J3295" s="20">
        <f>TRUNC(($F3295*I3295),1)</f>
        <v>130306.2</v>
      </c>
    </row>
    <row r="3296" spans="1:12" ht="11.25" customHeight="1" x14ac:dyDescent="0.2">
      <c r="A3296" s="9"/>
      <c r="C3296" s="107" t="s">
        <v>1285</v>
      </c>
      <c r="D3296" s="107"/>
      <c r="E3296" s="23"/>
      <c r="F3296" s="22"/>
      <c r="G3296" s="22"/>
      <c r="H3296" s="24">
        <f>TRUNC(SUM(H3295:H3295))</f>
        <v>130306</v>
      </c>
      <c r="I3296" s="22"/>
      <c r="J3296" s="24">
        <f>TRUNC(SUM(J3295:J3295))</f>
        <v>130306</v>
      </c>
    </row>
    <row r="3297" spans="1:14" ht="11.25" customHeight="1" x14ac:dyDescent="0.2">
      <c r="A3297" s="9"/>
      <c r="C3297" s="4"/>
      <c r="D3297" s="4"/>
      <c r="E3297" s="13"/>
      <c r="F3297" s="18"/>
      <c r="G3297" s="18"/>
      <c r="H3297" s="18"/>
      <c r="I3297" s="18"/>
      <c r="J3297" s="18"/>
    </row>
    <row r="3298" spans="1:14" ht="11.25" customHeight="1" x14ac:dyDescent="0.2">
      <c r="A3298" s="9"/>
      <c r="B3298" s="8" t="s">
        <v>364</v>
      </c>
      <c r="C3298" s="4" t="s">
        <v>1868</v>
      </c>
      <c r="D3298" s="106" t="s">
        <v>894</v>
      </c>
      <c r="E3298" s="13" t="s">
        <v>746</v>
      </c>
      <c r="F3298" s="66">
        <v>32105000</v>
      </c>
      <c r="G3298" s="19">
        <v>1414</v>
      </c>
      <c r="H3298" s="20">
        <f>TRUNC($F3298*G3298*0.0000001,1)</f>
        <v>4539.6000000000004</v>
      </c>
      <c r="I3298" s="21">
        <v>0</v>
      </c>
      <c r="J3298" s="20">
        <f>TRUNC($F3298*I3298*0.0000001,1)</f>
        <v>0</v>
      </c>
    </row>
    <row r="3299" spans="1:14" ht="11.25" customHeight="1" x14ac:dyDescent="0.2">
      <c r="A3299" s="9"/>
      <c r="B3299" s="8" t="s">
        <v>365</v>
      </c>
      <c r="C3299" s="4" t="s">
        <v>1868</v>
      </c>
      <c r="D3299" s="106" t="s">
        <v>1869</v>
      </c>
      <c r="E3299" s="13" t="s">
        <v>746</v>
      </c>
      <c r="F3299" s="66">
        <v>42311000</v>
      </c>
      <c r="G3299" s="21">
        <v>0</v>
      </c>
      <c r="H3299" s="20">
        <f>TRUNC($F3299*G3299*0.0000001,1)</f>
        <v>0</v>
      </c>
      <c r="I3299" s="19">
        <v>1414</v>
      </c>
      <c r="J3299" s="20">
        <f>TRUNC($F3299*I3299*0.0000001,1)</f>
        <v>5982.7</v>
      </c>
    </row>
    <row r="3300" spans="1:14" ht="11.25" customHeight="1" x14ac:dyDescent="0.2">
      <c r="A3300" s="9"/>
      <c r="C3300" s="107" t="s">
        <v>1289</v>
      </c>
      <c r="D3300" s="107"/>
      <c r="E3300" s="23"/>
      <c r="F3300" s="22"/>
      <c r="G3300" s="22"/>
      <c r="H3300" s="24">
        <f>TRUNC(SUM(H3298:H3299))</f>
        <v>4539</v>
      </c>
      <c r="I3300" s="22"/>
      <c r="J3300" s="24">
        <f>TRUNC(SUM(J3298:J3299))</f>
        <v>5982</v>
      </c>
    </row>
    <row r="3301" spans="1:14" ht="11.25" customHeight="1" x14ac:dyDescent="0.2">
      <c r="A3301" s="9"/>
      <c r="C3301" s="107"/>
      <c r="D3301" s="107"/>
      <c r="E3301" s="23"/>
      <c r="F3301" s="22"/>
      <c r="G3301" s="22"/>
      <c r="H3301" s="24"/>
      <c r="I3301" s="22"/>
      <c r="J3301" s="24"/>
    </row>
    <row r="3302" spans="1:14" ht="11.25" customHeight="1" x14ac:dyDescent="0.2">
      <c r="A3302" s="9"/>
      <c r="B3302" s="16"/>
      <c r="C3302" s="108" t="s">
        <v>1286</v>
      </c>
      <c r="D3302" s="108"/>
      <c r="E3302" s="103"/>
      <c r="F3302" s="102"/>
      <c r="G3302" s="102"/>
      <c r="H3302" s="104">
        <f>TRUNC(H3300+H3293+H3296)</f>
        <v>139507</v>
      </c>
      <c r="I3302" s="102"/>
      <c r="J3302" s="104">
        <f>TRUNC(J3300+J3293+J3296)</f>
        <v>142422</v>
      </c>
    </row>
    <row r="3303" spans="1:14" ht="11.25" customHeight="1" x14ac:dyDescent="0.2">
      <c r="A3303" s="9"/>
    </row>
    <row r="3304" spans="1:14" ht="11.25" customHeight="1" x14ac:dyDescent="0.2">
      <c r="A3304" s="9"/>
      <c r="B3304" s="68" t="s">
        <v>1870</v>
      </c>
      <c r="C3304" s="119"/>
      <c r="N3304" s="49" t="s">
        <v>1307</v>
      </c>
    </row>
    <row r="3305" spans="1:14" ht="11.25" customHeight="1" x14ac:dyDescent="0.2">
      <c r="A3305" s="9"/>
      <c r="B3305" s="186" t="s">
        <v>427</v>
      </c>
      <c r="C3305" s="187" t="s">
        <v>428</v>
      </c>
      <c r="D3305" s="187" t="s">
        <v>429</v>
      </c>
      <c r="E3305" s="188" t="s">
        <v>430</v>
      </c>
      <c r="F3305" s="188" t="s">
        <v>431</v>
      </c>
      <c r="G3305" s="94" t="s">
        <v>71</v>
      </c>
      <c r="H3305" s="151"/>
      <c r="I3305" s="94" t="s">
        <v>73</v>
      </c>
      <c r="J3305" s="151"/>
      <c r="K3305" s="94" t="s">
        <v>74</v>
      </c>
      <c r="L3305" s="151"/>
      <c r="M3305" s="94" t="s">
        <v>48</v>
      </c>
      <c r="N3305" s="151"/>
    </row>
    <row r="3306" spans="1:14" ht="11.25" customHeight="1" x14ac:dyDescent="0.2">
      <c r="B3306" s="186"/>
      <c r="C3306" s="187"/>
      <c r="D3306" s="187"/>
      <c r="E3306" s="188"/>
      <c r="F3306" s="188"/>
      <c r="G3306" s="17" t="s">
        <v>436</v>
      </c>
      <c r="H3306" s="17" t="s">
        <v>437</v>
      </c>
      <c r="I3306" s="17" t="s">
        <v>436</v>
      </c>
      <c r="J3306" s="17" t="s">
        <v>437</v>
      </c>
      <c r="K3306" s="17" t="s">
        <v>436</v>
      </c>
      <c r="L3306" s="17" t="s">
        <v>437</v>
      </c>
      <c r="M3306" s="17" t="s">
        <v>436</v>
      </c>
      <c r="N3306" s="17" t="s">
        <v>437</v>
      </c>
    </row>
    <row r="3307" spans="1:14" ht="11.25" customHeight="1" x14ac:dyDescent="0.2">
      <c r="C3307" s="4" t="s">
        <v>59</v>
      </c>
      <c r="D3307" s="4" t="s">
        <v>896</v>
      </c>
      <c r="E3307" s="13" t="s">
        <v>497</v>
      </c>
      <c r="F3307" s="28">
        <v>208490</v>
      </c>
      <c r="G3307" s="173">
        <v>0.20799999999999999</v>
      </c>
      <c r="H3307" s="20">
        <f t="shared" ref="H3307" si="135">TRUNC(($F3307*G3307),1)</f>
        <v>43365.9</v>
      </c>
      <c r="I3307" s="173">
        <v>0.20799999999999999</v>
      </c>
      <c r="J3307" s="20">
        <f>TRUNC(($F3307*I3307),1)</f>
        <v>43365.9</v>
      </c>
      <c r="K3307" s="173">
        <v>0.20799999999999999</v>
      </c>
      <c r="L3307" s="20">
        <f t="shared" ref="L3307" si="136">TRUNC(($F3307*K3307),1)</f>
        <v>43365.9</v>
      </c>
      <c r="M3307" s="175">
        <v>0.41599999999999998</v>
      </c>
      <c r="N3307" s="20">
        <f t="shared" ref="N3307" si="137">TRUNC(($F3307*M3307),1)</f>
        <v>86731.8</v>
      </c>
    </row>
    <row r="3308" spans="1:14" ht="11.25" customHeight="1" x14ac:dyDescent="0.2">
      <c r="C3308" s="107" t="s">
        <v>1285</v>
      </c>
      <c r="D3308" s="107"/>
      <c r="E3308" s="23"/>
      <c r="F3308" s="22"/>
      <c r="G3308" s="22"/>
      <c r="H3308" s="24">
        <f>TRUNC(SUM(H3307:H3307))</f>
        <v>43365</v>
      </c>
      <c r="I3308" s="22"/>
      <c r="J3308" s="24">
        <f>TRUNC(SUM(J3307:J3307))</f>
        <v>43365</v>
      </c>
      <c r="K3308" s="22"/>
      <c r="L3308" s="24">
        <f>TRUNC(SUM(L3307:L3307))</f>
        <v>43365</v>
      </c>
      <c r="M3308" s="22"/>
      <c r="N3308" s="24">
        <f>TRUNC(SUM(N3307:N3307))</f>
        <v>86731</v>
      </c>
    </row>
    <row r="3309" spans="1:14" ht="11.25" customHeight="1" x14ac:dyDescent="0.2">
      <c r="C3309" s="4"/>
      <c r="D3309" s="4"/>
      <c r="E3309" s="13"/>
      <c r="F3309" s="18"/>
      <c r="G3309" s="18"/>
      <c r="H3309" s="18"/>
      <c r="I3309" s="18"/>
      <c r="J3309" s="18"/>
      <c r="K3309" s="18"/>
      <c r="L3309" s="18"/>
      <c r="M3309" s="18"/>
      <c r="N3309" s="18"/>
    </row>
    <row r="3310" spans="1:14" ht="11.25" customHeight="1" x14ac:dyDescent="0.2">
      <c r="B3310" s="8" t="s">
        <v>639</v>
      </c>
      <c r="C3310" s="4" t="s">
        <v>1871</v>
      </c>
      <c r="D3310" s="106" t="s">
        <v>1872</v>
      </c>
      <c r="E3310" s="13" t="s">
        <v>746</v>
      </c>
      <c r="F3310" s="66">
        <v>33597000</v>
      </c>
      <c r="G3310" s="19">
        <v>1242</v>
      </c>
      <c r="H3310" s="20">
        <f>TRUNC($F3310*G3310*0.0000001,1)</f>
        <v>4172.7</v>
      </c>
      <c r="I3310" s="21">
        <v>0</v>
      </c>
      <c r="J3310" s="20">
        <f>TRUNC($F3310*I3310*0.0000001,1)</f>
        <v>0</v>
      </c>
      <c r="K3310" s="21">
        <v>0</v>
      </c>
      <c r="L3310" s="20">
        <f>TRUNC($F3310*K3310*0.0000001,1)</f>
        <v>0</v>
      </c>
      <c r="M3310" s="21">
        <v>0</v>
      </c>
      <c r="N3310" s="20">
        <f>TRUNC($F3310*M3310*0.0000001,1)</f>
        <v>0</v>
      </c>
    </row>
    <row r="3311" spans="1:14" ht="11.25" customHeight="1" x14ac:dyDescent="0.2">
      <c r="B3311" s="8" t="s">
        <v>640</v>
      </c>
      <c r="C3311" s="4" t="s">
        <v>1871</v>
      </c>
      <c r="D3311" s="106" t="s">
        <v>1873</v>
      </c>
      <c r="E3311" s="13" t="s">
        <v>746</v>
      </c>
      <c r="F3311" s="66">
        <v>41853000</v>
      </c>
      <c r="G3311" s="21">
        <v>0</v>
      </c>
      <c r="H3311" s="20">
        <f>TRUNC($F3311*G3311*0.0000001,1)</f>
        <v>0</v>
      </c>
      <c r="I3311" s="19">
        <v>1242</v>
      </c>
      <c r="J3311" s="20">
        <f>TRUNC($F3311*I3311*0.0000001,1)</f>
        <v>5198.1000000000004</v>
      </c>
      <c r="K3311" s="21">
        <v>0</v>
      </c>
      <c r="L3311" s="20">
        <f>TRUNC($F3311*K3311*0.0000001,1)</f>
        <v>0</v>
      </c>
      <c r="M3311" s="21">
        <v>0</v>
      </c>
      <c r="N3311" s="20">
        <f>TRUNC($F3311*M3311*0.0000001,1)</f>
        <v>0</v>
      </c>
    </row>
    <row r="3312" spans="1:14" ht="11.25" customHeight="1" x14ac:dyDescent="0.2">
      <c r="B3312" s="8" t="s">
        <v>641</v>
      </c>
      <c r="C3312" s="4" t="s">
        <v>1871</v>
      </c>
      <c r="D3312" s="106" t="s">
        <v>1874</v>
      </c>
      <c r="E3312" s="13" t="s">
        <v>746</v>
      </c>
      <c r="F3312" s="66">
        <v>47357000</v>
      </c>
      <c r="G3312" s="21">
        <v>0</v>
      </c>
      <c r="H3312" s="20">
        <f>TRUNC($F3312*G3312*0.0000001,1)</f>
        <v>0</v>
      </c>
      <c r="I3312" s="21">
        <v>0</v>
      </c>
      <c r="J3312" s="20">
        <f>TRUNC($F3312*I3312*0.0000001,1)</f>
        <v>0</v>
      </c>
      <c r="K3312" s="19">
        <v>1242</v>
      </c>
      <c r="L3312" s="20">
        <f>TRUNC($F3312*K3312*0.0000001,1)</f>
        <v>5881.7</v>
      </c>
      <c r="M3312" s="21">
        <v>0</v>
      </c>
      <c r="N3312" s="20">
        <f>TRUNC($F3312*M3312*0.0000001,1)</f>
        <v>0</v>
      </c>
    </row>
    <row r="3313" spans="1:14" ht="11.25" customHeight="1" x14ac:dyDescent="0.2">
      <c r="A3313" s="9"/>
      <c r="B3313" s="8" t="s">
        <v>642</v>
      </c>
      <c r="C3313" s="4" t="s">
        <v>1871</v>
      </c>
      <c r="D3313" s="4" t="s">
        <v>1875</v>
      </c>
      <c r="E3313" s="13" t="s">
        <v>746</v>
      </c>
      <c r="F3313" s="66">
        <v>56400000</v>
      </c>
      <c r="G3313" s="21">
        <v>0</v>
      </c>
      <c r="H3313" s="20">
        <f>TRUNC($F3313*G3313*0.0000001,1)</f>
        <v>0</v>
      </c>
      <c r="I3313" s="21">
        <v>0</v>
      </c>
      <c r="J3313" s="20">
        <f>TRUNC($F3313*I3313*0.0000001,1)</f>
        <v>0</v>
      </c>
      <c r="K3313" s="21">
        <v>0</v>
      </c>
      <c r="L3313" s="20">
        <f>TRUNC($F3313*K3313*0.0000001,1)</f>
        <v>0</v>
      </c>
      <c r="M3313" s="19">
        <v>1242</v>
      </c>
      <c r="N3313" s="20">
        <f>TRUNC($F3313*M3313*0.0000001,1)</f>
        <v>7004.8</v>
      </c>
    </row>
    <row r="3314" spans="1:14" ht="11.25" customHeight="1" x14ac:dyDescent="0.2">
      <c r="A3314" s="9"/>
      <c r="C3314" s="107" t="s">
        <v>1289</v>
      </c>
      <c r="D3314" s="107"/>
      <c r="E3314" s="23"/>
      <c r="F3314" s="22"/>
      <c r="G3314" s="22"/>
      <c r="H3314" s="24">
        <f>TRUNC(SUM(H3310:H3313))</f>
        <v>4172</v>
      </c>
      <c r="I3314" s="22"/>
      <c r="J3314" s="24">
        <f>TRUNC(SUM(J3310:J3313))</f>
        <v>5198</v>
      </c>
      <c r="K3314" s="31"/>
      <c r="L3314" s="24">
        <f>TRUNC(SUM(L3310:L3313))</f>
        <v>5881</v>
      </c>
      <c r="M3314" s="31"/>
      <c r="N3314" s="24">
        <f>TRUNC(SUM(N3310:N3313))</f>
        <v>7004</v>
      </c>
    </row>
    <row r="3315" spans="1:14" ht="11.25" customHeight="1" x14ac:dyDescent="0.2">
      <c r="A3315" s="9"/>
      <c r="C3315" s="4"/>
      <c r="D3315" s="4"/>
      <c r="E3315" s="18"/>
      <c r="F3315" s="18"/>
      <c r="G3315" s="18"/>
      <c r="H3315" s="18"/>
      <c r="I3315" s="18"/>
      <c r="J3315" s="18"/>
      <c r="K3315" s="30"/>
      <c r="L3315" s="18"/>
      <c r="M3315" s="30"/>
      <c r="N3315" s="18"/>
    </row>
    <row r="3316" spans="1:14" ht="11.25" customHeight="1" x14ac:dyDescent="0.2">
      <c r="A3316" s="9"/>
      <c r="C3316" s="126" t="s">
        <v>1286</v>
      </c>
      <c r="D3316" s="126"/>
      <c r="E3316" s="127"/>
      <c r="F3316" s="125"/>
      <c r="G3316" s="125"/>
      <c r="H3316" s="128">
        <f>TRUNC(H3314+H3308)</f>
        <v>47537</v>
      </c>
      <c r="I3316" s="125"/>
      <c r="J3316" s="128">
        <f>TRUNC(J3314+J3308)</f>
        <v>48563</v>
      </c>
      <c r="K3316" s="125"/>
      <c r="L3316" s="128">
        <f>TRUNC(L3314+L3308)</f>
        <v>49246</v>
      </c>
      <c r="M3316" s="125"/>
      <c r="N3316" s="128">
        <f>TRUNC(N3314+N3308)</f>
        <v>93735</v>
      </c>
    </row>
    <row r="3317" spans="1:14" ht="11.25" customHeight="1" x14ac:dyDescent="0.2">
      <c r="A3317" s="9"/>
      <c r="B3317" s="186" t="s">
        <v>427</v>
      </c>
      <c r="C3317" s="187" t="s">
        <v>428</v>
      </c>
      <c r="D3317" s="187" t="s">
        <v>429</v>
      </c>
      <c r="E3317" s="188" t="s">
        <v>430</v>
      </c>
      <c r="F3317" s="188" t="s">
        <v>431</v>
      </c>
      <c r="G3317" s="94" t="s">
        <v>924</v>
      </c>
      <c r="H3317" s="151"/>
      <c r="I3317" s="94" t="s">
        <v>728</v>
      </c>
      <c r="J3317" s="151"/>
      <c r="K3317" s="94" t="s">
        <v>75</v>
      </c>
      <c r="L3317" s="151"/>
      <c r="M3317" s="94" t="s">
        <v>543</v>
      </c>
      <c r="N3317" s="151"/>
    </row>
    <row r="3318" spans="1:14" ht="11.25" customHeight="1" x14ac:dyDescent="0.2">
      <c r="B3318" s="186"/>
      <c r="C3318" s="187"/>
      <c r="D3318" s="187"/>
      <c r="E3318" s="188"/>
      <c r="F3318" s="188"/>
      <c r="G3318" s="17" t="s">
        <v>436</v>
      </c>
      <c r="H3318" s="17" t="s">
        <v>437</v>
      </c>
      <c r="I3318" s="17" t="s">
        <v>436</v>
      </c>
      <c r="J3318" s="17" t="s">
        <v>437</v>
      </c>
      <c r="K3318" s="17" t="s">
        <v>436</v>
      </c>
      <c r="L3318" s="17" t="s">
        <v>437</v>
      </c>
      <c r="M3318" s="17" t="s">
        <v>436</v>
      </c>
      <c r="N3318" s="17" t="s">
        <v>437</v>
      </c>
    </row>
    <row r="3319" spans="1:14" ht="11.25" customHeight="1" x14ac:dyDescent="0.2">
      <c r="C3319" s="4" t="s">
        <v>59</v>
      </c>
      <c r="D3319" s="4" t="s">
        <v>867</v>
      </c>
      <c r="E3319" s="13" t="s">
        <v>497</v>
      </c>
      <c r="F3319" s="28">
        <v>208490</v>
      </c>
      <c r="G3319" s="175">
        <v>0.41599999999999998</v>
      </c>
      <c r="H3319" s="20">
        <f t="shared" ref="H3319" si="138">TRUNC(($F3319*G3319),1)</f>
        <v>86731.8</v>
      </c>
      <c r="I3319" s="175">
        <v>0.41599999999999998</v>
      </c>
      <c r="J3319" s="20">
        <f>TRUNC(($F3319*I3319),1)</f>
        <v>86731.8</v>
      </c>
      <c r="K3319" s="175">
        <v>0.41599999999999998</v>
      </c>
      <c r="L3319" s="20">
        <f t="shared" ref="L3319" si="139">TRUNC(($F3319*K3319),1)</f>
        <v>86731.8</v>
      </c>
      <c r="M3319" s="175">
        <v>0.41599999999999998</v>
      </c>
      <c r="N3319" s="20">
        <f t="shared" ref="N3319" si="140">TRUNC(($F3319*M3319),1)</f>
        <v>86731.8</v>
      </c>
    </row>
    <row r="3320" spans="1:14" ht="11.25" customHeight="1" x14ac:dyDescent="0.2">
      <c r="C3320" s="107" t="s">
        <v>1285</v>
      </c>
      <c r="D3320" s="107"/>
      <c r="E3320" s="23"/>
      <c r="F3320" s="22"/>
      <c r="G3320" s="22"/>
      <c r="H3320" s="24">
        <f>TRUNC(SUM(H3319:H3319))</f>
        <v>86731</v>
      </c>
      <c r="I3320" s="22"/>
      <c r="J3320" s="24">
        <f>TRUNC(SUM(J3319:J3319))</f>
        <v>86731</v>
      </c>
      <c r="K3320" s="22"/>
      <c r="L3320" s="24">
        <f>TRUNC(SUM(L3319:L3319))</f>
        <v>86731</v>
      </c>
      <c r="M3320" s="22"/>
      <c r="N3320" s="24">
        <f>TRUNC(SUM(N3319:N3319))</f>
        <v>86731</v>
      </c>
    </row>
    <row r="3321" spans="1:14" ht="11.25" customHeight="1" x14ac:dyDescent="0.2">
      <c r="C3321" s="4"/>
      <c r="D3321" s="4"/>
      <c r="E3321" s="13"/>
      <c r="F3321" s="18"/>
      <c r="G3321" s="18"/>
      <c r="H3321" s="18"/>
      <c r="I3321" s="18"/>
      <c r="J3321" s="18"/>
      <c r="K3321" s="18"/>
      <c r="L3321" s="18"/>
      <c r="M3321" s="18"/>
      <c r="N3321" s="18"/>
    </row>
    <row r="3322" spans="1:14" ht="11.25" customHeight="1" x14ac:dyDescent="0.2">
      <c r="B3322" s="8" t="s">
        <v>643</v>
      </c>
      <c r="C3322" s="4" t="s">
        <v>1871</v>
      </c>
      <c r="D3322" s="106" t="s">
        <v>1876</v>
      </c>
      <c r="E3322" s="13" t="s">
        <v>746</v>
      </c>
      <c r="F3322" s="66">
        <v>69528000</v>
      </c>
      <c r="G3322" s="19">
        <v>1242</v>
      </c>
      <c r="H3322" s="20">
        <f>TRUNC($F3322*G3322*0.0000001,1)</f>
        <v>8635.2999999999993</v>
      </c>
      <c r="I3322" s="21">
        <v>0</v>
      </c>
      <c r="J3322" s="20">
        <f>TRUNC($F3322*I3322*0.0000001,1)</f>
        <v>0</v>
      </c>
      <c r="K3322" s="21">
        <v>0</v>
      </c>
      <c r="L3322" s="20">
        <f>TRUNC($F3322*K3322*0.0000001,1)</f>
        <v>0</v>
      </c>
      <c r="M3322" s="21">
        <v>0</v>
      </c>
      <c r="N3322" s="20">
        <f>TRUNC($F3322*M3322*0.0000001,1)</f>
        <v>0</v>
      </c>
    </row>
    <row r="3323" spans="1:14" ht="11.25" customHeight="1" x14ac:dyDescent="0.2">
      <c r="B3323" s="8" t="s">
        <v>644</v>
      </c>
      <c r="C3323" s="4" t="s">
        <v>1871</v>
      </c>
      <c r="D3323" s="106" t="s">
        <v>1877</v>
      </c>
      <c r="E3323" s="13" t="s">
        <v>746</v>
      </c>
      <c r="F3323" s="66">
        <v>89462000</v>
      </c>
      <c r="G3323" s="21">
        <v>0</v>
      </c>
      <c r="H3323" s="20">
        <f>TRUNC($F3323*G3323*0.0000001,1)</f>
        <v>0</v>
      </c>
      <c r="I3323" s="19">
        <v>1242</v>
      </c>
      <c r="J3323" s="20">
        <f>TRUNC($F3323*I3323*0.0000001,1)</f>
        <v>11111.1</v>
      </c>
      <c r="K3323" s="21">
        <v>0</v>
      </c>
      <c r="L3323" s="20">
        <f>TRUNC($F3323*K3323*0.0000001,1)</f>
        <v>0</v>
      </c>
      <c r="M3323" s="21">
        <v>0</v>
      </c>
      <c r="N3323" s="20">
        <f>TRUNC($F3323*M3323*0.0000001,1)</f>
        <v>0</v>
      </c>
    </row>
    <row r="3324" spans="1:14" ht="11.25" customHeight="1" x14ac:dyDescent="0.2">
      <c r="B3324" s="8" t="s">
        <v>645</v>
      </c>
      <c r="C3324" s="4" t="s">
        <v>1871</v>
      </c>
      <c r="D3324" s="106" t="s">
        <v>1878</v>
      </c>
      <c r="E3324" s="13" t="s">
        <v>746</v>
      </c>
      <c r="F3324" s="66">
        <v>122525000</v>
      </c>
      <c r="G3324" s="21">
        <v>0</v>
      </c>
      <c r="H3324" s="20">
        <f>TRUNC($F3324*G3324*0.0000001,1)</f>
        <v>0</v>
      </c>
      <c r="I3324" s="21">
        <v>0</v>
      </c>
      <c r="J3324" s="20">
        <f>TRUNC($F3324*I3324*0.0000001,1)</f>
        <v>0</v>
      </c>
      <c r="K3324" s="19">
        <v>1242</v>
      </c>
      <c r="L3324" s="20">
        <f>TRUNC($F3324*K3324*0.0000001,1)</f>
        <v>15217.6</v>
      </c>
      <c r="M3324" s="21">
        <v>0</v>
      </c>
      <c r="N3324" s="20">
        <f>TRUNC($F3324*M3324*0.0000001,1)</f>
        <v>0</v>
      </c>
    </row>
    <row r="3325" spans="1:14" ht="11.25" customHeight="1" x14ac:dyDescent="0.2">
      <c r="B3325" s="8" t="s">
        <v>646</v>
      </c>
      <c r="C3325" s="4" t="s">
        <v>1871</v>
      </c>
      <c r="D3325" s="4" t="s">
        <v>1879</v>
      </c>
      <c r="E3325" s="13" t="s">
        <v>746</v>
      </c>
      <c r="F3325" s="66">
        <v>162880000</v>
      </c>
      <c r="G3325" s="21">
        <v>0</v>
      </c>
      <c r="H3325" s="20">
        <f>TRUNC($F3325*G3325*0.0000001,1)</f>
        <v>0</v>
      </c>
      <c r="I3325" s="21">
        <v>0</v>
      </c>
      <c r="J3325" s="20">
        <f>TRUNC($F3325*I3325*0.0000001,1)</f>
        <v>0</v>
      </c>
      <c r="K3325" s="21">
        <v>0</v>
      </c>
      <c r="L3325" s="20">
        <f>TRUNC($F3325*K3325*0.0000001,1)</f>
        <v>0</v>
      </c>
      <c r="M3325" s="19">
        <v>1242</v>
      </c>
      <c r="N3325" s="20">
        <f>TRUNC($F3325*M3325*0.0000001,1)</f>
        <v>20229.599999999999</v>
      </c>
    </row>
    <row r="3326" spans="1:14" ht="11.25" customHeight="1" x14ac:dyDescent="0.2">
      <c r="C3326" s="107" t="s">
        <v>1289</v>
      </c>
      <c r="D3326" s="107"/>
      <c r="E3326" s="23"/>
      <c r="F3326" s="22"/>
      <c r="G3326" s="22"/>
      <c r="H3326" s="24">
        <f>TRUNC(SUM(H3322:H3325))</f>
        <v>8635</v>
      </c>
      <c r="I3326" s="22"/>
      <c r="J3326" s="24">
        <f>TRUNC(SUM(J3322:J3325))</f>
        <v>11111</v>
      </c>
      <c r="K3326" s="31"/>
      <c r="L3326" s="24">
        <f>TRUNC(SUM(L3322:L3325))</f>
        <v>15217</v>
      </c>
      <c r="M3326" s="31"/>
      <c r="N3326" s="24">
        <f>TRUNC(SUM(N3322:N3325))</f>
        <v>20229</v>
      </c>
    </row>
    <row r="3327" spans="1:14" ht="11.25" customHeight="1" x14ac:dyDescent="0.2">
      <c r="C3327" s="4"/>
      <c r="D3327" s="4"/>
      <c r="E3327" s="18"/>
      <c r="F3327" s="18"/>
      <c r="G3327" s="18"/>
      <c r="H3327" s="18"/>
      <c r="I3327" s="18"/>
      <c r="J3327" s="18"/>
      <c r="K3327" s="30"/>
      <c r="L3327" s="18"/>
      <c r="M3327" s="30"/>
      <c r="N3327" s="18"/>
    </row>
    <row r="3328" spans="1:14" ht="11.25" customHeight="1" x14ac:dyDescent="0.2">
      <c r="C3328" s="126" t="s">
        <v>1286</v>
      </c>
      <c r="D3328" s="126"/>
      <c r="E3328" s="127"/>
      <c r="F3328" s="125"/>
      <c r="G3328" s="125"/>
      <c r="H3328" s="128">
        <f>TRUNC(H3326+H3320)</f>
        <v>95366</v>
      </c>
      <c r="I3328" s="125"/>
      <c r="J3328" s="128">
        <f>TRUNC(J3326+J3320)</f>
        <v>97842</v>
      </c>
      <c r="K3328" s="125"/>
      <c r="L3328" s="128">
        <f>TRUNC(L3326+L3320)</f>
        <v>101948</v>
      </c>
      <c r="M3328" s="125"/>
      <c r="N3328" s="128">
        <f>TRUNC(N3326+N3320)</f>
        <v>106960</v>
      </c>
    </row>
    <row r="3329" spans="2:14" ht="11.25" customHeight="1" x14ac:dyDescent="0.2">
      <c r="B3329" s="186" t="s">
        <v>427</v>
      </c>
      <c r="C3329" s="187" t="s">
        <v>428</v>
      </c>
      <c r="D3329" s="187" t="s">
        <v>429</v>
      </c>
      <c r="E3329" s="188" t="s">
        <v>430</v>
      </c>
      <c r="F3329" s="188" t="s">
        <v>431</v>
      </c>
      <c r="G3329" s="94" t="s">
        <v>49</v>
      </c>
      <c r="H3329" s="151"/>
      <c r="I3329" s="94" t="s">
        <v>627</v>
      </c>
      <c r="J3329" s="151"/>
      <c r="K3329" s="94" t="s">
        <v>628</v>
      </c>
      <c r="L3329" s="151"/>
      <c r="M3329" s="94" t="s">
        <v>629</v>
      </c>
      <c r="N3329" s="151"/>
    </row>
    <row r="3330" spans="2:14" ht="11.25" customHeight="1" x14ac:dyDescent="0.2">
      <c r="B3330" s="186"/>
      <c r="C3330" s="187"/>
      <c r="D3330" s="187"/>
      <c r="E3330" s="188"/>
      <c r="F3330" s="188"/>
      <c r="G3330" s="17" t="s">
        <v>436</v>
      </c>
      <c r="H3330" s="17" t="s">
        <v>437</v>
      </c>
      <c r="I3330" s="17" t="s">
        <v>436</v>
      </c>
      <c r="J3330" s="17" t="s">
        <v>437</v>
      </c>
      <c r="K3330" s="17" t="s">
        <v>436</v>
      </c>
      <c r="L3330" s="17" t="s">
        <v>437</v>
      </c>
      <c r="M3330" s="17" t="s">
        <v>436</v>
      </c>
      <c r="N3330" s="17" t="s">
        <v>437</v>
      </c>
    </row>
    <row r="3331" spans="2:14" ht="11.25" customHeight="1" x14ac:dyDescent="0.2">
      <c r="C3331" s="4" t="s">
        <v>59</v>
      </c>
      <c r="D3331" s="4" t="s">
        <v>867</v>
      </c>
      <c r="E3331" s="13" t="s">
        <v>497</v>
      </c>
      <c r="F3331" s="28">
        <v>208490</v>
      </c>
      <c r="G3331" s="175">
        <v>0.41599999999999998</v>
      </c>
      <c r="H3331" s="20">
        <f t="shared" ref="H3331" si="141">TRUNC(($F3331*G3331),1)</f>
        <v>86731.8</v>
      </c>
      <c r="I3331" s="175">
        <v>0.41599999999999998</v>
      </c>
      <c r="J3331" s="20">
        <f>TRUNC(($F3331*I3331),1)</f>
        <v>86731.8</v>
      </c>
      <c r="K3331" s="175">
        <v>0.41599999999999998</v>
      </c>
      <c r="L3331" s="20">
        <f t="shared" ref="L3331" si="142">TRUNC(($F3331*K3331),1)</f>
        <v>86731.8</v>
      </c>
      <c r="M3331" s="175">
        <v>0.41599999999999998</v>
      </c>
      <c r="N3331" s="20">
        <f t="shared" ref="N3331" si="143">TRUNC(($F3331*M3331),1)</f>
        <v>86731.8</v>
      </c>
    </row>
    <row r="3332" spans="2:14" ht="11.25" customHeight="1" x14ac:dyDescent="0.2">
      <c r="C3332" s="107" t="s">
        <v>1285</v>
      </c>
      <c r="D3332" s="107"/>
      <c r="E3332" s="23"/>
      <c r="F3332" s="22"/>
      <c r="G3332" s="22"/>
      <c r="H3332" s="24">
        <f>TRUNC(SUM(H3331:H3331))</f>
        <v>86731</v>
      </c>
      <c r="I3332" s="22"/>
      <c r="J3332" s="24">
        <f>TRUNC(SUM(J3331:J3331))</f>
        <v>86731</v>
      </c>
      <c r="K3332" s="31"/>
      <c r="L3332" s="54">
        <f>TRUNC(SUM(L3331:L3331))</f>
        <v>86731</v>
      </c>
      <c r="M3332" s="31"/>
      <c r="N3332" s="54">
        <f>TRUNC(SUM(N3331:N3331))</f>
        <v>86731</v>
      </c>
    </row>
    <row r="3333" spans="2:14" ht="11.25" customHeight="1" x14ac:dyDescent="0.2">
      <c r="C3333" s="4"/>
      <c r="D3333" s="4"/>
      <c r="E3333" s="13"/>
      <c r="F3333" s="18"/>
      <c r="G3333" s="18"/>
      <c r="H3333" s="18"/>
      <c r="I3333" s="18"/>
      <c r="J3333" s="18"/>
      <c r="K3333" s="30"/>
      <c r="M3333" s="30"/>
    </row>
    <row r="3334" spans="2:14" ht="11.25" customHeight="1" x14ac:dyDescent="0.2">
      <c r="B3334" s="8" t="s">
        <v>647</v>
      </c>
      <c r="C3334" s="4" t="s">
        <v>1871</v>
      </c>
      <c r="D3334" s="106" t="s">
        <v>1880</v>
      </c>
      <c r="E3334" s="13" t="s">
        <v>746</v>
      </c>
      <c r="F3334" s="66">
        <v>207125000</v>
      </c>
      <c r="G3334" s="19">
        <v>1242</v>
      </c>
      <c r="H3334" s="20">
        <f>TRUNC($F3334*G3334*0.0000001,1)</f>
        <v>25724.9</v>
      </c>
      <c r="I3334" s="21">
        <v>0</v>
      </c>
      <c r="J3334" s="20">
        <f>TRUNC($F3334*I3334*0.0000001,1)</f>
        <v>0</v>
      </c>
      <c r="K3334" s="21">
        <v>0</v>
      </c>
      <c r="L3334" s="20">
        <f>TRUNC($F3334*K3334*0.0000001,1)</f>
        <v>0</v>
      </c>
      <c r="M3334" s="46">
        <v>0</v>
      </c>
      <c r="N3334" s="20">
        <f>TRUNC($F3334*M3334*0.0000001,1)</f>
        <v>0</v>
      </c>
    </row>
    <row r="3335" spans="2:14" ht="11.25" customHeight="1" x14ac:dyDescent="0.2">
      <c r="B3335" s="8" t="s">
        <v>648</v>
      </c>
      <c r="C3335" s="4" t="s">
        <v>1871</v>
      </c>
      <c r="D3335" s="106" t="s">
        <v>1881</v>
      </c>
      <c r="E3335" s="13" t="s">
        <v>746</v>
      </c>
      <c r="F3335" s="66">
        <v>287835000</v>
      </c>
      <c r="G3335" s="21">
        <v>0</v>
      </c>
      <c r="H3335" s="20">
        <f>TRUNC($F3335*G3335*0.0000001,1)</f>
        <v>0</v>
      </c>
      <c r="I3335" s="19">
        <v>1242</v>
      </c>
      <c r="J3335" s="20">
        <f>TRUNC($F3335*I3335*0.0000001,1)</f>
        <v>35749.1</v>
      </c>
      <c r="K3335" s="21">
        <v>0</v>
      </c>
      <c r="L3335" s="20">
        <f>TRUNC($F3335*K3335*0.0000001,1)</f>
        <v>0</v>
      </c>
      <c r="M3335" s="21">
        <v>0</v>
      </c>
      <c r="N3335" s="20">
        <f>TRUNC($F3335*M3335*0.0000001,1)</f>
        <v>0</v>
      </c>
    </row>
    <row r="3336" spans="2:14" ht="11.25" customHeight="1" x14ac:dyDescent="0.2">
      <c r="B3336" s="8" t="s">
        <v>649</v>
      </c>
      <c r="C3336" s="4" t="s">
        <v>1871</v>
      </c>
      <c r="D3336" s="106" t="s">
        <v>1882</v>
      </c>
      <c r="E3336" s="13" t="s">
        <v>746</v>
      </c>
      <c r="F3336" s="66">
        <v>293565000</v>
      </c>
      <c r="G3336" s="21">
        <v>0</v>
      </c>
      <c r="H3336" s="20">
        <f>TRUNC($F3336*G3336*0.0000001,1)</f>
        <v>0</v>
      </c>
      <c r="I3336" s="21">
        <v>0</v>
      </c>
      <c r="J3336" s="20">
        <f>TRUNC($F3336*I3336*0.0000001,1)</f>
        <v>0</v>
      </c>
      <c r="K3336" s="161">
        <v>1242</v>
      </c>
      <c r="L3336" s="20">
        <f>TRUNC($F3336*K3336*0.0000001,1)</f>
        <v>36460.699999999997</v>
      </c>
      <c r="M3336" s="46">
        <v>0</v>
      </c>
      <c r="N3336" s="20">
        <f>TRUNC($F3336*M3336*0.0000001,1)</f>
        <v>0</v>
      </c>
    </row>
    <row r="3337" spans="2:14" ht="11.25" customHeight="1" x14ac:dyDescent="0.2">
      <c r="B3337" s="8" t="s">
        <v>650</v>
      </c>
      <c r="C3337" s="4" t="s">
        <v>1871</v>
      </c>
      <c r="D3337" s="4" t="s">
        <v>1883</v>
      </c>
      <c r="E3337" s="13" t="s">
        <v>746</v>
      </c>
      <c r="F3337" s="66">
        <v>361641000</v>
      </c>
      <c r="G3337" s="21">
        <v>0</v>
      </c>
      <c r="H3337" s="20">
        <f>TRUNC($F3337*G3337*0.0000001,1)</f>
        <v>0</v>
      </c>
      <c r="I3337" s="21">
        <v>0</v>
      </c>
      <c r="J3337" s="20">
        <f>TRUNC($F3337*I3337*0.0000001,1)</f>
        <v>0</v>
      </c>
      <c r="K3337" s="46">
        <v>0</v>
      </c>
      <c r="L3337" s="20">
        <f>TRUNC($F3337*K3337*0.0000001,1)</f>
        <v>0</v>
      </c>
      <c r="M3337" s="161">
        <v>1242</v>
      </c>
      <c r="N3337" s="20">
        <f>TRUNC($F3337*M3337*0.0000001,1)</f>
        <v>44915.8</v>
      </c>
    </row>
    <row r="3338" spans="2:14" ht="11.25" customHeight="1" x14ac:dyDescent="0.2">
      <c r="C3338" s="107" t="s">
        <v>1289</v>
      </c>
      <c r="D3338" s="107"/>
      <c r="E3338" s="23"/>
      <c r="F3338" s="22"/>
      <c r="G3338" s="22"/>
      <c r="H3338" s="24">
        <f>TRUNC(SUM(H3334:H3337))</f>
        <v>25724</v>
      </c>
      <c r="I3338" s="22"/>
      <c r="J3338" s="24">
        <f>TRUNC(SUM(J3334:J3337))</f>
        <v>35749</v>
      </c>
      <c r="K3338" s="31"/>
      <c r="L3338" s="73">
        <f>TRUNC(SUM(L3334:L3337))</f>
        <v>36460</v>
      </c>
      <c r="M3338" s="31"/>
      <c r="N3338" s="24">
        <f>TRUNC(SUM(N3334:N3337))</f>
        <v>44915</v>
      </c>
    </row>
    <row r="3339" spans="2:14" ht="11.25" customHeight="1" x14ac:dyDescent="0.2">
      <c r="C3339" s="4"/>
      <c r="D3339" s="4"/>
      <c r="E3339" s="18"/>
      <c r="F3339" s="18"/>
      <c r="G3339" s="18"/>
      <c r="H3339" s="18"/>
      <c r="I3339" s="18"/>
      <c r="J3339" s="18"/>
      <c r="K3339" s="30"/>
      <c r="M3339" s="30"/>
    </row>
    <row r="3340" spans="2:14" ht="11.25" customHeight="1" x14ac:dyDescent="0.2">
      <c r="C3340" s="126" t="s">
        <v>1286</v>
      </c>
      <c r="D3340" s="126"/>
      <c r="E3340" s="127"/>
      <c r="F3340" s="125"/>
      <c r="G3340" s="125"/>
      <c r="H3340" s="128">
        <f>TRUNC(H3338+H3332)</f>
        <v>112455</v>
      </c>
      <c r="I3340" s="125"/>
      <c r="J3340" s="128">
        <f>TRUNC(J3338+J3332)</f>
        <v>122480</v>
      </c>
      <c r="K3340" s="149"/>
      <c r="L3340" s="150">
        <f>TRUNC(L3338+L3332)</f>
        <v>123191</v>
      </c>
      <c r="M3340" s="149"/>
      <c r="N3340" s="150">
        <f>TRUNC(N3338+N3332)</f>
        <v>131646</v>
      </c>
    </row>
    <row r="3341" spans="2:14" ht="11.25" customHeight="1" x14ac:dyDescent="0.2">
      <c r="B3341" s="186" t="s">
        <v>427</v>
      </c>
      <c r="C3341" s="187" t="s">
        <v>428</v>
      </c>
      <c r="D3341" s="187" t="s">
        <v>429</v>
      </c>
      <c r="E3341" s="188" t="s">
        <v>430</v>
      </c>
      <c r="F3341" s="188" t="s">
        <v>431</v>
      </c>
      <c r="G3341" s="94" t="s">
        <v>630</v>
      </c>
      <c r="H3341" s="151"/>
      <c r="I3341" s="94" t="s">
        <v>631</v>
      </c>
      <c r="J3341" s="151"/>
      <c r="K3341" s="94" t="s">
        <v>632</v>
      </c>
      <c r="L3341" s="151"/>
      <c r="M3341" s="94" t="s">
        <v>633</v>
      </c>
      <c r="N3341" s="151"/>
    </row>
    <row r="3342" spans="2:14" ht="11.25" customHeight="1" x14ac:dyDescent="0.2">
      <c r="B3342" s="186"/>
      <c r="C3342" s="187"/>
      <c r="D3342" s="187"/>
      <c r="E3342" s="188"/>
      <c r="F3342" s="188"/>
      <c r="G3342" s="17" t="s">
        <v>436</v>
      </c>
      <c r="H3342" s="17" t="s">
        <v>437</v>
      </c>
      <c r="I3342" s="17" t="s">
        <v>436</v>
      </c>
      <c r="J3342" s="17" t="s">
        <v>437</v>
      </c>
      <c r="K3342" s="17" t="s">
        <v>436</v>
      </c>
      <c r="L3342" s="64" t="s">
        <v>437</v>
      </c>
      <c r="M3342" s="64" t="s">
        <v>436</v>
      </c>
      <c r="N3342" s="85" t="s">
        <v>437</v>
      </c>
    </row>
    <row r="3343" spans="2:14" ht="11.25" customHeight="1" x14ac:dyDescent="0.2">
      <c r="C3343" s="4" t="s">
        <v>59</v>
      </c>
      <c r="D3343" s="4" t="s">
        <v>867</v>
      </c>
      <c r="E3343" s="13" t="s">
        <v>497</v>
      </c>
      <c r="F3343" s="28">
        <v>208490</v>
      </c>
      <c r="G3343" s="175">
        <v>0.41599999999999998</v>
      </c>
      <c r="H3343" s="20">
        <f t="shared" ref="H3343" si="144">TRUNC(($F3343*G3343),1)</f>
        <v>86731.8</v>
      </c>
      <c r="I3343" s="175">
        <v>0.41599999999999998</v>
      </c>
      <c r="J3343" s="20">
        <f>TRUNC(($F3343*I3343),1)</f>
        <v>86731.8</v>
      </c>
      <c r="K3343" s="175">
        <v>0.41599999999999998</v>
      </c>
      <c r="L3343" s="20">
        <f t="shared" ref="L3343" si="145">TRUNC(($F3343*K3343),1)</f>
        <v>86731.8</v>
      </c>
      <c r="M3343" s="175">
        <v>0.41599999999999998</v>
      </c>
      <c r="N3343" s="20">
        <f t="shared" ref="N3343" si="146">TRUNC(($F3343*M3343),1)</f>
        <v>86731.8</v>
      </c>
    </row>
    <row r="3344" spans="2:14" ht="11.25" customHeight="1" x14ac:dyDescent="0.2">
      <c r="C3344" s="107" t="s">
        <v>1285</v>
      </c>
      <c r="D3344" s="107"/>
      <c r="E3344" s="23"/>
      <c r="F3344" s="22"/>
      <c r="G3344" s="22"/>
      <c r="H3344" s="24">
        <f>TRUNC(SUM(H3343:H3343))</f>
        <v>86731</v>
      </c>
      <c r="I3344" s="22"/>
      <c r="J3344" s="24">
        <f>TRUNC(SUM(J3343:J3343))</f>
        <v>86731</v>
      </c>
      <c r="K3344" s="22"/>
      <c r="L3344" s="24">
        <f>TRUNC(SUM(L3343:L3343))</f>
        <v>86731</v>
      </c>
      <c r="M3344" s="30"/>
      <c r="N3344" s="54">
        <f>TRUNC(SUM(N3343:N3343))</f>
        <v>86731</v>
      </c>
    </row>
    <row r="3345" spans="2:14" ht="11.25" customHeight="1" x14ac:dyDescent="0.2">
      <c r="C3345" s="4"/>
      <c r="D3345" s="4"/>
      <c r="E3345" s="13"/>
      <c r="F3345" s="18"/>
      <c r="G3345" s="18"/>
      <c r="H3345" s="18"/>
      <c r="I3345" s="18"/>
      <c r="J3345" s="18"/>
      <c r="K3345" s="18"/>
      <c r="L3345" s="18"/>
      <c r="M3345" s="30"/>
    </row>
    <row r="3346" spans="2:14" ht="11.25" customHeight="1" x14ac:dyDescent="0.2">
      <c r="B3346" s="8" t="s">
        <v>651</v>
      </c>
      <c r="C3346" s="4" t="s">
        <v>1871</v>
      </c>
      <c r="D3346" s="106" t="s">
        <v>1884</v>
      </c>
      <c r="E3346" s="13" t="s">
        <v>746</v>
      </c>
      <c r="F3346" s="66">
        <v>420085000</v>
      </c>
      <c r="G3346" s="19">
        <v>1242</v>
      </c>
      <c r="H3346" s="20">
        <f>TRUNC($F3346*G3346*0.0000001,1)</f>
        <v>52174.5</v>
      </c>
      <c r="I3346" s="21">
        <v>0</v>
      </c>
      <c r="J3346" s="20">
        <f>TRUNC($F3346*I3346*0.0000001,1)</f>
        <v>0</v>
      </c>
      <c r="K3346" s="21">
        <v>0</v>
      </c>
      <c r="L3346" s="20">
        <f>TRUNC($F3346*K3346*0.0000001,1)</f>
        <v>0</v>
      </c>
      <c r="M3346" s="21">
        <v>0</v>
      </c>
      <c r="N3346" s="20">
        <f>TRUNC($F3346*M3346*0.0000001,1)</f>
        <v>0</v>
      </c>
    </row>
    <row r="3347" spans="2:14" ht="11.25" customHeight="1" x14ac:dyDescent="0.2">
      <c r="B3347" s="8" t="s">
        <v>652</v>
      </c>
      <c r="C3347" s="4" t="s">
        <v>1871</v>
      </c>
      <c r="D3347" s="106" t="s">
        <v>1885</v>
      </c>
      <c r="E3347" s="13" t="s">
        <v>746</v>
      </c>
      <c r="F3347" s="66">
        <v>441063000</v>
      </c>
      <c r="G3347" s="21">
        <v>0</v>
      </c>
      <c r="H3347" s="20">
        <f>TRUNC($F3347*G3347*0.0000001,1)</f>
        <v>0</v>
      </c>
      <c r="I3347" s="19">
        <v>1242</v>
      </c>
      <c r="J3347" s="20">
        <f>TRUNC($F3347*I3347*0.0000001,1)</f>
        <v>54780</v>
      </c>
      <c r="K3347" s="21">
        <v>0</v>
      </c>
      <c r="L3347" s="20">
        <f>TRUNC($F3347*K3347*0.0000001,1)</f>
        <v>0</v>
      </c>
      <c r="M3347" s="21">
        <v>0</v>
      </c>
      <c r="N3347" s="20">
        <f>TRUNC($F3347*M3347*0.0000001,1)</f>
        <v>0</v>
      </c>
    </row>
    <row r="3348" spans="2:14" ht="11.25" customHeight="1" x14ac:dyDescent="0.2">
      <c r="B3348" s="8" t="s">
        <v>653</v>
      </c>
      <c r="C3348" s="4" t="s">
        <v>1871</v>
      </c>
      <c r="D3348" s="106" t="s">
        <v>1886</v>
      </c>
      <c r="E3348" s="13" t="s">
        <v>746</v>
      </c>
      <c r="F3348" s="66">
        <v>544553000</v>
      </c>
      <c r="G3348" s="21">
        <v>0</v>
      </c>
      <c r="H3348" s="20">
        <f>TRUNC($F3348*G3348*0.0000001,1)</f>
        <v>0</v>
      </c>
      <c r="I3348" s="21">
        <v>0</v>
      </c>
      <c r="J3348" s="20">
        <f>TRUNC($F3348*I3348*0.0000001,1)</f>
        <v>0</v>
      </c>
      <c r="K3348" s="19">
        <v>1242</v>
      </c>
      <c r="L3348" s="20">
        <f>TRUNC($F3348*K3348*0.0000001,1)</f>
        <v>67633.399999999994</v>
      </c>
      <c r="M3348" s="21">
        <v>0</v>
      </c>
      <c r="N3348" s="20">
        <f>TRUNC($F3348*M3348*0.0000001,1)</f>
        <v>0</v>
      </c>
    </row>
    <row r="3349" spans="2:14" ht="11.25" customHeight="1" x14ac:dyDescent="0.2">
      <c r="B3349" s="8" t="s">
        <v>654</v>
      </c>
      <c r="C3349" s="4" t="s">
        <v>1871</v>
      </c>
      <c r="D3349" s="106" t="s">
        <v>1887</v>
      </c>
      <c r="E3349" s="13" t="s">
        <v>746</v>
      </c>
      <c r="F3349" s="66">
        <v>669022000</v>
      </c>
      <c r="G3349" s="21">
        <v>0</v>
      </c>
      <c r="H3349" s="20">
        <f>TRUNC($F3349*G3349*0.0000001,1)</f>
        <v>0</v>
      </c>
      <c r="I3349" s="21">
        <v>0</v>
      </c>
      <c r="J3349" s="20">
        <f>TRUNC($F3349*I3349*0.0000001,1)</f>
        <v>0</v>
      </c>
      <c r="K3349" s="21">
        <v>0</v>
      </c>
      <c r="L3349" s="20">
        <f>TRUNC($F3349*K3349*0.0000001,1)</f>
        <v>0</v>
      </c>
      <c r="M3349" s="161">
        <v>1242</v>
      </c>
      <c r="N3349" s="20">
        <f>TRUNC($F3349*M3349*0.0000001,1)</f>
        <v>83092.5</v>
      </c>
    </row>
    <row r="3350" spans="2:14" ht="11.25" customHeight="1" x14ac:dyDescent="0.2">
      <c r="C3350" s="107" t="s">
        <v>1289</v>
      </c>
      <c r="D3350" s="107"/>
      <c r="E3350" s="23"/>
      <c r="F3350" s="22"/>
      <c r="G3350" s="22"/>
      <c r="H3350" s="24">
        <f>TRUNC(SUM(H3346:H3349))</f>
        <v>52174</v>
      </c>
      <c r="I3350" s="22"/>
      <c r="J3350" s="24">
        <f>TRUNC(SUM(J3346:J3349))</f>
        <v>54780</v>
      </c>
      <c r="K3350" s="22"/>
      <c r="L3350" s="24">
        <f>TRUNC(SUM(L3346:L3349))</f>
        <v>67633</v>
      </c>
      <c r="M3350" s="31"/>
      <c r="N3350" s="54">
        <f>TRUNC(SUM(N3346:N3349))</f>
        <v>83092</v>
      </c>
    </row>
    <row r="3351" spans="2:14" ht="11.25" customHeight="1" x14ac:dyDescent="0.2">
      <c r="C3351" s="4"/>
      <c r="D3351" s="4"/>
      <c r="E3351" s="18"/>
      <c r="F3351" s="18"/>
      <c r="G3351" s="18"/>
      <c r="H3351" s="18"/>
      <c r="I3351" s="18"/>
      <c r="J3351" s="18"/>
      <c r="K3351" s="18"/>
      <c r="L3351" s="18"/>
      <c r="M3351" s="30"/>
    </row>
    <row r="3352" spans="2:14" ht="11.25" customHeight="1" x14ac:dyDescent="0.2">
      <c r="B3352" s="16"/>
      <c r="C3352" s="108" t="s">
        <v>1286</v>
      </c>
      <c r="D3352" s="108"/>
      <c r="E3352" s="103"/>
      <c r="F3352" s="102"/>
      <c r="G3352" s="102"/>
      <c r="H3352" s="133">
        <f>TRUNC(H3350+H3344)</f>
        <v>138905</v>
      </c>
      <c r="I3352" s="102"/>
      <c r="J3352" s="133">
        <f>TRUNC(J3350+J3344)</f>
        <v>141511</v>
      </c>
      <c r="K3352" s="102"/>
      <c r="L3352" s="104">
        <f>TRUNC(L3350+L3344)</f>
        <v>154364</v>
      </c>
      <c r="M3352" s="131"/>
      <c r="N3352" s="132">
        <f>TRUNC(N3350+N3344)</f>
        <v>169823</v>
      </c>
    </row>
    <row r="3353" spans="2:14" ht="11.25" customHeight="1" x14ac:dyDescent="0.2">
      <c r="B3353" s="146"/>
      <c r="C3353" s="147"/>
      <c r="D3353" s="147"/>
      <c r="E3353" s="146"/>
      <c r="F3353" s="146"/>
      <c r="G3353" s="148"/>
      <c r="H3353" s="148"/>
      <c r="I3353" s="57"/>
      <c r="J3353" s="57"/>
      <c r="K3353" s="58"/>
      <c r="L3353" s="59"/>
      <c r="M3353" s="57"/>
      <c r="N3353" s="57"/>
    </row>
    <row r="3354" spans="2:14" ht="11.25" customHeight="1" x14ac:dyDescent="0.2">
      <c r="B3354" s="8" t="s">
        <v>1888</v>
      </c>
      <c r="N3354" s="49" t="s">
        <v>1307</v>
      </c>
    </row>
    <row r="3355" spans="2:14" ht="11.25" customHeight="1" x14ac:dyDescent="0.2">
      <c r="B3355" s="186" t="s">
        <v>427</v>
      </c>
      <c r="C3355" s="187" t="s">
        <v>428</v>
      </c>
      <c r="D3355" s="187" t="s">
        <v>429</v>
      </c>
      <c r="E3355" s="188" t="s">
        <v>430</v>
      </c>
      <c r="F3355" s="188" t="s">
        <v>431</v>
      </c>
      <c r="G3355" s="94" t="s">
        <v>442</v>
      </c>
      <c r="H3355" s="151"/>
      <c r="I3355" s="94" t="s">
        <v>674</v>
      </c>
      <c r="J3355" s="151"/>
      <c r="K3355" s="94" t="s">
        <v>675</v>
      </c>
      <c r="L3355" s="151"/>
      <c r="M3355" s="94" t="s">
        <v>444</v>
      </c>
      <c r="N3355" s="151"/>
    </row>
    <row r="3356" spans="2:14" ht="11.25" customHeight="1" x14ac:dyDescent="0.2">
      <c r="B3356" s="186"/>
      <c r="C3356" s="187"/>
      <c r="D3356" s="187"/>
      <c r="E3356" s="188"/>
      <c r="F3356" s="188"/>
      <c r="G3356" s="17" t="s">
        <v>436</v>
      </c>
      <c r="H3356" s="17" t="s">
        <v>437</v>
      </c>
      <c r="I3356" s="17" t="s">
        <v>436</v>
      </c>
      <c r="J3356" s="17" t="s">
        <v>437</v>
      </c>
      <c r="K3356" s="17" t="s">
        <v>436</v>
      </c>
      <c r="L3356" s="17" t="s">
        <v>437</v>
      </c>
      <c r="M3356" s="17" t="s">
        <v>436</v>
      </c>
      <c r="N3356" s="17" t="s">
        <v>437</v>
      </c>
    </row>
    <row r="3357" spans="2:14" ht="11.25" customHeight="1" x14ac:dyDescent="0.2">
      <c r="C3357" s="4" t="s">
        <v>619</v>
      </c>
      <c r="D3357" s="4"/>
      <c r="E3357" s="13" t="s">
        <v>494</v>
      </c>
      <c r="F3357" s="25">
        <v>1505.45</v>
      </c>
      <c r="G3357" s="26">
        <v>123.8</v>
      </c>
      <c r="H3357" s="20">
        <f t="shared" ref="H3357" si="147">TRUNC(($F3357*G3357),1)</f>
        <v>186374.7</v>
      </c>
      <c r="I3357" s="26">
        <v>152.4</v>
      </c>
      <c r="J3357" s="20">
        <f>TRUNC(($F3357*I3357),1)</f>
        <v>229430.5</v>
      </c>
      <c r="K3357" s="26">
        <v>208.3</v>
      </c>
      <c r="L3357" s="20">
        <f t="shared" ref="L3357" si="148">TRUNC(($F3357*K3357),1)</f>
        <v>313585.2</v>
      </c>
      <c r="M3357" s="26">
        <v>225.4</v>
      </c>
      <c r="N3357" s="20">
        <f t="shared" ref="N3357" si="149">TRUNC(($F3357*M3357),1)</f>
        <v>339328.4</v>
      </c>
    </row>
    <row r="3358" spans="2:14" ht="11.25" customHeight="1" x14ac:dyDescent="0.2">
      <c r="C3358" s="4" t="s">
        <v>495</v>
      </c>
      <c r="D3358" s="4" t="s">
        <v>203</v>
      </c>
      <c r="E3358" s="13" t="s">
        <v>232</v>
      </c>
      <c r="F3358" s="18"/>
      <c r="G3358" s="21">
        <v>29</v>
      </c>
      <c r="H3358" s="20">
        <f>TRUNC(H3357*G3358*0.01,1)</f>
        <v>54048.6</v>
      </c>
      <c r="I3358" s="21">
        <v>29</v>
      </c>
      <c r="J3358" s="20">
        <f>TRUNC(J3357*I3358*0.01,1)</f>
        <v>66534.8</v>
      </c>
      <c r="K3358" s="21">
        <v>25</v>
      </c>
      <c r="L3358" s="20">
        <f>TRUNC(L3357*K3358*0.01,1)</f>
        <v>78396.3</v>
      </c>
      <c r="M3358" s="21">
        <v>25</v>
      </c>
      <c r="N3358" s="20">
        <f>TRUNC(N3357*M3358*0.01,1)</f>
        <v>84832.1</v>
      </c>
    </row>
    <row r="3359" spans="2:14" ht="11.25" customHeight="1" x14ac:dyDescent="0.2">
      <c r="C3359" s="107" t="s">
        <v>799</v>
      </c>
      <c r="D3359" s="107"/>
      <c r="E3359" s="23"/>
      <c r="F3359" s="22"/>
      <c r="G3359" s="22"/>
      <c r="H3359" s="24">
        <f>TRUNC(SUM(H3357:H3358))</f>
        <v>240423</v>
      </c>
      <c r="I3359" s="22"/>
      <c r="J3359" s="24">
        <f>TRUNC(SUM(J3357:J3358))</f>
        <v>295965</v>
      </c>
      <c r="K3359" s="22"/>
      <c r="L3359" s="24">
        <f>TRUNC(SUM(L3357:L3358))</f>
        <v>391981</v>
      </c>
      <c r="M3359" s="22"/>
      <c r="N3359" s="24">
        <f>TRUNC(SUM(N3357:N3358))</f>
        <v>424160</v>
      </c>
    </row>
    <row r="3360" spans="2:14" ht="11.25" customHeight="1" x14ac:dyDescent="0.2">
      <c r="C3360" s="107"/>
      <c r="D3360" s="107"/>
      <c r="E3360" s="23"/>
      <c r="F3360" s="22"/>
      <c r="G3360" s="22"/>
      <c r="H3360" s="24"/>
      <c r="I3360" s="22"/>
      <c r="J3360" s="24"/>
      <c r="K3360" s="22"/>
      <c r="L3360" s="24"/>
      <c r="M3360" s="22"/>
      <c r="N3360" s="24"/>
    </row>
    <row r="3361" spans="2:14" ht="11.25" customHeight="1" x14ac:dyDescent="0.2">
      <c r="C3361" s="4" t="s">
        <v>176</v>
      </c>
      <c r="D3361" s="4" t="s">
        <v>866</v>
      </c>
      <c r="E3361" s="13" t="s">
        <v>497</v>
      </c>
      <c r="F3361" s="28">
        <v>215132</v>
      </c>
      <c r="G3361" s="18">
        <v>0.20799999999999999</v>
      </c>
      <c r="H3361" s="20">
        <f t="shared" ref="H3361:H3363" si="150">TRUNC(($F3361*G3361),1)</f>
        <v>44747.4</v>
      </c>
      <c r="I3361" s="18">
        <v>0.20799999999999999</v>
      </c>
      <c r="J3361" s="20">
        <f>TRUNC(($F3361*I3361),1)</f>
        <v>44747.4</v>
      </c>
      <c r="K3361" s="18">
        <v>0.20799999999999999</v>
      </c>
      <c r="L3361" s="20">
        <f t="shared" ref="L3361:L3363" si="151">TRUNC(($F3361*K3361),1)</f>
        <v>44747.4</v>
      </c>
      <c r="M3361" s="18">
        <v>0.20799999999999999</v>
      </c>
      <c r="N3361" s="20">
        <f t="shared" ref="N3361:N3363" si="152">TRUNC(($F3361*M3361),1)</f>
        <v>44747.4</v>
      </c>
    </row>
    <row r="3362" spans="2:14" ht="11.25" customHeight="1" x14ac:dyDescent="0.2">
      <c r="C3362" s="4" t="s">
        <v>177</v>
      </c>
      <c r="D3362" s="4" t="s">
        <v>866</v>
      </c>
      <c r="E3362" s="13" t="s">
        <v>497</v>
      </c>
      <c r="F3362" s="28">
        <v>209409</v>
      </c>
      <c r="G3362" s="18">
        <v>0.20799999999999999</v>
      </c>
      <c r="H3362" s="20">
        <f t="shared" si="150"/>
        <v>43557</v>
      </c>
      <c r="I3362" s="18">
        <v>0.20799999999999999</v>
      </c>
      <c r="J3362" s="20">
        <f>TRUNC(($F3362*I3362),1)</f>
        <v>43557</v>
      </c>
      <c r="K3362" s="18">
        <v>0.20799999999999999</v>
      </c>
      <c r="L3362" s="20">
        <f t="shared" si="151"/>
        <v>43557</v>
      </c>
      <c r="M3362" s="18">
        <v>0.20799999999999999</v>
      </c>
      <c r="N3362" s="20">
        <f t="shared" si="152"/>
        <v>43557</v>
      </c>
    </row>
    <row r="3363" spans="2:14" ht="11.25" customHeight="1" x14ac:dyDescent="0.2">
      <c r="B3363" s="29"/>
      <c r="C3363" s="105" t="s">
        <v>59</v>
      </c>
      <c r="D3363" s="4" t="s">
        <v>866</v>
      </c>
      <c r="E3363" s="13" t="s">
        <v>497</v>
      </c>
      <c r="F3363" s="28">
        <v>208490</v>
      </c>
      <c r="G3363" s="18">
        <v>0.20799999999999999</v>
      </c>
      <c r="H3363" s="20">
        <f t="shared" si="150"/>
        <v>43365.9</v>
      </c>
      <c r="I3363" s="18">
        <v>0.20799999999999999</v>
      </c>
      <c r="J3363" s="20">
        <f>TRUNC(($F3363*I3363),1)</f>
        <v>43365.9</v>
      </c>
      <c r="K3363" s="18">
        <v>0.20799999999999999</v>
      </c>
      <c r="L3363" s="20">
        <f t="shared" si="151"/>
        <v>43365.9</v>
      </c>
      <c r="M3363" s="18">
        <v>0.20799999999999999</v>
      </c>
      <c r="N3363" s="20">
        <f t="shared" si="152"/>
        <v>43365.9</v>
      </c>
    </row>
    <row r="3364" spans="2:14" ht="11.25" customHeight="1" x14ac:dyDescent="0.2">
      <c r="B3364" s="29"/>
      <c r="C3364" s="112" t="s">
        <v>1285</v>
      </c>
      <c r="D3364" s="107"/>
      <c r="E3364" s="23"/>
      <c r="F3364" s="22"/>
      <c r="G3364" s="22"/>
      <c r="H3364" s="24">
        <f>TRUNC(SUM(H3361:H3363))</f>
        <v>131670</v>
      </c>
      <c r="I3364" s="22"/>
      <c r="J3364" s="24">
        <f>TRUNC(SUM(J3361:J3363))</f>
        <v>131670</v>
      </c>
      <c r="K3364" s="22"/>
      <c r="L3364" s="24">
        <f>TRUNC(SUM(L3361:L3363))</f>
        <v>131670</v>
      </c>
      <c r="M3364" s="22"/>
      <c r="N3364" s="24">
        <f>TRUNC(SUM(N3361:N3363))</f>
        <v>131670</v>
      </c>
    </row>
    <row r="3365" spans="2:14" ht="11.25" customHeight="1" x14ac:dyDescent="0.2">
      <c r="B3365" s="29"/>
      <c r="C3365" s="112"/>
      <c r="D3365" s="107"/>
      <c r="E3365" s="23"/>
      <c r="F3365" s="22"/>
      <c r="G3365" s="22"/>
      <c r="H3365" s="24"/>
      <c r="I3365" s="22"/>
      <c r="J3365" s="24"/>
      <c r="K3365" s="22"/>
      <c r="L3365" s="24"/>
      <c r="M3365" s="22"/>
      <c r="N3365" s="24"/>
    </row>
    <row r="3366" spans="2:14" ht="11.25" customHeight="1" x14ac:dyDescent="0.2">
      <c r="B3366" s="9" t="s">
        <v>656</v>
      </c>
      <c r="C3366" s="4" t="s">
        <v>175</v>
      </c>
      <c r="D3366" s="106" t="s">
        <v>87</v>
      </c>
      <c r="E3366" s="13" t="s">
        <v>746</v>
      </c>
      <c r="F3366" s="66">
        <v>650121000</v>
      </c>
      <c r="G3366" s="19">
        <v>804</v>
      </c>
      <c r="H3366" s="20">
        <f>TRUNC($F3366*G3366*0.0000001,1)</f>
        <v>52269.7</v>
      </c>
      <c r="I3366" s="21">
        <v>0</v>
      </c>
      <c r="J3366" s="20">
        <f>TRUNC($F3366*I3366*0.0000001,1)</f>
        <v>0</v>
      </c>
      <c r="K3366" s="21">
        <v>0</v>
      </c>
      <c r="L3366" s="20">
        <f>TRUNC($F3366*K3366*0.0000001,1)</f>
        <v>0</v>
      </c>
      <c r="M3366" s="21">
        <v>0</v>
      </c>
      <c r="N3366" s="20">
        <f>TRUNC($F3366*M3366*0.0000001,1)</f>
        <v>0</v>
      </c>
    </row>
    <row r="3367" spans="2:14" ht="11.25" customHeight="1" x14ac:dyDescent="0.2">
      <c r="B3367" s="9" t="s">
        <v>657</v>
      </c>
      <c r="C3367" s="4" t="s">
        <v>175</v>
      </c>
      <c r="D3367" s="106" t="s">
        <v>88</v>
      </c>
      <c r="E3367" s="13" t="s">
        <v>746</v>
      </c>
      <c r="F3367" s="66">
        <v>870425000</v>
      </c>
      <c r="G3367" s="21">
        <v>0</v>
      </c>
      <c r="H3367" s="20">
        <f>TRUNC($F3367*G3367*0.0000001,1)</f>
        <v>0</v>
      </c>
      <c r="I3367" s="19">
        <v>804</v>
      </c>
      <c r="J3367" s="20">
        <f>TRUNC($F3367*I3367*0.0000001,1)</f>
        <v>69982.100000000006</v>
      </c>
      <c r="K3367" s="21">
        <v>0</v>
      </c>
      <c r="L3367" s="20">
        <f>TRUNC($F3367*K3367*0.0000001,1)</f>
        <v>0</v>
      </c>
      <c r="M3367" s="21">
        <v>0</v>
      </c>
      <c r="N3367" s="20">
        <f>TRUNC($F3367*M3367*0.0000001,1)</f>
        <v>0</v>
      </c>
    </row>
    <row r="3368" spans="2:14" ht="11.25" customHeight="1" x14ac:dyDescent="0.2">
      <c r="B3368" s="9" t="s">
        <v>658</v>
      </c>
      <c r="C3368" s="4" t="s">
        <v>175</v>
      </c>
      <c r="D3368" s="106" t="s">
        <v>89</v>
      </c>
      <c r="E3368" s="13" t="s">
        <v>746</v>
      </c>
      <c r="F3368" s="66">
        <v>919623000</v>
      </c>
      <c r="G3368" s="21">
        <v>0</v>
      </c>
      <c r="H3368" s="20">
        <f>TRUNC($F3368*G3368*0.0000001,1)</f>
        <v>0</v>
      </c>
      <c r="I3368" s="21">
        <v>0</v>
      </c>
      <c r="J3368" s="20">
        <f>TRUNC($F3368*I3368*0.0000001,1)</f>
        <v>0</v>
      </c>
      <c r="K3368" s="19">
        <v>804</v>
      </c>
      <c r="L3368" s="20">
        <f>TRUNC($F3368*K3368*0.0000001,1)</f>
        <v>73937.600000000006</v>
      </c>
      <c r="M3368" s="21">
        <v>0</v>
      </c>
      <c r="N3368" s="20">
        <f>TRUNC($F3368*M3368*0.0000001,1)</f>
        <v>0</v>
      </c>
    </row>
    <row r="3369" spans="2:14" ht="11.25" customHeight="1" x14ac:dyDescent="0.2">
      <c r="B3369" s="9" t="s">
        <v>659</v>
      </c>
      <c r="C3369" s="4" t="s">
        <v>175</v>
      </c>
      <c r="D3369" s="106" t="s">
        <v>90</v>
      </c>
      <c r="E3369" s="13" t="s">
        <v>746</v>
      </c>
      <c r="F3369" s="66">
        <v>997475000</v>
      </c>
      <c r="G3369" s="21">
        <v>0</v>
      </c>
      <c r="H3369" s="20">
        <f>TRUNC($F3369*G3369*0.0000001,1)</f>
        <v>0</v>
      </c>
      <c r="I3369" s="21">
        <v>0</v>
      </c>
      <c r="J3369" s="20">
        <f>TRUNC($F3369*I3369*0.0000001,1)</f>
        <v>0</v>
      </c>
      <c r="K3369" s="21">
        <v>0</v>
      </c>
      <c r="L3369" s="20">
        <f>TRUNC($F3369*K3369*0.0000001,1)</f>
        <v>0</v>
      </c>
      <c r="M3369" s="19">
        <v>804</v>
      </c>
      <c r="N3369" s="20">
        <f>TRUNC($F3369*M3369*0.0000001,1)</f>
        <v>80196.899999999994</v>
      </c>
    </row>
    <row r="3370" spans="2:14" ht="11.25" customHeight="1" x14ac:dyDescent="0.2">
      <c r="C3370" s="107" t="s">
        <v>1289</v>
      </c>
      <c r="D3370" s="109"/>
      <c r="E3370" s="34"/>
      <c r="F3370" s="33"/>
      <c r="G3370" s="33"/>
      <c r="H3370" s="24">
        <f>TRUNC(SUM(H3366:H3369))</f>
        <v>52269</v>
      </c>
      <c r="I3370" s="33"/>
      <c r="J3370" s="24">
        <f>TRUNC(SUM(J3366:J3369))</f>
        <v>69982</v>
      </c>
      <c r="K3370" s="33"/>
      <c r="L3370" s="24">
        <f>TRUNC(SUM(L3366:L3369))</f>
        <v>73937</v>
      </c>
      <c r="M3370" s="33"/>
      <c r="N3370" s="24">
        <f>TRUNC(SUM(N3366:N3369))</f>
        <v>80196</v>
      </c>
    </row>
    <row r="3371" spans="2:14" ht="11.25" customHeight="1" x14ac:dyDescent="0.2">
      <c r="C3371" s="107"/>
      <c r="D3371" s="109"/>
      <c r="E3371" s="34"/>
      <c r="F3371" s="33"/>
      <c r="G3371" s="33"/>
      <c r="H3371" s="24"/>
      <c r="I3371" s="33"/>
      <c r="J3371" s="24"/>
      <c r="K3371" s="33"/>
      <c r="L3371" s="24"/>
      <c r="M3371" s="33"/>
      <c r="N3371" s="24"/>
    </row>
    <row r="3372" spans="2:14" ht="11.25" customHeight="1" x14ac:dyDescent="0.2">
      <c r="B3372" s="29"/>
      <c r="C3372" s="126" t="s">
        <v>1286</v>
      </c>
      <c r="D3372" s="126"/>
      <c r="E3372" s="127"/>
      <c r="F3372" s="125"/>
      <c r="G3372" s="125"/>
      <c r="H3372" s="128">
        <f>TRUNC(H3370+H3359+H3364)</f>
        <v>424362</v>
      </c>
      <c r="I3372" s="125"/>
      <c r="J3372" s="128">
        <f>TRUNC(J3370+J3359+J3364)</f>
        <v>497617</v>
      </c>
      <c r="K3372" s="125"/>
      <c r="L3372" s="128">
        <f>TRUNC(L3370+L3359+L3364)</f>
        <v>597588</v>
      </c>
      <c r="M3372" s="102"/>
      <c r="N3372" s="104">
        <f>TRUNC(N3370+N3359+N3364)</f>
        <v>636026</v>
      </c>
    </row>
    <row r="3373" spans="2:14" ht="11.25" customHeight="1" x14ac:dyDescent="0.2">
      <c r="B3373" s="186" t="s">
        <v>427</v>
      </c>
      <c r="C3373" s="187" t="s">
        <v>428</v>
      </c>
      <c r="D3373" s="187" t="s">
        <v>429</v>
      </c>
      <c r="E3373" s="188" t="s">
        <v>430</v>
      </c>
      <c r="F3373" s="188" t="s">
        <v>431</v>
      </c>
      <c r="G3373" s="94" t="s">
        <v>445</v>
      </c>
      <c r="H3373" s="151"/>
      <c r="I3373" s="94" t="s">
        <v>443</v>
      </c>
      <c r="J3373" s="151"/>
      <c r="K3373" s="94" t="s">
        <v>446</v>
      </c>
      <c r="L3373" s="151"/>
    </row>
    <row r="3374" spans="2:14" ht="11.25" customHeight="1" x14ac:dyDescent="0.2">
      <c r="B3374" s="186"/>
      <c r="C3374" s="187"/>
      <c r="D3374" s="187"/>
      <c r="E3374" s="188"/>
      <c r="F3374" s="188"/>
      <c r="G3374" s="17" t="s">
        <v>436</v>
      </c>
      <c r="H3374" s="17" t="s">
        <v>437</v>
      </c>
      <c r="I3374" s="17" t="s">
        <v>436</v>
      </c>
      <c r="J3374" s="17" t="s">
        <v>437</v>
      </c>
      <c r="K3374" s="17" t="s">
        <v>436</v>
      </c>
      <c r="L3374" s="17" t="s">
        <v>437</v>
      </c>
    </row>
    <row r="3375" spans="2:14" ht="11.25" customHeight="1" x14ac:dyDescent="0.2">
      <c r="C3375" s="4" t="s">
        <v>619</v>
      </c>
      <c r="D3375" s="4"/>
      <c r="E3375" s="13" t="s">
        <v>494</v>
      </c>
      <c r="F3375" s="25">
        <v>1505.45</v>
      </c>
      <c r="G3375" s="26">
        <v>242.6</v>
      </c>
      <c r="H3375" s="20">
        <f t="shared" ref="H3375" si="153">TRUNC(($F3375*G3375),1)</f>
        <v>365222.1</v>
      </c>
      <c r="I3375" s="26">
        <v>259.8</v>
      </c>
      <c r="J3375" s="20">
        <f>TRUNC(($F3375*I3375),1)</f>
        <v>391115.9</v>
      </c>
      <c r="K3375" s="26">
        <v>276.89999999999998</v>
      </c>
      <c r="L3375" s="20">
        <f t="shared" ref="L3375" si="154">TRUNC(($F3375*K3375),1)</f>
        <v>416859.1</v>
      </c>
    </row>
    <row r="3376" spans="2:14" ht="11.25" customHeight="1" x14ac:dyDescent="0.2">
      <c r="C3376" s="4" t="s">
        <v>495</v>
      </c>
      <c r="D3376" s="4" t="s">
        <v>203</v>
      </c>
      <c r="E3376" s="13" t="s">
        <v>232</v>
      </c>
      <c r="F3376" s="18"/>
      <c r="G3376" s="21">
        <v>25</v>
      </c>
      <c r="H3376" s="20">
        <f>TRUNC(H3375*G3376*0.01,1)</f>
        <v>91305.5</v>
      </c>
      <c r="I3376" s="21">
        <v>25</v>
      </c>
      <c r="J3376" s="20">
        <f>TRUNC(J3375*I3376*0.01,1)</f>
        <v>97778.9</v>
      </c>
      <c r="K3376" s="21">
        <v>25</v>
      </c>
      <c r="L3376" s="20">
        <f>TRUNC(L3375*K3376*0.01,1)</f>
        <v>104214.7</v>
      </c>
    </row>
    <row r="3377" spans="2:12" ht="11.25" customHeight="1" x14ac:dyDescent="0.2">
      <c r="C3377" s="107" t="s">
        <v>799</v>
      </c>
      <c r="D3377" s="107"/>
      <c r="E3377" s="23"/>
      <c r="F3377" s="22"/>
      <c r="G3377" s="22"/>
      <c r="H3377" s="24">
        <f>TRUNC(SUM(H3375:H3376))</f>
        <v>456527</v>
      </c>
      <c r="I3377" s="22"/>
      <c r="J3377" s="24">
        <f>TRUNC(SUM(J3375:J3376))</f>
        <v>488894</v>
      </c>
      <c r="K3377" s="22"/>
      <c r="L3377" s="24">
        <f>TRUNC(SUM(L3375:L3376))</f>
        <v>521073</v>
      </c>
    </row>
    <row r="3378" spans="2:12" ht="11.25" customHeight="1" x14ac:dyDescent="0.2">
      <c r="C3378" s="107"/>
      <c r="D3378" s="107"/>
      <c r="E3378" s="23"/>
      <c r="F3378" s="22"/>
      <c r="G3378" s="22"/>
      <c r="H3378" s="24"/>
      <c r="I3378" s="22"/>
      <c r="J3378" s="24"/>
      <c r="K3378" s="22"/>
      <c r="L3378" s="24"/>
    </row>
    <row r="3379" spans="2:12" ht="11.25" customHeight="1" x14ac:dyDescent="0.2">
      <c r="C3379" s="4" t="s">
        <v>176</v>
      </c>
      <c r="D3379" s="4" t="s">
        <v>866</v>
      </c>
      <c r="E3379" s="13" t="s">
        <v>497</v>
      </c>
      <c r="F3379" s="28">
        <v>215132</v>
      </c>
      <c r="G3379" s="18">
        <v>0.20799999999999999</v>
      </c>
      <c r="H3379" s="20">
        <f t="shared" ref="H3379:H3381" si="155">TRUNC(($F3379*G3379),1)</f>
        <v>44747.4</v>
      </c>
      <c r="I3379" s="18">
        <v>0.20799999999999999</v>
      </c>
      <c r="J3379" s="20">
        <f>TRUNC(($F3379*I3379),1)</f>
        <v>44747.4</v>
      </c>
      <c r="K3379" s="18">
        <v>0.20799999999999999</v>
      </c>
      <c r="L3379" s="20">
        <f t="shared" ref="L3379:L3381" si="156">TRUNC(($F3379*K3379),1)</f>
        <v>44747.4</v>
      </c>
    </row>
    <row r="3380" spans="2:12" ht="11.25" customHeight="1" x14ac:dyDescent="0.2">
      <c r="C3380" s="4" t="s">
        <v>177</v>
      </c>
      <c r="D3380" s="4" t="s">
        <v>866</v>
      </c>
      <c r="E3380" s="13" t="s">
        <v>497</v>
      </c>
      <c r="F3380" s="28">
        <v>209409</v>
      </c>
      <c r="G3380" s="18">
        <v>0.20799999999999999</v>
      </c>
      <c r="H3380" s="20">
        <f t="shared" si="155"/>
        <v>43557</v>
      </c>
      <c r="I3380" s="18">
        <v>0.20799999999999999</v>
      </c>
      <c r="J3380" s="20">
        <f>TRUNC(($F3380*I3380),1)</f>
        <v>43557</v>
      </c>
      <c r="K3380" s="18">
        <v>0.20799999999999999</v>
      </c>
      <c r="L3380" s="20">
        <f t="shared" si="156"/>
        <v>43557</v>
      </c>
    </row>
    <row r="3381" spans="2:12" ht="11.25" customHeight="1" x14ac:dyDescent="0.2">
      <c r="B3381" s="29"/>
      <c r="C3381" s="105" t="s">
        <v>59</v>
      </c>
      <c r="D3381" s="4" t="s">
        <v>866</v>
      </c>
      <c r="E3381" s="13" t="s">
        <v>497</v>
      </c>
      <c r="F3381" s="28">
        <v>208490</v>
      </c>
      <c r="G3381" s="18">
        <v>0.20799999999999999</v>
      </c>
      <c r="H3381" s="20">
        <f t="shared" si="155"/>
        <v>43365.9</v>
      </c>
      <c r="I3381" s="18">
        <v>0.20799999999999999</v>
      </c>
      <c r="J3381" s="20">
        <f>TRUNC(($F3381*I3381),1)</f>
        <v>43365.9</v>
      </c>
      <c r="K3381" s="18">
        <v>0.20799999999999999</v>
      </c>
      <c r="L3381" s="20">
        <f t="shared" si="156"/>
        <v>43365.9</v>
      </c>
    </row>
    <row r="3382" spans="2:12" ht="11.25" customHeight="1" x14ac:dyDescent="0.2">
      <c r="B3382" s="29"/>
      <c r="C3382" s="112" t="s">
        <v>1285</v>
      </c>
      <c r="D3382" s="107"/>
      <c r="E3382" s="23"/>
      <c r="F3382" s="22"/>
      <c r="G3382" s="22"/>
      <c r="H3382" s="24">
        <f>TRUNC(SUM(H3379:H3381))</f>
        <v>131670</v>
      </c>
      <c r="I3382" s="22"/>
      <c r="J3382" s="24">
        <f>TRUNC(SUM(J3379:J3381))</f>
        <v>131670</v>
      </c>
      <c r="K3382" s="22"/>
      <c r="L3382" s="24">
        <f>TRUNC(SUM(L3379:L3381))</f>
        <v>131670</v>
      </c>
    </row>
    <row r="3383" spans="2:12" ht="11.25" customHeight="1" x14ac:dyDescent="0.2">
      <c r="B3383" s="29"/>
      <c r="C3383" s="112"/>
      <c r="D3383" s="107"/>
      <c r="E3383" s="23"/>
      <c r="F3383" s="22"/>
      <c r="G3383" s="22"/>
      <c r="H3383" s="24"/>
      <c r="I3383" s="22"/>
      <c r="J3383" s="24"/>
      <c r="K3383" s="22"/>
      <c r="L3383" s="24"/>
    </row>
    <row r="3384" spans="2:12" ht="11.25" customHeight="1" x14ac:dyDescent="0.2">
      <c r="B3384" s="9" t="s">
        <v>660</v>
      </c>
      <c r="C3384" s="4" t="s">
        <v>175</v>
      </c>
      <c r="D3384" s="106" t="s">
        <v>91</v>
      </c>
      <c r="E3384" s="13" t="s">
        <v>746</v>
      </c>
      <c r="F3384" s="66">
        <v>1074203000</v>
      </c>
      <c r="G3384" s="19">
        <v>804</v>
      </c>
      <c r="H3384" s="20">
        <f>TRUNC($F3384*G3384*0.0000001,1)</f>
        <v>86365.9</v>
      </c>
      <c r="I3384" s="21">
        <v>0</v>
      </c>
      <c r="J3384" s="20">
        <f>TRUNC($F3384*I3384*0.0000001,1)</f>
        <v>0</v>
      </c>
      <c r="K3384" s="21">
        <v>0</v>
      </c>
      <c r="L3384" s="20">
        <f>TRUNC($F3384*K3384*0.0000001,1)</f>
        <v>0</v>
      </c>
    </row>
    <row r="3385" spans="2:12" ht="11.25" customHeight="1" x14ac:dyDescent="0.2">
      <c r="B3385" s="9" t="s">
        <v>661</v>
      </c>
      <c r="C3385" s="4" t="s">
        <v>175</v>
      </c>
      <c r="D3385" s="106" t="s">
        <v>92</v>
      </c>
      <c r="E3385" s="13" t="s">
        <v>746</v>
      </c>
      <c r="F3385" s="66">
        <v>1150932000</v>
      </c>
      <c r="G3385" s="21">
        <v>0</v>
      </c>
      <c r="H3385" s="20">
        <f>TRUNC($F3385*G3385*0.0000001,1)</f>
        <v>0</v>
      </c>
      <c r="I3385" s="19">
        <v>804</v>
      </c>
      <c r="J3385" s="20">
        <f>TRUNC($F3385*I3385*0.0000001,1)</f>
        <v>92534.9</v>
      </c>
      <c r="K3385" s="21">
        <v>0</v>
      </c>
      <c r="L3385" s="20">
        <f>TRUNC($F3385*K3385*0.0000001,1)</f>
        <v>0</v>
      </c>
    </row>
    <row r="3386" spans="2:12" ht="11.25" customHeight="1" x14ac:dyDescent="0.2">
      <c r="B3386" s="9" t="s">
        <v>605</v>
      </c>
      <c r="C3386" s="4" t="s">
        <v>175</v>
      </c>
      <c r="D3386" s="106" t="s">
        <v>93</v>
      </c>
      <c r="E3386" s="13" t="s">
        <v>746</v>
      </c>
      <c r="F3386" s="66">
        <v>1227661000</v>
      </c>
      <c r="G3386" s="21">
        <v>0</v>
      </c>
      <c r="H3386" s="20">
        <f>TRUNC($F3386*G3386*0.0000001,1)</f>
        <v>0</v>
      </c>
      <c r="I3386" s="21">
        <v>0</v>
      </c>
      <c r="J3386" s="20">
        <f>TRUNC($F3386*I3386*0.0000001,1)</f>
        <v>0</v>
      </c>
      <c r="K3386" s="19">
        <v>804</v>
      </c>
      <c r="L3386" s="20">
        <f>TRUNC($F3386*K3386*0.0000001,1)</f>
        <v>98703.9</v>
      </c>
    </row>
    <row r="3387" spans="2:12" ht="11.25" customHeight="1" x14ac:dyDescent="0.2">
      <c r="C3387" s="107" t="s">
        <v>1289</v>
      </c>
      <c r="D3387" s="109"/>
      <c r="E3387" s="34"/>
      <c r="F3387" s="33"/>
      <c r="G3387" s="33"/>
      <c r="H3387" s="24">
        <f>TRUNC(SUM(H3384:H3386))</f>
        <v>86365</v>
      </c>
      <c r="I3387" s="33"/>
      <c r="J3387" s="24">
        <f>TRUNC(SUM(J3384:J3386))</f>
        <v>92534</v>
      </c>
      <c r="K3387" s="33"/>
      <c r="L3387" s="24">
        <f>TRUNC(SUM(L3384:L3386))</f>
        <v>98703</v>
      </c>
    </row>
    <row r="3388" spans="2:12" ht="11.25" customHeight="1" x14ac:dyDescent="0.2">
      <c r="C3388" s="107"/>
      <c r="D3388" s="109"/>
      <c r="E3388" s="34"/>
      <c r="F3388" s="33"/>
      <c r="G3388" s="33"/>
      <c r="H3388" s="24"/>
      <c r="I3388" s="33"/>
      <c r="J3388" s="24"/>
      <c r="K3388" s="33"/>
      <c r="L3388" s="24"/>
    </row>
    <row r="3389" spans="2:12" ht="11.25" customHeight="1" x14ac:dyDescent="0.2">
      <c r="B3389" s="48"/>
      <c r="C3389" s="108" t="s">
        <v>1286</v>
      </c>
      <c r="D3389" s="108"/>
      <c r="E3389" s="103"/>
      <c r="F3389" s="102"/>
      <c r="G3389" s="102"/>
      <c r="H3389" s="104">
        <f>TRUNC(H3387+H3377+H3382)</f>
        <v>674562</v>
      </c>
      <c r="I3389" s="102"/>
      <c r="J3389" s="104">
        <f>TRUNC(J3387+J3377+J3382)</f>
        <v>713098</v>
      </c>
      <c r="K3389" s="102"/>
      <c r="L3389" s="104">
        <f>TRUNC(L3387+L3377+L3382)</f>
        <v>751446</v>
      </c>
    </row>
  </sheetData>
  <mergeCells count="1384">
    <mergeCell ref="B3373:B3374"/>
    <mergeCell ref="C3373:C3374"/>
    <mergeCell ref="D3373:D3374"/>
    <mergeCell ref="E3373:E3374"/>
    <mergeCell ref="F3373:F3374"/>
    <mergeCell ref="B3341:B3342"/>
    <mergeCell ref="C3341:C3342"/>
    <mergeCell ref="D3341:D3342"/>
    <mergeCell ref="E3341:E3342"/>
    <mergeCell ref="F3341:F3342"/>
    <mergeCell ref="B3355:B3356"/>
    <mergeCell ref="C3355:C3356"/>
    <mergeCell ref="D3355:D3356"/>
    <mergeCell ref="E3355:E3356"/>
    <mergeCell ref="F3355:F3356"/>
    <mergeCell ref="B3317:B3318"/>
    <mergeCell ref="C3317:C3318"/>
    <mergeCell ref="D3317:D3318"/>
    <mergeCell ref="E3317:E3318"/>
    <mergeCell ref="F3317:F3318"/>
    <mergeCell ref="B3329:B3330"/>
    <mergeCell ref="C3329:C3330"/>
    <mergeCell ref="D3329:D3330"/>
    <mergeCell ref="E3329:E3330"/>
    <mergeCell ref="F3329:F3330"/>
    <mergeCell ref="B3289:B3290"/>
    <mergeCell ref="C3289:C3290"/>
    <mergeCell ref="D3289:D3290"/>
    <mergeCell ref="E3289:E3290"/>
    <mergeCell ref="F3289:F3290"/>
    <mergeCell ref="B3305:B3306"/>
    <mergeCell ref="C3305:C3306"/>
    <mergeCell ref="D3305:D3306"/>
    <mergeCell ref="E3305:E3306"/>
    <mergeCell ref="F3305:F3306"/>
    <mergeCell ref="B3276:B3277"/>
    <mergeCell ref="C3276:C3277"/>
    <mergeCell ref="D3276:D3277"/>
    <mergeCell ref="E3276:E3277"/>
    <mergeCell ref="F3276:F3277"/>
    <mergeCell ref="I3276:J3276"/>
    <mergeCell ref="I3256:J3256"/>
    <mergeCell ref="B3266:B3267"/>
    <mergeCell ref="C3266:C3267"/>
    <mergeCell ref="D3266:D3267"/>
    <mergeCell ref="E3266:E3267"/>
    <mergeCell ref="F3266:F3267"/>
    <mergeCell ref="I3266:J3266"/>
    <mergeCell ref="B3239:B3240"/>
    <mergeCell ref="C3239:C3240"/>
    <mergeCell ref="D3239:D3240"/>
    <mergeCell ref="E3239:E3240"/>
    <mergeCell ref="F3239:F3240"/>
    <mergeCell ref="B3256:B3257"/>
    <mergeCell ref="C3256:C3257"/>
    <mergeCell ref="D3256:D3257"/>
    <mergeCell ref="E3256:E3257"/>
    <mergeCell ref="F3256:F3257"/>
    <mergeCell ref="I3207:J3207"/>
    <mergeCell ref="B3223:B3224"/>
    <mergeCell ref="C3223:C3224"/>
    <mergeCell ref="D3223:D3224"/>
    <mergeCell ref="E3223:E3224"/>
    <mergeCell ref="F3223:F3224"/>
    <mergeCell ref="B3192:B3193"/>
    <mergeCell ref="C3192:C3193"/>
    <mergeCell ref="D3192:D3193"/>
    <mergeCell ref="E3192:E3193"/>
    <mergeCell ref="F3192:F3193"/>
    <mergeCell ref="B3207:B3208"/>
    <mergeCell ref="C3207:C3208"/>
    <mergeCell ref="D3207:D3208"/>
    <mergeCell ref="E3207:E3208"/>
    <mergeCell ref="F3207:F3208"/>
    <mergeCell ref="B3162:B3163"/>
    <mergeCell ref="C3162:C3163"/>
    <mergeCell ref="D3162:D3163"/>
    <mergeCell ref="E3162:E3163"/>
    <mergeCell ref="F3162:F3163"/>
    <mergeCell ref="B3177:B3178"/>
    <mergeCell ref="C3177:C3178"/>
    <mergeCell ref="D3177:D3178"/>
    <mergeCell ref="E3177:E3178"/>
    <mergeCell ref="F3177:F3178"/>
    <mergeCell ref="B3130:B3131"/>
    <mergeCell ref="C3130:C3131"/>
    <mergeCell ref="D3130:D3131"/>
    <mergeCell ref="E3130:E3131"/>
    <mergeCell ref="F3130:F3131"/>
    <mergeCell ref="B3145:B3146"/>
    <mergeCell ref="C3145:C3146"/>
    <mergeCell ref="D3145:D3146"/>
    <mergeCell ref="E3145:E3146"/>
    <mergeCell ref="F3145:F3146"/>
    <mergeCell ref="B3096:B3097"/>
    <mergeCell ref="C3096:C3097"/>
    <mergeCell ref="D3096:D3097"/>
    <mergeCell ref="E3096:E3097"/>
    <mergeCell ref="F3096:F3097"/>
    <mergeCell ref="B3115:B3116"/>
    <mergeCell ref="C3115:C3116"/>
    <mergeCell ref="D3115:D3116"/>
    <mergeCell ref="E3115:E3116"/>
    <mergeCell ref="F3115:F3116"/>
    <mergeCell ref="B3079:B3080"/>
    <mergeCell ref="C3079:C3080"/>
    <mergeCell ref="D3079:D3080"/>
    <mergeCell ref="E3079:E3080"/>
    <mergeCell ref="F3079:F3080"/>
    <mergeCell ref="I3079:J3079"/>
    <mergeCell ref="B3043:B3044"/>
    <mergeCell ref="C3043:C3044"/>
    <mergeCell ref="D3043:D3044"/>
    <mergeCell ref="E3043:E3044"/>
    <mergeCell ref="F3043:F3044"/>
    <mergeCell ref="B3061:B3062"/>
    <mergeCell ref="C3061:C3062"/>
    <mergeCell ref="D3061:D3062"/>
    <mergeCell ref="E3061:E3062"/>
    <mergeCell ref="F3061:F3062"/>
    <mergeCell ref="B3007:B3008"/>
    <mergeCell ref="C3007:C3008"/>
    <mergeCell ref="D3007:D3008"/>
    <mergeCell ref="E3007:E3008"/>
    <mergeCell ref="F3007:F3008"/>
    <mergeCell ref="B3024:B3025"/>
    <mergeCell ref="C3024:C3025"/>
    <mergeCell ref="D3024:D3025"/>
    <mergeCell ref="E3024:E3025"/>
    <mergeCell ref="F3024:F3025"/>
    <mergeCell ref="B2971:B2972"/>
    <mergeCell ref="C2971:C2972"/>
    <mergeCell ref="D2971:D2972"/>
    <mergeCell ref="E2971:E2972"/>
    <mergeCell ref="F2971:F2972"/>
    <mergeCell ref="B2989:B2990"/>
    <mergeCell ref="C2989:C2990"/>
    <mergeCell ref="D2989:D2990"/>
    <mergeCell ref="E2989:E2990"/>
    <mergeCell ref="F2989:F2990"/>
    <mergeCell ref="B2936:B2937"/>
    <mergeCell ref="C2936:C2937"/>
    <mergeCell ref="D2936:D2937"/>
    <mergeCell ref="E2936:E2937"/>
    <mergeCell ref="F2936:F2937"/>
    <mergeCell ref="B2953:B2954"/>
    <mergeCell ref="C2953:C2954"/>
    <mergeCell ref="D2953:D2954"/>
    <mergeCell ref="E2953:E2954"/>
    <mergeCell ref="F2953:F2954"/>
    <mergeCell ref="B2920:B2921"/>
    <mergeCell ref="C2920:C2921"/>
    <mergeCell ref="D2920:D2921"/>
    <mergeCell ref="E2920:E2921"/>
    <mergeCell ref="F2920:F2921"/>
    <mergeCell ref="B2928:B2929"/>
    <mergeCell ref="C2928:C2929"/>
    <mergeCell ref="D2928:D2929"/>
    <mergeCell ref="E2928:E2929"/>
    <mergeCell ref="F2928:F2929"/>
    <mergeCell ref="B2944:B2945"/>
    <mergeCell ref="C2944:C2945"/>
    <mergeCell ref="D2944:D2945"/>
    <mergeCell ref="E2944:E2945"/>
    <mergeCell ref="F2944:F2945"/>
    <mergeCell ref="B2903:B2904"/>
    <mergeCell ref="C2903:C2904"/>
    <mergeCell ref="D2903:D2904"/>
    <mergeCell ref="E2903:E2904"/>
    <mergeCell ref="F2903:F2904"/>
    <mergeCell ref="B2912:B2913"/>
    <mergeCell ref="C2912:C2913"/>
    <mergeCell ref="D2912:D2913"/>
    <mergeCell ref="E2912:E2913"/>
    <mergeCell ref="F2912:F2913"/>
    <mergeCell ref="B2880:B2881"/>
    <mergeCell ref="C2880:C2881"/>
    <mergeCell ref="D2880:D2881"/>
    <mergeCell ref="E2880:E2881"/>
    <mergeCell ref="F2880:F2881"/>
    <mergeCell ref="B2891:B2892"/>
    <mergeCell ref="C2891:C2892"/>
    <mergeCell ref="D2891:D2892"/>
    <mergeCell ref="E2891:E2892"/>
    <mergeCell ref="F2891:F2892"/>
    <mergeCell ref="B2854:B2855"/>
    <mergeCell ref="C2854:C2855"/>
    <mergeCell ref="D2854:D2855"/>
    <mergeCell ref="E2854:E2855"/>
    <mergeCell ref="F2854:F2855"/>
    <mergeCell ref="B2867:B2868"/>
    <mergeCell ref="C2867:C2868"/>
    <mergeCell ref="D2867:D2868"/>
    <mergeCell ref="E2867:E2868"/>
    <mergeCell ref="F2867:F2868"/>
    <mergeCell ref="B2831:B2832"/>
    <mergeCell ref="C2831:C2832"/>
    <mergeCell ref="D2831:D2832"/>
    <mergeCell ref="E2831:E2832"/>
    <mergeCell ref="F2831:F2832"/>
    <mergeCell ref="B2839:B2840"/>
    <mergeCell ref="C2839:C2840"/>
    <mergeCell ref="D2839:D2840"/>
    <mergeCell ref="E2839:E2840"/>
    <mergeCell ref="F2839:F2840"/>
    <mergeCell ref="B2815:B2816"/>
    <mergeCell ref="C2815:C2816"/>
    <mergeCell ref="D2815:D2816"/>
    <mergeCell ref="E2815:E2816"/>
    <mergeCell ref="F2815:F2816"/>
    <mergeCell ref="B2823:B2824"/>
    <mergeCell ref="C2823:C2824"/>
    <mergeCell ref="D2823:D2824"/>
    <mergeCell ref="E2823:E2824"/>
    <mergeCell ref="F2823:F2824"/>
    <mergeCell ref="B2799:B2800"/>
    <mergeCell ref="C2799:C2800"/>
    <mergeCell ref="D2799:D2800"/>
    <mergeCell ref="E2799:E2800"/>
    <mergeCell ref="F2799:F2800"/>
    <mergeCell ref="B2807:B2808"/>
    <mergeCell ref="C2807:C2808"/>
    <mergeCell ref="D2807:D2808"/>
    <mergeCell ref="E2807:E2808"/>
    <mergeCell ref="F2807:F2808"/>
    <mergeCell ref="B2782:B2783"/>
    <mergeCell ref="C2782:C2783"/>
    <mergeCell ref="D2782:D2783"/>
    <mergeCell ref="E2782:E2783"/>
    <mergeCell ref="F2782:F2783"/>
    <mergeCell ref="B2790:B2791"/>
    <mergeCell ref="C2790:C2791"/>
    <mergeCell ref="D2790:D2791"/>
    <mergeCell ref="E2790:E2791"/>
    <mergeCell ref="F2790:F2791"/>
    <mergeCell ref="B2766:B2767"/>
    <mergeCell ref="C2766:C2767"/>
    <mergeCell ref="D2766:D2767"/>
    <mergeCell ref="E2766:E2767"/>
    <mergeCell ref="F2766:F2767"/>
    <mergeCell ref="B2774:B2775"/>
    <mergeCell ref="C2774:C2775"/>
    <mergeCell ref="D2774:D2775"/>
    <mergeCell ref="E2774:E2775"/>
    <mergeCell ref="F2774:F2775"/>
    <mergeCell ref="B2750:B2751"/>
    <mergeCell ref="C2750:C2751"/>
    <mergeCell ref="D2750:D2751"/>
    <mergeCell ref="E2750:E2751"/>
    <mergeCell ref="F2750:F2751"/>
    <mergeCell ref="B2758:B2759"/>
    <mergeCell ref="C2758:C2759"/>
    <mergeCell ref="D2758:D2759"/>
    <mergeCell ref="E2758:E2759"/>
    <mergeCell ref="F2758:F2759"/>
    <mergeCell ref="B2725:B2726"/>
    <mergeCell ref="C2725:C2726"/>
    <mergeCell ref="D2725:D2726"/>
    <mergeCell ref="E2725:E2726"/>
    <mergeCell ref="F2725:F2726"/>
    <mergeCell ref="B2737:B2738"/>
    <mergeCell ref="C2737:C2738"/>
    <mergeCell ref="D2737:D2738"/>
    <mergeCell ref="E2737:E2738"/>
    <mergeCell ref="F2737:F2738"/>
    <mergeCell ref="B2701:B2702"/>
    <mergeCell ref="C2701:C2702"/>
    <mergeCell ref="D2701:D2702"/>
    <mergeCell ref="E2701:E2702"/>
    <mergeCell ref="F2701:F2702"/>
    <mergeCell ref="B2713:B2714"/>
    <mergeCell ref="C2713:C2714"/>
    <mergeCell ref="D2713:D2714"/>
    <mergeCell ref="E2713:E2714"/>
    <mergeCell ref="F2713:F2714"/>
    <mergeCell ref="B2675:B2676"/>
    <mergeCell ref="C2675:C2676"/>
    <mergeCell ref="D2675:D2676"/>
    <mergeCell ref="E2675:E2676"/>
    <mergeCell ref="F2675:F2676"/>
    <mergeCell ref="B2687:B2688"/>
    <mergeCell ref="C2687:C2688"/>
    <mergeCell ref="D2687:D2688"/>
    <mergeCell ref="E2687:E2688"/>
    <mergeCell ref="F2687:F2688"/>
    <mergeCell ref="B2658:B2659"/>
    <mergeCell ref="C2658:C2659"/>
    <mergeCell ref="D2658:D2659"/>
    <mergeCell ref="E2658:E2659"/>
    <mergeCell ref="F2658:F2659"/>
    <mergeCell ref="B2667:B2668"/>
    <mergeCell ref="C2667:C2668"/>
    <mergeCell ref="D2667:D2668"/>
    <mergeCell ref="E2667:E2668"/>
    <mergeCell ref="F2667:F2668"/>
    <mergeCell ref="B2639:B2640"/>
    <mergeCell ref="C2639:C2640"/>
    <mergeCell ref="D2639:D2640"/>
    <mergeCell ref="E2639:E2640"/>
    <mergeCell ref="F2639:F2640"/>
    <mergeCell ref="B2648:B2649"/>
    <mergeCell ref="C2648:C2649"/>
    <mergeCell ref="D2648:D2649"/>
    <mergeCell ref="E2648:E2649"/>
    <mergeCell ref="F2648:F2649"/>
    <mergeCell ref="B2623:B2624"/>
    <mergeCell ref="C2623:C2624"/>
    <mergeCell ref="D2623:D2624"/>
    <mergeCell ref="E2623:E2624"/>
    <mergeCell ref="F2623:F2624"/>
    <mergeCell ref="B2631:B2632"/>
    <mergeCell ref="C2631:C2632"/>
    <mergeCell ref="D2631:D2632"/>
    <mergeCell ref="E2631:E2632"/>
    <mergeCell ref="F2631:F2632"/>
    <mergeCell ref="B2606:B2607"/>
    <mergeCell ref="C2606:C2607"/>
    <mergeCell ref="D2606:D2607"/>
    <mergeCell ref="E2606:E2607"/>
    <mergeCell ref="F2606:F2607"/>
    <mergeCell ref="B2614:B2615"/>
    <mergeCell ref="C2614:C2615"/>
    <mergeCell ref="D2614:D2615"/>
    <mergeCell ref="E2614:E2615"/>
    <mergeCell ref="F2614:F2615"/>
    <mergeCell ref="B2588:B2589"/>
    <mergeCell ref="C2588:C2589"/>
    <mergeCell ref="D2588:D2589"/>
    <mergeCell ref="E2588:E2589"/>
    <mergeCell ref="F2588:F2589"/>
    <mergeCell ref="B2596:B2597"/>
    <mergeCell ref="C2596:C2597"/>
    <mergeCell ref="D2596:D2597"/>
    <mergeCell ref="E2596:E2597"/>
    <mergeCell ref="F2596:F2597"/>
    <mergeCell ref="B2569:B2570"/>
    <mergeCell ref="C2569:C2570"/>
    <mergeCell ref="D2569:D2570"/>
    <mergeCell ref="E2569:E2570"/>
    <mergeCell ref="F2569:F2570"/>
    <mergeCell ref="B2578:B2579"/>
    <mergeCell ref="C2578:C2579"/>
    <mergeCell ref="D2578:D2579"/>
    <mergeCell ref="E2578:E2579"/>
    <mergeCell ref="F2578:F2579"/>
    <mergeCell ref="B2546:B2547"/>
    <mergeCell ref="C2546:C2547"/>
    <mergeCell ref="D2546:D2547"/>
    <mergeCell ref="E2546:E2547"/>
    <mergeCell ref="F2546:F2547"/>
    <mergeCell ref="B2562:B2563"/>
    <mergeCell ref="C2562:C2563"/>
    <mergeCell ref="D2562:D2563"/>
    <mergeCell ref="E2562:E2563"/>
    <mergeCell ref="F2562:F2563"/>
    <mergeCell ref="B2516:B2517"/>
    <mergeCell ref="C2516:C2517"/>
    <mergeCell ref="D2516:D2517"/>
    <mergeCell ref="E2516:E2517"/>
    <mergeCell ref="F2516:F2517"/>
    <mergeCell ref="B2531:B2532"/>
    <mergeCell ref="C2531:C2532"/>
    <mergeCell ref="D2531:D2532"/>
    <mergeCell ref="E2531:E2532"/>
    <mergeCell ref="F2531:F2532"/>
    <mergeCell ref="B2492:B2493"/>
    <mergeCell ref="C2492:C2493"/>
    <mergeCell ref="D2492:D2493"/>
    <mergeCell ref="E2492:E2493"/>
    <mergeCell ref="F2492:F2493"/>
    <mergeCell ref="B2501:B2502"/>
    <mergeCell ref="C2501:C2502"/>
    <mergeCell ref="D2501:D2502"/>
    <mergeCell ref="E2501:E2502"/>
    <mergeCell ref="F2501:F2502"/>
    <mergeCell ref="B2473:B2474"/>
    <mergeCell ref="C2473:C2474"/>
    <mergeCell ref="D2473:D2474"/>
    <mergeCell ref="E2473:E2474"/>
    <mergeCell ref="F2473:F2474"/>
    <mergeCell ref="B2483:B2484"/>
    <mergeCell ref="C2483:C2484"/>
    <mergeCell ref="D2483:D2484"/>
    <mergeCell ref="E2483:E2484"/>
    <mergeCell ref="F2483:F2484"/>
    <mergeCell ref="I2446:J2446"/>
    <mergeCell ref="B2463:B2464"/>
    <mergeCell ref="C2463:C2464"/>
    <mergeCell ref="D2463:D2464"/>
    <mergeCell ref="E2463:E2464"/>
    <mergeCell ref="F2463:F2464"/>
    <mergeCell ref="B2446:B2447"/>
    <mergeCell ref="C2446:C2447"/>
    <mergeCell ref="D2446:D2447"/>
    <mergeCell ref="E2446:E2447"/>
    <mergeCell ref="F2446:F2447"/>
    <mergeCell ref="G2446:H2446"/>
    <mergeCell ref="B2419:B2420"/>
    <mergeCell ref="C2419:C2420"/>
    <mergeCell ref="D2419:D2420"/>
    <mergeCell ref="E2419:E2420"/>
    <mergeCell ref="F2419:F2420"/>
    <mergeCell ref="B2431:B2432"/>
    <mergeCell ref="C2431:C2432"/>
    <mergeCell ref="D2431:D2432"/>
    <mergeCell ref="E2431:E2432"/>
    <mergeCell ref="F2431:F2432"/>
    <mergeCell ref="I2392:J2392"/>
    <mergeCell ref="K2392:L2392"/>
    <mergeCell ref="B2409:B2410"/>
    <mergeCell ref="C2409:C2410"/>
    <mergeCell ref="D2409:D2410"/>
    <mergeCell ref="E2409:E2410"/>
    <mergeCell ref="F2409:F2410"/>
    <mergeCell ref="G2409:H2409"/>
    <mergeCell ref="I2409:J2409"/>
    <mergeCell ref="B2392:B2393"/>
    <mergeCell ref="C2392:C2393"/>
    <mergeCell ref="D2392:D2393"/>
    <mergeCell ref="E2392:E2393"/>
    <mergeCell ref="F2392:F2393"/>
    <mergeCell ref="G2392:H2392"/>
    <mergeCell ref="B2361:B2362"/>
    <mergeCell ref="C2361:C2362"/>
    <mergeCell ref="D2361:D2362"/>
    <mergeCell ref="E2361:E2362"/>
    <mergeCell ref="F2361:F2362"/>
    <mergeCell ref="B2376:B2377"/>
    <mergeCell ref="C2376:C2377"/>
    <mergeCell ref="D2376:D2377"/>
    <mergeCell ref="E2376:E2377"/>
    <mergeCell ref="F2376:F2377"/>
    <mergeCell ref="K2409:L2409"/>
    <mergeCell ref="B2334:B2335"/>
    <mergeCell ref="C2334:C2335"/>
    <mergeCell ref="D2334:D2335"/>
    <mergeCell ref="E2334:E2335"/>
    <mergeCell ref="F2334:F2335"/>
    <mergeCell ref="B2349:B2350"/>
    <mergeCell ref="C2349:C2350"/>
    <mergeCell ref="D2349:D2350"/>
    <mergeCell ref="E2349:E2350"/>
    <mergeCell ref="F2349:F2350"/>
    <mergeCell ref="B2303:B2304"/>
    <mergeCell ref="C2303:C2304"/>
    <mergeCell ref="D2303:D2304"/>
    <mergeCell ref="E2303:E2304"/>
    <mergeCell ref="F2303:F2304"/>
    <mergeCell ref="B2318:B2319"/>
    <mergeCell ref="C2318:C2319"/>
    <mergeCell ref="D2318:D2319"/>
    <mergeCell ref="E2318:E2319"/>
    <mergeCell ref="F2318:F2319"/>
    <mergeCell ref="B2287:B2288"/>
    <mergeCell ref="C2287:C2288"/>
    <mergeCell ref="D2287:D2288"/>
    <mergeCell ref="E2287:E2288"/>
    <mergeCell ref="F2287:F2288"/>
    <mergeCell ref="B2295:B2296"/>
    <mergeCell ref="C2295:C2296"/>
    <mergeCell ref="D2295:D2296"/>
    <mergeCell ref="E2295:E2296"/>
    <mergeCell ref="F2295:F2296"/>
    <mergeCell ref="B2263:B2264"/>
    <mergeCell ref="C2263:C2264"/>
    <mergeCell ref="D2263:D2264"/>
    <mergeCell ref="E2263:E2264"/>
    <mergeCell ref="F2263:F2264"/>
    <mergeCell ref="B2272:B2273"/>
    <mergeCell ref="C2272:C2273"/>
    <mergeCell ref="D2272:D2273"/>
    <mergeCell ref="E2272:E2273"/>
    <mergeCell ref="F2272:F2273"/>
    <mergeCell ref="B2230:B2231"/>
    <mergeCell ref="C2230:C2231"/>
    <mergeCell ref="D2230:D2231"/>
    <mergeCell ref="E2230:E2231"/>
    <mergeCell ref="F2230:F2231"/>
    <mergeCell ref="B2247:B2248"/>
    <mergeCell ref="C2247:C2248"/>
    <mergeCell ref="D2247:D2248"/>
    <mergeCell ref="E2247:E2248"/>
    <mergeCell ref="F2247:F2248"/>
    <mergeCell ref="B2200:B2201"/>
    <mergeCell ref="C2200:C2201"/>
    <mergeCell ref="D2200:D2201"/>
    <mergeCell ref="E2200:E2201"/>
    <mergeCell ref="F2200:F2201"/>
    <mergeCell ref="B2215:B2216"/>
    <mergeCell ref="C2215:C2216"/>
    <mergeCell ref="D2215:D2216"/>
    <mergeCell ref="E2215:E2216"/>
    <mergeCell ref="F2215:F2216"/>
    <mergeCell ref="B2171:B2172"/>
    <mergeCell ref="C2171:C2172"/>
    <mergeCell ref="D2171:D2172"/>
    <mergeCell ref="E2171:E2172"/>
    <mergeCell ref="F2171:F2172"/>
    <mergeCell ref="B2184:B2185"/>
    <mergeCell ref="C2184:C2185"/>
    <mergeCell ref="D2184:D2185"/>
    <mergeCell ref="E2184:E2185"/>
    <mergeCell ref="F2184:F2185"/>
    <mergeCell ref="B2151:B2152"/>
    <mergeCell ref="C2151:C2152"/>
    <mergeCell ref="D2151:D2152"/>
    <mergeCell ref="E2151:E2152"/>
    <mergeCell ref="F2151:F2152"/>
    <mergeCell ref="B2159:B2160"/>
    <mergeCell ref="C2159:C2160"/>
    <mergeCell ref="D2159:D2160"/>
    <mergeCell ref="E2159:E2160"/>
    <mergeCell ref="F2159:F2160"/>
    <mergeCell ref="B2131:B2132"/>
    <mergeCell ref="C2131:C2132"/>
    <mergeCell ref="D2131:D2132"/>
    <mergeCell ref="E2131:E2132"/>
    <mergeCell ref="F2131:F2132"/>
    <mergeCell ref="B2139:B2140"/>
    <mergeCell ref="C2139:C2140"/>
    <mergeCell ref="D2139:D2140"/>
    <mergeCell ref="E2139:E2140"/>
    <mergeCell ref="F2139:F2140"/>
    <mergeCell ref="B2113:B2114"/>
    <mergeCell ref="C2113:C2114"/>
    <mergeCell ref="D2113:D2114"/>
    <mergeCell ref="E2113:E2114"/>
    <mergeCell ref="F2113:F2114"/>
    <mergeCell ref="B2121:B2122"/>
    <mergeCell ref="C2121:C2122"/>
    <mergeCell ref="D2121:D2122"/>
    <mergeCell ref="E2121:E2122"/>
    <mergeCell ref="F2121:F2122"/>
    <mergeCell ref="B2096:B2097"/>
    <mergeCell ref="C2096:C2097"/>
    <mergeCell ref="D2096:D2097"/>
    <mergeCell ref="E2096:E2097"/>
    <mergeCell ref="F2096:F2097"/>
    <mergeCell ref="B2104:B2105"/>
    <mergeCell ref="C2104:C2105"/>
    <mergeCell ref="D2104:D2105"/>
    <mergeCell ref="E2104:E2105"/>
    <mergeCell ref="F2104:F2105"/>
    <mergeCell ref="B2079:B2080"/>
    <mergeCell ref="C2079:C2080"/>
    <mergeCell ref="D2079:D2080"/>
    <mergeCell ref="E2079:E2080"/>
    <mergeCell ref="F2079:F2080"/>
    <mergeCell ref="B2087:B2088"/>
    <mergeCell ref="C2087:C2088"/>
    <mergeCell ref="D2087:D2088"/>
    <mergeCell ref="E2087:E2088"/>
    <mergeCell ref="F2087:F2088"/>
    <mergeCell ref="B2060:B2061"/>
    <mergeCell ref="C2060:C2061"/>
    <mergeCell ref="D2060:D2061"/>
    <mergeCell ref="E2060:E2061"/>
    <mergeCell ref="F2060:F2061"/>
    <mergeCell ref="B2068:B2069"/>
    <mergeCell ref="C2068:C2069"/>
    <mergeCell ref="D2068:D2069"/>
    <mergeCell ref="E2068:E2069"/>
    <mergeCell ref="F2068:F2069"/>
    <mergeCell ref="B2043:B2044"/>
    <mergeCell ref="C2043:C2044"/>
    <mergeCell ref="D2043:D2044"/>
    <mergeCell ref="E2043:E2044"/>
    <mergeCell ref="F2043:F2044"/>
    <mergeCell ref="B2051:B2052"/>
    <mergeCell ref="C2051:C2052"/>
    <mergeCell ref="D2051:D2052"/>
    <mergeCell ref="E2051:E2052"/>
    <mergeCell ref="F2051:F2052"/>
    <mergeCell ref="B2026:B2027"/>
    <mergeCell ref="C2026:C2027"/>
    <mergeCell ref="D2026:D2027"/>
    <mergeCell ref="E2026:E2027"/>
    <mergeCell ref="F2026:F2027"/>
    <mergeCell ref="B2034:B2035"/>
    <mergeCell ref="C2034:C2035"/>
    <mergeCell ref="D2034:D2035"/>
    <mergeCell ref="E2034:E2035"/>
    <mergeCell ref="F2034:F2035"/>
    <mergeCell ref="B2010:B2011"/>
    <mergeCell ref="C2010:C2011"/>
    <mergeCell ref="D2010:D2011"/>
    <mergeCell ref="E2010:E2011"/>
    <mergeCell ref="F2010:F2011"/>
    <mergeCell ref="B2018:B2019"/>
    <mergeCell ref="C2018:C2019"/>
    <mergeCell ref="D2018:D2019"/>
    <mergeCell ref="E2018:E2019"/>
    <mergeCell ref="F2018:F2019"/>
    <mergeCell ref="B1986:B1987"/>
    <mergeCell ref="C1986:C1987"/>
    <mergeCell ref="D1986:D1987"/>
    <mergeCell ref="E1986:E1987"/>
    <mergeCell ref="F1986:F1987"/>
    <mergeCell ref="B2002:B2003"/>
    <mergeCell ref="C2002:C2003"/>
    <mergeCell ref="D2002:D2003"/>
    <mergeCell ref="E2002:E2003"/>
    <mergeCell ref="F2002:F2003"/>
    <mergeCell ref="B1962:B1963"/>
    <mergeCell ref="C1962:C1963"/>
    <mergeCell ref="D1962:D1963"/>
    <mergeCell ref="E1962:E1963"/>
    <mergeCell ref="F1962:F1963"/>
    <mergeCell ref="B1972:B1973"/>
    <mergeCell ref="C1972:C1973"/>
    <mergeCell ref="D1972:D1973"/>
    <mergeCell ref="E1972:E1973"/>
    <mergeCell ref="F1972:F1973"/>
    <mergeCell ref="B1942:B1943"/>
    <mergeCell ref="C1942:C1943"/>
    <mergeCell ref="D1942:D1943"/>
    <mergeCell ref="E1942:E1943"/>
    <mergeCell ref="F1942:F1943"/>
    <mergeCell ref="B1953:B1954"/>
    <mergeCell ref="C1953:C1954"/>
    <mergeCell ref="D1953:D1954"/>
    <mergeCell ref="E1953:E1954"/>
    <mergeCell ref="F1953:F1954"/>
    <mergeCell ref="B1917:B1918"/>
    <mergeCell ref="C1917:C1918"/>
    <mergeCell ref="D1917:D1918"/>
    <mergeCell ref="E1917:E1918"/>
    <mergeCell ref="F1917:F1918"/>
    <mergeCell ref="B1926:B1927"/>
    <mergeCell ref="C1926:C1927"/>
    <mergeCell ref="D1926:D1927"/>
    <mergeCell ref="E1926:E1927"/>
    <mergeCell ref="F1926:F1927"/>
    <mergeCell ref="B1902:B1903"/>
    <mergeCell ref="C1902:C1903"/>
    <mergeCell ref="D1902:D1903"/>
    <mergeCell ref="E1902:E1903"/>
    <mergeCell ref="F1902:F1903"/>
    <mergeCell ref="B1910:B1911"/>
    <mergeCell ref="C1910:C1911"/>
    <mergeCell ref="D1910:D1911"/>
    <mergeCell ref="E1910:E1911"/>
    <mergeCell ref="F1910:F1911"/>
    <mergeCell ref="B1878:B1879"/>
    <mergeCell ref="C1878:C1879"/>
    <mergeCell ref="D1878:D1879"/>
    <mergeCell ref="E1878:E1879"/>
    <mergeCell ref="F1878:F1879"/>
    <mergeCell ref="B1886:B1887"/>
    <mergeCell ref="C1886:C1887"/>
    <mergeCell ref="D1886:D1887"/>
    <mergeCell ref="E1886:E1887"/>
    <mergeCell ref="F1886:F1887"/>
    <mergeCell ref="B1850:B1851"/>
    <mergeCell ref="C1850:C1851"/>
    <mergeCell ref="D1850:D1851"/>
    <mergeCell ref="E1850:E1851"/>
    <mergeCell ref="F1850:F1851"/>
    <mergeCell ref="B1862:B1863"/>
    <mergeCell ref="C1862:C1863"/>
    <mergeCell ref="D1862:D1863"/>
    <mergeCell ref="E1862:E1863"/>
    <mergeCell ref="F1862:F1863"/>
    <mergeCell ref="B1834:B1835"/>
    <mergeCell ref="C1834:C1835"/>
    <mergeCell ref="D1834:D1835"/>
    <mergeCell ref="E1834:E1835"/>
    <mergeCell ref="F1834:F1835"/>
    <mergeCell ref="B1842:B1843"/>
    <mergeCell ref="C1842:C1843"/>
    <mergeCell ref="D1842:D1843"/>
    <mergeCell ref="E1842:E1843"/>
    <mergeCell ref="F1842:F1843"/>
    <mergeCell ref="B1806:B1807"/>
    <mergeCell ref="C1806:C1807"/>
    <mergeCell ref="D1806:D1807"/>
    <mergeCell ref="E1806:E1807"/>
    <mergeCell ref="F1806:F1807"/>
    <mergeCell ref="B1823:B1824"/>
    <mergeCell ref="C1823:C1824"/>
    <mergeCell ref="D1823:D1824"/>
    <mergeCell ref="E1823:E1824"/>
    <mergeCell ref="F1823:F1824"/>
    <mergeCell ref="I1782:J1782"/>
    <mergeCell ref="B1791:B1792"/>
    <mergeCell ref="C1791:C1792"/>
    <mergeCell ref="D1791:D1792"/>
    <mergeCell ref="E1791:E1792"/>
    <mergeCell ref="F1791:F1792"/>
    <mergeCell ref="B1774:B1775"/>
    <mergeCell ref="C1774:C1775"/>
    <mergeCell ref="D1774:D1775"/>
    <mergeCell ref="E1774:E1775"/>
    <mergeCell ref="F1774:F1775"/>
    <mergeCell ref="B1782:B1783"/>
    <mergeCell ref="C1782:C1783"/>
    <mergeCell ref="D1782:D1783"/>
    <mergeCell ref="E1782:E1783"/>
    <mergeCell ref="F1782:F1783"/>
    <mergeCell ref="B1758:B1759"/>
    <mergeCell ref="C1758:C1759"/>
    <mergeCell ref="D1758:D1759"/>
    <mergeCell ref="E1758:E1759"/>
    <mergeCell ref="F1758:F1759"/>
    <mergeCell ref="B1765:B1766"/>
    <mergeCell ref="C1765:C1766"/>
    <mergeCell ref="D1765:D1766"/>
    <mergeCell ref="E1765:E1766"/>
    <mergeCell ref="F1765:F1766"/>
    <mergeCell ref="B1741:B1742"/>
    <mergeCell ref="C1741:C1742"/>
    <mergeCell ref="D1741:D1742"/>
    <mergeCell ref="E1741:E1742"/>
    <mergeCell ref="F1741:F1742"/>
    <mergeCell ref="B1751:B1752"/>
    <mergeCell ref="C1751:C1752"/>
    <mergeCell ref="D1751:D1752"/>
    <mergeCell ref="E1751:E1752"/>
    <mergeCell ref="F1751:F1752"/>
    <mergeCell ref="B1722:B1723"/>
    <mergeCell ref="C1722:C1723"/>
    <mergeCell ref="D1722:D1723"/>
    <mergeCell ref="E1722:E1723"/>
    <mergeCell ref="F1722:F1723"/>
    <mergeCell ref="B1730:B1731"/>
    <mergeCell ref="C1730:C1731"/>
    <mergeCell ref="D1730:D1731"/>
    <mergeCell ref="E1730:E1731"/>
    <mergeCell ref="F1730:F1731"/>
    <mergeCell ref="B1708:B1709"/>
    <mergeCell ref="C1708:C1709"/>
    <mergeCell ref="D1708:D1709"/>
    <mergeCell ref="E1708:E1709"/>
    <mergeCell ref="F1708:F1709"/>
    <mergeCell ref="B1715:B1716"/>
    <mergeCell ref="C1715:C1716"/>
    <mergeCell ref="D1715:D1716"/>
    <mergeCell ref="E1715:E1716"/>
    <mergeCell ref="F1715:F1716"/>
    <mergeCell ref="B1692:B1693"/>
    <mergeCell ref="C1692:C1693"/>
    <mergeCell ref="D1692:D1693"/>
    <mergeCell ref="E1692:E1693"/>
    <mergeCell ref="F1692:F1693"/>
    <mergeCell ref="B1701:B1702"/>
    <mergeCell ref="C1701:C1702"/>
    <mergeCell ref="D1701:D1702"/>
    <mergeCell ref="E1701:E1702"/>
    <mergeCell ref="F1701:F1702"/>
    <mergeCell ref="B1676:B1677"/>
    <mergeCell ref="C1676:C1677"/>
    <mergeCell ref="D1676:D1677"/>
    <mergeCell ref="E1676:E1677"/>
    <mergeCell ref="F1676:F1677"/>
    <mergeCell ref="B1684:B1685"/>
    <mergeCell ref="C1684:C1685"/>
    <mergeCell ref="D1684:D1685"/>
    <mergeCell ref="E1684:E1685"/>
    <mergeCell ref="F1684:F1685"/>
    <mergeCell ref="B1659:B1660"/>
    <mergeCell ref="C1659:C1660"/>
    <mergeCell ref="D1659:D1660"/>
    <mergeCell ref="E1659:E1660"/>
    <mergeCell ref="F1659:F1660"/>
    <mergeCell ref="B1667:B1668"/>
    <mergeCell ref="C1667:C1668"/>
    <mergeCell ref="D1667:D1668"/>
    <mergeCell ref="E1667:E1668"/>
    <mergeCell ref="F1667:F1668"/>
    <mergeCell ref="B1642:B1643"/>
    <mergeCell ref="C1642:C1643"/>
    <mergeCell ref="D1642:D1643"/>
    <mergeCell ref="E1642:E1643"/>
    <mergeCell ref="F1642:F1643"/>
    <mergeCell ref="B1651:B1652"/>
    <mergeCell ref="C1651:C1652"/>
    <mergeCell ref="D1651:D1652"/>
    <mergeCell ref="E1651:E1652"/>
    <mergeCell ref="F1651:F1652"/>
    <mergeCell ref="B1626:B1627"/>
    <mergeCell ref="C1626:C1627"/>
    <mergeCell ref="D1626:D1627"/>
    <mergeCell ref="E1626:E1627"/>
    <mergeCell ref="F1626:F1627"/>
    <mergeCell ref="B1635:B1636"/>
    <mergeCell ref="C1635:C1636"/>
    <mergeCell ref="D1635:D1636"/>
    <mergeCell ref="E1635:E1636"/>
    <mergeCell ref="F1635:F1636"/>
    <mergeCell ref="B1610:B1611"/>
    <mergeCell ref="C1610:C1611"/>
    <mergeCell ref="D1610:D1611"/>
    <mergeCell ref="E1610:E1611"/>
    <mergeCell ref="F1610:F1611"/>
    <mergeCell ref="B1618:B1619"/>
    <mergeCell ref="C1618:C1619"/>
    <mergeCell ref="D1618:D1619"/>
    <mergeCell ref="E1618:E1619"/>
    <mergeCell ref="F1618:F1619"/>
    <mergeCell ref="B1592:B1593"/>
    <mergeCell ref="C1592:C1593"/>
    <mergeCell ref="D1592:D1593"/>
    <mergeCell ref="E1592:E1593"/>
    <mergeCell ref="F1592:F1593"/>
    <mergeCell ref="B1601:B1602"/>
    <mergeCell ref="C1601:C1602"/>
    <mergeCell ref="D1601:D1602"/>
    <mergeCell ref="E1601:E1602"/>
    <mergeCell ref="F1601:F1602"/>
    <mergeCell ref="B1576:B1577"/>
    <mergeCell ref="C1576:C1577"/>
    <mergeCell ref="D1576:D1577"/>
    <mergeCell ref="E1576:E1577"/>
    <mergeCell ref="F1576:F1577"/>
    <mergeCell ref="B1584:B1585"/>
    <mergeCell ref="C1584:C1585"/>
    <mergeCell ref="D1584:D1585"/>
    <mergeCell ref="E1584:E1585"/>
    <mergeCell ref="F1584:F1585"/>
    <mergeCell ref="B1559:B1560"/>
    <mergeCell ref="C1559:C1560"/>
    <mergeCell ref="D1559:D1560"/>
    <mergeCell ref="E1559:E1560"/>
    <mergeCell ref="F1559:F1560"/>
    <mergeCell ref="B1567:B1568"/>
    <mergeCell ref="C1567:C1568"/>
    <mergeCell ref="D1567:D1568"/>
    <mergeCell ref="E1567:E1568"/>
    <mergeCell ref="F1567:F1568"/>
    <mergeCell ref="B1542:B1543"/>
    <mergeCell ref="C1542:C1543"/>
    <mergeCell ref="D1542:D1543"/>
    <mergeCell ref="E1542:E1543"/>
    <mergeCell ref="F1542:F1543"/>
    <mergeCell ref="B1550:B1551"/>
    <mergeCell ref="C1550:C1551"/>
    <mergeCell ref="D1550:D1551"/>
    <mergeCell ref="E1550:E1551"/>
    <mergeCell ref="F1550:F1551"/>
    <mergeCell ref="B1515:B1516"/>
    <mergeCell ref="C1515:C1516"/>
    <mergeCell ref="D1515:D1516"/>
    <mergeCell ref="E1515:E1516"/>
    <mergeCell ref="F1515:F1516"/>
    <mergeCell ref="B1528:B1529"/>
    <mergeCell ref="C1528:C1529"/>
    <mergeCell ref="D1528:D1529"/>
    <mergeCell ref="E1528:E1529"/>
    <mergeCell ref="F1528:F1529"/>
    <mergeCell ref="B1494:B1495"/>
    <mergeCell ref="C1494:C1495"/>
    <mergeCell ref="D1494:D1495"/>
    <mergeCell ref="E1494:E1495"/>
    <mergeCell ref="F1494:F1495"/>
    <mergeCell ref="B1507:B1508"/>
    <mergeCell ref="C1507:C1508"/>
    <mergeCell ref="D1507:D1508"/>
    <mergeCell ref="E1507:E1508"/>
    <mergeCell ref="F1507:F1508"/>
    <mergeCell ref="B1469:B1470"/>
    <mergeCell ref="C1469:C1470"/>
    <mergeCell ref="D1469:D1470"/>
    <mergeCell ref="E1469:E1470"/>
    <mergeCell ref="F1469:F1470"/>
    <mergeCell ref="B1485:B1486"/>
    <mergeCell ref="C1485:C1486"/>
    <mergeCell ref="D1485:D1486"/>
    <mergeCell ref="E1485:E1486"/>
    <mergeCell ref="F1485:F1486"/>
    <mergeCell ref="I1439:J1439"/>
    <mergeCell ref="B1454:B1455"/>
    <mergeCell ref="C1454:C1455"/>
    <mergeCell ref="D1454:D1455"/>
    <mergeCell ref="E1454:E1455"/>
    <mergeCell ref="F1454:F1455"/>
    <mergeCell ref="I1454:J1454"/>
    <mergeCell ref="B1424:B1425"/>
    <mergeCell ref="C1424:C1425"/>
    <mergeCell ref="D1424:D1425"/>
    <mergeCell ref="E1424:E1425"/>
    <mergeCell ref="F1424:F1425"/>
    <mergeCell ref="B1439:B1440"/>
    <mergeCell ref="C1439:C1440"/>
    <mergeCell ref="D1439:D1440"/>
    <mergeCell ref="E1439:E1440"/>
    <mergeCell ref="F1439:F1440"/>
    <mergeCell ref="B1391:B1392"/>
    <mergeCell ref="C1391:C1392"/>
    <mergeCell ref="D1391:D1392"/>
    <mergeCell ref="E1391:E1392"/>
    <mergeCell ref="F1391:F1392"/>
    <mergeCell ref="B1408:B1409"/>
    <mergeCell ref="C1408:C1409"/>
    <mergeCell ref="D1408:D1409"/>
    <mergeCell ref="E1408:E1409"/>
    <mergeCell ref="F1408:F1409"/>
    <mergeCell ref="B1367:B1368"/>
    <mergeCell ref="C1367:C1368"/>
    <mergeCell ref="D1367:D1368"/>
    <mergeCell ref="E1367:E1368"/>
    <mergeCell ref="F1367:F1368"/>
    <mergeCell ref="B1376:B1377"/>
    <mergeCell ref="C1376:C1377"/>
    <mergeCell ref="D1376:D1377"/>
    <mergeCell ref="E1376:E1377"/>
    <mergeCell ref="F1376:F1377"/>
    <mergeCell ref="B1347:B1348"/>
    <mergeCell ref="C1347:C1348"/>
    <mergeCell ref="D1347:D1348"/>
    <mergeCell ref="E1347:E1348"/>
    <mergeCell ref="F1347:F1348"/>
    <mergeCell ref="B1360:B1361"/>
    <mergeCell ref="C1360:C1361"/>
    <mergeCell ref="D1360:D1361"/>
    <mergeCell ref="E1360:E1361"/>
    <mergeCell ref="F1360:F1361"/>
    <mergeCell ref="B1320:B1321"/>
    <mergeCell ref="C1320:C1321"/>
    <mergeCell ref="D1320:D1321"/>
    <mergeCell ref="E1320:E1321"/>
    <mergeCell ref="F1320:F1321"/>
    <mergeCell ref="B1336:B1337"/>
    <mergeCell ref="C1336:C1337"/>
    <mergeCell ref="D1336:D1337"/>
    <mergeCell ref="E1336:E1337"/>
    <mergeCell ref="F1336:F1337"/>
    <mergeCell ref="B1287:B1288"/>
    <mergeCell ref="C1287:C1288"/>
    <mergeCell ref="D1287:D1288"/>
    <mergeCell ref="E1287:E1288"/>
    <mergeCell ref="F1287:F1288"/>
    <mergeCell ref="B1305:B1306"/>
    <mergeCell ref="C1305:C1306"/>
    <mergeCell ref="D1305:D1306"/>
    <mergeCell ref="E1305:E1306"/>
    <mergeCell ref="F1305:F1306"/>
    <mergeCell ref="B1257:B1258"/>
    <mergeCell ref="C1257:C1258"/>
    <mergeCell ref="D1257:D1258"/>
    <mergeCell ref="E1257:E1258"/>
    <mergeCell ref="F1257:F1258"/>
    <mergeCell ref="B1272:B1273"/>
    <mergeCell ref="C1272:C1273"/>
    <mergeCell ref="D1272:D1273"/>
    <mergeCell ref="E1272:E1273"/>
    <mergeCell ref="F1272:F1273"/>
    <mergeCell ref="B1226:B1227"/>
    <mergeCell ref="C1226:C1227"/>
    <mergeCell ref="D1226:D1227"/>
    <mergeCell ref="E1226:E1227"/>
    <mergeCell ref="F1226:F1227"/>
    <mergeCell ref="B1241:B1242"/>
    <mergeCell ref="C1241:C1242"/>
    <mergeCell ref="D1241:D1242"/>
    <mergeCell ref="E1241:E1242"/>
    <mergeCell ref="F1241:F1242"/>
    <mergeCell ref="B1194:B1195"/>
    <mergeCell ref="C1194:C1195"/>
    <mergeCell ref="D1194:D1195"/>
    <mergeCell ref="E1194:E1195"/>
    <mergeCell ref="F1194:F1195"/>
    <mergeCell ref="B1210:B1211"/>
    <mergeCell ref="C1210:C1211"/>
    <mergeCell ref="D1210:D1211"/>
    <mergeCell ref="E1210:E1211"/>
    <mergeCell ref="F1210:F1211"/>
    <mergeCell ref="B1162:B1163"/>
    <mergeCell ref="C1162:C1163"/>
    <mergeCell ref="D1162:D1163"/>
    <mergeCell ref="E1162:E1163"/>
    <mergeCell ref="F1162:F1163"/>
    <mergeCell ref="B1178:B1179"/>
    <mergeCell ref="C1178:C1179"/>
    <mergeCell ref="D1178:D1179"/>
    <mergeCell ref="E1178:E1179"/>
    <mergeCell ref="F1178:F1179"/>
    <mergeCell ref="B1132:B1133"/>
    <mergeCell ref="C1132:C1133"/>
    <mergeCell ref="D1132:D1133"/>
    <mergeCell ref="E1132:E1133"/>
    <mergeCell ref="F1132:F1133"/>
    <mergeCell ref="B1148:B1149"/>
    <mergeCell ref="C1148:C1149"/>
    <mergeCell ref="D1148:D1149"/>
    <mergeCell ref="E1148:E1149"/>
    <mergeCell ref="F1148:F1149"/>
    <mergeCell ref="B1103:B1104"/>
    <mergeCell ref="C1103:C1104"/>
    <mergeCell ref="D1103:D1104"/>
    <mergeCell ref="E1103:E1104"/>
    <mergeCell ref="F1103:F1104"/>
    <mergeCell ref="B1117:B1118"/>
    <mergeCell ref="C1117:C1118"/>
    <mergeCell ref="D1117:D1118"/>
    <mergeCell ref="E1117:E1118"/>
    <mergeCell ref="F1117:F1118"/>
    <mergeCell ref="B1072:B1073"/>
    <mergeCell ref="C1072:C1073"/>
    <mergeCell ref="D1072:D1073"/>
    <mergeCell ref="E1072:E1073"/>
    <mergeCell ref="F1072:F1073"/>
    <mergeCell ref="B1086:B1087"/>
    <mergeCell ref="C1086:C1087"/>
    <mergeCell ref="D1086:D1087"/>
    <mergeCell ref="E1086:E1087"/>
    <mergeCell ref="F1086:F1087"/>
    <mergeCell ref="B1042:B1043"/>
    <mergeCell ref="C1042:C1043"/>
    <mergeCell ref="D1042:D1043"/>
    <mergeCell ref="E1042:E1043"/>
    <mergeCell ref="F1042:F1043"/>
    <mergeCell ref="B1056:B1057"/>
    <mergeCell ref="C1056:C1057"/>
    <mergeCell ref="D1056:D1057"/>
    <mergeCell ref="E1056:E1057"/>
    <mergeCell ref="F1056:F1057"/>
    <mergeCell ref="B1011:B1012"/>
    <mergeCell ref="C1011:C1012"/>
    <mergeCell ref="D1011:D1012"/>
    <mergeCell ref="E1011:E1012"/>
    <mergeCell ref="F1011:F1012"/>
    <mergeCell ref="B1026:B1027"/>
    <mergeCell ref="C1026:C1027"/>
    <mergeCell ref="D1026:D1027"/>
    <mergeCell ref="E1026:E1027"/>
    <mergeCell ref="F1026:F1027"/>
    <mergeCell ref="B980:B981"/>
    <mergeCell ref="C980:C981"/>
    <mergeCell ref="D980:D981"/>
    <mergeCell ref="E980:E981"/>
    <mergeCell ref="F980:F981"/>
    <mergeCell ref="B996:B997"/>
    <mergeCell ref="C996:C997"/>
    <mergeCell ref="D996:D997"/>
    <mergeCell ref="E996:E997"/>
    <mergeCell ref="F996:F997"/>
    <mergeCell ref="B972:B973"/>
    <mergeCell ref="C972:C973"/>
    <mergeCell ref="D972:D973"/>
    <mergeCell ref="E972:E973"/>
    <mergeCell ref="F972:F973"/>
    <mergeCell ref="G972:H972"/>
    <mergeCell ref="B949:B950"/>
    <mergeCell ref="C949:C950"/>
    <mergeCell ref="D949:D950"/>
    <mergeCell ref="E949:E950"/>
    <mergeCell ref="F949:F950"/>
    <mergeCell ref="B960:B961"/>
    <mergeCell ref="C960:C961"/>
    <mergeCell ref="D960:D961"/>
    <mergeCell ref="E960:E961"/>
    <mergeCell ref="F960:F961"/>
    <mergeCell ref="B932:B933"/>
    <mergeCell ref="C932:C933"/>
    <mergeCell ref="D932:D933"/>
    <mergeCell ref="E932:E933"/>
    <mergeCell ref="F932:F933"/>
    <mergeCell ref="B941:B942"/>
    <mergeCell ref="C941:C942"/>
    <mergeCell ref="D941:D942"/>
    <mergeCell ref="E941:E942"/>
    <mergeCell ref="F941:F942"/>
    <mergeCell ref="B913:B914"/>
    <mergeCell ref="C913:C914"/>
    <mergeCell ref="D913:D914"/>
    <mergeCell ref="E913:E914"/>
    <mergeCell ref="F913:F914"/>
    <mergeCell ref="B923:B924"/>
    <mergeCell ref="C923:C924"/>
    <mergeCell ref="D923:D924"/>
    <mergeCell ref="E923:E924"/>
    <mergeCell ref="F923:F924"/>
    <mergeCell ref="B881:B882"/>
    <mergeCell ref="C881:C882"/>
    <mergeCell ref="D881:D882"/>
    <mergeCell ref="E881:E882"/>
    <mergeCell ref="F881:F882"/>
    <mergeCell ref="B898:B899"/>
    <mergeCell ref="C898:C899"/>
    <mergeCell ref="D898:D899"/>
    <mergeCell ref="E898:E899"/>
    <mergeCell ref="F898:F899"/>
    <mergeCell ref="B849:B850"/>
    <mergeCell ref="C849:C850"/>
    <mergeCell ref="D849:D850"/>
    <mergeCell ref="E849:E850"/>
    <mergeCell ref="F849:F850"/>
    <mergeCell ref="B864:B865"/>
    <mergeCell ref="C864:C865"/>
    <mergeCell ref="D864:D865"/>
    <mergeCell ref="E864:E865"/>
    <mergeCell ref="F864:F865"/>
    <mergeCell ref="B819:B820"/>
    <mergeCell ref="C819:C820"/>
    <mergeCell ref="D819:D820"/>
    <mergeCell ref="E819:E820"/>
    <mergeCell ref="F819:F820"/>
    <mergeCell ref="B834:B835"/>
    <mergeCell ref="C834:C835"/>
    <mergeCell ref="D834:D835"/>
    <mergeCell ref="E834:E835"/>
    <mergeCell ref="F834:F835"/>
    <mergeCell ref="B789:B790"/>
    <mergeCell ref="C789:C790"/>
    <mergeCell ref="D789:D790"/>
    <mergeCell ref="E789:E790"/>
    <mergeCell ref="F789:F790"/>
    <mergeCell ref="B804:B805"/>
    <mergeCell ref="C804:C805"/>
    <mergeCell ref="D804:D805"/>
    <mergeCell ref="E804:E805"/>
    <mergeCell ref="F804:F805"/>
    <mergeCell ref="B759:B760"/>
    <mergeCell ref="C759:C760"/>
    <mergeCell ref="D759:D760"/>
    <mergeCell ref="E759:E760"/>
    <mergeCell ref="F759:F760"/>
    <mergeCell ref="B774:B775"/>
    <mergeCell ref="C774:C775"/>
    <mergeCell ref="D774:D775"/>
    <mergeCell ref="E774:E775"/>
    <mergeCell ref="F774:F775"/>
    <mergeCell ref="B727:B728"/>
    <mergeCell ref="C727:C728"/>
    <mergeCell ref="D727:D728"/>
    <mergeCell ref="E727:E728"/>
    <mergeCell ref="F727:F728"/>
    <mergeCell ref="B744:B745"/>
    <mergeCell ref="C744:C745"/>
    <mergeCell ref="D744:D745"/>
    <mergeCell ref="E744:E745"/>
    <mergeCell ref="F744:F745"/>
    <mergeCell ref="B697:B698"/>
    <mergeCell ref="C697:C698"/>
    <mergeCell ref="D697:D698"/>
    <mergeCell ref="E697:E698"/>
    <mergeCell ref="F697:F698"/>
    <mergeCell ref="B712:B713"/>
    <mergeCell ref="C712:C713"/>
    <mergeCell ref="D712:D713"/>
    <mergeCell ref="E712:E713"/>
    <mergeCell ref="F712:F713"/>
    <mergeCell ref="B667:B668"/>
    <mergeCell ref="C667:C668"/>
    <mergeCell ref="D667:D668"/>
    <mergeCell ref="E667:E668"/>
    <mergeCell ref="F667:F668"/>
    <mergeCell ref="B682:B683"/>
    <mergeCell ref="C682:C683"/>
    <mergeCell ref="D682:D683"/>
    <mergeCell ref="E682:E683"/>
    <mergeCell ref="F682:F683"/>
    <mergeCell ref="B636:B637"/>
    <mergeCell ref="C636:C637"/>
    <mergeCell ref="D636:D637"/>
    <mergeCell ref="E636:E637"/>
    <mergeCell ref="F636:F637"/>
    <mergeCell ref="B651:B652"/>
    <mergeCell ref="C651:C652"/>
    <mergeCell ref="D651:D652"/>
    <mergeCell ref="E651:E652"/>
    <mergeCell ref="F651:F652"/>
    <mergeCell ref="B605:B606"/>
    <mergeCell ref="C605:C606"/>
    <mergeCell ref="D605:D606"/>
    <mergeCell ref="E605:E606"/>
    <mergeCell ref="F605:F606"/>
    <mergeCell ref="B620:B621"/>
    <mergeCell ref="C620:C621"/>
    <mergeCell ref="D620:D621"/>
    <mergeCell ref="E620:E621"/>
    <mergeCell ref="F620:F621"/>
    <mergeCell ref="B573:B574"/>
    <mergeCell ref="C573:C574"/>
    <mergeCell ref="D573:D574"/>
    <mergeCell ref="E573:E574"/>
    <mergeCell ref="F573:F574"/>
    <mergeCell ref="B590:B591"/>
    <mergeCell ref="C590:C591"/>
    <mergeCell ref="D590:D591"/>
    <mergeCell ref="E590:E591"/>
    <mergeCell ref="F590:F591"/>
    <mergeCell ref="B542:B543"/>
    <mergeCell ref="C542:C543"/>
    <mergeCell ref="D542:D543"/>
    <mergeCell ref="E542:E543"/>
    <mergeCell ref="F542:F543"/>
    <mergeCell ref="B556:B557"/>
    <mergeCell ref="C556:C557"/>
    <mergeCell ref="D556:D557"/>
    <mergeCell ref="E556:E557"/>
    <mergeCell ref="F556:F557"/>
    <mergeCell ref="B512:B513"/>
    <mergeCell ref="C512:C513"/>
    <mergeCell ref="D512:D513"/>
    <mergeCell ref="E512:E513"/>
    <mergeCell ref="F512:F513"/>
    <mergeCell ref="B527:B528"/>
    <mergeCell ref="C527:C528"/>
    <mergeCell ref="D527:D528"/>
    <mergeCell ref="E527:E528"/>
    <mergeCell ref="F527:F528"/>
    <mergeCell ref="B482:B483"/>
    <mergeCell ref="C482:C483"/>
    <mergeCell ref="D482:D483"/>
    <mergeCell ref="E482:E483"/>
    <mergeCell ref="F482:F483"/>
    <mergeCell ref="B497:B498"/>
    <mergeCell ref="C497:C498"/>
    <mergeCell ref="D497:D498"/>
    <mergeCell ref="E497:E498"/>
    <mergeCell ref="F497:F498"/>
    <mergeCell ref="B448:B449"/>
    <mergeCell ref="C448:C449"/>
    <mergeCell ref="D448:D449"/>
    <mergeCell ref="E448:E449"/>
    <mergeCell ref="F448:F449"/>
    <mergeCell ref="B465:B466"/>
    <mergeCell ref="C465:C466"/>
    <mergeCell ref="D465:D466"/>
    <mergeCell ref="E465:E466"/>
    <mergeCell ref="F465:F466"/>
    <mergeCell ref="B420:B421"/>
    <mergeCell ref="C420:C421"/>
    <mergeCell ref="D420:D421"/>
    <mergeCell ref="E420:E421"/>
    <mergeCell ref="F420:F421"/>
    <mergeCell ref="B437:B438"/>
    <mergeCell ref="C437:C438"/>
    <mergeCell ref="D437:D438"/>
    <mergeCell ref="E437:E438"/>
    <mergeCell ref="F437:F438"/>
    <mergeCell ref="B389:B390"/>
    <mergeCell ref="C389:C390"/>
    <mergeCell ref="D389:D390"/>
    <mergeCell ref="E389:E390"/>
    <mergeCell ref="F389:F390"/>
    <mergeCell ref="B404:B405"/>
    <mergeCell ref="C404:C405"/>
    <mergeCell ref="D404:D405"/>
    <mergeCell ref="E404:E405"/>
    <mergeCell ref="F404:F405"/>
    <mergeCell ref="B359:B360"/>
    <mergeCell ref="C359:C360"/>
    <mergeCell ref="D359:D360"/>
    <mergeCell ref="E359:E360"/>
    <mergeCell ref="F359:F360"/>
    <mergeCell ref="B374:B375"/>
    <mergeCell ref="C374:C375"/>
    <mergeCell ref="D374:D375"/>
    <mergeCell ref="E374:E375"/>
    <mergeCell ref="F374:F375"/>
    <mergeCell ref="B342:B343"/>
    <mergeCell ref="C342:C343"/>
    <mergeCell ref="D342:D343"/>
    <mergeCell ref="E342:E343"/>
    <mergeCell ref="F342:F343"/>
    <mergeCell ref="B350:B351"/>
    <mergeCell ref="C350:C351"/>
    <mergeCell ref="D350:D351"/>
    <mergeCell ref="E350:E351"/>
    <mergeCell ref="F350:F351"/>
    <mergeCell ref="B312:B313"/>
    <mergeCell ref="C312:C313"/>
    <mergeCell ref="D312:D313"/>
    <mergeCell ref="E312:E313"/>
    <mergeCell ref="F312:F313"/>
    <mergeCell ref="B326:B327"/>
    <mergeCell ref="C326:C327"/>
    <mergeCell ref="D326:D327"/>
    <mergeCell ref="E326:E327"/>
    <mergeCell ref="F326:F327"/>
    <mergeCell ref="B280:B281"/>
    <mergeCell ref="C280:C281"/>
    <mergeCell ref="D280:D281"/>
    <mergeCell ref="E280:E281"/>
    <mergeCell ref="F280:F281"/>
    <mergeCell ref="B295:B296"/>
    <mergeCell ref="C295:C296"/>
    <mergeCell ref="D295:D296"/>
    <mergeCell ref="E295:E296"/>
    <mergeCell ref="F295:F296"/>
    <mergeCell ref="B249:B250"/>
    <mergeCell ref="C249:C250"/>
    <mergeCell ref="D249:D250"/>
    <mergeCell ref="E249:E250"/>
    <mergeCell ref="F249:F250"/>
    <mergeCell ref="B265:B266"/>
    <mergeCell ref="C265:C266"/>
    <mergeCell ref="D265:D266"/>
    <mergeCell ref="E265:E266"/>
    <mergeCell ref="F265:F266"/>
    <mergeCell ref="B219:B220"/>
    <mergeCell ref="C219:C220"/>
    <mergeCell ref="D219:D220"/>
    <mergeCell ref="E219:E220"/>
    <mergeCell ref="F219:F220"/>
    <mergeCell ref="B234:B235"/>
    <mergeCell ref="C234:C235"/>
    <mergeCell ref="D234:D235"/>
    <mergeCell ref="E234:E235"/>
    <mergeCell ref="F234:F235"/>
    <mergeCell ref="B195:B196"/>
    <mergeCell ref="C195:C196"/>
    <mergeCell ref="D195:D196"/>
    <mergeCell ref="E195:E196"/>
    <mergeCell ref="F195:F196"/>
    <mergeCell ref="B204:B205"/>
    <mergeCell ref="C204:C205"/>
    <mergeCell ref="D204:D205"/>
    <mergeCell ref="E204:E205"/>
    <mergeCell ref="F204:F205"/>
    <mergeCell ref="B177:B178"/>
    <mergeCell ref="C177:C178"/>
    <mergeCell ref="D177:D178"/>
    <mergeCell ref="E177:E178"/>
    <mergeCell ref="F177:F178"/>
    <mergeCell ref="B187:B188"/>
    <mergeCell ref="C187:C188"/>
    <mergeCell ref="D187:D188"/>
    <mergeCell ref="E187:E188"/>
    <mergeCell ref="F187:F188"/>
    <mergeCell ref="B153:B154"/>
    <mergeCell ref="C153:C154"/>
    <mergeCell ref="D153:D154"/>
    <mergeCell ref="E153:E154"/>
    <mergeCell ref="F153:F154"/>
    <mergeCell ref="B169:B170"/>
    <mergeCell ref="C169:C170"/>
    <mergeCell ref="D169:D170"/>
    <mergeCell ref="E169:E170"/>
    <mergeCell ref="F169:F170"/>
    <mergeCell ref="B118:B119"/>
    <mergeCell ref="C118:C119"/>
    <mergeCell ref="D118:D119"/>
    <mergeCell ref="E118:E119"/>
    <mergeCell ref="F118:F119"/>
    <mergeCell ref="B135:B136"/>
    <mergeCell ref="C135:C136"/>
    <mergeCell ref="D135:D136"/>
    <mergeCell ref="E135:E136"/>
    <mergeCell ref="F135:F136"/>
    <mergeCell ref="B103:B104"/>
    <mergeCell ref="C103:C104"/>
    <mergeCell ref="D103:D104"/>
    <mergeCell ref="E103:E104"/>
    <mergeCell ref="F103:F104"/>
    <mergeCell ref="B72:B73"/>
    <mergeCell ref="C72:C73"/>
    <mergeCell ref="D72:D73"/>
    <mergeCell ref="E72:E73"/>
    <mergeCell ref="F72:F73"/>
    <mergeCell ref="I72:J72"/>
    <mergeCell ref="B55:B56"/>
    <mergeCell ref="C55:C56"/>
    <mergeCell ref="D55:D56"/>
    <mergeCell ref="E55:E56"/>
    <mergeCell ref="F55:F56"/>
    <mergeCell ref="B63:B64"/>
    <mergeCell ref="C63:C64"/>
    <mergeCell ref="D63:D64"/>
    <mergeCell ref="E63:E64"/>
    <mergeCell ref="F63:F64"/>
    <mergeCell ref="B22:B23"/>
    <mergeCell ref="C22:C23"/>
    <mergeCell ref="D22:D23"/>
    <mergeCell ref="E22:E23"/>
    <mergeCell ref="F22:F23"/>
    <mergeCell ref="B38:B39"/>
    <mergeCell ref="C38:C39"/>
    <mergeCell ref="D38:D39"/>
    <mergeCell ref="E38:E39"/>
    <mergeCell ref="F38:F39"/>
    <mergeCell ref="M1:N1"/>
    <mergeCell ref="B7:B8"/>
    <mergeCell ref="C7:C8"/>
    <mergeCell ref="D7:D8"/>
    <mergeCell ref="E7:E8"/>
    <mergeCell ref="F7:F8"/>
    <mergeCell ref="B88:B89"/>
    <mergeCell ref="C88:C89"/>
    <mergeCell ref="D88:D89"/>
    <mergeCell ref="E88:E89"/>
    <mergeCell ref="F88:F89"/>
  </mergeCells>
  <phoneticPr fontId="5" type="noConversion"/>
  <pageMargins left="0.2" right="0.19" top="0.39370078740157483" bottom="0.22" header="0" footer="0"/>
  <pageSetup paperSize="9" scale="78" orientation="landscape" r:id="rId1"/>
  <headerFooter alignWithMargins="0"/>
  <rowBreaks count="68" manualBreakCount="68">
    <brk id="56" max="16383" man="1"/>
    <brk id="95" max="16383" man="1"/>
    <brk id="139" max="16383" man="1"/>
    <brk id="176" max="16383" man="1"/>
    <brk id="221" max="16383" man="1"/>
    <brk id="282" max="16383" man="1"/>
    <brk id="338" max="16383" man="1"/>
    <brk id="377" max="16383" man="1"/>
    <brk id="418" max="16383" man="1"/>
    <brk id="476" max="16383" man="1"/>
    <brk id="517" max="16383" man="1"/>
    <brk id="571" max="16383" man="1"/>
    <brk id="622" max="16383" man="1"/>
    <brk id="664" max="16383" man="1"/>
    <brk id="715" max="16383" man="1"/>
    <brk id="771" max="16383" man="1"/>
    <brk id="812" max="16383" man="1"/>
    <brk id="853" max="16383" man="1"/>
    <brk id="894" max="16383" man="1"/>
    <brk id="934" max="16383" man="1"/>
    <brk id="967" max="16383" man="1"/>
    <brk id="1004" max="16383" man="1"/>
    <brk id="1046" max="16383" man="1"/>
    <brk id="1085" max="16383" man="1"/>
    <brk id="1135" max="16383" man="1"/>
    <brk id="1172" max="16383" man="1"/>
    <brk id="1221" max="16383" man="1"/>
    <brk id="1266" max="16383" man="1"/>
    <brk id="1318" max="16383" man="1"/>
    <brk id="1357" max="16383" man="1"/>
    <brk id="1391" max="16383" man="1"/>
    <brk id="1417" max="16383" man="1"/>
    <brk id="1448" max="16383" man="1"/>
    <brk id="1506" max="16383" man="1"/>
    <brk id="1545" max="16383" man="1"/>
    <brk id="1588" max="16383" man="1"/>
    <brk id="1636" max="16383" man="1"/>
    <brk id="1667" max="16383" man="1"/>
    <brk id="1717" max="16383" man="1"/>
    <brk id="1748" max="16383" man="1"/>
    <brk id="1781" max="16383" man="1"/>
    <brk id="1822" max="16383" man="1"/>
    <brk id="1876" max="16383" man="1"/>
    <brk id="1902" max="16383" man="1"/>
    <brk id="1940" max="16383" man="1"/>
    <brk id="1984" max="16383" man="1"/>
    <brk id="2021" max="16383" man="1"/>
    <brk id="2073" max="16383" man="1"/>
    <brk id="2130" max="16383" man="1"/>
    <brk id="2178" max="16383" man="1"/>
    <brk id="2227" max="16383" man="1"/>
    <brk id="2282" max="16383" man="1"/>
    <brk id="2339" max="16383" man="1"/>
    <brk id="2400" max="16383" man="1"/>
    <brk id="2460" max="16383" man="1"/>
    <brk id="2510" max="16383" man="1"/>
    <brk id="2549" max="16383" man="1"/>
    <brk id="2602" max="16383" man="1"/>
    <brk id="2644" max="16383" man="1"/>
    <brk id="2686" max="16383" man="1"/>
    <brk id="2744" max="16383" man="1"/>
    <brk id="2801" max="16383" man="1"/>
    <brk id="2855" max="16383" man="1"/>
    <brk id="2901" max="16383" man="1"/>
    <brk id="2982" max="16383" man="1"/>
    <brk id="3023" max="16383" man="1"/>
    <brk id="3040" max="16383" man="1"/>
    <brk id="30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기계경비산정(상반기)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2020-02-27T08:11:34Z</cp:lastPrinted>
  <dcterms:created xsi:type="dcterms:W3CDTF">1999-09-06T07:49:53Z</dcterms:created>
  <dcterms:modified xsi:type="dcterms:W3CDTF">2026-01-01T07:57:15Z</dcterms:modified>
</cp:coreProperties>
</file>