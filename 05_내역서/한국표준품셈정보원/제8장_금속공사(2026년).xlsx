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3.건축부문(2026년)\"/>
    </mc:Choice>
  </mc:AlternateContent>
  <xr:revisionPtr revIDLastSave="0" documentId="13_ncr:1_{7B3037A6-9977-424C-9D23-73BF3319750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금속공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3" i="6" l="1"/>
  <c r="I184" i="6"/>
  <c r="I171" i="6"/>
  <c r="G194" i="6"/>
  <c r="G193" i="6"/>
  <c r="I180" i="6" l="1"/>
  <c r="I181" i="6" s="1"/>
  <c r="I185" i="6"/>
  <c r="G183" i="6"/>
  <c r="G184" i="6"/>
  <c r="G171" i="6"/>
  <c r="G170" i="6"/>
  <c r="I170" i="6"/>
  <c r="I167" i="6" s="1"/>
  <c r="G195" i="6"/>
  <c r="G197" i="6" s="1"/>
  <c r="G223" i="6"/>
  <c r="G222" i="6"/>
  <c r="G221" i="6"/>
  <c r="G220" i="6"/>
  <c r="G210" i="6"/>
  <c r="G208" i="6"/>
  <c r="G156" i="6"/>
  <c r="G155" i="6"/>
  <c r="G143" i="6"/>
  <c r="G142" i="6"/>
  <c r="I128" i="6"/>
  <c r="I129" i="6" s="1"/>
  <c r="G125" i="6"/>
  <c r="I124" i="6"/>
  <c r="I123" i="6"/>
  <c r="G110" i="6"/>
  <c r="G109" i="6"/>
  <c r="G100" i="6"/>
  <c r="G99" i="6"/>
  <c r="G87" i="6"/>
  <c r="I86" i="6"/>
  <c r="I71" i="6"/>
  <c r="G59" i="6"/>
  <c r="G56" i="6" s="1"/>
  <c r="I54" i="6"/>
  <c r="G54" i="6"/>
  <c r="I53" i="6"/>
  <c r="G53" i="6"/>
  <c r="G45" i="6"/>
  <c r="G46" i="6" s="1"/>
  <c r="K41" i="6"/>
  <c r="I41" i="6"/>
  <c r="G41" i="6"/>
  <c r="G43" i="6" s="1"/>
  <c r="G33" i="6"/>
  <c r="G34" i="6" s="1"/>
  <c r="G28" i="6"/>
  <c r="G29" i="6" s="1"/>
  <c r="G31" i="6" s="1"/>
  <c r="G20" i="6"/>
  <c r="G21" i="6" s="1"/>
  <c r="G23" i="6" s="1"/>
  <c r="G11" i="6"/>
  <c r="G10" i="6"/>
  <c r="G7" i="6" s="1"/>
  <c r="G8" i="6" s="1"/>
  <c r="G167" i="6" l="1"/>
  <c r="I55" i="6"/>
  <c r="G180" i="6"/>
  <c r="G181" i="6" s="1"/>
  <c r="G185" i="6"/>
  <c r="I187" i="6"/>
  <c r="I188" i="6" s="1"/>
  <c r="I10" i="6"/>
  <c r="I221" i="6"/>
  <c r="I142" i="6"/>
  <c r="K221" i="6"/>
  <c r="K142" i="6"/>
  <c r="I172" i="6"/>
  <c r="I168" i="6"/>
  <c r="I174" i="6" s="1"/>
  <c r="I175" i="6" s="1"/>
  <c r="G139" i="6"/>
  <c r="G140" i="6" s="1"/>
  <c r="G172" i="6"/>
  <c r="G168" i="6"/>
  <c r="G111" i="6"/>
  <c r="G113" i="6" s="1"/>
  <c r="K222" i="6"/>
  <c r="G157" i="6"/>
  <c r="I59" i="6"/>
  <c r="I56" i="6" s="1"/>
  <c r="I57" i="6" s="1"/>
  <c r="G123" i="6"/>
  <c r="G126" i="6" s="1"/>
  <c r="I120" i="6"/>
  <c r="I121" i="6" s="1"/>
  <c r="I125" i="6"/>
  <c r="G48" i="6"/>
  <c r="I87" i="6"/>
  <c r="G36" i="6"/>
  <c r="I45" i="6"/>
  <c r="G124" i="6"/>
  <c r="G144" i="6"/>
  <c r="I143" i="6"/>
  <c r="I220" i="6"/>
  <c r="K45" i="6"/>
  <c r="K42" i="6" s="1"/>
  <c r="K43" i="6" s="1"/>
  <c r="I126" i="6"/>
  <c r="G128" i="6"/>
  <c r="G129" i="6" s="1"/>
  <c r="K143" i="6"/>
  <c r="K220" i="6"/>
  <c r="I223" i="6"/>
  <c r="I222" i="6"/>
  <c r="K223" i="6"/>
  <c r="G12" i="6"/>
  <c r="G14" i="6" s="1"/>
  <c r="G15" i="6" s="1"/>
  <c r="I119" i="6"/>
  <c r="G119" i="6"/>
  <c r="G55" i="6"/>
  <c r="G57" i="6" s="1"/>
  <c r="G71" i="6"/>
  <c r="G86" i="6"/>
  <c r="G101" i="6"/>
  <c r="K207" i="6"/>
  <c r="I207" i="6"/>
  <c r="K209" i="6"/>
  <c r="I209" i="6"/>
  <c r="G207" i="6"/>
  <c r="G209" i="6"/>
  <c r="G217" i="6"/>
  <c r="G218" i="6" s="1"/>
  <c r="G224" i="6"/>
  <c r="I11" i="6"/>
  <c r="I7" i="6" s="1"/>
  <c r="I8" i="6" s="1"/>
  <c r="G60" i="6"/>
  <c r="I70" i="6"/>
  <c r="G70" i="6"/>
  <c r="I85" i="6"/>
  <c r="G85" i="6"/>
  <c r="G96" i="6"/>
  <c r="G97" i="6" s="1"/>
  <c r="G152" i="6"/>
  <c r="G153" i="6" s="1"/>
  <c r="K208" i="6"/>
  <c r="I208" i="6"/>
  <c r="K210" i="6"/>
  <c r="I210" i="6"/>
  <c r="I139" i="6" l="1"/>
  <c r="I140" i="6" s="1"/>
  <c r="I60" i="6"/>
  <c r="G187" i="6"/>
  <c r="G188" i="6" s="1"/>
  <c r="G120" i="6"/>
  <c r="G121" i="6" s="1"/>
  <c r="K144" i="6"/>
  <c r="I131" i="6"/>
  <c r="I132" i="6" s="1"/>
  <c r="G174" i="6"/>
  <c r="G175" i="6" s="1"/>
  <c r="G226" i="6"/>
  <c r="K139" i="6"/>
  <c r="K140" i="6" s="1"/>
  <c r="G146" i="6"/>
  <c r="G147" i="6" s="1"/>
  <c r="K224" i="6"/>
  <c r="I224" i="6"/>
  <c r="K46" i="6"/>
  <c r="K48" i="6" s="1"/>
  <c r="I144" i="6"/>
  <c r="G159" i="6"/>
  <c r="G160" i="6" s="1"/>
  <c r="I46" i="6"/>
  <c r="I42" i="6"/>
  <c r="I43" i="6" s="1"/>
  <c r="I48" i="6" s="1"/>
  <c r="K217" i="6"/>
  <c r="K218" i="6" s="1"/>
  <c r="G131" i="6"/>
  <c r="G132" i="6" s="1"/>
  <c r="G62" i="6"/>
  <c r="I217" i="6"/>
  <c r="I218" i="6" s="1"/>
  <c r="G103" i="6"/>
  <c r="G104" i="6" s="1"/>
  <c r="G204" i="6"/>
  <c r="G205" i="6" s="1"/>
  <c r="G211" i="6"/>
  <c r="K211" i="6"/>
  <c r="K204" i="6"/>
  <c r="K205" i="6" s="1"/>
  <c r="I12" i="6"/>
  <c r="I14" i="6" s="1"/>
  <c r="I15" i="6" s="1"/>
  <c r="I88" i="6"/>
  <c r="I82" i="6"/>
  <c r="I81" i="6"/>
  <c r="I83" i="6" s="1"/>
  <c r="G72" i="6"/>
  <c r="G67" i="6"/>
  <c r="G68" i="6" s="1"/>
  <c r="I211" i="6"/>
  <c r="I204" i="6"/>
  <c r="I205" i="6" s="1"/>
  <c r="I213" i="6" s="1"/>
  <c r="I62" i="6"/>
  <c r="I67" i="6"/>
  <c r="I68" i="6" s="1"/>
  <c r="I72" i="6"/>
  <c r="G81" i="6"/>
  <c r="G88" i="6"/>
  <c r="G82" i="6"/>
  <c r="I146" i="6" l="1"/>
  <c r="I147" i="6" s="1"/>
  <c r="K146" i="6"/>
  <c r="K147" i="6" s="1"/>
  <c r="I226" i="6"/>
  <c r="K213" i="6"/>
  <c r="K226" i="6"/>
  <c r="I74" i="6"/>
  <c r="G74" i="6"/>
  <c r="G213" i="6"/>
  <c r="G83" i="6"/>
  <c r="G90" i="6" s="1"/>
  <c r="G91" i="6" s="1"/>
  <c r="I90" i="6"/>
  <c r="I91" i="6" s="1"/>
</calcChain>
</file>

<file path=xl/sharedStrings.xml><?xml version="1.0" encoding="utf-8"?>
<sst xmlns="http://schemas.openxmlformats.org/spreadsheetml/2006/main" count="409" uniqueCount="107">
  <si>
    <t>내장공</t>
  </si>
  <si>
    <t>미장공</t>
  </si>
  <si>
    <t>보통인부</t>
  </si>
  <si>
    <t>철공</t>
  </si>
  <si>
    <t>구분</t>
  </si>
  <si>
    <t>단가</t>
  </si>
  <si>
    <t>수량</t>
  </si>
  <si>
    <t>금액</t>
  </si>
  <si>
    <t>단위</t>
    <phoneticPr fontId="3" type="noConversion"/>
  </si>
  <si>
    <t>인</t>
    <phoneticPr fontId="3" type="noConversion"/>
  </si>
  <si>
    <t>재료비</t>
    <phoneticPr fontId="3" type="noConversion"/>
  </si>
  <si>
    <t>노무비</t>
    <phoneticPr fontId="3" type="noConversion"/>
  </si>
  <si>
    <t>경   비</t>
    <phoneticPr fontId="5" type="noConversion"/>
  </si>
  <si>
    <t>합   계</t>
    <phoneticPr fontId="3" type="noConversion"/>
  </si>
  <si>
    <t>식</t>
    <phoneticPr fontId="3" type="noConversion"/>
  </si>
  <si>
    <t>규격</t>
    <phoneticPr fontId="5" type="noConversion"/>
  </si>
  <si>
    <t>hr</t>
  </si>
  <si>
    <t>특별인부</t>
  </si>
  <si>
    <t>용접공</t>
  </si>
  <si>
    <t>수량</t>
    <phoneticPr fontId="3" type="noConversion"/>
  </si>
  <si>
    <t>금액</t>
    <phoneticPr fontId="3" type="noConversion"/>
  </si>
  <si>
    <t>공구손료</t>
    <phoneticPr fontId="5" type="noConversion"/>
  </si>
  <si>
    <t>인력품의 2%</t>
    <phoneticPr fontId="3" type="noConversion"/>
  </si>
  <si>
    <t>인력품의 3%</t>
    <phoneticPr fontId="3" type="noConversion"/>
  </si>
  <si>
    <t>인력품의 4%</t>
    <phoneticPr fontId="3" type="noConversion"/>
  </si>
  <si>
    <t>(ton당)</t>
    <phoneticPr fontId="3" type="noConversion"/>
  </si>
  <si>
    <t>(개당)</t>
    <phoneticPr fontId="3" type="noConversion"/>
  </si>
  <si>
    <t>(㎡당)</t>
    <phoneticPr fontId="3" type="noConversion"/>
  </si>
  <si>
    <t>%</t>
    <phoneticPr fontId="3" type="noConversion"/>
  </si>
  <si>
    <t>제 8 장 금속공사</t>
    <phoneticPr fontId="3" type="noConversion"/>
  </si>
  <si>
    <t>8-1-1 계단논슬립 설치</t>
    <phoneticPr fontId="3" type="noConversion"/>
  </si>
  <si>
    <t>(m당)</t>
    <phoneticPr fontId="3" type="noConversion"/>
  </si>
  <si>
    <t>목조계단</t>
    <phoneticPr fontId="3" type="noConversion"/>
  </si>
  <si>
    <t>콘크리트계단</t>
    <phoneticPr fontId="3" type="noConversion"/>
  </si>
  <si>
    <t>인</t>
  </si>
  <si>
    <t>(10m당)</t>
    <phoneticPr fontId="3" type="noConversion"/>
  </si>
  <si>
    <t>8-1-2 코너비드 설치</t>
    <phoneticPr fontId="3" type="noConversion"/>
  </si>
  <si>
    <t>8-1-3 와이어메시 바닥깔기</t>
    <phoneticPr fontId="3" type="noConversion"/>
  </si>
  <si>
    <t>m</t>
    <phoneticPr fontId="3" type="noConversion"/>
  </si>
  <si>
    <t>잡재료 및 소모재료</t>
    <phoneticPr fontId="3" type="noConversion"/>
  </si>
  <si>
    <t>주재료비의 %</t>
    <phoneticPr fontId="3" type="noConversion"/>
  </si>
  <si>
    <t>와이어메시</t>
  </si>
  <si>
    <t>매</t>
    <phoneticPr fontId="3" type="noConversion"/>
  </si>
  <si>
    <t>1,800×1,800㎜</t>
    <phoneticPr fontId="3" type="noConversion"/>
  </si>
  <si>
    <t>(결속선 등)</t>
  </si>
  <si>
    <t>8-1-4 인서트(Insert) 설치</t>
    <phoneticPr fontId="3" type="noConversion"/>
  </si>
  <si>
    <t>인서트</t>
  </si>
  <si>
    <t>인서트 고정용 못 포함</t>
    <phoneticPr fontId="3" type="noConversion"/>
  </si>
  <si>
    <t>개</t>
  </si>
  <si>
    <t>개</t>
    <phoneticPr fontId="3" type="noConversion"/>
  </si>
  <si>
    <t>거푸집</t>
    <phoneticPr fontId="3" type="noConversion"/>
  </si>
  <si>
    <t>데크플레이트</t>
    <phoneticPr fontId="3" type="noConversion"/>
  </si>
  <si>
    <t>콘크리트</t>
    <phoneticPr fontId="3" type="noConversion"/>
  </si>
  <si>
    <t>8-1-5 조이너 및 몰딩 설치</t>
    <phoneticPr fontId="3" type="noConversion"/>
  </si>
  <si>
    <t>조이너</t>
    <phoneticPr fontId="3" type="noConversion"/>
  </si>
  <si>
    <t>몰딩</t>
    <phoneticPr fontId="3" type="noConversion"/>
  </si>
  <si>
    <t>8-2-1 용접식난간 설치</t>
    <phoneticPr fontId="3" type="noConversion"/>
  </si>
  <si>
    <t>잡재료비</t>
    <phoneticPr fontId="5" type="noConversion"/>
  </si>
  <si>
    <t>8-2-2 앵커고정식난간 설치</t>
    <phoneticPr fontId="3" type="noConversion"/>
  </si>
  <si>
    <t>앵커</t>
  </si>
  <si>
    <t>AL리벳</t>
  </si>
  <si>
    <t>인력품의 6%</t>
    <phoneticPr fontId="3" type="noConversion"/>
  </si>
  <si>
    <t>(개소당)</t>
    <phoneticPr fontId="3" type="noConversion"/>
  </si>
  <si>
    <t>450×450㎜</t>
    <phoneticPr fontId="3" type="noConversion"/>
  </si>
  <si>
    <t>600×600㎜</t>
    <phoneticPr fontId="3" type="noConversion"/>
  </si>
  <si>
    <t>0.2㎥</t>
    <phoneticPr fontId="3" type="noConversion"/>
  </si>
  <si>
    <t>일자형 지주</t>
    <phoneticPr fontId="3" type="noConversion"/>
  </si>
  <si>
    <t>Y자형 지주</t>
    <phoneticPr fontId="3" type="noConversion"/>
  </si>
  <si>
    <t>8-1 제품</t>
    <phoneticPr fontId="3" type="noConversion"/>
  </si>
  <si>
    <t>8-1-6 천장점검구 설치</t>
    <phoneticPr fontId="3" type="noConversion"/>
  </si>
  <si>
    <t>8-2 시설물</t>
    <phoneticPr fontId="3" type="noConversion"/>
  </si>
  <si>
    <t>8-2-4 경량천장철골틀 설치</t>
    <phoneticPr fontId="3" type="noConversion"/>
  </si>
  <si>
    <t>8-3 기타공사</t>
    <phoneticPr fontId="3" type="noConversion"/>
  </si>
  <si>
    <t>8-2-3 철조망 울타리 설치</t>
    <phoneticPr fontId="3" type="noConversion"/>
  </si>
  <si>
    <t>BAR 간격</t>
    <phoneticPr fontId="3" type="noConversion"/>
  </si>
  <si>
    <t>300㎜</t>
    <phoneticPr fontId="3" type="noConversion"/>
  </si>
  <si>
    <t>450㎜</t>
    <phoneticPr fontId="3" type="noConversion"/>
  </si>
  <si>
    <t>600㎜</t>
    <phoneticPr fontId="3" type="noConversion"/>
  </si>
  <si>
    <t>현장제작 설치</t>
    <phoneticPr fontId="3" type="noConversion"/>
  </si>
  <si>
    <t>규격철물 설치</t>
    <phoneticPr fontId="3" type="noConversion"/>
  </si>
  <si>
    <t>8-2-5 경량벽체철골틀 설치</t>
  </si>
  <si>
    <t>8-3-1 잡철물 제작 및 설치</t>
  </si>
  <si>
    <t>일반철재</t>
    <phoneticPr fontId="3" type="noConversion"/>
  </si>
  <si>
    <t>제품 설치</t>
    <phoneticPr fontId="3" type="noConversion"/>
  </si>
  <si>
    <t>인력품의 5%</t>
    <phoneticPr fontId="3" type="noConversion"/>
  </si>
  <si>
    <t>경량철재</t>
    <phoneticPr fontId="3" type="noConversion"/>
  </si>
  <si>
    <t>(일당)</t>
    <phoneticPr fontId="3" type="noConversion"/>
  </si>
  <si>
    <t>시공량(m)</t>
  </si>
  <si>
    <t>시공량(m)</t>
    <phoneticPr fontId="3" type="noConversion"/>
  </si>
  <si>
    <t>m당 단가</t>
    <phoneticPr fontId="3" type="noConversion"/>
  </si>
  <si>
    <t>시공량(ton)</t>
    <phoneticPr fontId="3" type="noConversion"/>
  </si>
  <si>
    <t>ton당 단가</t>
    <phoneticPr fontId="3" type="noConversion"/>
  </si>
  <si>
    <t>[주] 재료량은 다음을 참고한다.</t>
    <phoneticPr fontId="3" type="noConversion"/>
  </si>
  <si>
    <t>시공량(㎡)</t>
  </si>
  <si>
    <t>시공량(㎡)</t>
    <phoneticPr fontId="3" type="noConversion"/>
  </si>
  <si>
    <t>㎡당 단가</t>
    <phoneticPr fontId="3" type="noConversion"/>
  </si>
  <si>
    <t>굴착기(무한궤도)</t>
  </si>
  <si>
    <t>Ø10㎜</t>
    <phoneticPr fontId="3" type="noConversion"/>
  </si>
  <si>
    <t>Ø4.2㎜</t>
    <phoneticPr fontId="3" type="noConversion"/>
  </si>
  <si>
    <t>패널 설치</t>
    <phoneticPr fontId="3" type="noConversion"/>
  </si>
  <si>
    <t>벽</t>
    <phoneticPr fontId="3" type="noConversion"/>
  </si>
  <si>
    <t>천장 및 지붕</t>
    <phoneticPr fontId="3" type="noConversion"/>
  </si>
  <si>
    <t>코킹공</t>
  </si>
  <si>
    <t>8-2-6 금속패널 설치</t>
  </si>
  <si>
    <t>하지철물 설치</t>
    <phoneticPr fontId="3" type="noConversion"/>
  </si>
  <si>
    <t>10㎡당 단가</t>
    <phoneticPr fontId="3" type="noConversion"/>
  </si>
  <si>
    <t>8-2-7 금속패널 코킹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</si>
</sst>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_(* #,##0_);_(* \(#,##0\);_(* &quot;-&quot;_);_(@_)"/>
    <numFmt numFmtId="180" formatCode="_-* #,##0.0_-;\-* #,##0.0_-;_-* &quot;-&quot;_-;_-@_-"/>
    <numFmt numFmtId="181" formatCode="_-* #,##0.0_-;\-* #,##0.0_-;_-* &quot;-&quot;??_-;_-@_-"/>
    <numFmt numFmtId="182" formatCode="_-* #,##0.00_-;\-* #,##0.00_-;_-* &quot;-&quot;_-;_-@_-"/>
    <numFmt numFmtId="183" formatCode="_-* #,##0.000_-;\-* #,##0.000_-;_-* &quot;-&quot;_-;_-@_-"/>
    <numFmt numFmtId="185" formatCode="_ * #,##0.0_ ;_ * \-#,##0.0_ ;_ * &quot;-&quot;_ ;_ @_ "/>
    <numFmt numFmtId="186" formatCode="#,##0.00_);[Red]\(#,##0.0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8"/>
      <color indexed="10"/>
      <name val="돋움"/>
      <family val="3"/>
      <charset val="129"/>
    </font>
    <font>
      <b/>
      <sz val="9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</cellStyleXfs>
  <cellXfs count="9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3" xfId="3" applyFont="1" applyBorder="1" applyAlignment="1">
      <alignment horizontal="center"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9" fillId="0" borderId="3" xfId="3" applyFont="1" applyBorder="1" applyAlignment="1">
      <alignment vertical="center" shrinkToFit="1"/>
    </xf>
    <xf numFmtId="180" fontId="9" fillId="0" borderId="5" xfId="1" applyNumberFormat="1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9" fillId="0" borderId="4" xfId="3" applyFont="1" applyBorder="1" applyAlignment="1">
      <alignment vertical="center" shrinkToFit="1"/>
    </xf>
    <xf numFmtId="0" fontId="13" fillId="0" borderId="0" xfId="6" applyFont="1" applyAlignment="1">
      <alignment vertical="center"/>
    </xf>
    <xf numFmtId="0" fontId="9" fillId="0" borderId="3" xfId="6" applyFont="1" applyBorder="1" applyAlignment="1">
      <alignment vertical="center"/>
    </xf>
    <xf numFmtId="0" fontId="9" fillId="0" borderId="4" xfId="6" applyFont="1" applyBorder="1" applyAlignment="1">
      <alignment horizontal="right" vertical="center"/>
    </xf>
    <xf numFmtId="181" fontId="9" fillId="0" borderId="5" xfId="7" applyNumberFormat="1" applyFont="1" applyFill="1" applyBorder="1" applyAlignment="1">
      <alignment vertical="center"/>
    </xf>
    <xf numFmtId="0" fontId="9" fillId="0" borderId="3" xfId="6" applyFont="1" applyBorder="1" applyAlignment="1">
      <alignment horizontal="left" vertical="center"/>
    </xf>
    <xf numFmtId="0" fontId="10" fillId="0" borderId="8" xfId="6" applyFont="1" applyBorder="1" applyAlignment="1">
      <alignment horizontal="left" vertical="center"/>
    </xf>
    <xf numFmtId="0" fontId="12" fillId="0" borderId="3" xfId="3" applyFont="1" applyBorder="1" applyAlignment="1">
      <alignment vertical="center"/>
    </xf>
    <xf numFmtId="0" fontId="12" fillId="0" borderId="0" xfId="3" applyFont="1" applyAlignment="1">
      <alignment vertical="center"/>
    </xf>
    <xf numFmtId="0" fontId="15" fillId="0" borderId="3" xfId="3" applyFont="1" applyBorder="1" applyAlignment="1">
      <alignment vertical="center"/>
    </xf>
    <xf numFmtId="41" fontId="15" fillId="0" borderId="5" xfId="7" applyFont="1" applyFill="1" applyBorder="1" applyAlignment="1">
      <alignment vertical="center"/>
    </xf>
    <xf numFmtId="0" fontId="15" fillId="0" borderId="3" xfId="6" applyFont="1" applyBorder="1" applyAlignment="1">
      <alignment horizontal="left" vertical="center"/>
    </xf>
    <xf numFmtId="0" fontId="15" fillId="0" borderId="4" xfId="6" applyFont="1" applyBorder="1" applyAlignment="1">
      <alignment vertical="center"/>
    </xf>
    <xf numFmtId="0" fontId="16" fillId="0" borderId="4" xfId="3" applyFont="1" applyBorder="1" applyAlignment="1">
      <alignment horizontal="center" vertical="center"/>
    </xf>
    <xf numFmtId="0" fontId="16" fillId="0" borderId="3" xfId="6" applyFont="1" applyBorder="1" applyAlignment="1">
      <alignment horizontal="left" vertical="center"/>
    </xf>
    <xf numFmtId="0" fontId="12" fillId="0" borderId="0" xfId="3" applyFont="1" applyAlignment="1">
      <alignment horizontal="right" vertical="center"/>
    </xf>
    <xf numFmtId="0" fontId="9" fillId="0" borderId="0" xfId="2" applyFont="1" applyAlignment="1">
      <alignment vertical="center"/>
    </xf>
    <xf numFmtId="0" fontId="9" fillId="0" borderId="0" xfId="0" applyFont="1">
      <alignment vertical="center"/>
    </xf>
    <xf numFmtId="182" fontId="9" fillId="0" borderId="4" xfId="8" applyNumberFormat="1" applyFont="1" applyBorder="1" applyAlignment="1">
      <alignment vertical="center"/>
    </xf>
    <xf numFmtId="180" fontId="9" fillId="0" borderId="0" xfId="8" applyNumberFormat="1" applyFont="1" applyBorder="1" applyAlignment="1">
      <alignment horizontal="center" vertical="center"/>
    </xf>
    <xf numFmtId="0" fontId="9" fillId="0" borderId="3" xfId="2" applyFont="1" applyBorder="1" applyAlignment="1">
      <alignment horizontal="left" vertical="center"/>
    </xf>
    <xf numFmtId="0" fontId="10" fillId="0" borderId="4" xfId="2" applyFont="1" applyBorder="1" applyAlignment="1">
      <alignment vertical="center"/>
    </xf>
    <xf numFmtId="41" fontId="10" fillId="0" borderId="0" xfId="8" applyFont="1" applyBorder="1" applyAlignment="1">
      <alignment vertical="center"/>
    </xf>
    <xf numFmtId="183" fontId="10" fillId="0" borderId="4" xfId="8" applyNumberFormat="1" applyFont="1" applyFill="1" applyBorder="1" applyAlignment="1">
      <alignment vertical="center"/>
    </xf>
    <xf numFmtId="41" fontId="9" fillId="0" borderId="4" xfId="2" applyNumberFormat="1" applyFont="1" applyBorder="1" applyAlignment="1">
      <alignment vertical="center"/>
    </xf>
    <xf numFmtId="0" fontId="10" fillId="0" borderId="6" xfId="2" applyFont="1" applyBorder="1" applyAlignment="1">
      <alignment vertical="center"/>
    </xf>
    <xf numFmtId="41" fontId="10" fillId="0" borderId="7" xfId="8" applyFont="1" applyBorder="1" applyAlignment="1">
      <alignment vertical="center"/>
    </xf>
    <xf numFmtId="0" fontId="10" fillId="0" borderId="3" xfId="2" applyFont="1" applyBorder="1" applyAlignment="1">
      <alignment horizontal="left" vertical="center"/>
    </xf>
    <xf numFmtId="0" fontId="17" fillId="0" borderId="3" xfId="2" applyFont="1" applyBorder="1" applyAlignment="1">
      <alignment horizontal="left" vertical="center"/>
    </xf>
    <xf numFmtId="0" fontId="17" fillId="0" borderId="8" xfId="2" applyFont="1" applyBorder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horizontal="centerContinuous" vertical="center"/>
    </xf>
    <xf numFmtId="0" fontId="9" fillId="0" borderId="0" xfId="2" applyFont="1" applyAlignment="1">
      <alignment horizontal="right" vertical="center"/>
    </xf>
    <xf numFmtId="0" fontId="9" fillId="0" borderId="3" xfId="2" applyFont="1" applyBorder="1" applyAlignment="1">
      <alignment horizontal="center" vertical="center"/>
    </xf>
    <xf numFmtId="41" fontId="15" fillId="0" borderId="5" xfId="8" applyFont="1" applyBorder="1" applyAlignment="1">
      <alignment vertical="center"/>
    </xf>
    <xf numFmtId="41" fontId="15" fillId="0" borderId="5" xfId="8" applyFont="1" applyFill="1" applyBorder="1" applyAlignment="1">
      <alignment vertical="center"/>
    </xf>
    <xf numFmtId="41" fontId="10" fillId="0" borderId="4" xfId="1" applyFont="1" applyBorder="1" applyAlignment="1">
      <alignment vertical="center"/>
    </xf>
    <xf numFmtId="41" fontId="9" fillId="0" borderId="4" xfId="8" applyFont="1" applyBorder="1" applyAlignment="1">
      <alignment vertical="center"/>
    </xf>
    <xf numFmtId="41" fontId="11" fillId="0" borderId="4" xfId="0" applyNumberFormat="1" applyFont="1" applyBorder="1">
      <alignment vertical="center"/>
    </xf>
    <xf numFmtId="182" fontId="10" fillId="0" borderId="4" xfId="8" applyNumberFormat="1" applyFont="1" applyBorder="1" applyAlignment="1">
      <alignment vertical="center"/>
    </xf>
    <xf numFmtId="183" fontId="10" fillId="0" borderId="4" xfId="8" applyNumberFormat="1" applyFont="1" applyBorder="1" applyAlignment="1">
      <alignment vertical="center"/>
    </xf>
    <xf numFmtId="180" fontId="9" fillId="0" borderId="4" xfId="8" applyNumberFormat="1" applyFont="1" applyBorder="1" applyAlignment="1">
      <alignment vertical="center"/>
    </xf>
    <xf numFmtId="0" fontId="9" fillId="0" borderId="4" xfId="3" applyFont="1" applyBorder="1" applyAlignment="1">
      <alignment horizontal="center" vertical="center"/>
    </xf>
    <xf numFmtId="41" fontId="9" fillId="0" borderId="4" xfId="1" applyFont="1" applyBorder="1" applyAlignment="1">
      <alignment horizontal="right" vertical="center"/>
    </xf>
    <xf numFmtId="0" fontId="12" fillId="0" borderId="1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185" fontId="9" fillId="0" borderId="5" xfId="1" applyNumberFormat="1" applyFont="1" applyFill="1" applyBorder="1" applyAlignment="1">
      <alignment vertical="center"/>
    </xf>
    <xf numFmtId="183" fontId="9" fillId="0" borderId="4" xfId="8" applyNumberFormat="1" applyFont="1" applyBorder="1" applyAlignment="1">
      <alignment vertical="center"/>
    </xf>
    <xf numFmtId="41" fontId="16" fillId="0" borderId="4" xfId="0" applyNumberFormat="1" applyFont="1" applyBorder="1">
      <alignment vertical="center"/>
    </xf>
    <xf numFmtId="0" fontId="9" fillId="0" borderId="3" xfId="6" applyFont="1" applyBorder="1" applyAlignment="1">
      <alignment vertical="center" shrinkToFit="1"/>
    </xf>
    <xf numFmtId="41" fontId="11" fillId="0" borderId="4" xfId="9" applyNumberFormat="1" applyFont="1" applyBorder="1" applyAlignment="1">
      <alignment vertical="center"/>
    </xf>
    <xf numFmtId="41" fontId="11" fillId="0" borderId="4" xfId="10" applyFont="1" applyFill="1" applyBorder="1" applyAlignment="1">
      <alignment vertical="center"/>
    </xf>
    <xf numFmtId="186" fontId="18" fillId="0" borderId="0" xfId="4" applyNumberFormat="1" applyFont="1" applyAlignment="1">
      <alignment vertical="center"/>
    </xf>
    <xf numFmtId="0" fontId="6" fillId="0" borderId="0" xfId="0" applyFont="1" applyAlignment="1"/>
    <xf numFmtId="0" fontId="9" fillId="0" borderId="6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9" fillId="0" borderId="2" xfId="6" applyFont="1" applyBorder="1" applyAlignment="1">
      <alignment horizontal="center" vertical="center" wrapText="1"/>
    </xf>
    <xf numFmtId="3" fontId="9" fillId="0" borderId="11" xfId="6" applyNumberFormat="1" applyFont="1" applyBorder="1" applyAlignment="1">
      <alignment horizontal="center" vertical="center" wrapText="1"/>
    </xf>
    <xf numFmtId="0" fontId="10" fillId="0" borderId="3" xfId="6" applyFont="1" applyBorder="1" applyAlignment="1">
      <alignment horizontal="left" vertical="center"/>
    </xf>
    <xf numFmtId="41" fontId="10" fillId="0" borderId="5" xfId="8" applyFont="1" applyBorder="1" applyAlignment="1">
      <alignment vertical="center"/>
    </xf>
    <xf numFmtId="0" fontId="9" fillId="0" borderId="8" xfId="6" applyFont="1" applyBorder="1" applyAlignment="1">
      <alignment horizontal="left" vertical="center"/>
    </xf>
    <xf numFmtId="0" fontId="9" fillId="0" borderId="6" xfId="3" applyFont="1" applyBorder="1" applyAlignment="1">
      <alignment horizontal="center" vertical="center"/>
    </xf>
    <xf numFmtId="0" fontId="19" fillId="0" borderId="6" xfId="6" applyFont="1" applyBorder="1" applyAlignment="1">
      <alignment vertical="center"/>
    </xf>
    <xf numFmtId="0" fontId="10" fillId="0" borderId="6" xfId="6" applyFont="1" applyBorder="1" applyAlignment="1">
      <alignment vertical="center"/>
    </xf>
    <xf numFmtId="41" fontId="10" fillId="0" borderId="7" xfId="7" applyFont="1" applyFill="1" applyBorder="1" applyAlignment="1">
      <alignment horizontal="center" vertical="center"/>
    </xf>
    <xf numFmtId="4" fontId="9" fillId="0" borderId="11" xfId="6" applyNumberFormat="1" applyFont="1" applyBorder="1" applyAlignment="1">
      <alignment horizontal="center" vertical="center" wrapText="1"/>
    </xf>
    <xf numFmtId="41" fontId="10" fillId="0" borderId="4" xfId="8" applyFont="1" applyBorder="1" applyAlignment="1">
      <alignment vertical="center"/>
    </xf>
    <xf numFmtId="41" fontId="10" fillId="0" borderId="6" xfId="7" applyFont="1" applyFill="1" applyBorder="1" applyAlignment="1">
      <alignment horizontal="center" vertical="center"/>
    </xf>
    <xf numFmtId="0" fontId="12" fillId="0" borderId="2" xfId="3" applyFont="1" applyBorder="1" applyAlignment="1">
      <alignment horizontal="center" vertical="center" shrinkToFit="1"/>
    </xf>
    <xf numFmtId="0" fontId="12" fillId="0" borderId="11" xfId="3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2" fillId="0" borderId="9" xfId="3" applyFont="1" applyBorder="1" applyAlignment="1">
      <alignment horizontal="center" vertical="center"/>
    </xf>
    <xf numFmtId="0" fontId="12" fillId="0" borderId="4" xfId="3" applyFont="1" applyBorder="1" applyAlignment="1">
      <alignment horizontal="center" vertical="center"/>
    </xf>
    <xf numFmtId="0" fontId="12" fillId="0" borderId="6" xfId="3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6" xfId="6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 wrapText="1" shrinkToFit="1"/>
    </xf>
  </cellXfs>
  <cellStyles count="11">
    <cellStyle name="쉼표 [0]" xfId="1" builtinId="6"/>
    <cellStyle name="콤마 [0]_가설공사(1)" xfId="5" xr:uid="{00000000-0005-0000-0000-000002000000}"/>
    <cellStyle name="콤마 [0]_가설공사(2)" xfId="7" xr:uid="{00000000-0005-0000-0000-000003000000}"/>
    <cellStyle name="콤마 [0]_기초공사" xfId="10" xr:uid="{00000000-0005-0000-0000-000004000000}"/>
    <cellStyle name="콤마 [0]_조경공사" xfId="8" xr:uid="{00000000-0005-0000-0000-000005000000}"/>
    <cellStyle name="표준" xfId="0" builtinId="0"/>
    <cellStyle name="표준_Sheet1" xfId="4" xr:uid="{00000000-0005-0000-0000-000007000000}"/>
    <cellStyle name="표준_가설공사(1)" xfId="3" xr:uid="{00000000-0005-0000-0000-000008000000}"/>
    <cellStyle name="표준_가설공사(2)" xfId="6" xr:uid="{00000000-0005-0000-0000-000009000000}"/>
    <cellStyle name="표준_기초공사" xfId="9" xr:uid="{00000000-0005-0000-0000-00000A000000}"/>
    <cellStyle name="표준_조경공사" xfId="2" xr:uid="{00000000-0005-0000-0000-00000B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B692D-57C9-4C5C-9E7C-2F1276C602E0}">
  <sheetPr>
    <pageSetUpPr fitToPage="1"/>
  </sheetPr>
  <dimension ref="A1:O308"/>
  <sheetViews>
    <sheetView tabSelected="1" zoomScaleNormal="100" workbookViewId="0">
      <selection activeCell="J23" sqref="J23"/>
    </sheetView>
  </sheetViews>
  <sheetFormatPr defaultColWidth="9" defaultRowHeight="12.95" customHeight="1" x14ac:dyDescent="0.3"/>
  <cols>
    <col min="1" max="1" width="2.625" style="2" customWidth="1"/>
    <col min="2" max="2" width="15.625" style="2" customWidth="1"/>
    <col min="3" max="3" width="15.625" style="5" customWidth="1"/>
    <col min="4" max="4" width="4.625" style="2" customWidth="1"/>
    <col min="5" max="5" width="11.625" style="2" customWidth="1"/>
    <col min="6" max="6" width="8.625" style="2" customWidth="1"/>
    <col min="7" max="7" width="11.625" style="2" customWidth="1"/>
    <col min="8" max="8" width="8.625" style="2" customWidth="1"/>
    <col min="9" max="9" width="11.625" style="2" customWidth="1"/>
    <col min="10" max="10" width="8.625" style="2" customWidth="1"/>
    <col min="11" max="11" width="11.625" style="2" customWidth="1"/>
    <col min="12" max="12" width="8.625" style="2" customWidth="1"/>
    <col min="13" max="13" width="11.625" style="2" customWidth="1"/>
    <col min="14" max="14" width="2.625" style="2" customWidth="1"/>
    <col min="15" max="15" width="11.625" style="2" customWidth="1"/>
    <col min="16" max="16384" width="9" style="2"/>
  </cols>
  <sheetData>
    <row r="1" spans="1:13" ht="12.95" customHeight="1" x14ac:dyDescent="0.3">
      <c r="A1" s="61"/>
      <c r="B1" s="8" t="s">
        <v>29</v>
      </c>
      <c r="C1" s="4"/>
      <c r="D1" s="1"/>
    </row>
    <row r="2" spans="1:13" ht="12.95" customHeight="1" x14ac:dyDescent="0.15">
      <c r="A2" s="62"/>
      <c r="B2" s="1" t="s">
        <v>68</v>
      </c>
    </row>
    <row r="3" spans="1:13" ht="12.95" customHeight="1" x14ac:dyDescent="0.3">
      <c r="B3" s="39" t="s">
        <v>30</v>
      </c>
      <c r="C3" s="40"/>
      <c r="D3" s="25"/>
      <c r="E3" s="41"/>
      <c r="F3" s="25"/>
      <c r="G3" s="25"/>
      <c r="H3" s="25"/>
      <c r="I3" s="65" t="s">
        <v>86</v>
      </c>
    </row>
    <row r="4" spans="1:13" ht="12.95" customHeight="1" x14ac:dyDescent="0.3">
      <c r="B4" s="80" t="s">
        <v>4</v>
      </c>
      <c r="C4" s="83" t="s">
        <v>15</v>
      </c>
      <c r="D4" s="86" t="s">
        <v>8</v>
      </c>
      <c r="E4" s="89" t="s">
        <v>5</v>
      </c>
      <c r="F4" s="78" t="s">
        <v>32</v>
      </c>
      <c r="G4" s="79"/>
      <c r="H4" s="78" t="s">
        <v>33</v>
      </c>
      <c r="I4" s="79"/>
    </row>
    <row r="5" spans="1:13" ht="12.95" customHeight="1" x14ac:dyDescent="0.3">
      <c r="B5" s="81"/>
      <c r="C5" s="84"/>
      <c r="D5" s="87"/>
      <c r="E5" s="90"/>
      <c r="F5" s="66" t="s">
        <v>87</v>
      </c>
      <c r="G5" s="67">
        <v>145</v>
      </c>
      <c r="H5" s="66" t="s">
        <v>88</v>
      </c>
      <c r="I5" s="67">
        <v>110</v>
      </c>
    </row>
    <row r="6" spans="1:13" ht="12.95" customHeight="1" x14ac:dyDescent="0.3">
      <c r="B6" s="82"/>
      <c r="C6" s="85"/>
      <c r="D6" s="88"/>
      <c r="E6" s="91"/>
      <c r="F6" s="63" t="s">
        <v>19</v>
      </c>
      <c r="G6" s="64" t="s">
        <v>20</v>
      </c>
      <c r="H6" s="63" t="s">
        <v>19</v>
      </c>
      <c r="I6" s="64" t="s">
        <v>20</v>
      </c>
    </row>
    <row r="7" spans="1:13" ht="12.95" customHeight="1" x14ac:dyDescent="0.3">
      <c r="B7" s="11" t="s">
        <v>21</v>
      </c>
      <c r="C7" s="6" t="s">
        <v>23</v>
      </c>
      <c r="D7" s="51" t="s">
        <v>14</v>
      </c>
      <c r="E7" s="12"/>
      <c r="F7" s="46">
        <v>1</v>
      </c>
      <c r="G7" s="13">
        <f>TRUNC(SUM(G10:G11)*0.03,1)</f>
        <v>20575</v>
      </c>
      <c r="H7" s="46">
        <v>1</v>
      </c>
      <c r="I7" s="13">
        <f>TRUNC(SUM(I10:I11)*0.03,1)</f>
        <v>20575</v>
      </c>
    </row>
    <row r="8" spans="1:13" ht="12.95" customHeight="1" x14ac:dyDescent="0.3">
      <c r="B8" s="20" t="s">
        <v>10</v>
      </c>
      <c r="C8" s="23"/>
      <c r="D8" s="22"/>
      <c r="E8" s="21"/>
      <c r="F8" s="27"/>
      <c r="G8" s="19">
        <f>TRUNC(SUM(G7:G7))</f>
        <v>20575</v>
      </c>
      <c r="H8" s="27"/>
      <c r="I8" s="19">
        <f>TRUNC(SUM(I7:I7))</f>
        <v>20575</v>
      </c>
    </row>
    <row r="9" spans="1:13" ht="12.95" customHeight="1" x14ac:dyDescent="0.3">
      <c r="B9" s="36"/>
      <c r="C9" s="37"/>
      <c r="D9" s="37"/>
      <c r="E9" s="45"/>
      <c r="F9" s="49"/>
      <c r="G9" s="31"/>
      <c r="H9" s="49"/>
      <c r="I9" s="31"/>
    </row>
    <row r="10" spans="1:13" ht="12.95" customHeight="1" x14ac:dyDescent="0.3">
      <c r="B10" s="16" t="s">
        <v>0</v>
      </c>
      <c r="C10" s="9"/>
      <c r="D10" s="3" t="s">
        <v>9</v>
      </c>
      <c r="E10" s="57">
        <v>256883</v>
      </c>
      <c r="F10" s="46">
        <v>2</v>
      </c>
      <c r="G10" s="7">
        <f t="shared" ref="G10:G11" si="0">TRUNC($E10*F10,1)</f>
        <v>513766</v>
      </c>
      <c r="H10" s="46">
        <v>2</v>
      </c>
      <c r="I10" s="7">
        <f t="shared" ref="I10:I11" si="1">TRUNC($E10*H10,1)</f>
        <v>513766</v>
      </c>
    </row>
    <row r="11" spans="1:13" ht="12.95" customHeight="1" x14ac:dyDescent="0.3">
      <c r="B11" s="16" t="s">
        <v>2</v>
      </c>
      <c r="C11" s="9"/>
      <c r="D11" s="3" t="s">
        <v>9</v>
      </c>
      <c r="E11" s="57">
        <v>172068</v>
      </c>
      <c r="F11" s="46">
        <v>1</v>
      </c>
      <c r="G11" s="7">
        <f t="shared" si="0"/>
        <v>172068</v>
      </c>
      <c r="H11" s="46">
        <v>1</v>
      </c>
      <c r="I11" s="7">
        <f t="shared" si="1"/>
        <v>172068</v>
      </c>
    </row>
    <row r="12" spans="1:13" ht="12.95" customHeight="1" x14ac:dyDescent="0.3">
      <c r="B12" s="18" t="s">
        <v>11</v>
      </c>
      <c r="C12" s="37"/>
      <c r="D12" s="37"/>
      <c r="E12" s="45"/>
      <c r="F12" s="49"/>
      <c r="G12" s="43">
        <f>TRUNC(SUM(G10:G11))</f>
        <v>685834</v>
      </c>
      <c r="H12" s="49"/>
      <c r="I12" s="43">
        <f>TRUNC(SUM(I10:I11))</f>
        <v>685834</v>
      </c>
    </row>
    <row r="13" spans="1:13" ht="12.95" customHeight="1" x14ac:dyDescent="0.3">
      <c r="B13" s="36"/>
      <c r="C13" s="37"/>
      <c r="D13" s="37"/>
      <c r="E13" s="45"/>
      <c r="F13" s="49"/>
      <c r="G13" s="31"/>
      <c r="H13" s="49"/>
      <c r="I13" s="31"/>
    </row>
    <row r="14" spans="1:13" ht="12.95" customHeight="1" x14ac:dyDescent="0.3">
      <c r="B14" s="68" t="s">
        <v>13</v>
      </c>
      <c r="C14" s="37"/>
      <c r="D14" s="37"/>
      <c r="E14" s="30"/>
      <c r="F14" s="30"/>
      <c r="G14" s="69">
        <f>SUM(G8+G12)</f>
        <v>706409</v>
      </c>
      <c r="H14" s="30"/>
      <c r="I14" s="69">
        <f>SUM(I8+I12)</f>
        <v>706409</v>
      </c>
      <c r="L14" s="26"/>
      <c r="M14" s="26"/>
    </row>
    <row r="15" spans="1:13" ht="12.95" customHeight="1" x14ac:dyDescent="0.3">
      <c r="B15" s="15" t="s">
        <v>89</v>
      </c>
      <c r="C15" s="70"/>
      <c r="D15" s="71"/>
      <c r="E15" s="72"/>
      <c r="F15" s="73"/>
      <c r="G15" s="74">
        <f>TRUNC(G14/G5)</f>
        <v>4871</v>
      </c>
      <c r="H15" s="73"/>
      <c r="I15" s="74">
        <f>TRUNC(I14/I5)</f>
        <v>6421</v>
      </c>
      <c r="L15" s="26"/>
      <c r="M15" s="26"/>
    </row>
    <row r="16" spans="1:13" ht="12.95" customHeight="1" x14ac:dyDescent="0.3">
      <c r="L16" s="26"/>
      <c r="M16" s="26"/>
    </row>
    <row r="17" spans="2:15" ht="12.95" customHeight="1" x14ac:dyDescent="0.3">
      <c r="B17" s="39" t="s">
        <v>36</v>
      </c>
      <c r="C17" s="40"/>
      <c r="D17" s="25"/>
      <c r="E17" s="41"/>
      <c r="F17" s="25"/>
      <c r="G17" s="41" t="s">
        <v>35</v>
      </c>
    </row>
    <row r="18" spans="2:15" ht="12.95" customHeight="1" x14ac:dyDescent="0.3">
      <c r="B18" s="80" t="s">
        <v>4</v>
      </c>
      <c r="C18" s="83" t="s">
        <v>15</v>
      </c>
      <c r="D18" s="94" t="s">
        <v>8</v>
      </c>
      <c r="E18" s="89" t="s">
        <v>5</v>
      </c>
      <c r="F18" s="94" t="s">
        <v>19</v>
      </c>
      <c r="G18" s="92" t="s">
        <v>20</v>
      </c>
      <c r="N18" s="26"/>
      <c r="O18" s="26"/>
    </row>
    <row r="19" spans="2:15" ht="12.95" customHeight="1" x14ac:dyDescent="0.3">
      <c r="B19" s="82"/>
      <c r="C19" s="85"/>
      <c r="D19" s="94"/>
      <c r="E19" s="91"/>
      <c r="F19" s="94"/>
      <c r="G19" s="93"/>
      <c r="N19" s="26"/>
      <c r="O19" s="26"/>
    </row>
    <row r="20" spans="2:15" ht="12.95" customHeight="1" x14ac:dyDescent="0.3">
      <c r="B20" s="16" t="s">
        <v>1</v>
      </c>
      <c r="C20" s="9"/>
      <c r="D20" s="3" t="s">
        <v>9</v>
      </c>
      <c r="E20" s="57">
        <v>277276</v>
      </c>
      <c r="F20" s="27">
        <v>0.24</v>
      </c>
      <c r="G20" s="7">
        <f t="shared" ref="G20" si="2">TRUNC($E20*F20,1)</f>
        <v>66546.2</v>
      </c>
    </row>
    <row r="21" spans="2:15" ht="12.95" customHeight="1" x14ac:dyDescent="0.3">
      <c r="B21" s="18" t="s">
        <v>11</v>
      </c>
      <c r="C21" s="37"/>
      <c r="D21" s="37"/>
      <c r="E21" s="45"/>
      <c r="F21" s="49"/>
      <c r="G21" s="43">
        <f>TRUNC(SUM(G20:G20))</f>
        <v>66546</v>
      </c>
    </row>
    <row r="22" spans="2:15" ht="12.95" customHeight="1" x14ac:dyDescent="0.3">
      <c r="B22" s="36"/>
      <c r="C22" s="37"/>
      <c r="D22" s="37"/>
      <c r="E22" s="45"/>
      <c r="F22" s="49"/>
      <c r="G22" s="31"/>
    </row>
    <row r="23" spans="2:15" ht="12.95" customHeight="1" x14ac:dyDescent="0.3">
      <c r="B23" s="15" t="s">
        <v>13</v>
      </c>
      <c r="C23" s="38"/>
      <c r="D23" s="38"/>
      <c r="E23" s="34"/>
      <c r="F23" s="34"/>
      <c r="G23" s="35">
        <f>SUM(G21)</f>
        <v>66546</v>
      </c>
    </row>
    <row r="25" spans="2:15" ht="12.95" customHeight="1" x14ac:dyDescent="0.3">
      <c r="B25" s="39" t="s">
        <v>37</v>
      </c>
      <c r="C25" s="40"/>
      <c r="D25" s="25"/>
      <c r="E25" s="41"/>
      <c r="F25" s="25"/>
      <c r="G25" s="41" t="s">
        <v>27</v>
      </c>
    </row>
    <row r="26" spans="2:15" ht="12.95" customHeight="1" x14ac:dyDescent="0.3">
      <c r="B26" s="80" t="s">
        <v>4</v>
      </c>
      <c r="C26" s="83" t="s">
        <v>15</v>
      </c>
      <c r="D26" s="94" t="s">
        <v>8</v>
      </c>
      <c r="E26" s="89" t="s">
        <v>5</v>
      </c>
      <c r="F26" s="94" t="s">
        <v>19</v>
      </c>
      <c r="G26" s="92" t="s">
        <v>20</v>
      </c>
    </row>
    <row r="27" spans="2:15" ht="12.95" customHeight="1" x14ac:dyDescent="0.3">
      <c r="B27" s="82"/>
      <c r="C27" s="85"/>
      <c r="D27" s="94"/>
      <c r="E27" s="91"/>
      <c r="F27" s="94"/>
      <c r="G27" s="93"/>
    </row>
    <row r="28" spans="2:15" ht="12.95" customHeight="1" x14ac:dyDescent="0.3">
      <c r="B28" s="11" t="s">
        <v>41</v>
      </c>
      <c r="C28" s="6" t="s">
        <v>43</v>
      </c>
      <c r="D28" s="51" t="s">
        <v>42</v>
      </c>
      <c r="E28" s="52">
        <v>0</v>
      </c>
      <c r="F28" s="27">
        <v>0.36</v>
      </c>
      <c r="G28" s="7">
        <f t="shared" ref="G28" si="3">TRUNC($E28*F28,1)</f>
        <v>0</v>
      </c>
    </row>
    <row r="29" spans="2:15" ht="12.95" customHeight="1" x14ac:dyDescent="0.3">
      <c r="B29" s="58" t="s">
        <v>39</v>
      </c>
      <c r="C29" s="6" t="s">
        <v>40</v>
      </c>
      <c r="D29" s="51" t="s">
        <v>28</v>
      </c>
      <c r="E29" s="12"/>
      <c r="F29" s="46">
        <v>3</v>
      </c>
      <c r="G29" s="55">
        <f>TRUNC(SUM(G28)*F29*0.01,1)</f>
        <v>0</v>
      </c>
    </row>
    <row r="30" spans="2:15" ht="12.95" customHeight="1" x14ac:dyDescent="0.3">
      <c r="B30" s="58" t="s">
        <v>44</v>
      </c>
      <c r="C30" s="6"/>
      <c r="D30" s="51"/>
      <c r="E30" s="12"/>
      <c r="F30" s="46"/>
      <c r="G30" s="55"/>
    </row>
    <row r="31" spans="2:15" ht="12.95" customHeight="1" x14ac:dyDescent="0.3">
      <c r="B31" s="20" t="s">
        <v>10</v>
      </c>
      <c r="C31" s="23"/>
      <c r="D31" s="22"/>
      <c r="E31" s="21"/>
      <c r="F31" s="27"/>
      <c r="G31" s="19">
        <f>TRUNC(SUM(G28:G30))</f>
        <v>0</v>
      </c>
    </row>
    <row r="32" spans="2:15" ht="12.95" customHeight="1" x14ac:dyDescent="0.3">
      <c r="B32" s="36"/>
      <c r="C32" s="37"/>
      <c r="D32" s="37"/>
      <c r="E32" s="45"/>
      <c r="F32" s="49"/>
      <c r="G32" s="31"/>
    </row>
    <row r="33" spans="2:12" ht="12.95" customHeight="1" x14ac:dyDescent="0.3">
      <c r="B33" s="16" t="s">
        <v>17</v>
      </c>
      <c r="C33" s="9"/>
      <c r="D33" s="3" t="s">
        <v>34</v>
      </c>
      <c r="E33" s="57">
        <v>226122</v>
      </c>
      <c r="F33" s="56">
        <v>6.0000000000000001E-3</v>
      </c>
      <c r="G33" s="7">
        <f t="shared" ref="G33" si="4">TRUNC($E33*F33,1)</f>
        <v>1356.7</v>
      </c>
    </row>
    <row r="34" spans="2:12" ht="12.95" customHeight="1" x14ac:dyDescent="0.3">
      <c r="B34" s="18" t="s">
        <v>11</v>
      </c>
      <c r="C34" s="37"/>
      <c r="D34" s="37"/>
      <c r="E34" s="45"/>
      <c r="F34" s="49"/>
      <c r="G34" s="43">
        <f>TRUNC(SUM(G33:G33))</f>
        <v>1356</v>
      </c>
    </row>
    <row r="35" spans="2:12" ht="12.95" customHeight="1" x14ac:dyDescent="0.3">
      <c r="B35" s="36"/>
      <c r="C35" s="37"/>
      <c r="D35" s="37"/>
      <c r="E35" s="45"/>
      <c r="F35" s="49"/>
      <c r="G35" s="31"/>
    </row>
    <row r="36" spans="2:12" ht="12.95" customHeight="1" x14ac:dyDescent="0.3">
      <c r="B36" s="15" t="s">
        <v>13</v>
      </c>
      <c r="C36" s="38"/>
      <c r="D36" s="38"/>
      <c r="E36" s="34"/>
      <c r="F36" s="34"/>
      <c r="G36" s="35">
        <f>SUM(G31+G34)</f>
        <v>1356</v>
      </c>
    </row>
    <row r="38" spans="2:12" ht="12.95" customHeight="1" x14ac:dyDescent="0.3">
      <c r="B38" s="39" t="s">
        <v>45</v>
      </c>
      <c r="C38" s="40"/>
      <c r="D38" s="25"/>
      <c r="E38" s="41"/>
      <c r="F38" s="25"/>
      <c r="G38" s="25"/>
      <c r="K38" s="24" t="s">
        <v>26</v>
      </c>
    </row>
    <row r="39" spans="2:12" ht="12.95" customHeight="1" x14ac:dyDescent="0.3">
      <c r="B39" s="80" t="s">
        <v>4</v>
      </c>
      <c r="C39" s="83" t="s">
        <v>15</v>
      </c>
      <c r="D39" s="94" t="s">
        <v>8</v>
      </c>
      <c r="E39" s="89" t="s">
        <v>5</v>
      </c>
      <c r="F39" s="78" t="s">
        <v>50</v>
      </c>
      <c r="G39" s="79"/>
      <c r="H39" s="78" t="s">
        <v>51</v>
      </c>
      <c r="I39" s="79"/>
      <c r="J39" s="78" t="s">
        <v>52</v>
      </c>
      <c r="K39" s="79"/>
    </row>
    <row r="40" spans="2:12" ht="12.95" customHeight="1" x14ac:dyDescent="0.3">
      <c r="B40" s="82"/>
      <c r="C40" s="85"/>
      <c r="D40" s="94"/>
      <c r="E40" s="91"/>
      <c r="F40" s="53" t="s">
        <v>6</v>
      </c>
      <c r="G40" s="54" t="s">
        <v>7</v>
      </c>
      <c r="H40" s="53" t="s">
        <v>6</v>
      </c>
      <c r="I40" s="54" t="s">
        <v>7</v>
      </c>
      <c r="J40" s="53" t="s">
        <v>6</v>
      </c>
      <c r="K40" s="54" t="s">
        <v>7</v>
      </c>
    </row>
    <row r="41" spans="2:12" ht="12.95" customHeight="1" x14ac:dyDescent="0.3">
      <c r="B41" s="11" t="s">
        <v>46</v>
      </c>
      <c r="C41" s="6" t="s">
        <v>47</v>
      </c>
      <c r="D41" s="51" t="s">
        <v>49</v>
      </c>
      <c r="E41" s="52">
        <v>0</v>
      </c>
      <c r="F41" s="27">
        <v>1.03</v>
      </c>
      <c r="G41" s="7">
        <f t="shared" ref="G41:K41" si="5">TRUNC($E41*F41,1)</f>
        <v>0</v>
      </c>
      <c r="H41" s="27">
        <v>1.03</v>
      </c>
      <c r="I41" s="7">
        <f t="shared" si="5"/>
        <v>0</v>
      </c>
      <c r="J41" s="27">
        <v>1.03</v>
      </c>
      <c r="K41" s="7">
        <f t="shared" si="5"/>
        <v>0</v>
      </c>
    </row>
    <row r="42" spans="2:12" ht="12.95" customHeight="1" x14ac:dyDescent="0.3">
      <c r="B42" s="11" t="s">
        <v>21</v>
      </c>
      <c r="C42" s="6" t="s">
        <v>24</v>
      </c>
      <c r="D42" s="51" t="s">
        <v>14</v>
      </c>
      <c r="E42" s="12"/>
      <c r="F42" s="46"/>
      <c r="G42" s="13"/>
      <c r="H42" s="46">
        <v>1</v>
      </c>
      <c r="I42" s="13">
        <f>TRUNC(SUM(I45:I45)*0.04,1)</f>
        <v>71.900000000000006</v>
      </c>
      <c r="J42" s="46">
        <v>1</v>
      </c>
      <c r="K42" s="13">
        <f>TRUNC(SUM(K45:K45)*0.04,1)</f>
        <v>92.4</v>
      </c>
    </row>
    <row r="43" spans="2:12" ht="12.95" customHeight="1" x14ac:dyDescent="0.3">
      <c r="B43" s="20" t="s">
        <v>10</v>
      </c>
      <c r="C43" s="23"/>
      <c r="D43" s="22"/>
      <c r="E43" s="21"/>
      <c r="F43" s="27"/>
      <c r="G43" s="19">
        <f>TRUNC(SUM(G41:G42))</f>
        <v>0</v>
      </c>
      <c r="H43" s="27"/>
      <c r="I43" s="19">
        <f>TRUNC(SUM(I41:I42))</f>
        <v>71</v>
      </c>
      <c r="J43" s="27"/>
      <c r="K43" s="19">
        <f>TRUNC(SUM(K41:K42))</f>
        <v>92</v>
      </c>
    </row>
    <row r="44" spans="2:12" ht="12.95" customHeight="1" x14ac:dyDescent="0.3">
      <c r="B44" s="36"/>
      <c r="C44" s="37"/>
      <c r="D44" s="37"/>
      <c r="E44" s="45"/>
      <c r="F44" s="49"/>
      <c r="G44" s="31"/>
      <c r="H44" s="49"/>
      <c r="I44" s="31"/>
      <c r="J44" s="49"/>
      <c r="K44" s="31"/>
    </row>
    <row r="45" spans="2:12" ht="12.95" customHeight="1" x14ac:dyDescent="0.3">
      <c r="B45" s="16" t="s">
        <v>0</v>
      </c>
      <c r="C45" s="9"/>
      <c r="D45" s="3" t="s">
        <v>34</v>
      </c>
      <c r="E45" s="57">
        <v>256883</v>
      </c>
      <c r="F45" s="56">
        <v>4.0000000000000001E-3</v>
      </c>
      <c r="G45" s="7">
        <f t="shared" ref="G45" si="6">TRUNC($E45*F45,1)</f>
        <v>1027.5</v>
      </c>
      <c r="H45" s="56">
        <v>7.0000000000000001E-3</v>
      </c>
      <c r="I45" s="7">
        <f t="shared" ref="I45" si="7">TRUNC($E45*H45,1)</f>
        <v>1798.1</v>
      </c>
      <c r="J45" s="56">
        <v>8.9999999999999993E-3</v>
      </c>
      <c r="K45" s="7">
        <f t="shared" ref="K45" si="8">TRUNC($E45*J45,1)</f>
        <v>2311.9</v>
      </c>
    </row>
    <row r="46" spans="2:12" ht="12.95" customHeight="1" x14ac:dyDescent="0.3">
      <c r="B46" s="18" t="s">
        <v>11</v>
      </c>
      <c r="C46" s="37"/>
      <c r="D46" s="37"/>
      <c r="E46" s="45"/>
      <c r="F46" s="49"/>
      <c r="G46" s="43">
        <f>TRUNC(SUM(G45:G45))</f>
        <v>1027</v>
      </c>
      <c r="H46" s="49"/>
      <c r="I46" s="43">
        <f>TRUNC(SUM(I45:I45))</f>
        <v>1798</v>
      </c>
      <c r="J46" s="49"/>
      <c r="K46" s="43">
        <f>TRUNC(SUM(K45:K45))</f>
        <v>2311</v>
      </c>
    </row>
    <row r="47" spans="2:12" ht="12.95" customHeight="1" x14ac:dyDescent="0.3">
      <c r="B47" s="36"/>
      <c r="C47" s="37"/>
      <c r="D47" s="37"/>
      <c r="E47" s="45"/>
      <c r="F47" s="49"/>
      <c r="G47" s="31"/>
      <c r="H47" s="49"/>
      <c r="I47" s="31"/>
      <c r="J47" s="49"/>
      <c r="K47" s="31"/>
    </row>
    <row r="48" spans="2:12" ht="12.95" customHeight="1" x14ac:dyDescent="0.3">
      <c r="B48" s="15" t="s">
        <v>13</v>
      </c>
      <c r="C48" s="38"/>
      <c r="D48" s="38"/>
      <c r="E48" s="34"/>
      <c r="F48" s="34"/>
      <c r="G48" s="35">
        <f>SUM(G43+G46)</f>
        <v>1027</v>
      </c>
      <c r="H48" s="34"/>
      <c r="I48" s="35">
        <f>SUM(I43+I46)</f>
        <v>1869</v>
      </c>
      <c r="J48" s="34"/>
      <c r="K48" s="35">
        <f>SUM(K43+K46)</f>
        <v>2403</v>
      </c>
      <c r="L48" s="26"/>
    </row>
    <row r="49" spans="2:12" ht="12.95" customHeight="1" x14ac:dyDescent="0.3">
      <c r="K49" s="26"/>
      <c r="L49" s="26"/>
    </row>
    <row r="50" spans="2:12" ht="12.95" customHeight="1" x14ac:dyDescent="0.3">
      <c r="B50" s="39" t="s">
        <v>53</v>
      </c>
      <c r="C50" s="40"/>
      <c r="D50" s="25"/>
      <c r="E50" s="41"/>
      <c r="F50" s="25"/>
      <c r="G50" s="25"/>
      <c r="I50" s="41" t="s">
        <v>31</v>
      </c>
    </row>
    <row r="51" spans="2:12" ht="12.95" customHeight="1" x14ac:dyDescent="0.3">
      <c r="B51" s="80" t="s">
        <v>4</v>
      </c>
      <c r="C51" s="83" t="s">
        <v>15</v>
      </c>
      <c r="D51" s="94" t="s">
        <v>8</v>
      </c>
      <c r="E51" s="89" t="s">
        <v>5</v>
      </c>
      <c r="F51" s="78" t="s">
        <v>54</v>
      </c>
      <c r="G51" s="79"/>
      <c r="H51" s="78" t="s">
        <v>55</v>
      </c>
      <c r="I51" s="79"/>
    </row>
    <row r="52" spans="2:12" ht="12.95" customHeight="1" x14ac:dyDescent="0.3">
      <c r="B52" s="82"/>
      <c r="C52" s="85"/>
      <c r="D52" s="94"/>
      <c r="E52" s="91"/>
      <c r="F52" s="53" t="s">
        <v>6</v>
      </c>
      <c r="G52" s="54" t="s">
        <v>7</v>
      </c>
      <c r="H52" s="53" t="s">
        <v>6</v>
      </c>
      <c r="I52" s="54" t="s">
        <v>7</v>
      </c>
    </row>
    <row r="53" spans="2:12" ht="12.95" customHeight="1" x14ac:dyDescent="0.3">
      <c r="B53" s="11" t="s">
        <v>54</v>
      </c>
      <c r="C53" s="6"/>
      <c r="D53" s="51" t="s">
        <v>38</v>
      </c>
      <c r="E53" s="52">
        <v>0</v>
      </c>
      <c r="F53" s="50">
        <v>1.1000000000000001</v>
      </c>
      <c r="G53" s="7">
        <f t="shared" ref="G53:G54" si="9">TRUNC($E53*F53,1)</f>
        <v>0</v>
      </c>
      <c r="H53" s="50">
        <v>0</v>
      </c>
      <c r="I53" s="7">
        <f t="shared" ref="I53:I54" si="10">TRUNC($E53*H53,1)</f>
        <v>0</v>
      </c>
    </row>
    <row r="54" spans="2:12" ht="12.95" customHeight="1" x14ac:dyDescent="0.3">
      <c r="B54" s="11" t="s">
        <v>55</v>
      </c>
      <c r="C54" s="6"/>
      <c r="D54" s="51" t="s">
        <v>38</v>
      </c>
      <c r="E54" s="52">
        <v>0</v>
      </c>
      <c r="F54" s="50">
        <v>0</v>
      </c>
      <c r="G54" s="7">
        <f t="shared" si="9"/>
        <v>0</v>
      </c>
      <c r="H54" s="50">
        <v>1.1000000000000001</v>
      </c>
      <c r="I54" s="7">
        <f t="shared" si="10"/>
        <v>0</v>
      </c>
    </row>
    <row r="55" spans="2:12" ht="12.95" customHeight="1" x14ac:dyDescent="0.3">
      <c r="B55" s="58" t="s">
        <v>39</v>
      </c>
      <c r="C55" s="6" t="s">
        <v>40</v>
      </c>
      <c r="D55" s="51" t="s">
        <v>28</v>
      </c>
      <c r="E55" s="12"/>
      <c r="F55" s="46">
        <v>5</v>
      </c>
      <c r="G55" s="55">
        <f>TRUNC(SUM(G53:G54)*F55*0.01,1)</f>
        <v>0</v>
      </c>
      <c r="H55" s="46">
        <v>5</v>
      </c>
      <c r="I55" s="55">
        <f>TRUNC(SUM(I53:I54)*H55*0.01,1)</f>
        <v>0</v>
      </c>
    </row>
    <row r="56" spans="2:12" ht="12.95" customHeight="1" x14ac:dyDescent="0.3">
      <c r="B56" s="11" t="s">
        <v>21</v>
      </c>
      <c r="C56" s="6" t="s">
        <v>24</v>
      </c>
      <c r="D56" s="51" t="s">
        <v>14</v>
      </c>
      <c r="E56" s="12"/>
      <c r="F56" s="46">
        <v>1</v>
      </c>
      <c r="G56" s="13">
        <f>TRUNC(SUM(G59:G59)*0.04,1)</f>
        <v>205.5</v>
      </c>
      <c r="H56" s="46">
        <v>1</v>
      </c>
      <c r="I56" s="13">
        <f>TRUNC(SUM(I59:I59)*0.04,1)</f>
        <v>359.6</v>
      </c>
    </row>
    <row r="57" spans="2:12" ht="12.95" customHeight="1" x14ac:dyDescent="0.3">
      <c r="B57" s="20" t="s">
        <v>10</v>
      </c>
      <c r="C57" s="23"/>
      <c r="D57" s="22"/>
      <c r="E57" s="21"/>
      <c r="F57" s="27"/>
      <c r="G57" s="19">
        <f>TRUNC(SUM(G53:G56))</f>
        <v>205</v>
      </c>
      <c r="H57" s="27"/>
      <c r="I57" s="19">
        <f>TRUNC(SUM(I53:I56))</f>
        <v>359</v>
      </c>
    </row>
    <row r="58" spans="2:12" ht="12.95" customHeight="1" x14ac:dyDescent="0.3">
      <c r="B58" s="36"/>
      <c r="C58" s="37"/>
      <c r="D58" s="37"/>
      <c r="E58" s="45"/>
      <c r="F58" s="49"/>
      <c r="G58" s="31"/>
      <c r="H58" s="49"/>
      <c r="I58" s="31"/>
    </row>
    <row r="59" spans="2:12" ht="12.95" customHeight="1" x14ac:dyDescent="0.3">
      <c r="B59" s="16" t="s">
        <v>0</v>
      </c>
      <c r="C59" s="9"/>
      <c r="D59" s="3" t="s">
        <v>34</v>
      </c>
      <c r="E59" s="57">
        <v>256883</v>
      </c>
      <c r="F59" s="56">
        <v>0.02</v>
      </c>
      <c r="G59" s="7">
        <f t="shared" ref="G59" si="11">TRUNC($E59*F59,1)</f>
        <v>5137.6000000000004</v>
      </c>
      <c r="H59" s="56">
        <v>3.5000000000000003E-2</v>
      </c>
      <c r="I59" s="7">
        <f t="shared" ref="I59" si="12">TRUNC($E59*H59,1)</f>
        <v>8990.9</v>
      </c>
    </row>
    <row r="60" spans="2:12" ht="12.95" customHeight="1" x14ac:dyDescent="0.3">
      <c r="B60" s="18" t="s">
        <v>11</v>
      </c>
      <c r="C60" s="37"/>
      <c r="D60" s="37"/>
      <c r="E60" s="45"/>
      <c r="F60" s="49"/>
      <c r="G60" s="43">
        <f>TRUNC(SUM(G59:G59))</f>
        <v>5137</v>
      </c>
      <c r="H60" s="49"/>
      <c r="I60" s="43">
        <f>TRUNC(SUM(I59:I59))</f>
        <v>8990</v>
      </c>
    </row>
    <row r="61" spans="2:12" ht="12.95" customHeight="1" x14ac:dyDescent="0.3">
      <c r="B61" s="36"/>
      <c r="C61" s="37"/>
      <c r="D61" s="37"/>
      <c r="E61" s="45"/>
      <c r="F61" s="49"/>
      <c r="G61" s="31"/>
      <c r="H61" s="49"/>
      <c r="I61" s="31"/>
    </row>
    <row r="62" spans="2:12" ht="12.95" customHeight="1" x14ac:dyDescent="0.3">
      <c r="B62" s="15" t="s">
        <v>13</v>
      </c>
      <c r="C62" s="38"/>
      <c r="D62" s="38"/>
      <c r="E62" s="34"/>
      <c r="F62" s="34"/>
      <c r="G62" s="35">
        <f>SUM(G57+G60)</f>
        <v>5342</v>
      </c>
      <c r="H62" s="34"/>
      <c r="I62" s="35">
        <f>SUM(I57+I60)</f>
        <v>9349</v>
      </c>
    </row>
    <row r="64" spans="2:12" ht="12.95" customHeight="1" x14ac:dyDescent="0.3">
      <c r="B64" s="39" t="s">
        <v>69</v>
      </c>
      <c r="C64" s="40"/>
      <c r="D64" s="25"/>
      <c r="E64" s="41"/>
      <c r="F64" s="25"/>
      <c r="G64" s="25"/>
      <c r="H64" s="25"/>
      <c r="I64" s="41" t="s">
        <v>62</v>
      </c>
    </row>
    <row r="65" spans="2:9" ht="12.95" customHeight="1" x14ac:dyDescent="0.3">
      <c r="B65" s="80" t="s">
        <v>4</v>
      </c>
      <c r="C65" s="83" t="s">
        <v>15</v>
      </c>
      <c r="D65" s="94" t="s">
        <v>8</v>
      </c>
      <c r="E65" s="89" t="s">
        <v>5</v>
      </c>
      <c r="F65" s="78" t="s">
        <v>63</v>
      </c>
      <c r="G65" s="79"/>
      <c r="H65" s="78" t="s">
        <v>64</v>
      </c>
      <c r="I65" s="79"/>
    </row>
    <row r="66" spans="2:9" ht="12.95" customHeight="1" x14ac:dyDescent="0.3">
      <c r="B66" s="82"/>
      <c r="C66" s="85"/>
      <c r="D66" s="94"/>
      <c r="E66" s="91"/>
      <c r="F66" s="53" t="s">
        <v>6</v>
      </c>
      <c r="G66" s="54" t="s">
        <v>7</v>
      </c>
      <c r="H66" s="53" t="s">
        <v>6</v>
      </c>
      <c r="I66" s="54" t="s">
        <v>7</v>
      </c>
    </row>
    <row r="67" spans="2:9" ht="12.95" customHeight="1" x14ac:dyDescent="0.3">
      <c r="B67" s="11" t="s">
        <v>21</v>
      </c>
      <c r="C67" s="6" t="s">
        <v>23</v>
      </c>
      <c r="D67" s="51" t="s">
        <v>14</v>
      </c>
      <c r="E67" s="12"/>
      <c r="F67" s="46">
        <v>1</v>
      </c>
      <c r="G67" s="13">
        <f>TRUNC(SUM(G70:G71)*0.03,1)</f>
        <v>2667.8</v>
      </c>
      <c r="H67" s="46">
        <v>1</v>
      </c>
      <c r="I67" s="13">
        <f>TRUNC(SUM(I70:I71)*0.03,1)</f>
        <v>2968.5</v>
      </c>
    </row>
    <row r="68" spans="2:9" ht="12.95" customHeight="1" x14ac:dyDescent="0.3">
      <c r="B68" s="20" t="s">
        <v>10</v>
      </c>
      <c r="C68" s="23"/>
      <c r="D68" s="22"/>
      <c r="E68" s="21"/>
      <c r="F68" s="27"/>
      <c r="G68" s="19">
        <f>TRUNC(SUM(G67:G67))</f>
        <v>2667</v>
      </c>
      <c r="H68" s="27"/>
      <c r="I68" s="19">
        <f>TRUNC(SUM(I67:I67))</f>
        <v>2968</v>
      </c>
    </row>
    <row r="69" spans="2:9" ht="12.95" customHeight="1" x14ac:dyDescent="0.3">
      <c r="B69" s="36"/>
      <c r="C69" s="37"/>
      <c r="D69" s="37"/>
      <c r="E69" s="45"/>
      <c r="F69" s="49"/>
      <c r="G69" s="31"/>
      <c r="H69" s="49"/>
      <c r="I69" s="31"/>
    </row>
    <row r="70" spans="2:9" ht="12.95" customHeight="1" x14ac:dyDescent="0.3">
      <c r="B70" s="16" t="s">
        <v>0</v>
      </c>
      <c r="C70" s="9"/>
      <c r="D70" s="3" t="s">
        <v>34</v>
      </c>
      <c r="E70" s="57">
        <v>256883</v>
      </c>
      <c r="F70" s="56">
        <v>0.308</v>
      </c>
      <c r="G70" s="7">
        <f>TRUNC($E70*F70,1)</f>
        <v>79119.899999999994</v>
      </c>
      <c r="H70" s="56">
        <v>0.34300000000000003</v>
      </c>
      <c r="I70" s="7">
        <f>TRUNC($E70*H70,1)</f>
        <v>88110.8</v>
      </c>
    </row>
    <row r="71" spans="2:9" ht="12.95" customHeight="1" x14ac:dyDescent="0.3">
      <c r="B71" s="16" t="s">
        <v>2</v>
      </c>
      <c r="C71" s="9"/>
      <c r="D71" s="3" t="s">
        <v>34</v>
      </c>
      <c r="E71" s="57">
        <v>172068</v>
      </c>
      <c r="F71" s="56">
        <v>5.7000000000000002E-2</v>
      </c>
      <c r="G71" s="7">
        <f>TRUNC($E71*F71,1)</f>
        <v>9807.7999999999993</v>
      </c>
      <c r="H71" s="56">
        <v>6.3E-2</v>
      </c>
      <c r="I71" s="7">
        <f>TRUNC($E71*H71,1)</f>
        <v>10840.2</v>
      </c>
    </row>
    <row r="72" spans="2:9" ht="12.95" customHeight="1" x14ac:dyDescent="0.3">
      <c r="B72" s="18" t="s">
        <v>11</v>
      </c>
      <c r="C72" s="37"/>
      <c r="D72" s="37"/>
      <c r="E72" s="45"/>
      <c r="F72" s="49"/>
      <c r="G72" s="43">
        <f>TRUNC(SUM(G70:G71))</f>
        <v>88927</v>
      </c>
      <c r="H72" s="49"/>
      <c r="I72" s="43">
        <f>TRUNC(SUM(I70:I71))</f>
        <v>98951</v>
      </c>
    </row>
    <row r="73" spans="2:9" ht="12.95" customHeight="1" x14ac:dyDescent="0.3">
      <c r="B73" s="36"/>
      <c r="C73" s="37"/>
      <c r="D73" s="37"/>
      <c r="E73" s="45"/>
      <c r="F73" s="49"/>
      <c r="G73" s="31"/>
      <c r="H73" s="49"/>
      <c r="I73" s="31"/>
    </row>
    <row r="74" spans="2:9" ht="12.95" customHeight="1" x14ac:dyDescent="0.3">
      <c r="B74" s="15" t="s">
        <v>13</v>
      </c>
      <c r="C74" s="38"/>
      <c r="D74" s="38"/>
      <c r="E74" s="34"/>
      <c r="F74" s="34"/>
      <c r="G74" s="35">
        <f>SUM(G68+G72)</f>
        <v>91594</v>
      </c>
      <c r="H74" s="34"/>
      <c r="I74" s="35">
        <f>SUM(I68+I72)</f>
        <v>101919</v>
      </c>
    </row>
    <row r="76" spans="2:9" ht="12.95" customHeight="1" x14ac:dyDescent="0.3">
      <c r="B76" s="1" t="s">
        <v>70</v>
      </c>
    </row>
    <row r="77" spans="2:9" ht="12.95" customHeight="1" x14ac:dyDescent="0.3">
      <c r="B77" s="39" t="s">
        <v>56</v>
      </c>
      <c r="C77" s="40"/>
      <c r="D77" s="25"/>
      <c r="E77" s="41"/>
      <c r="F77" s="25"/>
      <c r="G77" s="25"/>
      <c r="H77" s="25"/>
      <c r="I77" s="65" t="s">
        <v>86</v>
      </c>
    </row>
    <row r="78" spans="2:9" ht="12.95" customHeight="1" x14ac:dyDescent="0.3">
      <c r="B78" s="80" t="s">
        <v>4</v>
      </c>
      <c r="C78" s="83" t="s">
        <v>15</v>
      </c>
      <c r="D78" s="86" t="s">
        <v>8</v>
      </c>
      <c r="E78" s="89" t="s">
        <v>5</v>
      </c>
      <c r="F78" s="78" t="s">
        <v>78</v>
      </c>
      <c r="G78" s="79"/>
      <c r="H78" s="78" t="s">
        <v>79</v>
      </c>
      <c r="I78" s="79"/>
    </row>
    <row r="79" spans="2:9" ht="12.95" customHeight="1" x14ac:dyDescent="0.3">
      <c r="B79" s="81"/>
      <c r="C79" s="84"/>
      <c r="D79" s="87"/>
      <c r="E79" s="90"/>
      <c r="F79" s="66" t="s">
        <v>90</v>
      </c>
      <c r="G79" s="75">
        <v>0.22</v>
      </c>
      <c r="H79" s="66" t="s">
        <v>90</v>
      </c>
      <c r="I79" s="75">
        <v>0.28000000000000003</v>
      </c>
    </row>
    <row r="80" spans="2:9" ht="12.95" customHeight="1" x14ac:dyDescent="0.3">
      <c r="B80" s="82"/>
      <c r="C80" s="85"/>
      <c r="D80" s="88"/>
      <c r="E80" s="91"/>
      <c r="F80" s="63" t="s">
        <v>19</v>
      </c>
      <c r="G80" s="64" t="s">
        <v>20</v>
      </c>
      <c r="H80" s="63" t="s">
        <v>19</v>
      </c>
      <c r="I80" s="64" t="s">
        <v>20</v>
      </c>
    </row>
    <row r="81" spans="2:13" ht="12.95" customHeight="1" x14ac:dyDescent="0.3">
      <c r="B81" s="11" t="s">
        <v>21</v>
      </c>
      <c r="C81" s="6" t="s">
        <v>22</v>
      </c>
      <c r="D81" s="51" t="s">
        <v>14</v>
      </c>
      <c r="E81" s="12"/>
      <c r="F81" s="46">
        <v>1</v>
      </c>
      <c r="G81" s="13">
        <f>TRUNC(SUM(G85:G87)*0.02,1)</f>
        <v>24335.1</v>
      </c>
      <c r="H81" s="46">
        <v>1</v>
      </c>
      <c r="I81" s="13">
        <f>TRUNC(SUM(I85:I87)*0.02,1)</f>
        <v>19538.900000000001</v>
      </c>
    </row>
    <row r="82" spans="2:13" ht="12.95" customHeight="1" x14ac:dyDescent="0.3">
      <c r="B82" s="11" t="s">
        <v>57</v>
      </c>
      <c r="C82" s="6" t="s">
        <v>22</v>
      </c>
      <c r="D82" s="51" t="s">
        <v>14</v>
      </c>
      <c r="E82" s="12"/>
      <c r="F82" s="46">
        <v>1</v>
      </c>
      <c r="G82" s="13">
        <f>TRUNC(SUM(G85:G87)*0.02,1)</f>
        <v>24335.1</v>
      </c>
      <c r="H82" s="46">
        <v>1</v>
      </c>
      <c r="I82" s="13">
        <f>TRUNC(SUM(I85:I87)*0.02,1)</f>
        <v>19538.900000000001</v>
      </c>
    </row>
    <row r="83" spans="2:13" ht="12.95" customHeight="1" x14ac:dyDescent="0.3">
      <c r="B83" s="20" t="s">
        <v>10</v>
      </c>
      <c r="C83" s="23"/>
      <c r="D83" s="22"/>
      <c r="E83" s="21"/>
      <c r="F83" s="27"/>
      <c r="G83" s="19">
        <f>TRUNC(SUM(G81:G82))</f>
        <v>48670</v>
      </c>
      <c r="H83" s="27"/>
      <c r="I83" s="19">
        <f>TRUNC(SUM(I81:I82))</f>
        <v>39077</v>
      </c>
    </row>
    <row r="84" spans="2:13" ht="12.95" customHeight="1" x14ac:dyDescent="0.3">
      <c r="B84" s="36"/>
      <c r="C84" s="37"/>
      <c r="D84" s="37"/>
      <c r="E84" s="45"/>
      <c r="F84" s="49"/>
      <c r="G84" s="31"/>
      <c r="H84" s="49"/>
      <c r="I84" s="31"/>
    </row>
    <row r="85" spans="2:13" ht="12.95" customHeight="1" x14ac:dyDescent="0.3">
      <c r="B85" s="16" t="s">
        <v>18</v>
      </c>
      <c r="C85" s="9"/>
      <c r="D85" s="3" t="s">
        <v>34</v>
      </c>
      <c r="E85" s="57">
        <v>282536</v>
      </c>
      <c r="F85" s="46">
        <v>2</v>
      </c>
      <c r="G85" s="7">
        <f t="shared" ref="G85:G87" si="13">TRUNC($E85*F85,1)</f>
        <v>565072</v>
      </c>
      <c r="H85" s="46">
        <v>2</v>
      </c>
      <c r="I85" s="7">
        <f t="shared" ref="I85:I87" si="14">TRUNC($E85*H85,1)</f>
        <v>565072</v>
      </c>
    </row>
    <row r="86" spans="2:13" ht="12.95" customHeight="1" x14ac:dyDescent="0.3">
      <c r="B86" s="16" t="s">
        <v>3</v>
      </c>
      <c r="C86" s="9"/>
      <c r="D86" s="3" t="s">
        <v>34</v>
      </c>
      <c r="E86" s="57">
        <v>239808</v>
      </c>
      <c r="F86" s="46">
        <v>2</v>
      </c>
      <c r="G86" s="7">
        <f t="shared" si="13"/>
        <v>479616</v>
      </c>
      <c r="H86" s="46">
        <v>1</v>
      </c>
      <c r="I86" s="7">
        <f t="shared" si="14"/>
        <v>239808</v>
      </c>
    </row>
    <row r="87" spans="2:13" ht="12.95" customHeight="1" x14ac:dyDescent="0.3">
      <c r="B87" s="16" t="s">
        <v>2</v>
      </c>
      <c r="C87" s="9"/>
      <c r="D87" s="3" t="s">
        <v>9</v>
      </c>
      <c r="E87" s="57">
        <v>172068</v>
      </c>
      <c r="F87" s="46">
        <v>1</v>
      </c>
      <c r="G87" s="7">
        <f t="shared" si="13"/>
        <v>172068</v>
      </c>
      <c r="H87" s="46">
        <v>1</v>
      </c>
      <c r="I87" s="7">
        <f t="shared" si="14"/>
        <v>172068</v>
      </c>
    </row>
    <row r="88" spans="2:13" ht="12.95" customHeight="1" x14ac:dyDescent="0.3">
      <c r="B88" s="18" t="s">
        <v>11</v>
      </c>
      <c r="C88" s="37"/>
      <c r="D88" s="37"/>
      <c r="E88" s="45"/>
      <c r="F88" s="49"/>
      <c r="G88" s="43">
        <f>TRUNC(SUM(G85:G87))</f>
        <v>1216756</v>
      </c>
      <c r="H88" s="49"/>
      <c r="I88" s="43">
        <f>TRUNC(SUM(I85:I87))</f>
        <v>976948</v>
      </c>
    </row>
    <row r="89" spans="2:13" ht="12.95" customHeight="1" x14ac:dyDescent="0.3">
      <c r="B89" s="36"/>
      <c r="C89" s="37"/>
      <c r="D89" s="37"/>
      <c r="E89" s="45"/>
      <c r="F89" s="49"/>
      <c r="G89" s="31"/>
      <c r="H89" s="49"/>
      <c r="I89" s="31"/>
    </row>
    <row r="90" spans="2:13" ht="12.95" customHeight="1" x14ac:dyDescent="0.3">
      <c r="B90" s="68" t="s">
        <v>13</v>
      </c>
      <c r="C90" s="37"/>
      <c r="D90" s="37"/>
      <c r="E90" s="30"/>
      <c r="F90" s="30"/>
      <c r="G90" s="69">
        <f>SUM(G83+G88)</f>
        <v>1265426</v>
      </c>
      <c r="H90" s="30"/>
      <c r="I90" s="69">
        <f>SUM(I83+I88)</f>
        <v>1016025</v>
      </c>
      <c r="L90" s="26"/>
      <c r="M90" s="26"/>
    </row>
    <row r="91" spans="2:13" ht="12.95" customHeight="1" x14ac:dyDescent="0.3">
      <c r="B91" s="15" t="s">
        <v>91</v>
      </c>
      <c r="C91" s="70"/>
      <c r="D91" s="71"/>
      <c r="E91" s="72"/>
      <c r="F91" s="73"/>
      <c r="G91" s="74">
        <f>TRUNC(G90/G79)</f>
        <v>5751936</v>
      </c>
      <c r="H91" s="73"/>
      <c r="I91" s="74">
        <f>TRUNC(I90/I79)</f>
        <v>3628660</v>
      </c>
      <c r="L91" s="26"/>
      <c r="M91" s="26"/>
    </row>
    <row r="92" spans="2:13" ht="12.95" customHeight="1" x14ac:dyDescent="0.3">
      <c r="L92" s="26"/>
      <c r="M92" s="26"/>
    </row>
    <row r="93" spans="2:13" ht="12.95" customHeight="1" x14ac:dyDescent="0.3">
      <c r="B93" s="39" t="s">
        <v>58</v>
      </c>
      <c r="C93" s="40"/>
      <c r="D93" s="25"/>
      <c r="E93" s="41"/>
      <c r="F93" s="25"/>
      <c r="G93" s="65" t="s">
        <v>86</v>
      </c>
    </row>
    <row r="94" spans="2:13" ht="12.95" customHeight="1" x14ac:dyDescent="0.3">
      <c r="B94" s="80" t="s">
        <v>4</v>
      </c>
      <c r="C94" s="83" t="s">
        <v>15</v>
      </c>
      <c r="D94" s="94" t="s">
        <v>8</v>
      </c>
      <c r="E94" s="89" t="s">
        <v>5</v>
      </c>
      <c r="F94" s="66" t="s">
        <v>88</v>
      </c>
      <c r="G94" s="67">
        <v>43</v>
      </c>
    </row>
    <row r="95" spans="2:13" ht="12.95" customHeight="1" x14ac:dyDescent="0.3">
      <c r="B95" s="82"/>
      <c r="C95" s="85"/>
      <c r="D95" s="94"/>
      <c r="E95" s="91"/>
      <c r="F95" s="63" t="s">
        <v>19</v>
      </c>
      <c r="G95" s="64" t="s">
        <v>20</v>
      </c>
    </row>
    <row r="96" spans="2:13" ht="12.95" customHeight="1" x14ac:dyDescent="0.3">
      <c r="B96" s="11" t="s">
        <v>21</v>
      </c>
      <c r="C96" s="6" t="s">
        <v>23</v>
      </c>
      <c r="D96" s="51" t="s">
        <v>14</v>
      </c>
      <c r="E96" s="12"/>
      <c r="F96" s="46">
        <v>1</v>
      </c>
      <c r="G96" s="13">
        <f>TRUNC(SUM(G99:G100)*0.03,1)</f>
        <v>19550.5</v>
      </c>
    </row>
    <row r="97" spans="2:11" ht="12.95" customHeight="1" x14ac:dyDescent="0.3">
      <c r="B97" s="20" t="s">
        <v>10</v>
      </c>
      <c r="C97" s="23"/>
      <c r="D97" s="22"/>
      <c r="E97" s="21"/>
      <c r="F97" s="27"/>
      <c r="G97" s="19">
        <f>TRUNC(SUM(G96:G96))</f>
        <v>19550</v>
      </c>
    </row>
    <row r="98" spans="2:11" ht="12.95" customHeight="1" x14ac:dyDescent="0.3">
      <c r="B98" s="36"/>
      <c r="C98" s="37"/>
      <c r="D98" s="37"/>
      <c r="E98" s="45"/>
      <c r="F98" s="49"/>
      <c r="G98" s="31"/>
    </row>
    <row r="99" spans="2:11" ht="12.95" customHeight="1" x14ac:dyDescent="0.3">
      <c r="B99" s="16" t="s">
        <v>3</v>
      </c>
      <c r="C99" s="9"/>
      <c r="D99" s="3" t="s">
        <v>34</v>
      </c>
      <c r="E99" s="57">
        <v>239808</v>
      </c>
      <c r="F99" s="46">
        <v>2</v>
      </c>
      <c r="G99" s="7">
        <f t="shared" ref="G99:G100" si="15">TRUNC($E99*F99,1)</f>
        <v>479616</v>
      </c>
    </row>
    <row r="100" spans="2:11" ht="12.95" customHeight="1" x14ac:dyDescent="0.3">
      <c r="B100" s="16" t="s">
        <v>2</v>
      </c>
      <c r="C100" s="9"/>
      <c r="D100" s="3" t="s">
        <v>9</v>
      </c>
      <c r="E100" s="57">
        <v>172068</v>
      </c>
      <c r="F100" s="46">
        <v>1</v>
      </c>
      <c r="G100" s="7">
        <f t="shared" si="15"/>
        <v>172068</v>
      </c>
    </row>
    <row r="101" spans="2:11" ht="12.95" customHeight="1" x14ac:dyDescent="0.3">
      <c r="B101" s="18" t="s">
        <v>11</v>
      </c>
      <c r="C101" s="37"/>
      <c r="D101" s="37"/>
      <c r="E101" s="45"/>
      <c r="F101" s="49"/>
      <c r="G101" s="43">
        <f>TRUNC(SUM(G99:G100))</f>
        <v>651684</v>
      </c>
    </row>
    <row r="102" spans="2:11" ht="12.95" customHeight="1" x14ac:dyDescent="0.3">
      <c r="B102" s="36"/>
      <c r="C102" s="37"/>
      <c r="D102" s="37"/>
      <c r="E102" s="45"/>
      <c r="F102" s="49"/>
      <c r="G102" s="31"/>
    </row>
    <row r="103" spans="2:11" ht="12.95" customHeight="1" x14ac:dyDescent="0.3">
      <c r="B103" s="68" t="s">
        <v>13</v>
      </c>
      <c r="C103" s="37"/>
      <c r="D103" s="37"/>
      <c r="E103" s="30"/>
      <c r="F103" s="30"/>
      <c r="G103" s="69">
        <f>SUM(G97+G101)</f>
        <v>671234</v>
      </c>
      <c r="J103" s="26"/>
      <c r="K103" s="26"/>
    </row>
    <row r="104" spans="2:11" ht="12.95" customHeight="1" x14ac:dyDescent="0.3">
      <c r="B104" s="15" t="s">
        <v>89</v>
      </c>
      <c r="C104" s="70"/>
      <c r="D104" s="71"/>
      <c r="E104" s="72"/>
      <c r="F104" s="73"/>
      <c r="G104" s="74">
        <f>TRUNC(G103/G94)</f>
        <v>15610</v>
      </c>
      <c r="J104" s="26"/>
      <c r="K104" s="26"/>
    </row>
    <row r="105" spans="2:11" ht="12.95" customHeight="1" x14ac:dyDescent="0.3">
      <c r="J105" s="26"/>
      <c r="K105" s="26"/>
    </row>
    <row r="106" spans="2:11" ht="12.95" customHeight="1" x14ac:dyDescent="0.3">
      <c r="B106" s="39" t="s">
        <v>92</v>
      </c>
      <c r="C106" s="40"/>
      <c r="D106" s="25"/>
      <c r="E106" s="41"/>
      <c r="F106" s="25"/>
      <c r="G106" s="41" t="s">
        <v>31</v>
      </c>
    </row>
    <row r="107" spans="2:11" ht="12.95" customHeight="1" x14ac:dyDescent="0.3">
      <c r="B107" s="80" t="s">
        <v>4</v>
      </c>
      <c r="C107" s="83" t="s">
        <v>15</v>
      </c>
      <c r="D107" s="94" t="s">
        <v>8</v>
      </c>
      <c r="E107" s="89" t="s">
        <v>5</v>
      </c>
      <c r="F107" s="94" t="s">
        <v>19</v>
      </c>
      <c r="G107" s="92" t="s">
        <v>20</v>
      </c>
    </row>
    <row r="108" spans="2:11" ht="12.95" customHeight="1" x14ac:dyDescent="0.3">
      <c r="B108" s="82"/>
      <c r="C108" s="85"/>
      <c r="D108" s="94"/>
      <c r="E108" s="91"/>
      <c r="F108" s="94"/>
      <c r="G108" s="93"/>
    </row>
    <row r="109" spans="2:11" ht="12.95" customHeight="1" x14ac:dyDescent="0.3">
      <c r="B109" s="11" t="s">
        <v>59</v>
      </c>
      <c r="C109" s="6" t="s">
        <v>97</v>
      </c>
      <c r="D109" s="51" t="s">
        <v>48</v>
      </c>
      <c r="E109" s="52">
        <v>0</v>
      </c>
      <c r="F109" s="50">
        <v>3.3</v>
      </c>
      <c r="G109" s="7">
        <f t="shared" ref="G109:G110" si="16">TRUNC($E109*F109,1)</f>
        <v>0</v>
      </c>
    </row>
    <row r="110" spans="2:11" ht="12.95" customHeight="1" x14ac:dyDescent="0.3">
      <c r="B110" s="11" t="s">
        <v>60</v>
      </c>
      <c r="C110" s="6" t="s">
        <v>98</v>
      </c>
      <c r="D110" s="51" t="s">
        <v>48</v>
      </c>
      <c r="E110" s="52">
        <v>0</v>
      </c>
      <c r="F110" s="50">
        <v>0.7</v>
      </c>
      <c r="G110" s="7">
        <f t="shared" si="16"/>
        <v>0</v>
      </c>
    </row>
    <row r="111" spans="2:11" ht="12.95" customHeight="1" x14ac:dyDescent="0.3">
      <c r="B111" s="20" t="s">
        <v>10</v>
      </c>
      <c r="C111" s="23"/>
      <c r="D111" s="22"/>
      <c r="E111" s="21"/>
      <c r="F111" s="27"/>
      <c r="G111" s="19">
        <f>TRUNC(SUM(G109:G110))</f>
        <v>0</v>
      </c>
    </row>
    <row r="112" spans="2:11" ht="12.95" customHeight="1" x14ac:dyDescent="0.3">
      <c r="B112" s="36"/>
      <c r="C112" s="37"/>
      <c r="D112" s="37"/>
      <c r="E112" s="45"/>
      <c r="F112" s="49"/>
      <c r="G112" s="31"/>
    </row>
    <row r="113" spans="2:9" ht="12.95" customHeight="1" x14ac:dyDescent="0.3">
      <c r="B113" s="15" t="s">
        <v>13</v>
      </c>
      <c r="C113" s="38"/>
      <c r="D113" s="38"/>
      <c r="E113" s="34"/>
      <c r="F113" s="34"/>
      <c r="G113" s="35">
        <f>SUM(G111)</f>
        <v>0</v>
      </c>
    </row>
    <row r="115" spans="2:9" ht="12.95" customHeight="1" x14ac:dyDescent="0.3">
      <c r="B115" s="2" t="s">
        <v>73</v>
      </c>
      <c r="C115" s="40"/>
      <c r="D115" s="25"/>
      <c r="E115" s="41"/>
      <c r="F115" s="25"/>
      <c r="G115" s="25"/>
      <c r="H115" s="25"/>
      <c r="I115" s="65" t="s">
        <v>86</v>
      </c>
    </row>
    <row r="116" spans="2:9" ht="12.95" customHeight="1" x14ac:dyDescent="0.3">
      <c r="B116" s="80" t="s">
        <v>4</v>
      </c>
      <c r="C116" s="83" t="s">
        <v>15</v>
      </c>
      <c r="D116" s="86" t="s">
        <v>8</v>
      </c>
      <c r="E116" s="89" t="s">
        <v>5</v>
      </c>
      <c r="F116" s="78" t="s">
        <v>66</v>
      </c>
      <c r="G116" s="79"/>
      <c r="H116" s="78" t="s">
        <v>67</v>
      </c>
      <c r="I116" s="79"/>
    </row>
    <row r="117" spans="2:9" ht="12.95" customHeight="1" x14ac:dyDescent="0.3">
      <c r="B117" s="81"/>
      <c r="C117" s="84"/>
      <c r="D117" s="87"/>
      <c r="E117" s="90"/>
      <c r="F117" s="66" t="s">
        <v>87</v>
      </c>
      <c r="G117" s="67">
        <v>40</v>
      </c>
      <c r="H117" s="66" t="s">
        <v>88</v>
      </c>
      <c r="I117" s="67">
        <v>30</v>
      </c>
    </row>
    <row r="118" spans="2:9" ht="12.95" customHeight="1" x14ac:dyDescent="0.3">
      <c r="B118" s="82"/>
      <c r="C118" s="85"/>
      <c r="D118" s="88"/>
      <c r="E118" s="91"/>
      <c r="F118" s="63" t="s">
        <v>19</v>
      </c>
      <c r="G118" s="64" t="s">
        <v>20</v>
      </c>
      <c r="H118" s="63" t="s">
        <v>19</v>
      </c>
      <c r="I118" s="64" t="s">
        <v>20</v>
      </c>
    </row>
    <row r="119" spans="2:9" ht="12.95" customHeight="1" x14ac:dyDescent="0.3">
      <c r="B119" s="29" t="s">
        <v>96</v>
      </c>
      <c r="C119" s="29" t="s">
        <v>65</v>
      </c>
      <c r="D119" s="42" t="s">
        <v>16</v>
      </c>
      <c r="E119" s="60">
        <v>9107</v>
      </c>
      <c r="F119" s="46">
        <v>8</v>
      </c>
      <c r="G119" s="7">
        <f>TRUNC($E119*F119,1)</f>
        <v>72856</v>
      </c>
      <c r="H119" s="46">
        <v>8</v>
      </c>
      <c r="I119" s="7">
        <f>TRUNC($E119*H119,1)</f>
        <v>72856</v>
      </c>
    </row>
    <row r="120" spans="2:9" ht="12.95" customHeight="1" x14ac:dyDescent="0.3">
      <c r="B120" s="11" t="s">
        <v>21</v>
      </c>
      <c r="C120" s="6" t="s">
        <v>23</v>
      </c>
      <c r="D120" s="51" t="s">
        <v>14</v>
      </c>
      <c r="E120" s="12"/>
      <c r="F120" s="46">
        <v>1</v>
      </c>
      <c r="G120" s="13">
        <f>TRUNC(SUM(G123:G124)*0.03,1)</f>
        <v>25513</v>
      </c>
      <c r="H120" s="46">
        <v>1</v>
      </c>
      <c r="I120" s="13">
        <f>TRUNC(SUM(I123:I124)*0.03,1)</f>
        <v>25513</v>
      </c>
    </row>
    <row r="121" spans="2:9" ht="12.95" customHeight="1" x14ac:dyDescent="0.3">
      <c r="B121" s="20" t="s">
        <v>10</v>
      </c>
      <c r="C121" s="23"/>
      <c r="D121" s="22"/>
      <c r="E121" s="21"/>
      <c r="F121" s="27"/>
      <c r="G121" s="19">
        <f>TRUNC(SUM(G120:G120))</f>
        <v>25513</v>
      </c>
      <c r="H121" s="27"/>
      <c r="I121" s="19">
        <f>TRUNC(SUM(I120:I120))</f>
        <v>25513</v>
      </c>
    </row>
    <row r="122" spans="2:9" ht="12.95" customHeight="1" x14ac:dyDescent="0.3">
      <c r="B122" s="36"/>
      <c r="C122" s="37"/>
      <c r="D122" s="37"/>
      <c r="E122" s="45"/>
      <c r="F122" s="49"/>
      <c r="G122" s="31"/>
      <c r="H122" s="49"/>
      <c r="I122" s="31"/>
    </row>
    <row r="123" spans="2:9" ht="12.95" customHeight="1" x14ac:dyDescent="0.3">
      <c r="B123" s="16" t="s">
        <v>17</v>
      </c>
      <c r="C123" s="9"/>
      <c r="D123" s="3" t="s">
        <v>9</v>
      </c>
      <c r="E123" s="47">
        <v>226122</v>
      </c>
      <c r="F123" s="46">
        <v>3</v>
      </c>
      <c r="G123" s="7">
        <f t="shared" ref="G123:G124" si="17">TRUNC($E123*F123,1)</f>
        <v>678366</v>
      </c>
      <c r="H123" s="46">
        <v>3</v>
      </c>
      <c r="I123" s="7">
        <f t="shared" ref="I123:I124" si="18">TRUNC($E123*H123,1)</f>
        <v>678366</v>
      </c>
    </row>
    <row r="124" spans="2:9" ht="12.95" customHeight="1" x14ac:dyDescent="0.3">
      <c r="B124" s="16" t="s">
        <v>2</v>
      </c>
      <c r="C124" s="9"/>
      <c r="D124" s="3" t="s">
        <v>9</v>
      </c>
      <c r="E124" s="59">
        <v>172068</v>
      </c>
      <c r="F124" s="46">
        <v>1</v>
      </c>
      <c r="G124" s="7">
        <f t="shared" si="17"/>
        <v>172068</v>
      </c>
      <c r="H124" s="46">
        <v>1</v>
      </c>
      <c r="I124" s="7">
        <f t="shared" si="18"/>
        <v>172068</v>
      </c>
    </row>
    <row r="125" spans="2:9" ht="12.95" customHeight="1" x14ac:dyDescent="0.3">
      <c r="B125" s="29" t="s">
        <v>96</v>
      </c>
      <c r="C125" s="29" t="s">
        <v>65</v>
      </c>
      <c r="D125" s="42" t="s">
        <v>16</v>
      </c>
      <c r="E125" s="60">
        <v>58925</v>
      </c>
      <c r="F125" s="46">
        <v>8</v>
      </c>
      <c r="G125" s="7">
        <f>TRUNC($E125*F125,1)</f>
        <v>471400</v>
      </c>
      <c r="H125" s="46">
        <v>8</v>
      </c>
      <c r="I125" s="7">
        <f>TRUNC($E125*H125,1)</f>
        <v>471400</v>
      </c>
    </row>
    <row r="126" spans="2:9" ht="12.95" customHeight="1" x14ac:dyDescent="0.3">
      <c r="B126" s="18" t="s">
        <v>11</v>
      </c>
      <c r="C126" s="37"/>
      <c r="D126" s="37"/>
      <c r="E126" s="45"/>
      <c r="F126" s="49"/>
      <c r="G126" s="43">
        <f>TRUNC(SUM(G123:G124))</f>
        <v>850434</v>
      </c>
      <c r="H126" s="49"/>
      <c r="I126" s="43">
        <f>TRUNC(SUM(I123:I124))</f>
        <v>850434</v>
      </c>
    </row>
    <row r="127" spans="2:9" ht="12.95" customHeight="1" x14ac:dyDescent="0.3">
      <c r="B127" s="36"/>
      <c r="C127" s="37"/>
      <c r="D127" s="37"/>
      <c r="E127" s="45"/>
      <c r="F127" s="49"/>
      <c r="G127" s="31"/>
      <c r="H127" s="49"/>
      <c r="I127" s="31"/>
    </row>
    <row r="128" spans="2:9" ht="12.95" customHeight="1" x14ac:dyDescent="0.3">
      <c r="B128" s="29" t="s">
        <v>96</v>
      </c>
      <c r="C128" s="29" t="s">
        <v>65</v>
      </c>
      <c r="D128" s="42" t="s">
        <v>16</v>
      </c>
      <c r="E128" s="60">
        <v>13873</v>
      </c>
      <c r="F128" s="46">
        <v>8</v>
      </c>
      <c r="G128" s="7">
        <f>TRUNC($E128*F128,1)</f>
        <v>110984</v>
      </c>
      <c r="H128" s="46">
        <v>8</v>
      </c>
      <c r="I128" s="7">
        <f>TRUNC($E128*H128,1)</f>
        <v>110984</v>
      </c>
    </row>
    <row r="129" spans="2:13" ht="12.95" customHeight="1" x14ac:dyDescent="0.3">
      <c r="B129" s="20" t="s">
        <v>12</v>
      </c>
      <c r="C129" s="37"/>
      <c r="D129" s="37"/>
      <c r="E129" s="30"/>
      <c r="F129" s="32"/>
      <c r="G129" s="44">
        <f>TRUNC(SUM(G128:G128))</f>
        <v>110984</v>
      </c>
      <c r="H129" s="32"/>
      <c r="I129" s="44">
        <f>TRUNC(SUM(I128:I128))</f>
        <v>110984</v>
      </c>
    </row>
    <row r="130" spans="2:13" ht="12.95" customHeight="1" x14ac:dyDescent="0.3">
      <c r="B130" s="14"/>
      <c r="C130" s="29"/>
      <c r="D130" s="29"/>
      <c r="E130" s="33"/>
      <c r="F130" s="27"/>
      <c r="G130" s="28"/>
      <c r="H130" s="27"/>
      <c r="I130" s="28"/>
    </row>
    <row r="131" spans="2:13" ht="12.95" customHeight="1" x14ac:dyDescent="0.3">
      <c r="B131" s="68" t="s">
        <v>13</v>
      </c>
      <c r="C131" s="37"/>
      <c r="D131" s="37"/>
      <c r="E131" s="30"/>
      <c r="F131" s="30"/>
      <c r="G131" s="76">
        <f>SUM(G121+G126+G129)</f>
        <v>986931</v>
      </c>
      <c r="H131" s="30"/>
      <c r="I131" s="69">
        <f>SUM(I121+I126+I129)</f>
        <v>986931</v>
      </c>
      <c r="L131" s="26"/>
      <c r="M131" s="26"/>
    </row>
    <row r="132" spans="2:13" ht="12.95" customHeight="1" x14ac:dyDescent="0.3">
      <c r="B132" s="15" t="s">
        <v>89</v>
      </c>
      <c r="C132" s="70"/>
      <c r="D132" s="71"/>
      <c r="E132" s="72"/>
      <c r="F132" s="73"/>
      <c r="G132" s="77">
        <f>TRUNC(G131/G117)</f>
        <v>24673</v>
      </c>
      <c r="H132" s="73"/>
      <c r="I132" s="74">
        <f>TRUNC(I131/I117)</f>
        <v>32897</v>
      </c>
      <c r="L132" s="26"/>
      <c r="M132" s="26"/>
    </row>
    <row r="133" spans="2:13" ht="12.95" customHeight="1" x14ac:dyDescent="0.3">
      <c r="L133" s="26"/>
      <c r="M133" s="26"/>
    </row>
    <row r="134" spans="2:13" ht="12.95" customHeight="1" x14ac:dyDescent="0.3">
      <c r="B134" s="39" t="s">
        <v>71</v>
      </c>
      <c r="C134" s="40"/>
      <c r="D134" s="25"/>
      <c r="E134" s="41"/>
      <c r="F134" s="25"/>
      <c r="G134" s="25"/>
      <c r="H134" s="25"/>
      <c r="I134" s="25"/>
      <c r="J134" s="25"/>
      <c r="K134" s="65" t="s">
        <v>86</v>
      </c>
    </row>
    <row r="135" spans="2:13" ht="12.95" customHeight="1" x14ac:dyDescent="0.3">
      <c r="B135" s="80" t="s">
        <v>4</v>
      </c>
      <c r="C135" s="83" t="s">
        <v>15</v>
      </c>
      <c r="D135" s="86" t="s">
        <v>8</v>
      </c>
      <c r="E135" s="89" t="s">
        <v>5</v>
      </c>
      <c r="F135" s="78" t="s">
        <v>74</v>
      </c>
      <c r="G135" s="79"/>
      <c r="H135" s="79"/>
      <c r="I135" s="79"/>
      <c r="J135" s="79"/>
      <c r="K135" s="79"/>
    </row>
    <row r="136" spans="2:13" ht="12.95" customHeight="1" x14ac:dyDescent="0.3">
      <c r="B136" s="81"/>
      <c r="C136" s="84"/>
      <c r="D136" s="87"/>
      <c r="E136" s="90"/>
      <c r="F136" s="78" t="s">
        <v>75</v>
      </c>
      <c r="G136" s="79"/>
      <c r="H136" s="78" t="s">
        <v>76</v>
      </c>
      <c r="I136" s="79"/>
      <c r="J136" s="78" t="s">
        <v>77</v>
      </c>
      <c r="K136" s="79"/>
    </row>
    <row r="137" spans="2:13" ht="12.95" customHeight="1" x14ac:dyDescent="0.3">
      <c r="B137" s="81"/>
      <c r="C137" s="84"/>
      <c r="D137" s="87"/>
      <c r="E137" s="90"/>
      <c r="F137" s="66" t="s">
        <v>93</v>
      </c>
      <c r="G137" s="67">
        <v>60</v>
      </c>
      <c r="H137" s="66" t="s">
        <v>94</v>
      </c>
      <c r="I137" s="67">
        <v>62</v>
      </c>
      <c r="J137" s="66" t="s">
        <v>94</v>
      </c>
      <c r="K137" s="67">
        <v>65</v>
      </c>
    </row>
    <row r="138" spans="2:13" ht="12.95" customHeight="1" x14ac:dyDescent="0.3">
      <c r="B138" s="82"/>
      <c r="C138" s="85"/>
      <c r="D138" s="88"/>
      <c r="E138" s="91"/>
      <c r="F138" s="63" t="s">
        <v>19</v>
      </c>
      <c r="G138" s="64" t="s">
        <v>20</v>
      </c>
      <c r="H138" s="63" t="s">
        <v>19</v>
      </c>
      <c r="I138" s="64" t="s">
        <v>20</v>
      </c>
      <c r="J138" s="63" t="s">
        <v>19</v>
      </c>
      <c r="K138" s="64" t="s">
        <v>20</v>
      </c>
    </row>
    <row r="139" spans="2:13" ht="12.95" customHeight="1" x14ac:dyDescent="0.3">
      <c r="B139" s="11" t="s">
        <v>21</v>
      </c>
      <c r="C139" s="6" t="s">
        <v>61</v>
      </c>
      <c r="D139" s="51" t="s">
        <v>14</v>
      </c>
      <c r="E139" s="12"/>
      <c r="F139" s="46">
        <v>1</v>
      </c>
      <c r="G139" s="13">
        <f>TRUNC(SUM(G142:G143)*0.06,1)</f>
        <v>41150</v>
      </c>
      <c r="H139" s="46">
        <v>1</v>
      </c>
      <c r="I139" s="13">
        <f>TRUNC(SUM(I142:I143)*0.06,1)</f>
        <v>41150</v>
      </c>
      <c r="J139" s="46">
        <v>1</v>
      </c>
      <c r="K139" s="13">
        <f>TRUNC(SUM(K142:K143)*0.06,1)</f>
        <v>41150</v>
      </c>
    </row>
    <row r="140" spans="2:13" ht="12.95" customHeight="1" x14ac:dyDescent="0.3">
      <c r="B140" s="20" t="s">
        <v>10</v>
      </c>
      <c r="C140" s="23"/>
      <c r="D140" s="22"/>
      <c r="E140" s="21"/>
      <c r="F140" s="27"/>
      <c r="G140" s="19">
        <f>TRUNC(SUM(G139:G139))</f>
        <v>41150</v>
      </c>
      <c r="H140" s="27"/>
      <c r="I140" s="19">
        <f>TRUNC(SUM(I139:I139))</f>
        <v>41150</v>
      </c>
      <c r="J140" s="27"/>
      <c r="K140" s="19">
        <f>TRUNC(SUM(K139:K139))</f>
        <v>41150</v>
      </c>
    </row>
    <row r="141" spans="2:13" ht="12.95" customHeight="1" x14ac:dyDescent="0.3">
      <c r="B141" s="36"/>
      <c r="C141" s="37"/>
      <c r="D141" s="37"/>
      <c r="E141" s="45"/>
      <c r="F141" s="49"/>
      <c r="G141" s="31"/>
      <c r="H141" s="49"/>
      <c r="I141" s="31"/>
      <c r="J141" s="49"/>
      <c r="K141" s="31"/>
    </row>
    <row r="142" spans="2:13" ht="12.95" customHeight="1" x14ac:dyDescent="0.3">
      <c r="B142" s="16" t="s">
        <v>0</v>
      </c>
      <c r="C142" s="9"/>
      <c r="D142" s="3" t="s">
        <v>34</v>
      </c>
      <c r="E142" s="57">
        <v>256883</v>
      </c>
      <c r="F142" s="46">
        <v>2</v>
      </c>
      <c r="G142" s="7">
        <f t="shared" ref="G142:G143" si="19">TRUNC($E142*F142,1)</f>
        <v>513766</v>
      </c>
      <c r="H142" s="46">
        <v>2</v>
      </c>
      <c r="I142" s="7">
        <f t="shared" ref="I142:I143" si="20">TRUNC($E142*H142,1)</f>
        <v>513766</v>
      </c>
      <c r="J142" s="46">
        <v>2</v>
      </c>
      <c r="K142" s="7">
        <f t="shared" ref="K142:K143" si="21">TRUNC($E142*J142,1)</f>
        <v>513766</v>
      </c>
    </row>
    <row r="143" spans="2:13" ht="12.95" customHeight="1" x14ac:dyDescent="0.3">
      <c r="B143" s="16" t="s">
        <v>2</v>
      </c>
      <c r="C143" s="9"/>
      <c r="D143" s="3" t="s">
        <v>34</v>
      </c>
      <c r="E143" s="57">
        <v>172068</v>
      </c>
      <c r="F143" s="46">
        <v>1</v>
      </c>
      <c r="G143" s="7">
        <f t="shared" si="19"/>
        <v>172068</v>
      </c>
      <c r="H143" s="46">
        <v>1</v>
      </c>
      <c r="I143" s="7">
        <f t="shared" si="20"/>
        <v>172068</v>
      </c>
      <c r="J143" s="46">
        <v>1</v>
      </c>
      <c r="K143" s="7">
        <f t="shared" si="21"/>
        <v>172068</v>
      </c>
    </row>
    <row r="144" spans="2:13" ht="12.95" customHeight="1" x14ac:dyDescent="0.3">
      <c r="B144" s="18" t="s">
        <v>11</v>
      </c>
      <c r="C144" s="37"/>
      <c r="D144" s="37"/>
      <c r="E144" s="45"/>
      <c r="F144" s="49"/>
      <c r="G144" s="43">
        <f>TRUNC(SUM(G142:G143))</f>
        <v>685834</v>
      </c>
      <c r="H144" s="49"/>
      <c r="I144" s="43">
        <f>TRUNC(SUM(I142:I143))</f>
        <v>685834</v>
      </c>
      <c r="J144" s="49"/>
      <c r="K144" s="43">
        <f>TRUNC(SUM(K142:K143))</f>
        <v>685834</v>
      </c>
    </row>
    <row r="145" spans="2:11" ht="12.95" customHeight="1" x14ac:dyDescent="0.3">
      <c r="B145" s="36"/>
      <c r="C145" s="37"/>
      <c r="D145" s="37"/>
      <c r="E145" s="45"/>
      <c r="F145" s="49"/>
      <c r="G145" s="31"/>
      <c r="H145" s="49"/>
      <c r="I145" s="31"/>
      <c r="J145" s="49"/>
      <c r="K145" s="31"/>
    </row>
    <row r="146" spans="2:11" ht="12.95" customHeight="1" x14ac:dyDescent="0.3">
      <c r="B146" s="68" t="s">
        <v>13</v>
      </c>
      <c r="C146" s="37"/>
      <c r="D146" s="37"/>
      <c r="E146" s="30"/>
      <c r="F146" s="30"/>
      <c r="G146" s="76">
        <f>SUM(G140+G144)</f>
        <v>726984</v>
      </c>
      <c r="H146" s="30"/>
      <c r="I146" s="76">
        <f>SUM(I140+I144)</f>
        <v>726984</v>
      </c>
      <c r="J146" s="30"/>
      <c r="K146" s="69">
        <f>SUM(K140+K144)</f>
        <v>726984</v>
      </c>
    </row>
    <row r="147" spans="2:11" ht="12.95" customHeight="1" x14ac:dyDescent="0.3">
      <c r="B147" s="15" t="s">
        <v>95</v>
      </c>
      <c r="C147" s="70"/>
      <c r="D147" s="71"/>
      <c r="E147" s="72"/>
      <c r="F147" s="73"/>
      <c r="G147" s="77">
        <f>TRUNC(G146/G137)</f>
        <v>12116</v>
      </c>
      <c r="H147" s="73"/>
      <c r="I147" s="74">
        <f>TRUNC(I146/I137)</f>
        <v>11725</v>
      </c>
      <c r="J147" s="73"/>
      <c r="K147" s="74">
        <f>TRUNC(K146/K137)</f>
        <v>11184</v>
      </c>
    </row>
    <row r="149" spans="2:11" ht="12.95" customHeight="1" x14ac:dyDescent="0.3">
      <c r="B149" s="39" t="s">
        <v>80</v>
      </c>
      <c r="C149" s="40"/>
      <c r="D149" s="25"/>
      <c r="E149" s="41"/>
      <c r="F149" s="25"/>
      <c r="G149" s="65" t="s">
        <v>86</v>
      </c>
    </row>
    <row r="150" spans="2:11" ht="12.95" customHeight="1" x14ac:dyDescent="0.3">
      <c r="B150" s="80" t="s">
        <v>4</v>
      </c>
      <c r="C150" s="83" t="s">
        <v>15</v>
      </c>
      <c r="D150" s="94" t="s">
        <v>8</v>
      </c>
      <c r="E150" s="89" t="s">
        <v>5</v>
      </c>
      <c r="F150" s="66" t="s">
        <v>94</v>
      </c>
      <c r="G150" s="67">
        <v>65</v>
      </c>
    </row>
    <row r="151" spans="2:11" ht="12.95" customHeight="1" x14ac:dyDescent="0.3">
      <c r="B151" s="82"/>
      <c r="C151" s="85"/>
      <c r="D151" s="94"/>
      <c r="E151" s="91"/>
      <c r="F151" s="63" t="s">
        <v>19</v>
      </c>
      <c r="G151" s="64" t="s">
        <v>20</v>
      </c>
    </row>
    <row r="152" spans="2:11" ht="12.95" customHeight="1" x14ac:dyDescent="0.3">
      <c r="B152" s="11" t="s">
        <v>21</v>
      </c>
      <c r="C152" s="6" t="s">
        <v>61</v>
      </c>
      <c r="D152" s="51" t="s">
        <v>14</v>
      </c>
      <c r="E152" s="12"/>
      <c r="F152" s="46">
        <v>1</v>
      </c>
      <c r="G152" s="13">
        <f>TRUNC(SUM(G155:G156)*0.06,1)</f>
        <v>41150</v>
      </c>
    </row>
    <row r="153" spans="2:11" ht="12.95" customHeight="1" x14ac:dyDescent="0.3">
      <c r="B153" s="20" t="s">
        <v>10</v>
      </c>
      <c r="C153" s="23"/>
      <c r="D153" s="22"/>
      <c r="E153" s="21"/>
      <c r="F153" s="27"/>
      <c r="G153" s="19">
        <f>TRUNC(SUM(G152:G152))</f>
        <v>41150</v>
      </c>
    </row>
    <row r="154" spans="2:11" ht="12.95" customHeight="1" x14ac:dyDescent="0.3">
      <c r="B154" s="36"/>
      <c r="C154" s="37"/>
      <c r="D154" s="37"/>
      <c r="E154" s="45"/>
      <c r="F154" s="49"/>
      <c r="G154" s="31"/>
    </row>
    <row r="155" spans="2:11" ht="12.95" customHeight="1" x14ac:dyDescent="0.3">
      <c r="B155" s="16" t="s">
        <v>0</v>
      </c>
      <c r="C155" s="9"/>
      <c r="D155" s="3" t="s">
        <v>34</v>
      </c>
      <c r="E155" s="57">
        <v>256883</v>
      </c>
      <c r="F155" s="46">
        <v>2</v>
      </c>
      <c r="G155" s="7">
        <f t="shared" ref="G155:G156" si="22">TRUNC($E155*F155,1)</f>
        <v>513766</v>
      </c>
    </row>
    <row r="156" spans="2:11" ht="12.95" customHeight="1" x14ac:dyDescent="0.3">
      <c r="B156" s="16" t="s">
        <v>2</v>
      </c>
      <c r="C156" s="9"/>
      <c r="D156" s="3" t="s">
        <v>34</v>
      </c>
      <c r="E156" s="57">
        <v>172068</v>
      </c>
      <c r="F156" s="46">
        <v>1</v>
      </c>
      <c r="G156" s="7">
        <f t="shared" si="22"/>
        <v>172068</v>
      </c>
    </row>
    <row r="157" spans="2:11" ht="12.95" customHeight="1" x14ac:dyDescent="0.3">
      <c r="B157" s="18" t="s">
        <v>11</v>
      </c>
      <c r="C157" s="37"/>
      <c r="D157" s="37"/>
      <c r="E157" s="45"/>
      <c r="F157" s="49"/>
      <c r="G157" s="43">
        <f>TRUNC(SUM(G155:G156))</f>
        <v>685834</v>
      </c>
    </row>
    <row r="158" spans="2:11" ht="12.95" customHeight="1" x14ac:dyDescent="0.3">
      <c r="B158" s="36"/>
      <c r="C158" s="37"/>
      <c r="D158" s="37"/>
      <c r="E158" s="45"/>
      <c r="F158" s="49"/>
      <c r="G158" s="31"/>
    </row>
    <row r="159" spans="2:11" ht="12.95" customHeight="1" x14ac:dyDescent="0.3">
      <c r="B159" s="68" t="s">
        <v>13</v>
      </c>
      <c r="C159" s="37"/>
      <c r="D159" s="37"/>
      <c r="E159" s="30"/>
      <c r="F159" s="30"/>
      <c r="G159" s="69">
        <f>SUM(G153+G157)</f>
        <v>726984</v>
      </c>
      <c r="J159" s="26"/>
      <c r="K159" s="26"/>
    </row>
    <row r="160" spans="2:11" ht="12.95" customHeight="1" x14ac:dyDescent="0.3">
      <c r="B160" s="15" t="s">
        <v>95</v>
      </c>
      <c r="C160" s="70"/>
      <c r="D160" s="71"/>
      <c r="E160" s="72"/>
      <c r="F160" s="73"/>
      <c r="G160" s="74">
        <f>TRUNC(G159/G150)</f>
        <v>11184</v>
      </c>
      <c r="J160" s="26"/>
      <c r="K160" s="26"/>
    </row>
    <row r="161" spans="2:11" ht="12.95" customHeight="1" x14ac:dyDescent="0.3">
      <c r="J161" s="26"/>
      <c r="K161" s="26"/>
    </row>
    <row r="162" spans="2:11" ht="12.95" customHeight="1" x14ac:dyDescent="0.3">
      <c r="B162" s="39" t="s">
        <v>103</v>
      </c>
      <c r="C162" s="40"/>
      <c r="D162" s="25"/>
      <c r="E162" s="41"/>
      <c r="F162" s="25"/>
      <c r="G162" s="25"/>
      <c r="H162" s="25"/>
      <c r="I162" s="65" t="s">
        <v>86</v>
      </c>
    </row>
    <row r="163" spans="2:11" ht="12.95" customHeight="1" x14ac:dyDescent="0.3">
      <c r="B163" s="80" t="s">
        <v>4</v>
      </c>
      <c r="C163" s="83" t="s">
        <v>15</v>
      </c>
      <c r="D163" s="86" t="s">
        <v>8</v>
      </c>
      <c r="E163" s="89" t="s">
        <v>5</v>
      </c>
      <c r="F163" s="95" t="s">
        <v>104</v>
      </c>
      <c r="G163" s="79"/>
      <c r="H163" s="79"/>
      <c r="I163" s="79"/>
    </row>
    <row r="164" spans="2:11" ht="12.95" customHeight="1" x14ac:dyDescent="0.3">
      <c r="B164" s="81"/>
      <c r="C164" s="84"/>
      <c r="D164" s="87"/>
      <c r="E164" s="90"/>
      <c r="F164" s="78" t="s">
        <v>100</v>
      </c>
      <c r="G164" s="79"/>
      <c r="H164" s="78" t="s">
        <v>101</v>
      </c>
      <c r="I164" s="79"/>
    </row>
    <row r="165" spans="2:11" ht="12.95" customHeight="1" x14ac:dyDescent="0.3">
      <c r="B165" s="81"/>
      <c r="C165" s="84"/>
      <c r="D165" s="87"/>
      <c r="E165" s="90"/>
      <c r="F165" s="66" t="s">
        <v>93</v>
      </c>
      <c r="G165" s="67">
        <v>23</v>
      </c>
      <c r="H165" s="66" t="s">
        <v>93</v>
      </c>
      <c r="I165" s="67">
        <v>20</v>
      </c>
    </row>
    <row r="166" spans="2:11" ht="12.95" customHeight="1" x14ac:dyDescent="0.3">
      <c r="B166" s="82"/>
      <c r="C166" s="85"/>
      <c r="D166" s="88"/>
      <c r="E166" s="91"/>
      <c r="F166" s="63" t="s">
        <v>19</v>
      </c>
      <c r="G166" s="64" t="s">
        <v>20</v>
      </c>
      <c r="H166" s="63" t="s">
        <v>19</v>
      </c>
      <c r="I166" s="64" t="s">
        <v>20</v>
      </c>
    </row>
    <row r="167" spans="2:11" ht="12.95" customHeight="1" x14ac:dyDescent="0.3">
      <c r="B167" s="11" t="s">
        <v>21</v>
      </c>
      <c r="C167" s="6" t="s">
        <v>23</v>
      </c>
      <c r="D167" s="51" t="s">
        <v>14</v>
      </c>
      <c r="E167" s="12"/>
      <c r="F167" s="46">
        <v>1</v>
      </c>
      <c r="G167" s="13">
        <f>TRUNC(SUM(G170:G171)*0.03,1)</f>
        <v>38534.800000000003</v>
      </c>
      <c r="H167" s="46">
        <v>1</v>
      </c>
      <c r="I167" s="13">
        <f>TRUNC(SUM(I170:I171)*0.03,1)</f>
        <v>38534.800000000003</v>
      </c>
    </row>
    <row r="168" spans="2:11" ht="12.95" customHeight="1" x14ac:dyDescent="0.3">
      <c r="B168" s="20" t="s">
        <v>10</v>
      </c>
      <c r="C168" s="23"/>
      <c r="D168" s="22"/>
      <c r="E168" s="21"/>
      <c r="F168" s="27"/>
      <c r="G168" s="19">
        <f>TRUNC(SUM(G167:G167))</f>
        <v>38534</v>
      </c>
      <c r="H168" s="27"/>
      <c r="I168" s="19">
        <f>TRUNC(SUM(I167:I167))</f>
        <v>38534</v>
      </c>
    </row>
    <row r="169" spans="2:11" ht="12.95" customHeight="1" x14ac:dyDescent="0.3">
      <c r="B169" s="36"/>
      <c r="C169" s="37"/>
      <c r="D169" s="37"/>
      <c r="E169" s="45"/>
      <c r="F169" s="49"/>
      <c r="G169" s="31"/>
      <c r="H169" s="49"/>
      <c r="I169" s="31"/>
    </row>
    <row r="170" spans="2:11" ht="12.95" customHeight="1" x14ac:dyDescent="0.3">
      <c r="B170" s="16" t="s">
        <v>18</v>
      </c>
      <c r="C170" s="9"/>
      <c r="D170" s="3" t="s">
        <v>9</v>
      </c>
      <c r="E170" s="47">
        <v>282536</v>
      </c>
      <c r="F170" s="46">
        <v>2</v>
      </c>
      <c r="G170" s="7">
        <f t="shared" ref="G170:G171" si="23">TRUNC($E170*F170,1)</f>
        <v>565072</v>
      </c>
      <c r="H170" s="46">
        <v>2</v>
      </c>
      <c r="I170" s="7">
        <f t="shared" ref="I170:I171" si="24">TRUNC($E170*H170,1)</f>
        <v>565072</v>
      </c>
    </row>
    <row r="171" spans="2:11" ht="12.95" customHeight="1" x14ac:dyDescent="0.3">
      <c r="B171" s="16" t="s">
        <v>3</v>
      </c>
      <c r="C171" s="9"/>
      <c r="D171" s="3" t="s">
        <v>9</v>
      </c>
      <c r="E171" s="47">
        <v>239808</v>
      </c>
      <c r="F171" s="46">
        <v>3</v>
      </c>
      <c r="G171" s="7">
        <f t="shared" si="23"/>
        <v>719424</v>
      </c>
      <c r="H171" s="46">
        <v>3</v>
      </c>
      <c r="I171" s="7">
        <f t="shared" si="24"/>
        <v>719424</v>
      </c>
    </row>
    <row r="172" spans="2:11" ht="12.95" customHeight="1" x14ac:dyDescent="0.3">
      <c r="B172" s="18" t="s">
        <v>11</v>
      </c>
      <c r="C172" s="37"/>
      <c r="D172" s="37"/>
      <c r="E172" s="45"/>
      <c r="F172" s="49"/>
      <c r="G172" s="43">
        <f>TRUNC(SUM(G170:G171))</f>
        <v>1284496</v>
      </c>
      <c r="H172" s="49"/>
      <c r="I172" s="43">
        <f>TRUNC(SUM(I170:I171))</f>
        <v>1284496</v>
      </c>
    </row>
    <row r="173" spans="2:11" ht="12.95" customHeight="1" x14ac:dyDescent="0.3">
      <c r="B173" s="36"/>
      <c r="C173" s="37"/>
      <c r="D173" s="37"/>
      <c r="E173" s="45"/>
      <c r="F173" s="49"/>
      <c r="G173" s="31"/>
      <c r="H173" s="49"/>
      <c r="I173" s="31"/>
    </row>
    <row r="174" spans="2:11" ht="12.95" customHeight="1" x14ac:dyDescent="0.3">
      <c r="B174" s="68" t="s">
        <v>13</v>
      </c>
      <c r="C174" s="37"/>
      <c r="D174" s="37"/>
      <c r="E174" s="30"/>
      <c r="F174" s="30"/>
      <c r="G174" s="76">
        <f>SUM(G168+G172)</f>
        <v>1323030</v>
      </c>
      <c r="H174" s="30"/>
      <c r="I174" s="69">
        <f>SUM(I168+I172)</f>
        <v>1323030</v>
      </c>
    </row>
    <row r="175" spans="2:11" ht="12.95" customHeight="1" x14ac:dyDescent="0.3">
      <c r="B175" s="15" t="s">
        <v>105</v>
      </c>
      <c r="C175" s="70"/>
      <c r="D175" s="71"/>
      <c r="E175" s="72"/>
      <c r="F175" s="73"/>
      <c r="G175" s="77">
        <f>TRUNC((G174/G165)*10)</f>
        <v>575230</v>
      </c>
      <c r="H175" s="73"/>
      <c r="I175" s="74">
        <f>TRUNC((I174/I165)*10)</f>
        <v>661515</v>
      </c>
    </row>
    <row r="176" spans="2:11" ht="12.95" customHeight="1" x14ac:dyDescent="0.3">
      <c r="B176" s="80" t="s">
        <v>4</v>
      </c>
      <c r="C176" s="83" t="s">
        <v>15</v>
      </c>
      <c r="D176" s="86" t="s">
        <v>8</v>
      </c>
      <c r="E176" s="89" t="s">
        <v>5</v>
      </c>
      <c r="F176" s="95" t="s">
        <v>99</v>
      </c>
      <c r="G176" s="79"/>
      <c r="H176" s="79"/>
      <c r="I176" s="79"/>
    </row>
    <row r="177" spans="2:9" ht="12.95" customHeight="1" x14ac:dyDescent="0.3">
      <c r="B177" s="81"/>
      <c r="C177" s="84"/>
      <c r="D177" s="87"/>
      <c r="E177" s="90"/>
      <c r="F177" s="78" t="s">
        <v>100</v>
      </c>
      <c r="G177" s="79"/>
      <c r="H177" s="78" t="s">
        <v>101</v>
      </c>
      <c r="I177" s="79"/>
    </row>
    <row r="178" spans="2:9" ht="12.95" customHeight="1" x14ac:dyDescent="0.3">
      <c r="B178" s="81"/>
      <c r="C178" s="84"/>
      <c r="D178" s="87"/>
      <c r="E178" s="90"/>
      <c r="F178" s="66" t="s">
        <v>93</v>
      </c>
      <c r="G178" s="67">
        <v>65</v>
      </c>
      <c r="H178" s="66" t="s">
        <v>93</v>
      </c>
      <c r="I178" s="67">
        <v>55</v>
      </c>
    </row>
    <row r="179" spans="2:9" ht="12.95" customHeight="1" x14ac:dyDescent="0.3">
      <c r="B179" s="82"/>
      <c r="C179" s="85"/>
      <c r="D179" s="88"/>
      <c r="E179" s="91"/>
      <c r="F179" s="63" t="s">
        <v>19</v>
      </c>
      <c r="G179" s="64" t="s">
        <v>20</v>
      </c>
      <c r="H179" s="63" t="s">
        <v>19</v>
      </c>
      <c r="I179" s="64" t="s">
        <v>20</v>
      </c>
    </row>
    <row r="180" spans="2:9" ht="12.95" customHeight="1" x14ac:dyDescent="0.3">
      <c r="B180" s="11" t="s">
        <v>21</v>
      </c>
      <c r="C180" s="6" t="s">
        <v>23</v>
      </c>
      <c r="D180" s="51" t="s">
        <v>14</v>
      </c>
      <c r="E180" s="12"/>
      <c r="F180" s="46">
        <v>1</v>
      </c>
      <c r="G180" s="13">
        <f>TRUNC(SUM(G183:G184)*0.03,1)</f>
        <v>26744.7</v>
      </c>
      <c r="H180" s="46">
        <v>1</v>
      </c>
      <c r="I180" s="13">
        <f>TRUNC(SUM(I183:I184)*0.03,1)</f>
        <v>26744.7</v>
      </c>
    </row>
    <row r="181" spans="2:9" ht="12.95" customHeight="1" x14ac:dyDescent="0.3">
      <c r="B181" s="20" t="s">
        <v>10</v>
      </c>
      <c r="C181" s="23"/>
      <c r="D181" s="22"/>
      <c r="E181" s="21"/>
      <c r="F181" s="27"/>
      <c r="G181" s="19">
        <f>TRUNC(SUM(G180:G180))</f>
        <v>26744</v>
      </c>
      <c r="H181" s="27"/>
      <c r="I181" s="19">
        <f>TRUNC(SUM(I180:I180))</f>
        <v>26744</v>
      </c>
    </row>
    <row r="182" spans="2:9" ht="12.95" customHeight="1" x14ac:dyDescent="0.3">
      <c r="B182" s="36"/>
      <c r="C182" s="37"/>
      <c r="D182" s="37"/>
      <c r="E182" s="45"/>
      <c r="F182" s="49"/>
      <c r="G182" s="31"/>
      <c r="H182" s="49"/>
      <c r="I182" s="31"/>
    </row>
    <row r="183" spans="2:9" ht="12.95" customHeight="1" x14ac:dyDescent="0.3">
      <c r="B183" s="16" t="s">
        <v>3</v>
      </c>
      <c r="C183" s="9"/>
      <c r="D183" s="3" t="s">
        <v>9</v>
      </c>
      <c r="E183" s="47">
        <v>239808</v>
      </c>
      <c r="F183" s="46">
        <v>3</v>
      </c>
      <c r="G183" s="7">
        <f t="shared" ref="G183:G184" si="25">TRUNC($E183*F183,1)</f>
        <v>719424</v>
      </c>
      <c r="H183" s="46">
        <v>3</v>
      </c>
      <c r="I183" s="7">
        <f t="shared" ref="I183:I184" si="26">TRUNC($E183*H183,1)</f>
        <v>719424</v>
      </c>
    </row>
    <row r="184" spans="2:9" ht="12.95" customHeight="1" x14ac:dyDescent="0.3">
      <c r="B184" s="16" t="s">
        <v>2</v>
      </c>
      <c r="C184" s="9"/>
      <c r="D184" s="3" t="s">
        <v>9</v>
      </c>
      <c r="E184" s="47">
        <v>172068</v>
      </c>
      <c r="F184" s="46">
        <v>1</v>
      </c>
      <c r="G184" s="7">
        <f t="shared" si="25"/>
        <v>172068</v>
      </c>
      <c r="H184" s="46">
        <v>1</v>
      </c>
      <c r="I184" s="7">
        <f t="shared" si="26"/>
        <v>172068</v>
      </c>
    </row>
    <row r="185" spans="2:9" ht="12.95" customHeight="1" x14ac:dyDescent="0.3">
      <c r="B185" s="18" t="s">
        <v>11</v>
      </c>
      <c r="C185" s="37"/>
      <c r="D185" s="37"/>
      <c r="E185" s="45"/>
      <c r="F185" s="49"/>
      <c r="G185" s="43">
        <f>TRUNC(SUM(G183:G184))</f>
        <v>891492</v>
      </c>
      <c r="H185" s="49"/>
      <c r="I185" s="43">
        <f>TRUNC(SUM(I183:I184))</f>
        <v>891492</v>
      </c>
    </row>
    <row r="186" spans="2:9" ht="12.95" customHeight="1" x14ac:dyDescent="0.3">
      <c r="B186" s="36"/>
      <c r="C186" s="37"/>
      <c r="D186" s="37"/>
      <c r="E186" s="45"/>
      <c r="F186" s="49"/>
      <c r="G186" s="31"/>
      <c r="H186" s="49"/>
      <c r="I186" s="31"/>
    </row>
    <row r="187" spans="2:9" ht="12.95" customHeight="1" x14ac:dyDescent="0.3">
      <c r="B187" s="68" t="s">
        <v>13</v>
      </c>
      <c r="C187" s="37"/>
      <c r="D187" s="37"/>
      <c r="E187" s="30"/>
      <c r="F187" s="30"/>
      <c r="G187" s="76">
        <f>SUM(G181+G185)</f>
        <v>918236</v>
      </c>
      <c r="H187" s="30"/>
      <c r="I187" s="69">
        <f>SUM(I181+I185)</f>
        <v>918236</v>
      </c>
    </row>
    <row r="188" spans="2:9" ht="12.95" customHeight="1" x14ac:dyDescent="0.3">
      <c r="B188" s="15" t="s">
        <v>105</v>
      </c>
      <c r="C188" s="70"/>
      <c r="D188" s="71"/>
      <c r="E188" s="72"/>
      <c r="F188" s="73"/>
      <c r="G188" s="77">
        <f>TRUNC((G187/G178)*10)</f>
        <v>141267</v>
      </c>
      <c r="H188" s="73"/>
      <c r="I188" s="74">
        <f>TRUNC((I187/I178)*10)</f>
        <v>166952</v>
      </c>
    </row>
    <row r="190" spans="2:9" ht="12.95" customHeight="1" x14ac:dyDescent="0.3">
      <c r="B190" s="39" t="s">
        <v>106</v>
      </c>
      <c r="C190" s="40"/>
      <c r="D190" s="25"/>
      <c r="E190" s="41"/>
      <c r="F190" s="25"/>
      <c r="G190" s="24" t="s">
        <v>35</v>
      </c>
    </row>
    <row r="191" spans="2:9" ht="12.95" customHeight="1" x14ac:dyDescent="0.3">
      <c r="B191" s="80" t="s">
        <v>4</v>
      </c>
      <c r="C191" s="83" t="s">
        <v>15</v>
      </c>
      <c r="D191" s="86" t="s">
        <v>8</v>
      </c>
      <c r="E191" s="89" t="s">
        <v>5</v>
      </c>
      <c r="F191" s="94" t="s">
        <v>19</v>
      </c>
      <c r="G191" s="92" t="s">
        <v>20</v>
      </c>
    </row>
    <row r="192" spans="2:9" ht="12.95" customHeight="1" x14ac:dyDescent="0.3">
      <c r="B192" s="82"/>
      <c r="C192" s="85"/>
      <c r="D192" s="88"/>
      <c r="E192" s="91"/>
      <c r="F192" s="94"/>
      <c r="G192" s="93"/>
    </row>
    <row r="193" spans="2:11" ht="12.95" customHeight="1" x14ac:dyDescent="0.3">
      <c r="B193" s="16" t="s">
        <v>102</v>
      </c>
      <c r="C193" s="9"/>
      <c r="D193" s="3" t="s">
        <v>9</v>
      </c>
      <c r="E193" s="47">
        <v>209131</v>
      </c>
      <c r="F193" s="27">
        <v>0.15</v>
      </c>
      <c r="G193" s="7">
        <f t="shared" ref="G193:G194" si="27">TRUNC($E193*F193,1)</f>
        <v>31369.599999999999</v>
      </c>
    </row>
    <row r="194" spans="2:11" ht="12.95" customHeight="1" x14ac:dyDescent="0.3">
      <c r="B194" s="16" t="s">
        <v>2</v>
      </c>
      <c r="C194" s="9"/>
      <c r="D194" s="3" t="s">
        <v>9</v>
      </c>
      <c r="E194" s="47">
        <v>172068</v>
      </c>
      <c r="F194" s="27">
        <v>7.0000000000000007E-2</v>
      </c>
      <c r="G194" s="7">
        <f t="shared" si="27"/>
        <v>12044.7</v>
      </c>
    </row>
    <row r="195" spans="2:11" ht="12.95" customHeight="1" x14ac:dyDescent="0.3">
      <c r="B195" s="18" t="s">
        <v>11</v>
      </c>
      <c r="C195" s="37"/>
      <c r="D195" s="37"/>
      <c r="E195" s="45"/>
      <c r="F195" s="49"/>
      <c r="G195" s="43">
        <f>TRUNC(SUM(G193:G194))</f>
        <v>43414</v>
      </c>
    </row>
    <row r="196" spans="2:11" ht="12.95" customHeight="1" x14ac:dyDescent="0.3">
      <c r="B196" s="36"/>
      <c r="C196" s="37"/>
      <c r="D196" s="37"/>
      <c r="E196" s="45"/>
      <c r="F196" s="49"/>
      <c r="G196" s="31"/>
    </row>
    <row r="197" spans="2:11" ht="12.95" customHeight="1" x14ac:dyDescent="0.3">
      <c r="B197" s="15" t="s">
        <v>13</v>
      </c>
      <c r="C197" s="38"/>
      <c r="D197" s="38"/>
      <c r="E197" s="34"/>
      <c r="F197" s="34"/>
      <c r="G197" s="35">
        <f>SUM(G195)</f>
        <v>43414</v>
      </c>
    </row>
    <row r="199" spans="2:11" ht="12.95" customHeight="1" x14ac:dyDescent="0.3">
      <c r="B199" s="1" t="s">
        <v>72</v>
      </c>
    </row>
    <row r="200" spans="2:11" ht="12.95" customHeight="1" x14ac:dyDescent="0.3">
      <c r="B200" s="2" t="s">
        <v>81</v>
      </c>
      <c r="C200" s="17"/>
      <c r="D200" s="17"/>
      <c r="E200" s="17"/>
      <c r="F200" s="17"/>
      <c r="G200" s="17"/>
      <c r="H200" s="17"/>
      <c r="I200" s="17"/>
      <c r="J200" s="17"/>
      <c r="K200" s="24" t="s">
        <v>25</v>
      </c>
    </row>
    <row r="201" spans="2:11" ht="12.95" customHeight="1" x14ac:dyDescent="0.3">
      <c r="B201" s="80" t="s">
        <v>4</v>
      </c>
      <c r="C201" s="83" t="s">
        <v>15</v>
      </c>
      <c r="D201" s="86" t="s">
        <v>8</v>
      </c>
      <c r="E201" s="89" t="s">
        <v>5</v>
      </c>
      <c r="F201" s="78" t="s">
        <v>82</v>
      </c>
      <c r="G201" s="79"/>
      <c r="H201" s="79"/>
      <c r="I201" s="79"/>
      <c r="J201" s="79"/>
      <c r="K201" s="79"/>
    </row>
    <row r="202" spans="2:11" ht="12.95" customHeight="1" x14ac:dyDescent="0.3">
      <c r="B202" s="81"/>
      <c r="C202" s="84"/>
      <c r="D202" s="87"/>
      <c r="E202" s="90"/>
      <c r="F202" s="78" t="s">
        <v>83</v>
      </c>
      <c r="G202" s="79"/>
      <c r="H202" s="78" t="s">
        <v>79</v>
      </c>
      <c r="I202" s="79"/>
      <c r="J202" s="78" t="s">
        <v>78</v>
      </c>
      <c r="K202" s="79"/>
    </row>
    <row r="203" spans="2:11" ht="12.95" customHeight="1" x14ac:dyDescent="0.3">
      <c r="B203" s="82"/>
      <c r="C203" s="85"/>
      <c r="D203" s="88"/>
      <c r="E203" s="91"/>
      <c r="F203" s="53" t="s">
        <v>6</v>
      </c>
      <c r="G203" s="54" t="s">
        <v>7</v>
      </c>
      <c r="H203" s="53" t="s">
        <v>6</v>
      </c>
      <c r="I203" s="54" t="s">
        <v>20</v>
      </c>
      <c r="J203" s="53" t="s">
        <v>6</v>
      </c>
      <c r="K203" s="54" t="s">
        <v>7</v>
      </c>
    </row>
    <row r="204" spans="2:11" ht="12.95" customHeight="1" x14ac:dyDescent="0.3">
      <c r="B204" s="11" t="s">
        <v>21</v>
      </c>
      <c r="C204" s="6" t="s">
        <v>84</v>
      </c>
      <c r="D204" s="51" t="s">
        <v>14</v>
      </c>
      <c r="E204" s="12"/>
      <c r="F204" s="46">
        <v>1</v>
      </c>
      <c r="G204" s="13">
        <f>TRUNC(SUM(G207:G210)*0.05,1)</f>
        <v>62157</v>
      </c>
      <c r="H204" s="46">
        <v>1</v>
      </c>
      <c r="I204" s="13">
        <f>TRUNC(SUM(I207:I210)*0.05,1)</f>
        <v>153558.20000000001</v>
      </c>
      <c r="J204" s="46">
        <v>1</v>
      </c>
      <c r="K204" s="13">
        <f>TRUNC(SUM(K207:K210)*0.05,1)</f>
        <v>266424.8</v>
      </c>
    </row>
    <row r="205" spans="2:11" ht="12.95" customHeight="1" x14ac:dyDescent="0.3">
      <c r="B205" s="20" t="s">
        <v>10</v>
      </c>
      <c r="C205" s="37"/>
      <c r="D205" s="37"/>
      <c r="E205" s="45"/>
      <c r="F205" s="48"/>
      <c r="G205" s="43">
        <f>TRUNC(SUM(G204:G204))</f>
        <v>62157</v>
      </c>
      <c r="H205" s="48"/>
      <c r="I205" s="43">
        <f>TRUNC(SUM(I204:I204))</f>
        <v>153558</v>
      </c>
      <c r="J205" s="48"/>
      <c r="K205" s="43">
        <f>TRUNC(SUM(K204:K204))</f>
        <v>266424</v>
      </c>
    </row>
    <row r="206" spans="2:11" ht="12.95" customHeight="1" x14ac:dyDescent="0.3">
      <c r="B206" s="36"/>
      <c r="C206" s="37"/>
      <c r="D206" s="37"/>
      <c r="E206" s="45"/>
      <c r="F206" s="48"/>
      <c r="G206" s="31"/>
      <c r="H206" s="48"/>
      <c r="I206" s="31"/>
      <c r="J206" s="48"/>
      <c r="K206" s="31"/>
    </row>
    <row r="207" spans="2:11" ht="12.95" customHeight="1" x14ac:dyDescent="0.3">
      <c r="B207" s="16" t="s">
        <v>3</v>
      </c>
      <c r="C207" s="9"/>
      <c r="D207" s="3" t="s">
        <v>9</v>
      </c>
      <c r="E207" s="57">
        <v>239808</v>
      </c>
      <c r="F207" s="27">
        <v>2.85</v>
      </c>
      <c r="G207" s="7">
        <f t="shared" ref="G207:G210" si="28">TRUNC($E207*F207,1)</f>
        <v>683452.8</v>
      </c>
      <c r="H207" s="27">
        <v>7.05</v>
      </c>
      <c r="I207" s="7">
        <f t="shared" ref="I207:I210" si="29">TRUNC($E207*H207,1)</f>
        <v>1690646.4</v>
      </c>
      <c r="J207" s="27">
        <v>12.38</v>
      </c>
      <c r="K207" s="7">
        <f t="shared" ref="K207:K210" si="30">TRUNC($E207*J207,1)</f>
        <v>2968823</v>
      </c>
    </row>
    <row r="208" spans="2:11" ht="12.95" customHeight="1" x14ac:dyDescent="0.3">
      <c r="B208" s="16" t="s">
        <v>18</v>
      </c>
      <c r="C208" s="9"/>
      <c r="D208" s="3" t="s">
        <v>9</v>
      </c>
      <c r="E208" s="57">
        <v>282536</v>
      </c>
      <c r="F208" s="27">
        <v>1.04</v>
      </c>
      <c r="G208" s="7">
        <f t="shared" si="28"/>
        <v>293837.40000000002</v>
      </c>
      <c r="H208" s="27">
        <v>2.57</v>
      </c>
      <c r="I208" s="7">
        <f t="shared" si="29"/>
        <v>726117.5</v>
      </c>
      <c r="J208" s="27">
        <v>3.38</v>
      </c>
      <c r="K208" s="7">
        <f t="shared" si="30"/>
        <v>954971.6</v>
      </c>
    </row>
    <row r="209" spans="2:11" ht="12.95" customHeight="1" x14ac:dyDescent="0.3">
      <c r="B209" s="16" t="s">
        <v>17</v>
      </c>
      <c r="C209" s="9"/>
      <c r="D209" s="3" t="s">
        <v>9</v>
      </c>
      <c r="E209" s="57">
        <v>226122</v>
      </c>
      <c r="F209" s="27">
        <v>0.78</v>
      </c>
      <c r="G209" s="7">
        <f t="shared" si="28"/>
        <v>176375.1</v>
      </c>
      <c r="H209" s="27">
        <v>1.92</v>
      </c>
      <c r="I209" s="7">
        <f t="shared" si="29"/>
        <v>434154.2</v>
      </c>
      <c r="J209" s="27">
        <v>4.5</v>
      </c>
      <c r="K209" s="7">
        <f t="shared" si="30"/>
        <v>1017549</v>
      </c>
    </row>
    <row r="210" spans="2:11" ht="12.95" customHeight="1" x14ac:dyDescent="0.3">
      <c r="B210" s="16" t="s">
        <v>2</v>
      </c>
      <c r="C210" s="9"/>
      <c r="D210" s="3" t="s">
        <v>9</v>
      </c>
      <c r="E210" s="57">
        <v>172068</v>
      </c>
      <c r="F210" s="27">
        <v>0.52</v>
      </c>
      <c r="G210" s="7">
        <f t="shared" si="28"/>
        <v>89475.3</v>
      </c>
      <c r="H210" s="27">
        <v>1.28</v>
      </c>
      <c r="I210" s="7">
        <f t="shared" si="29"/>
        <v>220247</v>
      </c>
      <c r="J210" s="27">
        <v>2.25</v>
      </c>
      <c r="K210" s="7">
        <f t="shared" si="30"/>
        <v>387153</v>
      </c>
    </row>
    <row r="211" spans="2:11" ht="12.95" customHeight="1" x14ac:dyDescent="0.3">
      <c r="B211" s="18" t="s">
        <v>11</v>
      </c>
      <c r="C211" s="37"/>
      <c r="D211" s="37"/>
      <c r="E211" s="45"/>
      <c r="F211" s="48"/>
      <c r="G211" s="43">
        <f>TRUNC(SUM(G207:G210))</f>
        <v>1243140</v>
      </c>
      <c r="H211" s="48"/>
      <c r="I211" s="43">
        <f>TRUNC(SUM(I207:I210))</f>
        <v>3071165</v>
      </c>
      <c r="J211" s="48"/>
      <c r="K211" s="43">
        <f>TRUNC(SUM(K207:K210))</f>
        <v>5328496</v>
      </c>
    </row>
    <row r="212" spans="2:11" ht="12.95" customHeight="1" x14ac:dyDescent="0.3">
      <c r="B212" s="36"/>
      <c r="C212" s="37"/>
      <c r="D212" s="37"/>
      <c r="E212" s="45"/>
      <c r="F212" s="48"/>
      <c r="G212" s="31"/>
      <c r="H212" s="48"/>
      <c r="I212" s="31"/>
      <c r="J212" s="48"/>
      <c r="K212" s="31"/>
    </row>
    <row r="213" spans="2:11" ht="12.95" customHeight="1" x14ac:dyDescent="0.3">
      <c r="B213" s="15" t="s">
        <v>13</v>
      </c>
      <c r="C213" s="38"/>
      <c r="D213" s="38"/>
      <c r="E213" s="34"/>
      <c r="F213" s="34"/>
      <c r="G213" s="35">
        <f>SUM(G205+G211)</f>
        <v>1305297</v>
      </c>
      <c r="H213" s="34"/>
      <c r="I213" s="35">
        <f>SUM(I205+I211)</f>
        <v>3224723</v>
      </c>
      <c r="J213" s="34"/>
      <c r="K213" s="35">
        <f>SUM(K205+K211)</f>
        <v>5594920</v>
      </c>
    </row>
    <row r="214" spans="2:11" ht="12.95" customHeight="1" x14ac:dyDescent="0.3">
      <c r="B214" s="80" t="s">
        <v>4</v>
      </c>
      <c r="C214" s="83" t="s">
        <v>15</v>
      </c>
      <c r="D214" s="86" t="s">
        <v>8</v>
      </c>
      <c r="E214" s="89" t="s">
        <v>5</v>
      </c>
      <c r="F214" s="78" t="s">
        <v>85</v>
      </c>
      <c r="G214" s="79"/>
      <c r="H214" s="79"/>
      <c r="I214" s="79"/>
      <c r="J214" s="79"/>
      <c r="K214" s="79"/>
    </row>
    <row r="215" spans="2:11" ht="12.95" customHeight="1" x14ac:dyDescent="0.3">
      <c r="B215" s="81"/>
      <c r="C215" s="84"/>
      <c r="D215" s="87"/>
      <c r="E215" s="90"/>
      <c r="F215" s="78" t="s">
        <v>83</v>
      </c>
      <c r="G215" s="79"/>
      <c r="H215" s="78" t="s">
        <v>79</v>
      </c>
      <c r="I215" s="79"/>
      <c r="J215" s="78" t="s">
        <v>78</v>
      </c>
      <c r="K215" s="79"/>
    </row>
    <row r="216" spans="2:11" ht="12.95" customHeight="1" x14ac:dyDescent="0.3">
      <c r="B216" s="82"/>
      <c r="C216" s="85"/>
      <c r="D216" s="88"/>
      <c r="E216" s="91"/>
      <c r="F216" s="53" t="s">
        <v>6</v>
      </c>
      <c r="G216" s="54" t="s">
        <v>7</v>
      </c>
      <c r="H216" s="53" t="s">
        <v>6</v>
      </c>
      <c r="I216" s="54" t="s">
        <v>20</v>
      </c>
      <c r="J216" s="53" t="s">
        <v>6</v>
      </c>
      <c r="K216" s="54" t="s">
        <v>7</v>
      </c>
    </row>
    <row r="217" spans="2:11" ht="12.95" customHeight="1" x14ac:dyDescent="0.3">
      <c r="B217" s="11" t="s">
        <v>21</v>
      </c>
      <c r="C217" s="6" t="s">
        <v>24</v>
      </c>
      <c r="D217" s="51" t="s">
        <v>14</v>
      </c>
      <c r="E217" s="12"/>
      <c r="F217" s="46">
        <v>1</v>
      </c>
      <c r="G217" s="13">
        <f>TRUNC(SUM(G220:G223)*0.04,1)</f>
        <v>64660</v>
      </c>
      <c r="H217" s="46">
        <v>1</v>
      </c>
      <c r="I217" s="13">
        <f>TRUNC(SUM(I220:I223)*0.04,1)</f>
        <v>159745.79999999999</v>
      </c>
      <c r="J217" s="46">
        <v>1</v>
      </c>
      <c r="K217" s="13">
        <f>TRUNC(SUM(K220:K223)*0.04,1)</f>
        <v>277032.59999999998</v>
      </c>
    </row>
    <row r="218" spans="2:11" ht="12.95" customHeight="1" x14ac:dyDescent="0.3">
      <c r="B218" s="20" t="s">
        <v>10</v>
      </c>
      <c r="C218" s="37"/>
      <c r="D218" s="37"/>
      <c r="E218" s="45"/>
      <c r="F218" s="48"/>
      <c r="G218" s="43">
        <f>TRUNC(SUM(G217:G217))</f>
        <v>64660</v>
      </c>
      <c r="H218" s="48"/>
      <c r="I218" s="43">
        <f>TRUNC(SUM(I217:I217))</f>
        <v>159745</v>
      </c>
      <c r="J218" s="48"/>
      <c r="K218" s="43">
        <f>TRUNC(SUM(K217:K217))</f>
        <v>277032</v>
      </c>
    </row>
    <row r="219" spans="2:11" ht="12.95" customHeight="1" x14ac:dyDescent="0.3">
      <c r="B219" s="36"/>
      <c r="C219" s="37"/>
      <c r="D219" s="37"/>
      <c r="E219" s="45"/>
      <c r="F219" s="48"/>
      <c r="G219" s="31"/>
      <c r="H219" s="48"/>
      <c r="I219" s="31"/>
      <c r="J219" s="48"/>
      <c r="K219" s="31"/>
    </row>
    <row r="220" spans="2:11" ht="12.95" customHeight="1" x14ac:dyDescent="0.3">
      <c r="B220" s="16" t="s">
        <v>3</v>
      </c>
      <c r="C220" s="9"/>
      <c r="D220" s="3" t="s">
        <v>9</v>
      </c>
      <c r="E220" s="57">
        <v>239808</v>
      </c>
      <c r="F220" s="27">
        <v>3.71</v>
      </c>
      <c r="G220" s="7">
        <f t="shared" ref="G220:G223" si="31">TRUNC($E220*F220,1)</f>
        <v>889687.6</v>
      </c>
      <c r="H220" s="27">
        <v>9.17</v>
      </c>
      <c r="I220" s="7">
        <f t="shared" ref="I220:I223" si="32">TRUNC($E220*H220,1)</f>
        <v>2199039.2999999998</v>
      </c>
      <c r="J220" s="27">
        <v>16.09</v>
      </c>
      <c r="K220" s="7">
        <f t="shared" ref="K220:K223" si="33">TRUNC($E220*J220,1)</f>
        <v>3858510.7</v>
      </c>
    </row>
    <row r="221" spans="2:11" ht="12.95" customHeight="1" x14ac:dyDescent="0.3">
      <c r="B221" s="16" t="s">
        <v>18</v>
      </c>
      <c r="C221" s="9"/>
      <c r="D221" s="3" t="s">
        <v>9</v>
      </c>
      <c r="E221" s="57">
        <v>282536</v>
      </c>
      <c r="F221" s="27">
        <v>1.35</v>
      </c>
      <c r="G221" s="7">
        <f t="shared" si="31"/>
        <v>381423.6</v>
      </c>
      <c r="H221" s="27">
        <v>3.34</v>
      </c>
      <c r="I221" s="7">
        <f t="shared" si="32"/>
        <v>943670.2</v>
      </c>
      <c r="J221" s="27">
        <v>4.3899999999999997</v>
      </c>
      <c r="K221" s="7">
        <f t="shared" si="33"/>
        <v>1240333</v>
      </c>
    </row>
    <row r="222" spans="2:11" ht="12.95" customHeight="1" x14ac:dyDescent="0.3">
      <c r="B222" s="16" t="s">
        <v>17</v>
      </c>
      <c r="C222" s="9"/>
      <c r="D222" s="3" t="s">
        <v>9</v>
      </c>
      <c r="E222" s="57">
        <v>226122</v>
      </c>
      <c r="F222" s="27">
        <v>1.01</v>
      </c>
      <c r="G222" s="7">
        <f t="shared" si="31"/>
        <v>228383.2</v>
      </c>
      <c r="H222" s="27">
        <v>2.5</v>
      </c>
      <c r="I222" s="7">
        <f t="shared" si="32"/>
        <v>565305</v>
      </c>
      <c r="J222" s="27">
        <v>5.85</v>
      </c>
      <c r="K222" s="7">
        <f t="shared" si="33"/>
        <v>1322813.7</v>
      </c>
    </row>
    <row r="223" spans="2:11" ht="12.95" customHeight="1" x14ac:dyDescent="0.3">
      <c r="B223" s="16" t="s">
        <v>2</v>
      </c>
      <c r="C223" s="9"/>
      <c r="D223" s="3" t="s">
        <v>9</v>
      </c>
      <c r="E223" s="57">
        <v>172068</v>
      </c>
      <c r="F223" s="27">
        <v>0.68</v>
      </c>
      <c r="G223" s="7">
        <f t="shared" si="31"/>
        <v>117006.2</v>
      </c>
      <c r="H223" s="27">
        <v>1.66</v>
      </c>
      <c r="I223" s="7">
        <f t="shared" si="32"/>
        <v>285632.8</v>
      </c>
      <c r="J223" s="27">
        <v>2.93</v>
      </c>
      <c r="K223" s="7">
        <f t="shared" si="33"/>
        <v>504159.2</v>
      </c>
    </row>
    <row r="224" spans="2:11" ht="12.95" customHeight="1" x14ac:dyDescent="0.3">
      <c r="B224" s="18" t="s">
        <v>11</v>
      </c>
      <c r="C224" s="37"/>
      <c r="D224" s="37"/>
      <c r="E224" s="45"/>
      <c r="F224" s="48"/>
      <c r="G224" s="43">
        <f>TRUNC(SUM(G220:G223))</f>
        <v>1616500</v>
      </c>
      <c r="H224" s="48"/>
      <c r="I224" s="43">
        <f>TRUNC(SUM(I220:I223))</f>
        <v>3993647</v>
      </c>
      <c r="J224" s="48"/>
      <c r="K224" s="43">
        <f>TRUNC(SUM(K220:K223))</f>
        <v>6925816</v>
      </c>
    </row>
    <row r="225" spans="2:11" ht="12.95" customHeight="1" x14ac:dyDescent="0.3">
      <c r="B225" s="36"/>
      <c r="C225" s="37"/>
      <c r="D225" s="37"/>
      <c r="E225" s="45"/>
      <c r="F225" s="48"/>
      <c r="G225" s="31"/>
      <c r="H225" s="48"/>
      <c r="I225" s="31"/>
      <c r="J225" s="48"/>
      <c r="K225" s="31"/>
    </row>
    <row r="226" spans="2:11" ht="12.95" customHeight="1" x14ac:dyDescent="0.3">
      <c r="B226" s="15" t="s">
        <v>13</v>
      </c>
      <c r="C226" s="38"/>
      <c r="D226" s="38"/>
      <c r="E226" s="34"/>
      <c r="F226" s="34"/>
      <c r="G226" s="35">
        <f>SUM(G218+G224)</f>
        <v>1681160</v>
      </c>
      <c r="H226" s="34"/>
      <c r="I226" s="35">
        <f>SUM(I218+I224)</f>
        <v>4153392</v>
      </c>
      <c r="J226" s="34"/>
      <c r="K226" s="35">
        <f>SUM(K218+K224)</f>
        <v>7202848</v>
      </c>
    </row>
    <row r="291" spans="14:15" ht="12.95" customHeight="1" x14ac:dyDescent="0.3">
      <c r="O291" s="10"/>
    </row>
    <row r="292" spans="14:15" ht="12.95" customHeight="1" x14ac:dyDescent="0.3">
      <c r="N292" s="10"/>
      <c r="O292" s="10"/>
    </row>
    <row r="293" spans="14:15" ht="12.95" customHeight="1" x14ac:dyDescent="0.3">
      <c r="N293" s="10"/>
      <c r="O293" s="10"/>
    </row>
    <row r="294" spans="14:15" ht="12.95" customHeight="1" x14ac:dyDescent="0.3">
      <c r="N294" s="10"/>
      <c r="O294" s="10"/>
    </row>
    <row r="295" spans="14:15" ht="12.95" customHeight="1" x14ac:dyDescent="0.3">
      <c r="N295" s="10"/>
      <c r="O295" s="10"/>
    </row>
    <row r="296" spans="14:15" ht="12.95" customHeight="1" x14ac:dyDescent="0.3">
      <c r="N296" s="10"/>
      <c r="O296" s="10"/>
    </row>
    <row r="297" spans="14:15" ht="12.95" customHeight="1" x14ac:dyDescent="0.3">
      <c r="N297" s="10"/>
      <c r="O297" s="10"/>
    </row>
    <row r="298" spans="14:15" ht="12.95" customHeight="1" x14ac:dyDescent="0.3">
      <c r="N298" s="10"/>
      <c r="O298" s="10"/>
    </row>
    <row r="299" spans="14:15" ht="12.95" customHeight="1" x14ac:dyDescent="0.3">
      <c r="N299" s="10"/>
      <c r="O299" s="10"/>
    </row>
    <row r="300" spans="14:15" ht="12.95" customHeight="1" x14ac:dyDescent="0.3">
      <c r="N300" s="10"/>
      <c r="O300" s="10"/>
    </row>
    <row r="301" spans="14:15" ht="12.95" customHeight="1" x14ac:dyDescent="0.3">
      <c r="N301" s="10"/>
      <c r="O301" s="10"/>
    </row>
    <row r="302" spans="14:15" ht="12.95" customHeight="1" x14ac:dyDescent="0.3">
      <c r="N302" s="10"/>
      <c r="O302" s="10"/>
    </row>
    <row r="303" spans="14:15" ht="12.95" customHeight="1" x14ac:dyDescent="0.3">
      <c r="N303" s="10"/>
      <c r="O303" s="10"/>
    </row>
    <row r="304" spans="14:15" ht="12.95" customHeight="1" x14ac:dyDescent="0.3">
      <c r="N304" s="10"/>
      <c r="O304" s="10"/>
    </row>
    <row r="305" spans="14:15" ht="12.95" customHeight="1" x14ac:dyDescent="0.3">
      <c r="N305" s="10"/>
      <c r="O305" s="10"/>
    </row>
    <row r="306" spans="14:15" ht="12.95" customHeight="1" x14ac:dyDescent="0.3">
      <c r="N306" s="10"/>
      <c r="O306" s="10"/>
    </row>
    <row r="307" spans="14:15" ht="12.95" customHeight="1" x14ac:dyDescent="0.3">
      <c r="N307" s="10"/>
      <c r="O307" s="10"/>
    </row>
    <row r="308" spans="14:15" ht="12.95" customHeight="1" x14ac:dyDescent="0.3">
      <c r="N308" s="10"/>
    </row>
  </sheetData>
  <mergeCells count="107">
    <mergeCell ref="F177:G177"/>
    <mergeCell ref="H177:I177"/>
    <mergeCell ref="F191:F192"/>
    <mergeCell ref="G191:G192"/>
    <mergeCell ref="B163:B166"/>
    <mergeCell ref="C163:C166"/>
    <mergeCell ref="D163:D166"/>
    <mergeCell ref="E163:E166"/>
    <mergeCell ref="F164:G164"/>
    <mergeCell ref="H164:I164"/>
    <mergeCell ref="F163:I163"/>
    <mergeCell ref="B176:B179"/>
    <mergeCell ref="C176:C179"/>
    <mergeCell ref="D176:D179"/>
    <mergeCell ref="E176:E179"/>
    <mergeCell ref="F176:I176"/>
    <mergeCell ref="F201:K201"/>
    <mergeCell ref="F202:G202"/>
    <mergeCell ref="H202:I202"/>
    <mergeCell ref="J202:K202"/>
    <mergeCell ref="B214:B216"/>
    <mergeCell ref="C214:C216"/>
    <mergeCell ref="D214:D216"/>
    <mergeCell ref="E214:E216"/>
    <mergeCell ref="F214:K214"/>
    <mergeCell ref="F215:G215"/>
    <mergeCell ref="H215:I215"/>
    <mergeCell ref="J215:K215"/>
    <mergeCell ref="B150:B151"/>
    <mergeCell ref="C150:C151"/>
    <mergeCell ref="D150:D151"/>
    <mergeCell ref="E150:E151"/>
    <mergeCell ref="B201:B203"/>
    <mergeCell ref="C201:C203"/>
    <mergeCell ref="D201:D203"/>
    <mergeCell ref="E201:E203"/>
    <mergeCell ref="B191:B192"/>
    <mergeCell ref="C191:C192"/>
    <mergeCell ref="D191:D192"/>
    <mergeCell ref="E191:E192"/>
    <mergeCell ref="H116:I116"/>
    <mergeCell ref="B135:B138"/>
    <mergeCell ref="C135:C138"/>
    <mergeCell ref="D135:D138"/>
    <mergeCell ref="E135:E138"/>
    <mergeCell ref="F135:K135"/>
    <mergeCell ref="F136:G136"/>
    <mergeCell ref="H136:I136"/>
    <mergeCell ref="J136:K136"/>
    <mergeCell ref="F107:F108"/>
    <mergeCell ref="G107:G108"/>
    <mergeCell ref="B116:B118"/>
    <mergeCell ref="C116:C118"/>
    <mergeCell ref="D116:D118"/>
    <mergeCell ref="E116:E118"/>
    <mergeCell ref="F116:G116"/>
    <mergeCell ref="B94:B95"/>
    <mergeCell ref="C94:C95"/>
    <mergeCell ref="D94:D95"/>
    <mergeCell ref="E94:E95"/>
    <mergeCell ref="B107:B108"/>
    <mergeCell ref="C107:C108"/>
    <mergeCell ref="D107:D108"/>
    <mergeCell ref="E107:E108"/>
    <mergeCell ref="H78:I78"/>
    <mergeCell ref="B65:B66"/>
    <mergeCell ref="C65:C66"/>
    <mergeCell ref="D65:D66"/>
    <mergeCell ref="E65:E66"/>
    <mergeCell ref="F65:G65"/>
    <mergeCell ref="H65:I65"/>
    <mergeCell ref="B78:B80"/>
    <mergeCell ref="C78:C80"/>
    <mergeCell ref="D78:D80"/>
    <mergeCell ref="E78:E80"/>
    <mergeCell ref="F78:G78"/>
    <mergeCell ref="J39:K39"/>
    <mergeCell ref="B51:B52"/>
    <mergeCell ref="C51:C52"/>
    <mergeCell ref="D51:D52"/>
    <mergeCell ref="E51:E52"/>
    <mergeCell ref="F51:G51"/>
    <mergeCell ref="H51:I51"/>
    <mergeCell ref="B39:B40"/>
    <mergeCell ref="C39:C40"/>
    <mergeCell ref="D39:D40"/>
    <mergeCell ref="E39:E40"/>
    <mergeCell ref="F39:G39"/>
    <mergeCell ref="H39:I39"/>
    <mergeCell ref="H4:I4"/>
    <mergeCell ref="B4:B6"/>
    <mergeCell ref="C4:C6"/>
    <mergeCell ref="D4:D6"/>
    <mergeCell ref="E4:E6"/>
    <mergeCell ref="F4:G4"/>
    <mergeCell ref="G26:G27"/>
    <mergeCell ref="B18:B19"/>
    <mergeCell ref="C18:C19"/>
    <mergeCell ref="D18:D19"/>
    <mergeCell ref="E18:E19"/>
    <mergeCell ref="F18:F19"/>
    <mergeCell ref="G18:G19"/>
    <mergeCell ref="B26:B27"/>
    <mergeCell ref="C26:C27"/>
    <mergeCell ref="D26:D27"/>
    <mergeCell ref="E26:E27"/>
    <mergeCell ref="F26:F27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금속공사(상반기)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2026-01-01T08:03:16Z</dcterms:modified>
</cp:coreProperties>
</file>