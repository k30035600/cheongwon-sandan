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표준품셈 정리\00.자료정리\적산엑셀\업로드용\3.건축부문(2026년)\"/>
    </mc:Choice>
  </mc:AlternateContent>
  <xr:revisionPtr revIDLastSave="0" documentId="13_ncr:1_{71F71CB4-8F55-4917-8D39-358F7B661F4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목공사(상반기)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3" i="6" l="1"/>
  <c r="G144" i="6"/>
  <c r="G171" i="6"/>
  <c r="G170" i="6"/>
  <c r="G158" i="6"/>
  <c r="I157" i="6"/>
  <c r="G156" i="6"/>
  <c r="G132" i="6"/>
  <c r="G131" i="6"/>
  <c r="G119" i="6"/>
  <c r="G118" i="6"/>
  <c r="G107" i="6"/>
  <c r="G108" i="6" s="1"/>
  <c r="G110" i="6" s="1"/>
  <c r="G98" i="6"/>
  <c r="G97" i="6"/>
  <c r="G85" i="6"/>
  <c r="G84" i="6"/>
  <c r="G72" i="6"/>
  <c r="G71" i="6"/>
  <c r="G59" i="6"/>
  <c r="G58" i="6"/>
  <c r="G60" i="6" s="1"/>
  <c r="G45" i="6"/>
  <c r="G44" i="6"/>
  <c r="G32" i="6"/>
  <c r="G31" i="6"/>
  <c r="G19" i="6"/>
  <c r="G18" i="6"/>
  <c r="I7" i="6"/>
  <c r="I8" i="6" s="1"/>
  <c r="I10" i="6" s="1"/>
  <c r="G140" i="6" l="1"/>
  <c r="G145" i="6"/>
  <c r="G141" i="6"/>
  <c r="G147" i="6" s="1"/>
  <c r="K7" i="6"/>
  <c r="K8" i="6" s="1"/>
  <c r="K10" i="6" s="1"/>
  <c r="G157" i="6"/>
  <c r="G153" i="6" s="1"/>
  <c r="G154" i="6" s="1"/>
  <c r="I158" i="6"/>
  <c r="G41" i="6"/>
  <c r="G42" i="6" s="1"/>
  <c r="G120" i="6"/>
  <c r="G115" i="6"/>
  <c r="G116" i="6" s="1"/>
  <c r="G28" i="6"/>
  <c r="G29" i="6" s="1"/>
  <c r="G33" i="6"/>
  <c r="G46" i="6"/>
  <c r="G48" i="6" s="1"/>
  <c r="G49" i="6" s="1"/>
  <c r="G81" i="6"/>
  <c r="G82" i="6" s="1"/>
  <c r="G86" i="6"/>
  <c r="G128" i="6"/>
  <c r="G129" i="6" s="1"/>
  <c r="G133" i="6"/>
  <c r="G167" i="6"/>
  <c r="G168" i="6" s="1"/>
  <c r="G172" i="6"/>
  <c r="G94" i="6"/>
  <c r="G95" i="6" s="1"/>
  <c r="G99" i="6"/>
  <c r="G20" i="6"/>
  <c r="G15" i="6"/>
  <c r="G16" i="6" s="1"/>
  <c r="G68" i="6"/>
  <c r="G69" i="6" s="1"/>
  <c r="G73" i="6"/>
  <c r="G7" i="6"/>
  <c r="G8" i="6" s="1"/>
  <c r="G10" i="6" s="1"/>
  <c r="I156" i="6"/>
  <c r="M7" i="6"/>
  <c r="M8" i="6" s="1"/>
  <c r="M10" i="6" s="1"/>
  <c r="G55" i="6"/>
  <c r="G56" i="6" s="1"/>
  <c r="G62" i="6" s="1"/>
  <c r="G63" i="6" s="1"/>
  <c r="G122" i="6" l="1"/>
  <c r="G159" i="6"/>
  <c r="G161" i="6" s="1"/>
  <c r="G162" i="6" s="1"/>
  <c r="G135" i="6"/>
  <c r="G75" i="6"/>
  <c r="G76" i="6" s="1"/>
  <c r="I153" i="6"/>
  <c r="I154" i="6" s="1"/>
  <c r="I159" i="6"/>
  <c r="G174" i="6"/>
  <c r="G175" i="6" s="1"/>
  <c r="G88" i="6"/>
  <c r="G89" i="6" s="1"/>
  <c r="G35" i="6"/>
  <c r="G36" i="6" s="1"/>
  <c r="G101" i="6"/>
  <c r="G102" i="6" s="1"/>
  <c r="G22" i="6"/>
  <c r="G23" i="6" s="1"/>
  <c r="I161" i="6" l="1"/>
  <c r="I162" i="6" s="1"/>
</calcChain>
</file>

<file path=xl/sharedStrings.xml><?xml version="1.0" encoding="utf-8"?>
<sst xmlns="http://schemas.openxmlformats.org/spreadsheetml/2006/main" count="280" uniqueCount="58">
  <si>
    <t>보통인부</t>
  </si>
  <si>
    <t>철공</t>
  </si>
  <si>
    <t>구분</t>
  </si>
  <si>
    <t>단가</t>
  </si>
  <si>
    <t>수량</t>
  </si>
  <si>
    <t>금액</t>
  </si>
  <si>
    <t>규격</t>
    <phoneticPr fontId="3" type="noConversion"/>
  </si>
  <si>
    <t>단위</t>
    <phoneticPr fontId="3" type="noConversion"/>
  </si>
  <si>
    <t>인</t>
    <phoneticPr fontId="3" type="noConversion"/>
  </si>
  <si>
    <t>재료비</t>
    <phoneticPr fontId="3" type="noConversion"/>
  </si>
  <si>
    <t>노무비</t>
    <phoneticPr fontId="3" type="noConversion"/>
  </si>
  <si>
    <t>합   계</t>
    <phoneticPr fontId="3" type="noConversion"/>
  </si>
  <si>
    <t>식</t>
    <phoneticPr fontId="3" type="noConversion"/>
  </si>
  <si>
    <t>규격</t>
    <phoneticPr fontId="5" type="noConversion"/>
  </si>
  <si>
    <t>수량</t>
    <phoneticPr fontId="3" type="noConversion"/>
  </si>
  <si>
    <t>금액</t>
    <phoneticPr fontId="3" type="noConversion"/>
  </si>
  <si>
    <t>공구손료</t>
    <phoneticPr fontId="5" type="noConversion"/>
  </si>
  <si>
    <t>인력품의 2%</t>
    <phoneticPr fontId="3" type="noConversion"/>
  </si>
  <si>
    <t>인력품의 3%</t>
    <phoneticPr fontId="3" type="noConversion"/>
  </si>
  <si>
    <t>인력품의 4%</t>
    <phoneticPr fontId="3" type="noConversion"/>
  </si>
  <si>
    <t>㎏</t>
    <phoneticPr fontId="3" type="noConversion"/>
  </si>
  <si>
    <t>(㎡당)</t>
    <phoneticPr fontId="3" type="noConversion"/>
  </si>
  <si>
    <t>제 4 장 목공사</t>
    <phoneticPr fontId="3" type="noConversion"/>
  </si>
  <si>
    <t>4-1 구조목공사</t>
  </si>
  <si>
    <t>거푸집 먹매김</t>
    <phoneticPr fontId="3" type="noConversion"/>
  </si>
  <si>
    <t>구조부 먹매김</t>
    <phoneticPr fontId="3" type="noConversion"/>
  </si>
  <si>
    <t>주택</t>
    <phoneticPr fontId="3" type="noConversion"/>
  </si>
  <si>
    <t>일반</t>
    <phoneticPr fontId="3" type="noConversion"/>
  </si>
  <si>
    <t>건축목공</t>
  </si>
  <si>
    <t>4-1-1 먹매김</t>
    <phoneticPr fontId="3" type="noConversion"/>
  </si>
  <si>
    <t>4-1-2 마루틀 설치</t>
  </si>
  <si>
    <t>4-1-3 마루바탕 설치</t>
    <phoneticPr fontId="3" type="noConversion"/>
  </si>
  <si>
    <t>4-1-4 마루널 설치</t>
    <phoneticPr fontId="3" type="noConversion"/>
  </si>
  <si>
    <t>4-2 수장목공사</t>
    <phoneticPr fontId="3" type="noConversion"/>
  </si>
  <si>
    <t>4-2-1 벽체틀 설치</t>
    <phoneticPr fontId="3" type="noConversion"/>
  </si>
  <si>
    <t>4-2-2 칸막이벽틀 설치</t>
    <phoneticPr fontId="3" type="noConversion"/>
  </si>
  <si>
    <t>4-2-3 벽체합판 설치</t>
    <phoneticPr fontId="3" type="noConversion"/>
  </si>
  <si>
    <t>접착제</t>
    <phoneticPr fontId="3" type="noConversion"/>
  </si>
  <si>
    <t>4-2-4 수장합판 설치</t>
    <phoneticPr fontId="3" type="noConversion"/>
  </si>
  <si>
    <t>4-2-5 커튼박스 설치</t>
    <phoneticPr fontId="3" type="noConversion"/>
  </si>
  <si>
    <t>(m당)</t>
    <phoneticPr fontId="3" type="noConversion"/>
  </si>
  <si>
    <t>4-3 부대목공사</t>
  </si>
  <si>
    <t>4-3-1 토대설치</t>
    <phoneticPr fontId="3" type="noConversion"/>
  </si>
  <si>
    <t>용접공</t>
    <phoneticPr fontId="3" type="noConversion"/>
  </si>
  <si>
    <t>평구조</t>
    <phoneticPr fontId="3" type="noConversion"/>
  </si>
  <si>
    <t>계단구조</t>
    <phoneticPr fontId="3" type="noConversion"/>
  </si>
  <si>
    <t>(일당)</t>
    <phoneticPr fontId="3" type="noConversion"/>
  </si>
  <si>
    <t>시공량(㎡)</t>
  </si>
  <si>
    <t>시공량(㎡)</t>
    <phoneticPr fontId="3" type="noConversion"/>
  </si>
  <si>
    <t>㎡당 단가</t>
    <phoneticPr fontId="3" type="noConversion"/>
  </si>
  <si>
    <t>[주] 재료량은 다음을 참고한다.</t>
    <phoneticPr fontId="3" type="noConversion"/>
  </si>
  <si>
    <t>시공량(ton)</t>
  </si>
  <si>
    <t>시공량(ton)</t>
    <phoneticPr fontId="3" type="noConversion"/>
  </si>
  <si>
    <t>ton당 단가</t>
    <phoneticPr fontId="3" type="noConversion"/>
  </si>
  <si>
    <t>4-3-3 목재데크틀 설치</t>
    <phoneticPr fontId="3" type="noConversion"/>
  </si>
  <si>
    <t>4-3-4 목재데크 설치</t>
    <phoneticPr fontId="3" type="noConversion"/>
  </si>
  <si>
    <t>(개당)</t>
    <phoneticPr fontId="3" type="noConversion"/>
  </si>
  <si>
    <t>4-3-2 기초앵커 설치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</si>
</sst>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(* #,##0_);_(* \(#,##0\);_(* &quot;-&quot;_);_(@_)"/>
    <numFmt numFmtId="180" formatCode="_-* #,##0.0_-;\-* #,##0.0_-;_-* &quot;-&quot;_-;_-@_-"/>
    <numFmt numFmtId="181" formatCode="_-* #,##0.0_-;\-* #,##0.0_-;_-* &quot;-&quot;??_-;_-@_-"/>
    <numFmt numFmtId="182" formatCode="_-* #,##0.00_-;\-* #,##0.00_-;_-* &quot;-&quot;_-;_-@_-"/>
    <numFmt numFmtId="183" formatCode="_-* #,##0.000_-;\-* #,##0.000_-;_-* &quot;-&quot;_-;_-@_-"/>
    <numFmt numFmtId="185" formatCode="#,##0.00_);[Red]\(#,##0.00\)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b/>
      <sz val="8"/>
      <color indexed="12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sz val="9.1"/>
      <name val="맑은 고딕"/>
      <family val="3"/>
      <charset val="129"/>
      <scheme val="minor"/>
    </font>
    <font>
      <b/>
      <sz val="9.1"/>
      <color indexed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b/>
      <sz val="9.1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b/>
      <sz val="8"/>
      <color indexed="10"/>
      <name val="돋움"/>
      <family val="3"/>
      <charset val="129"/>
    </font>
    <font>
      <sz val="9"/>
      <color indexed="12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4" fillId="0" borderId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11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80" fontId="9" fillId="0" borderId="5" xfId="1" applyNumberFormat="1" applyFont="1" applyFill="1" applyBorder="1" applyAlignment="1">
      <alignment horizontal="center" vertical="center"/>
    </xf>
    <xf numFmtId="0" fontId="9" fillId="0" borderId="4" xfId="3" applyFont="1" applyBorder="1" applyAlignment="1">
      <alignment horizontal="center"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9" fillId="0" borderId="4" xfId="3" applyFont="1" applyBorder="1" applyAlignment="1">
      <alignment vertical="center" shrinkToFit="1"/>
    </xf>
    <xf numFmtId="180" fontId="9" fillId="0" borderId="6" xfId="1" applyNumberFormat="1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9" fillId="0" borderId="5" xfId="3" applyFont="1" applyBorder="1" applyAlignment="1">
      <alignment vertical="center" shrinkToFit="1"/>
    </xf>
    <xf numFmtId="0" fontId="9" fillId="0" borderId="7" xfId="3" applyFont="1" applyBorder="1" applyAlignment="1">
      <alignment vertical="center" shrinkToFit="1"/>
    </xf>
    <xf numFmtId="0" fontId="13" fillId="0" borderId="0" xfId="6" applyFont="1" applyAlignment="1">
      <alignment vertical="center"/>
    </xf>
    <xf numFmtId="0" fontId="9" fillId="0" borderId="4" xfId="6" applyFont="1" applyBorder="1" applyAlignment="1">
      <alignment vertical="center"/>
    </xf>
    <xf numFmtId="0" fontId="9" fillId="0" borderId="5" xfId="6" applyFont="1" applyBorder="1" applyAlignment="1">
      <alignment horizontal="right" vertical="center"/>
    </xf>
    <xf numFmtId="181" fontId="9" fillId="0" borderId="6" xfId="7" applyNumberFormat="1" applyFont="1" applyFill="1" applyBorder="1" applyAlignment="1">
      <alignment vertical="center"/>
    </xf>
    <xf numFmtId="0" fontId="10" fillId="0" borderId="9" xfId="6" applyFont="1" applyBorder="1" applyAlignment="1">
      <alignment horizontal="left" vertical="center"/>
    </xf>
    <xf numFmtId="0" fontId="11" fillId="0" borderId="4" xfId="3" applyFont="1" applyBorder="1" applyAlignment="1">
      <alignment vertical="center"/>
    </xf>
    <xf numFmtId="0" fontId="12" fillId="0" borderId="4" xfId="3" applyFont="1" applyBorder="1" applyAlignment="1">
      <alignment vertical="center"/>
    </xf>
    <xf numFmtId="0" fontId="12" fillId="0" borderId="5" xfId="3" applyFont="1" applyBorder="1" applyAlignment="1">
      <alignment vertical="center"/>
    </xf>
    <xf numFmtId="41" fontId="12" fillId="0" borderId="5" xfId="5" applyFont="1" applyFill="1" applyBorder="1" applyAlignment="1">
      <alignment vertical="center"/>
    </xf>
    <xf numFmtId="41" fontId="12" fillId="0" borderId="6" xfId="5" applyFont="1" applyFill="1" applyBorder="1" applyAlignment="1">
      <alignment vertical="center"/>
    </xf>
    <xf numFmtId="0" fontId="12" fillId="0" borderId="7" xfId="3" applyFont="1" applyBorder="1" applyAlignment="1">
      <alignment vertical="center"/>
    </xf>
    <xf numFmtId="41" fontId="12" fillId="0" borderId="8" xfId="5" applyFont="1" applyFill="1" applyBorder="1" applyAlignment="1">
      <alignment vertical="center"/>
    </xf>
    <xf numFmtId="0" fontId="15" fillId="0" borderId="4" xfId="3" applyFont="1" applyBorder="1" applyAlignment="1">
      <alignment vertical="center"/>
    </xf>
    <xf numFmtId="0" fontId="16" fillId="0" borderId="5" xfId="3" applyFont="1" applyBorder="1" applyAlignment="1">
      <alignment vertical="center"/>
    </xf>
    <xf numFmtId="41" fontId="16" fillId="0" borderId="5" xfId="5" applyFont="1" applyFill="1" applyBorder="1" applyAlignment="1">
      <alignment vertical="center"/>
    </xf>
    <xf numFmtId="41" fontId="16" fillId="0" borderId="6" xfId="5" applyFont="1" applyFill="1" applyBorder="1" applyAlignment="1">
      <alignment vertical="center"/>
    </xf>
    <xf numFmtId="41" fontId="15" fillId="0" borderId="6" xfId="7" applyFont="1" applyFill="1" applyBorder="1" applyAlignment="1">
      <alignment vertical="center"/>
    </xf>
    <xf numFmtId="0" fontId="15" fillId="0" borderId="4" xfId="6" applyFont="1" applyBorder="1" applyAlignment="1">
      <alignment horizontal="left" vertical="center"/>
    </xf>
    <xf numFmtId="0" fontId="15" fillId="0" borderId="5" xfId="6" applyFont="1" applyBorder="1" applyAlignment="1">
      <alignment vertical="center"/>
    </xf>
    <xf numFmtId="0" fontId="17" fillId="0" borderId="5" xfId="3" applyFont="1" applyBorder="1" applyAlignment="1">
      <alignment horizontal="center" vertical="center"/>
    </xf>
    <xf numFmtId="0" fontId="17" fillId="0" borderId="5" xfId="3" applyFont="1" applyBorder="1" applyAlignment="1">
      <alignment vertical="center" shrinkToFit="1"/>
    </xf>
    <xf numFmtId="0" fontId="17" fillId="0" borderId="4" xfId="6" applyFont="1" applyBorder="1" applyAlignment="1">
      <alignment horizontal="left" vertical="center"/>
    </xf>
    <xf numFmtId="0" fontId="17" fillId="0" borderId="4" xfId="3" applyFont="1" applyBorder="1" applyAlignment="1">
      <alignment horizontal="center" vertical="center"/>
    </xf>
    <xf numFmtId="0" fontId="9" fillId="0" borderId="9" xfId="3" applyFont="1" applyBorder="1" applyAlignment="1">
      <alignment horizontal="center" vertical="center"/>
    </xf>
    <xf numFmtId="0" fontId="9" fillId="0" borderId="0" xfId="2" applyFont="1" applyAlignment="1">
      <alignment vertical="center"/>
    </xf>
    <xf numFmtId="0" fontId="9" fillId="0" borderId="0" xfId="0" applyFont="1">
      <alignment vertical="center"/>
    </xf>
    <xf numFmtId="182" fontId="9" fillId="0" borderId="5" xfId="8" applyNumberFormat="1" applyFont="1" applyBorder="1" applyAlignment="1">
      <alignment vertical="center"/>
    </xf>
    <xf numFmtId="41" fontId="10" fillId="0" borderId="0" xfId="8" applyFont="1" applyBorder="1" applyAlignment="1">
      <alignment vertical="center"/>
    </xf>
    <xf numFmtId="0" fontId="10" fillId="0" borderId="7" xfId="2" applyFont="1" applyBorder="1" applyAlignment="1">
      <alignment vertical="center"/>
    </xf>
    <xf numFmtId="41" fontId="10" fillId="0" borderId="8" xfId="8" applyFont="1" applyBorder="1" applyAlignment="1">
      <alignment vertical="center"/>
    </xf>
    <xf numFmtId="0" fontId="10" fillId="0" borderId="4" xfId="2" applyFont="1" applyBorder="1" applyAlignment="1">
      <alignment horizontal="left" vertical="center"/>
    </xf>
    <xf numFmtId="0" fontId="18" fillId="0" borderId="4" xfId="2" applyFont="1" applyBorder="1" applyAlignment="1">
      <alignment horizontal="left" vertical="center"/>
    </xf>
    <xf numFmtId="0" fontId="18" fillId="0" borderId="9" xfId="2" applyFont="1" applyBorder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horizontal="centerContinuous" vertical="center"/>
    </xf>
    <xf numFmtId="0" fontId="9" fillId="0" borderId="0" xfId="2" applyFont="1" applyAlignment="1">
      <alignment horizontal="right" vertical="center"/>
    </xf>
    <xf numFmtId="41" fontId="15" fillId="0" borderId="6" xfId="8" applyFont="1" applyBorder="1" applyAlignment="1">
      <alignment vertical="center"/>
    </xf>
    <xf numFmtId="41" fontId="10" fillId="0" borderId="5" xfId="1" applyFont="1" applyBorder="1" applyAlignment="1">
      <alignment vertical="center"/>
    </xf>
    <xf numFmtId="41" fontId="9" fillId="0" borderId="5" xfId="8" applyFont="1" applyBorder="1" applyAlignment="1">
      <alignment vertical="center"/>
    </xf>
    <xf numFmtId="183" fontId="10" fillId="0" borderId="5" xfId="8" applyNumberFormat="1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9" fillId="0" borderId="5" xfId="3" applyFont="1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11" fillId="0" borderId="3" xfId="3" applyFont="1" applyBorder="1" applyAlignment="1">
      <alignment horizontal="center" vertical="center"/>
    </xf>
    <xf numFmtId="183" fontId="9" fillId="0" borderId="5" xfId="8" applyNumberFormat="1" applyFont="1" applyBorder="1" applyAlignment="1">
      <alignment vertical="center"/>
    </xf>
    <xf numFmtId="41" fontId="17" fillId="0" borderId="10" xfId="0" applyNumberFormat="1" applyFont="1" applyBorder="1">
      <alignment vertical="center"/>
    </xf>
    <xf numFmtId="183" fontId="11" fillId="0" borderId="5" xfId="1" applyNumberFormat="1" applyFont="1" applyBorder="1" applyAlignment="1">
      <alignment vertical="center"/>
    </xf>
    <xf numFmtId="41" fontId="17" fillId="0" borderId="5" xfId="0" applyNumberFormat="1" applyFont="1" applyBorder="1">
      <alignment vertical="center"/>
    </xf>
    <xf numFmtId="41" fontId="9" fillId="0" borderId="5" xfId="0" applyNumberFormat="1" applyFont="1" applyBorder="1">
      <alignment vertical="center"/>
    </xf>
    <xf numFmtId="185" fontId="19" fillId="0" borderId="0" xfId="4" applyNumberFormat="1" applyFont="1" applyAlignment="1">
      <alignment vertical="center"/>
    </xf>
    <xf numFmtId="0" fontId="6" fillId="0" borderId="0" xfId="0" applyFont="1" applyAlignment="1"/>
    <xf numFmtId="0" fontId="9" fillId="0" borderId="7" xfId="6" applyFont="1" applyBorder="1" applyAlignment="1">
      <alignment horizontal="center" vertical="center"/>
    </xf>
    <xf numFmtId="0" fontId="9" fillId="0" borderId="8" xfId="6" applyFont="1" applyBorder="1" applyAlignment="1">
      <alignment horizontal="center" vertical="center"/>
    </xf>
    <xf numFmtId="0" fontId="9" fillId="0" borderId="3" xfId="6" applyFont="1" applyBorder="1" applyAlignment="1">
      <alignment horizontal="center" vertical="center" wrapText="1"/>
    </xf>
    <xf numFmtId="41" fontId="9" fillId="0" borderId="5" xfId="8" applyFont="1" applyFill="1" applyBorder="1" applyAlignment="1">
      <alignment vertical="center"/>
    </xf>
    <xf numFmtId="0" fontId="15" fillId="0" borderId="4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4" xfId="0" applyFont="1" applyBorder="1" applyAlignment="1">
      <alignment horizontal="center" vertical="center"/>
    </xf>
    <xf numFmtId="0" fontId="15" fillId="0" borderId="5" xfId="0" applyFont="1" applyBorder="1">
      <alignment vertical="center"/>
    </xf>
    <xf numFmtId="180" fontId="15" fillId="0" borderId="5" xfId="1" applyNumberFormat="1" applyFont="1" applyFill="1" applyBorder="1" applyAlignment="1">
      <alignment vertical="center"/>
    </xf>
    <xf numFmtId="41" fontId="15" fillId="0" borderId="6" xfId="1" applyFont="1" applyFill="1" applyBorder="1" applyAlignment="1">
      <alignment vertical="center"/>
    </xf>
    <xf numFmtId="0" fontId="9" fillId="0" borderId="4" xfId="0" applyFont="1" applyBorder="1">
      <alignment vertical="center"/>
    </xf>
    <xf numFmtId="0" fontId="9" fillId="0" borderId="4" xfId="0" applyFont="1" applyBorder="1" applyAlignment="1">
      <alignment horizontal="center" vertical="center"/>
    </xf>
    <xf numFmtId="41" fontId="20" fillId="0" borderId="5" xfId="0" applyNumberFormat="1" applyFont="1" applyBorder="1">
      <alignment vertical="center"/>
    </xf>
    <xf numFmtId="180" fontId="9" fillId="0" borderId="5" xfId="1" applyNumberFormat="1" applyFont="1" applyFill="1" applyBorder="1" applyAlignment="1">
      <alignment vertical="center"/>
    </xf>
    <xf numFmtId="180" fontId="9" fillId="0" borderId="6" xfId="1" applyNumberFormat="1" applyFont="1" applyFill="1" applyBorder="1" applyAlignment="1">
      <alignment vertical="center"/>
    </xf>
    <xf numFmtId="0" fontId="9" fillId="0" borderId="4" xfId="6" applyFont="1" applyBorder="1" applyAlignment="1">
      <alignment horizontal="left" vertical="center"/>
    </xf>
    <xf numFmtId="0" fontId="9" fillId="0" borderId="4" xfId="2" applyFont="1" applyBorder="1" applyAlignment="1">
      <alignment horizontal="left" vertical="center"/>
    </xf>
    <xf numFmtId="41" fontId="9" fillId="0" borderId="5" xfId="2" applyNumberFormat="1" applyFont="1" applyBorder="1" applyAlignment="1">
      <alignment vertical="center"/>
    </xf>
    <xf numFmtId="180" fontId="9" fillId="0" borderId="0" xfId="8" applyNumberFormat="1" applyFont="1" applyBorder="1" applyAlignment="1">
      <alignment horizontal="center" vertical="center"/>
    </xf>
    <xf numFmtId="0" fontId="10" fillId="0" borderId="4" xfId="6" applyFont="1" applyBorder="1" applyAlignment="1">
      <alignment horizontal="left" vertical="center"/>
    </xf>
    <xf numFmtId="0" fontId="10" fillId="0" borderId="5" xfId="2" applyFont="1" applyBorder="1" applyAlignment="1">
      <alignment vertical="center"/>
    </xf>
    <xf numFmtId="41" fontId="10" fillId="0" borderId="6" xfId="8" applyFont="1" applyBorder="1" applyAlignment="1">
      <alignment vertical="center"/>
    </xf>
    <xf numFmtId="0" fontId="9" fillId="0" borderId="9" xfId="6" applyFont="1" applyBorder="1" applyAlignment="1">
      <alignment horizontal="left" vertical="center"/>
    </xf>
    <xf numFmtId="0" fontId="9" fillId="0" borderId="7" xfId="3" applyFont="1" applyBorder="1" applyAlignment="1">
      <alignment horizontal="center" vertical="center"/>
    </xf>
    <xf numFmtId="0" fontId="21" fillId="0" borderId="7" xfId="6" applyFont="1" applyBorder="1" applyAlignment="1">
      <alignment vertical="center"/>
    </xf>
    <xf numFmtId="0" fontId="10" fillId="0" borderId="7" xfId="6" applyFont="1" applyBorder="1" applyAlignment="1">
      <alignment vertical="center"/>
    </xf>
    <xf numFmtId="41" fontId="10" fillId="0" borderId="8" xfId="7" applyFont="1" applyFill="1" applyBorder="1" applyAlignment="1">
      <alignment horizontal="center" vertical="center"/>
    </xf>
    <xf numFmtId="3" fontId="9" fillId="0" borderId="12" xfId="6" applyNumberFormat="1" applyFont="1" applyBorder="1" applyAlignment="1">
      <alignment horizontal="center" vertical="center" wrapText="1"/>
    </xf>
    <xf numFmtId="4" fontId="9" fillId="0" borderId="12" xfId="6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9" fillId="0" borderId="10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  <xf numFmtId="0" fontId="9" fillId="0" borderId="13" xfId="6" applyFont="1" applyBorder="1" applyAlignment="1">
      <alignment horizontal="center" vertical="center"/>
    </xf>
    <xf numFmtId="0" fontId="9" fillId="0" borderId="4" xfId="6" applyFont="1" applyBorder="1" applyAlignment="1">
      <alignment horizontal="center" vertical="center"/>
    </xf>
    <xf numFmtId="0" fontId="9" fillId="0" borderId="9" xfId="6" applyFont="1" applyBorder="1" applyAlignment="1">
      <alignment horizontal="center" vertical="center"/>
    </xf>
    <xf numFmtId="0" fontId="9" fillId="0" borderId="5" xfId="6" applyFont="1" applyBorder="1" applyAlignment="1">
      <alignment horizontal="center" vertical="center"/>
    </xf>
    <xf numFmtId="0" fontId="11" fillId="0" borderId="3" xfId="3" applyFont="1" applyBorder="1" applyAlignment="1">
      <alignment horizontal="center" vertical="center"/>
    </xf>
    <xf numFmtId="0" fontId="11" fillId="0" borderId="12" xfId="3" applyFont="1" applyBorder="1" applyAlignment="1">
      <alignment horizontal="center" vertical="center"/>
    </xf>
    <xf numFmtId="0" fontId="9" fillId="0" borderId="11" xfId="6" applyFont="1" applyBorder="1" applyAlignment="1">
      <alignment horizontal="center" vertical="center"/>
    </xf>
    <xf numFmtId="0" fontId="9" fillId="0" borderId="8" xfId="6" applyFont="1" applyBorder="1" applyAlignment="1">
      <alignment horizontal="center" vertical="center"/>
    </xf>
    <xf numFmtId="0" fontId="11" fillId="0" borderId="3" xfId="3" applyFont="1" applyBorder="1" applyAlignment="1">
      <alignment horizontal="center" vertical="center" shrinkToFit="1"/>
    </xf>
    <xf numFmtId="0" fontId="11" fillId="0" borderId="12" xfId="3" applyFont="1" applyBorder="1" applyAlignment="1">
      <alignment horizontal="center" vertical="center" shrinkToFit="1"/>
    </xf>
    <xf numFmtId="0" fontId="11" fillId="0" borderId="2" xfId="3" applyFont="1" applyBorder="1" applyAlignment="1">
      <alignment horizontal="center" vertical="center" shrinkToFit="1"/>
    </xf>
  </cellXfs>
  <cellStyles count="9">
    <cellStyle name="쉼표 [0]" xfId="1" builtinId="6"/>
    <cellStyle name="콤마 [0]_가설공사(1)" xfId="5" xr:uid="{00000000-0005-0000-0000-000002000000}"/>
    <cellStyle name="콤마 [0]_가설공사(2)" xfId="7" xr:uid="{00000000-0005-0000-0000-000003000000}"/>
    <cellStyle name="콤마 [0]_조경공사" xfId="8" xr:uid="{00000000-0005-0000-0000-000004000000}"/>
    <cellStyle name="표준" xfId="0" builtinId="0"/>
    <cellStyle name="표준_Sheet1" xfId="4" xr:uid="{00000000-0005-0000-0000-000006000000}"/>
    <cellStyle name="표준_가설공사(1)" xfId="3" xr:uid="{00000000-0005-0000-0000-000007000000}"/>
    <cellStyle name="표준_가설공사(2)" xfId="6" xr:uid="{00000000-0005-0000-0000-000008000000}"/>
    <cellStyle name="표준_조경공사" xfId="2" xr:uid="{00000000-0005-0000-0000-000009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72132-DFAD-44F9-A265-865A52541BD4}">
  <sheetPr>
    <pageSetUpPr fitToPage="1"/>
  </sheetPr>
  <dimension ref="A1:O308"/>
  <sheetViews>
    <sheetView tabSelected="1" zoomScaleNormal="100" workbookViewId="0">
      <selection activeCell="J22" sqref="J22"/>
    </sheetView>
  </sheetViews>
  <sheetFormatPr defaultColWidth="9" defaultRowHeight="12.95" customHeight="1" x14ac:dyDescent="0.3"/>
  <cols>
    <col min="1" max="1" width="2.625" style="2" customWidth="1"/>
    <col min="2" max="2" width="15.625" style="2" customWidth="1"/>
    <col min="3" max="3" width="15.625" style="6" customWidth="1"/>
    <col min="4" max="4" width="4.625" style="2" customWidth="1"/>
    <col min="5" max="5" width="11.625" style="2" customWidth="1"/>
    <col min="6" max="6" width="8.625" style="2" customWidth="1"/>
    <col min="7" max="7" width="11.625" style="2" customWidth="1"/>
    <col min="8" max="8" width="8.625" style="2" customWidth="1"/>
    <col min="9" max="9" width="11.625" style="2" customWidth="1"/>
    <col min="10" max="10" width="8.625" style="2" customWidth="1"/>
    <col min="11" max="11" width="11.625" style="2" customWidth="1"/>
    <col min="12" max="12" width="8.625" style="2" customWidth="1"/>
    <col min="13" max="13" width="11.625" style="2" customWidth="1"/>
    <col min="14" max="14" width="2.625" style="2" customWidth="1"/>
    <col min="15" max="15" width="11.625" style="2" customWidth="1"/>
    <col min="16" max="16384" width="9" style="2"/>
  </cols>
  <sheetData>
    <row r="1" spans="1:15" ht="12.95" customHeight="1" x14ac:dyDescent="0.3">
      <c r="A1" s="61"/>
      <c r="B1" s="9" t="s">
        <v>22</v>
      </c>
      <c r="C1" s="5"/>
      <c r="D1" s="1"/>
    </row>
    <row r="2" spans="1:15" ht="12.95" customHeight="1" x14ac:dyDescent="0.15">
      <c r="A2" s="62"/>
      <c r="B2" s="1" t="s">
        <v>23</v>
      </c>
    </row>
    <row r="3" spans="1:15" ht="12.95" customHeight="1" x14ac:dyDescent="0.3">
      <c r="B3" s="2" t="s">
        <v>29</v>
      </c>
      <c r="M3" s="52" t="s">
        <v>21</v>
      </c>
    </row>
    <row r="4" spans="1:15" ht="12.95" customHeight="1" x14ac:dyDescent="0.3">
      <c r="B4" s="99" t="s">
        <v>2</v>
      </c>
      <c r="C4" s="99" t="s">
        <v>6</v>
      </c>
      <c r="D4" s="97" t="s">
        <v>7</v>
      </c>
      <c r="E4" s="97" t="s">
        <v>3</v>
      </c>
      <c r="F4" s="107" t="s">
        <v>24</v>
      </c>
      <c r="G4" s="108"/>
      <c r="H4" s="108"/>
      <c r="I4" s="109"/>
      <c r="J4" s="107" t="s">
        <v>25</v>
      </c>
      <c r="K4" s="108"/>
      <c r="L4" s="108"/>
      <c r="M4" s="108"/>
    </row>
    <row r="5" spans="1:15" ht="12.95" customHeight="1" x14ac:dyDescent="0.3">
      <c r="B5" s="100"/>
      <c r="C5" s="100"/>
      <c r="D5" s="102"/>
      <c r="E5" s="102"/>
      <c r="F5" s="107" t="s">
        <v>26</v>
      </c>
      <c r="G5" s="108"/>
      <c r="H5" s="107" t="s">
        <v>27</v>
      </c>
      <c r="I5" s="108"/>
      <c r="J5" s="107" t="s">
        <v>26</v>
      </c>
      <c r="K5" s="108"/>
      <c r="L5" s="107" t="s">
        <v>27</v>
      </c>
      <c r="M5" s="108"/>
    </row>
    <row r="6" spans="1:15" ht="12.95" customHeight="1" x14ac:dyDescent="0.3">
      <c r="B6" s="101"/>
      <c r="C6" s="101"/>
      <c r="D6" s="98"/>
      <c r="E6" s="98"/>
      <c r="F6" s="54" t="s">
        <v>4</v>
      </c>
      <c r="G6" s="55" t="s">
        <v>5</v>
      </c>
      <c r="H6" s="54" t="s">
        <v>4</v>
      </c>
      <c r="I6" s="55" t="s">
        <v>5</v>
      </c>
      <c r="J6" s="54" t="s">
        <v>4</v>
      </c>
      <c r="K6" s="55" t="s">
        <v>5</v>
      </c>
      <c r="L6" s="54" t="s">
        <v>4</v>
      </c>
      <c r="M6" s="55" t="s">
        <v>5</v>
      </c>
    </row>
    <row r="7" spans="1:15" ht="12.95" customHeight="1" x14ac:dyDescent="0.3">
      <c r="B7" s="17" t="s">
        <v>28</v>
      </c>
      <c r="C7" s="10"/>
      <c r="D7" s="4" t="s">
        <v>8</v>
      </c>
      <c r="E7" s="57">
        <v>277642</v>
      </c>
      <c r="F7" s="58">
        <v>2.1000000000000001E-2</v>
      </c>
      <c r="G7" s="3">
        <f t="shared" ref="G7" si="0">TRUNC($E7*F7,1)</f>
        <v>5830.4</v>
      </c>
      <c r="H7" s="58">
        <v>1.2E-2</v>
      </c>
      <c r="I7" s="8">
        <f t="shared" ref="I7" si="1">TRUNC($E7*H7,1)</f>
        <v>3331.7</v>
      </c>
      <c r="J7" s="58">
        <v>8.9999999999999993E-3</v>
      </c>
      <c r="K7" s="8">
        <f t="shared" ref="K7" si="2">TRUNC($E7*J7,1)</f>
        <v>2498.6999999999998</v>
      </c>
      <c r="L7" s="58">
        <v>5.0000000000000001E-3</v>
      </c>
      <c r="M7" s="8">
        <f t="shared" ref="M7" si="3">TRUNC($E7*L7,1)</f>
        <v>1388.2</v>
      </c>
    </row>
    <row r="8" spans="1:15" ht="12.95" customHeight="1" x14ac:dyDescent="0.3">
      <c r="B8" s="24" t="s">
        <v>10</v>
      </c>
      <c r="C8" s="32"/>
      <c r="D8" s="34"/>
      <c r="E8" s="25"/>
      <c r="F8" s="25"/>
      <c r="G8" s="26">
        <f>TRUNC(SUM(G7:G7))</f>
        <v>5830</v>
      </c>
      <c r="H8" s="25"/>
      <c r="I8" s="27">
        <f>TRUNC(SUM(I7:I7))</f>
        <v>3331</v>
      </c>
      <c r="J8" s="25"/>
      <c r="K8" s="27">
        <f>TRUNC(SUM(K7:K7))</f>
        <v>2498</v>
      </c>
      <c r="L8" s="25"/>
      <c r="M8" s="27">
        <f>TRUNC(SUM(M7:M7))</f>
        <v>1388</v>
      </c>
    </row>
    <row r="9" spans="1:15" ht="12.95" customHeight="1" x14ac:dyDescent="0.3">
      <c r="B9" s="18"/>
      <c r="C9" s="10"/>
      <c r="D9" s="4"/>
      <c r="E9" s="19"/>
      <c r="F9" s="19"/>
      <c r="G9" s="20"/>
      <c r="H9" s="19"/>
      <c r="I9" s="21"/>
      <c r="J9" s="19"/>
      <c r="K9" s="21"/>
      <c r="L9" s="19"/>
      <c r="M9" s="21"/>
    </row>
    <row r="10" spans="1:15" ht="12.95" customHeight="1" x14ac:dyDescent="0.3">
      <c r="B10" s="16" t="s">
        <v>11</v>
      </c>
      <c r="C10" s="11"/>
      <c r="D10" s="35"/>
      <c r="E10" s="22"/>
      <c r="F10" s="22"/>
      <c r="G10" s="23">
        <f>SUM(G8)</f>
        <v>5830</v>
      </c>
      <c r="H10" s="22"/>
      <c r="I10" s="23">
        <f>SUM(I8)</f>
        <v>3331</v>
      </c>
      <c r="J10" s="22"/>
      <c r="K10" s="23">
        <f>SUM(K8)</f>
        <v>2498</v>
      </c>
      <c r="L10" s="22"/>
      <c r="M10" s="23">
        <f>SUM(M8)</f>
        <v>1388</v>
      </c>
    </row>
    <row r="12" spans="1:15" ht="12.95" customHeight="1" x14ac:dyDescent="0.3">
      <c r="B12" s="2" t="s">
        <v>30</v>
      </c>
      <c r="G12" s="52" t="s">
        <v>46</v>
      </c>
    </row>
    <row r="13" spans="1:15" ht="12.95" customHeight="1" x14ac:dyDescent="0.3">
      <c r="B13" s="92" t="s">
        <v>2</v>
      </c>
      <c r="C13" s="94" t="s">
        <v>13</v>
      </c>
      <c r="D13" s="96" t="s">
        <v>7</v>
      </c>
      <c r="E13" s="97" t="s">
        <v>3</v>
      </c>
      <c r="F13" s="65" t="s">
        <v>48</v>
      </c>
      <c r="G13" s="90">
        <v>75</v>
      </c>
      <c r="O13" s="37"/>
    </row>
    <row r="14" spans="1:15" ht="12.95" customHeight="1" x14ac:dyDescent="0.3">
      <c r="B14" s="93"/>
      <c r="C14" s="95"/>
      <c r="D14" s="96"/>
      <c r="E14" s="98"/>
      <c r="F14" s="63" t="s">
        <v>14</v>
      </c>
      <c r="G14" s="64" t="s">
        <v>15</v>
      </c>
      <c r="H14" s="12"/>
      <c r="N14" s="37"/>
      <c r="O14" s="37"/>
    </row>
    <row r="15" spans="1:15" ht="12.95" customHeight="1" x14ac:dyDescent="0.3">
      <c r="B15" s="13" t="s">
        <v>16</v>
      </c>
      <c r="C15" s="7" t="s">
        <v>19</v>
      </c>
      <c r="D15" s="53" t="s">
        <v>12</v>
      </c>
      <c r="E15" s="14"/>
      <c r="F15" s="50">
        <v>1</v>
      </c>
      <c r="G15" s="15">
        <f>TRUNC(SUM(G18:G19)*0.04,1)</f>
        <v>51305.4</v>
      </c>
      <c r="N15" s="37"/>
      <c r="O15" s="37"/>
    </row>
    <row r="16" spans="1:15" ht="12.95" customHeight="1" x14ac:dyDescent="0.3">
      <c r="B16" s="67" t="s">
        <v>9</v>
      </c>
      <c r="C16" s="68"/>
      <c r="D16" s="69"/>
      <c r="E16" s="70"/>
      <c r="F16" s="71"/>
      <c r="G16" s="72">
        <f>TRUNC(SUM(G15:G15))</f>
        <v>51305</v>
      </c>
      <c r="N16" s="37"/>
      <c r="O16" s="37"/>
    </row>
    <row r="17" spans="2:15" ht="12.95" customHeight="1" x14ac:dyDescent="0.3">
      <c r="B17" s="73"/>
      <c r="C17" s="73"/>
      <c r="D17" s="74"/>
      <c r="E17" s="75"/>
      <c r="F17" s="76"/>
      <c r="G17" s="77"/>
      <c r="N17" s="37"/>
      <c r="O17" s="37"/>
    </row>
    <row r="18" spans="2:15" ht="12.95" customHeight="1" x14ac:dyDescent="0.3">
      <c r="B18" s="17" t="s">
        <v>28</v>
      </c>
      <c r="C18" s="10"/>
      <c r="D18" s="4" t="s">
        <v>8</v>
      </c>
      <c r="E18" s="59">
        <v>277642</v>
      </c>
      <c r="F18" s="66">
        <v>4</v>
      </c>
      <c r="G18" s="8">
        <f t="shared" ref="G18:G19" si="4">TRUNC($E18*F18,1)</f>
        <v>1110568</v>
      </c>
      <c r="H18" s="12"/>
      <c r="N18" s="37"/>
      <c r="O18" s="37"/>
    </row>
    <row r="19" spans="2:15" ht="12.95" customHeight="1" x14ac:dyDescent="0.3">
      <c r="B19" s="17" t="s">
        <v>0</v>
      </c>
      <c r="C19" s="10"/>
      <c r="D19" s="4" t="s">
        <v>8</v>
      </c>
      <c r="E19" s="59">
        <v>172068</v>
      </c>
      <c r="F19" s="66">
        <v>1</v>
      </c>
      <c r="G19" s="8">
        <f t="shared" si="4"/>
        <v>172068</v>
      </c>
      <c r="H19" s="12"/>
      <c r="N19" s="37"/>
      <c r="O19" s="37"/>
    </row>
    <row r="20" spans="2:15" ht="12.95" customHeight="1" x14ac:dyDescent="0.3">
      <c r="B20" s="24" t="s">
        <v>10</v>
      </c>
      <c r="C20" s="43"/>
      <c r="D20" s="43"/>
      <c r="E20" s="49"/>
      <c r="F20" s="66"/>
      <c r="G20" s="48">
        <f>TRUNC(SUM(G18:G19))</f>
        <v>1282636</v>
      </c>
      <c r="H20" s="12"/>
    </row>
    <row r="21" spans="2:15" ht="12.95" customHeight="1" x14ac:dyDescent="0.3">
      <c r="B21" s="78"/>
      <c r="C21" s="79"/>
      <c r="D21" s="79"/>
      <c r="E21" s="80"/>
      <c r="F21" s="38"/>
      <c r="G21" s="81"/>
      <c r="H21" s="12"/>
    </row>
    <row r="22" spans="2:15" ht="12.95" customHeight="1" x14ac:dyDescent="0.3">
      <c r="B22" s="82" t="s">
        <v>11</v>
      </c>
      <c r="C22" s="43"/>
      <c r="D22" s="43"/>
      <c r="E22" s="83"/>
      <c r="F22" s="83"/>
      <c r="G22" s="84">
        <f>SUM(G16+G20)</f>
        <v>1333941</v>
      </c>
      <c r="H22" s="12"/>
    </row>
    <row r="23" spans="2:15" ht="12.95" customHeight="1" x14ac:dyDescent="0.3">
      <c r="B23" s="16" t="s">
        <v>49</v>
      </c>
      <c r="C23" s="85"/>
      <c r="D23" s="86"/>
      <c r="E23" s="87"/>
      <c r="F23" s="88"/>
      <c r="G23" s="89">
        <f>TRUNC(G22/G13)</f>
        <v>17785</v>
      </c>
      <c r="H23" s="12"/>
    </row>
    <row r="25" spans="2:15" ht="12.95" customHeight="1" x14ac:dyDescent="0.3">
      <c r="B25" s="45" t="s">
        <v>31</v>
      </c>
      <c r="G25" s="52" t="s">
        <v>46</v>
      </c>
    </row>
    <row r="26" spans="2:15" ht="12.95" customHeight="1" x14ac:dyDescent="0.3">
      <c r="B26" s="92" t="s">
        <v>2</v>
      </c>
      <c r="C26" s="94" t="s">
        <v>13</v>
      </c>
      <c r="D26" s="96" t="s">
        <v>7</v>
      </c>
      <c r="E26" s="97" t="s">
        <v>3</v>
      </c>
      <c r="F26" s="65" t="s">
        <v>48</v>
      </c>
      <c r="G26" s="90">
        <v>155</v>
      </c>
    </row>
    <row r="27" spans="2:15" ht="12.95" customHeight="1" x14ac:dyDescent="0.3">
      <c r="B27" s="93"/>
      <c r="C27" s="95"/>
      <c r="D27" s="96"/>
      <c r="E27" s="98"/>
      <c r="F27" s="63" t="s">
        <v>14</v>
      </c>
      <c r="G27" s="64" t="s">
        <v>15</v>
      </c>
      <c r="H27" s="12"/>
    </row>
    <row r="28" spans="2:15" ht="12.95" customHeight="1" x14ac:dyDescent="0.3">
      <c r="B28" s="13" t="s">
        <v>16</v>
      </c>
      <c r="C28" s="7" t="s">
        <v>19</v>
      </c>
      <c r="D28" s="53" t="s">
        <v>12</v>
      </c>
      <c r="E28" s="14"/>
      <c r="F28" s="50">
        <v>1</v>
      </c>
      <c r="G28" s="15">
        <f>TRUNC(SUM(G31:G32)*0.04,1)</f>
        <v>51305.4</v>
      </c>
    </row>
    <row r="29" spans="2:15" ht="12.95" customHeight="1" x14ac:dyDescent="0.3">
      <c r="B29" s="67" t="s">
        <v>9</v>
      </c>
      <c r="C29" s="68"/>
      <c r="D29" s="69"/>
      <c r="E29" s="70"/>
      <c r="F29" s="71"/>
      <c r="G29" s="72">
        <f>TRUNC(SUM(G28:G28))</f>
        <v>51305</v>
      </c>
    </row>
    <row r="30" spans="2:15" ht="12.95" customHeight="1" x14ac:dyDescent="0.3">
      <c r="B30" s="73"/>
      <c r="C30" s="73"/>
      <c r="D30" s="74"/>
      <c r="E30" s="75"/>
      <c r="F30" s="76"/>
      <c r="G30" s="77"/>
    </row>
    <row r="31" spans="2:15" ht="12.95" customHeight="1" x14ac:dyDescent="0.3">
      <c r="B31" s="17" t="s">
        <v>28</v>
      </c>
      <c r="C31" s="10"/>
      <c r="D31" s="4" t="s">
        <v>8</v>
      </c>
      <c r="E31" s="59">
        <v>277642</v>
      </c>
      <c r="F31" s="66">
        <v>4</v>
      </c>
      <c r="G31" s="8">
        <f t="shared" ref="G31:G32" si="5">TRUNC($E31*F31,1)</f>
        <v>1110568</v>
      </c>
      <c r="H31" s="12"/>
    </row>
    <row r="32" spans="2:15" ht="12.95" customHeight="1" x14ac:dyDescent="0.3">
      <c r="B32" s="17" t="s">
        <v>0</v>
      </c>
      <c r="C32" s="10"/>
      <c r="D32" s="4" t="s">
        <v>8</v>
      </c>
      <c r="E32" s="59">
        <v>172068</v>
      </c>
      <c r="F32" s="66">
        <v>1</v>
      </c>
      <c r="G32" s="8">
        <f t="shared" si="5"/>
        <v>172068</v>
      </c>
      <c r="H32" s="12"/>
    </row>
    <row r="33" spans="2:8" ht="12.95" customHeight="1" x14ac:dyDescent="0.3">
      <c r="B33" s="24" t="s">
        <v>10</v>
      </c>
      <c r="C33" s="43"/>
      <c r="D33" s="43"/>
      <c r="E33" s="49"/>
      <c r="F33" s="66"/>
      <c r="G33" s="48">
        <f>TRUNC(SUM(G31:G32))</f>
        <v>1282636</v>
      </c>
      <c r="H33" s="12"/>
    </row>
    <row r="34" spans="2:8" ht="12.95" customHeight="1" x14ac:dyDescent="0.3">
      <c r="B34" s="78"/>
      <c r="C34" s="79"/>
      <c r="D34" s="79"/>
      <c r="E34" s="80"/>
      <c r="F34" s="38"/>
      <c r="G34" s="81"/>
      <c r="H34" s="12"/>
    </row>
    <row r="35" spans="2:8" ht="12.95" customHeight="1" x14ac:dyDescent="0.3">
      <c r="B35" s="82" t="s">
        <v>11</v>
      </c>
      <c r="C35" s="43"/>
      <c r="D35" s="43"/>
      <c r="E35" s="83"/>
      <c r="F35" s="83"/>
      <c r="G35" s="84">
        <f>SUM(G29+G33)</f>
        <v>1333941</v>
      </c>
      <c r="H35" s="12"/>
    </row>
    <row r="36" spans="2:8" ht="12.95" customHeight="1" x14ac:dyDescent="0.3">
      <c r="B36" s="16" t="s">
        <v>49</v>
      </c>
      <c r="C36" s="85"/>
      <c r="D36" s="86"/>
      <c r="E36" s="87"/>
      <c r="F36" s="88"/>
      <c r="G36" s="89">
        <f>TRUNC(G35/G26)</f>
        <v>8606</v>
      </c>
      <c r="H36" s="12"/>
    </row>
    <row r="38" spans="2:8" ht="12.95" customHeight="1" x14ac:dyDescent="0.3">
      <c r="B38" s="45" t="s">
        <v>32</v>
      </c>
      <c r="G38" s="52" t="s">
        <v>46</v>
      </c>
    </row>
    <row r="39" spans="2:8" ht="12.95" customHeight="1" x14ac:dyDescent="0.3">
      <c r="B39" s="92" t="s">
        <v>2</v>
      </c>
      <c r="C39" s="94" t="s">
        <v>13</v>
      </c>
      <c r="D39" s="96" t="s">
        <v>7</v>
      </c>
      <c r="E39" s="97" t="s">
        <v>3</v>
      </c>
      <c r="F39" s="65" t="s">
        <v>48</v>
      </c>
      <c r="G39" s="90">
        <v>70</v>
      </c>
    </row>
    <row r="40" spans="2:8" ht="12.95" customHeight="1" x14ac:dyDescent="0.3">
      <c r="B40" s="93"/>
      <c r="C40" s="95"/>
      <c r="D40" s="96"/>
      <c r="E40" s="98"/>
      <c r="F40" s="63" t="s">
        <v>14</v>
      </c>
      <c r="G40" s="64" t="s">
        <v>15</v>
      </c>
      <c r="H40" s="12"/>
    </row>
    <row r="41" spans="2:8" ht="12.95" customHeight="1" x14ac:dyDescent="0.3">
      <c r="B41" s="13" t="s">
        <v>16</v>
      </c>
      <c r="C41" s="7" t="s">
        <v>19</v>
      </c>
      <c r="D41" s="53" t="s">
        <v>12</v>
      </c>
      <c r="E41" s="14"/>
      <c r="F41" s="50">
        <v>1</v>
      </c>
      <c r="G41" s="15">
        <f>TRUNC(SUM(G44:G45)*0.04,1)</f>
        <v>51305.4</v>
      </c>
    </row>
    <row r="42" spans="2:8" ht="12.95" customHeight="1" x14ac:dyDescent="0.3">
      <c r="B42" s="67" t="s">
        <v>9</v>
      </c>
      <c r="C42" s="68"/>
      <c r="D42" s="69"/>
      <c r="E42" s="70"/>
      <c r="F42" s="71"/>
      <c r="G42" s="72">
        <f>TRUNC(SUM(G41:G41))</f>
        <v>51305</v>
      </c>
    </row>
    <row r="43" spans="2:8" ht="12.95" customHeight="1" x14ac:dyDescent="0.3">
      <c r="B43" s="73"/>
      <c r="C43" s="73"/>
      <c r="D43" s="74"/>
      <c r="E43" s="75"/>
      <c r="F43" s="76"/>
      <c r="G43" s="77"/>
    </row>
    <row r="44" spans="2:8" ht="12.95" customHeight="1" x14ac:dyDescent="0.3">
      <c r="B44" s="17" t="s">
        <v>28</v>
      </c>
      <c r="C44" s="10"/>
      <c r="D44" s="4" t="s">
        <v>8</v>
      </c>
      <c r="E44" s="59">
        <v>277642</v>
      </c>
      <c r="F44" s="66">
        <v>4</v>
      </c>
      <c r="G44" s="8">
        <f t="shared" ref="G44:G45" si="6">TRUNC($E44*F44,1)</f>
        <v>1110568</v>
      </c>
      <c r="H44" s="12"/>
    </row>
    <row r="45" spans="2:8" ht="12.95" customHeight="1" x14ac:dyDescent="0.3">
      <c r="B45" s="17" t="s">
        <v>0</v>
      </c>
      <c r="C45" s="10"/>
      <c r="D45" s="4" t="s">
        <v>8</v>
      </c>
      <c r="E45" s="59">
        <v>172068</v>
      </c>
      <c r="F45" s="66">
        <v>1</v>
      </c>
      <c r="G45" s="8">
        <f t="shared" si="6"/>
        <v>172068</v>
      </c>
      <c r="H45" s="12"/>
    </row>
    <row r="46" spans="2:8" ht="12.95" customHeight="1" x14ac:dyDescent="0.3">
      <c r="B46" s="24" t="s">
        <v>10</v>
      </c>
      <c r="C46" s="43"/>
      <c r="D46" s="43"/>
      <c r="E46" s="49"/>
      <c r="F46" s="66"/>
      <c r="G46" s="48">
        <f>TRUNC(SUM(G44:G45))</f>
        <v>1282636</v>
      </c>
      <c r="H46" s="12"/>
    </row>
    <row r="47" spans="2:8" ht="12.95" customHeight="1" x14ac:dyDescent="0.3">
      <c r="B47" s="78"/>
      <c r="C47" s="79"/>
      <c r="D47" s="79"/>
      <c r="E47" s="80"/>
      <c r="F47" s="38"/>
      <c r="G47" s="81"/>
      <c r="H47" s="12"/>
    </row>
    <row r="48" spans="2:8" ht="12.95" customHeight="1" x14ac:dyDescent="0.3">
      <c r="B48" s="82" t="s">
        <v>11</v>
      </c>
      <c r="C48" s="43"/>
      <c r="D48" s="43"/>
      <c r="E48" s="83"/>
      <c r="F48" s="83"/>
      <c r="G48" s="84">
        <f>SUM(G42+G46)</f>
        <v>1333941</v>
      </c>
      <c r="H48" s="12"/>
    </row>
    <row r="49" spans="2:8" ht="12.95" customHeight="1" x14ac:dyDescent="0.3">
      <c r="B49" s="16" t="s">
        <v>49</v>
      </c>
      <c r="C49" s="85"/>
      <c r="D49" s="86"/>
      <c r="E49" s="87"/>
      <c r="F49" s="88"/>
      <c r="G49" s="89">
        <f>TRUNC(G48/G39)</f>
        <v>19056</v>
      </c>
      <c r="H49" s="12"/>
    </row>
    <row r="51" spans="2:8" ht="12.95" customHeight="1" x14ac:dyDescent="0.3">
      <c r="B51" s="1" t="s">
        <v>33</v>
      </c>
    </row>
    <row r="52" spans="2:8" ht="12.95" customHeight="1" x14ac:dyDescent="0.3">
      <c r="B52" s="45" t="s">
        <v>34</v>
      </c>
      <c r="G52" s="52" t="s">
        <v>46</v>
      </c>
    </row>
    <row r="53" spans="2:8" ht="12.95" customHeight="1" x14ac:dyDescent="0.3">
      <c r="B53" s="92" t="s">
        <v>2</v>
      </c>
      <c r="C53" s="94" t="s">
        <v>13</v>
      </c>
      <c r="D53" s="96" t="s">
        <v>7</v>
      </c>
      <c r="E53" s="97" t="s">
        <v>3</v>
      </c>
      <c r="F53" s="65" t="s">
        <v>48</v>
      </c>
      <c r="G53" s="90">
        <v>75</v>
      </c>
    </row>
    <row r="54" spans="2:8" ht="12.95" customHeight="1" x14ac:dyDescent="0.3">
      <c r="B54" s="93"/>
      <c r="C54" s="95"/>
      <c r="D54" s="96"/>
      <c r="E54" s="98"/>
      <c r="F54" s="63" t="s">
        <v>14</v>
      </c>
      <c r="G54" s="64" t="s">
        <v>15</v>
      </c>
      <c r="H54" s="12"/>
    </row>
    <row r="55" spans="2:8" ht="12.95" customHeight="1" x14ac:dyDescent="0.3">
      <c r="B55" s="13" t="s">
        <v>16</v>
      </c>
      <c r="C55" s="7" t="s">
        <v>17</v>
      </c>
      <c r="D55" s="53" t="s">
        <v>12</v>
      </c>
      <c r="E55" s="14"/>
      <c r="F55" s="50">
        <v>1</v>
      </c>
      <c r="G55" s="15">
        <f>TRUNC(SUM(G58:G59)*0.02,1)</f>
        <v>14547</v>
      </c>
    </row>
    <row r="56" spans="2:8" ht="12.95" customHeight="1" x14ac:dyDescent="0.3">
      <c r="B56" s="67" t="s">
        <v>9</v>
      </c>
      <c r="C56" s="68"/>
      <c r="D56" s="69"/>
      <c r="E56" s="70"/>
      <c r="F56" s="71"/>
      <c r="G56" s="72">
        <f>TRUNC(SUM(G55:G55))</f>
        <v>14547</v>
      </c>
    </row>
    <row r="57" spans="2:8" ht="12.95" customHeight="1" x14ac:dyDescent="0.3">
      <c r="B57" s="73"/>
      <c r="C57" s="73"/>
      <c r="D57" s="74"/>
      <c r="E57" s="75"/>
      <c r="F57" s="76"/>
      <c r="G57" s="77"/>
    </row>
    <row r="58" spans="2:8" ht="12.95" customHeight="1" x14ac:dyDescent="0.3">
      <c r="B58" s="17" t="s">
        <v>28</v>
      </c>
      <c r="C58" s="10"/>
      <c r="D58" s="4" t="s">
        <v>8</v>
      </c>
      <c r="E58" s="59">
        <v>277642</v>
      </c>
      <c r="F58" s="66">
        <v>2</v>
      </c>
      <c r="G58" s="8">
        <f t="shared" ref="G58:G59" si="7">TRUNC($E58*F58,1)</f>
        <v>555284</v>
      </c>
      <c r="H58" s="12"/>
    </row>
    <row r="59" spans="2:8" ht="12.95" customHeight="1" x14ac:dyDescent="0.3">
      <c r="B59" s="17" t="s">
        <v>0</v>
      </c>
      <c r="C59" s="10"/>
      <c r="D59" s="4" t="s">
        <v>8</v>
      </c>
      <c r="E59" s="59">
        <v>172068</v>
      </c>
      <c r="F59" s="66">
        <v>1</v>
      </c>
      <c r="G59" s="8">
        <f t="shared" si="7"/>
        <v>172068</v>
      </c>
      <c r="H59" s="12"/>
    </row>
    <row r="60" spans="2:8" ht="12.95" customHeight="1" x14ac:dyDescent="0.3">
      <c r="B60" s="24" t="s">
        <v>10</v>
      </c>
      <c r="C60" s="43"/>
      <c r="D60" s="43"/>
      <c r="E60" s="49"/>
      <c r="F60" s="66"/>
      <c r="G60" s="48">
        <f>TRUNC(SUM(G58:G59))</f>
        <v>727352</v>
      </c>
      <c r="H60" s="12"/>
    </row>
    <row r="61" spans="2:8" ht="12.95" customHeight="1" x14ac:dyDescent="0.3">
      <c r="B61" s="78"/>
      <c r="C61" s="79"/>
      <c r="D61" s="79"/>
      <c r="E61" s="80"/>
      <c r="F61" s="38"/>
      <c r="G61" s="81"/>
      <c r="H61" s="12"/>
    </row>
    <row r="62" spans="2:8" ht="12.95" customHeight="1" x14ac:dyDescent="0.3">
      <c r="B62" s="82" t="s">
        <v>11</v>
      </c>
      <c r="C62" s="43"/>
      <c r="D62" s="43"/>
      <c r="E62" s="83"/>
      <c r="F62" s="83"/>
      <c r="G62" s="84">
        <f>SUM(G56+G60)</f>
        <v>741899</v>
      </c>
      <c r="H62" s="12"/>
    </row>
    <row r="63" spans="2:8" ht="12.95" customHeight="1" x14ac:dyDescent="0.3">
      <c r="B63" s="16" t="s">
        <v>49</v>
      </c>
      <c r="C63" s="85"/>
      <c r="D63" s="86"/>
      <c r="E63" s="87"/>
      <c r="F63" s="88"/>
      <c r="G63" s="89">
        <f>TRUNC(G62/G53)</f>
        <v>9891</v>
      </c>
      <c r="H63" s="12"/>
    </row>
    <row r="65" spans="2:8" ht="12.95" customHeight="1" x14ac:dyDescent="0.3">
      <c r="B65" s="45" t="s">
        <v>35</v>
      </c>
      <c r="G65" s="52" t="s">
        <v>46</v>
      </c>
    </row>
    <row r="66" spans="2:8" ht="12.95" customHeight="1" x14ac:dyDescent="0.3">
      <c r="B66" s="92" t="s">
        <v>2</v>
      </c>
      <c r="C66" s="94" t="s">
        <v>13</v>
      </c>
      <c r="D66" s="96" t="s">
        <v>7</v>
      </c>
      <c r="E66" s="97" t="s">
        <v>3</v>
      </c>
      <c r="F66" s="65" t="s">
        <v>48</v>
      </c>
      <c r="G66" s="90">
        <v>20</v>
      </c>
    </row>
    <row r="67" spans="2:8" ht="12.95" customHeight="1" x14ac:dyDescent="0.3">
      <c r="B67" s="93"/>
      <c r="C67" s="95"/>
      <c r="D67" s="96"/>
      <c r="E67" s="98"/>
      <c r="F67" s="63" t="s">
        <v>14</v>
      </c>
      <c r="G67" s="64" t="s">
        <v>15</v>
      </c>
      <c r="H67" s="12"/>
    </row>
    <row r="68" spans="2:8" ht="12.95" customHeight="1" x14ac:dyDescent="0.3">
      <c r="B68" s="13" t="s">
        <v>16</v>
      </c>
      <c r="C68" s="7" t="s">
        <v>18</v>
      </c>
      <c r="D68" s="53" t="s">
        <v>12</v>
      </c>
      <c r="E68" s="14"/>
      <c r="F68" s="50">
        <v>1</v>
      </c>
      <c r="G68" s="15">
        <f>TRUNC(SUM(G71:G72)*0.03,1)</f>
        <v>21820.5</v>
      </c>
    </row>
    <row r="69" spans="2:8" ht="12.95" customHeight="1" x14ac:dyDescent="0.3">
      <c r="B69" s="67" t="s">
        <v>9</v>
      </c>
      <c r="C69" s="68"/>
      <c r="D69" s="69"/>
      <c r="E69" s="70"/>
      <c r="F69" s="71"/>
      <c r="G69" s="72">
        <f>TRUNC(SUM(G68:G68))</f>
        <v>21820</v>
      </c>
    </row>
    <row r="70" spans="2:8" ht="12.95" customHeight="1" x14ac:dyDescent="0.3">
      <c r="B70" s="73"/>
      <c r="C70" s="73"/>
      <c r="D70" s="74"/>
      <c r="E70" s="75"/>
      <c r="F70" s="76"/>
      <c r="G70" s="77"/>
    </row>
    <row r="71" spans="2:8" ht="12.95" customHeight="1" x14ac:dyDescent="0.3">
      <c r="B71" s="17" t="s">
        <v>28</v>
      </c>
      <c r="C71" s="10"/>
      <c r="D71" s="4" t="s">
        <v>8</v>
      </c>
      <c r="E71" s="59">
        <v>277642</v>
      </c>
      <c r="F71" s="66">
        <v>2</v>
      </c>
      <c r="G71" s="8">
        <f t="shared" ref="G71:G72" si="8">TRUNC($E71*F71,1)</f>
        <v>555284</v>
      </c>
      <c r="H71" s="12"/>
    </row>
    <row r="72" spans="2:8" ht="12.95" customHeight="1" x14ac:dyDescent="0.3">
      <c r="B72" s="17" t="s">
        <v>0</v>
      </c>
      <c r="C72" s="10"/>
      <c r="D72" s="4" t="s">
        <v>8</v>
      </c>
      <c r="E72" s="59">
        <v>172068</v>
      </c>
      <c r="F72" s="66">
        <v>1</v>
      </c>
      <c r="G72" s="8">
        <f t="shared" si="8"/>
        <v>172068</v>
      </c>
      <c r="H72" s="12"/>
    </row>
    <row r="73" spans="2:8" ht="12.95" customHeight="1" x14ac:dyDescent="0.3">
      <c r="B73" s="24" t="s">
        <v>10</v>
      </c>
      <c r="C73" s="43"/>
      <c r="D73" s="43"/>
      <c r="E73" s="49"/>
      <c r="F73" s="66"/>
      <c r="G73" s="48">
        <f>TRUNC(SUM(G71:G72))</f>
        <v>727352</v>
      </c>
      <c r="H73" s="12"/>
    </row>
    <row r="74" spans="2:8" ht="12.95" customHeight="1" x14ac:dyDescent="0.3">
      <c r="B74" s="78"/>
      <c r="C74" s="79"/>
      <c r="D74" s="79"/>
      <c r="E74" s="80"/>
      <c r="F74" s="38"/>
      <c r="G74" s="81"/>
      <c r="H74" s="12"/>
    </row>
    <row r="75" spans="2:8" ht="12.95" customHeight="1" x14ac:dyDescent="0.3">
      <c r="B75" s="82" t="s">
        <v>11</v>
      </c>
      <c r="C75" s="43"/>
      <c r="D75" s="43"/>
      <c r="E75" s="83"/>
      <c r="F75" s="83"/>
      <c r="G75" s="84">
        <f>SUM(G69+G73)</f>
        <v>749172</v>
      </c>
      <c r="H75" s="12"/>
    </row>
    <row r="76" spans="2:8" ht="12.95" customHeight="1" x14ac:dyDescent="0.3">
      <c r="B76" s="16" t="s">
        <v>49</v>
      </c>
      <c r="C76" s="85"/>
      <c r="D76" s="86"/>
      <c r="E76" s="87"/>
      <c r="F76" s="88"/>
      <c r="G76" s="89">
        <f>TRUNC(G75/G66)</f>
        <v>37458</v>
      </c>
      <c r="H76" s="12"/>
    </row>
    <row r="78" spans="2:8" ht="12.95" customHeight="1" x14ac:dyDescent="0.3">
      <c r="B78" s="45" t="s">
        <v>36</v>
      </c>
      <c r="G78" s="52" t="s">
        <v>46</v>
      </c>
    </row>
    <row r="79" spans="2:8" ht="12.95" customHeight="1" x14ac:dyDescent="0.3">
      <c r="B79" s="92" t="s">
        <v>2</v>
      </c>
      <c r="C79" s="94" t="s">
        <v>13</v>
      </c>
      <c r="D79" s="96" t="s">
        <v>7</v>
      </c>
      <c r="E79" s="97" t="s">
        <v>3</v>
      </c>
      <c r="F79" s="65" t="s">
        <v>48</v>
      </c>
      <c r="G79" s="90">
        <v>40</v>
      </c>
    </row>
    <row r="80" spans="2:8" ht="12.95" customHeight="1" x14ac:dyDescent="0.3">
      <c r="B80" s="93"/>
      <c r="C80" s="95"/>
      <c r="D80" s="96"/>
      <c r="E80" s="98"/>
      <c r="F80" s="63" t="s">
        <v>14</v>
      </c>
      <c r="G80" s="64" t="s">
        <v>15</v>
      </c>
      <c r="H80" s="12"/>
    </row>
    <row r="81" spans="2:8" ht="12.95" customHeight="1" x14ac:dyDescent="0.3">
      <c r="B81" s="13" t="s">
        <v>16</v>
      </c>
      <c r="C81" s="7" t="s">
        <v>17</v>
      </c>
      <c r="D81" s="53" t="s">
        <v>12</v>
      </c>
      <c r="E81" s="14"/>
      <c r="F81" s="50">
        <v>1</v>
      </c>
      <c r="G81" s="15">
        <f>TRUNC(SUM(G84:G85)*0.02,1)</f>
        <v>14547</v>
      </c>
    </row>
    <row r="82" spans="2:8" ht="12.95" customHeight="1" x14ac:dyDescent="0.3">
      <c r="B82" s="67" t="s">
        <v>9</v>
      </c>
      <c r="C82" s="68"/>
      <c r="D82" s="69"/>
      <c r="E82" s="70"/>
      <c r="F82" s="71"/>
      <c r="G82" s="72">
        <f>TRUNC(SUM(G81:G81))</f>
        <v>14547</v>
      </c>
    </row>
    <row r="83" spans="2:8" ht="12.95" customHeight="1" x14ac:dyDescent="0.3">
      <c r="B83" s="73"/>
      <c r="C83" s="73"/>
      <c r="D83" s="74"/>
      <c r="E83" s="75"/>
      <c r="F83" s="76"/>
      <c r="G83" s="77"/>
    </row>
    <row r="84" spans="2:8" ht="12.95" customHeight="1" x14ac:dyDescent="0.3">
      <c r="B84" s="17" t="s">
        <v>28</v>
      </c>
      <c r="C84" s="10"/>
      <c r="D84" s="4" t="s">
        <v>8</v>
      </c>
      <c r="E84" s="59">
        <v>277642</v>
      </c>
      <c r="F84" s="66">
        <v>2</v>
      </c>
      <c r="G84" s="8">
        <f t="shared" ref="G84:G85" si="9">TRUNC($E84*F84,1)</f>
        <v>555284</v>
      </c>
      <c r="H84" s="12"/>
    </row>
    <row r="85" spans="2:8" ht="12.95" customHeight="1" x14ac:dyDescent="0.3">
      <c r="B85" s="17" t="s">
        <v>0</v>
      </c>
      <c r="C85" s="10"/>
      <c r="D85" s="4" t="s">
        <v>8</v>
      </c>
      <c r="E85" s="59">
        <v>172068</v>
      </c>
      <c r="F85" s="66">
        <v>1</v>
      </c>
      <c r="G85" s="8">
        <f t="shared" si="9"/>
        <v>172068</v>
      </c>
      <c r="H85" s="12"/>
    </row>
    <row r="86" spans="2:8" ht="12.95" customHeight="1" x14ac:dyDescent="0.3">
      <c r="B86" s="24" t="s">
        <v>10</v>
      </c>
      <c r="C86" s="43"/>
      <c r="D86" s="43"/>
      <c r="E86" s="49"/>
      <c r="F86" s="66"/>
      <c r="G86" s="48">
        <f>TRUNC(SUM(G84:G85))</f>
        <v>727352</v>
      </c>
      <c r="H86" s="12"/>
    </row>
    <row r="87" spans="2:8" ht="12.95" customHeight="1" x14ac:dyDescent="0.3">
      <c r="B87" s="78"/>
      <c r="C87" s="79"/>
      <c r="D87" s="79"/>
      <c r="E87" s="80"/>
      <c r="F87" s="38"/>
      <c r="G87" s="81"/>
      <c r="H87" s="12"/>
    </row>
    <row r="88" spans="2:8" ht="12.95" customHeight="1" x14ac:dyDescent="0.3">
      <c r="B88" s="82" t="s">
        <v>11</v>
      </c>
      <c r="C88" s="43"/>
      <c r="D88" s="43"/>
      <c r="E88" s="83"/>
      <c r="F88" s="83"/>
      <c r="G88" s="84">
        <f>SUM(G82+G86)</f>
        <v>741899</v>
      </c>
      <c r="H88" s="12"/>
    </row>
    <row r="89" spans="2:8" ht="12.95" customHeight="1" x14ac:dyDescent="0.3">
      <c r="B89" s="16" t="s">
        <v>49</v>
      </c>
      <c r="C89" s="85"/>
      <c r="D89" s="86"/>
      <c r="E89" s="87"/>
      <c r="F89" s="88"/>
      <c r="G89" s="89">
        <f>TRUNC(G88/G79)</f>
        <v>18547</v>
      </c>
      <c r="H89" s="12"/>
    </row>
    <row r="91" spans="2:8" ht="12.95" customHeight="1" x14ac:dyDescent="0.3">
      <c r="B91" s="45" t="s">
        <v>38</v>
      </c>
      <c r="G91" s="52" t="s">
        <v>46</v>
      </c>
    </row>
    <row r="92" spans="2:8" ht="12.95" customHeight="1" x14ac:dyDescent="0.3">
      <c r="B92" s="92" t="s">
        <v>2</v>
      </c>
      <c r="C92" s="94" t="s">
        <v>13</v>
      </c>
      <c r="D92" s="96" t="s">
        <v>7</v>
      </c>
      <c r="E92" s="97" t="s">
        <v>3</v>
      </c>
      <c r="F92" s="65" t="s">
        <v>48</v>
      </c>
      <c r="G92" s="90">
        <v>37</v>
      </c>
    </row>
    <row r="93" spans="2:8" ht="12.95" customHeight="1" x14ac:dyDescent="0.3">
      <c r="B93" s="93"/>
      <c r="C93" s="95"/>
      <c r="D93" s="96"/>
      <c r="E93" s="98"/>
      <c r="F93" s="63" t="s">
        <v>14</v>
      </c>
      <c r="G93" s="64" t="s">
        <v>15</v>
      </c>
      <c r="H93" s="12"/>
    </row>
    <row r="94" spans="2:8" ht="12.95" customHeight="1" x14ac:dyDescent="0.3">
      <c r="B94" s="13" t="s">
        <v>16</v>
      </c>
      <c r="C94" s="7" t="s">
        <v>17</v>
      </c>
      <c r="D94" s="53" t="s">
        <v>12</v>
      </c>
      <c r="E94" s="14"/>
      <c r="F94" s="50">
        <v>1</v>
      </c>
      <c r="G94" s="15">
        <f>TRUNC(SUM(G97:G98)*0.02,1)</f>
        <v>14547</v>
      </c>
    </row>
    <row r="95" spans="2:8" ht="12.95" customHeight="1" x14ac:dyDescent="0.3">
      <c r="B95" s="67" t="s">
        <v>9</v>
      </c>
      <c r="C95" s="68"/>
      <c r="D95" s="69"/>
      <c r="E95" s="70"/>
      <c r="F95" s="71"/>
      <c r="G95" s="72">
        <f>TRUNC(SUM(G94:G94))</f>
        <v>14547</v>
      </c>
    </row>
    <row r="96" spans="2:8" ht="12.95" customHeight="1" x14ac:dyDescent="0.3">
      <c r="B96" s="73"/>
      <c r="C96" s="73"/>
      <c r="D96" s="74"/>
      <c r="E96" s="75"/>
      <c r="F96" s="76"/>
      <c r="G96" s="77"/>
    </row>
    <row r="97" spans="2:8" ht="12.95" customHeight="1" x14ac:dyDescent="0.3">
      <c r="B97" s="17" t="s">
        <v>28</v>
      </c>
      <c r="C97" s="10"/>
      <c r="D97" s="4" t="s">
        <v>8</v>
      </c>
      <c r="E97" s="59">
        <v>277642</v>
      </c>
      <c r="F97" s="66">
        <v>2</v>
      </c>
      <c r="G97" s="8">
        <f t="shared" ref="G97:G98" si="10">TRUNC($E97*F97,1)</f>
        <v>555284</v>
      </c>
      <c r="H97" s="12"/>
    </row>
    <row r="98" spans="2:8" ht="12.95" customHeight="1" x14ac:dyDescent="0.3">
      <c r="B98" s="17" t="s">
        <v>0</v>
      </c>
      <c r="C98" s="10"/>
      <c r="D98" s="4" t="s">
        <v>8</v>
      </c>
      <c r="E98" s="59">
        <v>172068</v>
      </c>
      <c r="F98" s="66">
        <v>1</v>
      </c>
      <c r="G98" s="8">
        <f t="shared" si="10"/>
        <v>172068</v>
      </c>
      <c r="H98" s="12"/>
    </row>
    <row r="99" spans="2:8" ht="12.95" customHeight="1" x14ac:dyDescent="0.3">
      <c r="B99" s="24" t="s">
        <v>10</v>
      </c>
      <c r="C99" s="43"/>
      <c r="D99" s="43"/>
      <c r="E99" s="49"/>
      <c r="F99" s="66"/>
      <c r="G99" s="48">
        <f>TRUNC(SUM(G97:G98))</f>
        <v>727352</v>
      </c>
      <c r="H99" s="12"/>
    </row>
    <row r="100" spans="2:8" ht="12.95" customHeight="1" x14ac:dyDescent="0.3">
      <c r="B100" s="78"/>
      <c r="C100" s="79"/>
      <c r="D100" s="79"/>
      <c r="E100" s="80"/>
      <c r="F100" s="38"/>
      <c r="G100" s="81"/>
      <c r="H100" s="12"/>
    </row>
    <row r="101" spans="2:8" ht="12.95" customHeight="1" x14ac:dyDescent="0.3">
      <c r="B101" s="82" t="s">
        <v>11</v>
      </c>
      <c r="C101" s="43"/>
      <c r="D101" s="43"/>
      <c r="E101" s="83"/>
      <c r="F101" s="83"/>
      <c r="G101" s="84">
        <f>SUM(G95+G99)</f>
        <v>741899</v>
      </c>
      <c r="H101" s="12"/>
    </row>
    <row r="102" spans="2:8" ht="12.95" customHeight="1" x14ac:dyDescent="0.3">
      <c r="B102" s="16" t="s">
        <v>49</v>
      </c>
      <c r="C102" s="85"/>
      <c r="D102" s="86"/>
      <c r="E102" s="87"/>
      <c r="F102" s="88"/>
      <c r="G102" s="89">
        <f>TRUNC(G101/G92)</f>
        <v>20051</v>
      </c>
      <c r="H102" s="12"/>
    </row>
    <row r="104" spans="2:8" ht="12.95" customHeight="1" x14ac:dyDescent="0.3">
      <c r="B104" s="45" t="s">
        <v>50</v>
      </c>
      <c r="C104" s="46"/>
      <c r="D104" s="36"/>
      <c r="E104" s="47"/>
      <c r="F104" s="36"/>
      <c r="G104" s="47"/>
    </row>
    <row r="105" spans="2:8" ht="12.95" customHeight="1" x14ac:dyDescent="0.3">
      <c r="B105" s="92" t="s">
        <v>2</v>
      </c>
      <c r="C105" s="94" t="s">
        <v>13</v>
      </c>
      <c r="D105" s="96" t="s">
        <v>7</v>
      </c>
      <c r="E105" s="97" t="s">
        <v>3</v>
      </c>
      <c r="F105" s="96" t="s">
        <v>14</v>
      </c>
      <c r="G105" s="105" t="s">
        <v>15</v>
      </c>
    </row>
    <row r="106" spans="2:8" ht="12.95" customHeight="1" x14ac:dyDescent="0.3">
      <c r="B106" s="93"/>
      <c r="C106" s="95"/>
      <c r="D106" s="96"/>
      <c r="E106" s="98"/>
      <c r="F106" s="96"/>
      <c r="G106" s="106"/>
    </row>
    <row r="107" spans="2:8" ht="12.95" customHeight="1" x14ac:dyDescent="0.3">
      <c r="B107" s="17" t="s">
        <v>37</v>
      </c>
      <c r="C107" s="10"/>
      <c r="D107" s="4" t="s">
        <v>20</v>
      </c>
      <c r="E107" s="60">
        <v>0</v>
      </c>
      <c r="F107" s="38">
        <v>0.27</v>
      </c>
      <c r="G107" s="8">
        <f t="shared" ref="G107" si="11">TRUNC($E107*F107,1)</f>
        <v>0</v>
      </c>
    </row>
    <row r="108" spans="2:8" ht="12.95" customHeight="1" x14ac:dyDescent="0.3">
      <c r="B108" s="29" t="s">
        <v>9</v>
      </c>
      <c r="C108" s="33"/>
      <c r="D108" s="31"/>
      <c r="E108" s="30"/>
      <c r="F108" s="38"/>
      <c r="G108" s="28">
        <f>TRUNC(SUM(G107:G107))</f>
        <v>0</v>
      </c>
    </row>
    <row r="109" spans="2:8" ht="12.95" customHeight="1" x14ac:dyDescent="0.3">
      <c r="B109" s="42"/>
      <c r="C109" s="43"/>
      <c r="D109" s="43"/>
      <c r="E109" s="49"/>
      <c r="F109" s="51"/>
      <c r="G109" s="39"/>
    </row>
    <row r="110" spans="2:8" ht="12.95" customHeight="1" x14ac:dyDescent="0.3">
      <c r="B110" s="16" t="s">
        <v>11</v>
      </c>
      <c r="C110" s="44"/>
      <c r="D110" s="44"/>
      <c r="E110" s="40"/>
      <c r="F110" s="40"/>
      <c r="G110" s="41">
        <f>SUM(G108)</f>
        <v>0</v>
      </c>
    </row>
    <row r="112" spans="2:8" ht="12.95" customHeight="1" x14ac:dyDescent="0.3">
      <c r="B112" s="45" t="s">
        <v>39</v>
      </c>
      <c r="C112" s="46"/>
      <c r="D112" s="36"/>
      <c r="E112" s="47"/>
      <c r="F112" s="36"/>
      <c r="G112" s="47" t="s">
        <v>40</v>
      </c>
    </row>
    <row r="113" spans="2:7" ht="12.95" customHeight="1" x14ac:dyDescent="0.3">
      <c r="B113" s="92" t="s">
        <v>2</v>
      </c>
      <c r="C113" s="94" t="s">
        <v>13</v>
      </c>
      <c r="D113" s="96" t="s">
        <v>7</v>
      </c>
      <c r="E113" s="97" t="s">
        <v>3</v>
      </c>
      <c r="F113" s="96" t="s">
        <v>14</v>
      </c>
      <c r="G113" s="105" t="s">
        <v>15</v>
      </c>
    </row>
    <row r="114" spans="2:7" ht="12.95" customHeight="1" x14ac:dyDescent="0.3">
      <c r="B114" s="93"/>
      <c r="C114" s="95"/>
      <c r="D114" s="96"/>
      <c r="E114" s="98"/>
      <c r="F114" s="96"/>
      <c r="G114" s="106"/>
    </row>
    <row r="115" spans="2:7" ht="12.95" customHeight="1" x14ac:dyDescent="0.3">
      <c r="B115" s="13" t="s">
        <v>16</v>
      </c>
      <c r="C115" s="7" t="s">
        <v>17</v>
      </c>
      <c r="D115" s="53" t="s">
        <v>12</v>
      </c>
      <c r="E115" s="14"/>
      <c r="F115" s="50">
        <v>1</v>
      </c>
      <c r="G115" s="15">
        <f>TRUNC(SUM(G118:G119)*0.02,1)</f>
        <v>219.2</v>
      </c>
    </row>
    <row r="116" spans="2:7" ht="12.95" customHeight="1" x14ac:dyDescent="0.3">
      <c r="B116" s="29" t="s">
        <v>9</v>
      </c>
      <c r="C116" s="33"/>
      <c r="D116" s="31"/>
      <c r="E116" s="30"/>
      <c r="F116" s="38"/>
      <c r="G116" s="28">
        <f>TRUNC(SUM(G115))</f>
        <v>219</v>
      </c>
    </row>
    <row r="117" spans="2:7" ht="12.95" customHeight="1" x14ac:dyDescent="0.3">
      <c r="B117" s="42"/>
      <c r="C117" s="43"/>
      <c r="D117" s="43"/>
      <c r="E117" s="49"/>
      <c r="F117" s="51"/>
      <c r="G117" s="39"/>
    </row>
    <row r="118" spans="2:7" ht="12.95" customHeight="1" x14ac:dyDescent="0.3">
      <c r="B118" s="17" t="s">
        <v>28</v>
      </c>
      <c r="C118" s="10"/>
      <c r="D118" s="4" t="s">
        <v>8</v>
      </c>
      <c r="E118" s="59">
        <v>277642</v>
      </c>
      <c r="F118" s="56">
        <v>3.6999999999999998E-2</v>
      </c>
      <c r="G118" s="8">
        <f t="shared" ref="G118:G119" si="12">TRUNC($E118*F118,1)</f>
        <v>10272.700000000001</v>
      </c>
    </row>
    <row r="119" spans="2:7" ht="12.95" customHeight="1" x14ac:dyDescent="0.3">
      <c r="B119" s="17" t="s">
        <v>0</v>
      </c>
      <c r="C119" s="10"/>
      <c r="D119" s="4" t="s">
        <v>8</v>
      </c>
      <c r="E119" s="59">
        <v>172068</v>
      </c>
      <c r="F119" s="56">
        <v>4.0000000000000001E-3</v>
      </c>
      <c r="G119" s="8">
        <f t="shared" si="12"/>
        <v>688.2</v>
      </c>
    </row>
    <row r="120" spans="2:7" ht="12.95" customHeight="1" x14ac:dyDescent="0.3">
      <c r="B120" s="24" t="s">
        <v>10</v>
      </c>
      <c r="C120" s="43"/>
      <c r="D120" s="43"/>
      <c r="E120" s="49"/>
      <c r="F120" s="51"/>
      <c r="G120" s="48">
        <f>TRUNC(SUM(G118:G119))</f>
        <v>10960</v>
      </c>
    </row>
    <row r="121" spans="2:7" ht="12.95" customHeight="1" x14ac:dyDescent="0.3">
      <c r="B121" s="42"/>
      <c r="C121" s="43"/>
      <c r="D121" s="43"/>
      <c r="E121" s="49"/>
      <c r="F121" s="51"/>
      <c r="G121" s="39"/>
    </row>
    <row r="122" spans="2:7" ht="12.95" customHeight="1" x14ac:dyDescent="0.3">
      <c r="B122" s="16" t="s">
        <v>11</v>
      </c>
      <c r="C122" s="44"/>
      <c r="D122" s="44"/>
      <c r="E122" s="40"/>
      <c r="F122" s="40"/>
      <c r="G122" s="41">
        <f>SUM(G116+G120)</f>
        <v>11179</v>
      </c>
    </row>
    <row r="124" spans="2:7" ht="12.95" customHeight="1" x14ac:dyDescent="0.3">
      <c r="B124" s="1" t="s">
        <v>41</v>
      </c>
    </row>
    <row r="125" spans="2:7" ht="12.95" customHeight="1" x14ac:dyDescent="0.3">
      <c r="B125" s="45" t="s">
        <v>42</v>
      </c>
      <c r="C125" s="46"/>
      <c r="D125" s="36"/>
      <c r="E125" s="47"/>
      <c r="F125" s="36"/>
      <c r="G125" s="47" t="s">
        <v>40</v>
      </c>
    </row>
    <row r="126" spans="2:7" ht="12.95" customHeight="1" x14ac:dyDescent="0.3">
      <c r="B126" s="92" t="s">
        <v>2</v>
      </c>
      <c r="C126" s="94" t="s">
        <v>13</v>
      </c>
      <c r="D126" s="96" t="s">
        <v>7</v>
      </c>
      <c r="E126" s="97" t="s">
        <v>3</v>
      </c>
      <c r="F126" s="96" t="s">
        <v>14</v>
      </c>
      <c r="G126" s="105" t="s">
        <v>15</v>
      </c>
    </row>
    <row r="127" spans="2:7" ht="12.95" customHeight="1" x14ac:dyDescent="0.3">
      <c r="B127" s="93"/>
      <c r="C127" s="95"/>
      <c r="D127" s="96"/>
      <c r="E127" s="98"/>
      <c r="F127" s="96"/>
      <c r="G127" s="106"/>
    </row>
    <row r="128" spans="2:7" ht="12.95" customHeight="1" x14ac:dyDescent="0.3">
      <c r="B128" s="13" t="s">
        <v>16</v>
      </c>
      <c r="C128" s="7" t="s">
        <v>17</v>
      </c>
      <c r="D128" s="53" t="s">
        <v>12</v>
      </c>
      <c r="E128" s="14"/>
      <c r="F128" s="50">
        <v>1</v>
      </c>
      <c r="G128" s="15">
        <f>TRUNC(SUM(G131:G132)*0.02,1)</f>
        <v>491.3</v>
      </c>
    </row>
    <row r="129" spans="2:7" ht="12.95" customHeight="1" x14ac:dyDescent="0.3">
      <c r="B129" s="29" t="s">
        <v>9</v>
      </c>
      <c r="C129" s="33"/>
      <c r="D129" s="31"/>
      <c r="E129" s="30"/>
      <c r="F129" s="38"/>
      <c r="G129" s="28">
        <f>TRUNC(SUM(G128))</f>
        <v>491</v>
      </c>
    </row>
    <row r="130" spans="2:7" ht="12.95" customHeight="1" x14ac:dyDescent="0.3">
      <c r="B130" s="42"/>
      <c r="C130" s="43"/>
      <c r="D130" s="43"/>
      <c r="E130" s="49"/>
      <c r="F130" s="51"/>
      <c r="G130" s="39"/>
    </row>
    <row r="131" spans="2:7" ht="12.95" customHeight="1" x14ac:dyDescent="0.3">
      <c r="B131" s="17" t="s">
        <v>28</v>
      </c>
      <c r="C131" s="10"/>
      <c r="D131" s="4" t="s">
        <v>8</v>
      </c>
      <c r="E131" s="59">
        <v>277642</v>
      </c>
      <c r="F131" s="56">
        <v>7.2999999999999995E-2</v>
      </c>
      <c r="G131" s="8">
        <f t="shared" ref="G131:G132" si="13">TRUNC($E131*F131,1)</f>
        <v>20267.8</v>
      </c>
    </row>
    <row r="132" spans="2:7" ht="12.95" customHeight="1" x14ac:dyDescent="0.3">
      <c r="B132" s="17" t="s">
        <v>0</v>
      </c>
      <c r="C132" s="10"/>
      <c r="D132" s="4" t="s">
        <v>8</v>
      </c>
      <c r="E132" s="59">
        <v>172068</v>
      </c>
      <c r="F132" s="56">
        <v>2.5000000000000001E-2</v>
      </c>
      <c r="G132" s="8">
        <f t="shared" si="13"/>
        <v>4301.7</v>
      </c>
    </row>
    <row r="133" spans="2:7" ht="12.95" customHeight="1" x14ac:dyDescent="0.3">
      <c r="B133" s="24" t="s">
        <v>10</v>
      </c>
      <c r="C133" s="43"/>
      <c r="D133" s="43"/>
      <c r="E133" s="49"/>
      <c r="F133" s="51"/>
      <c r="G133" s="48">
        <f>TRUNC(SUM(G131:G132))</f>
        <v>24569</v>
      </c>
    </row>
    <row r="134" spans="2:7" ht="12.95" customHeight="1" x14ac:dyDescent="0.3">
      <c r="B134" s="42"/>
      <c r="C134" s="43"/>
      <c r="D134" s="43"/>
      <c r="E134" s="49"/>
      <c r="F134" s="51"/>
      <c r="G134" s="39"/>
    </row>
    <row r="135" spans="2:7" ht="12.95" customHeight="1" x14ac:dyDescent="0.3">
      <c r="B135" s="16" t="s">
        <v>11</v>
      </c>
      <c r="C135" s="44"/>
      <c r="D135" s="44"/>
      <c r="E135" s="40"/>
      <c r="F135" s="40"/>
      <c r="G135" s="41">
        <f>SUM(G129+G133)</f>
        <v>25060</v>
      </c>
    </row>
    <row r="137" spans="2:7" ht="12.95" customHeight="1" x14ac:dyDescent="0.3">
      <c r="B137" s="45" t="s">
        <v>57</v>
      </c>
      <c r="C137" s="46"/>
      <c r="D137" s="36"/>
      <c r="E137" s="47"/>
      <c r="F137" s="36"/>
      <c r="G137" s="47" t="s">
        <v>56</v>
      </c>
    </row>
    <row r="138" spans="2:7" ht="12.95" customHeight="1" x14ac:dyDescent="0.3">
      <c r="B138" s="92" t="s">
        <v>2</v>
      </c>
      <c r="C138" s="94" t="s">
        <v>13</v>
      </c>
      <c r="D138" s="96" t="s">
        <v>7</v>
      </c>
      <c r="E138" s="97" t="s">
        <v>3</v>
      </c>
      <c r="F138" s="96" t="s">
        <v>14</v>
      </c>
      <c r="G138" s="105" t="s">
        <v>15</v>
      </c>
    </row>
    <row r="139" spans="2:7" ht="12.95" customHeight="1" x14ac:dyDescent="0.3">
      <c r="B139" s="93"/>
      <c r="C139" s="95"/>
      <c r="D139" s="96"/>
      <c r="E139" s="98"/>
      <c r="F139" s="96"/>
      <c r="G139" s="106"/>
    </row>
    <row r="140" spans="2:7" ht="12.95" customHeight="1" x14ac:dyDescent="0.3">
      <c r="B140" s="13" t="s">
        <v>16</v>
      </c>
      <c r="C140" s="7" t="s">
        <v>18</v>
      </c>
      <c r="D140" s="53" t="s">
        <v>12</v>
      </c>
      <c r="E140" s="14"/>
      <c r="F140" s="50">
        <v>1</v>
      </c>
      <c r="G140" s="15">
        <f>TRUNC(SUM(G143:G144)*0.03,1)</f>
        <v>154.30000000000001</v>
      </c>
    </row>
    <row r="141" spans="2:7" ht="12.95" customHeight="1" x14ac:dyDescent="0.3">
      <c r="B141" s="29" t="s">
        <v>9</v>
      </c>
      <c r="C141" s="33"/>
      <c r="D141" s="31"/>
      <c r="E141" s="30"/>
      <c r="F141" s="38"/>
      <c r="G141" s="28">
        <f>TRUNC(SUM(G140))</f>
        <v>154</v>
      </c>
    </row>
    <row r="142" spans="2:7" ht="12.95" customHeight="1" x14ac:dyDescent="0.3">
      <c r="B142" s="42"/>
      <c r="C142" s="43"/>
      <c r="D142" s="43"/>
      <c r="E142" s="49"/>
      <c r="F142" s="51"/>
      <c r="G142" s="39"/>
    </row>
    <row r="143" spans="2:7" ht="12.95" customHeight="1" x14ac:dyDescent="0.3">
      <c r="B143" s="17" t="s">
        <v>1</v>
      </c>
      <c r="C143" s="10"/>
      <c r="D143" s="4" t="s">
        <v>8</v>
      </c>
      <c r="E143" s="59">
        <v>239808</v>
      </c>
      <c r="F143" s="56">
        <v>1.4999999999999999E-2</v>
      </c>
      <c r="G143" s="8">
        <f t="shared" ref="G143:G144" si="14">TRUNC($E143*F143,1)</f>
        <v>3597.1</v>
      </c>
    </row>
    <row r="144" spans="2:7" ht="12.95" customHeight="1" x14ac:dyDescent="0.3">
      <c r="B144" s="17" t="s">
        <v>0</v>
      </c>
      <c r="C144" s="10"/>
      <c r="D144" s="4" t="s">
        <v>8</v>
      </c>
      <c r="E144" s="59">
        <v>172068</v>
      </c>
      <c r="F144" s="56">
        <v>8.9999999999999993E-3</v>
      </c>
      <c r="G144" s="8">
        <f t="shared" si="14"/>
        <v>1548.6</v>
      </c>
    </row>
    <row r="145" spans="2:9" ht="12.95" customHeight="1" x14ac:dyDescent="0.3">
      <c r="B145" s="24" t="s">
        <v>10</v>
      </c>
      <c r="C145" s="43"/>
      <c r="D145" s="43"/>
      <c r="E145" s="49"/>
      <c r="F145" s="51"/>
      <c r="G145" s="48">
        <f>TRUNC(SUM(G143:G144))</f>
        <v>5145</v>
      </c>
    </row>
    <row r="146" spans="2:9" ht="12.95" customHeight="1" x14ac:dyDescent="0.3">
      <c r="B146" s="42"/>
      <c r="C146" s="43"/>
      <c r="D146" s="43"/>
      <c r="E146" s="49"/>
      <c r="F146" s="51"/>
      <c r="G146" s="39"/>
    </row>
    <row r="147" spans="2:9" ht="12.95" customHeight="1" x14ac:dyDescent="0.3">
      <c r="B147" s="16" t="s">
        <v>11</v>
      </c>
      <c r="C147" s="44"/>
      <c r="D147" s="44"/>
      <c r="E147" s="40"/>
      <c r="F147" s="40"/>
      <c r="G147" s="41">
        <f>SUM(G141+G145)</f>
        <v>5299</v>
      </c>
    </row>
    <row r="149" spans="2:9" ht="12.95" customHeight="1" x14ac:dyDescent="0.3">
      <c r="B149" s="45" t="s">
        <v>54</v>
      </c>
      <c r="C149" s="46"/>
      <c r="D149" s="36"/>
      <c r="E149" s="47"/>
      <c r="F149" s="36"/>
      <c r="G149" s="47"/>
      <c r="H149" s="36"/>
      <c r="I149" s="52" t="s">
        <v>46</v>
      </c>
    </row>
    <row r="150" spans="2:9" ht="12.95" customHeight="1" x14ac:dyDescent="0.3">
      <c r="B150" s="99" t="s">
        <v>2</v>
      </c>
      <c r="C150" s="99" t="s">
        <v>6</v>
      </c>
      <c r="D150" s="97" t="s">
        <v>7</v>
      </c>
      <c r="E150" s="97" t="s">
        <v>3</v>
      </c>
      <c r="F150" s="103" t="s">
        <v>44</v>
      </c>
      <c r="G150" s="104"/>
      <c r="H150" s="103" t="s">
        <v>45</v>
      </c>
      <c r="I150" s="104"/>
    </row>
    <row r="151" spans="2:9" ht="12.95" customHeight="1" x14ac:dyDescent="0.3">
      <c r="B151" s="100"/>
      <c r="C151" s="100"/>
      <c r="D151" s="102"/>
      <c r="E151" s="102"/>
      <c r="F151" s="65" t="s">
        <v>51</v>
      </c>
      <c r="G151" s="91">
        <v>0.4</v>
      </c>
      <c r="H151" s="65" t="s">
        <v>52</v>
      </c>
      <c r="I151" s="91">
        <v>0.32</v>
      </c>
    </row>
    <row r="152" spans="2:9" ht="12.95" customHeight="1" x14ac:dyDescent="0.3">
      <c r="B152" s="101"/>
      <c r="C152" s="101"/>
      <c r="D152" s="98"/>
      <c r="E152" s="98"/>
      <c r="F152" s="63" t="s">
        <v>14</v>
      </c>
      <c r="G152" s="64" t="s">
        <v>15</v>
      </c>
      <c r="H152" s="63" t="s">
        <v>14</v>
      </c>
      <c r="I152" s="64" t="s">
        <v>15</v>
      </c>
    </row>
    <row r="153" spans="2:9" ht="12.95" customHeight="1" x14ac:dyDescent="0.3">
      <c r="B153" s="13" t="s">
        <v>16</v>
      </c>
      <c r="C153" s="7" t="s">
        <v>19</v>
      </c>
      <c r="D153" s="53" t="s">
        <v>12</v>
      </c>
      <c r="E153" s="14"/>
      <c r="F153" s="50">
        <v>1</v>
      </c>
      <c r="G153" s="15">
        <f>TRUNC(SUM(G156:G158)*0.04,1)</f>
        <v>46961.1</v>
      </c>
      <c r="H153" s="50">
        <v>1</v>
      </c>
      <c r="I153" s="15">
        <f>TRUNC(SUM(I156:I158)*0.04,1)</f>
        <v>63436.1</v>
      </c>
    </row>
    <row r="154" spans="2:9" ht="12.95" customHeight="1" x14ac:dyDescent="0.3">
      <c r="B154" s="29" t="s">
        <v>9</v>
      </c>
      <c r="C154" s="33"/>
      <c r="D154" s="31"/>
      <c r="E154" s="30"/>
      <c r="F154" s="38"/>
      <c r="G154" s="28">
        <f>TRUNC(SUM(G153))</f>
        <v>46961</v>
      </c>
      <c r="H154" s="38"/>
      <c r="I154" s="28">
        <f>TRUNC(SUM(I153))</f>
        <v>63436</v>
      </c>
    </row>
    <row r="155" spans="2:9" ht="12.95" customHeight="1" x14ac:dyDescent="0.3">
      <c r="B155" s="42"/>
      <c r="C155" s="43"/>
      <c r="D155" s="43"/>
      <c r="E155" s="49"/>
      <c r="F155" s="51"/>
      <c r="G155" s="39"/>
      <c r="H155" s="51"/>
      <c r="I155" s="39"/>
    </row>
    <row r="156" spans="2:9" ht="12.95" customHeight="1" x14ac:dyDescent="0.3">
      <c r="B156" s="17" t="s">
        <v>1</v>
      </c>
      <c r="C156" s="10"/>
      <c r="D156" s="4" t="s">
        <v>8</v>
      </c>
      <c r="E156" s="59">
        <v>239808</v>
      </c>
      <c r="F156" s="50">
        <v>3</v>
      </c>
      <c r="G156" s="8">
        <f>TRUNC($E156*F156,1)</f>
        <v>719424</v>
      </c>
      <c r="H156" s="50">
        <v>4</v>
      </c>
      <c r="I156" s="8">
        <f>TRUNC($E156*H156,1)</f>
        <v>959232</v>
      </c>
    </row>
    <row r="157" spans="2:9" ht="12.95" customHeight="1" x14ac:dyDescent="0.3">
      <c r="B157" s="17" t="s">
        <v>43</v>
      </c>
      <c r="C157" s="10"/>
      <c r="D157" s="4" t="s">
        <v>8</v>
      </c>
      <c r="E157" s="59">
        <v>282536</v>
      </c>
      <c r="F157" s="50">
        <v>1</v>
      </c>
      <c r="G157" s="8">
        <f>TRUNC($E157*F157,1)</f>
        <v>282536</v>
      </c>
      <c r="H157" s="50">
        <v>1</v>
      </c>
      <c r="I157" s="8">
        <f>TRUNC($E157*H157,1)</f>
        <v>282536</v>
      </c>
    </row>
    <row r="158" spans="2:9" ht="12.95" customHeight="1" x14ac:dyDescent="0.3">
      <c r="B158" s="17" t="s">
        <v>0</v>
      </c>
      <c r="C158" s="10"/>
      <c r="D158" s="4" t="s">
        <v>8</v>
      </c>
      <c r="E158" s="59">
        <v>172068</v>
      </c>
      <c r="F158" s="50">
        <v>1</v>
      </c>
      <c r="G158" s="8">
        <f>TRUNC($E158*F158,1)</f>
        <v>172068</v>
      </c>
      <c r="H158" s="50">
        <v>2</v>
      </c>
      <c r="I158" s="8">
        <f>TRUNC($E158*H158,1)</f>
        <v>344136</v>
      </c>
    </row>
    <row r="159" spans="2:9" ht="12.95" customHeight="1" x14ac:dyDescent="0.3">
      <c r="B159" s="24" t="s">
        <v>10</v>
      </c>
      <c r="C159" s="43"/>
      <c r="D159" s="43"/>
      <c r="E159" s="49"/>
      <c r="F159" s="51"/>
      <c r="G159" s="48">
        <f>TRUNC(SUM(G156:G158))</f>
        <v>1174028</v>
      </c>
      <c r="H159" s="51"/>
      <c r="I159" s="48">
        <f>TRUNC(SUM(I156:I158))</f>
        <v>1585904</v>
      </c>
    </row>
    <row r="160" spans="2:9" ht="12.95" customHeight="1" x14ac:dyDescent="0.3">
      <c r="B160" s="42"/>
      <c r="C160" s="43"/>
      <c r="D160" s="43"/>
      <c r="E160" s="49"/>
      <c r="F160" s="51"/>
      <c r="G160" s="39"/>
      <c r="H160" s="51"/>
      <c r="I160" s="39"/>
    </row>
    <row r="161" spans="2:9" ht="12.95" customHeight="1" x14ac:dyDescent="0.3">
      <c r="B161" s="82" t="s">
        <v>11</v>
      </c>
      <c r="C161" s="43"/>
      <c r="D161" s="43"/>
      <c r="E161" s="83"/>
      <c r="F161" s="83"/>
      <c r="G161" s="84">
        <f>SUM(G154+G159)</f>
        <v>1220989</v>
      </c>
      <c r="H161" s="83"/>
      <c r="I161" s="84">
        <f>SUM(I154+I159)</f>
        <v>1649340</v>
      </c>
    </row>
    <row r="162" spans="2:9" ht="12.95" customHeight="1" x14ac:dyDescent="0.3">
      <c r="B162" s="16" t="s">
        <v>53</v>
      </c>
      <c r="C162" s="85"/>
      <c r="D162" s="86"/>
      <c r="E162" s="87"/>
      <c r="F162" s="88"/>
      <c r="G162" s="89">
        <f>TRUNC(G161/G151)</f>
        <v>3052472</v>
      </c>
      <c r="H162" s="88"/>
      <c r="I162" s="89">
        <f>TRUNC(I161/I151)</f>
        <v>5154187</v>
      </c>
    </row>
    <row r="164" spans="2:9" ht="12.95" customHeight="1" x14ac:dyDescent="0.3">
      <c r="B164" s="45" t="s">
        <v>55</v>
      </c>
      <c r="G164" s="52" t="s">
        <v>46</v>
      </c>
    </row>
    <row r="165" spans="2:9" ht="12.95" customHeight="1" x14ac:dyDescent="0.3">
      <c r="B165" s="92" t="s">
        <v>2</v>
      </c>
      <c r="C165" s="94" t="s">
        <v>13</v>
      </c>
      <c r="D165" s="96" t="s">
        <v>7</v>
      </c>
      <c r="E165" s="97" t="s">
        <v>3</v>
      </c>
      <c r="F165" s="65" t="s">
        <v>47</v>
      </c>
      <c r="G165" s="90">
        <v>18</v>
      </c>
    </row>
    <row r="166" spans="2:9" ht="12.95" customHeight="1" x14ac:dyDescent="0.3">
      <c r="B166" s="93"/>
      <c r="C166" s="95"/>
      <c r="D166" s="96"/>
      <c r="E166" s="98"/>
      <c r="F166" s="63" t="s">
        <v>14</v>
      </c>
      <c r="G166" s="64" t="s">
        <v>15</v>
      </c>
      <c r="H166" s="12"/>
    </row>
    <row r="167" spans="2:9" ht="12.95" customHeight="1" x14ac:dyDescent="0.3">
      <c r="B167" s="13" t="s">
        <v>16</v>
      </c>
      <c r="C167" s="7" t="s">
        <v>17</v>
      </c>
      <c r="D167" s="53" t="s">
        <v>12</v>
      </c>
      <c r="E167" s="14"/>
      <c r="F167" s="50">
        <v>1</v>
      </c>
      <c r="G167" s="15">
        <f>TRUNC(SUM(G170:G171)*0.02,1)</f>
        <v>20099.8</v>
      </c>
    </row>
    <row r="168" spans="2:9" ht="12.95" customHeight="1" x14ac:dyDescent="0.3">
      <c r="B168" s="67" t="s">
        <v>9</v>
      </c>
      <c r="C168" s="68"/>
      <c r="D168" s="69"/>
      <c r="E168" s="70"/>
      <c r="F168" s="71"/>
      <c r="G168" s="72">
        <f>TRUNC(SUM(G167:G167))</f>
        <v>20099</v>
      </c>
    </row>
    <row r="169" spans="2:9" ht="12.95" customHeight="1" x14ac:dyDescent="0.3">
      <c r="B169" s="73"/>
      <c r="C169" s="73"/>
      <c r="D169" s="74"/>
      <c r="E169" s="75"/>
      <c r="F169" s="76"/>
      <c r="G169" s="77"/>
    </row>
    <row r="170" spans="2:9" ht="12.95" customHeight="1" x14ac:dyDescent="0.3">
      <c r="B170" s="17" t="s">
        <v>28</v>
      </c>
      <c r="C170" s="10"/>
      <c r="D170" s="4" t="s">
        <v>8</v>
      </c>
      <c r="E170" s="59">
        <v>277642</v>
      </c>
      <c r="F170" s="66">
        <v>3</v>
      </c>
      <c r="G170" s="8">
        <f t="shared" ref="G170:G171" si="15">TRUNC($E170*F170,1)</f>
        <v>832926</v>
      </c>
      <c r="H170" s="12"/>
    </row>
    <row r="171" spans="2:9" ht="12.95" customHeight="1" x14ac:dyDescent="0.3">
      <c r="B171" s="17" t="s">
        <v>0</v>
      </c>
      <c r="C171" s="10"/>
      <c r="D171" s="4" t="s">
        <v>8</v>
      </c>
      <c r="E171" s="59">
        <v>172068</v>
      </c>
      <c r="F171" s="66">
        <v>1</v>
      </c>
      <c r="G171" s="8">
        <f t="shared" si="15"/>
        <v>172068</v>
      </c>
      <c r="H171" s="12"/>
    </row>
    <row r="172" spans="2:9" ht="12.95" customHeight="1" x14ac:dyDescent="0.3">
      <c r="B172" s="24" t="s">
        <v>10</v>
      </c>
      <c r="C172" s="43"/>
      <c r="D172" s="43"/>
      <c r="E172" s="49"/>
      <c r="F172" s="66"/>
      <c r="G172" s="48">
        <f>TRUNC(SUM(G170:G171))</f>
        <v>1004994</v>
      </c>
      <c r="H172" s="12"/>
    </row>
    <row r="173" spans="2:9" ht="12.95" customHeight="1" x14ac:dyDescent="0.3">
      <c r="B173" s="78"/>
      <c r="C173" s="79"/>
      <c r="D173" s="79"/>
      <c r="E173" s="80"/>
      <c r="F173" s="38"/>
      <c r="G173" s="81"/>
      <c r="H173" s="12"/>
    </row>
    <row r="174" spans="2:9" ht="12.95" customHeight="1" x14ac:dyDescent="0.3">
      <c r="B174" s="82" t="s">
        <v>11</v>
      </c>
      <c r="C174" s="43"/>
      <c r="D174" s="43"/>
      <c r="E174" s="83"/>
      <c r="F174" s="83"/>
      <c r="G174" s="84">
        <f>SUM(G168+G172)</f>
        <v>1025093</v>
      </c>
      <c r="H174" s="12"/>
    </row>
    <row r="175" spans="2:9" ht="12.95" customHeight="1" x14ac:dyDescent="0.3">
      <c r="B175" s="16" t="s">
        <v>49</v>
      </c>
      <c r="C175" s="85"/>
      <c r="D175" s="86"/>
      <c r="E175" s="87"/>
      <c r="F175" s="88"/>
      <c r="G175" s="89">
        <f>TRUNC(G174/G165)</f>
        <v>56949</v>
      </c>
      <c r="H175" s="12"/>
    </row>
    <row r="291" spans="14:15" ht="12.95" customHeight="1" x14ac:dyDescent="0.3">
      <c r="O291" s="12"/>
    </row>
    <row r="292" spans="14:15" ht="12.95" customHeight="1" x14ac:dyDescent="0.3">
      <c r="N292" s="12"/>
      <c r="O292" s="12"/>
    </row>
    <row r="293" spans="14:15" ht="12.95" customHeight="1" x14ac:dyDescent="0.3">
      <c r="N293" s="12"/>
      <c r="O293" s="12"/>
    </row>
    <row r="294" spans="14:15" ht="12.95" customHeight="1" x14ac:dyDescent="0.3">
      <c r="N294" s="12"/>
      <c r="O294" s="12"/>
    </row>
    <row r="295" spans="14:15" ht="12.95" customHeight="1" x14ac:dyDescent="0.3">
      <c r="N295" s="12"/>
      <c r="O295" s="12"/>
    </row>
    <row r="296" spans="14:15" ht="12.95" customHeight="1" x14ac:dyDescent="0.3">
      <c r="N296" s="12"/>
      <c r="O296" s="12"/>
    </row>
    <row r="297" spans="14:15" ht="12.95" customHeight="1" x14ac:dyDescent="0.3">
      <c r="N297" s="12"/>
      <c r="O297" s="12"/>
    </row>
    <row r="298" spans="14:15" ht="12.95" customHeight="1" x14ac:dyDescent="0.3">
      <c r="N298" s="12"/>
      <c r="O298" s="12"/>
    </row>
    <row r="299" spans="14:15" ht="12.95" customHeight="1" x14ac:dyDescent="0.3">
      <c r="N299" s="12"/>
      <c r="O299" s="12"/>
    </row>
    <row r="300" spans="14:15" ht="12.95" customHeight="1" x14ac:dyDescent="0.3">
      <c r="N300" s="12"/>
      <c r="O300" s="12"/>
    </row>
    <row r="301" spans="14:15" ht="12.95" customHeight="1" x14ac:dyDescent="0.3">
      <c r="N301" s="12"/>
      <c r="O301" s="12"/>
    </row>
    <row r="302" spans="14:15" ht="12.95" customHeight="1" x14ac:dyDescent="0.3">
      <c r="N302" s="12"/>
      <c r="O302" s="12"/>
    </row>
    <row r="303" spans="14:15" ht="12.95" customHeight="1" x14ac:dyDescent="0.3">
      <c r="N303" s="12"/>
      <c r="O303" s="12"/>
    </row>
    <row r="304" spans="14:15" ht="12.95" customHeight="1" x14ac:dyDescent="0.3">
      <c r="N304" s="12"/>
      <c r="O304" s="12"/>
    </row>
    <row r="305" spans="14:15" ht="12.95" customHeight="1" x14ac:dyDescent="0.3">
      <c r="N305" s="12"/>
      <c r="O305" s="12"/>
    </row>
    <row r="306" spans="14:15" ht="12.95" customHeight="1" x14ac:dyDescent="0.3">
      <c r="N306" s="12"/>
      <c r="O306" s="12"/>
    </row>
    <row r="307" spans="14:15" ht="12.95" customHeight="1" x14ac:dyDescent="0.3">
      <c r="N307" s="12"/>
      <c r="O307" s="12"/>
    </row>
    <row r="308" spans="14:15" ht="12.95" customHeight="1" x14ac:dyDescent="0.3">
      <c r="N308" s="12"/>
    </row>
  </sheetData>
  <mergeCells count="72">
    <mergeCell ref="J4:M4"/>
    <mergeCell ref="F5:G5"/>
    <mergeCell ref="H5:I5"/>
    <mergeCell ref="J5:K5"/>
    <mergeCell ref="L5:M5"/>
    <mergeCell ref="B4:B6"/>
    <mergeCell ref="C4:C6"/>
    <mergeCell ref="D4:D6"/>
    <mergeCell ref="E4:E6"/>
    <mergeCell ref="F4:I4"/>
    <mergeCell ref="B13:B14"/>
    <mergeCell ref="C13:C14"/>
    <mergeCell ref="D13:D14"/>
    <mergeCell ref="E13:E14"/>
    <mergeCell ref="B26:B27"/>
    <mergeCell ref="C26:C27"/>
    <mergeCell ref="D26:D27"/>
    <mergeCell ref="E26:E27"/>
    <mergeCell ref="B39:B40"/>
    <mergeCell ref="C39:C40"/>
    <mergeCell ref="D39:D40"/>
    <mergeCell ref="E39:E40"/>
    <mergeCell ref="B53:B54"/>
    <mergeCell ref="C53:C54"/>
    <mergeCell ref="D53:D54"/>
    <mergeCell ref="E53:E54"/>
    <mergeCell ref="B66:B67"/>
    <mergeCell ref="C66:C67"/>
    <mergeCell ref="D66:D67"/>
    <mergeCell ref="E66:E67"/>
    <mergeCell ref="B79:B80"/>
    <mergeCell ref="C79:C80"/>
    <mergeCell ref="D79:D80"/>
    <mergeCell ref="E79:E80"/>
    <mergeCell ref="B92:B93"/>
    <mergeCell ref="C92:C93"/>
    <mergeCell ref="D92:D93"/>
    <mergeCell ref="E92:E93"/>
    <mergeCell ref="B105:B106"/>
    <mergeCell ref="C105:C106"/>
    <mergeCell ref="D105:D106"/>
    <mergeCell ref="E105:E106"/>
    <mergeCell ref="F105:F106"/>
    <mergeCell ref="G105:G106"/>
    <mergeCell ref="B113:B114"/>
    <mergeCell ref="C113:C114"/>
    <mergeCell ref="D113:D114"/>
    <mergeCell ref="E113:E114"/>
    <mergeCell ref="F113:F114"/>
    <mergeCell ref="G113:G114"/>
    <mergeCell ref="F150:G150"/>
    <mergeCell ref="H150:I150"/>
    <mergeCell ref="B126:B127"/>
    <mergeCell ref="C126:C127"/>
    <mergeCell ref="D126:D127"/>
    <mergeCell ref="E126:E127"/>
    <mergeCell ref="F126:F127"/>
    <mergeCell ref="G126:G127"/>
    <mergeCell ref="B138:B139"/>
    <mergeCell ref="C138:C139"/>
    <mergeCell ref="D138:D139"/>
    <mergeCell ref="E138:E139"/>
    <mergeCell ref="F138:F139"/>
    <mergeCell ref="G138:G139"/>
    <mergeCell ref="B165:B166"/>
    <mergeCell ref="C165:C166"/>
    <mergeCell ref="D165:D166"/>
    <mergeCell ref="E165:E166"/>
    <mergeCell ref="B150:B152"/>
    <mergeCell ref="C150:C152"/>
    <mergeCell ref="D150:D152"/>
    <mergeCell ref="E150:E152"/>
  </mergeCells>
  <phoneticPr fontId="3" type="noConversion"/>
  <printOptions horizontalCentered="1"/>
  <pageMargins left="0.25" right="0.25" top="0.75" bottom="0.75" header="0.3" footer="0.3"/>
  <pageSetup paperSize="9" scale="3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목공사(상반기)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2020-02-19T06:17:41Z</cp:lastPrinted>
  <dcterms:created xsi:type="dcterms:W3CDTF">2020-02-14T01:58:29Z</dcterms:created>
  <dcterms:modified xsi:type="dcterms:W3CDTF">2026-01-01T08:03:36Z</dcterms:modified>
</cp:coreProperties>
</file>