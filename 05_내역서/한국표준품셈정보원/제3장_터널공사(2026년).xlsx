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EE9B86B6-BBD4-4E78-BC83-98838053F0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터널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6" l="1"/>
  <c r="I59" i="6" l="1"/>
  <c r="G58" i="6"/>
  <c r="I57" i="6"/>
  <c r="I56" i="6"/>
  <c r="I53" i="6"/>
  <c r="I52" i="6"/>
  <c r="I51" i="6"/>
  <c r="G50" i="6"/>
  <c r="I49" i="6"/>
  <c r="G46" i="6"/>
  <c r="G45" i="6"/>
  <c r="I44" i="6"/>
  <c r="I43" i="6"/>
  <c r="G35" i="6"/>
  <c r="G34" i="6"/>
  <c r="G31" i="6" s="1"/>
  <c r="G32" i="6" s="1"/>
  <c r="G23" i="6"/>
  <c r="G22" i="6"/>
  <c r="G9" i="6"/>
  <c r="G8" i="6"/>
  <c r="G7" i="6"/>
  <c r="G6" i="6"/>
  <c r="I34" i="6" l="1"/>
  <c r="I31" i="6" s="1"/>
  <c r="I32" i="6" s="1"/>
  <c r="I50" i="6"/>
  <c r="I54" i="6" s="1"/>
  <c r="G57" i="6"/>
  <c r="G49" i="6"/>
  <c r="I35" i="6"/>
  <c r="G53" i="6"/>
  <c r="I45" i="6"/>
  <c r="I46" i="6"/>
  <c r="I47" i="6" s="1"/>
  <c r="I58" i="6"/>
  <c r="I60" i="6" s="1"/>
  <c r="G10" i="6"/>
  <c r="G12" i="6" s="1"/>
  <c r="G19" i="6"/>
  <c r="G20" i="6" s="1"/>
  <c r="G24" i="6"/>
  <c r="G36" i="6"/>
  <c r="G38" i="6" s="1"/>
  <c r="G44" i="6"/>
  <c r="G52" i="6"/>
  <c r="G56" i="6"/>
  <c r="G43" i="6"/>
  <c r="G51" i="6"/>
  <c r="G54" i="6" s="1"/>
  <c r="G59" i="6"/>
  <c r="I36" i="6" l="1"/>
  <c r="I38" i="6" s="1"/>
  <c r="I62" i="6"/>
  <c r="G47" i="6"/>
  <c r="G26" i="6"/>
  <c r="G60" i="6"/>
  <c r="G62" i="6" l="1"/>
</calcChain>
</file>

<file path=xl/sharedStrings.xml><?xml version="1.0" encoding="utf-8"?>
<sst xmlns="http://schemas.openxmlformats.org/spreadsheetml/2006/main" count="118" uniqueCount="50">
  <si>
    <t>콘크리트공</t>
  </si>
  <si>
    <t>형틀목공</t>
  </si>
  <si>
    <t>물탱크(살수차)</t>
  </si>
  <si>
    <t>방수공</t>
  </si>
  <si>
    <t>보통인부</t>
  </si>
  <si>
    <t>비계공</t>
  </si>
  <si>
    <t>0.2㎥</t>
  </si>
  <si>
    <t>0.6㎥</t>
  </si>
  <si>
    <t>동력분무기</t>
  </si>
  <si>
    <t>4.85㎾</t>
  </si>
  <si>
    <t>구분</t>
  </si>
  <si>
    <t>단가</t>
  </si>
  <si>
    <t>수량</t>
  </si>
  <si>
    <t>금액</t>
  </si>
  <si>
    <t>단위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</si>
  <si>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</si>
  <si>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</si>
  <si>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</si>
  <si>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</si>
  <si>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규격</t>
    <phoneticPr fontId="5" type="noConversion"/>
  </si>
  <si>
    <t>hr</t>
  </si>
  <si>
    <t>hr</t>
    <phoneticPr fontId="5" type="noConversion"/>
  </si>
  <si>
    <t>인</t>
    <phoneticPr fontId="5" type="noConversion"/>
  </si>
  <si>
    <t>수량</t>
    <phoneticPr fontId="3" type="noConversion"/>
  </si>
  <si>
    <t>금액</t>
    <phoneticPr fontId="3" type="noConversion"/>
  </si>
  <si>
    <t>(㎡당)</t>
    <phoneticPr fontId="3" type="noConversion"/>
  </si>
  <si>
    <t xml:space="preserve"> </t>
  </si>
  <si>
    <t>제 3 장 터널공사</t>
    <phoneticPr fontId="3" type="noConversion"/>
  </si>
  <si>
    <t>3-3 현장 타설 콘크리트 라이닝</t>
    <phoneticPr fontId="3" type="noConversion"/>
  </si>
  <si>
    <t>특별인부</t>
  </si>
  <si>
    <t>(회당)</t>
    <phoneticPr fontId="3" type="noConversion"/>
  </si>
  <si>
    <r>
      <t>3-3-1 터널 철재거푸집 설치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해체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이동</t>
    </r>
    <phoneticPr fontId="3" type="noConversion"/>
  </si>
  <si>
    <t>3-4 부대공</t>
  </si>
  <si>
    <t>3-4-1 터널 방수</t>
    <phoneticPr fontId="3" type="noConversion"/>
  </si>
  <si>
    <t>규격</t>
    <phoneticPr fontId="3" type="noConversion"/>
  </si>
  <si>
    <t>공구손료</t>
    <phoneticPr fontId="5" type="noConversion"/>
  </si>
  <si>
    <t>인력품의 2%</t>
    <phoneticPr fontId="3" type="noConversion"/>
  </si>
  <si>
    <t>식</t>
    <phoneticPr fontId="3" type="noConversion"/>
  </si>
  <si>
    <t>인력품의 6%</t>
    <phoneticPr fontId="3" type="noConversion"/>
  </si>
  <si>
    <t>3-4-2 작업대차 조립 및 해체</t>
    <phoneticPr fontId="3" type="noConversion"/>
  </si>
  <si>
    <t>조립(소요일수:4일)</t>
    <phoneticPr fontId="3" type="noConversion"/>
  </si>
  <si>
    <t>해체(소요일수:2일)</t>
    <phoneticPr fontId="3" type="noConversion"/>
  </si>
  <si>
    <t>5,500ℓ</t>
  </si>
  <si>
    <t>공동구</t>
    <phoneticPr fontId="3" type="noConversion"/>
  </si>
  <si>
    <t>바닥/인버트</t>
    <phoneticPr fontId="3" type="noConversion"/>
  </si>
  <si>
    <t>3-4-3 터널바닥 암반청소</t>
    <phoneticPr fontId="3" type="noConversion"/>
  </si>
  <si>
    <t>굴착기(무한궤도)</t>
  </si>
  <si>
    <t>굴착기</t>
  </si>
  <si>
    <t>일체식 방수시트</t>
    <phoneticPr fontId="5" type="noConversion"/>
  </si>
  <si>
    <t>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</si>
</sst>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_-* #,##0.0_-;\-* #,##0.0_-;_-* &quot;-&quot;??_-;_-@_-"/>
    <numFmt numFmtId="185" formatCode="#,##0.00_);[Red]\(#,##0.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color theme="1"/>
      <name val="Yu Gothic"/>
      <family val="3"/>
      <charset val="128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3" fillId="0" borderId="0" xfId="6" applyFont="1" applyAlignment="1">
      <alignment vertical="center"/>
    </xf>
    <xf numFmtId="0" fontId="9" fillId="0" borderId="3" xfId="6" applyFont="1" applyBorder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9" fillId="0" borderId="0" xfId="6" applyFont="1" applyAlignment="1">
      <alignment vertical="center"/>
    </xf>
    <xf numFmtId="0" fontId="15" fillId="0" borderId="3" xfId="3" applyFont="1" applyBorder="1" applyAlignment="1">
      <alignment vertical="center"/>
    </xf>
    <xf numFmtId="0" fontId="15" fillId="0" borderId="3" xfId="6" applyFont="1" applyBorder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1" fontId="9" fillId="0" borderId="4" xfId="7" applyNumberFormat="1" applyFont="1" applyBorder="1" applyAlignment="1">
      <alignment vertical="center"/>
    </xf>
    <xf numFmtId="180" fontId="9" fillId="0" borderId="0" xfId="7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41" fontId="10" fillId="0" borderId="0" xfId="7" applyFont="1" applyBorder="1" applyAlignment="1">
      <alignment vertical="center"/>
    </xf>
    <xf numFmtId="182" fontId="10" fillId="0" borderId="4" xfId="7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7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3" xfId="2" applyFont="1" applyBorder="1" applyAlignment="1">
      <alignment horizontal="center" vertical="center"/>
    </xf>
    <xf numFmtId="41" fontId="15" fillId="0" borderId="5" xfId="7" applyFont="1" applyBorder="1" applyAlignment="1">
      <alignment vertical="center"/>
    </xf>
    <xf numFmtId="41" fontId="15" fillId="0" borderId="5" xfId="7" applyFont="1" applyFill="1" applyBorder="1" applyAlignment="1">
      <alignment vertical="center"/>
    </xf>
    <xf numFmtId="41" fontId="10" fillId="0" borderId="4" xfId="1" applyFont="1" applyBorder="1" applyAlignment="1">
      <alignment vertical="center"/>
    </xf>
    <xf numFmtId="41" fontId="11" fillId="0" borderId="5" xfId="0" applyNumberFormat="1" applyFont="1" applyBorder="1">
      <alignment vertical="center"/>
    </xf>
    <xf numFmtId="41" fontId="11" fillId="0" borderId="4" xfId="0" applyNumberFormat="1" applyFont="1" applyBorder="1">
      <alignment vertical="center"/>
    </xf>
    <xf numFmtId="0" fontId="9" fillId="0" borderId="4" xfId="0" applyFont="1" applyBorder="1">
      <alignment vertical="center"/>
    </xf>
    <xf numFmtId="0" fontId="12" fillId="0" borderId="2" xfId="3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12" fillId="0" borderId="1" xfId="3" applyFont="1" applyBorder="1" applyAlignment="1">
      <alignment horizontal="center" vertical="center"/>
    </xf>
    <xf numFmtId="182" fontId="9" fillId="0" borderId="4" xfId="7" applyNumberFormat="1" applyFont="1" applyBorder="1" applyAlignment="1">
      <alignment vertical="center"/>
    </xf>
    <xf numFmtId="182" fontId="10" fillId="0" borderId="4" xfId="7" applyNumberFormat="1" applyFont="1" applyBorder="1" applyAlignment="1">
      <alignment vertical="center"/>
    </xf>
    <xf numFmtId="41" fontId="9" fillId="0" borderId="4" xfId="7" applyFont="1" applyBorder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3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0" fontId="9" fillId="0" borderId="4" xfId="6" applyFont="1" applyBorder="1" applyAlignment="1">
      <alignment horizontal="right" vertical="center"/>
    </xf>
    <xf numFmtId="184" fontId="9" fillId="0" borderId="5" xfId="8" applyNumberFormat="1" applyFont="1" applyFill="1" applyBorder="1" applyAlignment="1">
      <alignment vertical="center"/>
    </xf>
    <xf numFmtId="41" fontId="10" fillId="0" borderId="4" xfId="7" applyFont="1" applyBorder="1" applyAlignment="1">
      <alignment vertical="center"/>
    </xf>
    <xf numFmtId="185" fontId="18" fillId="0" borderId="0" xfId="4" applyNumberFormat="1" applyFont="1" applyAlignment="1">
      <alignment vertical="center"/>
    </xf>
    <xf numFmtId="0" fontId="6" fillId="0" borderId="0" xfId="0" applyFont="1" applyAlignment="1"/>
    <xf numFmtId="41" fontId="9" fillId="0" borderId="5" xfId="0" applyNumberFormat="1" applyFont="1" applyBorder="1">
      <alignment vertical="center"/>
    </xf>
    <xf numFmtId="0" fontId="12" fillId="0" borderId="1" xfId="3" applyFont="1" applyBorder="1" applyAlignment="1">
      <alignment horizontal="center" vertical="center" shrinkToFit="1"/>
    </xf>
    <xf numFmtId="0" fontId="12" fillId="0" borderId="2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12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8" xr:uid="{00000000-0005-0000-0000-000003000000}"/>
    <cellStyle name="콤마 [0]_조경공사" xfId="7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B7DA-3072-48A0-A81E-3571DCEE2759}">
  <sheetPr>
    <pageSetUpPr fitToPage="1"/>
  </sheetPr>
  <dimension ref="A1:O308"/>
  <sheetViews>
    <sheetView tabSelected="1" zoomScaleNormal="100" workbookViewId="0">
      <selection activeCell="I20" sqref="I20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4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50"/>
      <c r="B1" s="6" t="s">
        <v>27</v>
      </c>
      <c r="C1" s="3"/>
      <c r="D1" s="1"/>
    </row>
    <row r="2" spans="1:15" ht="12.95" customHeight="1" x14ac:dyDescent="0.15">
      <c r="A2" s="51"/>
      <c r="B2" s="1" t="s">
        <v>28</v>
      </c>
    </row>
    <row r="3" spans="1:15" ht="12.95" customHeight="1" x14ac:dyDescent="0.3">
      <c r="B3" s="2" t="s">
        <v>31</v>
      </c>
      <c r="C3" s="28"/>
      <c r="D3" s="14"/>
      <c r="E3" s="29"/>
      <c r="F3" s="14"/>
      <c r="G3" s="13" t="s">
        <v>30</v>
      </c>
    </row>
    <row r="4" spans="1:15" ht="12.95" customHeight="1" x14ac:dyDescent="0.3">
      <c r="B4" s="59" t="s">
        <v>10</v>
      </c>
      <c r="C4" s="61" t="s">
        <v>19</v>
      </c>
      <c r="D4" s="58" t="s">
        <v>14</v>
      </c>
      <c r="E4" s="63" t="s">
        <v>11</v>
      </c>
      <c r="F4" s="58" t="s">
        <v>23</v>
      </c>
      <c r="G4" s="65" t="s">
        <v>24</v>
      </c>
    </row>
    <row r="5" spans="1:15" ht="12.95" customHeight="1" x14ac:dyDescent="0.3">
      <c r="B5" s="60"/>
      <c r="C5" s="62"/>
      <c r="D5" s="58"/>
      <c r="E5" s="64"/>
      <c r="F5" s="58"/>
      <c r="G5" s="66"/>
    </row>
    <row r="6" spans="1:15" ht="12.95" customHeight="1" x14ac:dyDescent="0.3">
      <c r="B6" s="39" t="s">
        <v>1</v>
      </c>
      <c r="C6" s="36"/>
      <c r="D6" s="38" t="s">
        <v>22</v>
      </c>
      <c r="E6" s="34">
        <v>275790</v>
      </c>
      <c r="F6" s="43">
        <v>6</v>
      </c>
      <c r="G6" s="5">
        <f t="shared" ref="G6:G9" si="0">TRUNC($E6*F6,1)</f>
        <v>1654740</v>
      </c>
    </row>
    <row r="7" spans="1:15" ht="12.95" customHeight="1" x14ac:dyDescent="0.3">
      <c r="B7" s="39" t="s">
        <v>0</v>
      </c>
      <c r="C7" s="36"/>
      <c r="D7" s="38" t="s">
        <v>22</v>
      </c>
      <c r="E7" s="34">
        <v>273540</v>
      </c>
      <c r="F7" s="43">
        <v>2</v>
      </c>
      <c r="G7" s="5">
        <f t="shared" si="0"/>
        <v>547080</v>
      </c>
    </row>
    <row r="8" spans="1:15" ht="12.95" customHeight="1" x14ac:dyDescent="0.3">
      <c r="B8" s="39" t="s">
        <v>29</v>
      </c>
      <c r="C8" s="36"/>
      <c r="D8" s="38" t="s">
        <v>22</v>
      </c>
      <c r="E8" s="34">
        <v>226122</v>
      </c>
      <c r="F8" s="43">
        <v>1</v>
      </c>
      <c r="G8" s="5">
        <f t="shared" si="0"/>
        <v>226122</v>
      </c>
    </row>
    <row r="9" spans="1:15" ht="12.95" customHeight="1" x14ac:dyDescent="0.3">
      <c r="B9" s="39" t="s">
        <v>4</v>
      </c>
      <c r="C9" s="36"/>
      <c r="D9" s="38" t="s">
        <v>22</v>
      </c>
      <c r="E9" s="35">
        <v>172068</v>
      </c>
      <c r="F9" s="43">
        <v>2</v>
      </c>
      <c r="G9" s="5">
        <f t="shared" si="0"/>
        <v>344136</v>
      </c>
    </row>
    <row r="10" spans="1:15" ht="12.95" customHeight="1" x14ac:dyDescent="0.3">
      <c r="B10" s="11" t="s">
        <v>16</v>
      </c>
      <c r="C10" s="26"/>
      <c r="D10" s="26"/>
      <c r="E10" s="33"/>
      <c r="F10" s="42"/>
      <c r="G10" s="31">
        <f>TRUNC(SUM(G6:G9))</f>
        <v>2772078</v>
      </c>
    </row>
    <row r="11" spans="1:15" ht="12.95" customHeight="1" x14ac:dyDescent="0.3">
      <c r="B11" s="8"/>
      <c r="C11" s="18"/>
      <c r="D11" s="18"/>
      <c r="E11" s="22"/>
      <c r="F11" s="16"/>
      <c r="G11" s="17"/>
    </row>
    <row r="12" spans="1:15" ht="12.95" customHeight="1" x14ac:dyDescent="0.3">
      <c r="B12" s="9" t="s">
        <v>18</v>
      </c>
      <c r="C12" s="27"/>
      <c r="D12" s="27"/>
      <c r="E12" s="23"/>
      <c r="F12" s="23"/>
      <c r="G12" s="24">
        <f>SUM(G10)</f>
        <v>2772078</v>
      </c>
    </row>
    <row r="13" spans="1:15" ht="12.95" customHeight="1" x14ac:dyDescent="0.3">
      <c r="O13" s="15"/>
    </row>
    <row r="14" spans="1:15" ht="12.95" customHeight="1" x14ac:dyDescent="0.3">
      <c r="B14" s="1" t="s">
        <v>32</v>
      </c>
      <c r="N14" s="15"/>
      <c r="O14" s="15"/>
    </row>
    <row r="15" spans="1:15" ht="12.95" customHeight="1" x14ac:dyDescent="0.3">
      <c r="B15" s="2" t="s">
        <v>33</v>
      </c>
      <c r="C15" s="28"/>
      <c r="D15" s="14"/>
      <c r="E15" s="29"/>
      <c r="F15" s="14"/>
      <c r="G15" s="13" t="s">
        <v>25</v>
      </c>
      <c r="K15" s="15"/>
      <c r="L15" s="15"/>
      <c r="N15" s="15"/>
      <c r="O15" s="15"/>
    </row>
    <row r="16" spans="1:15" ht="12.95" customHeight="1" x14ac:dyDescent="0.3">
      <c r="B16" s="55" t="s">
        <v>10</v>
      </c>
      <c r="C16" s="56" t="s">
        <v>34</v>
      </c>
      <c r="D16" s="57" t="s">
        <v>14</v>
      </c>
      <c r="E16" s="58" t="s">
        <v>11</v>
      </c>
      <c r="F16" s="58" t="s">
        <v>23</v>
      </c>
      <c r="G16" s="65" t="s">
        <v>24</v>
      </c>
      <c r="K16" s="15"/>
      <c r="L16" s="15"/>
      <c r="N16" s="15"/>
      <c r="O16" s="15"/>
    </row>
    <row r="17" spans="2:15" ht="12.95" customHeight="1" x14ac:dyDescent="0.3">
      <c r="B17" s="55"/>
      <c r="C17" s="56"/>
      <c r="D17" s="57"/>
      <c r="E17" s="58"/>
      <c r="F17" s="58"/>
      <c r="G17" s="66"/>
      <c r="K17" s="15"/>
      <c r="L17" s="15"/>
      <c r="N17" s="15"/>
      <c r="O17" s="15"/>
    </row>
    <row r="18" spans="2:15" ht="12.95" customHeight="1" x14ac:dyDescent="0.3">
      <c r="B18" s="44" t="s">
        <v>48</v>
      </c>
      <c r="C18" s="45"/>
      <c r="D18" s="46" t="s">
        <v>49</v>
      </c>
      <c r="E18" s="52">
        <v>0</v>
      </c>
      <c r="F18" s="16">
        <v>1.1499999999999999</v>
      </c>
      <c r="G18" s="5">
        <f t="shared" ref="G18" si="1">TRUNC($E18*F18,1)</f>
        <v>0</v>
      </c>
      <c r="K18" s="15"/>
      <c r="L18" s="15"/>
      <c r="N18" s="15"/>
      <c r="O18" s="15"/>
    </row>
    <row r="19" spans="2:15" ht="12.95" customHeight="1" x14ac:dyDescent="0.3">
      <c r="B19" s="44" t="s">
        <v>35</v>
      </c>
      <c r="C19" s="45" t="s">
        <v>38</v>
      </c>
      <c r="D19" s="46" t="s">
        <v>37</v>
      </c>
      <c r="E19" s="47"/>
      <c r="F19" s="43">
        <v>1</v>
      </c>
      <c r="G19" s="48">
        <f>TRUNC(SUM(G22:G23)*0.06,1)</f>
        <v>171.3</v>
      </c>
      <c r="K19" s="15"/>
      <c r="L19" s="15"/>
      <c r="N19" s="15"/>
      <c r="O19" s="15"/>
    </row>
    <row r="20" spans="2:15" ht="12.95" customHeight="1" x14ac:dyDescent="0.3">
      <c r="B20" s="12" t="s">
        <v>15</v>
      </c>
      <c r="C20" s="26"/>
      <c r="D20" s="26"/>
      <c r="E20" s="33"/>
      <c r="F20" s="49"/>
      <c r="G20" s="31">
        <f>TRUNC(SUM(G18:G19))</f>
        <v>171</v>
      </c>
      <c r="K20" s="15"/>
      <c r="L20" s="15"/>
      <c r="N20" s="15"/>
      <c r="O20" s="15"/>
    </row>
    <row r="21" spans="2:15" ht="12.95" customHeight="1" x14ac:dyDescent="0.3">
      <c r="B21" s="25"/>
      <c r="C21" s="26"/>
      <c r="D21" s="26"/>
      <c r="E21" s="33"/>
      <c r="F21" s="49"/>
      <c r="G21" s="20"/>
      <c r="K21" s="15"/>
      <c r="L21" s="15"/>
      <c r="N21" s="15"/>
      <c r="O21" s="15"/>
    </row>
    <row r="22" spans="2:15" ht="12.95" customHeight="1" x14ac:dyDescent="0.3">
      <c r="B22" s="39" t="s">
        <v>3</v>
      </c>
      <c r="C22" s="36"/>
      <c r="D22" s="38" t="s">
        <v>22</v>
      </c>
      <c r="E22" s="34">
        <v>228286</v>
      </c>
      <c r="F22" s="41">
        <v>1.0999999999999999E-2</v>
      </c>
      <c r="G22" s="5">
        <f t="shared" ref="G22:G23" si="2">TRUNC($E22*F22,1)</f>
        <v>2511.1</v>
      </c>
      <c r="K22" s="15"/>
      <c r="L22" s="15"/>
      <c r="N22" s="15"/>
      <c r="O22" s="15"/>
    </row>
    <row r="23" spans="2:15" ht="12.95" customHeight="1" x14ac:dyDescent="0.3">
      <c r="B23" s="39" t="s">
        <v>4</v>
      </c>
      <c r="C23" s="36"/>
      <c r="D23" s="38" t="s">
        <v>22</v>
      </c>
      <c r="E23" s="35">
        <v>172068</v>
      </c>
      <c r="F23" s="41">
        <v>2E-3</v>
      </c>
      <c r="G23" s="5">
        <f t="shared" si="2"/>
        <v>344.1</v>
      </c>
      <c r="K23" s="15"/>
      <c r="L23" s="15"/>
      <c r="N23" s="15"/>
      <c r="O23" s="15"/>
    </row>
    <row r="24" spans="2:15" ht="12.95" customHeight="1" x14ac:dyDescent="0.3">
      <c r="B24" s="11" t="s">
        <v>16</v>
      </c>
      <c r="C24" s="26"/>
      <c r="D24" s="26"/>
      <c r="E24" s="33"/>
      <c r="F24" s="49"/>
      <c r="G24" s="31">
        <f>TRUNC(SUM(G22:G23))</f>
        <v>2855</v>
      </c>
      <c r="K24" s="15"/>
      <c r="L24" s="15"/>
    </row>
    <row r="25" spans="2:15" ht="12.95" customHeight="1" x14ac:dyDescent="0.3">
      <c r="B25" s="25"/>
      <c r="C25" s="26"/>
      <c r="D25" s="26"/>
      <c r="E25" s="33"/>
      <c r="F25" s="49"/>
      <c r="G25" s="20"/>
      <c r="K25" s="15"/>
    </row>
    <row r="26" spans="2:15" ht="12.95" customHeight="1" x14ac:dyDescent="0.3">
      <c r="B26" s="9" t="s">
        <v>18</v>
      </c>
      <c r="C26" s="27"/>
      <c r="D26" s="27"/>
      <c r="E26" s="23"/>
      <c r="F26" s="23"/>
      <c r="G26" s="24">
        <f>SUM(G20+G24)</f>
        <v>3026</v>
      </c>
    </row>
    <row r="28" spans="2:15" ht="12.95" customHeight="1" x14ac:dyDescent="0.3">
      <c r="B28" s="2" t="s">
        <v>39</v>
      </c>
      <c r="C28" s="28"/>
      <c r="D28" s="14"/>
      <c r="E28" s="29"/>
      <c r="F28" s="14"/>
      <c r="G28" s="13"/>
      <c r="I28" s="13" t="s">
        <v>30</v>
      </c>
      <c r="K28" s="15"/>
      <c r="L28" s="15"/>
    </row>
    <row r="29" spans="2:15" ht="12.95" customHeight="1" x14ac:dyDescent="0.3">
      <c r="B29" s="55" t="s">
        <v>10</v>
      </c>
      <c r="C29" s="56" t="s">
        <v>34</v>
      </c>
      <c r="D29" s="57" t="s">
        <v>14</v>
      </c>
      <c r="E29" s="58" t="s">
        <v>11</v>
      </c>
      <c r="F29" s="53" t="s">
        <v>40</v>
      </c>
      <c r="G29" s="54"/>
      <c r="H29" s="53" t="s">
        <v>41</v>
      </c>
      <c r="I29" s="54"/>
      <c r="K29" s="15"/>
      <c r="L29" s="15"/>
    </row>
    <row r="30" spans="2:15" ht="12.95" customHeight="1" x14ac:dyDescent="0.3">
      <c r="B30" s="55"/>
      <c r="C30" s="56"/>
      <c r="D30" s="57"/>
      <c r="E30" s="58"/>
      <c r="F30" s="40" t="s">
        <v>12</v>
      </c>
      <c r="G30" s="37" t="s">
        <v>13</v>
      </c>
      <c r="H30" s="40" t="s">
        <v>12</v>
      </c>
      <c r="I30" s="37" t="s">
        <v>13</v>
      </c>
      <c r="K30" s="15"/>
      <c r="L30" s="15"/>
    </row>
    <row r="31" spans="2:15" ht="12.95" customHeight="1" x14ac:dyDescent="0.3">
      <c r="B31" s="44" t="s">
        <v>35</v>
      </c>
      <c r="C31" s="45" t="s">
        <v>36</v>
      </c>
      <c r="D31" s="46" t="s">
        <v>37</v>
      </c>
      <c r="E31" s="47"/>
      <c r="F31" s="43">
        <v>1</v>
      </c>
      <c r="G31" s="48">
        <f>TRUNC(SUM(G34:G35)*0.02,1)</f>
        <v>126541</v>
      </c>
      <c r="H31" s="43">
        <v>1</v>
      </c>
      <c r="I31" s="48">
        <f>TRUNC(SUM(I34:I35)*0.02,1)</f>
        <v>63270.5</v>
      </c>
      <c r="K31" s="15"/>
      <c r="L31" s="15"/>
    </row>
    <row r="32" spans="2:15" ht="12.95" customHeight="1" x14ac:dyDescent="0.3">
      <c r="B32" s="12" t="s">
        <v>15</v>
      </c>
      <c r="C32" s="26"/>
      <c r="D32" s="26"/>
      <c r="E32" s="33"/>
      <c r="F32" s="49"/>
      <c r="G32" s="31">
        <f>TRUNC(SUM(G31:G31))</f>
        <v>126541</v>
      </c>
      <c r="H32" s="49"/>
      <c r="I32" s="31">
        <f>TRUNC(SUM(I31:I31))</f>
        <v>63270</v>
      </c>
      <c r="K32" s="15"/>
      <c r="L32" s="15"/>
    </row>
    <row r="33" spans="2:12" ht="12.95" customHeight="1" x14ac:dyDescent="0.3">
      <c r="B33" s="25"/>
      <c r="C33" s="26"/>
      <c r="D33" s="26"/>
      <c r="E33" s="33"/>
      <c r="F33" s="49"/>
      <c r="G33" s="20"/>
      <c r="H33" s="49"/>
      <c r="I33" s="20"/>
      <c r="K33" s="15"/>
      <c r="L33" s="15"/>
    </row>
    <row r="34" spans="2:12" ht="12.95" customHeight="1" x14ac:dyDescent="0.3">
      <c r="B34" s="39" t="s">
        <v>5</v>
      </c>
      <c r="C34" s="36"/>
      <c r="D34" s="38" t="s">
        <v>22</v>
      </c>
      <c r="E34" s="34">
        <v>281939</v>
      </c>
      <c r="F34" s="43">
        <v>20</v>
      </c>
      <c r="G34" s="5">
        <f t="shared" ref="G34:G35" si="3">TRUNC($E34*F34,1)</f>
        <v>5638780</v>
      </c>
      <c r="H34" s="43">
        <v>10</v>
      </c>
      <c r="I34" s="5">
        <f t="shared" ref="I34:I35" si="4">TRUNC($E34*H34,1)</f>
        <v>2819390</v>
      </c>
      <c r="K34" s="15"/>
      <c r="L34" s="15"/>
    </row>
    <row r="35" spans="2:12" ht="12.95" customHeight="1" x14ac:dyDescent="0.3">
      <c r="B35" s="39" t="s">
        <v>4</v>
      </c>
      <c r="C35" s="36"/>
      <c r="D35" s="38" t="s">
        <v>22</v>
      </c>
      <c r="E35" s="35">
        <v>172068</v>
      </c>
      <c r="F35" s="43">
        <v>4</v>
      </c>
      <c r="G35" s="5">
        <f t="shared" si="3"/>
        <v>688272</v>
      </c>
      <c r="H35" s="43">
        <v>2</v>
      </c>
      <c r="I35" s="5">
        <f t="shared" si="4"/>
        <v>344136</v>
      </c>
      <c r="K35" s="15"/>
      <c r="L35" s="15"/>
    </row>
    <row r="36" spans="2:12" ht="12.95" customHeight="1" x14ac:dyDescent="0.3">
      <c r="B36" s="11" t="s">
        <v>16</v>
      </c>
      <c r="C36" s="26"/>
      <c r="D36" s="26"/>
      <c r="E36" s="33"/>
      <c r="F36" s="49"/>
      <c r="G36" s="31">
        <f>TRUNC(SUM(G34:G35))</f>
        <v>6327052</v>
      </c>
      <c r="H36" s="49"/>
      <c r="I36" s="31">
        <f>TRUNC(SUM(I34:I35))</f>
        <v>3163526</v>
      </c>
      <c r="K36" s="15"/>
      <c r="L36" s="15"/>
    </row>
    <row r="37" spans="2:12" ht="12.95" customHeight="1" x14ac:dyDescent="0.3">
      <c r="B37" s="25"/>
      <c r="C37" s="26"/>
      <c r="D37" s="26"/>
      <c r="E37" s="33"/>
      <c r="F37" s="49"/>
      <c r="G37" s="20"/>
      <c r="H37" s="49"/>
      <c r="I37" s="20"/>
      <c r="K37" s="15"/>
    </row>
    <row r="38" spans="2:12" ht="12.95" customHeight="1" x14ac:dyDescent="0.3">
      <c r="B38" s="9" t="s">
        <v>18</v>
      </c>
      <c r="C38" s="27"/>
      <c r="D38" s="27"/>
      <c r="E38" s="23"/>
      <c r="F38" s="23"/>
      <c r="G38" s="24">
        <f>SUM(G32+G36)</f>
        <v>6453593</v>
      </c>
      <c r="H38" s="23"/>
      <c r="I38" s="24">
        <f>SUM(I32+I36)</f>
        <v>3226796</v>
      </c>
    </row>
    <row r="40" spans="2:12" ht="12.95" customHeight="1" x14ac:dyDescent="0.3">
      <c r="B40" s="2" t="s">
        <v>45</v>
      </c>
      <c r="C40" s="28"/>
      <c r="D40" s="14"/>
      <c r="E40" s="29"/>
      <c r="F40" s="14"/>
      <c r="G40" s="14"/>
      <c r="H40" s="14"/>
      <c r="I40" s="13" t="s">
        <v>25</v>
      </c>
    </row>
    <row r="41" spans="2:12" ht="12.95" customHeight="1" x14ac:dyDescent="0.3">
      <c r="B41" s="59" t="s">
        <v>10</v>
      </c>
      <c r="C41" s="61" t="s">
        <v>19</v>
      </c>
      <c r="D41" s="58" t="s">
        <v>14</v>
      </c>
      <c r="E41" s="63" t="s">
        <v>11</v>
      </c>
      <c r="F41" s="53" t="s">
        <v>43</v>
      </c>
      <c r="G41" s="54"/>
      <c r="H41" s="53" t="s">
        <v>44</v>
      </c>
      <c r="I41" s="54"/>
    </row>
    <row r="42" spans="2:12" ht="12.95" customHeight="1" x14ac:dyDescent="0.3">
      <c r="B42" s="60"/>
      <c r="C42" s="62"/>
      <c r="D42" s="58"/>
      <c r="E42" s="64"/>
      <c r="F42" s="40" t="s">
        <v>12</v>
      </c>
      <c r="G42" s="37" t="s">
        <v>13</v>
      </c>
      <c r="H42" s="40" t="s">
        <v>12</v>
      </c>
      <c r="I42" s="37" t="s">
        <v>13</v>
      </c>
    </row>
    <row r="43" spans="2:12" ht="12.95" customHeight="1" x14ac:dyDescent="0.3">
      <c r="B43" s="18" t="s">
        <v>47</v>
      </c>
      <c r="C43" s="36" t="s">
        <v>6</v>
      </c>
      <c r="D43" s="38" t="s">
        <v>21</v>
      </c>
      <c r="E43" s="35">
        <v>9107</v>
      </c>
      <c r="F43" s="41">
        <v>0.14099999999999999</v>
      </c>
      <c r="G43" s="5">
        <f t="shared" ref="G43:I46" si="5">TRUNC($E43*F43,1)</f>
        <v>1284</v>
      </c>
      <c r="H43" s="41">
        <v>0</v>
      </c>
      <c r="I43" s="5">
        <f t="shared" si="5"/>
        <v>0</v>
      </c>
    </row>
    <row r="44" spans="2:12" ht="12.95" customHeight="1" x14ac:dyDescent="0.3">
      <c r="B44" s="18" t="s">
        <v>46</v>
      </c>
      <c r="C44" s="36" t="s">
        <v>7</v>
      </c>
      <c r="D44" s="38" t="s">
        <v>21</v>
      </c>
      <c r="E44" s="35">
        <v>18733</v>
      </c>
      <c r="F44" s="41">
        <v>0</v>
      </c>
      <c r="G44" s="5">
        <f t="shared" si="5"/>
        <v>0</v>
      </c>
      <c r="H44" s="41">
        <v>8.5000000000000006E-2</v>
      </c>
      <c r="I44" s="5">
        <f t="shared" si="5"/>
        <v>1592.3</v>
      </c>
    </row>
    <row r="45" spans="2:12" ht="12.95" customHeight="1" x14ac:dyDescent="0.3">
      <c r="B45" s="18" t="s">
        <v>2</v>
      </c>
      <c r="C45" s="36" t="s">
        <v>42</v>
      </c>
      <c r="D45" s="38" t="s">
        <v>21</v>
      </c>
      <c r="E45" s="35">
        <v>18200</v>
      </c>
      <c r="F45" s="41">
        <v>0.123</v>
      </c>
      <c r="G45" s="5">
        <f t="shared" si="5"/>
        <v>2238.6</v>
      </c>
      <c r="H45" s="41">
        <v>7.3999999999999996E-2</v>
      </c>
      <c r="I45" s="5">
        <f t="shared" si="5"/>
        <v>1346.8</v>
      </c>
    </row>
    <row r="46" spans="2:12" ht="12.95" customHeight="1" x14ac:dyDescent="0.3">
      <c r="B46" s="18" t="s">
        <v>8</v>
      </c>
      <c r="C46" s="36" t="s">
        <v>9</v>
      </c>
      <c r="D46" s="38" t="s">
        <v>21</v>
      </c>
      <c r="E46" s="35">
        <v>2471</v>
      </c>
      <c r="F46" s="41">
        <v>0.123</v>
      </c>
      <c r="G46" s="5">
        <f t="shared" si="5"/>
        <v>303.89999999999998</v>
      </c>
      <c r="H46" s="41">
        <v>7.3999999999999996E-2</v>
      </c>
      <c r="I46" s="5">
        <f t="shared" si="5"/>
        <v>182.8</v>
      </c>
    </row>
    <row r="47" spans="2:12" ht="12.95" customHeight="1" x14ac:dyDescent="0.3">
      <c r="B47" s="12" t="s">
        <v>15</v>
      </c>
      <c r="C47" s="26"/>
      <c r="D47" s="26"/>
      <c r="E47" s="33"/>
      <c r="F47" s="42" t="s">
        <v>26</v>
      </c>
      <c r="G47" s="31">
        <f>TRUNC(SUM(G43:G46))</f>
        <v>3826</v>
      </c>
      <c r="H47" s="42" t="s">
        <v>26</v>
      </c>
      <c r="I47" s="31">
        <f>TRUNC(SUM(I43:I46))</f>
        <v>3121</v>
      </c>
    </row>
    <row r="48" spans="2:12" ht="12.95" customHeight="1" x14ac:dyDescent="0.3">
      <c r="B48" s="25"/>
      <c r="C48" s="26"/>
      <c r="D48" s="26"/>
      <c r="E48" s="33"/>
      <c r="F48" s="42"/>
      <c r="G48" s="20"/>
      <c r="H48" s="42"/>
      <c r="I48" s="20"/>
    </row>
    <row r="49" spans="2:9" ht="12.95" customHeight="1" x14ac:dyDescent="0.3">
      <c r="B49" s="39" t="s">
        <v>29</v>
      </c>
      <c r="C49" s="36"/>
      <c r="D49" s="38" t="s">
        <v>22</v>
      </c>
      <c r="E49" s="34">
        <v>226122</v>
      </c>
      <c r="F49" s="41">
        <v>1.4E-2</v>
      </c>
      <c r="G49" s="5">
        <f t="shared" ref="G49:I53" si="6">TRUNC($E49*F49,1)</f>
        <v>3165.7</v>
      </c>
      <c r="H49" s="41">
        <v>8.9999999999999993E-3</v>
      </c>
      <c r="I49" s="5">
        <f t="shared" si="6"/>
        <v>2035</v>
      </c>
    </row>
    <row r="50" spans="2:9" ht="12.95" customHeight="1" x14ac:dyDescent="0.3">
      <c r="B50" s="39" t="s">
        <v>4</v>
      </c>
      <c r="C50" s="36"/>
      <c r="D50" s="38" t="s">
        <v>22</v>
      </c>
      <c r="E50" s="35">
        <v>172068</v>
      </c>
      <c r="F50" s="41">
        <v>0.13400000000000001</v>
      </c>
      <c r="G50" s="5">
        <f t="shared" si="6"/>
        <v>23057.1</v>
      </c>
      <c r="H50" s="41">
        <v>8.5000000000000006E-2</v>
      </c>
      <c r="I50" s="5">
        <f t="shared" si="6"/>
        <v>14625.7</v>
      </c>
    </row>
    <row r="51" spans="2:9" ht="12.95" customHeight="1" x14ac:dyDescent="0.3">
      <c r="B51" s="18" t="s">
        <v>47</v>
      </c>
      <c r="C51" s="36" t="s">
        <v>6</v>
      </c>
      <c r="D51" s="38" t="s">
        <v>21</v>
      </c>
      <c r="E51" s="35">
        <v>58925</v>
      </c>
      <c r="F51" s="41">
        <v>0.14099999999999999</v>
      </c>
      <c r="G51" s="5">
        <f t="shared" si="6"/>
        <v>8308.4</v>
      </c>
      <c r="H51" s="41">
        <v>0</v>
      </c>
      <c r="I51" s="5">
        <f t="shared" si="6"/>
        <v>0</v>
      </c>
    </row>
    <row r="52" spans="2:9" ht="12.95" customHeight="1" x14ac:dyDescent="0.3">
      <c r="B52" s="18" t="s">
        <v>47</v>
      </c>
      <c r="C52" s="36" t="s">
        <v>7</v>
      </c>
      <c r="D52" s="38" t="s">
        <v>21</v>
      </c>
      <c r="E52" s="35">
        <v>58925</v>
      </c>
      <c r="F52" s="41">
        <v>0</v>
      </c>
      <c r="G52" s="5">
        <f t="shared" si="6"/>
        <v>0</v>
      </c>
      <c r="H52" s="41">
        <v>8.5000000000000006E-2</v>
      </c>
      <c r="I52" s="5">
        <f t="shared" si="6"/>
        <v>5008.6000000000004</v>
      </c>
    </row>
    <row r="53" spans="2:9" ht="12.95" customHeight="1" x14ac:dyDescent="0.3">
      <c r="B53" s="18" t="s">
        <v>2</v>
      </c>
      <c r="C53" s="36" t="s">
        <v>42</v>
      </c>
      <c r="D53" s="30" t="s">
        <v>20</v>
      </c>
      <c r="E53" s="35">
        <v>49698</v>
      </c>
      <c r="F53" s="41">
        <v>0.123</v>
      </c>
      <c r="G53" s="5">
        <f t="shared" si="6"/>
        <v>6112.8</v>
      </c>
      <c r="H53" s="41">
        <v>7.3999999999999996E-2</v>
      </c>
      <c r="I53" s="5">
        <f t="shared" si="6"/>
        <v>3677.6</v>
      </c>
    </row>
    <row r="54" spans="2:9" ht="12.95" customHeight="1" x14ac:dyDescent="0.3">
      <c r="B54" s="11" t="s">
        <v>16</v>
      </c>
      <c r="C54" s="26"/>
      <c r="D54" s="26"/>
      <c r="E54" s="33"/>
      <c r="F54" s="42"/>
      <c r="G54" s="31">
        <f>TRUNC(SUM(G49:G53))</f>
        <v>40644</v>
      </c>
      <c r="H54" s="42"/>
      <c r="I54" s="31">
        <f>TRUNC(SUM(I49:I53))</f>
        <v>25346</v>
      </c>
    </row>
    <row r="55" spans="2:9" ht="12.95" customHeight="1" x14ac:dyDescent="0.3">
      <c r="B55" s="25"/>
      <c r="C55" s="26"/>
      <c r="D55" s="26"/>
      <c r="E55" s="33"/>
      <c r="F55" s="42"/>
      <c r="G55" s="20"/>
      <c r="H55" s="42"/>
      <c r="I55" s="20"/>
    </row>
    <row r="56" spans="2:9" ht="12.95" customHeight="1" x14ac:dyDescent="0.3">
      <c r="B56" s="18" t="s">
        <v>47</v>
      </c>
      <c r="C56" s="36" t="s">
        <v>6</v>
      </c>
      <c r="D56" s="38" t="s">
        <v>21</v>
      </c>
      <c r="E56" s="35">
        <v>13873</v>
      </c>
      <c r="F56" s="41">
        <v>0.14099999999999999</v>
      </c>
      <c r="G56" s="5">
        <f t="shared" ref="G56:I59" si="7">TRUNC($E56*F56,1)</f>
        <v>1956</v>
      </c>
      <c r="H56" s="41">
        <v>0</v>
      </c>
      <c r="I56" s="5">
        <f t="shared" si="7"/>
        <v>0</v>
      </c>
    </row>
    <row r="57" spans="2:9" ht="12.95" customHeight="1" x14ac:dyDescent="0.3">
      <c r="B57" s="18" t="s">
        <v>47</v>
      </c>
      <c r="C57" s="36" t="s">
        <v>7</v>
      </c>
      <c r="D57" s="38" t="s">
        <v>21</v>
      </c>
      <c r="E57" s="35">
        <v>23423</v>
      </c>
      <c r="F57" s="41">
        <v>0</v>
      </c>
      <c r="G57" s="5">
        <f t="shared" si="7"/>
        <v>0</v>
      </c>
      <c r="H57" s="41">
        <v>8.5000000000000006E-2</v>
      </c>
      <c r="I57" s="5">
        <f t="shared" si="7"/>
        <v>1990.9</v>
      </c>
    </row>
    <row r="58" spans="2:9" ht="12.95" customHeight="1" x14ac:dyDescent="0.3">
      <c r="B58" s="18" t="s">
        <v>2</v>
      </c>
      <c r="C58" s="36" t="s">
        <v>42</v>
      </c>
      <c r="D58" s="38" t="s">
        <v>21</v>
      </c>
      <c r="E58" s="35">
        <v>9986</v>
      </c>
      <c r="F58" s="41">
        <v>0.123</v>
      </c>
      <c r="G58" s="5">
        <f t="shared" si="7"/>
        <v>1228.2</v>
      </c>
      <c r="H58" s="41">
        <v>7.3999999999999996E-2</v>
      </c>
      <c r="I58" s="5">
        <f t="shared" si="7"/>
        <v>738.9</v>
      </c>
    </row>
    <row r="59" spans="2:9" ht="12.95" customHeight="1" x14ac:dyDescent="0.3">
      <c r="B59" s="18" t="s">
        <v>8</v>
      </c>
      <c r="C59" s="36" t="s">
        <v>9</v>
      </c>
      <c r="D59" s="30" t="s">
        <v>20</v>
      </c>
      <c r="E59" s="35">
        <v>258</v>
      </c>
      <c r="F59" s="41">
        <v>0.123</v>
      </c>
      <c r="G59" s="5">
        <f t="shared" si="7"/>
        <v>31.7</v>
      </c>
      <c r="H59" s="41">
        <v>7.3999999999999996E-2</v>
      </c>
      <c r="I59" s="5">
        <f t="shared" si="7"/>
        <v>19</v>
      </c>
    </row>
    <row r="60" spans="2:9" ht="12.95" customHeight="1" x14ac:dyDescent="0.3">
      <c r="B60" s="12" t="s">
        <v>17</v>
      </c>
      <c r="C60" s="26"/>
      <c r="D60" s="26"/>
      <c r="E60" s="19"/>
      <c r="F60" s="21"/>
      <c r="G60" s="32">
        <f>TRUNC(SUM(G56:G59))</f>
        <v>3215</v>
      </c>
      <c r="H60" s="21"/>
      <c r="I60" s="32">
        <f>TRUNC(SUM(I56:I59))</f>
        <v>2748</v>
      </c>
    </row>
    <row r="61" spans="2:9" ht="12.95" customHeight="1" x14ac:dyDescent="0.3">
      <c r="B61" s="8"/>
      <c r="C61" s="18"/>
      <c r="D61" s="18"/>
      <c r="E61" s="22"/>
      <c r="F61" s="16"/>
      <c r="G61" s="17"/>
      <c r="H61" s="16"/>
      <c r="I61" s="17"/>
    </row>
    <row r="62" spans="2:9" ht="12.95" customHeight="1" x14ac:dyDescent="0.3">
      <c r="B62" s="9" t="s">
        <v>18</v>
      </c>
      <c r="C62" s="27"/>
      <c r="D62" s="27"/>
      <c r="E62" s="23"/>
      <c r="F62" s="23"/>
      <c r="G62" s="24">
        <f>SUM(G47+G54+G60)</f>
        <v>47685</v>
      </c>
      <c r="H62" s="23"/>
      <c r="I62" s="24">
        <f>SUM(I47+I54+I60)</f>
        <v>31215</v>
      </c>
    </row>
    <row r="287" spans="14:15" ht="12.95" customHeight="1" x14ac:dyDescent="0.3">
      <c r="O287" s="10"/>
    </row>
    <row r="288" spans="14:15" ht="12.95" customHeight="1" x14ac:dyDescent="0.3">
      <c r="N288" s="10"/>
      <c r="O288" s="10"/>
    </row>
    <row r="289" spans="14:15" ht="12.95" customHeight="1" x14ac:dyDescent="0.3">
      <c r="N289" s="10"/>
    </row>
    <row r="291" spans="14:15" ht="12.95" customHeight="1" x14ac:dyDescent="0.3">
      <c r="O291" s="7"/>
    </row>
    <row r="292" spans="14:15" ht="12.95" customHeight="1" x14ac:dyDescent="0.3">
      <c r="N292" s="7"/>
      <c r="O292" s="7"/>
    </row>
    <row r="293" spans="14:15" ht="12.95" customHeight="1" x14ac:dyDescent="0.3">
      <c r="N293" s="7"/>
      <c r="O293" s="7"/>
    </row>
    <row r="294" spans="14:15" ht="12.95" customHeight="1" x14ac:dyDescent="0.3">
      <c r="N294" s="7"/>
      <c r="O294" s="7"/>
    </row>
    <row r="295" spans="14:15" ht="12.95" customHeight="1" x14ac:dyDescent="0.3">
      <c r="N295" s="7"/>
      <c r="O295" s="7"/>
    </row>
    <row r="296" spans="14:15" ht="12.95" customHeight="1" x14ac:dyDescent="0.3">
      <c r="N296" s="7"/>
      <c r="O296" s="7"/>
    </row>
    <row r="297" spans="14:15" ht="12.95" customHeight="1" x14ac:dyDescent="0.3">
      <c r="N297" s="7"/>
      <c r="O297" s="7"/>
    </row>
    <row r="298" spans="14:15" ht="12.95" customHeight="1" x14ac:dyDescent="0.3">
      <c r="N298" s="7"/>
      <c r="O298" s="7"/>
    </row>
    <row r="299" spans="14:15" ht="12.95" customHeight="1" x14ac:dyDescent="0.3">
      <c r="N299" s="7"/>
      <c r="O299" s="7"/>
    </row>
    <row r="300" spans="14:15" ht="12.95" customHeight="1" x14ac:dyDescent="0.3">
      <c r="N300" s="7"/>
      <c r="O300" s="7"/>
    </row>
    <row r="301" spans="14:15" ht="12.95" customHeight="1" x14ac:dyDescent="0.3">
      <c r="N301" s="7"/>
      <c r="O301" s="7"/>
    </row>
    <row r="302" spans="14:15" ht="12.95" customHeight="1" x14ac:dyDescent="0.3">
      <c r="N302" s="7"/>
      <c r="O302" s="7"/>
    </row>
    <row r="303" spans="14:15" ht="12.95" customHeight="1" x14ac:dyDescent="0.3">
      <c r="N303" s="7"/>
      <c r="O303" s="7"/>
    </row>
    <row r="304" spans="14:15" ht="12.95" customHeight="1" x14ac:dyDescent="0.3">
      <c r="N304" s="7"/>
      <c r="O304" s="7"/>
    </row>
    <row r="305" spans="14:15" ht="12.95" customHeight="1" x14ac:dyDescent="0.3">
      <c r="N305" s="7"/>
      <c r="O305" s="7"/>
    </row>
    <row r="306" spans="14:15" ht="12.95" customHeight="1" x14ac:dyDescent="0.3">
      <c r="N306" s="7"/>
      <c r="O306" s="7"/>
    </row>
    <row r="307" spans="14:15" ht="12.95" customHeight="1" x14ac:dyDescent="0.3">
      <c r="N307" s="7"/>
      <c r="O307" s="7"/>
    </row>
    <row r="308" spans="14:15" ht="12.95" customHeight="1" x14ac:dyDescent="0.3">
      <c r="N308" s="7"/>
    </row>
  </sheetData>
  <mergeCells count="24">
    <mergeCell ref="G16:G17"/>
    <mergeCell ref="B4:B5"/>
    <mergeCell ref="C4:C5"/>
    <mergeCell ref="D4:D5"/>
    <mergeCell ref="E4:E5"/>
    <mergeCell ref="F4:F5"/>
    <mergeCell ref="G4:G5"/>
    <mergeCell ref="B16:B17"/>
    <mergeCell ref="C16:C17"/>
    <mergeCell ref="D16:D17"/>
    <mergeCell ref="E16:E17"/>
    <mergeCell ref="F16:F17"/>
    <mergeCell ref="H41:I41"/>
    <mergeCell ref="B29:B30"/>
    <mergeCell ref="C29:C30"/>
    <mergeCell ref="D29:D30"/>
    <mergeCell ref="E29:E30"/>
    <mergeCell ref="F29:G29"/>
    <mergeCell ref="H29:I29"/>
    <mergeCell ref="B41:B42"/>
    <mergeCell ref="C41:C42"/>
    <mergeCell ref="D41:D42"/>
    <mergeCell ref="E41:E42"/>
    <mergeCell ref="F41:G41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터널공사(상반기)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2026-01-01T07:59:24Z</dcterms:modified>
</cp:coreProperties>
</file>