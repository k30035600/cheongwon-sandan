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2.토목부문(2026년)\"/>
    </mc:Choice>
  </mc:AlternateContent>
  <xr:revisionPtr revIDLastSave="0" documentId="13_ncr:1_{8E3A71DB-5B4A-4C5C-A314-8A363DAC61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강구조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8" i="6" l="1"/>
  <c r="G119" i="6" s="1"/>
  <c r="G115" i="6"/>
  <c r="G114" i="6"/>
  <c r="G113" i="6"/>
  <c r="G112" i="6"/>
  <c r="G111" i="6"/>
  <c r="G107" i="6"/>
  <c r="M98" i="6"/>
  <c r="G97" i="6"/>
  <c r="I94" i="6"/>
  <c r="K93" i="6"/>
  <c r="M92" i="6"/>
  <c r="G91" i="6"/>
  <c r="I90" i="6"/>
  <c r="K89" i="6"/>
  <c r="M85" i="6"/>
  <c r="G84" i="6"/>
  <c r="I73" i="6"/>
  <c r="I74" i="6" s="1"/>
  <c r="G70" i="6"/>
  <c r="I69" i="6"/>
  <c r="G68" i="6"/>
  <c r="I64" i="6"/>
  <c r="G53" i="6"/>
  <c r="I52" i="6"/>
  <c r="G40" i="6"/>
  <c r="G41" i="6" s="1"/>
  <c r="G37" i="6"/>
  <c r="G38" i="6" s="1"/>
  <c r="G29" i="6"/>
  <c r="G30" i="6" s="1"/>
  <c r="G26" i="6"/>
  <c r="G25" i="6"/>
  <c r="G27" i="6" s="1"/>
  <c r="K16" i="6"/>
  <c r="K15" i="6"/>
  <c r="K14" i="6"/>
  <c r="M8" i="6"/>
  <c r="G7" i="6"/>
  <c r="I6" i="6"/>
  <c r="I7" i="6" l="1"/>
  <c r="I53" i="6"/>
  <c r="I49" i="6" s="1"/>
  <c r="I50" i="6" s="1"/>
  <c r="K91" i="6"/>
  <c r="I92" i="6"/>
  <c r="K94" i="6"/>
  <c r="K7" i="6"/>
  <c r="I8" i="6"/>
  <c r="I91" i="6"/>
  <c r="K8" i="6"/>
  <c r="K92" i="6"/>
  <c r="I54" i="6"/>
  <c r="K6" i="6"/>
  <c r="G52" i="6"/>
  <c r="G54" i="6" s="1"/>
  <c r="I68" i="6"/>
  <c r="I65" i="6" s="1"/>
  <c r="I66" i="6" s="1"/>
  <c r="G85" i="6"/>
  <c r="G98" i="6"/>
  <c r="G99" i="6" s="1"/>
  <c r="G43" i="6"/>
  <c r="G8" i="6"/>
  <c r="G64" i="6"/>
  <c r="I84" i="6"/>
  <c r="I85" i="6"/>
  <c r="K90" i="6"/>
  <c r="I97" i="6"/>
  <c r="I98" i="6"/>
  <c r="K84" i="6"/>
  <c r="K85" i="6"/>
  <c r="G92" i="6"/>
  <c r="K97" i="6"/>
  <c r="K98" i="6"/>
  <c r="K17" i="6"/>
  <c r="K19" i="6" s="1"/>
  <c r="G49" i="6"/>
  <c r="G50" i="6" s="1"/>
  <c r="G116" i="6"/>
  <c r="G108" i="6"/>
  <c r="G109" i="6" s="1"/>
  <c r="G121" i="6" s="1"/>
  <c r="G122" i="6" s="1"/>
  <c r="G32" i="6"/>
  <c r="I71" i="6"/>
  <c r="M93" i="6"/>
  <c r="M6" i="6"/>
  <c r="G16" i="6"/>
  <c r="G6" i="6"/>
  <c r="M7" i="6"/>
  <c r="I14" i="6"/>
  <c r="I16" i="6"/>
  <c r="G69" i="6"/>
  <c r="G71" i="6" s="1"/>
  <c r="I70" i="6"/>
  <c r="G73" i="6"/>
  <c r="G74" i="6" s="1"/>
  <c r="M84" i="6"/>
  <c r="I89" i="6"/>
  <c r="G90" i="6"/>
  <c r="M91" i="6"/>
  <c r="I93" i="6"/>
  <c r="G94" i="6"/>
  <c r="M97" i="6"/>
  <c r="M99" i="6" s="1"/>
  <c r="M89" i="6"/>
  <c r="G14" i="6"/>
  <c r="G15" i="6"/>
  <c r="G89" i="6"/>
  <c r="M90" i="6"/>
  <c r="G93" i="6"/>
  <c r="M94" i="6"/>
  <c r="I15" i="6"/>
  <c r="K95" i="6" l="1"/>
  <c r="I9" i="6"/>
  <c r="I11" i="6" s="1"/>
  <c r="K86" i="6"/>
  <c r="K87" i="6" s="1"/>
  <c r="K9" i="6"/>
  <c r="K11" i="6" s="1"/>
  <c r="G9" i="6"/>
  <c r="G11" i="6" s="1"/>
  <c r="M9" i="6"/>
  <c r="M11" i="6" s="1"/>
  <c r="I99" i="6"/>
  <c r="I56" i="6"/>
  <c r="I57" i="6" s="1"/>
  <c r="I76" i="6"/>
  <c r="I77" i="6" s="1"/>
  <c r="K99" i="6"/>
  <c r="K101" i="6" s="1"/>
  <c r="K102" i="6" s="1"/>
  <c r="G65" i="6"/>
  <c r="G66" i="6" s="1"/>
  <c r="G76" i="6" s="1"/>
  <c r="G77" i="6" s="1"/>
  <c r="M86" i="6"/>
  <c r="M87" i="6" s="1"/>
  <c r="M95" i="6"/>
  <c r="I17" i="6"/>
  <c r="I19" i="6" s="1"/>
  <c r="I95" i="6"/>
  <c r="I86" i="6"/>
  <c r="I87" i="6" s="1"/>
  <c r="G17" i="6"/>
  <c r="G19" i="6" s="1"/>
  <c r="G95" i="6"/>
  <c r="G86" i="6"/>
  <c r="G87" i="6" s="1"/>
  <c r="G56" i="6"/>
  <c r="G57" i="6" s="1"/>
  <c r="I101" i="6" l="1"/>
  <c r="I102" i="6" s="1"/>
  <c r="M101" i="6"/>
  <c r="M102" i="6" s="1"/>
  <c r="G101" i="6"/>
  <c r="G102" i="6" s="1"/>
</calcChain>
</file>

<file path=xl/sharedStrings.xml><?xml version="1.0" encoding="utf-8"?>
<sst xmlns="http://schemas.openxmlformats.org/spreadsheetml/2006/main" count="242" uniqueCount="76">
  <si>
    <t>도장공</t>
  </si>
  <si>
    <t>미장공</t>
  </si>
  <si>
    <t>보통인부</t>
  </si>
  <si>
    <t>크레인(무한궤도)</t>
  </si>
  <si>
    <t>철공</t>
  </si>
  <si>
    <t>철판공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</si>
  <si>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</si>
  <si>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</si>
  <si>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</si>
  <si>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</si>
  <si>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</si>
  <si>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</si>
  <si>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</si>
  <si>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</si>
  <si>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</si>
  <si>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합   계</t>
    <phoneticPr fontId="3" type="noConversion"/>
  </si>
  <si>
    <t>규격</t>
    <phoneticPr fontId="5" type="noConversion"/>
  </si>
  <si>
    <t>용접공</t>
  </si>
  <si>
    <t>수량</t>
    <phoneticPr fontId="3" type="noConversion"/>
  </si>
  <si>
    <t>금액</t>
    <phoneticPr fontId="3" type="noConversion"/>
  </si>
  <si>
    <t>제 5 장 강구조공사</t>
    <phoneticPr fontId="3" type="noConversion"/>
  </si>
  <si>
    <t>(ton당)</t>
    <phoneticPr fontId="3" type="noConversion"/>
  </si>
  <si>
    <t>가조립</t>
    <phoneticPr fontId="3" type="noConversion"/>
  </si>
  <si>
    <t>5-2 강교도장</t>
  </si>
  <si>
    <t>철구(Shot ball)</t>
  </si>
  <si>
    <t>무기질아연말샵프라이머</t>
  </si>
  <si>
    <t>㎏</t>
    <phoneticPr fontId="3" type="noConversion"/>
  </si>
  <si>
    <t>ℓ</t>
    <phoneticPr fontId="3" type="noConversion"/>
  </si>
  <si>
    <r>
      <t>도막두께20</t>
    </r>
    <r>
      <rPr>
        <sz val="9"/>
        <rFont val="Calibri"/>
        <family val="3"/>
        <charset val="161"/>
      </rPr>
      <t>μ</t>
    </r>
    <r>
      <rPr>
        <sz val="9"/>
        <rFont val="맑은 고딕"/>
        <family val="3"/>
        <charset val="129"/>
        <scheme val="minor"/>
      </rPr>
      <t>m</t>
    </r>
    <phoneticPr fontId="3" type="noConversion"/>
  </si>
  <si>
    <t>(㎡당)</t>
    <phoneticPr fontId="3" type="noConversion"/>
  </si>
  <si>
    <t>5-2-1 소재 표면처리</t>
    <phoneticPr fontId="3" type="noConversion"/>
  </si>
  <si>
    <t>5-2-2 제품 표면처리</t>
    <phoneticPr fontId="3" type="noConversion"/>
  </si>
  <si>
    <t>철편(Grit)</t>
  </si>
  <si>
    <t>5-2-4 도장</t>
    <phoneticPr fontId="5" type="noConversion"/>
  </si>
  <si>
    <t>공장도장</t>
    <phoneticPr fontId="3" type="noConversion"/>
  </si>
  <si>
    <t>인력품의 %</t>
    <phoneticPr fontId="3" type="noConversion"/>
  </si>
  <si>
    <t>공구손료</t>
    <phoneticPr fontId="5" type="noConversion"/>
  </si>
  <si>
    <t>현장도장</t>
    <phoneticPr fontId="3" type="noConversion"/>
  </si>
  <si>
    <t>특별인부</t>
  </si>
  <si>
    <t>절단, 용접 및 단품제작</t>
    <phoneticPr fontId="3" type="noConversion"/>
  </si>
  <si>
    <t>플레이트거더</t>
    <phoneticPr fontId="3" type="noConversion"/>
  </si>
  <si>
    <t>5-1-1 강교 기본제작공수</t>
    <phoneticPr fontId="5" type="noConversion"/>
  </si>
  <si>
    <t>박스거더</t>
    <phoneticPr fontId="3" type="noConversion"/>
  </si>
  <si>
    <t>강바닥판 플레이트거더</t>
    <phoneticPr fontId="3" type="noConversion"/>
  </si>
  <si>
    <t>강바닥판 박스거더</t>
    <phoneticPr fontId="3" type="noConversion"/>
  </si>
  <si>
    <t>트러스</t>
    <phoneticPr fontId="3" type="noConversion"/>
  </si>
  <si>
    <t>아치</t>
    <phoneticPr fontId="3" type="noConversion"/>
  </si>
  <si>
    <t>라멘</t>
    <phoneticPr fontId="3" type="noConversion"/>
  </si>
  <si>
    <t>(일당)</t>
    <phoneticPr fontId="3" type="noConversion"/>
  </si>
  <si>
    <t>인력품의 5%</t>
    <phoneticPr fontId="3" type="noConversion"/>
  </si>
  <si>
    <t>식</t>
    <phoneticPr fontId="3" type="noConversion"/>
  </si>
  <si>
    <t>도장면적(㎡)</t>
  </si>
  <si>
    <t>도장면적(㎡)</t>
    <phoneticPr fontId="3" type="noConversion"/>
  </si>
  <si>
    <t>㎡당 단가</t>
    <phoneticPr fontId="3" type="noConversion"/>
  </si>
  <si>
    <t>5-3 강재거더 가설</t>
  </si>
  <si>
    <t>hr</t>
    <phoneticPr fontId="3" type="noConversion"/>
  </si>
  <si>
    <t>경   비</t>
    <phoneticPr fontId="5" type="noConversion"/>
  </si>
  <si>
    <t>개소당 단가</t>
    <phoneticPr fontId="3" type="noConversion"/>
  </si>
  <si>
    <t>5-3-1 강재거더 지조립</t>
  </si>
  <si>
    <t>기본조립개소수(개소)</t>
    <phoneticPr fontId="3" type="noConversion"/>
  </si>
  <si>
    <t>개구제형</t>
    <phoneticPr fontId="3" type="noConversion"/>
  </si>
  <si>
    <t>폐합형</t>
    <phoneticPr fontId="3" type="noConversion"/>
  </si>
  <si>
    <t>150ton</t>
    <phoneticPr fontId="3" type="noConversion"/>
  </si>
  <si>
    <t>고소작업차</t>
    <phoneticPr fontId="3" type="noConversion"/>
  </si>
  <si>
    <t>5ton</t>
    <phoneticPr fontId="3" type="noConversion"/>
  </si>
  <si>
    <t>비계공</t>
    <phoneticPr fontId="3" type="noConversion"/>
  </si>
  <si>
    <t>가설 개수(개)</t>
    <phoneticPr fontId="3" type="noConversion"/>
  </si>
  <si>
    <t>육상</t>
    <phoneticPr fontId="3" type="noConversion"/>
  </si>
  <si>
    <t>해상</t>
    <phoneticPr fontId="3" type="noConversion"/>
  </si>
  <si>
    <t>개당 단가</t>
    <phoneticPr fontId="3" type="noConversion"/>
  </si>
  <si>
    <t>5-3-2 강재거더 가설</t>
  </si>
  <si>
    <t>설치 수량(ton)</t>
    <phoneticPr fontId="3" type="noConversion"/>
  </si>
  <si>
    <t>5-3-3 기타 부재 설치</t>
  </si>
  <si>
    <t>인력품의 6%</t>
    <phoneticPr fontId="3" type="noConversion"/>
  </si>
  <si>
    <t>ton당 단가</t>
    <phoneticPr fontId="3" type="noConversion"/>
  </si>
  <si>
    <t>5-1 강교제작(공장제작)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</si>
</sst>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0_-;\-* #,##0.00_-;_-* &quot;-&quot;_-;_-@_-"/>
    <numFmt numFmtId="182" formatCode="_-* #,##0.000_-;\-* #,##0.000_-;_-* &quot;-&quot;_-;_-@_-"/>
    <numFmt numFmtId="184" formatCode="#,##0.00_);[Red]\(#,##0.00\)"/>
    <numFmt numFmtId="185" formatCode="_-* #,##0.0_-;\-* #,##0.0_-;_-* &quot;-&quot;??_-;_-@_-"/>
    <numFmt numFmtId="186" formatCode="0.0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sz val="9"/>
      <name val="Calibri"/>
      <family val="3"/>
      <charset val="161"/>
    </font>
    <font>
      <b/>
      <sz val="8"/>
      <color indexed="10"/>
      <name val="돋움"/>
      <family val="3"/>
      <charset val="129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3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4" xfId="3" applyFont="1" applyBorder="1" applyAlignment="1">
      <alignment vertical="center" shrinkToFit="1"/>
    </xf>
    <xf numFmtId="180" fontId="9" fillId="0" borderId="6" xfId="1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7" xfId="3" applyFont="1" applyBorder="1" applyAlignment="1">
      <alignment vertical="center" shrinkToFit="1"/>
    </xf>
    <xf numFmtId="0" fontId="14" fillId="0" borderId="0" xfId="6" applyFont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5" xfId="6" applyFont="1" applyBorder="1" applyAlignment="1">
      <alignment horizontal="right" vertical="center"/>
    </xf>
    <xf numFmtId="0" fontId="9" fillId="0" borderId="4" xfId="6" applyFont="1" applyBorder="1" applyAlignment="1">
      <alignment horizontal="left" vertical="center"/>
    </xf>
    <xf numFmtId="0" fontId="10" fillId="0" borderId="9" xfId="6" applyFont="1" applyBorder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2" fillId="0" borderId="4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0" fontId="13" fillId="0" borderId="7" xfId="3" applyFont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0" fontId="12" fillId="0" borderId="0" xfId="3" applyFont="1" applyAlignment="1">
      <alignment vertical="center"/>
    </xf>
    <xf numFmtId="0" fontId="9" fillId="0" borderId="0" xfId="0" applyFont="1" applyAlignment="1">
      <alignment horizontal="left" vertical="center"/>
    </xf>
    <xf numFmtId="0" fontId="16" fillId="0" borderId="4" xfId="3" applyFont="1" applyBorder="1" applyAlignment="1">
      <alignment vertical="center"/>
    </xf>
    <xf numFmtId="0" fontId="17" fillId="0" borderId="5" xfId="3" applyFont="1" applyBorder="1" applyAlignment="1">
      <alignment vertical="center"/>
    </xf>
    <xf numFmtId="41" fontId="17" fillId="0" borderId="5" xfId="5" applyFont="1" applyFill="1" applyBorder="1" applyAlignment="1">
      <alignment vertical="center"/>
    </xf>
    <xf numFmtId="41" fontId="17" fillId="0" borderId="6" xfId="5" applyFont="1" applyFill="1" applyBorder="1" applyAlignment="1">
      <alignment vertical="center"/>
    </xf>
    <xf numFmtId="41" fontId="16" fillId="0" borderId="6" xfId="7" applyFont="1" applyFill="1" applyBorder="1" applyAlignment="1">
      <alignment vertical="center"/>
    </xf>
    <xf numFmtId="0" fontId="16" fillId="0" borderId="4" xfId="6" applyFont="1" applyBorder="1" applyAlignment="1">
      <alignment horizontal="left" vertical="center"/>
    </xf>
    <xf numFmtId="0" fontId="16" fillId="0" borderId="5" xfId="6" applyFont="1" applyBorder="1" applyAlignment="1">
      <alignment vertical="center"/>
    </xf>
    <xf numFmtId="0" fontId="18" fillId="0" borderId="5" xfId="3" applyFont="1" applyBorder="1" applyAlignment="1">
      <alignment horizontal="center" vertical="center"/>
    </xf>
    <xf numFmtId="0" fontId="18" fillId="0" borderId="5" xfId="3" applyFont="1" applyBorder="1" applyAlignment="1">
      <alignment vertical="center" shrinkToFit="1"/>
    </xf>
    <xf numFmtId="0" fontId="18" fillId="0" borderId="4" xfId="6" applyFont="1" applyBorder="1" applyAlignment="1">
      <alignment horizontal="left" vertical="center"/>
    </xf>
    <xf numFmtId="0" fontId="18" fillId="0" borderId="4" xfId="3" applyFont="1" applyBorder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9" fillId="0" borderId="9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1" fontId="9" fillId="0" borderId="5" xfId="8" applyNumberFormat="1" applyFont="1" applyBorder="1" applyAlignment="1">
      <alignment vertical="center"/>
    </xf>
    <xf numFmtId="180" fontId="9" fillId="0" borderId="0" xfId="8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41" fontId="10" fillId="0" borderId="0" xfId="8" applyFont="1" applyBorder="1" applyAlignment="1">
      <alignment vertical="center"/>
    </xf>
    <xf numFmtId="41" fontId="9" fillId="0" borderId="5" xfId="2" applyNumberFormat="1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41" fontId="10" fillId="0" borderId="8" xfId="8" applyFont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19" fillId="0" borderId="4" xfId="2" applyFont="1" applyBorder="1" applyAlignment="1">
      <alignment horizontal="left" vertical="center"/>
    </xf>
    <xf numFmtId="0" fontId="19" fillId="0" borderId="9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9" fillId="0" borderId="4" xfId="2" applyFont="1" applyBorder="1" applyAlignment="1">
      <alignment horizontal="center" vertical="center"/>
    </xf>
    <xf numFmtId="41" fontId="16" fillId="0" borderId="6" xfId="8" applyFont="1" applyBorder="1" applyAlignment="1">
      <alignment vertical="center"/>
    </xf>
    <xf numFmtId="41" fontId="10" fillId="0" borderId="5" xfId="1" applyFont="1" applyBorder="1" applyAlignment="1">
      <alignment vertical="center"/>
    </xf>
    <xf numFmtId="41" fontId="10" fillId="0" borderId="5" xfId="8" applyFont="1" applyBorder="1" applyAlignment="1">
      <alignment vertical="center"/>
    </xf>
    <xf numFmtId="0" fontId="9" fillId="0" borderId="4" xfId="2" applyFont="1" applyBorder="1" applyAlignment="1">
      <alignment horizontal="left" vertical="center" shrinkToFit="1"/>
    </xf>
    <xf numFmtId="41" fontId="11" fillId="0" borderId="5" xfId="0" applyNumberFormat="1" applyFont="1" applyBorder="1">
      <alignment vertical="center"/>
    </xf>
    <xf numFmtId="181" fontId="12" fillId="0" borderId="5" xfId="1" applyNumberFormat="1" applyFont="1" applyBorder="1" applyAlignment="1">
      <alignment vertical="center"/>
    </xf>
    <xf numFmtId="182" fontId="9" fillId="0" borderId="5" xfId="8" applyNumberFormat="1" applyFont="1" applyBorder="1" applyAlignment="1">
      <alignment vertical="center"/>
    </xf>
    <xf numFmtId="182" fontId="10" fillId="0" borderId="5" xfId="8" applyNumberFormat="1" applyFont="1" applyBorder="1" applyAlignment="1">
      <alignment vertical="center"/>
    </xf>
    <xf numFmtId="0" fontId="12" fillId="0" borderId="3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41" fontId="9" fillId="0" borderId="5" xfId="1" applyFont="1" applyFill="1" applyBorder="1" applyAlignment="1">
      <alignment vertical="center"/>
    </xf>
    <xf numFmtId="41" fontId="18" fillId="0" borderId="5" xfId="0" applyNumberFormat="1" applyFont="1" applyBorder="1">
      <alignment vertical="center"/>
    </xf>
    <xf numFmtId="184" fontId="21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12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8" xfId="6" applyFont="1" applyBorder="1" applyAlignment="1">
      <alignment horizontal="center" vertical="center"/>
    </xf>
    <xf numFmtId="41" fontId="9" fillId="0" borderId="5" xfId="8" applyFont="1" applyFill="1" applyBorder="1" applyAlignment="1">
      <alignment vertical="center"/>
    </xf>
    <xf numFmtId="185" fontId="9" fillId="0" borderId="6" xfId="7" applyNumberFormat="1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6" fillId="0" borderId="5" xfId="0" applyFont="1" applyBorder="1">
      <alignment vertical="center"/>
    </xf>
    <xf numFmtId="180" fontId="16" fillId="0" borderId="5" xfId="1" applyNumberFormat="1" applyFont="1" applyFill="1" applyBorder="1" applyAlignment="1">
      <alignment vertical="center"/>
    </xf>
    <xf numFmtId="41" fontId="16" fillId="0" borderId="6" xfId="1" applyFont="1" applyFill="1" applyBorder="1" applyAlignment="1">
      <alignment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180" fontId="9" fillId="0" borderId="5" xfId="1" applyNumberFormat="1" applyFont="1" applyFill="1" applyBorder="1" applyAlignment="1">
      <alignment vertical="center"/>
    </xf>
    <xf numFmtId="180" fontId="9" fillId="0" borderId="6" xfId="1" applyNumberFormat="1" applyFont="1" applyFill="1" applyBorder="1" applyAlignment="1">
      <alignment vertical="center"/>
    </xf>
    <xf numFmtId="41" fontId="11" fillId="0" borderId="5" xfId="1" applyFont="1" applyFill="1" applyBorder="1">
      <alignment vertical="center"/>
    </xf>
    <xf numFmtId="0" fontId="10" fillId="0" borderId="4" xfId="6" applyFont="1" applyBorder="1" applyAlignment="1">
      <alignment horizontal="left" vertical="center"/>
    </xf>
    <xf numFmtId="0" fontId="10" fillId="0" borderId="5" xfId="2" applyFont="1" applyBorder="1" applyAlignment="1">
      <alignment vertical="center"/>
    </xf>
    <xf numFmtId="41" fontId="10" fillId="0" borderId="6" xfId="8" applyFont="1" applyBorder="1" applyAlignment="1">
      <alignment vertical="center"/>
    </xf>
    <xf numFmtId="0" fontId="9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horizontal="center" vertical="center"/>
    </xf>
    <xf numFmtId="0" fontId="22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41" fontId="10" fillId="0" borderId="8" xfId="7" applyFont="1" applyFill="1" applyBorder="1" applyAlignment="1">
      <alignment horizontal="center" vertical="center"/>
    </xf>
    <xf numFmtId="0" fontId="9" fillId="0" borderId="3" xfId="6" applyFont="1" applyBorder="1" applyAlignment="1">
      <alignment horizontal="center" vertical="center" shrinkToFit="1"/>
    </xf>
    <xf numFmtId="3" fontId="9" fillId="0" borderId="11" xfId="6" applyNumberFormat="1" applyFont="1" applyBorder="1" applyAlignment="1">
      <alignment horizontal="center" vertical="center" wrapText="1"/>
    </xf>
    <xf numFmtId="41" fontId="11" fillId="0" borderId="5" xfId="1" applyFont="1" applyFill="1" applyBorder="1" applyAlignment="1">
      <alignment horizontal="center" vertical="center"/>
    </xf>
    <xf numFmtId="181" fontId="9" fillId="0" borderId="5" xfId="8" applyNumberFormat="1" applyFont="1" applyFill="1" applyBorder="1" applyAlignment="1">
      <alignment vertical="center"/>
    </xf>
    <xf numFmtId="0" fontId="9" fillId="0" borderId="5" xfId="6" applyFont="1" applyBorder="1" applyAlignment="1">
      <alignment vertical="center"/>
    </xf>
    <xf numFmtId="0" fontId="9" fillId="0" borderId="6" xfId="6" applyFont="1" applyBorder="1" applyAlignment="1">
      <alignment vertical="center"/>
    </xf>
    <xf numFmtId="41" fontId="11" fillId="0" borderId="6" xfId="0" applyNumberFormat="1" applyFont="1" applyBorder="1">
      <alignment vertical="center"/>
    </xf>
    <xf numFmtId="41" fontId="16" fillId="0" borderId="5" xfId="7" applyFont="1" applyFill="1" applyBorder="1" applyAlignment="1">
      <alignment vertical="center"/>
    </xf>
    <xf numFmtId="0" fontId="22" fillId="0" borderId="5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41" fontId="10" fillId="0" borderId="6" xfId="7" applyFont="1" applyFill="1" applyBorder="1" applyAlignment="1">
      <alignment horizontal="center" vertical="center"/>
    </xf>
    <xf numFmtId="186" fontId="9" fillId="0" borderId="11" xfId="6" applyNumberFormat="1" applyFont="1" applyBorder="1" applyAlignment="1">
      <alignment horizontal="center" vertical="center" shrinkToFit="1"/>
    </xf>
    <xf numFmtId="0" fontId="12" fillId="0" borderId="1" xfId="3" applyFont="1" applyBorder="1" applyAlignment="1">
      <alignment horizontal="center" vertical="center" shrinkToFit="1"/>
    </xf>
    <xf numFmtId="0" fontId="12" fillId="0" borderId="3" xfId="3" applyFont="1" applyBorder="1" applyAlignment="1">
      <alignment horizontal="center" vertical="center" shrinkToFit="1"/>
    </xf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shrinkToFit="1"/>
    </xf>
    <xf numFmtId="0" fontId="9" fillId="0" borderId="11" xfId="6" applyFont="1" applyBorder="1" applyAlignment="1">
      <alignment horizontal="center" vertical="center" shrinkToFit="1"/>
    </xf>
    <xf numFmtId="0" fontId="9" fillId="0" borderId="12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wrapText="1"/>
    </xf>
    <xf numFmtId="0" fontId="9" fillId="0" borderId="2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7427-8638-4EC3-BF00-06B70CDF333C}">
  <sheetPr>
    <pageSetUpPr fitToPage="1"/>
  </sheetPr>
  <dimension ref="A1:O308"/>
  <sheetViews>
    <sheetView tabSelected="1" zoomScaleNormal="100" workbookViewId="0">
      <selection activeCell="L27" sqref="L27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6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3" ht="12.95" customHeight="1" x14ac:dyDescent="0.3">
      <c r="A1" s="70"/>
      <c r="B1" s="9" t="s">
        <v>20</v>
      </c>
      <c r="C1" s="5"/>
      <c r="D1" s="1"/>
    </row>
    <row r="2" spans="1:13" ht="12.95" customHeight="1" x14ac:dyDescent="0.15">
      <c r="A2" s="71"/>
      <c r="B2" s="1" t="s">
        <v>75</v>
      </c>
    </row>
    <row r="3" spans="1:13" ht="12.95" customHeight="1" x14ac:dyDescent="0.3">
      <c r="B3" s="17" t="s">
        <v>41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39" t="s">
        <v>21</v>
      </c>
    </row>
    <row r="4" spans="1:13" ht="12.95" customHeight="1" x14ac:dyDescent="0.3">
      <c r="B4" s="113" t="s">
        <v>6</v>
      </c>
      <c r="C4" s="114" t="s">
        <v>10</v>
      </c>
      <c r="D4" s="115" t="s">
        <v>11</v>
      </c>
      <c r="E4" s="116" t="s">
        <v>7</v>
      </c>
      <c r="F4" s="111" t="s">
        <v>40</v>
      </c>
      <c r="G4" s="112"/>
      <c r="H4" s="111" t="s">
        <v>42</v>
      </c>
      <c r="I4" s="112"/>
      <c r="J4" s="111" t="s">
        <v>43</v>
      </c>
      <c r="K4" s="112"/>
      <c r="L4" s="111" t="s">
        <v>44</v>
      </c>
      <c r="M4" s="112"/>
    </row>
    <row r="5" spans="1:13" ht="12.95" customHeight="1" x14ac:dyDescent="0.3">
      <c r="B5" s="113"/>
      <c r="C5" s="114"/>
      <c r="D5" s="115"/>
      <c r="E5" s="116"/>
      <c r="F5" s="67" t="s">
        <v>8</v>
      </c>
      <c r="G5" s="66" t="s">
        <v>9</v>
      </c>
      <c r="H5" s="67" t="s">
        <v>8</v>
      </c>
      <c r="I5" s="66" t="s">
        <v>9</v>
      </c>
      <c r="J5" s="67" t="s">
        <v>8</v>
      </c>
      <c r="K5" s="66" t="s">
        <v>9</v>
      </c>
      <c r="L5" s="67" t="s">
        <v>8</v>
      </c>
      <c r="M5" s="66" t="s">
        <v>9</v>
      </c>
    </row>
    <row r="6" spans="1:13" ht="12.95" customHeight="1" x14ac:dyDescent="0.3">
      <c r="B6" s="18" t="s">
        <v>5</v>
      </c>
      <c r="C6" s="10" t="s">
        <v>39</v>
      </c>
      <c r="D6" s="4" t="s">
        <v>12</v>
      </c>
      <c r="E6" s="62">
        <v>221481</v>
      </c>
      <c r="F6" s="63">
        <v>1.02</v>
      </c>
      <c r="G6" s="3">
        <f t="shared" ref="G6:G8" si="0">TRUNC($E6*F6,1)</f>
        <v>225910.6</v>
      </c>
      <c r="H6" s="63">
        <v>0.95</v>
      </c>
      <c r="I6" s="8">
        <f>TRUNC($E6*H6,1)</f>
        <v>210406.9</v>
      </c>
      <c r="J6" s="63">
        <v>2</v>
      </c>
      <c r="K6" s="3">
        <f t="shared" ref="K6:K8" si="1">TRUNC($E6*J6,1)</f>
        <v>442962</v>
      </c>
      <c r="L6" s="63">
        <v>1.87</v>
      </c>
      <c r="M6" s="8">
        <f t="shared" ref="M6:M8" si="2">TRUNC($E6*L6,1)</f>
        <v>414169.4</v>
      </c>
    </row>
    <row r="7" spans="1:13" ht="12.95" customHeight="1" x14ac:dyDescent="0.3">
      <c r="B7" s="18" t="s">
        <v>17</v>
      </c>
      <c r="C7" s="10" t="s">
        <v>39</v>
      </c>
      <c r="D7" s="4" t="s">
        <v>12</v>
      </c>
      <c r="E7" s="62">
        <v>282536</v>
      </c>
      <c r="F7" s="63">
        <v>1.62</v>
      </c>
      <c r="G7" s="3">
        <f t="shared" si="0"/>
        <v>457708.3</v>
      </c>
      <c r="H7" s="63">
        <v>1.62</v>
      </c>
      <c r="I7" s="8">
        <f>TRUNC($E7*H7,1)</f>
        <v>457708.3</v>
      </c>
      <c r="J7" s="63">
        <v>1.28</v>
      </c>
      <c r="K7" s="3">
        <f t="shared" si="1"/>
        <v>361646</v>
      </c>
      <c r="L7" s="63">
        <v>1.28</v>
      </c>
      <c r="M7" s="8">
        <f t="shared" si="2"/>
        <v>361646</v>
      </c>
    </row>
    <row r="8" spans="1:13" ht="12.95" customHeight="1" x14ac:dyDescent="0.3">
      <c r="B8" s="18" t="s">
        <v>4</v>
      </c>
      <c r="C8" s="10" t="s">
        <v>22</v>
      </c>
      <c r="D8" s="4" t="s">
        <v>12</v>
      </c>
      <c r="E8" s="62">
        <v>239808</v>
      </c>
      <c r="F8" s="63">
        <v>0.97</v>
      </c>
      <c r="G8" s="3">
        <f t="shared" si="0"/>
        <v>232613.7</v>
      </c>
      <c r="H8" s="63">
        <v>1.1599999999999999</v>
      </c>
      <c r="I8" s="8">
        <f t="shared" ref="I8" si="3">TRUNC($E8*H8,1)</f>
        <v>278177.2</v>
      </c>
      <c r="J8" s="63">
        <v>1.19</v>
      </c>
      <c r="K8" s="3">
        <f t="shared" si="1"/>
        <v>285371.5</v>
      </c>
      <c r="L8" s="63">
        <v>1.42</v>
      </c>
      <c r="M8" s="8">
        <f t="shared" si="2"/>
        <v>340527.3</v>
      </c>
    </row>
    <row r="9" spans="1:13" ht="12.95" customHeight="1" x14ac:dyDescent="0.3">
      <c r="B9" s="28" t="s">
        <v>14</v>
      </c>
      <c r="C9" s="36"/>
      <c r="D9" s="38"/>
      <c r="E9" s="29"/>
      <c r="F9" s="29"/>
      <c r="G9" s="30">
        <f>TRUNC(SUM(G6:G8))</f>
        <v>916232</v>
      </c>
      <c r="H9" s="29"/>
      <c r="I9" s="31">
        <f>TRUNC(SUM(I6:I8))</f>
        <v>946292</v>
      </c>
      <c r="J9" s="29"/>
      <c r="K9" s="30">
        <f>TRUNC(SUM(K6:K8))</f>
        <v>1089979</v>
      </c>
      <c r="L9" s="29"/>
      <c r="M9" s="31">
        <f>TRUNC(SUM(M6:M8))</f>
        <v>1116342</v>
      </c>
    </row>
    <row r="10" spans="1:13" ht="12.95" customHeight="1" x14ac:dyDescent="0.3">
      <c r="B10" s="19"/>
      <c r="C10" s="10"/>
      <c r="D10" s="4"/>
      <c r="E10" s="20"/>
      <c r="F10" s="20"/>
      <c r="G10" s="21"/>
      <c r="H10" s="20"/>
      <c r="I10" s="22"/>
      <c r="J10" s="20"/>
      <c r="K10" s="21"/>
      <c r="L10" s="20"/>
      <c r="M10" s="22"/>
    </row>
    <row r="11" spans="1:13" ht="12.95" customHeight="1" x14ac:dyDescent="0.3">
      <c r="B11" s="16" t="s">
        <v>15</v>
      </c>
      <c r="C11" s="11"/>
      <c r="D11" s="40"/>
      <c r="E11" s="23"/>
      <c r="F11" s="23"/>
      <c r="G11" s="24">
        <f>SUM(G9)</f>
        <v>916232</v>
      </c>
      <c r="H11" s="23"/>
      <c r="I11" s="24">
        <f>SUM(I9)</f>
        <v>946292</v>
      </c>
      <c r="J11" s="23"/>
      <c r="K11" s="24">
        <f>SUM(K9)</f>
        <v>1089979</v>
      </c>
      <c r="L11" s="23"/>
      <c r="M11" s="24">
        <f>SUM(M9)</f>
        <v>1116342</v>
      </c>
    </row>
    <row r="12" spans="1:13" ht="12.95" customHeight="1" x14ac:dyDescent="0.3">
      <c r="B12" s="113" t="s">
        <v>6</v>
      </c>
      <c r="C12" s="114" t="s">
        <v>10</v>
      </c>
      <c r="D12" s="115" t="s">
        <v>11</v>
      </c>
      <c r="E12" s="116" t="s">
        <v>7</v>
      </c>
      <c r="F12" s="111" t="s">
        <v>45</v>
      </c>
      <c r="G12" s="112"/>
      <c r="H12" s="111" t="s">
        <v>46</v>
      </c>
      <c r="I12" s="112"/>
      <c r="J12" s="111" t="s">
        <v>47</v>
      </c>
      <c r="K12" s="112"/>
    </row>
    <row r="13" spans="1:13" ht="12.95" customHeight="1" x14ac:dyDescent="0.3">
      <c r="B13" s="113"/>
      <c r="C13" s="114"/>
      <c r="D13" s="115"/>
      <c r="E13" s="116"/>
      <c r="F13" s="67" t="s">
        <v>8</v>
      </c>
      <c r="G13" s="66" t="s">
        <v>9</v>
      </c>
      <c r="H13" s="67" t="s">
        <v>8</v>
      </c>
      <c r="I13" s="66" t="s">
        <v>9</v>
      </c>
      <c r="J13" s="67" t="s">
        <v>8</v>
      </c>
      <c r="K13" s="66" t="s">
        <v>9</v>
      </c>
      <c r="M13" s="43"/>
    </row>
    <row r="14" spans="1:13" ht="12.95" customHeight="1" x14ac:dyDescent="0.3">
      <c r="B14" s="18" t="s">
        <v>5</v>
      </c>
      <c r="C14" s="10" t="s">
        <v>39</v>
      </c>
      <c r="D14" s="4" t="s">
        <v>12</v>
      </c>
      <c r="E14" s="62">
        <v>221481</v>
      </c>
      <c r="F14" s="63">
        <v>1.4</v>
      </c>
      <c r="G14" s="3">
        <f t="shared" ref="G14:G16" si="4">TRUNC($E14*F14,1)</f>
        <v>310073.40000000002</v>
      </c>
      <c r="H14" s="63">
        <v>2.2599999999999998</v>
      </c>
      <c r="I14" s="8">
        <f>TRUNC($E14*H14,1)</f>
        <v>500547</v>
      </c>
      <c r="J14" s="63">
        <v>2.36</v>
      </c>
      <c r="K14" s="8">
        <f t="shared" ref="K14:K16" si="5">TRUNC($E14*J14,1)</f>
        <v>522695.1</v>
      </c>
      <c r="L14" s="43"/>
      <c r="M14" s="43"/>
    </row>
    <row r="15" spans="1:13" ht="12.95" customHeight="1" x14ac:dyDescent="0.3">
      <c r="B15" s="18" t="s">
        <v>17</v>
      </c>
      <c r="C15" s="10" t="s">
        <v>39</v>
      </c>
      <c r="D15" s="4" t="s">
        <v>12</v>
      </c>
      <c r="E15" s="62">
        <v>282536</v>
      </c>
      <c r="F15" s="63">
        <v>0.98</v>
      </c>
      <c r="G15" s="3">
        <f t="shared" si="4"/>
        <v>276885.2</v>
      </c>
      <c r="H15" s="63">
        <v>1.3</v>
      </c>
      <c r="I15" s="8">
        <f>TRUNC($E15*H15,1)</f>
        <v>367296.8</v>
      </c>
      <c r="J15" s="63">
        <v>1.31</v>
      </c>
      <c r="K15" s="8">
        <f t="shared" si="5"/>
        <v>370122.1</v>
      </c>
      <c r="L15" s="43"/>
      <c r="M15" s="43"/>
    </row>
    <row r="16" spans="1:13" ht="12.95" customHeight="1" x14ac:dyDescent="0.3">
      <c r="B16" s="18" t="s">
        <v>4</v>
      </c>
      <c r="C16" s="10" t="s">
        <v>22</v>
      </c>
      <c r="D16" s="4" t="s">
        <v>12</v>
      </c>
      <c r="E16" s="62">
        <v>239808</v>
      </c>
      <c r="F16" s="63">
        <v>1.08</v>
      </c>
      <c r="G16" s="3">
        <f t="shared" si="4"/>
        <v>258992.6</v>
      </c>
      <c r="H16" s="63">
        <v>1.6</v>
      </c>
      <c r="I16" s="8">
        <f t="shared" ref="I16" si="6">TRUNC($E16*H16,1)</f>
        <v>383692.79999999999</v>
      </c>
      <c r="J16" s="63">
        <v>1.65</v>
      </c>
      <c r="K16" s="8">
        <f t="shared" si="5"/>
        <v>395683.2</v>
      </c>
      <c r="L16" s="43"/>
      <c r="M16" s="43"/>
    </row>
    <row r="17" spans="2:15" ht="12.95" customHeight="1" x14ac:dyDescent="0.3">
      <c r="B17" s="28" t="s">
        <v>14</v>
      </c>
      <c r="C17" s="36"/>
      <c r="D17" s="38"/>
      <c r="E17" s="29"/>
      <c r="F17" s="29"/>
      <c r="G17" s="30">
        <f>TRUNC(SUM(G14:G16))</f>
        <v>845951</v>
      </c>
      <c r="H17" s="29"/>
      <c r="I17" s="31">
        <f>TRUNC(SUM(I14:I16))</f>
        <v>1251536</v>
      </c>
      <c r="J17" s="29"/>
      <c r="K17" s="31">
        <f>TRUNC(SUM(K14:K16))</f>
        <v>1288500</v>
      </c>
      <c r="L17" s="43"/>
      <c r="M17" s="43"/>
    </row>
    <row r="18" spans="2:15" ht="12.95" customHeight="1" x14ac:dyDescent="0.3">
      <c r="B18" s="19"/>
      <c r="C18" s="10"/>
      <c r="D18" s="4"/>
      <c r="E18" s="20"/>
      <c r="F18" s="20"/>
      <c r="G18" s="21"/>
      <c r="H18" s="20"/>
      <c r="I18" s="22"/>
      <c r="J18" s="20"/>
      <c r="K18" s="22"/>
      <c r="L18" s="43"/>
      <c r="M18" s="43"/>
    </row>
    <row r="19" spans="2:15" ht="12.95" customHeight="1" x14ac:dyDescent="0.3">
      <c r="B19" s="16" t="s">
        <v>15</v>
      </c>
      <c r="C19" s="11"/>
      <c r="D19" s="40"/>
      <c r="E19" s="23"/>
      <c r="F19" s="23"/>
      <c r="G19" s="24">
        <f>SUM(G17)</f>
        <v>845951</v>
      </c>
      <c r="H19" s="23"/>
      <c r="I19" s="24">
        <f>SUM(I17)</f>
        <v>1251536</v>
      </c>
      <c r="J19" s="23"/>
      <c r="K19" s="24">
        <f>SUM(K17)</f>
        <v>1288500</v>
      </c>
      <c r="L19" s="43"/>
      <c r="M19" s="43"/>
    </row>
    <row r="20" spans="2:15" ht="12.95" customHeight="1" x14ac:dyDescent="0.3">
      <c r="N20" s="43"/>
      <c r="O20" s="43"/>
    </row>
    <row r="21" spans="2:15" ht="12.95" customHeight="1" x14ac:dyDescent="0.3">
      <c r="B21" s="1" t="s">
        <v>23</v>
      </c>
      <c r="N21" s="43"/>
      <c r="O21" s="43"/>
    </row>
    <row r="22" spans="2:15" ht="12.95" customHeight="1" x14ac:dyDescent="0.3">
      <c r="B22" s="54" t="s">
        <v>30</v>
      </c>
      <c r="C22" s="55"/>
      <c r="D22" s="42"/>
      <c r="E22" s="56"/>
      <c r="F22" s="42"/>
      <c r="G22" s="39" t="s">
        <v>29</v>
      </c>
      <c r="H22" s="42"/>
      <c r="I22" s="42"/>
      <c r="J22" s="42"/>
      <c r="K22" s="43"/>
      <c r="L22" s="43"/>
      <c r="N22" s="43"/>
      <c r="O22" s="43"/>
    </row>
    <row r="23" spans="2:15" ht="12.95" customHeight="1" x14ac:dyDescent="0.3">
      <c r="B23" s="118" t="s">
        <v>6</v>
      </c>
      <c r="C23" s="119" t="s">
        <v>16</v>
      </c>
      <c r="D23" s="120" t="s">
        <v>11</v>
      </c>
      <c r="E23" s="121" t="s">
        <v>7</v>
      </c>
      <c r="F23" s="120" t="s">
        <v>18</v>
      </c>
      <c r="G23" s="117" t="s">
        <v>19</v>
      </c>
      <c r="H23" s="43"/>
      <c r="I23" s="43"/>
      <c r="J23" s="43"/>
      <c r="K23" s="43"/>
      <c r="L23" s="43"/>
      <c r="N23" s="43"/>
      <c r="O23" s="43"/>
    </row>
    <row r="24" spans="2:15" ht="12.95" customHeight="1" x14ac:dyDescent="0.3">
      <c r="B24" s="118"/>
      <c r="C24" s="119"/>
      <c r="D24" s="120"/>
      <c r="E24" s="121"/>
      <c r="F24" s="120"/>
      <c r="G24" s="117"/>
      <c r="H24" s="43"/>
      <c r="I24" s="43"/>
      <c r="J24" s="43"/>
      <c r="K24" s="43"/>
      <c r="L24" s="43"/>
    </row>
    <row r="25" spans="2:15" ht="12.95" customHeight="1" x14ac:dyDescent="0.3">
      <c r="B25" s="46" t="s">
        <v>24</v>
      </c>
      <c r="C25" s="46"/>
      <c r="D25" s="57" t="s">
        <v>26</v>
      </c>
      <c r="E25" s="68">
        <v>0</v>
      </c>
      <c r="F25" s="64">
        <v>0.127</v>
      </c>
      <c r="G25" s="8">
        <f t="shared" ref="G25:G26" si="7">TRUNC($E25*F25,1)</f>
        <v>0</v>
      </c>
      <c r="H25" s="43"/>
      <c r="I25" s="43"/>
      <c r="J25" s="43"/>
      <c r="K25" s="43"/>
      <c r="L25" s="43"/>
    </row>
    <row r="26" spans="2:15" ht="12.95" customHeight="1" x14ac:dyDescent="0.3">
      <c r="B26" s="61" t="s">
        <v>25</v>
      </c>
      <c r="C26" s="46" t="s">
        <v>28</v>
      </c>
      <c r="D26" s="57" t="s">
        <v>27</v>
      </c>
      <c r="E26" s="68">
        <v>0</v>
      </c>
      <c r="F26" s="64">
        <v>0.157</v>
      </c>
      <c r="G26" s="8">
        <f t="shared" si="7"/>
        <v>0</v>
      </c>
      <c r="H26" s="43"/>
      <c r="I26" s="43"/>
      <c r="J26" s="43"/>
      <c r="K26" s="43"/>
      <c r="L26" s="43"/>
    </row>
    <row r="27" spans="2:15" ht="12.95" customHeight="1" x14ac:dyDescent="0.3">
      <c r="B27" s="33" t="s">
        <v>13</v>
      </c>
      <c r="C27" s="52"/>
      <c r="D27" s="52"/>
      <c r="E27" s="59"/>
      <c r="F27" s="65"/>
      <c r="G27" s="58">
        <f>TRUNC(SUM(G25:G26))</f>
        <v>0</v>
      </c>
      <c r="H27" s="43"/>
      <c r="I27" s="43"/>
      <c r="J27" s="43"/>
      <c r="K27" s="43"/>
      <c r="L27" s="43"/>
    </row>
    <row r="28" spans="2:15" ht="12.95" customHeight="1" x14ac:dyDescent="0.3">
      <c r="B28" s="51"/>
      <c r="C28" s="52"/>
      <c r="D28" s="52"/>
      <c r="E28" s="59"/>
      <c r="F28" s="65"/>
      <c r="G28" s="47"/>
      <c r="H28" s="43"/>
      <c r="I28" s="43"/>
      <c r="J28" s="43"/>
      <c r="K28" s="43"/>
      <c r="L28" s="43"/>
    </row>
    <row r="29" spans="2:15" ht="12.95" customHeight="1" x14ac:dyDescent="0.3">
      <c r="B29" s="18" t="s">
        <v>0</v>
      </c>
      <c r="C29" s="10"/>
      <c r="D29" s="4" t="s">
        <v>12</v>
      </c>
      <c r="E29" s="69">
        <v>263017</v>
      </c>
      <c r="F29" s="64">
        <v>1.0999999999999999E-2</v>
      </c>
      <c r="G29" s="8">
        <f t="shared" ref="G29" si="8">TRUNC($E29*F29,1)</f>
        <v>2893.1</v>
      </c>
      <c r="H29" s="43"/>
      <c r="I29" s="43"/>
      <c r="J29" s="43"/>
      <c r="K29" s="43"/>
      <c r="L29" s="43"/>
    </row>
    <row r="30" spans="2:15" ht="12.95" customHeight="1" x14ac:dyDescent="0.3">
      <c r="B30" s="28" t="s">
        <v>14</v>
      </c>
      <c r="C30" s="52"/>
      <c r="D30" s="52"/>
      <c r="E30" s="59"/>
      <c r="F30" s="60"/>
      <c r="G30" s="58">
        <f>TRUNC(SUM(G29:G29))</f>
        <v>2893</v>
      </c>
      <c r="H30" s="43"/>
      <c r="I30" s="43"/>
      <c r="J30" s="43"/>
    </row>
    <row r="31" spans="2:15" ht="12.95" customHeight="1" x14ac:dyDescent="0.3">
      <c r="B31" s="15"/>
      <c r="C31" s="46"/>
      <c r="D31" s="46"/>
      <c r="E31" s="48"/>
      <c r="F31" s="44"/>
      <c r="G31" s="45"/>
      <c r="H31" s="43"/>
      <c r="I31" s="43"/>
      <c r="J31" s="43"/>
    </row>
    <row r="32" spans="2:15" ht="12.95" customHeight="1" x14ac:dyDescent="0.3">
      <c r="B32" s="16" t="s">
        <v>15</v>
      </c>
      <c r="C32" s="53"/>
      <c r="D32" s="53"/>
      <c r="E32" s="49"/>
      <c r="F32" s="49"/>
      <c r="G32" s="50">
        <f>SUM(G27+G30)</f>
        <v>2893</v>
      </c>
      <c r="H32" s="43"/>
      <c r="I32" s="43"/>
      <c r="J32" s="43"/>
    </row>
    <row r="33" spans="2:12" ht="12.95" customHeight="1" x14ac:dyDescent="0.3">
      <c r="B33" s="27"/>
      <c r="C33" s="43"/>
      <c r="D33" s="43"/>
      <c r="E33" s="43"/>
      <c r="F33" s="43"/>
      <c r="G33" s="43"/>
      <c r="H33" s="43"/>
      <c r="I33" s="43"/>
      <c r="J33" s="43"/>
    </row>
    <row r="34" spans="2:12" ht="12.95" customHeight="1" x14ac:dyDescent="0.3">
      <c r="B34" s="54" t="s">
        <v>31</v>
      </c>
      <c r="C34" s="55"/>
      <c r="D34" s="42"/>
      <c r="E34" s="56"/>
      <c r="F34" s="42"/>
      <c r="G34" s="39" t="s">
        <v>29</v>
      </c>
      <c r="H34" s="42"/>
      <c r="I34" s="42"/>
      <c r="J34" s="42"/>
      <c r="K34" s="43"/>
      <c r="L34" s="43"/>
    </row>
    <row r="35" spans="2:12" ht="12.95" customHeight="1" x14ac:dyDescent="0.3">
      <c r="B35" s="118" t="s">
        <v>6</v>
      </c>
      <c r="C35" s="119" t="s">
        <v>16</v>
      </c>
      <c r="D35" s="120" t="s">
        <v>11</v>
      </c>
      <c r="E35" s="121" t="s">
        <v>7</v>
      </c>
      <c r="F35" s="120" t="s">
        <v>18</v>
      </c>
      <c r="G35" s="117" t="s">
        <v>19</v>
      </c>
      <c r="H35" s="43"/>
      <c r="I35" s="43"/>
      <c r="J35" s="43"/>
      <c r="K35" s="43"/>
      <c r="L35" s="43"/>
    </row>
    <row r="36" spans="2:12" ht="12.95" customHeight="1" x14ac:dyDescent="0.3">
      <c r="B36" s="118"/>
      <c r="C36" s="119"/>
      <c r="D36" s="120"/>
      <c r="E36" s="121"/>
      <c r="F36" s="120"/>
      <c r="G36" s="117"/>
      <c r="H36" s="43"/>
      <c r="I36" s="43"/>
      <c r="J36" s="43"/>
      <c r="K36" s="43"/>
      <c r="L36" s="43"/>
    </row>
    <row r="37" spans="2:12" ht="12.95" customHeight="1" x14ac:dyDescent="0.3">
      <c r="B37" s="46" t="s">
        <v>32</v>
      </c>
      <c r="C37" s="46"/>
      <c r="D37" s="57" t="s">
        <v>26</v>
      </c>
      <c r="E37" s="68">
        <v>0</v>
      </c>
      <c r="F37" s="64">
        <v>0.245</v>
      </c>
      <c r="G37" s="8">
        <f t="shared" ref="G37" si="9">TRUNC($E37*F37,1)</f>
        <v>0</v>
      </c>
      <c r="H37" s="43"/>
      <c r="I37" s="43"/>
      <c r="J37" s="43"/>
      <c r="K37" s="43"/>
      <c r="L37" s="43"/>
    </row>
    <row r="38" spans="2:12" ht="12.95" customHeight="1" x14ac:dyDescent="0.3">
      <c r="B38" s="33" t="s">
        <v>13</v>
      </c>
      <c r="C38" s="52"/>
      <c r="D38" s="52"/>
      <c r="E38" s="59"/>
      <c r="F38" s="65"/>
      <c r="G38" s="58">
        <f>TRUNC(SUM(G37:G37))</f>
        <v>0</v>
      </c>
      <c r="H38" s="43"/>
      <c r="I38" s="43"/>
      <c r="J38" s="43"/>
      <c r="K38" s="43"/>
      <c r="L38" s="43"/>
    </row>
    <row r="39" spans="2:12" ht="12.95" customHeight="1" x14ac:dyDescent="0.3">
      <c r="B39" s="51"/>
      <c r="C39" s="52"/>
      <c r="D39" s="52"/>
      <c r="E39" s="59"/>
      <c r="F39" s="65"/>
      <c r="G39" s="47"/>
      <c r="H39" s="43"/>
      <c r="I39" s="43"/>
      <c r="J39" s="43"/>
      <c r="K39" s="43"/>
      <c r="L39" s="43"/>
    </row>
    <row r="40" spans="2:12" ht="12.95" customHeight="1" x14ac:dyDescent="0.3">
      <c r="B40" s="18" t="s">
        <v>0</v>
      </c>
      <c r="C40" s="10"/>
      <c r="D40" s="4" t="s">
        <v>12</v>
      </c>
      <c r="E40" s="62">
        <v>263017</v>
      </c>
      <c r="F40" s="64">
        <v>3.1E-2</v>
      </c>
      <c r="G40" s="8">
        <f t="shared" ref="G40" si="10">TRUNC($E40*F40,1)</f>
        <v>8153.5</v>
      </c>
      <c r="H40" s="43"/>
      <c r="I40" s="43"/>
      <c r="J40" s="43"/>
      <c r="K40" s="43"/>
      <c r="L40" s="43"/>
    </row>
    <row r="41" spans="2:12" ht="12.95" customHeight="1" x14ac:dyDescent="0.3">
      <c r="B41" s="28" t="s">
        <v>14</v>
      </c>
      <c r="C41" s="52"/>
      <c r="D41" s="52"/>
      <c r="E41" s="59"/>
      <c r="F41" s="60"/>
      <c r="G41" s="58">
        <f>TRUNC(SUM(G40:G40))</f>
        <v>8153</v>
      </c>
      <c r="H41" s="43"/>
      <c r="I41" s="43"/>
      <c r="J41" s="43"/>
    </row>
    <row r="42" spans="2:12" ht="12.95" customHeight="1" x14ac:dyDescent="0.3">
      <c r="B42" s="15"/>
      <c r="C42" s="46"/>
      <c r="D42" s="46"/>
      <c r="E42" s="48"/>
      <c r="F42" s="44"/>
      <c r="G42" s="45"/>
      <c r="H42" s="43"/>
      <c r="I42" s="43"/>
      <c r="J42" s="43"/>
    </row>
    <row r="43" spans="2:12" ht="12.95" customHeight="1" x14ac:dyDescent="0.3">
      <c r="B43" s="16" t="s">
        <v>15</v>
      </c>
      <c r="C43" s="53"/>
      <c r="D43" s="53"/>
      <c r="E43" s="49"/>
      <c r="F43" s="49"/>
      <c r="G43" s="50">
        <f>SUM(G38+G41)</f>
        <v>8153</v>
      </c>
      <c r="H43" s="43"/>
      <c r="I43" s="43"/>
      <c r="J43" s="43"/>
    </row>
    <row r="44" spans="2:12" ht="12.95" customHeight="1" x14ac:dyDescent="0.3">
      <c r="B44" s="27"/>
      <c r="C44" s="43"/>
      <c r="D44" s="43"/>
      <c r="E44" s="43"/>
      <c r="F44" s="43"/>
      <c r="G44" s="43"/>
      <c r="H44" s="43"/>
      <c r="I44" s="43"/>
      <c r="J44" s="43"/>
    </row>
    <row r="45" spans="2:12" ht="12.95" customHeight="1" x14ac:dyDescent="0.3">
      <c r="B45" s="17" t="s">
        <v>33</v>
      </c>
      <c r="I45" s="76" t="s">
        <v>48</v>
      </c>
    </row>
    <row r="46" spans="2:12" ht="12.95" customHeight="1" x14ac:dyDescent="0.3">
      <c r="B46" s="124" t="s">
        <v>6</v>
      </c>
      <c r="C46" s="124" t="s">
        <v>10</v>
      </c>
      <c r="D46" s="127" t="s">
        <v>11</v>
      </c>
      <c r="E46" s="127" t="s">
        <v>7</v>
      </c>
      <c r="F46" s="130" t="s">
        <v>34</v>
      </c>
      <c r="G46" s="131"/>
      <c r="H46" s="130" t="s">
        <v>37</v>
      </c>
      <c r="I46" s="132"/>
    </row>
    <row r="47" spans="2:12" ht="12.95" customHeight="1" x14ac:dyDescent="0.3">
      <c r="B47" s="125"/>
      <c r="C47" s="125"/>
      <c r="D47" s="128"/>
      <c r="E47" s="128"/>
      <c r="F47" s="99" t="s">
        <v>52</v>
      </c>
      <c r="G47" s="100">
        <v>100</v>
      </c>
      <c r="H47" s="99" t="s">
        <v>51</v>
      </c>
      <c r="I47" s="100">
        <v>60</v>
      </c>
    </row>
    <row r="48" spans="2:12" ht="12.95" customHeight="1" x14ac:dyDescent="0.3">
      <c r="B48" s="126"/>
      <c r="C48" s="126"/>
      <c r="D48" s="129"/>
      <c r="E48" s="129"/>
      <c r="F48" s="75" t="s">
        <v>18</v>
      </c>
      <c r="G48" s="77" t="s">
        <v>19</v>
      </c>
      <c r="H48" s="75" t="s">
        <v>18</v>
      </c>
      <c r="I48" s="77" t="s">
        <v>19</v>
      </c>
    </row>
    <row r="49" spans="2:9" ht="12.95" customHeight="1" x14ac:dyDescent="0.3">
      <c r="B49" s="13" t="s">
        <v>36</v>
      </c>
      <c r="C49" s="7" t="s">
        <v>49</v>
      </c>
      <c r="D49" s="41" t="s">
        <v>50</v>
      </c>
      <c r="E49" s="14"/>
      <c r="F49" s="78">
        <v>0</v>
      </c>
      <c r="G49" s="79">
        <f>TRUNC(SUM(G52:G53)*0,1)</f>
        <v>0</v>
      </c>
      <c r="H49" s="78">
        <v>1</v>
      </c>
      <c r="I49" s="79">
        <f>TRUNC(SUM(I52:I53)*0.05,1)</f>
        <v>22467.200000000001</v>
      </c>
    </row>
    <row r="50" spans="2:9" ht="12.95" customHeight="1" x14ac:dyDescent="0.3">
      <c r="B50" s="80" t="s">
        <v>13</v>
      </c>
      <c r="C50" s="81"/>
      <c r="D50" s="82"/>
      <c r="E50" s="83"/>
      <c r="F50" s="84"/>
      <c r="G50" s="85">
        <f>TRUNC(SUM(G49:G49))</f>
        <v>0</v>
      </c>
      <c r="H50" s="84"/>
      <c r="I50" s="85">
        <f>TRUNC(SUM(I49:I49))</f>
        <v>22467</v>
      </c>
    </row>
    <row r="51" spans="2:9" ht="12.95" customHeight="1" x14ac:dyDescent="0.3">
      <c r="B51" s="86"/>
      <c r="C51" s="86"/>
      <c r="D51" s="87"/>
      <c r="E51" s="62"/>
      <c r="F51" s="88"/>
      <c r="G51" s="89"/>
      <c r="H51" s="88"/>
      <c r="I51" s="89"/>
    </row>
    <row r="52" spans="2:9" ht="12.95" customHeight="1" x14ac:dyDescent="0.3">
      <c r="B52" s="18" t="s">
        <v>1</v>
      </c>
      <c r="C52" s="10"/>
      <c r="D52" s="4" t="s">
        <v>12</v>
      </c>
      <c r="E52" s="62">
        <v>277276</v>
      </c>
      <c r="F52" s="78">
        <v>1</v>
      </c>
      <c r="G52" s="8">
        <f t="shared" ref="G52:G53" si="11">TRUNC($E52*F52,1)</f>
        <v>277276</v>
      </c>
      <c r="H52" s="78">
        <v>1</v>
      </c>
      <c r="I52" s="8">
        <f t="shared" ref="I52:I53" si="12">TRUNC($E52*H52,1)</f>
        <v>277276</v>
      </c>
    </row>
    <row r="53" spans="2:9" ht="12.95" customHeight="1" x14ac:dyDescent="0.3">
      <c r="B53" s="18" t="s">
        <v>2</v>
      </c>
      <c r="C53" s="10"/>
      <c r="D53" s="4" t="s">
        <v>12</v>
      </c>
      <c r="E53" s="90">
        <v>172068</v>
      </c>
      <c r="F53" s="78">
        <v>1</v>
      </c>
      <c r="G53" s="8">
        <f t="shared" si="11"/>
        <v>172068</v>
      </c>
      <c r="H53" s="78">
        <v>1</v>
      </c>
      <c r="I53" s="8">
        <f t="shared" si="12"/>
        <v>172068</v>
      </c>
    </row>
    <row r="54" spans="2:9" ht="12.95" customHeight="1" x14ac:dyDescent="0.3">
      <c r="B54" s="28" t="s">
        <v>14</v>
      </c>
      <c r="C54" s="52"/>
      <c r="D54" s="52"/>
      <c r="E54" s="59"/>
      <c r="F54" s="78"/>
      <c r="G54" s="58">
        <f>TRUNC(SUM(G52:G53))</f>
        <v>449344</v>
      </c>
      <c r="H54" s="78"/>
      <c r="I54" s="58">
        <f>TRUNC(SUM(I52:I53))</f>
        <v>449344</v>
      </c>
    </row>
    <row r="55" spans="2:9" ht="12.95" customHeight="1" x14ac:dyDescent="0.3">
      <c r="B55" s="15"/>
      <c r="C55" s="46"/>
      <c r="D55" s="46"/>
      <c r="E55" s="48"/>
      <c r="F55" s="44"/>
      <c r="G55" s="45"/>
      <c r="H55" s="44"/>
      <c r="I55" s="45"/>
    </row>
    <row r="56" spans="2:9" ht="12.95" customHeight="1" x14ac:dyDescent="0.3">
      <c r="B56" s="91" t="s">
        <v>15</v>
      </c>
      <c r="C56" s="52"/>
      <c r="D56" s="52"/>
      <c r="E56" s="92"/>
      <c r="F56" s="92"/>
      <c r="G56" s="93">
        <f>SUM(G50+G54)</f>
        <v>449344</v>
      </c>
      <c r="H56" s="92"/>
      <c r="I56" s="93">
        <f>SUM(I50+I54)</f>
        <v>471811</v>
      </c>
    </row>
    <row r="57" spans="2:9" ht="12.95" customHeight="1" x14ac:dyDescent="0.3">
      <c r="B57" s="16" t="s">
        <v>53</v>
      </c>
      <c r="C57" s="94"/>
      <c r="D57" s="95"/>
      <c r="E57" s="96"/>
      <c r="F57" s="97"/>
      <c r="G57" s="98">
        <f>TRUNC(G56/G47)</f>
        <v>4493</v>
      </c>
      <c r="H57" s="97"/>
      <c r="I57" s="98">
        <f>TRUNC(I56/I47)</f>
        <v>7863</v>
      </c>
    </row>
    <row r="59" spans="2:9" ht="12.95" customHeight="1" x14ac:dyDescent="0.3">
      <c r="B59" s="1" t="s">
        <v>54</v>
      </c>
    </row>
    <row r="60" spans="2:9" ht="12.95" customHeight="1" x14ac:dyDescent="0.3">
      <c r="B60" s="2" t="s">
        <v>58</v>
      </c>
      <c r="I60" s="76" t="s">
        <v>48</v>
      </c>
    </row>
    <row r="61" spans="2:9" ht="12.95" customHeight="1" x14ac:dyDescent="0.3">
      <c r="B61" s="124" t="s">
        <v>6</v>
      </c>
      <c r="C61" s="124" t="s">
        <v>10</v>
      </c>
      <c r="D61" s="127" t="s">
        <v>11</v>
      </c>
      <c r="E61" s="127" t="s">
        <v>7</v>
      </c>
      <c r="F61" s="122" t="s">
        <v>60</v>
      </c>
      <c r="G61" s="123"/>
      <c r="H61" s="122" t="s">
        <v>61</v>
      </c>
      <c r="I61" s="123"/>
    </row>
    <row r="62" spans="2:9" ht="12.95" customHeight="1" x14ac:dyDescent="0.3">
      <c r="B62" s="125"/>
      <c r="C62" s="125"/>
      <c r="D62" s="128"/>
      <c r="E62" s="128"/>
      <c r="F62" s="99" t="s">
        <v>59</v>
      </c>
      <c r="G62" s="110">
        <v>5</v>
      </c>
      <c r="H62" s="99" t="s">
        <v>59</v>
      </c>
      <c r="I62" s="110">
        <v>4</v>
      </c>
    </row>
    <row r="63" spans="2:9" ht="12.95" customHeight="1" x14ac:dyDescent="0.3">
      <c r="B63" s="126"/>
      <c r="C63" s="126"/>
      <c r="D63" s="129"/>
      <c r="E63" s="129"/>
      <c r="F63" s="67" t="s">
        <v>8</v>
      </c>
      <c r="G63" s="67" t="s">
        <v>9</v>
      </c>
      <c r="H63" s="67" t="s">
        <v>8</v>
      </c>
      <c r="I63" s="66" t="s">
        <v>9</v>
      </c>
    </row>
    <row r="64" spans="2:9" ht="12.95" customHeight="1" x14ac:dyDescent="0.3">
      <c r="B64" s="13" t="s">
        <v>3</v>
      </c>
      <c r="C64" s="13" t="s">
        <v>62</v>
      </c>
      <c r="D64" s="41" t="s">
        <v>55</v>
      </c>
      <c r="E64" s="101">
        <v>44079</v>
      </c>
      <c r="F64" s="78">
        <v>8</v>
      </c>
      <c r="G64" s="8">
        <f t="shared" ref="G64" si="13">TRUNC($E64*F64,1)</f>
        <v>352632</v>
      </c>
      <c r="H64" s="78">
        <v>8</v>
      </c>
      <c r="I64" s="8">
        <f t="shared" ref="I64" si="14">TRUNC($E64*H64,1)</f>
        <v>352632</v>
      </c>
    </row>
    <row r="65" spans="2:13" ht="12.95" customHeight="1" x14ac:dyDescent="0.3">
      <c r="B65" s="13" t="s">
        <v>36</v>
      </c>
      <c r="C65" s="7" t="s">
        <v>35</v>
      </c>
      <c r="D65" s="41" t="s">
        <v>50</v>
      </c>
      <c r="E65" s="14"/>
      <c r="F65" s="78">
        <v>5</v>
      </c>
      <c r="G65" s="79">
        <f>TRUNC(SUM(G68:G69)*0.05,1)</f>
        <v>94554.6</v>
      </c>
      <c r="H65" s="78">
        <v>4</v>
      </c>
      <c r="I65" s="79">
        <f>TRUNC(SUM(I68:I69)*0.04,1)</f>
        <v>75643.600000000006</v>
      </c>
    </row>
    <row r="66" spans="2:13" ht="12.95" customHeight="1" x14ac:dyDescent="0.3">
      <c r="B66" s="33" t="s">
        <v>13</v>
      </c>
      <c r="C66" s="37"/>
      <c r="D66" s="35"/>
      <c r="E66" s="34"/>
      <c r="F66" s="102"/>
      <c r="G66" s="32">
        <f>TRUNC(SUM(G64:G65))</f>
        <v>447186</v>
      </c>
      <c r="H66" s="102"/>
      <c r="I66" s="32">
        <f>TRUNC(SUM(I64:I65))</f>
        <v>428275</v>
      </c>
    </row>
    <row r="67" spans="2:13" ht="12.95" customHeight="1" x14ac:dyDescent="0.3">
      <c r="B67" s="15"/>
      <c r="C67" s="15"/>
      <c r="D67" s="41"/>
      <c r="E67" s="103"/>
      <c r="F67" s="102"/>
      <c r="G67" s="104"/>
      <c r="H67" s="102"/>
      <c r="I67" s="104"/>
    </row>
    <row r="68" spans="2:13" ht="12.95" customHeight="1" x14ac:dyDescent="0.3">
      <c r="B68" s="18" t="s">
        <v>4</v>
      </c>
      <c r="C68" s="10"/>
      <c r="D68" s="4" t="s">
        <v>12</v>
      </c>
      <c r="E68" s="62">
        <v>239808</v>
      </c>
      <c r="F68" s="78">
        <v>6</v>
      </c>
      <c r="G68" s="8">
        <f t="shared" ref="G68:G70" si="15">TRUNC($E68*F68,1)</f>
        <v>1438848</v>
      </c>
      <c r="H68" s="78">
        <v>6</v>
      </c>
      <c r="I68" s="8">
        <f t="shared" ref="I68:I70" si="16">TRUNC($E68*H68,1)</f>
        <v>1438848</v>
      </c>
    </row>
    <row r="69" spans="2:13" ht="12.95" customHeight="1" x14ac:dyDescent="0.3">
      <c r="B69" s="18" t="s">
        <v>38</v>
      </c>
      <c r="C69" s="10"/>
      <c r="D69" s="4" t="s">
        <v>12</v>
      </c>
      <c r="E69" s="105">
        <v>226122</v>
      </c>
      <c r="F69" s="78">
        <v>2</v>
      </c>
      <c r="G69" s="8">
        <f t="shared" si="15"/>
        <v>452244</v>
      </c>
      <c r="H69" s="78">
        <v>2</v>
      </c>
      <c r="I69" s="8">
        <f t="shared" si="16"/>
        <v>452244</v>
      </c>
    </row>
    <row r="70" spans="2:13" ht="12.95" customHeight="1" x14ac:dyDescent="0.3">
      <c r="B70" s="13" t="s">
        <v>3</v>
      </c>
      <c r="C70" s="13" t="s">
        <v>62</v>
      </c>
      <c r="D70" s="41" t="s">
        <v>55</v>
      </c>
      <c r="E70" s="101">
        <v>58925</v>
      </c>
      <c r="F70" s="78">
        <v>8</v>
      </c>
      <c r="G70" s="8">
        <f t="shared" si="15"/>
        <v>471400</v>
      </c>
      <c r="H70" s="78">
        <v>8</v>
      </c>
      <c r="I70" s="8">
        <f t="shared" si="16"/>
        <v>471400</v>
      </c>
    </row>
    <row r="71" spans="2:13" ht="12.95" customHeight="1" x14ac:dyDescent="0.3">
      <c r="B71" s="28" t="s">
        <v>14</v>
      </c>
      <c r="C71" s="37"/>
      <c r="D71" s="35"/>
      <c r="E71" s="106"/>
      <c r="F71" s="102"/>
      <c r="G71" s="32">
        <f>TRUNC(SUM(G68:G70))</f>
        <v>2362492</v>
      </c>
      <c r="H71" s="102"/>
      <c r="I71" s="32">
        <f>TRUNC(SUM(I68:I70))</f>
        <v>2362492</v>
      </c>
    </row>
    <row r="72" spans="2:13" ht="12.95" customHeight="1" x14ac:dyDescent="0.3">
      <c r="B72" s="15"/>
      <c r="C72" s="15"/>
      <c r="D72" s="41"/>
      <c r="E72" s="103"/>
      <c r="F72" s="102"/>
      <c r="G72" s="104"/>
      <c r="H72" s="102"/>
      <c r="I72" s="104"/>
    </row>
    <row r="73" spans="2:13" ht="12.95" customHeight="1" x14ac:dyDescent="0.3">
      <c r="B73" s="13" t="s">
        <v>3</v>
      </c>
      <c r="C73" s="13" t="s">
        <v>62</v>
      </c>
      <c r="D73" s="41" t="s">
        <v>55</v>
      </c>
      <c r="E73" s="101">
        <v>160571</v>
      </c>
      <c r="F73" s="78">
        <v>8</v>
      </c>
      <c r="G73" s="8">
        <f t="shared" ref="G73" si="17">TRUNC($E73*F73,1)</f>
        <v>1284568</v>
      </c>
      <c r="H73" s="78">
        <v>8</v>
      </c>
      <c r="I73" s="8">
        <f t="shared" ref="I73" si="18">TRUNC($E73*H73,1)</f>
        <v>1284568</v>
      </c>
    </row>
    <row r="74" spans="2:13" ht="12.95" customHeight="1" x14ac:dyDescent="0.3">
      <c r="B74" s="33" t="s">
        <v>56</v>
      </c>
      <c r="C74" s="37"/>
      <c r="D74" s="38"/>
      <c r="E74" s="106"/>
      <c r="F74" s="34"/>
      <c r="G74" s="32">
        <f>TRUNC(SUM(G73:G73))</f>
        <v>1284568</v>
      </c>
      <c r="H74" s="34"/>
      <c r="I74" s="32">
        <f>TRUNC(SUM(I73:I73))</f>
        <v>1284568</v>
      </c>
    </row>
    <row r="75" spans="2:13" ht="12.95" customHeight="1" x14ac:dyDescent="0.3">
      <c r="B75" s="15"/>
      <c r="C75" s="15"/>
      <c r="D75" s="41"/>
      <c r="E75" s="103"/>
      <c r="F75" s="103"/>
      <c r="G75" s="104"/>
      <c r="H75" s="103"/>
      <c r="I75" s="104"/>
    </row>
    <row r="76" spans="2:13" ht="12.95" customHeight="1" x14ac:dyDescent="0.3">
      <c r="B76" s="91" t="s">
        <v>15</v>
      </c>
      <c r="C76" s="15"/>
      <c r="D76" s="41"/>
      <c r="E76" s="107"/>
      <c r="F76" s="108"/>
      <c r="G76" s="109">
        <f>SUM(G66+G71+G74)</f>
        <v>4094246</v>
      </c>
      <c r="H76" s="108"/>
      <c r="I76" s="109">
        <f>SUM(I66+I71+I74)</f>
        <v>4075335</v>
      </c>
    </row>
    <row r="77" spans="2:13" ht="12.95" customHeight="1" x14ac:dyDescent="0.3">
      <c r="B77" s="16" t="s">
        <v>57</v>
      </c>
      <c r="C77" s="94"/>
      <c r="D77" s="95"/>
      <c r="E77" s="96"/>
      <c r="F77" s="97"/>
      <c r="G77" s="98">
        <f>TRUNC(G76/G62)</f>
        <v>818849</v>
      </c>
      <c r="H77" s="97"/>
      <c r="I77" s="98">
        <f>TRUNC(I76/I62)</f>
        <v>1018833</v>
      </c>
    </row>
    <row r="79" spans="2:13" ht="12.95" customHeight="1" x14ac:dyDescent="0.3">
      <c r="B79" s="2" t="s">
        <v>70</v>
      </c>
      <c r="M79" s="76" t="s">
        <v>48</v>
      </c>
    </row>
    <row r="80" spans="2:13" ht="12.95" customHeight="1" x14ac:dyDescent="0.3">
      <c r="B80" s="124" t="s">
        <v>6</v>
      </c>
      <c r="C80" s="127" t="s">
        <v>10</v>
      </c>
      <c r="D80" s="127" t="s">
        <v>11</v>
      </c>
      <c r="E80" s="127" t="s">
        <v>7</v>
      </c>
      <c r="F80" s="122" t="s">
        <v>67</v>
      </c>
      <c r="G80" s="123"/>
      <c r="H80" s="123"/>
      <c r="I80" s="123"/>
      <c r="J80" s="122" t="s">
        <v>68</v>
      </c>
      <c r="K80" s="123"/>
      <c r="L80" s="123"/>
      <c r="M80" s="123"/>
    </row>
    <row r="81" spans="2:13" ht="12.95" customHeight="1" x14ac:dyDescent="0.3">
      <c r="B81" s="125"/>
      <c r="C81" s="128"/>
      <c r="D81" s="128"/>
      <c r="E81" s="128"/>
      <c r="F81" s="122" t="s">
        <v>60</v>
      </c>
      <c r="G81" s="123"/>
      <c r="H81" s="122" t="s">
        <v>61</v>
      </c>
      <c r="I81" s="123"/>
      <c r="J81" s="122" t="s">
        <v>60</v>
      </c>
      <c r="K81" s="123"/>
      <c r="L81" s="122" t="s">
        <v>61</v>
      </c>
      <c r="M81" s="123"/>
    </row>
    <row r="82" spans="2:13" ht="12.95" customHeight="1" x14ac:dyDescent="0.3">
      <c r="B82" s="125"/>
      <c r="C82" s="128"/>
      <c r="D82" s="128"/>
      <c r="E82" s="128"/>
      <c r="F82" s="99" t="s">
        <v>66</v>
      </c>
      <c r="G82" s="110">
        <v>4</v>
      </c>
      <c r="H82" s="99" t="s">
        <v>66</v>
      </c>
      <c r="I82" s="110">
        <v>3</v>
      </c>
      <c r="J82" s="99" t="s">
        <v>66</v>
      </c>
      <c r="K82" s="110">
        <v>4</v>
      </c>
      <c r="L82" s="99" t="s">
        <v>66</v>
      </c>
      <c r="M82" s="110">
        <v>3</v>
      </c>
    </row>
    <row r="83" spans="2:13" ht="12.95" customHeight="1" x14ac:dyDescent="0.3">
      <c r="B83" s="126"/>
      <c r="C83" s="129"/>
      <c r="D83" s="129"/>
      <c r="E83" s="129"/>
      <c r="F83" s="67" t="s">
        <v>8</v>
      </c>
      <c r="G83" s="67" t="s">
        <v>9</v>
      </c>
      <c r="H83" s="67" t="s">
        <v>8</v>
      </c>
      <c r="I83" s="66" t="s">
        <v>9</v>
      </c>
      <c r="J83" s="67" t="s">
        <v>8</v>
      </c>
      <c r="K83" s="67" t="s">
        <v>9</v>
      </c>
      <c r="L83" s="67" t="s">
        <v>8</v>
      </c>
      <c r="M83" s="66" t="s">
        <v>9</v>
      </c>
    </row>
    <row r="84" spans="2:13" ht="12.95" customHeight="1" x14ac:dyDescent="0.3">
      <c r="B84" s="13" t="s">
        <v>3</v>
      </c>
      <c r="C84" s="13" t="s">
        <v>62</v>
      </c>
      <c r="D84" s="41" t="s">
        <v>55</v>
      </c>
      <c r="E84" s="101">
        <v>44079</v>
      </c>
      <c r="F84" s="78">
        <v>16</v>
      </c>
      <c r="G84" s="8">
        <f t="shared" ref="G84:G85" si="19">TRUNC($E84*F84,1)</f>
        <v>705264</v>
      </c>
      <c r="H84" s="78">
        <v>16</v>
      </c>
      <c r="I84" s="8">
        <f t="shared" ref="I84:I85" si="20">TRUNC($E84*H84,1)</f>
        <v>705264</v>
      </c>
      <c r="J84" s="78">
        <v>16</v>
      </c>
      <c r="K84" s="8">
        <f t="shared" ref="K84:K85" si="21">TRUNC($E84*J84,1)</f>
        <v>705264</v>
      </c>
      <c r="L84" s="78">
        <v>16</v>
      </c>
      <c r="M84" s="8">
        <f t="shared" ref="M84:M85" si="22">TRUNC($E84*L84,1)</f>
        <v>705264</v>
      </c>
    </row>
    <row r="85" spans="2:13" ht="12.95" customHeight="1" x14ac:dyDescent="0.3">
      <c r="B85" s="13" t="s">
        <v>63</v>
      </c>
      <c r="C85" s="13" t="s">
        <v>64</v>
      </c>
      <c r="D85" s="41" t="s">
        <v>55</v>
      </c>
      <c r="E85" s="62">
        <v>9213</v>
      </c>
      <c r="F85" s="78">
        <v>8</v>
      </c>
      <c r="G85" s="8">
        <f t="shared" si="19"/>
        <v>73704</v>
      </c>
      <c r="H85" s="78">
        <v>8</v>
      </c>
      <c r="I85" s="8">
        <f t="shared" si="20"/>
        <v>73704</v>
      </c>
      <c r="J85" s="78">
        <v>8</v>
      </c>
      <c r="K85" s="8">
        <f t="shared" si="21"/>
        <v>73704</v>
      </c>
      <c r="L85" s="78">
        <v>8</v>
      </c>
      <c r="M85" s="8">
        <f t="shared" si="22"/>
        <v>73704</v>
      </c>
    </row>
    <row r="86" spans="2:13" ht="12.95" customHeight="1" x14ac:dyDescent="0.3">
      <c r="B86" s="13" t="s">
        <v>36</v>
      </c>
      <c r="C86" s="7" t="s">
        <v>35</v>
      </c>
      <c r="D86" s="41" t="s">
        <v>50</v>
      </c>
      <c r="E86" s="14"/>
      <c r="F86" s="78">
        <v>7</v>
      </c>
      <c r="G86" s="79">
        <f>TRUNC(SUM(G89:G92)*0.07,1)</f>
        <v>211402.9</v>
      </c>
      <c r="H86" s="78">
        <v>5</v>
      </c>
      <c r="I86" s="79">
        <f>TRUNC(SUM(I89:I92)*0.05,1)</f>
        <v>151002.1</v>
      </c>
      <c r="J86" s="78">
        <v>6</v>
      </c>
      <c r="K86" s="79">
        <f>TRUNC(SUM(K89:K92)*0.06,1)</f>
        <v>181202.5</v>
      </c>
      <c r="L86" s="78">
        <v>4</v>
      </c>
      <c r="M86" s="79">
        <f>TRUNC(SUM(M89:M92)*0.04,1)</f>
        <v>120801.60000000001</v>
      </c>
    </row>
    <row r="87" spans="2:13" ht="12.95" customHeight="1" x14ac:dyDescent="0.3">
      <c r="B87" s="33" t="s">
        <v>13</v>
      </c>
      <c r="C87" s="37"/>
      <c r="D87" s="35"/>
      <c r="E87" s="34"/>
      <c r="F87" s="78"/>
      <c r="G87" s="32">
        <f>TRUNC(SUM(G84:G86))</f>
        <v>990370</v>
      </c>
      <c r="H87" s="78"/>
      <c r="I87" s="32">
        <f>TRUNC(SUM(I84:I86))</f>
        <v>929970</v>
      </c>
      <c r="J87" s="78"/>
      <c r="K87" s="32">
        <f>TRUNC(SUM(K84:K86))</f>
        <v>960170</v>
      </c>
      <c r="L87" s="78"/>
      <c r="M87" s="32">
        <f>TRUNC(SUM(M84:M86))</f>
        <v>899769</v>
      </c>
    </row>
    <row r="88" spans="2:13" ht="12.95" customHeight="1" x14ac:dyDescent="0.3">
      <c r="B88" s="15"/>
      <c r="C88" s="15"/>
      <c r="D88" s="41"/>
      <c r="E88" s="103"/>
      <c r="F88" s="78"/>
      <c r="G88" s="104"/>
      <c r="H88" s="78"/>
      <c r="I88" s="104"/>
      <c r="J88" s="78"/>
      <c r="K88" s="104"/>
      <c r="L88" s="78"/>
      <c r="M88" s="104"/>
    </row>
    <row r="89" spans="2:13" ht="12.95" customHeight="1" x14ac:dyDescent="0.3">
      <c r="B89" s="18" t="s">
        <v>4</v>
      </c>
      <c r="C89" s="10"/>
      <c r="D89" s="4" t="s">
        <v>12</v>
      </c>
      <c r="E89" s="62">
        <v>239808</v>
      </c>
      <c r="F89" s="78">
        <v>6</v>
      </c>
      <c r="G89" s="8">
        <f t="shared" ref="G89:G94" si="23">TRUNC($E89*F89,1)</f>
        <v>1438848</v>
      </c>
      <c r="H89" s="78">
        <v>6</v>
      </c>
      <c r="I89" s="8">
        <f t="shared" ref="I89:I94" si="24">TRUNC($E89*H89,1)</f>
        <v>1438848</v>
      </c>
      <c r="J89" s="78">
        <v>6</v>
      </c>
      <c r="K89" s="8">
        <f t="shared" ref="K89:K94" si="25">TRUNC($E89*J89,1)</f>
        <v>1438848</v>
      </c>
      <c r="L89" s="78">
        <v>6</v>
      </c>
      <c r="M89" s="8">
        <f t="shared" ref="M89:M94" si="26">TRUNC($E89*L89,1)</f>
        <v>1438848</v>
      </c>
    </row>
    <row r="90" spans="2:13" ht="12.95" customHeight="1" x14ac:dyDescent="0.3">
      <c r="B90" s="86" t="s">
        <v>65</v>
      </c>
      <c r="C90" s="86"/>
      <c r="D90" s="4" t="s">
        <v>12</v>
      </c>
      <c r="E90" s="90">
        <v>281939</v>
      </c>
      <c r="F90" s="78">
        <v>2</v>
      </c>
      <c r="G90" s="8">
        <f t="shared" si="23"/>
        <v>563878</v>
      </c>
      <c r="H90" s="78">
        <v>2</v>
      </c>
      <c r="I90" s="8">
        <f t="shared" si="24"/>
        <v>563878</v>
      </c>
      <c r="J90" s="78">
        <v>2</v>
      </c>
      <c r="K90" s="8">
        <f t="shared" si="25"/>
        <v>563878</v>
      </c>
      <c r="L90" s="78">
        <v>2</v>
      </c>
      <c r="M90" s="8">
        <f t="shared" si="26"/>
        <v>563878</v>
      </c>
    </row>
    <row r="91" spans="2:13" ht="12.95" customHeight="1" x14ac:dyDescent="0.3">
      <c r="B91" s="86" t="s">
        <v>38</v>
      </c>
      <c r="C91" s="86"/>
      <c r="D91" s="4" t="s">
        <v>12</v>
      </c>
      <c r="E91" s="62">
        <v>226122</v>
      </c>
      <c r="F91" s="78">
        <v>2</v>
      </c>
      <c r="G91" s="8">
        <f t="shared" si="23"/>
        <v>452244</v>
      </c>
      <c r="H91" s="78">
        <v>2</v>
      </c>
      <c r="I91" s="8">
        <f t="shared" si="24"/>
        <v>452244</v>
      </c>
      <c r="J91" s="78">
        <v>2</v>
      </c>
      <c r="K91" s="8">
        <f t="shared" si="25"/>
        <v>452244</v>
      </c>
      <c r="L91" s="78">
        <v>2</v>
      </c>
      <c r="M91" s="8">
        <f t="shared" si="26"/>
        <v>452244</v>
      </c>
    </row>
    <row r="92" spans="2:13" ht="12.95" customHeight="1" x14ac:dyDescent="0.3">
      <c r="B92" s="18" t="s">
        <v>17</v>
      </c>
      <c r="C92" s="10"/>
      <c r="D92" s="4" t="s">
        <v>12</v>
      </c>
      <c r="E92" s="90">
        <v>282536</v>
      </c>
      <c r="F92" s="78">
        <v>2</v>
      </c>
      <c r="G92" s="8">
        <f t="shared" si="23"/>
        <v>565072</v>
      </c>
      <c r="H92" s="78">
        <v>2</v>
      </c>
      <c r="I92" s="8">
        <f t="shared" si="24"/>
        <v>565072</v>
      </c>
      <c r="J92" s="78">
        <v>2</v>
      </c>
      <c r="K92" s="8">
        <f t="shared" si="25"/>
        <v>565072</v>
      </c>
      <c r="L92" s="78">
        <v>2</v>
      </c>
      <c r="M92" s="8">
        <f t="shared" si="26"/>
        <v>565072</v>
      </c>
    </row>
    <row r="93" spans="2:13" ht="12.95" customHeight="1" x14ac:dyDescent="0.3">
      <c r="B93" s="13" t="s">
        <v>3</v>
      </c>
      <c r="C93" s="13" t="s">
        <v>62</v>
      </c>
      <c r="D93" s="41" t="s">
        <v>55</v>
      </c>
      <c r="E93" s="101">
        <v>58925</v>
      </c>
      <c r="F93" s="78">
        <v>16</v>
      </c>
      <c r="G93" s="8">
        <f t="shared" si="23"/>
        <v>942800</v>
      </c>
      <c r="H93" s="78">
        <v>16</v>
      </c>
      <c r="I93" s="8">
        <f t="shared" si="24"/>
        <v>942800</v>
      </c>
      <c r="J93" s="78">
        <v>16</v>
      </c>
      <c r="K93" s="8">
        <f t="shared" si="25"/>
        <v>942800</v>
      </c>
      <c r="L93" s="78">
        <v>16</v>
      </c>
      <c r="M93" s="8">
        <f t="shared" si="26"/>
        <v>942800</v>
      </c>
    </row>
    <row r="94" spans="2:13" ht="12.95" customHeight="1" x14ac:dyDescent="0.3">
      <c r="B94" s="13" t="s">
        <v>63</v>
      </c>
      <c r="C94" s="13" t="s">
        <v>64</v>
      </c>
      <c r="D94" s="41" t="s">
        <v>55</v>
      </c>
      <c r="E94" s="62">
        <v>49698</v>
      </c>
      <c r="F94" s="78">
        <v>8</v>
      </c>
      <c r="G94" s="8">
        <f t="shared" si="23"/>
        <v>397584</v>
      </c>
      <c r="H94" s="78">
        <v>8</v>
      </c>
      <c r="I94" s="8">
        <f t="shared" si="24"/>
        <v>397584</v>
      </c>
      <c r="J94" s="78">
        <v>8</v>
      </c>
      <c r="K94" s="8">
        <f t="shared" si="25"/>
        <v>397584</v>
      </c>
      <c r="L94" s="78">
        <v>8</v>
      </c>
      <c r="M94" s="8">
        <f t="shared" si="26"/>
        <v>397584</v>
      </c>
    </row>
    <row r="95" spans="2:13" ht="12.95" customHeight="1" x14ac:dyDescent="0.3">
      <c r="B95" s="28" t="s">
        <v>14</v>
      </c>
      <c r="C95" s="37"/>
      <c r="D95" s="35"/>
      <c r="E95" s="106"/>
      <c r="F95" s="78"/>
      <c r="G95" s="32">
        <f>TRUNC(SUM(G89:G94))</f>
        <v>4360426</v>
      </c>
      <c r="H95" s="78"/>
      <c r="I95" s="32">
        <f>TRUNC(SUM(I89:I94))</f>
        <v>4360426</v>
      </c>
      <c r="J95" s="78"/>
      <c r="K95" s="32">
        <f>TRUNC(SUM(K89:K94))</f>
        <v>4360426</v>
      </c>
      <c r="L95" s="78"/>
      <c r="M95" s="32">
        <f>TRUNC(SUM(M89:M94))</f>
        <v>4360426</v>
      </c>
    </row>
    <row r="96" spans="2:13" ht="12.95" customHeight="1" x14ac:dyDescent="0.3">
      <c r="B96" s="15"/>
      <c r="C96" s="15"/>
      <c r="D96" s="41"/>
      <c r="E96" s="103"/>
      <c r="F96" s="78"/>
      <c r="G96" s="104"/>
      <c r="H96" s="78"/>
      <c r="I96" s="104"/>
      <c r="J96" s="78"/>
      <c r="K96" s="104"/>
      <c r="L96" s="78"/>
      <c r="M96" s="104"/>
    </row>
    <row r="97" spans="2:13" ht="12.95" customHeight="1" x14ac:dyDescent="0.3">
      <c r="B97" s="13" t="s">
        <v>3</v>
      </c>
      <c r="C97" s="13" t="s">
        <v>62</v>
      </c>
      <c r="D97" s="41" t="s">
        <v>55</v>
      </c>
      <c r="E97" s="101">
        <v>160571</v>
      </c>
      <c r="F97" s="78">
        <v>16</v>
      </c>
      <c r="G97" s="8">
        <f t="shared" ref="G97:G98" si="27">TRUNC($E97*F97,1)</f>
        <v>2569136</v>
      </c>
      <c r="H97" s="78">
        <v>16</v>
      </c>
      <c r="I97" s="8">
        <f t="shared" ref="I97:I98" si="28">TRUNC($E97*H97,1)</f>
        <v>2569136</v>
      </c>
      <c r="J97" s="78">
        <v>16</v>
      </c>
      <c r="K97" s="8">
        <f t="shared" ref="K97:K98" si="29">TRUNC($E97*J97,1)</f>
        <v>2569136</v>
      </c>
      <c r="L97" s="78">
        <v>16</v>
      </c>
      <c r="M97" s="8">
        <f t="shared" ref="M97:M98" si="30">TRUNC($E97*L97,1)</f>
        <v>2569136</v>
      </c>
    </row>
    <row r="98" spans="2:13" ht="12.95" customHeight="1" x14ac:dyDescent="0.3">
      <c r="B98" s="13" t="s">
        <v>63</v>
      </c>
      <c r="C98" s="13" t="s">
        <v>64</v>
      </c>
      <c r="D98" s="41" t="s">
        <v>55</v>
      </c>
      <c r="E98" s="62">
        <v>36594</v>
      </c>
      <c r="F98" s="78">
        <v>8</v>
      </c>
      <c r="G98" s="8">
        <f t="shared" si="27"/>
        <v>292752</v>
      </c>
      <c r="H98" s="78">
        <v>8</v>
      </c>
      <c r="I98" s="8">
        <f t="shared" si="28"/>
        <v>292752</v>
      </c>
      <c r="J98" s="78">
        <v>8</v>
      </c>
      <c r="K98" s="8">
        <f t="shared" si="29"/>
        <v>292752</v>
      </c>
      <c r="L98" s="78">
        <v>8</v>
      </c>
      <c r="M98" s="8">
        <f t="shared" si="30"/>
        <v>292752</v>
      </c>
    </row>
    <row r="99" spans="2:13" ht="12.95" customHeight="1" x14ac:dyDescent="0.3">
      <c r="B99" s="33" t="s">
        <v>56</v>
      </c>
      <c r="C99" s="37"/>
      <c r="D99" s="38"/>
      <c r="E99" s="106"/>
      <c r="F99" s="34"/>
      <c r="G99" s="32">
        <f>TRUNC(SUM(G97:G98))</f>
        <v>2861888</v>
      </c>
      <c r="H99" s="34"/>
      <c r="I99" s="32">
        <f>TRUNC(SUM(I97:I98))</f>
        <v>2861888</v>
      </c>
      <c r="J99" s="34"/>
      <c r="K99" s="32">
        <f>TRUNC(SUM(K97:K98))</f>
        <v>2861888</v>
      </c>
      <c r="L99" s="34"/>
      <c r="M99" s="32">
        <f>TRUNC(SUM(M97:M98))</f>
        <v>2861888</v>
      </c>
    </row>
    <row r="100" spans="2:13" ht="12.95" customHeight="1" x14ac:dyDescent="0.3">
      <c r="B100" s="15"/>
      <c r="C100" s="15"/>
      <c r="D100" s="41"/>
      <c r="E100" s="103"/>
      <c r="F100" s="103"/>
      <c r="G100" s="104"/>
      <c r="H100" s="103"/>
      <c r="I100" s="104"/>
      <c r="J100" s="103"/>
      <c r="K100" s="104"/>
      <c r="L100" s="103"/>
      <c r="M100" s="104"/>
    </row>
    <row r="101" spans="2:13" ht="12.95" customHeight="1" x14ac:dyDescent="0.3">
      <c r="B101" s="91" t="s">
        <v>15</v>
      </c>
      <c r="C101" s="15"/>
      <c r="D101" s="41"/>
      <c r="E101" s="107"/>
      <c r="F101" s="108"/>
      <c r="G101" s="109">
        <f>SUM(G87+G95+G99)</f>
        <v>8212684</v>
      </c>
      <c r="H101" s="108"/>
      <c r="I101" s="109">
        <f>SUM(I87+I95+I99)</f>
        <v>8152284</v>
      </c>
      <c r="J101" s="108"/>
      <c r="K101" s="109">
        <f>SUM(K87+K95+K99)</f>
        <v>8182484</v>
      </c>
      <c r="L101" s="108"/>
      <c r="M101" s="109">
        <f>SUM(M87+M95+M99)</f>
        <v>8122083</v>
      </c>
    </row>
    <row r="102" spans="2:13" ht="12.95" customHeight="1" x14ac:dyDescent="0.3">
      <c r="B102" s="16" t="s">
        <v>69</v>
      </c>
      <c r="C102" s="94"/>
      <c r="D102" s="95"/>
      <c r="E102" s="96"/>
      <c r="F102" s="97"/>
      <c r="G102" s="98">
        <f>TRUNC(G101/G82)</f>
        <v>2053171</v>
      </c>
      <c r="H102" s="97"/>
      <c r="I102" s="98">
        <f>TRUNC(I101/I82)</f>
        <v>2717428</v>
      </c>
      <c r="J102" s="97"/>
      <c r="K102" s="98">
        <f>TRUNC(K101/K82)</f>
        <v>2045621</v>
      </c>
      <c r="L102" s="97"/>
      <c r="M102" s="98">
        <f>TRUNC(M101/M82)</f>
        <v>2707361</v>
      </c>
    </row>
    <row r="104" spans="2:13" ht="12.95" customHeight="1" x14ac:dyDescent="0.3">
      <c r="B104" s="2" t="s">
        <v>72</v>
      </c>
      <c r="G104" s="76" t="s">
        <v>48</v>
      </c>
    </row>
    <row r="105" spans="2:13" ht="12.95" customHeight="1" x14ac:dyDescent="0.3">
      <c r="B105" s="72" t="s">
        <v>6</v>
      </c>
      <c r="C105" s="74" t="s">
        <v>10</v>
      </c>
      <c r="D105" s="74" t="s">
        <v>11</v>
      </c>
      <c r="E105" s="74" t="s">
        <v>7</v>
      </c>
      <c r="F105" s="99" t="s">
        <v>71</v>
      </c>
      <c r="G105" s="110">
        <v>5</v>
      </c>
    </row>
    <row r="106" spans="2:13" ht="12.95" customHeight="1" x14ac:dyDescent="0.3">
      <c r="B106" s="73"/>
      <c r="C106" s="75"/>
      <c r="D106" s="75"/>
      <c r="E106" s="75"/>
      <c r="F106" s="67" t="s">
        <v>8</v>
      </c>
      <c r="G106" s="66" t="s">
        <v>9</v>
      </c>
    </row>
    <row r="107" spans="2:13" ht="12.95" customHeight="1" x14ac:dyDescent="0.3">
      <c r="B107" s="13" t="s">
        <v>3</v>
      </c>
      <c r="C107" s="13" t="s">
        <v>62</v>
      </c>
      <c r="D107" s="41" t="s">
        <v>55</v>
      </c>
      <c r="E107" s="101">
        <v>44079</v>
      </c>
      <c r="F107" s="78">
        <v>8</v>
      </c>
      <c r="G107" s="8">
        <f t="shared" ref="G107" si="31">TRUNC($E107*F107,1)</f>
        <v>352632</v>
      </c>
    </row>
    <row r="108" spans="2:13" ht="12.95" customHeight="1" x14ac:dyDescent="0.3">
      <c r="B108" s="13" t="s">
        <v>36</v>
      </c>
      <c r="C108" s="7" t="s">
        <v>73</v>
      </c>
      <c r="D108" s="41" t="s">
        <v>50</v>
      </c>
      <c r="E108" s="14"/>
      <c r="F108" s="78">
        <v>1</v>
      </c>
      <c r="G108" s="79">
        <f>TRUNC(SUM(G111:G114)*0.06,1)</f>
        <v>93129.1</v>
      </c>
    </row>
    <row r="109" spans="2:13" ht="12.95" customHeight="1" x14ac:dyDescent="0.3">
      <c r="B109" s="33" t="s">
        <v>13</v>
      </c>
      <c r="C109" s="37"/>
      <c r="D109" s="35"/>
      <c r="E109" s="34"/>
      <c r="F109" s="78"/>
      <c r="G109" s="32">
        <f>TRUNC(SUM(G107:G108))</f>
        <v>445761</v>
      </c>
    </row>
    <row r="110" spans="2:13" ht="12.95" customHeight="1" x14ac:dyDescent="0.3">
      <c r="B110" s="15"/>
      <c r="C110" s="15"/>
      <c r="D110" s="41"/>
      <c r="E110" s="103"/>
      <c r="F110" s="78"/>
      <c r="G110" s="104"/>
    </row>
    <row r="111" spans="2:13" ht="12.95" customHeight="1" x14ac:dyDescent="0.3">
      <c r="B111" s="18" t="s">
        <v>4</v>
      </c>
      <c r="C111" s="10"/>
      <c r="D111" s="4" t="s">
        <v>12</v>
      </c>
      <c r="E111" s="62">
        <v>239808</v>
      </c>
      <c r="F111" s="78">
        <v>2</v>
      </c>
      <c r="G111" s="8">
        <f t="shared" ref="G111:G115" si="32">TRUNC($E111*F111,1)</f>
        <v>479616</v>
      </c>
    </row>
    <row r="112" spans="2:13" ht="12.95" customHeight="1" x14ac:dyDescent="0.3">
      <c r="B112" s="86" t="s">
        <v>65</v>
      </c>
      <c r="C112" s="86"/>
      <c r="D112" s="4" t="s">
        <v>12</v>
      </c>
      <c r="E112" s="90">
        <v>281939</v>
      </c>
      <c r="F112" s="78">
        <v>2</v>
      </c>
      <c r="G112" s="8">
        <f t="shared" si="32"/>
        <v>563878</v>
      </c>
    </row>
    <row r="113" spans="2:7" ht="12.95" customHeight="1" x14ac:dyDescent="0.3">
      <c r="B113" s="86" t="s">
        <v>38</v>
      </c>
      <c r="C113" s="86"/>
      <c r="D113" s="4" t="s">
        <v>12</v>
      </c>
      <c r="E113" s="62">
        <v>226122</v>
      </c>
      <c r="F113" s="78">
        <v>1</v>
      </c>
      <c r="G113" s="8">
        <f t="shared" si="32"/>
        <v>226122</v>
      </c>
    </row>
    <row r="114" spans="2:7" ht="12.95" customHeight="1" x14ac:dyDescent="0.3">
      <c r="B114" s="18" t="s">
        <v>17</v>
      </c>
      <c r="C114" s="10"/>
      <c r="D114" s="4" t="s">
        <v>12</v>
      </c>
      <c r="E114" s="90">
        <v>282536</v>
      </c>
      <c r="F114" s="78">
        <v>1</v>
      </c>
      <c r="G114" s="8">
        <f t="shared" si="32"/>
        <v>282536</v>
      </c>
    </row>
    <row r="115" spans="2:7" ht="12.95" customHeight="1" x14ac:dyDescent="0.3">
      <c r="B115" s="13" t="s">
        <v>3</v>
      </c>
      <c r="C115" s="13" t="s">
        <v>62</v>
      </c>
      <c r="D115" s="41" t="s">
        <v>55</v>
      </c>
      <c r="E115" s="101">
        <v>58925</v>
      </c>
      <c r="F115" s="78">
        <v>8</v>
      </c>
      <c r="G115" s="8">
        <f t="shared" si="32"/>
        <v>471400</v>
      </c>
    </row>
    <row r="116" spans="2:7" ht="12.95" customHeight="1" x14ac:dyDescent="0.3">
      <c r="B116" s="28" t="s">
        <v>14</v>
      </c>
      <c r="C116" s="37"/>
      <c r="D116" s="35"/>
      <c r="E116" s="106"/>
      <c r="F116" s="78"/>
      <c r="G116" s="32">
        <f>TRUNC(SUM(G111:G115))</f>
        <v>2023552</v>
      </c>
    </row>
    <row r="117" spans="2:7" ht="12.95" customHeight="1" x14ac:dyDescent="0.3">
      <c r="B117" s="15"/>
      <c r="C117" s="15"/>
      <c r="D117" s="41"/>
      <c r="E117" s="103"/>
      <c r="F117" s="78"/>
      <c r="G117" s="104"/>
    </row>
    <row r="118" spans="2:7" ht="12.95" customHeight="1" x14ac:dyDescent="0.3">
      <c r="B118" s="13" t="s">
        <v>3</v>
      </c>
      <c r="C118" s="13" t="s">
        <v>62</v>
      </c>
      <c r="D118" s="41" t="s">
        <v>55</v>
      </c>
      <c r="E118" s="101">
        <v>160571</v>
      </c>
      <c r="F118" s="78">
        <v>8</v>
      </c>
      <c r="G118" s="8">
        <f t="shared" ref="G118" si="33">TRUNC($E118*F118,1)</f>
        <v>1284568</v>
      </c>
    </row>
    <row r="119" spans="2:7" ht="12.95" customHeight="1" x14ac:dyDescent="0.3">
      <c r="B119" s="33" t="s">
        <v>56</v>
      </c>
      <c r="C119" s="37"/>
      <c r="D119" s="38"/>
      <c r="E119" s="106"/>
      <c r="F119" s="34"/>
      <c r="G119" s="32">
        <f>TRUNC(SUM(G118:G118))</f>
        <v>1284568</v>
      </c>
    </row>
    <row r="120" spans="2:7" ht="12.95" customHeight="1" x14ac:dyDescent="0.3">
      <c r="B120" s="15"/>
      <c r="C120" s="15"/>
      <c r="D120" s="41"/>
      <c r="E120" s="103"/>
      <c r="F120" s="103"/>
      <c r="G120" s="104"/>
    </row>
    <row r="121" spans="2:7" ht="12.95" customHeight="1" x14ac:dyDescent="0.3">
      <c r="B121" s="91" t="s">
        <v>15</v>
      </c>
      <c r="C121" s="15"/>
      <c r="D121" s="41"/>
      <c r="E121" s="107"/>
      <c r="F121" s="108"/>
      <c r="G121" s="109">
        <f>SUM(G109+G116+G119)</f>
        <v>3753881</v>
      </c>
    </row>
    <row r="122" spans="2:7" ht="12.95" customHeight="1" x14ac:dyDescent="0.3">
      <c r="B122" s="16" t="s">
        <v>74</v>
      </c>
      <c r="C122" s="94"/>
      <c r="D122" s="95"/>
      <c r="E122" s="96"/>
      <c r="F122" s="97"/>
      <c r="G122" s="98">
        <f>TRUNC(G121/G105)</f>
        <v>750776</v>
      </c>
    </row>
    <row r="287" spans="14:15" ht="12.95" customHeight="1" x14ac:dyDescent="0.3">
      <c r="O287" s="25"/>
    </row>
    <row r="288" spans="14:15" ht="12.95" customHeight="1" x14ac:dyDescent="0.3">
      <c r="N288" s="25"/>
      <c r="O288" s="25"/>
    </row>
    <row r="289" spans="14:15" ht="12.95" customHeight="1" x14ac:dyDescent="0.3">
      <c r="N289" s="25"/>
    </row>
    <row r="291" spans="14:15" ht="12.95" customHeight="1" x14ac:dyDescent="0.3">
      <c r="O291" s="12"/>
    </row>
    <row r="292" spans="14:15" ht="12.95" customHeight="1" x14ac:dyDescent="0.3">
      <c r="N292" s="12"/>
      <c r="O292" s="12"/>
    </row>
    <row r="293" spans="14:15" ht="12.95" customHeight="1" x14ac:dyDescent="0.3">
      <c r="N293" s="12"/>
      <c r="O293" s="12"/>
    </row>
    <row r="294" spans="14:15" ht="12.95" customHeight="1" x14ac:dyDescent="0.3">
      <c r="N294" s="12"/>
      <c r="O294" s="12"/>
    </row>
    <row r="295" spans="14:15" ht="12.95" customHeight="1" x14ac:dyDescent="0.3">
      <c r="N295" s="12"/>
      <c r="O295" s="12"/>
    </row>
    <row r="296" spans="14:15" ht="12.95" customHeight="1" x14ac:dyDescent="0.3">
      <c r="N296" s="12"/>
      <c r="O296" s="12"/>
    </row>
    <row r="297" spans="14:15" ht="12.95" customHeight="1" x14ac:dyDescent="0.3">
      <c r="N297" s="12"/>
      <c r="O297" s="12"/>
    </row>
    <row r="298" spans="14:15" ht="12.95" customHeight="1" x14ac:dyDescent="0.3">
      <c r="N298" s="12"/>
      <c r="O298" s="12"/>
    </row>
    <row r="299" spans="14:15" ht="12.95" customHeight="1" x14ac:dyDescent="0.3">
      <c r="N299" s="12"/>
      <c r="O299" s="12"/>
    </row>
    <row r="300" spans="14:15" ht="12.95" customHeight="1" x14ac:dyDescent="0.3">
      <c r="N300" s="12"/>
      <c r="O300" s="12"/>
    </row>
    <row r="301" spans="14:15" ht="12.95" customHeight="1" x14ac:dyDescent="0.3">
      <c r="N301" s="12"/>
      <c r="O301" s="12"/>
    </row>
    <row r="302" spans="14:15" ht="12.95" customHeight="1" x14ac:dyDescent="0.3">
      <c r="N302" s="12"/>
      <c r="O302" s="12"/>
    </row>
    <row r="303" spans="14:15" ht="12.95" customHeight="1" x14ac:dyDescent="0.3">
      <c r="N303" s="12"/>
      <c r="O303" s="12"/>
    </row>
    <row r="304" spans="14:15" ht="12.95" customHeight="1" x14ac:dyDescent="0.3">
      <c r="N304" s="12"/>
      <c r="O304" s="12"/>
    </row>
    <row r="305" spans="14:15" ht="12.95" customHeight="1" x14ac:dyDescent="0.3">
      <c r="N305" s="12"/>
      <c r="O305" s="12"/>
    </row>
    <row r="306" spans="14:15" ht="12.95" customHeight="1" x14ac:dyDescent="0.3">
      <c r="N306" s="12"/>
      <c r="O306" s="12"/>
    </row>
    <row r="307" spans="14:15" ht="12.95" customHeight="1" x14ac:dyDescent="0.3">
      <c r="N307" s="12"/>
      <c r="O307" s="12"/>
    </row>
    <row r="308" spans="14:15" ht="12.95" customHeight="1" x14ac:dyDescent="0.3">
      <c r="N308" s="12"/>
    </row>
  </sheetData>
  <mergeCells count="49">
    <mergeCell ref="B80:B83"/>
    <mergeCell ref="C80:C83"/>
    <mergeCell ref="D80:D83"/>
    <mergeCell ref="E80:E83"/>
    <mergeCell ref="F80:I80"/>
    <mergeCell ref="J80:M80"/>
    <mergeCell ref="F81:G81"/>
    <mergeCell ref="H81:I81"/>
    <mergeCell ref="J81:K81"/>
    <mergeCell ref="L81:M81"/>
    <mergeCell ref="H61:I61"/>
    <mergeCell ref="B46:B48"/>
    <mergeCell ref="C46:C48"/>
    <mergeCell ref="D46:D48"/>
    <mergeCell ref="E46:E48"/>
    <mergeCell ref="F46:G46"/>
    <mergeCell ref="H46:I46"/>
    <mergeCell ref="B61:B63"/>
    <mergeCell ref="C61:C63"/>
    <mergeCell ref="D61:D63"/>
    <mergeCell ref="E61:E63"/>
    <mergeCell ref="F61:G61"/>
    <mergeCell ref="G35:G36"/>
    <mergeCell ref="B23:B24"/>
    <mergeCell ref="C23:C24"/>
    <mergeCell ref="D23:D24"/>
    <mergeCell ref="E23:E24"/>
    <mergeCell ref="F23:F24"/>
    <mergeCell ref="G23:G24"/>
    <mergeCell ref="B35:B36"/>
    <mergeCell ref="C35:C36"/>
    <mergeCell ref="D35:D36"/>
    <mergeCell ref="E35:E36"/>
    <mergeCell ref="F35:F36"/>
    <mergeCell ref="J4:K4"/>
    <mergeCell ref="L4:M4"/>
    <mergeCell ref="B12:B13"/>
    <mergeCell ref="C12:C13"/>
    <mergeCell ref="D12:D13"/>
    <mergeCell ref="E12:E13"/>
    <mergeCell ref="F12:G12"/>
    <mergeCell ref="H12:I12"/>
    <mergeCell ref="J12:K12"/>
    <mergeCell ref="B4:B5"/>
    <mergeCell ref="C4:C5"/>
    <mergeCell ref="D4:D5"/>
    <mergeCell ref="E4:E5"/>
    <mergeCell ref="F4:G4"/>
    <mergeCell ref="H4:I4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강구조공사(상반기)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2026-01-01T07:59:09Z</dcterms:modified>
</cp:coreProperties>
</file>