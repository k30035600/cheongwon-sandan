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1.공통부문(2026년)\"/>
    </mc:Choice>
  </mc:AlternateContent>
  <xr:revisionPtr revIDLastSave="0" documentId="13_ncr:1_{2589484D-32A9-4BC1-813A-532DAD5AFF8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철근콘크리트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7" i="6" l="1"/>
  <c r="I357" i="6"/>
  <c r="G357" i="6"/>
  <c r="G358" i="6" l="1"/>
  <c r="G359" i="6" s="1"/>
  <c r="G361" i="6" s="1"/>
  <c r="I358" i="6"/>
  <c r="I359" i="6" s="1"/>
  <c r="I361" i="6" s="1"/>
  <c r="K358" i="6"/>
  <c r="K359" i="6" s="1"/>
  <c r="K361" i="6" s="1"/>
  <c r="G243" i="6"/>
  <c r="G244" i="6"/>
  <c r="G150" i="6"/>
  <c r="G151" i="6"/>
  <c r="I84" i="6"/>
  <c r="K1554" i="6"/>
  <c r="K1555" i="6" s="1"/>
  <c r="G1551" i="6"/>
  <c r="G1550" i="6"/>
  <c r="G1549" i="6"/>
  <c r="G1548" i="6"/>
  <c r="K1544" i="6"/>
  <c r="G1533" i="6"/>
  <c r="G1532" i="6"/>
  <c r="K1517" i="6"/>
  <c r="K1516" i="6"/>
  <c r="K1515" i="6"/>
  <c r="K1514" i="6"/>
  <c r="K1510" i="6"/>
  <c r="G1499" i="6"/>
  <c r="G1500" i="6" s="1"/>
  <c r="G1495" i="6"/>
  <c r="I1494" i="6"/>
  <c r="I1493" i="6"/>
  <c r="K1477" i="6"/>
  <c r="K1476" i="6"/>
  <c r="K1475" i="6"/>
  <c r="K1474" i="6"/>
  <c r="I1454" i="6"/>
  <c r="G1437" i="6"/>
  <c r="I1418" i="6"/>
  <c r="I1416" i="6"/>
  <c r="I1412" i="6"/>
  <c r="I1403" i="6"/>
  <c r="I1404" i="6" s="1"/>
  <c r="K1400" i="6"/>
  <c r="K1399" i="6"/>
  <c r="G1383" i="6"/>
  <c r="K1376" i="6"/>
  <c r="K1372" i="6"/>
  <c r="G1362" i="6"/>
  <c r="K1359" i="6"/>
  <c r="I1358" i="6"/>
  <c r="I1357" i="6"/>
  <c r="I1356" i="6"/>
  <c r="M1339" i="6"/>
  <c r="K1338" i="6"/>
  <c r="K1334" i="6"/>
  <c r="K1335" i="6" s="1"/>
  <c r="G1324" i="6"/>
  <c r="M1323" i="6"/>
  <c r="I1322" i="6"/>
  <c r="M1319" i="6"/>
  <c r="M1320" i="6" s="1"/>
  <c r="K1309" i="6"/>
  <c r="K1310" i="6" s="1"/>
  <c r="I1306" i="6"/>
  <c r="G1304" i="6"/>
  <c r="I1300" i="6"/>
  <c r="G1292" i="6"/>
  <c r="G1293" i="6" s="1"/>
  <c r="G1283" i="6"/>
  <c r="K1275" i="6"/>
  <c r="K1276" i="6" s="1"/>
  <c r="M1272" i="6"/>
  <c r="I1271" i="6"/>
  <c r="K1266" i="6"/>
  <c r="G1255" i="6"/>
  <c r="G1256" i="6" s="1"/>
  <c r="G1252" i="6"/>
  <c r="G1251" i="6"/>
  <c r="G1250" i="6"/>
  <c r="G1246" i="6"/>
  <c r="I1236" i="6"/>
  <c r="I1235" i="6"/>
  <c r="G1235" i="6"/>
  <c r="I1230" i="6"/>
  <c r="G1230" i="6"/>
  <c r="G1224" i="6"/>
  <c r="I1223" i="6"/>
  <c r="I1222" i="6"/>
  <c r="G1222" i="6"/>
  <c r="I1210" i="6"/>
  <c r="I1206" i="6"/>
  <c r="I1205" i="6"/>
  <c r="I1203" i="6"/>
  <c r="I1201" i="6"/>
  <c r="I1196" i="6"/>
  <c r="G1195" i="6"/>
  <c r="G1184" i="6"/>
  <c r="I1176" i="6"/>
  <c r="I1175" i="6"/>
  <c r="I1173" i="6"/>
  <c r="I1168" i="6"/>
  <c r="I1166" i="6"/>
  <c r="G1156" i="6"/>
  <c r="G1155" i="6"/>
  <c r="G1143" i="6"/>
  <c r="M1142" i="6"/>
  <c r="M1141" i="6"/>
  <c r="K1138" i="6"/>
  <c r="K1134" i="6"/>
  <c r="M1129" i="6"/>
  <c r="M1128" i="6"/>
  <c r="K1118" i="6"/>
  <c r="I1114" i="6"/>
  <c r="I1113" i="6"/>
  <c r="I1112" i="6"/>
  <c r="I1111" i="6"/>
  <c r="I1110" i="6"/>
  <c r="G1105" i="6"/>
  <c r="K1095" i="6"/>
  <c r="G1091" i="6"/>
  <c r="G1089" i="6"/>
  <c r="G1084" i="6"/>
  <c r="G1083" i="6"/>
  <c r="K1073" i="6"/>
  <c r="K1070" i="6"/>
  <c r="K1069" i="6"/>
  <c r="K1068" i="6"/>
  <c r="K1067" i="6"/>
  <c r="K1066" i="6"/>
  <c r="G1062" i="6"/>
  <c r="K1051" i="6"/>
  <c r="G1048" i="6"/>
  <c r="G1046" i="6"/>
  <c r="G1044" i="6"/>
  <c r="I1040" i="6"/>
  <c r="I1039" i="6"/>
  <c r="G1030" i="6"/>
  <c r="I1029" i="6"/>
  <c r="I1017" i="6"/>
  <c r="K1007" i="6"/>
  <c r="I1003" i="6"/>
  <c r="I1002" i="6"/>
  <c r="G1001" i="6"/>
  <c r="K996" i="6"/>
  <c r="K995" i="6"/>
  <c r="G980" i="6"/>
  <c r="G979" i="6"/>
  <c r="G978" i="6"/>
  <c r="G977" i="6"/>
  <c r="G976" i="6"/>
  <c r="I972" i="6"/>
  <c r="K961" i="6"/>
  <c r="G957" i="6"/>
  <c r="G955" i="6"/>
  <c r="K950" i="6"/>
  <c r="K949" i="6"/>
  <c r="K936" i="6"/>
  <c r="K934" i="6"/>
  <c r="K932" i="6"/>
  <c r="G928" i="6"/>
  <c r="G914" i="6"/>
  <c r="G912" i="6"/>
  <c r="G910" i="6"/>
  <c r="G906" i="6"/>
  <c r="G905" i="6"/>
  <c r="K892" i="6"/>
  <c r="K891" i="6"/>
  <c r="K890" i="6"/>
  <c r="K889" i="6"/>
  <c r="K888" i="6"/>
  <c r="G883" i="6"/>
  <c r="K874" i="6"/>
  <c r="K873" i="6"/>
  <c r="G869" i="6"/>
  <c r="G867" i="6"/>
  <c r="K862" i="6"/>
  <c r="K861" i="6"/>
  <c r="K849" i="6"/>
  <c r="K850" i="6" s="1"/>
  <c r="K846" i="6"/>
  <c r="K845" i="6"/>
  <c r="K844" i="6"/>
  <c r="K830" i="6"/>
  <c r="K831" i="6" s="1"/>
  <c r="G826" i="6"/>
  <c r="K822" i="6"/>
  <c r="K823" i="6" s="1"/>
  <c r="G813" i="6"/>
  <c r="K809" i="6"/>
  <c r="K807" i="6"/>
  <c r="K805" i="6"/>
  <c r="K801" i="6"/>
  <c r="K800" i="6"/>
  <c r="G789" i="6"/>
  <c r="G788" i="6"/>
  <c r="G785" i="6"/>
  <c r="G784" i="6"/>
  <c r="G783" i="6"/>
  <c r="I772" i="6"/>
  <c r="I773" i="6" s="1"/>
  <c r="M769" i="6"/>
  <c r="G768" i="6"/>
  <c r="I767" i="6"/>
  <c r="K757" i="6"/>
  <c r="K758" i="6" s="1"/>
  <c r="M754" i="6"/>
  <c r="I753" i="6"/>
  <c r="M739" i="6"/>
  <c r="M738" i="6"/>
  <c r="M737" i="6"/>
  <c r="M727" i="6"/>
  <c r="M728" i="6" s="1"/>
  <c r="M724" i="6"/>
  <c r="G723" i="6"/>
  <c r="I722" i="6"/>
  <c r="G710" i="6"/>
  <c r="G709" i="6"/>
  <c r="I697" i="6"/>
  <c r="I686" i="6"/>
  <c r="I685" i="6"/>
  <c r="G672" i="6"/>
  <c r="G671" i="6"/>
  <c r="G668" i="6"/>
  <c r="G667" i="6"/>
  <c r="G666" i="6"/>
  <c r="G665" i="6"/>
  <c r="G662" i="6"/>
  <c r="G661" i="6"/>
  <c r="G652" i="6"/>
  <c r="G651" i="6"/>
  <c r="G648" i="6"/>
  <c r="G647" i="6"/>
  <c r="G646" i="6"/>
  <c r="G633" i="6"/>
  <c r="I630" i="6"/>
  <c r="I628" i="6"/>
  <c r="I627" i="6"/>
  <c r="I623" i="6"/>
  <c r="I613" i="6"/>
  <c r="G611" i="6"/>
  <c r="G598" i="6"/>
  <c r="G597" i="6"/>
  <c r="G585" i="6"/>
  <c r="G584" i="6"/>
  <c r="G572" i="6"/>
  <c r="G571" i="6"/>
  <c r="G568" i="6"/>
  <c r="G567" i="6"/>
  <c r="G566" i="6"/>
  <c r="G565" i="6"/>
  <c r="G562" i="6"/>
  <c r="G561" i="6"/>
  <c r="G551" i="6"/>
  <c r="G550" i="6"/>
  <c r="G539" i="6"/>
  <c r="G538" i="6"/>
  <c r="G530" i="6"/>
  <c r="G529" i="6"/>
  <c r="G520" i="6"/>
  <c r="G519" i="6"/>
  <c r="G511" i="6"/>
  <c r="G510" i="6"/>
  <c r="G506" i="6"/>
  <c r="G505" i="6"/>
  <c r="G504" i="6"/>
  <c r="I494" i="6"/>
  <c r="G482" i="6"/>
  <c r="G483" i="6" s="1"/>
  <c r="G479" i="6"/>
  <c r="G478" i="6"/>
  <c r="G477" i="6"/>
  <c r="G473" i="6"/>
  <c r="G451" i="6"/>
  <c r="I450" i="6"/>
  <c r="G442" i="6"/>
  <c r="G441" i="6"/>
  <c r="G433" i="6"/>
  <c r="G434" i="6" s="1"/>
  <c r="I430" i="6"/>
  <c r="G429" i="6"/>
  <c r="G428" i="6"/>
  <c r="G427" i="6"/>
  <c r="I424" i="6"/>
  <c r="I425" i="6" s="1"/>
  <c r="I415" i="6"/>
  <c r="I414" i="6"/>
  <c r="K407" i="6"/>
  <c r="K406" i="6"/>
  <c r="I399" i="6"/>
  <c r="I398" i="6"/>
  <c r="I391" i="6"/>
  <c r="I390" i="6"/>
  <c r="G381" i="6"/>
  <c r="G380" i="6"/>
  <c r="K371" i="6"/>
  <c r="K370" i="6"/>
  <c r="K349" i="6"/>
  <c r="I349" i="6"/>
  <c r="G349" i="6"/>
  <c r="I338" i="6"/>
  <c r="I339" i="6" s="1"/>
  <c r="I334" i="6"/>
  <c r="I333" i="6"/>
  <c r="I329" i="6"/>
  <c r="G321" i="6"/>
  <c r="G322" i="6" s="1"/>
  <c r="G318" i="6"/>
  <c r="G317" i="6"/>
  <c r="G316" i="6"/>
  <c r="G312" i="6"/>
  <c r="G303" i="6"/>
  <c r="G302" i="6"/>
  <c r="G301" i="6"/>
  <c r="G291" i="6"/>
  <c r="G290" i="6"/>
  <c r="G279" i="6"/>
  <c r="G278" i="6"/>
  <c r="G257" i="6"/>
  <c r="K257" i="6" s="1"/>
  <c r="G256" i="6"/>
  <c r="G232" i="6"/>
  <c r="G231" i="6"/>
  <c r="G230" i="6"/>
  <c r="G229" i="6"/>
  <c r="G226" i="6"/>
  <c r="G225" i="6"/>
  <c r="K217" i="6"/>
  <c r="K216" i="6"/>
  <c r="G203" i="6"/>
  <c r="I202" i="6"/>
  <c r="I191" i="6"/>
  <c r="I190" i="6"/>
  <c r="I165" i="6"/>
  <c r="I164" i="6"/>
  <c r="G142" i="6"/>
  <c r="G141" i="6"/>
  <c r="G130" i="6"/>
  <c r="G127" i="6" s="1"/>
  <c r="I126" i="6"/>
  <c r="G126" i="6"/>
  <c r="I125" i="6"/>
  <c r="G125" i="6"/>
  <c r="I124" i="6"/>
  <c r="G124" i="6"/>
  <c r="G115" i="6"/>
  <c r="G116" i="6" s="1"/>
  <c r="G118" i="6" s="1"/>
  <c r="G119" i="6" s="1"/>
  <c r="G89" i="6"/>
  <c r="G90" i="6" s="1"/>
  <c r="I86" i="6"/>
  <c r="G85" i="6"/>
  <c r="I83" i="6"/>
  <c r="I82" i="6"/>
  <c r="I78" i="6"/>
  <c r="K67" i="6"/>
  <c r="K64" i="6"/>
  <c r="I64" i="6"/>
  <c r="G64" i="6"/>
  <c r="K63" i="6"/>
  <c r="I63" i="6"/>
  <c r="G63" i="6"/>
  <c r="K62" i="6"/>
  <c r="I62" i="6"/>
  <c r="G62" i="6"/>
  <c r="G54" i="6"/>
  <c r="G55" i="6" s="1"/>
  <c r="G57" i="6" s="1"/>
  <c r="K46" i="6"/>
  <c r="G45" i="6"/>
  <c r="I27" i="6"/>
  <c r="I28" i="6" s="1"/>
  <c r="I24" i="6"/>
  <c r="G23" i="6"/>
  <c r="G22" i="6"/>
  <c r="I18" i="6"/>
  <c r="I9" i="6"/>
  <c r="I8" i="6"/>
  <c r="I1353" i="6" l="1"/>
  <c r="G507" i="6"/>
  <c r="I905" i="6"/>
  <c r="M1134" i="6"/>
  <c r="G673" i="6"/>
  <c r="I1323" i="6"/>
  <c r="I115" i="6"/>
  <c r="I116" i="6" s="1"/>
  <c r="I118" i="6" s="1"/>
  <c r="I119" i="6" s="1"/>
  <c r="G494" i="6"/>
  <c r="I1184" i="6"/>
  <c r="G1300" i="6"/>
  <c r="K1357" i="6"/>
  <c r="G1141" i="6"/>
  <c r="G1144" i="6" s="1"/>
  <c r="G1334" i="6"/>
  <c r="G1335" i="6" s="1"/>
  <c r="K1358" i="6"/>
  <c r="K190" i="6"/>
  <c r="G1176" i="6"/>
  <c r="I892" i="6"/>
  <c r="G1196" i="6"/>
  <c r="G1400" i="6"/>
  <c r="M757" i="6"/>
  <c r="M758" i="6" s="1"/>
  <c r="K1356" i="6"/>
  <c r="K165" i="6"/>
  <c r="G594" i="6"/>
  <c r="G595" i="6" s="1"/>
  <c r="K1300" i="6"/>
  <c r="I1195" i="6"/>
  <c r="K367" i="6"/>
  <c r="K368" i="6" s="1"/>
  <c r="G240" i="6"/>
  <c r="G241" i="6" s="1"/>
  <c r="G245" i="6"/>
  <c r="I1309" i="6"/>
  <c r="I1310" i="6" s="1"/>
  <c r="I1339" i="6"/>
  <c r="I302" i="6"/>
  <c r="I416" i="6"/>
  <c r="I418" i="6" s="1"/>
  <c r="I710" i="6"/>
  <c r="G739" i="6"/>
  <c r="I977" i="6"/>
  <c r="I979" i="6"/>
  <c r="G1067" i="6"/>
  <c r="G1223" i="6"/>
  <c r="G1225" i="6" s="1"/>
  <c r="I1499" i="6"/>
  <c r="I1500" i="6" s="1"/>
  <c r="G1544" i="6"/>
  <c r="G706" i="6"/>
  <c r="G707" i="6" s="1"/>
  <c r="I1067" i="6"/>
  <c r="G1175" i="6"/>
  <c r="I301" i="6"/>
  <c r="I303" i="6"/>
  <c r="G329" i="6"/>
  <c r="I370" i="6"/>
  <c r="G540" i="6"/>
  <c r="G542" i="6" s="1"/>
  <c r="G563" i="6"/>
  <c r="I709" i="6"/>
  <c r="G757" i="6"/>
  <c r="G758" i="6" s="1"/>
  <c r="K768" i="6"/>
  <c r="K875" i="6"/>
  <c r="I888" i="6"/>
  <c r="I976" i="6"/>
  <c r="I978" i="6"/>
  <c r="I980" i="6"/>
  <c r="I1510" i="6"/>
  <c r="G9" i="6"/>
  <c r="I23" i="6"/>
  <c r="G46" i="6"/>
  <c r="G47" i="6" s="1"/>
  <c r="G49" i="6" s="1"/>
  <c r="G83" i="6"/>
  <c r="K164" i="6"/>
  <c r="G653" i="6"/>
  <c r="G685" i="6"/>
  <c r="K754" i="6"/>
  <c r="I961" i="6"/>
  <c r="G972" i="6"/>
  <c r="I1068" i="6"/>
  <c r="I1083" i="6"/>
  <c r="K1111" i="6"/>
  <c r="K1113" i="6"/>
  <c r="I1129" i="6"/>
  <c r="G1166" i="6"/>
  <c r="G1168" i="6"/>
  <c r="G1201" i="6"/>
  <c r="G1266" i="6"/>
  <c r="I1272" i="6"/>
  <c r="I1292" i="6"/>
  <c r="I1293" i="6" s="1"/>
  <c r="G1494" i="6"/>
  <c r="G333" i="6"/>
  <c r="G370" i="6"/>
  <c r="G521" i="6"/>
  <c r="G523" i="6" s="1"/>
  <c r="G552" i="6"/>
  <c r="I682" i="6"/>
  <c r="I683" i="6" s="1"/>
  <c r="G801" i="6"/>
  <c r="K972" i="6"/>
  <c r="I1115" i="6"/>
  <c r="I10" i="6"/>
  <c r="I12" i="6" s="1"/>
  <c r="I13" i="6" s="1"/>
  <c r="G65" i="6"/>
  <c r="G165" i="6"/>
  <c r="G190" i="6"/>
  <c r="G202" i="6"/>
  <c r="G199" i="6" s="1"/>
  <c r="G200" i="6" s="1"/>
  <c r="G227" i="6"/>
  <c r="G304" i="6"/>
  <c r="G306" i="6" s="1"/>
  <c r="I392" i="6"/>
  <c r="I394" i="6" s="1"/>
  <c r="I845" i="6"/>
  <c r="I873" i="6"/>
  <c r="I890" i="6"/>
  <c r="G1069" i="6"/>
  <c r="I1084" i="6"/>
  <c r="K1110" i="6"/>
  <c r="K1112" i="6"/>
  <c r="K1114" i="6"/>
  <c r="I1128" i="6"/>
  <c r="I1141" i="6"/>
  <c r="I1275" i="6"/>
  <c r="I1276" i="6" s="1"/>
  <c r="G1309" i="6"/>
  <c r="G1310" i="6" s="1"/>
  <c r="I1495" i="6"/>
  <c r="I1490" i="6" s="1"/>
  <c r="G443" i="6"/>
  <c r="G445" i="6" s="1"/>
  <c r="G573" i="6"/>
  <c r="G152" i="6"/>
  <c r="G154" i="6" s="1"/>
  <c r="G128" i="6"/>
  <c r="I216" i="6"/>
  <c r="G265" i="6"/>
  <c r="K279" i="6"/>
  <c r="I291" i="6"/>
  <c r="K301" i="6"/>
  <c r="K302" i="6"/>
  <c r="K303" i="6"/>
  <c r="I407" i="6"/>
  <c r="G474" i="6"/>
  <c r="G475" i="6" s="1"/>
  <c r="G581" i="6"/>
  <c r="G582" i="6" s="1"/>
  <c r="G627" i="6"/>
  <c r="K686" i="6"/>
  <c r="K739" i="6"/>
  <c r="K767" i="6"/>
  <c r="I769" i="6"/>
  <c r="I801" i="6"/>
  <c r="G830" i="6"/>
  <c r="G831" i="6" s="1"/>
  <c r="K841" i="6"/>
  <c r="G861" i="6"/>
  <c r="G862" i="6"/>
  <c r="G874" i="6"/>
  <c r="G949" i="6"/>
  <c r="G950" i="6"/>
  <c r="K976" i="6"/>
  <c r="K977" i="6"/>
  <c r="K978" i="6"/>
  <c r="K979" i="6"/>
  <c r="K980" i="6"/>
  <c r="G995" i="6"/>
  <c r="G996" i="6"/>
  <c r="K1030" i="6"/>
  <c r="K1040" i="6"/>
  <c r="G1066" i="6"/>
  <c r="G1070" i="6"/>
  <c r="K1083" i="6"/>
  <c r="K1084" i="6"/>
  <c r="K1128" i="6"/>
  <c r="G1142" i="6"/>
  <c r="G1203" i="6"/>
  <c r="G1205" i="6"/>
  <c r="K1272" i="6"/>
  <c r="G1306" i="6"/>
  <c r="K1323" i="6"/>
  <c r="G1372" i="6"/>
  <c r="G1399" i="6"/>
  <c r="I1400" i="6"/>
  <c r="G1412" i="6"/>
  <c r="I1544" i="6"/>
  <c r="G1554" i="6"/>
  <c r="G1555" i="6" s="1"/>
  <c r="G233" i="6"/>
  <c r="G275" i="6"/>
  <c r="G276" i="6" s="1"/>
  <c r="G287" i="6"/>
  <c r="G288" i="6" s="1"/>
  <c r="K408" i="6"/>
  <c r="K410" i="6" s="1"/>
  <c r="I830" i="6"/>
  <c r="I831" i="6" s="1"/>
  <c r="I844" i="6"/>
  <c r="I846" i="6"/>
  <c r="I861" i="6"/>
  <c r="I862" i="6"/>
  <c r="I874" i="6"/>
  <c r="I889" i="6"/>
  <c r="I891" i="6"/>
  <c r="K906" i="6"/>
  <c r="I949" i="6"/>
  <c r="I950" i="6"/>
  <c r="I995" i="6"/>
  <c r="I996" i="6"/>
  <c r="I1066" i="6"/>
  <c r="I1070" i="6"/>
  <c r="I1142" i="6"/>
  <c r="K1306" i="6"/>
  <c r="I1372" i="6"/>
  <c r="I1399" i="6"/>
  <c r="I1554" i="6"/>
  <c r="I1555" i="6" s="1"/>
  <c r="G164" i="6"/>
  <c r="G166" i="6" s="1"/>
  <c r="I217" i="6"/>
  <c r="G258" i="6"/>
  <c r="K278" i="6"/>
  <c r="K275" i="6" s="1"/>
  <c r="K276" i="6" s="1"/>
  <c r="I290" i="6"/>
  <c r="I292" i="6" s="1"/>
  <c r="I371" i="6"/>
  <c r="I406" i="6"/>
  <c r="I428" i="6"/>
  <c r="I433" i="6"/>
  <c r="I434" i="6" s="1"/>
  <c r="I611" i="6"/>
  <c r="G623" i="6"/>
  <c r="K685" i="6"/>
  <c r="K697" i="6"/>
  <c r="G754" i="6"/>
  <c r="G786" i="6"/>
  <c r="G790" i="6"/>
  <c r="K1002" i="6"/>
  <c r="K1039" i="6"/>
  <c r="G1068" i="6"/>
  <c r="I1069" i="6"/>
  <c r="G1128" i="6"/>
  <c r="G1129" i="6"/>
  <c r="G1173" i="6"/>
  <c r="I1266" i="6"/>
  <c r="G1272" i="6"/>
  <c r="G1275" i="6"/>
  <c r="G1276" i="6" s="1"/>
  <c r="K1292" i="6"/>
  <c r="K1293" i="6" s="1"/>
  <c r="G1323" i="6"/>
  <c r="I1334" i="6"/>
  <c r="I1335" i="6" s="1"/>
  <c r="G1339" i="6"/>
  <c r="K1403" i="6"/>
  <c r="K1404" i="6" s="1"/>
  <c r="G1510" i="6"/>
  <c r="K1511" i="6"/>
  <c r="K1512" i="6" s="1"/>
  <c r="G84" i="6"/>
  <c r="K218" i="6"/>
  <c r="K220" i="6" s="1"/>
  <c r="I68" i="6"/>
  <c r="K68" i="6"/>
  <c r="K69" i="6" s="1"/>
  <c r="I22" i="6"/>
  <c r="K885" i="6"/>
  <c r="K65" i="6"/>
  <c r="I46" i="6"/>
  <c r="I67" i="6"/>
  <c r="G78" i="6"/>
  <c r="G131" i="6"/>
  <c r="I192" i="6"/>
  <c r="K191" i="6"/>
  <c r="G216" i="6"/>
  <c r="G217" i="6"/>
  <c r="I264" i="6"/>
  <c r="I278" i="6"/>
  <c r="G280" i="6"/>
  <c r="G282" i="6" s="1"/>
  <c r="G283" i="6" s="1"/>
  <c r="K372" i="6"/>
  <c r="G371" i="6"/>
  <c r="K390" i="6"/>
  <c r="K391" i="6"/>
  <c r="G398" i="6"/>
  <c r="G406" i="6"/>
  <c r="G407" i="6"/>
  <c r="G415" i="6"/>
  <c r="I633" i="6"/>
  <c r="G663" i="6"/>
  <c r="I687" i="6"/>
  <c r="G686" i="6"/>
  <c r="G682" i="6" s="1"/>
  <c r="G683" i="6" s="1"/>
  <c r="M722" i="6"/>
  <c r="M723" i="6"/>
  <c r="K724" i="6"/>
  <c r="I739" i="6"/>
  <c r="I754" i="6"/>
  <c r="I757" i="6"/>
  <c r="I758" i="6" s="1"/>
  <c r="G767" i="6"/>
  <c r="I768" i="6"/>
  <c r="G769" i="6"/>
  <c r="G844" i="6"/>
  <c r="G845" i="6"/>
  <c r="G846" i="6"/>
  <c r="G873" i="6"/>
  <c r="G875" i="6" s="1"/>
  <c r="G888" i="6"/>
  <c r="G889" i="6"/>
  <c r="G890" i="6"/>
  <c r="G891" i="6"/>
  <c r="G892" i="6"/>
  <c r="I906" i="6"/>
  <c r="K962" i="6"/>
  <c r="K963" i="6" s="1"/>
  <c r="I962" i="6"/>
  <c r="G962" i="6"/>
  <c r="K1024" i="6"/>
  <c r="I1024" i="6"/>
  <c r="G1024" i="6"/>
  <c r="I1202" i="6"/>
  <c r="I1198" i="6" s="1"/>
  <c r="G1202" i="6"/>
  <c r="I1229" i="6"/>
  <c r="G1229" i="6"/>
  <c r="I1237" i="6"/>
  <c r="I1238" i="6" s="1"/>
  <c r="G1237" i="6"/>
  <c r="K1288" i="6"/>
  <c r="I1288" i="6"/>
  <c r="G1288" i="6"/>
  <c r="K1470" i="6"/>
  <c r="I1470" i="6"/>
  <c r="G1470" i="6"/>
  <c r="G780" i="6"/>
  <c r="G781" i="6" s="1"/>
  <c r="K917" i="6"/>
  <c r="G917" i="6"/>
  <c r="I933" i="6"/>
  <c r="G933" i="6"/>
  <c r="I935" i="6"/>
  <c r="G935" i="6"/>
  <c r="I971" i="6"/>
  <c r="K971" i="6"/>
  <c r="I1018" i="6"/>
  <c r="K1018" i="6"/>
  <c r="G1018" i="6"/>
  <c r="K1025" i="6"/>
  <c r="I1025" i="6"/>
  <c r="G1025" i="6"/>
  <c r="K1052" i="6"/>
  <c r="I1052" i="6"/>
  <c r="G1052" i="6"/>
  <c r="I1107" i="6"/>
  <c r="I1181" i="6"/>
  <c r="G1181" i="6"/>
  <c r="K1289" i="6"/>
  <c r="I1289" i="6"/>
  <c r="G1289" i="6"/>
  <c r="I1305" i="6"/>
  <c r="K1305" i="6"/>
  <c r="G1305" i="6"/>
  <c r="G1301" i="6" s="1"/>
  <c r="I1455" i="6"/>
  <c r="G1455" i="6"/>
  <c r="I203" i="6"/>
  <c r="I204" i="6" s="1"/>
  <c r="G334" i="6"/>
  <c r="G338" i="6"/>
  <c r="G339" i="6" s="1"/>
  <c r="K350" i="6"/>
  <c r="G382" i="6"/>
  <c r="G384" i="6" s="1"/>
  <c r="G390" i="6"/>
  <c r="G391" i="6"/>
  <c r="G399" i="6"/>
  <c r="G400" i="6" s="1"/>
  <c r="G402" i="6" s="1"/>
  <c r="G414" i="6"/>
  <c r="G424" i="6"/>
  <c r="G425" i="6" s="1"/>
  <c r="I427" i="6"/>
  <c r="G450" i="6"/>
  <c r="G452" i="6" s="1"/>
  <c r="G454" i="6" s="1"/>
  <c r="G613" i="6"/>
  <c r="G628" i="6"/>
  <c r="G630" i="6"/>
  <c r="G722" i="6"/>
  <c r="I723" i="6"/>
  <c r="G724" i="6"/>
  <c r="M767" i="6"/>
  <c r="M768" i="6"/>
  <c r="K769" i="6"/>
  <c r="G800" i="6"/>
  <c r="K905" i="6"/>
  <c r="I917" i="6"/>
  <c r="K933" i="6"/>
  <c r="K929" i="6" s="1"/>
  <c r="K935" i="6"/>
  <c r="G971" i="6"/>
  <c r="K1022" i="6"/>
  <c r="I1022" i="6"/>
  <c r="G1022" i="6"/>
  <c r="K1026" i="6"/>
  <c r="I1026" i="6"/>
  <c r="G1026" i="6"/>
  <c r="K1096" i="6"/>
  <c r="K1097" i="6" s="1"/>
  <c r="I1096" i="6"/>
  <c r="G1096" i="6"/>
  <c r="M1135" i="6"/>
  <c r="K1135" i="6"/>
  <c r="I1135" i="6"/>
  <c r="G1135" i="6"/>
  <c r="I1169" i="6"/>
  <c r="G1169" i="6"/>
  <c r="I1211" i="6"/>
  <c r="G1211" i="6"/>
  <c r="I1227" i="6"/>
  <c r="G1227" i="6"/>
  <c r="K1327" i="6"/>
  <c r="K1328" i="6" s="1"/>
  <c r="G1327" i="6"/>
  <c r="G1328" i="6" s="1"/>
  <c r="G1363" i="6"/>
  <c r="G1364" i="6" s="1"/>
  <c r="K1363" i="6"/>
  <c r="I1363" i="6"/>
  <c r="K1398" i="6"/>
  <c r="K1395" i="6" s="1"/>
  <c r="I1398" i="6"/>
  <c r="I1395" i="6" s="1"/>
  <c r="G1398" i="6"/>
  <c r="G1395" i="6" s="1"/>
  <c r="K1432" i="6"/>
  <c r="I1432" i="6"/>
  <c r="G1432" i="6"/>
  <c r="K1441" i="6"/>
  <c r="K1442" i="6" s="1"/>
  <c r="I1441" i="6"/>
  <c r="I1442" i="6" s="1"/>
  <c r="G1441" i="6"/>
  <c r="G1442" i="6" s="1"/>
  <c r="I400" i="6"/>
  <c r="I402" i="6" s="1"/>
  <c r="G569" i="6"/>
  <c r="K722" i="6"/>
  <c r="K723" i="6"/>
  <c r="I724" i="6"/>
  <c r="I800" i="6"/>
  <c r="K918" i="6"/>
  <c r="I918" i="6"/>
  <c r="G918" i="6"/>
  <c r="I932" i="6"/>
  <c r="G932" i="6"/>
  <c r="I934" i="6"/>
  <c r="G934" i="6"/>
  <c r="I936" i="6"/>
  <c r="G936" i="6"/>
  <c r="G981" i="6"/>
  <c r="G973" i="6"/>
  <c r="G984" i="6"/>
  <c r="K984" i="6"/>
  <c r="I984" i="6"/>
  <c r="K1023" i="6"/>
  <c r="I1023" i="6"/>
  <c r="G1023" i="6"/>
  <c r="M1136" i="6"/>
  <c r="I1136" i="6"/>
  <c r="G1136" i="6"/>
  <c r="I1177" i="6"/>
  <c r="G1177" i="6"/>
  <c r="I1194" i="6"/>
  <c r="G1194" i="6"/>
  <c r="G1231" i="6"/>
  <c r="I1231" i="6"/>
  <c r="K1287" i="6"/>
  <c r="I1287" i="6"/>
  <c r="G1287" i="6"/>
  <c r="I1459" i="6"/>
  <c r="I1460" i="6" s="1"/>
  <c r="G1459" i="6"/>
  <c r="G1460" i="6" s="1"/>
  <c r="K1053" i="6"/>
  <c r="K1141" i="6"/>
  <c r="G1152" i="6"/>
  <c r="G1153" i="6" s="1"/>
  <c r="G1003" i="6"/>
  <c r="G1007" i="6"/>
  <c r="G1017" i="6"/>
  <c r="G1039" i="6"/>
  <c r="G1040" i="6"/>
  <c r="G1051" i="6"/>
  <c r="G1095" i="6"/>
  <c r="G1110" i="6"/>
  <c r="G1111" i="6"/>
  <c r="G1112" i="6"/>
  <c r="G1113" i="6"/>
  <c r="G1114" i="6"/>
  <c r="G1206" i="6"/>
  <c r="G1210" i="6"/>
  <c r="I1224" i="6"/>
  <c r="I1225" i="6" s="1"/>
  <c r="G1236" i="6"/>
  <c r="M1266" i="6"/>
  <c r="M1334" i="6"/>
  <c r="M1335" i="6" s="1"/>
  <c r="K1339" i="6"/>
  <c r="G1356" i="6"/>
  <c r="G1357" i="6"/>
  <c r="G1358" i="6"/>
  <c r="G1359" i="6"/>
  <c r="I1362" i="6"/>
  <c r="G1403" i="6"/>
  <c r="G1404" i="6" s="1"/>
  <c r="G1416" i="6"/>
  <c r="G1418" i="6"/>
  <c r="G1454" i="6"/>
  <c r="G1493" i="6"/>
  <c r="G961" i="6"/>
  <c r="G1002" i="6"/>
  <c r="K1003" i="6"/>
  <c r="I1007" i="6"/>
  <c r="K1017" i="6"/>
  <c r="I1030" i="6"/>
  <c r="I1031" i="6" s="1"/>
  <c r="I1051" i="6"/>
  <c r="I1095" i="6"/>
  <c r="I1359" i="6"/>
  <c r="I1360" i="6" s="1"/>
  <c r="K1362" i="6"/>
  <c r="G643" i="6"/>
  <c r="G644" i="6" s="1"/>
  <c r="G319" i="6"/>
  <c r="G313" i="6"/>
  <c r="G314" i="6" s="1"/>
  <c r="M734" i="6"/>
  <c r="M735" i="6" s="1"/>
  <c r="G38" i="6"/>
  <c r="K38" i="6"/>
  <c r="I38" i="6"/>
  <c r="G586" i="6"/>
  <c r="K742" i="6"/>
  <c r="K743" i="6" s="1"/>
  <c r="M742" i="6"/>
  <c r="M743" i="6" s="1"/>
  <c r="I742" i="6"/>
  <c r="I743" i="6" s="1"/>
  <c r="I752" i="6"/>
  <c r="M752" i="6"/>
  <c r="K752" i="6"/>
  <c r="K870" i="6"/>
  <c r="I870" i="6"/>
  <c r="G870" i="6"/>
  <c r="K884" i="6"/>
  <c r="I884" i="6"/>
  <c r="G884" i="6"/>
  <c r="I895" i="6"/>
  <c r="G895" i="6"/>
  <c r="K913" i="6"/>
  <c r="I913" i="6"/>
  <c r="G913" i="6"/>
  <c r="K927" i="6"/>
  <c r="I927" i="6"/>
  <c r="G927" i="6"/>
  <c r="I940" i="6"/>
  <c r="G940" i="6"/>
  <c r="K956" i="6"/>
  <c r="I956" i="6"/>
  <c r="G956" i="6"/>
  <c r="I1074" i="6"/>
  <c r="G1074" i="6"/>
  <c r="K1074" i="6"/>
  <c r="K1075" i="6" s="1"/>
  <c r="I1174" i="6"/>
  <c r="I1170" i="6" s="1"/>
  <c r="G1174" i="6"/>
  <c r="G8" i="6"/>
  <c r="G18" i="6"/>
  <c r="G82" i="6"/>
  <c r="I166" i="6"/>
  <c r="I161" i="6"/>
  <c r="I162" i="6" s="1"/>
  <c r="I179" i="6"/>
  <c r="G179" i="6"/>
  <c r="K264" i="6"/>
  <c r="G259" i="6"/>
  <c r="G261" i="6" s="1"/>
  <c r="I256" i="6"/>
  <c r="G264" i="6"/>
  <c r="I350" i="6"/>
  <c r="I429" i="6"/>
  <c r="I462" i="6"/>
  <c r="K462" i="6"/>
  <c r="G508" i="6"/>
  <c r="I612" i="6"/>
  <c r="G612" i="6"/>
  <c r="G629" i="6"/>
  <c r="I629" i="6"/>
  <c r="I631" i="6" s="1"/>
  <c r="G711" i="6"/>
  <c r="G713" i="6" s="1"/>
  <c r="G742" i="6"/>
  <c r="G743" i="6" s="1"/>
  <c r="G764" i="6"/>
  <c r="G765" i="6" s="1"/>
  <c r="K895" i="6"/>
  <c r="K911" i="6"/>
  <c r="I911" i="6"/>
  <c r="G911" i="6"/>
  <c r="G907" i="6" s="1"/>
  <c r="G908" i="6" s="1"/>
  <c r="K1092" i="6"/>
  <c r="I1092" i="6"/>
  <c r="G1092" i="6"/>
  <c r="I1117" i="6"/>
  <c r="G1117" i="6"/>
  <c r="K1117" i="6"/>
  <c r="K1119" i="6" s="1"/>
  <c r="G1228" i="6"/>
  <c r="I1228" i="6"/>
  <c r="I1377" i="6"/>
  <c r="G1377" i="6"/>
  <c r="K1377" i="6"/>
  <c r="K1382" i="6"/>
  <c r="I1382" i="6"/>
  <c r="G1382" i="6"/>
  <c r="G1384" i="6" s="1"/>
  <c r="K1436" i="6"/>
  <c r="I1436" i="6"/>
  <c r="G1436" i="6"/>
  <c r="G24" i="6"/>
  <c r="G25" i="6" s="1"/>
  <c r="G27" i="6"/>
  <c r="G28" i="6" s="1"/>
  <c r="I37" i="6"/>
  <c r="G37" i="6"/>
  <c r="K256" i="6"/>
  <c r="I330" i="6"/>
  <c r="I331" i="6" s="1"/>
  <c r="I451" i="6"/>
  <c r="I452" i="6" s="1"/>
  <c r="I454" i="6" s="1"/>
  <c r="G462" i="6"/>
  <c r="G512" i="6"/>
  <c r="G753" i="6"/>
  <c r="M753" i="6"/>
  <c r="K753" i="6"/>
  <c r="I808" i="6"/>
  <c r="G808" i="6"/>
  <c r="K808" i="6"/>
  <c r="K866" i="6"/>
  <c r="I866" i="6"/>
  <c r="G866" i="6"/>
  <c r="K1047" i="6"/>
  <c r="I1047" i="6"/>
  <c r="G1047" i="6"/>
  <c r="K1090" i="6"/>
  <c r="I1090" i="6"/>
  <c r="G1090" i="6"/>
  <c r="G292" i="6"/>
  <c r="G350" i="6"/>
  <c r="G351" i="6" s="1"/>
  <c r="G353" i="6" s="1"/>
  <c r="I461" i="6"/>
  <c r="K461" i="6"/>
  <c r="G461" i="6"/>
  <c r="M740" i="6"/>
  <c r="G983" i="6"/>
  <c r="K983" i="6"/>
  <c r="K1137" i="6"/>
  <c r="I1137" i="6"/>
  <c r="M1137" i="6"/>
  <c r="G1137" i="6"/>
  <c r="K1438" i="6"/>
  <c r="I1438" i="6"/>
  <c r="G1438" i="6"/>
  <c r="K1480" i="6"/>
  <c r="K1481" i="6" s="1"/>
  <c r="I1480" i="6"/>
  <c r="I1481" i="6" s="1"/>
  <c r="G1480" i="6"/>
  <c r="G1481" i="6" s="1"/>
  <c r="I89" i="6"/>
  <c r="I90" i="6" s="1"/>
  <c r="G335" i="6"/>
  <c r="I335" i="6"/>
  <c r="I336" i="6" s="1"/>
  <c r="G480" i="6"/>
  <c r="G738" i="6"/>
  <c r="K738" i="6"/>
  <c r="I738" i="6"/>
  <c r="G752" i="6"/>
  <c r="K840" i="6"/>
  <c r="I840" i="6"/>
  <c r="G840" i="6"/>
  <c r="I849" i="6"/>
  <c r="I850" i="6" s="1"/>
  <c r="G849" i="6"/>
  <c r="G850" i="6" s="1"/>
  <c r="K868" i="6"/>
  <c r="I868" i="6"/>
  <c r="G868" i="6"/>
  <c r="K940" i="6"/>
  <c r="K954" i="6"/>
  <c r="I954" i="6"/>
  <c r="G954" i="6"/>
  <c r="I983" i="6"/>
  <c r="K1061" i="6"/>
  <c r="I1061" i="6"/>
  <c r="G1061" i="6"/>
  <c r="K1063" i="6"/>
  <c r="K1071" i="6"/>
  <c r="K1106" i="6"/>
  <c r="I1106" i="6"/>
  <c r="G1106" i="6"/>
  <c r="K1133" i="6"/>
  <c r="I1133" i="6"/>
  <c r="M1133" i="6"/>
  <c r="G1133" i="6"/>
  <c r="I1489" i="6"/>
  <c r="G1489" i="6"/>
  <c r="G19" i="6"/>
  <c r="K37" i="6"/>
  <c r="K45" i="6"/>
  <c r="K47" i="6" s="1"/>
  <c r="K49" i="6" s="1"/>
  <c r="I45" i="6"/>
  <c r="I65" i="6"/>
  <c r="G86" i="6"/>
  <c r="I178" i="6"/>
  <c r="G178" i="6"/>
  <c r="G493" i="6"/>
  <c r="I493" i="6"/>
  <c r="I634" i="6"/>
  <c r="G634" i="6"/>
  <c r="G635" i="6" s="1"/>
  <c r="G649" i="6"/>
  <c r="I698" i="6"/>
  <c r="K698" i="6"/>
  <c r="G698" i="6"/>
  <c r="K727" i="6"/>
  <c r="K728" i="6" s="1"/>
  <c r="I727" i="6"/>
  <c r="I728" i="6" s="1"/>
  <c r="G727" i="6"/>
  <c r="G728" i="6" s="1"/>
  <c r="I737" i="6"/>
  <c r="K737" i="6"/>
  <c r="G737" i="6"/>
  <c r="I806" i="6"/>
  <c r="G806" i="6"/>
  <c r="K806" i="6"/>
  <c r="K802" i="6" s="1"/>
  <c r="K803" i="6" s="1"/>
  <c r="K813" i="6"/>
  <c r="I813" i="6"/>
  <c r="K826" i="6"/>
  <c r="I826" i="6"/>
  <c r="K958" i="6"/>
  <c r="I958" i="6"/>
  <c r="G958" i="6"/>
  <c r="K1008" i="6"/>
  <c r="K1009" i="6" s="1"/>
  <c r="I1008" i="6"/>
  <c r="G1008" i="6"/>
  <c r="K1143" i="6"/>
  <c r="I1143" i="6"/>
  <c r="M1143" i="6"/>
  <c r="M1144" i="6" s="1"/>
  <c r="I1451" i="6"/>
  <c r="G143" i="6"/>
  <c r="I265" i="6"/>
  <c r="G669" i="6"/>
  <c r="M772" i="6"/>
  <c r="M773" i="6" s="1"/>
  <c r="K772" i="6"/>
  <c r="K773" i="6" s="1"/>
  <c r="K812" i="6"/>
  <c r="I812" i="6"/>
  <c r="K825" i="6"/>
  <c r="I825" i="6"/>
  <c r="K827" i="6"/>
  <c r="I827" i="6"/>
  <c r="I896" i="6"/>
  <c r="G896" i="6"/>
  <c r="I939" i="6"/>
  <c r="G939" i="6"/>
  <c r="I1000" i="6"/>
  <c r="K1000" i="6"/>
  <c r="G1000" i="6"/>
  <c r="K1045" i="6"/>
  <c r="I1045" i="6"/>
  <c r="G1045" i="6"/>
  <c r="K1088" i="6"/>
  <c r="I1088" i="6"/>
  <c r="G1088" i="6"/>
  <c r="I1138" i="6"/>
  <c r="G1138" i="6"/>
  <c r="M1138" i="6"/>
  <c r="I1182" i="6"/>
  <c r="G1182" i="6"/>
  <c r="I1212" i="6"/>
  <c r="G1212" i="6"/>
  <c r="G1247" i="6"/>
  <c r="G1248" i="6" s="1"/>
  <c r="G1253" i="6"/>
  <c r="I1270" i="6"/>
  <c r="M1270" i="6"/>
  <c r="K1270" i="6"/>
  <c r="G1270" i="6"/>
  <c r="K1324" i="6"/>
  <c r="M1324" i="6"/>
  <c r="I1324" i="6"/>
  <c r="G1534" i="6"/>
  <c r="G1529" i="6"/>
  <c r="G1530" i="6" s="1"/>
  <c r="G67" i="6"/>
  <c r="G68" i="6"/>
  <c r="I85" i="6"/>
  <c r="I79" i="6" s="1"/>
  <c r="I80" i="6" s="1"/>
  <c r="I130" i="6"/>
  <c r="G138" i="6"/>
  <c r="G139" i="6" s="1"/>
  <c r="I187" i="6"/>
  <c r="I188" i="6" s="1"/>
  <c r="G191" i="6"/>
  <c r="I257" i="6"/>
  <c r="K265" i="6"/>
  <c r="I279" i="6"/>
  <c r="G430" i="6"/>
  <c r="G431" i="6" s="1"/>
  <c r="G531" i="6"/>
  <c r="G533" i="6" s="1"/>
  <c r="G547" i="6"/>
  <c r="G548" i="6" s="1"/>
  <c r="G599" i="6"/>
  <c r="G697" i="6"/>
  <c r="G772" i="6"/>
  <c r="G773" i="6" s="1"/>
  <c r="I805" i="6"/>
  <c r="G805" i="6"/>
  <c r="I807" i="6"/>
  <c r="G807" i="6"/>
  <c r="I809" i="6"/>
  <c r="G809" i="6"/>
  <c r="G812" i="6"/>
  <c r="G814" i="6" s="1"/>
  <c r="I822" i="6"/>
  <c r="I823" i="6" s="1"/>
  <c r="G822" i="6"/>
  <c r="G823" i="6" s="1"/>
  <c r="G825" i="6"/>
  <c r="G827" i="6"/>
  <c r="K847" i="6"/>
  <c r="K867" i="6"/>
  <c r="I867" i="6"/>
  <c r="K869" i="6"/>
  <c r="I869" i="6"/>
  <c r="K883" i="6"/>
  <c r="I883" i="6"/>
  <c r="K893" i="6"/>
  <c r="K896" i="6"/>
  <c r="K910" i="6"/>
  <c r="I910" i="6"/>
  <c r="K912" i="6"/>
  <c r="I912" i="6"/>
  <c r="K914" i="6"/>
  <c r="I914" i="6"/>
  <c r="K928" i="6"/>
  <c r="I928" i="6"/>
  <c r="K939" i="6"/>
  <c r="K955" i="6"/>
  <c r="I955" i="6"/>
  <c r="K957" i="6"/>
  <c r="I957" i="6"/>
  <c r="I1001" i="6"/>
  <c r="K1001" i="6"/>
  <c r="I1004" i="6"/>
  <c r="K1004" i="6"/>
  <c r="G1004" i="6"/>
  <c r="G1029" i="6"/>
  <c r="G1031" i="6" s="1"/>
  <c r="K1029" i="6"/>
  <c r="I1183" i="6"/>
  <c r="G1183" i="6"/>
  <c r="I1197" i="6"/>
  <c r="G1197" i="6"/>
  <c r="I1209" i="6"/>
  <c r="G1209" i="6"/>
  <c r="I1232" i="6"/>
  <c r="G1232" i="6"/>
  <c r="I1304" i="6"/>
  <c r="K1304" i="6"/>
  <c r="I1352" i="6"/>
  <c r="I1354" i="6" s="1"/>
  <c r="G1352" i="6"/>
  <c r="K1352" i="6"/>
  <c r="K1520" i="6"/>
  <c r="K1521" i="6" s="1"/>
  <c r="I1520" i="6"/>
  <c r="I1521" i="6" s="1"/>
  <c r="G1520" i="6"/>
  <c r="G1521" i="6" s="1"/>
  <c r="I1073" i="6"/>
  <c r="G1073" i="6"/>
  <c r="I1118" i="6"/>
  <c r="G1118" i="6"/>
  <c r="I1167" i="6"/>
  <c r="G1167" i="6"/>
  <c r="I1178" i="6"/>
  <c r="G1178" i="6"/>
  <c r="I1283" i="6"/>
  <c r="K1283" i="6"/>
  <c r="G1322" i="6"/>
  <c r="M1322" i="6"/>
  <c r="K1322" i="6"/>
  <c r="I1337" i="6"/>
  <c r="G1337" i="6"/>
  <c r="M1337" i="6"/>
  <c r="K1337" i="6"/>
  <c r="K1342" i="6"/>
  <c r="K1343" i="6" s="1"/>
  <c r="I1342" i="6"/>
  <c r="I1343" i="6" s="1"/>
  <c r="M1342" i="6"/>
  <c r="M1343" i="6" s="1"/>
  <c r="G1342" i="6"/>
  <c r="G1343" i="6" s="1"/>
  <c r="I1378" i="6"/>
  <c r="G1378" i="6"/>
  <c r="K1378" i="6"/>
  <c r="I1394" i="6"/>
  <c r="G1394" i="6"/>
  <c r="K1394" i="6"/>
  <c r="K1478" i="6"/>
  <c r="K1471" i="6"/>
  <c r="K1044" i="6"/>
  <c r="I1044" i="6"/>
  <c r="K1046" i="6"/>
  <c r="I1046" i="6"/>
  <c r="K1048" i="6"/>
  <c r="I1048" i="6"/>
  <c r="K1062" i="6"/>
  <c r="I1062" i="6"/>
  <c r="K1089" i="6"/>
  <c r="I1089" i="6"/>
  <c r="K1091" i="6"/>
  <c r="I1091" i="6"/>
  <c r="K1105" i="6"/>
  <c r="I1105" i="6"/>
  <c r="I1134" i="6"/>
  <c r="G1134" i="6"/>
  <c r="G1157" i="6"/>
  <c r="I1204" i="6"/>
  <c r="G1204" i="6"/>
  <c r="G1271" i="6"/>
  <c r="M1271" i="6"/>
  <c r="K1271" i="6"/>
  <c r="I1319" i="6"/>
  <c r="I1320" i="6" s="1"/>
  <c r="K1319" i="6"/>
  <c r="K1320" i="6" s="1"/>
  <c r="G1319" i="6"/>
  <c r="G1320" i="6" s="1"/>
  <c r="G1338" i="6"/>
  <c r="I1338" i="6"/>
  <c r="M1338" i="6"/>
  <c r="I1450" i="6"/>
  <c r="G1450" i="6"/>
  <c r="K1129" i="6"/>
  <c r="K1136" i="6"/>
  <c r="K1142" i="6"/>
  <c r="M1275" i="6"/>
  <c r="M1276" i="6" s="1"/>
  <c r="I1376" i="6"/>
  <c r="G1376" i="6"/>
  <c r="I1456" i="6"/>
  <c r="I1457" i="6" s="1"/>
  <c r="G1456" i="6"/>
  <c r="K1518" i="6"/>
  <c r="G1545" i="6"/>
  <c r="G1552" i="6"/>
  <c r="M1327" i="6"/>
  <c r="M1328" i="6" s="1"/>
  <c r="I1327" i="6"/>
  <c r="I1328" i="6" s="1"/>
  <c r="I1379" i="6"/>
  <c r="G1379" i="6"/>
  <c r="K1379" i="6"/>
  <c r="I1417" i="6"/>
  <c r="I1413" i="6" s="1"/>
  <c r="I1414" i="6" s="1"/>
  <c r="G1417" i="6"/>
  <c r="I1421" i="6"/>
  <c r="I1422" i="6" s="1"/>
  <c r="G1421" i="6"/>
  <c r="G1422" i="6" s="1"/>
  <c r="I1474" i="6"/>
  <c r="G1474" i="6"/>
  <c r="I1476" i="6"/>
  <c r="G1476" i="6"/>
  <c r="I1496" i="6"/>
  <c r="G1496" i="6"/>
  <c r="I1515" i="6"/>
  <c r="G1515" i="6"/>
  <c r="I1517" i="6"/>
  <c r="G1517" i="6"/>
  <c r="K1549" i="6"/>
  <c r="I1549" i="6"/>
  <c r="K1551" i="6"/>
  <c r="I1551" i="6"/>
  <c r="K1383" i="6"/>
  <c r="I1383" i="6"/>
  <c r="K1437" i="6"/>
  <c r="I1437" i="6"/>
  <c r="I1475" i="6"/>
  <c r="G1475" i="6"/>
  <c r="I1477" i="6"/>
  <c r="G1477" i="6"/>
  <c r="I1514" i="6"/>
  <c r="G1514" i="6"/>
  <c r="I1516" i="6"/>
  <c r="G1516" i="6"/>
  <c r="K1548" i="6"/>
  <c r="I1548" i="6"/>
  <c r="K1550" i="6"/>
  <c r="I1550" i="6"/>
  <c r="G614" i="6" l="1"/>
  <c r="I608" i="6"/>
  <c r="I609" i="6" s="1"/>
  <c r="G1302" i="6"/>
  <c r="G1063" i="6"/>
  <c r="G1064" i="6" s="1"/>
  <c r="I963" i="6"/>
  <c r="K39" i="6"/>
  <c r="K41" i="6" s="1"/>
  <c r="G1097" i="6"/>
  <c r="K1107" i="6"/>
  <c r="I367" i="6"/>
  <c r="I368" i="6" s="1"/>
  <c r="I981" i="6"/>
  <c r="M725" i="6"/>
  <c r="G367" i="6"/>
  <c r="G368" i="6" s="1"/>
  <c r="I1027" i="6"/>
  <c r="G554" i="6"/>
  <c r="G1325" i="6"/>
  <c r="G1330" i="6" s="1"/>
  <c r="G1284" i="6"/>
  <c r="G1285" i="6" s="1"/>
  <c r="I841" i="6"/>
  <c r="I842" i="6" s="1"/>
  <c r="K374" i="6"/>
  <c r="K375" i="6" s="1"/>
  <c r="I19" i="6"/>
  <c r="I20" i="6" s="1"/>
  <c r="K1353" i="6"/>
  <c r="K1354" i="6" s="1"/>
  <c r="I1075" i="6"/>
  <c r="G1258" i="6"/>
  <c r="G1259" i="6" s="1"/>
  <c r="G985" i="6"/>
  <c r="I1325" i="6"/>
  <c r="I1330" i="6" s="1"/>
  <c r="G10" i="6"/>
  <c r="G12" i="6" s="1"/>
  <c r="G13" i="6" s="1"/>
  <c r="G1053" i="6"/>
  <c r="K161" i="6"/>
  <c r="K162" i="6" s="1"/>
  <c r="I689" i="6"/>
  <c r="G436" i="6"/>
  <c r="G1490" i="6"/>
  <c r="G1491" i="6" s="1"/>
  <c r="I875" i="6"/>
  <c r="I706" i="6"/>
  <c r="I707" i="6" s="1"/>
  <c r="G1546" i="6"/>
  <c r="G1557" i="6" s="1"/>
  <c r="G1558" i="6" s="1"/>
  <c r="G485" i="6"/>
  <c r="G486" i="6" s="1"/>
  <c r="G575" i="6"/>
  <c r="G576" i="6" s="1"/>
  <c r="K166" i="6"/>
  <c r="K1472" i="6"/>
  <c r="K1483" i="6" s="1"/>
  <c r="K1484" i="6" s="1"/>
  <c r="G463" i="6"/>
  <c r="G465" i="6" s="1"/>
  <c r="G466" i="6" s="1"/>
  <c r="G1159" i="6"/>
  <c r="G1160" i="6" s="1"/>
  <c r="G1360" i="6"/>
  <c r="G247" i="6"/>
  <c r="G248" i="6" s="1"/>
  <c r="K886" i="6"/>
  <c r="I1144" i="6"/>
  <c r="I814" i="6"/>
  <c r="I973" i="6"/>
  <c r="I974" i="6" s="1"/>
  <c r="I635" i="6"/>
  <c r="I1019" i="6"/>
  <c r="I1020" i="6" s="1"/>
  <c r="K1401" i="6"/>
  <c r="K192" i="6"/>
  <c r="K1340" i="6"/>
  <c r="K1345" i="6" s="1"/>
  <c r="I372" i="6"/>
  <c r="G1170" i="6"/>
  <c r="G1171" i="6" s="1"/>
  <c r="G235" i="6"/>
  <c r="G588" i="6"/>
  <c r="G589" i="6" s="1"/>
  <c r="G1413" i="6"/>
  <c r="G1414" i="6" s="1"/>
  <c r="I304" i="6"/>
  <c r="I306" i="6" s="1"/>
  <c r="G145" i="6"/>
  <c r="G675" i="6"/>
  <c r="G676" i="6" s="1"/>
  <c r="K842" i="6"/>
  <c r="K852" i="6" s="1"/>
  <c r="K853" i="6" s="1"/>
  <c r="G161" i="6"/>
  <c r="G162" i="6" s="1"/>
  <c r="G168" i="6" s="1"/>
  <c r="G169" i="6" s="1"/>
  <c r="G1307" i="6"/>
  <c r="K351" i="6"/>
  <c r="K353" i="6" s="1"/>
  <c r="I351" i="6"/>
  <c r="I353" i="6" s="1"/>
  <c r="K764" i="6"/>
  <c r="K765" i="6" s="1"/>
  <c r="G1198" i="6"/>
  <c r="G1199" i="6" s="1"/>
  <c r="K973" i="6"/>
  <c r="K974" i="6" s="1"/>
  <c r="G133" i="6"/>
  <c r="I885" i="6"/>
  <c r="I886" i="6" s="1"/>
  <c r="I1497" i="6"/>
  <c r="I1396" i="6"/>
  <c r="G1075" i="6"/>
  <c r="G601" i="6"/>
  <c r="G602" i="6" s="1"/>
  <c r="G294" i="6"/>
  <c r="G295" i="6" s="1"/>
  <c r="K1360" i="6"/>
  <c r="K919" i="6"/>
  <c r="I1171" i="6"/>
  <c r="I1401" i="6"/>
  <c r="K1144" i="6"/>
  <c r="I1452" i="6"/>
  <c r="I1462" i="6" s="1"/>
  <c r="I1463" i="6" s="1"/>
  <c r="G69" i="6"/>
  <c r="I941" i="6"/>
  <c r="I1491" i="6"/>
  <c r="I1502" i="6" s="1"/>
  <c r="I1503" i="6" s="1"/>
  <c r="I711" i="6"/>
  <c r="I1097" i="6"/>
  <c r="G1238" i="6"/>
  <c r="K1019" i="6"/>
  <c r="K1020" i="6" s="1"/>
  <c r="K725" i="6"/>
  <c r="K687" i="6"/>
  <c r="I893" i="6"/>
  <c r="K981" i="6"/>
  <c r="K1115" i="6"/>
  <c r="G330" i="6"/>
  <c r="G331" i="6" s="1"/>
  <c r="I1063" i="6"/>
  <c r="I1064" i="6" s="1"/>
  <c r="G687" i="6"/>
  <c r="G689" i="6" s="1"/>
  <c r="K985" i="6"/>
  <c r="G204" i="6"/>
  <c r="G206" i="6" s="1"/>
  <c r="G207" i="6" s="1"/>
  <c r="I1053" i="6"/>
  <c r="G416" i="6"/>
  <c r="G418" i="6" s="1"/>
  <c r="I287" i="6"/>
  <c r="I288" i="6" s="1"/>
  <c r="I294" i="6" s="1"/>
  <c r="I295" i="6" s="1"/>
  <c r="G372" i="6"/>
  <c r="I408" i="6"/>
  <c r="I410" i="6" s="1"/>
  <c r="I1179" i="6"/>
  <c r="G1457" i="6"/>
  <c r="K941" i="6"/>
  <c r="G1009" i="6"/>
  <c r="K699" i="6"/>
  <c r="K937" i="6"/>
  <c r="I719" i="6"/>
  <c r="I720" i="6" s="1"/>
  <c r="K1364" i="6"/>
  <c r="G1233" i="6"/>
  <c r="G1240" i="6" s="1"/>
  <c r="G1241" i="6" s="1"/>
  <c r="M764" i="6"/>
  <c r="M765" i="6" s="1"/>
  <c r="K1380" i="6"/>
  <c r="M1340" i="6"/>
  <c r="M1345" i="6" s="1"/>
  <c r="G1213" i="6"/>
  <c r="G941" i="6"/>
  <c r="G336" i="6"/>
  <c r="G1353" i="6"/>
  <c r="G1354" i="6" s="1"/>
  <c r="G1071" i="6"/>
  <c r="G1290" i="6"/>
  <c r="G963" i="6"/>
  <c r="M719" i="6"/>
  <c r="M720" i="6" s="1"/>
  <c r="G1419" i="6"/>
  <c r="I1108" i="6"/>
  <c r="G187" i="6"/>
  <c r="G188" i="6" s="1"/>
  <c r="G915" i="6"/>
  <c r="K187" i="6"/>
  <c r="K188" i="6" s="1"/>
  <c r="I463" i="6"/>
  <c r="I465" i="6" s="1"/>
  <c r="I466" i="6" s="1"/>
  <c r="G624" i="6"/>
  <c r="G625" i="6" s="1"/>
  <c r="K682" i="6"/>
  <c r="K683" i="6" s="1"/>
  <c r="G1451" i="6"/>
  <c r="G1452" i="6" s="1"/>
  <c r="G1185" i="6"/>
  <c r="G1401" i="6"/>
  <c r="G1396" i="6"/>
  <c r="I280" i="6"/>
  <c r="G39" i="6"/>
  <c r="G41" i="6" s="1"/>
  <c r="G608" i="6"/>
  <c r="G609" i="6" s="1"/>
  <c r="G616" i="6" s="1"/>
  <c r="G617" i="6" s="1"/>
  <c r="K1027" i="6"/>
  <c r="I725" i="6"/>
  <c r="G1497" i="6"/>
  <c r="K1108" i="6"/>
  <c r="I1213" i="6"/>
  <c r="I1009" i="6"/>
  <c r="I47" i="6"/>
  <c r="I49" i="6" s="1"/>
  <c r="I39" i="6"/>
  <c r="I41" i="6" s="1"/>
  <c r="I1364" i="6"/>
  <c r="I1366" i="6" s="1"/>
  <c r="I1367" i="6" s="1"/>
  <c r="G392" i="6"/>
  <c r="G394" i="6" s="1"/>
  <c r="G1207" i="6"/>
  <c r="K1325" i="6"/>
  <c r="K1330" i="6" s="1"/>
  <c r="K280" i="6"/>
  <c r="K282" i="6" s="1"/>
  <c r="K283" i="6" s="1"/>
  <c r="I431" i="6"/>
  <c r="I436" i="6" s="1"/>
  <c r="G792" i="6"/>
  <c r="I764" i="6"/>
  <c r="I765" i="6" s="1"/>
  <c r="K304" i="6"/>
  <c r="K306" i="6" s="1"/>
  <c r="I218" i="6"/>
  <c r="I220" i="6" s="1"/>
  <c r="K1523" i="6"/>
  <c r="K1524" i="6" s="1"/>
  <c r="I1207" i="6"/>
  <c r="I1199" i="6"/>
  <c r="K1031" i="6"/>
  <c r="I194" i="6"/>
  <c r="I195" i="6" s="1"/>
  <c r="G1049" i="6"/>
  <c r="I985" i="6"/>
  <c r="K463" i="6"/>
  <c r="K465" i="6" s="1"/>
  <c r="K466" i="6" s="1"/>
  <c r="I25" i="6"/>
  <c r="K392" i="6"/>
  <c r="K394" i="6" s="1"/>
  <c r="I69" i="6"/>
  <c r="I770" i="6"/>
  <c r="I775" i="6" s="1"/>
  <c r="I1071" i="6"/>
  <c r="I847" i="6"/>
  <c r="I1340" i="6"/>
  <c r="I1345" i="6" s="1"/>
  <c r="G1119" i="6"/>
  <c r="K897" i="6"/>
  <c r="I1284" i="6"/>
  <c r="I1285" i="6" s="1"/>
  <c r="I1290" i="6"/>
  <c r="I937" i="6"/>
  <c r="I929" i="6"/>
  <c r="I930" i="6" s="1"/>
  <c r="I919" i="6"/>
  <c r="G770" i="6"/>
  <c r="G775" i="6" s="1"/>
  <c r="K770" i="6"/>
  <c r="I275" i="6"/>
  <c r="I276" i="6" s="1"/>
  <c r="G631" i="6"/>
  <c r="K1284" i="6"/>
  <c r="K1285" i="6" s="1"/>
  <c r="K1290" i="6"/>
  <c r="G974" i="6"/>
  <c r="G893" i="6"/>
  <c r="G885" i="6"/>
  <c r="G886" i="6" s="1"/>
  <c r="G847" i="6"/>
  <c r="G841" i="6"/>
  <c r="G842" i="6" s="1"/>
  <c r="G408" i="6"/>
  <c r="G410" i="6" s="1"/>
  <c r="I199" i="6"/>
  <c r="I200" i="6" s="1"/>
  <c r="I206" i="6" s="1"/>
  <c r="I207" i="6" s="1"/>
  <c r="I1185" i="6"/>
  <c r="I87" i="6"/>
  <c r="I92" i="6" s="1"/>
  <c r="K71" i="6"/>
  <c r="G1115" i="6"/>
  <c r="G1107" i="6"/>
  <c r="G1108" i="6" s="1"/>
  <c r="G1027" i="6"/>
  <c r="G1019" i="6"/>
  <c r="G1020" i="6" s="1"/>
  <c r="G725" i="6"/>
  <c r="G719" i="6"/>
  <c r="G720" i="6" s="1"/>
  <c r="K1396" i="6"/>
  <c r="G324" i="6"/>
  <c r="G325" i="6" s="1"/>
  <c r="G937" i="6"/>
  <c r="G929" i="6"/>
  <c r="G930" i="6" s="1"/>
  <c r="K719" i="6"/>
  <c r="K720" i="6" s="1"/>
  <c r="M770" i="6"/>
  <c r="G919" i="6"/>
  <c r="G218" i="6"/>
  <c r="G220" i="6" s="1"/>
  <c r="I127" i="6"/>
  <c r="I128" i="6" s="1"/>
  <c r="I131" i="6"/>
  <c r="M1273" i="6"/>
  <c r="M1267" i="6"/>
  <c r="M1268" i="6" s="1"/>
  <c r="K1005" i="6"/>
  <c r="K997" i="6"/>
  <c r="K998" i="6" s="1"/>
  <c r="K959" i="6"/>
  <c r="K951" i="6"/>
  <c r="K952" i="6" s="1"/>
  <c r="I1384" i="6"/>
  <c r="G266" i="6"/>
  <c r="G267" i="6" s="1"/>
  <c r="G269" i="6" s="1"/>
  <c r="I624" i="6"/>
  <c r="I625" i="6" s="1"/>
  <c r="I1545" i="6"/>
  <c r="I1546" i="6" s="1"/>
  <c r="I1552" i="6"/>
  <c r="I1478" i="6"/>
  <c r="I1471" i="6"/>
  <c r="I1472" i="6" s="1"/>
  <c r="I1419" i="6"/>
  <c r="I1424" i="6" s="1"/>
  <c r="I1425" i="6" s="1"/>
  <c r="G1373" i="6"/>
  <c r="G1374" i="6" s="1"/>
  <c r="G1380" i="6"/>
  <c r="I1041" i="6"/>
  <c r="I1042" i="6" s="1"/>
  <c r="I1049" i="6"/>
  <c r="K915" i="6"/>
  <c r="K907" i="6"/>
  <c r="K908" i="6" s="1"/>
  <c r="G828" i="6"/>
  <c r="G833" i="6" s="1"/>
  <c r="G834" i="6" s="1"/>
  <c r="G802" i="6"/>
  <c r="G803" i="6" s="1"/>
  <c r="G810" i="6"/>
  <c r="G1536" i="6"/>
  <c r="G1537" i="6" s="1"/>
  <c r="I1267" i="6"/>
  <c r="I1268" i="6" s="1"/>
  <c r="I1273" i="6"/>
  <c r="G1085" i="6"/>
  <c r="G1086" i="6" s="1"/>
  <c r="G1093" i="6"/>
  <c r="I1005" i="6"/>
  <c r="I997" i="6"/>
  <c r="I998" i="6" s="1"/>
  <c r="K814" i="6"/>
  <c r="G734" i="6"/>
  <c r="G735" i="6" s="1"/>
  <c r="G740" i="6"/>
  <c r="I694" i="6"/>
  <c r="I695" i="6" s="1"/>
  <c r="I699" i="6"/>
  <c r="I490" i="6"/>
  <c r="I491" i="6" s="1"/>
  <c r="I495" i="6"/>
  <c r="I175" i="6"/>
  <c r="I176" i="6" s="1"/>
  <c r="I180" i="6"/>
  <c r="M1130" i="6"/>
  <c r="M1131" i="6" s="1"/>
  <c r="M1139" i="6"/>
  <c r="I863" i="6"/>
  <c r="I864" i="6" s="1"/>
  <c r="I871" i="6"/>
  <c r="G192" i="6"/>
  <c r="I1433" i="6"/>
  <c r="I1434" i="6" s="1"/>
  <c r="I1439" i="6"/>
  <c r="K1384" i="6"/>
  <c r="I1233" i="6"/>
  <c r="I1240" i="6" s="1"/>
  <c r="I1241" i="6" s="1"/>
  <c r="I1119" i="6"/>
  <c r="I258" i="6"/>
  <c r="I259" i="6" s="1"/>
  <c r="I261" i="6" s="1"/>
  <c r="G1179" i="6"/>
  <c r="K930" i="6"/>
  <c r="G897" i="6"/>
  <c r="K749" i="6"/>
  <c r="K750" i="6" s="1"/>
  <c r="K755" i="6"/>
  <c r="M745" i="6"/>
  <c r="G1471" i="6"/>
  <c r="G1472" i="6" s="1"/>
  <c r="G1478" i="6"/>
  <c r="I907" i="6"/>
  <c r="I908" i="6" s="1"/>
  <c r="I915" i="6"/>
  <c r="G175" i="6"/>
  <c r="G176" i="6" s="1"/>
  <c r="G180" i="6"/>
  <c r="G1139" i="6"/>
  <c r="G1130" i="6"/>
  <c r="G1131" i="6" s="1"/>
  <c r="K1064" i="6"/>
  <c r="K1077" i="6" s="1"/>
  <c r="K1078" i="6" s="1"/>
  <c r="G749" i="6"/>
  <c r="G750" i="6" s="1"/>
  <c r="G755" i="6"/>
  <c r="G863" i="6"/>
  <c r="G864" i="6" s="1"/>
  <c r="G871" i="6"/>
  <c r="K1552" i="6"/>
  <c r="K1545" i="6"/>
  <c r="K1546" i="6" s="1"/>
  <c r="I1380" i="6"/>
  <c r="I1373" i="6"/>
  <c r="I1374" i="6" s="1"/>
  <c r="K1049" i="6"/>
  <c r="K1041" i="6"/>
  <c r="K1042" i="6" s="1"/>
  <c r="I810" i="6"/>
  <c r="I802" i="6"/>
  <c r="I803" i="6" s="1"/>
  <c r="G694" i="6"/>
  <c r="G695" i="6" s="1"/>
  <c r="G699" i="6"/>
  <c r="G1267" i="6"/>
  <c r="G1268" i="6" s="1"/>
  <c r="G1273" i="6"/>
  <c r="I1085" i="6"/>
  <c r="I1086" i="6" s="1"/>
  <c r="I1093" i="6"/>
  <c r="I828" i="6"/>
  <c r="I833" i="6" s="1"/>
  <c r="I834" i="6" s="1"/>
  <c r="K734" i="6"/>
  <c r="K735" i="6" s="1"/>
  <c r="K740" i="6"/>
  <c r="G490" i="6"/>
  <c r="G491" i="6" s="1"/>
  <c r="G495" i="6"/>
  <c r="I1139" i="6"/>
  <c r="I1130" i="6"/>
  <c r="I1131" i="6" s="1"/>
  <c r="G951" i="6"/>
  <c r="G952" i="6" s="1"/>
  <c r="G959" i="6"/>
  <c r="K871" i="6"/>
  <c r="K863" i="6"/>
  <c r="K864" i="6" s="1"/>
  <c r="K810" i="6"/>
  <c r="K694" i="6"/>
  <c r="K695" i="6" s="1"/>
  <c r="I266" i="6"/>
  <c r="I267" i="6" s="1"/>
  <c r="I269" i="6" s="1"/>
  <c r="K1439" i="6"/>
  <c r="K1433" i="6"/>
  <c r="K1434" i="6" s="1"/>
  <c r="K1373" i="6"/>
  <c r="K1374" i="6" s="1"/>
  <c r="I168" i="6"/>
  <c r="I169" i="6" s="1"/>
  <c r="G20" i="6"/>
  <c r="G30" i="6" s="1"/>
  <c r="G31" i="6" s="1"/>
  <c r="I897" i="6"/>
  <c r="M755" i="6"/>
  <c r="M749" i="6"/>
  <c r="M750" i="6" s="1"/>
  <c r="I614" i="6"/>
  <c r="I616" i="6" s="1"/>
  <c r="I617" i="6" s="1"/>
  <c r="G655" i="6"/>
  <c r="G656" i="6" s="1"/>
  <c r="I1307" i="6"/>
  <c r="I1301" i="6"/>
  <c r="I1302" i="6" s="1"/>
  <c r="G1433" i="6"/>
  <c r="G1434" i="6" s="1"/>
  <c r="G1439" i="6"/>
  <c r="G514" i="6"/>
  <c r="G87" i="6"/>
  <c r="G79" i="6"/>
  <c r="G80" i="6" s="1"/>
  <c r="G1511" i="6"/>
  <c r="G1512" i="6" s="1"/>
  <c r="G1518" i="6"/>
  <c r="I1518" i="6"/>
  <c r="I1511" i="6"/>
  <c r="I1512" i="6" s="1"/>
  <c r="G1340" i="6"/>
  <c r="G1345" i="6" s="1"/>
  <c r="M1325" i="6"/>
  <c r="M1330" i="6" s="1"/>
  <c r="K1307" i="6"/>
  <c r="K1301" i="6"/>
  <c r="K1302" i="6" s="1"/>
  <c r="K1267" i="6"/>
  <c r="K1268" i="6" s="1"/>
  <c r="K1273" i="6"/>
  <c r="K1093" i="6"/>
  <c r="K1085" i="6"/>
  <c r="K1086" i="6" s="1"/>
  <c r="G997" i="6"/>
  <c r="G998" i="6" s="1"/>
  <c r="G1005" i="6"/>
  <c r="K828" i="6"/>
  <c r="K833" i="6" s="1"/>
  <c r="K834" i="6" s="1"/>
  <c r="I341" i="6"/>
  <c r="I342" i="6" s="1"/>
  <c r="I740" i="6"/>
  <c r="I734" i="6"/>
  <c r="I735" i="6" s="1"/>
  <c r="K1130" i="6"/>
  <c r="K1131" i="6" s="1"/>
  <c r="K1139" i="6"/>
  <c r="I951" i="6"/>
  <c r="I952" i="6" s="1"/>
  <c r="I959" i="6"/>
  <c r="G1041" i="6"/>
  <c r="G1042" i="6" s="1"/>
  <c r="K258" i="6"/>
  <c r="K259" i="6" s="1"/>
  <c r="K261" i="6" s="1"/>
  <c r="K266" i="6"/>
  <c r="K267" i="6" s="1"/>
  <c r="K269" i="6" s="1"/>
  <c r="I749" i="6"/>
  <c r="I750" i="6" s="1"/>
  <c r="I755" i="6"/>
  <c r="G1406" i="6" l="1"/>
  <c r="G1407" i="6" s="1"/>
  <c r="G341" i="6"/>
  <c r="G342" i="6" s="1"/>
  <c r="M730" i="6"/>
  <c r="G1312" i="6"/>
  <c r="G1313" i="6" s="1"/>
  <c r="I730" i="6"/>
  <c r="K168" i="6"/>
  <c r="K169" i="6" s="1"/>
  <c r="I1483" i="6"/>
  <c r="I1484" i="6" s="1"/>
  <c r="I1033" i="6"/>
  <c r="I1034" i="6" s="1"/>
  <c r="G374" i="6"/>
  <c r="G375" i="6" s="1"/>
  <c r="I374" i="6"/>
  <c r="I375" i="6" s="1"/>
  <c r="G1077" i="6"/>
  <c r="G1078" i="6" s="1"/>
  <c r="K1406" i="6"/>
  <c r="K1407" i="6" s="1"/>
  <c r="G987" i="6"/>
  <c r="G988" i="6" s="1"/>
  <c r="I637" i="6"/>
  <c r="I638" i="6" s="1"/>
  <c r="I1187" i="6"/>
  <c r="I1188" i="6" s="1"/>
  <c r="K987" i="6"/>
  <c r="K988" i="6" s="1"/>
  <c r="K899" i="6"/>
  <c r="K900" i="6" s="1"/>
  <c r="I1406" i="6"/>
  <c r="I1407" i="6" s="1"/>
  <c r="I282" i="6"/>
  <c r="I283" i="6" s="1"/>
  <c r="G1121" i="6"/>
  <c r="G1122" i="6" s="1"/>
  <c r="K1366" i="6"/>
  <c r="K1367" i="6" s="1"/>
  <c r="G194" i="6"/>
  <c r="G195" i="6" s="1"/>
  <c r="K1121" i="6"/>
  <c r="K1122" i="6" s="1"/>
  <c r="G1462" i="6"/>
  <c r="G1463" i="6" s="1"/>
  <c r="I30" i="6"/>
  <c r="I31" i="6" s="1"/>
  <c r="G921" i="6"/>
  <c r="G922" i="6" s="1"/>
  <c r="K816" i="6"/>
  <c r="K817" i="6" s="1"/>
  <c r="G1295" i="6"/>
  <c r="G1296" i="6" s="1"/>
  <c r="I713" i="6"/>
  <c r="G71" i="6"/>
  <c r="K689" i="6"/>
  <c r="K194" i="6"/>
  <c r="K195" i="6" s="1"/>
  <c r="I1215" i="6"/>
  <c r="I1216" i="6" s="1"/>
  <c r="G1424" i="6"/>
  <c r="G1425" i="6" s="1"/>
  <c r="K775" i="6"/>
  <c r="G1366" i="6"/>
  <c r="G1367" i="6" s="1"/>
  <c r="K1033" i="6"/>
  <c r="K1034" i="6" s="1"/>
  <c r="I1077" i="6"/>
  <c r="I1078" i="6" s="1"/>
  <c r="K943" i="6"/>
  <c r="K944" i="6" s="1"/>
  <c r="M775" i="6"/>
  <c r="I852" i="6"/>
  <c r="I853" i="6" s="1"/>
  <c r="K730" i="6"/>
  <c r="G637" i="6"/>
  <c r="G638" i="6" s="1"/>
  <c r="I987" i="6"/>
  <c r="I988" i="6" s="1"/>
  <c r="I71" i="6"/>
  <c r="I1121" i="6"/>
  <c r="I1122" i="6" s="1"/>
  <c r="G1502" i="6"/>
  <c r="G1503" i="6" s="1"/>
  <c r="G1055" i="6"/>
  <c r="G1056" i="6" s="1"/>
  <c r="K701" i="6"/>
  <c r="G1215" i="6"/>
  <c r="G1216" i="6" s="1"/>
  <c r="I745" i="6"/>
  <c r="I1523" i="6"/>
  <c r="I1524" i="6" s="1"/>
  <c r="K1444" i="6"/>
  <c r="K1445" i="6" s="1"/>
  <c r="I1146" i="6"/>
  <c r="I1147" i="6" s="1"/>
  <c r="I1099" i="6"/>
  <c r="I1100" i="6" s="1"/>
  <c r="I1386" i="6"/>
  <c r="I1387" i="6" s="1"/>
  <c r="M1278" i="6"/>
  <c r="M1279" i="6" s="1"/>
  <c r="G899" i="6"/>
  <c r="G900" i="6" s="1"/>
  <c r="G730" i="6"/>
  <c r="I943" i="6"/>
  <c r="I944" i="6" s="1"/>
  <c r="I497" i="6"/>
  <c r="I498" i="6" s="1"/>
  <c r="G745" i="6"/>
  <c r="I899" i="6"/>
  <c r="I900" i="6" s="1"/>
  <c r="G1033" i="6"/>
  <c r="G1034" i="6" s="1"/>
  <c r="K1295" i="6"/>
  <c r="K1296" i="6" s="1"/>
  <c r="K1099" i="6"/>
  <c r="K1100" i="6" s="1"/>
  <c r="G965" i="6"/>
  <c r="G966" i="6" s="1"/>
  <c r="G1278" i="6"/>
  <c r="G1279" i="6" s="1"/>
  <c r="K1055" i="6"/>
  <c r="K1056" i="6" s="1"/>
  <c r="K1557" i="6"/>
  <c r="K1558" i="6" s="1"/>
  <c r="G1483" i="6"/>
  <c r="G1484" i="6" s="1"/>
  <c r="I1011" i="6"/>
  <c r="I1012" i="6" s="1"/>
  <c r="K1011" i="6"/>
  <c r="K1012" i="6" s="1"/>
  <c r="G943" i="6"/>
  <c r="G944" i="6" s="1"/>
  <c r="I109" i="6"/>
  <c r="I104" i="6"/>
  <c r="I99" i="6"/>
  <c r="G1187" i="6"/>
  <c r="G1188" i="6" s="1"/>
  <c r="G852" i="6"/>
  <c r="G853" i="6" s="1"/>
  <c r="I1295" i="6"/>
  <c r="I1296" i="6" s="1"/>
  <c r="K1312" i="6"/>
  <c r="K1313" i="6" s="1"/>
  <c r="I1312" i="6"/>
  <c r="I1313" i="6" s="1"/>
  <c r="K921" i="6"/>
  <c r="K922" i="6" s="1"/>
  <c r="K965" i="6"/>
  <c r="K966" i="6" s="1"/>
  <c r="I760" i="6"/>
  <c r="G1523" i="6"/>
  <c r="G1524" i="6" s="1"/>
  <c r="K1386" i="6"/>
  <c r="K1387" i="6" s="1"/>
  <c r="G497" i="6"/>
  <c r="G498" i="6" s="1"/>
  <c r="G760" i="6"/>
  <c r="I877" i="6"/>
  <c r="I878" i="6" s="1"/>
  <c r="G1099" i="6"/>
  <c r="G1100" i="6" s="1"/>
  <c r="I133" i="6"/>
  <c r="K1146" i="6"/>
  <c r="K1147" i="6" s="1"/>
  <c r="G701" i="6"/>
  <c r="G182" i="6"/>
  <c r="G183" i="6" s="1"/>
  <c r="I921" i="6"/>
  <c r="I922" i="6" s="1"/>
  <c r="I1444" i="6"/>
  <c r="I1445" i="6" s="1"/>
  <c r="I182" i="6"/>
  <c r="I183" i="6" s="1"/>
  <c r="I701" i="6"/>
  <c r="G816" i="6"/>
  <c r="G817" i="6" s="1"/>
  <c r="I1055" i="6"/>
  <c r="I1056" i="6" s="1"/>
  <c r="G1386" i="6"/>
  <c r="G1387" i="6" s="1"/>
  <c r="I965" i="6"/>
  <c r="I966" i="6" s="1"/>
  <c r="G1011" i="6"/>
  <c r="G1012" i="6" s="1"/>
  <c r="K1278" i="6"/>
  <c r="K1279" i="6" s="1"/>
  <c r="G92" i="6"/>
  <c r="G1444" i="6"/>
  <c r="G1445" i="6" s="1"/>
  <c r="M760" i="6"/>
  <c r="K877" i="6"/>
  <c r="K878" i="6" s="1"/>
  <c r="K745" i="6"/>
  <c r="I816" i="6"/>
  <c r="I817" i="6" s="1"/>
  <c r="G877" i="6"/>
  <c r="G878" i="6" s="1"/>
  <c r="G1146" i="6"/>
  <c r="G1147" i="6" s="1"/>
  <c r="K760" i="6"/>
  <c r="M1146" i="6"/>
  <c r="M1147" i="6" s="1"/>
  <c r="I1278" i="6"/>
  <c r="I1279" i="6" s="1"/>
  <c r="I1557" i="6"/>
  <c r="I1558" i="6" s="1"/>
  <c r="G104" i="6" l="1"/>
  <c r="G99" i="6"/>
  <c r="G109" i="6"/>
</calcChain>
</file>

<file path=xl/sharedStrings.xml><?xml version="1.0" encoding="utf-8"?>
<sst xmlns="http://schemas.openxmlformats.org/spreadsheetml/2006/main" count="3130" uniqueCount="391">
  <si>
    <t>콘크리트공</t>
  </si>
  <si>
    <t>0.7㎥</t>
  </si>
  <si>
    <t>그라우팅펌프</t>
  </si>
  <si>
    <t>도장공</t>
  </si>
  <si>
    <t>형틀목공</t>
  </si>
  <si>
    <t>미장공</t>
  </si>
  <si>
    <t>방수공</t>
  </si>
  <si>
    <t>배관공</t>
  </si>
  <si>
    <t>보통인부</t>
  </si>
  <si>
    <t>비계공</t>
  </si>
  <si>
    <t>연마공</t>
  </si>
  <si>
    <t>콘크리트펌프차</t>
  </si>
  <si>
    <t>트럭탑재형크레인</t>
  </si>
  <si>
    <t>철공</t>
  </si>
  <si>
    <t>철근공</t>
  </si>
  <si>
    <t>0.2㎥</t>
  </si>
  <si>
    <t>그라우팅믹서</t>
  </si>
  <si>
    <t>지게차</t>
  </si>
  <si>
    <t>0.6㎥</t>
  </si>
  <si>
    <t>0.8㎥</t>
  </si>
  <si>
    <t>강연선인장기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</si>
  <si>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</si>
  <si>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</si>
  <si>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</si>
  <si>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</si>
  <si>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</si>
  <si>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</si>
  <si>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공구손료</t>
    <phoneticPr fontId="5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</si>
  <si>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</si>
  <si>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</si>
  <si>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</si>
  <si>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</si>
  <si>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인력품의 3%</t>
    <phoneticPr fontId="3" type="noConversion"/>
  </si>
  <si>
    <t>합   계</t>
    <phoneticPr fontId="3" type="noConversion"/>
  </si>
  <si>
    <t>hr</t>
    <phoneticPr fontId="3" type="noConversion"/>
  </si>
  <si>
    <t>식</t>
    <phoneticPr fontId="3" type="noConversion"/>
  </si>
  <si>
    <t>규격</t>
    <phoneticPr fontId="5" type="noConversion"/>
  </si>
  <si>
    <t>15ton</t>
    <phoneticPr fontId="3" type="noConversion"/>
  </si>
  <si>
    <t>㎏</t>
    <phoneticPr fontId="3" type="noConversion"/>
  </si>
  <si>
    <t>크레인(타이어)</t>
    <phoneticPr fontId="3" type="noConversion"/>
  </si>
  <si>
    <t>25ton</t>
    <phoneticPr fontId="3" type="noConversion"/>
  </si>
  <si>
    <t>0.7㎥</t>
    <phoneticPr fontId="3" type="noConversion"/>
  </si>
  <si>
    <t>특별인부</t>
  </si>
  <si>
    <t>제6장 철근콘크리트공사</t>
    <phoneticPr fontId="3" type="noConversion"/>
  </si>
  <si>
    <t>6-1 콘크리트</t>
    <phoneticPr fontId="3" type="noConversion"/>
  </si>
  <si>
    <t>(ton당)</t>
  </si>
  <si>
    <t>(㎥당)</t>
  </si>
  <si>
    <t>인력운반타설</t>
    <phoneticPr fontId="3" type="noConversion"/>
  </si>
  <si>
    <t>무근구조물</t>
    <phoneticPr fontId="5" type="noConversion"/>
  </si>
  <si>
    <t>철근구조물</t>
    <phoneticPr fontId="5" type="noConversion"/>
  </si>
  <si>
    <t>소형구조물</t>
    <phoneticPr fontId="5" type="noConversion"/>
  </si>
  <si>
    <t>인력품의 2%</t>
    <phoneticPr fontId="3" type="noConversion"/>
  </si>
  <si>
    <t>장비사용타설</t>
    <phoneticPr fontId="3" type="noConversion"/>
  </si>
  <si>
    <t>6-1-1 레디믹스트콘크리트 타설</t>
  </si>
  <si>
    <t>기계비빔타설</t>
    <phoneticPr fontId="3" type="noConversion"/>
  </si>
  <si>
    <t>6-1-2 현장비빔타설</t>
  </si>
  <si>
    <t>인력비빔타설</t>
    <phoneticPr fontId="3" type="noConversion"/>
  </si>
  <si>
    <t>(100㎡당)</t>
    <phoneticPr fontId="3" type="noConversion"/>
  </si>
  <si>
    <t>6-1-3 표면 마무리</t>
    <phoneticPr fontId="5" type="noConversion"/>
  </si>
  <si>
    <t>[참고]용적 배합 콘크리트</t>
    <phoneticPr fontId="5" type="noConversion"/>
  </si>
  <si>
    <t>(㎥당)</t>
    <phoneticPr fontId="5" type="noConversion"/>
  </si>
  <si>
    <t>1:2:4</t>
  </si>
  <si>
    <t>1:3:6</t>
  </si>
  <si>
    <t>1:4:8</t>
  </si>
  <si>
    <t>시멘트</t>
  </si>
  <si>
    <t>모래</t>
  </si>
  <si>
    <t>자갈</t>
  </si>
  <si>
    <t>25㎜</t>
    <phoneticPr fontId="3" type="noConversion"/>
  </si>
  <si>
    <t>㎥</t>
    <phoneticPr fontId="3" type="noConversion"/>
  </si>
  <si>
    <t>6-1-4 콘크리트 펌프차 타설</t>
    <phoneticPr fontId="3" type="noConversion"/>
  </si>
  <si>
    <t>2. 인력편성</t>
    <phoneticPr fontId="3" type="noConversion"/>
  </si>
  <si>
    <t>타설/진동기/면정리</t>
    <phoneticPr fontId="3" type="noConversion"/>
  </si>
  <si>
    <t>현장정리/보조</t>
  </si>
  <si>
    <t>4. 압송관 설치 및 철거</t>
    <phoneticPr fontId="5" type="noConversion"/>
  </si>
  <si>
    <t>설치</t>
    <phoneticPr fontId="5" type="noConversion"/>
  </si>
  <si>
    <t>철거</t>
    <phoneticPr fontId="5" type="noConversion"/>
  </si>
  <si>
    <t>(m당)</t>
    <phoneticPr fontId="3" type="noConversion"/>
  </si>
  <si>
    <t>매</t>
    <phoneticPr fontId="3" type="noConversion"/>
  </si>
  <si>
    <t>특별인부</t>
    <phoneticPr fontId="3" type="noConversion"/>
  </si>
  <si>
    <t>신구-콘크리트접착제</t>
    <phoneticPr fontId="5" type="noConversion"/>
  </si>
  <si>
    <t>콘크리트 및 고무 기타 접착제바르기</t>
    <phoneticPr fontId="5" type="noConversion"/>
  </si>
  <si>
    <t>(㎡당)</t>
    <phoneticPr fontId="5" type="noConversion"/>
  </si>
  <si>
    <t>시너</t>
    <phoneticPr fontId="3" type="noConversion"/>
  </si>
  <si>
    <t>Epoxy신구-콘크리트접착제</t>
    <phoneticPr fontId="3" type="noConversion"/>
  </si>
  <si>
    <t>Epoxy-콘크리트고무접착제</t>
    <phoneticPr fontId="3" type="noConversion"/>
  </si>
  <si>
    <t>ℓ</t>
    <phoneticPr fontId="3" type="noConversion"/>
  </si>
  <si>
    <t>6-2 철근</t>
    <phoneticPr fontId="3" type="noConversion"/>
  </si>
  <si>
    <t>간단</t>
    <phoneticPr fontId="5" type="noConversion"/>
  </si>
  <si>
    <t>보통</t>
    <phoneticPr fontId="5" type="noConversion"/>
  </si>
  <si>
    <t>복잡</t>
    <phoneticPr fontId="5" type="noConversion"/>
  </si>
  <si>
    <t>아세틸렌</t>
  </si>
  <si>
    <t>산소</t>
  </si>
  <si>
    <t>용접공</t>
  </si>
  <si>
    <t>절단공</t>
  </si>
  <si>
    <t>조력공</t>
  </si>
  <si>
    <t>(철근공)</t>
    <phoneticPr fontId="3" type="noConversion"/>
  </si>
  <si>
    <t>(개소당)</t>
    <phoneticPr fontId="5" type="noConversion"/>
  </si>
  <si>
    <t>6-3 거푸집</t>
    <phoneticPr fontId="3" type="noConversion"/>
  </si>
  <si>
    <t>6-3-1 합판거푸집 설치 및 해체</t>
    <phoneticPr fontId="3" type="noConversion"/>
  </si>
  <si>
    <t>소모자재(박리재 등)</t>
    <phoneticPr fontId="5" type="noConversion"/>
  </si>
  <si>
    <t>주자재비의 %</t>
    <phoneticPr fontId="3" type="noConversion"/>
  </si>
  <si>
    <t>합판</t>
  </si>
  <si>
    <t>각재</t>
  </si>
  <si>
    <t>㎡</t>
    <phoneticPr fontId="3" type="noConversion"/>
  </si>
  <si>
    <t>(㎡당)</t>
    <phoneticPr fontId="3" type="noConversion"/>
  </si>
  <si>
    <t>1회</t>
  </si>
  <si>
    <t>2회</t>
  </si>
  <si>
    <t>3회</t>
  </si>
  <si>
    <t>4회</t>
  </si>
  <si>
    <t>5회</t>
  </si>
  <si>
    <t>6회</t>
  </si>
  <si>
    <t>2. 자재수량</t>
  </si>
  <si>
    <t>2. 자재수량</t>
    <phoneticPr fontId="3" type="noConversion"/>
  </si>
  <si>
    <t>3. 설치 및 해체</t>
  </si>
  <si>
    <t>인력품의 1%</t>
    <phoneticPr fontId="3" type="noConversion"/>
  </si>
  <si>
    <t>제물치장</t>
    <phoneticPr fontId="5" type="noConversion"/>
  </si>
  <si>
    <t>복 잡</t>
    <phoneticPr fontId="5" type="noConversion"/>
  </si>
  <si>
    <t>보 통</t>
    <phoneticPr fontId="5" type="noConversion"/>
  </si>
  <si>
    <t>간 단</t>
    <phoneticPr fontId="5" type="noConversion"/>
  </si>
  <si>
    <t>6-3-2 강재거푸집 설치 및 해체</t>
    <phoneticPr fontId="3" type="noConversion"/>
  </si>
  <si>
    <t>2. 인력 설치 및 해체</t>
  </si>
  <si>
    <t>코핑</t>
    <phoneticPr fontId="5" type="noConversion"/>
  </si>
  <si>
    <t>교각</t>
    <phoneticPr fontId="5" type="noConversion"/>
  </si>
  <si>
    <t>3. 장비조합 설치 및 해체</t>
  </si>
  <si>
    <t>인력품의 4%</t>
    <phoneticPr fontId="3" type="noConversion"/>
  </si>
  <si>
    <t>패널</t>
  </si>
  <si>
    <t>인력품의 5%</t>
    <phoneticPr fontId="3" type="noConversion"/>
  </si>
  <si>
    <t>600×1,200㎜</t>
    <phoneticPr fontId="3" type="noConversion"/>
  </si>
  <si>
    <t>m</t>
  </si>
  <si>
    <t>(10㎡당)</t>
    <phoneticPr fontId="5" type="noConversion"/>
  </si>
  <si>
    <t>6-3-3 유로폼 설치 및 해체</t>
    <phoneticPr fontId="3" type="noConversion"/>
  </si>
  <si>
    <t>설치</t>
    <phoneticPr fontId="3" type="noConversion"/>
  </si>
  <si>
    <t>해체</t>
    <phoneticPr fontId="3" type="noConversion"/>
  </si>
  <si>
    <t xml:space="preserve"> 합계</t>
    <phoneticPr fontId="3" type="noConversion"/>
  </si>
  <si>
    <t>6-3-4 문양거푸집(판넬) 설치 및 해체</t>
  </si>
  <si>
    <t>6-3-5 합성수지(P.E)원형 맨홀 거푸집 설치 및 해체</t>
  </si>
  <si>
    <t>(개소당)</t>
    <phoneticPr fontId="3" type="noConversion"/>
  </si>
  <si>
    <t>ø740</t>
    <phoneticPr fontId="3" type="noConversion"/>
  </si>
  <si>
    <t>ø900</t>
    <phoneticPr fontId="3" type="noConversion"/>
  </si>
  <si>
    <t>ø1200</t>
    <phoneticPr fontId="3" type="noConversion"/>
  </si>
  <si>
    <t>ø1500</t>
    <phoneticPr fontId="3" type="noConversion"/>
  </si>
  <si>
    <t>ø1800</t>
    <phoneticPr fontId="3" type="noConversion"/>
  </si>
  <si>
    <t>기초 및 슬래브</t>
    <phoneticPr fontId="3" type="noConversion"/>
  </si>
  <si>
    <t>벽체 (H=1.0m 기준)</t>
    <phoneticPr fontId="3" type="noConversion"/>
  </si>
  <si>
    <t>특수비계공</t>
  </si>
  <si>
    <t>100ton</t>
  </si>
  <si>
    <t>100ton</t>
    <phoneticPr fontId="3" type="noConversion"/>
  </si>
  <si>
    <t>해체</t>
    <phoneticPr fontId="5" type="noConversion"/>
  </si>
  <si>
    <t>6-3-6 슬립폼 공법</t>
  </si>
  <si>
    <t>1. 설치 및 해체</t>
  </si>
  <si>
    <t>2. 인상(SLIP-UP)</t>
  </si>
  <si>
    <t>기계설비공</t>
  </si>
  <si>
    <t>(단위당)</t>
    <phoneticPr fontId="3" type="noConversion"/>
  </si>
  <si>
    <t>콘크리트타설 (㎥당)</t>
    <phoneticPr fontId="5" type="noConversion"/>
  </si>
  <si>
    <t>철근조립 (ton당)</t>
    <phoneticPr fontId="5" type="noConversion"/>
  </si>
  <si>
    <t>3. 철근조립 및 콘크리트타설</t>
    <phoneticPr fontId="3" type="noConversion"/>
  </si>
  <si>
    <t>6-3-7 알루미늄폼 설치 및 해체</t>
    <phoneticPr fontId="3" type="noConversion"/>
  </si>
  <si>
    <t>셋팅층</t>
    <phoneticPr fontId="5" type="noConversion"/>
  </si>
  <si>
    <t>마감층</t>
    <phoneticPr fontId="5" type="noConversion"/>
  </si>
  <si>
    <t>일반층</t>
    <phoneticPr fontId="5" type="noConversion"/>
  </si>
  <si>
    <t>6-3-8 갱폼 설치 및 해체</t>
  </si>
  <si>
    <t>6-3-9 지수판 설치</t>
    <phoneticPr fontId="3" type="noConversion"/>
  </si>
  <si>
    <t>1. PVC 용접</t>
  </si>
  <si>
    <t>(m당)</t>
    <phoneticPr fontId="5" type="noConversion"/>
  </si>
  <si>
    <t>PVC 지수판</t>
  </si>
  <si>
    <t>PVC 용접봉</t>
  </si>
  <si>
    <t>철선</t>
  </si>
  <si>
    <t>200×5t</t>
    <phoneticPr fontId="3" type="noConversion"/>
  </si>
  <si>
    <t>#8</t>
    <phoneticPr fontId="3" type="noConversion"/>
  </si>
  <si>
    <t>㎏</t>
  </si>
  <si>
    <t>2. 소켓 연결</t>
  </si>
  <si>
    <t>6-3-10 신축이음(Expansion Joint) 설치</t>
    <phoneticPr fontId="3" type="noConversion"/>
  </si>
  <si>
    <t>1. 다웰바 설치</t>
    <phoneticPr fontId="3" type="noConversion"/>
  </si>
  <si>
    <t>(개당)</t>
  </si>
  <si>
    <t>2. 채움재 설치</t>
    <phoneticPr fontId="3" type="noConversion"/>
  </si>
  <si>
    <t>3. 실링 마감</t>
  </si>
  <si>
    <t>6-4 포스트텐션(Post Tension) 구조물 제작</t>
  </si>
  <si>
    <t>6-4-1 PSC빔 제작</t>
  </si>
  <si>
    <t>(개당)</t>
    <phoneticPr fontId="3" type="noConversion"/>
  </si>
  <si>
    <t>3. 쉬즈관 설치</t>
  </si>
  <si>
    <t>(ton당)</t>
    <phoneticPr fontId="3" type="noConversion"/>
  </si>
  <si>
    <t>ø12.7㎜</t>
    <phoneticPr fontId="5" type="noConversion"/>
  </si>
  <si>
    <t>ø15.2㎜</t>
    <phoneticPr fontId="5" type="noConversion"/>
  </si>
  <si>
    <t>5. 인장</t>
  </si>
  <si>
    <t>강연선인장기</t>
    <phoneticPr fontId="3" type="noConversion"/>
  </si>
  <si>
    <t>250ton</t>
    <phoneticPr fontId="3" type="noConversion"/>
  </si>
  <si>
    <t>6. 그라우팅</t>
  </si>
  <si>
    <t>(㎥당)</t>
    <phoneticPr fontId="3" type="noConversion"/>
  </si>
  <si>
    <t>인력품의 6%</t>
    <phoneticPr fontId="3" type="noConversion"/>
  </si>
  <si>
    <t>6-4-2 PSC BOX 설치</t>
    <phoneticPr fontId="3" type="noConversion"/>
  </si>
  <si>
    <t>2. 정착구 설치</t>
    <phoneticPr fontId="3" type="noConversion"/>
  </si>
  <si>
    <t>4. 강연선 설치</t>
    <phoneticPr fontId="3" type="noConversion"/>
  </si>
  <si>
    <t>쉬즈관 규격 ø75㎜ 이하</t>
    <phoneticPr fontId="3" type="noConversion"/>
  </si>
  <si>
    <t>쉬즈관 규격 ø100㎜ 이하</t>
    <phoneticPr fontId="3" type="noConversion"/>
  </si>
  <si>
    <t>쉬즈관 규격 ø130㎜ 이하</t>
    <phoneticPr fontId="3" type="noConversion"/>
  </si>
  <si>
    <t>강연선 규격 ø12.7㎜</t>
    <phoneticPr fontId="5" type="noConversion"/>
  </si>
  <si>
    <t>강연선 규격 ø15.2㎜</t>
    <phoneticPr fontId="5" type="noConversion"/>
  </si>
  <si>
    <t>300ton</t>
    <phoneticPr fontId="3" type="noConversion"/>
  </si>
  <si>
    <t>1단 인장</t>
    <phoneticPr fontId="3" type="noConversion"/>
  </si>
  <si>
    <t>강연선 규격 7 ø12.7㎜</t>
    <phoneticPr fontId="5" type="noConversion"/>
  </si>
  <si>
    <t>강연선 규격 12 ø12.7㎜</t>
    <phoneticPr fontId="5" type="noConversion"/>
  </si>
  <si>
    <t>강연선 규격 19 ø12.7㎜</t>
    <phoneticPr fontId="5" type="noConversion"/>
  </si>
  <si>
    <t>강연선 규격 31 ø12.7㎜</t>
    <phoneticPr fontId="5" type="noConversion"/>
  </si>
  <si>
    <t>강연선 규격 7 ø15.2㎜</t>
  </si>
  <si>
    <t>강연선 규격 12 ø15.2㎜</t>
  </si>
  <si>
    <t>강연선 규격 19 ø15.2㎜</t>
  </si>
  <si>
    <t>강연선 규격 31 ø15.2㎜</t>
  </si>
  <si>
    <t>양단 인장</t>
    <phoneticPr fontId="3" type="noConversion"/>
  </si>
  <si>
    <t>190×2ℓ</t>
    <phoneticPr fontId="3" type="noConversion"/>
  </si>
  <si>
    <t>30∼60 ℓ/min</t>
    <phoneticPr fontId="3" type="noConversion"/>
  </si>
  <si>
    <t>6-5 교량 가설공</t>
    <phoneticPr fontId="3" type="noConversion"/>
  </si>
  <si>
    <t>6-6 교량 부대공</t>
    <phoneticPr fontId="3" type="noConversion"/>
  </si>
  <si>
    <t>10ton</t>
    <phoneticPr fontId="3" type="noConversion"/>
  </si>
  <si>
    <t>브레이커</t>
    <phoneticPr fontId="3" type="noConversion"/>
  </si>
  <si>
    <t>40ton</t>
    <phoneticPr fontId="3" type="noConversion"/>
  </si>
  <si>
    <t>80ton</t>
    <phoneticPr fontId="3" type="noConversion"/>
  </si>
  <si>
    <t>5ton</t>
    <phoneticPr fontId="3" type="noConversion"/>
  </si>
  <si>
    <t>6-7 조립식 구조물 설치공</t>
  </si>
  <si>
    <t xml:space="preserve"> </t>
  </si>
  <si>
    <t>인력품의 8%</t>
    <phoneticPr fontId="3" type="noConversion"/>
  </si>
  <si>
    <t>중량 50~150㎏ 미만</t>
    <phoneticPr fontId="3" type="noConversion"/>
  </si>
  <si>
    <t>중량 150~300㎏ 미만</t>
    <phoneticPr fontId="3" type="noConversion"/>
  </si>
  <si>
    <t>중량 300~500㎏ 미만</t>
    <phoneticPr fontId="3" type="noConversion"/>
  </si>
  <si>
    <t>중량 500~700㎏ 미만</t>
    <phoneticPr fontId="3" type="noConversion"/>
  </si>
  <si>
    <t>중량 700~900㎏ 미만</t>
    <phoneticPr fontId="3" type="noConversion"/>
  </si>
  <si>
    <t>중량 900~1,100㎏ 미만</t>
    <phoneticPr fontId="3" type="noConversion"/>
  </si>
  <si>
    <t>중량 1,100~1,300㎏ 미만</t>
    <phoneticPr fontId="3" type="noConversion"/>
  </si>
  <si>
    <t>D900</t>
    <phoneticPr fontId="3" type="noConversion"/>
  </si>
  <si>
    <t>D1,200</t>
    <phoneticPr fontId="3" type="noConversion"/>
  </si>
  <si>
    <t>하부구체+상판</t>
    <phoneticPr fontId="5" type="noConversion"/>
  </si>
  <si>
    <t>연직구체</t>
    <phoneticPr fontId="5" type="noConversion"/>
  </si>
  <si>
    <t>D1,500</t>
    <phoneticPr fontId="3" type="noConversion"/>
  </si>
  <si>
    <t>D1,800</t>
    <phoneticPr fontId="3" type="noConversion"/>
  </si>
  <si>
    <t>형틀목공</t>
    <phoneticPr fontId="3" type="noConversion"/>
  </si>
  <si>
    <t>2.5ton</t>
    <phoneticPr fontId="3" type="noConversion"/>
  </si>
  <si>
    <t>고소작업차</t>
    <phoneticPr fontId="3" type="noConversion"/>
  </si>
  <si>
    <t>6-6-1 교량받침 설치(육상)</t>
    <phoneticPr fontId="3" type="noConversion"/>
  </si>
  <si>
    <t>크레인(타이어)</t>
  </si>
  <si>
    <t>6-5-1 빔 가설공</t>
  </si>
  <si>
    <t>(일당)</t>
    <phoneticPr fontId="3" type="noConversion"/>
  </si>
  <si>
    <t>200ton</t>
    <phoneticPr fontId="3" type="noConversion"/>
  </si>
  <si>
    <t>3ton</t>
    <phoneticPr fontId="3" type="noConversion"/>
  </si>
  <si>
    <t>6-6-2 교량받침 설치(수상)</t>
  </si>
  <si>
    <t>절단폭 900㎜ 이하</t>
    <phoneticPr fontId="3" type="noConversion"/>
  </si>
  <si>
    <t>절단폭 1,200㎜ 이하</t>
    <phoneticPr fontId="3" type="noConversion"/>
  </si>
  <si>
    <t>절단폭 1,500㎜ 이하</t>
    <phoneticPr fontId="3" type="noConversion"/>
  </si>
  <si>
    <t>절단폭 1,800㎜ 이하</t>
    <phoneticPr fontId="3" type="noConversion"/>
  </si>
  <si>
    <t>6-6-3 교량신축이음장치 설치(도로교)</t>
  </si>
  <si>
    <t>6-6-4 교량신축이음장치 설치(철도교)</t>
  </si>
  <si>
    <t>6-6-5 교량점검시설 점검통로 설치</t>
  </si>
  <si>
    <t>6-6-6 교량점검시설 점검계단 설치</t>
    <phoneticPr fontId="3" type="noConversion"/>
  </si>
  <si>
    <t>이동용대차+크레인</t>
    <phoneticPr fontId="3" type="noConversion"/>
  </si>
  <si>
    <t>대차시공</t>
    <phoneticPr fontId="3" type="noConversion"/>
  </si>
  <si>
    <t>크레인시공</t>
    <phoneticPr fontId="3" type="noConversion"/>
  </si>
  <si>
    <t>6-7-1 플륨관 설치</t>
  </si>
  <si>
    <t>중량 1,300~1,500㎏ 미만</t>
    <phoneticPr fontId="3" type="noConversion"/>
  </si>
  <si>
    <t>중량 1,500~1,800㎏ 미만</t>
    <phoneticPr fontId="3" type="noConversion"/>
  </si>
  <si>
    <t>중량 1,800~2,100㎏ 미만</t>
    <phoneticPr fontId="3" type="noConversion"/>
  </si>
  <si>
    <t>6-1-5 에폭시(Epoxy) 콘크리트 접착제 바르기</t>
    <phoneticPr fontId="3" type="noConversion"/>
  </si>
  <si>
    <t>6-1-6 콘크리트 치핑</t>
    <phoneticPr fontId="3" type="noConversion"/>
  </si>
  <si>
    <t>6-2-2 현장가공</t>
  </si>
  <si>
    <t>Type-Ⅰ</t>
    <phoneticPr fontId="5" type="noConversion"/>
  </si>
  <si>
    <t>Type-Ⅱ</t>
    <phoneticPr fontId="5" type="noConversion"/>
  </si>
  <si>
    <t>Type-Ⅲ</t>
    <phoneticPr fontId="5" type="noConversion"/>
  </si>
  <si>
    <t>6-2-4 공장가공</t>
  </si>
  <si>
    <t>6-2-5 철근의 기계적 이음</t>
    <phoneticPr fontId="3" type="noConversion"/>
  </si>
  <si>
    <t>일반</t>
    <phoneticPr fontId="5" type="noConversion"/>
  </si>
  <si>
    <t>50ton</t>
    <phoneticPr fontId="3" type="noConversion"/>
  </si>
  <si>
    <t>%</t>
    <phoneticPr fontId="3" type="noConversion"/>
  </si>
  <si>
    <t>주자재비의</t>
    <phoneticPr fontId="3" type="noConversion"/>
  </si>
  <si>
    <t>중급품질관리기술인</t>
    <phoneticPr fontId="3" type="noConversion"/>
  </si>
  <si>
    <t>6-7-4 PC기둥 설치</t>
    <phoneticPr fontId="3" type="noConversion"/>
  </si>
  <si>
    <t>단위중량(ton)</t>
    <phoneticPr fontId="3" type="noConversion"/>
  </si>
  <si>
    <t>5ton 미만</t>
    <phoneticPr fontId="3" type="noConversion"/>
  </si>
  <si>
    <t>10ton 미만</t>
    <phoneticPr fontId="3" type="noConversion"/>
  </si>
  <si>
    <t>20ton 미만</t>
    <phoneticPr fontId="3" type="noConversion"/>
  </si>
  <si>
    <t>30ton 미만</t>
    <phoneticPr fontId="3" type="noConversion"/>
  </si>
  <si>
    <t>30ton</t>
    <phoneticPr fontId="3" type="noConversion"/>
  </si>
  <si>
    <t>시공량(개소)</t>
    <phoneticPr fontId="3" type="noConversion"/>
  </si>
  <si>
    <t>인력품의 15%</t>
    <phoneticPr fontId="3" type="noConversion"/>
  </si>
  <si>
    <t>개소당 단가</t>
    <phoneticPr fontId="3" type="noConversion"/>
  </si>
  <si>
    <t>인력품의 2.5%</t>
    <phoneticPr fontId="3" type="noConversion"/>
  </si>
  <si>
    <t>120ton</t>
    <phoneticPr fontId="3" type="noConversion"/>
  </si>
  <si>
    <t>6-6-7 프리캐스트 콘크리트 패널 설치</t>
    <phoneticPr fontId="3" type="noConversion"/>
  </si>
  <si>
    <t>6-6-8 교량배수시설 설치</t>
    <phoneticPr fontId="3" type="noConversion"/>
  </si>
  <si>
    <t>6-7-2 조립식 PC맨홀 설치</t>
    <phoneticPr fontId="3" type="noConversion"/>
  </si>
  <si>
    <t>6-7-3 PC BOX 설치</t>
    <phoneticPr fontId="3" type="noConversion"/>
  </si>
  <si>
    <t>수량</t>
    <phoneticPr fontId="3" type="noConversion"/>
  </si>
  <si>
    <t>금액</t>
    <phoneticPr fontId="3" type="noConversion"/>
  </si>
  <si>
    <t>시공량(㎥)</t>
    <phoneticPr fontId="5" type="noConversion"/>
  </si>
  <si>
    <t>㎥당 단가</t>
    <phoneticPr fontId="3" type="noConversion"/>
  </si>
  <si>
    <t>hr</t>
  </si>
  <si>
    <t>작업조</t>
    <phoneticPr fontId="3" type="noConversion"/>
  </si>
  <si>
    <t>무근콘크리트</t>
    <phoneticPr fontId="5" type="noConversion"/>
  </si>
  <si>
    <t>철근콘크리트</t>
    <phoneticPr fontId="5" type="noConversion"/>
  </si>
  <si>
    <t>80㎥/hr</t>
  </si>
  <si>
    <t>3. 일일작업량</t>
    <phoneticPr fontId="3" type="noConversion"/>
  </si>
  <si>
    <t>슬럼프(8~12㎝), 기준 시공량(㎥)</t>
    <phoneticPr fontId="3" type="noConversion"/>
  </si>
  <si>
    <t>슬럼프(15㎝), 기준 시공량(㎥)</t>
    <phoneticPr fontId="3" type="noConversion"/>
  </si>
  <si>
    <t>슬럼프(18㎝이상), 기준 시공량(㎥)</t>
    <phoneticPr fontId="3" type="noConversion"/>
  </si>
  <si>
    <t>시공량(m)</t>
  </si>
  <si>
    <t>시공량(m)</t>
    <phoneticPr fontId="5" type="noConversion"/>
  </si>
  <si>
    <t>m당 단가</t>
    <phoneticPr fontId="3" type="noConversion"/>
  </si>
  <si>
    <t>시공량(ton)</t>
  </si>
  <si>
    <t>시공량(ton)</t>
    <phoneticPr fontId="3" type="noConversion"/>
  </si>
  <si>
    <t>ton당 단가</t>
    <phoneticPr fontId="3" type="noConversion"/>
  </si>
  <si>
    <t>인력품의 9%</t>
    <phoneticPr fontId="3" type="noConversion"/>
  </si>
  <si>
    <t>토목 Type-Ⅰ-1</t>
    <phoneticPr fontId="5" type="noConversion"/>
  </si>
  <si>
    <t>토목 Type-Ⅰ-2</t>
    <phoneticPr fontId="5" type="noConversion"/>
  </si>
  <si>
    <t>토목 Type-Ⅱ-2</t>
    <phoneticPr fontId="5" type="noConversion"/>
  </si>
  <si>
    <t>토목 Type-Ⅲ</t>
    <phoneticPr fontId="5" type="noConversion"/>
  </si>
  <si>
    <t>건축 Type-Ⅰ</t>
    <phoneticPr fontId="5" type="noConversion"/>
  </si>
  <si>
    <t>건축 Type-Ⅱ</t>
    <phoneticPr fontId="5" type="noConversion"/>
  </si>
  <si>
    <t>[주] 간격재, 결속선 등 소모재료 재료비는 별도 계상하며, 결속선의 표준 사용량은 다음을 참고한다.</t>
    <phoneticPr fontId="3" type="noConversion"/>
  </si>
  <si>
    <t>사용량(kg)</t>
    <phoneticPr fontId="3" type="noConversion"/>
  </si>
  <si>
    <t>(일당)</t>
    <phoneticPr fontId="5" type="noConversion"/>
  </si>
  <si>
    <t>시공량(㎡)</t>
  </si>
  <si>
    <t>매우복잡</t>
    <phoneticPr fontId="5" type="noConversion"/>
  </si>
  <si>
    <t>시공량(㎡)</t>
    <phoneticPr fontId="3" type="noConversion"/>
  </si>
  <si>
    <t>㎡당 단가</t>
    <phoneticPr fontId="3" type="noConversion"/>
  </si>
  <si>
    <t>100㎡당 단가</t>
    <phoneticPr fontId="3" type="noConversion"/>
  </si>
  <si>
    <t>10㎡당 단가</t>
    <phoneticPr fontId="3" type="noConversion"/>
  </si>
  <si>
    <t>2. 설치 및 해체</t>
    <phoneticPr fontId="3" type="noConversion"/>
  </si>
  <si>
    <t>교량받침 1기당 중량 0.2ton이하</t>
    <phoneticPr fontId="3" type="noConversion"/>
  </si>
  <si>
    <t>시공량(개)</t>
  </si>
  <si>
    <t>개당 단가</t>
    <phoneticPr fontId="3" type="noConversion"/>
  </si>
  <si>
    <t>설치높이 20m이하</t>
    <phoneticPr fontId="5" type="noConversion"/>
  </si>
  <si>
    <t>설치높이 40m이하</t>
    <phoneticPr fontId="5" type="noConversion"/>
  </si>
  <si>
    <t>설치높이 40m초과</t>
    <phoneticPr fontId="5" type="noConversion"/>
  </si>
  <si>
    <t>교량받침 1기당 중량 0.3ton이하</t>
    <phoneticPr fontId="3" type="noConversion"/>
  </si>
  <si>
    <t>교량받침 1기당 중량 0.5ton이하</t>
    <phoneticPr fontId="3" type="noConversion"/>
  </si>
  <si>
    <t>교량받침 1기당 중량 1.0ton이하</t>
    <phoneticPr fontId="3" type="noConversion"/>
  </si>
  <si>
    <t>교량받침 1기당 중량 1.5ton이하</t>
    <phoneticPr fontId="3" type="noConversion"/>
  </si>
  <si>
    <t>교량받침 1기당 중량 1.5ton초과</t>
    <phoneticPr fontId="3" type="noConversion"/>
  </si>
  <si>
    <t>시공량(m)</t>
    <phoneticPr fontId="3" type="noConversion"/>
  </si>
  <si>
    <t>10m당 단가</t>
    <phoneticPr fontId="3" type="noConversion"/>
  </si>
  <si>
    <t>발판면적 ㎡당 단가</t>
    <phoneticPr fontId="3" type="noConversion"/>
  </si>
  <si>
    <t>높이 20m이하</t>
    <phoneticPr fontId="3" type="noConversion"/>
  </si>
  <si>
    <t>높이 40m이하</t>
    <phoneticPr fontId="3" type="noConversion"/>
  </si>
  <si>
    <t>발판면적 ㎡당</t>
  </si>
  <si>
    <t>단위중량 5ton 미만</t>
    <phoneticPr fontId="3" type="noConversion"/>
  </si>
  <si>
    <t>단위중량 10ton 미만</t>
    <phoneticPr fontId="3" type="noConversion"/>
  </si>
  <si>
    <t>단위중량 15ton 미만</t>
    <phoneticPr fontId="3" type="noConversion"/>
  </si>
  <si>
    <t>Type-Ⅰ</t>
    <phoneticPr fontId="3" type="noConversion"/>
  </si>
  <si>
    <t>Type-Ⅱ</t>
    <phoneticPr fontId="3" type="noConversion"/>
  </si>
  <si>
    <t>2ton 미만</t>
    <phoneticPr fontId="3" type="noConversion"/>
  </si>
  <si>
    <t>6-7-5 PC벽체 설치</t>
  </si>
  <si>
    <t>6-7-6 PC거더 설치</t>
  </si>
  <si>
    <t>6-7-7 PC슬래브 설치</t>
  </si>
  <si>
    <t>6-7-8 모르타르 주입</t>
  </si>
  <si>
    <t>시공량(㎥)</t>
    <phoneticPr fontId="3" type="noConversion"/>
  </si>
  <si>
    <t>6-7-9 모듈러 건축 설치</t>
    <phoneticPr fontId="3" type="noConversion"/>
  </si>
  <si>
    <t>철골공</t>
    <phoneticPr fontId="3" type="noConversion"/>
  </si>
  <si>
    <t>12층 이하</t>
    <phoneticPr fontId="5" type="noConversion"/>
  </si>
  <si>
    <t>13층 이상</t>
    <phoneticPr fontId="5" type="noConversion"/>
  </si>
  <si>
    <t>6-2-3 현장조립</t>
    <phoneticPr fontId="3" type="noConversion"/>
  </si>
  <si>
    <t>2. PSC빔 제작대 설치</t>
  </si>
  <si>
    <t>지게차</t>
    <phoneticPr fontId="3" type="noConversion"/>
  </si>
  <si>
    <t>4. 정착구 설치</t>
    <phoneticPr fontId="3" type="noConversion"/>
  </si>
  <si>
    <t>시공량(개수)</t>
    <phoneticPr fontId="5" type="noConversion"/>
  </si>
  <si>
    <t>5. 강연선 설치</t>
    <phoneticPr fontId="3" type="noConversion"/>
  </si>
  <si>
    <t>시공량(ton)</t>
    <phoneticPr fontId="5" type="noConversion"/>
  </si>
  <si>
    <t>6. 인장</t>
  </si>
  <si>
    <t>시공량(개소)</t>
    <phoneticPr fontId="5" type="noConversion"/>
  </si>
  <si>
    <t>7. 그라우팅</t>
  </si>
  <si>
    <t>8. PSC빔 제작대 해체</t>
  </si>
  <si>
    <t>트럭</t>
    <phoneticPr fontId="3" type="noConversion"/>
  </si>
  <si>
    <t>일당가설중량(본)</t>
    <phoneticPr fontId="5" type="noConversion"/>
  </si>
  <si>
    <t>본당 단가</t>
    <phoneticPr fontId="3" type="noConversion"/>
  </si>
  <si>
    <t>80ton/개 미만</t>
    <phoneticPr fontId="5" type="noConversion"/>
  </si>
  <si>
    <t>80~160ton/개 미만</t>
    <phoneticPr fontId="5" type="noConversion"/>
  </si>
  <si>
    <t>160ton/개 이상</t>
    <phoneticPr fontId="5" type="noConversion"/>
  </si>
  <si>
    <t>빔 가설</t>
    <phoneticPr fontId="5" type="noConversion"/>
  </si>
  <si>
    <t>빔 상차</t>
    <phoneticPr fontId="5" type="noConversion"/>
  </si>
  <si>
    <t>6-5-2 솔 플레이트(Sole Plate) 용접</t>
  </si>
  <si>
    <t>2.5m~3.0m 미만</t>
    <phoneticPr fontId="5" type="noConversion"/>
  </si>
  <si>
    <t>3.0m~3.5m 미만</t>
    <phoneticPr fontId="5" type="noConversion"/>
  </si>
  <si>
    <t>3.5m 이상</t>
    <phoneticPr fontId="5" type="noConversion"/>
  </si>
  <si>
    <t>굴착기(타이어)</t>
    <phoneticPr fontId="3" type="noConversion"/>
  </si>
  <si>
    <t>3.3m × 12m 이내</t>
    <phoneticPr fontId="5" type="noConversion"/>
  </si>
  <si>
    <t>4층 이하</t>
    <phoneticPr fontId="5" type="noConversion"/>
  </si>
  <si>
    <t>굴착기(무한궤도)</t>
  </si>
  <si>
    <t>배관타설 : 1인 추가</t>
  </si>
  <si>
    <t>거푸집 및 동바리 작업</t>
  </si>
  <si>
    <t>6-1-7 콘크리트 현장양생공시체 제작</t>
    <phoneticPr fontId="3" type="noConversion"/>
  </si>
  <si>
    <t>(조당)</t>
    <phoneticPr fontId="5" type="noConversion"/>
  </si>
  <si>
    <t>6-2-6 GFRP 보강근 현장조립</t>
  </si>
  <si>
    <t>※ 현장여건(고소작업, 철근 적재공간 협소 등)에 따라 상시적인 크레인을 활용한 시공이 필요한 경우 해당 장비를 작업조에 추가하여 계상하고, 시공량은 감하지 않는다.</t>
    <phoneticPr fontId="3" type="noConversion"/>
  </si>
  <si>
    <t>내부패널/부자재/소모자재</t>
    <phoneticPr fontId="3" type="noConversion"/>
  </si>
  <si>
    <t>사용횟수에 따른 수량 : 3회</t>
    <phoneticPr fontId="5" type="noConversion"/>
  </si>
  <si>
    <t>사용횟수에 따른 수량 : 6회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</si>
</sst>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(* #,##0_);_(* \(#,##0\);_(* &quot;-&quot;_);_(@_)"/>
    <numFmt numFmtId="177" formatCode="_-* #,##0.0_-;\-* #,##0.0_-;_-* &quot;-&quot;_-;_-@_-"/>
    <numFmt numFmtId="178" formatCode="_-* #,##0.0_-;\-* #,##0.0_-;_-* &quot;-&quot;??_-;_-@_-"/>
    <numFmt numFmtId="179" formatCode="_-* #,##0.00_-;\-* #,##0.00_-;_-* &quot;-&quot;_-;_-@_-"/>
    <numFmt numFmtId="180" formatCode="_-* #,##0.000_-;\-* #,##0.000_-;_-* &quot;-&quot;_-;_-@_-"/>
    <numFmt numFmtId="181" formatCode="0.0%"/>
    <numFmt numFmtId="182" formatCode="#,##0.00_);[Red]\(#,##0.00\)"/>
    <numFmt numFmtId="183" formatCode="#,##0.0"/>
    <numFmt numFmtId="184" formatCode="0.0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b/>
      <sz val="9.1"/>
      <color indexed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.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9"/>
      <color indexed="12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193">
    <xf numFmtId="0" fontId="0" fillId="0" borderId="0" xfId="0">
      <alignment vertical="center"/>
    </xf>
    <xf numFmtId="0" fontId="8" fillId="0" borderId="0" xfId="0" applyFont="1">
      <alignment vertical="center"/>
    </xf>
    <xf numFmtId="177" fontId="9" fillId="0" borderId="5" xfId="1" applyNumberFormat="1" applyFont="1" applyFill="1" applyBorder="1" applyAlignment="1">
      <alignment horizontal="center" vertical="center"/>
    </xf>
    <xf numFmtId="177" fontId="9" fillId="0" borderId="6" xfId="1" applyNumberFormat="1" applyFont="1" applyFill="1" applyBorder="1" applyAlignment="1">
      <alignment horizontal="center" vertical="center"/>
    </xf>
    <xf numFmtId="0" fontId="14" fillId="0" borderId="0" xfId="6" applyFont="1" applyAlignment="1">
      <alignment vertical="center"/>
    </xf>
    <xf numFmtId="41" fontId="11" fillId="0" borderId="5" xfId="7" applyFont="1" applyFill="1" applyBorder="1" applyAlignment="1">
      <alignment horizontal="center" vertical="center"/>
    </xf>
    <xf numFmtId="178" fontId="9" fillId="0" borderId="6" xfId="7" applyNumberFormat="1" applyFont="1" applyFill="1" applyBorder="1" applyAlignment="1">
      <alignment vertical="center"/>
    </xf>
    <xf numFmtId="41" fontId="10" fillId="0" borderId="8" xfId="7" applyFont="1" applyFill="1" applyBorder="1" applyAlignment="1">
      <alignment horizontal="center" vertical="center"/>
    </xf>
    <xf numFmtId="41" fontId="13" fillId="0" borderId="5" xfId="5" applyFont="1" applyFill="1" applyBorder="1" applyAlignment="1">
      <alignment vertical="center"/>
    </xf>
    <xf numFmtId="41" fontId="13" fillId="0" borderId="6" xfId="5" applyFont="1" applyFill="1" applyBorder="1" applyAlignment="1">
      <alignment vertical="center"/>
    </xf>
    <xf numFmtId="41" fontId="13" fillId="0" borderId="8" xfId="5" applyFont="1" applyFill="1" applyBorder="1" applyAlignment="1">
      <alignment vertical="center"/>
    </xf>
    <xf numFmtId="0" fontId="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8" fillId="0" borderId="0" xfId="6" applyFont="1" applyAlignment="1">
      <alignment horizontal="centerContinuous" vertical="center"/>
    </xf>
    <xf numFmtId="41" fontId="18" fillId="0" borderId="0" xfId="7" applyFont="1" applyFill="1" applyBorder="1" applyAlignment="1">
      <alignment vertical="center"/>
    </xf>
    <xf numFmtId="41" fontId="9" fillId="0" borderId="5" xfId="1" applyFont="1" applyFill="1" applyBorder="1" applyAlignment="1">
      <alignment vertical="center"/>
    </xf>
    <xf numFmtId="0" fontId="14" fillId="0" borderId="0" xfId="0" applyFont="1">
      <alignment vertical="center"/>
    </xf>
    <xf numFmtId="41" fontId="20" fillId="0" borderId="5" xfId="5" applyFont="1" applyFill="1" applyBorder="1" applyAlignment="1">
      <alignment vertical="center"/>
    </xf>
    <xf numFmtId="41" fontId="20" fillId="0" borderId="6" xfId="5" applyFont="1" applyFill="1" applyBorder="1" applyAlignment="1">
      <alignment vertical="center"/>
    </xf>
    <xf numFmtId="41" fontId="19" fillId="0" borderId="5" xfId="7" applyFont="1" applyFill="1" applyBorder="1" applyAlignment="1">
      <alignment vertical="center"/>
    </xf>
    <xf numFmtId="41" fontId="19" fillId="0" borderId="6" xfId="7" applyFont="1" applyFill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0" applyFont="1">
      <alignment vertical="center"/>
    </xf>
    <xf numFmtId="41" fontId="17" fillId="0" borderId="5" xfId="1" applyFont="1" applyFill="1" applyBorder="1" applyAlignment="1">
      <alignment vertical="center"/>
    </xf>
    <xf numFmtId="41" fontId="10" fillId="0" borderId="5" xfId="1" applyFont="1" applyFill="1" applyBorder="1" applyAlignment="1">
      <alignment vertical="center"/>
    </xf>
    <xf numFmtId="177" fontId="9" fillId="0" borderId="5" xfId="1" applyNumberFormat="1" applyFont="1" applyFill="1" applyBorder="1" applyAlignment="1">
      <alignment vertical="center"/>
    </xf>
    <xf numFmtId="179" fontId="9" fillId="0" borderId="5" xfId="1" applyNumberFormat="1" applyFont="1" applyFill="1" applyBorder="1" applyAlignment="1">
      <alignment vertical="center"/>
    </xf>
    <xf numFmtId="179" fontId="9" fillId="0" borderId="5" xfId="1" applyNumberFormat="1" applyFont="1" applyFill="1" applyBorder="1" applyAlignment="1">
      <alignment horizontal="right" vertical="center"/>
    </xf>
    <xf numFmtId="181" fontId="9" fillId="0" borderId="5" xfId="9" applyNumberFormat="1" applyFont="1" applyFill="1" applyBorder="1" applyAlignment="1">
      <alignment vertical="center"/>
    </xf>
    <xf numFmtId="177" fontId="9" fillId="0" borderId="6" xfId="1" applyNumberFormat="1" applyFont="1" applyFill="1" applyBorder="1" applyAlignment="1">
      <alignment vertical="center"/>
    </xf>
    <xf numFmtId="41" fontId="11" fillId="0" borderId="5" xfId="1" applyFont="1" applyFill="1" applyBorder="1" applyAlignment="1">
      <alignment vertical="center"/>
    </xf>
    <xf numFmtId="41" fontId="11" fillId="0" borderId="5" xfId="1" applyFont="1" applyFill="1" applyBorder="1" applyAlignment="1">
      <alignment horizontal="center" vertical="center"/>
    </xf>
    <xf numFmtId="41" fontId="11" fillId="0" borderId="5" xfId="1" applyFont="1" applyFill="1" applyBorder="1" applyAlignment="1">
      <alignment horizontal="right" vertical="center"/>
    </xf>
    <xf numFmtId="177" fontId="9" fillId="0" borderId="11" xfId="1" applyNumberFormat="1" applyFont="1" applyFill="1" applyBorder="1" applyAlignment="1">
      <alignment horizontal="center" vertical="center"/>
    </xf>
    <xf numFmtId="182" fontId="24" fillId="0" borderId="0" xfId="4" applyNumberFormat="1" applyFont="1" applyAlignment="1">
      <alignment vertical="center"/>
    </xf>
    <xf numFmtId="0" fontId="6" fillId="0" borderId="0" xfId="0" applyFont="1" applyAlignment="1"/>
    <xf numFmtId="41" fontId="9" fillId="0" borderId="5" xfId="8" applyFont="1" applyFill="1" applyBorder="1" applyAlignment="1">
      <alignment vertical="center"/>
    </xf>
    <xf numFmtId="179" fontId="9" fillId="0" borderId="5" xfId="8" applyNumberFormat="1" applyFont="1" applyFill="1" applyBorder="1" applyAlignment="1">
      <alignment vertical="center"/>
    </xf>
    <xf numFmtId="179" fontId="12" fillId="0" borderId="5" xfId="1" applyNumberFormat="1" applyFont="1" applyFill="1" applyBorder="1" applyAlignment="1">
      <alignment vertical="center"/>
    </xf>
    <xf numFmtId="180" fontId="19" fillId="0" borderId="5" xfId="1" applyNumberFormat="1" applyFont="1" applyFill="1" applyBorder="1" applyAlignment="1">
      <alignment vertical="center"/>
    </xf>
    <xf numFmtId="41" fontId="19" fillId="0" borderId="6" xfId="1" applyFont="1" applyFill="1" applyBorder="1" applyAlignment="1">
      <alignment vertical="center"/>
    </xf>
    <xf numFmtId="180" fontId="10" fillId="0" borderId="5" xfId="1" applyNumberFormat="1" applyFont="1" applyFill="1" applyBorder="1" applyAlignment="1">
      <alignment vertical="center"/>
    </xf>
    <xf numFmtId="41" fontId="10" fillId="0" borderId="8" xfId="1" applyFont="1" applyFill="1" applyBorder="1" applyAlignment="1">
      <alignment vertical="center"/>
    </xf>
    <xf numFmtId="180" fontId="12" fillId="0" borderId="5" xfId="1" applyNumberFormat="1" applyFont="1" applyFill="1" applyBorder="1" applyAlignment="1">
      <alignment vertical="center"/>
    </xf>
    <xf numFmtId="177" fontId="19" fillId="0" borderId="5" xfId="1" applyNumberFormat="1" applyFont="1" applyFill="1" applyBorder="1" applyAlignment="1">
      <alignment vertical="center"/>
    </xf>
    <xf numFmtId="180" fontId="9" fillId="0" borderId="5" xfId="1" applyNumberFormat="1" applyFont="1" applyFill="1" applyBorder="1" applyAlignment="1">
      <alignment vertical="center"/>
    </xf>
    <xf numFmtId="179" fontId="19" fillId="0" borderId="5" xfId="1" applyNumberFormat="1" applyFont="1" applyFill="1" applyBorder="1" applyAlignment="1">
      <alignment vertical="center"/>
    </xf>
    <xf numFmtId="177" fontId="12" fillId="0" borderId="5" xfId="1" applyNumberFormat="1" applyFont="1" applyFill="1" applyBorder="1" applyAlignment="1">
      <alignment vertical="center"/>
    </xf>
    <xf numFmtId="177" fontId="9" fillId="0" borderId="5" xfId="8" applyNumberFormat="1" applyFont="1" applyFill="1" applyBorder="1" applyAlignment="1">
      <alignment vertical="center"/>
    </xf>
    <xf numFmtId="41" fontId="11" fillId="0" borderId="10" xfId="1" applyFont="1" applyFill="1" applyBorder="1" applyAlignment="1">
      <alignment vertical="center"/>
    </xf>
    <xf numFmtId="180" fontId="9" fillId="0" borderId="5" xfId="8" applyNumberFormat="1" applyFont="1" applyFill="1" applyBorder="1" applyAlignment="1">
      <alignment vertical="center"/>
    </xf>
    <xf numFmtId="41" fontId="11" fillId="0" borderId="5" xfId="1" applyFont="1" applyFill="1" applyBorder="1">
      <alignment vertical="center"/>
    </xf>
    <xf numFmtId="179" fontId="9" fillId="0" borderId="10" xfId="8" applyNumberFormat="1" applyFont="1" applyFill="1" applyBorder="1" applyAlignment="1">
      <alignment vertical="center"/>
    </xf>
    <xf numFmtId="41" fontId="10" fillId="0" borderId="6" xfId="7" applyFont="1" applyFill="1" applyBorder="1" applyAlignment="1">
      <alignment horizontal="center" vertical="center"/>
    </xf>
    <xf numFmtId="180" fontId="10" fillId="0" borderId="5" xfId="8" applyNumberFormat="1" applyFont="1" applyFill="1" applyBorder="1" applyAlignment="1">
      <alignment vertical="center"/>
    </xf>
    <xf numFmtId="41" fontId="19" fillId="0" borderId="6" xfId="8" applyFont="1" applyFill="1" applyBorder="1" applyAlignment="1">
      <alignment vertical="center"/>
    </xf>
    <xf numFmtId="41" fontId="10" fillId="0" borderId="5" xfId="8" applyFont="1" applyFill="1" applyBorder="1" applyAlignment="1">
      <alignment vertical="center"/>
    </xf>
    <xf numFmtId="177" fontId="9" fillId="0" borderId="0" xfId="8" applyNumberFormat="1" applyFont="1" applyFill="1" applyBorder="1" applyAlignment="1">
      <alignment horizontal="center" vertical="center"/>
    </xf>
    <xf numFmtId="41" fontId="10" fillId="0" borderId="6" xfId="8" applyFont="1" applyFill="1" applyBorder="1" applyAlignment="1">
      <alignment vertical="center"/>
    </xf>
    <xf numFmtId="0" fontId="15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8" fillId="0" borderId="0" xfId="0" applyFont="1" applyAlignment="1">
      <alignment vertical="center" shrinkToFit="1"/>
    </xf>
    <xf numFmtId="0" fontId="9" fillId="0" borderId="0" xfId="6" applyFont="1" applyAlignment="1">
      <alignment horizontal="left" vertical="center"/>
    </xf>
    <xf numFmtId="0" fontId="9" fillId="0" borderId="0" xfId="6" applyFont="1" applyAlignment="1">
      <alignment horizontal="centerContinuous" vertical="center"/>
    </xf>
    <xf numFmtId="0" fontId="12" fillId="0" borderId="0" xfId="3" applyFont="1" applyAlignment="1">
      <alignment vertical="center"/>
    </xf>
    <xf numFmtId="0" fontId="9" fillId="0" borderId="0" xfId="6" applyFont="1" applyAlignment="1">
      <alignment horizontal="right" vertical="center"/>
    </xf>
    <xf numFmtId="0" fontId="12" fillId="0" borderId="3" xfId="3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 wrapText="1"/>
    </xf>
    <xf numFmtId="0" fontId="9" fillId="0" borderId="12" xfId="6" applyFont="1" applyBorder="1" applyAlignment="1">
      <alignment horizontal="center" vertical="center" wrapText="1"/>
    </xf>
    <xf numFmtId="3" fontId="9" fillId="0" borderId="12" xfId="6" applyNumberFormat="1" applyFont="1" applyBorder="1" applyAlignment="1">
      <alignment horizontal="center" vertical="center" wrapText="1"/>
    </xf>
    <xf numFmtId="0" fontId="9" fillId="0" borderId="7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12" fillId="0" borderId="4" xfId="3" applyFont="1" applyBorder="1" applyAlignment="1">
      <alignment vertical="center"/>
    </xf>
    <xf numFmtId="0" fontId="9" fillId="0" borderId="5" xfId="3" applyFont="1" applyBorder="1" applyAlignment="1">
      <alignment vertical="center" shrinkToFit="1"/>
    </xf>
    <xf numFmtId="0" fontId="9" fillId="0" borderId="4" xfId="3" applyFont="1" applyBorder="1" applyAlignment="1">
      <alignment horizontal="center" vertical="center"/>
    </xf>
    <xf numFmtId="41" fontId="11" fillId="0" borderId="5" xfId="0" applyNumberFormat="1" applyFont="1" applyBorder="1">
      <alignment vertical="center"/>
    </xf>
    <xf numFmtId="0" fontId="19" fillId="0" borderId="4" xfId="3" applyFont="1" applyBorder="1" applyAlignment="1">
      <alignment vertical="center"/>
    </xf>
    <xf numFmtId="0" fontId="22" fillId="0" borderId="4" xfId="2" applyFont="1" applyBorder="1" applyAlignment="1">
      <alignment horizontal="left" vertical="center"/>
    </xf>
    <xf numFmtId="0" fontId="9" fillId="0" borderId="4" xfId="6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41" fontId="9" fillId="0" borderId="5" xfId="2" applyNumberFormat="1" applyFont="1" applyBorder="1" applyAlignment="1">
      <alignment vertical="center"/>
    </xf>
    <xf numFmtId="0" fontId="10" fillId="0" borderId="4" xfId="6" applyFont="1" applyBorder="1" applyAlignment="1">
      <alignment horizontal="left" vertical="center"/>
    </xf>
    <xf numFmtId="0" fontId="10" fillId="0" borderId="5" xfId="2" applyFont="1" applyBorder="1" applyAlignment="1">
      <alignment vertical="center"/>
    </xf>
    <xf numFmtId="0" fontId="10" fillId="0" borderId="9" xfId="6" applyFont="1" applyBorder="1" applyAlignment="1">
      <alignment horizontal="left" vertical="center"/>
    </xf>
    <xf numFmtId="0" fontId="9" fillId="0" borderId="9" xfId="6" applyFont="1" applyBorder="1" applyAlignment="1">
      <alignment horizontal="left" vertical="center"/>
    </xf>
    <xf numFmtId="0" fontId="9" fillId="0" borderId="7" xfId="3" applyFont="1" applyBorder="1" applyAlignment="1">
      <alignment horizontal="center" vertical="center"/>
    </xf>
    <xf numFmtId="0" fontId="16" fillId="0" borderId="7" xfId="6" applyFont="1" applyBorder="1" applyAlignment="1">
      <alignment vertical="center"/>
    </xf>
    <xf numFmtId="0" fontId="10" fillId="0" borderId="7" xfId="6" applyFont="1" applyBorder="1" applyAlignment="1">
      <alignment vertical="center"/>
    </xf>
    <xf numFmtId="0" fontId="9" fillId="0" borderId="4" xfId="6" applyFont="1" applyBorder="1" applyAlignment="1">
      <alignment vertical="center"/>
    </xf>
    <xf numFmtId="0" fontId="9" fillId="0" borderId="5" xfId="3" applyFont="1" applyBorder="1" applyAlignment="1">
      <alignment horizontal="center" vertical="center"/>
    </xf>
    <xf numFmtId="0" fontId="9" fillId="0" borderId="4" xfId="3" applyFont="1" applyBorder="1" applyAlignment="1">
      <alignment vertical="center" shrinkToFit="1"/>
    </xf>
    <xf numFmtId="0" fontId="9" fillId="0" borderId="5" xfId="6" applyFont="1" applyBorder="1" applyAlignment="1">
      <alignment horizontal="right" vertical="center"/>
    </xf>
    <xf numFmtId="0" fontId="19" fillId="0" borderId="4" xfId="6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41" fontId="10" fillId="0" borderId="0" xfId="8" applyFont="1" applyFill="1" applyBorder="1" applyAlignment="1">
      <alignment vertical="center"/>
    </xf>
    <xf numFmtId="0" fontId="21" fillId="0" borderId="4" xfId="6" applyFont="1" applyBorder="1" applyAlignment="1">
      <alignment horizontal="left" vertical="center"/>
    </xf>
    <xf numFmtId="0" fontId="21" fillId="0" borderId="5" xfId="3" applyFont="1" applyBorder="1" applyAlignment="1">
      <alignment horizontal="center" vertical="center"/>
    </xf>
    <xf numFmtId="0" fontId="9" fillId="0" borderId="5" xfId="6" applyFont="1" applyBorder="1" applyAlignment="1">
      <alignment vertical="center"/>
    </xf>
    <xf numFmtId="0" fontId="9" fillId="0" borderId="6" xfId="6" applyFont="1" applyBorder="1" applyAlignment="1">
      <alignment vertical="center"/>
    </xf>
    <xf numFmtId="0" fontId="12" fillId="0" borderId="0" xfId="3" applyFont="1" applyAlignment="1">
      <alignment horizontal="left" vertical="center"/>
    </xf>
    <xf numFmtId="0" fontId="12" fillId="0" borderId="0" xfId="3" applyFont="1" applyAlignment="1">
      <alignment horizontal="right" vertical="center"/>
    </xf>
    <xf numFmtId="0" fontId="12" fillId="0" borderId="1" xfId="3" applyFont="1" applyBorder="1" applyAlignment="1">
      <alignment horizontal="center" vertical="center"/>
    </xf>
    <xf numFmtId="0" fontId="21" fillId="0" borderId="5" xfId="3" applyFont="1" applyBorder="1" applyAlignment="1">
      <alignment vertical="center" shrinkToFit="1"/>
    </xf>
    <xf numFmtId="0" fontId="21" fillId="0" borderId="4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13" fillId="0" borderId="4" xfId="3" applyFont="1" applyBorder="1" applyAlignment="1">
      <alignment vertical="center"/>
    </xf>
    <xf numFmtId="0" fontId="13" fillId="0" borderId="5" xfId="3" applyFont="1" applyBorder="1" applyAlignment="1">
      <alignment vertical="center"/>
    </xf>
    <xf numFmtId="0" fontId="9" fillId="0" borderId="7" xfId="3" applyFont="1" applyBorder="1" applyAlignment="1">
      <alignment vertical="center" shrinkToFit="1"/>
    </xf>
    <xf numFmtId="0" fontId="9" fillId="0" borderId="9" xfId="3" applyFont="1" applyBorder="1" applyAlignment="1">
      <alignment horizontal="center" vertical="center"/>
    </xf>
    <xf numFmtId="0" fontId="13" fillId="0" borderId="7" xfId="3" applyFont="1" applyBorder="1" applyAlignment="1">
      <alignment vertical="center"/>
    </xf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left" vertical="center" shrinkToFit="1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 applyAlignment="1">
      <alignment horizontal="right" vertical="center"/>
    </xf>
    <xf numFmtId="0" fontId="11" fillId="0" borderId="0" xfId="2" applyFont="1" applyAlignment="1">
      <alignment vertical="center"/>
    </xf>
    <xf numFmtId="49" fontId="17" fillId="0" borderId="12" xfId="0" applyNumberFormat="1" applyFont="1" applyBorder="1" applyAlignment="1">
      <alignment horizontal="centerContinuous" vertical="center"/>
    </xf>
    <xf numFmtId="0" fontId="17" fillId="0" borderId="2" xfId="0" applyFont="1" applyBorder="1" applyAlignment="1">
      <alignment horizontal="centerContinuous" vertical="center"/>
    </xf>
    <xf numFmtId="0" fontId="17" fillId="0" borderId="12" xfId="0" applyFont="1" applyBorder="1" applyAlignment="1">
      <alignment horizontal="centerContinuous" vertical="center"/>
    </xf>
    <xf numFmtId="176" fontId="23" fillId="0" borderId="0" xfId="0" applyNumberFormat="1" applyFont="1">
      <alignment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76" fontId="9" fillId="0" borderId="0" xfId="0" applyNumberFormat="1" applyFont="1">
      <alignment vertical="center"/>
    </xf>
    <xf numFmtId="0" fontId="9" fillId="0" borderId="4" xfId="0" applyFont="1" applyBorder="1">
      <alignment vertical="center"/>
    </xf>
    <xf numFmtId="0" fontId="9" fillId="0" borderId="4" xfId="0" applyFont="1" applyBorder="1" applyAlignment="1">
      <alignment horizontal="center" vertical="center"/>
    </xf>
    <xf numFmtId="176" fontId="16" fillId="0" borderId="0" xfId="0" applyNumberFormat="1" applyFont="1">
      <alignment vertical="center"/>
    </xf>
    <xf numFmtId="0" fontId="19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horizontal="center" vertical="center"/>
    </xf>
    <xf numFmtId="0" fontId="19" fillId="0" borderId="5" xfId="0" applyFont="1" applyBorder="1">
      <alignment vertical="center"/>
    </xf>
    <xf numFmtId="0" fontId="22" fillId="0" borderId="4" xfId="0" applyFont="1" applyBorder="1" applyAlignment="1">
      <alignment horizontal="left" vertical="center"/>
    </xf>
    <xf numFmtId="0" fontId="22" fillId="0" borderId="4" xfId="0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center"/>
    </xf>
    <xf numFmtId="0" fontId="10" fillId="0" borderId="7" xfId="0" applyFont="1" applyBorder="1">
      <alignment vertical="center"/>
    </xf>
    <xf numFmtId="0" fontId="8" fillId="0" borderId="0" xfId="0" applyFont="1" applyAlignment="1">
      <alignment horizontal="right" vertical="center"/>
    </xf>
    <xf numFmtId="0" fontId="19" fillId="0" borderId="5" xfId="6" applyFont="1" applyBorder="1" applyAlignment="1">
      <alignment vertical="center"/>
    </xf>
    <xf numFmtId="41" fontId="11" fillId="0" borderId="5" xfId="0" applyNumberFormat="1" applyFont="1" applyBorder="1" applyAlignment="1">
      <alignment horizontal="right" vertical="center"/>
    </xf>
    <xf numFmtId="0" fontId="22" fillId="0" borderId="9" xfId="2" applyFont="1" applyBorder="1" applyAlignment="1">
      <alignment horizontal="left" vertical="center"/>
    </xf>
    <xf numFmtId="0" fontId="10" fillId="0" borderId="7" xfId="2" applyFont="1" applyBorder="1" applyAlignment="1">
      <alignment vertical="center"/>
    </xf>
    <xf numFmtId="41" fontId="10" fillId="0" borderId="8" xfId="8" applyFont="1" applyFill="1" applyBorder="1" applyAlignment="1">
      <alignment vertical="center"/>
    </xf>
    <xf numFmtId="0" fontId="9" fillId="0" borderId="3" xfId="6" applyFont="1" applyBorder="1" applyAlignment="1">
      <alignment horizontal="center" vertical="center" shrinkToFit="1"/>
    </xf>
    <xf numFmtId="0" fontId="9" fillId="0" borderId="4" xfId="0" applyFont="1" applyBorder="1" applyAlignment="1">
      <alignment vertical="center" shrinkToFit="1"/>
    </xf>
    <xf numFmtId="183" fontId="9" fillId="0" borderId="12" xfId="6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shrinkToFit="1"/>
    </xf>
    <xf numFmtId="41" fontId="11" fillId="0" borderId="5" xfId="2" applyNumberFormat="1" applyFont="1" applyBorder="1" applyAlignment="1">
      <alignment vertical="center"/>
    </xf>
    <xf numFmtId="41" fontId="11" fillId="0" borderId="14" xfId="0" applyNumberFormat="1" applyFont="1" applyBorder="1">
      <alignment vertical="center"/>
    </xf>
    <xf numFmtId="41" fontId="11" fillId="0" borderId="0" xfId="0" applyNumberFormat="1" applyFont="1" applyAlignment="1">
      <alignment horizontal="right" vertical="center"/>
    </xf>
    <xf numFmtId="41" fontId="11" fillId="0" borderId="0" xfId="0" applyNumberFormat="1" applyFont="1">
      <alignment vertical="center"/>
    </xf>
    <xf numFmtId="0" fontId="16" fillId="0" borderId="5" xfId="6" applyFont="1" applyBorder="1" applyAlignment="1">
      <alignment vertical="center"/>
    </xf>
    <xf numFmtId="0" fontId="10" fillId="0" borderId="5" xfId="6" applyFont="1" applyBorder="1" applyAlignment="1">
      <alignment vertical="center"/>
    </xf>
    <xf numFmtId="0" fontId="10" fillId="0" borderId="5" xfId="0" applyFont="1" applyBorder="1">
      <alignment vertical="center"/>
    </xf>
    <xf numFmtId="41" fontId="10" fillId="0" borderId="6" xfId="1" applyFont="1" applyFill="1" applyBorder="1" applyAlignment="1">
      <alignment vertical="center"/>
    </xf>
    <xf numFmtId="184" fontId="9" fillId="0" borderId="12" xfId="6" applyNumberFormat="1" applyFont="1" applyBorder="1" applyAlignment="1">
      <alignment horizontal="center" vertical="center" wrapText="1"/>
    </xf>
    <xf numFmtId="1" fontId="9" fillId="0" borderId="12" xfId="6" applyNumberFormat="1" applyFont="1" applyBorder="1" applyAlignment="1">
      <alignment horizontal="center" vertical="center" wrapText="1"/>
    </xf>
    <xf numFmtId="176" fontId="11" fillId="0" borderId="5" xfId="0" applyNumberFormat="1" applyFont="1" applyBorder="1">
      <alignment vertical="center"/>
    </xf>
    <xf numFmtId="41" fontId="19" fillId="0" borderId="5" xfId="6" applyNumberFormat="1" applyFont="1" applyBorder="1" applyAlignment="1">
      <alignment vertical="center"/>
    </xf>
    <xf numFmtId="41" fontId="11" fillId="0" borderId="6" xfId="0" applyNumberFormat="1" applyFont="1" applyBorder="1">
      <alignment vertical="center"/>
    </xf>
    <xf numFmtId="0" fontId="9" fillId="0" borderId="13" xfId="6" applyFont="1" applyBorder="1" applyAlignment="1">
      <alignment vertical="center"/>
    </xf>
    <xf numFmtId="0" fontId="9" fillId="0" borderId="10" xfId="3" applyFont="1" applyBorder="1" applyAlignment="1">
      <alignment horizontal="center" vertical="center"/>
    </xf>
    <xf numFmtId="41" fontId="11" fillId="0" borderId="11" xfId="0" applyNumberFormat="1" applyFont="1" applyBorder="1">
      <alignment vertical="center"/>
    </xf>
    <xf numFmtId="1" fontId="9" fillId="0" borderId="12" xfId="6" applyNumberFormat="1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11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 shrinkToFit="1"/>
    </xf>
    <xf numFmtId="0" fontId="9" fillId="0" borderId="12" xfId="6" applyFont="1" applyBorder="1" applyAlignment="1">
      <alignment horizontal="center" vertical="center" shrinkToFit="1"/>
    </xf>
    <xf numFmtId="0" fontId="9" fillId="0" borderId="13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2" fillId="0" borderId="12" xfId="3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 wrapText="1"/>
    </xf>
    <xf numFmtId="0" fontId="9" fillId="0" borderId="12" xfId="6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shrinkToFit="1"/>
    </xf>
    <xf numFmtId="0" fontId="9" fillId="0" borderId="1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184" fontId="9" fillId="0" borderId="3" xfId="6" applyNumberFormat="1" applyFont="1" applyBorder="1" applyAlignment="1">
      <alignment horizontal="center" vertical="center" shrinkToFit="1"/>
    </xf>
    <xf numFmtId="184" fontId="9" fillId="0" borderId="12" xfId="6" applyNumberFormat="1" applyFont="1" applyBorder="1" applyAlignment="1">
      <alignment horizontal="center" vertical="center" shrinkToFit="1"/>
    </xf>
  </cellXfs>
  <cellStyles count="10">
    <cellStyle name="백분율" xfId="9" builtinId="5"/>
    <cellStyle name="쉼표 [0]" xfId="1" builtinId="6"/>
    <cellStyle name="콤마 [0]_가설공사(1)" xfId="5" xr:uid="{00000000-0005-0000-0000-000003000000}"/>
    <cellStyle name="콤마 [0]_가설공사(2)" xfId="7" xr:uid="{00000000-0005-0000-0000-000004000000}"/>
    <cellStyle name="콤마 [0]_조경공사" xfId="8" xr:uid="{00000000-0005-0000-0000-000005000000}"/>
    <cellStyle name="표준" xfId="0" builtinId="0"/>
    <cellStyle name="표준_Sheet1" xfId="4" xr:uid="{00000000-0005-0000-0000-000007000000}"/>
    <cellStyle name="표준_가설공사(1)" xfId="3" xr:uid="{00000000-0005-0000-0000-000008000000}"/>
    <cellStyle name="표준_가설공사(2)" xfId="6" xr:uid="{00000000-0005-0000-0000-000009000000}"/>
    <cellStyle name="표준_조경공사" xfId="2" xr:uid="{00000000-0005-0000-0000-00000A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E044-C866-4AE6-A37B-68C2C6104DCB}">
  <sheetPr>
    <pageSetUpPr fitToPage="1"/>
  </sheetPr>
  <dimension ref="A1:P1558"/>
  <sheetViews>
    <sheetView tabSelected="1" zoomScaleNormal="100" workbookViewId="0">
      <selection activeCell="M17" sqref="M17"/>
    </sheetView>
  </sheetViews>
  <sheetFormatPr defaultColWidth="9" defaultRowHeight="12.95" customHeight="1" x14ac:dyDescent="0.3"/>
  <cols>
    <col min="1" max="1" width="2.625" style="1" customWidth="1"/>
    <col min="2" max="2" width="15.625" style="1" customWidth="1"/>
    <col min="3" max="3" width="15.625" style="62" customWidth="1"/>
    <col min="4" max="4" width="4.625" style="1" customWidth="1"/>
    <col min="5" max="5" width="11.625" style="1" customWidth="1"/>
    <col min="6" max="6" width="8.625" style="1" customWidth="1"/>
    <col min="7" max="7" width="11.625" style="1" customWidth="1"/>
    <col min="8" max="8" width="8.625" style="1" customWidth="1"/>
    <col min="9" max="9" width="11.625" style="1" customWidth="1"/>
    <col min="10" max="10" width="8.625" style="1" customWidth="1"/>
    <col min="11" max="11" width="11.625" style="1" customWidth="1"/>
    <col min="12" max="12" width="8.625" style="1" customWidth="1"/>
    <col min="13" max="13" width="11.625" style="1" customWidth="1"/>
    <col min="14" max="14" width="2.625" style="1" customWidth="1"/>
    <col min="15" max="15" width="11.625" style="1" customWidth="1"/>
    <col min="16" max="16384" width="9" style="1"/>
  </cols>
  <sheetData>
    <row r="1" spans="1:13" ht="12.95" customHeight="1" x14ac:dyDescent="0.3">
      <c r="A1" s="34"/>
      <c r="B1" s="59" t="s">
        <v>43</v>
      </c>
      <c r="C1" s="60"/>
      <c r="D1" s="61"/>
    </row>
    <row r="2" spans="1:13" ht="12.95" customHeight="1" x14ac:dyDescent="0.15">
      <c r="A2" s="35"/>
      <c r="B2" s="61" t="s">
        <v>44</v>
      </c>
    </row>
    <row r="3" spans="1:13" ht="12.95" customHeight="1" x14ac:dyDescent="0.3">
      <c r="B3" s="63" t="s">
        <v>53</v>
      </c>
      <c r="C3" s="64"/>
      <c r="D3" s="11"/>
      <c r="E3" s="65"/>
      <c r="F3" s="4"/>
      <c r="G3" s="4"/>
      <c r="H3" s="4"/>
      <c r="I3" s="66" t="s">
        <v>239</v>
      </c>
      <c r="J3" s="4"/>
    </row>
    <row r="4" spans="1:13" ht="12.95" customHeight="1" x14ac:dyDescent="0.3">
      <c r="B4" s="176" t="s">
        <v>21</v>
      </c>
      <c r="C4" s="170" t="s">
        <v>25</v>
      </c>
      <c r="D4" s="170" t="s">
        <v>26</v>
      </c>
      <c r="E4" s="170" t="s">
        <v>22</v>
      </c>
      <c r="F4" s="180" t="s">
        <v>47</v>
      </c>
      <c r="G4" s="181"/>
      <c r="H4" s="181"/>
      <c r="I4" s="181"/>
      <c r="L4" s="11"/>
      <c r="M4" s="11"/>
    </row>
    <row r="5" spans="1:13" ht="12.95" customHeight="1" x14ac:dyDescent="0.3">
      <c r="B5" s="177"/>
      <c r="C5" s="179"/>
      <c r="D5" s="179"/>
      <c r="E5" s="179"/>
      <c r="F5" s="185" t="s">
        <v>48</v>
      </c>
      <c r="G5" s="186"/>
      <c r="H5" s="185" t="s">
        <v>49</v>
      </c>
      <c r="I5" s="186"/>
    </row>
    <row r="6" spans="1:13" ht="12.95" customHeight="1" x14ac:dyDescent="0.3">
      <c r="B6" s="177"/>
      <c r="C6" s="179"/>
      <c r="D6" s="179"/>
      <c r="E6" s="179"/>
      <c r="F6" s="68" t="s">
        <v>289</v>
      </c>
      <c r="G6" s="70">
        <v>23</v>
      </c>
      <c r="H6" s="68" t="s">
        <v>289</v>
      </c>
      <c r="I6" s="70">
        <v>20</v>
      </c>
    </row>
    <row r="7" spans="1:13" ht="12.95" customHeight="1" x14ac:dyDescent="0.3">
      <c r="B7" s="178"/>
      <c r="C7" s="171"/>
      <c r="D7" s="171"/>
      <c r="E7" s="171"/>
      <c r="F7" s="71" t="s">
        <v>287</v>
      </c>
      <c r="G7" s="72" t="s">
        <v>288</v>
      </c>
      <c r="H7" s="71" t="s">
        <v>287</v>
      </c>
      <c r="I7" s="72" t="s">
        <v>288</v>
      </c>
      <c r="L7" s="4"/>
      <c r="M7" s="4"/>
    </row>
    <row r="8" spans="1:13" ht="12.95" customHeight="1" x14ac:dyDescent="0.3">
      <c r="B8" s="73" t="s">
        <v>0</v>
      </c>
      <c r="C8" s="74"/>
      <c r="D8" s="75" t="s">
        <v>28</v>
      </c>
      <c r="E8" s="76">
        <v>273540</v>
      </c>
      <c r="F8" s="36">
        <v>3</v>
      </c>
      <c r="G8" s="3">
        <f t="shared" ref="G8:G9" si="0">TRUNC($E8*F8,1)</f>
        <v>820620</v>
      </c>
      <c r="H8" s="36">
        <v>3</v>
      </c>
      <c r="I8" s="3">
        <f t="shared" ref="I8:I9" si="1">TRUNC($E8*H8,1)</f>
        <v>820620</v>
      </c>
      <c r="L8" s="4"/>
      <c r="M8" s="4"/>
    </row>
    <row r="9" spans="1:13" ht="12.95" customHeight="1" x14ac:dyDescent="0.3">
      <c r="B9" s="73" t="s">
        <v>8</v>
      </c>
      <c r="C9" s="74"/>
      <c r="D9" s="75" t="s">
        <v>28</v>
      </c>
      <c r="E9" s="76">
        <v>172068</v>
      </c>
      <c r="F9" s="36">
        <v>3</v>
      </c>
      <c r="G9" s="3">
        <f t="shared" si="0"/>
        <v>516204</v>
      </c>
      <c r="H9" s="36">
        <v>3</v>
      </c>
      <c r="I9" s="3">
        <f t="shared" si="1"/>
        <v>516204</v>
      </c>
      <c r="L9" s="4"/>
      <c r="M9" s="4"/>
    </row>
    <row r="10" spans="1:13" ht="12.95" customHeight="1" x14ac:dyDescent="0.3">
      <c r="B10" s="77" t="s">
        <v>30</v>
      </c>
      <c r="C10" s="78"/>
      <c r="D10" s="78"/>
      <c r="E10" s="24"/>
      <c r="F10" s="56"/>
      <c r="G10" s="55">
        <f>TRUNC(SUM(G8:G9))</f>
        <v>1336824</v>
      </c>
      <c r="H10" s="56"/>
      <c r="I10" s="55">
        <f>TRUNC(SUM(I8:I9))</f>
        <v>1336824</v>
      </c>
      <c r="L10" s="4"/>
      <c r="M10" s="4"/>
    </row>
    <row r="11" spans="1:13" ht="12.95" customHeight="1" x14ac:dyDescent="0.3">
      <c r="B11" s="79"/>
      <c r="C11" s="80"/>
      <c r="D11" s="80"/>
      <c r="E11" s="81"/>
      <c r="F11" s="37"/>
      <c r="G11" s="57"/>
      <c r="H11" s="37"/>
      <c r="I11" s="57"/>
      <c r="L11" s="4"/>
      <c r="M11" s="4"/>
    </row>
    <row r="12" spans="1:13" ht="12.95" customHeight="1" x14ac:dyDescent="0.3">
      <c r="B12" s="82" t="s">
        <v>33</v>
      </c>
      <c r="C12" s="78"/>
      <c r="D12" s="78"/>
      <c r="E12" s="83"/>
      <c r="F12" s="83"/>
      <c r="G12" s="58">
        <f>SUM(G10)</f>
        <v>1336824</v>
      </c>
      <c r="H12" s="83"/>
      <c r="I12" s="58">
        <f>SUM(I10)</f>
        <v>1336824</v>
      </c>
      <c r="L12" s="4"/>
      <c r="M12" s="4"/>
    </row>
    <row r="13" spans="1:13" ht="12.95" customHeight="1" x14ac:dyDescent="0.3">
      <c r="B13" s="84" t="s">
        <v>290</v>
      </c>
      <c r="C13" s="85"/>
      <c r="D13" s="86"/>
      <c r="E13" s="87"/>
      <c r="F13" s="88"/>
      <c r="G13" s="7">
        <f>TRUNC(G12/G6)</f>
        <v>58122</v>
      </c>
      <c r="H13" s="88"/>
      <c r="I13" s="7">
        <f>TRUNC(I12/I6)</f>
        <v>66841</v>
      </c>
      <c r="L13" s="4"/>
      <c r="M13" s="4"/>
    </row>
    <row r="14" spans="1:13" ht="12.95" customHeight="1" x14ac:dyDescent="0.3">
      <c r="B14" s="176" t="s">
        <v>21</v>
      </c>
      <c r="C14" s="170" t="s">
        <v>25</v>
      </c>
      <c r="D14" s="170" t="s">
        <v>26</v>
      </c>
      <c r="E14" s="170" t="s">
        <v>22</v>
      </c>
      <c r="F14" s="180" t="s">
        <v>52</v>
      </c>
      <c r="G14" s="181"/>
      <c r="H14" s="181"/>
      <c r="I14" s="181"/>
    </row>
    <row r="15" spans="1:13" ht="12.95" customHeight="1" x14ac:dyDescent="0.3">
      <c r="B15" s="177"/>
      <c r="C15" s="179"/>
      <c r="D15" s="179"/>
      <c r="E15" s="179"/>
      <c r="F15" s="185" t="s">
        <v>48</v>
      </c>
      <c r="G15" s="186"/>
      <c r="H15" s="185" t="s">
        <v>49</v>
      </c>
      <c r="I15" s="186"/>
    </row>
    <row r="16" spans="1:13" ht="12.95" customHeight="1" x14ac:dyDescent="0.3">
      <c r="B16" s="177"/>
      <c r="C16" s="179"/>
      <c r="D16" s="179"/>
      <c r="E16" s="179"/>
      <c r="F16" s="68" t="s">
        <v>289</v>
      </c>
      <c r="G16" s="70">
        <v>63</v>
      </c>
      <c r="H16" s="68" t="s">
        <v>289</v>
      </c>
      <c r="I16" s="70">
        <v>55</v>
      </c>
    </row>
    <row r="17" spans="2:13" ht="12.95" customHeight="1" x14ac:dyDescent="0.3">
      <c r="B17" s="178"/>
      <c r="C17" s="171"/>
      <c r="D17" s="171"/>
      <c r="E17" s="171"/>
      <c r="F17" s="71" t="s">
        <v>287</v>
      </c>
      <c r="G17" s="72" t="s">
        <v>288</v>
      </c>
      <c r="H17" s="71" t="s">
        <v>287</v>
      </c>
      <c r="I17" s="72" t="s">
        <v>288</v>
      </c>
    </row>
    <row r="18" spans="2:13" ht="12.95" customHeight="1" x14ac:dyDescent="0.3">
      <c r="B18" s="89" t="s">
        <v>381</v>
      </c>
      <c r="C18" s="89" t="s">
        <v>41</v>
      </c>
      <c r="D18" s="90" t="s">
        <v>34</v>
      </c>
      <c r="E18" s="5">
        <v>21305</v>
      </c>
      <c r="F18" s="36">
        <v>8</v>
      </c>
      <c r="G18" s="3">
        <f t="shared" ref="G18" si="2">TRUNC($E18*F18,1)</f>
        <v>170440</v>
      </c>
      <c r="H18" s="36">
        <v>8</v>
      </c>
      <c r="I18" s="3">
        <f t="shared" ref="I18" si="3">TRUNC($E18*H18,1)</f>
        <v>170440</v>
      </c>
    </row>
    <row r="19" spans="2:13" ht="12.95" customHeight="1" x14ac:dyDescent="0.3">
      <c r="B19" s="89" t="s">
        <v>27</v>
      </c>
      <c r="C19" s="91" t="s">
        <v>51</v>
      </c>
      <c r="D19" s="90" t="s">
        <v>35</v>
      </c>
      <c r="E19" s="92"/>
      <c r="F19" s="36">
        <v>1</v>
      </c>
      <c r="G19" s="6">
        <f>TRUNC(SUM(G22:G23)*0.02,1)</f>
        <v>19853.7</v>
      </c>
      <c r="H19" s="36">
        <v>1</v>
      </c>
      <c r="I19" s="6">
        <f>TRUNC(SUM(I22:I23)*0.02,1)</f>
        <v>19853.7</v>
      </c>
    </row>
    <row r="20" spans="2:13" ht="12.95" customHeight="1" x14ac:dyDescent="0.3">
      <c r="B20" s="93" t="s">
        <v>29</v>
      </c>
      <c r="C20" s="78"/>
      <c r="D20" s="78"/>
      <c r="E20" s="24"/>
      <c r="F20" s="56"/>
      <c r="G20" s="55">
        <f>TRUNC(SUM(G18:G19))</f>
        <v>190293</v>
      </c>
      <c r="H20" s="56"/>
      <c r="I20" s="55">
        <f>TRUNC(SUM(I18:I19))</f>
        <v>190293</v>
      </c>
    </row>
    <row r="21" spans="2:13" ht="12.95" customHeight="1" x14ac:dyDescent="0.3">
      <c r="B21" s="94"/>
      <c r="C21" s="78"/>
      <c r="D21" s="78"/>
      <c r="E21" s="24"/>
      <c r="F21" s="56"/>
      <c r="G21" s="95"/>
      <c r="H21" s="56"/>
      <c r="I21" s="95"/>
    </row>
    <row r="22" spans="2:13" ht="12.95" customHeight="1" x14ac:dyDescent="0.3">
      <c r="B22" s="73" t="s">
        <v>0</v>
      </c>
      <c r="C22" s="74"/>
      <c r="D22" s="75" t="s">
        <v>28</v>
      </c>
      <c r="E22" s="76">
        <v>273540</v>
      </c>
      <c r="F22" s="36">
        <v>3</v>
      </c>
      <c r="G22" s="3">
        <f t="shared" ref="G22:G24" si="4">TRUNC($E22*F22,1)</f>
        <v>820620</v>
      </c>
      <c r="H22" s="36">
        <v>3</v>
      </c>
      <c r="I22" s="3">
        <f t="shared" ref="I22:I24" si="5">TRUNC($E22*H22,1)</f>
        <v>820620</v>
      </c>
    </row>
    <row r="23" spans="2:13" ht="12.95" customHeight="1" x14ac:dyDescent="0.3">
      <c r="B23" s="73" t="s">
        <v>8</v>
      </c>
      <c r="C23" s="74"/>
      <c r="D23" s="75" t="s">
        <v>28</v>
      </c>
      <c r="E23" s="76">
        <v>172068</v>
      </c>
      <c r="F23" s="36">
        <v>1</v>
      </c>
      <c r="G23" s="3">
        <f t="shared" si="4"/>
        <v>172068</v>
      </c>
      <c r="H23" s="36">
        <v>1</v>
      </c>
      <c r="I23" s="3">
        <f t="shared" si="5"/>
        <v>172068</v>
      </c>
    </row>
    <row r="24" spans="2:13" ht="12.95" customHeight="1" x14ac:dyDescent="0.3">
      <c r="B24" s="89" t="s">
        <v>381</v>
      </c>
      <c r="C24" s="89" t="s">
        <v>1</v>
      </c>
      <c r="D24" s="90" t="s">
        <v>34</v>
      </c>
      <c r="E24" s="5">
        <v>58925</v>
      </c>
      <c r="F24" s="36">
        <v>8</v>
      </c>
      <c r="G24" s="3">
        <f t="shared" si="4"/>
        <v>471400</v>
      </c>
      <c r="H24" s="36">
        <v>8</v>
      </c>
      <c r="I24" s="3">
        <f t="shared" si="5"/>
        <v>471400</v>
      </c>
    </row>
    <row r="25" spans="2:13" ht="12.95" customHeight="1" x14ac:dyDescent="0.3">
      <c r="B25" s="77" t="s">
        <v>30</v>
      </c>
      <c r="C25" s="78"/>
      <c r="D25" s="78"/>
      <c r="E25" s="24"/>
      <c r="F25" s="56"/>
      <c r="G25" s="55">
        <f>TRUNC(SUM(G22:G24))</f>
        <v>1464088</v>
      </c>
      <c r="H25" s="56"/>
      <c r="I25" s="55">
        <f>TRUNC(SUM(I22:I24))</f>
        <v>1464088</v>
      </c>
    </row>
    <row r="26" spans="2:13" ht="12.95" customHeight="1" x14ac:dyDescent="0.3">
      <c r="B26" s="94"/>
      <c r="C26" s="78"/>
      <c r="D26" s="78"/>
      <c r="E26" s="24"/>
      <c r="F26" s="56"/>
      <c r="G26" s="95"/>
      <c r="H26" s="56"/>
      <c r="I26" s="95"/>
    </row>
    <row r="27" spans="2:13" ht="12.95" customHeight="1" x14ac:dyDescent="0.3">
      <c r="B27" s="89" t="s">
        <v>381</v>
      </c>
      <c r="C27" s="89" t="s">
        <v>1</v>
      </c>
      <c r="D27" s="90" t="s">
        <v>291</v>
      </c>
      <c r="E27" s="5">
        <v>24554</v>
      </c>
      <c r="F27" s="36">
        <v>8</v>
      </c>
      <c r="G27" s="3">
        <f t="shared" ref="G27" si="6">TRUNC($E27*F27,1)</f>
        <v>196432</v>
      </c>
      <c r="H27" s="36">
        <v>8</v>
      </c>
      <c r="I27" s="3">
        <f t="shared" ref="I27" si="7">TRUNC($E27*H27,1)</f>
        <v>196432</v>
      </c>
    </row>
    <row r="28" spans="2:13" ht="12.95" customHeight="1" x14ac:dyDescent="0.3">
      <c r="B28" s="93" t="s">
        <v>31</v>
      </c>
      <c r="C28" s="78"/>
      <c r="D28" s="78"/>
      <c r="E28" s="83"/>
      <c r="F28" s="54"/>
      <c r="G28" s="55">
        <f>TRUNC(SUM(G27:G27))</f>
        <v>196432</v>
      </c>
      <c r="H28" s="54"/>
      <c r="I28" s="55">
        <f>TRUNC(SUM(I27:I27))</f>
        <v>196432</v>
      </c>
    </row>
    <row r="29" spans="2:13" ht="12.95" customHeight="1" x14ac:dyDescent="0.3">
      <c r="B29" s="79"/>
      <c r="C29" s="80"/>
      <c r="D29" s="80"/>
      <c r="E29" s="81"/>
      <c r="F29" s="37"/>
      <c r="G29" s="57"/>
      <c r="H29" s="37"/>
      <c r="I29" s="57"/>
    </row>
    <row r="30" spans="2:13" ht="12.95" customHeight="1" x14ac:dyDescent="0.3">
      <c r="B30" s="82" t="s">
        <v>33</v>
      </c>
      <c r="C30" s="78"/>
      <c r="D30" s="78"/>
      <c r="E30" s="83"/>
      <c r="F30" s="83"/>
      <c r="G30" s="58">
        <f>SUM(G20+G25+G28)</f>
        <v>1850813</v>
      </c>
      <c r="H30" s="83"/>
      <c r="I30" s="58">
        <f>SUM(I20+I25+I28)</f>
        <v>1850813</v>
      </c>
    </row>
    <row r="31" spans="2:13" ht="12.95" customHeight="1" x14ac:dyDescent="0.3">
      <c r="B31" s="84" t="s">
        <v>290</v>
      </c>
      <c r="C31" s="85"/>
      <c r="D31" s="86"/>
      <c r="E31" s="87"/>
      <c r="F31" s="88"/>
      <c r="G31" s="7">
        <f>TRUNC(G30/G16)</f>
        <v>29377</v>
      </c>
      <c r="H31" s="88"/>
      <c r="I31" s="7">
        <f>TRUNC(I30/I16)</f>
        <v>33651</v>
      </c>
    </row>
    <row r="32" spans="2:13" ht="12.95" customHeight="1" x14ac:dyDescent="0.3">
      <c r="L32" s="22"/>
      <c r="M32" s="22"/>
    </row>
    <row r="33" spans="2:13" ht="12.95" customHeight="1" x14ac:dyDescent="0.3">
      <c r="B33" s="63" t="s">
        <v>55</v>
      </c>
      <c r="C33" s="64"/>
      <c r="D33" s="11"/>
      <c r="E33" s="65"/>
      <c r="F33" s="4"/>
      <c r="G33" s="4"/>
      <c r="H33" s="4"/>
      <c r="I33" s="4"/>
      <c r="J33" s="4"/>
      <c r="K33" s="66" t="s">
        <v>46</v>
      </c>
    </row>
    <row r="34" spans="2:13" ht="12.95" customHeight="1" x14ac:dyDescent="0.3">
      <c r="B34" s="176" t="s">
        <v>21</v>
      </c>
      <c r="C34" s="176" t="s">
        <v>25</v>
      </c>
      <c r="D34" s="170" t="s">
        <v>26</v>
      </c>
      <c r="E34" s="170" t="s">
        <v>22</v>
      </c>
      <c r="F34" s="185" t="s">
        <v>54</v>
      </c>
      <c r="G34" s="186"/>
      <c r="H34" s="186"/>
      <c r="I34" s="186"/>
      <c r="J34" s="186"/>
      <c r="K34" s="186"/>
    </row>
    <row r="35" spans="2:13" ht="12.95" customHeight="1" x14ac:dyDescent="0.3">
      <c r="B35" s="177"/>
      <c r="C35" s="177"/>
      <c r="D35" s="179"/>
      <c r="E35" s="179"/>
      <c r="F35" s="185" t="s">
        <v>48</v>
      </c>
      <c r="G35" s="186"/>
      <c r="H35" s="185" t="s">
        <v>49</v>
      </c>
      <c r="I35" s="186"/>
      <c r="J35" s="185" t="s">
        <v>50</v>
      </c>
      <c r="K35" s="186"/>
    </row>
    <row r="36" spans="2:13" ht="12.95" customHeight="1" x14ac:dyDescent="0.3">
      <c r="B36" s="178"/>
      <c r="C36" s="178"/>
      <c r="D36" s="171"/>
      <c r="E36" s="171"/>
      <c r="F36" s="71" t="s">
        <v>23</v>
      </c>
      <c r="G36" s="72" t="s">
        <v>24</v>
      </c>
      <c r="H36" s="71" t="s">
        <v>23</v>
      </c>
      <c r="I36" s="72" t="s">
        <v>24</v>
      </c>
      <c r="J36" s="71" t="s">
        <v>23</v>
      </c>
      <c r="K36" s="72" t="s">
        <v>24</v>
      </c>
    </row>
    <row r="37" spans="2:13" ht="12.95" customHeight="1" x14ac:dyDescent="0.3">
      <c r="B37" s="73" t="s">
        <v>0</v>
      </c>
      <c r="C37" s="74"/>
      <c r="D37" s="75" t="s">
        <v>28</v>
      </c>
      <c r="E37" s="76">
        <v>273540</v>
      </c>
      <c r="F37" s="37">
        <v>0.15</v>
      </c>
      <c r="G37" s="3">
        <f t="shared" ref="G37:G38" si="8">TRUNC($E37*F37,1)</f>
        <v>41031</v>
      </c>
      <c r="H37" s="37">
        <v>0.17</v>
      </c>
      <c r="I37" s="3">
        <f t="shared" ref="I37:I38" si="9">TRUNC($E37*H37,1)</f>
        <v>46501.8</v>
      </c>
      <c r="J37" s="37">
        <v>0.24</v>
      </c>
      <c r="K37" s="3">
        <f t="shared" ref="K37:K38" si="10">TRUNC($E37*J37,1)</f>
        <v>65649.600000000006</v>
      </c>
    </row>
    <row r="38" spans="2:13" ht="12.95" customHeight="1" x14ac:dyDescent="0.3">
      <c r="B38" s="73" t="s">
        <v>8</v>
      </c>
      <c r="C38" s="74"/>
      <c r="D38" s="75" t="s">
        <v>28</v>
      </c>
      <c r="E38" s="76">
        <v>172068</v>
      </c>
      <c r="F38" s="37">
        <v>0.46</v>
      </c>
      <c r="G38" s="3">
        <f t="shared" si="8"/>
        <v>79151.199999999997</v>
      </c>
      <c r="H38" s="37">
        <v>0.68</v>
      </c>
      <c r="I38" s="3">
        <f t="shared" si="9"/>
        <v>117006.2</v>
      </c>
      <c r="J38" s="37">
        <v>0.94</v>
      </c>
      <c r="K38" s="3">
        <f t="shared" si="10"/>
        <v>161743.9</v>
      </c>
    </row>
    <row r="39" spans="2:13" ht="12.95" customHeight="1" x14ac:dyDescent="0.3">
      <c r="B39" s="77" t="s">
        <v>30</v>
      </c>
      <c r="C39" s="96"/>
      <c r="D39" s="97"/>
      <c r="E39" s="19"/>
      <c r="F39" s="37"/>
      <c r="G39" s="20">
        <f>TRUNC(SUM(G37:G38))</f>
        <v>120182</v>
      </c>
      <c r="H39" s="37"/>
      <c r="I39" s="20">
        <f>TRUNC(SUM(I37:I38))</f>
        <v>163508</v>
      </c>
      <c r="J39" s="37"/>
      <c r="K39" s="20">
        <f>TRUNC(SUM(K37:K38))</f>
        <v>227393</v>
      </c>
      <c r="L39" s="22"/>
      <c r="M39" s="22"/>
    </row>
    <row r="40" spans="2:13" ht="12.95" customHeight="1" x14ac:dyDescent="0.3">
      <c r="B40" s="79"/>
      <c r="C40" s="79"/>
      <c r="D40" s="90"/>
      <c r="E40" s="98"/>
      <c r="F40" s="37"/>
      <c r="G40" s="99"/>
      <c r="H40" s="37"/>
      <c r="I40" s="99"/>
      <c r="J40" s="37"/>
      <c r="K40" s="99"/>
      <c r="L40" s="22"/>
      <c r="M40" s="22"/>
    </row>
    <row r="41" spans="2:13" ht="12.95" customHeight="1" x14ac:dyDescent="0.3">
      <c r="B41" s="84" t="s">
        <v>33</v>
      </c>
      <c r="C41" s="85"/>
      <c r="D41" s="86"/>
      <c r="E41" s="87"/>
      <c r="F41" s="88"/>
      <c r="G41" s="7">
        <f>SUM(G39)</f>
        <v>120182</v>
      </c>
      <c r="H41" s="88"/>
      <c r="I41" s="7">
        <f>SUM(I39)</f>
        <v>163508</v>
      </c>
      <c r="J41" s="88"/>
      <c r="K41" s="7">
        <f>SUM(K39)</f>
        <v>227393</v>
      </c>
    </row>
    <row r="42" spans="2:13" ht="12.95" customHeight="1" x14ac:dyDescent="0.3">
      <c r="B42" s="176" t="s">
        <v>21</v>
      </c>
      <c r="C42" s="176" t="s">
        <v>25</v>
      </c>
      <c r="D42" s="170" t="s">
        <v>26</v>
      </c>
      <c r="E42" s="170" t="s">
        <v>22</v>
      </c>
      <c r="F42" s="185" t="s">
        <v>56</v>
      </c>
      <c r="G42" s="186"/>
      <c r="H42" s="186"/>
      <c r="I42" s="186"/>
      <c r="J42" s="186"/>
      <c r="K42" s="186"/>
    </row>
    <row r="43" spans="2:13" ht="12.95" customHeight="1" x14ac:dyDescent="0.3">
      <c r="B43" s="177"/>
      <c r="C43" s="177"/>
      <c r="D43" s="179"/>
      <c r="E43" s="179"/>
      <c r="F43" s="185" t="s">
        <v>48</v>
      </c>
      <c r="G43" s="186"/>
      <c r="H43" s="185" t="s">
        <v>49</v>
      </c>
      <c r="I43" s="186"/>
      <c r="J43" s="185" t="s">
        <v>50</v>
      </c>
      <c r="K43" s="186"/>
    </row>
    <row r="44" spans="2:13" ht="12.95" customHeight="1" x14ac:dyDescent="0.3">
      <c r="B44" s="178"/>
      <c r="C44" s="178"/>
      <c r="D44" s="171"/>
      <c r="E44" s="171"/>
      <c r="F44" s="71" t="s">
        <v>23</v>
      </c>
      <c r="G44" s="72" t="s">
        <v>24</v>
      </c>
      <c r="H44" s="71" t="s">
        <v>23</v>
      </c>
      <c r="I44" s="72" t="s">
        <v>24</v>
      </c>
      <c r="J44" s="71" t="s">
        <v>23</v>
      </c>
      <c r="K44" s="72" t="s">
        <v>24</v>
      </c>
    </row>
    <row r="45" spans="2:13" ht="12.95" customHeight="1" x14ac:dyDescent="0.3">
      <c r="B45" s="73" t="s">
        <v>0</v>
      </c>
      <c r="C45" s="74"/>
      <c r="D45" s="75" t="s">
        <v>28</v>
      </c>
      <c r="E45" s="76">
        <v>273540</v>
      </c>
      <c r="F45" s="37">
        <v>0.85</v>
      </c>
      <c r="G45" s="3">
        <f t="shared" ref="G45:G46" si="11">TRUNC($E45*F45,1)</f>
        <v>232509</v>
      </c>
      <c r="H45" s="37">
        <v>0.87</v>
      </c>
      <c r="I45" s="3">
        <f t="shared" ref="I45:I46" si="12">TRUNC($E45*H45,1)</f>
        <v>237979.8</v>
      </c>
      <c r="J45" s="37">
        <v>1.29</v>
      </c>
      <c r="K45" s="3">
        <f t="shared" ref="K45:K46" si="13">TRUNC($E45*J45,1)</f>
        <v>352866.6</v>
      </c>
    </row>
    <row r="46" spans="2:13" ht="12.95" customHeight="1" x14ac:dyDescent="0.3">
      <c r="B46" s="73" t="s">
        <v>8</v>
      </c>
      <c r="C46" s="74"/>
      <c r="D46" s="75" t="s">
        <v>28</v>
      </c>
      <c r="E46" s="76">
        <v>172068</v>
      </c>
      <c r="F46" s="37">
        <v>0.82</v>
      </c>
      <c r="G46" s="3">
        <f t="shared" si="11"/>
        <v>141095.70000000001</v>
      </c>
      <c r="H46" s="37">
        <v>0.99</v>
      </c>
      <c r="I46" s="3">
        <f t="shared" si="12"/>
        <v>170347.3</v>
      </c>
      <c r="J46" s="37">
        <v>1.36</v>
      </c>
      <c r="K46" s="3">
        <f t="shared" si="13"/>
        <v>234012.4</v>
      </c>
    </row>
    <row r="47" spans="2:13" ht="12.95" customHeight="1" x14ac:dyDescent="0.3">
      <c r="B47" s="77" t="s">
        <v>30</v>
      </c>
      <c r="C47" s="96"/>
      <c r="D47" s="97"/>
      <c r="E47" s="19"/>
      <c r="F47" s="37"/>
      <c r="G47" s="20">
        <f>TRUNC(SUM(G45:G46))</f>
        <v>373604</v>
      </c>
      <c r="H47" s="37"/>
      <c r="I47" s="20">
        <f>TRUNC(SUM(I45:I46))</f>
        <v>408327</v>
      </c>
      <c r="J47" s="37"/>
      <c r="K47" s="20">
        <f>TRUNC(SUM(K45:K46))</f>
        <v>586879</v>
      </c>
      <c r="L47" s="22"/>
      <c r="M47" s="22"/>
    </row>
    <row r="48" spans="2:13" ht="12.95" customHeight="1" x14ac:dyDescent="0.3">
      <c r="B48" s="79"/>
      <c r="C48" s="79"/>
      <c r="D48" s="90"/>
      <c r="E48" s="98"/>
      <c r="F48" s="37"/>
      <c r="G48" s="99"/>
      <c r="H48" s="37"/>
      <c r="I48" s="99"/>
      <c r="J48" s="37"/>
      <c r="K48" s="99"/>
      <c r="L48" s="22"/>
      <c r="M48" s="22"/>
    </row>
    <row r="49" spans="2:14" ht="12.95" customHeight="1" x14ac:dyDescent="0.3">
      <c r="B49" s="84" t="s">
        <v>33</v>
      </c>
      <c r="C49" s="85"/>
      <c r="D49" s="86"/>
      <c r="E49" s="87"/>
      <c r="F49" s="88"/>
      <c r="G49" s="7">
        <f>SUM(G47)</f>
        <v>373604</v>
      </c>
      <c r="H49" s="88"/>
      <c r="I49" s="7">
        <f>SUM(I47)</f>
        <v>408327</v>
      </c>
      <c r="J49" s="88"/>
      <c r="K49" s="7">
        <f>SUM(K47)</f>
        <v>586879</v>
      </c>
    </row>
    <row r="50" spans="2:14" ht="12.95" customHeight="1" x14ac:dyDescent="0.3">
      <c r="L50" s="22"/>
      <c r="M50" s="22"/>
    </row>
    <row r="51" spans="2:14" ht="12.95" customHeight="1" x14ac:dyDescent="0.3">
      <c r="B51" s="100" t="s">
        <v>58</v>
      </c>
      <c r="C51" s="65"/>
      <c r="D51" s="65"/>
      <c r="E51" s="65"/>
      <c r="F51" s="65"/>
      <c r="G51" s="101" t="s">
        <v>57</v>
      </c>
    </row>
    <row r="52" spans="2:14" ht="12.95" customHeight="1" x14ac:dyDescent="0.3">
      <c r="B52" s="165" t="s">
        <v>21</v>
      </c>
      <c r="C52" s="167" t="s">
        <v>36</v>
      </c>
      <c r="D52" s="169" t="s">
        <v>26</v>
      </c>
      <c r="E52" s="170" t="s">
        <v>22</v>
      </c>
      <c r="F52" s="170" t="s">
        <v>23</v>
      </c>
      <c r="G52" s="172" t="s">
        <v>24</v>
      </c>
    </row>
    <row r="53" spans="2:14" ht="12.95" customHeight="1" x14ac:dyDescent="0.3">
      <c r="B53" s="166"/>
      <c r="C53" s="168"/>
      <c r="D53" s="169"/>
      <c r="E53" s="171"/>
      <c r="F53" s="171"/>
      <c r="G53" s="173"/>
    </row>
    <row r="54" spans="2:14" ht="12.95" customHeight="1" x14ac:dyDescent="0.3">
      <c r="B54" s="73" t="s">
        <v>5</v>
      </c>
      <c r="C54" s="74"/>
      <c r="D54" s="75" t="s">
        <v>28</v>
      </c>
      <c r="E54" s="76">
        <v>277276</v>
      </c>
      <c r="F54" s="38">
        <v>0.34</v>
      </c>
      <c r="G54" s="3">
        <f t="shared" ref="G54" si="14">TRUNC($E54*F54,1)</f>
        <v>94273.8</v>
      </c>
    </row>
    <row r="55" spans="2:14" ht="12.95" customHeight="1" x14ac:dyDescent="0.3">
      <c r="B55" s="77" t="s">
        <v>30</v>
      </c>
      <c r="C55" s="103"/>
      <c r="D55" s="104"/>
      <c r="E55" s="105"/>
      <c r="F55" s="105"/>
      <c r="G55" s="18">
        <f>TRUNC(SUM(G54:G54))</f>
        <v>94273</v>
      </c>
    </row>
    <row r="56" spans="2:14" ht="12.95" customHeight="1" x14ac:dyDescent="0.3">
      <c r="B56" s="106"/>
      <c r="C56" s="74"/>
      <c r="D56" s="75"/>
      <c r="E56" s="107"/>
      <c r="F56" s="107"/>
      <c r="G56" s="9"/>
    </row>
    <row r="57" spans="2:14" ht="12.95" customHeight="1" x14ac:dyDescent="0.3">
      <c r="B57" s="84" t="s">
        <v>33</v>
      </c>
      <c r="C57" s="108"/>
      <c r="D57" s="109"/>
      <c r="E57" s="110"/>
      <c r="F57" s="110"/>
      <c r="G57" s="10">
        <f>SUM(G55)</f>
        <v>94273</v>
      </c>
    </row>
    <row r="58" spans="2:14" ht="12.95" customHeight="1" x14ac:dyDescent="0.3">
      <c r="B58" s="111"/>
      <c r="C58" s="112"/>
      <c r="D58" s="111"/>
      <c r="E58" s="113"/>
      <c r="F58" s="114"/>
      <c r="G58" s="114"/>
    </row>
    <row r="59" spans="2:14" ht="12.95" customHeight="1" x14ac:dyDescent="0.3">
      <c r="B59" s="115" t="s">
        <v>59</v>
      </c>
      <c r="C59" s="116"/>
      <c r="D59" s="22"/>
      <c r="E59" s="22"/>
      <c r="F59" s="22"/>
      <c r="G59" s="22"/>
      <c r="H59" s="22"/>
      <c r="I59" s="117"/>
      <c r="J59" s="118"/>
      <c r="K59" s="117" t="s">
        <v>60</v>
      </c>
      <c r="L59" s="22"/>
      <c r="N59" s="22"/>
    </row>
    <row r="60" spans="2:14" ht="12.95" customHeight="1" x14ac:dyDescent="0.3">
      <c r="B60" s="165" t="s">
        <v>21</v>
      </c>
      <c r="C60" s="167" t="s">
        <v>36</v>
      </c>
      <c r="D60" s="169" t="s">
        <v>26</v>
      </c>
      <c r="E60" s="170" t="s">
        <v>22</v>
      </c>
      <c r="F60" s="119" t="s">
        <v>61</v>
      </c>
      <c r="G60" s="120"/>
      <c r="H60" s="119" t="s">
        <v>62</v>
      </c>
      <c r="I60" s="120"/>
      <c r="J60" s="119" t="s">
        <v>63</v>
      </c>
      <c r="K60" s="121"/>
      <c r="L60" s="118"/>
      <c r="M60" s="122"/>
      <c r="N60" s="22"/>
    </row>
    <row r="61" spans="2:14" ht="12.95" customHeight="1" x14ac:dyDescent="0.3">
      <c r="B61" s="166"/>
      <c r="C61" s="168"/>
      <c r="D61" s="169"/>
      <c r="E61" s="171"/>
      <c r="F61" s="123" t="s">
        <v>23</v>
      </c>
      <c r="G61" s="123" t="s">
        <v>24</v>
      </c>
      <c r="H61" s="123" t="s">
        <v>23</v>
      </c>
      <c r="I61" s="123" t="s">
        <v>24</v>
      </c>
      <c r="J61" s="123" t="s">
        <v>23</v>
      </c>
      <c r="K61" s="124" t="s">
        <v>24</v>
      </c>
      <c r="L61" s="21"/>
      <c r="M61" s="125"/>
      <c r="N61" s="22"/>
    </row>
    <row r="62" spans="2:14" ht="12.95" customHeight="1" x14ac:dyDescent="0.3">
      <c r="B62" s="126" t="s">
        <v>64</v>
      </c>
      <c r="C62" s="126"/>
      <c r="D62" s="127" t="s">
        <v>38</v>
      </c>
      <c r="E62" s="23">
        <v>188</v>
      </c>
      <c r="F62" s="26">
        <v>320</v>
      </c>
      <c r="G62" s="3">
        <f t="shared" ref="G62:K64" si="15">TRUNC($E62*F62,1)</f>
        <v>60160</v>
      </c>
      <c r="H62" s="26">
        <v>220</v>
      </c>
      <c r="I62" s="3">
        <f t="shared" si="15"/>
        <v>41360</v>
      </c>
      <c r="J62" s="26">
        <v>170</v>
      </c>
      <c r="K62" s="3">
        <f t="shared" si="15"/>
        <v>31960</v>
      </c>
      <c r="L62" s="21"/>
      <c r="M62" s="125"/>
      <c r="N62" s="22"/>
    </row>
    <row r="63" spans="2:14" ht="12.95" customHeight="1" x14ac:dyDescent="0.3">
      <c r="B63" s="126" t="s">
        <v>65</v>
      </c>
      <c r="C63" s="126"/>
      <c r="D63" s="127" t="s">
        <v>68</v>
      </c>
      <c r="E63" s="23">
        <v>37000</v>
      </c>
      <c r="F63" s="26">
        <v>0.45</v>
      </c>
      <c r="G63" s="3">
        <f t="shared" si="15"/>
        <v>16650</v>
      </c>
      <c r="H63" s="26">
        <v>0.47</v>
      </c>
      <c r="I63" s="3">
        <f t="shared" si="15"/>
        <v>17390</v>
      </c>
      <c r="J63" s="26">
        <v>0.48</v>
      </c>
      <c r="K63" s="3">
        <f t="shared" si="15"/>
        <v>17760</v>
      </c>
      <c r="L63" s="21"/>
      <c r="M63" s="128"/>
      <c r="N63" s="22"/>
    </row>
    <row r="64" spans="2:14" ht="12.95" customHeight="1" x14ac:dyDescent="0.3">
      <c r="B64" s="126" t="s">
        <v>66</v>
      </c>
      <c r="C64" s="126" t="s">
        <v>67</v>
      </c>
      <c r="D64" s="127" t="s">
        <v>68</v>
      </c>
      <c r="E64" s="23">
        <v>39000</v>
      </c>
      <c r="F64" s="26">
        <v>0.9</v>
      </c>
      <c r="G64" s="3">
        <f t="shared" si="15"/>
        <v>35100</v>
      </c>
      <c r="H64" s="26">
        <v>0.94</v>
      </c>
      <c r="I64" s="3">
        <f t="shared" si="15"/>
        <v>36660</v>
      </c>
      <c r="J64" s="26">
        <v>0.96</v>
      </c>
      <c r="K64" s="3">
        <f t="shared" si="15"/>
        <v>37440</v>
      </c>
      <c r="L64" s="21"/>
      <c r="M64" s="125"/>
      <c r="N64" s="22"/>
    </row>
    <row r="65" spans="2:14" ht="12.95" customHeight="1" x14ac:dyDescent="0.3">
      <c r="B65" s="129" t="s">
        <v>29</v>
      </c>
      <c r="C65" s="130"/>
      <c r="D65" s="131"/>
      <c r="E65" s="132"/>
      <c r="F65" s="39"/>
      <c r="G65" s="40">
        <f>TRUNC(SUM(G62:G64))</f>
        <v>111910</v>
      </c>
      <c r="H65" s="39"/>
      <c r="I65" s="40">
        <f>TRUNC(SUM(I62:I64))</f>
        <v>95410</v>
      </c>
      <c r="J65" s="39"/>
      <c r="K65" s="40">
        <f>TRUNC(SUM(K62:K64))</f>
        <v>87160</v>
      </c>
      <c r="L65" s="21"/>
      <c r="M65" s="125"/>
      <c r="N65" s="22"/>
    </row>
    <row r="66" spans="2:14" ht="12.95" customHeight="1" x14ac:dyDescent="0.3">
      <c r="B66" s="126"/>
      <c r="C66" s="126"/>
      <c r="D66" s="127"/>
      <c r="E66" s="76"/>
      <c r="F66" s="26"/>
      <c r="G66" s="29"/>
      <c r="H66" s="26"/>
      <c r="I66" s="29"/>
      <c r="J66" s="26"/>
      <c r="K66" s="29"/>
      <c r="L66" s="21"/>
      <c r="M66" s="128"/>
      <c r="N66" s="22"/>
    </row>
    <row r="67" spans="2:14" ht="12.95" customHeight="1" x14ac:dyDescent="0.3">
      <c r="B67" s="126" t="s">
        <v>0</v>
      </c>
      <c r="C67" s="126"/>
      <c r="D67" s="75" t="s">
        <v>28</v>
      </c>
      <c r="E67" s="76">
        <v>273540</v>
      </c>
      <c r="F67" s="26">
        <v>0.9</v>
      </c>
      <c r="G67" s="3">
        <f t="shared" ref="G67:K68" si="16">TRUNC($E67*F67,1)</f>
        <v>246186</v>
      </c>
      <c r="H67" s="26">
        <v>0.9</v>
      </c>
      <c r="I67" s="3">
        <f t="shared" si="16"/>
        <v>246186</v>
      </c>
      <c r="J67" s="26">
        <v>0.9</v>
      </c>
      <c r="K67" s="3">
        <f t="shared" si="16"/>
        <v>246186</v>
      </c>
      <c r="L67" s="21"/>
      <c r="M67" s="125"/>
      <c r="N67" s="22"/>
    </row>
    <row r="68" spans="2:14" ht="12.95" customHeight="1" x14ac:dyDescent="0.3">
      <c r="B68" s="126" t="s">
        <v>8</v>
      </c>
      <c r="C68" s="126"/>
      <c r="D68" s="75" t="s">
        <v>28</v>
      </c>
      <c r="E68" s="76">
        <v>172068</v>
      </c>
      <c r="F68" s="26">
        <v>1</v>
      </c>
      <c r="G68" s="3">
        <f t="shared" si="16"/>
        <v>172068</v>
      </c>
      <c r="H68" s="26">
        <v>0.9</v>
      </c>
      <c r="I68" s="3">
        <f t="shared" si="16"/>
        <v>154861.20000000001</v>
      </c>
      <c r="J68" s="26">
        <v>0.7</v>
      </c>
      <c r="K68" s="3">
        <f t="shared" si="16"/>
        <v>120447.6</v>
      </c>
      <c r="L68" s="21"/>
      <c r="M68" s="125"/>
      <c r="N68" s="22"/>
    </row>
    <row r="69" spans="2:14" ht="12.95" customHeight="1" x14ac:dyDescent="0.3">
      <c r="B69" s="77" t="s">
        <v>30</v>
      </c>
      <c r="C69" s="133"/>
      <c r="D69" s="134"/>
      <c r="E69" s="24"/>
      <c r="F69" s="41"/>
      <c r="G69" s="40">
        <f>TRUNC(SUM(G67:G68))</f>
        <v>418254</v>
      </c>
      <c r="H69" s="39"/>
      <c r="I69" s="40">
        <f>TRUNC(SUM(I67:I68))</f>
        <v>401047</v>
      </c>
      <c r="J69" s="39"/>
      <c r="K69" s="40">
        <f>TRUNC(SUM(K67:K68))</f>
        <v>366633</v>
      </c>
      <c r="L69" s="21"/>
      <c r="M69" s="128"/>
    </row>
    <row r="70" spans="2:14" ht="12.95" customHeight="1" x14ac:dyDescent="0.3">
      <c r="B70" s="126"/>
      <c r="C70" s="126"/>
      <c r="D70" s="126"/>
      <c r="E70" s="76"/>
      <c r="F70" s="26"/>
      <c r="G70" s="29"/>
      <c r="H70" s="26"/>
      <c r="I70" s="29"/>
      <c r="J70" s="26"/>
      <c r="K70" s="29"/>
    </row>
    <row r="71" spans="2:14" ht="12.95" customHeight="1" x14ac:dyDescent="0.3">
      <c r="B71" s="84" t="s">
        <v>33</v>
      </c>
      <c r="C71" s="135"/>
      <c r="D71" s="135"/>
      <c r="E71" s="136"/>
      <c r="F71" s="136"/>
      <c r="G71" s="42">
        <f>SUM(G65+G69)</f>
        <v>530164</v>
      </c>
      <c r="H71" s="136"/>
      <c r="I71" s="42">
        <f>SUM(I65+I69)</f>
        <v>496457</v>
      </c>
      <c r="J71" s="136"/>
      <c r="K71" s="42">
        <f>SUM(K65+K69)</f>
        <v>453793</v>
      </c>
    </row>
    <row r="73" spans="2:14" ht="12.95" customHeight="1" x14ac:dyDescent="0.3">
      <c r="B73" s="1" t="s">
        <v>69</v>
      </c>
    </row>
    <row r="74" spans="2:14" ht="12.95" customHeight="1" x14ac:dyDescent="0.3">
      <c r="B74" s="1" t="s">
        <v>70</v>
      </c>
      <c r="I74" s="137" t="s">
        <v>239</v>
      </c>
    </row>
    <row r="75" spans="2:14" ht="12.95" customHeight="1" x14ac:dyDescent="0.3">
      <c r="B75" s="176" t="s">
        <v>21</v>
      </c>
      <c r="C75" s="176" t="s">
        <v>25</v>
      </c>
      <c r="D75" s="170" t="s">
        <v>26</v>
      </c>
      <c r="E75" s="170" t="s">
        <v>22</v>
      </c>
      <c r="F75" s="185" t="s">
        <v>292</v>
      </c>
      <c r="G75" s="186"/>
      <c r="H75" s="186"/>
      <c r="I75" s="186"/>
    </row>
    <row r="76" spans="2:14" ht="12.95" customHeight="1" x14ac:dyDescent="0.3">
      <c r="B76" s="177"/>
      <c r="C76" s="177"/>
      <c r="D76" s="179"/>
      <c r="E76" s="179"/>
      <c r="F76" s="185" t="s">
        <v>293</v>
      </c>
      <c r="G76" s="186"/>
      <c r="H76" s="185" t="s">
        <v>294</v>
      </c>
      <c r="I76" s="186"/>
    </row>
    <row r="77" spans="2:14" ht="12.95" customHeight="1" x14ac:dyDescent="0.3">
      <c r="B77" s="178"/>
      <c r="C77" s="178"/>
      <c r="D77" s="171"/>
      <c r="E77" s="171"/>
      <c r="F77" s="71" t="s">
        <v>23</v>
      </c>
      <c r="G77" s="72" t="s">
        <v>24</v>
      </c>
      <c r="H77" s="71" t="s">
        <v>23</v>
      </c>
      <c r="I77" s="72" t="s">
        <v>24</v>
      </c>
    </row>
    <row r="78" spans="2:14" ht="12.95" customHeight="1" x14ac:dyDescent="0.3">
      <c r="B78" s="89" t="s">
        <v>11</v>
      </c>
      <c r="C78" s="89" t="s">
        <v>295</v>
      </c>
      <c r="D78" s="90" t="s">
        <v>34</v>
      </c>
      <c r="E78" s="5">
        <v>35159</v>
      </c>
      <c r="F78" s="36">
        <v>8</v>
      </c>
      <c r="G78" s="3">
        <f t="shared" ref="G78:I78" si="17">TRUNC($E78*F78,1)</f>
        <v>281272</v>
      </c>
      <c r="H78" s="36">
        <v>8</v>
      </c>
      <c r="I78" s="3">
        <f t="shared" si="17"/>
        <v>281272</v>
      </c>
    </row>
    <row r="79" spans="2:14" ht="12.95" customHeight="1" x14ac:dyDescent="0.3">
      <c r="B79" s="89" t="s">
        <v>27</v>
      </c>
      <c r="C79" s="91" t="s">
        <v>126</v>
      </c>
      <c r="D79" s="90" t="s">
        <v>35</v>
      </c>
      <c r="E79" s="92"/>
      <c r="F79" s="36">
        <v>1</v>
      </c>
      <c r="G79" s="6">
        <f>TRUNC(SUM(G82:G85)*0.05,1)</f>
        <v>74730</v>
      </c>
      <c r="H79" s="36">
        <v>1</v>
      </c>
      <c r="I79" s="6">
        <f>TRUNC(SUM(I82:I85)*0.05,1)</f>
        <v>88407</v>
      </c>
    </row>
    <row r="80" spans="2:14" ht="12.95" customHeight="1" x14ac:dyDescent="0.3">
      <c r="B80" s="93" t="s">
        <v>29</v>
      </c>
      <c r="C80" s="96"/>
      <c r="D80" s="97"/>
      <c r="E80" s="138"/>
      <c r="F80" s="37"/>
      <c r="G80" s="20">
        <f>TRUNC(SUM(G78:G79))</f>
        <v>356002</v>
      </c>
      <c r="H80" s="37"/>
      <c r="I80" s="20">
        <f>TRUNC(SUM(I78:I79))</f>
        <v>369679</v>
      </c>
    </row>
    <row r="81" spans="2:13" ht="12.95" customHeight="1" x14ac:dyDescent="0.3">
      <c r="B81" s="79"/>
      <c r="C81" s="79"/>
      <c r="D81" s="90"/>
      <c r="E81" s="98"/>
      <c r="F81" s="37"/>
      <c r="G81" s="99"/>
      <c r="H81" s="37"/>
      <c r="I81" s="99"/>
    </row>
    <row r="82" spans="2:13" ht="12.95" customHeight="1" x14ac:dyDescent="0.3">
      <c r="B82" s="73" t="s">
        <v>0</v>
      </c>
      <c r="C82" s="74" t="s">
        <v>71</v>
      </c>
      <c r="D82" s="75" t="s">
        <v>28</v>
      </c>
      <c r="E82" s="76">
        <v>273540</v>
      </c>
      <c r="F82" s="36">
        <v>3</v>
      </c>
      <c r="G82" s="3">
        <f t="shared" ref="G82:I86" si="18">TRUNC($E82*F82,1)</f>
        <v>820620</v>
      </c>
      <c r="H82" s="36">
        <v>4</v>
      </c>
      <c r="I82" s="3">
        <f t="shared" si="18"/>
        <v>1094160</v>
      </c>
    </row>
    <row r="83" spans="2:13" ht="12.95" customHeight="1" x14ac:dyDescent="0.3">
      <c r="B83" s="73" t="s">
        <v>42</v>
      </c>
      <c r="C83" s="74" t="s">
        <v>382</v>
      </c>
      <c r="D83" s="75" t="s">
        <v>28</v>
      </c>
      <c r="E83" s="139">
        <v>226122</v>
      </c>
      <c r="F83" s="36">
        <v>1</v>
      </c>
      <c r="G83" s="3">
        <f t="shared" si="18"/>
        <v>226122</v>
      </c>
      <c r="H83" s="36">
        <v>1</v>
      </c>
      <c r="I83" s="3">
        <f t="shared" si="18"/>
        <v>226122</v>
      </c>
    </row>
    <row r="84" spans="2:13" ht="12.95" customHeight="1" x14ac:dyDescent="0.3">
      <c r="B84" s="126" t="s">
        <v>4</v>
      </c>
      <c r="C84" s="126" t="s">
        <v>383</v>
      </c>
      <c r="D84" s="75" t="s">
        <v>28</v>
      </c>
      <c r="E84" s="139">
        <v>275790</v>
      </c>
      <c r="F84" s="36">
        <v>1</v>
      </c>
      <c r="G84" s="3">
        <f t="shared" ref="G84" si="19">TRUNC($E84*F84,1)</f>
        <v>275790</v>
      </c>
      <c r="H84" s="36">
        <v>1</v>
      </c>
      <c r="I84" s="3">
        <f t="shared" ref="I84" si="20">TRUNC($E84*H84,1)</f>
        <v>275790</v>
      </c>
    </row>
    <row r="85" spans="2:13" ht="12.95" customHeight="1" x14ac:dyDescent="0.3">
      <c r="B85" s="73" t="s">
        <v>8</v>
      </c>
      <c r="C85" s="74" t="s">
        <v>72</v>
      </c>
      <c r="D85" s="75" t="s">
        <v>28</v>
      </c>
      <c r="E85" s="76">
        <v>172068</v>
      </c>
      <c r="F85" s="36">
        <v>1</v>
      </c>
      <c r="G85" s="3">
        <f t="shared" si="18"/>
        <v>172068</v>
      </c>
      <c r="H85" s="36">
        <v>1</v>
      </c>
      <c r="I85" s="3">
        <f t="shared" si="18"/>
        <v>172068</v>
      </c>
    </row>
    <row r="86" spans="2:13" ht="12.95" customHeight="1" x14ac:dyDescent="0.3">
      <c r="B86" s="89" t="s">
        <v>11</v>
      </c>
      <c r="C86" s="89" t="s">
        <v>295</v>
      </c>
      <c r="D86" s="90" t="s">
        <v>34</v>
      </c>
      <c r="E86" s="5">
        <v>58925</v>
      </c>
      <c r="F86" s="36">
        <v>8</v>
      </c>
      <c r="G86" s="3">
        <f t="shared" si="18"/>
        <v>471400</v>
      </c>
      <c r="H86" s="36">
        <v>8</v>
      </c>
      <c r="I86" s="3">
        <f t="shared" si="18"/>
        <v>471400</v>
      </c>
    </row>
    <row r="87" spans="2:13" ht="12.95" customHeight="1" x14ac:dyDescent="0.3">
      <c r="B87" s="77" t="s">
        <v>30</v>
      </c>
      <c r="C87" s="96"/>
      <c r="D87" s="97"/>
      <c r="E87" s="19"/>
      <c r="F87" s="37"/>
      <c r="G87" s="20">
        <f>TRUNC(SUM(G82:G86))</f>
        <v>1966000</v>
      </c>
      <c r="H87" s="37"/>
      <c r="I87" s="20">
        <f>TRUNC(SUM(I82:I86))</f>
        <v>2239540</v>
      </c>
    </row>
    <row r="88" spans="2:13" ht="12.95" customHeight="1" x14ac:dyDescent="0.3">
      <c r="B88" s="79"/>
      <c r="C88" s="79"/>
      <c r="D88" s="90"/>
      <c r="E88" s="98"/>
      <c r="F88" s="37"/>
      <c r="G88" s="99"/>
      <c r="H88" s="37"/>
      <c r="I88" s="99"/>
    </row>
    <row r="89" spans="2:13" ht="12.95" customHeight="1" x14ac:dyDescent="0.3">
      <c r="B89" s="89" t="s">
        <v>11</v>
      </c>
      <c r="C89" s="89" t="s">
        <v>295</v>
      </c>
      <c r="D89" s="90" t="s">
        <v>291</v>
      </c>
      <c r="E89" s="5">
        <v>72600</v>
      </c>
      <c r="F89" s="36">
        <v>8</v>
      </c>
      <c r="G89" s="3">
        <f t="shared" ref="G89:I89" si="21">TRUNC($E89*F89,1)</f>
        <v>580800</v>
      </c>
      <c r="H89" s="36">
        <v>8</v>
      </c>
      <c r="I89" s="3">
        <f t="shared" si="21"/>
        <v>580800</v>
      </c>
    </row>
    <row r="90" spans="2:13" ht="12.95" customHeight="1" x14ac:dyDescent="0.3">
      <c r="B90" s="93" t="s">
        <v>31</v>
      </c>
      <c r="C90" s="78"/>
      <c r="D90" s="78"/>
      <c r="E90" s="83"/>
      <c r="F90" s="54"/>
      <c r="G90" s="55">
        <f>TRUNC(SUM(G89:G89))</f>
        <v>580800</v>
      </c>
      <c r="H90" s="54"/>
      <c r="I90" s="55">
        <f>TRUNC(SUM(I89:I89))</f>
        <v>580800</v>
      </c>
    </row>
    <row r="91" spans="2:13" ht="12.95" customHeight="1" x14ac:dyDescent="0.3">
      <c r="B91" s="79"/>
      <c r="C91" s="80"/>
      <c r="D91" s="80"/>
      <c r="E91" s="81"/>
      <c r="F91" s="37"/>
      <c r="G91" s="57"/>
      <c r="H91" s="37"/>
      <c r="I91" s="57"/>
    </row>
    <row r="92" spans="2:13" ht="12.95" customHeight="1" x14ac:dyDescent="0.3">
      <c r="B92" s="84" t="s">
        <v>33</v>
      </c>
      <c r="C92" s="140"/>
      <c r="D92" s="140"/>
      <c r="E92" s="141"/>
      <c r="F92" s="141"/>
      <c r="G92" s="142">
        <f>SUM(G80+G87+G90)</f>
        <v>2902802</v>
      </c>
      <c r="H92" s="141"/>
      <c r="I92" s="142">
        <f>SUM(I80+I87+I90)</f>
        <v>3190019</v>
      </c>
    </row>
    <row r="94" spans="2:13" ht="12.95" customHeight="1" x14ac:dyDescent="0.3">
      <c r="B94" s="1" t="s">
        <v>296</v>
      </c>
      <c r="I94" s="137" t="s">
        <v>187</v>
      </c>
    </row>
    <row r="95" spans="2:13" ht="12.95" customHeight="1" x14ac:dyDescent="0.3">
      <c r="B95" s="176" t="s">
        <v>21</v>
      </c>
      <c r="C95" s="170" t="s">
        <v>25</v>
      </c>
      <c r="D95" s="170" t="s">
        <v>26</v>
      </c>
      <c r="E95" s="170" t="s">
        <v>22</v>
      </c>
      <c r="F95" s="180" t="s">
        <v>297</v>
      </c>
      <c r="G95" s="181"/>
      <c r="H95" s="181"/>
      <c r="I95" s="181"/>
      <c r="L95" s="11"/>
      <c r="M95" s="11"/>
    </row>
    <row r="96" spans="2:13" ht="12.95" customHeight="1" x14ac:dyDescent="0.3">
      <c r="B96" s="177"/>
      <c r="C96" s="179"/>
      <c r="D96" s="179"/>
      <c r="E96" s="179"/>
      <c r="F96" s="185" t="s">
        <v>48</v>
      </c>
      <c r="G96" s="186"/>
      <c r="H96" s="185" t="s">
        <v>49</v>
      </c>
      <c r="I96" s="186"/>
    </row>
    <row r="97" spans="2:13" ht="12.95" customHeight="1" x14ac:dyDescent="0.3">
      <c r="B97" s="177"/>
      <c r="C97" s="179"/>
      <c r="D97" s="179"/>
      <c r="E97" s="179"/>
      <c r="F97" s="68" t="s">
        <v>289</v>
      </c>
      <c r="G97" s="70">
        <v>130</v>
      </c>
      <c r="H97" s="68" t="s">
        <v>289</v>
      </c>
      <c r="I97" s="70">
        <v>125</v>
      </c>
    </row>
    <row r="98" spans="2:13" ht="12.95" customHeight="1" x14ac:dyDescent="0.3">
      <c r="B98" s="178"/>
      <c r="C98" s="171"/>
      <c r="D98" s="171"/>
      <c r="E98" s="171"/>
      <c r="F98" s="71" t="s">
        <v>287</v>
      </c>
      <c r="G98" s="72" t="s">
        <v>288</v>
      </c>
      <c r="H98" s="71" t="s">
        <v>287</v>
      </c>
      <c r="I98" s="72" t="s">
        <v>288</v>
      </c>
      <c r="L98" s="4"/>
      <c r="M98" s="4"/>
    </row>
    <row r="99" spans="2:13" ht="12.95" customHeight="1" x14ac:dyDescent="0.3">
      <c r="B99" s="84" t="s">
        <v>290</v>
      </c>
      <c r="C99" s="85"/>
      <c r="D99" s="86"/>
      <c r="E99" s="87"/>
      <c r="F99" s="88"/>
      <c r="G99" s="7">
        <f>TRUNC(G92/G97)</f>
        <v>22329</v>
      </c>
      <c r="H99" s="88"/>
      <c r="I99" s="7">
        <f>TRUNC(I92/I97)</f>
        <v>25520</v>
      </c>
      <c r="L99" s="4"/>
      <c r="M99" s="4"/>
    </row>
    <row r="100" spans="2:13" ht="12.95" customHeight="1" x14ac:dyDescent="0.3">
      <c r="B100" s="176" t="s">
        <v>21</v>
      </c>
      <c r="C100" s="170" t="s">
        <v>25</v>
      </c>
      <c r="D100" s="170" t="s">
        <v>26</v>
      </c>
      <c r="E100" s="170" t="s">
        <v>22</v>
      </c>
      <c r="F100" s="180" t="s">
        <v>298</v>
      </c>
      <c r="G100" s="181"/>
      <c r="H100" s="181"/>
      <c r="I100" s="181"/>
      <c r="L100" s="11"/>
      <c r="M100" s="11"/>
    </row>
    <row r="101" spans="2:13" ht="12.95" customHeight="1" x14ac:dyDescent="0.3">
      <c r="B101" s="177"/>
      <c r="C101" s="179"/>
      <c r="D101" s="179"/>
      <c r="E101" s="179"/>
      <c r="F101" s="185" t="s">
        <v>48</v>
      </c>
      <c r="G101" s="186"/>
      <c r="H101" s="185" t="s">
        <v>49</v>
      </c>
      <c r="I101" s="186"/>
    </row>
    <row r="102" spans="2:13" ht="12.95" customHeight="1" x14ac:dyDescent="0.3">
      <c r="B102" s="177"/>
      <c r="C102" s="179"/>
      <c r="D102" s="179"/>
      <c r="E102" s="179"/>
      <c r="F102" s="68" t="s">
        <v>289</v>
      </c>
      <c r="G102" s="70">
        <v>135</v>
      </c>
      <c r="H102" s="68" t="s">
        <v>289</v>
      </c>
      <c r="I102" s="70">
        <v>130</v>
      </c>
    </row>
    <row r="103" spans="2:13" ht="12.95" customHeight="1" x14ac:dyDescent="0.3">
      <c r="B103" s="178"/>
      <c r="C103" s="171"/>
      <c r="D103" s="171"/>
      <c r="E103" s="171"/>
      <c r="F103" s="71" t="s">
        <v>287</v>
      </c>
      <c r="G103" s="72" t="s">
        <v>288</v>
      </c>
      <c r="H103" s="71" t="s">
        <v>287</v>
      </c>
      <c r="I103" s="72" t="s">
        <v>288</v>
      </c>
      <c r="L103" s="4"/>
      <c r="M103" s="4"/>
    </row>
    <row r="104" spans="2:13" ht="12.95" customHeight="1" x14ac:dyDescent="0.3">
      <c r="B104" s="84" t="s">
        <v>290</v>
      </c>
      <c r="C104" s="85"/>
      <c r="D104" s="86"/>
      <c r="E104" s="87"/>
      <c r="F104" s="88"/>
      <c r="G104" s="7">
        <f>TRUNC(G92/G102)</f>
        <v>21502</v>
      </c>
      <c r="H104" s="88"/>
      <c r="I104" s="7">
        <f>TRUNC(I92/I102)</f>
        <v>24538</v>
      </c>
      <c r="L104" s="4"/>
      <c r="M104" s="4"/>
    </row>
    <row r="105" spans="2:13" ht="12.95" customHeight="1" x14ac:dyDescent="0.3">
      <c r="B105" s="176" t="s">
        <v>21</v>
      </c>
      <c r="C105" s="170" t="s">
        <v>25</v>
      </c>
      <c r="D105" s="170" t="s">
        <v>26</v>
      </c>
      <c r="E105" s="170" t="s">
        <v>22</v>
      </c>
      <c r="F105" s="180" t="s">
        <v>299</v>
      </c>
      <c r="G105" s="181"/>
      <c r="H105" s="181"/>
      <c r="I105" s="181"/>
      <c r="L105" s="11"/>
      <c r="M105" s="11"/>
    </row>
    <row r="106" spans="2:13" ht="12.95" customHeight="1" x14ac:dyDescent="0.3">
      <c r="B106" s="177"/>
      <c r="C106" s="179"/>
      <c r="D106" s="179"/>
      <c r="E106" s="179"/>
      <c r="F106" s="185" t="s">
        <v>48</v>
      </c>
      <c r="G106" s="186"/>
      <c r="H106" s="185" t="s">
        <v>49</v>
      </c>
      <c r="I106" s="186"/>
    </row>
    <row r="107" spans="2:13" ht="12.95" customHeight="1" x14ac:dyDescent="0.3">
      <c r="B107" s="177"/>
      <c r="C107" s="179"/>
      <c r="D107" s="179"/>
      <c r="E107" s="179"/>
      <c r="F107" s="68" t="s">
        <v>289</v>
      </c>
      <c r="G107" s="70">
        <v>145</v>
      </c>
      <c r="H107" s="68" t="s">
        <v>289</v>
      </c>
      <c r="I107" s="70">
        <v>140</v>
      </c>
    </row>
    <row r="108" spans="2:13" ht="12.95" customHeight="1" x14ac:dyDescent="0.3">
      <c r="B108" s="178"/>
      <c r="C108" s="171"/>
      <c r="D108" s="171"/>
      <c r="E108" s="171"/>
      <c r="F108" s="71" t="s">
        <v>287</v>
      </c>
      <c r="G108" s="72" t="s">
        <v>288</v>
      </c>
      <c r="H108" s="71" t="s">
        <v>287</v>
      </c>
      <c r="I108" s="72" t="s">
        <v>288</v>
      </c>
      <c r="L108" s="4"/>
      <c r="M108" s="4"/>
    </row>
    <row r="109" spans="2:13" ht="12.95" customHeight="1" x14ac:dyDescent="0.3">
      <c r="B109" s="84" t="s">
        <v>290</v>
      </c>
      <c r="C109" s="85"/>
      <c r="D109" s="86"/>
      <c r="E109" s="87"/>
      <c r="F109" s="88"/>
      <c r="G109" s="7">
        <f>TRUNC(G92/G107)</f>
        <v>20019</v>
      </c>
      <c r="H109" s="88"/>
      <c r="I109" s="7">
        <f>TRUNC(I92/I107)</f>
        <v>22785</v>
      </c>
      <c r="L109" s="4"/>
      <c r="M109" s="4"/>
    </row>
    <row r="111" spans="2:13" ht="12.95" customHeight="1" x14ac:dyDescent="0.3">
      <c r="B111" s="100" t="s">
        <v>73</v>
      </c>
      <c r="C111" s="64"/>
      <c r="D111" s="11"/>
      <c r="E111" s="65"/>
      <c r="F111" s="4"/>
      <c r="G111" s="4"/>
      <c r="H111" s="4"/>
      <c r="I111" s="66" t="s">
        <v>239</v>
      </c>
      <c r="J111" s="4"/>
    </row>
    <row r="112" spans="2:13" ht="12.95" customHeight="1" x14ac:dyDescent="0.3">
      <c r="B112" s="176" t="s">
        <v>21</v>
      </c>
      <c r="C112" s="176" t="s">
        <v>25</v>
      </c>
      <c r="D112" s="170" t="s">
        <v>26</v>
      </c>
      <c r="E112" s="170" t="s">
        <v>22</v>
      </c>
      <c r="F112" s="185" t="s">
        <v>74</v>
      </c>
      <c r="G112" s="186"/>
      <c r="H112" s="185" t="s">
        <v>75</v>
      </c>
      <c r="I112" s="186"/>
    </row>
    <row r="113" spans="2:13" ht="12.95" customHeight="1" x14ac:dyDescent="0.3">
      <c r="B113" s="177"/>
      <c r="C113" s="177"/>
      <c r="D113" s="179"/>
      <c r="E113" s="179"/>
      <c r="F113" s="68" t="s">
        <v>301</v>
      </c>
      <c r="G113" s="70">
        <v>220</v>
      </c>
      <c r="H113" s="68" t="s">
        <v>301</v>
      </c>
      <c r="I113" s="70">
        <v>330</v>
      </c>
    </row>
    <row r="114" spans="2:13" ht="12.95" customHeight="1" x14ac:dyDescent="0.3">
      <c r="B114" s="178"/>
      <c r="C114" s="178"/>
      <c r="D114" s="171"/>
      <c r="E114" s="171"/>
      <c r="F114" s="71" t="s">
        <v>287</v>
      </c>
      <c r="G114" s="72" t="s">
        <v>288</v>
      </c>
      <c r="H114" s="71" t="s">
        <v>287</v>
      </c>
      <c r="I114" s="72" t="s">
        <v>288</v>
      </c>
      <c r="L114" s="4"/>
      <c r="M114" s="4"/>
    </row>
    <row r="115" spans="2:13" ht="12.95" customHeight="1" x14ac:dyDescent="0.3">
      <c r="B115" s="73" t="s">
        <v>9</v>
      </c>
      <c r="C115" s="74"/>
      <c r="D115" s="75" t="s">
        <v>28</v>
      </c>
      <c r="E115" s="139">
        <v>281939</v>
      </c>
      <c r="F115" s="36">
        <v>2</v>
      </c>
      <c r="G115" s="3">
        <f t="shared" ref="G115" si="22">TRUNC($E115*F115,1)</f>
        <v>563878</v>
      </c>
      <c r="H115" s="36">
        <v>2</v>
      </c>
      <c r="I115" s="3">
        <f t="shared" ref="I115" si="23">TRUNC($E115*H115,1)</f>
        <v>563878</v>
      </c>
      <c r="L115" s="4"/>
      <c r="M115" s="4"/>
    </row>
    <row r="116" spans="2:13" ht="12.95" customHeight="1" x14ac:dyDescent="0.3">
      <c r="B116" s="77" t="s">
        <v>30</v>
      </c>
      <c r="C116" s="78"/>
      <c r="D116" s="78"/>
      <c r="E116" s="24"/>
      <c r="F116" s="56"/>
      <c r="G116" s="55">
        <f>TRUNC(SUM(G115:G115))</f>
        <v>563878</v>
      </c>
      <c r="H116" s="56"/>
      <c r="I116" s="55">
        <f>TRUNC(SUM(I115:I115))</f>
        <v>563878</v>
      </c>
      <c r="L116" s="4"/>
      <c r="M116" s="4"/>
    </row>
    <row r="117" spans="2:13" ht="12.95" customHeight="1" x14ac:dyDescent="0.3">
      <c r="B117" s="79"/>
      <c r="C117" s="80"/>
      <c r="D117" s="80"/>
      <c r="E117" s="81"/>
      <c r="F117" s="37"/>
      <c r="G117" s="57"/>
      <c r="H117" s="37"/>
      <c r="I117" s="57"/>
      <c r="L117" s="4"/>
      <c r="M117" s="4"/>
    </row>
    <row r="118" spans="2:13" ht="12.95" customHeight="1" x14ac:dyDescent="0.3">
      <c r="B118" s="82" t="s">
        <v>33</v>
      </c>
      <c r="C118" s="78"/>
      <c r="D118" s="78"/>
      <c r="E118" s="83"/>
      <c r="F118" s="83"/>
      <c r="G118" s="58">
        <f>SUM(G116)</f>
        <v>563878</v>
      </c>
      <c r="H118" s="83"/>
      <c r="I118" s="58">
        <f>SUM(I116)</f>
        <v>563878</v>
      </c>
      <c r="L118" s="4"/>
      <c r="M118" s="4"/>
    </row>
    <row r="119" spans="2:13" ht="12.95" customHeight="1" x14ac:dyDescent="0.3">
      <c r="B119" s="84" t="s">
        <v>302</v>
      </c>
      <c r="C119" s="85"/>
      <c r="D119" s="86"/>
      <c r="E119" s="87"/>
      <c r="F119" s="88"/>
      <c r="G119" s="7">
        <f>TRUNC(G118/G113)</f>
        <v>2563</v>
      </c>
      <c r="H119" s="88"/>
      <c r="I119" s="7">
        <f>TRUNC(I118/I113)</f>
        <v>1708</v>
      </c>
      <c r="L119" s="4"/>
      <c r="M119" s="4"/>
    </row>
    <row r="120" spans="2:13" ht="12.95" customHeight="1" x14ac:dyDescent="0.3">
      <c r="B120" s="111"/>
      <c r="C120" s="112"/>
      <c r="D120" s="111"/>
      <c r="E120" s="113"/>
      <c r="F120" s="114"/>
      <c r="G120" s="114"/>
    </row>
    <row r="121" spans="2:13" ht="12.95" customHeight="1" x14ac:dyDescent="0.3">
      <c r="B121" s="115" t="s">
        <v>258</v>
      </c>
      <c r="C121" s="116"/>
      <c r="D121" s="22"/>
      <c r="E121" s="22"/>
      <c r="F121" s="22"/>
      <c r="G121" s="117"/>
      <c r="H121" s="22"/>
      <c r="I121" s="117" t="s">
        <v>81</v>
      </c>
    </row>
    <row r="122" spans="2:13" ht="12.95" customHeight="1" x14ac:dyDescent="0.3">
      <c r="B122" s="165" t="s">
        <v>21</v>
      </c>
      <c r="C122" s="167" t="s">
        <v>36</v>
      </c>
      <c r="D122" s="169" t="s">
        <v>26</v>
      </c>
      <c r="E122" s="170" t="s">
        <v>22</v>
      </c>
      <c r="F122" s="174" t="s">
        <v>79</v>
      </c>
      <c r="G122" s="175"/>
      <c r="H122" s="174" t="s">
        <v>80</v>
      </c>
      <c r="I122" s="175"/>
    </row>
    <row r="123" spans="2:13" ht="12.95" customHeight="1" x14ac:dyDescent="0.3">
      <c r="B123" s="166"/>
      <c r="C123" s="168"/>
      <c r="D123" s="169"/>
      <c r="E123" s="171"/>
      <c r="F123" s="71" t="s">
        <v>23</v>
      </c>
      <c r="G123" s="72" t="s">
        <v>24</v>
      </c>
      <c r="H123" s="71" t="s">
        <v>23</v>
      </c>
      <c r="I123" s="72" t="s">
        <v>24</v>
      </c>
    </row>
    <row r="124" spans="2:13" ht="12.95" customHeight="1" x14ac:dyDescent="0.3">
      <c r="B124" s="144" t="s">
        <v>83</v>
      </c>
      <c r="C124" s="126"/>
      <c r="D124" s="127" t="s">
        <v>38</v>
      </c>
      <c r="E124" s="15">
        <v>0</v>
      </c>
      <c r="F124" s="25">
        <v>1.2</v>
      </c>
      <c r="G124" s="3">
        <f t="shared" ref="G124:G126" si="24">TRUNC($E124*F124,1)</f>
        <v>0</v>
      </c>
      <c r="H124" s="25">
        <v>0</v>
      </c>
      <c r="I124" s="3">
        <f t="shared" ref="I124:I126" si="25">TRUNC($E124*H124,1)</f>
        <v>0</v>
      </c>
    </row>
    <row r="125" spans="2:13" ht="12.95" customHeight="1" x14ac:dyDescent="0.3">
      <c r="B125" s="144" t="s">
        <v>84</v>
      </c>
      <c r="C125" s="126"/>
      <c r="D125" s="127" t="s">
        <v>38</v>
      </c>
      <c r="E125" s="15">
        <v>0</v>
      </c>
      <c r="F125" s="25">
        <v>0</v>
      </c>
      <c r="G125" s="3">
        <f t="shared" si="24"/>
        <v>0</v>
      </c>
      <c r="H125" s="25">
        <v>1.2</v>
      </c>
      <c r="I125" s="3">
        <f t="shared" si="25"/>
        <v>0</v>
      </c>
    </row>
    <row r="126" spans="2:13" ht="12.95" customHeight="1" x14ac:dyDescent="0.3">
      <c r="B126" s="126" t="s">
        <v>82</v>
      </c>
      <c r="C126" s="126"/>
      <c r="D126" s="127" t="s">
        <v>85</v>
      </c>
      <c r="E126" s="15">
        <v>0</v>
      </c>
      <c r="F126" s="25">
        <v>0.2</v>
      </c>
      <c r="G126" s="3">
        <f t="shared" si="24"/>
        <v>0</v>
      </c>
      <c r="H126" s="25">
        <v>0.2</v>
      </c>
      <c r="I126" s="3">
        <f t="shared" si="25"/>
        <v>0</v>
      </c>
    </row>
    <row r="127" spans="2:13" ht="12.95" customHeight="1" x14ac:dyDescent="0.3">
      <c r="B127" s="89" t="s">
        <v>27</v>
      </c>
      <c r="C127" s="91" t="s">
        <v>51</v>
      </c>
      <c r="D127" s="90" t="s">
        <v>35</v>
      </c>
      <c r="E127" s="92"/>
      <c r="F127" s="36">
        <v>1</v>
      </c>
      <c r="G127" s="6">
        <f>TRUNC(SUM(G130:G130)*0.02,1)</f>
        <v>631.20000000000005</v>
      </c>
      <c r="H127" s="36">
        <v>1</v>
      </c>
      <c r="I127" s="6">
        <f>TRUNC(SUM(I130:I130)*0.02,1)</f>
        <v>631.20000000000005</v>
      </c>
    </row>
    <row r="128" spans="2:13" ht="12.95" customHeight="1" x14ac:dyDescent="0.3">
      <c r="B128" s="129" t="s">
        <v>29</v>
      </c>
      <c r="C128" s="130"/>
      <c r="D128" s="131"/>
      <c r="E128" s="132"/>
      <c r="F128" s="44"/>
      <c r="G128" s="40">
        <f>TRUNC(SUM(G124:G127))</f>
        <v>631</v>
      </c>
      <c r="H128" s="44"/>
      <c r="I128" s="40">
        <f>TRUNC(SUM(I124:I127))</f>
        <v>631</v>
      </c>
    </row>
    <row r="129" spans="2:9" ht="12.95" customHeight="1" x14ac:dyDescent="0.3">
      <c r="B129" s="126"/>
      <c r="C129" s="126"/>
      <c r="D129" s="127"/>
      <c r="E129" s="76"/>
      <c r="F129" s="25"/>
      <c r="G129" s="29"/>
      <c r="H129" s="25"/>
      <c r="I129" s="29"/>
    </row>
    <row r="130" spans="2:9" ht="12.95" customHeight="1" x14ac:dyDescent="0.3">
      <c r="B130" s="126" t="s">
        <v>3</v>
      </c>
      <c r="C130" s="126"/>
      <c r="D130" s="75" t="s">
        <v>28</v>
      </c>
      <c r="E130" s="76">
        <v>263017</v>
      </c>
      <c r="F130" s="26">
        <v>0.12</v>
      </c>
      <c r="G130" s="3">
        <f t="shared" ref="G130" si="26">TRUNC($E130*F130,1)</f>
        <v>31562</v>
      </c>
      <c r="H130" s="26">
        <v>0.12</v>
      </c>
      <c r="I130" s="3">
        <f t="shared" ref="I130" si="27">TRUNC($E130*H130,1)</f>
        <v>31562</v>
      </c>
    </row>
    <row r="131" spans="2:9" ht="12.95" customHeight="1" x14ac:dyDescent="0.3">
      <c r="B131" s="77" t="s">
        <v>30</v>
      </c>
      <c r="C131" s="133"/>
      <c r="D131" s="134"/>
      <c r="E131" s="24"/>
      <c r="F131" s="39"/>
      <c r="G131" s="40">
        <f>TRUNC(SUM(G130:G130))</f>
        <v>31562</v>
      </c>
      <c r="H131" s="39"/>
      <c r="I131" s="40">
        <f>TRUNC(SUM(I130:I130))</f>
        <v>31562</v>
      </c>
    </row>
    <row r="132" spans="2:9" ht="12.95" customHeight="1" x14ac:dyDescent="0.3">
      <c r="B132" s="126"/>
      <c r="C132" s="126"/>
      <c r="D132" s="126"/>
      <c r="E132" s="76"/>
      <c r="F132" s="26"/>
      <c r="G132" s="29"/>
      <c r="H132" s="26"/>
      <c r="I132" s="29"/>
    </row>
    <row r="133" spans="2:9" ht="12.95" customHeight="1" x14ac:dyDescent="0.3">
      <c r="B133" s="84" t="s">
        <v>33</v>
      </c>
      <c r="C133" s="135"/>
      <c r="D133" s="135"/>
      <c r="E133" s="136"/>
      <c r="F133" s="136"/>
      <c r="G133" s="42">
        <f>SUM(G128+G131)</f>
        <v>32193</v>
      </c>
      <c r="H133" s="136"/>
      <c r="I133" s="42">
        <f>SUM(I128+I131)</f>
        <v>32193</v>
      </c>
    </row>
    <row r="135" spans="2:9" ht="12.95" customHeight="1" x14ac:dyDescent="0.3">
      <c r="B135" s="115" t="s">
        <v>259</v>
      </c>
      <c r="C135" s="116"/>
      <c r="D135" s="22"/>
      <c r="E135" s="22"/>
      <c r="F135" s="22"/>
      <c r="G135" s="117" t="s">
        <v>81</v>
      </c>
    </row>
    <row r="136" spans="2:9" ht="12.95" customHeight="1" x14ac:dyDescent="0.3">
      <c r="B136" s="165" t="s">
        <v>21</v>
      </c>
      <c r="C136" s="167" t="s">
        <v>36</v>
      </c>
      <c r="D136" s="169" t="s">
        <v>26</v>
      </c>
      <c r="E136" s="170" t="s">
        <v>22</v>
      </c>
      <c r="F136" s="170" t="s">
        <v>23</v>
      </c>
      <c r="G136" s="172" t="s">
        <v>24</v>
      </c>
    </row>
    <row r="137" spans="2:9" ht="12.95" customHeight="1" x14ac:dyDescent="0.3">
      <c r="B137" s="166"/>
      <c r="C137" s="168"/>
      <c r="D137" s="169"/>
      <c r="E137" s="171"/>
      <c r="F137" s="171"/>
      <c r="G137" s="173"/>
    </row>
    <row r="138" spans="2:9" ht="12.95" customHeight="1" x14ac:dyDescent="0.3">
      <c r="B138" s="89" t="s">
        <v>27</v>
      </c>
      <c r="C138" s="91" t="s">
        <v>219</v>
      </c>
      <c r="D138" s="90" t="s">
        <v>35</v>
      </c>
      <c r="E138" s="92"/>
      <c r="F138" s="36">
        <v>1</v>
      </c>
      <c r="G138" s="6">
        <f>TRUNC(SUM(G141:G142)*0.08,1)</f>
        <v>2446</v>
      </c>
    </row>
    <row r="139" spans="2:9" ht="12.95" customHeight="1" x14ac:dyDescent="0.3">
      <c r="B139" s="129" t="s">
        <v>29</v>
      </c>
      <c r="C139" s="130"/>
      <c r="D139" s="131"/>
      <c r="E139" s="132"/>
      <c r="F139" s="44"/>
      <c r="G139" s="40">
        <f>TRUNC(SUM(G138:G138))</f>
        <v>2446</v>
      </c>
    </row>
    <row r="140" spans="2:9" ht="12.95" customHeight="1" x14ac:dyDescent="0.3">
      <c r="B140" s="126"/>
      <c r="C140" s="126"/>
      <c r="D140" s="127"/>
      <c r="E140" s="76"/>
      <c r="F140" s="25"/>
      <c r="G140" s="29"/>
    </row>
    <row r="141" spans="2:9" ht="12.95" customHeight="1" x14ac:dyDescent="0.3">
      <c r="B141" s="73" t="s">
        <v>78</v>
      </c>
      <c r="C141" s="74"/>
      <c r="D141" s="75" t="s">
        <v>28</v>
      </c>
      <c r="E141" s="139">
        <v>226122</v>
      </c>
      <c r="F141" s="26">
        <v>0.12</v>
      </c>
      <c r="G141" s="3">
        <f t="shared" ref="G141:G142" si="28">TRUNC($E141*F141,1)</f>
        <v>27134.6</v>
      </c>
    </row>
    <row r="142" spans="2:9" ht="12.95" customHeight="1" x14ac:dyDescent="0.3">
      <c r="B142" s="126" t="s">
        <v>8</v>
      </c>
      <c r="C142" s="126"/>
      <c r="D142" s="75" t="s">
        <v>28</v>
      </c>
      <c r="E142" s="76">
        <v>172068</v>
      </c>
      <c r="F142" s="26">
        <v>0.02</v>
      </c>
      <c r="G142" s="3">
        <f t="shared" si="28"/>
        <v>3441.3</v>
      </c>
    </row>
    <row r="143" spans="2:9" ht="12.95" customHeight="1" x14ac:dyDescent="0.3">
      <c r="B143" s="77" t="s">
        <v>30</v>
      </c>
      <c r="C143" s="133"/>
      <c r="D143" s="134"/>
      <c r="E143" s="24"/>
      <c r="F143" s="39"/>
      <c r="G143" s="40">
        <f>TRUNC(SUM(G141:G142))</f>
        <v>30575</v>
      </c>
    </row>
    <row r="144" spans="2:9" ht="12.95" customHeight="1" x14ac:dyDescent="0.3">
      <c r="B144" s="126"/>
      <c r="C144" s="126"/>
      <c r="D144" s="126"/>
      <c r="E144" s="76"/>
      <c r="F144" s="26"/>
      <c r="G144" s="29"/>
    </row>
    <row r="145" spans="2:13" ht="12.95" customHeight="1" x14ac:dyDescent="0.3">
      <c r="B145" s="84" t="s">
        <v>33</v>
      </c>
      <c r="C145" s="135"/>
      <c r="D145" s="135"/>
      <c r="E145" s="136"/>
      <c r="F145" s="136"/>
      <c r="G145" s="42">
        <f>SUM(G139+G143)</f>
        <v>33021</v>
      </c>
    </row>
    <row r="147" spans="2:13" ht="12.95" customHeight="1" x14ac:dyDescent="0.3">
      <c r="B147" s="115" t="s">
        <v>384</v>
      </c>
      <c r="C147" s="116"/>
      <c r="D147" s="22"/>
      <c r="E147" s="22"/>
      <c r="F147" s="22"/>
      <c r="G147" s="117" t="s">
        <v>385</v>
      </c>
    </row>
    <row r="148" spans="2:13" ht="12.95" customHeight="1" x14ac:dyDescent="0.3">
      <c r="B148" s="165" t="s">
        <v>21</v>
      </c>
      <c r="C148" s="167" t="s">
        <v>36</v>
      </c>
      <c r="D148" s="169" t="s">
        <v>26</v>
      </c>
      <c r="E148" s="170" t="s">
        <v>22</v>
      </c>
      <c r="F148" s="170" t="s">
        <v>23</v>
      </c>
      <c r="G148" s="172" t="s">
        <v>24</v>
      </c>
    </row>
    <row r="149" spans="2:13" ht="12.95" customHeight="1" x14ac:dyDescent="0.3">
      <c r="B149" s="166"/>
      <c r="C149" s="168"/>
      <c r="D149" s="169"/>
      <c r="E149" s="171"/>
      <c r="F149" s="171"/>
      <c r="G149" s="173"/>
    </row>
    <row r="150" spans="2:13" ht="12.95" customHeight="1" x14ac:dyDescent="0.3">
      <c r="B150" s="73" t="s">
        <v>270</v>
      </c>
      <c r="C150" s="74"/>
      <c r="D150" s="75" t="s">
        <v>28</v>
      </c>
      <c r="E150" s="76">
        <v>192523</v>
      </c>
      <c r="F150" s="45">
        <v>1.2999999999999999E-2</v>
      </c>
      <c r="G150" s="3">
        <f t="shared" ref="G150:G151" si="29">TRUNC($E150*F150,1)</f>
        <v>2502.6999999999998</v>
      </c>
    </row>
    <row r="151" spans="2:13" ht="12.95" customHeight="1" x14ac:dyDescent="0.3">
      <c r="B151" s="126" t="s">
        <v>8</v>
      </c>
      <c r="C151" s="126"/>
      <c r="D151" s="75" t="s">
        <v>28</v>
      </c>
      <c r="E151" s="76">
        <v>172068</v>
      </c>
      <c r="F151" s="45">
        <v>1.2999999999999999E-2</v>
      </c>
      <c r="G151" s="3">
        <f t="shared" si="29"/>
        <v>2236.8000000000002</v>
      </c>
    </row>
    <row r="152" spans="2:13" ht="12.95" customHeight="1" x14ac:dyDescent="0.3">
      <c r="B152" s="77" t="s">
        <v>30</v>
      </c>
      <c r="C152" s="133"/>
      <c r="D152" s="134"/>
      <c r="E152" s="24"/>
      <c r="F152" s="39"/>
      <c r="G152" s="40">
        <f>TRUNC(SUM(G150:G151))</f>
        <v>4739</v>
      </c>
    </row>
    <row r="153" spans="2:13" ht="12.95" customHeight="1" x14ac:dyDescent="0.3">
      <c r="B153" s="126"/>
      <c r="C153" s="126"/>
      <c r="D153" s="126"/>
      <c r="E153" s="76"/>
      <c r="F153" s="26"/>
      <c r="G153" s="29"/>
    </row>
    <row r="154" spans="2:13" ht="12.95" customHeight="1" x14ac:dyDescent="0.3">
      <c r="B154" s="84" t="s">
        <v>33</v>
      </c>
      <c r="C154" s="135"/>
      <c r="D154" s="135"/>
      <c r="E154" s="136"/>
      <c r="F154" s="136"/>
      <c r="G154" s="42">
        <f>SUM(G152)</f>
        <v>4739</v>
      </c>
    </row>
    <row r="156" spans="2:13" ht="12.95" customHeight="1" x14ac:dyDescent="0.3">
      <c r="B156" s="61" t="s">
        <v>86</v>
      </c>
    </row>
    <row r="157" spans="2:13" ht="12.95" customHeight="1" x14ac:dyDescent="0.3">
      <c r="B157" s="115" t="s">
        <v>260</v>
      </c>
      <c r="C157" s="64"/>
      <c r="D157" s="11"/>
      <c r="E157" s="65"/>
      <c r="F157" s="4"/>
      <c r="G157" s="4"/>
      <c r="H157" s="4"/>
      <c r="I157" s="4"/>
      <c r="J157" s="4"/>
      <c r="K157" s="66" t="s">
        <v>239</v>
      </c>
    </row>
    <row r="158" spans="2:13" ht="12.95" customHeight="1" x14ac:dyDescent="0.3">
      <c r="B158" s="176" t="s">
        <v>21</v>
      </c>
      <c r="C158" s="176" t="s">
        <v>25</v>
      </c>
      <c r="D158" s="170" t="s">
        <v>26</v>
      </c>
      <c r="E158" s="170" t="s">
        <v>22</v>
      </c>
      <c r="F158" s="174" t="s">
        <v>261</v>
      </c>
      <c r="G158" s="175"/>
      <c r="H158" s="174" t="s">
        <v>262</v>
      </c>
      <c r="I158" s="175"/>
      <c r="J158" s="174" t="s">
        <v>263</v>
      </c>
      <c r="K158" s="175"/>
    </row>
    <row r="159" spans="2:13" ht="12.95" customHeight="1" x14ac:dyDescent="0.3">
      <c r="B159" s="177"/>
      <c r="C159" s="177"/>
      <c r="D159" s="179"/>
      <c r="E159" s="179"/>
      <c r="F159" s="68" t="s">
        <v>304</v>
      </c>
      <c r="G159" s="70">
        <v>4.5</v>
      </c>
      <c r="H159" s="68" t="s">
        <v>303</v>
      </c>
      <c r="I159" s="70">
        <v>4</v>
      </c>
      <c r="J159" s="68" t="s">
        <v>303</v>
      </c>
      <c r="K159" s="145">
        <v>3.5</v>
      </c>
    </row>
    <row r="160" spans="2:13" ht="12.95" customHeight="1" x14ac:dyDescent="0.3">
      <c r="B160" s="178"/>
      <c r="C160" s="178"/>
      <c r="D160" s="171"/>
      <c r="E160" s="171"/>
      <c r="F160" s="71" t="s">
        <v>287</v>
      </c>
      <c r="G160" s="72" t="s">
        <v>288</v>
      </c>
      <c r="H160" s="71" t="s">
        <v>287</v>
      </c>
      <c r="I160" s="72" t="s">
        <v>288</v>
      </c>
      <c r="J160" s="71" t="s">
        <v>287</v>
      </c>
      <c r="K160" s="72" t="s">
        <v>288</v>
      </c>
      <c r="L160" s="4"/>
      <c r="M160" s="4"/>
    </row>
    <row r="161" spans="2:13" ht="12.95" customHeight="1" x14ac:dyDescent="0.3">
      <c r="B161" s="89" t="s">
        <v>27</v>
      </c>
      <c r="C161" s="91" t="s">
        <v>306</v>
      </c>
      <c r="D161" s="90" t="s">
        <v>35</v>
      </c>
      <c r="E161" s="92"/>
      <c r="F161" s="36">
        <v>1</v>
      </c>
      <c r="G161" s="6">
        <f>TRUNC(SUM(G164:G165)*0.09,1)</f>
        <v>87896.6</v>
      </c>
      <c r="H161" s="36">
        <v>1</v>
      </c>
      <c r="I161" s="6">
        <f>TRUNC(SUM(I164:I165)*0.09,1)</f>
        <v>87896.6</v>
      </c>
      <c r="J161" s="36">
        <v>1</v>
      </c>
      <c r="K161" s="6">
        <f>TRUNC(SUM(K164:K165)*0.09,1)</f>
        <v>87896.6</v>
      </c>
    </row>
    <row r="162" spans="2:13" ht="12.95" customHeight="1" x14ac:dyDescent="0.3">
      <c r="B162" s="129" t="s">
        <v>29</v>
      </c>
      <c r="C162" s="130"/>
      <c r="D162" s="131"/>
      <c r="E162" s="132"/>
      <c r="F162" s="44"/>
      <c r="G162" s="40">
        <f>TRUNC(SUM(G161:G161))</f>
        <v>87896</v>
      </c>
      <c r="H162" s="44"/>
      <c r="I162" s="40">
        <f>TRUNC(SUM(I161:I161))</f>
        <v>87896</v>
      </c>
      <c r="J162" s="44"/>
      <c r="K162" s="40">
        <f>TRUNC(SUM(K161:K161))</f>
        <v>87896</v>
      </c>
    </row>
    <row r="163" spans="2:13" ht="12.95" customHeight="1" x14ac:dyDescent="0.3">
      <c r="B163" s="126"/>
      <c r="C163" s="126"/>
      <c r="D163" s="127"/>
      <c r="E163" s="76"/>
      <c r="F163" s="25"/>
      <c r="G163" s="29"/>
      <c r="H163" s="25"/>
      <c r="I163" s="29"/>
      <c r="J163" s="25"/>
      <c r="K163" s="29"/>
    </row>
    <row r="164" spans="2:13" ht="12.95" customHeight="1" x14ac:dyDescent="0.3">
      <c r="B164" s="126" t="s">
        <v>14</v>
      </c>
      <c r="C164" s="126"/>
      <c r="D164" s="75" t="s">
        <v>28</v>
      </c>
      <c r="E164" s="139">
        <v>268187</v>
      </c>
      <c r="F164" s="36">
        <v>3</v>
      </c>
      <c r="G164" s="3">
        <f t="shared" ref="G164:G165" si="30">TRUNC($E164*F164,1)</f>
        <v>804561</v>
      </c>
      <c r="H164" s="36">
        <v>3</v>
      </c>
      <c r="I164" s="3">
        <f t="shared" ref="I164:I165" si="31">TRUNC($E164*H164,1)</f>
        <v>804561</v>
      </c>
      <c r="J164" s="36">
        <v>3</v>
      </c>
      <c r="K164" s="3">
        <f t="shared" ref="K164:K165" si="32">TRUNC($E164*J164,1)</f>
        <v>804561</v>
      </c>
      <c r="L164" s="4"/>
      <c r="M164" s="4"/>
    </row>
    <row r="165" spans="2:13" ht="12.95" customHeight="1" x14ac:dyDescent="0.3">
      <c r="B165" s="126" t="s">
        <v>8</v>
      </c>
      <c r="C165" s="126"/>
      <c r="D165" s="75" t="s">
        <v>28</v>
      </c>
      <c r="E165" s="76">
        <v>172068</v>
      </c>
      <c r="F165" s="36">
        <v>1</v>
      </c>
      <c r="G165" s="3">
        <f t="shared" si="30"/>
        <v>172068</v>
      </c>
      <c r="H165" s="36">
        <v>1</v>
      </c>
      <c r="I165" s="3">
        <f t="shared" si="31"/>
        <v>172068</v>
      </c>
      <c r="J165" s="36">
        <v>1</v>
      </c>
      <c r="K165" s="3">
        <f t="shared" si="32"/>
        <v>172068</v>
      </c>
      <c r="L165" s="4"/>
      <c r="M165" s="4"/>
    </row>
    <row r="166" spans="2:13" ht="12.95" customHeight="1" x14ac:dyDescent="0.3">
      <c r="B166" s="77" t="s">
        <v>30</v>
      </c>
      <c r="C166" s="78"/>
      <c r="D166" s="78"/>
      <c r="E166" s="24"/>
      <c r="F166" s="56"/>
      <c r="G166" s="55">
        <f>TRUNC(SUM(G164:G165))</f>
        <v>976629</v>
      </c>
      <c r="H166" s="56"/>
      <c r="I166" s="55">
        <f>TRUNC(SUM(I164:I165))</f>
        <v>976629</v>
      </c>
      <c r="J166" s="56"/>
      <c r="K166" s="55">
        <f>TRUNC(SUM(K164:K165))</f>
        <v>976629</v>
      </c>
      <c r="L166" s="4"/>
      <c r="M166" s="4"/>
    </row>
    <row r="167" spans="2:13" ht="12.95" customHeight="1" x14ac:dyDescent="0.3">
      <c r="B167" s="79"/>
      <c r="C167" s="80"/>
      <c r="D167" s="80"/>
      <c r="E167" s="81"/>
      <c r="F167" s="37"/>
      <c r="G167" s="57"/>
      <c r="H167" s="37"/>
      <c r="I167" s="57"/>
      <c r="J167" s="37"/>
      <c r="K167" s="57"/>
      <c r="L167" s="4"/>
      <c r="M167" s="4"/>
    </row>
    <row r="168" spans="2:13" ht="12.95" customHeight="1" x14ac:dyDescent="0.3">
      <c r="B168" s="82" t="s">
        <v>33</v>
      </c>
      <c r="C168" s="78"/>
      <c r="D168" s="78"/>
      <c r="E168" s="83"/>
      <c r="F168" s="83"/>
      <c r="G168" s="58">
        <f>SUM(G162+G166)</f>
        <v>1064525</v>
      </c>
      <c r="H168" s="83"/>
      <c r="I168" s="58">
        <f>SUM(I162+I166)</f>
        <v>1064525</v>
      </c>
      <c r="J168" s="83"/>
      <c r="K168" s="58">
        <f>SUM(K162+K166)</f>
        <v>1064525</v>
      </c>
      <c r="L168" s="4"/>
      <c r="M168" s="4"/>
    </row>
    <row r="169" spans="2:13" ht="12.95" customHeight="1" x14ac:dyDescent="0.3">
      <c r="B169" s="84" t="s">
        <v>305</v>
      </c>
      <c r="C169" s="85"/>
      <c r="D169" s="86"/>
      <c r="E169" s="87"/>
      <c r="F169" s="88"/>
      <c r="G169" s="7">
        <f>TRUNC(G168/G159)</f>
        <v>236561</v>
      </c>
      <c r="H169" s="88"/>
      <c r="I169" s="7">
        <f>TRUNC(I168/I159)</f>
        <v>266131</v>
      </c>
      <c r="J169" s="88"/>
      <c r="K169" s="7">
        <f>TRUNC(K168/K159)</f>
        <v>304150</v>
      </c>
      <c r="L169" s="4"/>
      <c r="M169" s="4"/>
    </row>
    <row r="171" spans="2:13" ht="12.95" customHeight="1" x14ac:dyDescent="0.3">
      <c r="B171" s="115" t="s">
        <v>355</v>
      </c>
      <c r="C171" s="63"/>
      <c r="D171" s="11"/>
      <c r="E171" s="65"/>
      <c r="F171" s="4"/>
      <c r="G171" s="4"/>
      <c r="H171" s="4"/>
      <c r="I171" s="66" t="s">
        <v>239</v>
      </c>
    </row>
    <row r="172" spans="2:13" ht="12.95" customHeight="1" x14ac:dyDescent="0.3">
      <c r="B172" s="176" t="s">
        <v>21</v>
      </c>
      <c r="C172" s="176" t="s">
        <v>25</v>
      </c>
      <c r="D172" s="170" t="s">
        <v>26</v>
      </c>
      <c r="E172" s="170" t="s">
        <v>22</v>
      </c>
      <c r="F172" s="174" t="s">
        <v>307</v>
      </c>
      <c r="G172" s="175"/>
      <c r="H172" s="174" t="s">
        <v>308</v>
      </c>
      <c r="I172" s="175"/>
    </row>
    <row r="173" spans="2:13" ht="12.95" customHeight="1" x14ac:dyDescent="0.3">
      <c r="B173" s="177"/>
      <c r="C173" s="177"/>
      <c r="D173" s="179"/>
      <c r="E173" s="179"/>
      <c r="F173" s="68" t="s">
        <v>304</v>
      </c>
      <c r="G173" s="145">
        <v>3.4</v>
      </c>
      <c r="H173" s="68" t="s">
        <v>303</v>
      </c>
      <c r="I173" s="145">
        <v>2.2000000000000002</v>
      </c>
    </row>
    <row r="174" spans="2:13" ht="12.95" customHeight="1" x14ac:dyDescent="0.3">
      <c r="B174" s="178"/>
      <c r="C174" s="178"/>
      <c r="D174" s="171"/>
      <c r="E174" s="171"/>
      <c r="F174" s="71" t="s">
        <v>287</v>
      </c>
      <c r="G174" s="72" t="s">
        <v>288</v>
      </c>
      <c r="H174" s="71" t="s">
        <v>287</v>
      </c>
      <c r="I174" s="72" t="s">
        <v>288</v>
      </c>
      <c r="J174" s="4"/>
      <c r="K174" s="4"/>
    </row>
    <row r="175" spans="2:13" ht="12.95" customHeight="1" x14ac:dyDescent="0.3">
      <c r="B175" s="89" t="s">
        <v>27</v>
      </c>
      <c r="C175" s="91" t="s">
        <v>51</v>
      </c>
      <c r="D175" s="90" t="s">
        <v>35</v>
      </c>
      <c r="E175" s="92"/>
      <c r="F175" s="36">
        <v>1</v>
      </c>
      <c r="G175" s="6">
        <f>TRUNC(SUM(G178:G179)*0.02,1)</f>
        <v>39065.1</v>
      </c>
      <c r="H175" s="36">
        <v>1</v>
      </c>
      <c r="I175" s="6">
        <f>TRUNC(SUM(I178:I179)*0.02,1)</f>
        <v>24896.3</v>
      </c>
    </row>
    <row r="176" spans="2:13" ht="12.95" customHeight="1" x14ac:dyDescent="0.3">
      <c r="B176" s="129" t="s">
        <v>29</v>
      </c>
      <c r="C176" s="130"/>
      <c r="D176" s="131"/>
      <c r="E176" s="132"/>
      <c r="F176" s="44"/>
      <c r="G176" s="40">
        <f>TRUNC(SUM(G175:G175))</f>
        <v>39065</v>
      </c>
      <c r="H176" s="44"/>
      <c r="I176" s="40">
        <f>TRUNC(SUM(I175:I175))</f>
        <v>24896</v>
      </c>
    </row>
    <row r="177" spans="2:13" ht="12.95" customHeight="1" x14ac:dyDescent="0.3">
      <c r="B177" s="126"/>
      <c r="C177" s="126"/>
      <c r="D177" s="127"/>
      <c r="E177" s="76"/>
      <c r="F177" s="25"/>
      <c r="G177" s="29"/>
      <c r="H177" s="25"/>
      <c r="I177" s="29"/>
    </row>
    <row r="178" spans="2:13" ht="12.95" customHeight="1" x14ac:dyDescent="0.3">
      <c r="B178" s="126" t="s">
        <v>14</v>
      </c>
      <c r="C178" s="126"/>
      <c r="D178" s="75" t="s">
        <v>28</v>
      </c>
      <c r="E178" s="139">
        <v>268187</v>
      </c>
      <c r="F178" s="36">
        <v>6</v>
      </c>
      <c r="G178" s="3">
        <f t="shared" ref="G178:G179" si="33">TRUNC($E178*F178,1)</f>
        <v>1609122</v>
      </c>
      <c r="H178" s="36">
        <v>4</v>
      </c>
      <c r="I178" s="3">
        <f t="shared" ref="I178:I179" si="34">TRUNC($E178*H178,1)</f>
        <v>1072748</v>
      </c>
      <c r="J178" s="4"/>
      <c r="K178" s="4"/>
    </row>
    <row r="179" spans="2:13" ht="12.95" customHeight="1" x14ac:dyDescent="0.3">
      <c r="B179" s="126" t="s">
        <v>8</v>
      </c>
      <c r="C179" s="126"/>
      <c r="D179" s="75" t="s">
        <v>28</v>
      </c>
      <c r="E179" s="76">
        <v>172068</v>
      </c>
      <c r="F179" s="36">
        <v>2</v>
      </c>
      <c r="G179" s="3">
        <f t="shared" si="33"/>
        <v>344136</v>
      </c>
      <c r="H179" s="36">
        <v>1</v>
      </c>
      <c r="I179" s="3">
        <f t="shared" si="34"/>
        <v>172068</v>
      </c>
      <c r="J179" s="4"/>
      <c r="K179" s="4"/>
    </row>
    <row r="180" spans="2:13" ht="12.95" customHeight="1" x14ac:dyDescent="0.3">
      <c r="B180" s="77" t="s">
        <v>30</v>
      </c>
      <c r="C180" s="78"/>
      <c r="D180" s="78"/>
      <c r="E180" s="24"/>
      <c r="F180" s="56"/>
      <c r="G180" s="55">
        <f>TRUNC(SUM(G178:G179))</f>
        <v>1953258</v>
      </c>
      <c r="H180" s="56"/>
      <c r="I180" s="55">
        <f>TRUNC(SUM(I178:I179))</f>
        <v>1244816</v>
      </c>
      <c r="J180" s="4"/>
      <c r="K180" s="4"/>
    </row>
    <row r="181" spans="2:13" ht="12.95" customHeight="1" x14ac:dyDescent="0.3">
      <c r="B181" s="79"/>
      <c r="C181" s="80"/>
      <c r="D181" s="80"/>
      <c r="E181" s="81"/>
      <c r="F181" s="37"/>
      <c r="G181" s="57"/>
      <c r="H181" s="37"/>
      <c r="I181" s="57"/>
      <c r="J181" s="4"/>
      <c r="K181" s="4"/>
    </row>
    <row r="182" spans="2:13" ht="12.95" customHeight="1" x14ac:dyDescent="0.3">
      <c r="B182" s="82" t="s">
        <v>33</v>
      </c>
      <c r="C182" s="78"/>
      <c r="D182" s="78"/>
      <c r="E182" s="83"/>
      <c r="F182" s="83"/>
      <c r="G182" s="58">
        <f>SUM(G176+G180)</f>
        <v>1992323</v>
      </c>
      <c r="H182" s="83"/>
      <c r="I182" s="58">
        <f>SUM(I176+I180)</f>
        <v>1269712</v>
      </c>
      <c r="J182" s="4"/>
      <c r="K182" s="4"/>
    </row>
    <row r="183" spans="2:13" ht="12.95" customHeight="1" x14ac:dyDescent="0.3">
      <c r="B183" s="84" t="s">
        <v>305</v>
      </c>
      <c r="C183" s="85"/>
      <c r="D183" s="86"/>
      <c r="E183" s="87"/>
      <c r="F183" s="88"/>
      <c r="G183" s="7">
        <f>TRUNC(G182/G173)</f>
        <v>585977</v>
      </c>
      <c r="H183" s="88"/>
      <c r="I183" s="7">
        <f>TRUNC(I182/I173)</f>
        <v>577141</v>
      </c>
      <c r="J183" s="4"/>
      <c r="K183" s="4"/>
    </row>
    <row r="184" spans="2:13" ht="12.95" customHeight="1" x14ac:dyDescent="0.3">
      <c r="B184" s="176" t="s">
        <v>21</v>
      </c>
      <c r="C184" s="176" t="s">
        <v>25</v>
      </c>
      <c r="D184" s="170" t="s">
        <v>26</v>
      </c>
      <c r="E184" s="170" t="s">
        <v>22</v>
      </c>
      <c r="F184" s="174" t="s">
        <v>309</v>
      </c>
      <c r="G184" s="175"/>
      <c r="H184" s="174" t="s">
        <v>309</v>
      </c>
      <c r="I184" s="175"/>
      <c r="J184" s="174" t="s">
        <v>310</v>
      </c>
      <c r="K184" s="175"/>
    </row>
    <row r="185" spans="2:13" ht="12.95" customHeight="1" x14ac:dyDescent="0.3">
      <c r="B185" s="177"/>
      <c r="C185" s="177"/>
      <c r="D185" s="179"/>
      <c r="E185" s="179"/>
      <c r="F185" s="68" t="s">
        <v>304</v>
      </c>
      <c r="G185" s="145">
        <v>2.6</v>
      </c>
      <c r="H185" s="68" t="s">
        <v>303</v>
      </c>
      <c r="I185" s="145">
        <v>1.1000000000000001</v>
      </c>
      <c r="J185" s="68" t="s">
        <v>303</v>
      </c>
      <c r="K185" s="145">
        <v>2.4</v>
      </c>
    </row>
    <row r="186" spans="2:13" ht="12.95" customHeight="1" x14ac:dyDescent="0.3">
      <c r="B186" s="178"/>
      <c r="C186" s="178"/>
      <c r="D186" s="171"/>
      <c r="E186" s="171"/>
      <c r="F186" s="71" t="s">
        <v>287</v>
      </c>
      <c r="G186" s="72" t="s">
        <v>288</v>
      </c>
      <c r="H186" s="71" t="s">
        <v>287</v>
      </c>
      <c r="I186" s="72" t="s">
        <v>288</v>
      </c>
      <c r="J186" s="71" t="s">
        <v>287</v>
      </c>
      <c r="K186" s="72" t="s">
        <v>288</v>
      </c>
      <c r="L186" s="4"/>
      <c r="M186" s="4"/>
    </row>
    <row r="187" spans="2:13" ht="12.95" customHeight="1" x14ac:dyDescent="0.3">
      <c r="B187" s="89" t="s">
        <v>27</v>
      </c>
      <c r="C187" s="91" t="s">
        <v>51</v>
      </c>
      <c r="D187" s="90" t="s">
        <v>35</v>
      </c>
      <c r="E187" s="92"/>
      <c r="F187" s="36">
        <v>1</v>
      </c>
      <c r="G187" s="6">
        <f>TRUNC(SUM(G190:G191)*0.02,1)</f>
        <v>33701.4</v>
      </c>
      <c r="H187" s="36">
        <v>1</v>
      </c>
      <c r="I187" s="6">
        <f>TRUNC(SUM(I190:I191)*0.02,1)</f>
        <v>14168.8</v>
      </c>
      <c r="J187" s="36">
        <v>1</v>
      </c>
      <c r="K187" s="6">
        <f>TRUNC(SUM(K190:K191)*0.02,1)</f>
        <v>33701.4</v>
      </c>
    </row>
    <row r="188" spans="2:13" ht="12.95" customHeight="1" x14ac:dyDescent="0.3">
      <c r="B188" s="129" t="s">
        <v>29</v>
      </c>
      <c r="C188" s="130"/>
      <c r="D188" s="131"/>
      <c r="E188" s="132"/>
      <c r="F188" s="44"/>
      <c r="G188" s="40">
        <f>TRUNC(SUM(G187:G187))</f>
        <v>33701</v>
      </c>
      <c r="H188" s="44"/>
      <c r="I188" s="40">
        <f>TRUNC(SUM(I187:I187))</f>
        <v>14168</v>
      </c>
      <c r="J188" s="44"/>
      <c r="K188" s="40">
        <f>TRUNC(SUM(K187:K187))</f>
        <v>33701</v>
      </c>
    </row>
    <row r="189" spans="2:13" ht="12.95" customHeight="1" x14ac:dyDescent="0.3">
      <c r="B189" s="126"/>
      <c r="C189" s="126"/>
      <c r="D189" s="127"/>
      <c r="E189" s="76"/>
      <c r="F189" s="25"/>
      <c r="G189" s="29"/>
      <c r="H189" s="25"/>
      <c r="I189" s="29"/>
      <c r="J189" s="25"/>
      <c r="K189" s="29"/>
    </row>
    <row r="190" spans="2:13" ht="12.95" customHeight="1" x14ac:dyDescent="0.3">
      <c r="B190" s="126" t="s">
        <v>14</v>
      </c>
      <c r="C190" s="126"/>
      <c r="D190" s="75" t="s">
        <v>28</v>
      </c>
      <c r="E190" s="139">
        <v>268187</v>
      </c>
      <c r="F190" s="36">
        <v>5</v>
      </c>
      <c r="G190" s="3">
        <f t="shared" ref="G190:G191" si="35">TRUNC($E190*F190,1)</f>
        <v>1340935</v>
      </c>
      <c r="H190" s="36">
        <v>2</v>
      </c>
      <c r="I190" s="3">
        <f t="shared" ref="I190:I191" si="36">TRUNC($E190*H190,1)</f>
        <v>536374</v>
      </c>
      <c r="J190" s="36">
        <v>5</v>
      </c>
      <c r="K190" s="3">
        <f t="shared" ref="K190:K191" si="37">TRUNC($E190*J190,1)</f>
        <v>1340935</v>
      </c>
      <c r="L190" s="4"/>
      <c r="M190" s="4"/>
    </row>
    <row r="191" spans="2:13" ht="12.95" customHeight="1" x14ac:dyDescent="0.3">
      <c r="B191" s="126" t="s">
        <v>8</v>
      </c>
      <c r="C191" s="126"/>
      <c r="D191" s="75" t="s">
        <v>28</v>
      </c>
      <c r="E191" s="76">
        <v>172068</v>
      </c>
      <c r="F191" s="36">
        <v>2</v>
      </c>
      <c r="G191" s="3">
        <f t="shared" si="35"/>
        <v>344136</v>
      </c>
      <c r="H191" s="36">
        <v>1</v>
      </c>
      <c r="I191" s="3">
        <f t="shared" si="36"/>
        <v>172068</v>
      </c>
      <c r="J191" s="36">
        <v>2</v>
      </c>
      <c r="K191" s="3">
        <f t="shared" si="37"/>
        <v>344136</v>
      </c>
      <c r="L191" s="4"/>
      <c r="M191" s="4"/>
    </row>
    <row r="192" spans="2:13" ht="12.95" customHeight="1" x14ac:dyDescent="0.3">
      <c r="B192" s="77" t="s">
        <v>30</v>
      </c>
      <c r="C192" s="78"/>
      <c r="D192" s="78"/>
      <c r="E192" s="24"/>
      <c r="F192" s="56"/>
      <c r="G192" s="55">
        <f>TRUNC(SUM(G190:G191))</f>
        <v>1685071</v>
      </c>
      <c r="H192" s="56"/>
      <c r="I192" s="55">
        <f>TRUNC(SUM(I190:I191))</f>
        <v>708442</v>
      </c>
      <c r="J192" s="56"/>
      <c r="K192" s="55">
        <f>TRUNC(SUM(K190:K191))</f>
        <v>1685071</v>
      </c>
      <c r="L192" s="4"/>
      <c r="M192" s="4"/>
    </row>
    <row r="193" spans="2:13" ht="12.95" customHeight="1" x14ac:dyDescent="0.3">
      <c r="B193" s="79"/>
      <c r="C193" s="80"/>
      <c r="D193" s="80"/>
      <c r="E193" s="81"/>
      <c r="F193" s="37"/>
      <c r="G193" s="57"/>
      <c r="H193" s="37"/>
      <c r="I193" s="57"/>
      <c r="J193" s="37"/>
      <c r="K193" s="57"/>
      <c r="L193" s="4"/>
      <c r="M193" s="4"/>
    </row>
    <row r="194" spans="2:13" ht="12.95" customHeight="1" x14ac:dyDescent="0.3">
      <c r="B194" s="82" t="s">
        <v>33</v>
      </c>
      <c r="C194" s="78"/>
      <c r="D194" s="78"/>
      <c r="E194" s="83"/>
      <c r="F194" s="83"/>
      <c r="G194" s="58">
        <f>SUM(G188+G192)</f>
        <v>1718772</v>
      </c>
      <c r="H194" s="83"/>
      <c r="I194" s="58">
        <f>SUM(I188+I192)</f>
        <v>722610</v>
      </c>
      <c r="J194" s="83"/>
      <c r="K194" s="58">
        <f>SUM(K188+K192)</f>
        <v>1718772</v>
      </c>
      <c r="L194" s="4"/>
      <c r="M194" s="4"/>
    </row>
    <row r="195" spans="2:13" ht="12.95" customHeight="1" x14ac:dyDescent="0.3">
      <c r="B195" s="84" t="s">
        <v>305</v>
      </c>
      <c r="C195" s="85"/>
      <c r="D195" s="86"/>
      <c r="E195" s="87"/>
      <c r="F195" s="88"/>
      <c r="G195" s="7">
        <f>TRUNC(G194/G185)</f>
        <v>661066</v>
      </c>
      <c r="H195" s="88"/>
      <c r="I195" s="7">
        <f>TRUNC(I194/I185)</f>
        <v>656918</v>
      </c>
      <c r="J195" s="88"/>
      <c r="K195" s="7">
        <f>TRUNC(K194/K185)</f>
        <v>716155</v>
      </c>
      <c r="L195" s="4"/>
      <c r="M195" s="4"/>
    </row>
    <row r="196" spans="2:13" ht="12.95" customHeight="1" x14ac:dyDescent="0.3">
      <c r="B196" s="176" t="s">
        <v>21</v>
      </c>
      <c r="C196" s="176" t="s">
        <v>25</v>
      </c>
      <c r="D196" s="170" t="s">
        <v>26</v>
      </c>
      <c r="E196" s="170" t="s">
        <v>22</v>
      </c>
      <c r="F196" s="174" t="s">
        <v>311</v>
      </c>
      <c r="G196" s="175"/>
      <c r="H196" s="174" t="s">
        <v>312</v>
      </c>
      <c r="I196" s="175"/>
    </row>
    <row r="197" spans="2:13" ht="12.95" customHeight="1" x14ac:dyDescent="0.3">
      <c r="B197" s="177"/>
      <c r="C197" s="177"/>
      <c r="D197" s="179"/>
      <c r="E197" s="179"/>
      <c r="F197" s="68" t="s">
        <v>304</v>
      </c>
      <c r="G197" s="145">
        <v>3.4</v>
      </c>
      <c r="H197" s="68" t="s">
        <v>303</v>
      </c>
      <c r="I197" s="145">
        <v>3</v>
      </c>
    </row>
    <row r="198" spans="2:13" ht="12.95" customHeight="1" x14ac:dyDescent="0.3">
      <c r="B198" s="178"/>
      <c r="C198" s="178"/>
      <c r="D198" s="171"/>
      <c r="E198" s="171"/>
      <c r="F198" s="71" t="s">
        <v>287</v>
      </c>
      <c r="G198" s="72" t="s">
        <v>288</v>
      </c>
      <c r="H198" s="71" t="s">
        <v>287</v>
      </c>
      <c r="I198" s="72" t="s">
        <v>288</v>
      </c>
      <c r="J198" s="4"/>
      <c r="K198" s="4"/>
    </row>
    <row r="199" spans="2:13" ht="12.95" customHeight="1" x14ac:dyDescent="0.3">
      <c r="B199" s="89" t="s">
        <v>27</v>
      </c>
      <c r="C199" s="91" t="s">
        <v>51</v>
      </c>
      <c r="D199" s="90" t="s">
        <v>35</v>
      </c>
      <c r="E199" s="92"/>
      <c r="F199" s="36">
        <v>1</v>
      </c>
      <c r="G199" s="6">
        <f>TRUNC(SUM(G202:G203)*0.02,1)</f>
        <v>39065.1</v>
      </c>
      <c r="H199" s="36">
        <v>1</v>
      </c>
      <c r="I199" s="6">
        <f>TRUNC(SUM(I202:I203)*0.02,1)</f>
        <v>39065.1</v>
      </c>
    </row>
    <row r="200" spans="2:13" ht="12.95" customHeight="1" x14ac:dyDescent="0.3">
      <c r="B200" s="129" t="s">
        <v>29</v>
      </c>
      <c r="C200" s="130"/>
      <c r="D200" s="131"/>
      <c r="E200" s="132"/>
      <c r="F200" s="44"/>
      <c r="G200" s="40">
        <f>TRUNC(SUM(G199:G199))</f>
        <v>39065</v>
      </c>
      <c r="H200" s="44"/>
      <c r="I200" s="40">
        <f>TRUNC(SUM(I199:I199))</f>
        <v>39065</v>
      </c>
    </row>
    <row r="201" spans="2:13" ht="12.95" customHeight="1" x14ac:dyDescent="0.3">
      <c r="B201" s="126"/>
      <c r="C201" s="126"/>
      <c r="D201" s="127"/>
      <c r="E201" s="76"/>
      <c r="F201" s="25"/>
      <c r="G201" s="29"/>
      <c r="H201" s="25"/>
      <c r="I201" s="29"/>
    </row>
    <row r="202" spans="2:13" ht="12.95" customHeight="1" x14ac:dyDescent="0.3">
      <c r="B202" s="126" t="s">
        <v>14</v>
      </c>
      <c r="C202" s="126"/>
      <c r="D202" s="75" t="s">
        <v>28</v>
      </c>
      <c r="E202" s="139">
        <v>268187</v>
      </c>
      <c r="F202" s="36">
        <v>6</v>
      </c>
      <c r="G202" s="3">
        <f t="shared" ref="G202:G203" si="38">TRUNC($E202*F202,1)</f>
        <v>1609122</v>
      </c>
      <c r="H202" s="36">
        <v>6</v>
      </c>
      <c r="I202" s="3">
        <f t="shared" ref="I202:I203" si="39">TRUNC($E202*H202,1)</f>
        <v>1609122</v>
      </c>
      <c r="J202" s="4"/>
      <c r="K202" s="4"/>
    </row>
    <row r="203" spans="2:13" ht="12.95" customHeight="1" x14ac:dyDescent="0.3">
      <c r="B203" s="126" t="s">
        <v>8</v>
      </c>
      <c r="C203" s="126"/>
      <c r="D203" s="75" t="s">
        <v>28</v>
      </c>
      <c r="E203" s="76">
        <v>172068</v>
      </c>
      <c r="F203" s="36">
        <v>2</v>
      </c>
      <c r="G203" s="3">
        <f t="shared" si="38"/>
        <v>344136</v>
      </c>
      <c r="H203" s="36">
        <v>2</v>
      </c>
      <c r="I203" s="3">
        <f t="shared" si="39"/>
        <v>344136</v>
      </c>
      <c r="J203" s="4"/>
      <c r="K203" s="4"/>
    </row>
    <row r="204" spans="2:13" ht="12.95" customHeight="1" x14ac:dyDescent="0.3">
      <c r="B204" s="77" t="s">
        <v>30</v>
      </c>
      <c r="C204" s="78"/>
      <c r="D204" s="78"/>
      <c r="E204" s="24"/>
      <c r="F204" s="56"/>
      <c r="G204" s="55">
        <f>TRUNC(SUM(G202:G203))</f>
        <v>1953258</v>
      </c>
      <c r="H204" s="56"/>
      <c r="I204" s="55">
        <f>TRUNC(SUM(I202:I203))</f>
        <v>1953258</v>
      </c>
      <c r="J204" s="4"/>
      <c r="K204" s="4"/>
    </row>
    <row r="205" spans="2:13" ht="12.95" customHeight="1" x14ac:dyDescent="0.3">
      <c r="B205" s="79"/>
      <c r="C205" s="80"/>
      <c r="D205" s="80"/>
      <c r="E205" s="81"/>
      <c r="F205" s="37"/>
      <c r="G205" s="57"/>
      <c r="H205" s="37"/>
      <c r="I205" s="57"/>
      <c r="J205" s="4"/>
      <c r="K205" s="4"/>
    </row>
    <row r="206" spans="2:13" ht="12.95" customHeight="1" x14ac:dyDescent="0.3">
      <c r="B206" s="82" t="s">
        <v>33</v>
      </c>
      <c r="C206" s="78"/>
      <c r="D206" s="78"/>
      <c r="E206" s="83"/>
      <c r="F206" s="83"/>
      <c r="G206" s="58">
        <f>SUM(G200+G204)</f>
        <v>1992323</v>
      </c>
      <c r="H206" s="83"/>
      <c r="I206" s="58">
        <f>SUM(I200+I204)</f>
        <v>1992323</v>
      </c>
      <c r="J206" s="4"/>
      <c r="K206" s="4"/>
    </row>
    <row r="207" spans="2:13" ht="12.95" customHeight="1" x14ac:dyDescent="0.3">
      <c r="B207" s="84" t="s">
        <v>305</v>
      </c>
      <c r="C207" s="85"/>
      <c r="D207" s="86"/>
      <c r="E207" s="87"/>
      <c r="F207" s="88"/>
      <c r="G207" s="7">
        <f>TRUNC(G206/G197)</f>
        <v>585977</v>
      </c>
      <c r="H207" s="88"/>
      <c r="I207" s="7">
        <f>TRUNC(I206/I197)</f>
        <v>664107</v>
      </c>
      <c r="J207" s="4"/>
      <c r="K207" s="4"/>
    </row>
    <row r="208" spans="2:13" ht="12.95" customHeight="1" x14ac:dyDescent="0.3">
      <c r="B208" s="115"/>
      <c r="H208" s="137"/>
    </row>
    <row r="209" spans="2:13" ht="12.95" customHeight="1" x14ac:dyDescent="0.3">
      <c r="B209" s="115" t="s">
        <v>313</v>
      </c>
      <c r="C209" s="116"/>
      <c r="D209" s="22"/>
      <c r="E209" s="22"/>
      <c r="F209" s="22"/>
      <c r="G209" s="117"/>
      <c r="H209" s="137" t="s">
        <v>45</v>
      </c>
      <c r="K209" s="137"/>
    </row>
    <row r="210" spans="2:13" ht="12.95" customHeight="1" x14ac:dyDescent="0.3">
      <c r="B210" s="146" t="s">
        <v>21</v>
      </c>
      <c r="C210" s="174" t="s">
        <v>261</v>
      </c>
      <c r="D210" s="175"/>
      <c r="E210" s="174" t="s">
        <v>262</v>
      </c>
      <c r="F210" s="175"/>
      <c r="G210" s="174" t="s">
        <v>263</v>
      </c>
      <c r="H210" s="175"/>
    </row>
    <row r="211" spans="2:13" ht="12.95" customHeight="1" x14ac:dyDescent="0.3">
      <c r="B211" s="147" t="s">
        <v>314</v>
      </c>
      <c r="C211" s="174">
        <v>6.5</v>
      </c>
      <c r="D211" s="175"/>
      <c r="E211" s="191">
        <v>8</v>
      </c>
      <c r="F211" s="192"/>
      <c r="G211" s="174">
        <v>9.5</v>
      </c>
      <c r="H211" s="175"/>
    </row>
    <row r="213" spans="2:13" ht="12.95" customHeight="1" x14ac:dyDescent="0.3">
      <c r="B213" s="115" t="s">
        <v>264</v>
      </c>
      <c r="C213" s="116"/>
      <c r="D213" s="22"/>
      <c r="E213" s="22"/>
      <c r="F213" s="22"/>
      <c r="G213" s="117"/>
      <c r="K213" s="137" t="s">
        <v>45</v>
      </c>
      <c r="M213" s="137"/>
    </row>
    <row r="214" spans="2:13" ht="12.95" customHeight="1" x14ac:dyDescent="0.3">
      <c r="B214" s="165" t="s">
        <v>21</v>
      </c>
      <c r="C214" s="167" t="s">
        <v>36</v>
      </c>
      <c r="D214" s="169" t="s">
        <v>26</v>
      </c>
      <c r="E214" s="170" t="s">
        <v>22</v>
      </c>
      <c r="F214" s="174" t="s">
        <v>261</v>
      </c>
      <c r="G214" s="175"/>
      <c r="H214" s="174" t="s">
        <v>262</v>
      </c>
      <c r="I214" s="175"/>
      <c r="J214" s="174" t="s">
        <v>263</v>
      </c>
      <c r="K214" s="175"/>
    </row>
    <row r="215" spans="2:13" ht="12.95" customHeight="1" x14ac:dyDescent="0.3">
      <c r="B215" s="166"/>
      <c r="C215" s="168"/>
      <c r="D215" s="169"/>
      <c r="E215" s="171"/>
      <c r="F215" s="71" t="s">
        <v>23</v>
      </c>
      <c r="G215" s="72" t="s">
        <v>24</v>
      </c>
      <c r="H215" s="71" t="s">
        <v>23</v>
      </c>
      <c r="I215" s="72" t="s">
        <v>24</v>
      </c>
      <c r="J215" s="71" t="s">
        <v>23</v>
      </c>
      <c r="K215" s="72" t="s">
        <v>24</v>
      </c>
    </row>
    <row r="216" spans="2:13" ht="12.95" customHeight="1" x14ac:dyDescent="0.3">
      <c r="B216" s="126" t="s">
        <v>14</v>
      </c>
      <c r="C216" s="126"/>
      <c r="D216" s="75" t="s">
        <v>28</v>
      </c>
      <c r="E216" s="139">
        <v>268187</v>
      </c>
      <c r="F216" s="26">
        <v>0.23</v>
      </c>
      <c r="G216" s="3">
        <f t="shared" ref="G216:G217" si="40">TRUNC($E216*F216,1)</f>
        <v>61683</v>
      </c>
      <c r="H216" s="26">
        <v>0.3</v>
      </c>
      <c r="I216" s="3">
        <f t="shared" ref="I216:I217" si="41">TRUNC($E216*H216,1)</f>
        <v>80456.100000000006</v>
      </c>
      <c r="J216" s="26">
        <v>0.38</v>
      </c>
      <c r="K216" s="3">
        <f t="shared" ref="K216:K217" si="42">TRUNC($E216*J216,1)</f>
        <v>101911</v>
      </c>
    </row>
    <row r="217" spans="2:13" ht="12.95" customHeight="1" x14ac:dyDescent="0.3">
      <c r="B217" s="126" t="s">
        <v>8</v>
      </c>
      <c r="C217" s="126"/>
      <c r="D217" s="75" t="s">
        <v>28</v>
      </c>
      <c r="E217" s="76">
        <v>172068</v>
      </c>
      <c r="F217" s="26">
        <v>0.03</v>
      </c>
      <c r="G217" s="3">
        <f t="shared" si="40"/>
        <v>5162</v>
      </c>
      <c r="H217" s="26">
        <v>0.04</v>
      </c>
      <c r="I217" s="3">
        <f t="shared" si="41"/>
        <v>6882.7</v>
      </c>
      <c r="J217" s="26">
        <v>0.06</v>
      </c>
      <c r="K217" s="3">
        <f t="shared" si="42"/>
        <v>10324</v>
      </c>
    </row>
    <row r="218" spans="2:13" ht="12.95" customHeight="1" x14ac:dyDescent="0.3">
      <c r="B218" s="77" t="s">
        <v>30</v>
      </c>
      <c r="C218" s="133"/>
      <c r="D218" s="134"/>
      <c r="E218" s="24"/>
      <c r="F218" s="39"/>
      <c r="G218" s="40">
        <f>TRUNC(SUM(G216:G217))</f>
        <v>66845</v>
      </c>
      <c r="H218" s="39"/>
      <c r="I218" s="40">
        <f>TRUNC(SUM(I216:I217))</f>
        <v>87338</v>
      </c>
      <c r="J218" s="39"/>
      <c r="K218" s="40">
        <f>TRUNC(SUM(K216:K217))</f>
        <v>112235</v>
      </c>
    </row>
    <row r="219" spans="2:13" ht="12.95" customHeight="1" x14ac:dyDescent="0.3">
      <c r="B219" s="126"/>
      <c r="C219" s="126"/>
      <c r="D219" s="126"/>
      <c r="E219" s="76"/>
      <c r="F219" s="26"/>
      <c r="G219" s="29"/>
      <c r="H219" s="26"/>
      <c r="I219" s="29"/>
      <c r="J219" s="26"/>
      <c r="K219" s="29"/>
    </row>
    <row r="220" spans="2:13" ht="12.95" customHeight="1" x14ac:dyDescent="0.3">
      <c r="B220" s="84" t="s">
        <v>33</v>
      </c>
      <c r="C220" s="135"/>
      <c r="D220" s="135"/>
      <c r="E220" s="136"/>
      <c r="F220" s="136"/>
      <c r="G220" s="42">
        <f>SUM(G218)</f>
        <v>66845</v>
      </c>
      <c r="H220" s="136"/>
      <c r="I220" s="42">
        <f>SUM(I218)</f>
        <v>87338</v>
      </c>
      <c r="J220" s="136"/>
      <c r="K220" s="42">
        <f>SUM(K218)</f>
        <v>112235</v>
      </c>
    </row>
    <row r="222" spans="2:13" ht="12.95" customHeight="1" x14ac:dyDescent="0.3">
      <c r="B222" s="115" t="s">
        <v>265</v>
      </c>
      <c r="C222" s="116"/>
      <c r="D222" s="22"/>
      <c r="E222" s="22"/>
      <c r="F222" s="22"/>
      <c r="G222" s="117" t="s">
        <v>96</v>
      </c>
    </row>
    <row r="223" spans="2:13" ht="12.95" customHeight="1" x14ac:dyDescent="0.3">
      <c r="B223" s="165" t="s">
        <v>21</v>
      </c>
      <c r="C223" s="167" t="s">
        <v>36</v>
      </c>
      <c r="D223" s="169" t="s">
        <v>26</v>
      </c>
      <c r="E223" s="170" t="s">
        <v>22</v>
      </c>
      <c r="F223" s="170" t="s">
        <v>23</v>
      </c>
      <c r="G223" s="172" t="s">
        <v>24</v>
      </c>
      <c r="H223" s="122"/>
    </row>
    <row r="224" spans="2:13" ht="12.95" customHeight="1" x14ac:dyDescent="0.3">
      <c r="B224" s="166"/>
      <c r="C224" s="168"/>
      <c r="D224" s="169"/>
      <c r="E224" s="171"/>
      <c r="F224" s="171"/>
      <c r="G224" s="173"/>
    </row>
    <row r="225" spans="2:9" ht="12.95" customHeight="1" x14ac:dyDescent="0.3">
      <c r="B225" s="144" t="s">
        <v>90</v>
      </c>
      <c r="C225" s="126"/>
      <c r="D225" s="127" t="s">
        <v>85</v>
      </c>
      <c r="E225" s="23">
        <v>0</v>
      </c>
      <c r="F225" s="15">
        <v>133</v>
      </c>
      <c r="G225" s="3">
        <f t="shared" ref="G225:G226" si="43">TRUNC($E225*F225,1)</f>
        <v>0</v>
      </c>
    </row>
    <row r="226" spans="2:9" ht="12.95" customHeight="1" x14ac:dyDescent="0.3">
      <c r="B226" s="144" t="s">
        <v>91</v>
      </c>
      <c r="C226" s="126"/>
      <c r="D226" s="127" t="s">
        <v>85</v>
      </c>
      <c r="E226" s="23">
        <v>0</v>
      </c>
      <c r="F226" s="15">
        <v>744</v>
      </c>
      <c r="G226" s="3">
        <f t="shared" si="43"/>
        <v>0</v>
      </c>
    </row>
    <row r="227" spans="2:9" ht="12.95" customHeight="1" x14ac:dyDescent="0.3">
      <c r="B227" s="129" t="s">
        <v>29</v>
      </c>
      <c r="C227" s="130"/>
      <c r="D227" s="131"/>
      <c r="E227" s="132"/>
      <c r="F227" s="44"/>
      <c r="G227" s="40">
        <f>TRUNC(SUM(G225:G226))</f>
        <v>0</v>
      </c>
    </row>
    <row r="228" spans="2:9" ht="12.95" customHeight="1" x14ac:dyDescent="0.3">
      <c r="B228" s="126"/>
      <c r="C228" s="126"/>
      <c r="D228" s="127"/>
      <c r="E228" s="76"/>
      <c r="F228" s="25"/>
      <c r="G228" s="29"/>
    </row>
    <row r="229" spans="2:9" ht="12.95" customHeight="1" x14ac:dyDescent="0.3">
      <c r="B229" s="126" t="s">
        <v>92</v>
      </c>
      <c r="C229" s="126"/>
      <c r="D229" s="75" t="s">
        <v>28</v>
      </c>
      <c r="E229" s="139">
        <v>282536</v>
      </c>
      <c r="F229" s="26">
        <v>0.06</v>
      </c>
      <c r="G229" s="3">
        <f t="shared" ref="G229:G232" si="44">TRUNC($E229*F229,1)</f>
        <v>16952.099999999999</v>
      </c>
    </row>
    <row r="230" spans="2:9" ht="12.95" customHeight="1" x14ac:dyDescent="0.3">
      <c r="B230" s="126" t="s">
        <v>10</v>
      </c>
      <c r="C230" s="126"/>
      <c r="D230" s="75" t="s">
        <v>28</v>
      </c>
      <c r="E230" s="139">
        <v>211636</v>
      </c>
      <c r="F230" s="26">
        <v>0.15</v>
      </c>
      <c r="G230" s="3">
        <f t="shared" si="44"/>
        <v>31745.4</v>
      </c>
    </row>
    <row r="231" spans="2:9" ht="12.95" customHeight="1" x14ac:dyDescent="0.3">
      <c r="B231" s="126" t="s">
        <v>93</v>
      </c>
      <c r="C231" s="126" t="s">
        <v>95</v>
      </c>
      <c r="D231" s="75" t="s">
        <v>28</v>
      </c>
      <c r="E231" s="139">
        <v>268187</v>
      </c>
      <c r="F231" s="26">
        <v>0.09</v>
      </c>
      <c r="G231" s="3">
        <f t="shared" si="44"/>
        <v>24136.799999999999</v>
      </c>
    </row>
    <row r="232" spans="2:9" ht="12.95" customHeight="1" x14ac:dyDescent="0.3">
      <c r="B232" s="126" t="s">
        <v>94</v>
      </c>
      <c r="C232" s="126"/>
      <c r="D232" s="75" t="s">
        <v>28</v>
      </c>
      <c r="E232" s="76">
        <v>179028</v>
      </c>
      <c r="F232" s="26">
        <v>0.11</v>
      </c>
      <c r="G232" s="3">
        <f t="shared" si="44"/>
        <v>19693</v>
      </c>
    </row>
    <row r="233" spans="2:9" ht="12.95" customHeight="1" x14ac:dyDescent="0.3">
      <c r="B233" s="77" t="s">
        <v>30</v>
      </c>
      <c r="C233" s="133"/>
      <c r="D233" s="134"/>
      <c r="E233" s="24"/>
      <c r="F233" s="39"/>
      <c r="G233" s="40">
        <f>TRUNC(SUM(G229:G232))</f>
        <v>92527</v>
      </c>
    </row>
    <row r="234" spans="2:9" ht="12.95" customHeight="1" x14ac:dyDescent="0.3">
      <c r="B234" s="126"/>
      <c r="C234" s="126"/>
      <c r="D234" s="126"/>
      <c r="E234" s="76"/>
      <c r="F234" s="26"/>
      <c r="G234" s="29"/>
    </row>
    <row r="235" spans="2:9" ht="12.95" customHeight="1" x14ac:dyDescent="0.3">
      <c r="B235" s="84" t="s">
        <v>33</v>
      </c>
      <c r="C235" s="135"/>
      <c r="D235" s="135"/>
      <c r="E235" s="136"/>
      <c r="F235" s="136"/>
      <c r="G235" s="42">
        <f>SUM(G227+G233)</f>
        <v>92527</v>
      </c>
    </row>
    <row r="237" spans="2:9" ht="12.95" customHeight="1" x14ac:dyDescent="0.3">
      <c r="B237" s="115" t="s">
        <v>386</v>
      </c>
      <c r="C237" s="63"/>
      <c r="D237" s="11"/>
      <c r="E237" s="65"/>
      <c r="F237" s="4"/>
      <c r="G237" s="66" t="s">
        <v>239</v>
      </c>
    </row>
    <row r="238" spans="2:9" ht="12.95" customHeight="1" x14ac:dyDescent="0.3">
      <c r="B238" s="165" t="s">
        <v>21</v>
      </c>
      <c r="C238" s="167" t="s">
        <v>36</v>
      </c>
      <c r="D238" s="169" t="s">
        <v>26</v>
      </c>
      <c r="E238" s="170" t="s">
        <v>22</v>
      </c>
      <c r="F238" s="68" t="s">
        <v>334</v>
      </c>
      <c r="G238" s="70">
        <v>2500</v>
      </c>
    </row>
    <row r="239" spans="2:9" ht="12.95" customHeight="1" x14ac:dyDescent="0.3">
      <c r="B239" s="166"/>
      <c r="C239" s="168"/>
      <c r="D239" s="169"/>
      <c r="E239" s="171"/>
      <c r="F239" s="71" t="s">
        <v>287</v>
      </c>
      <c r="G239" s="72" t="s">
        <v>288</v>
      </c>
      <c r="H239" s="4"/>
      <c r="I239" s="4"/>
    </row>
    <row r="240" spans="2:9" ht="12.95" customHeight="1" x14ac:dyDescent="0.3">
      <c r="B240" s="89" t="s">
        <v>27</v>
      </c>
      <c r="C240" s="91" t="s">
        <v>51</v>
      </c>
      <c r="D240" s="90" t="s">
        <v>35</v>
      </c>
      <c r="E240" s="92"/>
      <c r="F240" s="36">
        <v>1</v>
      </c>
      <c r="G240" s="6">
        <f>TRUNC(SUM(G243:G244)*0.02,1)</f>
        <v>39065.1</v>
      </c>
    </row>
    <row r="241" spans="2:11" ht="12.95" customHeight="1" x14ac:dyDescent="0.3">
      <c r="B241" s="129" t="s">
        <v>29</v>
      </c>
      <c r="C241" s="130"/>
      <c r="D241" s="131"/>
      <c r="E241" s="132"/>
      <c r="F241" s="44"/>
      <c r="G241" s="40">
        <f>TRUNC(SUM(G240:G240))</f>
        <v>39065</v>
      </c>
    </row>
    <row r="242" spans="2:11" ht="12.95" customHeight="1" x14ac:dyDescent="0.3">
      <c r="B242" s="126"/>
      <c r="C242" s="126"/>
      <c r="D242" s="127"/>
      <c r="E242" s="76"/>
      <c r="F242" s="25"/>
      <c r="G242" s="29"/>
    </row>
    <row r="243" spans="2:11" ht="12.95" customHeight="1" x14ac:dyDescent="0.3">
      <c r="B243" s="126" t="s">
        <v>14</v>
      </c>
      <c r="C243" s="126"/>
      <c r="D243" s="75" t="s">
        <v>28</v>
      </c>
      <c r="E243" s="139">
        <v>268187</v>
      </c>
      <c r="F243" s="36">
        <v>6</v>
      </c>
      <c r="G243" s="3">
        <f t="shared" ref="G243:G244" si="45">TRUNC($E243*F243,1)</f>
        <v>1609122</v>
      </c>
      <c r="H243" s="4"/>
      <c r="I243" s="4"/>
    </row>
    <row r="244" spans="2:11" ht="12.95" customHeight="1" x14ac:dyDescent="0.3">
      <c r="B244" s="126" t="s">
        <v>8</v>
      </c>
      <c r="C244" s="126"/>
      <c r="D244" s="75" t="s">
        <v>28</v>
      </c>
      <c r="E244" s="76">
        <v>172068</v>
      </c>
      <c r="F244" s="36">
        <v>2</v>
      </c>
      <c r="G244" s="3">
        <f t="shared" si="45"/>
        <v>344136</v>
      </c>
      <c r="H244" s="4"/>
      <c r="I244" s="4"/>
    </row>
    <row r="245" spans="2:11" ht="12.95" customHeight="1" x14ac:dyDescent="0.3">
      <c r="B245" s="77" t="s">
        <v>30</v>
      </c>
      <c r="C245" s="78"/>
      <c r="D245" s="78"/>
      <c r="E245" s="24"/>
      <c r="F245" s="56"/>
      <c r="G245" s="55">
        <f>TRUNC(SUM(G243:G244))</f>
        <v>1953258</v>
      </c>
      <c r="H245" s="4"/>
      <c r="I245" s="4"/>
    </row>
    <row r="246" spans="2:11" ht="12.95" customHeight="1" x14ac:dyDescent="0.3">
      <c r="B246" s="79"/>
      <c r="C246" s="80"/>
      <c r="D246" s="80"/>
      <c r="E246" s="81"/>
      <c r="F246" s="37"/>
      <c r="G246" s="57"/>
      <c r="H246" s="4"/>
      <c r="I246" s="4"/>
    </row>
    <row r="247" spans="2:11" ht="12.95" customHeight="1" x14ac:dyDescent="0.3">
      <c r="B247" s="82" t="s">
        <v>33</v>
      </c>
      <c r="C247" s="78"/>
      <c r="D247" s="78"/>
      <c r="E247" s="83"/>
      <c r="F247" s="83"/>
      <c r="G247" s="58">
        <f>SUM(G241+G245)</f>
        <v>1992323</v>
      </c>
      <c r="H247" s="4"/>
      <c r="I247" s="4"/>
    </row>
    <row r="248" spans="2:11" ht="12.95" customHeight="1" x14ac:dyDescent="0.3">
      <c r="B248" s="84" t="s">
        <v>302</v>
      </c>
      <c r="C248" s="85"/>
      <c r="D248" s="86"/>
      <c r="E248" s="87"/>
      <c r="F248" s="88"/>
      <c r="G248" s="7">
        <f>TRUNC(G247/G238)</f>
        <v>796</v>
      </c>
      <c r="H248" s="4"/>
      <c r="I248" s="4"/>
    </row>
    <row r="249" spans="2:11" ht="12.95" customHeight="1" x14ac:dyDescent="0.3">
      <c r="B249" s="1" t="s">
        <v>387</v>
      </c>
    </row>
    <row r="251" spans="2:11" ht="12.95" customHeight="1" x14ac:dyDescent="0.3">
      <c r="B251" s="61" t="s">
        <v>97</v>
      </c>
    </row>
    <row r="252" spans="2:11" ht="12.95" customHeight="1" x14ac:dyDescent="0.3">
      <c r="B252" s="1" t="s">
        <v>98</v>
      </c>
    </row>
    <row r="253" spans="2:11" ht="12.95" customHeight="1" x14ac:dyDescent="0.3">
      <c r="B253" s="1" t="s">
        <v>112</v>
      </c>
      <c r="K253" s="137" t="s">
        <v>104</v>
      </c>
    </row>
    <row r="254" spans="2:11" ht="12.95" customHeight="1" x14ac:dyDescent="0.3">
      <c r="B254" s="165" t="s">
        <v>21</v>
      </c>
      <c r="C254" s="167" t="s">
        <v>36</v>
      </c>
      <c r="D254" s="169" t="s">
        <v>26</v>
      </c>
      <c r="E254" s="170" t="s">
        <v>22</v>
      </c>
      <c r="F254" s="185" t="s">
        <v>105</v>
      </c>
      <c r="G254" s="186"/>
      <c r="H254" s="185" t="s">
        <v>106</v>
      </c>
      <c r="I254" s="186"/>
      <c r="J254" s="185" t="s">
        <v>107</v>
      </c>
      <c r="K254" s="186"/>
    </row>
    <row r="255" spans="2:11" ht="12.95" customHeight="1" x14ac:dyDescent="0.3">
      <c r="B255" s="166"/>
      <c r="C255" s="168"/>
      <c r="D255" s="169"/>
      <c r="E255" s="171"/>
      <c r="F255" s="102" t="s">
        <v>23</v>
      </c>
      <c r="G255" s="102" t="s">
        <v>24</v>
      </c>
      <c r="H255" s="102" t="s">
        <v>23</v>
      </c>
      <c r="I255" s="67" t="s">
        <v>24</v>
      </c>
      <c r="J255" s="102" t="s">
        <v>23</v>
      </c>
      <c r="K255" s="67" t="s">
        <v>24</v>
      </c>
    </row>
    <row r="256" spans="2:11" ht="12.95" customHeight="1" x14ac:dyDescent="0.3">
      <c r="B256" s="144" t="s">
        <v>101</v>
      </c>
      <c r="C256" s="126"/>
      <c r="D256" s="127" t="s">
        <v>103</v>
      </c>
      <c r="E256" s="15">
        <v>0</v>
      </c>
      <c r="F256" s="27">
        <v>1.03</v>
      </c>
      <c r="G256" s="3">
        <f t="shared" ref="G256:G257" si="46">TRUNC($E256*F256,1)</f>
        <v>0</v>
      </c>
      <c r="H256" s="28">
        <v>0.55000000000000004</v>
      </c>
      <c r="I256" s="3">
        <f>TRUNC($G256*H256,1)</f>
        <v>0</v>
      </c>
      <c r="J256" s="28">
        <v>0.443</v>
      </c>
      <c r="K256" s="3">
        <f>TRUNC($G256*J256,1)</f>
        <v>0</v>
      </c>
    </row>
    <row r="257" spans="2:11" ht="12.95" customHeight="1" x14ac:dyDescent="0.3">
      <c r="B257" s="144" t="s">
        <v>102</v>
      </c>
      <c r="C257" s="126"/>
      <c r="D257" s="127" t="s">
        <v>103</v>
      </c>
      <c r="E257" s="15">
        <v>0</v>
      </c>
      <c r="F257" s="45">
        <v>3.7999999999999999E-2</v>
      </c>
      <c r="G257" s="3">
        <f t="shared" si="46"/>
        <v>0</v>
      </c>
      <c r="H257" s="28">
        <v>0.55000000000000004</v>
      </c>
      <c r="I257" s="3">
        <f>TRUNC($G257*H257,1)</f>
        <v>0</v>
      </c>
      <c r="J257" s="28">
        <v>0.443</v>
      </c>
      <c r="K257" s="3">
        <f>TRUNC($G257*J257,1)</f>
        <v>0</v>
      </c>
    </row>
    <row r="258" spans="2:11" ht="12.95" customHeight="1" x14ac:dyDescent="0.3">
      <c r="B258" s="89" t="s">
        <v>99</v>
      </c>
      <c r="C258" s="91" t="s">
        <v>100</v>
      </c>
      <c r="D258" s="90" t="s">
        <v>35</v>
      </c>
      <c r="E258" s="92"/>
      <c r="F258" s="36">
        <v>4</v>
      </c>
      <c r="G258" s="6">
        <f>TRUNC(SUM(G256:G257)*0.04,1)</f>
        <v>0</v>
      </c>
      <c r="H258" s="36">
        <v>7</v>
      </c>
      <c r="I258" s="6">
        <f>TRUNC(SUM(I256:I257)*0.07,1)</f>
        <v>0</v>
      </c>
      <c r="J258" s="36">
        <v>8</v>
      </c>
      <c r="K258" s="6">
        <f>TRUNC(SUM(K256:K257)*0.08,1)</f>
        <v>0</v>
      </c>
    </row>
    <row r="259" spans="2:11" ht="12.95" customHeight="1" x14ac:dyDescent="0.3">
      <c r="B259" s="129" t="s">
        <v>29</v>
      </c>
      <c r="C259" s="130"/>
      <c r="D259" s="131"/>
      <c r="E259" s="132"/>
      <c r="F259" s="46"/>
      <c r="G259" s="40">
        <f>TRUNC(SUM(G256:G258))</f>
        <v>0</v>
      </c>
      <c r="H259" s="46"/>
      <c r="I259" s="40">
        <f>TRUNC(SUM(I256:I258))</f>
        <v>0</v>
      </c>
      <c r="J259" s="46"/>
      <c r="K259" s="40">
        <f>TRUNC(SUM(K256:K258))</f>
        <v>0</v>
      </c>
    </row>
    <row r="260" spans="2:11" ht="12.95" customHeight="1" x14ac:dyDescent="0.3">
      <c r="B260" s="126"/>
      <c r="C260" s="126"/>
      <c r="D260" s="127"/>
      <c r="E260" s="76"/>
      <c r="F260" s="26"/>
      <c r="G260" s="29"/>
      <c r="H260" s="26"/>
      <c r="I260" s="29"/>
      <c r="J260" s="26"/>
      <c r="K260" s="29"/>
    </row>
    <row r="261" spans="2:11" ht="12.95" customHeight="1" x14ac:dyDescent="0.3">
      <c r="B261" s="84" t="s">
        <v>33</v>
      </c>
      <c r="C261" s="135"/>
      <c r="D261" s="135"/>
      <c r="E261" s="136"/>
      <c r="F261" s="136"/>
      <c r="G261" s="10">
        <f>SUM(G259)</f>
        <v>0</v>
      </c>
      <c r="H261" s="136"/>
      <c r="I261" s="10">
        <f>SUM(I259)</f>
        <v>0</v>
      </c>
      <c r="J261" s="136"/>
      <c r="K261" s="10">
        <f>SUM(K259)</f>
        <v>0</v>
      </c>
    </row>
    <row r="262" spans="2:11" ht="12.95" customHeight="1" x14ac:dyDescent="0.3">
      <c r="B262" s="165" t="s">
        <v>21</v>
      </c>
      <c r="C262" s="167" t="s">
        <v>36</v>
      </c>
      <c r="D262" s="169" t="s">
        <v>26</v>
      </c>
      <c r="E262" s="170" t="s">
        <v>22</v>
      </c>
      <c r="F262" s="185" t="s">
        <v>108</v>
      </c>
      <c r="G262" s="186"/>
      <c r="H262" s="185" t="s">
        <v>109</v>
      </c>
      <c r="I262" s="186"/>
      <c r="J262" s="185" t="s">
        <v>110</v>
      </c>
      <c r="K262" s="186"/>
    </row>
    <row r="263" spans="2:11" ht="12.95" customHeight="1" x14ac:dyDescent="0.3">
      <c r="B263" s="166"/>
      <c r="C263" s="168"/>
      <c r="D263" s="169"/>
      <c r="E263" s="171"/>
      <c r="F263" s="102" t="s">
        <v>23</v>
      </c>
      <c r="G263" s="102" t="s">
        <v>24</v>
      </c>
      <c r="H263" s="102" t="s">
        <v>23</v>
      </c>
      <c r="I263" s="67" t="s">
        <v>24</v>
      </c>
      <c r="J263" s="102" t="s">
        <v>23</v>
      </c>
      <c r="K263" s="67" t="s">
        <v>24</v>
      </c>
    </row>
    <row r="264" spans="2:11" ht="12.95" customHeight="1" x14ac:dyDescent="0.3">
      <c r="B264" s="144" t="s">
        <v>101</v>
      </c>
      <c r="C264" s="126"/>
      <c r="D264" s="127" t="s">
        <v>103</v>
      </c>
      <c r="E264" s="15">
        <v>0</v>
      </c>
      <c r="F264" s="28">
        <v>0.38</v>
      </c>
      <c r="G264" s="3">
        <f>TRUNC($G256*F264,1)</f>
        <v>0</v>
      </c>
      <c r="H264" s="28">
        <v>0.35</v>
      </c>
      <c r="I264" s="3">
        <f>TRUNC($G256*H264,1)</f>
        <v>0</v>
      </c>
      <c r="J264" s="28">
        <v>0.32700000000000001</v>
      </c>
      <c r="K264" s="3">
        <f>TRUNC($G256*J264,1)</f>
        <v>0</v>
      </c>
    </row>
    <row r="265" spans="2:11" ht="12.95" customHeight="1" x14ac:dyDescent="0.3">
      <c r="B265" s="144" t="s">
        <v>102</v>
      </c>
      <c r="C265" s="126"/>
      <c r="D265" s="127" t="s">
        <v>103</v>
      </c>
      <c r="E265" s="15">
        <v>0</v>
      </c>
      <c r="F265" s="28">
        <v>0.38</v>
      </c>
      <c r="G265" s="3">
        <f>TRUNC($G257*F265,1)</f>
        <v>0</v>
      </c>
      <c r="H265" s="28">
        <v>0.35</v>
      </c>
      <c r="I265" s="3">
        <f>TRUNC($G257*H265,1)</f>
        <v>0</v>
      </c>
      <c r="J265" s="28">
        <v>0.32700000000000001</v>
      </c>
      <c r="K265" s="3">
        <f>TRUNC($G257*J265,1)</f>
        <v>0</v>
      </c>
    </row>
    <row r="266" spans="2:11" ht="12.95" customHeight="1" x14ac:dyDescent="0.3">
      <c r="B266" s="89" t="s">
        <v>99</v>
      </c>
      <c r="C266" s="91" t="s">
        <v>100</v>
      </c>
      <c r="D266" s="90" t="s">
        <v>35</v>
      </c>
      <c r="E266" s="92"/>
      <c r="F266" s="36">
        <v>9</v>
      </c>
      <c r="G266" s="6">
        <f>TRUNC(SUM(G264:G265)*0.09,1)</f>
        <v>0</v>
      </c>
      <c r="H266" s="36">
        <v>10</v>
      </c>
      <c r="I266" s="6">
        <f>TRUNC(SUM(I264:I265)*0.1,1)</f>
        <v>0</v>
      </c>
      <c r="J266" s="36">
        <v>11</v>
      </c>
      <c r="K266" s="6">
        <f>TRUNC(SUM(K264:K265)*0.11,1)</f>
        <v>0</v>
      </c>
    </row>
    <row r="267" spans="2:11" ht="12.95" customHeight="1" x14ac:dyDescent="0.3">
      <c r="B267" s="129" t="s">
        <v>29</v>
      </c>
      <c r="C267" s="130"/>
      <c r="D267" s="131"/>
      <c r="E267" s="132"/>
      <c r="F267" s="46"/>
      <c r="G267" s="40">
        <f>TRUNC(SUM(G264:G266))</f>
        <v>0</v>
      </c>
      <c r="H267" s="46"/>
      <c r="I267" s="40">
        <f>TRUNC(SUM(I264:I266))</f>
        <v>0</v>
      </c>
      <c r="J267" s="46"/>
      <c r="K267" s="40">
        <f>TRUNC(SUM(K264:K266))</f>
        <v>0</v>
      </c>
    </row>
    <row r="268" spans="2:11" ht="12.95" customHeight="1" x14ac:dyDescent="0.3">
      <c r="B268" s="126"/>
      <c r="C268" s="126"/>
      <c r="D268" s="127"/>
      <c r="E268" s="76"/>
      <c r="F268" s="26"/>
      <c r="G268" s="29"/>
      <c r="H268" s="26"/>
      <c r="I268" s="29"/>
      <c r="J268" s="26"/>
      <c r="K268" s="29"/>
    </row>
    <row r="269" spans="2:11" ht="12.95" customHeight="1" x14ac:dyDescent="0.3">
      <c r="B269" s="84" t="s">
        <v>33</v>
      </c>
      <c r="C269" s="135"/>
      <c r="D269" s="135"/>
      <c r="E269" s="136"/>
      <c r="F269" s="136"/>
      <c r="G269" s="10">
        <f>SUM(G267)</f>
        <v>0</v>
      </c>
      <c r="H269" s="136"/>
      <c r="I269" s="10">
        <f>SUM(I267)</f>
        <v>0</v>
      </c>
      <c r="J269" s="136"/>
      <c r="K269" s="10">
        <f>SUM(K267)</f>
        <v>0</v>
      </c>
    </row>
    <row r="271" spans="2:11" ht="12.95" customHeight="1" x14ac:dyDescent="0.3">
      <c r="B271" s="115" t="s">
        <v>113</v>
      </c>
      <c r="C271" s="116"/>
      <c r="D271" s="22"/>
      <c r="E271" s="22"/>
      <c r="F271" s="22"/>
      <c r="G271" s="117"/>
      <c r="H271" s="22"/>
      <c r="I271" s="117"/>
      <c r="J271" s="22"/>
      <c r="K271" s="117" t="s">
        <v>315</v>
      </c>
    </row>
    <row r="272" spans="2:11" ht="12.95" customHeight="1" x14ac:dyDescent="0.3">
      <c r="B272" s="176" t="s">
        <v>21</v>
      </c>
      <c r="C272" s="176" t="s">
        <v>25</v>
      </c>
      <c r="D272" s="170" t="s">
        <v>26</v>
      </c>
      <c r="E272" s="170" t="s">
        <v>22</v>
      </c>
      <c r="F272" s="174" t="s">
        <v>115</v>
      </c>
      <c r="G272" s="175"/>
      <c r="H272" s="174" t="s">
        <v>317</v>
      </c>
      <c r="I272" s="175"/>
      <c r="J272" s="174" t="s">
        <v>116</v>
      </c>
      <c r="K272" s="175"/>
    </row>
    <row r="273" spans="2:13" ht="12.95" customHeight="1" x14ac:dyDescent="0.3">
      <c r="B273" s="177"/>
      <c r="C273" s="177"/>
      <c r="D273" s="179"/>
      <c r="E273" s="179"/>
      <c r="F273" s="68" t="s">
        <v>318</v>
      </c>
      <c r="G273" s="70">
        <v>20</v>
      </c>
      <c r="H273" s="68" t="s">
        <v>316</v>
      </c>
      <c r="I273" s="70">
        <v>25</v>
      </c>
      <c r="J273" s="68" t="s">
        <v>316</v>
      </c>
      <c r="K273" s="70">
        <v>30</v>
      </c>
    </row>
    <row r="274" spans="2:13" ht="12.95" customHeight="1" x14ac:dyDescent="0.3">
      <c r="B274" s="178"/>
      <c r="C274" s="178"/>
      <c r="D274" s="171"/>
      <c r="E274" s="171"/>
      <c r="F274" s="71" t="s">
        <v>287</v>
      </c>
      <c r="G274" s="72" t="s">
        <v>288</v>
      </c>
      <c r="H274" s="71" t="s">
        <v>287</v>
      </c>
      <c r="I274" s="72" t="s">
        <v>288</v>
      </c>
      <c r="J274" s="71" t="s">
        <v>287</v>
      </c>
      <c r="K274" s="72" t="s">
        <v>288</v>
      </c>
      <c r="L274" s="4"/>
      <c r="M274" s="4"/>
    </row>
    <row r="275" spans="2:13" ht="12.95" customHeight="1" x14ac:dyDescent="0.3">
      <c r="B275" s="89" t="s">
        <v>27</v>
      </c>
      <c r="C275" s="91" t="s">
        <v>114</v>
      </c>
      <c r="D275" s="90" t="s">
        <v>35</v>
      </c>
      <c r="E275" s="92"/>
      <c r="F275" s="36">
        <v>1</v>
      </c>
      <c r="G275" s="6">
        <f>TRUNC(SUM(G278:G279)*0.01,1)</f>
        <v>17230.8</v>
      </c>
      <c r="H275" s="36">
        <v>1</v>
      </c>
      <c r="I275" s="6">
        <f>TRUNC(SUM(I278:I279)*0.01,1)</f>
        <v>17230.8</v>
      </c>
      <c r="J275" s="36">
        <v>1</v>
      </c>
      <c r="K275" s="6">
        <f>TRUNC(SUM(K278:K279)*0.01,1)</f>
        <v>17230.8</v>
      </c>
    </row>
    <row r="276" spans="2:13" ht="12.95" customHeight="1" x14ac:dyDescent="0.3">
      <c r="B276" s="129" t="s">
        <v>29</v>
      </c>
      <c r="C276" s="130"/>
      <c r="D276" s="131"/>
      <c r="E276" s="132"/>
      <c r="F276" s="44"/>
      <c r="G276" s="40">
        <f>TRUNC(SUM(G275:G275))</f>
        <v>17230</v>
      </c>
      <c r="H276" s="44"/>
      <c r="I276" s="40">
        <f>TRUNC(SUM(I275:I275))</f>
        <v>17230</v>
      </c>
      <c r="J276" s="44"/>
      <c r="K276" s="40">
        <f>TRUNC(SUM(K275:K275))</f>
        <v>17230</v>
      </c>
    </row>
    <row r="277" spans="2:13" ht="12.95" customHeight="1" x14ac:dyDescent="0.3">
      <c r="B277" s="126"/>
      <c r="C277" s="126"/>
      <c r="D277" s="127"/>
      <c r="E277" s="76"/>
      <c r="F277" s="25"/>
      <c r="G277" s="29"/>
      <c r="H277" s="25"/>
      <c r="I277" s="29"/>
      <c r="J277" s="25"/>
      <c r="K277" s="29"/>
    </row>
    <row r="278" spans="2:13" ht="12.95" customHeight="1" x14ac:dyDescent="0.3">
      <c r="B278" s="126" t="s">
        <v>4</v>
      </c>
      <c r="C278" s="126"/>
      <c r="D278" s="75" t="s">
        <v>28</v>
      </c>
      <c r="E278" s="139">
        <v>275790</v>
      </c>
      <c r="F278" s="36">
        <v>5</v>
      </c>
      <c r="G278" s="3">
        <f t="shared" ref="G278:G279" si="47">TRUNC($E278*F278,1)</f>
        <v>1378950</v>
      </c>
      <c r="H278" s="36">
        <v>5</v>
      </c>
      <c r="I278" s="3">
        <f t="shared" ref="I278:I279" si="48">TRUNC($E278*H278,1)</f>
        <v>1378950</v>
      </c>
      <c r="J278" s="36">
        <v>5</v>
      </c>
      <c r="K278" s="3">
        <f t="shared" ref="K278:K279" si="49">TRUNC($E278*J278,1)</f>
        <v>1378950</v>
      </c>
      <c r="L278" s="4"/>
      <c r="M278" s="4"/>
    </row>
    <row r="279" spans="2:13" ht="12.95" customHeight="1" x14ac:dyDescent="0.3">
      <c r="B279" s="126" t="s">
        <v>8</v>
      </c>
      <c r="C279" s="126"/>
      <c r="D279" s="75" t="s">
        <v>28</v>
      </c>
      <c r="E279" s="76">
        <v>172068</v>
      </c>
      <c r="F279" s="36">
        <v>2</v>
      </c>
      <c r="G279" s="3">
        <f t="shared" si="47"/>
        <v>344136</v>
      </c>
      <c r="H279" s="36">
        <v>2</v>
      </c>
      <c r="I279" s="3">
        <f t="shared" si="48"/>
        <v>344136</v>
      </c>
      <c r="J279" s="36">
        <v>2</v>
      </c>
      <c r="K279" s="3">
        <f t="shared" si="49"/>
        <v>344136</v>
      </c>
      <c r="L279" s="4"/>
      <c r="M279" s="4"/>
    </row>
    <row r="280" spans="2:13" ht="12.95" customHeight="1" x14ac:dyDescent="0.3">
      <c r="B280" s="77" t="s">
        <v>30</v>
      </c>
      <c r="C280" s="78"/>
      <c r="D280" s="78"/>
      <c r="E280" s="24"/>
      <c r="F280" s="56"/>
      <c r="G280" s="55">
        <f>TRUNC(SUM(G278:G279))</f>
        <v>1723086</v>
      </c>
      <c r="H280" s="56"/>
      <c r="I280" s="55">
        <f>TRUNC(SUM(I278:I279))</f>
        <v>1723086</v>
      </c>
      <c r="J280" s="56"/>
      <c r="K280" s="55">
        <f>TRUNC(SUM(K278:K279))</f>
        <v>1723086</v>
      </c>
      <c r="L280" s="4"/>
      <c r="M280" s="4"/>
    </row>
    <row r="281" spans="2:13" ht="12.95" customHeight="1" x14ac:dyDescent="0.3">
      <c r="B281" s="79"/>
      <c r="C281" s="80"/>
      <c r="D281" s="80"/>
      <c r="E281" s="81"/>
      <c r="F281" s="37"/>
      <c r="G281" s="57"/>
      <c r="H281" s="37"/>
      <c r="I281" s="57"/>
      <c r="J281" s="37"/>
      <c r="K281" s="57"/>
      <c r="L281" s="4"/>
      <c r="M281" s="4"/>
    </row>
    <row r="282" spans="2:13" ht="12.95" customHeight="1" x14ac:dyDescent="0.3">
      <c r="B282" s="82" t="s">
        <v>33</v>
      </c>
      <c r="C282" s="78"/>
      <c r="D282" s="78"/>
      <c r="E282" s="83"/>
      <c r="F282" s="83"/>
      <c r="G282" s="58">
        <f>SUM(G276+G280)</f>
        <v>1740316</v>
      </c>
      <c r="H282" s="83"/>
      <c r="I282" s="58">
        <f>SUM(I276+I280)</f>
        <v>1740316</v>
      </c>
      <c r="J282" s="83"/>
      <c r="K282" s="58">
        <f>SUM(K276+K280)</f>
        <v>1740316</v>
      </c>
      <c r="L282" s="4"/>
      <c r="M282" s="4"/>
    </row>
    <row r="283" spans="2:13" ht="12.95" customHeight="1" x14ac:dyDescent="0.3">
      <c r="B283" s="84" t="s">
        <v>319</v>
      </c>
      <c r="C283" s="85"/>
      <c r="D283" s="86"/>
      <c r="E283" s="87"/>
      <c r="F283" s="88"/>
      <c r="G283" s="7">
        <f>TRUNC(G282/G273)</f>
        <v>87015</v>
      </c>
      <c r="H283" s="88"/>
      <c r="I283" s="7">
        <f>TRUNC(I282/I273)</f>
        <v>69612</v>
      </c>
      <c r="J283" s="88"/>
      <c r="K283" s="7">
        <f>TRUNC(K282/K273)</f>
        <v>58010</v>
      </c>
      <c r="L283" s="4"/>
      <c r="M283" s="4"/>
    </row>
    <row r="284" spans="2:13" ht="12.95" customHeight="1" x14ac:dyDescent="0.3">
      <c r="B284" s="176" t="s">
        <v>21</v>
      </c>
      <c r="C284" s="176" t="s">
        <v>25</v>
      </c>
      <c r="D284" s="170" t="s">
        <v>26</v>
      </c>
      <c r="E284" s="170" t="s">
        <v>22</v>
      </c>
      <c r="F284" s="174" t="s">
        <v>117</v>
      </c>
      <c r="G284" s="175"/>
      <c r="H284" s="174" t="s">
        <v>118</v>
      </c>
      <c r="I284" s="175"/>
    </row>
    <row r="285" spans="2:13" ht="12.95" customHeight="1" x14ac:dyDescent="0.3">
      <c r="B285" s="177"/>
      <c r="C285" s="177"/>
      <c r="D285" s="179"/>
      <c r="E285" s="179"/>
      <c r="F285" s="68" t="s">
        <v>316</v>
      </c>
      <c r="G285" s="70">
        <v>45</v>
      </c>
      <c r="H285" s="68" t="s">
        <v>316</v>
      </c>
      <c r="I285" s="70">
        <v>50</v>
      </c>
    </row>
    <row r="286" spans="2:13" ht="12.95" customHeight="1" x14ac:dyDescent="0.3">
      <c r="B286" s="178"/>
      <c r="C286" s="178"/>
      <c r="D286" s="171"/>
      <c r="E286" s="171"/>
      <c r="F286" s="71" t="s">
        <v>287</v>
      </c>
      <c r="G286" s="72" t="s">
        <v>288</v>
      </c>
      <c r="H286" s="71" t="s">
        <v>287</v>
      </c>
      <c r="I286" s="72" t="s">
        <v>288</v>
      </c>
      <c r="J286" s="4"/>
      <c r="K286" s="4"/>
    </row>
    <row r="287" spans="2:13" ht="12.95" customHeight="1" x14ac:dyDescent="0.3">
      <c r="B287" s="89" t="s">
        <v>27</v>
      </c>
      <c r="C287" s="91" t="s">
        <v>114</v>
      </c>
      <c r="D287" s="90" t="s">
        <v>35</v>
      </c>
      <c r="E287" s="92"/>
      <c r="F287" s="36">
        <v>1</v>
      </c>
      <c r="G287" s="6">
        <f>TRUNC(SUM(G290:G291)*0.01,1)</f>
        <v>17230.8</v>
      </c>
      <c r="H287" s="36">
        <v>1</v>
      </c>
      <c r="I287" s="6">
        <f>TRUNC(SUM(I290:I291)*0.01,1)</f>
        <v>17230.8</v>
      </c>
    </row>
    <row r="288" spans="2:13" ht="12.95" customHeight="1" x14ac:dyDescent="0.3">
      <c r="B288" s="129" t="s">
        <v>29</v>
      </c>
      <c r="C288" s="130"/>
      <c r="D288" s="131"/>
      <c r="E288" s="132"/>
      <c r="F288" s="44"/>
      <c r="G288" s="40">
        <f>TRUNC(SUM(G287:G287))</f>
        <v>17230</v>
      </c>
      <c r="H288" s="44"/>
      <c r="I288" s="40">
        <f>TRUNC(SUM(I287:I287))</f>
        <v>17230</v>
      </c>
    </row>
    <row r="289" spans="2:15" ht="12.95" customHeight="1" x14ac:dyDescent="0.3">
      <c r="B289" s="126"/>
      <c r="C289" s="126"/>
      <c r="D289" s="127"/>
      <c r="E289" s="76"/>
      <c r="F289" s="25"/>
      <c r="G289" s="29"/>
      <c r="H289" s="25"/>
      <c r="I289" s="29"/>
    </row>
    <row r="290" spans="2:15" ht="12.95" customHeight="1" x14ac:dyDescent="0.3">
      <c r="B290" s="126" t="s">
        <v>4</v>
      </c>
      <c r="C290" s="126"/>
      <c r="D290" s="75" t="s">
        <v>28</v>
      </c>
      <c r="E290" s="139">
        <v>275790</v>
      </c>
      <c r="F290" s="36">
        <v>5</v>
      </c>
      <c r="G290" s="3">
        <f t="shared" ref="G290:G291" si="50">TRUNC($E290*F290,1)</f>
        <v>1378950</v>
      </c>
      <c r="H290" s="36">
        <v>5</v>
      </c>
      <c r="I290" s="3">
        <f t="shared" ref="I290:I291" si="51">TRUNC($E290*H290,1)</f>
        <v>1378950</v>
      </c>
      <c r="J290" s="4"/>
      <c r="K290" s="4"/>
    </row>
    <row r="291" spans="2:15" ht="12.95" customHeight="1" x14ac:dyDescent="0.3">
      <c r="B291" s="126" t="s">
        <v>8</v>
      </c>
      <c r="C291" s="126"/>
      <c r="D291" s="75" t="s">
        <v>28</v>
      </c>
      <c r="E291" s="76">
        <v>172068</v>
      </c>
      <c r="F291" s="36">
        <v>2</v>
      </c>
      <c r="G291" s="3">
        <f t="shared" si="50"/>
        <v>344136</v>
      </c>
      <c r="H291" s="36">
        <v>2</v>
      </c>
      <c r="I291" s="3">
        <f t="shared" si="51"/>
        <v>344136</v>
      </c>
      <c r="J291" s="4"/>
      <c r="K291" s="4"/>
      <c r="N291" s="4"/>
      <c r="O291" s="4"/>
    </row>
    <row r="292" spans="2:15" ht="12.95" customHeight="1" x14ac:dyDescent="0.3">
      <c r="B292" s="77" t="s">
        <v>30</v>
      </c>
      <c r="C292" s="78"/>
      <c r="D292" s="78"/>
      <c r="E292" s="24"/>
      <c r="F292" s="56"/>
      <c r="G292" s="55">
        <f>TRUNC(SUM(G290:G291))</f>
        <v>1723086</v>
      </c>
      <c r="H292" s="56"/>
      <c r="I292" s="55">
        <f>TRUNC(SUM(I290:I291))</f>
        <v>1723086</v>
      </c>
      <c r="J292" s="4"/>
      <c r="K292" s="4"/>
      <c r="N292" s="4"/>
      <c r="O292" s="4"/>
    </row>
    <row r="293" spans="2:15" ht="12.95" customHeight="1" x14ac:dyDescent="0.3">
      <c r="B293" s="79"/>
      <c r="C293" s="80"/>
      <c r="D293" s="80"/>
      <c r="E293" s="81"/>
      <c r="F293" s="37"/>
      <c r="G293" s="57"/>
      <c r="H293" s="37"/>
      <c r="I293" s="57"/>
      <c r="J293" s="4"/>
      <c r="K293" s="4"/>
      <c r="N293" s="4"/>
      <c r="O293" s="4"/>
    </row>
    <row r="294" spans="2:15" ht="12.95" customHeight="1" x14ac:dyDescent="0.3">
      <c r="B294" s="82" t="s">
        <v>33</v>
      </c>
      <c r="C294" s="78"/>
      <c r="D294" s="78"/>
      <c r="E294" s="83"/>
      <c r="F294" s="83"/>
      <c r="G294" s="58">
        <f>SUM(G288+G292)</f>
        <v>1740316</v>
      </c>
      <c r="H294" s="83"/>
      <c r="I294" s="58">
        <f>SUM(I288+I292)</f>
        <v>1740316</v>
      </c>
      <c r="J294" s="4"/>
      <c r="K294" s="4"/>
      <c r="N294" s="4"/>
      <c r="O294" s="4"/>
    </row>
    <row r="295" spans="2:15" ht="12.95" customHeight="1" x14ac:dyDescent="0.3">
      <c r="B295" s="84" t="s">
        <v>319</v>
      </c>
      <c r="C295" s="85"/>
      <c r="D295" s="86"/>
      <c r="E295" s="87"/>
      <c r="F295" s="88"/>
      <c r="G295" s="7">
        <f>TRUNC(G294/G285)</f>
        <v>38673</v>
      </c>
      <c r="H295" s="88"/>
      <c r="I295" s="7">
        <f>TRUNC(I294/I285)</f>
        <v>34806</v>
      </c>
      <c r="J295" s="4"/>
      <c r="K295" s="4"/>
      <c r="N295" s="4"/>
      <c r="O295" s="4"/>
    </row>
    <row r="296" spans="2:15" ht="12.95" customHeight="1" x14ac:dyDescent="0.3">
      <c r="N296" s="4"/>
      <c r="O296" s="4"/>
    </row>
    <row r="297" spans="2:15" ht="12.95" customHeight="1" x14ac:dyDescent="0.3">
      <c r="B297" s="1" t="s">
        <v>119</v>
      </c>
      <c r="N297" s="4"/>
      <c r="O297" s="4"/>
    </row>
    <row r="298" spans="2:15" ht="12.95" customHeight="1" x14ac:dyDescent="0.3">
      <c r="B298" s="1" t="s">
        <v>120</v>
      </c>
      <c r="K298" s="137" t="s">
        <v>57</v>
      </c>
      <c r="N298" s="4"/>
      <c r="O298" s="4"/>
    </row>
    <row r="299" spans="2:15" ht="12.95" customHeight="1" x14ac:dyDescent="0.3">
      <c r="B299" s="187" t="s">
        <v>21</v>
      </c>
      <c r="C299" s="188" t="s">
        <v>25</v>
      </c>
      <c r="D299" s="190" t="s">
        <v>26</v>
      </c>
      <c r="E299" s="169" t="s">
        <v>22</v>
      </c>
      <c r="F299" s="180" t="s">
        <v>131</v>
      </c>
      <c r="G299" s="187"/>
      <c r="H299" s="180" t="s">
        <v>132</v>
      </c>
      <c r="I299" s="181"/>
      <c r="J299" s="180" t="s">
        <v>133</v>
      </c>
      <c r="K299" s="181"/>
      <c r="N299" s="4"/>
      <c r="O299" s="4"/>
    </row>
    <row r="300" spans="2:15" ht="12.95" customHeight="1" x14ac:dyDescent="0.3">
      <c r="B300" s="187"/>
      <c r="C300" s="188"/>
      <c r="D300" s="190"/>
      <c r="E300" s="169"/>
      <c r="F300" s="102" t="s">
        <v>23</v>
      </c>
      <c r="G300" s="102" t="s">
        <v>24</v>
      </c>
      <c r="H300" s="102" t="s">
        <v>23</v>
      </c>
      <c r="I300" s="67" t="s">
        <v>24</v>
      </c>
      <c r="J300" s="102" t="s">
        <v>23</v>
      </c>
      <c r="K300" s="67" t="s">
        <v>24</v>
      </c>
      <c r="N300" s="4"/>
      <c r="O300" s="4"/>
    </row>
    <row r="301" spans="2:15" ht="12.95" customHeight="1" x14ac:dyDescent="0.3">
      <c r="B301" s="73" t="s">
        <v>4</v>
      </c>
      <c r="C301" s="74"/>
      <c r="D301" s="75" t="s">
        <v>28</v>
      </c>
      <c r="E301" s="139">
        <v>275790</v>
      </c>
      <c r="F301" s="47">
        <v>4.5</v>
      </c>
      <c r="G301" s="2">
        <f t="shared" ref="G301:G303" si="52">TRUNC($E301*F301,1)</f>
        <v>1241055</v>
      </c>
      <c r="H301" s="47">
        <v>1.7</v>
      </c>
      <c r="I301" s="3">
        <f t="shared" ref="I301:I303" si="53">TRUNC($E301*H301,1)</f>
        <v>468843</v>
      </c>
      <c r="J301" s="47">
        <v>6.2</v>
      </c>
      <c r="K301" s="3">
        <f t="shared" ref="K301:K303" si="54">TRUNC($E301*J301,1)</f>
        <v>1709898</v>
      </c>
      <c r="N301" s="4"/>
      <c r="O301" s="4"/>
    </row>
    <row r="302" spans="2:15" ht="12.95" customHeight="1" x14ac:dyDescent="0.3">
      <c r="B302" s="73" t="s">
        <v>9</v>
      </c>
      <c r="C302" s="74"/>
      <c r="D302" s="75" t="s">
        <v>28</v>
      </c>
      <c r="E302" s="139">
        <v>281939</v>
      </c>
      <c r="F302" s="47">
        <v>4.5</v>
      </c>
      <c r="G302" s="2">
        <f t="shared" si="52"/>
        <v>1268725.5</v>
      </c>
      <c r="H302" s="47">
        <v>4.5</v>
      </c>
      <c r="I302" s="3">
        <f t="shared" si="53"/>
        <v>1268725.5</v>
      </c>
      <c r="J302" s="47">
        <v>9</v>
      </c>
      <c r="K302" s="3">
        <f t="shared" si="54"/>
        <v>2537451</v>
      </c>
    </row>
    <row r="303" spans="2:15" ht="12.95" customHeight="1" x14ac:dyDescent="0.3">
      <c r="B303" s="73" t="s">
        <v>8</v>
      </c>
      <c r="C303" s="74"/>
      <c r="D303" s="75" t="s">
        <v>28</v>
      </c>
      <c r="E303" s="148">
        <v>172068</v>
      </c>
      <c r="F303" s="47">
        <v>7.5</v>
      </c>
      <c r="G303" s="2">
        <f t="shared" si="52"/>
        <v>1290510</v>
      </c>
      <c r="H303" s="47">
        <v>4.5</v>
      </c>
      <c r="I303" s="3">
        <f t="shared" si="53"/>
        <v>774306</v>
      </c>
      <c r="J303" s="47">
        <v>12</v>
      </c>
      <c r="K303" s="3">
        <f t="shared" si="54"/>
        <v>2064816</v>
      </c>
    </row>
    <row r="304" spans="2:15" ht="12.95" customHeight="1" x14ac:dyDescent="0.3">
      <c r="B304" s="77" t="s">
        <v>30</v>
      </c>
      <c r="C304" s="103"/>
      <c r="D304" s="104"/>
      <c r="E304" s="105"/>
      <c r="F304" s="105"/>
      <c r="G304" s="17">
        <f>TRUNC(SUM(G301:G303))</f>
        <v>3800290</v>
      </c>
      <c r="H304" s="105"/>
      <c r="I304" s="18">
        <f>TRUNC(SUM(I301:I303))</f>
        <v>2511874</v>
      </c>
      <c r="J304" s="105"/>
      <c r="K304" s="18">
        <f>TRUNC(SUM(K301:K303))</f>
        <v>6312165</v>
      </c>
      <c r="N304" s="4"/>
      <c r="O304" s="4"/>
    </row>
    <row r="305" spans="2:15" ht="12.95" customHeight="1" x14ac:dyDescent="0.3">
      <c r="B305" s="106"/>
      <c r="C305" s="74"/>
      <c r="D305" s="75"/>
      <c r="E305" s="107"/>
      <c r="F305" s="107"/>
      <c r="G305" s="8"/>
      <c r="H305" s="107"/>
      <c r="I305" s="9"/>
      <c r="J305" s="107"/>
      <c r="K305" s="9"/>
      <c r="N305" s="4"/>
      <c r="O305" s="4"/>
    </row>
    <row r="306" spans="2:15" ht="12.95" customHeight="1" x14ac:dyDescent="0.3">
      <c r="B306" s="84" t="s">
        <v>33</v>
      </c>
      <c r="C306" s="108"/>
      <c r="D306" s="109"/>
      <c r="E306" s="110"/>
      <c r="F306" s="110"/>
      <c r="G306" s="10">
        <f>SUM(G304)</f>
        <v>3800290</v>
      </c>
      <c r="H306" s="110"/>
      <c r="I306" s="10">
        <f>SUM(I304)</f>
        <v>2511874</v>
      </c>
      <c r="J306" s="110"/>
      <c r="K306" s="10">
        <f>SUM(K304)</f>
        <v>6312165</v>
      </c>
      <c r="N306" s="4"/>
      <c r="O306" s="4"/>
    </row>
    <row r="307" spans="2:15" ht="12.95" customHeight="1" x14ac:dyDescent="0.3">
      <c r="N307" s="4"/>
      <c r="O307" s="4"/>
    </row>
    <row r="308" spans="2:15" ht="12.95" customHeight="1" x14ac:dyDescent="0.3">
      <c r="B308" s="1" t="s">
        <v>123</v>
      </c>
      <c r="G308" s="117" t="s">
        <v>315</v>
      </c>
    </row>
    <row r="309" spans="2:15" ht="12.95" customHeight="1" x14ac:dyDescent="0.3">
      <c r="B309" s="176" t="s">
        <v>21</v>
      </c>
      <c r="C309" s="176" t="s">
        <v>25</v>
      </c>
      <c r="D309" s="170" t="s">
        <v>26</v>
      </c>
      <c r="E309" s="170" t="s">
        <v>22</v>
      </c>
      <c r="F309" s="174" t="s">
        <v>266</v>
      </c>
      <c r="G309" s="175"/>
    </row>
    <row r="310" spans="2:15" ht="12.95" customHeight="1" x14ac:dyDescent="0.3">
      <c r="B310" s="177"/>
      <c r="C310" s="177"/>
      <c r="D310" s="179"/>
      <c r="E310" s="179"/>
      <c r="F310" s="68" t="s">
        <v>318</v>
      </c>
      <c r="G310" s="70">
        <v>80</v>
      </c>
    </row>
    <row r="311" spans="2:15" ht="12.95" customHeight="1" x14ac:dyDescent="0.3">
      <c r="B311" s="178"/>
      <c r="C311" s="178"/>
      <c r="D311" s="171"/>
      <c r="E311" s="171"/>
      <c r="F311" s="71" t="s">
        <v>287</v>
      </c>
      <c r="G311" s="72" t="s">
        <v>288</v>
      </c>
      <c r="H311" s="4"/>
      <c r="I311" s="4"/>
      <c r="J311" s="11"/>
      <c r="K311" s="11"/>
    </row>
    <row r="312" spans="2:15" ht="12.95" customHeight="1" x14ac:dyDescent="0.3">
      <c r="B312" s="89" t="s">
        <v>39</v>
      </c>
      <c r="C312" s="89" t="s">
        <v>40</v>
      </c>
      <c r="D312" s="90" t="s">
        <v>34</v>
      </c>
      <c r="E312" s="149">
        <v>12764</v>
      </c>
      <c r="F312" s="36">
        <v>8</v>
      </c>
      <c r="G312" s="3">
        <f t="shared" ref="G312" si="55">TRUNC($E312*F312,1)</f>
        <v>102112</v>
      </c>
    </row>
    <row r="313" spans="2:15" ht="12.95" customHeight="1" x14ac:dyDescent="0.3">
      <c r="B313" s="89" t="s">
        <v>27</v>
      </c>
      <c r="C313" s="91" t="s">
        <v>124</v>
      </c>
      <c r="D313" s="90" t="s">
        <v>35</v>
      </c>
      <c r="E313" s="92"/>
      <c r="F313" s="36">
        <v>1</v>
      </c>
      <c r="G313" s="29">
        <f>TRUNC(SUM(G316:G317)*0.04,1)</f>
        <v>51009.1</v>
      </c>
      <c r="I313" s="4"/>
    </row>
    <row r="314" spans="2:15" ht="12.95" customHeight="1" x14ac:dyDescent="0.3">
      <c r="B314" s="93" t="s">
        <v>29</v>
      </c>
      <c r="C314" s="96"/>
      <c r="D314" s="97"/>
      <c r="E314" s="138"/>
      <c r="F314" s="36"/>
      <c r="G314" s="20">
        <f t="shared" ref="G314" si="56">TRUNC(SUM(G312:G313))</f>
        <v>153121</v>
      </c>
      <c r="I314" s="4"/>
    </row>
    <row r="315" spans="2:15" ht="12.95" customHeight="1" x14ac:dyDescent="0.3">
      <c r="B315" s="79"/>
      <c r="C315" s="79"/>
      <c r="D315" s="90"/>
      <c r="E315" s="98"/>
      <c r="F315" s="36"/>
      <c r="G315" s="99"/>
      <c r="H315" s="22"/>
      <c r="I315" s="4"/>
    </row>
    <row r="316" spans="2:15" ht="12.95" customHeight="1" x14ac:dyDescent="0.3">
      <c r="B316" s="73" t="s">
        <v>4</v>
      </c>
      <c r="C316" s="74"/>
      <c r="D316" s="75" t="s">
        <v>28</v>
      </c>
      <c r="E316" s="150">
        <v>275790</v>
      </c>
      <c r="F316" s="36">
        <v>4</v>
      </c>
      <c r="G316" s="3">
        <f t="shared" ref="G316:G318" si="57">TRUNC($E316*F316,1)</f>
        <v>1103160</v>
      </c>
      <c r="H316" s="22"/>
      <c r="I316" s="4"/>
    </row>
    <row r="317" spans="2:15" ht="12.95" customHeight="1" x14ac:dyDescent="0.3">
      <c r="B317" s="73" t="s">
        <v>8</v>
      </c>
      <c r="C317" s="74"/>
      <c r="D317" s="75" t="s">
        <v>28</v>
      </c>
      <c r="E317" s="150">
        <v>172068</v>
      </c>
      <c r="F317" s="36">
        <v>1</v>
      </c>
      <c r="G317" s="3">
        <f t="shared" si="57"/>
        <v>172068</v>
      </c>
      <c r="H317" s="22"/>
    </row>
    <row r="318" spans="2:15" ht="12.95" customHeight="1" x14ac:dyDescent="0.3">
      <c r="B318" s="89" t="s">
        <v>39</v>
      </c>
      <c r="C318" s="89" t="s">
        <v>40</v>
      </c>
      <c r="D318" s="90" t="s">
        <v>34</v>
      </c>
      <c r="E318" s="151">
        <v>58925</v>
      </c>
      <c r="F318" s="36">
        <v>8</v>
      </c>
      <c r="G318" s="3">
        <f t="shared" si="57"/>
        <v>471400</v>
      </c>
      <c r="H318" s="22"/>
      <c r="N318" s="11"/>
    </row>
    <row r="319" spans="2:15" ht="12.95" customHeight="1" x14ac:dyDescent="0.3">
      <c r="B319" s="77" t="s">
        <v>30</v>
      </c>
      <c r="C319" s="96"/>
      <c r="D319" s="97"/>
      <c r="E319" s="19"/>
      <c r="F319" s="36"/>
      <c r="G319" s="20">
        <f>TRUNC(SUM(G316:G318))</f>
        <v>1746628</v>
      </c>
      <c r="H319" s="22"/>
      <c r="N319" s="11"/>
    </row>
    <row r="320" spans="2:15" ht="12.95" customHeight="1" x14ac:dyDescent="0.3">
      <c r="B320" s="79"/>
      <c r="C320" s="79"/>
      <c r="D320" s="90"/>
      <c r="E320" s="98"/>
      <c r="F320" s="36"/>
      <c r="G320" s="99"/>
      <c r="H320" s="22"/>
      <c r="N320" s="11"/>
    </row>
    <row r="321" spans="2:14" ht="12.95" customHeight="1" x14ac:dyDescent="0.3">
      <c r="B321" s="89" t="s">
        <v>39</v>
      </c>
      <c r="C321" s="89" t="s">
        <v>40</v>
      </c>
      <c r="D321" s="90" t="s">
        <v>34</v>
      </c>
      <c r="E321" s="151">
        <v>59751</v>
      </c>
      <c r="F321" s="36">
        <v>8</v>
      </c>
      <c r="G321" s="3">
        <f t="shared" ref="G321" si="58">TRUNC($E321*F321,1)</f>
        <v>478008</v>
      </c>
      <c r="H321" s="22"/>
      <c r="N321" s="11"/>
    </row>
    <row r="322" spans="2:14" ht="12.95" customHeight="1" x14ac:dyDescent="0.3">
      <c r="B322" s="93" t="s">
        <v>31</v>
      </c>
      <c r="C322" s="96"/>
      <c r="D322" s="104"/>
      <c r="E322" s="19"/>
      <c r="F322" s="138"/>
      <c r="G322" s="20">
        <f t="shared" ref="G322" si="59">TRUNC(SUM(G321))</f>
        <v>478008</v>
      </c>
      <c r="H322" s="22"/>
      <c r="N322" s="11"/>
    </row>
    <row r="323" spans="2:14" ht="12.95" customHeight="1" x14ac:dyDescent="0.3">
      <c r="B323" s="79"/>
      <c r="C323" s="79"/>
      <c r="D323" s="90"/>
      <c r="E323" s="98"/>
      <c r="F323" s="98"/>
      <c r="G323" s="99"/>
      <c r="H323" s="22"/>
      <c r="N323" s="11"/>
    </row>
    <row r="324" spans="2:14" ht="12.95" customHeight="1" x14ac:dyDescent="0.3">
      <c r="B324" s="82" t="s">
        <v>33</v>
      </c>
      <c r="C324" s="79"/>
      <c r="D324" s="90"/>
      <c r="E324" s="152"/>
      <c r="F324" s="153"/>
      <c r="G324" s="53">
        <f>SUM(G314+G319+G322)</f>
        <v>2377757</v>
      </c>
      <c r="J324" s="4"/>
      <c r="K324" s="4"/>
      <c r="N324" s="11"/>
    </row>
    <row r="325" spans="2:14" ht="12.95" customHeight="1" x14ac:dyDescent="0.3">
      <c r="B325" s="84" t="s">
        <v>320</v>
      </c>
      <c r="C325" s="85"/>
      <c r="D325" s="86"/>
      <c r="E325" s="87"/>
      <c r="F325" s="88"/>
      <c r="G325" s="7">
        <f>TRUNC((G324/G310)*100)</f>
        <v>2972196</v>
      </c>
      <c r="H325" s="4"/>
      <c r="I325" s="4"/>
      <c r="J325" s="4"/>
      <c r="K325" s="4"/>
    </row>
    <row r="326" spans="2:14" ht="12.95" customHeight="1" x14ac:dyDescent="0.3">
      <c r="B326" s="176" t="s">
        <v>21</v>
      </c>
      <c r="C326" s="176" t="s">
        <v>25</v>
      </c>
      <c r="D326" s="170" t="s">
        <v>26</v>
      </c>
      <c r="E326" s="170" t="s">
        <v>22</v>
      </c>
      <c r="F326" s="185" t="s">
        <v>121</v>
      </c>
      <c r="G326" s="186"/>
      <c r="H326" s="185" t="s">
        <v>122</v>
      </c>
      <c r="I326" s="186"/>
    </row>
    <row r="327" spans="2:14" ht="12.95" customHeight="1" x14ac:dyDescent="0.3">
      <c r="B327" s="177"/>
      <c r="C327" s="177"/>
      <c r="D327" s="179"/>
      <c r="E327" s="179"/>
      <c r="F327" s="68" t="s">
        <v>318</v>
      </c>
      <c r="G327" s="70">
        <v>45</v>
      </c>
      <c r="H327" s="68" t="s">
        <v>318</v>
      </c>
      <c r="I327" s="70">
        <v>55</v>
      </c>
    </row>
    <row r="328" spans="2:14" ht="12.95" customHeight="1" x14ac:dyDescent="0.3">
      <c r="B328" s="178"/>
      <c r="C328" s="178"/>
      <c r="D328" s="171"/>
      <c r="E328" s="171"/>
      <c r="F328" s="71" t="s">
        <v>287</v>
      </c>
      <c r="G328" s="72" t="s">
        <v>288</v>
      </c>
      <c r="H328" s="71" t="s">
        <v>287</v>
      </c>
      <c r="I328" s="72" t="s">
        <v>288</v>
      </c>
      <c r="J328" s="11"/>
      <c r="K328" s="11"/>
    </row>
    <row r="329" spans="2:14" ht="12.95" customHeight="1" x14ac:dyDescent="0.3">
      <c r="B329" s="89" t="s">
        <v>39</v>
      </c>
      <c r="C329" s="89" t="s">
        <v>267</v>
      </c>
      <c r="D329" s="90" t="s">
        <v>34</v>
      </c>
      <c r="E329" s="149">
        <v>23635</v>
      </c>
      <c r="F329" s="36">
        <v>8</v>
      </c>
      <c r="G329" s="3">
        <f t="shared" ref="G329" si="60">TRUNC($E329*F329,1)</f>
        <v>189080</v>
      </c>
      <c r="H329" s="36">
        <v>8</v>
      </c>
      <c r="I329" s="3">
        <f t="shared" ref="I329" si="61">TRUNC($E329*H329,1)</f>
        <v>189080</v>
      </c>
      <c r="K329" s="4"/>
    </row>
    <row r="330" spans="2:14" ht="12.95" customHeight="1" x14ac:dyDescent="0.3">
      <c r="B330" s="89" t="s">
        <v>27</v>
      </c>
      <c r="C330" s="91" t="s">
        <v>124</v>
      </c>
      <c r="D330" s="90" t="s">
        <v>35</v>
      </c>
      <c r="E330" s="92"/>
      <c r="F330" s="36">
        <v>1</v>
      </c>
      <c r="G330" s="29">
        <f>TRUNC(SUM(G333:G334)*0.04,1)</f>
        <v>62040.7</v>
      </c>
      <c r="H330" s="36">
        <v>1</v>
      </c>
      <c r="I330" s="29">
        <f>TRUNC(SUM(I333:I334)*0.04,1)</f>
        <v>51009.1</v>
      </c>
      <c r="K330" s="4"/>
      <c r="N330" s="4"/>
    </row>
    <row r="331" spans="2:14" ht="12.95" customHeight="1" x14ac:dyDescent="0.3">
      <c r="B331" s="93" t="s">
        <v>29</v>
      </c>
      <c r="C331" s="96"/>
      <c r="D331" s="97"/>
      <c r="E331" s="138"/>
      <c r="F331" s="36"/>
      <c r="G331" s="20">
        <f t="shared" ref="G331" si="62">TRUNC(SUM(G329:G330))</f>
        <v>251120</v>
      </c>
      <c r="H331" s="36"/>
      <c r="I331" s="20">
        <f t="shared" ref="I331" si="63">TRUNC(SUM(I329:I330))</f>
        <v>240089</v>
      </c>
      <c r="K331" s="4"/>
      <c r="N331" s="4"/>
    </row>
    <row r="332" spans="2:14" ht="12.95" customHeight="1" x14ac:dyDescent="0.3">
      <c r="B332" s="79"/>
      <c r="C332" s="79"/>
      <c r="D332" s="90"/>
      <c r="E332" s="98"/>
      <c r="F332" s="36"/>
      <c r="G332" s="99"/>
      <c r="H332" s="36"/>
      <c r="I332" s="99"/>
      <c r="J332" s="22"/>
      <c r="K332" s="4"/>
      <c r="N332" s="4"/>
    </row>
    <row r="333" spans="2:14" ht="12.95" customHeight="1" x14ac:dyDescent="0.3">
      <c r="B333" s="73" t="s">
        <v>4</v>
      </c>
      <c r="C333" s="74"/>
      <c r="D333" s="75" t="s">
        <v>28</v>
      </c>
      <c r="E333" s="150">
        <v>275790</v>
      </c>
      <c r="F333" s="36">
        <v>5</v>
      </c>
      <c r="G333" s="3">
        <f t="shared" ref="G333:G335" si="64">TRUNC($E333*F333,1)</f>
        <v>1378950</v>
      </c>
      <c r="H333" s="36">
        <v>4</v>
      </c>
      <c r="I333" s="3">
        <f t="shared" ref="I333:I335" si="65">TRUNC($E333*H333,1)</f>
        <v>1103160</v>
      </c>
      <c r="J333" s="22"/>
      <c r="K333" s="4"/>
      <c r="N333" s="4"/>
    </row>
    <row r="334" spans="2:14" ht="12.95" customHeight="1" x14ac:dyDescent="0.3">
      <c r="B334" s="73" t="s">
        <v>8</v>
      </c>
      <c r="C334" s="74"/>
      <c r="D334" s="75" t="s">
        <v>28</v>
      </c>
      <c r="E334" s="150">
        <v>172068</v>
      </c>
      <c r="F334" s="36">
        <v>1</v>
      </c>
      <c r="G334" s="3">
        <f t="shared" si="64"/>
        <v>172068</v>
      </c>
      <c r="H334" s="36">
        <v>1</v>
      </c>
      <c r="I334" s="3">
        <f t="shared" si="65"/>
        <v>172068</v>
      </c>
      <c r="J334" s="22"/>
      <c r="N334" s="4"/>
    </row>
    <row r="335" spans="2:14" ht="12.95" customHeight="1" x14ac:dyDescent="0.3">
      <c r="B335" s="89" t="s">
        <v>39</v>
      </c>
      <c r="C335" s="89" t="s">
        <v>267</v>
      </c>
      <c r="D335" s="90" t="s">
        <v>34</v>
      </c>
      <c r="E335" s="151">
        <v>58925</v>
      </c>
      <c r="F335" s="36">
        <v>8</v>
      </c>
      <c r="G335" s="3">
        <f t="shared" si="64"/>
        <v>471400</v>
      </c>
      <c r="H335" s="36">
        <v>8</v>
      </c>
      <c r="I335" s="3">
        <f t="shared" si="65"/>
        <v>471400</v>
      </c>
      <c r="J335" s="22"/>
      <c r="N335" s="4"/>
    </row>
    <row r="336" spans="2:14" ht="12.95" customHeight="1" x14ac:dyDescent="0.3">
      <c r="B336" s="77" t="s">
        <v>30</v>
      </c>
      <c r="C336" s="96"/>
      <c r="D336" s="97"/>
      <c r="E336" s="19"/>
      <c r="F336" s="36"/>
      <c r="G336" s="20">
        <f>TRUNC(SUM(G333:G335))</f>
        <v>2022418</v>
      </c>
      <c r="H336" s="36"/>
      <c r="I336" s="20">
        <f>TRUNC(SUM(I333:I335))</f>
        <v>1746628</v>
      </c>
      <c r="J336" s="22"/>
    </row>
    <row r="337" spans="2:15" ht="12.95" customHeight="1" x14ac:dyDescent="0.3">
      <c r="B337" s="79"/>
      <c r="C337" s="79"/>
      <c r="D337" s="90"/>
      <c r="E337" s="98"/>
      <c r="F337" s="36"/>
      <c r="G337" s="99"/>
      <c r="H337" s="36"/>
      <c r="I337" s="99"/>
      <c r="J337" s="22"/>
    </row>
    <row r="338" spans="2:15" ht="12.95" customHeight="1" x14ac:dyDescent="0.3">
      <c r="B338" s="89" t="s">
        <v>39</v>
      </c>
      <c r="C338" s="89" t="s">
        <v>267</v>
      </c>
      <c r="D338" s="90" t="s">
        <v>34</v>
      </c>
      <c r="E338" s="151">
        <v>90444</v>
      </c>
      <c r="F338" s="36">
        <v>8</v>
      </c>
      <c r="G338" s="3">
        <f t="shared" ref="G338" si="66">TRUNC($E338*F338,1)</f>
        <v>723552</v>
      </c>
      <c r="H338" s="36">
        <v>8</v>
      </c>
      <c r="I338" s="3">
        <f t="shared" ref="I338" si="67">TRUNC($E338*H338,1)</f>
        <v>723552</v>
      </c>
      <c r="J338" s="22"/>
      <c r="N338" s="11"/>
    </row>
    <row r="339" spans="2:15" ht="12.95" customHeight="1" x14ac:dyDescent="0.3">
      <c r="B339" s="93" t="s">
        <v>31</v>
      </c>
      <c r="C339" s="96"/>
      <c r="D339" s="104"/>
      <c r="E339" s="19"/>
      <c r="F339" s="138"/>
      <c r="G339" s="20">
        <f t="shared" ref="G339" si="68">TRUNC(SUM(G338))</f>
        <v>723552</v>
      </c>
      <c r="H339" s="138"/>
      <c r="I339" s="20">
        <f t="shared" ref="I339" si="69">TRUNC(SUM(I338))</f>
        <v>723552</v>
      </c>
      <c r="J339" s="22"/>
      <c r="N339" s="11"/>
    </row>
    <row r="340" spans="2:15" ht="12.95" customHeight="1" x14ac:dyDescent="0.3">
      <c r="B340" s="79"/>
      <c r="C340" s="79"/>
      <c r="D340" s="90"/>
      <c r="E340" s="98"/>
      <c r="F340" s="98"/>
      <c r="G340" s="99"/>
      <c r="H340" s="98"/>
      <c r="I340" s="99"/>
      <c r="J340" s="22"/>
      <c r="N340" s="11"/>
    </row>
    <row r="341" spans="2:15" ht="12.95" customHeight="1" x14ac:dyDescent="0.3">
      <c r="B341" s="82" t="s">
        <v>33</v>
      </c>
      <c r="C341" s="79"/>
      <c r="D341" s="90"/>
      <c r="E341" s="152"/>
      <c r="F341" s="153"/>
      <c r="G341" s="53">
        <f>SUM(G331+G336+G339)</f>
        <v>2997090</v>
      </c>
      <c r="H341" s="153"/>
      <c r="I341" s="53">
        <f>SUM(I331+I336+I339)</f>
        <v>2710269</v>
      </c>
      <c r="J341" s="4"/>
      <c r="K341" s="4"/>
      <c r="N341" s="11"/>
    </row>
    <row r="342" spans="2:15" ht="12.95" customHeight="1" x14ac:dyDescent="0.3">
      <c r="B342" s="84" t="s">
        <v>320</v>
      </c>
      <c r="C342" s="85"/>
      <c r="D342" s="86"/>
      <c r="E342" s="87"/>
      <c r="F342" s="88"/>
      <c r="G342" s="7">
        <f>TRUNC((G341/G327)*100)</f>
        <v>6660200</v>
      </c>
      <c r="H342" s="88"/>
      <c r="I342" s="7">
        <f>TRUNC((I341/I327)*100)</f>
        <v>4927761</v>
      </c>
      <c r="J342" s="4"/>
      <c r="K342" s="4"/>
      <c r="N342" s="11"/>
    </row>
    <row r="343" spans="2:15" ht="12.95" customHeight="1" x14ac:dyDescent="0.3">
      <c r="J343" s="22"/>
      <c r="N343" s="4"/>
    </row>
    <row r="344" spans="2:15" ht="12.95" customHeight="1" x14ac:dyDescent="0.3">
      <c r="B344" s="1" t="s">
        <v>130</v>
      </c>
    </row>
    <row r="345" spans="2:15" ht="12.95" customHeight="1" x14ac:dyDescent="0.3">
      <c r="B345" s="115" t="s">
        <v>111</v>
      </c>
      <c r="C345" s="116"/>
      <c r="D345" s="22"/>
      <c r="E345" s="22"/>
      <c r="F345" s="22"/>
      <c r="K345" s="117" t="s">
        <v>129</v>
      </c>
      <c r="N345" s="16"/>
      <c r="O345" s="4"/>
    </row>
    <row r="346" spans="2:15" ht="12.95" customHeight="1" x14ac:dyDescent="0.3">
      <c r="B346" s="176" t="s">
        <v>21</v>
      </c>
      <c r="C346" s="176" t="s">
        <v>25</v>
      </c>
      <c r="D346" s="170" t="s">
        <v>26</v>
      </c>
      <c r="E346" s="170" t="s">
        <v>22</v>
      </c>
      <c r="F346" s="185" t="s">
        <v>389</v>
      </c>
      <c r="G346" s="186"/>
      <c r="H346" s="186"/>
      <c r="I346" s="186"/>
      <c r="J346" s="186"/>
      <c r="K346" s="186"/>
      <c r="N346" s="16"/>
      <c r="O346" s="4"/>
    </row>
    <row r="347" spans="2:15" ht="12.95" customHeight="1" x14ac:dyDescent="0.3">
      <c r="B347" s="177"/>
      <c r="C347" s="177"/>
      <c r="D347" s="179"/>
      <c r="E347" s="179"/>
      <c r="F347" s="185" t="s">
        <v>87</v>
      </c>
      <c r="G347" s="186"/>
      <c r="H347" s="185" t="s">
        <v>88</v>
      </c>
      <c r="I347" s="186"/>
      <c r="J347" s="185" t="s">
        <v>89</v>
      </c>
      <c r="K347" s="186"/>
      <c r="N347" s="16"/>
      <c r="O347" s="4"/>
    </row>
    <row r="348" spans="2:15" ht="12.95" customHeight="1" x14ac:dyDescent="0.3">
      <c r="B348" s="178"/>
      <c r="C348" s="178"/>
      <c r="D348" s="171"/>
      <c r="E348" s="171"/>
      <c r="F348" s="71" t="s">
        <v>23</v>
      </c>
      <c r="G348" s="72" t="s">
        <v>24</v>
      </c>
      <c r="H348" s="71" t="s">
        <v>23</v>
      </c>
      <c r="I348" s="72" t="s">
        <v>24</v>
      </c>
      <c r="J348" s="71" t="s">
        <v>23</v>
      </c>
      <c r="K348" s="72" t="s">
        <v>24</v>
      </c>
      <c r="N348" s="16"/>
      <c r="O348" s="4"/>
    </row>
    <row r="349" spans="2:15" ht="12.95" customHeight="1" x14ac:dyDescent="0.3">
      <c r="B349" s="144" t="s">
        <v>125</v>
      </c>
      <c r="C349" s="126" t="s">
        <v>127</v>
      </c>
      <c r="D349" s="127" t="s">
        <v>77</v>
      </c>
      <c r="E349" s="23">
        <v>0</v>
      </c>
      <c r="F349" s="26">
        <v>1.19</v>
      </c>
      <c r="G349" s="3">
        <f t="shared" ref="G349" si="70">TRUNC($E349*F349,1)</f>
        <v>0</v>
      </c>
      <c r="H349" s="26">
        <v>1.19</v>
      </c>
      <c r="I349" s="3">
        <f t="shared" ref="I349" si="71">TRUNC($E349*H349,1)</f>
        <v>0</v>
      </c>
      <c r="J349" s="26">
        <v>1.19</v>
      </c>
      <c r="K349" s="3">
        <f t="shared" ref="K349" si="72">TRUNC($E349*J349,1)</f>
        <v>0</v>
      </c>
      <c r="N349" s="16"/>
      <c r="O349" s="4"/>
    </row>
    <row r="350" spans="2:15" ht="12.95" customHeight="1" x14ac:dyDescent="0.3">
      <c r="B350" s="144" t="s">
        <v>388</v>
      </c>
      <c r="C350" s="126" t="s">
        <v>269</v>
      </c>
      <c r="D350" s="127" t="s">
        <v>268</v>
      </c>
      <c r="E350" s="23"/>
      <c r="F350" s="15">
        <v>24</v>
      </c>
      <c r="G350" s="3">
        <f>TRUNC(SUM(G349:G349)*F350*0.01,1)</f>
        <v>0</v>
      </c>
      <c r="H350" s="15">
        <v>44</v>
      </c>
      <c r="I350" s="3">
        <f>TRUNC(SUM(I349:I349)*H350*0.01,1)</f>
        <v>0</v>
      </c>
      <c r="J350" s="15">
        <v>66</v>
      </c>
      <c r="K350" s="3">
        <f>TRUNC(SUM(K349:K349)*J350*0.01,1)</f>
        <v>0</v>
      </c>
      <c r="N350" s="16"/>
      <c r="O350" s="4"/>
    </row>
    <row r="351" spans="2:15" ht="12.95" customHeight="1" x14ac:dyDescent="0.3">
      <c r="B351" s="129" t="s">
        <v>29</v>
      </c>
      <c r="C351" s="130"/>
      <c r="D351" s="131"/>
      <c r="E351" s="132"/>
      <c r="F351" s="44"/>
      <c r="G351" s="40">
        <f>TRUNC(SUM(G349:G350))</f>
        <v>0</v>
      </c>
      <c r="H351" s="44"/>
      <c r="I351" s="40">
        <f>TRUNC(SUM(I349:I350))</f>
        <v>0</v>
      </c>
      <c r="J351" s="44"/>
      <c r="K351" s="40">
        <f>TRUNC(SUM(K349:K350))</f>
        <v>0</v>
      </c>
      <c r="N351" s="16"/>
      <c r="O351" s="4"/>
    </row>
    <row r="352" spans="2:15" ht="12.95" customHeight="1" x14ac:dyDescent="0.3">
      <c r="B352" s="126"/>
      <c r="C352" s="126"/>
      <c r="D352" s="126"/>
      <c r="E352" s="76"/>
      <c r="F352" s="26"/>
      <c r="G352" s="29"/>
      <c r="H352" s="26"/>
      <c r="I352" s="29"/>
      <c r="J352" s="26"/>
      <c r="K352" s="29"/>
      <c r="N352" s="16"/>
      <c r="O352" s="4"/>
    </row>
    <row r="353" spans="2:16" ht="12.95" customHeight="1" x14ac:dyDescent="0.3">
      <c r="B353" s="84" t="s">
        <v>33</v>
      </c>
      <c r="C353" s="135"/>
      <c r="D353" s="135"/>
      <c r="E353" s="136"/>
      <c r="F353" s="136"/>
      <c r="G353" s="10">
        <f>SUM(G351)</f>
        <v>0</v>
      </c>
      <c r="H353" s="136"/>
      <c r="I353" s="10">
        <f>SUM(I351)</f>
        <v>0</v>
      </c>
      <c r="J353" s="136"/>
      <c r="K353" s="10">
        <f>SUM(K351)</f>
        <v>0</v>
      </c>
      <c r="N353" s="16"/>
      <c r="O353" s="4"/>
    </row>
    <row r="354" spans="2:16" ht="12.95" customHeight="1" x14ac:dyDescent="0.3">
      <c r="B354" s="176" t="s">
        <v>21</v>
      </c>
      <c r="C354" s="176" t="s">
        <v>25</v>
      </c>
      <c r="D354" s="170" t="s">
        <v>26</v>
      </c>
      <c r="E354" s="170" t="s">
        <v>22</v>
      </c>
      <c r="F354" s="185" t="s">
        <v>390</v>
      </c>
      <c r="G354" s="186"/>
      <c r="H354" s="186"/>
      <c r="I354" s="186"/>
      <c r="J354" s="186"/>
      <c r="K354" s="186"/>
      <c r="N354" s="11"/>
      <c r="O354" s="16"/>
      <c r="P354" s="4"/>
    </row>
    <row r="355" spans="2:16" ht="12.95" customHeight="1" x14ac:dyDescent="0.3">
      <c r="B355" s="177"/>
      <c r="C355" s="177"/>
      <c r="D355" s="179"/>
      <c r="E355" s="179"/>
      <c r="F355" s="185" t="s">
        <v>87</v>
      </c>
      <c r="G355" s="186"/>
      <c r="H355" s="185" t="s">
        <v>88</v>
      </c>
      <c r="I355" s="186"/>
      <c r="J355" s="185" t="s">
        <v>89</v>
      </c>
      <c r="K355" s="186"/>
      <c r="N355" s="11"/>
      <c r="O355" s="16"/>
      <c r="P355" s="4"/>
    </row>
    <row r="356" spans="2:16" ht="12.95" customHeight="1" x14ac:dyDescent="0.3">
      <c r="B356" s="178"/>
      <c r="C356" s="178"/>
      <c r="D356" s="171"/>
      <c r="E356" s="171"/>
      <c r="F356" s="71" t="s">
        <v>23</v>
      </c>
      <c r="G356" s="72" t="s">
        <v>24</v>
      </c>
      <c r="H356" s="71" t="s">
        <v>23</v>
      </c>
      <c r="I356" s="72" t="s">
        <v>24</v>
      </c>
      <c r="J356" s="71" t="s">
        <v>23</v>
      </c>
      <c r="K356" s="72" t="s">
        <v>24</v>
      </c>
      <c r="N356" s="11"/>
      <c r="O356" s="16"/>
      <c r="P356" s="4"/>
    </row>
    <row r="357" spans="2:16" ht="12.95" customHeight="1" x14ac:dyDescent="0.3">
      <c r="B357" s="144" t="s">
        <v>125</v>
      </c>
      <c r="C357" s="126" t="s">
        <v>127</v>
      </c>
      <c r="D357" s="127" t="s">
        <v>77</v>
      </c>
      <c r="E357" s="23">
        <v>0</v>
      </c>
      <c r="F357" s="26">
        <v>0.95</v>
      </c>
      <c r="G357" s="3">
        <f t="shared" ref="G357" si="73">TRUNC($E357*F357,1)</f>
        <v>0</v>
      </c>
      <c r="H357" s="26">
        <v>0.95</v>
      </c>
      <c r="I357" s="3">
        <f t="shared" ref="I357" si="74">TRUNC($E357*H357,1)</f>
        <v>0</v>
      </c>
      <c r="J357" s="26">
        <v>0.95</v>
      </c>
      <c r="K357" s="3">
        <f t="shared" ref="K357" si="75">TRUNC($E357*J357,1)</f>
        <v>0</v>
      </c>
      <c r="N357" s="11"/>
      <c r="O357" s="12"/>
      <c r="P357" s="4"/>
    </row>
    <row r="358" spans="2:16" ht="12.95" customHeight="1" x14ac:dyDescent="0.3">
      <c r="B358" s="144" t="s">
        <v>388</v>
      </c>
      <c r="C358" s="126" t="s">
        <v>269</v>
      </c>
      <c r="D358" s="127" t="s">
        <v>268</v>
      </c>
      <c r="E358" s="23"/>
      <c r="F358" s="15">
        <v>29</v>
      </c>
      <c r="G358" s="3">
        <f>TRUNC(SUM(G357:G357)*F358*0.01,1)</f>
        <v>0</v>
      </c>
      <c r="H358" s="15">
        <v>55</v>
      </c>
      <c r="I358" s="3">
        <f>TRUNC(SUM(I357:I357)*H358*0.01,1)</f>
        <v>0</v>
      </c>
      <c r="J358" s="15">
        <v>83</v>
      </c>
      <c r="K358" s="3">
        <f>TRUNC(SUM(K357:K357)*J358*0.01,1)</f>
        <v>0</v>
      </c>
      <c r="N358" s="11"/>
      <c r="O358" s="12"/>
      <c r="P358" s="4"/>
    </row>
    <row r="359" spans="2:16" ht="12.95" customHeight="1" x14ac:dyDescent="0.3">
      <c r="B359" s="129" t="s">
        <v>29</v>
      </c>
      <c r="C359" s="130"/>
      <c r="D359" s="131"/>
      <c r="E359" s="132"/>
      <c r="F359" s="44"/>
      <c r="G359" s="40">
        <f>TRUNC(SUM(G357:G358))</f>
        <v>0</v>
      </c>
      <c r="H359" s="44"/>
      <c r="I359" s="40">
        <f>TRUNC(SUM(I357:I358))</f>
        <v>0</v>
      </c>
      <c r="J359" s="44"/>
      <c r="K359" s="40">
        <f>TRUNC(SUM(K357:K358))</f>
        <v>0</v>
      </c>
      <c r="N359" s="4"/>
      <c r="O359" s="13"/>
      <c r="P359" s="4"/>
    </row>
    <row r="360" spans="2:16" ht="12.95" customHeight="1" x14ac:dyDescent="0.3">
      <c r="B360" s="126"/>
      <c r="C360" s="126"/>
      <c r="D360" s="126"/>
      <c r="E360" s="76"/>
      <c r="F360" s="26"/>
      <c r="G360" s="29"/>
      <c r="H360" s="26"/>
      <c r="I360" s="29"/>
      <c r="J360" s="26"/>
      <c r="K360" s="29"/>
      <c r="N360" s="13"/>
      <c r="O360" s="4"/>
    </row>
    <row r="361" spans="2:16" ht="12.95" customHeight="1" x14ac:dyDescent="0.3">
      <c r="B361" s="84" t="s">
        <v>33</v>
      </c>
      <c r="C361" s="135"/>
      <c r="D361" s="135"/>
      <c r="E361" s="136"/>
      <c r="F361" s="136"/>
      <c r="G361" s="10">
        <f>SUM(G359)</f>
        <v>0</v>
      </c>
      <c r="H361" s="136"/>
      <c r="I361" s="10">
        <f>SUM(I359)</f>
        <v>0</v>
      </c>
      <c r="J361" s="136"/>
      <c r="K361" s="10">
        <f>SUM(K359)</f>
        <v>0</v>
      </c>
      <c r="N361" s="4"/>
      <c r="O361" s="13"/>
      <c r="P361" s="4"/>
    </row>
    <row r="362" spans="2:16" ht="12.95" customHeight="1" x14ac:dyDescent="0.3">
      <c r="N362" s="4"/>
      <c r="O362" s="13"/>
      <c r="P362" s="4"/>
    </row>
    <row r="363" spans="2:16" ht="12.95" customHeight="1" x14ac:dyDescent="0.3">
      <c r="B363" s="115" t="s">
        <v>113</v>
      </c>
      <c r="C363" s="116"/>
      <c r="D363" s="22"/>
      <c r="E363" s="22"/>
      <c r="F363" s="22"/>
      <c r="G363" s="117"/>
      <c r="H363" s="22"/>
      <c r="I363" s="117"/>
      <c r="J363" s="22"/>
      <c r="K363" s="117" t="s">
        <v>315</v>
      </c>
      <c r="N363" s="4"/>
      <c r="O363" s="13"/>
      <c r="P363" s="4"/>
    </row>
    <row r="364" spans="2:16" ht="12.95" customHeight="1" x14ac:dyDescent="0.3">
      <c r="B364" s="176" t="s">
        <v>21</v>
      </c>
      <c r="C364" s="176" t="s">
        <v>25</v>
      </c>
      <c r="D364" s="170" t="s">
        <v>26</v>
      </c>
      <c r="E364" s="170" t="s">
        <v>22</v>
      </c>
      <c r="F364" s="174" t="s">
        <v>89</v>
      </c>
      <c r="G364" s="175"/>
      <c r="H364" s="174" t="s">
        <v>88</v>
      </c>
      <c r="I364" s="175"/>
      <c r="J364" s="174" t="s">
        <v>87</v>
      </c>
      <c r="K364" s="175"/>
      <c r="N364" s="4"/>
      <c r="O364" s="14"/>
      <c r="P364" s="4"/>
    </row>
    <row r="365" spans="2:16" ht="12.95" customHeight="1" x14ac:dyDescent="0.3">
      <c r="B365" s="177"/>
      <c r="C365" s="177"/>
      <c r="D365" s="179"/>
      <c r="E365" s="179"/>
      <c r="F365" s="68" t="s">
        <v>316</v>
      </c>
      <c r="G365" s="70">
        <v>25</v>
      </c>
      <c r="H365" s="68" t="s">
        <v>316</v>
      </c>
      <c r="I365" s="70">
        <v>35</v>
      </c>
      <c r="J365" s="68" t="s">
        <v>316</v>
      </c>
      <c r="K365" s="70">
        <v>40</v>
      </c>
      <c r="N365" s="4"/>
      <c r="O365" s="12"/>
      <c r="P365" s="4"/>
    </row>
    <row r="366" spans="2:16" ht="12.95" customHeight="1" x14ac:dyDescent="0.3">
      <c r="B366" s="178"/>
      <c r="C366" s="178"/>
      <c r="D366" s="171"/>
      <c r="E366" s="171"/>
      <c r="F366" s="71" t="s">
        <v>287</v>
      </c>
      <c r="G366" s="72" t="s">
        <v>288</v>
      </c>
      <c r="H366" s="71" t="s">
        <v>287</v>
      </c>
      <c r="I366" s="72" t="s">
        <v>288</v>
      </c>
      <c r="J366" s="71" t="s">
        <v>287</v>
      </c>
      <c r="K366" s="72" t="s">
        <v>288</v>
      </c>
      <c r="L366" s="4"/>
      <c r="M366" s="4"/>
      <c r="N366" s="4"/>
    </row>
    <row r="367" spans="2:16" ht="12.95" customHeight="1" x14ac:dyDescent="0.3">
      <c r="B367" s="89" t="s">
        <v>27</v>
      </c>
      <c r="C367" s="91" t="s">
        <v>32</v>
      </c>
      <c r="D367" s="90" t="s">
        <v>35</v>
      </c>
      <c r="E367" s="92"/>
      <c r="F367" s="36">
        <v>1</v>
      </c>
      <c r="G367" s="6">
        <f>TRUNC(SUM(G370:G371)*0.03,1)</f>
        <v>38256.800000000003</v>
      </c>
      <c r="H367" s="36">
        <v>1</v>
      </c>
      <c r="I367" s="6">
        <f>TRUNC(SUM(I370:I371)*0.03,1)</f>
        <v>38256.800000000003</v>
      </c>
      <c r="J367" s="36">
        <v>1</v>
      </c>
      <c r="K367" s="6">
        <f>TRUNC(SUM(K370:K371)*0.03,1)</f>
        <v>38256.800000000003</v>
      </c>
      <c r="N367" s="4"/>
    </row>
    <row r="368" spans="2:16" ht="12.95" customHeight="1" x14ac:dyDescent="0.3">
      <c r="B368" s="129" t="s">
        <v>29</v>
      </c>
      <c r="C368" s="130"/>
      <c r="D368" s="131"/>
      <c r="E368" s="132"/>
      <c r="F368" s="44"/>
      <c r="G368" s="40">
        <f>TRUNC(SUM(G367:G367))</f>
        <v>38256</v>
      </c>
      <c r="H368" s="44"/>
      <c r="I368" s="40">
        <f>TRUNC(SUM(I367:I367))</f>
        <v>38256</v>
      </c>
      <c r="J368" s="44"/>
      <c r="K368" s="40">
        <f>TRUNC(SUM(K367:K367))</f>
        <v>38256</v>
      </c>
      <c r="N368" s="4"/>
    </row>
    <row r="369" spans="2:14" ht="12.95" customHeight="1" x14ac:dyDescent="0.3">
      <c r="B369" s="126"/>
      <c r="C369" s="126"/>
      <c r="D369" s="127"/>
      <c r="E369" s="76"/>
      <c r="F369" s="25"/>
      <c r="G369" s="29"/>
      <c r="H369" s="25"/>
      <c r="I369" s="29"/>
      <c r="J369" s="25"/>
      <c r="K369" s="29"/>
      <c r="N369" s="4"/>
    </row>
    <row r="370" spans="2:14" ht="12.95" customHeight="1" x14ac:dyDescent="0.3">
      <c r="B370" s="126" t="s">
        <v>4</v>
      </c>
      <c r="C370" s="126"/>
      <c r="D370" s="75" t="s">
        <v>28</v>
      </c>
      <c r="E370" s="139">
        <v>275790</v>
      </c>
      <c r="F370" s="36">
        <v>4</v>
      </c>
      <c r="G370" s="3">
        <f t="shared" ref="G370:G371" si="76">TRUNC($E370*F370,1)</f>
        <v>1103160</v>
      </c>
      <c r="H370" s="36">
        <v>4</v>
      </c>
      <c r="I370" s="3">
        <f t="shared" ref="I370:I371" si="77">TRUNC($E370*H370,1)</f>
        <v>1103160</v>
      </c>
      <c r="J370" s="36">
        <v>4</v>
      </c>
      <c r="K370" s="3">
        <f t="shared" ref="K370:K371" si="78">TRUNC($E370*J370,1)</f>
        <v>1103160</v>
      </c>
      <c r="L370" s="4"/>
      <c r="M370" s="4"/>
      <c r="N370" s="4"/>
    </row>
    <row r="371" spans="2:14" ht="12.95" customHeight="1" x14ac:dyDescent="0.3">
      <c r="B371" s="126" t="s">
        <v>8</v>
      </c>
      <c r="C371" s="126"/>
      <c r="D371" s="75" t="s">
        <v>28</v>
      </c>
      <c r="E371" s="76">
        <v>172068</v>
      </c>
      <c r="F371" s="36">
        <v>1</v>
      </c>
      <c r="G371" s="3">
        <f t="shared" si="76"/>
        <v>172068</v>
      </c>
      <c r="H371" s="36">
        <v>1</v>
      </c>
      <c r="I371" s="3">
        <f t="shared" si="77"/>
        <v>172068</v>
      </c>
      <c r="J371" s="36">
        <v>1</v>
      </c>
      <c r="K371" s="3">
        <f t="shared" si="78"/>
        <v>172068</v>
      </c>
      <c r="L371" s="4"/>
      <c r="M371" s="4"/>
      <c r="N371" s="4"/>
    </row>
    <row r="372" spans="2:14" ht="12.95" customHeight="1" x14ac:dyDescent="0.3">
      <c r="B372" s="77" t="s">
        <v>30</v>
      </c>
      <c r="C372" s="78"/>
      <c r="D372" s="78"/>
      <c r="E372" s="24"/>
      <c r="F372" s="56"/>
      <c r="G372" s="55">
        <f>TRUNC(SUM(G370:G371))</f>
        <v>1275228</v>
      </c>
      <c r="H372" s="56"/>
      <c r="I372" s="55">
        <f>TRUNC(SUM(I370:I371))</f>
        <v>1275228</v>
      </c>
      <c r="J372" s="56"/>
      <c r="K372" s="55">
        <f>TRUNC(SUM(K370:K371))</f>
        <v>1275228</v>
      </c>
      <c r="L372" s="4"/>
      <c r="M372" s="4"/>
      <c r="N372" s="4"/>
    </row>
    <row r="373" spans="2:14" ht="12.95" customHeight="1" x14ac:dyDescent="0.3">
      <c r="B373" s="79"/>
      <c r="C373" s="80"/>
      <c r="D373" s="80"/>
      <c r="E373" s="81"/>
      <c r="F373" s="37"/>
      <c r="G373" s="57"/>
      <c r="H373" s="37"/>
      <c r="I373" s="57"/>
      <c r="J373" s="37"/>
      <c r="K373" s="57"/>
      <c r="L373" s="4"/>
      <c r="M373" s="4"/>
      <c r="N373" s="4"/>
    </row>
    <row r="374" spans="2:14" ht="12.95" customHeight="1" x14ac:dyDescent="0.3">
      <c r="B374" s="82" t="s">
        <v>33</v>
      </c>
      <c r="C374" s="78"/>
      <c r="D374" s="78"/>
      <c r="E374" s="83"/>
      <c r="F374" s="83"/>
      <c r="G374" s="58">
        <f>SUM(G368+G372)</f>
        <v>1313484</v>
      </c>
      <c r="H374" s="83"/>
      <c r="I374" s="58">
        <f>SUM(I368+I372)</f>
        <v>1313484</v>
      </c>
      <c r="J374" s="83"/>
      <c r="K374" s="58">
        <f>SUM(K368+K372)</f>
        <v>1313484</v>
      </c>
      <c r="L374" s="4"/>
      <c r="M374" s="4"/>
      <c r="N374" s="4"/>
    </row>
    <row r="375" spans="2:14" ht="12.95" customHeight="1" x14ac:dyDescent="0.3">
      <c r="B375" s="84" t="s">
        <v>319</v>
      </c>
      <c r="C375" s="85"/>
      <c r="D375" s="86"/>
      <c r="E375" s="87"/>
      <c r="F375" s="88"/>
      <c r="G375" s="7">
        <f>TRUNC(G374/G365)</f>
        <v>52539</v>
      </c>
      <c r="H375" s="88"/>
      <c r="I375" s="7">
        <f>TRUNC(I374/I365)</f>
        <v>37528</v>
      </c>
      <c r="J375" s="88"/>
      <c r="K375" s="7">
        <f>TRUNC(K374/K365)</f>
        <v>32837</v>
      </c>
      <c r="L375" s="4"/>
      <c r="M375" s="4"/>
      <c r="N375" s="4"/>
    </row>
    <row r="376" spans="2:14" ht="12.95" customHeight="1" x14ac:dyDescent="0.3">
      <c r="N376" s="4"/>
    </row>
    <row r="377" spans="2:14" ht="12.95" customHeight="1" x14ac:dyDescent="0.3">
      <c r="B377" s="1" t="s">
        <v>134</v>
      </c>
      <c r="G377" s="137" t="s">
        <v>104</v>
      </c>
      <c r="N377" s="4"/>
    </row>
    <row r="378" spans="2:14" ht="12.95" customHeight="1" x14ac:dyDescent="0.3">
      <c r="B378" s="187" t="s">
        <v>21</v>
      </c>
      <c r="C378" s="188" t="s">
        <v>25</v>
      </c>
      <c r="D378" s="190" t="s">
        <v>26</v>
      </c>
      <c r="E378" s="169" t="s">
        <v>22</v>
      </c>
      <c r="F378" s="170" t="s">
        <v>23</v>
      </c>
      <c r="G378" s="172" t="s">
        <v>24</v>
      </c>
      <c r="N378" s="4"/>
    </row>
    <row r="379" spans="2:14" ht="12.95" customHeight="1" x14ac:dyDescent="0.3">
      <c r="B379" s="187"/>
      <c r="C379" s="188"/>
      <c r="D379" s="190"/>
      <c r="E379" s="169"/>
      <c r="F379" s="171"/>
      <c r="G379" s="173"/>
    </row>
    <row r="380" spans="2:14" ht="12.95" customHeight="1" x14ac:dyDescent="0.3">
      <c r="B380" s="73" t="s">
        <v>4</v>
      </c>
      <c r="C380" s="74"/>
      <c r="D380" s="75" t="s">
        <v>28</v>
      </c>
      <c r="E380" s="139">
        <v>275790</v>
      </c>
      <c r="F380" s="38">
        <v>7.0000000000000007E-2</v>
      </c>
      <c r="G380" s="3">
        <f t="shared" ref="G380:G381" si="79">TRUNC($E380*F380,1)</f>
        <v>19305.3</v>
      </c>
    </row>
    <row r="381" spans="2:14" ht="12.95" customHeight="1" x14ac:dyDescent="0.3">
      <c r="B381" s="73" t="s">
        <v>8</v>
      </c>
      <c r="C381" s="74"/>
      <c r="D381" s="75" t="s">
        <v>28</v>
      </c>
      <c r="E381" s="148">
        <v>172068</v>
      </c>
      <c r="F381" s="38">
        <v>0.03</v>
      </c>
      <c r="G381" s="3">
        <f t="shared" si="79"/>
        <v>5162</v>
      </c>
    </row>
    <row r="382" spans="2:14" ht="12.95" customHeight="1" x14ac:dyDescent="0.3">
      <c r="B382" s="77" t="s">
        <v>30</v>
      </c>
      <c r="C382" s="103"/>
      <c r="D382" s="104"/>
      <c r="E382" s="105"/>
      <c r="F382" s="105"/>
      <c r="G382" s="18">
        <f>TRUNC(SUM(G380:G381))</f>
        <v>24467</v>
      </c>
    </row>
    <row r="383" spans="2:14" ht="12.95" customHeight="1" x14ac:dyDescent="0.3">
      <c r="B383" s="106"/>
      <c r="C383" s="74"/>
      <c r="D383" s="75"/>
      <c r="E383" s="107"/>
      <c r="F383" s="107"/>
      <c r="G383" s="9"/>
    </row>
    <row r="384" spans="2:14" ht="12.95" customHeight="1" x14ac:dyDescent="0.3">
      <c r="B384" s="84" t="s">
        <v>33</v>
      </c>
      <c r="C384" s="108"/>
      <c r="D384" s="109"/>
      <c r="E384" s="110"/>
      <c r="F384" s="110"/>
      <c r="G384" s="10">
        <f>SUM(G382)</f>
        <v>24467</v>
      </c>
    </row>
    <row r="386" spans="2:11" ht="12.95" customHeight="1" x14ac:dyDescent="0.3">
      <c r="B386" s="1" t="s">
        <v>135</v>
      </c>
      <c r="G386" s="137"/>
      <c r="K386" s="137" t="s">
        <v>136</v>
      </c>
    </row>
    <row r="387" spans="2:11" ht="12.95" customHeight="1" x14ac:dyDescent="0.3">
      <c r="B387" s="176" t="s">
        <v>21</v>
      </c>
      <c r="C387" s="176" t="s">
        <v>25</v>
      </c>
      <c r="D387" s="170" t="s">
        <v>26</v>
      </c>
      <c r="E387" s="170" t="s">
        <v>22</v>
      </c>
      <c r="F387" s="180" t="s">
        <v>142</v>
      </c>
      <c r="G387" s="181"/>
      <c r="H387" s="181"/>
      <c r="I387" s="181"/>
      <c r="J387" s="181"/>
      <c r="K387" s="181"/>
    </row>
    <row r="388" spans="2:11" ht="12.95" customHeight="1" x14ac:dyDescent="0.3">
      <c r="B388" s="177"/>
      <c r="C388" s="177"/>
      <c r="D388" s="179"/>
      <c r="E388" s="179"/>
      <c r="F388" s="180" t="s">
        <v>137</v>
      </c>
      <c r="G388" s="181"/>
      <c r="H388" s="180" t="s">
        <v>138</v>
      </c>
      <c r="I388" s="181"/>
      <c r="J388" s="180" t="s">
        <v>139</v>
      </c>
      <c r="K388" s="181"/>
    </row>
    <row r="389" spans="2:11" ht="12.95" customHeight="1" x14ac:dyDescent="0.3">
      <c r="B389" s="178"/>
      <c r="C389" s="178"/>
      <c r="D389" s="171"/>
      <c r="E389" s="171"/>
      <c r="F389" s="102" t="s">
        <v>23</v>
      </c>
      <c r="G389" s="102" t="s">
        <v>24</v>
      </c>
      <c r="H389" s="102" t="s">
        <v>23</v>
      </c>
      <c r="I389" s="67" t="s">
        <v>24</v>
      </c>
      <c r="J389" s="102" t="s">
        <v>23</v>
      </c>
      <c r="K389" s="67" t="s">
        <v>24</v>
      </c>
    </row>
    <row r="390" spans="2:11" ht="12.95" customHeight="1" x14ac:dyDescent="0.3">
      <c r="B390" s="73" t="s">
        <v>42</v>
      </c>
      <c r="C390" s="74"/>
      <c r="D390" s="75" t="s">
        <v>28</v>
      </c>
      <c r="E390" s="139">
        <v>226122</v>
      </c>
      <c r="F390" s="38">
        <v>0.13</v>
      </c>
      <c r="G390" s="3">
        <f t="shared" ref="G390:G391" si="80">TRUNC($E390*F390,1)</f>
        <v>29395.8</v>
      </c>
      <c r="H390" s="26">
        <v>0.14000000000000001</v>
      </c>
      <c r="I390" s="3">
        <f t="shared" ref="I390:I391" si="81">TRUNC($E390*H390,1)</f>
        <v>31657</v>
      </c>
      <c r="J390" s="26">
        <v>0.15</v>
      </c>
      <c r="K390" s="3">
        <f t="shared" ref="K390:K391" si="82">TRUNC($E390*J390,1)</f>
        <v>33918.300000000003</v>
      </c>
    </row>
    <row r="391" spans="2:11" ht="12.95" customHeight="1" x14ac:dyDescent="0.3">
      <c r="B391" s="73" t="s">
        <v>8</v>
      </c>
      <c r="C391" s="74"/>
      <c r="D391" s="75" t="s">
        <v>28</v>
      </c>
      <c r="E391" s="148">
        <v>172068</v>
      </c>
      <c r="F391" s="38">
        <v>0.17</v>
      </c>
      <c r="G391" s="3">
        <f t="shared" si="80"/>
        <v>29251.5</v>
      </c>
      <c r="H391" s="26">
        <v>0.25</v>
      </c>
      <c r="I391" s="3">
        <f t="shared" si="81"/>
        <v>43017</v>
      </c>
      <c r="J391" s="26">
        <v>0.3</v>
      </c>
      <c r="K391" s="3">
        <f t="shared" si="82"/>
        <v>51620.4</v>
      </c>
    </row>
    <row r="392" spans="2:11" ht="12.95" customHeight="1" x14ac:dyDescent="0.3">
      <c r="B392" s="77" t="s">
        <v>30</v>
      </c>
      <c r="C392" s="103"/>
      <c r="D392" s="104"/>
      <c r="E392" s="105"/>
      <c r="F392" s="105"/>
      <c r="G392" s="18">
        <f>TRUNC(SUM(G390:G391))</f>
        <v>58647</v>
      </c>
      <c r="H392" s="105"/>
      <c r="I392" s="18">
        <f>TRUNC(SUM(I390:I391))</f>
        <v>74674</v>
      </c>
      <c r="J392" s="105"/>
      <c r="K392" s="18">
        <f>TRUNC(SUM(K390:K391))</f>
        <v>85538</v>
      </c>
    </row>
    <row r="393" spans="2:11" ht="12.95" customHeight="1" x14ac:dyDescent="0.3">
      <c r="B393" s="106"/>
      <c r="C393" s="74"/>
      <c r="D393" s="75"/>
      <c r="E393" s="107"/>
      <c r="F393" s="107"/>
      <c r="G393" s="9"/>
      <c r="H393" s="107"/>
      <c r="I393" s="9"/>
      <c r="J393" s="107"/>
      <c r="K393" s="9"/>
    </row>
    <row r="394" spans="2:11" ht="12.95" customHeight="1" x14ac:dyDescent="0.3">
      <c r="B394" s="84" t="s">
        <v>33</v>
      </c>
      <c r="C394" s="108"/>
      <c r="D394" s="109"/>
      <c r="E394" s="110"/>
      <c r="F394" s="110"/>
      <c r="G394" s="10">
        <f>SUM(G392)</f>
        <v>58647</v>
      </c>
      <c r="H394" s="110"/>
      <c r="I394" s="10">
        <f>SUM(I392)</f>
        <v>74674</v>
      </c>
      <c r="J394" s="110"/>
      <c r="K394" s="10">
        <f>SUM(K392)</f>
        <v>85538</v>
      </c>
    </row>
    <row r="395" spans="2:11" ht="12.95" customHeight="1" x14ac:dyDescent="0.3">
      <c r="B395" s="176" t="s">
        <v>21</v>
      </c>
      <c r="C395" s="176" t="s">
        <v>25</v>
      </c>
      <c r="D395" s="170" t="s">
        <v>26</v>
      </c>
      <c r="E395" s="170" t="s">
        <v>22</v>
      </c>
      <c r="F395" s="180" t="s">
        <v>142</v>
      </c>
      <c r="G395" s="181"/>
      <c r="H395" s="181"/>
      <c r="I395" s="181"/>
    </row>
    <row r="396" spans="2:11" ht="12.95" customHeight="1" x14ac:dyDescent="0.3">
      <c r="B396" s="177"/>
      <c r="C396" s="177"/>
      <c r="D396" s="179"/>
      <c r="E396" s="179"/>
      <c r="F396" s="180" t="s">
        <v>140</v>
      </c>
      <c r="G396" s="181"/>
      <c r="H396" s="180" t="s">
        <v>141</v>
      </c>
      <c r="I396" s="181"/>
    </row>
    <row r="397" spans="2:11" ht="12.95" customHeight="1" x14ac:dyDescent="0.3">
      <c r="B397" s="178"/>
      <c r="C397" s="178"/>
      <c r="D397" s="171"/>
      <c r="E397" s="171"/>
      <c r="F397" s="102" t="s">
        <v>23</v>
      </c>
      <c r="G397" s="102" t="s">
        <v>24</v>
      </c>
      <c r="H397" s="102" t="s">
        <v>23</v>
      </c>
      <c r="I397" s="67" t="s">
        <v>24</v>
      </c>
    </row>
    <row r="398" spans="2:11" ht="12.95" customHeight="1" x14ac:dyDescent="0.3">
      <c r="B398" s="73" t="s">
        <v>42</v>
      </c>
      <c r="C398" s="74"/>
      <c r="D398" s="75" t="s">
        <v>28</v>
      </c>
      <c r="E398" s="139">
        <v>226122</v>
      </c>
      <c r="F398" s="26">
        <v>0.17</v>
      </c>
      <c r="G398" s="3">
        <f t="shared" ref="G398:G399" si="83">TRUNC($E398*F398,1)</f>
        <v>38440.699999999997</v>
      </c>
      <c r="H398" s="26">
        <v>0.21</v>
      </c>
      <c r="I398" s="3">
        <f t="shared" ref="I398:I399" si="84">TRUNC($E398*H398,1)</f>
        <v>47485.599999999999</v>
      </c>
    </row>
    <row r="399" spans="2:11" ht="12.95" customHeight="1" x14ac:dyDescent="0.3">
      <c r="B399" s="73" t="s">
        <v>8</v>
      </c>
      <c r="C399" s="74"/>
      <c r="D399" s="75" t="s">
        <v>28</v>
      </c>
      <c r="E399" s="148">
        <v>172068</v>
      </c>
      <c r="F399" s="26">
        <v>0.4</v>
      </c>
      <c r="G399" s="3">
        <f t="shared" si="83"/>
        <v>68827.199999999997</v>
      </c>
      <c r="H399" s="26">
        <v>0.5</v>
      </c>
      <c r="I399" s="3">
        <f t="shared" si="84"/>
        <v>86034</v>
      </c>
    </row>
    <row r="400" spans="2:11" ht="12.95" customHeight="1" x14ac:dyDescent="0.3">
      <c r="B400" s="77" t="s">
        <v>30</v>
      </c>
      <c r="C400" s="103"/>
      <c r="D400" s="104"/>
      <c r="E400" s="105"/>
      <c r="F400" s="105"/>
      <c r="G400" s="18">
        <f>TRUNC(SUM(G398:G399))</f>
        <v>107267</v>
      </c>
      <c r="H400" s="105"/>
      <c r="I400" s="18">
        <f>TRUNC(SUM(I398:I399))</f>
        <v>133519</v>
      </c>
    </row>
    <row r="401" spans="2:11" ht="12.95" customHeight="1" x14ac:dyDescent="0.3">
      <c r="B401" s="106"/>
      <c r="C401" s="74"/>
      <c r="D401" s="75"/>
      <c r="E401" s="107"/>
      <c r="F401" s="107"/>
      <c r="G401" s="9"/>
      <c r="H401" s="107"/>
      <c r="I401" s="9"/>
    </row>
    <row r="402" spans="2:11" ht="12.95" customHeight="1" x14ac:dyDescent="0.3">
      <c r="B402" s="84" t="s">
        <v>33</v>
      </c>
      <c r="C402" s="108"/>
      <c r="D402" s="109"/>
      <c r="E402" s="110"/>
      <c r="F402" s="110"/>
      <c r="G402" s="10">
        <f>SUM(G400)</f>
        <v>107267</v>
      </c>
      <c r="H402" s="110"/>
      <c r="I402" s="10">
        <f>SUM(I400)</f>
        <v>133519</v>
      </c>
    </row>
    <row r="403" spans="2:11" ht="12.95" customHeight="1" x14ac:dyDescent="0.3">
      <c r="B403" s="176" t="s">
        <v>21</v>
      </c>
      <c r="C403" s="176" t="s">
        <v>25</v>
      </c>
      <c r="D403" s="170" t="s">
        <v>26</v>
      </c>
      <c r="E403" s="170" t="s">
        <v>22</v>
      </c>
      <c r="F403" s="180" t="s">
        <v>143</v>
      </c>
      <c r="G403" s="181"/>
      <c r="H403" s="181"/>
      <c r="I403" s="181"/>
      <c r="J403" s="181"/>
      <c r="K403" s="181"/>
    </row>
    <row r="404" spans="2:11" ht="12.95" customHeight="1" x14ac:dyDescent="0.3">
      <c r="B404" s="177"/>
      <c r="C404" s="177"/>
      <c r="D404" s="179"/>
      <c r="E404" s="179"/>
      <c r="F404" s="180" t="s">
        <v>137</v>
      </c>
      <c r="G404" s="181"/>
      <c r="H404" s="180" t="s">
        <v>138</v>
      </c>
      <c r="I404" s="181"/>
      <c r="J404" s="180" t="s">
        <v>139</v>
      </c>
      <c r="K404" s="181"/>
    </row>
    <row r="405" spans="2:11" ht="12.95" customHeight="1" x14ac:dyDescent="0.3">
      <c r="B405" s="178"/>
      <c r="C405" s="178"/>
      <c r="D405" s="171"/>
      <c r="E405" s="171"/>
      <c r="F405" s="102" t="s">
        <v>23</v>
      </c>
      <c r="G405" s="102" t="s">
        <v>24</v>
      </c>
      <c r="H405" s="102" t="s">
        <v>23</v>
      </c>
      <c r="I405" s="67" t="s">
        <v>24</v>
      </c>
      <c r="J405" s="102" t="s">
        <v>23</v>
      </c>
      <c r="K405" s="67" t="s">
        <v>24</v>
      </c>
    </row>
    <row r="406" spans="2:11" ht="12.95" customHeight="1" x14ac:dyDescent="0.3">
      <c r="B406" s="73" t="s">
        <v>42</v>
      </c>
      <c r="C406" s="74"/>
      <c r="D406" s="75" t="s">
        <v>28</v>
      </c>
      <c r="E406" s="139">
        <v>226122</v>
      </c>
      <c r="F406" s="26">
        <v>0.23</v>
      </c>
      <c r="G406" s="3">
        <f t="shared" ref="G406:G407" si="85">TRUNC($E406*F406,1)</f>
        <v>52008</v>
      </c>
      <c r="H406" s="26">
        <v>0.26</v>
      </c>
      <c r="I406" s="3">
        <f t="shared" ref="I406:I407" si="86">TRUNC($E406*H406,1)</f>
        <v>58791.7</v>
      </c>
      <c r="J406" s="26">
        <v>0.31</v>
      </c>
      <c r="K406" s="3">
        <f t="shared" ref="K406:K407" si="87">TRUNC($E406*J406,1)</f>
        <v>70097.8</v>
      </c>
    </row>
    <row r="407" spans="2:11" ht="12.95" customHeight="1" x14ac:dyDescent="0.3">
      <c r="B407" s="73" t="s">
        <v>8</v>
      </c>
      <c r="C407" s="74"/>
      <c r="D407" s="75" t="s">
        <v>28</v>
      </c>
      <c r="E407" s="148">
        <v>172068</v>
      </c>
      <c r="F407" s="26">
        <v>0.39</v>
      </c>
      <c r="G407" s="3">
        <f t="shared" si="85"/>
        <v>67106.5</v>
      </c>
      <c r="H407" s="26">
        <v>0.47</v>
      </c>
      <c r="I407" s="3">
        <f t="shared" si="86"/>
        <v>80871.899999999994</v>
      </c>
      <c r="J407" s="26">
        <v>0.63</v>
      </c>
      <c r="K407" s="3">
        <f t="shared" si="87"/>
        <v>108402.8</v>
      </c>
    </row>
    <row r="408" spans="2:11" ht="12.95" customHeight="1" x14ac:dyDescent="0.3">
      <c r="B408" s="77" t="s">
        <v>30</v>
      </c>
      <c r="C408" s="103"/>
      <c r="D408" s="104"/>
      <c r="E408" s="105"/>
      <c r="F408" s="105"/>
      <c r="G408" s="18">
        <f>TRUNC(SUM(G406:G407))</f>
        <v>119114</v>
      </c>
      <c r="H408" s="105"/>
      <c r="I408" s="18">
        <f>TRUNC(SUM(I406:I407))</f>
        <v>139663</v>
      </c>
      <c r="J408" s="105"/>
      <c r="K408" s="18">
        <f>TRUNC(SUM(K406:K407))</f>
        <v>178500</v>
      </c>
    </row>
    <row r="409" spans="2:11" ht="12.95" customHeight="1" x14ac:dyDescent="0.3">
      <c r="B409" s="106"/>
      <c r="C409" s="74"/>
      <c r="D409" s="75"/>
      <c r="E409" s="107"/>
      <c r="F409" s="107"/>
      <c r="G409" s="9"/>
      <c r="H409" s="107"/>
      <c r="I409" s="9"/>
      <c r="J409" s="107"/>
      <c r="K409" s="9"/>
    </row>
    <row r="410" spans="2:11" ht="12.95" customHeight="1" x14ac:dyDescent="0.3">
      <c r="B410" s="84" t="s">
        <v>33</v>
      </c>
      <c r="C410" s="108"/>
      <c r="D410" s="109"/>
      <c r="E410" s="110"/>
      <c r="F410" s="110"/>
      <c r="G410" s="10">
        <f>SUM(G408)</f>
        <v>119114</v>
      </c>
      <c r="H410" s="110"/>
      <c r="I410" s="10">
        <f>SUM(I408)</f>
        <v>139663</v>
      </c>
      <c r="J410" s="110"/>
      <c r="K410" s="10">
        <f>SUM(K408)</f>
        <v>178500</v>
      </c>
    </row>
    <row r="411" spans="2:11" ht="12.95" customHeight="1" x14ac:dyDescent="0.3">
      <c r="B411" s="176" t="s">
        <v>21</v>
      </c>
      <c r="C411" s="176" t="s">
        <v>25</v>
      </c>
      <c r="D411" s="170" t="s">
        <v>26</v>
      </c>
      <c r="E411" s="170" t="s">
        <v>22</v>
      </c>
      <c r="F411" s="180" t="s">
        <v>143</v>
      </c>
      <c r="G411" s="181"/>
      <c r="H411" s="181"/>
      <c r="I411" s="181"/>
    </row>
    <row r="412" spans="2:11" ht="12.95" customHeight="1" x14ac:dyDescent="0.3">
      <c r="B412" s="177"/>
      <c r="C412" s="177"/>
      <c r="D412" s="179"/>
      <c r="E412" s="179"/>
      <c r="F412" s="180" t="s">
        <v>140</v>
      </c>
      <c r="G412" s="181"/>
      <c r="H412" s="180" t="s">
        <v>141</v>
      </c>
      <c r="I412" s="181"/>
    </row>
    <row r="413" spans="2:11" ht="12.95" customHeight="1" x14ac:dyDescent="0.3">
      <c r="B413" s="178"/>
      <c r="C413" s="178"/>
      <c r="D413" s="171"/>
      <c r="E413" s="171"/>
      <c r="F413" s="102" t="s">
        <v>23</v>
      </c>
      <c r="G413" s="102" t="s">
        <v>24</v>
      </c>
      <c r="H413" s="102" t="s">
        <v>23</v>
      </c>
      <c r="I413" s="67" t="s">
        <v>24</v>
      </c>
    </row>
    <row r="414" spans="2:11" ht="12.95" customHeight="1" x14ac:dyDescent="0.3">
      <c r="B414" s="73" t="s">
        <v>42</v>
      </c>
      <c r="C414" s="74"/>
      <c r="D414" s="75" t="s">
        <v>28</v>
      </c>
      <c r="E414" s="139">
        <v>226122</v>
      </c>
      <c r="F414" s="26">
        <v>0.37</v>
      </c>
      <c r="G414" s="3">
        <f t="shared" ref="G414:G415" si="88">TRUNC($E414*F414,1)</f>
        <v>83665.100000000006</v>
      </c>
      <c r="H414" s="26">
        <v>0.42</v>
      </c>
      <c r="I414" s="3">
        <f t="shared" ref="I414:I415" si="89">TRUNC($E414*H414,1)</f>
        <v>94971.199999999997</v>
      </c>
    </row>
    <row r="415" spans="2:11" ht="12.95" customHeight="1" x14ac:dyDescent="0.3">
      <c r="B415" s="73" t="s">
        <v>8</v>
      </c>
      <c r="C415" s="74"/>
      <c r="D415" s="75" t="s">
        <v>28</v>
      </c>
      <c r="E415" s="148">
        <v>172068</v>
      </c>
      <c r="F415" s="26">
        <v>0.8</v>
      </c>
      <c r="G415" s="3">
        <f t="shared" si="88"/>
        <v>137654.39999999999</v>
      </c>
      <c r="H415" s="26">
        <v>0.97</v>
      </c>
      <c r="I415" s="3">
        <f t="shared" si="89"/>
        <v>166905.9</v>
      </c>
    </row>
    <row r="416" spans="2:11" ht="12.95" customHeight="1" x14ac:dyDescent="0.3">
      <c r="B416" s="77" t="s">
        <v>30</v>
      </c>
      <c r="C416" s="103"/>
      <c r="D416" s="104"/>
      <c r="E416" s="105"/>
      <c r="F416" s="105"/>
      <c r="G416" s="18">
        <f>TRUNC(SUM(G414:G415))</f>
        <v>221319</v>
      </c>
      <c r="H416" s="105"/>
      <c r="I416" s="18">
        <f>TRUNC(SUM(I414:I415))</f>
        <v>261877</v>
      </c>
    </row>
    <row r="417" spans="2:11" ht="12.95" customHeight="1" x14ac:dyDescent="0.3">
      <c r="B417" s="106"/>
      <c r="C417" s="74"/>
      <c r="D417" s="75"/>
      <c r="E417" s="107"/>
      <c r="F417" s="107"/>
      <c r="G417" s="9"/>
      <c r="H417" s="107"/>
      <c r="I417" s="9"/>
    </row>
    <row r="418" spans="2:11" ht="12.95" customHeight="1" x14ac:dyDescent="0.3">
      <c r="B418" s="84" t="s">
        <v>33</v>
      </c>
      <c r="C418" s="108"/>
      <c r="D418" s="109"/>
      <c r="E418" s="110"/>
      <c r="F418" s="110"/>
      <c r="G418" s="10">
        <f>SUM(G416)</f>
        <v>221319</v>
      </c>
      <c r="H418" s="110"/>
      <c r="I418" s="10">
        <f>SUM(I416)</f>
        <v>261877</v>
      </c>
    </row>
    <row r="420" spans="2:11" ht="12.95" customHeight="1" x14ac:dyDescent="0.3">
      <c r="B420" s="1" t="s">
        <v>148</v>
      </c>
    </row>
    <row r="421" spans="2:11" ht="12.95" customHeight="1" x14ac:dyDescent="0.3">
      <c r="B421" s="1" t="s">
        <v>149</v>
      </c>
      <c r="I421" s="137" t="s">
        <v>104</v>
      </c>
    </row>
    <row r="422" spans="2:11" ht="12.95" customHeight="1" x14ac:dyDescent="0.3">
      <c r="B422" s="187" t="s">
        <v>21</v>
      </c>
      <c r="C422" s="188" t="s">
        <v>25</v>
      </c>
      <c r="D422" s="190" t="s">
        <v>26</v>
      </c>
      <c r="E422" s="169" t="s">
        <v>22</v>
      </c>
      <c r="F422" s="185" t="s">
        <v>74</v>
      </c>
      <c r="G422" s="186"/>
      <c r="H422" s="185" t="s">
        <v>147</v>
      </c>
      <c r="I422" s="186"/>
      <c r="K422" s="4"/>
    </row>
    <row r="423" spans="2:11" ht="12.95" customHeight="1" x14ac:dyDescent="0.3">
      <c r="B423" s="187"/>
      <c r="C423" s="188"/>
      <c r="D423" s="190"/>
      <c r="E423" s="169"/>
      <c r="F423" s="71" t="s">
        <v>23</v>
      </c>
      <c r="G423" s="72" t="s">
        <v>24</v>
      </c>
      <c r="H423" s="71" t="s">
        <v>23</v>
      </c>
      <c r="I423" s="72" t="s">
        <v>24</v>
      </c>
      <c r="K423" s="4"/>
    </row>
    <row r="424" spans="2:11" ht="12.95" customHeight="1" x14ac:dyDescent="0.3">
      <c r="B424" s="89" t="s">
        <v>39</v>
      </c>
      <c r="C424" s="89" t="s">
        <v>146</v>
      </c>
      <c r="D424" s="90" t="s">
        <v>34</v>
      </c>
      <c r="E424" s="49">
        <v>37580</v>
      </c>
      <c r="F424" s="50">
        <v>0.13200000000000001</v>
      </c>
      <c r="G424" s="3">
        <f t="shared" ref="G424" si="90">TRUNC($E424*F424,1)</f>
        <v>4960.5</v>
      </c>
      <c r="H424" s="50">
        <v>0.17</v>
      </c>
      <c r="I424" s="3">
        <f t="shared" ref="I424" si="91">TRUNC($E424*H424,1)</f>
        <v>6388.6</v>
      </c>
      <c r="K424" s="4"/>
    </row>
    <row r="425" spans="2:11" ht="12.95" customHeight="1" x14ac:dyDescent="0.3">
      <c r="B425" s="93" t="s">
        <v>29</v>
      </c>
      <c r="C425" s="96"/>
      <c r="D425" s="97"/>
      <c r="E425" s="138"/>
      <c r="F425" s="37"/>
      <c r="G425" s="20">
        <f>TRUNC(SUM(G424:G424))</f>
        <v>4960</v>
      </c>
      <c r="H425" s="37"/>
      <c r="I425" s="20">
        <f>TRUNC(SUM(I424:I424))</f>
        <v>6388</v>
      </c>
      <c r="K425" s="4"/>
    </row>
    <row r="426" spans="2:11" ht="12.95" customHeight="1" x14ac:dyDescent="0.3">
      <c r="B426" s="79"/>
      <c r="C426" s="79"/>
      <c r="D426" s="90"/>
      <c r="E426" s="98"/>
      <c r="F426" s="37"/>
      <c r="G426" s="99"/>
      <c r="H426" s="37"/>
      <c r="I426" s="99"/>
      <c r="J426" s="22"/>
      <c r="K426" s="4"/>
    </row>
    <row r="427" spans="2:11" ht="12.95" customHeight="1" x14ac:dyDescent="0.3">
      <c r="B427" s="73" t="s">
        <v>9</v>
      </c>
      <c r="C427" s="74"/>
      <c r="D427" s="75" t="s">
        <v>28</v>
      </c>
      <c r="E427" s="30">
        <v>281939</v>
      </c>
      <c r="F427" s="50">
        <v>0.19900000000000001</v>
      </c>
      <c r="G427" s="3">
        <f t="shared" ref="G427:G430" si="92">TRUNC($E427*F427,1)</f>
        <v>56105.8</v>
      </c>
      <c r="H427" s="50">
        <v>0</v>
      </c>
      <c r="I427" s="3">
        <f t="shared" ref="I427:I430" si="93">TRUNC($E427*H427,1)</f>
        <v>0</v>
      </c>
      <c r="J427" s="22"/>
      <c r="K427" s="4"/>
    </row>
    <row r="428" spans="2:11" ht="12.95" customHeight="1" x14ac:dyDescent="0.3">
      <c r="B428" s="73" t="s">
        <v>144</v>
      </c>
      <c r="C428" s="74"/>
      <c r="D428" s="75" t="s">
        <v>28</v>
      </c>
      <c r="E428" s="30">
        <v>281939</v>
      </c>
      <c r="F428" s="50">
        <v>0</v>
      </c>
      <c r="G428" s="3">
        <f t="shared" si="92"/>
        <v>0</v>
      </c>
      <c r="H428" s="50">
        <v>0.154</v>
      </c>
      <c r="I428" s="3">
        <f t="shared" si="93"/>
        <v>43418.6</v>
      </c>
      <c r="J428" s="22"/>
      <c r="K428" s="4"/>
    </row>
    <row r="429" spans="2:11" ht="12.95" customHeight="1" x14ac:dyDescent="0.3">
      <c r="B429" s="73" t="s">
        <v>8</v>
      </c>
      <c r="C429" s="74"/>
      <c r="D429" s="75" t="s">
        <v>28</v>
      </c>
      <c r="E429" s="150">
        <v>172068</v>
      </c>
      <c r="F429" s="50">
        <v>9.0999999999999998E-2</v>
      </c>
      <c r="G429" s="3">
        <f t="shared" si="92"/>
        <v>15658.1</v>
      </c>
      <c r="H429" s="50">
        <v>6.4000000000000001E-2</v>
      </c>
      <c r="I429" s="3">
        <f t="shared" si="93"/>
        <v>11012.3</v>
      </c>
      <c r="J429" s="22"/>
    </row>
    <row r="430" spans="2:11" ht="12.95" customHeight="1" x14ac:dyDescent="0.3">
      <c r="B430" s="89" t="s">
        <v>39</v>
      </c>
      <c r="C430" s="89" t="s">
        <v>145</v>
      </c>
      <c r="D430" s="90" t="s">
        <v>34</v>
      </c>
      <c r="E430" s="30">
        <v>58925</v>
      </c>
      <c r="F430" s="50">
        <v>0.13200000000000001</v>
      </c>
      <c r="G430" s="3">
        <f t="shared" si="92"/>
        <v>7778.1</v>
      </c>
      <c r="H430" s="50">
        <v>0.17</v>
      </c>
      <c r="I430" s="3">
        <f t="shared" si="93"/>
        <v>10017.200000000001</v>
      </c>
      <c r="J430" s="22"/>
    </row>
    <row r="431" spans="2:11" ht="12.95" customHeight="1" x14ac:dyDescent="0.3">
      <c r="B431" s="77" t="s">
        <v>30</v>
      </c>
      <c r="C431" s="96"/>
      <c r="D431" s="97"/>
      <c r="E431" s="19"/>
      <c r="F431" s="50"/>
      <c r="G431" s="20">
        <f>TRUNC(SUM(G427:G430))</f>
        <v>79542</v>
      </c>
      <c r="H431" s="50"/>
      <c r="I431" s="20">
        <f>TRUNC(SUM(I427:I430))</f>
        <v>64448</v>
      </c>
      <c r="J431" s="22"/>
    </row>
    <row r="432" spans="2:11" ht="12.95" customHeight="1" x14ac:dyDescent="0.3">
      <c r="B432" s="79"/>
      <c r="C432" s="79"/>
      <c r="D432" s="90"/>
      <c r="E432" s="98"/>
      <c r="F432" s="50"/>
      <c r="G432" s="99"/>
      <c r="H432" s="50"/>
      <c r="I432" s="99"/>
      <c r="J432" s="22"/>
    </row>
    <row r="433" spans="2:10" ht="12.95" customHeight="1" x14ac:dyDescent="0.3">
      <c r="B433" s="89" t="s">
        <v>39</v>
      </c>
      <c r="C433" s="89" t="s">
        <v>145</v>
      </c>
      <c r="D433" s="90" t="s">
        <v>34</v>
      </c>
      <c r="E433" s="30">
        <v>164907</v>
      </c>
      <c r="F433" s="50">
        <v>0.13200000000000001</v>
      </c>
      <c r="G433" s="3">
        <f t="shared" ref="G433" si="94">TRUNC($E433*F433,1)</f>
        <v>21767.7</v>
      </c>
      <c r="H433" s="50">
        <v>0.17</v>
      </c>
      <c r="I433" s="3">
        <f t="shared" ref="I433" si="95">TRUNC($E433*H433,1)</f>
        <v>28034.1</v>
      </c>
      <c r="J433" s="22"/>
    </row>
    <row r="434" spans="2:10" ht="12.95" customHeight="1" x14ac:dyDescent="0.3">
      <c r="B434" s="93" t="s">
        <v>31</v>
      </c>
      <c r="C434" s="96"/>
      <c r="D434" s="104"/>
      <c r="E434" s="19"/>
      <c r="F434" s="138"/>
      <c r="G434" s="20">
        <f t="shared" ref="G434" si="96">TRUNC(SUM(G433))</f>
        <v>21767</v>
      </c>
      <c r="H434" s="138"/>
      <c r="I434" s="20">
        <f t="shared" ref="I434" si="97">TRUNC(SUM(I433))</f>
        <v>28034</v>
      </c>
      <c r="J434" s="22"/>
    </row>
    <row r="435" spans="2:10" ht="12.95" customHeight="1" x14ac:dyDescent="0.3">
      <c r="B435" s="79"/>
      <c r="C435" s="79"/>
      <c r="D435" s="90"/>
      <c r="E435" s="98"/>
      <c r="F435" s="98"/>
      <c r="G435" s="99"/>
      <c r="H435" s="98"/>
      <c r="I435" s="99"/>
      <c r="J435" s="22"/>
    </row>
    <row r="436" spans="2:10" ht="12.95" customHeight="1" x14ac:dyDescent="0.3">
      <c r="B436" s="84" t="s">
        <v>33</v>
      </c>
      <c r="C436" s="85"/>
      <c r="D436" s="86"/>
      <c r="E436" s="87"/>
      <c r="F436" s="88"/>
      <c r="G436" s="7">
        <f>SUM(G425+G431+G434)</f>
        <v>106269</v>
      </c>
      <c r="H436" s="88"/>
      <c r="I436" s="7">
        <f>SUM(I425+I431+I434)</f>
        <v>98870</v>
      </c>
      <c r="J436" s="22"/>
    </row>
    <row r="437" spans="2:10" ht="12.95" customHeight="1" x14ac:dyDescent="0.3">
      <c r="J437" s="22"/>
    </row>
    <row r="438" spans="2:10" ht="12.95" customHeight="1" x14ac:dyDescent="0.3">
      <c r="B438" s="1" t="s">
        <v>150</v>
      </c>
      <c r="G438" s="137" t="s">
        <v>104</v>
      </c>
    </row>
    <row r="439" spans="2:10" ht="12.95" customHeight="1" x14ac:dyDescent="0.3">
      <c r="B439" s="187" t="s">
        <v>21</v>
      </c>
      <c r="C439" s="188" t="s">
        <v>25</v>
      </c>
      <c r="D439" s="190" t="s">
        <v>26</v>
      </c>
      <c r="E439" s="169" t="s">
        <v>22</v>
      </c>
      <c r="F439" s="170" t="s">
        <v>23</v>
      </c>
      <c r="G439" s="172" t="s">
        <v>24</v>
      </c>
    </row>
    <row r="440" spans="2:10" ht="12.95" customHeight="1" x14ac:dyDescent="0.3">
      <c r="B440" s="187"/>
      <c r="C440" s="188"/>
      <c r="D440" s="190"/>
      <c r="E440" s="169"/>
      <c r="F440" s="171"/>
      <c r="G440" s="173"/>
    </row>
    <row r="441" spans="2:10" ht="12.95" customHeight="1" x14ac:dyDescent="0.3">
      <c r="B441" s="73" t="s">
        <v>151</v>
      </c>
      <c r="C441" s="74"/>
      <c r="D441" s="75" t="s">
        <v>28</v>
      </c>
      <c r="E441" s="76">
        <v>241698</v>
      </c>
      <c r="F441" s="43">
        <v>3.4000000000000002E-2</v>
      </c>
      <c r="G441" s="3">
        <f t="shared" ref="G441:G442" si="98">TRUNC($E441*F441,1)</f>
        <v>8217.7000000000007</v>
      </c>
    </row>
    <row r="442" spans="2:10" ht="12.95" customHeight="1" x14ac:dyDescent="0.3">
      <c r="B442" s="73" t="s">
        <v>8</v>
      </c>
      <c r="C442" s="74"/>
      <c r="D442" s="75" t="s">
        <v>28</v>
      </c>
      <c r="E442" s="148">
        <v>172068</v>
      </c>
      <c r="F442" s="43">
        <v>7.2999999999999995E-2</v>
      </c>
      <c r="G442" s="3">
        <f t="shared" si="98"/>
        <v>12560.9</v>
      </c>
    </row>
    <row r="443" spans="2:10" ht="12.95" customHeight="1" x14ac:dyDescent="0.3">
      <c r="B443" s="77" t="s">
        <v>30</v>
      </c>
      <c r="C443" s="103"/>
      <c r="D443" s="104"/>
      <c r="E443" s="105"/>
      <c r="F443" s="105"/>
      <c r="G443" s="18">
        <f>TRUNC(SUM(G441:G442))</f>
        <v>20778</v>
      </c>
    </row>
    <row r="444" spans="2:10" ht="12.95" customHeight="1" x14ac:dyDescent="0.3">
      <c r="B444" s="106"/>
      <c r="C444" s="74"/>
      <c r="D444" s="75"/>
      <c r="E444" s="107"/>
      <c r="F444" s="107"/>
      <c r="G444" s="9"/>
    </row>
    <row r="445" spans="2:10" ht="12.95" customHeight="1" x14ac:dyDescent="0.3">
      <c r="B445" s="84" t="s">
        <v>33</v>
      </c>
      <c r="C445" s="108"/>
      <c r="D445" s="109"/>
      <c r="E445" s="110"/>
      <c r="F445" s="110"/>
      <c r="G445" s="10">
        <f>SUM(G443)</f>
        <v>20778</v>
      </c>
    </row>
    <row r="447" spans="2:10" ht="12.95" customHeight="1" x14ac:dyDescent="0.3">
      <c r="B447" s="1" t="s">
        <v>155</v>
      </c>
      <c r="G447" s="137"/>
      <c r="I447" s="137" t="s">
        <v>152</v>
      </c>
    </row>
    <row r="448" spans="2:10" ht="12.95" customHeight="1" x14ac:dyDescent="0.3">
      <c r="B448" s="187" t="s">
        <v>21</v>
      </c>
      <c r="C448" s="188" t="s">
        <v>25</v>
      </c>
      <c r="D448" s="190" t="s">
        <v>26</v>
      </c>
      <c r="E448" s="169" t="s">
        <v>22</v>
      </c>
      <c r="F448" s="185" t="s">
        <v>154</v>
      </c>
      <c r="G448" s="186"/>
      <c r="H448" s="185" t="s">
        <v>153</v>
      </c>
      <c r="I448" s="186"/>
    </row>
    <row r="449" spans="2:13" ht="12.95" customHeight="1" x14ac:dyDescent="0.3">
      <c r="B449" s="187"/>
      <c r="C449" s="188"/>
      <c r="D449" s="190"/>
      <c r="E449" s="169"/>
      <c r="F449" s="71" t="s">
        <v>23</v>
      </c>
      <c r="G449" s="72" t="s">
        <v>24</v>
      </c>
      <c r="H449" s="71" t="s">
        <v>23</v>
      </c>
      <c r="I449" s="72" t="s">
        <v>24</v>
      </c>
    </row>
    <row r="450" spans="2:13" ht="12.95" customHeight="1" x14ac:dyDescent="0.3">
      <c r="B450" s="73" t="s">
        <v>14</v>
      </c>
      <c r="C450" s="74"/>
      <c r="D450" s="75" t="s">
        <v>28</v>
      </c>
      <c r="E450" s="76">
        <v>268187</v>
      </c>
      <c r="F450" s="43">
        <v>0.88700000000000001</v>
      </c>
      <c r="G450" s="3">
        <f t="shared" ref="G450:G451" si="99">TRUNC($E450*F450,1)</f>
        <v>237881.8</v>
      </c>
      <c r="H450" s="43">
        <v>0</v>
      </c>
      <c r="I450" s="3">
        <f t="shared" ref="I450:I451" si="100">TRUNC($E450*H450,1)</f>
        <v>0</v>
      </c>
    </row>
    <row r="451" spans="2:13" ht="12.95" customHeight="1" x14ac:dyDescent="0.3">
      <c r="B451" s="73" t="s">
        <v>0</v>
      </c>
      <c r="C451" s="74"/>
      <c r="D451" s="75" t="s">
        <v>28</v>
      </c>
      <c r="E451" s="76">
        <v>273540</v>
      </c>
      <c r="F451" s="43">
        <v>0</v>
      </c>
      <c r="G451" s="3">
        <f t="shared" si="99"/>
        <v>0</v>
      </c>
      <c r="H451" s="43">
        <v>0.125</v>
      </c>
      <c r="I451" s="3">
        <f t="shared" si="100"/>
        <v>34192.5</v>
      </c>
    </row>
    <row r="452" spans="2:13" ht="12.95" customHeight="1" x14ac:dyDescent="0.3">
      <c r="B452" s="77" t="s">
        <v>30</v>
      </c>
      <c r="C452" s="103"/>
      <c r="D452" s="104"/>
      <c r="E452" s="105"/>
      <c r="F452" s="105"/>
      <c r="G452" s="18">
        <f>TRUNC(SUM(G450:G451))</f>
        <v>237881</v>
      </c>
      <c r="H452" s="105"/>
      <c r="I452" s="18">
        <f>TRUNC(SUM(I450:I451))</f>
        <v>34192</v>
      </c>
    </row>
    <row r="453" spans="2:13" ht="12.95" customHeight="1" x14ac:dyDescent="0.3">
      <c r="B453" s="106"/>
      <c r="C453" s="74"/>
      <c r="D453" s="75"/>
      <c r="E453" s="107"/>
      <c r="F453" s="107"/>
      <c r="G453" s="9"/>
      <c r="H453" s="107"/>
      <c r="I453" s="9"/>
    </row>
    <row r="454" spans="2:13" ht="12.95" customHeight="1" x14ac:dyDescent="0.3">
      <c r="B454" s="84" t="s">
        <v>33</v>
      </c>
      <c r="C454" s="108"/>
      <c r="D454" s="109"/>
      <c r="E454" s="110"/>
      <c r="F454" s="110"/>
      <c r="G454" s="10">
        <f>SUM(G452)</f>
        <v>237881</v>
      </c>
      <c r="H454" s="110"/>
      <c r="I454" s="10">
        <f>SUM(I452)</f>
        <v>34192</v>
      </c>
    </row>
    <row r="456" spans="2:13" ht="12.95" customHeight="1" x14ac:dyDescent="0.3">
      <c r="B456" s="1" t="s">
        <v>156</v>
      </c>
    </row>
    <row r="457" spans="2:13" ht="12.95" customHeight="1" x14ac:dyDescent="0.3">
      <c r="B457" s="115" t="s">
        <v>322</v>
      </c>
      <c r="C457" s="116"/>
      <c r="D457" s="22"/>
      <c r="E457" s="22"/>
      <c r="F457" s="22"/>
      <c r="G457" s="117"/>
      <c r="H457" s="22"/>
      <c r="I457" s="117"/>
      <c r="J457" s="22"/>
      <c r="K457" s="117" t="s">
        <v>315</v>
      </c>
    </row>
    <row r="458" spans="2:13" ht="12.95" customHeight="1" x14ac:dyDescent="0.3">
      <c r="B458" s="176" t="s">
        <v>21</v>
      </c>
      <c r="C458" s="176" t="s">
        <v>25</v>
      </c>
      <c r="D458" s="170" t="s">
        <v>26</v>
      </c>
      <c r="E458" s="170" t="s">
        <v>22</v>
      </c>
      <c r="F458" s="185" t="s">
        <v>157</v>
      </c>
      <c r="G458" s="186"/>
      <c r="H458" s="185" t="s">
        <v>158</v>
      </c>
      <c r="I458" s="186"/>
      <c r="J458" s="174" t="s">
        <v>159</v>
      </c>
      <c r="K458" s="175"/>
    </row>
    <row r="459" spans="2:13" ht="12.95" customHeight="1" x14ac:dyDescent="0.3">
      <c r="B459" s="177"/>
      <c r="C459" s="177"/>
      <c r="D459" s="179"/>
      <c r="E459" s="179"/>
      <c r="F459" s="68" t="s">
        <v>316</v>
      </c>
      <c r="G459" s="70">
        <v>30</v>
      </c>
      <c r="H459" s="68" t="s">
        <v>316</v>
      </c>
      <c r="I459" s="70">
        <v>40</v>
      </c>
      <c r="J459" s="68" t="s">
        <v>316</v>
      </c>
      <c r="K459" s="70">
        <v>70</v>
      </c>
    </row>
    <row r="460" spans="2:13" ht="12.95" customHeight="1" x14ac:dyDescent="0.3">
      <c r="B460" s="178"/>
      <c r="C460" s="178"/>
      <c r="D460" s="171"/>
      <c r="E460" s="171"/>
      <c r="F460" s="71" t="s">
        <v>287</v>
      </c>
      <c r="G460" s="72" t="s">
        <v>288</v>
      </c>
      <c r="H460" s="71" t="s">
        <v>287</v>
      </c>
      <c r="I460" s="72" t="s">
        <v>288</v>
      </c>
      <c r="J460" s="71" t="s">
        <v>287</v>
      </c>
      <c r="K460" s="72" t="s">
        <v>288</v>
      </c>
      <c r="L460" s="4"/>
      <c r="M460" s="4"/>
    </row>
    <row r="461" spans="2:13" ht="12.95" customHeight="1" x14ac:dyDescent="0.3">
      <c r="B461" s="126" t="s">
        <v>4</v>
      </c>
      <c r="C461" s="126"/>
      <c r="D461" s="75" t="s">
        <v>28</v>
      </c>
      <c r="E461" s="139">
        <v>275790</v>
      </c>
      <c r="F461" s="36">
        <v>4</v>
      </c>
      <c r="G461" s="3">
        <f t="shared" ref="G461:G462" si="101">TRUNC($E461*F461,1)</f>
        <v>1103160</v>
      </c>
      <c r="H461" s="36">
        <v>4</v>
      </c>
      <c r="I461" s="3">
        <f t="shared" ref="I461:I462" si="102">TRUNC($E461*H461,1)</f>
        <v>1103160</v>
      </c>
      <c r="J461" s="36">
        <v>4</v>
      </c>
      <c r="K461" s="3">
        <f t="shared" ref="K461:K462" si="103">TRUNC($E461*J461,1)</f>
        <v>1103160</v>
      </c>
      <c r="L461" s="4"/>
      <c r="M461" s="4"/>
    </row>
    <row r="462" spans="2:13" ht="12.95" customHeight="1" x14ac:dyDescent="0.3">
      <c r="B462" s="126" t="s">
        <v>8</v>
      </c>
      <c r="C462" s="126"/>
      <c r="D462" s="75" t="s">
        <v>28</v>
      </c>
      <c r="E462" s="76">
        <v>172068</v>
      </c>
      <c r="F462" s="36">
        <v>1</v>
      </c>
      <c r="G462" s="3">
        <f t="shared" si="101"/>
        <v>172068</v>
      </c>
      <c r="H462" s="36">
        <v>1</v>
      </c>
      <c r="I462" s="3">
        <f t="shared" si="102"/>
        <v>172068</v>
      </c>
      <c r="J462" s="36">
        <v>1</v>
      </c>
      <c r="K462" s="3">
        <f t="shared" si="103"/>
        <v>172068</v>
      </c>
      <c r="L462" s="4"/>
      <c r="M462" s="4"/>
    </row>
    <row r="463" spans="2:13" ht="12.95" customHeight="1" x14ac:dyDescent="0.3">
      <c r="B463" s="77" t="s">
        <v>30</v>
      </c>
      <c r="C463" s="78"/>
      <c r="D463" s="78"/>
      <c r="E463" s="24"/>
      <c r="F463" s="56"/>
      <c r="G463" s="55">
        <f>TRUNC(SUM(G461:G462))</f>
        <v>1275228</v>
      </c>
      <c r="H463" s="56"/>
      <c r="I463" s="55">
        <f>TRUNC(SUM(I461:I462))</f>
        <v>1275228</v>
      </c>
      <c r="J463" s="56"/>
      <c r="K463" s="55">
        <f>TRUNC(SUM(K461:K462))</f>
        <v>1275228</v>
      </c>
      <c r="L463" s="4"/>
      <c r="M463" s="4"/>
    </row>
    <row r="464" spans="2:13" ht="12.95" customHeight="1" x14ac:dyDescent="0.3">
      <c r="B464" s="79"/>
      <c r="C464" s="80"/>
      <c r="D464" s="80"/>
      <c r="E464" s="81"/>
      <c r="F464" s="37"/>
      <c r="G464" s="57"/>
      <c r="H464" s="37"/>
      <c r="I464" s="57"/>
      <c r="J464" s="37"/>
      <c r="K464" s="57"/>
      <c r="L464" s="4"/>
      <c r="M464" s="4"/>
    </row>
    <row r="465" spans="2:13" ht="12.95" customHeight="1" x14ac:dyDescent="0.3">
      <c r="B465" s="82" t="s">
        <v>33</v>
      </c>
      <c r="C465" s="78"/>
      <c r="D465" s="78"/>
      <c r="E465" s="83"/>
      <c r="F465" s="83"/>
      <c r="G465" s="58">
        <f>SUM(G463)</f>
        <v>1275228</v>
      </c>
      <c r="H465" s="83"/>
      <c r="I465" s="58">
        <f>SUM(I463)</f>
        <v>1275228</v>
      </c>
      <c r="J465" s="83"/>
      <c r="K465" s="58">
        <f>SUM(K463)</f>
        <v>1275228</v>
      </c>
      <c r="L465" s="4"/>
      <c r="M465" s="4"/>
    </row>
    <row r="466" spans="2:13" ht="12.95" customHeight="1" x14ac:dyDescent="0.3">
      <c r="B466" s="84" t="s">
        <v>321</v>
      </c>
      <c r="C466" s="85"/>
      <c r="D466" s="86"/>
      <c r="E466" s="87"/>
      <c r="F466" s="88"/>
      <c r="G466" s="7">
        <f>TRUNC((G465/G459)*10)</f>
        <v>425076</v>
      </c>
      <c r="H466" s="88"/>
      <c r="I466" s="7">
        <f>TRUNC((I465/I459)*10)</f>
        <v>318807</v>
      </c>
      <c r="J466" s="88"/>
      <c r="K466" s="7">
        <f>TRUNC((K465/K459)*10)</f>
        <v>182175</v>
      </c>
      <c r="L466" s="4"/>
      <c r="M466" s="4"/>
    </row>
    <row r="468" spans="2:13" ht="12.95" customHeight="1" x14ac:dyDescent="0.3">
      <c r="B468" s="1" t="s">
        <v>160</v>
      </c>
    </row>
    <row r="469" spans="2:13" ht="12.95" customHeight="1" x14ac:dyDescent="0.3">
      <c r="B469" s="115" t="s">
        <v>322</v>
      </c>
      <c r="C469" s="116"/>
      <c r="D469" s="22"/>
      <c r="E469" s="22"/>
      <c r="F469" s="22"/>
      <c r="G469" s="117" t="s">
        <v>315</v>
      </c>
      <c r="H469" s="22"/>
      <c r="I469" s="22"/>
    </row>
    <row r="470" spans="2:13" ht="12.95" customHeight="1" x14ac:dyDescent="0.3">
      <c r="B470" s="176" t="s">
        <v>21</v>
      </c>
      <c r="C470" s="176" t="s">
        <v>25</v>
      </c>
      <c r="D470" s="170" t="s">
        <v>26</v>
      </c>
      <c r="E470" s="170" t="s">
        <v>22</v>
      </c>
      <c r="F470" s="185" t="s">
        <v>157</v>
      </c>
      <c r="G470" s="186"/>
    </row>
    <row r="471" spans="2:13" ht="12.95" customHeight="1" x14ac:dyDescent="0.3">
      <c r="B471" s="177"/>
      <c r="C471" s="177"/>
      <c r="D471" s="179"/>
      <c r="E471" s="179"/>
      <c r="F471" s="68" t="s">
        <v>318</v>
      </c>
      <c r="G471" s="70">
        <v>40</v>
      </c>
    </row>
    <row r="472" spans="2:13" ht="12.95" customHeight="1" x14ac:dyDescent="0.3">
      <c r="B472" s="178"/>
      <c r="C472" s="178"/>
      <c r="D472" s="171"/>
      <c r="E472" s="171"/>
      <c r="F472" s="71" t="s">
        <v>287</v>
      </c>
      <c r="G472" s="72" t="s">
        <v>288</v>
      </c>
      <c r="H472" s="11"/>
      <c r="I472" s="11"/>
    </row>
    <row r="473" spans="2:13" ht="12.95" customHeight="1" x14ac:dyDescent="0.3">
      <c r="B473" s="89" t="s">
        <v>39</v>
      </c>
      <c r="C473" s="89" t="s">
        <v>267</v>
      </c>
      <c r="D473" s="90" t="s">
        <v>34</v>
      </c>
      <c r="E473" s="149">
        <v>23635</v>
      </c>
      <c r="F473" s="36">
        <v>8</v>
      </c>
      <c r="G473" s="3">
        <f t="shared" ref="G473" si="104">TRUNC($E473*F473,1)</f>
        <v>189080</v>
      </c>
      <c r="I473" s="4"/>
    </row>
    <row r="474" spans="2:13" ht="12.95" customHeight="1" x14ac:dyDescent="0.3">
      <c r="B474" s="89" t="s">
        <v>27</v>
      </c>
      <c r="C474" s="91" t="s">
        <v>51</v>
      </c>
      <c r="D474" s="90" t="s">
        <v>35</v>
      </c>
      <c r="E474" s="92"/>
      <c r="F474" s="36">
        <v>1</v>
      </c>
      <c r="G474" s="6">
        <f>TRUNC(SUM(G477:G478)*0.02,1)</f>
        <v>31020.3</v>
      </c>
      <c r="I474" s="4"/>
    </row>
    <row r="475" spans="2:13" ht="12.95" customHeight="1" x14ac:dyDescent="0.3">
      <c r="B475" s="93" t="s">
        <v>29</v>
      </c>
      <c r="C475" s="96"/>
      <c r="D475" s="97"/>
      <c r="E475" s="138"/>
      <c r="F475" s="36"/>
      <c r="G475" s="20">
        <f t="shared" ref="G475" si="105">TRUNC(SUM(G473:G474))</f>
        <v>220100</v>
      </c>
      <c r="I475" s="4"/>
    </row>
    <row r="476" spans="2:13" ht="12.95" customHeight="1" x14ac:dyDescent="0.3">
      <c r="B476" s="79"/>
      <c r="C476" s="79"/>
      <c r="D476" s="90"/>
      <c r="E476" s="98"/>
      <c r="F476" s="36"/>
      <c r="G476" s="99"/>
      <c r="H476" s="22"/>
      <c r="I476" s="4"/>
    </row>
    <row r="477" spans="2:13" ht="12.95" customHeight="1" x14ac:dyDescent="0.3">
      <c r="B477" s="73" t="s">
        <v>4</v>
      </c>
      <c r="C477" s="74"/>
      <c r="D477" s="75" t="s">
        <v>28</v>
      </c>
      <c r="E477" s="150">
        <v>275790</v>
      </c>
      <c r="F477" s="36">
        <v>5</v>
      </c>
      <c r="G477" s="3">
        <f t="shared" ref="G477:G479" si="106">TRUNC($E477*F477,1)</f>
        <v>1378950</v>
      </c>
      <c r="H477" s="22"/>
      <c r="I477" s="4"/>
    </row>
    <row r="478" spans="2:13" ht="12.95" customHeight="1" x14ac:dyDescent="0.3">
      <c r="B478" s="73" t="s">
        <v>8</v>
      </c>
      <c r="C478" s="74"/>
      <c r="D478" s="75" t="s">
        <v>28</v>
      </c>
      <c r="E478" s="150">
        <v>172068</v>
      </c>
      <c r="F478" s="36">
        <v>1</v>
      </c>
      <c r="G478" s="3">
        <f t="shared" si="106"/>
        <v>172068</v>
      </c>
      <c r="H478" s="22"/>
    </row>
    <row r="479" spans="2:13" ht="12.95" customHeight="1" x14ac:dyDescent="0.3">
      <c r="B479" s="89" t="s">
        <v>39</v>
      </c>
      <c r="C479" s="89" t="s">
        <v>267</v>
      </c>
      <c r="D479" s="90" t="s">
        <v>34</v>
      </c>
      <c r="E479" s="151">
        <v>58925</v>
      </c>
      <c r="F479" s="36">
        <v>8</v>
      </c>
      <c r="G479" s="3">
        <f t="shared" si="106"/>
        <v>471400</v>
      </c>
      <c r="H479" s="22"/>
    </row>
    <row r="480" spans="2:13" ht="12.95" customHeight="1" x14ac:dyDescent="0.3">
      <c r="B480" s="77" t="s">
        <v>30</v>
      </c>
      <c r="C480" s="96"/>
      <c r="D480" s="97"/>
      <c r="E480" s="19"/>
      <c r="F480" s="36"/>
      <c r="G480" s="20">
        <f>TRUNC(SUM(G477:G479))</f>
        <v>2022418</v>
      </c>
      <c r="H480" s="22"/>
    </row>
    <row r="481" spans="2:13" ht="12.95" customHeight="1" x14ac:dyDescent="0.3">
      <c r="B481" s="79"/>
      <c r="C481" s="79"/>
      <c r="D481" s="90"/>
      <c r="E481" s="98"/>
      <c r="F481" s="36"/>
      <c r="G481" s="99"/>
      <c r="H481" s="22"/>
    </row>
    <row r="482" spans="2:13" ht="12.95" customHeight="1" x14ac:dyDescent="0.3">
      <c r="B482" s="89" t="s">
        <v>39</v>
      </c>
      <c r="C482" s="89" t="s">
        <v>267</v>
      </c>
      <c r="D482" s="90" t="s">
        <v>34</v>
      </c>
      <c r="E482" s="151">
        <v>90444</v>
      </c>
      <c r="F482" s="36">
        <v>8</v>
      </c>
      <c r="G482" s="3">
        <f t="shared" ref="G482" si="107">TRUNC($E482*F482,1)</f>
        <v>723552</v>
      </c>
      <c r="H482" s="22"/>
    </row>
    <row r="483" spans="2:13" ht="12.95" customHeight="1" x14ac:dyDescent="0.3">
      <c r="B483" s="93" t="s">
        <v>31</v>
      </c>
      <c r="C483" s="96"/>
      <c r="D483" s="104"/>
      <c r="E483" s="19"/>
      <c r="F483" s="138"/>
      <c r="G483" s="20">
        <f t="shared" ref="G483" si="108">TRUNC(SUM(G482))</f>
        <v>723552</v>
      </c>
      <c r="H483" s="22"/>
    </row>
    <row r="484" spans="2:13" ht="12.95" customHeight="1" x14ac:dyDescent="0.3">
      <c r="B484" s="79"/>
      <c r="C484" s="79"/>
      <c r="D484" s="90"/>
      <c r="E484" s="98"/>
      <c r="F484" s="98"/>
      <c r="G484" s="99"/>
      <c r="H484" s="22"/>
    </row>
    <row r="485" spans="2:13" ht="12.95" customHeight="1" x14ac:dyDescent="0.3">
      <c r="B485" s="82" t="s">
        <v>33</v>
      </c>
      <c r="C485" s="79"/>
      <c r="D485" s="90"/>
      <c r="E485" s="152"/>
      <c r="F485" s="153"/>
      <c r="G485" s="53">
        <f>SUM(G475+G480+G483)</f>
        <v>2966070</v>
      </c>
      <c r="H485" s="4"/>
      <c r="I485" s="4"/>
      <c r="L485" s="4"/>
      <c r="M485" s="4"/>
    </row>
    <row r="486" spans="2:13" ht="12.95" customHeight="1" x14ac:dyDescent="0.3">
      <c r="B486" s="84" t="s">
        <v>321</v>
      </c>
      <c r="C486" s="85"/>
      <c r="D486" s="86"/>
      <c r="E486" s="87"/>
      <c r="F486" s="88"/>
      <c r="G486" s="7">
        <f>TRUNC((G485/G471)*10)</f>
        <v>741517</v>
      </c>
      <c r="H486" s="4"/>
      <c r="I486" s="4"/>
      <c r="L486" s="4"/>
      <c r="M486" s="4"/>
    </row>
    <row r="487" spans="2:13" ht="12.95" customHeight="1" x14ac:dyDescent="0.3">
      <c r="B487" s="176" t="s">
        <v>21</v>
      </c>
      <c r="C487" s="176" t="s">
        <v>25</v>
      </c>
      <c r="D487" s="170" t="s">
        <v>26</v>
      </c>
      <c r="E487" s="170" t="s">
        <v>22</v>
      </c>
      <c r="F487" s="185" t="s">
        <v>158</v>
      </c>
      <c r="G487" s="186"/>
      <c r="H487" s="174" t="s">
        <v>159</v>
      </c>
      <c r="I487" s="175"/>
      <c r="L487" s="4"/>
      <c r="M487" s="4"/>
    </row>
    <row r="488" spans="2:13" ht="12.95" customHeight="1" x14ac:dyDescent="0.3">
      <c r="B488" s="177"/>
      <c r="C488" s="177"/>
      <c r="D488" s="179"/>
      <c r="E488" s="179"/>
      <c r="F488" s="68" t="s">
        <v>316</v>
      </c>
      <c r="G488" s="70">
        <v>50</v>
      </c>
      <c r="H488" s="68" t="s">
        <v>316</v>
      </c>
      <c r="I488" s="70">
        <v>90</v>
      </c>
    </row>
    <row r="489" spans="2:13" ht="12.95" customHeight="1" x14ac:dyDescent="0.3">
      <c r="B489" s="178"/>
      <c r="C489" s="178"/>
      <c r="D489" s="171"/>
      <c r="E489" s="171"/>
      <c r="F489" s="71" t="s">
        <v>287</v>
      </c>
      <c r="G489" s="72" t="s">
        <v>288</v>
      </c>
      <c r="H489" s="71" t="s">
        <v>287</v>
      </c>
      <c r="I489" s="72" t="s">
        <v>288</v>
      </c>
      <c r="J489" s="4"/>
      <c r="K489" s="4"/>
    </row>
    <row r="490" spans="2:13" ht="12.95" customHeight="1" x14ac:dyDescent="0.3">
      <c r="B490" s="89" t="s">
        <v>27</v>
      </c>
      <c r="C490" s="91" t="s">
        <v>51</v>
      </c>
      <c r="D490" s="90" t="s">
        <v>35</v>
      </c>
      <c r="E490" s="92"/>
      <c r="F490" s="36">
        <v>1</v>
      </c>
      <c r="G490" s="6">
        <f>TRUNC(SUM(G493:G494)*0.02,1)</f>
        <v>31020.3</v>
      </c>
      <c r="H490" s="36">
        <v>1</v>
      </c>
      <c r="I490" s="6">
        <f>TRUNC(SUM(I493:I494)*0.02,1)</f>
        <v>31020.3</v>
      </c>
    </row>
    <row r="491" spans="2:13" ht="12.95" customHeight="1" x14ac:dyDescent="0.3">
      <c r="B491" s="129" t="s">
        <v>29</v>
      </c>
      <c r="C491" s="130"/>
      <c r="D491" s="131"/>
      <c r="E491" s="132"/>
      <c r="F491" s="44"/>
      <c r="G491" s="40">
        <f>TRUNC(SUM(G490:G490))</f>
        <v>31020</v>
      </c>
      <c r="H491" s="44"/>
      <c r="I491" s="40">
        <f>TRUNC(SUM(I490:I490))</f>
        <v>31020</v>
      </c>
    </row>
    <row r="492" spans="2:13" ht="12.95" customHeight="1" x14ac:dyDescent="0.3">
      <c r="B492" s="126"/>
      <c r="C492" s="126"/>
      <c r="D492" s="127"/>
      <c r="E492" s="76"/>
      <c r="F492" s="25"/>
      <c r="G492" s="29"/>
      <c r="H492" s="25"/>
      <c r="I492" s="29"/>
    </row>
    <row r="493" spans="2:13" ht="12.95" customHeight="1" x14ac:dyDescent="0.3">
      <c r="B493" s="126" t="s">
        <v>4</v>
      </c>
      <c r="C493" s="126"/>
      <c r="D493" s="75" t="s">
        <v>28</v>
      </c>
      <c r="E493" s="139">
        <v>275790</v>
      </c>
      <c r="F493" s="36">
        <v>5</v>
      </c>
      <c r="G493" s="3">
        <f t="shared" ref="G493:G494" si="109">TRUNC($E493*F493,1)</f>
        <v>1378950</v>
      </c>
      <c r="H493" s="36">
        <v>5</v>
      </c>
      <c r="I493" s="3">
        <f t="shared" ref="I493:I494" si="110">TRUNC($E493*H493,1)</f>
        <v>1378950</v>
      </c>
      <c r="J493" s="4"/>
      <c r="K493" s="4"/>
    </row>
    <row r="494" spans="2:13" ht="12.95" customHeight="1" x14ac:dyDescent="0.3">
      <c r="B494" s="126" t="s">
        <v>8</v>
      </c>
      <c r="C494" s="126"/>
      <c r="D494" s="75" t="s">
        <v>28</v>
      </c>
      <c r="E494" s="76">
        <v>172068</v>
      </c>
      <c r="F494" s="36">
        <v>1</v>
      </c>
      <c r="G494" s="3">
        <f t="shared" si="109"/>
        <v>172068</v>
      </c>
      <c r="H494" s="36">
        <v>1</v>
      </c>
      <c r="I494" s="3">
        <f t="shared" si="110"/>
        <v>172068</v>
      </c>
      <c r="J494" s="4"/>
      <c r="K494" s="4"/>
    </row>
    <row r="495" spans="2:13" ht="12.95" customHeight="1" x14ac:dyDescent="0.3">
      <c r="B495" s="77" t="s">
        <v>30</v>
      </c>
      <c r="C495" s="78"/>
      <c r="D495" s="78"/>
      <c r="E495" s="24"/>
      <c r="F495" s="36"/>
      <c r="G495" s="55">
        <f>TRUNC(SUM(G493:G494))</f>
        <v>1551018</v>
      </c>
      <c r="H495" s="36"/>
      <c r="I495" s="55">
        <f>TRUNC(SUM(I493:I494))</f>
        <v>1551018</v>
      </c>
      <c r="J495" s="4"/>
      <c r="K495" s="4"/>
    </row>
    <row r="496" spans="2:13" ht="12.95" customHeight="1" x14ac:dyDescent="0.3">
      <c r="B496" s="79"/>
      <c r="C496" s="80"/>
      <c r="D496" s="80"/>
      <c r="E496" s="81"/>
      <c r="F496" s="37"/>
      <c r="G496" s="57"/>
      <c r="H496" s="37"/>
      <c r="I496" s="57"/>
      <c r="J496" s="4"/>
      <c r="K496" s="4"/>
    </row>
    <row r="497" spans="2:11" ht="12.95" customHeight="1" x14ac:dyDescent="0.3">
      <c r="B497" s="82" t="s">
        <v>33</v>
      </c>
      <c r="C497" s="78"/>
      <c r="D497" s="78"/>
      <c r="E497" s="83"/>
      <c r="F497" s="83"/>
      <c r="G497" s="58">
        <f>SUM(G491+G495)</f>
        <v>1582038</v>
      </c>
      <c r="H497" s="83"/>
      <c r="I497" s="58">
        <f>SUM(I491+I495)</f>
        <v>1582038</v>
      </c>
      <c r="J497" s="4"/>
      <c r="K497" s="4"/>
    </row>
    <row r="498" spans="2:11" ht="12.95" customHeight="1" x14ac:dyDescent="0.3">
      <c r="B498" s="84" t="s">
        <v>321</v>
      </c>
      <c r="C498" s="85"/>
      <c r="D498" s="86"/>
      <c r="E498" s="87"/>
      <c r="F498" s="88"/>
      <c r="G498" s="7">
        <f>TRUNC((G497/G488)*10)</f>
        <v>316407</v>
      </c>
      <c r="H498" s="88"/>
      <c r="I498" s="7">
        <f>TRUNC((I497/I488)*10)</f>
        <v>175782</v>
      </c>
      <c r="J498" s="4"/>
      <c r="K498" s="4"/>
    </row>
    <row r="500" spans="2:11" ht="12.95" customHeight="1" x14ac:dyDescent="0.3">
      <c r="B500" s="1" t="s">
        <v>161</v>
      </c>
    </row>
    <row r="501" spans="2:11" ht="12.95" customHeight="1" x14ac:dyDescent="0.3">
      <c r="B501" s="115" t="s">
        <v>162</v>
      </c>
      <c r="C501" s="116"/>
      <c r="D501" s="22"/>
      <c r="E501" s="22"/>
      <c r="F501" s="22"/>
      <c r="G501" s="117" t="s">
        <v>163</v>
      </c>
    </row>
    <row r="502" spans="2:11" ht="12.95" customHeight="1" x14ac:dyDescent="0.3">
      <c r="B502" s="165" t="s">
        <v>21</v>
      </c>
      <c r="C502" s="167" t="s">
        <v>36</v>
      </c>
      <c r="D502" s="169" t="s">
        <v>26</v>
      </c>
      <c r="E502" s="170" t="s">
        <v>22</v>
      </c>
      <c r="F502" s="170" t="s">
        <v>23</v>
      </c>
      <c r="G502" s="172" t="s">
        <v>24</v>
      </c>
      <c r="H502" s="122"/>
    </row>
    <row r="503" spans="2:11" ht="12.95" customHeight="1" x14ac:dyDescent="0.3">
      <c r="B503" s="166"/>
      <c r="C503" s="168"/>
      <c r="D503" s="169"/>
      <c r="E503" s="171"/>
      <c r="F503" s="171"/>
      <c r="G503" s="173"/>
    </row>
    <row r="504" spans="2:11" ht="12.95" customHeight="1" x14ac:dyDescent="0.3">
      <c r="B504" s="144" t="s">
        <v>164</v>
      </c>
      <c r="C504" s="126" t="s">
        <v>167</v>
      </c>
      <c r="D504" s="127" t="s">
        <v>128</v>
      </c>
      <c r="E504" s="23">
        <v>0</v>
      </c>
      <c r="F504" s="45">
        <v>1.04</v>
      </c>
      <c r="G504" s="3">
        <f t="shared" ref="G504:G506" si="111">TRUNC($E504*F504,1)</f>
        <v>0</v>
      </c>
    </row>
    <row r="505" spans="2:11" ht="12.95" customHeight="1" x14ac:dyDescent="0.3">
      <c r="B505" s="144" t="s">
        <v>165</v>
      </c>
      <c r="C505" s="126"/>
      <c r="D505" s="127" t="s">
        <v>169</v>
      </c>
      <c r="E505" s="23">
        <v>0</v>
      </c>
      <c r="F505" s="45">
        <v>4.2000000000000003E-2</v>
      </c>
      <c r="G505" s="3">
        <f t="shared" si="111"/>
        <v>0</v>
      </c>
    </row>
    <row r="506" spans="2:11" ht="12.95" customHeight="1" x14ac:dyDescent="0.3">
      <c r="B506" s="144" t="s">
        <v>166</v>
      </c>
      <c r="C506" s="126" t="s">
        <v>168</v>
      </c>
      <c r="D506" s="127" t="s">
        <v>169</v>
      </c>
      <c r="E506" s="23">
        <v>0</v>
      </c>
      <c r="F506" s="45">
        <v>0.21</v>
      </c>
      <c r="G506" s="3">
        <f t="shared" si="111"/>
        <v>0</v>
      </c>
    </row>
    <row r="507" spans="2:11" ht="12.95" customHeight="1" x14ac:dyDescent="0.3">
      <c r="B507" s="89" t="s">
        <v>27</v>
      </c>
      <c r="C507" s="91" t="s">
        <v>32</v>
      </c>
      <c r="D507" s="90" t="s">
        <v>35</v>
      </c>
      <c r="E507" s="92"/>
      <c r="F507" s="36">
        <v>1</v>
      </c>
      <c r="G507" s="6">
        <f>TRUNC(SUM(G510:G511)*0.03,1)</f>
        <v>1623.1</v>
      </c>
    </row>
    <row r="508" spans="2:11" ht="12.95" customHeight="1" x14ac:dyDescent="0.3">
      <c r="B508" s="129" t="s">
        <v>29</v>
      </c>
      <c r="C508" s="130"/>
      <c r="D508" s="131"/>
      <c r="E508" s="132"/>
      <c r="F508" s="44"/>
      <c r="G508" s="40">
        <f>TRUNC(SUM(G504:G507))</f>
        <v>1623</v>
      </c>
    </row>
    <row r="509" spans="2:11" ht="12.95" customHeight="1" x14ac:dyDescent="0.3">
      <c r="B509" s="126"/>
      <c r="C509" s="126"/>
      <c r="D509" s="127"/>
      <c r="E509" s="76"/>
      <c r="F509" s="25"/>
      <c r="G509" s="29"/>
    </row>
    <row r="510" spans="2:11" ht="12.95" customHeight="1" x14ac:dyDescent="0.3">
      <c r="B510" s="126" t="s">
        <v>42</v>
      </c>
      <c r="C510" s="126"/>
      <c r="D510" s="75" t="s">
        <v>28</v>
      </c>
      <c r="E510" s="139">
        <v>226122</v>
      </c>
      <c r="F510" s="45">
        <v>0.151</v>
      </c>
      <c r="G510" s="3">
        <f t="shared" ref="G510:G511" si="112">TRUNC($E510*F510,1)</f>
        <v>34144.400000000001</v>
      </c>
    </row>
    <row r="511" spans="2:11" ht="12.95" customHeight="1" x14ac:dyDescent="0.3">
      <c r="B511" s="126" t="s">
        <v>8</v>
      </c>
      <c r="C511" s="126"/>
      <c r="D511" s="75" t="s">
        <v>28</v>
      </c>
      <c r="E511" s="139">
        <v>172068</v>
      </c>
      <c r="F511" s="45">
        <v>0.11600000000000001</v>
      </c>
      <c r="G511" s="3">
        <f t="shared" si="112"/>
        <v>19959.8</v>
      </c>
    </row>
    <row r="512" spans="2:11" ht="12.95" customHeight="1" x14ac:dyDescent="0.3">
      <c r="B512" s="77" t="s">
        <v>30</v>
      </c>
      <c r="C512" s="133"/>
      <c r="D512" s="134"/>
      <c r="E512" s="24"/>
      <c r="F512" s="39"/>
      <c r="G512" s="40">
        <f>TRUNC(SUM(G510:G511))</f>
        <v>54104</v>
      </c>
    </row>
    <row r="513" spans="2:15" ht="12.95" customHeight="1" x14ac:dyDescent="0.3">
      <c r="B513" s="126"/>
      <c r="C513" s="126"/>
      <c r="D513" s="126"/>
      <c r="E513" s="76"/>
      <c r="F513" s="26"/>
      <c r="G513" s="29"/>
    </row>
    <row r="514" spans="2:15" ht="12.95" customHeight="1" x14ac:dyDescent="0.3">
      <c r="B514" s="84" t="s">
        <v>33</v>
      </c>
      <c r="C514" s="135"/>
      <c r="D514" s="135"/>
      <c r="E514" s="136"/>
      <c r="F514" s="136"/>
      <c r="G514" s="42">
        <f>SUM(G508+G512)</f>
        <v>55727</v>
      </c>
    </row>
    <row r="516" spans="2:15" ht="12.95" customHeight="1" x14ac:dyDescent="0.3">
      <c r="B516" s="1" t="s">
        <v>170</v>
      </c>
      <c r="G516" s="117" t="s">
        <v>163</v>
      </c>
    </row>
    <row r="517" spans="2:15" ht="12.95" customHeight="1" x14ac:dyDescent="0.3">
      <c r="B517" s="187" t="s">
        <v>21</v>
      </c>
      <c r="C517" s="188" t="s">
        <v>25</v>
      </c>
      <c r="D517" s="190" t="s">
        <v>26</v>
      </c>
      <c r="E517" s="169" t="s">
        <v>22</v>
      </c>
      <c r="F517" s="170" t="s">
        <v>23</v>
      </c>
      <c r="G517" s="172" t="s">
        <v>24</v>
      </c>
    </row>
    <row r="518" spans="2:15" ht="12.95" customHeight="1" x14ac:dyDescent="0.3">
      <c r="B518" s="187"/>
      <c r="C518" s="188"/>
      <c r="D518" s="190"/>
      <c r="E518" s="169"/>
      <c r="F518" s="171"/>
      <c r="G518" s="173"/>
    </row>
    <row r="519" spans="2:15" ht="12.95" customHeight="1" x14ac:dyDescent="0.3">
      <c r="B519" s="126" t="s">
        <v>42</v>
      </c>
      <c r="C519" s="126"/>
      <c r="D519" s="75" t="s">
        <v>28</v>
      </c>
      <c r="E519" s="139">
        <v>226122</v>
      </c>
      <c r="F519" s="43">
        <v>8.5000000000000006E-2</v>
      </c>
      <c r="G519" s="3">
        <f t="shared" ref="G519:G520" si="113">TRUNC($E519*F519,1)</f>
        <v>19220.3</v>
      </c>
    </row>
    <row r="520" spans="2:15" ht="12.95" customHeight="1" x14ac:dyDescent="0.3">
      <c r="B520" s="126" t="s">
        <v>8</v>
      </c>
      <c r="C520" s="126"/>
      <c r="D520" s="75" t="s">
        <v>28</v>
      </c>
      <c r="E520" s="139">
        <v>172068</v>
      </c>
      <c r="F520" s="43">
        <v>2.9000000000000001E-2</v>
      </c>
      <c r="G520" s="3">
        <f t="shared" si="113"/>
        <v>4989.8999999999996</v>
      </c>
    </row>
    <row r="521" spans="2:15" ht="12.95" customHeight="1" x14ac:dyDescent="0.3">
      <c r="B521" s="77" t="s">
        <v>30</v>
      </c>
      <c r="C521" s="103"/>
      <c r="D521" s="104"/>
      <c r="E521" s="105"/>
      <c r="F521" s="105"/>
      <c r="G521" s="18">
        <f>TRUNC(SUM(G519:G520))</f>
        <v>24210</v>
      </c>
      <c r="N521" s="4"/>
      <c r="O521" s="4"/>
    </row>
    <row r="522" spans="2:15" ht="12.95" customHeight="1" x14ac:dyDescent="0.3">
      <c r="B522" s="106"/>
      <c r="C522" s="74"/>
      <c r="D522" s="75"/>
      <c r="E522" s="107"/>
      <c r="F522" s="107"/>
      <c r="G522" s="9"/>
      <c r="N522" s="4"/>
      <c r="O522" s="4"/>
    </row>
    <row r="523" spans="2:15" ht="12.95" customHeight="1" x14ac:dyDescent="0.3">
      <c r="B523" s="84" t="s">
        <v>33</v>
      </c>
      <c r="C523" s="108"/>
      <c r="D523" s="109"/>
      <c r="E523" s="110"/>
      <c r="F523" s="110"/>
      <c r="G523" s="10">
        <f>SUM(G521)</f>
        <v>24210</v>
      </c>
      <c r="N523" s="4"/>
      <c r="O523" s="4"/>
    </row>
    <row r="524" spans="2:15" ht="12.95" customHeight="1" x14ac:dyDescent="0.3">
      <c r="N524" s="4"/>
      <c r="O524" s="4"/>
    </row>
    <row r="525" spans="2:15" ht="12.95" customHeight="1" x14ac:dyDescent="0.3">
      <c r="B525" s="1" t="s">
        <v>171</v>
      </c>
      <c r="N525" s="4"/>
      <c r="O525" s="4"/>
    </row>
    <row r="526" spans="2:15" ht="12.95" customHeight="1" x14ac:dyDescent="0.3">
      <c r="B526" s="1" t="s">
        <v>172</v>
      </c>
      <c r="G526" s="117" t="s">
        <v>173</v>
      </c>
    </row>
    <row r="527" spans="2:15" ht="12.95" customHeight="1" x14ac:dyDescent="0.3">
      <c r="B527" s="187" t="s">
        <v>21</v>
      </c>
      <c r="C527" s="188" t="s">
        <v>25</v>
      </c>
      <c r="D527" s="190" t="s">
        <v>26</v>
      </c>
      <c r="E527" s="169" t="s">
        <v>22</v>
      </c>
      <c r="F527" s="170" t="s">
        <v>23</v>
      </c>
      <c r="G527" s="172" t="s">
        <v>24</v>
      </c>
    </row>
    <row r="528" spans="2:15" ht="12.95" customHeight="1" x14ac:dyDescent="0.3">
      <c r="B528" s="187"/>
      <c r="C528" s="188"/>
      <c r="D528" s="190"/>
      <c r="E528" s="169"/>
      <c r="F528" s="171"/>
      <c r="G528" s="173"/>
    </row>
    <row r="529" spans="2:15" ht="12.95" customHeight="1" x14ac:dyDescent="0.3">
      <c r="B529" s="126" t="s">
        <v>4</v>
      </c>
      <c r="C529" s="126"/>
      <c r="D529" s="75" t="s">
        <v>28</v>
      </c>
      <c r="E529" s="139">
        <v>275790</v>
      </c>
      <c r="F529" s="43">
        <v>4.2999999999999997E-2</v>
      </c>
      <c r="G529" s="3">
        <f t="shared" ref="G529:G530" si="114">TRUNC($E529*F529,1)</f>
        <v>11858.9</v>
      </c>
    </row>
    <row r="530" spans="2:15" ht="12.95" customHeight="1" x14ac:dyDescent="0.3">
      <c r="B530" s="126" t="s">
        <v>8</v>
      </c>
      <c r="C530" s="126"/>
      <c r="D530" s="75" t="s">
        <v>28</v>
      </c>
      <c r="E530" s="139">
        <v>172068</v>
      </c>
      <c r="F530" s="43">
        <v>8.9999999999999993E-3</v>
      </c>
      <c r="G530" s="3">
        <f t="shared" si="114"/>
        <v>1548.6</v>
      </c>
    </row>
    <row r="531" spans="2:15" ht="12.95" customHeight="1" x14ac:dyDescent="0.3">
      <c r="B531" s="77" t="s">
        <v>30</v>
      </c>
      <c r="C531" s="103"/>
      <c r="D531" s="104"/>
      <c r="E531" s="105"/>
      <c r="F531" s="105"/>
      <c r="G531" s="18">
        <f>TRUNC(SUM(G529:G530))</f>
        <v>13407</v>
      </c>
    </row>
    <row r="532" spans="2:15" ht="12.95" customHeight="1" x14ac:dyDescent="0.3">
      <c r="B532" s="106"/>
      <c r="C532" s="74"/>
      <c r="D532" s="75"/>
      <c r="E532" s="107"/>
      <c r="F532" s="107"/>
      <c r="G532" s="9"/>
    </row>
    <row r="533" spans="2:15" ht="12.95" customHeight="1" x14ac:dyDescent="0.3">
      <c r="B533" s="84" t="s">
        <v>33</v>
      </c>
      <c r="C533" s="108"/>
      <c r="D533" s="109"/>
      <c r="E533" s="110"/>
      <c r="F533" s="110"/>
      <c r="G533" s="10">
        <f>SUM(G531)</f>
        <v>13407</v>
      </c>
    </row>
    <row r="535" spans="2:15" ht="12.95" customHeight="1" x14ac:dyDescent="0.3">
      <c r="B535" s="1" t="s">
        <v>174</v>
      </c>
      <c r="G535" s="117" t="s">
        <v>104</v>
      </c>
    </row>
    <row r="536" spans="2:15" ht="12.95" customHeight="1" x14ac:dyDescent="0.3">
      <c r="B536" s="187" t="s">
        <v>21</v>
      </c>
      <c r="C536" s="188" t="s">
        <v>25</v>
      </c>
      <c r="D536" s="190" t="s">
        <v>26</v>
      </c>
      <c r="E536" s="169" t="s">
        <v>22</v>
      </c>
      <c r="F536" s="170" t="s">
        <v>23</v>
      </c>
      <c r="G536" s="172" t="s">
        <v>24</v>
      </c>
      <c r="N536" s="4"/>
      <c r="O536" s="4"/>
    </row>
    <row r="537" spans="2:15" ht="12.95" customHeight="1" x14ac:dyDescent="0.3">
      <c r="B537" s="187"/>
      <c r="C537" s="188"/>
      <c r="D537" s="190"/>
      <c r="E537" s="169"/>
      <c r="F537" s="171"/>
      <c r="G537" s="173"/>
      <c r="N537" s="4"/>
      <c r="O537" s="4"/>
    </row>
    <row r="538" spans="2:15" ht="12.95" customHeight="1" x14ac:dyDescent="0.3">
      <c r="B538" s="126" t="s">
        <v>4</v>
      </c>
      <c r="C538" s="126"/>
      <c r="D538" s="75" t="s">
        <v>28</v>
      </c>
      <c r="E538" s="139">
        <v>275790</v>
      </c>
      <c r="F538" s="43">
        <v>2.9000000000000001E-2</v>
      </c>
      <c r="G538" s="3">
        <f t="shared" ref="G538:G539" si="115">TRUNC($E538*F538,1)</f>
        <v>7997.9</v>
      </c>
      <c r="N538" s="4"/>
      <c r="O538" s="4"/>
    </row>
    <row r="539" spans="2:15" ht="12.95" customHeight="1" x14ac:dyDescent="0.3">
      <c r="B539" s="126" t="s">
        <v>8</v>
      </c>
      <c r="C539" s="126"/>
      <c r="D539" s="75" t="s">
        <v>28</v>
      </c>
      <c r="E539" s="139">
        <v>172068</v>
      </c>
      <c r="F539" s="43">
        <v>6.0000000000000001E-3</v>
      </c>
      <c r="G539" s="3">
        <f t="shared" si="115"/>
        <v>1032.4000000000001</v>
      </c>
      <c r="N539" s="4"/>
      <c r="O539" s="4"/>
    </row>
    <row r="540" spans="2:15" ht="12.95" customHeight="1" x14ac:dyDescent="0.3">
      <c r="B540" s="77" t="s">
        <v>30</v>
      </c>
      <c r="C540" s="103"/>
      <c r="D540" s="104"/>
      <c r="E540" s="105"/>
      <c r="F540" s="105"/>
      <c r="G540" s="18">
        <f>TRUNC(SUM(G538:G539))</f>
        <v>9030</v>
      </c>
    </row>
    <row r="541" spans="2:15" ht="12.95" customHeight="1" x14ac:dyDescent="0.3">
      <c r="B541" s="106"/>
      <c r="C541" s="74"/>
      <c r="D541" s="75"/>
      <c r="E541" s="107"/>
      <c r="F541" s="107"/>
      <c r="G541" s="9"/>
    </row>
    <row r="542" spans="2:15" ht="12.95" customHeight="1" x14ac:dyDescent="0.3">
      <c r="B542" s="84" t="s">
        <v>33</v>
      </c>
      <c r="C542" s="108"/>
      <c r="D542" s="109"/>
      <c r="E542" s="110"/>
      <c r="F542" s="110"/>
      <c r="G542" s="10">
        <f>SUM(G540)</f>
        <v>9030</v>
      </c>
    </row>
    <row r="544" spans="2:15" ht="12.95" customHeight="1" x14ac:dyDescent="0.3">
      <c r="B544" s="1" t="s">
        <v>175</v>
      </c>
      <c r="G544" s="117" t="s">
        <v>76</v>
      </c>
    </row>
    <row r="545" spans="2:9" ht="12.95" customHeight="1" x14ac:dyDescent="0.3">
      <c r="B545" s="165" t="s">
        <v>21</v>
      </c>
      <c r="C545" s="167" t="s">
        <v>36</v>
      </c>
      <c r="D545" s="169" t="s">
        <v>26</v>
      </c>
      <c r="E545" s="170" t="s">
        <v>22</v>
      </c>
      <c r="F545" s="170" t="s">
        <v>23</v>
      </c>
      <c r="G545" s="172" t="s">
        <v>24</v>
      </c>
      <c r="H545" s="122"/>
    </row>
    <row r="546" spans="2:9" ht="12.95" customHeight="1" x14ac:dyDescent="0.3">
      <c r="B546" s="166"/>
      <c r="C546" s="168"/>
      <c r="D546" s="169"/>
      <c r="E546" s="171"/>
      <c r="F546" s="171"/>
      <c r="G546" s="173"/>
    </row>
    <row r="547" spans="2:9" ht="12.95" customHeight="1" x14ac:dyDescent="0.3">
      <c r="B547" s="89" t="s">
        <v>27</v>
      </c>
      <c r="C547" s="91" t="s">
        <v>114</v>
      </c>
      <c r="D547" s="90" t="s">
        <v>35</v>
      </c>
      <c r="E547" s="92"/>
      <c r="F547" s="36">
        <v>1</v>
      </c>
      <c r="G547" s="6">
        <f>TRUNC(SUM(G550:G551)*0.01,1)</f>
        <v>54.8</v>
      </c>
    </row>
    <row r="548" spans="2:9" ht="12.95" customHeight="1" x14ac:dyDescent="0.3">
      <c r="B548" s="129" t="s">
        <v>29</v>
      </c>
      <c r="C548" s="130"/>
      <c r="D548" s="131"/>
      <c r="E548" s="132"/>
      <c r="F548" s="44"/>
      <c r="G548" s="40">
        <f>TRUNC(SUM(G547:G547))</f>
        <v>54</v>
      </c>
    </row>
    <row r="549" spans="2:9" ht="12.95" customHeight="1" x14ac:dyDescent="0.3">
      <c r="B549" s="126"/>
      <c r="C549" s="126"/>
      <c r="D549" s="127"/>
      <c r="E549" s="76"/>
      <c r="F549" s="25"/>
      <c r="G549" s="29"/>
    </row>
    <row r="550" spans="2:9" ht="12.95" customHeight="1" x14ac:dyDescent="0.3">
      <c r="B550" s="126" t="s">
        <v>6</v>
      </c>
      <c r="C550" s="126"/>
      <c r="D550" s="75" t="s">
        <v>28</v>
      </c>
      <c r="E550" s="76">
        <v>228286</v>
      </c>
      <c r="F550" s="45">
        <v>2.1000000000000001E-2</v>
      </c>
      <c r="G550" s="3">
        <f t="shared" ref="G550:G551" si="116">TRUNC($E550*F550,1)</f>
        <v>4794</v>
      </c>
    </row>
    <row r="551" spans="2:9" ht="12.95" customHeight="1" x14ac:dyDescent="0.3">
      <c r="B551" s="126" t="s">
        <v>8</v>
      </c>
      <c r="C551" s="126"/>
      <c r="D551" s="75" t="s">
        <v>28</v>
      </c>
      <c r="E551" s="139">
        <v>172068</v>
      </c>
      <c r="F551" s="45">
        <v>4.0000000000000001E-3</v>
      </c>
      <c r="G551" s="3">
        <f t="shared" si="116"/>
        <v>688.2</v>
      </c>
    </row>
    <row r="552" spans="2:9" ht="12.95" customHeight="1" x14ac:dyDescent="0.3">
      <c r="B552" s="77" t="s">
        <v>30</v>
      </c>
      <c r="C552" s="133"/>
      <c r="D552" s="134"/>
      <c r="E552" s="24"/>
      <c r="F552" s="39"/>
      <c r="G552" s="40">
        <f>TRUNC(SUM(G550:G551))</f>
        <v>5482</v>
      </c>
    </row>
    <row r="553" spans="2:9" ht="12.95" customHeight="1" x14ac:dyDescent="0.3">
      <c r="B553" s="126"/>
      <c r="C553" s="126"/>
      <c r="D553" s="126"/>
      <c r="E553" s="76"/>
      <c r="F553" s="26"/>
      <c r="G553" s="29"/>
    </row>
    <row r="554" spans="2:9" ht="12.95" customHeight="1" x14ac:dyDescent="0.3">
      <c r="B554" s="84" t="s">
        <v>33</v>
      </c>
      <c r="C554" s="135"/>
      <c r="D554" s="135"/>
      <c r="E554" s="136"/>
      <c r="F554" s="136"/>
      <c r="G554" s="42">
        <f>SUM(G548+G552)</f>
        <v>5536</v>
      </c>
    </row>
    <row r="556" spans="2:9" ht="12.95" customHeight="1" x14ac:dyDescent="0.3">
      <c r="B556" s="61" t="s">
        <v>176</v>
      </c>
    </row>
    <row r="557" spans="2:9" ht="12.95" customHeight="1" x14ac:dyDescent="0.3">
      <c r="B557" s="1" t="s">
        <v>177</v>
      </c>
      <c r="H557" s="4"/>
      <c r="I557" s="4"/>
    </row>
    <row r="558" spans="2:9" ht="12.95" customHeight="1" x14ac:dyDescent="0.3">
      <c r="B558" s="1" t="s">
        <v>356</v>
      </c>
      <c r="G558" s="137" t="s">
        <v>239</v>
      </c>
      <c r="H558" s="4"/>
      <c r="I558" s="4"/>
    </row>
    <row r="559" spans="2:9" ht="12.95" customHeight="1" x14ac:dyDescent="0.3">
      <c r="B559" s="176" t="s">
        <v>21</v>
      </c>
      <c r="C559" s="170" t="s">
        <v>25</v>
      </c>
      <c r="D559" s="170" t="s">
        <v>26</v>
      </c>
      <c r="E559" s="170" t="s">
        <v>22</v>
      </c>
      <c r="F559" s="68" t="s">
        <v>301</v>
      </c>
      <c r="G559" s="69">
        <v>45</v>
      </c>
      <c r="H559" s="4"/>
      <c r="I559" s="4"/>
    </row>
    <row r="560" spans="2:9" ht="12.95" customHeight="1" x14ac:dyDescent="0.3">
      <c r="B560" s="178"/>
      <c r="C560" s="171"/>
      <c r="D560" s="171"/>
      <c r="E560" s="171"/>
      <c r="F560" s="71" t="s">
        <v>287</v>
      </c>
      <c r="G560" s="72" t="s">
        <v>288</v>
      </c>
      <c r="H560" s="4"/>
      <c r="I560" s="4"/>
    </row>
    <row r="561" spans="2:9" ht="12.95" customHeight="1" x14ac:dyDescent="0.3">
      <c r="B561" s="89" t="s">
        <v>381</v>
      </c>
      <c r="C561" s="89" t="s">
        <v>18</v>
      </c>
      <c r="D561" s="90" t="s">
        <v>34</v>
      </c>
      <c r="E561" s="76">
        <v>18733</v>
      </c>
      <c r="F561" s="15">
        <v>8</v>
      </c>
      <c r="G561" s="3">
        <f t="shared" ref="G561:G562" si="117">TRUNC($E561*F561,1)</f>
        <v>149864</v>
      </c>
      <c r="H561" s="4"/>
      <c r="I561" s="4"/>
    </row>
    <row r="562" spans="2:9" ht="12.95" customHeight="1" x14ac:dyDescent="0.3">
      <c r="B562" s="89" t="s">
        <v>357</v>
      </c>
      <c r="C562" s="89" t="s">
        <v>234</v>
      </c>
      <c r="D562" s="90" t="s">
        <v>34</v>
      </c>
      <c r="E562" s="76">
        <v>8249</v>
      </c>
      <c r="F562" s="15">
        <v>8</v>
      </c>
      <c r="G562" s="3">
        <f t="shared" si="117"/>
        <v>65992</v>
      </c>
      <c r="H562" s="4"/>
      <c r="I562" s="4"/>
    </row>
    <row r="563" spans="2:9" ht="12.95" customHeight="1" x14ac:dyDescent="0.3">
      <c r="B563" s="93" t="s">
        <v>29</v>
      </c>
      <c r="C563" s="96"/>
      <c r="D563" s="97"/>
      <c r="E563" s="138"/>
      <c r="F563" s="15"/>
      <c r="G563" s="20">
        <f>TRUNC(SUM(G561:G562))</f>
        <v>215856</v>
      </c>
      <c r="H563" s="4"/>
      <c r="I563" s="4"/>
    </row>
    <row r="564" spans="2:9" ht="12.95" customHeight="1" x14ac:dyDescent="0.3">
      <c r="B564" s="79"/>
      <c r="C564" s="79"/>
      <c r="D564" s="90"/>
      <c r="E564" s="98"/>
      <c r="F564" s="15"/>
      <c r="G564" s="99"/>
      <c r="H564" s="4"/>
      <c r="I564" s="4"/>
    </row>
    <row r="565" spans="2:9" ht="12.95" customHeight="1" x14ac:dyDescent="0.3">
      <c r="B565" s="73" t="s">
        <v>4</v>
      </c>
      <c r="C565" s="74"/>
      <c r="D565" s="75" t="s">
        <v>28</v>
      </c>
      <c r="E565" s="76">
        <v>275790</v>
      </c>
      <c r="F565" s="15">
        <v>2</v>
      </c>
      <c r="G565" s="3">
        <f t="shared" ref="G565:G568" si="118">TRUNC($E565*F565,1)</f>
        <v>551580</v>
      </c>
      <c r="H565" s="4"/>
      <c r="I565" s="4"/>
    </row>
    <row r="566" spans="2:9" ht="12.95" customHeight="1" x14ac:dyDescent="0.3">
      <c r="B566" s="73" t="s">
        <v>8</v>
      </c>
      <c r="C566" s="74"/>
      <c r="D566" s="75" t="s">
        <v>28</v>
      </c>
      <c r="E566" s="76">
        <v>172068</v>
      </c>
      <c r="F566" s="15">
        <v>1</v>
      </c>
      <c r="G566" s="3">
        <f t="shared" si="118"/>
        <v>172068</v>
      </c>
      <c r="H566" s="4"/>
    </row>
    <row r="567" spans="2:9" ht="12.95" customHeight="1" x14ac:dyDescent="0.3">
      <c r="B567" s="89" t="s">
        <v>381</v>
      </c>
      <c r="C567" s="89" t="s">
        <v>18</v>
      </c>
      <c r="D567" s="90" t="s">
        <v>34</v>
      </c>
      <c r="E567" s="76">
        <v>58925</v>
      </c>
      <c r="F567" s="15">
        <v>8</v>
      </c>
      <c r="G567" s="3">
        <f t="shared" si="118"/>
        <v>471400</v>
      </c>
    </row>
    <row r="568" spans="2:9" ht="12.95" customHeight="1" x14ac:dyDescent="0.3">
      <c r="B568" s="89" t="s">
        <v>357</v>
      </c>
      <c r="C568" s="89" t="s">
        <v>234</v>
      </c>
      <c r="D568" s="90" t="s">
        <v>34</v>
      </c>
      <c r="E568" s="76">
        <v>58925</v>
      </c>
      <c r="F568" s="15">
        <v>8</v>
      </c>
      <c r="G568" s="3">
        <f t="shared" si="118"/>
        <v>471400</v>
      </c>
    </row>
    <row r="569" spans="2:9" ht="12.95" customHeight="1" x14ac:dyDescent="0.3">
      <c r="B569" s="77" t="s">
        <v>30</v>
      </c>
      <c r="C569" s="96"/>
      <c r="D569" s="97"/>
      <c r="E569" s="19"/>
      <c r="F569" s="15"/>
      <c r="G569" s="20">
        <f>TRUNC(SUM(G565:G568))</f>
        <v>1666448</v>
      </c>
    </row>
    <row r="570" spans="2:9" ht="12.95" customHeight="1" x14ac:dyDescent="0.3">
      <c r="B570" s="79"/>
      <c r="C570" s="79"/>
      <c r="D570" s="90"/>
      <c r="E570" s="98"/>
      <c r="F570" s="15"/>
      <c r="G570" s="99"/>
    </row>
    <row r="571" spans="2:9" ht="12.95" customHeight="1" x14ac:dyDescent="0.3">
      <c r="B571" s="89" t="s">
        <v>381</v>
      </c>
      <c r="C571" s="89" t="s">
        <v>18</v>
      </c>
      <c r="D571" s="90" t="s">
        <v>34</v>
      </c>
      <c r="E571" s="76">
        <v>23423</v>
      </c>
      <c r="F571" s="15">
        <v>8</v>
      </c>
      <c r="G571" s="3">
        <f t="shared" ref="G571:G572" si="119">TRUNC($E571*F571,1)</f>
        <v>187384</v>
      </c>
    </row>
    <row r="572" spans="2:9" ht="12.95" customHeight="1" x14ac:dyDescent="0.3">
      <c r="B572" s="89" t="s">
        <v>357</v>
      </c>
      <c r="C572" s="89" t="s">
        <v>234</v>
      </c>
      <c r="D572" s="90" t="s">
        <v>34</v>
      </c>
      <c r="E572" s="76">
        <v>4048</v>
      </c>
      <c r="F572" s="15">
        <v>8</v>
      </c>
      <c r="G572" s="3">
        <f t="shared" si="119"/>
        <v>32384</v>
      </c>
    </row>
    <row r="573" spans="2:9" ht="12.95" customHeight="1" x14ac:dyDescent="0.3">
      <c r="B573" s="93" t="s">
        <v>31</v>
      </c>
      <c r="C573" s="96"/>
      <c r="D573" s="104"/>
      <c r="E573" s="19"/>
      <c r="F573" s="138"/>
      <c r="G573" s="20">
        <f>TRUNC(SUM(G571:G572))</f>
        <v>219768</v>
      </c>
      <c r="H573" s="4"/>
      <c r="I573" s="4"/>
    </row>
    <row r="574" spans="2:9" ht="12.95" customHeight="1" x14ac:dyDescent="0.3">
      <c r="B574" s="79"/>
      <c r="C574" s="79"/>
      <c r="D574" s="90"/>
      <c r="E574" s="98"/>
      <c r="F574" s="98"/>
      <c r="G574" s="99"/>
      <c r="H574" s="4"/>
      <c r="I574" s="4"/>
    </row>
    <row r="575" spans="2:9" ht="12.95" customHeight="1" x14ac:dyDescent="0.3">
      <c r="B575" s="82" t="s">
        <v>33</v>
      </c>
      <c r="C575" s="79"/>
      <c r="D575" s="90"/>
      <c r="E575" s="152"/>
      <c r="F575" s="153"/>
      <c r="G575" s="53">
        <f>SUM(G563+G569+G573)</f>
        <v>2102072</v>
      </c>
      <c r="H575" s="4"/>
    </row>
    <row r="576" spans="2:9" ht="12.95" customHeight="1" x14ac:dyDescent="0.3">
      <c r="B576" s="84" t="s">
        <v>335</v>
      </c>
      <c r="C576" s="85"/>
      <c r="D576" s="86"/>
      <c r="E576" s="87"/>
      <c r="F576" s="88"/>
      <c r="G576" s="7">
        <f>TRUNC((G575/G559)*10)</f>
        <v>467127</v>
      </c>
    </row>
    <row r="578" spans="2:9" ht="12.95" customHeight="1" x14ac:dyDescent="0.3">
      <c r="B578" s="1" t="s">
        <v>179</v>
      </c>
      <c r="G578" s="137" t="s">
        <v>239</v>
      </c>
    </row>
    <row r="579" spans="2:9" ht="12.95" customHeight="1" x14ac:dyDescent="0.3">
      <c r="B579" s="176" t="s">
        <v>21</v>
      </c>
      <c r="C579" s="170" t="s">
        <v>25</v>
      </c>
      <c r="D579" s="170" t="s">
        <v>26</v>
      </c>
      <c r="E579" s="170" t="s">
        <v>22</v>
      </c>
      <c r="F579" s="68" t="s">
        <v>301</v>
      </c>
      <c r="G579" s="69">
        <v>90</v>
      </c>
      <c r="H579" s="4"/>
      <c r="I579" s="4"/>
    </row>
    <row r="580" spans="2:9" ht="12.95" customHeight="1" x14ac:dyDescent="0.3">
      <c r="B580" s="178"/>
      <c r="C580" s="171"/>
      <c r="D580" s="171"/>
      <c r="E580" s="171"/>
      <c r="F580" s="71" t="s">
        <v>287</v>
      </c>
      <c r="G580" s="72" t="s">
        <v>288</v>
      </c>
      <c r="H580" s="4"/>
      <c r="I580" s="4"/>
    </row>
    <row r="581" spans="2:9" ht="12.95" customHeight="1" x14ac:dyDescent="0.3">
      <c r="B581" s="89" t="s">
        <v>27</v>
      </c>
      <c r="C581" s="91" t="s">
        <v>51</v>
      </c>
      <c r="D581" s="90" t="s">
        <v>35</v>
      </c>
      <c r="E581" s="92"/>
      <c r="F581" s="36">
        <v>1</v>
      </c>
      <c r="G581" s="6">
        <f>TRUNC(SUM(G584:G585)*0.02,1)</f>
        <v>14168.8</v>
      </c>
    </row>
    <row r="582" spans="2:9" ht="12.95" customHeight="1" x14ac:dyDescent="0.3">
      <c r="B582" s="129" t="s">
        <v>29</v>
      </c>
      <c r="C582" s="130"/>
      <c r="D582" s="131"/>
      <c r="E582" s="132"/>
      <c r="F582" s="44"/>
      <c r="G582" s="40">
        <f>TRUNC(SUM(G581:G581))</f>
        <v>14168</v>
      </c>
    </row>
    <row r="583" spans="2:9" ht="12.95" customHeight="1" x14ac:dyDescent="0.3">
      <c r="B583" s="126"/>
      <c r="C583" s="126"/>
      <c r="D583" s="127"/>
      <c r="E583" s="76"/>
      <c r="F583" s="25"/>
      <c r="G583" s="29"/>
    </row>
    <row r="584" spans="2:9" ht="12.95" customHeight="1" x14ac:dyDescent="0.3">
      <c r="B584" s="126" t="s">
        <v>14</v>
      </c>
      <c r="C584" s="126"/>
      <c r="D584" s="75" t="s">
        <v>28</v>
      </c>
      <c r="E584" s="76">
        <v>268187</v>
      </c>
      <c r="F584" s="15">
        <v>2</v>
      </c>
      <c r="G584" s="3">
        <f t="shared" ref="G584:G585" si="120">TRUNC($E584*F584,1)</f>
        <v>536374</v>
      </c>
    </row>
    <row r="585" spans="2:9" ht="12.95" customHeight="1" x14ac:dyDescent="0.3">
      <c r="B585" s="126" t="s">
        <v>8</v>
      </c>
      <c r="C585" s="126"/>
      <c r="D585" s="75" t="s">
        <v>28</v>
      </c>
      <c r="E585" s="139">
        <v>172068</v>
      </c>
      <c r="F585" s="15">
        <v>1</v>
      </c>
      <c r="G585" s="3">
        <f t="shared" si="120"/>
        <v>172068</v>
      </c>
    </row>
    <row r="586" spans="2:9" ht="12.95" customHeight="1" x14ac:dyDescent="0.3">
      <c r="B586" s="77" t="s">
        <v>30</v>
      </c>
      <c r="C586" s="133"/>
      <c r="D586" s="134"/>
      <c r="E586" s="24"/>
      <c r="F586" s="39"/>
      <c r="G586" s="40">
        <f>TRUNC(SUM(G584:G585))</f>
        <v>708442</v>
      </c>
    </row>
    <row r="587" spans="2:9" ht="12.95" customHeight="1" x14ac:dyDescent="0.3">
      <c r="B587" s="126"/>
      <c r="C587" s="126"/>
      <c r="D587" s="126"/>
      <c r="E587" s="76"/>
      <c r="F587" s="26"/>
      <c r="G587" s="29"/>
    </row>
    <row r="588" spans="2:9" ht="12.95" customHeight="1" x14ac:dyDescent="0.3">
      <c r="B588" s="82" t="s">
        <v>33</v>
      </c>
      <c r="C588" s="133"/>
      <c r="D588" s="133"/>
      <c r="E588" s="154"/>
      <c r="F588" s="154"/>
      <c r="G588" s="155">
        <f>SUM(G582+G586)</f>
        <v>722610</v>
      </c>
    </row>
    <row r="589" spans="2:9" ht="12.95" customHeight="1" x14ac:dyDescent="0.3">
      <c r="B589" s="84" t="s">
        <v>302</v>
      </c>
      <c r="C589" s="85"/>
      <c r="D589" s="86"/>
      <c r="E589" s="87"/>
      <c r="F589" s="88"/>
      <c r="G589" s="7">
        <f>TRUNC(G588/G579)</f>
        <v>8029</v>
      </c>
    </row>
    <row r="591" spans="2:9" ht="12.95" customHeight="1" x14ac:dyDescent="0.3">
      <c r="B591" s="1" t="s">
        <v>358</v>
      </c>
      <c r="G591" s="137" t="s">
        <v>239</v>
      </c>
    </row>
    <row r="592" spans="2:9" ht="12.95" customHeight="1" x14ac:dyDescent="0.3">
      <c r="B592" s="176" t="s">
        <v>21</v>
      </c>
      <c r="C592" s="170" t="s">
        <v>25</v>
      </c>
      <c r="D592" s="170" t="s">
        <v>26</v>
      </c>
      <c r="E592" s="170" t="s">
        <v>22</v>
      </c>
      <c r="F592" s="143" t="s">
        <v>359</v>
      </c>
      <c r="G592" s="69">
        <v>12</v>
      </c>
      <c r="H592" s="4"/>
      <c r="I592" s="4"/>
    </row>
    <row r="593" spans="2:9" ht="12.95" customHeight="1" x14ac:dyDescent="0.3">
      <c r="B593" s="178"/>
      <c r="C593" s="171"/>
      <c r="D593" s="171"/>
      <c r="E593" s="171"/>
      <c r="F593" s="71" t="s">
        <v>287</v>
      </c>
      <c r="G593" s="72" t="s">
        <v>288</v>
      </c>
      <c r="H593" s="4"/>
      <c r="I593" s="4"/>
    </row>
    <row r="594" spans="2:9" ht="12.95" customHeight="1" x14ac:dyDescent="0.3">
      <c r="B594" s="89" t="s">
        <v>27</v>
      </c>
      <c r="C594" s="91" t="s">
        <v>126</v>
      </c>
      <c r="D594" s="90" t="s">
        <v>35</v>
      </c>
      <c r="E594" s="92"/>
      <c r="F594" s="36">
        <v>1</v>
      </c>
      <c r="G594" s="6">
        <f>TRUNC(SUM(G597:G598)*0.05,1)</f>
        <v>22392.9</v>
      </c>
    </row>
    <row r="595" spans="2:9" ht="12.95" customHeight="1" x14ac:dyDescent="0.3">
      <c r="B595" s="129" t="s">
        <v>29</v>
      </c>
      <c r="C595" s="130"/>
      <c r="D595" s="131"/>
      <c r="E595" s="132"/>
      <c r="F595" s="44"/>
      <c r="G595" s="40">
        <f>TRUNC(SUM(G594:G594))</f>
        <v>22392</v>
      </c>
    </row>
    <row r="596" spans="2:9" ht="12.95" customHeight="1" x14ac:dyDescent="0.3">
      <c r="B596" s="126"/>
      <c r="C596" s="126"/>
      <c r="D596" s="127"/>
      <c r="E596" s="76"/>
      <c r="F596" s="25"/>
      <c r="G596" s="29"/>
    </row>
    <row r="597" spans="2:9" ht="12.95" customHeight="1" x14ac:dyDescent="0.3">
      <c r="B597" s="126" t="s">
        <v>233</v>
      </c>
      <c r="C597" s="126"/>
      <c r="D597" s="75" t="s">
        <v>28</v>
      </c>
      <c r="E597" s="76">
        <v>275790</v>
      </c>
      <c r="F597" s="15">
        <v>1</v>
      </c>
      <c r="G597" s="3">
        <f t="shared" ref="G597:G598" si="121">TRUNC($E597*F597,1)</f>
        <v>275790</v>
      </c>
    </row>
    <row r="598" spans="2:9" ht="12.95" customHeight="1" x14ac:dyDescent="0.3">
      <c r="B598" s="126" t="s">
        <v>8</v>
      </c>
      <c r="C598" s="126"/>
      <c r="D598" s="75" t="s">
        <v>28</v>
      </c>
      <c r="E598" s="139">
        <v>172068</v>
      </c>
      <c r="F598" s="15">
        <v>1</v>
      </c>
      <c r="G598" s="3">
        <f t="shared" si="121"/>
        <v>172068</v>
      </c>
    </row>
    <row r="599" spans="2:9" ht="12.95" customHeight="1" x14ac:dyDescent="0.3">
      <c r="B599" s="77" t="s">
        <v>30</v>
      </c>
      <c r="C599" s="133"/>
      <c r="D599" s="134"/>
      <c r="E599" s="24"/>
      <c r="F599" s="39"/>
      <c r="G599" s="40">
        <f>TRUNC(SUM(G597:G598))</f>
        <v>447858</v>
      </c>
    </row>
    <row r="600" spans="2:9" ht="12.95" customHeight="1" x14ac:dyDescent="0.3">
      <c r="B600" s="126"/>
      <c r="C600" s="126"/>
      <c r="D600" s="126"/>
      <c r="E600" s="76"/>
      <c r="F600" s="26"/>
      <c r="G600" s="29"/>
    </row>
    <row r="601" spans="2:9" ht="12.95" customHeight="1" x14ac:dyDescent="0.3">
      <c r="B601" s="82" t="s">
        <v>33</v>
      </c>
      <c r="C601" s="133"/>
      <c r="D601" s="133"/>
      <c r="E601" s="154"/>
      <c r="F601" s="154"/>
      <c r="G601" s="155">
        <f>SUM(G595+G599)</f>
        <v>470250</v>
      </c>
    </row>
    <row r="602" spans="2:9" ht="12.95" customHeight="1" x14ac:dyDescent="0.3">
      <c r="B602" s="84" t="s">
        <v>325</v>
      </c>
      <c r="C602" s="85"/>
      <c r="D602" s="86"/>
      <c r="E602" s="87"/>
      <c r="F602" s="88"/>
      <c r="G602" s="7">
        <f>TRUNC(G601/G592)</f>
        <v>39187</v>
      </c>
    </row>
    <row r="604" spans="2:9" ht="12.95" customHeight="1" x14ac:dyDescent="0.3">
      <c r="B604" s="1" t="s">
        <v>360</v>
      </c>
      <c r="G604" s="117"/>
      <c r="I604" s="137" t="s">
        <v>239</v>
      </c>
    </row>
    <row r="605" spans="2:9" ht="12.95" customHeight="1" x14ac:dyDescent="0.3">
      <c r="B605" s="176" t="s">
        <v>21</v>
      </c>
      <c r="C605" s="170" t="s">
        <v>25</v>
      </c>
      <c r="D605" s="170" t="s">
        <v>26</v>
      </c>
      <c r="E605" s="170" t="s">
        <v>22</v>
      </c>
      <c r="F605" s="185" t="s">
        <v>181</v>
      </c>
      <c r="G605" s="186"/>
      <c r="H605" s="185" t="s">
        <v>182</v>
      </c>
      <c r="I605" s="186"/>
    </row>
    <row r="606" spans="2:9" ht="12.95" customHeight="1" x14ac:dyDescent="0.3">
      <c r="B606" s="177"/>
      <c r="C606" s="179"/>
      <c r="D606" s="179"/>
      <c r="E606" s="179"/>
      <c r="F606" s="68" t="s">
        <v>361</v>
      </c>
      <c r="G606" s="156">
        <v>5</v>
      </c>
      <c r="H606" s="68" t="s">
        <v>361</v>
      </c>
      <c r="I606" s="156">
        <v>6</v>
      </c>
    </row>
    <row r="607" spans="2:9" ht="12.95" customHeight="1" x14ac:dyDescent="0.3">
      <c r="B607" s="178"/>
      <c r="C607" s="171"/>
      <c r="D607" s="171"/>
      <c r="E607" s="171"/>
      <c r="F607" s="71" t="s">
        <v>287</v>
      </c>
      <c r="G607" s="72" t="s">
        <v>288</v>
      </c>
      <c r="H607" s="71" t="s">
        <v>287</v>
      </c>
      <c r="I607" s="72" t="s">
        <v>288</v>
      </c>
    </row>
    <row r="608" spans="2:9" ht="12.95" customHeight="1" x14ac:dyDescent="0.3">
      <c r="B608" s="89" t="s">
        <v>27</v>
      </c>
      <c r="C608" s="91" t="s">
        <v>306</v>
      </c>
      <c r="D608" s="90" t="s">
        <v>35</v>
      </c>
      <c r="E608" s="92"/>
      <c r="F608" s="36">
        <v>1</v>
      </c>
      <c r="G608" s="6">
        <f>TRUNC(SUM(G611:G613)*0.09,1)</f>
        <v>109649.4</v>
      </c>
      <c r="H608" s="36">
        <v>1</v>
      </c>
      <c r="I608" s="6">
        <f>TRUNC(SUM(I611:I613)*0.09,1)</f>
        <v>109649.4</v>
      </c>
    </row>
    <row r="609" spans="2:9" ht="12.95" customHeight="1" x14ac:dyDescent="0.3">
      <c r="B609" s="129" t="s">
        <v>29</v>
      </c>
      <c r="C609" s="130"/>
      <c r="D609" s="131"/>
      <c r="E609" s="132"/>
      <c r="F609" s="44"/>
      <c r="G609" s="40">
        <f>TRUNC(SUM(G608:G608))</f>
        <v>109649</v>
      </c>
      <c r="H609" s="44"/>
      <c r="I609" s="40">
        <f>TRUNC(SUM(I608:I608))</f>
        <v>109649</v>
      </c>
    </row>
    <row r="610" spans="2:9" ht="12.95" customHeight="1" x14ac:dyDescent="0.3">
      <c r="B610" s="126"/>
      <c r="C610" s="126"/>
      <c r="D610" s="127"/>
      <c r="E610" s="76"/>
      <c r="F610" s="25"/>
      <c r="G610" s="29"/>
      <c r="H610" s="25"/>
      <c r="I610" s="29"/>
    </row>
    <row r="611" spans="2:9" ht="12.95" customHeight="1" x14ac:dyDescent="0.3">
      <c r="B611" s="126" t="s">
        <v>151</v>
      </c>
      <c r="C611" s="126"/>
      <c r="D611" s="75" t="s">
        <v>28</v>
      </c>
      <c r="E611" s="76">
        <v>241698</v>
      </c>
      <c r="F611" s="15">
        <v>1</v>
      </c>
      <c r="G611" s="3">
        <f t="shared" ref="G611:G613" si="122">TRUNC($E611*F611,1)</f>
        <v>241698</v>
      </c>
      <c r="H611" s="15">
        <v>1</v>
      </c>
      <c r="I611" s="3">
        <f t="shared" ref="I611:I613" si="123">TRUNC($E611*H611,1)</f>
        <v>241698</v>
      </c>
    </row>
    <row r="612" spans="2:9" ht="12.95" customHeight="1" x14ac:dyDescent="0.3">
      <c r="B612" s="126" t="s">
        <v>14</v>
      </c>
      <c r="C612" s="126"/>
      <c r="D612" s="75" t="s">
        <v>28</v>
      </c>
      <c r="E612" s="76">
        <v>268187</v>
      </c>
      <c r="F612" s="15">
        <v>3</v>
      </c>
      <c r="G612" s="3">
        <f t="shared" si="122"/>
        <v>804561</v>
      </c>
      <c r="H612" s="15">
        <v>3</v>
      </c>
      <c r="I612" s="3">
        <f t="shared" si="123"/>
        <v>804561</v>
      </c>
    </row>
    <row r="613" spans="2:9" ht="12.95" customHeight="1" x14ac:dyDescent="0.3">
      <c r="B613" s="126" t="s">
        <v>8</v>
      </c>
      <c r="C613" s="126"/>
      <c r="D613" s="75" t="s">
        <v>28</v>
      </c>
      <c r="E613" s="139">
        <v>172068</v>
      </c>
      <c r="F613" s="15">
        <v>1</v>
      </c>
      <c r="G613" s="3">
        <f t="shared" si="122"/>
        <v>172068</v>
      </c>
      <c r="H613" s="15">
        <v>1</v>
      </c>
      <c r="I613" s="3">
        <f t="shared" si="123"/>
        <v>172068</v>
      </c>
    </row>
    <row r="614" spans="2:9" ht="12.95" customHeight="1" x14ac:dyDescent="0.3">
      <c r="B614" s="77" t="s">
        <v>30</v>
      </c>
      <c r="C614" s="133"/>
      <c r="D614" s="134"/>
      <c r="E614" s="24"/>
      <c r="F614" s="39"/>
      <c r="G614" s="40">
        <f>TRUNC(SUM(G611:G613))</f>
        <v>1218327</v>
      </c>
      <c r="H614" s="39"/>
      <c r="I614" s="40">
        <f>TRUNC(SUM(I611:I613))</f>
        <v>1218327</v>
      </c>
    </row>
    <row r="615" spans="2:9" ht="12.95" customHeight="1" x14ac:dyDescent="0.3">
      <c r="B615" s="126"/>
      <c r="C615" s="126"/>
      <c r="D615" s="126"/>
      <c r="E615" s="76"/>
      <c r="F615" s="26"/>
      <c r="G615" s="29"/>
      <c r="H615" s="26"/>
      <c r="I615" s="29"/>
    </row>
    <row r="616" spans="2:9" ht="12.95" customHeight="1" x14ac:dyDescent="0.3">
      <c r="B616" s="82" t="s">
        <v>33</v>
      </c>
      <c r="C616" s="133"/>
      <c r="D616" s="133"/>
      <c r="E616" s="154"/>
      <c r="F616" s="154"/>
      <c r="G616" s="155">
        <f>SUM(G609+G614)</f>
        <v>1327976</v>
      </c>
      <c r="H616" s="154"/>
      <c r="I616" s="155">
        <f>SUM(I609+I614)</f>
        <v>1327976</v>
      </c>
    </row>
    <row r="617" spans="2:9" ht="12.95" customHeight="1" x14ac:dyDescent="0.3">
      <c r="B617" s="84" t="s">
        <v>305</v>
      </c>
      <c r="C617" s="85"/>
      <c r="D617" s="86"/>
      <c r="E617" s="87"/>
      <c r="F617" s="88"/>
      <c r="G617" s="7">
        <f>TRUNC(G616/G606)</f>
        <v>265595</v>
      </c>
      <c r="H617" s="88"/>
      <c r="I617" s="7">
        <f>TRUNC(I616/I606)</f>
        <v>221329</v>
      </c>
    </row>
    <row r="619" spans="2:9" ht="12.95" customHeight="1" x14ac:dyDescent="0.3">
      <c r="B619" s="1" t="s">
        <v>362</v>
      </c>
      <c r="G619" s="117"/>
      <c r="I619" s="137" t="s">
        <v>239</v>
      </c>
    </row>
    <row r="620" spans="2:9" ht="12.95" customHeight="1" x14ac:dyDescent="0.3">
      <c r="B620" s="176" t="s">
        <v>21</v>
      </c>
      <c r="C620" s="170" t="s">
        <v>25</v>
      </c>
      <c r="D620" s="170" t="s">
        <v>26</v>
      </c>
      <c r="E620" s="170" t="s">
        <v>22</v>
      </c>
      <c r="F620" s="185" t="s">
        <v>181</v>
      </c>
      <c r="G620" s="186"/>
      <c r="H620" s="185" t="s">
        <v>182</v>
      </c>
      <c r="I620" s="186"/>
    </row>
    <row r="621" spans="2:9" ht="12.95" customHeight="1" x14ac:dyDescent="0.3">
      <c r="B621" s="177"/>
      <c r="C621" s="179"/>
      <c r="D621" s="179"/>
      <c r="E621" s="179"/>
      <c r="F621" s="143" t="s">
        <v>363</v>
      </c>
      <c r="G621" s="157">
        <v>22</v>
      </c>
      <c r="H621" s="143" t="s">
        <v>363</v>
      </c>
      <c r="I621" s="157">
        <v>20</v>
      </c>
    </row>
    <row r="622" spans="2:9" ht="12.95" customHeight="1" x14ac:dyDescent="0.3">
      <c r="B622" s="178"/>
      <c r="C622" s="171"/>
      <c r="D622" s="171"/>
      <c r="E622" s="171"/>
      <c r="F622" s="71" t="s">
        <v>287</v>
      </c>
      <c r="G622" s="72" t="s">
        <v>288</v>
      </c>
      <c r="H622" s="71" t="s">
        <v>287</v>
      </c>
      <c r="I622" s="72" t="s">
        <v>288</v>
      </c>
    </row>
    <row r="623" spans="2:9" ht="12.95" customHeight="1" x14ac:dyDescent="0.3">
      <c r="B623" s="89" t="s">
        <v>12</v>
      </c>
      <c r="C623" s="89" t="s">
        <v>216</v>
      </c>
      <c r="D623" s="90" t="s">
        <v>34</v>
      </c>
      <c r="E623" s="76">
        <v>9213</v>
      </c>
      <c r="F623" s="15">
        <v>8</v>
      </c>
      <c r="G623" s="3">
        <f t="shared" ref="G623:I623" si="124">TRUNC($E623*F623,1)</f>
        <v>73704</v>
      </c>
      <c r="H623" s="15">
        <v>8</v>
      </c>
      <c r="I623" s="3">
        <f t="shared" si="124"/>
        <v>73704</v>
      </c>
    </row>
    <row r="624" spans="2:9" ht="12.95" customHeight="1" x14ac:dyDescent="0.3">
      <c r="B624" s="89" t="s">
        <v>27</v>
      </c>
      <c r="C624" s="91" t="s">
        <v>126</v>
      </c>
      <c r="D624" s="90" t="s">
        <v>35</v>
      </c>
      <c r="E624" s="92"/>
      <c r="F624" s="36">
        <v>1</v>
      </c>
      <c r="G624" s="6">
        <f>TRUNC(SUM(G627:G629)*0.05,1)</f>
        <v>54606.6</v>
      </c>
      <c r="H624" s="36">
        <v>1</v>
      </c>
      <c r="I624" s="6">
        <f>TRUNC(SUM(I627:I629)*0.05,1)</f>
        <v>54606.6</v>
      </c>
    </row>
    <row r="625" spans="2:10" ht="12.95" customHeight="1" x14ac:dyDescent="0.3">
      <c r="B625" s="129" t="s">
        <v>29</v>
      </c>
      <c r="C625" s="130"/>
      <c r="D625" s="131"/>
      <c r="E625" s="132"/>
      <c r="F625" s="44"/>
      <c r="G625" s="40">
        <f>TRUNC(SUM(G623:G624))</f>
        <v>128310</v>
      </c>
      <c r="H625" s="44"/>
      <c r="I625" s="40">
        <f>TRUNC(SUM(I623:I624))</f>
        <v>128310</v>
      </c>
    </row>
    <row r="626" spans="2:10" ht="12.95" customHeight="1" x14ac:dyDescent="0.3">
      <c r="B626" s="126"/>
      <c r="C626" s="126"/>
      <c r="D626" s="127"/>
      <c r="E626" s="76"/>
      <c r="F626" s="25"/>
      <c r="G626" s="29"/>
      <c r="H626" s="25"/>
      <c r="I626" s="29"/>
    </row>
    <row r="627" spans="2:10" ht="12.95" customHeight="1" x14ac:dyDescent="0.3">
      <c r="B627" s="126" t="s">
        <v>151</v>
      </c>
      <c r="C627" s="126"/>
      <c r="D627" s="75" t="s">
        <v>28</v>
      </c>
      <c r="E627" s="76">
        <v>241698</v>
      </c>
      <c r="F627" s="15">
        <v>1</v>
      </c>
      <c r="G627" s="3">
        <f t="shared" ref="G627:I630" si="125">TRUNC($E627*F627,1)</f>
        <v>241698</v>
      </c>
      <c r="H627" s="15">
        <v>1</v>
      </c>
      <c r="I627" s="3">
        <f t="shared" si="125"/>
        <v>241698</v>
      </c>
    </row>
    <row r="628" spans="2:10" ht="12.95" customHeight="1" x14ac:dyDescent="0.3">
      <c r="B628" s="126" t="s">
        <v>42</v>
      </c>
      <c r="C628" s="126"/>
      <c r="D628" s="75" t="s">
        <v>28</v>
      </c>
      <c r="E628" s="76">
        <v>226122</v>
      </c>
      <c r="F628" s="15">
        <v>3</v>
      </c>
      <c r="G628" s="3">
        <f t="shared" si="125"/>
        <v>678366</v>
      </c>
      <c r="H628" s="15">
        <v>3</v>
      </c>
      <c r="I628" s="3">
        <f t="shared" si="125"/>
        <v>678366</v>
      </c>
    </row>
    <row r="629" spans="2:10" ht="12.95" customHeight="1" x14ac:dyDescent="0.3">
      <c r="B629" s="126" t="s">
        <v>8</v>
      </c>
      <c r="C629" s="126"/>
      <c r="D629" s="75" t="s">
        <v>28</v>
      </c>
      <c r="E629" s="76">
        <v>172068</v>
      </c>
      <c r="F629" s="15">
        <v>1</v>
      </c>
      <c r="G629" s="3">
        <f t="shared" si="125"/>
        <v>172068</v>
      </c>
      <c r="H629" s="15">
        <v>1</v>
      </c>
      <c r="I629" s="3">
        <f t="shared" si="125"/>
        <v>172068</v>
      </c>
    </row>
    <row r="630" spans="2:10" ht="12.95" customHeight="1" x14ac:dyDescent="0.3">
      <c r="B630" s="89" t="s">
        <v>12</v>
      </c>
      <c r="C630" s="89" t="s">
        <v>216</v>
      </c>
      <c r="D630" s="90" t="s">
        <v>34</v>
      </c>
      <c r="E630" s="76">
        <v>49698</v>
      </c>
      <c r="F630" s="15">
        <v>8</v>
      </c>
      <c r="G630" s="3">
        <f t="shared" si="125"/>
        <v>397584</v>
      </c>
      <c r="H630" s="15">
        <v>8</v>
      </c>
      <c r="I630" s="3">
        <f t="shared" si="125"/>
        <v>397584</v>
      </c>
    </row>
    <row r="631" spans="2:10" ht="12.95" customHeight="1" x14ac:dyDescent="0.3">
      <c r="B631" s="77" t="s">
        <v>30</v>
      </c>
      <c r="C631" s="133"/>
      <c r="D631" s="134"/>
      <c r="E631" s="24"/>
      <c r="F631" s="39"/>
      <c r="G631" s="40">
        <f>TRUNC(SUM(G627:G630))</f>
        <v>1489716</v>
      </c>
      <c r="H631" s="39"/>
      <c r="I631" s="40">
        <f>TRUNC(SUM(I627:I630))</f>
        <v>1489716</v>
      </c>
    </row>
    <row r="632" spans="2:10" ht="12.95" customHeight="1" x14ac:dyDescent="0.3">
      <c r="B632" s="126"/>
      <c r="C632" s="126"/>
      <c r="D632" s="126"/>
      <c r="E632" s="76"/>
      <c r="F632" s="26"/>
      <c r="G632" s="29"/>
      <c r="H632" s="26"/>
      <c r="I632" s="29"/>
    </row>
    <row r="633" spans="2:10" ht="12.95" customHeight="1" x14ac:dyDescent="0.3">
      <c r="B633" s="89" t="s">
        <v>184</v>
      </c>
      <c r="C633" s="89" t="s">
        <v>185</v>
      </c>
      <c r="D633" s="90" t="s">
        <v>34</v>
      </c>
      <c r="E633" s="158">
        <v>9700</v>
      </c>
      <c r="F633" s="15">
        <v>8</v>
      </c>
      <c r="G633" s="3">
        <f t="shared" ref="G633:I634" si="126">TRUNC($E633*F633,1)</f>
        <v>77600</v>
      </c>
      <c r="H633" s="15">
        <v>8</v>
      </c>
      <c r="I633" s="3">
        <f t="shared" si="126"/>
        <v>77600</v>
      </c>
      <c r="J633" s="22"/>
    </row>
    <row r="634" spans="2:10" ht="12.95" customHeight="1" x14ac:dyDescent="0.3">
      <c r="B634" s="89" t="s">
        <v>12</v>
      </c>
      <c r="C634" s="89" t="s">
        <v>216</v>
      </c>
      <c r="D634" s="90" t="s">
        <v>34</v>
      </c>
      <c r="E634" s="76">
        <v>11117</v>
      </c>
      <c r="F634" s="15">
        <v>8</v>
      </c>
      <c r="G634" s="3">
        <f t="shared" si="126"/>
        <v>88936</v>
      </c>
      <c r="H634" s="15">
        <v>8</v>
      </c>
      <c r="I634" s="3">
        <f t="shared" si="126"/>
        <v>88936</v>
      </c>
    </row>
    <row r="635" spans="2:10" ht="12.95" customHeight="1" x14ac:dyDescent="0.3">
      <c r="B635" s="93" t="s">
        <v>31</v>
      </c>
      <c r="C635" s="96"/>
      <c r="D635" s="104"/>
      <c r="E635" s="19"/>
      <c r="F635" s="138"/>
      <c r="G635" s="20">
        <f>TRUNC(SUM(G633:G634))</f>
        <v>166536</v>
      </c>
      <c r="H635" s="138"/>
      <c r="I635" s="20">
        <f>TRUNC(SUM(I633:I634))</f>
        <v>166536</v>
      </c>
      <c r="J635" s="22"/>
    </row>
    <row r="636" spans="2:10" ht="12.95" customHeight="1" x14ac:dyDescent="0.3">
      <c r="B636" s="79"/>
      <c r="C636" s="79"/>
      <c r="D636" s="90"/>
      <c r="E636" s="98"/>
      <c r="F636" s="98"/>
      <c r="G636" s="99"/>
      <c r="H636" s="98"/>
      <c r="I636" s="99"/>
      <c r="J636" s="22"/>
    </row>
    <row r="637" spans="2:10" ht="12.95" customHeight="1" x14ac:dyDescent="0.3">
      <c r="B637" s="82" t="s">
        <v>33</v>
      </c>
      <c r="C637" s="79"/>
      <c r="D637" s="90"/>
      <c r="E637" s="152"/>
      <c r="F637" s="153"/>
      <c r="G637" s="53">
        <f>SUM(G625+G631+G635)</f>
        <v>1784562</v>
      </c>
      <c r="H637" s="153"/>
      <c r="I637" s="53">
        <f>SUM(I625+I631+I635)</f>
        <v>1784562</v>
      </c>
      <c r="J637" s="22"/>
    </row>
    <row r="638" spans="2:10" ht="12.95" customHeight="1" x14ac:dyDescent="0.3">
      <c r="B638" s="84" t="s">
        <v>280</v>
      </c>
      <c r="C638" s="85"/>
      <c r="D638" s="86"/>
      <c r="E638" s="87"/>
      <c r="F638" s="88"/>
      <c r="G638" s="7">
        <f>TRUNC(G637/G621)</f>
        <v>81116</v>
      </c>
      <c r="H638" s="88"/>
      <c r="I638" s="7">
        <f>TRUNC(I637/I621)</f>
        <v>89228</v>
      </c>
    </row>
    <row r="640" spans="2:10" ht="12.95" customHeight="1" x14ac:dyDescent="0.3">
      <c r="B640" s="1" t="s">
        <v>364</v>
      </c>
      <c r="G640" s="137" t="s">
        <v>239</v>
      </c>
    </row>
    <row r="641" spans="2:15" ht="12.95" customHeight="1" x14ac:dyDescent="0.3">
      <c r="B641" s="176" t="s">
        <v>21</v>
      </c>
      <c r="C641" s="170" t="s">
        <v>25</v>
      </c>
      <c r="D641" s="170" t="s">
        <v>26</v>
      </c>
      <c r="E641" s="170" t="s">
        <v>22</v>
      </c>
      <c r="F641" s="143" t="s">
        <v>289</v>
      </c>
      <c r="G641" s="69">
        <v>1.5</v>
      </c>
      <c r="H641" s="4"/>
      <c r="I641" s="4"/>
    </row>
    <row r="642" spans="2:15" ht="12.95" customHeight="1" x14ac:dyDescent="0.3">
      <c r="B642" s="178"/>
      <c r="C642" s="171"/>
      <c r="D642" s="171"/>
      <c r="E642" s="171"/>
      <c r="F642" s="71" t="s">
        <v>287</v>
      </c>
      <c r="G642" s="72" t="s">
        <v>288</v>
      </c>
      <c r="H642" s="4"/>
      <c r="I642" s="4"/>
    </row>
    <row r="643" spans="2:15" ht="12.95" customHeight="1" x14ac:dyDescent="0.3">
      <c r="B643" s="89" t="s">
        <v>27</v>
      </c>
      <c r="C643" s="91" t="s">
        <v>188</v>
      </c>
      <c r="D643" s="90" t="s">
        <v>35</v>
      </c>
      <c r="E643" s="92"/>
      <c r="F643" s="36">
        <v>1</v>
      </c>
      <c r="G643" s="6">
        <f>TRUNC(SUM(G646:G648)*0.06,1)</f>
        <v>65527.9</v>
      </c>
    </row>
    <row r="644" spans="2:15" ht="12.95" customHeight="1" x14ac:dyDescent="0.3">
      <c r="B644" s="129" t="s">
        <v>29</v>
      </c>
      <c r="C644" s="130"/>
      <c r="D644" s="131"/>
      <c r="E644" s="132"/>
      <c r="F644" s="44"/>
      <c r="G644" s="40">
        <f>TRUNC(SUM(G643:G643))</f>
        <v>65527</v>
      </c>
    </row>
    <row r="645" spans="2:15" ht="12.95" customHeight="1" x14ac:dyDescent="0.3">
      <c r="B645" s="126"/>
      <c r="C645" s="126"/>
      <c r="D645" s="127"/>
      <c r="E645" s="76"/>
      <c r="F645" s="25"/>
      <c r="G645" s="29"/>
    </row>
    <row r="646" spans="2:15" ht="12.95" customHeight="1" x14ac:dyDescent="0.3">
      <c r="B646" s="126" t="s">
        <v>151</v>
      </c>
      <c r="C646" s="126"/>
      <c r="D646" s="75" t="s">
        <v>28</v>
      </c>
      <c r="E646" s="76">
        <v>241698</v>
      </c>
      <c r="F646" s="15">
        <v>1</v>
      </c>
      <c r="G646" s="3">
        <f t="shared" ref="G646:G648" si="127">TRUNC($E646*F646,1)</f>
        <v>241698</v>
      </c>
      <c r="N646" s="21"/>
      <c r="O646" s="21"/>
    </row>
    <row r="647" spans="2:15" ht="12.95" customHeight="1" x14ac:dyDescent="0.3">
      <c r="B647" s="126" t="s">
        <v>42</v>
      </c>
      <c r="C647" s="126"/>
      <c r="D647" s="75" t="s">
        <v>28</v>
      </c>
      <c r="E647" s="76">
        <v>226122</v>
      </c>
      <c r="F647" s="15">
        <v>3</v>
      </c>
      <c r="G647" s="3">
        <f t="shared" si="127"/>
        <v>678366</v>
      </c>
      <c r="N647" s="21"/>
      <c r="O647" s="21"/>
    </row>
    <row r="648" spans="2:15" ht="12.95" customHeight="1" x14ac:dyDescent="0.3">
      <c r="B648" s="126" t="s">
        <v>8</v>
      </c>
      <c r="C648" s="126"/>
      <c r="D648" s="75" t="s">
        <v>28</v>
      </c>
      <c r="E648" s="76">
        <v>172068</v>
      </c>
      <c r="F648" s="15">
        <v>1</v>
      </c>
      <c r="G648" s="3">
        <f t="shared" si="127"/>
        <v>172068</v>
      </c>
      <c r="N648" s="21"/>
      <c r="O648" s="21"/>
    </row>
    <row r="649" spans="2:15" ht="12.95" customHeight="1" x14ac:dyDescent="0.3">
      <c r="B649" s="77" t="s">
        <v>30</v>
      </c>
      <c r="C649" s="133"/>
      <c r="D649" s="134"/>
      <c r="E649" s="24"/>
      <c r="F649" s="39"/>
      <c r="G649" s="40">
        <f>TRUNC(SUM(G646:G648))</f>
        <v>1092132</v>
      </c>
      <c r="N649" s="21"/>
      <c r="O649" s="21"/>
    </row>
    <row r="650" spans="2:15" ht="12.95" customHeight="1" x14ac:dyDescent="0.3">
      <c r="B650" s="126"/>
      <c r="C650" s="126"/>
      <c r="D650" s="126"/>
      <c r="E650" s="76"/>
      <c r="F650" s="26"/>
      <c r="G650" s="29"/>
      <c r="N650" s="21"/>
      <c r="O650" s="21"/>
    </row>
    <row r="651" spans="2:15" ht="12.95" customHeight="1" x14ac:dyDescent="0.3">
      <c r="B651" s="89" t="s">
        <v>16</v>
      </c>
      <c r="C651" s="89" t="s">
        <v>208</v>
      </c>
      <c r="D651" s="90" t="s">
        <v>34</v>
      </c>
      <c r="E651" s="158">
        <v>1262</v>
      </c>
      <c r="F651" s="15">
        <v>8</v>
      </c>
      <c r="G651" s="3">
        <f t="shared" ref="G651:G652" si="128">TRUNC($E651*F651,1)</f>
        <v>10096</v>
      </c>
      <c r="N651" s="21"/>
      <c r="O651" s="21"/>
    </row>
    <row r="652" spans="2:15" ht="12.95" customHeight="1" x14ac:dyDescent="0.3">
      <c r="B652" s="89" t="s">
        <v>2</v>
      </c>
      <c r="C652" s="89" t="s">
        <v>209</v>
      </c>
      <c r="D652" s="90" t="s">
        <v>34</v>
      </c>
      <c r="E652" s="158">
        <v>1779</v>
      </c>
      <c r="F652" s="15">
        <v>8</v>
      </c>
      <c r="G652" s="3">
        <f t="shared" si="128"/>
        <v>14232</v>
      </c>
      <c r="N652" s="21"/>
      <c r="O652" s="21"/>
    </row>
    <row r="653" spans="2:15" ht="12.95" customHeight="1" x14ac:dyDescent="0.3">
      <c r="B653" s="93" t="s">
        <v>31</v>
      </c>
      <c r="C653" s="96"/>
      <c r="D653" s="104"/>
      <c r="E653" s="19"/>
      <c r="F653" s="138"/>
      <c r="G653" s="20">
        <f>TRUNC(SUM(G651:G652))</f>
        <v>24328</v>
      </c>
      <c r="N653" s="21"/>
      <c r="O653" s="21"/>
    </row>
    <row r="654" spans="2:15" ht="12.95" customHeight="1" x14ac:dyDescent="0.3">
      <c r="B654" s="79"/>
      <c r="C654" s="79"/>
      <c r="D654" s="90"/>
      <c r="E654" s="98"/>
      <c r="F654" s="98"/>
      <c r="G654" s="99"/>
      <c r="N654" s="21"/>
      <c r="O654" s="21"/>
    </row>
    <row r="655" spans="2:15" ht="12.95" customHeight="1" x14ac:dyDescent="0.3">
      <c r="B655" s="82" t="s">
        <v>33</v>
      </c>
      <c r="C655" s="79"/>
      <c r="D655" s="90"/>
      <c r="E655" s="152"/>
      <c r="F655" s="153"/>
      <c r="G655" s="53">
        <f>SUM(G644+G649+G653)</f>
        <v>1181987</v>
      </c>
      <c r="N655" s="21"/>
      <c r="O655" s="21"/>
    </row>
    <row r="656" spans="2:15" ht="12.95" customHeight="1" x14ac:dyDescent="0.3">
      <c r="B656" s="84" t="s">
        <v>290</v>
      </c>
      <c r="C656" s="85"/>
      <c r="D656" s="86"/>
      <c r="E656" s="87"/>
      <c r="F656" s="88"/>
      <c r="G656" s="7">
        <f>TRUNC(G655/G641)</f>
        <v>787991</v>
      </c>
      <c r="N656" s="21"/>
      <c r="O656" s="21"/>
    </row>
    <row r="657" spans="2:15" ht="12.95" customHeight="1" x14ac:dyDescent="0.3">
      <c r="N657" s="21"/>
      <c r="O657" s="21"/>
    </row>
    <row r="658" spans="2:15" ht="12.95" customHeight="1" x14ac:dyDescent="0.3">
      <c r="B658" s="1" t="s">
        <v>365</v>
      </c>
      <c r="G658" s="137" t="s">
        <v>239</v>
      </c>
      <c r="H658" s="4"/>
      <c r="I658" s="4"/>
      <c r="N658" s="21"/>
      <c r="O658" s="21"/>
    </row>
    <row r="659" spans="2:15" ht="12.95" customHeight="1" x14ac:dyDescent="0.3">
      <c r="B659" s="176" t="s">
        <v>21</v>
      </c>
      <c r="C659" s="170" t="s">
        <v>25</v>
      </c>
      <c r="D659" s="170" t="s">
        <v>26</v>
      </c>
      <c r="E659" s="170" t="s">
        <v>22</v>
      </c>
      <c r="F659" s="68" t="s">
        <v>301</v>
      </c>
      <c r="G659" s="69">
        <v>400</v>
      </c>
      <c r="H659" s="4"/>
      <c r="I659" s="4"/>
      <c r="N659" s="21"/>
      <c r="O659" s="21"/>
    </row>
    <row r="660" spans="2:15" ht="12.95" customHeight="1" x14ac:dyDescent="0.3">
      <c r="B660" s="178"/>
      <c r="C660" s="171"/>
      <c r="D660" s="171"/>
      <c r="E660" s="171"/>
      <c r="F660" s="71" t="s">
        <v>287</v>
      </c>
      <c r="G660" s="72" t="s">
        <v>288</v>
      </c>
      <c r="H660" s="4"/>
      <c r="I660" s="4"/>
      <c r="N660" s="21"/>
      <c r="O660" s="21"/>
    </row>
    <row r="661" spans="2:15" ht="12.95" customHeight="1" x14ac:dyDescent="0.3">
      <c r="B661" s="89" t="s">
        <v>357</v>
      </c>
      <c r="C661" s="89" t="s">
        <v>234</v>
      </c>
      <c r="D661" s="90" t="s">
        <v>34</v>
      </c>
      <c r="E661" s="76">
        <v>8249</v>
      </c>
      <c r="F661" s="15">
        <v>8</v>
      </c>
      <c r="G661" s="3">
        <f t="shared" ref="G661:G662" si="129">TRUNC($E661*F661,1)</f>
        <v>65992</v>
      </c>
      <c r="H661" s="4"/>
      <c r="I661" s="4"/>
      <c r="N661" s="21"/>
      <c r="O661" s="21"/>
    </row>
    <row r="662" spans="2:15" ht="12.95" customHeight="1" x14ac:dyDescent="0.3">
      <c r="B662" s="89" t="s">
        <v>366</v>
      </c>
      <c r="C662" s="89" t="s">
        <v>234</v>
      </c>
      <c r="D662" s="90" t="s">
        <v>34</v>
      </c>
      <c r="E662" s="76">
        <v>6024</v>
      </c>
      <c r="F662" s="15">
        <v>8</v>
      </c>
      <c r="G662" s="3">
        <f t="shared" si="129"/>
        <v>48192</v>
      </c>
      <c r="H662" s="4"/>
      <c r="I662" s="4"/>
      <c r="N662" s="21"/>
      <c r="O662" s="21"/>
    </row>
    <row r="663" spans="2:15" ht="12.95" customHeight="1" x14ac:dyDescent="0.3">
      <c r="B663" s="93" t="s">
        <v>29</v>
      </c>
      <c r="C663" s="96"/>
      <c r="D663" s="97"/>
      <c r="E663" s="138"/>
      <c r="F663" s="15"/>
      <c r="G663" s="20">
        <f>TRUNC(SUM(G661:G662))</f>
        <v>114184</v>
      </c>
      <c r="H663" s="4"/>
      <c r="I663" s="4"/>
      <c r="N663" s="21"/>
      <c r="O663" s="21"/>
    </row>
    <row r="664" spans="2:15" ht="12.95" customHeight="1" x14ac:dyDescent="0.3">
      <c r="B664" s="79"/>
      <c r="C664" s="79"/>
      <c r="D664" s="90"/>
      <c r="E664" s="98"/>
      <c r="F664" s="15"/>
      <c r="G664" s="99"/>
      <c r="H664" s="4"/>
      <c r="I664" s="4"/>
      <c r="N664" s="21"/>
      <c r="O664" s="21"/>
    </row>
    <row r="665" spans="2:15" ht="12.95" customHeight="1" x14ac:dyDescent="0.3">
      <c r="B665" s="126" t="s">
        <v>42</v>
      </c>
      <c r="C665" s="126"/>
      <c r="D665" s="75" t="s">
        <v>28</v>
      </c>
      <c r="E665" s="76">
        <v>226122</v>
      </c>
      <c r="F665" s="15">
        <v>2</v>
      </c>
      <c r="G665" s="3">
        <f t="shared" ref="G665:G668" si="130">TRUNC($E665*F665,1)</f>
        <v>452244</v>
      </c>
      <c r="H665" s="4"/>
      <c r="I665" s="4"/>
    </row>
    <row r="666" spans="2:15" ht="12.95" customHeight="1" x14ac:dyDescent="0.3">
      <c r="B666" s="73" t="s">
        <v>8</v>
      </c>
      <c r="C666" s="74"/>
      <c r="D666" s="75" t="s">
        <v>28</v>
      </c>
      <c r="E666" s="76">
        <v>172068</v>
      </c>
      <c r="F666" s="15">
        <v>4</v>
      </c>
      <c r="G666" s="3">
        <f t="shared" si="130"/>
        <v>688272</v>
      </c>
      <c r="H666" s="4"/>
    </row>
    <row r="667" spans="2:15" ht="12.95" customHeight="1" x14ac:dyDescent="0.3">
      <c r="B667" s="89" t="s">
        <v>357</v>
      </c>
      <c r="C667" s="89" t="s">
        <v>234</v>
      </c>
      <c r="D667" s="90" t="s">
        <v>34</v>
      </c>
      <c r="E667" s="76">
        <v>58925</v>
      </c>
      <c r="F667" s="15">
        <v>8</v>
      </c>
      <c r="G667" s="3">
        <f t="shared" si="130"/>
        <v>471400</v>
      </c>
    </row>
    <row r="668" spans="2:15" ht="12.95" customHeight="1" x14ac:dyDescent="0.3">
      <c r="B668" s="89" t="s">
        <v>366</v>
      </c>
      <c r="C668" s="89" t="s">
        <v>234</v>
      </c>
      <c r="D668" s="90" t="s">
        <v>34</v>
      </c>
      <c r="E668" s="76">
        <v>49698</v>
      </c>
      <c r="F668" s="15">
        <v>8</v>
      </c>
      <c r="G668" s="3">
        <f t="shared" si="130"/>
        <v>397584</v>
      </c>
    </row>
    <row r="669" spans="2:15" ht="12.95" customHeight="1" x14ac:dyDescent="0.3">
      <c r="B669" s="77" t="s">
        <v>30</v>
      </c>
      <c r="C669" s="96"/>
      <c r="D669" s="97"/>
      <c r="E669" s="19"/>
      <c r="F669" s="15"/>
      <c r="G669" s="20">
        <f>TRUNC(SUM(G665:G668))</f>
        <v>2009500</v>
      </c>
    </row>
    <row r="670" spans="2:15" ht="12.95" customHeight="1" x14ac:dyDescent="0.3">
      <c r="B670" s="79"/>
      <c r="C670" s="79"/>
      <c r="D670" s="90"/>
      <c r="E670" s="98"/>
      <c r="F670" s="15"/>
      <c r="G670" s="99"/>
    </row>
    <row r="671" spans="2:15" ht="12.95" customHeight="1" x14ac:dyDescent="0.3">
      <c r="B671" s="89" t="s">
        <v>357</v>
      </c>
      <c r="C671" s="89" t="s">
        <v>234</v>
      </c>
      <c r="D671" s="90" t="s">
        <v>34</v>
      </c>
      <c r="E671" s="76">
        <v>4048</v>
      </c>
      <c r="F671" s="15">
        <v>8</v>
      </c>
      <c r="G671" s="3">
        <f t="shared" ref="G671:G672" si="131">TRUNC($E671*F671,1)</f>
        <v>32384</v>
      </c>
    </row>
    <row r="672" spans="2:15" ht="12.95" customHeight="1" x14ac:dyDescent="0.3">
      <c r="B672" s="89" t="s">
        <v>366</v>
      </c>
      <c r="C672" s="89" t="s">
        <v>234</v>
      </c>
      <c r="D672" s="90" t="s">
        <v>34</v>
      </c>
      <c r="E672" s="76">
        <v>6522</v>
      </c>
      <c r="F672" s="15">
        <v>8</v>
      </c>
      <c r="G672" s="3">
        <f t="shared" si="131"/>
        <v>52176</v>
      </c>
    </row>
    <row r="673" spans="2:11" ht="12.95" customHeight="1" x14ac:dyDescent="0.3">
      <c r="B673" s="93" t="s">
        <v>31</v>
      </c>
      <c r="C673" s="96"/>
      <c r="D673" s="104"/>
      <c r="E673" s="19"/>
      <c r="F673" s="138"/>
      <c r="G673" s="20">
        <f>TRUNC(SUM(G671:G672))</f>
        <v>84560</v>
      </c>
      <c r="H673" s="4"/>
      <c r="I673" s="4"/>
    </row>
    <row r="674" spans="2:11" ht="12.95" customHeight="1" x14ac:dyDescent="0.3">
      <c r="B674" s="79"/>
      <c r="C674" s="79"/>
      <c r="D674" s="90"/>
      <c r="E674" s="98"/>
      <c r="F674" s="98"/>
      <c r="G674" s="99"/>
      <c r="H674" s="4"/>
      <c r="I674" s="4"/>
    </row>
    <row r="675" spans="2:11" ht="12.95" customHeight="1" x14ac:dyDescent="0.3">
      <c r="B675" s="82" t="s">
        <v>33</v>
      </c>
      <c r="C675" s="79"/>
      <c r="D675" s="90"/>
      <c r="E675" s="152"/>
      <c r="F675" s="153"/>
      <c r="G675" s="53">
        <f>SUM(G663+G669+G673)</f>
        <v>2208244</v>
      </c>
      <c r="H675" s="4"/>
    </row>
    <row r="676" spans="2:11" ht="12.95" customHeight="1" x14ac:dyDescent="0.3">
      <c r="B676" s="84" t="s">
        <v>335</v>
      </c>
      <c r="C676" s="85"/>
      <c r="D676" s="86"/>
      <c r="E676" s="87"/>
      <c r="F676" s="88"/>
      <c r="G676" s="7">
        <f>TRUNC((G675/G659)*10)</f>
        <v>55206</v>
      </c>
    </row>
    <row r="678" spans="2:11" ht="12.95" customHeight="1" x14ac:dyDescent="0.3">
      <c r="B678" s="1" t="s">
        <v>189</v>
      </c>
    </row>
    <row r="679" spans="2:11" ht="12.95" customHeight="1" x14ac:dyDescent="0.3">
      <c r="B679" s="1" t="s">
        <v>190</v>
      </c>
      <c r="G679" s="137"/>
      <c r="K679" s="137" t="s">
        <v>178</v>
      </c>
    </row>
    <row r="680" spans="2:11" ht="12.95" customHeight="1" x14ac:dyDescent="0.3">
      <c r="B680" s="165" t="s">
        <v>21</v>
      </c>
      <c r="C680" s="167" t="s">
        <v>36</v>
      </c>
      <c r="D680" s="169" t="s">
        <v>26</v>
      </c>
      <c r="E680" s="170" t="s">
        <v>22</v>
      </c>
      <c r="F680" s="185" t="s">
        <v>192</v>
      </c>
      <c r="G680" s="186"/>
      <c r="H680" s="185" t="s">
        <v>193</v>
      </c>
      <c r="I680" s="186"/>
      <c r="J680" s="185" t="s">
        <v>194</v>
      </c>
      <c r="K680" s="186"/>
    </row>
    <row r="681" spans="2:11" ht="12.95" customHeight="1" x14ac:dyDescent="0.3">
      <c r="B681" s="166"/>
      <c r="C681" s="168"/>
      <c r="D681" s="169"/>
      <c r="E681" s="171"/>
      <c r="F681" s="71" t="s">
        <v>23</v>
      </c>
      <c r="G681" s="72" t="s">
        <v>24</v>
      </c>
      <c r="H681" s="71" t="s">
        <v>23</v>
      </c>
      <c r="I681" s="72" t="s">
        <v>24</v>
      </c>
      <c r="J681" s="71" t="s">
        <v>23</v>
      </c>
      <c r="K681" s="72" t="s">
        <v>24</v>
      </c>
    </row>
    <row r="682" spans="2:11" ht="12.95" customHeight="1" x14ac:dyDescent="0.3">
      <c r="B682" s="89" t="s">
        <v>27</v>
      </c>
      <c r="C682" s="91" t="s">
        <v>124</v>
      </c>
      <c r="D682" s="90" t="s">
        <v>35</v>
      </c>
      <c r="E682" s="92"/>
      <c r="F682" s="36">
        <v>1</v>
      </c>
      <c r="G682" s="6">
        <f>TRUNC(SUM(G685:G686)*0.04,1)</f>
        <v>5430.8</v>
      </c>
      <c r="H682" s="36">
        <v>1</v>
      </c>
      <c r="I682" s="6">
        <f>TRUNC(SUM(I685:I686)*0.04,1)</f>
        <v>6878.1</v>
      </c>
      <c r="J682" s="36">
        <v>1</v>
      </c>
      <c r="K682" s="6">
        <f>TRUNC(SUM(K685:K686)*0.04,1)</f>
        <v>8725.2000000000007</v>
      </c>
    </row>
    <row r="683" spans="2:11" ht="12.95" customHeight="1" x14ac:dyDescent="0.3">
      <c r="B683" s="129" t="s">
        <v>29</v>
      </c>
      <c r="C683" s="130"/>
      <c r="D683" s="131"/>
      <c r="E683" s="132"/>
      <c r="F683" s="44"/>
      <c r="G683" s="40">
        <f>TRUNC(SUM(G682:G682))</f>
        <v>5430</v>
      </c>
      <c r="H683" s="44"/>
      <c r="I683" s="40">
        <f>TRUNC(SUM(I682:I682))</f>
        <v>6878</v>
      </c>
      <c r="J683" s="44"/>
      <c r="K683" s="40">
        <f>TRUNC(SUM(K682:K682))</f>
        <v>8725</v>
      </c>
    </row>
    <row r="684" spans="2:11" ht="12.95" customHeight="1" x14ac:dyDescent="0.3">
      <c r="B684" s="126"/>
      <c r="C684" s="126"/>
      <c r="D684" s="127"/>
      <c r="E684" s="76"/>
      <c r="F684" s="25"/>
      <c r="G684" s="29"/>
      <c r="H684" s="25"/>
      <c r="I684" s="29"/>
      <c r="J684" s="25"/>
      <c r="K684" s="29"/>
    </row>
    <row r="685" spans="2:11" ht="12.95" customHeight="1" x14ac:dyDescent="0.3">
      <c r="B685" s="73" t="s">
        <v>4</v>
      </c>
      <c r="C685" s="74"/>
      <c r="D685" s="75" t="s">
        <v>28</v>
      </c>
      <c r="E685" s="76">
        <v>275790</v>
      </c>
      <c r="F685" s="26">
        <v>0.38</v>
      </c>
      <c r="G685" s="3">
        <f t="shared" ref="G685:G686" si="132">TRUNC($E685*F685,1)</f>
        <v>104800.2</v>
      </c>
      <c r="H685" s="26">
        <v>0.48</v>
      </c>
      <c r="I685" s="3">
        <f t="shared" ref="I685:I686" si="133">TRUNC($E685*H685,1)</f>
        <v>132379.20000000001</v>
      </c>
      <c r="J685" s="26">
        <v>0.61</v>
      </c>
      <c r="K685" s="3">
        <f t="shared" ref="K685:K686" si="134">TRUNC($E685*J685,1)</f>
        <v>168231.9</v>
      </c>
    </row>
    <row r="686" spans="2:11" ht="12.95" customHeight="1" x14ac:dyDescent="0.3">
      <c r="B686" s="126" t="s">
        <v>8</v>
      </c>
      <c r="C686" s="126"/>
      <c r="D686" s="75" t="s">
        <v>28</v>
      </c>
      <c r="E686" s="139">
        <v>172068</v>
      </c>
      <c r="F686" s="26">
        <v>0.18</v>
      </c>
      <c r="G686" s="3">
        <f t="shared" si="132"/>
        <v>30972.2</v>
      </c>
      <c r="H686" s="26">
        <v>0.23</v>
      </c>
      <c r="I686" s="3">
        <f t="shared" si="133"/>
        <v>39575.599999999999</v>
      </c>
      <c r="J686" s="26">
        <v>0.28999999999999998</v>
      </c>
      <c r="K686" s="3">
        <f t="shared" si="134"/>
        <v>49899.7</v>
      </c>
    </row>
    <row r="687" spans="2:11" ht="12.95" customHeight="1" x14ac:dyDescent="0.3">
      <c r="B687" s="77" t="s">
        <v>30</v>
      </c>
      <c r="C687" s="133"/>
      <c r="D687" s="134"/>
      <c r="E687" s="24"/>
      <c r="F687" s="39"/>
      <c r="G687" s="40">
        <f>TRUNC(SUM(G685:G686))</f>
        <v>135772</v>
      </c>
      <c r="H687" s="39"/>
      <c r="I687" s="40">
        <f>TRUNC(SUM(I685:I686))</f>
        <v>171954</v>
      </c>
      <c r="J687" s="39"/>
      <c r="K687" s="40">
        <f>TRUNC(SUM(K685:K686))</f>
        <v>218131</v>
      </c>
    </row>
    <row r="688" spans="2:11" ht="12.95" customHeight="1" x14ac:dyDescent="0.3">
      <c r="B688" s="126"/>
      <c r="C688" s="126"/>
      <c r="D688" s="126"/>
      <c r="E688" s="76"/>
      <c r="F688" s="26"/>
      <c r="G688" s="29"/>
      <c r="H688" s="26"/>
      <c r="I688" s="29"/>
      <c r="J688" s="26"/>
      <c r="K688" s="29"/>
    </row>
    <row r="689" spans="2:11" ht="12.95" customHeight="1" x14ac:dyDescent="0.3">
      <c r="B689" s="84" t="s">
        <v>33</v>
      </c>
      <c r="C689" s="135"/>
      <c r="D689" s="135"/>
      <c r="E689" s="136"/>
      <c r="F689" s="136"/>
      <c r="G689" s="42">
        <f>SUM(G683+G687)</f>
        <v>141202</v>
      </c>
      <c r="H689" s="136"/>
      <c r="I689" s="42">
        <f>SUM(I683+I687)</f>
        <v>178832</v>
      </c>
      <c r="J689" s="136"/>
      <c r="K689" s="42">
        <f>SUM(K683+K687)</f>
        <v>226856</v>
      </c>
    </row>
    <row r="691" spans="2:11" ht="12.95" customHeight="1" x14ac:dyDescent="0.3">
      <c r="B691" s="1" t="s">
        <v>179</v>
      </c>
      <c r="G691" s="137"/>
      <c r="K691" s="137" t="s">
        <v>76</v>
      </c>
    </row>
    <row r="692" spans="2:11" ht="12.95" customHeight="1" x14ac:dyDescent="0.3">
      <c r="B692" s="165" t="s">
        <v>21</v>
      </c>
      <c r="C692" s="167" t="s">
        <v>36</v>
      </c>
      <c r="D692" s="169" t="s">
        <v>26</v>
      </c>
      <c r="E692" s="170" t="s">
        <v>22</v>
      </c>
      <c r="F692" s="185" t="s">
        <v>192</v>
      </c>
      <c r="G692" s="186"/>
      <c r="H692" s="185" t="s">
        <v>193</v>
      </c>
      <c r="I692" s="186"/>
      <c r="J692" s="185" t="s">
        <v>194</v>
      </c>
      <c r="K692" s="186"/>
    </row>
    <row r="693" spans="2:11" ht="12.95" customHeight="1" x14ac:dyDescent="0.3">
      <c r="B693" s="166"/>
      <c r="C693" s="168"/>
      <c r="D693" s="169"/>
      <c r="E693" s="171"/>
      <c r="F693" s="71" t="s">
        <v>23</v>
      </c>
      <c r="G693" s="72" t="s">
        <v>24</v>
      </c>
      <c r="H693" s="71" t="s">
        <v>23</v>
      </c>
      <c r="I693" s="72" t="s">
        <v>24</v>
      </c>
      <c r="J693" s="71" t="s">
        <v>23</v>
      </c>
      <c r="K693" s="72" t="s">
        <v>24</v>
      </c>
    </row>
    <row r="694" spans="2:11" ht="12.95" customHeight="1" x14ac:dyDescent="0.3">
      <c r="B694" s="89" t="s">
        <v>27</v>
      </c>
      <c r="C694" s="91" t="s">
        <v>51</v>
      </c>
      <c r="D694" s="90" t="s">
        <v>35</v>
      </c>
      <c r="E694" s="92"/>
      <c r="F694" s="36">
        <v>1</v>
      </c>
      <c r="G694" s="6">
        <f>TRUNC(SUM(G697:G698)*0.02,1)</f>
        <v>229.7</v>
      </c>
      <c r="H694" s="36">
        <v>1</v>
      </c>
      <c r="I694" s="6">
        <f>TRUNC(SUM(I697:I698)*0.02,1)</f>
        <v>337</v>
      </c>
      <c r="J694" s="36">
        <v>1</v>
      </c>
      <c r="K694" s="6">
        <f>TRUNC(SUM(K697:K698)*0.02,1)</f>
        <v>478.7</v>
      </c>
    </row>
    <row r="695" spans="2:11" ht="12.95" customHeight="1" x14ac:dyDescent="0.3">
      <c r="B695" s="129" t="s">
        <v>29</v>
      </c>
      <c r="C695" s="130"/>
      <c r="D695" s="131"/>
      <c r="E695" s="132"/>
      <c r="F695" s="44"/>
      <c r="G695" s="40">
        <f>TRUNC(SUM(G694:G694))</f>
        <v>229</v>
      </c>
      <c r="H695" s="44"/>
      <c r="I695" s="40">
        <f>TRUNC(SUM(I694:I694))</f>
        <v>337</v>
      </c>
      <c r="J695" s="44"/>
      <c r="K695" s="40">
        <f>TRUNC(SUM(K694:K694))</f>
        <v>478</v>
      </c>
    </row>
    <row r="696" spans="2:11" ht="12.95" customHeight="1" x14ac:dyDescent="0.3">
      <c r="B696" s="126"/>
      <c r="C696" s="126"/>
      <c r="D696" s="127"/>
      <c r="E696" s="76"/>
      <c r="F696" s="25"/>
      <c r="G696" s="29"/>
      <c r="H696" s="25"/>
      <c r="I696" s="29"/>
      <c r="J696" s="25"/>
      <c r="K696" s="29"/>
    </row>
    <row r="697" spans="2:11" ht="12.95" customHeight="1" x14ac:dyDescent="0.3">
      <c r="B697" s="126" t="s">
        <v>14</v>
      </c>
      <c r="C697" s="126"/>
      <c r="D697" s="75" t="s">
        <v>28</v>
      </c>
      <c r="E697" s="76">
        <v>268187</v>
      </c>
      <c r="F697" s="26">
        <v>0.03</v>
      </c>
      <c r="G697" s="3">
        <f t="shared" ref="G697:G698" si="135">TRUNC($E697*F697,1)</f>
        <v>8045.6</v>
      </c>
      <c r="H697" s="26">
        <v>0.05</v>
      </c>
      <c r="I697" s="3">
        <f t="shared" ref="I697:I698" si="136">TRUNC($E697*H697,1)</f>
        <v>13409.3</v>
      </c>
      <c r="J697" s="26">
        <v>7.0000000000000007E-2</v>
      </c>
      <c r="K697" s="3">
        <f t="shared" ref="K697:K698" si="137">TRUNC($E697*J697,1)</f>
        <v>18773</v>
      </c>
    </row>
    <row r="698" spans="2:11" ht="12.95" customHeight="1" x14ac:dyDescent="0.3">
      <c r="B698" s="126" t="s">
        <v>8</v>
      </c>
      <c r="C698" s="126"/>
      <c r="D698" s="75" t="s">
        <v>28</v>
      </c>
      <c r="E698" s="139">
        <v>172068</v>
      </c>
      <c r="F698" s="26">
        <v>0.02</v>
      </c>
      <c r="G698" s="3">
        <f t="shared" si="135"/>
        <v>3441.3</v>
      </c>
      <c r="H698" s="26">
        <v>0.02</v>
      </c>
      <c r="I698" s="3">
        <f t="shared" si="136"/>
        <v>3441.3</v>
      </c>
      <c r="J698" s="26">
        <v>0.03</v>
      </c>
      <c r="K698" s="3">
        <f t="shared" si="137"/>
        <v>5162</v>
      </c>
    </row>
    <row r="699" spans="2:11" ht="12.95" customHeight="1" x14ac:dyDescent="0.3">
      <c r="B699" s="77" t="s">
        <v>30</v>
      </c>
      <c r="C699" s="133"/>
      <c r="D699" s="134"/>
      <c r="E699" s="24"/>
      <c r="F699" s="39"/>
      <c r="G699" s="40">
        <f>TRUNC(SUM(G697:G698))</f>
        <v>11486</v>
      </c>
      <c r="H699" s="39"/>
      <c r="I699" s="40">
        <f>TRUNC(SUM(I697:I698))</f>
        <v>16850</v>
      </c>
      <c r="J699" s="39"/>
      <c r="K699" s="40">
        <f>TRUNC(SUM(K697:K698))</f>
        <v>23935</v>
      </c>
    </row>
    <row r="700" spans="2:11" ht="12.95" customHeight="1" x14ac:dyDescent="0.3">
      <c r="B700" s="126"/>
      <c r="C700" s="126"/>
      <c r="D700" s="126"/>
      <c r="E700" s="76"/>
      <c r="F700" s="26"/>
      <c r="G700" s="29"/>
      <c r="H700" s="26"/>
      <c r="I700" s="29"/>
      <c r="J700" s="26"/>
      <c r="K700" s="29"/>
    </row>
    <row r="701" spans="2:11" ht="12.95" customHeight="1" x14ac:dyDescent="0.3">
      <c r="B701" s="84" t="s">
        <v>33</v>
      </c>
      <c r="C701" s="135"/>
      <c r="D701" s="135"/>
      <c r="E701" s="136"/>
      <c r="F701" s="136"/>
      <c r="G701" s="42">
        <f>SUM(G695+G699)</f>
        <v>11715</v>
      </c>
      <c r="H701" s="136"/>
      <c r="I701" s="42">
        <f>SUM(I695+I699)</f>
        <v>17187</v>
      </c>
      <c r="J701" s="136"/>
      <c r="K701" s="42">
        <f>SUM(K695+K699)</f>
        <v>24413</v>
      </c>
    </row>
    <row r="703" spans="2:11" ht="12.95" customHeight="1" x14ac:dyDescent="0.3">
      <c r="B703" s="1" t="s">
        <v>191</v>
      </c>
      <c r="I703" s="137" t="s">
        <v>180</v>
      </c>
    </row>
    <row r="704" spans="2:11" ht="12.95" customHeight="1" x14ac:dyDescent="0.3">
      <c r="B704" s="165" t="s">
        <v>21</v>
      </c>
      <c r="C704" s="167" t="s">
        <v>36</v>
      </c>
      <c r="D704" s="169" t="s">
        <v>26</v>
      </c>
      <c r="E704" s="170" t="s">
        <v>22</v>
      </c>
      <c r="F704" s="185" t="s">
        <v>195</v>
      </c>
      <c r="G704" s="186"/>
      <c r="H704" s="185" t="s">
        <v>196</v>
      </c>
      <c r="I704" s="186"/>
    </row>
    <row r="705" spans="2:13" ht="12.95" customHeight="1" x14ac:dyDescent="0.3">
      <c r="B705" s="166"/>
      <c r="C705" s="168"/>
      <c r="D705" s="169"/>
      <c r="E705" s="171"/>
      <c r="F705" s="71" t="s">
        <v>23</v>
      </c>
      <c r="G705" s="72" t="s">
        <v>24</v>
      </c>
      <c r="H705" s="71" t="s">
        <v>23</v>
      </c>
      <c r="I705" s="72" t="s">
        <v>24</v>
      </c>
    </row>
    <row r="706" spans="2:13" ht="12.95" customHeight="1" x14ac:dyDescent="0.3">
      <c r="B706" s="89" t="s">
        <v>27</v>
      </c>
      <c r="C706" s="91" t="s">
        <v>126</v>
      </c>
      <c r="D706" s="90" t="s">
        <v>35</v>
      </c>
      <c r="E706" s="92"/>
      <c r="F706" s="36">
        <v>1</v>
      </c>
      <c r="G706" s="6">
        <f>TRUNC(SUM(G709:G710)*0.05,1)</f>
        <v>27181.200000000001</v>
      </c>
      <c r="H706" s="36">
        <v>1</v>
      </c>
      <c r="I706" s="6">
        <f>TRUNC(SUM(I709:I710)*0.05,1)</f>
        <v>23456.799999999999</v>
      </c>
    </row>
    <row r="707" spans="2:13" ht="12.95" customHeight="1" x14ac:dyDescent="0.3">
      <c r="B707" s="129" t="s">
        <v>29</v>
      </c>
      <c r="C707" s="130"/>
      <c r="D707" s="131"/>
      <c r="E707" s="132"/>
      <c r="F707" s="44"/>
      <c r="G707" s="40">
        <f>TRUNC(SUM(G706:G706))</f>
        <v>27181</v>
      </c>
      <c r="H707" s="44"/>
      <c r="I707" s="40">
        <f>TRUNC(SUM(I706:I706))</f>
        <v>23456</v>
      </c>
    </row>
    <row r="708" spans="2:13" ht="12.95" customHeight="1" x14ac:dyDescent="0.3">
      <c r="B708" s="126"/>
      <c r="C708" s="126"/>
      <c r="D708" s="127"/>
      <c r="E708" s="76"/>
      <c r="F708" s="25"/>
      <c r="G708" s="29"/>
      <c r="H708" s="25"/>
      <c r="I708" s="29"/>
    </row>
    <row r="709" spans="2:13" ht="12.95" customHeight="1" x14ac:dyDescent="0.3">
      <c r="B709" s="126" t="s">
        <v>14</v>
      </c>
      <c r="C709" s="126"/>
      <c r="D709" s="75" t="s">
        <v>28</v>
      </c>
      <c r="E709" s="76">
        <v>268187</v>
      </c>
      <c r="F709" s="26">
        <v>1.61</v>
      </c>
      <c r="G709" s="3">
        <f t="shared" ref="G709:G710" si="138">TRUNC($E709*F709,1)</f>
        <v>431781</v>
      </c>
      <c r="H709" s="26">
        <v>1.39</v>
      </c>
      <c r="I709" s="3">
        <f t="shared" ref="I709:I710" si="139">TRUNC($E709*H709,1)</f>
        <v>372779.9</v>
      </c>
    </row>
    <row r="710" spans="2:13" ht="12.95" customHeight="1" x14ac:dyDescent="0.3">
      <c r="B710" s="126" t="s">
        <v>8</v>
      </c>
      <c r="C710" s="126"/>
      <c r="D710" s="75" t="s">
        <v>28</v>
      </c>
      <c r="E710" s="139">
        <v>172068</v>
      </c>
      <c r="F710" s="26">
        <v>0.65</v>
      </c>
      <c r="G710" s="3">
        <f t="shared" si="138"/>
        <v>111844.2</v>
      </c>
      <c r="H710" s="26">
        <v>0.56000000000000005</v>
      </c>
      <c r="I710" s="3">
        <f t="shared" si="139"/>
        <v>96358</v>
      </c>
    </row>
    <row r="711" spans="2:13" ht="12.95" customHeight="1" x14ac:dyDescent="0.3">
      <c r="B711" s="77" t="s">
        <v>30</v>
      </c>
      <c r="C711" s="133"/>
      <c r="D711" s="134"/>
      <c r="E711" s="24"/>
      <c r="F711" s="39"/>
      <c r="G711" s="40">
        <f>TRUNC(SUM(G709:G710))</f>
        <v>543625</v>
      </c>
      <c r="H711" s="39"/>
      <c r="I711" s="40">
        <f>TRUNC(SUM(I709:I710))</f>
        <v>469137</v>
      </c>
    </row>
    <row r="712" spans="2:13" ht="12.95" customHeight="1" x14ac:dyDescent="0.3">
      <c r="B712" s="126"/>
      <c r="C712" s="126"/>
      <c r="D712" s="126"/>
      <c r="E712" s="76"/>
      <c r="F712" s="26"/>
      <c r="G712" s="29"/>
      <c r="H712" s="26"/>
      <c r="I712" s="29"/>
    </row>
    <row r="713" spans="2:13" ht="12.95" customHeight="1" x14ac:dyDescent="0.3">
      <c r="B713" s="84" t="s">
        <v>33</v>
      </c>
      <c r="C713" s="135"/>
      <c r="D713" s="135"/>
      <c r="E713" s="136"/>
      <c r="F713" s="136"/>
      <c r="G713" s="42">
        <f>SUM(G707+G711)</f>
        <v>570806</v>
      </c>
      <c r="H713" s="136"/>
      <c r="I713" s="42">
        <f>SUM(I707+I711)</f>
        <v>492593</v>
      </c>
    </row>
    <row r="715" spans="2:13" ht="12.95" customHeight="1" x14ac:dyDescent="0.3">
      <c r="B715" s="1" t="s">
        <v>183</v>
      </c>
      <c r="I715" s="137"/>
      <c r="M715" s="137" t="s">
        <v>136</v>
      </c>
    </row>
    <row r="716" spans="2:13" ht="12.95" customHeight="1" x14ac:dyDescent="0.3">
      <c r="B716" s="176" t="s">
        <v>21</v>
      </c>
      <c r="C716" s="176" t="s">
        <v>25</v>
      </c>
      <c r="D716" s="170" t="s">
        <v>26</v>
      </c>
      <c r="E716" s="170" t="s">
        <v>22</v>
      </c>
      <c r="F716" s="180" t="s">
        <v>198</v>
      </c>
      <c r="G716" s="181"/>
      <c r="H716" s="181"/>
      <c r="I716" s="181"/>
      <c r="J716" s="181"/>
      <c r="K716" s="181"/>
      <c r="L716" s="181"/>
      <c r="M716" s="181"/>
    </row>
    <row r="717" spans="2:13" ht="12.95" customHeight="1" x14ac:dyDescent="0.3">
      <c r="B717" s="177"/>
      <c r="C717" s="177"/>
      <c r="D717" s="179"/>
      <c r="E717" s="179"/>
      <c r="F717" s="185" t="s">
        <v>199</v>
      </c>
      <c r="G717" s="186"/>
      <c r="H717" s="185" t="s">
        <v>200</v>
      </c>
      <c r="I717" s="186"/>
      <c r="J717" s="185" t="s">
        <v>201</v>
      </c>
      <c r="K717" s="186"/>
      <c r="L717" s="185" t="s">
        <v>202</v>
      </c>
      <c r="M717" s="186"/>
    </row>
    <row r="718" spans="2:13" ht="12.95" customHeight="1" x14ac:dyDescent="0.3">
      <c r="B718" s="178"/>
      <c r="C718" s="178"/>
      <c r="D718" s="171"/>
      <c r="E718" s="171"/>
      <c r="F718" s="102" t="s">
        <v>23</v>
      </c>
      <c r="G718" s="102" t="s">
        <v>24</v>
      </c>
      <c r="H718" s="102" t="s">
        <v>23</v>
      </c>
      <c r="I718" s="67" t="s">
        <v>24</v>
      </c>
      <c r="J718" s="102" t="s">
        <v>23</v>
      </c>
      <c r="K718" s="67" t="s">
        <v>24</v>
      </c>
      <c r="L718" s="102" t="s">
        <v>23</v>
      </c>
      <c r="M718" s="67" t="s">
        <v>24</v>
      </c>
    </row>
    <row r="719" spans="2:13" ht="12.95" customHeight="1" x14ac:dyDescent="0.3">
      <c r="B719" s="89" t="s">
        <v>27</v>
      </c>
      <c r="C719" s="91" t="s">
        <v>126</v>
      </c>
      <c r="D719" s="90" t="s">
        <v>35</v>
      </c>
      <c r="E719" s="92"/>
      <c r="F719" s="36">
        <v>1</v>
      </c>
      <c r="G719" s="29">
        <f>TRUNC(SUM(G722:G724)*0.05,1)</f>
        <v>6462.7</v>
      </c>
      <c r="H719" s="36">
        <v>1</v>
      </c>
      <c r="I719" s="29">
        <f>TRUNC(SUM(I722:I724)*0.05,1)</f>
        <v>9352.7999999999993</v>
      </c>
      <c r="J719" s="36">
        <v>1</v>
      </c>
      <c r="K719" s="29">
        <f>TRUNC(SUM(K722:K724)*0.05,1)</f>
        <v>14500.9</v>
      </c>
      <c r="L719" s="36">
        <v>1</v>
      </c>
      <c r="M719" s="29">
        <f>TRUNC(SUM(M722:M724)*0.05,1)</f>
        <v>21638.400000000001</v>
      </c>
    </row>
    <row r="720" spans="2:13" ht="12.95" customHeight="1" x14ac:dyDescent="0.3">
      <c r="B720" s="93" t="s">
        <v>29</v>
      </c>
      <c r="C720" s="96"/>
      <c r="D720" s="97"/>
      <c r="E720" s="138"/>
      <c r="F720" s="37"/>
      <c r="G720" s="20">
        <f>TRUNC(SUM(G719:G719))</f>
        <v>6462</v>
      </c>
      <c r="H720" s="37"/>
      <c r="I720" s="20">
        <f>TRUNC(SUM(I719:I719))</f>
        <v>9352</v>
      </c>
      <c r="J720" s="37"/>
      <c r="K720" s="20">
        <f>TRUNC(SUM(K719:K719))</f>
        <v>14500</v>
      </c>
      <c r="L720" s="37"/>
      <c r="M720" s="20">
        <f>TRUNC(SUM(M719:M719))</f>
        <v>21638</v>
      </c>
    </row>
    <row r="721" spans="2:13" ht="12.95" customHeight="1" x14ac:dyDescent="0.3">
      <c r="B721" s="79"/>
      <c r="C721" s="79"/>
      <c r="D721" s="90"/>
      <c r="E721" s="98"/>
      <c r="F721" s="37"/>
      <c r="G721" s="99"/>
      <c r="H721" s="37"/>
      <c r="I721" s="99"/>
      <c r="J721" s="37"/>
      <c r="K721" s="99"/>
      <c r="L721" s="37"/>
      <c r="M721" s="99"/>
    </row>
    <row r="722" spans="2:13" ht="12.95" customHeight="1" x14ac:dyDescent="0.3">
      <c r="B722" s="73" t="s">
        <v>151</v>
      </c>
      <c r="C722" s="74"/>
      <c r="D722" s="75" t="s">
        <v>28</v>
      </c>
      <c r="E722" s="76">
        <v>241698</v>
      </c>
      <c r="F722" s="37">
        <v>0.26</v>
      </c>
      <c r="G722" s="3">
        <f t="shared" ref="G722:G724" si="140">TRUNC($E722*F722,1)</f>
        <v>62841.4</v>
      </c>
      <c r="H722" s="37">
        <v>0.37</v>
      </c>
      <c r="I722" s="3">
        <f t="shared" ref="I722:I724" si="141">TRUNC($E722*H722,1)</f>
        <v>89428.2</v>
      </c>
      <c r="J722" s="37">
        <v>0.57999999999999996</v>
      </c>
      <c r="K722" s="3">
        <f t="shared" ref="K722:K724" si="142">TRUNC($E722*J722,1)</f>
        <v>140184.79999999999</v>
      </c>
      <c r="L722" s="37">
        <v>0.87</v>
      </c>
      <c r="M722" s="3">
        <f t="shared" ref="M722:M724" si="143">TRUNC($E722*L722,1)</f>
        <v>210277.2</v>
      </c>
    </row>
    <row r="723" spans="2:13" ht="12.95" customHeight="1" x14ac:dyDescent="0.3">
      <c r="B723" s="73" t="s">
        <v>42</v>
      </c>
      <c r="C723" s="74"/>
      <c r="D723" s="75" t="s">
        <v>28</v>
      </c>
      <c r="E723" s="76">
        <v>226122</v>
      </c>
      <c r="F723" s="37">
        <v>0.21</v>
      </c>
      <c r="G723" s="3">
        <f t="shared" si="140"/>
        <v>47485.599999999999</v>
      </c>
      <c r="H723" s="37">
        <v>0.31</v>
      </c>
      <c r="I723" s="3">
        <f t="shared" si="141"/>
        <v>70097.8</v>
      </c>
      <c r="J723" s="37">
        <v>0.48</v>
      </c>
      <c r="K723" s="3">
        <f t="shared" si="142"/>
        <v>108538.5</v>
      </c>
      <c r="L723" s="37">
        <v>0.71</v>
      </c>
      <c r="M723" s="3">
        <f t="shared" si="143"/>
        <v>160546.6</v>
      </c>
    </row>
    <row r="724" spans="2:13" ht="12.95" customHeight="1" x14ac:dyDescent="0.3">
      <c r="B724" s="73" t="s">
        <v>8</v>
      </c>
      <c r="C724" s="74"/>
      <c r="D724" s="75" t="s">
        <v>28</v>
      </c>
      <c r="E724" s="76">
        <v>172068</v>
      </c>
      <c r="F724" s="37">
        <v>0.11</v>
      </c>
      <c r="G724" s="3">
        <f t="shared" si="140"/>
        <v>18927.400000000001</v>
      </c>
      <c r="H724" s="37">
        <v>0.16</v>
      </c>
      <c r="I724" s="3">
        <f t="shared" si="141"/>
        <v>27530.799999999999</v>
      </c>
      <c r="J724" s="37">
        <v>0.24</v>
      </c>
      <c r="K724" s="3">
        <f t="shared" si="142"/>
        <v>41296.300000000003</v>
      </c>
      <c r="L724" s="37">
        <v>0.36</v>
      </c>
      <c r="M724" s="3">
        <f t="shared" si="143"/>
        <v>61944.4</v>
      </c>
    </row>
    <row r="725" spans="2:13" ht="12.95" customHeight="1" x14ac:dyDescent="0.3">
      <c r="B725" s="77" t="s">
        <v>30</v>
      </c>
      <c r="C725" s="96"/>
      <c r="D725" s="97"/>
      <c r="E725" s="19"/>
      <c r="F725" s="37"/>
      <c r="G725" s="20">
        <f>TRUNC(SUM(G722:G724))</f>
        <v>129254</v>
      </c>
      <c r="H725" s="37"/>
      <c r="I725" s="20">
        <f>TRUNC(SUM(I722:I724))</f>
        <v>187056</v>
      </c>
      <c r="J725" s="37"/>
      <c r="K725" s="20">
        <f>TRUNC(SUM(K722:K724))</f>
        <v>290019</v>
      </c>
      <c r="L725" s="37"/>
      <c r="M725" s="20">
        <f>TRUNC(SUM(M722:M724))</f>
        <v>432768</v>
      </c>
    </row>
    <row r="726" spans="2:13" ht="12.95" customHeight="1" x14ac:dyDescent="0.3">
      <c r="B726" s="79"/>
      <c r="C726" s="79"/>
      <c r="D726" s="90"/>
      <c r="E726" s="98"/>
      <c r="F726" s="37"/>
      <c r="G726" s="99"/>
      <c r="H726" s="37"/>
      <c r="I726" s="99"/>
      <c r="J726" s="37"/>
      <c r="K726" s="99"/>
      <c r="L726" s="37"/>
      <c r="M726" s="99"/>
    </row>
    <row r="727" spans="2:13" ht="12.95" customHeight="1" x14ac:dyDescent="0.3">
      <c r="B727" s="89" t="s">
        <v>20</v>
      </c>
      <c r="C727" s="89" t="s">
        <v>197</v>
      </c>
      <c r="D727" s="90" t="s">
        <v>34</v>
      </c>
      <c r="E727" s="158">
        <v>10271</v>
      </c>
      <c r="F727" s="37">
        <v>0.66</v>
      </c>
      <c r="G727" s="3">
        <f t="shared" ref="G727" si="144">TRUNC($E727*F727,1)</f>
        <v>6778.8</v>
      </c>
      <c r="H727" s="37">
        <v>0.93</v>
      </c>
      <c r="I727" s="3">
        <f t="shared" ref="I727" si="145">TRUNC($E727*H727,1)</f>
        <v>9552</v>
      </c>
      <c r="J727" s="37">
        <v>1.45</v>
      </c>
      <c r="K727" s="3">
        <f t="shared" ref="K727" si="146">TRUNC($E727*J727,1)</f>
        <v>14892.9</v>
      </c>
      <c r="L727" s="37">
        <v>2.1800000000000002</v>
      </c>
      <c r="M727" s="3">
        <f t="shared" ref="M727" si="147">TRUNC($E727*L727,1)</f>
        <v>22390.7</v>
      </c>
    </row>
    <row r="728" spans="2:13" ht="12.95" customHeight="1" x14ac:dyDescent="0.3">
      <c r="B728" s="93" t="s">
        <v>31</v>
      </c>
      <c r="C728" s="96"/>
      <c r="D728" s="104"/>
      <c r="E728" s="19"/>
      <c r="F728" s="138"/>
      <c r="G728" s="20">
        <f t="shared" ref="G728" si="148">TRUNC(SUM(G727))</f>
        <v>6778</v>
      </c>
      <c r="H728" s="138"/>
      <c r="I728" s="20">
        <f t="shared" ref="I728" si="149">TRUNC(SUM(I727))</f>
        <v>9552</v>
      </c>
      <c r="J728" s="138"/>
      <c r="K728" s="20">
        <f t="shared" ref="K728" si="150">TRUNC(SUM(K727))</f>
        <v>14892</v>
      </c>
      <c r="L728" s="138"/>
      <c r="M728" s="20">
        <f t="shared" ref="M728" si="151">TRUNC(SUM(M727))</f>
        <v>22390</v>
      </c>
    </row>
    <row r="729" spans="2:13" ht="12.95" customHeight="1" x14ac:dyDescent="0.3">
      <c r="B729" s="79"/>
      <c r="C729" s="79"/>
      <c r="D729" s="90"/>
      <c r="E729" s="98"/>
      <c r="F729" s="98"/>
      <c r="G729" s="99"/>
      <c r="H729" s="98"/>
      <c r="I729" s="99"/>
      <c r="J729" s="98"/>
      <c r="K729" s="99"/>
      <c r="L729" s="98"/>
      <c r="M729" s="99"/>
    </row>
    <row r="730" spans="2:13" ht="12.95" customHeight="1" x14ac:dyDescent="0.3">
      <c r="B730" s="84" t="s">
        <v>33</v>
      </c>
      <c r="C730" s="85"/>
      <c r="D730" s="86"/>
      <c r="E730" s="87"/>
      <c r="F730" s="88"/>
      <c r="G730" s="7">
        <f>SUM(G720+G725+G728)</f>
        <v>142494</v>
      </c>
      <c r="H730" s="88"/>
      <c r="I730" s="7">
        <f>SUM(I720+I725+I728)</f>
        <v>205960</v>
      </c>
      <c r="J730" s="88"/>
      <c r="K730" s="7">
        <f>SUM(K720+K725+K728)</f>
        <v>319411</v>
      </c>
      <c r="L730" s="88"/>
      <c r="M730" s="7">
        <f>SUM(M720+M725+M728)</f>
        <v>476796</v>
      </c>
    </row>
    <row r="731" spans="2:13" ht="12.95" customHeight="1" x14ac:dyDescent="0.3">
      <c r="B731" s="176" t="s">
        <v>21</v>
      </c>
      <c r="C731" s="176" t="s">
        <v>25</v>
      </c>
      <c r="D731" s="170" t="s">
        <v>26</v>
      </c>
      <c r="E731" s="170" t="s">
        <v>22</v>
      </c>
      <c r="F731" s="180" t="s">
        <v>198</v>
      </c>
      <c r="G731" s="181"/>
      <c r="H731" s="181"/>
      <c r="I731" s="181"/>
      <c r="J731" s="181"/>
      <c r="K731" s="181"/>
      <c r="L731" s="181"/>
      <c r="M731" s="181"/>
    </row>
    <row r="732" spans="2:13" ht="12.95" customHeight="1" x14ac:dyDescent="0.3">
      <c r="B732" s="177"/>
      <c r="C732" s="177"/>
      <c r="D732" s="179"/>
      <c r="E732" s="179"/>
      <c r="F732" s="185" t="s">
        <v>203</v>
      </c>
      <c r="G732" s="186"/>
      <c r="H732" s="185" t="s">
        <v>204</v>
      </c>
      <c r="I732" s="186"/>
      <c r="J732" s="185" t="s">
        <v>205</v>
      </c>
      <c r="K732" s="186"/>
      <c r="L732" s="185" t="s">
        <v>206</v>
      </c>
      <c r="M732" s="186"/>
    </row>
    <row r="733" spans="2:13" ht="12.95" customHeight="1" x14ac:dyDescent="0.3">
      <c r="B733" s="178"/>
      <c r="C733" s="178"/>
      <c r="D733" s="171"/>
      <c r="E733" s="171"/>
      <c r="F733" s="102" t="s">
        <v>23</v>
      </c>
      <c r="G733" s="102" t="s">
        <v>24</v>
      </c>
      <c r="H733" s="102" t="s">
        <v>23</v>
      </c>
      <c r="I733" s="67" t="s">
        <v>24</v>
      </c>
      <c r="J733" s="102" t="s">
        <v>23</v>
      </c>
      <c r="K733" s="67" t="s">
        <v>24</v>
      </c>
      <c r="L733" s="102" t="s">
        <v>23</v>
      </c>
      <c r="M733" s="67" t="s">
        <v>24</v>
      </c>
    </row>
    <row r="734" spans="2:13" ht="12.95" customHeight="1" x14ac:dyDescent="0.3">
      <c r="B734" s="89" t="s">
        <v>27</v>
      </c>
      <c r="C734" s="91" t="s">
        <v>126</v>
      </c>
      <c r="D734" s="90" t="s">
        <v>35</v>
      </c>
      <c r="E734" s="92"/>
      <c r="F734" s="36">
        <v>1</v>
      </c>
      <c r="G734" s="29">
        <f>TRUNC(SUM(G737:G739)*0.05,1)</f>
        <v>7570.4</v>
      </c>
      <c r="H734" s="36">
        <v>1</v>
      </c>
      <c r="I734" s="29">
        <f>TRUNC(SUM(I737:I739)*0.05,1)</f>
        <v>10702.2</v>
      </c>
      <c r="J734" s="36">
        <v>1</v>
      </c>
      <c r="K734" s="29">
        <f>TRUNC(SUM(K737:K739)*0.05,1)</f>
        <v>16724.099999999999</v>
      </c>
      <c r="L734" s="36">
        <v>1</v>
      </c>
      <c r="M734" s="29">
        <f>TRUNC(SUM(M737:M739)*0.05,1)</f>
        <v>25203.200000000001</v>
      </c>
    </row>
    <row r="735" spans="2:13" ht="12.95" customHeight="1" x14ac:dyDescent="0.3">
      <c r="B735" s="93" t="s">
        <v>29</v>
      </c>
      <c r="C735" s="96"/>
      <c r="D735" s="97"/>
      <c r="E735" s="138"/>
      <c r="F735" s="37"/>
      <c r="G735" s="20">
        <f>TRUNC(SUM(G734:G734))</f>
        <v>7570</v>
      </c>
      <c r="H735" s="37"/>
      <c r="I735" s="20">
        <f>TRUNC(SUM(I734:I734))</f>
        <v>10702</v>
      </c>
      <c r="J735" s="37"/>
      <c r="K735" s="20">
        <f>TRUNC(SUM(K734:K734))</f>
        <v>16724</v>
      </c>
      <c r="L735" s="37"/>
      <c r="M735" s="20">
        <f>TRUNC(SUM(M734:M734))</f>
        <v>25203</v>
      </c>
    </row>
    <row r="736" spans="2:13" ht="12.95" customHeight="1" x14ac:dyDescent="0.3">
      <c r="B736" s="79"/>
      <c r="C736" s="79"/>
      <c r="D736" s="90"/>
      <c r="E736" s="98"/>
      <c r="F736" s="37"/>
      <c r="G736" s="99"/>
      <c r="H736" s="37"/>
      <c r="I736" s="99"/>
      <c r="J736" s="37"/>
      <c r="K736" s="99"/>
      <c r="L736" s="37"/>
      <c r="M736" s="99"/>
    </row>
    <row r="737" spans="2:13" ht="12.95" customHeight="1" x14ac:dyDescent="0.3">
      <c r="B737" s="73" t="s">
        <v>151</v>
      </c>
      <c r="C737" s="74"/>
      <c r="D737" s="75" t="s">
        <v>28</v>
      </c>
      <c r="E737" s="76">
        <v>241698</v>
      </c>
      <c r="F737" s="37">
        <v>0.3</v>
      </c>
      <c r="G737" s="3">
        <f t="shared" ref="G737:G739" si="152">TRUNC($E737*F737,1)</f>
        <v>72509.399999999994</v>
      </c>
      <c r="H737" s="37">
        <v>0.43</v>
      </c>
      <c r="I737" s="3">
        <f t="shared" ref="I737:I739" si="153">TRUNC($E737*H737,1)</f>
        <v>103930.1</v>
      </c>
      <c r="J737" s="37">
        <v>0.67</v>
      </c>
      <c r="K737" s="3">
        <f t="shared" ref="K737:K739" si="154">TRUNC($E737*J737,1)</f>
        <v>161937.60000000001</v>
      </c>
      <c r="L737" s="37">
        <v>1.01</v>
      </c>
      <c r="M737" s="3">
        <f t="shared" ref="M737:M739" si="155">TRUNC($E737*L737,1)</f>
        <v>244114.9</v>
      </c>
    </row>
    <row r="738" spans="2:13" ht="12.95" customHeight="1" x14ac:dyDescent="0.3">
      <c r="B738" s="73" t="s">
        <v>42</v>
      </c>
      <c r="C738" s="74"/>
      <c r="D738" s="75" t="s">
        <v>28</v>
      </c>
      <c r="E738" s="76">
        <v>226122</v>
      </c>
      <c r="F738" s="37">
        <v>0.25</v>
      </c>
      <c r="G738" s="3">
        <f t="shared" si="152"/>
        <v>56530.5</v>
      </c>
      <c r="H738" s="37">
        <v>0.35</v>
      </c>
      <c r="I738" s="3">
        <f t="shared" si="153"/>
        <v>79142.7</v>
      </c>
      <c r="J738" s="37">
        <v>0.55000000000000004</v>
      </c>
      <c r="K738" s="3">
        <f t="shared" si="154"/>
        <v>124367.1</v>
      </c>
      <c r="L738" s="37">
        <v>0.83</v>
      </c>
      <c r="M738" s="3">
        <f t="shared" si="155"/>
        <v>187681.2</v>
      </c>
    </row>
    <row r="739" spans="2:13" ht="12.95" customHeight="1" x14ac:dyDescent="0.3">
      <c r="B739" s="73" t="s">
        <v>8</v>
      </c>
      <c r="C739" s="74"/>
      <c r="D739" s="75" t="s">
        <v>28</v>
      </c>
      <c r="E739" s="76">
        <v>172068</v>
      </c>
      <c r="F739" s="37">
        <v>0.13</v>
      </c>
      <c r="G739" s="3">
        <f t="shared" si="152"/>
        <v>22368.799999999999</v>
      </c>
      <c r="H739" s="37">
        <v>0.18</v>
      </c>
      <c r="I739" s="3">
        <f t="shared" si="153"/>
        <v>30972.2</v>
      </c>
      <c r="J739" s="37">
        <v>0.28000000000000003</v>
      </c>
      <c r="K739" s="3">
        <f t="shared" si="154"/>
        <v>48179</v>
      </c>
      <c r="L739" s="37">
        <v>0.42</v>
      </c>
      <c r="M739" s="3">
        <f t="shared" si="155"/>
        <v>72268.5</v>
      </c>
    </row>
    <row r="740" spans="2:13" ht="12.95" customHeight="1" x14ac:dyDescent="0.3">
      <c r="B740" s="77" t="s">
        <v>30</v>
      </c>
      <c r="C740" s="96"/>
      <c r="D740" s="97"/>
      <c r="E740" s="19"/>
      <c r="F740" s="37"/>
      <c r="G740" s="20">
        <f>TRUNC(SUM(G737:G739))</f>
        <v>151408</v>
      </c>
      <c r="H740" s="37"/>
      <c r="I740" s="20">
        <f>TRUNC(SUM(I737:I739))</f>
        <v>214045</v>
      </c>
      <c r="J740" s="37"/>
      <c r="K740" s="20">
        <f>TRUNC(SUM(K737:K739))</f>
        <v>334483</v>
      </c>
      <c r="L740" s="37"/>
      <c r="M740" s="20">
        <f>TRUNC(SUM(M737:M739))</f>
        <v>504064</v>
      </c>
    </row>
    <row r="741" spans="2:13" ht="12.95" customHeight="1" x14ac:dyDescent="0.3">
      <c r="B741" s="79"/>
      <c r="C741" s="79"/>
      <c r="D741" s="90"/>
      <c r="E741" s="98"/>
      <c r="F741" s="37"/>
      <c r="G741" s="99"/>
      <c r="H741" s="37"/>
      <c r="I741" s="99"/>
      <c r="J741" s="37"/>
      <c r="K741" s="99"/>
      <c r="L741" s="37"/>
      <c r="M741" s="99"/>
    </row>
    <row r="742" spans="2:13" ht="12.95" customHeight="1" x14ac:dyDescent="0.3">
      <c r="B742" s="89" t="s">
        <v>20</v>
      </c>
      <c r="C742" s="89" t="s">
        <v>197</v>
      </c>
      <c r="D742" s="90" t="s">
        <v>34</v>
      </c>
      <c r="E742" s="158">
        <v>10271</v>
      </c>
      <c r="F742" s="37">
        <v>0.76</v>
      </c>
      <c r="G742" s="3">
        <f t="shared" ref="G742" si="156">TRUNC($E742*F742,1)</f>
        <v>7805.9</v>
      </c>
      <c r="H742" s="37">
        <v>1.08</v>
      </c>
      <c r="I742" s="3">
        <f t="shared" ref="I742" si="157">TRUNC($E742*H742,1)</f>
        <v>11092.6</v>
      </c>
      <c r="J742" s="37">
        <v>1.68</v>
      </c>
      <c r="K742" s="3">
        <f t="shared" ref="K742" si="158">TRUNC($E742*J742,1)</f>
        <v>17255.2</v>
      </c>
      <c r="L742" s="37">
        <v>2.5299999999999998</v>
      </c>
      <c r="M742" s="3">
        <f t="shared" ref="M742" si="159">TRUNC($E742*L742,1)</f>
        <v>25985.599999999999</v>
      </c>
    </row>
    <row r="743" spans="2:13" ht="12.95" customHeight="1" x14ac:dyDescent="0.3">
      <c r="B743" s="93" t="s">
        <v>31</v>
      </c>
      <c r="C743" s="96"/>
      <c r="D743" s="104"/>
      <c r="E743" s="19"/>
      <c r="F743" s="138"/>
      <c r="G743" s="20">
        <f t="shared" ref="G743" si="160">TRUNC(SUM(G742))</f>
        <v>7805</v>
      </c>
      <c r="H743" s="138"/>
      <c r="I743" s="20">
        <f t="shared" ref="I743" si="161">TRUNC(SUM(I742))</f>
        <v>11092</v>
      </c>
      <c r="J743" s="138"/>
      <c r="K743" s="20">
        <f t="shared" ref="K743" si="162">TRUNC(SUM(K742))</f>
        <v>17255</v>
      </c>
      <c r="L743" s="138"/>
      <c r="M743" s="20">
        <f t="shared" ref="M743" si="163">TRUNC(SUM(M742))</f>
        <v>25985</v>
      </c>
    </row>
    <row r="744" spans="2:13" ht="12.95" customHeight="1" x14ac:dyDescent="0.3">
      <c r="B744" s="79"/>
      <c r="C744" s="79"/>
      <c r="D744" s="90"/>
      <c r="E744" s="98"/>
      <c r="F744" s="98"/>
      <c r="G744" s="99"/>
      <c r="H744" s="98"/>
      <c r="I744" s="99"/>
      <c r="J744" s="98"/>
      <c r="K744" s="99"/>
      <c r="L744" s="98"/>
      <c r="M744" s="99"/>
    </row>
    <row r="745" spans="2:13" ht="12.95" customHeight="1" x14ac:dyDescent="0.3">
      <c r="B745" s="84" t="s">
        <v>33</v>
      </c>
      <c r="C745" s="85"/>
      <c r="D745" s="86"/>
      <c r="E745" s="87"/>
      <c r="F745" s="88"/>
      <c r="G745" s="7">
        <f>SUM(G735+G740+G743)</f>
        <v>166783</v>
      </c>
      <c r="H745" s="88"/>
      <c r="I745" s="7">
        <f>SUM(I735+I740+I743)</f>
        <v>235839</v>
      </c>
      <c r="J745" s="88"/>
      <c r="K745" s="7">
        <f>SUM(K735+K740+K743)</f>
        <v>368462</v>
      </c>
      <c r="L745" s="88"/>
      <c r="M745" s="7">
        <f>SUM(M735+M740+M743)</f>
        <v>555252</v>
      </c>
    </row>
    <row r="746" spans="2:13" ht="12.95" customHeight="1" x14ac:dyDescent="0.3">
      <c r="B746" s="176" t="s">
        <v>21</v>
      </c>
      <c r="C746" s="176" t="s">
        <v>25</v>
      </c>
      <c r="D746" s="170" t="s">
        <v>26</v>
      </c>
      <c r="E746" s="170" t="s">
        <v>22</v>
      </c>
      <c r="F746" s="180" t="s">
        <v>207</v>
      </c>
      <c r="G746" s="181"/>
      <c r="H746" s="181"/>
      <c r="I746" s="181"/>
      <c r="J746" s="181"/>
      <c r="K746" s="181"/>
      <c r="L746" s="181"/>
      <c r="M746" s="181"/>
    </row>
    <row r="747" spans="2:13" ht="12.95" customHeight="1" x14ac:dyDescent="0.3">
      <c r="B747" s="177"/>
      <c r="C747" s="177"/>
      <c r="D747" s="179"/>
      <c r="E747" s="179"/>
      <c r="F747" s="185" t="s">
        <v>199</v>
      </c>
      <c r="G747" s="186"/>
      <c r="H747" s="185" t="s">
        <v>200</v>
      </c>
      <c r="I747" s="186"/>
      <c r="J747" s="185" t="s">
        <v>201</v>
      </c>
      <c r="K747" s="186"/>
      <c r="L747" s="185" t="s">
        <v>202</v>
      </c>
      <c r="M747" s="186"/>
    </row>
    <row r="748" spans="2:13" ht="12.95" customHeight="1" x14ac:dyDescent="0.3">
      <c r="B748" s="178"/>
      <c r="C748" s="178"/>
      <c r="D748" s="171"/>
      <c r="E748" s="171"/>
      <c r="F748" s="102" t="s">
        <v>23</v>
      </c>
      <c r="G748" s="102" t="s">
        <v>24</v>
      </c>
      <c r="H748" s="102" t="s">
        <v>23</v>
      </c>
      <c r="I748" s="67" t="s">
        <v>24</v>
      </c>
      <c r="J748" s="102" t="s">
        <v>23</v>
      </c>
      <c r="K748" s="67" t="s">
        <v>24</v>
      </c>
      <c r="L748" s="102" t="s">
        <v>23</v>
      </c>
      <c r="M748" s="67" t="s">
        <v>24</v>
      </c>
    </row>
    <row r="749" spans="2:13" ht="12.95" customHeight="1" x14ac:dyDescent="0.3">
      <c r="B749" s="89" t="s">
        <v>27</v>
      </c>
      <c r="C749" s="91" t="s">
        <v>126</v>
      </c>
      <c r="D749" s="90" t="s">
        <v>35</v>
      </c>
      <c r="E749" s="92"/>
      <c r="F749" s="36">
        <v>1</v>
      </c>
      <c r="G749" s="29">
        <f>TRUNC(SUM(G752:G754)*0.05,1)</f>
        <v>12164.7</v>
      </c>
      <c r="H749" s="36">
        <v>1</v>
      </c>
      <c r="I749" s="29">
        <f>TRUNC(SUM(I752:I754)*0.05,1)</f>
        <v>17632.7</v>
      </c>
      <c r="J749" s="36">
        <v>1</v>
      </c>
      <c r="K749" s="29">
        <f>TRUNC(SUM(K752:K754)*0.05,1)</f>
        <v>26552.6</v>
      </c>
      <c r="L749" s="36">
        <v>1</v>
      </c>
      <c r="M749" s="29">
        <f>TRUNC(SUM(M752:M754)*0.05,1)</f>
        <v>37488.800000000003</v>
      </c>
    </row>
    <row r="750" spans="2:13" ht="12.95" customHeight="1" x14ac:dyDescent="0.3">
      <c r="B750" s="93" t="s">
        <v>29</v>
      </c>
      <c r="C750" s="96"/>
      <c r="D750" s="97"/>
      <c r="E750" s="138"/>
      <c r="F750" s="37"/>
      <c r="G750" s="20">
        <f>TRUNC(SUM(G749:G749))</f>
        <v>12164</v>
      </c>
      <c r="H750" s="37"/>
      <c r="I750" s="20">
        <f>TRUNC(SUM(I749:I749))</f>
        <v>17632</v>
      </c>
      <c r="J750" s="37"/>
      <c r="K750" s="20">
        <f>TRUNC(SUM(K749:K749))</f>
        <v>26552</v>
      </c>
      <c r="L750" s="37"/>
      <c r="M750" s="20">
        <f>TRUNC(SUM(M749:M749))</f>
        <v>37488</v>
      </c>
    </row>
    <row r="751" spans="2:13" ht="12.95" customHeight="1" x14ac:dyDescent="0.3">
      <c r="B751" s="79"/>
      <c r="C751" s="79"/>
      <c r="D751" s="90"/>
      <c r="E751" s="98"/>
      <c r="F751" s="37"/>
      <c r="G751" s="99"/>
      <c r="H751" s="37"/>
      <c r="I751" s="99"/>
      <c r="J751" s="37"/>
      <c r="K751" s="99"/>
      <c r="L751" s="37"/>
      <c r="M751" s="99"/>
    </row>
    <row r="752" spans="2:13" ht="12.95" customHeight="1" x14ac:dyDescent="0.3">
      <c r="B752" s="73" t="s">
        <v>151</v>
      </c>
      <c r="C752" s="74"/>
      <c r="D752" s="75" t="s">
        <v>28</v>
      </c>
      <c r="E752" s="76">
        <v>241698</v>
      </c>
      <c r="F752" s="37">
        <v>0.49</v>
      </c>
      <c r="G752" s="3">
        <f t="shared" ref="G752:G754" si="164">TRUNC($E752*F752,1)</f>
        <v>118432</v>
      </c>
      <c r="H752" s="37">
        <v>0.71</v>
      </c>
      <c r="I752" s="3">
        <f t="shared" ref="I752:I754" si="165">TRUNC($E752*H752,1)</f>
        <v>171605.5</v>
      </c>
      <c r="J752" s="37">
        <v>1.07</v>
      </c>
      <c r="K752" s="3">
        <f t="shared" ref="K752:K754" si="166">TRUNC($E752*J752,1)</f>
        <v>258616.8</v>
      </c>
      <c r="L752" s="37">
        <v>1.51</v>
      </c>
      <c r="M752" s="3">
        <f t="shared" ref="M752:M754" si="167">TRUNC($E752*L752,1)</f>
        <v>364963.9</v>
      </c>
    </row>
    <row r="753" spans="2:13" ht="12.95" customHeight="1" x14ac:dyDescent="0.3">
      <c r="B753" s="73" t="s">
        <v>42</v>
      </c>
      <c r="C753" s="74"/>
      <c r="D753" s="75" t="s">
        <v>28</v>
      </c>
      <c r="E753" s="76">
        <v>226122</v>
      </c>
      <c r="F753" s="37">
        <v>0.4</v>
      </c>
      <c r="G753" s="3">
        <f t="shared" si="164"/>
        <v>90448.8</v>
      </c>
      <c r="H753" s="37">
        <v>0.57999999999999996</v>
      </c>
      <c r="I753" s="3">
        <f t="shared" si="165"/>
        <v>131150.70000000001</v>
      </c>
      <c r="J753" s="37">
        <v>0.87</v>
      </c>
      <c r="K753" s="3">
        <f t="shared" si="166"/>
        <v>196726.1</v>
      </c>
      <c r="L753" s="37">
        <v>1.23</v>
      </c>
      <c r="M753" s="3">
        <f t="shared" si="167"/>
        <v>278130</v>
      </c>
    </row>
    <row r="754" spans="2:13" ht="12.95" customHeight="1" x14ac:dyDescent="0.3">
      <c r="B754" s="73" t="s">
        <v>8</v>
      </c>
      <c r="C754" s="74"/>
      <c r="D754" s="75" t="s">
        <v>28</v>
      </c>
      <c r="E754" s="76">
        <v>172068</v>
      </c>
      <c r="F754" s="37">
        <v>0.2</v>
      </c>
      <c r="G754" s="3">
        <f t="shared" si="164"/>
        <v>34413.599999999999</v>
      </c>
      <c r="H754" s="37">
        <v>0.28999999999999998</v>
      </c>
      <c r="I754" s="3">
        <f t="shared" si="165"/>
        <v>49899.7</v>
      </c>
      <c r="J754" s="37">
        <v>0.44</v>
      </c>
      <c r="K754" s="3">
        <f t="shared" si="166"/>
        <v>75709.899999999994</v>
      </c>
      <c r="L754" s="37">
        <v>0.62</v>
      </c>
      <c r="M754" s="3">
        <f t="shared" si="167"/>
        <v>106682.1</v>
      </c>
    </row>
    <row r="755" spans="2:13" ht="12.95" customHeight="1" x14ac:dyDescent="0.3">
      <c r="B755" s="77" t="s">
        <v>30</v>
      </c>
      <c r="C755" s="96"/>
      <c r="D755" s="97"/>
      <c r="E755" s="19"/>
      <c r="F755" s="37"/>
      <c r="G755" s="20">
        <f>TRUNC(SUM(G752:G754))</f>
        <v>243294</v>
      </c>
      <c r="H755" s="37"/>
      <c r="I755" s="20">
        <f>TRUNC(SUM(I752:I754))</f>
        <v>352655</v>
      </c>
      <c r="J755" s="37"/>
      <c r="K755" s="20">
        <f>TRUNC(SUM(K752:K754))</f>
        <v>531052</v>
      </c>
      <c r="L755" s="37"/>
      <c r="M755" s="20">
        <f>TRUNC(SUM(M752:M754))</f>
        <v>749776</v>
      </c>
    </row>
    <row r="756" spans="2:13" ht="12.95" customHeight="1" x14ac:dyDescent="0.3">
      <c r="B756" s="79"/>
      <c r="C756" s="79"/>
      <c r="D756" s="90"/>
      <c r="E756" s="98"/>
      <c r="F756" s="37"/>
      <c r="G756" s="99"/>
      <c r="H756" s="37"/>
      <c r="I756" s="99"/>
      <c r="J756" s="37"/>
      <c r="K756" s="99"/>
      <c r="L756" s="37"/>
      <c r="M756" s="99"/>
    </row>
    <row r="757" spans="2:13" ht="12.95" customHeight="1" x14ac:dyDescent="0.3">
      <c r="B757" s="89" t="s">
        <v>20</v>
      </c>
      <c r="C757" s="89" t="s">
        <v>197</v>
      </c>
      <c r="D757" s="90" t="s">
        <v>34</v>
      </c>
      <c r="E757" s="158">
        <v>10271</v>
      </c>
      <c r="F757" s="37">
        <v>1.33</v>
      </c>
      <c r="G757" s="3">
        <f t="shared" ref="G757" si="168">TRUNC($E757*F757,1)</f>
        <v>13660.4</v>
      </c>
      <c r="H757" s="37">
        <v>1.94</v>
      </c>
      <c r="I757" s="3">
        <f t="shared" ref="I757" si="169">TRUNC($E757*H757,1)</f>
        <v>19925.7</v>
      </c>
      <c r="J757" s="37">
        <v>2.94</v>
      </c>
      <c r="K757" s="3">
        <f t="shared" ref="K757" si="170">TRUNC($E757*J757,1)</f>
        <v>30196.7</v>
      </c>
      <c r="L757" s="37">
        <v>4.1500000000000004</v>
      </c>
      <c r="M757" s="3">
        <f t="shared" ref="M757" si="171">TRUNC($E757*L757,1)</f>
        <v>42624.6</v>
      </c>
    </row>
    <row r="758" spans="2:13" ht="12.95" customHeight="1" x14ac:dyDescent="0.3">
      <c r="B758" s="93" t="s">
        <v>31</v>
      </c>
      <c r="C758" s="96"/>
      <c r="D758" s="104"/>
      <c r="E758" s="19"/>
      <c r="F758" s="138"/>
      <c r="G758" s="20">
        <f t="shared" ref="G758" si="172">TRUNC(SUM(G757))</f>
        <v>13660</v>
      </c>
      <c r="H758" s="138"/>
      <c r="I758" s="20">
        <f t="shared" ref="I758" si="173">TRUNC(SUM(I757))</f>
        <v>19925</v>
      </c>
      <c r="J758" s="138"/>
      <c r="K758" s="20">
        <f t="shared" ref="K758" si="174">TRUNC(SUM(K757))</f>
        <v>30196</v>
      </c>
      <c r="L758" s="138"/>
      <c r="M758" s="20">
        <f t="shared" ref="M758" si="175">TRUNC(SUM(M757))</f>
        <v>42624</v>
      </c>
    </row>
    <row r="759" spans="2:13" ht="12.95" customHeight="1" x14ac:dyDescent="0.3">
      <c r="B759" s="79"/>
      <c r="C759" s="79"/>
      <c r="D759" s="90"/>
      <c r="E759" s="98"/>
      <c r="F759" s="98"/>
      <c r="G759" s="99"/>
      <c r="H759" s="98"/>
      <c r="I759" s="99"/>
      <c r="J759" s="98"/>
      <c r="K759" s="99"/>
      <c r="L759" s="98"/>
      <c r="M759" s="99"/>
    </row>
    <row r="760" spans="2:13" ht="12.95" customHeight="1" x14ac:dyDescent="0.3">
      <c r="B760" s="84" t="s">
        <v>33</v>
      </c>
      <c r="C760" s="85"/>
      <c r="D760" s="86"/>
      <c r="E760" s="87"/>
      <c r="F760" s="88"/>
      <c r="G760" s="7">
        <f>SUM(G750+G755+G758)</f>
        <v>269118</v>
      </c>
      <c r="H760" s="88"/>
      <c r="I760" s="7">
        <f>SUM(I750+I755+I758)</f>
        <v>390212</v>
      </c>
      <c r="J760" s="88"/>
      <c r="K760" s="7">
        <f>SUM(K750+K755+K758)</f>
        <v>587800</v>
      </c>
      <c r="L760" s="88"/>
      <c r="M760" s="7">
        <f>SUM(M750+M755+M758)</f>
        <v>829888</v>
      </c>
    </row>
    <row r="761" spans="2:13" ht="12.95" customHeight="1" x14ac:dyDescent="0.3">
      <c r="B761" s="176" t="s">
        <v>21</v>
      </c>
      <c r="C761" s="176" t="s">
        <v>25</v>
      </c>
      <c r="D761" s="170" t="s">
        <v>26</v>
      </c>
      <c r="E761" s="170" t="s">
        <v>22</v>
      </c>
      <c r="F761" s="180" t="s">
        <v>207</v>
      </c>
      <c r="G761" s="181"/>
      <c r="H761" s="181"/>
      <c r="I761" s="181"/>
      <c r="J761" s="181"/>
      <c r="K761" s="181"/>
      <c r="L761" s="181"/>
      <c r="M761" s="181"/>
    </row>
    <row r="762" spans="2:13" ht="12.95" customHeight="1" x14ac:dyDescent="0.3">
      <c r="B762" s="177"/>
      <c r="C762" s="177"/>
      <c r="D762" s="179"/>
      <c r="E762" s="179"/>
      <c r="F762" s="185" t="s">
        <v>203</v>
      </c>
      <c r="G762" s="186"/>
      <c r="H762" s="185" t="s">
        <v>204</v>
      </c>
      <c r="I762" s="186"/>
      <c r="J762" s="185" t="s">
        <v>205</v>
      </c>
      <c r="K762" s="186"/>
      <c r="L762" s="185" t="s">
        <v>206</v>
      </c>
      <c r="M762" s="186"/>
    </row>
    <row r="763" spans="2:13" ht="12.95" customHeight="1" x14ac:dyDescent="0.3">
      <c r="B763" s="178"/>
      <c r="C763" s="178"/>
      <c r="D763" s="171"/>
      <c r="E763" s="171"/>
      <c r="F763" s="102" t="s">
        <v>23</v>
      </c>
      <c r="G763" s="102" t="s">
        <v>24</v>
      </c>
      <c r="H763" s="102" t="s">
        <v>23</v>
      </c>
      <c r="I763" s="67" t="s">
        <v>24</v>
      </c>
      <c r="J763" s="102" t="s">
        <v>23</v>
      </c>
      <c r="K763" s="67" t="s">
        <v>24</v>
      </c>
      <c r="L763" s="102" t="s">
        <v>23</v>
      </c>
      <c r="M763" s="67" t="s">
        <v>24</v>
      </c>
    </row>
    <row r="764" spans="2:13" ht="12.95" customHeight="1" x14ac:dyDescent="0.3">
      <c r="B764" s="89" t="s">
        <v>27</v>
      </c>
      <c r="C764" s="91" t="s">
        <v>126</v>
      </c>
      <c r="D764" s="90" t="s">
        <v>35</v>
      </c>
      <c r="E764" s="92"/>
      <c r="F764" s="36">
        <v>1</v>
      </c>
      <c r="G764" s="29">
        <f>TRUNC(SUM(G767:G769)*0.05,1)</f>
        <v>13947.1</v>
      </c>
      <c r="H764" s="36">
        <v>1</v>
      </c>
      <c r="I764" s="29">
        <f>TRUNC(SUM(I767:I769)*0.05,1)</f>
        <v>20530.7</v>
      </c>
      <c r="J764" s="36">
        <v>1</v>
      </c>
      <c r="K764" s="29">
        <f>TRUNC(SUM(K767:K769)*0.05,1)</f>
        <v>26786.5</v>
      </c>
      <c r="L764" s="36">
        <v>1</v>
      </c>
      <c r="M764" s="29">
        <f>TRUNC(SUM(M767:M769)*0.05,1)</f>
        <v>37722.699999999997</v>
      </c>
    </row>
    <row r="765" spans="2:13" ht="12.95" customHeight="1" x14ac:dyDescent="0.3">
      <c r="B765" s="93" t="s">
        <v>29</v>
      </c>
      <c r="C765" s="96"/>
      <c r="D765" s="97"/>
      <c r="E765" s="138"/>
      <c r="F765" s="37"/>
      <c r="G765" s="20">
        <f>TRUNC(SUM(G764:G764))</f>
        <v>13947</v>
      </c>
      <c r="H765" s="37"/>
      <c r="I765" s="20">
        <f>TRUNC(SUM(I764:I764))</f>
        <v>20530</v>
      </c>
      <c r="J765" s="37"/>
      <c r="K765" s="20">
        <f>TRUNC(SUM(K764:K764))</f>
        <v>26786</v>
      </c>
      <c r="L765" s="37"/>
      <c r="M765" s="20">
        <f>TRUNC(SUM(M764:M764))</f>
        <v>37722</v>
      </c>
    </row>
    <row r="766" spans="2:13" ht="12.95" customHeight="1" x14ac:dyDescent="0.3">
      <c r="B766" s="79"/>
      <c r="C766" s="79"/>
      <c r="D766" s="90"/>
      <c r="E766" s="98"/>
      <c r="F766" s="37"/>
      <c r="G766" s="99"/>
      <c r="H766" s="37"/>
      <c r="I766" s="99"/>
      <c r="J766" s="37"/>
      <c r="K766" s="99"/>
      <c r="L766" s="37"/>
      <c r="M766" s="99"/>
    </row>
    <row r="767" spans="2:13" ht="12.95" customHeight="1" x14ac:dyDescent="0.3">
      <c r="B767" s="73" t="s">
        <v>151</v>
      </c>
      <c r="C767" s="74"/>
      <c r="D767" s="75" t="s">
        <v>28</v>
      </c>
      <c r="E767" s="76">
        <v>241698</v>
      </c>
      <c r="F767" s="37">
        <v>0.56000000000000005</v>
      </c>
      <c r="G767" s="3">
        <f t="shared" ref="G767:G769" si="176">TRUNC($E767*F767,1)</f>
        <v>135350.79999999999</v>
      </c>
      <c r="H767" s="37">
        <v>0.83</v>
      </c>
      <c r="I767" s="3">
        <f t="shared" ref="I767:I769" si="177">TRUNC($E767*H767,1)</f>
        <v>200609.3</v>
      </c>
      <c r="J767" s="37">
        <v>1.08</v>
      </c>
      <c r="K767" s="3">
        <f t="shared" ref="K767:K769" si="178">TRUNC($E767*J767,1)</f>
        <v>261033.8</v>
      </c>
      <c r="L767" s="37">
        <v>1.52</v>
      </c>
      <c r="M767" s="3">
        <f t="shared" ref="M767:M769" si="179">TRUNC($E767*L767,1)</f>
        <v>367380.9</v>
      </c>
    </row>
    <row r="768" spans="2:13" ht="12.95" customHeight="1" x14ac:dyDescent="0.3">
      <c r="B768" s="73" t="s">
        <v>42</v>
      </c>
      <c r="C768" s="74"/>
      <c r="D768" s="75" t="s">
        <v>28</v>
      </c>
      <c r="E768" s="76">
        <v>226122</v>
      </c>
      <c r="F768" s="37">
        <v>0.46</v>
      </c>
      <c r="G768" s="3">
        <f t="shared" si="176"/>
        <v>104016.1</v>
      </c>
      <c r="H768" s="37">
        <v>0.67</v>
      </c>
      <c r="I768" s="3">
        <f t="shared" si="177"/>
        <v>151501.70000000001</v>
      </c>
      <c r="J768" s="37">
        <v>0.88</v>
      </c>
      <c r="K768" s="3">
        <f t="shared" si="178"/>
        <v>198987.3</v>
      </c>
      <c r="L768" s="37">
        <v>1.24</v>
      </c>
      <c r="M768" s="3">
        <f t="shared" si="179"/>
        <v>280391.2</v>
      </c>
    </row>
    <row r="769" spans="2:13" ht="12.95" customHeight="1" x14ac:dyDescent="0.3">
      <c r="B769" s="73" t="s">
        <v>8</v>
      </c>
      <c r="C769" s="74"/>
      <c r="D769" s="75" t="s">
        <v>28</v>
      </c>
      <c r="E769" s="76">
        <v>172068</v>
      </c>
      <c r="F769" s="37">
        <v>0.23</v>
      </c>
      <c r="G769" s="3">
        <f t="shared" si="176"/>
        <v>39575.599999999999</v>
      </c>
      <c r="H769" s="37">
        <v>0.34</v>
      </c>
      <c r="I769" s="3">
        <f t="shared" si="177"/>
        <v>58503.1</v>
      </c>
      <c r="J769" s="37">
        <v>0.44</v>
      </c>
      <c r="K769" s="3">
        <f t="shared" si="178"/>
        <v>75709.899999999994</v>
      </c>
      <c r="L769" s="37">
        <v>0.62</v>
      </c>
      <c r="M769" s="3">
        <f t="shared" si="179"/>
        <v>106682.1</v>
      </c>
    </row>
    <row r="770" spans="2:13" ht="12.95" customHeight="1" x14ac:dyDescent="0.3">
      <c r="B770" s="77" t="s">
        <v>30</v>
      </c>
      <c r="C770" s="96"/>
      <c r="D770" s="97"/>
      <c r="E770" s="19"/>
      <c r="F770" s="37"/>
      <c r="G770" s="20">
        <f>TRUNC(SUM(G767:G769))</f>
        <v>278942</v>
      </c>
      <c r="H770" s="37"/>
      <c r="I770" s="20">
        <f>TRUNC(SUM(I767:I769))</f>
        <v>410614</v>
      </c>
      <c r="J770" s="37"/>
      <c r="K770" s="20">
        <f>TRUNC(SUM(K767:K769))</f>
        <v>535731</v>
      </c>
      <c r="L770" s="37"/>
      <c r="M770" s="20">
        <f>TRUNC(SUM(M767:M769))</f>
        <v>754454</v>
      </c>
    </row>
    <row r="771" spans="2:13" ht="12.95" customHeight="1" x14ac:dyDescent="0.3">
      <c r="B771" s="79"/>
      <c r="C771" s="79"/>
      <c r="D771" s="90"/>
      <c r="E771" s="98"/>
      <c r="F771" s="37"/>
      <c r="G771" s="99"/>
      <c r="H771" s="37"/>
      <c r="I771" s="99"/>
      <c r="J771" s="37"/>
      <c r="K771" s="99"/>
      <c r="L771" s="37"/>
      <c r="M771" s="99"/>
    </row>
    <row r="772" spans="2:13" ht="12.95" customHeight="1" x14ac:dyDescent="0.3">
      <c r="B772" s="89" t="s">
        <v>20</v>
      </c>
      <c r="C772" s="89" t="s">
        <v>197</v>
      </c>
      <c r="D772" s="90" t="s">
        <v>34</v>
      </c>
      <c r="E772" s="158">
        <v>10271</v>
      </c>
      <c r="F772" s="37">
        <v>1.53</v>
      </c>
      <c r="G772" s="3">
        <f t="shared" ref="G772" si="180">TRUNC($E772*F772,1)</f>
        <v>15714.6</v>
      </c>
      <c r="H772" s="37">
        <v>2.25</v>
      </c>
      <c r="I772" s="3">
        <f t="shared" ref="I772" si="181">TRUNC($E772*H772,1)</f>
        <v>23109.7</v>
      </c>
      <c r="J772" s="37">
        <v>3.41</v>
      </c>
      <c r="K772" s="3">
        <f t="shared" ref="K772" si="182">TRUNC($E772*J772,1)</f>
        <v>35024.1</v>
      </c>
      <c r="L772" s="37">
        <v>4.8099999999999996</v>
      </c>
      <c r="M772" s="3">
        <f t="shared" ref="M772" si="183">TRUNC($E772*L772,1)</f>
        <v>49403.5</v>
      </c>
    </row>
    <row r="773" spans="2:13" ht="12.95" customHeight="1" x14ac:dyDescent="0.3">
      <c r="B773" s="93" t="s">
        <v>31</v>
      </c>
      <c r="C773" s="96"/>
      <c r="D773" s="104"/>
      <c r="E773" s="19"/>
      <c r="F773" s="138"/>
      <c r="G773" s="20">
        <f t="shared" ref="G773" si="184">TRUNC(SUM(G772))</f>
        <v>15714</v>
      </c>
      <c r="H773" s="138"/>
      <c r="I773" s="20">
        <f t="shared" ref="I773" si="185">TRUNC(SUM(I772))</f>
        <v>23109</v>
      </c>
      <c r="J773" s="138"/>
      <c r="K773" s="20">
        <f t="shared" ref="K773" si="186">TRUNC(SUM(K772))</f>
        <v>35024</v>
      </c>
      <c r="L773" s="138"/>
      <c r="M773" s="20">
        <f t="shared" ref="M773" si="187">TRUNC(SUM(M772))</f>
        <v>49403</v>
      </c>
    </row>
    <row r="774" spans="2:13" ht="12.95" customHeight="1" x14ac:dyDescent="0.3">
      <c r="B774" s="79"/>
      <c r="C774" s="79"/>
      <c r="D774" s="90"/>
      <c r="E774" s="98"/>
      <c r="F774" s="98"/>
      <c r="G774" s="99"/>
      <c r="H774" s="98"/>
      <c r="I774" s="99"/>
      <c r="J774" s="98"/>
      <c r="K774" s="99"/>
      <c r="L774" s="98"/>
      <c r="M774" s="99"/>
    </row>
    <row r="775" spans="2:13" ht="12.95" customHeight="1" x14ac:dyDescent="0.3">
      <c r="B775" s="84" t="s">
        <v>33</v>
      </c>
      <c r="C775" s="85"/>
      <c r="D775" s="86"/>
      <c r="E775" s="87"/>
      <c r="F775" s="88"/>
      <c r="G775" s="7">
        <f>SUM(G765+G770+G773)</f>
        <v>308603</v>
      </c>
      <c r="H775" s="88"/>
      <c r="I775" s="7">
        <f>SUM(I765+I770+I773)</f>
        <v>454253</v>
      </c>
      <c r="J775" s="88"/>
      <c r="K775" s="7">
        <f>SUM(K765+K770+K773)</f>
        <v>597541</v>
      </c>
      <c r="L775" s="88"/>
      <c r="M775" s="7">
        <f>SUM(M765+M770+M773)</f>
        <v>841579</v>
      </c>
    </row>
    <row r="776" spans="2:13" ht="12.95" customHeight="1" x14ac:dyDescent="0.3">
      <c r="J776" s="22"/>
    </row>
    <row r="777" spans="2:13" ht="12.95" customHeight="1" x14ac:dyDescent="0.3">
      <c r="B777" s="1" t="s">
        <v>186</v>
      </c>
      <c r="G777" s="117" t="s">
        <v>187</v>
      </c>
    </row>
    <row r="778" spans="2:13" ht="12.95" customHeight="1" x14ac:dyDescent="0.3">
      <c r="B778" s="165" t="s">
        <v>21</v>
      </c>
      <c r="C778" s="167" t="s">
        <v>36</v>
      </c>
      <c r="D778" s="169" t="s">
        <v>26</v>
      </c>
      <c r="E778" s="170" t="s">
        <v>22</v>
      </c>
      <c r="F778" s="170" t="s">
        <v>23</v>
      </c>
      <c r="G778" s="172" t="s">
        <v>24</v>
      </c>
    </row>
    <row r="779" spans="2:13" ht="12.95" customHeight="1" x14ac:dyDescent="0.3">
      <c r="B779" s="166"/>
      <c r="C779" s="168"/>
      <c r="D779" s="169"/>
      <c r="E779" s="171"/>
      <c r="F779" s="171"/>
      <c r="G779" s="173"/>
    </row>
    <row r="780" spans="2:13" ht="12.95" customHeight="1" x14ac:dyDescent="0.3">
      <c r="B780" s="89" t="s">
        <v>27</v>
      </c>
      <c r="C780" s="91" t="s">
        <v>126</v>
      </c>
      <c r="D780" s="90" t="s">
        <v>35</v>
      </c>
      <c r="E780" s="92"/>
      <c r="F780" s="36">
        <v>1</v>
      </c>
      <c r="G780" s="6">
        <f>TRUNC(SUM(G783:G785)*0.05,1)</f>
        <v>54051.8</v>
      </c>
    </row>
    <row r="781" spans="2:13" ht="12.95" customHeight="1" x14ac:dyDescent="0.3">
      <c r="B781" s="129" t="s">
        <v>29</v>
      </c>
      <c r="C781" s="130"/>
      <c r="D781" s="131"/>
      <c r="E781" s="132"/>
      <c r="F781" s="44"/>
      <c r="G781" s="40">
        <f>TRUNC(SUM(G780:G780))</f>
        <v>54051</v>
      </c>
    </row>
    <row r="782" spans="2:13" ht="12.95" customHeight="1" x14ac:dyDescent="0.3">
      <c r="B782" s="126"/>
      <c r="C782" s="126"/>
      <c r="D782" s="127"/>
      <c r="E782" s="76"/>
      <c r="F782" s="25"/>
      <c r="G782" s="29"/>
    </row>
    <row r="783" spans="2:13" ht="12.95" customHeight="1" x14ac:dyDescent="0.3">
      <c r="B783" s="126" t="s">
        <v>151</v>
      </c>
      <c r="C783" s="126"/>
      <c r="D783" s="75" t="s">
        <v>28</v>
      </c>
      <c r="E783" s="76">
        <v>241698</v>
      </c>
      <c r="F783" s="26">
        <v>1.43</v>
      </c>
      <c r="G783" s="3">
        <f t="shared" ref="G783:G785" si="188">TRUNC($E783*F783,1)</f>
        <v>345628.1</v>
      </c>
    </row>
    <row r="784" spans="2:13" ht="12.95" customHeight="1" x14ac:dyDescent="0.3">
      <c r="B784" s="126" t="s">
        <v>42</v>
      </c>
      <c r="C784" s="126"/>
      <c r="D784" s="75" t="s">
        <v>28</v>
      </c>
      <c r="E784" s="76">
        <v>226122</v>
      </c>
      <c r="F784" s="26">
        <v>2.4</v>
      </c>
      <c r="G784" s="3">
        <f t="shared" si="188"/>
        <v>542692.80000000005</v>
      </c>
    </row>
    <row r="785" spans="2:11" ht="12.95" customHeight="1" x14ac:dyDescent="0.3">
      <c r="B785" s="126" t="s">
        <v>8</v>
      </c>
      <c r="C785" s="126"/>
      <c r="D785" s="75" t="s">
        <v>28</v>
      </c>
      <c r="E785" s="76">
        <v>172068</v>
      </c>
      <c r="F785" s="26">
        <v>1.1200000000000001</v>
      </c>
      <c r="G785" s="3">
        <f t="shared" si="188"/>
        <v>192716.1</v>
      </c>
    </row>
    <row r="786" spans="2:11" ht="12.95" customHeight="1" x14ac:dyDescent="0.3">
      <c r="B786" s="77" t="s">
        <v>30</v>
      </c>
      <c r="C786" s="133"/>
      <c r="D786" s="134"/>
      <c r="E786" s="24"/>
      <c r="F786" s="39"/>
      <c r="G786" s="40">
        <f>TRUNC(SUM(G783:G785))</f>
        <v>1081037</v>
      </c>
    </row>
    <row r="787" spans="2:11" ht="12.95" customHeight="1" x14ac:dyDescent="0.3">
      <c r="B787" s="126"/>
      <c r="C787" s="126"/>
      <c r="D787" s="126"/>
      <c r="E787" s="76"/>
      <c r="F787" s="26"/>
      <c r="G787" s="29"/>
    </row>
    <row r="788" spans="2:11" ht="12.95" customHeight="1" x14ac:dyDescent="0.3">
      <c r="B788" s="89" t="s">
        <v>16</v>
      </c>
      <c r="C788" s="89" t="s">
        <v>208</v>
      </c>
      <c r="D788" s="90" t="s">
        <v>34</v>
      </c>
      <c r="E788" s="158">
        <v>1262</v>
      </c>
      <c r="F788" s="26">
        <v>4.43</v>
      </c>
      <c r="G788" s="3">
        <f t="shared" ref="G788:G789" si="189">TRUNC($E788*F788,1)</f>
        <v>5590.6</v>
      </c>
    </row>
    <row r="789" spans="2:11" ht="12.95" customHeight="1" x14ac:dyDescent="0.3">
      <c r="B789" s="89" t="s">
        <v>2</v>
      </c>
      <c r="C789" s="89" t="s">
        <v>209</v>
      </c>
      <c r="D789" s="90" t="s">
        <v>34</v>
      </c>
      <c r="E789" s="158">
        <v>1779</v>
      </c>
      <c r="F789" s="26">
        <v>4.43</v>
      </c>
      <c r="G789" s="3">
        <f t="shared" si="189"/>
        <v>7880.9</v>
      </c>
    </row>
    <row r="790" spans="2:11" ht="12.95" customHeight="1" x14ac:dyDescent="0.3">
      <c r="B790" s="93" t="s">
        <v>31</v>
      </c>
      <c r="C790" s="96"/>
      <c r="D790" s="104"/>
      <c r="E790" s="19"/>
      <c r="F790" s="138"/>
      <c r="G790" s="20">
        <f>TRUNC(SUM(G788:G789))</f>
        <v>13471</v>
      </c>
    </row>
    <row r="791" spans="2:11" ht="12.95" customHeight="1" x14ac:dyDescent="0.3">
      <c r="B791" s="79"/>
      <c r="C791" s="79"/>
      <c r="D791" s="90"/>
      <c r="E791" s="98"/>
      <c r="F791" s="98"/>
      <c r="G791" s="99"/>
    </row>
    <row r="792" spans="2:11" ht="12.95" customHeight="1" x14ac:dyDescent="0.3">
      <c r="B792" s="84" t="s">
        <v>33</v>
      </c>
      <c r="C792" s="85"/>
      <c r="D792" s="86"/>
      <c r="E792" s="87"/>
      <c r="F792" s="88"/>
      <c r="G792" s="7">
        <f>SUM(G781+G786+G790)</f>
        <v>1148559</v>
      </c>
    </row>
    <row r="794" spans="2:11" ht="12.95" customHeight="1" x14ac:dyDescent="0.3">
      <c r="B794" s="61" t="s">
        <v>210</v>
      </c>
    </row>
    <row r="795" spans="2:11" ht="12.95" customHeight="1" x14ac:dyDescent="0.3">
      <c r="B795" s="1" t="s">
        <v>238</v>
      </c>
      <c r="K795" s="137" t="s">
        <v>239</v>
      </c>
    </row>
    <row r="796" spans="2:11" ht="12.95" customHeight="1" x14ac:dyDescent="0.3">
      <c r="B796" s="176" t="s">
        <v>21</v>
      </c>
      <c r="C796" s="170" t="s">
        <v>25</v>
      </c>
      <c r="D796" s="170" t="s">
        <v>26</v>
      </c>
      <c r="E796" s="170" t="s">
        <v>22</v>
      </c>
      <c r="F796" s="185" t="s">
        <v>372</v>
      </c>
      <c r="G796" s="186"/>
      <c r="H796" s="186"/>
      <c r="I796" s="186"/>
      <c r="J796" s="186"/>
      <c r="K796" s="186"/>
    </row>
    <row r="797" spans="2:11" ht="12.95" customHeight="1" x14ac:dyDescent="0.3">
      <c r="B797" s="177"/>
      <c r="C797" s="179"/>
      <c r="D797" s="179"/>
      <c r="E797" s="179"/>
      <c r="F797" s="185" t="s">
        <v>369</v>
      </c>
      <c r="G797" s="186"/>
      <c r="H797" s="185" t="s">
        <v>370</v>
      </c>
      <c r="I797" s="186"/>
      <c r="J797" s="185" t="s">
        <v>371</v>
      </c>
      <c r="K797" s="186"/>
    </row>
    <row r="798" spans="2:11" ht="12.95" customHeight="1" x14ac:dyDescent="0.3">
      <c r="B798" s="177"/>
      <c r="C798" s="179"/>
      <c r="D798" s="179"/>
      <c r="E798" s="179"/>
      <c r="F798" s="143" t="s">
        <v>367</v>
      </c>
      <c r="G798" s="157">
        <v>11</v>
      </c>
      <c r="H798" s="143" t="s">
        <v>367</v>
      </c>
      <c r="I798" s="157">
        <v>10</v>
      </c>
      <c r="J798" s="143" t="s">
        <v>367</v>
      </c>
      <c r="K798" s="157">
        <v>9</v>
      </c>
    </row>
    <row r="799" spans="2:11" ht="12.95" customHeight="1" x14ac:dyDescent="0.3">
      <c r="B799" s="178"/>
      <c r="C799" s="171"/>
      <c r="D799" s="171"/>
      <c r="E799" s="171"/>
      <c r="F799" s="71" t="s">
        <v>287</v>
      </c>
      <c r="G799" s="72" t="s">
        <v>288</v>
      </c>
      <c r="H799" s="71" t="s">
        <v>287</v>
      </c>
      <c r="I799" s="72" t="s">
        <v>288</v>
      </c>
      <c r="J799" s="71" t="s">
        <v>287</v>
      </c>
      <c r="K799" s="72" t="s">
        <v>288</v>
      </c>
    </row>
    <row r="800" spans="2:11" ht="12.95" customHeight="1" x14ac:dyDescent="0.3">
      <c r="B800" s="89" t="s">
        <v>39</v>
      </c>
      <c r="C800" s="89" t="s">
        <v>240</v>
      </c>
      <c r="D800" s="90" t="s">
        <v>34</v>
      </c>
      <c r="E800" s="76">
        <v>53985</v>
      </c>
      <c r="F800" s="36">
        <v>16</v>
      </c>
      <c r="G800" s="3">
        <f t="shared" ref="G800:G801" si="190">TRUNC($E800*F800,1)</f>
        <v>863760</v>
      </c>
      <c r="H800" s="36">
        <v>16</v>
      </c>
      <c r="I800" s="3">
        <f t="shared" ref="I800:I801" si="191">TRUNC($E800*H800,1)</f>
        <v>863760</v>
      </c>
      <c r="J800" s="36">
        <v>16</v>
      </c>
      <c r="K800" s="3">
        <f t="shared" ref="K800:K801" si="192">TRUNC($E800*J800,1)</f>
        <v>863760</v>
      </c>
    </row>
    <row r="801" spans="2:11" ht="12.95" customHeight="1" x14ac:dyDescent="0.3">
      <c r="B801" s="89" t="s">
        <v>235</v>
      </c>
      <c r="C801" s="89" t="s">
        <v>216</v>
      </c>
      <c r="D801" s="90" t="s">
        <v>34</v>
      </c>
      <c r="E801" s="76">
        <v>9213</v>
      </c>
      <c r="F801" s="36">
        <v>8</v>
      </c>
      <c r="G801" s="3">
        <f t="shared" si="190"/>
        <v>73704</v>
      </c>
      <c r="H801" s="36">
        <v>8</v>
      </c>
      <c r="I801" s="3">
        <f t="shared" si="191"/>
        <v>73704</v>
      </c>
      <c r="J801" s="36">
        <v>8</v>
      </c>
      <c r="K801" s="3">
        <f t="shared" si="192"/>
        <v>73704</v>
      </c>
    </row>
    <row r="802" spans="2:11" ht="12.95" customHeight="1" x14ac:dyDescent="0.3">
      <c r="B802" s="89" t="s">
        <v>27</v>
      </c>
      <c r="C802" s="91" t="s">
        <v>32</v>
      </c>
      <c r="D802" s="90" t="s">
        <v>35</v>
      </c>
      <c r="E802" s="92"/>
      <c r="F802" s="36">
        <v>1</v>
      </c>
      <c r="G802" s="6">
        <f>TRUNC(SUM(G805:G807)*0.03,1)</f>
        <v>83237.899999999994</v>
      </c>
      <c r="H802" s="36">
        <v>1</v>
      </c>
      <c r="I802" s="6">
        <f>TRUNC(SUM(I805:I807)*0.03,1)</f>
        <v>83237.899999999994</v>
      </c>
      <c r="J802" s="36">
        <v>1</v>
      </c>
      <c r="K802" s="6">
        <f>TRUNC(SUM(K805:K807)*0.03,1)</f>
        <v>83237.899999999994</v>
      </c>
    </row>
    <row r="803" spans="2:11" ht="12.95" customHeight="1" x14ac:dyDescent="0.3">
      <c r="B803" s="93" t="s">
        <v>29</v>
      </c>
      <c r="C803" s="96"/>
      <c r="D803" s="97"/>
      <c r="E803" s="138"/>
      <c r="F803" s="36"/>
      <c r="G803" s="20">
        <f>TRUNC(SUM(G800:G802))</f>
        <v>1020701</v>
      </c>
      <c r="H803" s="36"/>
      <c r="I803" s="20">
        <f>TRUNC(SUM(I800:I802))</f>
        <v>1020701</v>
      </c>
      <c r="J803" s="36"/>
      <c r="K803" s="20">
        <f>TRUNC(SUM(K800:K802))</f>
        <v>1020701</v>
      </c>
    </row>
    <row r="804" spans="2:11" ht="12.95" customHeight="1" x14ac:dyDescent="0.3">
      <c r="B804" s="79"/>
      <c r="C804" s="79"/>
      <c r="D804" s="90"/>
      <c r="E804" s="98"/>
      <c r="F804" s="36"/>
      <c r="G804" s="99"/>
      <c r="H804" s="36"/>
      <c r="I804" s="99"/>
      <c r="J804" s="36"/>
      <c r="K804" s="99"/>
    </row>
    <row r="805" spans="2:11" ht="12.95" customHeight="1" x14ac:dyDescent="0.3">
      <c r="B805" s="126" t="s">
        <v>42</v>
      </c>
      <c r="C805" s="126"/>
      <c r="D805" s="75" t="s">
        <v>28</v>
      </c>
      <c r="E805" s="76">
        <v>226122</v>
      </c>
      <c r="F805" s="36">
        <v>7</v>
      </c>
      <c r="G805" s="3">
        <f t="shared" ref="G805:G809" si="193">TRUNC($E805*F805,1)</f>
        <v>1582854</v>
      </c>
      <c r="H805" s="36">
        <v>7</v>
      </c>
      <c r="I805" s="3">
        <f t="shared" ref="I805:I809" si="194">TRUNC($E805*H805,1)</f>
        <v>1582854</v>
      </c>
      <c r="J805" s="36">
        <v>7</v>
      </c>
      <c r="K805" s="3">
        <f t="shared" ref="K805:K809" si="195">TRUNC($E805*J805,1)</f>
        <v>1582854</v>
      </c>
    </row>
    <row r="806" spans="2:11" ht="12.95" customHeight="1" x14ac:dyDescent="0.3">
      <c r="B806" s="73" t="s">
        <v>8</v>
      </c>
      <c r="C806" s="74"/>
      <c r="D806" s="75" t="s">
        <v>28</v>
      </c>
      <c r="E806" s="76">
        <v>172068</v>
      </c>
      <c r="F806" s="36">
        <v>2</v>
      </c>
      <c r="G806" s="3">
        <f t="shared" si="193"/>
        <v>344136</v>
      </c>
      <c r="H806" s="36">
        <v>2</v>
      </c>
      <c r="I806" s="3">
        <f t="shared" si="194"/>
        <v>344136</v>
      </c>
      <c r="J806" s="36">
        <v>2</v>
      </c>
      <c r="K806" s="3">
        <f t="shared" si="195"/>
        <v>344136</v>
      </c>
    </row>
    <row r="807" spans="2:11" ht="12.95" customHeight="1" x14ac:dyDescent="0.3">
      <c r="B807" s="73" t="s">
        <v>92</v>
      </c>
      <c r="C807" s="74"/>
      <c r="D807" s="75" t="s">
        <v>28</v>
      </c>
      <c r="E807" s="51">
        <v>282536</v>
      </c>
      <c r="F807" s="36">
        <v>3</v>
      </c>
      <c r="G807" s="3">
        <f t="shared" si="193"/>
        <v>847608</v>
      </c>
      <c r="H807" s="36">
        <v>3</v>
      </c>
      <c r="I807" s="3">
        <f t="shared" si="194"/>
        <v>847608</v>
      </c>
      <c r="J807" s="36">
        <v>3</v>
      </c>
      <c r="K807" s="3">
        <f t="shared" si="195"/>
        <v>847608</v>
      </c>
    </row>
    <row r="808" spans="2:11" ht="12.95" customHeight="1" x14ac:dyDescent="0.3">
      <c r="B808" s="89" t="s">
        <v>39</v>
      </c>
      <c r="C808" s="89" t="s">
        <v>240</v>
      </c>
      <c r="D808" s="90" t="s">
        <v>34</v>
      </c>
      <c r="E808" s="76">
        <v>58925</v>
      </c>
      <c r="F808" s="36">
        <v>16</v>
      </c>
      <c r="G808" s="3">
        <f t="shared" si="193"/>
        <v>942800</v>
      </c>
      <c r="H808" s="36">
        <v>16</v>
      </c>
      <c r="I808" s="3">
        <f t="shared" si="194"/>
        <v>942800</v>
      </c>
      <c r="J808" s="36">
        <v>16</v>
      </c>
      <c r="K808" s="3">
        <f t="shared" si="195"/>
        <v>942800</v>
      </c>
    </row>
    <row r="809" spans="2:11" ht="12.95" customHeight="1" x14ac:dyDescent="0.3">
      <c r="B809" s="89" t="s">
        <v>235</v>
      </c>
      <c r="C809" s="89" t="s">
        <v>216</v>
      </c>
      <c r="D809" s="90" t="s">
        <v>34</v>
      </c>
      <c r="E809" s="76">
        <v>49698</v>
      </c>
      <c r="F809" s="36">
        <v>8</v>
      </c>
      <c r="G809" s="3">
        <f t="shared" si="193"/>
        <v>397584</v>
      </c>
      <c r="H809" s="36">
        <v>8</v>
      </c>
      <c r="I809" s="3">
        <f t="shared" si="194"/>
        <v>397584</v>
      </c>
      <c r="J809" s="36">
        <v>8</v>
      </c>
      <c r="K809" s="3">
        <f t="shared" si="195"/>
        <v>397584</v>
      </c>
    </row>
    <row r="810" spans="2:11" ht="12.95" customHeight="1" x14ac:dyDescent="0.3">
      <c r="B810" s="77" t="s">
        <v>30</v>
      </c>
      <c r="C810" s="96"/>
      <c r="D810" s="97"/>
      <c r="E810" s="19"/>
      <c r="F810" s="36"/>
      <c r="G810" s="20">
        <f>TRUNC(SUM(G805:G809))</f>
        <v>4114982</v>
      </c>
      <c r="H810" s="36"/>
      <c r="I810" s="20">
        <f>TRUNC(SUM(I805:I809))</f>
        <v>4114982</v>
      </c>
      <c r="J810" s="36"/>
      <c r="K810" s="20">
        <f>TRUNC(SUM(K805:K809))</f>
        <v>4114982</v>
      </c>
    </row>
    <row r="811" spans="2:11" ht="12.95" customHeight="1" x14ac:dyDescent="0.3">
      <c r="B811" s="79"/>
      <c r="C811" s="79"/>
      <c r="D811" s="90"/>
      <c r="E811" s="98"/>
      <c r="F811" s="36"/>
      <c r="G811" s="99"/>
      <c r="H811" s="36"/>
      <c r="I811" s="99"/>
      <c r="J811" s="36"/>
      <c r="K811" s="99"/>
    </row>
    <row r="812" spans="2:11" ht="12.95" customHeight="1" x14ac:dyDescent="0.3">
      <c r="B812" s="89" t="s">
        <v>39</v>
      </c>
      <c r="C812" s="89" t="s">
        <v>240</v>
      </c>
      <c r="D812" s="90" t="s">
        <v>34</v>
      </c>
      <c r="E812" s="76">
        <v>308010</v>
      </c>
      <c r="F812" s="36">
        <v>16</v>
      </c>
      <c r="G812" s="3">
        <f t="shared" ref="G812:G813" si="196">TRUNC($E812*F812,1)</f>
        <v>4928160</v>
      </c>
      <c r="H812" s="36">
        <v>16</v>
      </c>
      <c r="I812" s="3">
        <f t="shared" ref="I812:I813" si="197">TRUNC($E812*H812,1)</f>
        <v>4928160</v>
      </c>
      <c r="J812" s="36">
        <v>16</v>
      </c>
      <c r="K812" s="3">
        <f t="shared" ref="K812:K813" si="198">TRUNC($E812*J812,1)</f>
        <v>4928160</v>
      </c>
    </row>
    <row r="813" spans="2:11" ht="12.95" customHeight="1" x14ac:dyDescent="0.3">
      <c r="B813" s="89" t="s">
        <v>235</v>
      </c>
      <c r="C813" s="89" t="s">
        <v>216</v>
      </c>
      <c r="D813" s="90" t="s">
        <v>34</v>
      </c>
      <c r="E813" s="76">
        <v>36594</v>
      </c>
      <c r="F813" s="36">
        <v>8</v>
      </c>
      <c r="G813" s="3">
        <f t="shared" si="196"/>
        <v>292752</v>
      </c>
      <c r="H813" s="36">
        <v>8</v>
      </c>
      <c r="I813" s="3">
        <f t="shared" si="197"/>
        <v>292752</v>
      </c>
      <c r="J813" s="36">
        <v>8</v>
      </c>
      <c r="K813" s="3">
        <f t="shared" si="198"/>
        <v>292752</v>
      </c>
    </row>
    <row r="814" spans="2:11" ht="12.95" customHeight="1" x14ac:dyDescent="0.3">
      <c r="B814" s="93" t="s">
        <v>31</v>
      </c>
      <c r="C814" s="96"/>
      <c r="D814" s="104"/>
      <c r="E814" s="19"/>
      <c r="F814" s="138"/>
      <c r="G814" s="20">
        <f>TRUNC(SUM(G812:G813))</f>
        <v>5220912</v>
      </c>
      <c r="H814" s="138"/>
      <c r="I814" s="20">
        <f>TRUNC(SUM(I812:I813))</f>
        <v>5220912</v>
      </c>
      <c r="J814" s="138"/>
      <c r="K814" s="20">
        <f>TRUNC(SUM(K812:K813))</f>
        <v>5220912</v>
      </c>
    </row>
    <row r="815" spans="2:11" ht="12.95" customHeight="1" x14ac:dyDescent="0.3">
      <c r="B815" s="79"/>
      <c r="C815" s="79"/>
      <c r="D815" s="90"/>
      <c r="E815" s="98"/>
      <c r="F815" s="98"/>
      <c r="G815" s="99"/>
      <c r="H815" s="98"/>
      <c r="I815" s="99"/>
      <c r="J815" s="98"/>
      <c r="K815" s="99"/>
    </row>
    <row r="816" spans="2:11" ht="12.95" customHeight="1" x14ac:dyDescent="0.3">
      <c r="B816" s="82" t="s">
        <v>33</v>
      </c>
      <c r="C816" s="79"/>
      <c r="D816" s="90"/>
      <c r="E816" s="152"/>
      <c r="F816" s="153"/>
      <c r="G816" s="53">
        <f>SUM(G803+G810+G814)</f>
        <v>10356595</v>
      </c>
      <c r="H816" s="153"/>
      <c r="I816" s="53">
        <f>SUM(I803+I810+I814)</f>
        <v>10356595</v>
      </c>
      <c r="J816" s="153"/>
      <c r="K816" s="53">
        <f>SUM(K803+K810+K814)</f>
        <v>10356595</v>
      </c>
    </row>
    <row r="817" spans="2:11" ht="12.95" customHeight="1" x14ac:dyDescent="0.3">
      <c r="B817" s="84" t="s">
        <v>368</v>
      </c>
      <c r="C817" s="85"/>
      <c r="D817" s="86"/>
      <c r="E817" s="87"/>
      <c r="F817" s="88"/>
      <c r="G817" s="7">
        <f>TRUNC(G816/G798)</f>
        <v>941508</v>
      </c>
      <c r="H817" s="88"/>
      <c r="I817" s="7">
        <f>TRUNC(I816/I798)</f>
        <v>1035659</v>
      </c>
      <c r="J817" s="88"/>
      <c r="K817" s="7">
        <f>TRUNC(K816/K798)</f>
        <v>1150732</v>
      </c>
    </row>
    <row r="818" spans="2:11" ht="12.95" customHeight="1" x14ac:dyDescent="0.3">
      <c r="B818" s="176" t="s">
        <v>21</v>
      </c>
      <c r="C818" s="170" t="s">
        <v>25</v>
      </c>
      <c r="D818" s="170" t="s">
        <v>26</v>
      </c>
      <c r="E818" s="170" t="s">
        <v>22</v>
      </c>
      <c r="F818" s="185" t="s">
        <v>373</v>
      </c>
      <c r="G818" s="186"/>
      <c r="H818" s="186"/>
      <c r="I818" s="186"/>
      <c r="J818" s="186"/>
      <c r="K818" s="186"/>
    </row>
    <row r="819" spans="2:11" ht="12.95" customHeight="1" x14ac:dyDescent="0.3">
      <c r="B819" s="177"/>
      <c r="C819" s="179"/>
      <c r="D819" s="179"/>
      <c r="E819" s="179"/>
      <c r="F819" s="185" t="s">
        <v>369</v>
      </c>
      <c r="G819" s="186"/>
      <c r="H819" s="185" t="s">
        <v>370</v>
      </c>
      <c r="I819" s="186"/>
      <c r="J819" s="185" t="s">
        <v>371</v>
      </c>
      <c r="K819" s="186"/>
    </row>
    <row r="820" spans="2:11" ht="12.95" customHeight="1" x14ac:dyDescent="0.3">
      <c r="B820" s="177"/>
      <c r="C820" s="179"/>
      <c r="D820" s="179"/>
      <c r="E820" s="179"/>
      <c r="F820" s="143" t="s">
        <v>367</v>
      </c>
      <c r="G820" s="157">
        <v>11</v>
      </c>
      <c r="H820" s="143" t="s">
        <v>367</v>
      </c>
      <c r="I820" s="157">
        <v>10</v>
      </c>
      <c r="J820" s="143" t="s">
        <v>367</v>
      </c>
      <c r="K820" s="157">
        <v>9</v>
      </c>
    </row>
    <row r="821" spans="2:11" ht="12.95" customHeight="1" x14ac:dyDescent="0.3">
      <c r="B821" s="178"/>
      <c r="C821" s="171"/>
      <c r="D821" s="171"/>
      <c r="E821" s="171"/>
      <c r="F821" s="71" t="s">
        <v>287</v>
      </c>
      <c r="G821" s="72" t="s">
        <v>288</v>
      </c>
      <c r="H821" s="71" t="s">
        <v>287</v>
      </c>
      <c r="I821" s="72" t="s">
        <v>288</v>
      </c>
      <c r="J821" s="71" t="s">
        <v>287</v>
      </c>
      <c r="K821" s="72" t="s">
        <v>288</v>
      </c>
    </row>
    <row r="822" spans="2:11" ht="12.95" customHeight="1" x14ac:dyDescent="0.3">
      <c r="B822" s="89" t="s">
        <v>39</v>
      </c>
      <c r="C822" s="89" t="s">
        <v>240</v>
      </c>
      <c r="D822" s="90" t="s">
        <v>34</v>
      </c>
      <c r="E822" s="76">
        <v>53985</v>
      </c>
      <c r="F822" s="36">
        <v>8</v>
      </c>
      <c r="G822" s="3">
        <f t="shared" ref="G822" si="199">TRUNC($E822*F822,1)</f>
        <v>431880</v>
      </c>
      <c r="H822" s="36">
        <v>8</v>
      </c>
      <c r="I822" s="3">
        <f t="shared" ref="I822" si="200">TRUNC($E822*H822,1)</f>
        <v>431880</v>
      </c>
      <c r="J822" s="36">
        <v>8</v>
      </c>
      <c r="K822" s="3">
        <f t="shared" ref="K822" si="201">TRUNC($E822*J822,1)</f>
        <v>431880</v>
      </c>
    </row>
    <row r="823" spans="2:11" ht="12.95" customHeight="1" x14ac:dyDescent="0.3">
      <c r="B823" s="93" t="s">
        <v>29</v>
      </c>
      <c r="C823" s="96"/>
      <c r="D823" s="97"/>
      <c r="E823" s="138"/>
      <c r="F823" s="36"/>
      <c r="G823" s="20">
        <f>TRUNC(SUM(G822:G822))</f>
        <v>431880</v>
      </c>
      <c r="H823" s="36"/>
      <c r="I823" s="20">
        <f>TRUNC(SUM(I822:I822))</f>
        <v>431880</v>
      </c>
      <c r="J823" s="36"/>
      <c r="K823" s="20">
        <f>TRUNC(SUM(K822:K822))</f>
        <v>431880</v>
      </c>
    </row>
    <row r="824" spans="2:11" ht="12.95" customHeight="1" x14ac:dyDescent="0.3">
      <c r="B824" s="79"/>
      <c r="C824" s="79"/>
      <c r="D824" s="90"/>
      <c r="E824" s="98"/>
      <c r="F824" s="36"/>
      <c r="G824" s="99"/>
      <c r="H824" s="36"/>
      <c r="I824" s="99"/>
      <c r="J824" s="36"/>
      <c r="K824" s="99"/>
    </row>
    <row r="825" spans="2:11" ht="12.95" customHeight="1" x14ac:dyDescent="0.3">
      <c r="B825" s="126" t="s">
        <v>42</v>
      </c>
      <c r="C825" s="126"/>
      <c r="D825" s="75" t="s">
        <v>28</v>
      </c>
      <c r="E825" s="76">
        <v>226122</v>
      </c>
      <c r="F825" s="36">
        <v>2</v>
      </c>
      <c r="G825" s="3">
        <f t="shared" ref="G825:G827" si="202">TRUNC($E825*F825,1)</f>
        <v>452244</v>
      </c>
      <c r="H825" s="36">
        <v>2</v>
      </c>
      <c r="I825" s="3">
        <f t="shared" ref="I825:I827" si="203">TRUNC($E825*H825,1)</f>
        <v>452244</v>
      </c>
      <c r="J825" s="36">
        <v>2</v>
      </c>
      <c r="K825" s="3">
        <f t="shared" ref="K825:K827" si="204">TRUNC($E825*J825,1)</f>
        <v>452244</v>
      </c>
    </row>
    <row r="826" spans="2:11" ht="12.95" customHeight="1" x14ac:dyDescent="0.3">
      <c r="B826" s="73" t="s">
        <v>8</v>
      </c>
      <c r="C826" s="74"/>
      <c r="D826" s="75" t="s">
        <v>28</v>
      </c>
      <c r="E826" s="76">
        <v>172068</v>
      </c>
      <c r="F826" s="36">
        <v>1</v>
      </c>
      <c r="G826" s="3">
        <f t="shared" si="202"/>
        <v>172068</v>
      </c>
      <c r="H826" s="36">
        <v>1</v>
      </c>
      <c r="I826" s="3">
        <f t="shared" si="203"/>
        <v>172068</v>
      </c>
      <c r="J826" s="36">
        <v>1</v>
      </c>
      <c r="K826" s="3">
        <f t="shared" si="204"/>
        <v>172068</v>
      </c>
    </row>
    <row r="827" spans="2:11" ht="12.95" customHeight="1" x14ac:dyDescent="0.3">
      <c r="B827" s="89" t="s">
        <v>39</v>
      </c>
      <c r="C827" s="89" t="s">
        <v>240</v>
      </c>
      <c r="D827" s="90" t="s">
        <v>34</v>
      </c>
      <c r="E827" s="76">
        <v>58925</v>
      </c>
      <c r="F827" s="36">
        <v>8</v>
      </c>
      <c r="G827" s="3">
        <f t="shared" si="202"/>
        <v>471400</v>
      </c>
      <c r="H827" s="36">
        <v>8</v>
      </c>
      <c r="I827" s="3">
        <f t="shared" si="203"/>
        <v>471400</v>
      </c>
      <c r="J827" s="36">
        <v>8</v>
      </c>
      <c r="K827" s="3">
        <f t="shared" si="204"/>
        <v>471400</v>
      </c>
    </row>
    <row r="828" spans="2:11" ht="12.95" customHeight="1" x14ac:dyDescent="0.3">
      <c r="B828" s="77" t="s">
        <v>30</v>
      </c>
      <c r="C828" s="96"/>
      <c r="D828" s="97"/>
      <c r="E828" s="19"/>
      <c r="F828" s="36"/>
      <c r="G828" s="20">
        <f>TRUNC(SUM(G825:G827))</f>
        <v>1095712</v>
      </c>
      <c r="H828" s="36"/>
      <c r="I828" s="20">
        <f>TRUNC(SUM(I825:I827))</f>
        <v>1095712</v>
      </c>
      <c r="J828" s="36"/>
      <c r="K828" s="20">
        <f>TRUNC(SUM(K825:K827))</f>
        <v>1095712</v>
      </c>
    </row>
    <row r="829" spans="2:11" ht="12.95" customHeight="1" x14ac:dyDescent="0.3">
      <c r="B829" s="79"/>
      <c r="C829" s="79"/>
      <c r="D829" s="90"/>
      <c r="E829" s="98"/>
      <c r="F829" s="36"/>
      <c r="G829" s="99"/>
      <c r="H829" s="36"/>
      <c r="I829" s="99"/>
      <c r="J829" s="36"/>
      <c r="K829" s="99"/>
    </row>
    <row r="830" spans="2:11" ht="12.95" customHeight="1" x14ac:dyDescent="0.3">
      <c r="B830" s="89" t="s">
        <v>39</v>
      </c>
      <c r="C830" s="89" t="s">
        <v>240</v>
      </c>
      <c r="D830" s="90" t="s">
        <v>34</v>
      </c>
      <c r="E830" s="76">
        <v>308010</v>
      </c>
      <c r="F830" s="36">
        <v>8</v>
      </c>
      <c r="G830" s="3">
        <f t="shared" ref="G830" si="205">TRUNC($E830*F830,1)</f>
        <v>2464080</v>
      </c>
      <c r="H830" s="36">
        <v>8</v>
      </c>
      <c r="I830" s="3">
        <f t="shared" ref="I830" si="206">TRUNC($E830*H830,1)</f>
        <v>2464080</v>
      </c>
      <c r="J830" s="36">
        <v>8</v>
      </c>
      <c r="K830" s="3">
        <f t="shared" ref="K830" si="207">TRUNC($E830*J830,1)</f>
        <v>2464080</v>
      </c>
    </row>
    <row r="831" spans="2:11" ht="12.95" customHeight="1" x14ac:dyDescent="0.3">
      <c r="B831" s="93" t="s">
        <v>31</v>
      </c>
      <c r="C831" s="96"/>
      <c r="D831" s="104"/>
      <c r="E831" s="19"/>
      <c r="F831" s="138"/>
      <c r="G831" s="20">
        <f>TRUNC(SUM(G830:G830))</f>
        <v>2464080</v>
      </c>
      <c r="H831" s="138"/>
      <c r="I831" s="20">
        <f>TRUNC(SUM(I830:I830))</f>
        <v>2464080</v>
      </c>
      <c r="J831" s="138"/>
      <c r="K831" s="20">
        <f>TRUNC(SUM(K830:K830))</f>
        <v>2464080</v>
      </c>
    </row>
    <row r="832" spans="2:11" ht="12.95" customHeight="1" x14ac:dyDescent="0.3">
      <c r="B832" s="79"/>
      <c r="C832" s="79"/>
      <c r="D832" s="90"/>
      <c r="E832" s="98"/>
      <c r="F832" s="98"/>
      <c r="G832" s="99"/>
      <c r="H832" s="98"/>
      <c r="I832" s="99"/>
      <c r="J832" s="98"/>
      <c r="K832" s="99"/>
    </row>
    <row r="833" spans="2:11" ht="12.95" customHeight="1" x14ac:dyDescent="0.3">
      <c r="B833" s="82" t="s">
        <v>33</v>
      </c>
      <c r="C833" s="79"/>
      <c r="D833" s="90"/>
      <c r="E833" s="152"/>
      <c r="F833" s="153"/>
      <c r="G833" s="53">
        <f>SUM(G823+G828+G831)</f>
        <v>3991672</v>
      </c>
      <c r="H833" s="153"/>
      <c r="I833" s="53">
        <f>SUM(I823+I828+I831)</f>
        <v>3991672</v>
      </c>
      <c r="J833" s="153"/>
      <c r="K833" s="53">
        <f>SUM(K823+K828+K831)</f>
        <v>3991672</v>
      </c>
    </row>
    <row r="834" spans="2:11" ht="12.95" customHeight="1" x14ac:dyDescent="0.3">
      <c r="B834" s="84" t="s">
        <v>368</v>
      </c>
      <c r="C834" s="85"/>
      <c r="D834" s="86"/>
      <c r="E834" s="87"/>
      <c r="F834" s="88"/>
      <c r="G834" s="7">
        <f>TRUNC(G833/G820)</f>
        <v>362879</v>
      </c>
      <c r="H834" s="88"/>
      <c r="I834" s="7">
        <f>TRUNC(I833/I820)</f>
        <v>399167</v>
      </c>
      <c r="J834" s="88"/>
      <c r="K834" s="7">
        <f>TRUNC(K833/K820)</f>
        <v>443519</v>
      </c>
    </row>
    <row r="836" spans="2:11" ht="12.95" customHeight="1" x14ac:dyDescent="0.3">
      <c r="B836" s="1" t="s">
        <v>374</v>
      </c>
      <c r="K836" s="137" t="s">
        <v>239</v>
      </c>
    </row>
    <row r="837" spans="2:11" ht="12.95" customHeight="1" x14ac:dyDescent="0.3">
      <c r="B837" s="176" t="s">
        <v>21</v>
      </c>
      <c r="C837" s="170" t="s">
        <v>25</v>
      </c>
      <c r="D837" s="170" t="s">
        <v>26</v>
      </c>
      <c r="E837" s="170" t="s">
        <v>22</v>
      </c>
      <c r="F837" s="185" t="s">
        <v>375</v>
      </c>
      <c r="G837" s="186"/>
      <c r="H837" s="185" t="s">
        <v>376</v>
      </c>
      <c r="I837" s="186"/>
      <c r="J837" s="185" t="s">
        <v>377</v>
      </c>
      <c r="K837" s="186"/>
    </row>
    <row r="838" spans="2:11" ht="12.95" customHeight="1" x14ac:dyDescent="0.3">
      <c r="B838" s="177"/>
      <c r="C838" s="179"/>
      <c r="D838" s="179"/>
      <c r="E838" s="179"/>
      <c r="F838" s="143" t="s">
        <v>334</v>
      </c>
      <c r="G838" s="157">
        <v>18</v>
      </c>
      <c r="H838" s="143" t="s">
        <v>300</v>
      </c>
      <c r="I838" s="157">
        <v>16</v>
      </c>
      <c r="J838" s="143" t="s">
        <v>300</v>
      </c>
      <c r="K838" s="157">
        <v>14</v>
      </c>
    </row>
    <row r="839" spans="2:11" ht="12.95" customHeight="1" x14ac:dyDescent="0.3">
      <c r="B839" s="178"/>
      <c r="C839" s="171"/>
      <c r="D839" s="171"/>
      <c r="E839" s="171"/>
      <c r="F839" s="71" t="s">
        <v>287</v>
      </c>
      <c r="G839" s="72" t="s">
        <v>288</v>
      </c>
      <c r="H839" s="71" t="s">
        <v>287</v>
      </c>
      <c r="I839" s="72" t="s">
        <v>288</v>
      </c>
      <c r="J839" s="71" t="s">
        <v>287</v>
      </c>
      <c r="K839" s="72" t="s">
        <v>288</v>
      </c>
    </row>
    <row r="840" spans="2:11" ht="12.95" customHeight="1" x14ac:dyDescent="0.3">
      <c r="B840" s="89" t="s">
        <v>235</v>
      </c>
      <c r="C840" s="89" t="s">
        <v>216</v>
      </c>
      <c r="D840" s="90" t="s">
        <v>34</v>
      </c>
      <c r="E840" s="76">
        <v>9213</v>
      </c>
      <c r="F840" s="36">
        <v>8</v>
      </c>
      <c r="G840" s="3">
        <f t="shared" ref="G840" si="208">TRUNC($E840*F840,1)</f>
        <v>73704</v>
      </c>
      <c r="H840" s="36">
        <v>8</v>
      </c>
      <c r="I840" s="3">
        <f t="shared" ref="I840" si="209">TRUNC($E840*H840,1)</f>
        <v>73704</v>
      </c>
      <c r="J840" s="36">
        <v>8</v>
      </c>
      <c r="K840" s="3">
        <f t="shared" ref="K840" si="210">TRUNC($E840*J840,1)</f>
        <v>73704</v>
      </c>
    </row>
    <row r="841" spans="2:11" ht="12.95" customHeight="1" x14ac:dyDescent="0.3">
      <c r="B841" s="89" t="s">
        <v>27</v>
      </c>
      <c r="C841" s="91" t="s">
        <v>32</v>
      </c>
      <c r="D841" s="90" t="s">
        <v>35</v>
      </c>
      <c r="E841" s="92"/>
      <c r="F841" s="36">
        <v>1</v>
      </c>
      <c r="G841" s="6">
        <f>TRUNC(SUM(G844:G845)*0.03,1)</f>
        <v>22114.2</v>
      </c>
      <c r="H841" s="36">
        <v>1</v>
      </c>
      <c r="I841" s="6">
        <f>TRUNC(SUM(I844:I845)*0.03,1)</f>
        <v>22114.2</v>
      </c>
      <c r="J841" s="36">
        <v>1</v>
      </c>
      <c r="K841" s="6">
        <f>TRUNC(SUM(K844:K845)*0.03,1)</f>
        <v>22114.2</v>
      </c>
    </row>
    <row r="842" spans="2:11" ht="12.95" customHeight="1" x14ac:dyDescent="0.3">
      <c r="B842" s="93" t="s">
        <v>29</v>
      </c>
      <c r="C842" s="96"/>
      <c r="D842" s="97"/>
      <c r="E842" s="138"/>
      <c r="F842" s="36"/>
      <c r="G842" s="20">
        <f>TRUNC(SUM(G840:G841))</f>
        <v>95818</v>
      </c>
      <c r="H842" s="36"/>
      <c r="I842" s="20">
        <f>TRUNC(SUM(I840:I841))</f>
        <v>95818</v>
      </c>
      <c r="J842" s="36"/>
      <c r="K842" s="20">
        <f>TRUNC(SUM(K840:K841))</f>
        <v>95818</v>
      </c>
    </row>
    <row r="843" spans="2:11" ht="12.95" customHeight="1" x14ac:dyDescent="0.3">
      <c r="B843" s="79"/>
      <c r="C843" s="79"/>
      <c r="D843" s="90"/>
      <c r="E843" s="98"/>
      <c r="F843" s="36"/>
      <c r="G843" s="99"/>
      <c r="H843" s="36"/>
      <c r="I843" s="99"/>
      <c r="J843" s="36"/>
      <c r="K843" s="99"/>
    </row>
    <row r="844" spans="2:11" ht="12.95" customHeight="1" x14ac:dyDescent="0.3">
      <c r="B844" s="73" t="s">
        <v>92</v>
      </c>
      <c r="C844" s="74"/>
      <c r="D844" s="75" t="s">
        <v>28</v>
      </c>
      <c r="E844" s="51">
        <v>282536</v>
      </c>
      <c r="F844" s="36">
        <v>2</v>
      </c>
      <c r="G844" s="3">
        <f t="shared" ref="G844:G846" si="211">TRUNC($E844*F844,1)</f>
        <v>565072</v>
      </c>
      <c r="H844" s="36">
        <v>2</v>
      </c>
      <c r="I844" s="3">
        <f t="shared" ref="I844:I846" si="212">TRUNC($E844*H844,1)</f>
        <v>565072</v>
      </c>
      <c r="J844" s="36">
        <v>2</v>
      </c>
      <c r="K844" s="3">
        <f t="shared" ref="K844:K846" si="213">TRUNC($E844*J844,1)</f>
        <v>565072</v>
      </c>
    </row>
    <row r="845" spans="2:11" ht="12.95" customHeight="1" x14ac:dyDescent="0.3">
      <c r="B845" s="73" t="s">
        <v>8</v>
      </c>
      <c r="C845" s="74"/>
      <c r="D845" s="75" t="s">
        <v>28</v>
      </c>
      <c r="E845" s="76">
        <v>172068</v>
      </c>
      <c r="F845" s="36">
        <v>1</v>
      </c>
      <c r="G845" s="3">
        <f t="shared" si="211"/>
        <v>172068</v>
      </c>
      <c r="H845" s="36">
        <v>1</v>
      </c>
      <c r="I845" s="3">
        <f t="shared" si="212"/>
        <v>172068</v>
      </c>
      <c r="J845" s="36">
        <v>1</v>
      </c>
      <c r="K845" s="3">
        <f t="shared" si="213"/>
        <v>172068</v>
      </c>
    </row>
    <row r="846" spans="2:11" ht="12.95" customHeight="1" x14ac:dyDescent="0.3">
      <c r="B846" s="89" t="s">
        <v>235</v>
      </c>
      <c r="C846" s="89" t="s">
        <v>216</v>
      </c>
      <c r="D846" s="90" t="s">
        <v>34</v>
      </c>
      <c r="E846" s="76">
        <v>49698</v>
      </c>
      <c r="F846" s="36">
        <v>8</v>
      </c>
      <c r="G846" s="3">
        <f t="shared" si="211"/>
        <v>397584</v>
      </c>
      <c r="H846" s="36">
        <v>8</v>
      </c>
      <c r="I846" s="3">
        <f t="shared" si="212"/>
        <v>397584</v>
      </c>
      <c r="J846" s="36">
        <v>8</v>
      </c>
      <c r="K846" s="3">
        <f t="shared" si="213"/>
        <v>397584</v>
      </c>
    </row>
    <row r="847" spans="2:11" ht="12.95" customHeight="1" x14ac:dyDescent="0.3">
      <c r="B847" s="77" t="s">
        <v>30</v>
      </c>
      <c r="C847" s="96"/>
      <c r="D847" s="97"/>
      <c r="E847" s="19"/>
      <c r="F847" s="36"/>
      <c r="G847" s="20">
        <f>TRUNC(SUM(G844:G846))</f>
        <v>1134724</v>
      </c>
      <c r="H847" s="36"/>
      <c r="I847" s="20">
        <f>TRUNC(SUM(I844:I846))</f>
        <v>1134724</v>
      </c>
      <c r="J847" s="36"/>
      <c r="K847" s="20">
        <f>TRUNC(SUM(K844:K846))</f>
        <v>1134724</v>
      </c>
    </row>
    <row r="848" spans="2:11" ht="12.95" customHeight="1" x14ac:dyDescent="0.3">
      <c r="B848" s="79"/>
      <c r="C848" s="79"/>
      <c r="D848" s="90"/>
      <c r="E848" s="98"/>
      <c r="F848" s="36"/>
      <c r="G848" s="99"/>
      <c r="H848" s="36"/>
      <c r="I848" s="99"/>
      <c r="J848" s="36"/>
      <c r="K848" s="99"/>
    </row>
    <row r="849" spans="2:13" ht="12.95" customHeight="1" x14ac:dyDescent="0.3">
      <c r="B849" s="89" t="s">
        <v>235</v>
      </c>
      <c r="C849" s="89" t="s">
        <v>216</v>
      </c>
      <c r="D849" s="90" t="s">
        <v>34</v>
      </c>
      <c r="E849" s="76">
        <v>36594</v>
      </c>
      <c r="F849" s="36">
        <v>8</v>
      </c>
      <c r="G849" s="3">
        <f t="shared" ref="G849" si="214">TRUNC($E849*F849,1)</f>
        <v>292752</v>
      </c>
      <c r="H849" s="36">
        <v>8</v>
      </c>
      <c r="I849" s="3">
        <f t="shared" ref="I849" si="215">TRUNC($E849*H849,1)</f>
        <v>292752</v>
      </c>
      <c r="J849" s="36">
        <v>8</v>
      </c>
      <c r="K849" s="3">
        <f t="shared" ref="K849" si="216">TRUNC($E849*J849,1)</f>
        <v>292752</v>
      </c>
    </row>
    <row r="850" spans="2:13" ht="12.95" customHeight="1" x14ac:dyDescent="0.3">
      <c r="B850" s="93" t="s">
        <v>31</v>
      </c>
      <c r="C850" s="96"/>
      <c r="D850" s="104"/>
      <c r="E850" s="19"/>
      <c r="F850" s="138"/>
      <c r="G850" s="20">
        <f>TRUNC(SUM(G849:G849))</f>
        <v>292752</v>
      </c>
      <c r="H850" s="138"/>
      <c r="I850" s="20">
        <f>TRUNC(SUM(I849:I849))</f>
        <v>292752</v>
      </c>
      <c r="J850" s="138"/>
      <c r="K850" s="20">
        <f>TRUNC(SUM(K849:K849))</f>
        <v>292752</v>
      </c>
    </row>
    <row r="851" spans="2:13" ht="12.95" customHeight="1" x14ac:dyDescent="0.3">
      <c r="B851" s="79"/>
      <c r="C851" s="79"/>
      <c r="D851" s="90"/>
      <c r="E851" s="98"/>
      <c r="F851" s="98"/>
      <c r="G851" s="99"/>
      <c r="H851" s="98"/>
      <c r="I851" s="99"/>
      <c r="J851" s="98"/>
      <c r="K851" s="99"/>
    </row>
    <row r="852" spans="2:13" ht="12.95" customHeight="1" x14ac:dyDescent="0.3">
      <c r="B852" s="82" t="s">
        <v>33</v>
      </c>
      <c r="C852" s="79"/>
      <c r="D852" s="90"/>
      <c r="E852" s="152"/>
      <c r="F852" s="153"/>
      <c r="G852" s="53">
        <f>SUM(G842+G847+G850)</f>
        <v>1523294</v>
      </c>
      <c r="H852" s="153"/>
      <c r="I852" s="53">
        <f>SUM(I842+I847+I850)</f>
        <v>1523294</v>
      </c>
      <c r="J852" s="153"/>
      <c r="K852" s="53">
        <f>SUM(K842+K847+K850)</f>
        <v>1523294</v>
      </c>
    </row>
    <row r="853" spans="2:13" ht="12.95" customHeight="1" x14ac:dyDescent="0.3">
      <c r="B853" s="84" t="s">
        <v>302</v>
      </c>
      <c r="C853" s="85"/>
      <c r="D853" s="86"/>
      <c r="E853" s="87"/>
      <c r="F853" s="88"/>
      <c r="G853" s="7">
        <f>TRUNC(G852/G838)</f>
        <v>84627</v>
      </c>
      <c r="H853" s="88"/>
      <c r="I853" s="7">
        <f>TRUNC(I852/I838)</f>
        <v>95205</v>
      </c>
      <c r="J853" s="88"/>
      <c r="K853" s="7">
        <f>TRUNC(K852/K838)</f>
        <v>108806</v>
      </c>
    </row>
    <row r="855" spans="2:13" ht="12.95" customHeight="1" x14ac:dyDescent="0.3">
      <c r="B855" s="61" t="s">
        <v>211</v>
      </c>
    </row>
    <row r="856" spans="2:13" ht="12.95" customHeight="1" x14ac:dyDescent="0.3">
      <c r="B856" s="1" t="s">
        <v>236</v>
      </c>
      <c r="K856" s="137" t="s">
        <v>239</v>
      </c>
    </row>
    <row r="857" spans="2:13" ht="12.95" customHeight="1" x14ac:dyDescent="0.3">
      <c r="B857" s="176" t="s">
        <v>21</v>
      </c>
      <c r="C857" s="170" t="s">
        <v>25</v>
      </c>
      <c r="D857" s="170" t="s">
        <v>26</v>
      </c>
      <c r="E857" s="170" t="s">
        <v>22</v>
      </c>
      <c r="F857" s="180" t="s">
        <v>323</v>
      </c>
      <c r="G857" s="181"/>
      <c r="H857" s="181"/>
      <c r="I857" s="181"/>
      <c r="J857" s="181"/>
      <c r="K857" s="181"/>
      <c r="L857" s="11"/>
      <c r="M857" s="11"/>
    </row>
    <row r="858" spans="2:13" ht="12.95" customHeight="1" x14ac:dyDescent="0.3">
      <c r="B858" s="177"/>
      <c r="C858" s="179"/>
      <c r="D858" s="179"/>
      <c r="E858" s="179"/>
      <c r="F858" s="185" t="s">
        <v>326</v>
      </c>
      <c r="G858" s="186"/>
      <c r="H858" s="185" t="s">
        <v>327</v>
      </c>
      <c r="I858" s="186"/>
      <c r="J858" s="185" t="s">
        <v>328</v>
      </c>
      <c r="K858" s="186"/>
    </row>
    <row r="859" spans="2:13" ht="12.95" customHeight="1" x14ac:dyDescent="0.3">
      <c r="B859" s="177"/>
      <c r="C859" s="179"/>
      <c r="D859" s="179"/>
      <c r="E859" s="179"/>
      <c r="F859" s="68" t="s">
        <v>324</v>
      </c>
      <c r="G859" s="145">
        <v>8.5</v>
      </c>
      <c r="H859" s="68" t="s">
        <v>324</v>
      </c>
      <c r="I859" s="145">
        <v>7</v>
      </c>
      <c r="J859" s="68" t="s">
        <v>324</v>
      </c>
      <c r="K859" s="145">
        <v>5.5</v>
      </c>
    </row>
    <row r="860" spans="2:13" ht="12.95" customHeight="1" x14ac:dyDescent="0.3">
      <c r="B860" s="178"/>
      <c r="C860" s="171"/>
      <c r="D860" s="171"/>
      <c r="E860" s="171"/>
      <c r="F860" s="71" t="s">
        <v>287</v>
      </c>
      <c r="G860" s="72" t="s">
        <v>288</v>
      </c>
      <c r="H860" s="71" t="s">
        <v>287</v>
      </c>
      <c r="I860" s="72" t="s">
        <v>288</v>
      </c>
      <c r="J860" s="71" t="s">
        <v>287</v>
      </c>
      <c r="K860" s="72" t="s">
        <v>288</v>
      </c>
      <c r="L860" s="4"/>
      <c r="M860" s="4"/>
    </row>
    <row r="861" spans="2:13" ht="12.95" customHeight="1" x14ac:dyDescent="0.3">
      <c r="B861" s="89" t="s">
        <v>39</v>
      </c>
      <c r="C861" s="89" t="s">
        <v>40</v>
      </c>
      <c r="D861" s="90" t="s">
        <v>34</v>
      </c>
      <c r="E861" s="31">
        <v>12764</v>
      </c>
      <c r="F861" s="36">
        <v>8</v>
      </c>
      <c r="G861" s="3">
        <f t="shared" ref="G861:G862" si="217">TRUNC($E861*F861,1)</f>
        <v>102112</v>
      </c>
      <c r="H861" s="36">
        <v>8</v>
      </c>
      <c r="I861" s="3">
        <f t="shared" ref="I861:I862" si="218">TRUNC($E861*H861,1)</f>
        <v>102112</v>
      </c>
      <c r="J861" s="36">
        <v>8</v>
      </c>
      <c r="K861" s="3">
        <f t="shared" ref="K861:K862" si="219">TRUNC($E861*J861,1)</f>
        <v>102112</v>
      </c>
    </row>
    <row r="862" spans="2:13" ht="12.95" customHeight="1" x14ac:dyDescent="0.3">
      <c r="B862" s="89" t="s">
        <v>235</v>
      </c>
      <c r="C862" s="89" t="s">
        <v>241</v>
      </c>
      <c r="D862" s="90" t="s">
        <v>34</v>
      </c>
      <c r="E862" s="31">
        <v>5600</v>
      </c>
      <c r="F862" s="36">
        <v>8</v>
      </c>
      <c r="G862" s="3">
        <f t="shared" si="217"/>
        <v>44800</v>
      </c>
      <c r="H862" s="36">
        <v>8</v>
      </c>
      <c r="I862" s="3">
        <f t="shared" si="218"/>
        <v>44800</v>
      </c>
      <c r="J862" s="36">
        <v>8</v>
      </c>
      <c r="K862" s="3">
        <f t="shared" si="219"/>
        <v>44800</v>
      </c>
    </row>
    <row r="863" spans="2:13" ht="12.95" customHeight="1" x14ac:dyDescent="0.3">
      <c r="B863" s="89" t="s">
        <v>27</v>
      </c>
      <c r="C863" s="91" t="s">
        <v>32</v>
      </c>
      <c r="D863" s="90" t="s">
        <v>35</v>
      </c>
      <c r="E863" s="92"/>
      <c r="F863" s="36">
        <v>1</v>
      </c>
      <c r="G863" s="6">
        <f>TRUNC(SUM(G866:G868)*0.03,1)</f>
        <v>27205.4</v>
      </c>
      <c r="H863" s="36">
        <v>1</v>
      </c>
      <c r="I863" s="6">
        <f>TRUNC(SUM(I866:I868)*0.03,1)</f>
        <v>27205.4</v>
      </c>
      <c r="J863" s="36">
        <v>1</v>
      </c>
      <c r="K863" s="6">
        <f>TRUNC(SUM(K866:K868)*0.03,1)</f>
        <v>27205.4</v>
      </c>
    </row>
    <row r="864" spans="2:13" ht="12.95" customHeight="1" x14ac:dyDescent="0.3">
      <c r="B864" s="93" t="s">
        <v>29</v>
      </c>
      <c r="C864" s="96"/>
      <c r="D864" s="97"/>
      <c r="E864" s="138"/>
      <c r="F864" s="36"/>
      <c r="G864" s="20">
        <f>TRUNC(SUM(G861:G863))</f>
        <v>174117</v>
      </c>
      <c r="H864" s="36"/>
      <c r="I864" s="20">
        <f>TRUNC(SUM(I861:I863))</f>
        <v>174117</v>
      </c>
      <c r="J864" s="36"/>
      <c r="K864" s="20">
        <f>TRUNC(SUM(K861:K863))</f>
        <v>174117</v>
      </c>
    </row>
    <row r="865" spans="2:13" ht="12.95" customHeight="1" x14ac:dyDescent="0.3">
      <c r="B865" s="79"/>
      <c r="C865" s="79"/>
      <c r="D865" s="90"/>
      <c r="E865" s="98"/>
      <c r="F865" s="36"/>
      <c r="G865" s="99"/>
      <c r="H865" s="36"/>
      <c r="I865" s="99"/>
      <c r="J865" s="36"/>
      <c r="K865" s="99"/>
    </row>
    <row r="866" spans="2:13" ht="12.95" customHeight="1" x14ac:dyDescent="0.3">
      <c r="B866" s="73" t="s">
        <v>42</v>
      </c>
      <c r="C866" s="74"/>
      <c r="D866" s="75" t="s">
        <v>28</v>
      </c>
      <c r="E866" s="51">
        <v>226122</v>
      </c>
      <c r="F866" s="36">
        <v>2</v>
      </c>
      <c r="G866" s="3">
        <f t="shared" ref="G866:G870" si="220">TRUNC($E866*F866,1)</f>
        <v>452244</v>
      </c>
      <c r="H866" s="36">
        <v>2</v>
      </c>
      <c r="I866" s="3">
        <f t="shared" ref="I866:I870" si="221">TRUNC($E866*H866,1)</f>
        <v>452244</v>
      </c>
      <c r="J866" s="36">
        <v>2</v>
      </c>
      <c r="K866" s="3">
        <f t="shared" ref="K866:K870" si="222">TRUNC($E866*J866,1)</f>
        <v>452244</v>
      </c>
    </row>
    <row r="867" spans="2:13" ht="12.95" customHeight="1" x14ac:dyDescent="0.3">
      <c r="B867" s="73" t="s">
        <v>8</v>
      </c>
      <c r="C867" s="74"/>
      <c r="D867" s="75" t="s">
        <v>28</v>
      </c>
      <c r="E867" s="51">
        <v>172068</v>
      </c>
      <c r="F867" s="36">
        <v>1</v>
      </c>
      <c r="G867" s="3">
        <f t="shared" si="220"/>
        <v>172068</v>
      </c>
      <c r="H867" s="36">
        <v>1</v>
      </c>
      <c r="I867" s="3">
        <f t="shared" si="221"/>
        <v>172068</v>
      </c>
      <c r="J867" s="36">
        <v>1</v>
      </c>
      <c r="K867" s="3">
        <f t="shared" si="222"/>
        <v>172068</v>
      </c>
    </row>
    <row r="868" spans="2:13" ht="12.95" customHeight="1" x14ac:dyDescent="0.3">
      <c r="B868" s="73" t="s">
        <v>92</v>
      </c>
      <c r="C868" s="74"/>
      <c r="D868" s="75" t="s">
        <v>28</v>
      </c>
      <c r="E868" s="51">
        <v>282536</v>
      </c>
      <c r="F868" s="36">
        <v>1</v>
      </c>
      <c r="G868" s="3">
        <f t="shared" si="220"/>
        <v>282536</v>
      </c>
      <c r="H868" s="36">
        <v>1</v>
      </c>
      <c r="I868" s="3">
        <f t="shared" si="221"/>
        <v>282536</v>
      </c>
      <c r="J868" s="36">
        <v>1</v>
      </c>
      <c r="K868" s="3">
        <f t="shared" si="222"/>
        <v>282536</v>
      </c>
    </row>
    <row r="869" spans="2:13" ht="12.95" customHeight="1" x14ac:dyDescent="0.3">
      <c r="B869" s="89" t="s">
        <v>39</v>
      </c>
      <c r="C869" s="89" t="s">
        <v>40</v>
      </c>
      <c r="D869" s="90" t="s">
        <v>34</v>
      </c>
      <c r="E869" s="31">
        <v>58925</v>
      </c>
      <c r="F869" s="36">
        <v>8</v>
      </c>
      <c r="G869" s="3">
        <f t="shared" si="220"/>
        <v>471400</v>
      </c>
      <c r="H869" s="36">
        <v>8</v>
      </c>
      <c r="I869" s="3">
        <f t="shared" si="221"/>
        <v>471400</v>
      </c>
      <c r="J869" s="36">
        <v>8</v>
      </c>
      <c r="K869" s="3">
        <f t="shared" si="222"/>
        <v>471400</v>
      </c>
    </row>
    <row r="870" spans="2:13" ht="12.95" customHeight="1" x14ac:dyDescent="0.3">
      <c r="B870" s="89" t="s">
        <v>235</v>
      </c>
      <c r="C870" s="89" t="s">
        <v>241</v>
      </c>
      <c r="D870" s="90" t="s">
        <v>34</v>
      </c>
      <c r="E870" s="31">
        <v>49698</v>
      </c>
      <c r="F870" s="36">
        <v>8</v>
      </c>
      <c r="G870" s="3">
        <f t="shared" si="220"/>
        <v>397584</v>
      </c>
      <c r="H870" s="36">
        <v>8</v>
      </c>
      <c r="I870" s="3">
        <f t="shared" si="221"/>
        <v>397584</v>
      </c>
      <c r="J870" s="36">
        <v>8</v>
      </c>
      <c r="K870" s="3">
        <f t="shared" si="222"/>
        <v>397584</v>
      </c>
    </row>
    <row r="871" spans="2:13" ht="12.95" customHeight="1" x14ac:dyDescent="0.3">
      <c r="B871" s="77" t="s">
        <v>30</v>
      </c>
      <c r="C871" s="96"/>
      <c r="D871" s="97"/>
      <c r="E871" s="19"/>
      <c r="F871" s="36"/>
      <c r="G871" s="20">
        <f>TRUNC(SUM(G866:G870))</f>
        <v>1775832</v>
      </c>
      <c r="H871" s="36"/>
      <c r="I871" s="20">
        <f>TRUNC(SUM(I866:I870))</f>
        <v>1775832</v>
      </c>
      <c r="J871" s="36"/>
      <c r="K871" s="20">
        <f>TRUNC(SUM(K866:K870))</f>
        <v>1775832</v>
      </c>
    </row>
    <row r="872" spans="2:13" ht="12.95" customHeight="1" x14ac:dyDescent="0.3">
      <c r="B872" s="79"/>
      <c r="C872" s="79"/>
      <c r="D872" s="90"/>
      <c r="E872" s="98"/>
      <c r="F872" s="36"/>
      <c r="G872" s="99"/>
      <c r="H872" s="36"/>
      <c r="I872" s="99"/>
      <c r="J872" s="36"/>
      <c r="K872" s="99"/>
    </row>
    <row r="873" spans="2:13" ht="12.95" customHeight="1" x14ac:dyDescent="0.3">
      <c r="B873" s="89" t="s">
        <v>39</v>
      </c>
      <c r="C873" s="89" t="s">
        <v>40</v>
      </c>
      <c r="D873" s="90" t="s">
        <v>34</v>
      </c>
      <c r="E873" s="31">
        <v>59751</v>
      </c>
      <c r="F873" s="36">
        <v>8</v>
      </c>
      <c r="G873" s="3">
        <f t="shared" ref="G873:G874" si="223">TRUNC($E873*F873,1)</f>
        <v>478008</v>
      </c>
      <c r="H873" s="36">
        <v>8</v>
      </c>
      <c r="I873" s="3">
        <f t="shared" ref="I873:I874" si="224">TRUNC($E873*H873,1)</f>
        <v>478008</v>
      </c>
      <c r="J873" s="36">
        <v>8</v>
      </c>
      <c r="K873" s="3">
        <f t="shared" ref="K873:K874" si="225">TRUNC($E873*J873,1)</f>
        <v>478008</v>
      </c>
    </row>
    <row r="874" spans="2:13" ht="12.95" customHeight="1" x14ac:dyDescent="0.3">
      <c r="B874" s="89" t="s">
        <v>235</v>
      </c>
      <c r="C874" s="89" t="s">
        <v>241</v>
      </c>
      <c r="D874" s="90" t="s">
        <v>34</v>
      </c>
      <c r="E874" s="31">
        <v>17396</v>
      </c>
      <c r="F874" s="36">
        <v>8</v>
      </c>
      <c r="G874" s="3">
        <f t="shared" si="223"/>
        <v>139168</v>
      </c>
      <c r="H874" s="36">
        <v>8</v>
      </c>
      <c r="I874" s="3">
        <f t="shared" si="224"/>
        <v>139168</v>
      </c>
      <c r="J874" s="36">
        <v>8</v>
      </c>
      <c r="K874" s="3">
        <f t="shared" si="225"/>
        <v>139168</v>
      </c>
    </row>
    <row r="875" spans="2:13" ht="12.95" customHeight="1" x14ac:dyDescent="0.3">
      <c r="B875" s="93" t="s">
        <v>31</v>
      </c>
      <c r="C875" s="96"/>
      <c r="D875" s="104"/>
      <c r="E875" s="19"/>
      <c r="F875" s="138"/>
      <c r="G875" s="20">
        <f>TRUNC(SUM(G873:G874))</f>
        <v>617176</v>
      </c>
      <c r="H875" s="138"/>
      <c r="I875" s="20">
        <f>TRUNC(SUM(I873:I874))</f>
        <v>617176</v>
      </c>
      <c r="J875" s="138"/>
      <c r="K875" s="20">
        <f>TRUNC(SUM(K873:K874))</f>
        <v>617176</v>
      </c>
    </row>
    <row r="876" spans="2:13" ht="12.95" customHeight="1" x14ac:dyDescent="0.3">
      <c r="B876" s="79"/>
      <c r="C876" s="79"/>
      <c r="D876" s="90"/>
      <c r="E876" s="98"/>
      <c r="F876" s="98"/>
      <c r="G876" s="99"/>
      <c r="H876" s="98"/>
      <c r="I876" s="99"/>
      <c r="J876" s="98"/>
      <c r="K876" s="99"/>
    </row>
    <row r="877" spans="2:13" ht="12.95" customHeight="1" x14ac:dyDescent="0.3">
      <c r="B877" s="82" t="s">
        <v>33</v>
      </c>
      <c r="C877" s="79"/>
      <c r="D877" s="90"/>
      <c r="E877" s="152"/>
      <c r="F877" s="153"/>
      <c r="G877" s="53">
        <f>SUM(G864+G871+G875)</f>
        <v>2567125</v>
      </c>
      <c r="H877" s="153"/>
      <c r="I877" s="53">
        <f>SUM(I864+I871+I875)</f>
        <v>2567125</v>
      </c>
      <c r="J877" s="153"/>
      <c r="K877" s="53">
        <f>SUM(K864+K871+K875)</f>
        <v>2567125</v>
      </c>
    </row>
    <row r="878" spans="2:13" ht="12.95" customHeight="1" x14ac:dyDescent="0.3">
      <c r="B878" s="84" t="s">
        <v>325</v>
      </c>
      <c r="C878" s="85"/>
      <c r="D878" s="86"/>
      <c r="E878" s="87"/>
      <c r="F878" s="88"/>
      <c r="G878" s="7">
        <f>TRUNC(G877/G859)</f>
        <v>302014</v>
      </c>
      <c r="H878" s="88"/>
      <c r="I878" s="7">
        <f>TRUNC(I877/I859)</f>
        <v>366732</v>
      </c>
      <c r="J878" s="88"/>
      <c r="K878" s="7">
        <f>TRUNC(K877/K859)</f>
        <v>466750</v>
      </c>
      <c r="L878" s="4"/>
      <c r="M878" s="4"/>
    </row>
    <row r="879" spans="2:13" ht="12.95" customHeight="1" x14ac:dyDescent="0.3">
      <c r="B879" s="176" t="s">
        <v>21</v>
      </c>
      <c r="C879" s="170" t="s">
        <v>25</v>
      </c>
      <c r="D879" s="170" t="s">
        <v>26</v>
      </c>
      <c r="E879" s="170" t="s">
        <v>22</v>
      </c>
      <c r="F879" s="180" t="s">
        <v>329</v>
      </c>
      <c r="G879" s="181"/>
      <c r="H879" s="181"/>
      <c r="I879" s="181"/>
      <c r="J879" s="181"/>
      <c r="K879" s="181"/>
      <c r="L879" s="11"/>
      <c r="M879" s="11"/>
    </row>
    <row r="880" spans="2:13" ht="12.95" customHeight="1" x14ac:dyDescent="0.3">
      <c r="B880" s="177"/>
      <c r="C880" s="179"/>
      <c r="D880" s="179"/>
      <c r="E880" s="179"/>
      <c r="F880" s="185" t="s">
        <v>326</v>
      </c>
      <c r="G880" s="186"/>
      <c r="H880" s="185" t="s">
        <v>327</v>
      </c>
      <c r="I880" s="186"/>
      <c r="J880" s="185" t="s">
        <v>328</v>
      </c>
      <c r="K880" s="186"/>
    </row>
    <row r="881" spans="2:13" ht="12.95" customHeight="1" x14ac:dyDescent="0.3">
      <c r="B881" s="177"/>
      <c r="C881" s="179"/>
      <c r="D881" s="179"/>
      <c r="E881" s="179"/>
      <c r="F881" s="68" t="s">
        <v>324</v>
      </c>
      <c r="G881" s="145">
        <v>6</v>
      </c>
      <c r="H881" s="68" t="s">
        <v>324</v>
      </c>
      <c r="I881" s="145">
        <v>5</v>
      </c>
      <c r="J881" s="68" t="s">
        <v>324</v>
      </c>
      <c r="K881" s="145">
        <v>4</v>
      </c>
    </row>
    <row r="882" spans="2:13" ht="12.95" customHeight="1" x14ac:dyDescent="0.3">
      <c r="B882" s="178"/>
      <c r="C882" s="171"/>
      <c r="D882" s="171"/>
      <c r="E882" s="171"/>
      <c r="F882" s="71" t="s">
        <v>287</v>
      </c>
      <c r="G882" s="72" t="s">
        <v>288</v>
      </c>
      <c r="H882" s="71" t="s">
        <v>287</v>
      </c>
      <c r="I882" s="72" t="s">
        <v>288</v>
      </c>
      <c r="J882" s="71" t="s">
        <v>287</v>
      </c>
      <c r="K882" s="72" t="s">
        <v>288</v>
      </c>
      <c r="L882" s="4"/>
      <c r="M882" s="4"/>
    </row>
    <row r="883" spans="2:13" ht="12.95" customHeight="1" x14ac:dyDescent="0.3">
      <c r="B883" s="89" t="s">
        <v>39</v>
      </c>
      <c r="C883" s="89" t="s">
        <v>40</v>
      </c>
      <c r="D883" s="90" t="s">
        <v>34</v>
      </c>
      <c r="E883" s="31">
        <v>12764</v>
      </c>
      <c r="F883" s="36">
        <v>8</v>
      </c>
      <c r="G883" s="3">
        <f t="shared" ref="G883:G884" si="226">TRUNC($E883*F883,1)</f>
        <v>102112</v>
      </c>
      <c r="H883" s="36">
        <v>8</v>
      </c>
      <c r="I883" s="3">
        <f t="shared" ref="I883:I884" si="227">TRUNC($E883*H883,1)</f>
        <v>102112</v>
      </c>
      <c r="J883" s="36">
        <v>8</v>
      </c>
      <c r="K883" s="3">
        <f t="shared" ref="K883:K884" si="228">TRUNC($E883*J883,1)</f>
        <v>102112</v>
      </c>
    </row>
    <row r="884" spans="2:13" ht="12.95" customHeight="1" x14ac:dyDescent="0.3">
      <c r="B884" s="89" t="s">
        <v>235</v>
      </c>
      <c r="C884" s="89" t="s">
        <v>241</v>
      </c>
      <c r="D884" s="90" t="s">
        <v>34</v>
      </c>
      <c r="E884" s="31">
        <v>5600</v>
      </c>
      <c r="F884" s="36">
        <v>8</v>
      </c>
      <c r="G884" s="3">
        <f t="shared" si="226"/>
        <v>44800</v>
      </c>
      <c r="H884" s="36">
        <v>8</v>
      </c>
      <c r="I884" s="3">
        <f t="shared" si="227"/>
        <v>44800</v>
      </c>
      <c r="J884" s="36">
        <v>8</v>
      </c>
      <c r="K884" s="3">
        <f t="shared" si="228"/>
        <v>44800</v>
      </c>
    </row>
    <row r="885" spans="2:13" ht="12.95" customHeight="1" x14ac:dyDescent="0.3">
      <c r="B885" s="89" t="s">
        <v>27</v>
      </c>
      <c r="C885" s="91" t="s">
        <v>32</v>
      </c>
      <c r="D885" s="90" t="s">
        <v>35</v>
      </c>
      <c r="E885" s="92"/>
      <c r="F885" s="36">
        <v>1</v>
      </c>
      <c r="G885" s="6">
        <f>TRUNC(SUM(G888:G890)*0.03,1)</f>
        <v>27205.4</v>
      </c>
      <c r="H885" s="36">
        <v>1</v>
      </c>
      <c r="I885" s="6">
        <f>TRUNC(SUM(I888:I890)*0.03,1)</f>
        <v>27205.4</v>
      </c>
      <c r="J885" s="36">
        <v>1</v>
      </c>
      <c r="K885" s="6">
        <f>TRUNC(SUM(K888:K890)*0.03,1)</f>
        <v>27205.4</v>
      </c>
    </row>
    <row r="886" spans="2:13" ht="12.95" customHeight="1" x14ac:dyDescent="0.3">
      <c r="B886" s="93" t="s">
        <v>29</v>
      </c>
      <c r="C886" s="96"/>
      <c r="D886" s="97"/>
      <c r="E886" s="138"/>
      <c r="F886" s="36"/>
      <c r="G886" s="20">
        <f>TRUNC(SUM(G883:G885))</f>
        <v>174117</v>
      </c>
      <c r="H886" s="36"/>
      <c r="I886" s="20">
        <f>TRUNC(SUM(I883:I885))</f>
        <v>174117</v>
      </c>
      <c r="J886" s="36"/>
      <c r="K886" s="20">
        <f>TRUNC(SUM(K883:K885))</f>
        <v>174117</v>
      </c>
    </row>
    <row r="887" spans="2:13" ht="12.95" customHeight="1" x14ac:dyDescent="0.3">
      <c r="B887" s="79"/>
      <c r="C887" s="79"/>
      <c r="D887" s="90"/>
      <c r="E887" s="98"/>
      <c r="F887" s="36"/>
      <c r="G887" s="99"/>
      <c r="H887" s="36"/>
      <c r="I887" s="99"/>
      <c r="J887" s="36"/>
      <c r="K887" s="99"/>
    </row>
    <row r="888" spans="2:13" ht="12.95" customHeight="1" x14ac:dyDescent="0.3">
      <c r="B888" s="73" t="s">
        <v>42</v>
      </c>
      <c r="C888" s="74"/>
      <c r="D888" s="75" t="s">
        <v>28</v>
      </c>
      <c r="E888" s="51">
        <v>226122</v>
      </c>
      <c r="F888" s="36">
        <v>2</v>
      </c>
      <c r="G888" s="3">
        <f t="shared" ref="G888:G892" si="229">TRUNC($E888*F888,1)</f>
        <v>452244</v>
      </c>
      <c r="H888" s="36">
        <v>2</v>
      </c>
      <c r="I888" s="3">
        <f t="shared" ref="I888:I892" si="230">TRUNC($E888*H888,1)</f>
        <v>452244</v>
      </c>
      <c r="J888" s="36">
        <v>2</v>
      </c>
      <c r="K888" s="3">
        <f t="shared" ref="K888:K892" si="231">TRUNC($E888*J888,1)</f>
        <v>452244</v>
      </c>
    </row>
    <row r="889" spans="2:13" ht="12.95" customHeight="1" x14ac:dyDescent="0.3">
      <c r="B889" s="73" t="s">
        <v>8</v>
      </c>
      <c r="C889" s="74"/>
      <c r="D889" s="75" t="s">
        <v>28</v>
      </c>
      <c r="E889" s="51">
        <v>172068</v>
      </c>
      <c r="F889" s="36">
        <v>1</v>
      </c>
      <c r="G889" s="3">
        <f t="shared" si="229"/>
        <v>172068</v>
      </c>
      <c r="H889" s="36">
        <v>1</v>
      </c>
      <c r="I889" s="3">
        <f t="shared" si="230"/>
        <v>172068</v>
      </c>
      <c r="J889" s="36">
        <v>1</v>
      </c>
      <c r="K889" s="3">
        <f t="shared" si="231"/>
        <v>172068</v>
      </c>
    </row>
    <row r="890" spans="2:13" ht="12.95" customHeight="1" x14ac:dyDescent="0.3">
      <c r="B890" s="73" t="s">
        <v>92</v>
      </c>
      <c r="C890" s="74"/>
      <c r="D890" s="75" t="s">
        <v>28</v>
      </c>
      <c r="E890" s="51">
        <v>282536</v>
      </c>
      <c r="F890" s="36">
        <v>1</v>
      </c>
      <c r="G890" s="3">
        <f t="shared" si="229"/>
        <v>282536</v>
      </c>
      <c r="H890" s="36">
        <v>1</v>
      </c>
      <c r="I890" s="3">
        <f t="shared" si="230"/>
        <v>282536</v>
      </c>
      <c r="J890" s="36">
        <v>1</v>
      </c>
      <c r="K890" s="3">
        <f t="shared" si="231"/>
        <v>282536</v>
      </c>
    </row>
    <row r="891" spans="2:13" ht="12.95" customHeight="1" x14ac:dyDescent="0.3">
      <c r="B891" s="89" t="s">
        <v>39</v>
      </c>
      <c r="C891" s="89" t="s">
        <v>40</v>
      </c>
      <c r="D891" s="90" t="s">
        <v>34</v>
      </c>
      <c r="E891" s="31">
        <v>58925</v>
      </c>
      <c r="F891" s="36">
        <v>8</v>
      </c>
      <c r="G891" s="3">
        <f t="shared" si="229"/>
        <v>471400</v>
      </c>
      <c r="H891" s="36">
        <v>8</v>
      </c>
      <c r="I891" s="3">
        <f t="shared" si="230"/>
        <v>471400</v>
      </c>
      <c r="J891" s="36">
        <v>8</v>
      </c>
      <c r="K891" s="3">
        <f t="shared" si="231"/>
        <v>471400</v>
      </c>
    </row>
    <row r="892" spans="2:13" ht="12.95" customHeight="1" x14ac:dyDescent="0.3">
      <c r="B892" s="89" t="s">
        <v>235</v>
      </c>
      <c r="C892" s="89" t="s">
        <v>241</v>
      </c>
      <c r="D892" s="90" t="s">
        <v>34</v>
      </c>
      <c r="E892" s="31">
        <v>49698</v>
      </c>
      <c r="F892" s="36">
        <v>8</v>
      </c>
      <c r="G892" s="3">
        <f t="shared" si="229"/>
        <v>397584</v>
      </c>
      <c r="H892" s="36">
        <v>8</v>
      </c>
      <c r="I892" s="3">
        <f t="shared" si="230"/>
        <v>397584</v>
      </c>
      <c r="J892" s="36">
        <v>8</v>
      </c>
      <c r="K892" s="3">
        <f t="shared" si="231"/>
        <v>397584</v>
      </c>
    </row>
    <row r="893" spans="2:13" ht="12.95" customHeight="1" x14ac:dyDescent="0.3">
      <c r="B893" s="77" t="s">
        <v>30</v>
      </c>
      <c r="C893" s="96"/>
      <c r="D893" s="97"/>
      <c r="E893" s="19"/>
      <c r="F893" s="36"/>
      <c r="G893" s="20">
        <f>TRUNC(SUM(G888:G892))</f>
        <v>1775832</v>
      </c>
      <c r="H893" s="36"/>
      <c r="I893" s="20">
        <f>TRUNC(SUM(I888:I892))</f>
        <v>1775832</v>
      </c>
      <c r="J893" s="36"/>
      <c r="K893" s="20">
        <f>TRUNC(SUM(K888:K892))</f>
        <v>1775832</v>
      </c>
    </row>
    <row r="894" spans="2:13" ht="12.95" customHeight="1" x14ac:dyDescent="0.3">
      <c r="B894" s="79"/>
      <c r="C894" s="79"/>
      <c r="D894" s="90"/>
      <c r="E894" s="98"/>
      <c r="F894" s="36"/>
      <c r="G894" s="99"/>
      <c r="H894" s="36"/>
      <c r="I894" s="99"/>
      <c r="J894" s="36"/>
      <c r="K894" s="99"/>
    </row>
    <row r="895" spans="2:13" ht="12.95" customHeight="1" x14ac:dyDescent="0.3">
      <c r="B895" s="89" t="s">
        <v>39</v>
      </c>
      <c r="C895" s="89" t="s">
        <v>40</v>
      </c>
      <c r="D895" s="90" t="s">
        <v>34</v>
      </c>
      <c r="E895" s="31">
        <v>59751</v>
      </c>
      <c r="F895" s="36">
        <v>8</v>
      </c>
      <c r="G895" s="3">
        <f t="shared" ref="G895:G896" si="232">TRUNC($E895*F895,1)</f>
        <v>478008</v>
      </c>
      <c r="H895" s="36">
        <v>8</v>
      </c>
      <c r="I895" s="3">
        <f t="shared" ref="I895:I896" si="233">TRUNC($E895*H895,1)</f>
        <v>478008</v>
      </c>
      <c r="J895" s="36">
        <v>8</v>
      </c>
      <c r="K895" s="3">
        <f t="shared" ref="K895:K896" si="234">TRUNC($E895*J895,1)</f>
        <v>478008</v>
      </c>
    </row>
    <row r="896" spans="2:13" ht="12.95" customHeight="1" x14ac:dyDescent="0.3">
      <c r="B896" s="89" t="s">
        <v>235</v>
      </c>
      <c r="C896" s="89" t="s">
        <v>241</v>
      </c>
      <c r="D896" s="90" t="s">
        <v>34</v>
      </c>
      <c r="E896" s="31">
        <v>17396</v>
      </c>
      <c r="F896" s="36">
        <v>8</v>
      </c>
      <c r="G896" s="3">
        <f t="shared" si="232"/>
        <v>139168</v>
      </c>
      <c r="H896" s="36">
        <v>8</v>
      </c>
      <c r="I896" s="3">
        <f t="shared" si="233"/>
        <v>139168</v>
      </c>
      <c r="J896" s="36">
        <v>8</v>
      </c>
      <c r="K896" s="3">
        <f t="shared" si="234"/>
        <v>139168</v>
      </c>
    </row>
    <row r="897" spans="2:13" ht="12.95" customHeight="1" x14ac:dyDescent="0.3">
      <c r="B897" s="93" t="s">
        <v>31</v>
      </c>
      <c r="C897" s="96"/>
      <c r="D897" s="104"/>
      <c r="E897" s="19"/>
      <c r="F897" s="138"/>
      <c r="G897" s="20">
        <f>TRUNC(SUM(G895:G896))</f>
        <v>617176</v>
      </c>
      <c r="H897" s="138"/>
      <c r="I897" s="20">
        <f>TRUNC(SUM(I895:I896))</f>
        <v>617176</v>
      </c>
      <c r="J897" s="138"/>
      <c r="K897" s="20">
        <f>TRUNC(SUM(K895:K896))</f>
        <v>617176</v>
      </c>
    </row>
    <row r="898" spans="2:13" ht="12.95" customHeight="1" x14ac:dyDescent="0.3">
      <c r="B898" s="79"/>
      <c r="C898" s="79"/>
      <c r="D898" s="90"/>
      <c r="E898" s="98"/>
      <c r="F898" s="98"/>
      <c r="G898" s="99"/>
      <c r="H898" s="98"/>
      <c r="I898" s="99"/>
      <c r="J898" s="98"/>
      <c r="K898" s="99"/>
    </row>
    <row r="899" spans="2:13" ht="12.95" customHeight="1" x14ac:dyDescent="0.3">
      <c r="B899" s="82" t="s">
        <v>33</v>
      </c>
      <c r="C899" s="79"/>
      <c r="D899" s="90"/>
      <c r="E899" s="152"/>
      <c r="F899" s="153"/>
      <c r="G899" s="53">
        <f>SUM(G886+G893+G897)</f>
        <v>2567125</v>
      </c>
      <c r="H899" s="153"/>
      <c r="I899" s="53">
        <f>SUM(I886+I893+I897)</f>
        <v>2567125</v>
      </c>
      <c r="J899" s="153"/>
      <c r="K899" s="53">
        <f>SUM(K886+K893+K897)</f>
        <v>2567125</v>
      </c>
    </row>
    <row r="900" spans="2:13" ht="12.95" customHeight="1" x14ac:dyDescent="0.3">
      <c r="B900" s="84" t="s">
        <v>325</v>
      </c>
      <c r="C900" s="85"/>
      <c r="D900" s="86"/>
      <c r="E900" s="87"/>
      <c r="F900" s="88"/>
      <c r="G900" s="7">
        <f>TRUNC(G899/G881)</f>
        <v>427854</v>
      </c>
      <c r="H900" s="88"/>
      <c r="I900" s="7">
        <f>TRUNC(I899/I881)</f>
        <v>513425</v>
      </c>
      <c r="J900" s="88"/>
      <c r="K900" s="7">
        <f>TRUNC(K899/K881)</f>
        <v>641781</v>
      </c>
      <c r="L900" s="4"/>
      <c r="M900" s="4"/>
    </row>
    <row r="901" spans="2:13" ht="12.95" customHeight="1" x14ac:dyDescent="0.3">
      <c r="B901" s="176" t="s">
        <v>21</v>
      </c>
      <c r="C901" s="170" t="s">
        <v>25</v>
      </c>
      <c r="D901" s="170" t="s">
        <v>26</v>
      </c>
      <c r="E901" s="170" t="s">
        <v>22</v>
      </c>
      <c r="F901" s="180" t="s">
        <v>330</v>
      </c>
      <c r="G901" s="181"/>
      <c r="H901" s="181"/>
      <c r="I901" s="181"/>
      <c r="J901" s="181"/>
      <c r="K901" s="181"/>
      <c r="L901" s="11"/>
      <c r="M901" s="11"/>
    </row>
    <row r="902" spans="2:13" ht="12.95" customHeight="1" x14ac:dyDescent="0.3">
      <c r="B902" s="177"/>
      <c r="C902" s="179"/>
      <c r="D902" s="179"/>
      <c r="E902" s="179"/>
      <c r="F902" s="185" t="s">
        <v>326</v>
      </c>
      <c r="G902" s="186"/>
      <c r="H902" s="185" t="s">
        <v>327</v>
      </c>
      <c r="I902" s="186"/>
      <c r="J902" s="185" t="s">
        <v>328</v>
      </c>
      <c r="K902" s="186"/>
    </row>
    <row r="903" spans="2:13" ht="12.95" customHeight="1" x14ac:dyDescent="0.3">
      <c r="B903" s="177"/>
      <c r="C903" s="179"/>
      <c r="D903" s="179"/>
      <c r="E903" s="179"/>
      <c r="F903" s="68" t="s">
        <v>324</v>
      </c>
      <c r="G903" s="145">
        <v>5</v>
      </c>
      <c r="H903" s="68" t="s">
        <v>324</v>
      </c>
      <c r="I903" s="145">
        <v>4</v>
      </c>
      <c r="J903" s="68" t="s">
        <v>324</v>
      </c>
      <c r="K903" s="145">
        <v>3.5</v>
      </c>
    </row>
    <row r="904" spans="2:13" ht="12.95" customHeight="1" x14ac:dyDescent="0.3">
      <c r="B904" s="178"/>
      <c r="C904" s="171"/>
      <c r="D904" s="171"/>
      <c r="E904" s="171"/>
      <c r="F904" s="71" t="s">
        <v>287</v>
      </c>
      <c r="G904" s="72" t="s">
        <v>288</v>
      </c>
      <c r="H904" s="71" t="s">
        <v>287</v>
      </c>
      <c r="I904" s="72" t="s">
        <v>288</v>
      </c>
      <c r="J904" s="71" t="s">
        <v>287</v>
      </c>
      <c r="K904" s="72" t="s">
        <v>288</v>
      </c>
      <c r="L904" s="4"/>
      <c r="M904" s="4"/>
    </row>
    <row r="905" spans="2:13" ht="12.95" customHeight="1" x14ac:dyDescent="0.3">
      <c r="B905" s="89" t="s">
        <v>39</v>
      </c>
      <c r="C905" s="89" t="s">
        <v>40</v>
      </c>
      <c r="D905" s="90" t="s">
        <v>34</v>
      </c>
      <c r="E905" s="31">
        <v>12764</v>
      </c>
      <c r="F905" s="36">
        <v>8</v>
      </c>
      <c r="G905" s="3">
        <f t="shared" ref="G905:G906" si="235">TRUNC($E905*F905,1)</f>
        <v>102112</v>
      </c>
      <c r="H905" s="36">
        <v>8</v>
      </c>
      <c r="I905" s="3">
        <f t="shared" ref="I905:I906" si="236">TRUNC($E905*H905,1)</f>
        <v>102112</v>
      </c>
      <c r="J905" s="36">
        <v>8</v>
      </c>
      <c r="K905" s="3">
        <f t="shared" ref="K905:K906" si="237">TRUNC($E905*J905,1)</f>
        <v>102112</v>
      </c>
    </row>
    <row r="906" spans="2:13" ht="12.95" customHeight="1" x14ac:dyDescent="0.3">
      <c r="B906" s="89" t="s">
        <v>235</v>
      </c>
      <c r="C906" s="89" t="s">
        <v>241</v>
      </c>
      <c r="D906" s="90" t="s">
        <v>34</v>
      </c>
      <c r="E906" s="31">
        <v>5600</v>
      </c>
      <c r="F906" s="36">
        <v>8</v>
      </c>
      <c r="G906" s="3">
        <f t="shared" si="235"/>
        <v>44800</v>
      </c>
      <c r="H906" s="36">
        <v>8</v>
      </c>
      <c r="I906" s="3">
        <f t="shared" si="236"/>
        <v>44800</v>
      </c>
      <c r="J906" s="36">
        <v>8</v>
      </c>
      <c r="K906" s="3">
        <f t="shared" si="237"/>
        <v>44800</v>
      </c>
    </row>
    <row r="907" spans="2:13" ht="12.95" customHeight="1" x14ac:dyDescent="0.3">
      <c r="B907" s="89" t="s">
        <v>27</v>
      </c>
      <c r="C907" s="91" t="s">
        <v>32</v>
      </c>
      <c r="D907" s="90" t="s">
        <v>35</v>
      </c>
      <c r="E907" s="92"/>
      <c r="F907" s="36">
        <v>1</v>
      </c>
      <c r="G907" s="6">
        <f>TRUNC(SUM(G910:G912)*0.03,1)</f>
        <v>33989.1</v>
      </c>
      <c r="H907" s="36">
        <v>1</v>
      </c>
      <c r="I907" s="6">
        <f>TRUNC(SUM(I910:I912)*0.03,1)</f>
        <v>33989.1</v>
      </c>
      <c r="J907" s="36">
        <v>1</v>
      </c>
      <c r="K907" s="6">
        <f>TRUNC(SUM(K910:K912)*0.03,1)</f>
        <v>33989.1</v>
      </c>
    </row>
    <row r="908" spans="2:13" ht="12.95" customHeight="1" x14ac:dyDescent="0.3">
      <c r="B908" s="93" t="s">
        <v>29</v>
      </c>
      <c r="C908" s="96"/>
      <c r="D908" s="97"/>
      <c r="E908" s="138"/>
      <c r="F908" s="36"/>
      <c r="G908" s="20">
        <f>TRUNC(SUM(G905:G907))</f>
        <v>180901</v>
      </c>
      <c r="H908" s="36"/>
      <c r="I908" s="20">
        <f>TRUNC(SUM(I905:I907))</f>
        <v>180901</v>
      </c>
      <c r="J908" s="36"/>
      <c r="K908" s="20">
        <f>TRUNC(SUM(K905:K907))</f>
        <v>180901</v>
      </c>
    </row>
    <row r="909" spans="2:13" ht="12.95" customHeight="1" x14ac:dyDescent="0.3">
      <c r="B909" s="79"/>
      <c r="C909" s="79"/>
      <c r="D909" s="90"/>
      <c r="E909" s="98"/>
      <c r="F909" s="36"/>
      <c r="G909" s="99"/>
      <c r="H909" s="36"/>
      <c r="I909" s="99"/>
      <c r="J909" s="36"/>
      <c r="K909" s="99"/>
    </row>
    <row r="910" spans="2:13" ht="12.95" customHeight="1" x14ac:dyDescent="0.3">
      <c r="B910" s="73" t="s">
        <v>42</v>
      </c>
      <c r="C910" s="74"/>
      <c r="D910" s="75" t="s">
        <v>28</v>
      </c>
      <c r="E910" s="51">
        <v>226122</v>
      </c>
      <c r="F910" s="36">
        <v>3</v>
      </c>
      <c r="G910" s="3">
        <f t="shared" ref="G910:G914" si="238">TRUNC($E910*F910,1)</f>
        <v>678366</v>
      </c>
      <c r="H910" s="36">
        <v>3</v>
      </c>
      <c r="I910" s="3">
        <f t="shared" ref="I910:I914" si="239">TRUNC($E910*H910,1)</f>
        <v>678366</v>
      </c>
      <c r="J910" s="36">
        <v>3</v>
      </c>
      <c r="K910" s="3">
        <f t="shared" ref="K910:K914" si="240">TRUNC($E910*J910,1)</f>
        <v>678366</v>
      </c>
    </row>
    <row r="911" spans="2:13" ht="12.95" customHeight="1" x14ac:dyDescent="0.3">
      <c r="B911" s="73" t="s">
        <v>8</v>
      </c>
      <c r="C911" s="74"/>
      <c r="D911" s="75" t="s">
        <v>28</v>
      </c>
      <c r="E911" s="51">
        <v>172068</v>
      </c>
      <c r="F911" s="36">
        <v>1</v>
      </c>
      <c r="G911" s="3">
        <f t="shared" si="238"/>
        <v>172068</v>
      </c>
      <c r="H911" s="36">
        <v>1</v>
      </c>
      <c r="I911" s="3">
        <f t="shared" si="239"/>
        <v>172068</v>
      </c>
      <c r="J911" s="36">
        <v>1</v>
      </c>
      <c r="K911" s="3">
        <f t="shared" si="240"/>
        <v>172068</v>
      </c>
    </row>
    <row r="912" spans="2:13" ht="12.95" customHeight="1" x14ac:dyDescent="0.3">
      <c r="B912" s="73" t="s">
        <v>92</v>
      </c>
      <c r="C912" s="74"/>
      <c r="D912" s="75" t="s">
        <v>28</v>
      </c>
      <c r="E912" s="51">
        <v>282536</v>
      </c>
      <c r="F912" s="36">
        <v>1</v>
      </c>
      <c r="G912" s="3">
        <f t="shared" si="238"/>
        <v>282536</v>
      </c>
      <c r="H912" s="36">
        <v>1</v>
      </c>
      <c r="I912" s="3">
        <f t="shared" si="239"/>
        <v>282536</v>
      </c>
      <c r="J912" s="36">
        <v>1</v>
      </c>
      <c r="K912" s="3">
        <f t="shared" si="240"/>
        <v>282536</v>
      </c>
    </row>
    <row r="913" spans="2:13" ht="12.95" customHeight="1" x14ac:dyDescent="0.3">
      <c r="B913" s="89" t="s">
        <v>39</v>
      </c>
      <c r="C913" s="89" t="s">
        <v>40</v>
      </c>
      <c r="D913" s="90" t="s">
        <v>34</v>
      </c>
      <c r="E913" s="31">
        <v>58925</v>
      </c>
      <c r="F913" s="36">
        <v>8</v>
      </c>
      <c r="G913" s="3">
        <f t="shared" si="238"/>
        <v>471400</v>
      </c>
      <c r="H913" s="36">
        <v>8</v>
      </c>
      <c r="I913" s="3">
        <f t="shared" si="239"/>
        <v>471400</v>
      </c>
      <c r="J913" s="36">
        <v>8</v>
      </c>
      <c r="K913" s="3">
        <f t="shared" si="240"/>
        <v>471400</v>
      </c>
    </row>
    <row r="914" spans="2:13" ht="12.95" customHeight="1" x14ac:dyDescent="0.3">
      <c r="B914" s="89" t="s">
        <v>235</v>
      </c>
      <c r="C914" s="89" t="s">
        <v>241</v>
      </c>
      <c r="D914" s="90" t="s">
        <v>34</v>
      </c>
      <c r="E914" s="31">
        <v>49698</v>
      </c>
      <c r="F914" s="36">
        <v>8</v>
      </c>
      <c r="G914" s="3">
        <f t="shared" si="238"/>
        <v>397584</v>
      </c>
      <c r="H914" s="36">
        <v>8</v>
      </c>
      <c r="I914" s="3">
        <f t="shared" si="239"/>
        <v>397584</v>
      </c>
      <c r="J914" s="36">
        <v>8</v>
      </c>
      <c r="K914" s="3">
        <f t="shared" si="240"/>
        <v>397584</v>
      </c>
    </row>
    <row r="915" spans="2:13" ht="12.95" customHeight="1" x14ac:dyDescent="0.3">
      <c r="B915" s="77" t="s">
        <v>30</v>
      </c>
      <c r="C915" s="96"/>
      <c r="D915" s="97"/>
      <c r="E915" s="19"/>
      <c r="F915" s="36"/>
      <c r="G915" s="20">
        <f>TRUNC(SUM(G910:G914))</f>
        <v>2001954</v>
      </c>
      <c r="H915" s="36"/>
      <c r="I915" s="20">
        <f>TRUNC(SUM(I910:I914))</f>
        <v>2001954</v>
      </c>
      <c r="J915" s="36"/>
      <c r="K915" s="20">
        <f>TRUNC(SUM(K910:K914))</f>
        <v>2001954</v>
      </c>
    </row>
    <row r="916" spans="2:13" ht="12.95" customHeight="1" x14ac:dyDescent="0.3">
      <c r="B916" s="79"/>
      <c r="C916" s="79"/>
      <c r="D916" s="90"/>
      <c r="E916" s="98"/>
      <c r="F916" s="36"/>
      <c r="G916" s="99"/>
      <c r="H916" s="36"/>
      <c r="I916" s="99"/>
      <c r="J916" s="36"/>
      <c r="K916" s="99"/>
    </row>
    <row r="917" spans="2:13" ht="12.95" customHeight="1" x14ac:dyDescent="0.3">
      <c r="B917" s="89" t="s">
        <v>39</v>
      </c>
      <c r="C917" s="89" t="s">
        <v>40</v>
      </c>
      <c r="D917" s="90" t="s">
        <v>34</v>
      </c>
      <c r="E917" s="31">
        <v>59751</v>
      </c>
      <c r="F917" s="36">
        <v>8</v>
      </c>
      <c r="G917" s="3">
        <f t="shared" ref="G917:G918" si="241">TRUNC($E917*F917,1)</f>
        <v>478008</v>
      </c>
      <c r="H917" s="36">
        <v>8</v>
      </c>
      <c r="I917" s="3">
        <f t="shared" ref="I917:I918" si="242">TRUNC($E917*H917,1)</f>
        <v>478008</v>
      </c>
      <c r="J917" s="36">
        <v>8</v>
      </c>
      <c r="K917" s="3">
        <f t="shared" ref="K917:K918" si="243">TRUNC($E917*J917,1)</f>
        <v>478008</v>
      </c>
    </row>
    <row r="918" spans="2:13" ht="12.95" customHeight="1" x14ac:dyDescent="0.3">
      <c r="B918" s="89" t="s">
        <v>235</v>
      </c>
      <c r="C918" s="89" t="s">
        <v>241</v>
      </c>
      <c r="D918" s="90" t="s">
        <v>34</v>
      </c>
      <c r="E918" s="31">
        <v>17396</v>
      </c>
      <c r="F918" s="36">
        <v>8</v>
      </c>
      <c r="G918" s="3">
        <f t="shared" si="241"/>
        <v>139168</v>
      </c>
      <c r="H918" s="36">
        <v>8</v>
      </c>
      <c r="I918" s="3">
        <f t="shared" si="242"/>
        <v>139168</v>
      </c>
      <c r="J918" s="36">
        <v>8</v>
      </c>
      <c r="K918" s="3">
        <f t="shared" si="243"/>
        <v>139168</v>
      </c>
    </row>
    <row r="919" spans="2:13" ht="12.95" customHeight="1" x14ac:dyDescent="0.3">
      <c r="B919" s="93" t="s">
        <v>31</v>
      </c>
      <c r="C919" s="96"/>
      <c r="D919" s="104"/>
      <c r="E919" s="19"/>
      <c r="F919" s="138"/>
      <c r="G919" s="20">
        <f>TRUNC(SUM(G917:G918))</f>
        <v>617176</v>
      </c>
      <c r="H919" s="138"/>
      <c r="I919" s="20">
        <f>TRUNC(SUM(I917:I918))</f>
        <v>617176</v>
      </c>
      <c r="J919" s="138"/>
      <c r="K919" s="20">
        <f>TRUNC(SUM(K917:K918))</f>
        <v>617176</v>
      </c>
    </row>
    <row r="920" spans="2:13" ht="12.95" customHeight="1" x14ac:dyDescent="0.3">
      <c r="B920" s="79"/>
      <c r="C920" s="79"/>
      <c r="D920" s="90"/>
      <c r="E920" s="98"/>
      <c r="F920" s="98"/>
      <c r="G920" s="99"/>
      <c r="H920" s="98"/>
      <c r="I920" s="99"/>
      <c r="J920" s="98"/>
      <c r="K920" s="99"/>
    </row>
    <row r="921" spans="2:13" ht="12.95" customHeight="1" x14ac:dyDescent="0.3">
      <c r="B921" s="82" t="s">
        <v>33</v>
      </c>
      <c r="C921" s="79"/>
      <c r="D921" s="90"/>
      <c r="E921" s="152"/>
      <c r="F921" s="153"/>
      <c r="G921" s="53">
        <f>SUM(G908+G915+G919)</f>
        <v>2800031</v>
      </c>
      <c r="H921" s="153"/>
      <c r="I921" s="53">
        <f>SUM(I908+I915+I919)</f>
        <v>2800031</v>
      </c>
      <c r="J921" s="153"/>
      <c r="K921" s="53">
        <f>SUM(K908+K915+K919)</f>
        <v>2800031</v>
      </c>
    </row>
    <row r="922" spans="2:13" ht="12.95" customHeight="1" x14ac:dyDescent="0.3">
      <c r="B922" s="84" t="s">
        <v>325</v>
      </c>
      <c r="C922" s="85"/>
      <c r="D922" s="86"/>
      <c r="E922" s="87"/>
      <c r="F922" s="88"/>
      <c r="G922" s="7">
        <f>TRUNC(G921/G903)</f>
        <v>560006</v>
      </c>
      <c r="H922" s="88"/>
      <c r="I922" s="7">
        <f>TRUNC(I921/I903)</f>
        <v>700007</v>
      </c>
      <c r="J922" s="88"/>
      <c r="K922" s="7">
        <f>TRUNC(K921/K903)</f>
        <v>800008</v>
      </c>
      <c r="L922" s="4"/>
      <c r="M922" s="4"/>
    </row>
    <row r="923" spans="2:13" ht="12.95" customHeight="1" x14ac:dyDescent="0.3">
      <c r="B923" s="176" t="s">
        <v>21</v>
      </c>
      <c r="C923" s="170" t="s">
        <v>25</v>
      </c>
      <c r="D923" s="170" t="s">
        <v>26</v>
      </c>
      <c r="E923" s="170" t="s">
        <v>22</v>
      </c>
      <c r="F923" s="180" t="s">
        <v>331</v>
      </c>
      <c r="G923" s="181"/>
      <c r="H923" s="181"/>
      <c r="I923" s="181"/>
      <c r="J923" s="181"/>
      <c r="K923" s="181"/>
      <c r="L923" s="11"/>
      <c r="M923" s="11"/>
    </row>
    <row r="924" spans="2:13" ht="12.95" customHeight="1" x14ac:dyDescent="0.3">
      <c r="B924" s="177"/>
      <c r="C924" s="179"/>
      <c r="D924" s="179"/>
      <c r="E924" s="179"/>
      <c r="F924" s="185" t="s">
        <v>326</v>
      </c>
      <c r="G924" s="186"/>
      <c r="H924" s="185" t="s">
        <v>327</v>
      </c>
      <c r="I924" s="186"/>
      <c r="J924" s="185" t="s">
        <v>328</v>
      </c>
      <c r="K924" s="186"/>
    </row>
    <row r="925" spans="2:13" ht="12.95" customHeight="1" x14ac:dyDescent="0.3">
      <c r="B925" s="177"/>
      <c r="C925" s="179"/>
      <c r="D925" s="179"/>
      <c r="E925" s="179"/>
      <c r="F925" s="68" t="s">
        <v>324</v>
      </c>
      <c r="G925" s="145">
        <v>4</v>
      </c>
      <c r="H925" s="68" t="s">
        <v>324</v>
      </c>
      <c r="I925" s="145">
        <v>3.5</v>
      </c>
      <c r="J925" s="68" t="s">
        <v>324</v>
      </c>
      <c r="K925" s="145">
        <v>3</v>
      </c>
    </row>
    <row r="926" spans="2:13" ht="12.95" customHeight="1" x14ac:dyDescent="0.3">
      <c r="B926" s="178"/>
      <c r="C926" s="171"/>
      <c r="D926" s="171"/>
      <c r="E926" s="171"/>
      <c r="F926" s="71" t="s">
        <v>287</v>
      </c>
      <c r="G926" s="72" t="s">
        <v>288</v>
      </c>
      <c r="H926" s="71" t="s">
        <v>287</v>
      </c>
      <c r="I926" s="72" t="s">
        <v>288</v>
      </c>
      <c r="J926" s="71" t="s">
        <v>287</v>
      </c>
      <c r="K926" s="72" t="s">
        <v>288</v>
      </c>
      <c r="L926" s="4"/>
      <c r="M926" s="4"/>
    </row>
    <row r="927" spans="2:13" ht="12.95" customHeight="1" x14ac:dyDescent="0.3">
      <c r="B927" s="89" t="s">
        <v>39</v>
      </c>
      <c r="C927" s="89" t="s">
        <v>40</v>
      </c>
      <c r="D927" s="90" t="s">
        <v>34</v>
      </c>
      <c r="E927" s="31">
        <v>12764</v>
      </c>
      <c r="F927" s="36">
        <v>8</v>
      </c>
      <c r="G927" s="3">
        <f t="shared" ref="G927:G928" si="244">TRUNC($E927*F927,1)</f>
        <v>102112</v>
      </c>
      <c r="H927" s="36">
        <v>8</v>
      </c>
      <c r="I927" s="3">
        <f t="shared" ref="I927:I928" si="245">TRUNC($E927*H927,1)</f>
        <v>102112</v>
      </c>
      <c r="J927" s="36">
        <v>8</v>
      </c>
      <c r="K927" s="3">
        <f t="shared" ref="K927:K928" si="246">TRUNC($E927*J927,1)</f>
        <v>102112</v>
      </c>
    </row>
    <row r="928" spans="2:13" ht="12.95" customHeight="1" x14ac:dyDescent="0.3">
      <c r="B928" s="89" t="s">
        <v>235</v>
      </c>
      <c r="C928" s="89" t="s">
        <v>241</v>
      </c>
      <c r="D928" s="90" t="s">
        <v>34</v>
      </c>
      <c r="E928" s="31">
        <v>5600</v>
      </c>
      <c r="F928" s="36">
        <v>8</v>
      </c>
      <c r="G928" s="3">
        <f t="shared" si="244"/>
        <v>44800</v>
      </c>
      <c r="H928" s="36">
        <v>8</v>
      </c>
      <c r="I928" s="3">
        <f t="shared" si="245"/>
        <v>44800</v>
      </c>
      <c r="J928" s="36">
        <v>8</v>
      </c>
      <c r="K928" s="3">
        <f t="shared" si="246"/>
        <v>44800</v>
      </c>
    </row>
    <row r="929" spans="2:13" ht="12.95" customHeight="1" x14ac:dyDescent="0.3">
      <c r="B929" s="89" t="s">
        <v>27</v>
      </c>
      <c r="C929" s="91" t="s">
        <v>32</v>
      </c>
      <c r="D929" s="90" t="s">
        <v>35</v>
      </c>
      <c r="E929" s="92"/>
      <c r="F929" s="36">
        <v>1</v>
      </c>
      <c r="G929" s="6">
        <f>TRUNC(SUM(G932:G934)*0.03,1)</f>
        <v>33989.1</v>
      </c>
      <c r="H929" s="36">
        <v>1</v>
      </c>
      <c r="I929" s="6">
        <f>TRUNC(SUM(I932:I934)*0.03,1)</f>
        <v>33989.1</v>
      </c>
      <c r="J929" s="36">
        <v>1</v>
      </c>
      <c r="K929" s="6">
        <f>TRUNC(SUM(K932:K934)*0.03,1)</f>
        <v>33989.1</v>
      </c>
    </row>
    <row r="930" spans="2:13" ht="12.95" customHeight="1" x14ac:dyDescent="0.3">
      <c r="B930" s="93" t="s">
        <v>29</v>
      </c>
      <c r="C930" s="96"/>
      <c r="D930" s="97"/>
      <c r="E930" s="138"/>
      <c r="F930" s="36"/>
      <c r="G930" s="20">
        <f>TRUNC(SUM(G927:G929))</f>
        <v>180901</v>
      </c>
      <c r="H930" s="36"/>
      <c r="I930" s="20">
        <f>TRUNC(SUM(I927:I929))</f>
        <v>180901</v>
      </c>
      <c r="J930" s="36"/>
      <c r="K930" s="20">
        <f>TRUNC(SUM(K927:K929))</f>
        <v>180901</v>
      </c>
    </row>
    <row r="931" spans="2:13" ht="12.95" customHeight="1" x14ac:dyDescent="0.3">
      <c r="B931" s="79"/>
      <c r="C931" s="79"/>
      <c r="D931" s="90"/>
      <c r="E931" s="98"/>
      <c r="F931" s="36"/>
      <c r="G931" s="99"/>
      <c r="H931" s="36"/>
      <c r="I931" s="99"/>
      <c r="J931" s="36"/>
      <c r="K931" s="99"/>
    </row>
    <row r="932" spans="2:13" ht="12.95" customHeight="1" x14ac:dyDescent="0.3">
      <c r="B932" s="73" t="s">
        <v>42</v>
      </c>
      <c r="C932" s="74"/>
      <c r="D932" s="75" t="s">
        <v>28</v>
      </c>
      <c r="E932" s="51">
        <v>226122</v>
      </c>
      <c r="F932" s="36">
        <v>3</v>
      </c>
      <c r="G932" s="3">
        <f t="shared" ref="G932:G936" si="247">TRUNC($E932*F932,1)</f>
        <v>678366</v>
      </c>
      <c r="H932" s="36">
        <v>3</v>
      </c>
      <c r="I932" s="3">
        <f t="shared" ref="I932:I936" si="248">TRUNC($E932*H932,1)</f>
        <v>678366</v>
      </c>
      <c r="J932" s="36">
        <v>3</v>
      </c>
      <c r="K932" s="3">
        <f t="shared" ref="K932:K936" si="249">TRUNC($E932*J932,1)</f>
        <v>678366</v>
      </c>
    </row>
    <row r="933" spans="2:13" ht="12.95" customHeight="1" x14ac:dyDescent="0.3">
      <c r="B933" s="73" t="s">
        <v>8</v>
      </c>
      <c r="C933" s="74"/>
      <c r="D933" s="75" t="s">
        <v>28</v>
      </c>
      <c r="E933" s="51">
        <v>172068</v>
      </c>
      <c r="F933" s="36">
        <v>1</v>
      </c>
      <c r="G933" s="3">
        <f t="shared" si="247"/>
        <v>172068</v>
      </c>
      <c r="H933" s="36">
        <v>1</v>
      </c>
      <c r="I933" s="3">
        <f t="shared" si="248"/>
        <v>172068</v>
      </c>
      <c r="J933" s="36">
        <v>1</v>
      </c>
      <c r="K933" s="3">
        <f t="shared" si="249"/>
        <v>172068</v>
      </c>
    </row>
    <row r="934" spans="2:13" ht="12.95" customHeight="1" x14ac:dyDescent="0.3">
      <c r="B934" s="73" t="s">
        <v>92</v>
      </c>
      <c r="C934" s="74"/>
      <c r="D934" s="75" t="s">
        <v>28</v>
      </c>
      <c r="E934" s="51">
        <v>282536</v>
      </c>
      <c r="F934" s="36">
        <v>1</v>
      </c>
      <c r="G934" s="3">
        <f t="shared" si="247"/>
        <v>282536</v>
      </c>
      <c r="H934" s="36">
        <v>1</v>
      </c>
      <c r="I934" s="3">
        <f t="shared" si="248"/>
        <v>282536</v>
      </c>
      <c r="J934" s="36">
        <v>1</v>
      </c>
      <c r="K934" s="3">
        <f t="shared" si="249"/>
        <v>282536</v>
      </c>
    </row>
    <row r="935" spans="2:13" ht="12.95" customHeight="1" x14ac:dyDescent="0.3">
      <c r="B935" s="89" t="s">
        <v>39</v>
      </c>
      <c r="C935" s="89" t="s">
        <v>40</v>
      </c>
      <c r="D935" s="90" t="s">
        <v>34</v>
      </c>
      <c r="E935" s="31">
        <v>58925</v>
      </c>
      <c r="F935" s="36">
        <v>8</v>
      </c>
      <c r="G935" s="3">
        <f t="shared" si="247"/>
        <v>471400</v>
      </c>
      <c r="H935" s="36">
        <v>8</v>
      </c>
      <c r="I935" s="3">
        <f t="shared" si="248"/>
        <v>471400</v>
      </c>
      <c r="J935" s="36">
        <v>8</v>
      </c>
      <c r="K935" s="3">
        <f t="shared" si="249"/>
        <v>471400</v>
      </c>
    </row>
    <row r="936" spans="2:13" ht="12.95" customHeight="1" x14ac:dyDescent="0.3">
      <c r="B936" s="89" t="s">
        <v>235</v>
      </c>
      <c r="C936" s="89" t="s">
        <v>241</v>
      </c>
      <c r="D936" s="90" t="s">
        <v>34</v>
      </c>
      <c r="E936" s="31">
        <v>49698</v>
      </c>
      <c r="F936" s="36">
        <v>8</v>
      </c>
      <c r="G936" s="3">
        <f t="shared" si="247"/>
        <v>397584</v>
      </c>
      <c r="H936" s="36">
        <v>8</v>
      </c>
      <c r="I936" s="3">
        <f t="shared" si="248"/>
        <v>397584</v>
      </c>
      <c r="J936" s="36">
        <v>8</v>
      </c>
      <c r="K936" s="3">
        <f t="shared" si="249"/>
        <v>397584</v>
      </c>
    </row>
    <row r="937" spans="2:13" ht="12.95" customHeight="1" x14ac:dyDescent="0.3">
      <c r="B937" s="77" t="s">
        <v>30</v>
      </c>
      <c r="C937" s="96"/>
      <c r="D937" s="97"/>
      <c r="E937" s="19"/>
      <c r="F937" s="36"/>
      <c r="G937" s="20">
        <f>TRUNC(SUM(G932:G936))</f>
        <v>2001954</v>
      </c>
      <c r="H937" s="36"/>
      <c r="I937" s="20">
        <f>TRUNC(SUM(I932:I936))</f>
        <v>2001954</v>
      </c>
      <c r="J937" s="36"/>
      <c r="K937" s="20">
        <f>TRUNC(SUM(K932:K936))</f>
        <v>2001954</v>
      </c>
    </row>
    <row r="938" spans="2:13" ht="12.95" customHeight="1" x14ac:dyDescent="0.3">
      <c r="B938" s="79"/>
      <c r="C938" s="79"/>
      <c r="D938" s="90"/>
      <c r="E938" s="98"/>
      <c r="F938" s="36"/>
      <c r="G938" s="99"/>
      <c r="H938" s="36"/>
      <c r="I938" s="99"/>
      <c r="J938" s="36"/>
      <c r="K938" s="99"/>
    </row>
    <row r="939" spans="2:13" ht="12.95" customHeight="1" x14ac:dyDescent="0.3">
      <c r="B939" s="89" t="s">
        <v>39</v>
      </c>
      <c r="C939" s="89" t="s">
        <v>40</v>
      </c>
      <c r="D939" s="90" t="s">
        <v>34</v>
      </c>
      <c r="E939" s="31">
        <v>59751</v>
      </c>
      <c r="F939" s="36">
        <v>8</v>
      </c>
      <c r="G939" s="3">
        <f t="shared" ref="G939:G940" si="250">TRUNC($E939*F939,1)</f>
        <v>478008</v>
      </c>
      <c r="H939" s="36">
        <v>8</v>
      </c>
      <c r="I939" s="3">
        <f t="shared" ref="I939:I940" si="251">TRUNC($E939*H939,1)</f>
        <v>478008</v>
      </c>
      <c r="J939" s="36">
        <v>8</v>
      </c>
      <c r="K939" s="3">
        <f t="shared" ref="K939:K940" si="252">TRUNC($E939*J939,1)</f>
        <v>478008</v>
      </c>
    </row>
    <row r="940" spans="2:13" ht="12.95" customHeight="1" x14ac:dyDescent="0.3">
      <c r="B940" s="89" t="s">
        <v>235</v>
      </c>
      <c r="C940" s="89" t="s">
        <v>241</v>
      </c>
      <c r="D940" s="90" t="s">
        <v>34</v>
      </c>
      <c r="E940" s="31">
        <v>17396</v>
      </c>
      <c r="F940" s="36">
        <v>8</v>
      </c>
      <c r="G940" s="3">
        <f t="shared" si="250"/>
        <v>139168</v>
      </c>
      <c r="H940" s="36">
        <v>8</v>
      </c>
      <c r="I940" s="3">
        <f t="shared" si="251"/>
        <v>139168</v>
      </c>
      <c r="J940" s="36">
        <v>8</v>
      </c>
      <c r="K940" s="3">
        <f t="shared" si="252"/>
        <v>139168</v>
      </c>
    </row>
    <row r="941" spans="2:13" ht="12.95" customHeight="1" x14ac:dyDescent="0.3">
      <c r="B941" s="93" t="s">
        <v>31</v>
      </c>
      <c r="C941" s="96"/>
      <c r="D941" s="104"/>
      <c r="E941" s="19"/>
      <c r="F941" s="138"/>
      <c r="G941" s="20">
        <f>TRUNC(SUM(G939:G940))</f>
        <v>617176</v>
      </c>
      <c r="H941" s="138"/>
      <c r="I941" s="20">
        <f>TRUNC(SUM(I939:I940))</f>
        <v>617176</v>
      </c>
      <c r="J941" s="138"/>
      <c r="K941" s="20">
        <f>TRUNC(SUM(K939:K940))</f>
        <v>617176</v>
      </c>
    </row>
    <row r="942" spans="2:13" ht="12.95" customHeight="1" x14ac:dyDescent="0.3">
      <c r="B942" s="79"/>
      <c r="C942" s="79"/>
      <c r="D942" s="90"/>
      <c r="E942" s="98"/>
      <c r="F942" s="98"/>
      <c r="G942" s="99"/>
      <c r="H942" s="98"/>
      <c r="I942" s="99"/>
      <c r="J942" s="98"/>
      <c r="K942" s="99"/>
    </row>
    <row r="943" spans="2:13" ht="12.95" customHeight="1" x14ac:dyDescent="0.3">
      <c r="B943" s="82" t="s">
        <v>33</v>
      </c>
      <c r="C943" s="79"/>
      <c r="D943" s="90"/>
      <c r="E943" s="152"/>
      <c r="F943" s="153"/>
      <c r="G943" s="53">
        <f>SUM(G930+G937+G941)</f>
        <v>2800031</v>
      </c>
      <c r="H943" s="153"/>
      <c r="I943" s="53">
        <f>SUM(I930+I937+I941)</f>
        <v>2800031</v>
      </c>
      <c r="J943" s="153"/>
      <c r="K943" s="53">
        <f>SUM(K930+K937+K941)</f>
        <v>2800031</v>
      </c>
    </row>
    <row r="944" spans="2:13" ht="12.95" customHeight="1" x14ac:dyDescent="0.3">
      <c r="B944" s="84" t="s">
        <v>325</v>
      </c>
      <c r="C944" s="85"/>
      <c r="D944" s="86"/>
      <c r="E944" s="87"/>
      <c r="F944" s="88"/>
      <c r="G944" s="7">
        <f>TRUNC(G943/G925)</f>
        <v>700007</v>
      </c>
      <c r="H944" s="88"/>
      <c r="I944" s="7">
        <f>TRUNC(I943/I925)</f>
        <v>800008</v>
      </c>
      <c r="J944" s="88"/>
      <c r="K944" s="7">
        <f>TRUNC(K943/K925)</f>
        <v>933343</v>
      </c>
      <c r="L944" s="4"/>
      <c r="M944" s="4"/>
    </row>
    <row r="945" spans="2:13" ht="12.95" customHeight="1" x14ac:dyDescent="0.3">
      <c r="B945" s="176" t="s">
        <v>21</v>
      </c>
      <c r="C945" s="170" t="s">
        <v>25</v>
      </c>
      <c r="D945" s="170" t="s">
        <v>26</v>
      </c>
      <c r="E945" s="170" t="s">
        <v>22</v>
      </c>
      <c r="F945" s="180" t="s">
        <v>332</v>
      </c>
      <c r="G945" s="181"/>
      <c r="H945" s="181"/>
      <c r="I945" s="181"/>
      <c r="J945" s="181"/>
      <c r="K945" s="181"/>
      <c r="L945" s="11"/>
      <c r="M945" s="11"/>
    </row>
    <row r="946" spans="2:13" ht="12.95" customHeight="1" x14ac:dyDescent="0.3">
      <c r="B946" s="177"/>
      <c r="C946" s="179"/>
      <c r="D946" s="179"/>
      <c r="E946" s="179"/>
      <c r="F946" s="185" t="s">
        <v>326</v>
      </c>
      <c r="G946" s="186"/>
      <c r="H946" s="185" t="s">
        <v>327</v>
      </c>
      <c r="I946" s="186"/>
      <c r="J946" s="185" t="s">
        <v>328</v>
      </c>
      <c r="K946" s="186"/>
    </row>
    <row r="947" spans="2:13" ht="12.95" customHeight="1" x14ac:dyDescent="0.3">
      <c r="B947" s="177"/>
      <c r="C947" s="179"/>
      <c r="D947" s="179"/>
      <c r="E947" s="179"/>
      <c r="F947" s="68" t="s">
        <v>324</v>
      </c>
      <c r="G947" s="145">
        <v>3.5</v>
      </c>
      <c r="H947" s="68" t="s">
        <v>324</v>
      </c>
      <c r="I947" s="145">
        <v>3</v>
      </c>
      <c r="J947" s="68" t="s">
        <v>324</v>
      </c>
      <c r="K947" s="145">
        <v>2.5</v>
      </c>
    </row>
    <row r="948" spans="2:13" ht="12.95" customHeight="1" x14ac:dyDescent="0.3">
      <c r="B948" s="178"/>
      <c r="C948" s="171"/>
      <c r="D948" s="171"/>
      <c r="E948" s="171"/>
      <c r="F948" s="71" t="s">
        <v>287</v>
      </c>
      <c r="G948" s="72" t="s">
        <v>288</v>
      </c>
      <c r="H948" s="71" t="s">
        <v>287</v>
      </c>
      <c r="I948" s="72" t="s">
        <v>288</v>
      </c>
      <c r="J948" s="71" t="s">
        <v>287</v>
      </c>
      <c r="K948" s="72" t="s">
        <v>288</v>
      </c>
      <c r="L948" s="4"/>
      <c r="M948" s="4"/>
    </row>
    <row r="949" spans="2:13" ht="12.95" customHeight="1" x14ac:dyDescent="0.3">
      <c r="B949" s="89" t="s">
        <v>39</v>
      </c>
      <c r="C949" s="89" t="s">
        <v>40</v>
      </c>
      <c r="D949" s="90" t="s">
        <v>34</v>
      </c>
      <c r="E949" s="31">
        <v>12764</v>
      </c>
      <c r="F949" s="36">
        <v>8</v>
      </c>
      <c r="G949" s="3">
        <f t="shared" ref="G949:G950" si="253">TRUNC($E949*F949,1)</f>
        <v>102112</v>
      </c>
      <c r="H949" s="36">
        <v>8</v>
      </c>
      <c r="I949" s="3">
        <f t="shared" ref="I949:I950" si="254">TRUNC($E949*H949,1)</f>
        <v>102112</v>
      </c>
      <c r="J949" s="36">
        <v>8</v>
      </c>
      <c r="K949" s="3">
        <f t="shared" ref="K949:K950" si="255">TRUNC($E949*J949,1)</f>
        <v>102112</v>
      </c>
    </row>
    <row r="950" spans="2:13" ht="12.95" customHeight="1" x14ac:dyDescent="0.3">
      <c r="B950" s="89" t="s">
        <v>235</v>
      </c>
      <c r="C950" s="89" t="s">
        <v>241</v>
      </c>
      <c r="D950" s="90" t="s">
        <v>34</v>
      </c>
      <c r="E950" s="31">
        <v>5600</v>
      </c>
      <c r="F950" s="36">
        <v>8</v>
      </c>
      <c r="G950" s="3">
        <f t="shared" si="253"/>
        <v>44800</v>
      </c>
      <c r="H950" s="36">
        <v>8</v>
      </c>
      <c r="I950" s="3">
        <f t="shared" si="254"/>
        <v>44800</v>
      </c>
      <c r="J950" s="36">
        <v>8</v>
      </c>
      <c r="K950" s="3">
        <f t="shared" si="255"/>
        <v>44800</v>
      </c>
    </row>
    <row r="951" spans="2:13" ht="12.95" customHeight="1" x14ac:dyDescent="0.3">
      <c r="B951" s="89" t="s">
        <v>27</v>
      </c>
      <c r="C951" s="91" t="s">
        <v>32</v>
      </c>
      <c r="D951" s="90" t="s">
        <v>35</v>
      </c>
      <c r="E951" s="92"/>
      <c r="F951" s="36">
        <v>1</v>
      </c>
      <c r="G951" s="6">
        <f>TRUNC(SUM(G954:G956)*0.03,1)</f>
        <v>40772.699999999997</v>
      </c>
      <c r="H951" s="36">
        <v>1</v>
      </c>
      <c r="I951" s="6">
        <f>TRUNC(SUM(I954:I956)*0.03,1)</f>
        <v>40772.699999999997</v>
      </c>
      <c r="J951" s="36">
        <v>1</v>
      </c>
      <c r="K951" s="6">
        <f>TRUNC(SUM(K954:K956)*0.03,1)</f>
        <v>40772.699999999997</v>
      </c>
    </row>
    <row r="952" spans="2:13" ht="12.95" customHeight="1" x14ac:dyDescent="0.3">
      <c r="B952" s="93" t="s">
        <v>29</v>
      </c>
      <c r="C952" s="96"/>
      <c r="D952" s="97"/>
      <c r="E952" s="138"/>
      <c r="F952" s="36"/>
      <c r="G952" s="20">
        <f>TRUNC(SUM(G949:G951))</f>
        <v>187684</v>
      </c>
      <c r="H952" s="36"/>
      <c r="I952" s="20">
        <f>TRUNC(SUM(I949:I951))</f>
        <v>187684</v>
      </c>
      <c r="J952" s="36"/>
      <c r="K952" s="20">
        <f>TRUNC(SUM(K949:K951))</f>
        <v>187684</v>
      </c>
    </row>
    <row r="953" spans="2:13" ht="12.95" customHeight="1" x14ac:dyDescent="0.3">
      <c r="B953" s="79"/>
      <c r="C953" s="79"/>
      <c r="D953" s="90"/>
      <c r="E953" s="98"/>
      <c r="F953" s="36"/>
      <c r="G953" s="99"/>
      <c r="H953" s="36"/>
      <c r="I953" s="99"/>
      <c r="J953" s="36"/>
      <c r="K953" s="99"/>
    </row>
    <row r="954" spans="2:13" ht="12.95" customHeight="1" x14ac:dyDescent="0.3">
      <c r="B954" s="73" t="s">
        <v>42</v>
      </c>
      <c r="C954" s="74"/>
      <c r="D954" s="75" t="s">
        <v>28</v>
      </c>
      <c r="E954" s="51">
        <v>226122</v>
      </c>
      <c r="F954" s="36">
        <v>4</v>
      </c>
      <c r="G954" s="3">
        <f t="shared" ref="G954:G958" si="256">TRUNC($E954*F954,1)</f>
        <v>904488</v>
      </c>
      <c r="H954" s="36">
        <v>4</v>
      </c>
      <c r="I954" s="3">
        <f t="shared" ref="I954:I958" si="257">TRUNC($E954*H954,1)</f>
        <v>904488</v>
      </c>
      <c r="J954" s="36">
        <v>4</v>
      </c>
      <c r="K954" s="3">
        <f t="shared" ref="K954:K958" si="258">TRUNC($E954*J954,1)</f>
        <v>904488</v>
      </c>
    </row>
    <row r="955" spans="2:13" ht="12.95" customHeight="1" x14ac:dyDescent="0.3">
      <c r="B955" s="73" t="s">
        <v>8</v>
      </c>
      <c r="C955" s="74"/>
      <c r="D955" s="75" t="s">
        <v>28</v>
      </c>
      <c r="E955" s="51">
        <v>172068</v>
      </c>
      <c r="F955" s="36">
        <v>1</v>
      </c>
      <c r="G955" s="3">
        <f t="shared" si="256"/>
        <v>172068</v>
      </c>
      <c r="H955" s="36">
        <v>1</v>
      </c>
      <c r="I955" s="3">
        <f t="shared" si="257"/>
        <v>172068</v>
      </c>
      <c r="J955" s="36">
        <v>1</v>
      </c>
      <c r="K955" s="3">
        <f t="shared" si="258"/>
        <v>172068</v>
      </c>
    </row>
    <row r="956" spans="2:13" ht="12.95" customHeight="1" x14ac:dyDescent="0.3">
      <c r="B956" s="73" t="s">
        <v>92</v>
      </c>
      <c r="C956" s="74"/>
      <c r="D956" s="75" t="s">
        <v>28</v>
      </c>
      <c r="E956" s="51">
        <v>282536</v>
      </c>
      <c r="F956" s="36">
        <v>1</v>
      </c>
      <c r="G956" s="3">
        <f t="shared" si="256"/>
        <v>282536</v>
      </c>
      <c r="H956" s="36">
        <v>1</v>
      </c>
      <c r="I956" s="3">
        <f t="shared" si="257"/>
        <v>282536</v>
      </c>
      <c r="J956" s="36">
        <v>1</v>
      </c>
      <c r="K956" s="3">
        <f t="shared" si="258"/>
        <v>282536</v>
      </c>
    </row>
    <row r="957" spans="2:13" ht="12.95" customHeight="1" x14ac:dyDescent="0.3">
      <c r="B957" s="89" t="s">
        <v>39</v>
      </c>
      <c r="C957" s="89" t="s">
        <v>40</v>
      </c>
      <c r="D957" s="90" t="s">
        <v>34</v>
      </c>
      <c r="E957" s="31">
        <v>58925</v>
      </c>
      <c r="F957" s="36">
        <v>8</v>
      </c>
      <c r="G957" s="3">
        <f t="shared" si="256"/>
        <v>471400</v>
      </c>
      <c r="H957" s="36">
        <v>8</v>
      </c>
      <c r="I957" s="3">
        <f t="shared" si="257"/>
        <v>471400</v>
      </c>
      <c r="J957" s="36">
        <v>8</v>
      </c>
      <c r="K957" s="3">
        <f t="shared" si="258"/>
        <v>471400</v>
      </c>
    </row>
    <row r="958" spans="2:13" ht="12.95" customHeight="1" x14ac:dyDescent="0.3">
      <c r="B958" s="89" t="s">
        <v>235</v>
      </c>
      <c r="C958" s="89" t="s">
        <v>241</v>
      </c>
      <c r="D958" s="90" t="s">
        <v>34</v>
      </c>
      <c r="E958" s="31">
        <v>49698</v>
      </c>
      <c r="F958" s="36">
        <v>8</v>
      </c>
      <c r="G958" s="3">
        <f t="shared" si="256"/>
        <v>397584</v>
      </c>
      <c r="H958" s="36">
        <v>8</v>
      </c>
      <c r="I958" s="3">
        <f t="shared" si="257"/>
        <v>397584</v>
      </c>
      <c r="J958" s="36">
        <v>8</v>
      </c>
      <c r="K958" s="3">
        <f t="shared" si="258"/>
        <v>397584</v>
      </c>
    </row>
    <row r="959" spans="2:13" ht="12.95" customHeight="1" x14ac:dyDescent="0.3">
      <c r="B959" s="77" t="s">
        <v>30</v>
      </c>
      <c r="C959" s="96"/>
      <c r="D959" s="97"/>
      <c r="E959" s="19"/>
      <c r="F959" s="36"/>
      <c r="G959" s="20">
        <f>TRUNC(SUM(G954:G958))</f>
        <v>2228076</v>
      </c>
      <c r="H959" s="36"/>
      <c r="I959" s="20">
        <f>TRUNC(SUM(I954:I958))</f>
        <v>2228076</v>
      </c>
      <c r="J959" s="36"/>
      <c r="K959" s="20">
        <f>TRUNC(SUM(K954:K958))</f>
        <v>2228076</v>
      </c>
    </row>
    <row r="960" spans="2:13" ht="12.95" customHeight="1" x14ac:dyDescent="0.3">
      <c r="B960" s="79"/>
      <c r="C960" s="79"/>
      <c r="D960" s="90"/>
      <c r="E960" s="98"/>
      <c r="F960" s="36"/>
      <c r="G960" s="99"/>
      <c r="H960" s="36"/>
      <c r="I960" s="99"/>
      <c r="J960" s="36"/>
      <c r="K960" s="99"/>
    </row>
    <row r="961" spans="2:13" ht="12.95" customHeight="1" x14ac:dyDescent="0.3">
      <c r="B961" s="89" t="s">
        <v>39</v>
      </c>
      <c r="C961" s="89" t="s">
        <v>40</v>
      </c>
      <c r="D961" s="90" t="s">
        <v>34</v>
      </c>
      <c r="E961" s="31">
        <v>59751</v>
      </c>
      <c r="F961" s="36">
        <v>8</v>
      </c>
      <c r="G961" s="3">
        <f t="shared" ref="G961:G962" si="259">TRUNC($E961*F961,1)</f>
        <v>478008</v>
      </c>
      <c r="H961" s="36">
        <v>8</v>
      </c>
      <c r="I961" s="3">
        <f t="shared" ref="I961:I962" si="260">TRUNC($E961*H961,1)</f>
        <v>478008</v>
      </c>
      <c r="J961" s="36">
        <v>8</v>
      </c>
      <c r="K961" s="3">
        <f t="shared" ref="K961:K962" si="261">TRUNC($E961*J961,1)</f>
        <v>478008</v>
      </c>
    </row>
    <row r="962" spans="2:13" ht="12.95" customHeight="1" x14ac:dyDescent="0.3">
      <c r="B962" s="89" t="s">
        <v>235</v>
      </c>
      <c r="C962" s="89" t="s">
        <v>241</v>
      </c>
      <c r="D962" s="90" t="s">
        <v>34</v>
      </c>
      <c r="E962" s="31">
        <v>17396</v>
      </c>
      <c r="F962" s="36">
        <v>8</v>
      </c>
      <c r="G962" s="3">
        <f t="shared" si="259"/>
        <v>139168</v>
      </c>
      <c r="H962" s="36">
        <v>8</v>
      </c>
      <c r="I962" s="3">
        <f t="shared" si="260"/>
        <v>139168</v>
      </c>
      <c r="J962" s="36">
        <v>8</v>
      </c>
      <c r="K962" s="3">
        <f t="shared" si="261"/>
        <v>139168</v>
      </c>
    </row>
    <row r="963" spans="2:13" ht="12.95" customHeight="1" x14ac:dyDescent="0.3">
      <c r="B963" s="93" t="s">
        <v>31</v>
      </c>
      <c r="C963" s="96"/>
      <c r="D963" s="104"/>
      <c r="E963" s="19"/>
      <c r="F963" s="138"/>
      <c r="G963" s="20">
        <f>TRUNC(SUM(G961:G962))</f>
        <v>617176</v>
      </c>
      <c r="H963" s="138"/>
      <c r="I963" s="20">
        <f>TRUNC(SUM(I961:I962))</f>
        <v>617176</v>
      </c>
      <c r="J963" s="138"/>
      <c r="K963" s="20">
        <f>TRUNC(SUM(K961:K962))</f>
        <v>617176</v>
      </c>
    </row>
    <row r="964" spans="2:13" ht="12.95" customHeight="1" x14ac:dyDescent="0.3">
      <c r="B964" s="79"/>
      <c r="C964" s="79"/>
      <c r="D964" s="90"/>
      <c r="E964" s="98"/>
      <c r="F964" s="98"/>
      <c r="G964" s="99"/>
      <c r="H964" s="98"/>
      <c r="I964" s="99"/>
      <c r="J964" s="98"/>
      <c r="K964" s="99"/>
    </row>
    <row r="965" spans="2:13" ht="12.95" customHeight="1" x14ac:dyDescent="0.3">
      <c r="B965" s="82" t="s">
        <v>33</v>
      </c>
      <c r="C965" s="79"/>
      <c r="D965" s="90"/>
      <c r="E965" s="152"/>
      <c r="F965" s="153"/>
      <c r="G965" s="53">
        <f>SUM(G952+G959+G963)</f>
        <v>3032936</v>
      </c>
      <c r="H965" s="153"/>
      <c r="I965" s="53">
        <f>SUM(I952+I959+I963)</f>
        <v>3032936</v>
      </c>
      <c r="J965" s="153"/>
      <c r="K965" s="53">
        <f>SUM(K952+K959+K963)</f>
        <v>3032936</v>
      </c>
    </row>
    <row r="966" spans="2:13" ht="12.95" customHeight="1" x14ac:dyDescent="0.3">
      <c r="B966" s="84" t="s">
        <v>325</v>
      </c>
      <c r="C966" s="85"/>
      <c r="D966" s="86"/>
      <c r="E966" s="87"/>
      <c r="F966" s="88"/>
      <c r="G966" s="7">
        <f>TRUNC(G965/G947)</f>
        <v>866553</v>
      </c>
      <c r="H966" s="88"/>
      <c r="I966" s="7">
        <f>TRUNC(I965/I947)</f>
        <v>1010978</v>
      </c>
      <c r="J966" s="88"/>
      <c r="K966" s="7">
        <f>TRUNC(K965/K947)</f>
        <v>1213174</v>
      </c>
      <c r="L966" s="4"/>
      <c r="M966" s="4"/>
    </row>
    <row r="967" spans="2:13" ht="12.95" customHeight="1" x14ac:dyDescent="0.3">
      <c r="B967" s="176" t="s">
        <v>21</v>
      </c>
      <c r="C967" s="170" t="s">
        <v>25</v>
      </c>
      <c r="D967" s="170" t="s">
        <v>26</v>
      </c>
      <c r="E967" s="170" t="s">
        <v>22</v>
      </c>
      <c r="F967" s="180" t="s">
        <v>333</v>
      </c>
      <c r="G967" s="181"/>
      <c r="H967" s="181"/>
      <c r="I967" s="181"/>
      <c r="J967" s="181"/>
      <c r="K967" s="181"/>
      <c r="L967" s="11"/>
      <c r="M967" s="11"/>
    </row>
    <row r="968" spans="2:13" ht="12.95" customHeight="1" x14ac:dyDescent="0.3">
      <c r="B968" s="177"/>
      <c r="C968" s="179"/>
      <c r="D968" s="179"/>
      <c r="E968" s="179"/>
      <c r="F968" s="185" t="s">
        <v>326</v>
      </c>
      <c r="G968" s="186"/>
      <c r="H968" s="185" t="s">
        <v>327</v>
      </c>
      <c r="I968" s="186"/>
      <c r="J968" s="185" t="s">
        <v>328</v>
      </c>
      <c r="K968" s="186"/>
    </row>
    <row r="969" spans="2:13" ht="12.95" customHeight="1" x14ac:dyDescent="0.3">
      <c r="B969" s="177"/>
      <c r="C969" s="179"/>
      <c r="D969" s="179"/>
      <c r="E969" s="179"/>
      <c r="F969" s="68" t="s">
        <v>324</v>
      </c>
      <c r="G969" s="145">
        <v>3</v>
      </c>
      <c r="H969" s="68" t="s">
        <v>324</v>
      </c>
      <c r="I969" s="145">
        <v>2.5</v>
      </c>
      <c r="J969" s="68" t="s">
        <v>324</v>
      </c>
      <c r="K969" s="145">
        <v>2</v>
      </c>
    </row>
    <row r="970" spans="2:13" ht="12.95" customHeight="1" x14ac:dyDescent="0.3">
      <c r="B970" s="178"/>
      <c r="C970" s="171"/>
      <c r="D970" s="171"/>
      <c r="E970" s="171"/>
      <c r="F970" s="71" t="s">
        <v>287</v>
      </c>
      <c r="G970" s="72" t="s">
        <v>288</v>
      </c>
      <c r="H970" s="71" t="s">
        <v>287</v>
      </c>
      <c r="I970" s="72" t="s">
        <v>288</v>
      </c>
      <c r="J970" s="71" t="s">
        <v>287</v>
      </c>
      <c r="K970" s="72" t="s">
        <v>288</v>
      </c>
      <c r="L970" s="4"/>
      <c r="M970" s="4"/>
    </row>
    <row r="971" spans="2:13" ht="12.95" customHeight="1" x14ac:dyDescent="0.3">
      <c r="B971" s="89" t="s">
        <v>39</v>
      </c>
      <c r="C971" s="89" t="s">
        <v>40</v>
      </c>
      <c r="D971" s="90" t="s">
        <v>34</v>
      </c>
      <c r="E971" s="31">
        <v>12764</v>
      </c>
      <c r="F971" s="36">
        <v>8</v>
      </c>
      <c r="G971" s="3">
        <f t="shared" ref="G971:G972" si="262">TRUNC($E971*F971,1)</f>
        <v>102112</v>
      </c>
      <c r="H971" s="36">
        <v>8</v>
      </c>
      <c r="I971" s="3">
        <f t="shared" ref="I971:I972" si="263">TRUNC($E971*H971,1)</f>
        <v>102112</v>
      </c>
      <c r="J971" s="36">
        <v>8</v>
      </c>
      <c r="K971" s="3">
        <f t="shared" ref="K971:K972" si="264">TRUNC($E971*J971,1)</f>
        <v>102112</v>
      </c>
    </row>
    <row r="972" spans="2:13" ht="12.95" customHeight="1" x14ac:dyDescent="0.3">
      <c r="B972" s="89" t="s">
        <v>235</v>
      </c>
      <c r="C972" s="89" t="s">
        <v>241</v>
      </c>
      <c r="D972" s="90" t="s">
        <v>34</v>
      </c>
      <c r="E972" s="31">
        <v>5600</v>
      </c>
      <c r="F972" s="36">
        <v>8</v>
      </c>
      <c r="G972" s="3">
        <f t="shared" si="262"/>
        <v>44800</v>
      </c>
      <c r="H972" s="36">
        <v>8</v>
      </c>
      <c r="I972" s="3">
        <f t="shared" si="263"/>
        <v>44800</v>
      </c>
      <c r="J972" s="36">
        <v>8</v>
      </c>
      <c r="K972" s="3">
        <f t="shared" si="264"/>
        <v>44800</v>
      </c>
    </row>
    <row r="973" spans="2:13" ht="12.95" customHeight="1" x14ac:dyDescent="0.3">
      <c r="B973" s="89" t="s">
        <v>27</v>
      </c>
      <c r="C973" s="91" t="s">
        <v>32</v>
      </c>
      <c r="D973" s="90" t="s">
        <v>35</v>
      </c>
      <c r="E973" s="92"/>
      <c r="F973" s="36">
        <v>1</v>
      </c>
      <c r="G973" s="6">
        <f>TRUNC(SUM(G976:G978)*0.03,1)</f>
        <v>40772.699999999997</v>
      </c>
      <c r="H973" s="36">
        <v>1</v>
      </c>
      <c r="I973" s="6">
        <f>TRUNC(SUM(I976:I978)*0.03,1)</f>
        <v>40772.699999999997</v>
      </c>
      <c r="J973" s="36">
        <v>1</v>
      </c>
      <c r="K973" s="6">
        <f>TRUNC(SUM(K976:K978)*0.03,1)</f>
        <v>40772.699999999997</v>
      </c>
    </row>
    <row r="974" spans="2:13" ht="12.95" customHeight="1" x14ac:dyDescent="0.3">
      <c r="B974" s="93" t="s">
        <v>29</v>
      </c>
      <c r="C974" s="96"/>
      <c r="D974" s="97"/>
      <c r="E974" s="138"/>
      <c r="F974" s="36"/>
      <c r="G974" s="20">
        <f>TRUNC(SUM(G971:G973))</f>
        <v>187684</v>
      </c>
      <c r="H974" s="36"/>
      <c r="I974" s="20">
        <f>TRUNC(SUM(I971:I973))</f>
        <v>187684</v>
      </c>
      <c r="J974" s="36"/>
      <c r="K974" s="20">
        <f>TRUNC(SUM(K971:K973))</f>
        <v>187684</v>
      </c>
    </row>
    <row r="975" spans="2:13" ht="12.95" customHeight="1" x14ac:dyDescent="0.3">
      <c r="B975" s="79"/>
      <c r="C975" s="79"/>
      <c r="D975" s="90"/>
      <c r="E975" s="98"/>
      <c r="F975" s="36"/>
      <c r="G975" s="99"/>
      <c r="H975" s="36"/>
      <c r="I975" s="99"/>
      <c r="J975" s="36"/>
      <c r="K975" s="99"/>
    </row>
    <row r="976" spans="2:13" ht="12.95" customHeight="1" x14ac:dyDescent="0.3">
      <c r="B976" s="73" t="s">
        <v>42</v>
      </c>
      <c r="C976" s="74"/>
      <c r="D976" s="75" t="s">
        <v>28</v>
      </c>
      <c r="E976" s="51">
        <v>226122</v>
      </c>
      <c r="F976" s="36">
        <v>4</v>
      </c>
      <c r="G976" s="3">
        <f t="shared" ref="G976:G980" si="265">TRUNC($E976*F976,1)</f>
        <v>904488</v>
      </c>
      <c r="H976" s="36">
        <v>4</v>
      </c>
      <c r="I976" s="3">
        <f t="shared" ref="I976:I980" si="266">TRUNC($E976*H976,1)</f>
        <v>904488</v>
      </c>
      <c r="J976" s="36">
        <v>4</v>
      </c>
      <c r="K976" s="3">
        <f t="shared" ref="K976:K980" si="267">TRUNC($E976*J976,1)</f>
        <v>904488</v>
      </c>
    </row>
    <row r="977" spans="2:13" ht="12.95" customHeight="1" x14ac:dyDescent="0.3">
      <c r="B977" s="73" t="s">
        <v>8</v>
      </c>
      <c r="C977" s="74"/>
      <c r="D977" s="75" t="s">
        <v>28</v>
      </c>
      <c r="E977" s="51">
        <v>172068</v>
      </c>
      <c r="F977" s="36">
        <v>1</v>
      </c>
      <c r="G977" s="3">
        <f t="shared" si="265"/>
        <v>172068</v>
      </c>
      <c r="H977" s="36">
        <v>1</v>
      </c>
      <c r="I977" s="3">
        <f t="shared" si="266"/>
        <v>172068</v>
      </c>
      <c r="J977" s="36">
        <v>1</v>
      </c>
      <c r="K977" s="3">
        <f t="shared" si="267"/>
        <v>172068</v>
      </c>
    </row>
    <row r="978" spans="2:13" ht="12.95" customHeight="1" x14ac:dyDescent="0.3">
      <c r="B978" s="73" t="s">
        <v>92</v>
      </c>
      <c r="C978" s="74"/>
      <c r="D978" s="75" t="s">
        <v>28</v>
      </c>
      <c r="E978" s="51">
        <v>282536</v>
      </c>
      <c r="F978" s="36">
        <v>1</v>
      </c>
      <c r="G978" s="3">
        <f t="shared" si="265"/>
        <v>282536</v>
      </c>
      <c r="H978" s="36">
        <v>1</v>
      </c>
      <c r="I978" s="3">
        <f t="shared" si="266"/>
        <v>282536</v>
      </c>
      <c r="J978" s="36">
        <v>1</v>
      </c>
      <c r="K978" s="3">
        <f t="shared" si="267"/>
        <v>282536</v>
      </c>
    </row>
    <row r="979" spans="2:13" ht="12.95" customHeight="1" x14ac:dyDescent="0.3">
      <c r="B979" s="89" t="s">
        <v>39</v>
      </c>
      <c r="C979" s="89" t="s">
        <v>40</v>
      </c>
      <c r="D979" s="90" t="s">
        <v>34</v>
      </c>
      <c r="E979" s="31">
        <v>58925</v>
      </c>
      <c r="F979" s="36">
        <v>8</v>
      </c>
      <c r="G979" s="3">
        <f t="shared" si="265"/>
        <v>471400</v>
      </c>
      <c r="H979" s="36">
        <v>8</v>
      </c>
      <c r="I979" s="3">
        <f t="shared" si="266"/>
        <v>471400</v>
      </c>
      <c r="J979" s="36">
        <v>8</v>
      </c>
      <c r="K979" s="3">
        <f t="shared" si="267"/>
        <v>471400</v>
      </c>
    </row>
    <row r="980" spans="2:13" ht="12.95" customHeight="1" x14ac:dyDescent="0.3">
      <c r="B980" s="89" t="s">
        <v>235</v>
      </c>
      <c r="C980" s="89" t="s">
        <v>241</v>
      </c>
      <c r="D980" s="90" t="s">
        <v>34</v>
      </c>
      <c r="E980" s="31">
        <v>49698</v>
      </c>
      <c r="F980" s="36">
        <v>8</v>
      </c>
      <c r="G980" s="3">
        <f t="shared" si="265"/>
        <v>397584</v>
      </c>
      <c r="H980" s="36">
        <v>8</v>
      </c>
      <c r="I980" s="3">
        <f t="shared" si="266"/>
        <v>397584</v>
      </c>
      <c r="J980" s="36">
        <v>8</v>
      </c>
      <c r="K980" s="3">
        <f t="shared" si="267"/>
        <v>397584</v>
      </c>
    </row>
    <row r="981" spans="2:13" ht="12.95" customHeight="1" x14ac:dyDescent="0.3">
      <c r="B981" s="77" t="s">
        <v>30</v>
      </c>
      <c r="C981" s="96"/>
      <c r="D981" s="97"/>
      <c r="E981" s="19"/>
      <c r="F981" s="36"/>
      <c r="G981" s="20">
        <f>TRUNC(SUM(G976:G980))</f>
        <v>2228076</v>
      </c>
      <c r="H981" s="36"/>
      <c r="I981" s="20">
        <f>TRUNC(SUM(I976:I980))</f>
        <v>2228076</v>
      </c>
      <c r="J981" s="36"/>
      <c r="K981" s="20">
        <f>TRUNC(SUM(K976:K980))</f>
        <v>2228076</v>
      </c>
    </row>
    <row r="982" spans="2:13" ht="12.95" customHeight="1" x14ac:dyDescent="0.3">
      <c r="B982" s="79"/>
      <c r="C982" s="79"/>
      <c r="D982" s="90"/>
      <c r="E982" s="98"/>
      <c r="F982" s="36"/>
      <c r="G982" s="99"/>
      <c r="H982" s="36"/>
      <c r="I982" s="99"/>
      <c r="J982" s="36"/>
      <c r="K982" s="99"/>
    </row>
    <row r="983" spans="2:13" ht="12.95" customHeight="1" x14ac:dyDescent="0.3">
      <c r="B983" s="89" t="s">
        <v>39</v>
      </c>
      <c r="C983" s="89" t="s">
        <v>40</v>
      </c>
      <c r="D983" s="90" t="s">
        <v>34</v>
      </c>
      <c r="E983" s="31">
        <v>59751</v>
      </c>
      <c r="F983" s="36">
        <v>8</v>
      </c>
      <c r="G983" s="3">
        <f t="shared" ref="G983:G984" si="268">TRUNC($E983*F983,1)</f>
        <v>478008</v>
      </c>
      <c r="H983" s="36">
        <v>8</v>
      </c>
      <c r="I983" s="3">
        <f t="shared" ref="I983:I984" si="269">TRUNC($E983*H983,1)</f>
        <v>478008</v>
      </c>
      <c r="J983" s="36">
        <v>8</v>
      </c>
      <c r="K983" s="3">
        <f t="shared" ref="K983:K984" si="270">TRUNC($E983*J983,1)</f>
        <v>478008</v>
      </c>
    </row>
    <row r="984" spans="2:13" ht="12.95" customHeight="1" x14ac:dyDescent="0.3">
      <c r="B984" s="89" t="s">
        <v>235</v>
      </c>
      <c r="C984" s="89" t="s">
        <v>241</v>
      </c>
      <c r="D984" s="90" t="s">
        <v>34</v>
      </c>
      <c r="E984" s="31">
        <v>17396</v>
      </c>
      <c r="F984" s="36">
        <v>8</v>
      </c>
      <c r="G984" s="3">
        <f t="shared" si="268"/>
        <v>139168</v>
      </c>
      <c r="H984" s="36">
        <v>8</v>
      </c>
      <c r="I984" s="3">
        <f t="shared" si="269"/>
        <v>139168</v>
      </c>
      <c r="J984" s="36">
        <v>8</v>
      </c>
      <c r="K984" s="3">
        <f t="shared" si="270"/>
        <v>139168</v>
      </c>
    </row>
    <row r="985" spans="2:13" ht="12.95" customHeight="1" x14ac:dyDescent="0.3">
      <c r="B985" s="93" t="s">
        <v>31</v>
      </c>
      <c r="C985" s="96"/>
      <c r="D985" s="104"/>
      <c r="E985" s="19"/>
      <c r="F985" s="138"/>
      <c r="G985" s="20">
        <f>TRUNC(SUM(G983:G984))</f>
        <v>617176</v>
      </c>
      <c r="H985" s="138"/>
      <c r="I985" s="20">
        <f>TRUNC(SUM(I983:I984))</f>
        <v>617176</v>
      </c>
      <c r="J985" s="138"/>
      <c r="K985" s="20">
        <f>TRUNC(SUM(K983:K984))</f>
        <v>617176</v>
      </c>
    </row>
    <row r="986" spans="2:13" ht="12.95" customHeight="1" x14ac:dyDescent="0.3">
      <c r="B986" s="79"/>
      <c r="C986" s="79"/>
      <c r="D986" s="90"/>
      <c r="E986" s="98"/>
      <c r="F986" s="98"/>
      <c r="G986" s="99"/>
      <c r="H986" s="98"/>
      <c r="I986" s="99"/>
      <c r="J986" s="98"/>
      <c r="K986" s="99"/>
    </row>
    <row r="987" spans="2:13" ht="12.95" customHeight="1" x14ac:dyDescent="0.3">
      <c r="B987" s="82" t="s">
        <v>33</v>
      </c>
      <c r="C987" s="79"/>
      <c r="D987" s="90"/>
      <c r="E987" s="152"/>
      <c r="F987" s="153"/>
      <c r="G987" s="53">
        <f>SUM(G974+G981+G985)</f>
        <v>3032936</v>
      </c>
      <c r="H987" s="153"/>
      <c r="I987" s="53">
        <f>SUM(I974+I981+I985)</f>
        <v>3032936</v>
      </c>
      <c r="J987" s="153"/>
      <c r="K987" s="53">
        <f>SUM(K974+K981+K985)</f>
        <v>3032936</v>
      </c>
    </row>
    <row r="988" spans="2:13" ht="12.95" customHeight="1" x14ac:dyDescent="0.3">
      <c r="B988" s="84" t="s">
        <v>325</v>
      </c>
      <c r="C988" s="85"/>
      <c r="D988" s="86"/>
      <c r="E988" s="87"/>
      <c r="F988" s="88"/>
      <c r="G988" s="7">
        <f>TRUNC(G987/G969)</f>
        <v>1010978</v>
      </c>
      <c r="H988" s="88"/>
      <c r="I988" s="7">
        <f>TRUNC(I987/I969)</f>
        <v>1213174</v>
      </c>
      <c r="J988" s="88"/>
      <c r="K988" s="7">
        <f>TRUNC(K987/K969)</f>
        <v>1516468</v>
      </c>
      <c r="L988" s="4"/>
      <c r="M988" s="4"/>
    </row>
    <row r="990" spans="2:13" ht="12.95" customHeight="1" x14ac:dyDescent="0.3">
      <c r="B990" s="1" t="s">
        <v>242</v>
      </c>
      <c r="K990" s="137" t="s">
        <v>239</v>
      </c>
    </row>
    <row r="991" spans="2:13" ht="12.95" customHeight="1" x14ac:dyDescent="0.3">
      <c r="B991" s="176" t="s">
        <v>21</v>
      </c>
      <c r="C991" s="170" t="s">
        <v>25</v>
      </c>
      <c r="D991" s="170" t="s">
        <v>26</v>
      </c>
      <c r="E991" s="170" t="s">
        <v>22</v>
      </c>
      <c r="F991" s="180" t="s">
        <v>323</v>
      </c>
      <c r="G991" s="181"/>
      <c r="H991" s="181"/>
      <c r="I991" s="181"/>
      <c r="J991" s="181"/>
      <c r="K991" s="181"/>
      <c r="L991" s="11"/>
      <c r="M991" s="11"/>
    </row>
    <row r="992" spans="2:13" ht="12.95" customHeight="1" x14ac:dyDescent="0.3">
      <c r="B992" s="177"/>
      <c r="C992" s="179"/>
      <c r="D992" s="179"/>
      <c r="E992" s="179"/>
      <c r="F992" s="185" t="s">
        <v>326</v>
      </c>
      <c r="G992" s="186"/>
      <c r="H992" s="185" t="s">
        <v>327</v>
      </c>
      <c r="I992" s="186"/>
      <c r="J992" s="185" t="s">
        <v>328</v>
      </c>
      <c r="K992" s="186"/>
    </row>
    <row r="993" spans="2:13" ht="12.95" customHeight="1" x14ac:dyDescent="0.3">
      <c r="B993" s="177"/>
      <c r="C993" s="179"/>
      <c r="D993" s="179"/>
      <c r="E993" s="179"/>
      <c r="F993" s="68" t="s">
        <v>324</v>
      </c>
      <c r="G993" s="145">
        <v>5</v>
      </c>
      <c r="H993" s="68" t="s">
        <v>324</v>
      </c>
      <c r="I993" s="145">
        <v>4</v>
      </c>
      <c r="J993" s="68" t="s">
        <v>324</v>
      </c>
      <c r="K993" s="145">
        <v>3.5</v>
      </c>
    </row>
    <row r="994" spans="2:13" ht="12.95" customHeight="1" x14ac:dyDescent="0.3">
      <c r="B994" s="178"/>
      <c r="C994" s="171"/>
      <c r="D994" s="171"/>
      <c r="E994" s="171"/>
      <c r="F994" s="71" t="s">
        <v>287</v>
      </c>
      <c r="G994" s="72" t="s">
        <v>288</v>
      </c>
      <c r="H994" s="71" t="s">
        <v>287</v>
      </c>
      <c r="I994" s="72" t="s">
        <v>288</v>
      </c>
      <c r="J994" s="71" t="s">
        <v>287</v>
      </c>
      <c r="K994" s="72" t="s">
        <v>288</v>
      </c>
      <c r="L994" s="4"/>
      <c r="M994" s="4"/>
    </row>
    <row r="995" spans="2:13" ht="12.95" customHeight="1" x14ac:dyDescent="0.3">
      <c r="B995" s="89" t="s">
        <v>39</v>
      </c>
      <c r="C995" s="89" t="s">
        <v>40</v>
      </c>
      <c r="D995" s="90" t="s">
        <v>34</v>
      </c>
      <c r="E995" s="31">
        <v>12764</v>
      </c>
      <c r="F995" s="36">
        <v>8</v>
      </c>
      <c r="G995" s="3">
        <f t="shared" ref="G995:G996" si="271">TRUNC($E995*F995,1)</f>
        <v>102112</v>
      </c>
      <c r="H995" s="36">
        <v>8</v>
      </c>
      <c r="I995" s="3">
        <f t="shared" ref="I995:I996" si="272">TRUNC($E995*H995,1)</f>
        <v>102112</v>
      </c>
      <c r="J995" s="36">
        <v>8</v>
      </c>
      <c r="K995" s="3">
        <f t="shared" ref="K995:K996" si="273">TRUNC($E995*J995,1)</f>
        <v>102112</v>
      </c>
    </row>
    <row r="996" spans="2:13" ht="12.95" customHeight="1" x14ac:dyDescent="0.3">
      <c r="B996" s="89" t="s">
        <v>235</v>
      </c>
      <c r="C996" s="89" t="s">
        <v>241</v>
      </c>
      <c r="D996" s="90" t="s">
        <v>34</v>
      </c>
      <c r="E996" s="31">
        <v>5600</v>
      </c>
      <c r="F996" s="36">
        <v>8</v>
      </c>
      <c r="G996" s="3">
        <f t="shared" si="271"/>
        <v>44800</v>
      </c>
      <c r="H996" s="36">
        <v>8</v>
      </c>
      <c r="I996" s="3">
        <f t="shared" si="272"/>
        <v>44800</v>
      </c>
      <c r="J996" s="36">
        <v>8</v>
      </c>
      <c r="K996" s="3">
        <f t="shared" si="273"/>
        <v>44800</v>
      </c>
    </row>
    <row r="997" spans="2:13" ht="12.95" customHeight="1" x14ac:dyDescent="0.3">
      <c r="B997" s="89" t="s">
        <v>27</v>
      </c>
      <c r="C997" s="91" t="s">
        <v>32</v>
      </c>
      <c r="D997" s="90" t="s">
        <v>35</v>
      </c>
      <c r="E997" s="92"/>
      <c r="F997" s="36">
        <v>1</v>
      </c>
      <c r="G997" s="6">
        <f>TRUNC(SUM(G1000:G1002)*0.03,1)</f>
        <v>27205.4</v>
      </c>
      <c r="H997" s="36">
        <v>1</v>
      </c>
      <c r="I997" s="6">
        <f>TRUNC(SUM(I1000:I1002)*0.03,1)</f>
        <v>27205.4</v>
      </c>
      <c r="J997" s="36">
        <v>1</v>
      </c>
      <c r="K997" s="6">
        <f>TRUNC(SUM(K1000:K1002)*0.03,1)</f>
        <v>27205.4</v>
      </c>
    </row>
    <row r="998" spans="2:13" ht="12.95" customHeight="1" x14ac:dyDescent="0.3">
      <c r="B998" s="93" t="s">
        <v>29</v>
      </c>
      <c r="C998" s="96"/>
      <c r="D998" s="97"/>
      <c r="E998" s="138"/>
      <c r="F998" s="36"/>
      <c r="G998" s="20">
        <f>TRUNC(SUM(G995:G997))</f>
        <v>174117</v>
      </c>
      <c r="H998" s="36"/>
      <c r="I998" s="20">
        <f>TRUNC(SUM(I995:I997))</f>
        <v>174117</v>
      </c>
      <c r="J998" s="36"/>
      <c r="K998" s="20">
        <f>TRUNC(SUM(K995:K997))</f>
        <v>174117</v>
      </c>
    </row>
    <row r="999" spans="2:13" ht="12.95" customHeight="1" x14ac:dyDescent="0.3">
      <c r="B999" s="79"/>
      <c r="C999" s="79"/>
      <c r="D999" s="90"/>
      <c r="E999" s="98"/>
      <c r="F999" s="36"/>
      <c r="G999" s="99"/>
      <c r="H999" s="36"/>
      <c r="I999" s="99"/>
      <c r="J999" s="36"/>
      <c r="K999" s="99"/>
    </row>
    <row r="1000" spans="2:13" ht="12.95" customHeight="1" x14ac:dyDescent="0.3">
      <c r="B1000" s="73" t="s">
        <v>42</v>
      </c>
      <c r="C1000" s="74"/>
      <c r="D1000" s="75" t="s">
        <v>28</v>
      </c>
      <c r="E1000" s="51">
        <v>226122</v>
      </c>
      <c r="F1000" s="36">
        <v>2</v>
      </c>
      <c r="G1000" s="3">
        <f t="shared" ref="G1000:G1004" si="274">TRUNC($E1000*F1000,1)</f>
        <v>452244</v>
      </c>
      <c r="H1000" s="36">
        <v>2</v>
      </c>
      <c r="I1000" s="3">
        <f t="shared" ref="I1000:I1004" si="275">TRUNC($E1000*H1000,1)</f>
        <v>452244</v>
      </c>
      <c r="J1000" s="36">
        <v>2</v>
      </c>
      <c r="K1000" s="3">
        <f t="shared" ref="K1000:K1004" si="276">TRUNC($E1000*J1000,1)</f>
        <v>452244</v>
      </c>
    </row>
    <row r="1001" spans="2:13" ht="12.95" customHeight="1" x14ac:dyDescent="0.3">
      <c r="B1001" s="73" t="s">
        <v>8</v>
      </c>
      <c r="C1001" s="74"/>
      <c r="D1001" s="75" t="s">
        <v>28</v>
      </c>
      <c r="E1001" s="51">
        <v>172068</v>
      </c>
      <c r="F1001" s="36">
        <v>1</v>
      </c>
      <c r="G1001" s="3">
        <f t="shared" si="274"/>
        <v>172068</v>
      </c>
      <c r="H1001" s="36">
        <v>1</v>
      </c>
      <c r="I1001" s="3">
        <f t="shared" si="275"/>
        <v>172068</v>
      </c>
      <c r="J1001" s="36">
        <v>1</v>
      </c>
      <c r="K1001" s="3">
        <f t="shared" si="276"/>
        <v>172068</v>
      </c>
    </row>
    <row r="1002" spans="2:13" ht="12.95" customHeight="1" x14ac:dyDescent="0.3">
      <c r="B1002" s="73" t="s">
        <v>92</v>
      </c>
      <c r="C1002" s="74"/>
      <c r="D1002" s="75" t="s">
        <v>28</v>
      </c>
      <c r="E1002" s="51">
        <v>282536</v>
      </c>
      <c r="F1002" s="36">
        <v>1</v>
      </c>
      <c r="G1002" s="3">
        <f t="shared" si="274"/>
        <v>282536</v>
      </c>
      <c r="H1002" s="36">
        <v>1</v>
      </c>
      <c r="I1002" s="3">
        <f t="shared" si="275"/>
        <v>282536</v>
      </c>
      <c r="J1002" s="36">
        <v>1</v>
      </c>
      <c r="K1002" s="3">
        <f t="shared" si="276"/>
        <v>282536</v>
      </c>
    </row>
    <row r="1003" spans="2:13" ht="12.95" customHeight="1" x14ac:dyDescent="0.3">
      <c r="B1003" s="89" t="s">
        <v>39</v>
      </c>
      <c r="C1003" s="89" t="s">
        <v>40</v>
      </c>
      <c r="D1003" s="90" t="s">
        <v>34</v>
      </c>
      <c r="E1003" s="31">
        <v>58925</v>
      </c>
      <c r="F1003" s="36">
        <v>8</v>
      </c>
      <c r="G1003" s="3">
        <f t="shared" si="274"/>
        <v>471400</v>
      </c>
      <c r="H1003" s="36">
        <v>8</v>
      </c>
      <c r="I1003" s="3">
        <f t="shared" si="275"/>
        <v>471400</v>
      </c>
      <c r="J1003" s="36">
        <v>8</v>
      </c>
      <c r="K1003" s="3">
        <f t="shared" si="276"/>
        <v>471400</v>
      </c>
    </row>
    <row r="1004" spans="2:13" ht="12.95" customHeight="1" x14ac:dyDescent="0.3">
      <c r="B1004" s="89" t="s">
        <v>235</v>
      </c>
      <c r="C1004" s="89" t="s">
        <v>241</v>
      </c>
      <c r="D1004" s="90" t="s">
        <v>34</v>
      </c>
      <c r="E1004" s="31">
        <v>49698</v>
      </c>
      <c r="F1004" s="36">
        <v>8</v>
      </c>
      <c r="G1004" s="3">
        <f t="shared" si="274"/>
        <v>397584</v>
      </c>
      <c r="H1004" s="36">
        <v>8</v>
      </c>
      <c r="I1004" s="3">
        <f t="shared" si="275"/>
        <v>397584</v>
      </c>
      <c r="J1004" s="36">
        <v>8</v>
      </c>
      <c r="K1004" s="3">
        <f t="shared" si="276"/>
        <v>397584</v>
      </c>
    </row>
    <row r="1005" spans="2:13" ht="12.95" customHeight="1" x14ac:dyDescent="0.3">
      <c r="B1005" s="77" t="s">
        <v>30</v>
      </c>
      <c r="C1005" s="96"/>
      <c r="D1005" s="97"/>
      <c r="E1005" s="19"/>
      <c r="F1005" s="36"/>
      <c r="G1005" s="20">
        <f>TRUNC(SUM(G1000:G1004))</f>
        <v>1775832</v>
      </c>
      <c r="H1005" s="36"/>
      <c r="I1005" s="20">
        <f>TRUNC(SUM(I1000:I1004))</f>
        <v>1775832</v>
      </c>
      <c r="J1005" s="36"/>
      <c r="K1005" s="20">
        <f>TRUNC(SUM(K1000:K1004))</f>
        <v>1775832</v>
      </c>
    </row>
    <row r="1006" spans="2:13" ht="12.95" customHeight="1" x14ac:dyDescent="0.3">
      <c r="B1006" s="79"/>
      <c r="C1006" s="79"/>
      <c r="D1006" s="90"/>
      <c r="E1006" s="98"/>
      <c r="F1006" s="36"/>
      <c r="G1006" s="99"/>
      <c r="H1006" s="36"/>
      <c r="I1006" s="99"/>
      <c r="J1006" s="36"/>
      <c r="K1006" s="99"/>
    </row>
    <row r="1007" spans="2:13" ht="12.95" customHeight="1" x14ac:dyDescent="0.3">
      <c r="B1007" s="89" t="s">
        <v>39</v>
      </c>
      <c r="C1007" s="89" t="s">
        <v>40</v>
      </c>
      <c r="D1007" s="90" t="s">
        <v>34</v>
      </c>
      <c r="E1007" s="31">
        <v>59751</v>
      </c>
      <c r="F1007" s="36">
        <v>8</v>
      </c>
      <c r="G1007" s="3">
        <f t="shared" ref="G1007:G1008" si="277">TRUNC($E1007*F1007,1)</f>
        <v>478008</v>
      </c>
      <c r="H1007" s="36">
        <v>8</v>
      </c>
      <c r="I1007" s="3">
        <f t="shared" ref="I1007:I1008" si="278">TRUNC($E1007*H1007,1)</f>
        <v>478008</v>
      </c>
      <c r="J1007" s="36">
        <v>8</v>
      </c>
      <c r="K1007" s="3">
        <f t="shared" ref="K1007:K1008" si="279">TRUNC($E1007*J1007,1)</f>
        <v>478008</v>
      </c>
    </row>
    <row r="1008" spans="2:13" ht="12.95" customHeight="1" x14ac:dyDescent="0.3">
      <c r="B1008" s="89" t="s">
        <v>235</v>
      </c>
      <c r="C1008" s="89" t="s">
        <v>241</v>
      </c>
      <c r="D1008" s="90" t="s">
        <v>34</v>
      </c>
      <c r="E1008" s="31">
        <v>17396</v>
      </c>
      <c r="F1008" s="36">
        <v>8</v>
      </c>
      <c r="G1008" s="3">
        <f t="shared" si="277"/>
        <v>139168</v>
      </c>
      <c r="H1008" s="36">
        <v>8</v>
      </c>
      <c r="I1008" s="3">
        <f t="shared" si="278"/>
        <v>139168</v>
      </c>
      <c r="J1008" s="36">
        <v>8</v>
      </c>
      <c r="K1008" s="3">
        <f t="shared" si="279"/>
        <v>139168</v>
      </c>
    </row>
    <row r="1009" spans="2:13" ht="12.95" customHeight="1" x14ac:dyDescent="0.3">
      <c r="B1009" s="93" t="s">
        <v>31</v>
      </c>
      <c r="C1009" s="96"/>
      <c r="D1009" s="104"/>
      <c r="E1009" s="19"/>
      <c r="F1009" s="138"/>
      <c r="G1009" s="20">
        <f>TRUNC(SUM(G1007:G1008))</f>
        <v>617176</v>
      </c>
      <c r="H1009" s="138"/>
      <c r="I1009" s="20">
        <f>TRUNC(SUM(I1007:I1008))</f>
        <v>617176</v>
      </c>
      <c r="J1009" s="138"/>
      <c r="K1009" s="20">
        <f>TRUNC(SUM(K1007:K1008))</f>
        <v>617176</v>
      </c>
    </row>
    <row r="1010" spans="2:13" ht="12.95" customHeight="1" x14ac:dyDescent="0.3">
      <c r="B1010" s="79"/>
      <c r="C1010" s="79"/>
      <c r="D1010" s="90"/>
      <c r="E1010" s="98"/>
      <c r="F1010" s="98"/>
      <c r="G1010" s="99"/>
      <c r="H1010" s="98"/>
      <c r="I1010" s="99"/>
      <c r="J1010" s="98"/>
      <c r="K1010" s="99"/>
    </row>
    <row r="1011" spans="2:13" ht="12.95" customHeight="1" x14ac:dyDescent="0.3">
      <c r="B1011" s="82" t="s">
        <v>33</v>
      </c>
      <c r="C1011" s="79"/>
      <c r="D1011" s="90"/>
      <c r="E1011" s="152"/>
      <c r="F1011" s="153"/>
      <c r="G1011" s="53">
        <f>SUM(G998+G1005+G1009)</f>
        <v>2567125</v>
      </c>
      <c r="H1011" s="153"/>
      <c r="I1011" s="53">
        <f>SUM(I998+I1005+I1009)</f>
        <v>2567125</v>
      </c>
      <c r="J1011" s="153"/>
      <c r="K1011" s="53">
        <f>SUM(K998+K1005+K1009)</f>
        <v>2567125</v>
      </c>
    </row>
    <row r="1012" spans="2:13" ht="12.95" customHeight="1" x14ac:dyDescent="0.3">
      <c r="B1012" s="84" t="s">
        <v>325</v>
      </c>
      <c r="C1012" s="85"/>
      <c r="D1012" s="86"/>
      <c r="E1012" s="87"/>
      <c r="F1012" s="88"/>
      <c r="G1012" s="7">
        <f>TRUNC(G1011/G993)</f>
        <v>513425</v>
      </c>
      <c r="H1012" s="88"/>
      <c r="I1012" s="7">
        <f>TRUNC(I1011/I993)</f>
        <v>641781</v>
      </c>
      <c r="J1012" s="88"/>
      <c r="K1012" s="7">
        <f>TRUNC(K1011/K993)</f>
        <v>733464</v>
      </c>
      <c r="L1012" s="4"/>
      <c r="M1012" s="4"/>
    </row>
    <row r="1013" spans="2:13" ht="12.95" customHeight="1" x14ac:dyDescent="0.3">
      <c r="B1013" s="176" t="s">
        <v>21</v>
      </c>
      <c r="C1013" s="170" t="s">
        <v>25</v>
      </c>
      <c r="D1013" s="170" t="s">
        <v>26</v>
      </c>
      <c r="E1013" s="170" t="s">
        <v>22</v>
      </c>
      <c r="F1013" s="180" t="s">
        <v>329</v>
      </c>
      <c r="G1013" s="181"/>
      <c r="H1013" s="181"/>
      <c r="I1013" s="181"/>
      <c r="J1013" s="181"/>
      <c r="K1013" s="181"/>
      <c r="L1013" s="11"/>
      <c r="M1013" s="11"/>
    </row>
    <row r="1014" spans="2:13" ht="12.95" customHeight="1" x14ac:dyDescent="0.3">
      <c r="B1014" s="177"/>
      <c r="C1014" s="179"/>
      <c r="D1014" s="179"/>
      <c r="E1014" s="179"/>
      <c r="F1014" s="185" t="s">
        <v>326</v>
      </c>
      <c r="G1014" s="186"/>
      <c r="H1014" s="185" t="s">
        <v>327</v>
      </c>
      <c r="I1014" s="186"/>
      <c r="J1014" s="185" t="s">
        <v>328</v>
      </c>
      <c r="K1014" s="186"/>
    </row>
    <row r="1015" spans="2:13" ht="12.95" customHeight="1" x14ac:dyDescent="0.3">
      <c r="B1015" s="177"/>
      <c r="C1015" s="179"/>
      <c r="D1015" s="179"/>
      <c r="E1015" s="179"/>
      <c r="F1015" s="68" t="s">
        <v>324</v>
      </c>
      <c r="G1015" s="145">
        <v>3.5</v>
      </c>
      <c r="H1015" s="68" t="s">
        <v>324</v>
      </c>
      <c r="I1015" s="145">
        <v>3</v>
      </c>
      <c r="J1015" s="68" t="s">
        <v>324</v>
      </c>
      <c r="K1015" s="145">
        <v>2.5</v>
      </c>
    </row>
    <row r="1016" spans="2:13" ht="12.95" customHeight="1" x14ac:dyDescent="0.3">
      <c r="B1016" s="178"/>
      <c r="C1016" s="171"/>
      <c r="D1016" s="171"/>
      <c r="E1016" s="171"/>
      <c r="F1016" s="71" t="s">
        <v>287</v>
      </c>
      <c r="G1016" s="72" t="s">
        <v>288</v>
      </c>
      <c r="H1016" s="71" t="s">
        <v>287</v>
      </c>
      <c r="I1016" s="72" t="s">
        <v>288</v>
      </c>
      <c r="J1016" s="71" t="s">
        <v>287</v>
      </c>
      <c r="K1016" s="72" t="s">
        <v>288</v>
      </c>
      <c r="L1016" s="4"/>
      <c r="M1016" s="4"/>
    </row>
    <row r="1017" spans="2:13" ht="12.95" customHeight="1" x14ac:dyDescent="0.3">
      <c r="B1017" s="89" t="s">
        <v>39</v>
      </c>
      <c r="C1017" s="89" t="s">
        <v>40</v>
      </c>
      <c r="D1017" s="90" t="s">
        <v>34</v>
      </c>
      <c r="E1017" s="31">
        <v>12764</v>
      </c>
      <c r="F1017" s="36">
        <v>8</v>
      </c>
      <c r="G1017" s="3">
        <f t="shared" ref="G1017:G1018" si="280">TRUNC($E1017*F1017,1)</f>
        <v>102112</v>
      </c>
      <c r="H1017" s="36">
        <v>8</v>
      </c>
      <c r="I1017" s="3">
        <f t="shared" ref="I1017:I1018" si="281">TRUNC($E1017*H1017,1)</f>
        <v>102112</v>
      </c>
      <c r="J1017" s="36">
        <v>8</v>
      </c>
      <c r="K1017" s="3">
        <f t="shared" ref="K1017:K1018" si="282">TRUNC($E1017*J1017,1)</f>
        <v>102112</v>
      </c>
    </row>
    <row r="1018" spans="2:13" ht="12.95" customHeight="1" x14ac:dyDescent="0.3">
      <c r="B1018" s="89" t="s">
        <v>235</v>
      </c>
      <c r="C1018" s="89" t="s">
        <v>241</v>
      </c>
      <c r="D1018" s="90" t="s">
        <v>34</v>
      </c>
      <c r="E1018" s="31">
        <v>5600</v>
      </c>
      <c r="F1018" s="36">
        <v>8</v>
      </c>
      <c r="G1018" s="3">
        <f t="shared" si="280"/>
        <v>44800</v>
      </c>
      <c r="H1018" s="36">
        <v>8</v>
      </c>
      <c r="I1018" s="3">
        <f t="shared" si="281"/>
        <v>44800</v>
      </c>
      <c r="J1018" s="36">
        <v>8</v>
      </c>
      <c r="K1018" s="3">
        <f t="shared" si="282"/>
        <v>44800</v>
      </c>
    </row>
    <row r="1019" spans="2:13" ht="12.95" customHeight="1" x14ac:dyDescent="0.3">
      <c r="B1019" s="89" t="s">
        <v>27</v>
      </c>
      <c r="C1019" s="91" t="s">
        <v>32</v>
      </c>
      <c r="D1019" s="90" t="s">
        <v>35</v>
      </c>
      <c r="E1019" s="92"/>
      <c r="F1019" s="36">
        <v>1</v>
      </c>
      <c r="G1019" s="6">
        <f>TRUNC(SUM(G1022:G1024)*0.03,1)</f>
        <v>27205.4</v>
      </c>
      <c r="H1019" s="36">
        <v>1</v>
      </c>
      <c r="I1019" s="6">
        <f>TRUNC(SUM(I1022:I1024)*0.03,1)</f>
        <v>27205.4</v>
      </c>
      <c r="J1019" s="36">
        <v>1</v>
      </c>
      <c r="K1019" s="6">
        <f>TRUNC(SUM(K1022:K1024)*0.03,1)</f>
        <v>27205.4</v>
      </c>
    </row>
    <row r="1020" spans="2:13" ht="12.95" customHeight="1" x14ac:dyDescent="0.3">
      <c r="B1020" s="93" t="s">
        <v>29</v>
      </c>
      <c r="C1020" s="96"/>
      <c r="D1020" s="97"/>
      <c r="E1020" s="138"/>
      <c r="F1020" s="36"/>
      <c r="G1020" s="20">
        <f>TRUNC(SUM(G1017:G1019))</f>
        <v>174117</v>
      </c>
      <c r="H1020" s="36"/>
      <c r="I1020" s="20">
        <f>TRUNC(SUM(I1017:I1019))</f>
        <v>174117</v>
      </c>
      <c r="J1020" s="36"/>
      <c r="K1020" s="20">
        <f>TRUNC(SUM(K1017:K1019))</f>
        <v>174117</v>
      </c>
    </row>
    <row r="1021" spans="2:13" ht="12.95" customHeight="1" x14ac:dyDescent="0.3">
      <c r="B1021" s="79"/>
      <c r="C1021" s="79"/>
      <c r="D1021" s="90"/>
      <c r="E1021" s="98"/>
      <c r="F1021" s="36"/>
      <c r="G1021" s="99"/>
      <c r="H1021" s="36"/>
      <c r="I1021" s="99"/>
      <c r="J1021" s="36"/>
      <c r="K1021" s="99"/>
    </row>
    <row r="1022" spans="2:13" ht="12.95" customHeight="1" x14ac:dyDescent="0.3">
      <c r="B1022" s="73" t="s">
        <v>42</v>
      </c>
      <c r="C1022" s="74"/>
      <c r="D1022" s="75" t="s">
        <v>28</v>
      </c>
      <c r="E1022" s="51">
        <v>226122</v>
      </c>
      <c r="F1022" s="36">
        <v>2</v>
      </c>
      <c r="G1022" s="3">
        <f t="shared" ref="G1022:G1026" si="283">TRUNC($E1022*F1022,1)</f>
        <v>452244</v>
      </c>
      <c r="H1022" s="36">
        <v>2</v>
      </c>
      <c r="I1022" s="3">
        <f t="shared" ref="I1022:I1026" si="284">TRUNC($E1022*H1022,1)</f>
        <v>452244</v>
      </c>
      <c r="J1022" s="36">
        <v>2</v>
      </c>
      <c r="K1022" s="3">
        <f t="shared" ref="K1022:K1026" si="285">TRUNC($E1022*J1022,1)</f>
        <v>452244</v>
      </c>
    </row>
    <row r="1023" spans="2:13" ht="12.95" customHeight="1" x14ac:dyDescent="0.3">
      <c r="B1023" s="73" t="s">
        <v>8</v>
      </c>
      <c r="C1023" s="74"/>
      <c r="D1023" s="75" t="s">
        <v>28</v>
      </c>
      <c r="E1023" s="51">
        <v>172068</v>
      </c>
      <c r="F1023" s="36">
        <v>1</v>
      </c>
      <c r="G1023" s="3">
        <f t="shared" si="283"/>
        <v>172068</v>
      </c>
      <c r="H1023" s="36">
        <v>1</v>
      </c>
      <c r="I1023" s="3">
        <f t="shared" si="284"/>
        <v>172068</v>
      </c>
      <c r="J1023" s="36">
        <v>1</v>
      </c>
      <c r="K1023" s="3">
        <f t="shared" si="285"/>
        <v>172068</v>
      </c>
    </row>
    <row r="1024" spans="2:13" ht="12.95" customHeight="1" x14ac:dyDescent="0.3">
      <c r="B1024" s="73" t="s">
        <v>92</v>
      </c>
      <c r="C1024" s="74"/>
      <c r="D1024" s="75" t="s">
        <v>28</v>
      </c>
      <c r="E1024" s="51">
        <v>282536</v>
      </c>
      <c r="F1024" s="36">
        <v>1</v>
      </c>
      <c r="G1024" s="3">
        <f t="shared" si="283"/>
        <v>282536</v>
      </c>
      <c r="H1024" s="36">
        <v>1</v>
      </c>
      <c r="I1024" s="3">
        <f t="shared" si="284"/>
        <v>282536</v>
      </c>
      <c r="J1024" s="36">
        <v>1</v>
      </c>
      <c r="K1024" s="3">
        <f t="shared" si="285"/>
        <v>282536</v>
      </c>
    </row>
    <row r="1025" spans="2:13" ht="12.95" customHeight="1" x14ac:dyDescent="0.3">
      <c r="B1025" s="89" t="s">
        <v>39</v>
      </c>
      <c r="C1025" s="89" t="s">
        <v>40</v>
      </c>
      <c r="D1025" s="90" t="s">
        <v>34</v>
      </c>
      <c r="E1025" s="31">
        <v>58925</v>
      </c>
      <c r="F1025" s="36">
        <v>8</v>
      </c>
      <c r="G1025" s="3">
        <f t="shared" si="283"/>
        <v>471400</v>
      </c>
      <c r="H1025" s="36">
        <v>8</v>
      </c>
      <c r="I1025" s="3">
        <f t="shared" si="284"/>
        <v>471400</v>
      </c>
      <c r="J1025" s="36">
        <v>8</v>
      </c>
      <c r="K1025" s="3">
        <f t="shared" si="285"/>
        <v>471400</v>
      </c>
    </row>
    <row r="1026" spans="2:13" ht="12.95" customHeight="1" x14ac:dyDescent="0.3">
      <c r="B1026" s="89" t="s">
        <v>235</v>
      </c>
      <c r="C1026" s="89" t="s">
        <v>241</v>
      </c>
      <c r="D1026" s="90" t="s">
        <v>34</v>
      </c>
      <c r="E1026" s="31">
        <v>49698</v>
      </c>
      <c r="F1026" s="36">
        <v>8</v>
      </c>
      <c r="G1026" s="3">
        <f t="shared" si="283"/>
        <v>397584</v>
      </c>
      <c r="H1026" s="36">
        <v>8</v>
      </c>
      <c r="I1026" s="3">
        <f t="shared" si="284"/>
        <v>397584</v>
      </c>
      <c r="J1026" s="36">
        <v>8</v>
      </c>
      <c r="K1026" s="3">
        <f t="shared" si="285"/>
        <v>397584</v>
      </c>
    </row>
    <row r="1027" spans="2:13" ht="12.95" customHeight="1" x14ac:dyDescent="0.3">
      <c r="B1027" s="77" t="s">
        <v>30</v>
      </c>
      <c r="C1027" s="96"/>
      <c r="D1027" s="97"/>
      <c r="E1027" s="19"/>
      <c r="F1027" s="36"/>
      <c r="G1027" s="20">
        <f>TRUNC(SUM(G1022:G1026))</f>
        <v>1775832</v>
      </c>
      <c r="H1027" s="36"/>
      <c r="I1027" s="20">
        <f>TRUNC(SUM(I1022:I1026))</f>
        <v>1775832</v>
      </c>
      <c r="J1027" s="36"/>
      <c r="K1027" s="20">
        <f>TRUNC(SUM(K1022:K1026))</f>
        <v>1775832</v>
      </c>
    </row>
    <row r="1028" spans="2:13" ht="12.95" customHeight="1" x14ac:dyDescent="0.3">
      <c r="B1028" s="79"/>
      <c r="C1028" s="79"/>
      <c r="D1028" s="90"/>
      <c r="E1028" s="98"/>
      <c r="F1028" s="36"/>
      <c r="G1028" s="99"/>
      <c r="H1028" s="36"/>
      <c r="I1028" s="99"/>
      <c r="J1028" s="36"/>
      <c r="K1028" s="99"/>
    </row>
    <row r="1029" spans="2:13" ht="12.95" customHeight="1" x14ac:dyDescent="0.3">
      <c r="B1029" s="89" t="s">
        <v>39</v>
      </c>
      <c r="C1029" s="89" t="s">
        <v>40</v>
      </c>
      <c r="D1029" s="90" t="s">
        <v>34</v>
      </c>
      <c r="E1029" s="31">
        <v>59751</v>
      </c>
      <c r="F1029" s="36">
        <v>8</v>
      </c>
      <c r="G1029" s="3">
        <f t="shared" ref="G1029:G1030" si="286">TRUNC($E1029*F1029,1)</f>
        <v>478008</v>
      </c>
      <c r="H1029" s="36">
        <v>8</v>
      </c>
      <c r="I1029" s="3">
        <f t="shared" ref="I1029:I1030" si="287">TRUNC($E1029*H1029,1)</f>
        <v>478008</v>
      </c>
      <c r="J1029" s="36">
        <v>8</v>
      </c>
      <c r="K1029" s="3">
        <f t="shared" ref="K1029:K1030" si="288">TRUNC($E1029*J1029,1)</f>
        <v>478008</v>
      </c>
    </row>
    <row r="1030" spans="2:13" ht="12.95" customHeight="1" x14ac:dyDescent="0.3">
      <c r="B1030" s="89" t="s">
        <v>235</v>
      </c>
      <c r="C1030" s="89" t="s">
        <v>241</v>
      </c>
      <c r="D1030" s="90" t="s">
        <v>34</v>
      </c>
      <c r="E1030" s="31">
        <v>17396</v>
      </c>
      <c r="F1030" s="36">
        <v>8</v>
      </c>
      <c r="G1030" s="3">
        <f t="shared" si="286"/>
        <v>139168</v>
      </c>
      <c r="H1030" s="36">
        <v>8</v>
      </c>
      <c r="I1030" s="3">
        <f t="shared" si="287"/>
        <v>139168</v>
      </c>
      <c r="J1030" s="36">
        <v>8</v>
      </c>
      <c r="K1030" s="3">
        <f t="shared" si="288"/>
        <v>139168</v>
      </c>
    </row>
    <row r="1031" spans="2:13" ht="12.95" customHeight="1" x14ac:dyDescent="0.3">
      <c r="B1031" s="93" t="s">
        <v>31</v>
      </c>
      <c r="C1031" s="96"/>
      <c r="D1031" s="104"/>
      <c r="E1031" s="19"/>
      <c r="F1031" s="138"/>
      <c r="G1031" s="20">
        <f>TRUNC(SUM(G1029:G1030))</f>
        <v>617176</v>
      </c>
      <c r="H1031" s="138"/>
      <c r="I1031" s="20">
        <f>TRUNC(SUM(I1029:I1030))</f>
        <v>617176</v>
      </c>
      <c r="J1031" s="138"/>
      <c r="K1031" s="20">
        <f>TRUNC(SUM(K1029:K1030))</f>
        <v>617176</v>
      </c>
    </row>
    <row r="1032" spans="2:13" ht="12.95" customHeight="1" x14ac:dyDescent="0.3">
      <c r="B1032" s="79"/>
      <c r="C1032" s="79"/>
      <c r="D1032" s="90"/>
      <c r="E1032" s="98"/>
      <c r="F1032" s="98"/>
      <c r="G1032" s="99"/>
      <c r="H1032" s="98"/>
      <c r="I1032" s="99"/>
      <c r="J1032" s="98"/>
      <c r="K1032" s="99"/>
    </row>
    <row r="1033" spans="2:13" ht="12.95" customHeight="1" x14ac:dyDescent="0.3">
      <c r="B1033" s="82" t="s">
        <v>33</v>
      </c>
      <c r="C1033" s="79"/>
      <c r="D1033" s="90"/>
      <c r="E1033" s="152"/>
      <c r="F1033" s="153"/>
      <c r="G1033" s="53">
        <f>SUM(G1020+G1027+G1031)</f>
        <v>2567125</v>
      </c>
      <c r="H1033" s="153"/>
      <c r="I1033" s="53">
        <f>SUM(I1020+I1027+I1031)</f>
        <v>2567125</v>
      </c>
      <c r="J1033" s="153"/>
      <c r="K1033" s="53">
        <f>SUM(K1020+K1027+K1031)</f>
        <v>2567125</v>
      </c>
    </row>
    <row r="1034" spans="2:13" ht="12.95" customHeight="1" x14ac:dyDescent="0.3">
      <c r="B1034" s="84" t="s">
        <v>325</v>
      </c>
      <c r="C1034" s="85"/>
      <c r="D1034" s="86"/>
      <c r="E1034" s="87"/>
      <c r="F1034" s="88"/>
      <c r="G1034" s="7">
        <f>TRUNC(G1033/G1015)</f>
        <v>733464</v>
      </c>
      <c r="H1034" s="88"/>
      <c r="I1034" s="7">
        <f>TRUNC(I1033/I1015)</f>
        <v>855708</v>
      </c>
      <c r="J1034" s="88"/>
      <c r="K1034" s="7">
        <f>TRUNC(K1033/K1015)</f>
        <v>1026850</v>
      </c>
      <c r="L1034" s="4"/>
      <c r="M1034" s="4"/>
    </row>
    <row r="1035" spans="2:13" ht="12.95" customHeight="1" x14ac:dyDescent="0.3">
      <c r="B1035" s="176" t="s">
        <v>21</v>
      </c>
      <c r="C1035" s="170" t="s">
        <v>25</v>
      </c>
      <c r="D1035" s="170" t="s">
        <v>26</v>
      </c>
      <c r="E1035" s="170" t="s">
        <v>22</v>
      </c>
      <c r="F1035" s="180" t="s">
        <v>330</v>
      </c>
      <c r="G1035" s="181"/>
      <c r="H1035" s="181"/>
      <c r="I1035" s="181"/>
      <c r="J1035" s="181"/>
      <c r="K1035" s="181"/>
      <c r="L1035" s="11"/>
      <c r="M1035" s="11"/>
    </row>
    <row r="1036" spans="2:13" ht="12.95" customHeight="1" x14ac:dyDescent="0.3">
      <c r="B1036" s="177"/>
      <c r="C1036" s="179"/>
      <c r="D1036" s="179"/>
      <c r="E1036" s="179"/>
      <c r="F1036" s="185" t="s">
        <v>326</v>
      </c>
      <c r="G1036" s="186"/>
      <c r="H1036" s="185" t="s">
        <v>327</v>
      </c>
      <c r="I1036" s="186"/>
      <c r="J1036" s="185" t="s">
        <v>328</v>
      </c>
      <c r="K1036" s="186"/>
    </row>
    <row r="1037" spans="2:13" ht="12.95" customHeight="1" x14ac:dyDescent="0.3">
      <c r="B1037" s="177"/>
      <c r="C1037" s="179"/>
      <c r="D1037" s="179"/>
      <c r="E1037" s="179"/>
      <c r="F1037" s="68" t="s">
        <v>324</v>
      </c>
      <c r="G1037" s="145">
        <v>3</v>
      </c>
      <c r="H1037" s="68" t="s">
        <v>324</v>
      </c>
      <c r="I1037" s="145">
        <v>2.5</v>
      </c>
      <c r="J1037" s="68" t="s">
        <v>324</v>
      </c>
      <c r="K1037" s="145">
        <v>2</v>
      </c>
    </row>
    <row r="1038" spans="2:13" ht="12.95" customHeight="1" x14ac:dyDescent="0.3">
      <c r="B1038" s="178"/>
      <c r="C1038" s="171"/>
      <c r="D1038" s="171"/>
      <c r="E1038" s="171"/>
      <c r="F1038" s="71" t="s">
        <v>287</v>
      </c>
      <c r="G1038" s="72" t="s">
        <v>288</v>
      </c>
      <c r="H1038" s="71" t="s">
        <v>287</v>
      </c>
      <c r="I1038" s="72" t="s">
        <v>288</v>
      </c>
      <c r="J1038" s="71" t="s">
        <v>287</v>
      </c>
      <c r="K1038" s="72" t="s">
        <v>288</v>
      </c>
      <c r="L1038" s="4"/>
      <c r="M1038" s="4"/>
    </row>
    <row r="1039" spans="2:13" ht="12.95" customHeight="1" x14ac:dyDescent="0.3">
      <c r="B1039" s="89" t="s">
        <v>39</v>
      </c>
      <c r="C1039" s="89" t="s">
        <v>40</v>
      </c>
      <c r="D1039" s="90" t="s">
        <v>34</v>
      </c>
      <c r="E1039" s="31">
        <v>12764</v>
      </c>
      <c r="F1039" s="36">
        <v>8</v>
      </c>
      <c r="G1039" s="3">
        <f t="shared" ref="G1039:G1040" si="289">TRUNC($E1039*F1039,1)</f>
        <v>102112</v>
      </c>
      <c r="H1039" s="36">
        <v>8</v>
      </c>
      <c r="I1039" s="3">
        <f t="shared" ref="I1039:I1040" si="290">TRUNC($E1039*H1039,1)</f>
        <v>102112</v>
      </c>
      <c r="J1039" s="36">
        <v>8</v>
      </c>
      <c r="K1039" s="3">
        <f t="shared" ref="K1039:K1040" si="291">TRUNC($E1039*J1039,1)</f>
        <v>102112</v>
      </c>
    </row>
    <row r="1040" spans="2:13" ht="12.95" customHeight="1" x14ac:dyDescent="0.3">
      <c r="B1040" s="89" t="s">
        <v>235</v>
      </c>
      <c r="C1040" s="89" t="s">
        <v>241</v>
      </c>
      <c r="D1040" s="90" t="s">
        <v>34</v>
      </c>
      <c r="E1040" s="31">
        <v>5600</v>
      </c>
      <c r="F1040" s="36">
        <v>8</v>
      </c>
      <c r="G1040" s="3">
        <f t="shared" si="289"/>
        <v>44800</v>
      </c>
      <c r="H1040" s="36">
        <v>8</v>
      </c>
      <c r="I1040" s="3">
        <f t="shared" si="290"/>
        <v>44800</v>
      </c>
      <c r="J1040" s="36">
        <v>8</v>
      </c>
      <c r="K1040" s="3">
        <f t="shared" si="291"/>
        <v>44800</v>
      </c>
    </row>
    <row r="1041" spans="2:13" ht="12.95" customHeight="1" x14ac:dyDescent="0.3">
      <c r="B1041" s="89" t="s">
        <v>27</v>
      </c>
      <c r="C1041" s="91" t="s">
        <v>32</v>
      </c>
      <c r="D1041" s="90" t="s">
        <v>35</v>
      </c>
      <c r="E1041" s="92"/>
      <c r="F1041" s="36">
        <v>1</v>
      </c>
      <c r="G1041" s="6">
        <f>TRUNC(SUM(G1044:G1046)*0.03,1)</f>
        <v>33989.1</v>
      </c>
      <c r="H1041" s="36">
        <v>1</v>
      </c>
      <c r="I1041" s="6">
        <f>TRUNC(SUM(I1044:I1046)*0.03,1)</f>
        <v>33989.1</v>
      </c>
      <c r="J1041" s="36">
        <v>1</v>
      </c>
      <c r="K1041" s="6">
        <f>TRUNC(SUM(K1044:K1046)*0.03,1)</f>
        <v>33989.1</v>
      </c>
    </row>
    <row r="1042" spans="2:13" ht="12.95" customHeight="1" x14ac:dyDescent="0.3">
      <c r="B1042" s="93" t="s">
        <v>29</v>
      </c>
      <c r="C1042" s="96"/>
      <c r="D1042" s="97"/>
      <c r="E1042" s="138"/>
      <c r="F1042" s="36"/>
      <c r="G1042" s="20">
        <f>TRUNC(SUM(G1039:G1041))</f>
        <v>180901</v>
      </c>
      <c r="H1042" s="36"/>
      <c r="I1042" s="20">
        <f>TRUNC(SUM(I1039:I1041))</f>
        <v>180901</v>
      </c>
      <c r="J1042" s="36"/>
      <c r="K1042" s="20">
        <f>TRUNC(SUM(K1039:K1041))</f>
        <v>180901</v>
      </c>
    </row>
    <row r="1043" spans="2:13" ht="12.95" customHeight="1" x14ac:dyDescent="0.3">
      <c r="B1043" s="79"/>
      <c r="C1043" s="79"/>
      <c r="D1043" s="90"/>
      <c r="E1043" s="98"/>
      <c r="F1043" s="36"/>
      <c r="G1043" s="99"/>
      <c r="H1043" s="36"/>
      <c r="I1043" s="99"/>
      <c r="J1043" s="36"/>
      <c r="K1043" s="99"/>
    </row>
    <row r="1044" spans="2:13" ht="12.95" customHeight="1" x14ac:dyDescent="0.3">
      <c r="B1044" s="73" t="s">
        <v>42</v>
      </c>
      <c r="C1044" s="74"/>
      <c r="D1044" s="75" t="s">
        <v>28</v>
      </c>
      <c r="E1044" s="51">
        <v>226122</v>
      </c>
      <c r="F1044" s="36">
        <v>3</v>
      </c>
      <c r="G1044" s="3">
        <f t="shared" ref="G1044:G1048" si="292">TRUNC($E1044*F1044,1)</f>
        <v>678366</v>
      </c>
      <c r="H1044" s="36">
        <v>3</v>
      </c>
      <c r="I1044" s="3">
        <f t="shared" ref="I1044:I1048" si="293">TRUNC($E1044*H1044,1)</f>
        <v>678366</v>
      </c>
      <c r="J1044" s="36">
        <v>3</v>
      </c>
      <c r="K1044" s="3">
        <f t="shared" ref="K1044:K1048" si="294">TRUNC($E1044*J1044,1)</f>
        <v>678366</v>
      </c>
    </row>
    <row r="1045" spans="2:13" ht="12.95" customHeight="1" x14ac:dyDescent="0.3">
      <c r="B1045" s="73" t="s">
        <v>8</v>
      </c>
      <c r="C1045" s="74"/>
      <c r="D1045" s="75" t="s">
        <v>28</v>
      </c>
      <c r="E1045" s="51">
        <v>172068</v>
      </c>
      <c r="F1045" s="36">
        <v>1</v>
      </c>
      <c r="G1045" s="3">
        <f t="shared" si="292"/>
        <v>172068</v>
      </c>
      <c r="H1045" s="36">
        <v>1</v>
      </c>
      <c r="I1045" s="3">
        <f t="shared" si="293"/>
        <v>172068</v>
      </c>
      <c r="J1045" s="36">
        <v>1</v>
      </c>
      <c r="K1045" s="3">
        <f t="shared" si="294"/>
        <v>172068</v>
      </c>
    </row>
    <row r="1046" spans="2:13" ht="12.95" customHeight="1" x14ac:dyDescent="0.3">
      <c r="B1046" s="73" t="s">
        <v>92</v>
      </c>
      <c r="C1046" s="74"/>
      <c r="D1046" s="75" t="s">
        <v>28</v>
      </c>
      <c r="E1046" s="51">
        <v>282536</v>
      </c>
      <c r="F1046" s="36">
        <v>1</v>
      </c>
      <c r="G1046" s="3">
        <f t="shared" si="292"/>
        <v>282536</v>
      </c>
      <c r="H1046" s="36">
        <v>1</v>
      </c>
      <c r="I1046" s="3">
        <f t="shared" si="293"/>
        <v>282536</v>
      </c>
      <c r="J1046" s="36">
        <v>1</v>
      </c>
      <c r="K1046" s="3">
        <f t="shared" si="294"/>
        <v>282536</v>
      </c>
    </row>
    <row r="1047" spans="2:13" ht="12.95" customHeight="1" x14ac:dyDescent="0.3">
      <c r="B1047" s="89" t="s">
        <v>39</v>
      </c>
      <c r="C1047" s="89" t="s">
        <v>40</v>
      </c>
      <c r="D1047" s="90" t="s">
        <v>34</v>
      </c>
      <c r="E1047" s="31">
        <v>58925</v>
      </c>
      <c r="F1047" s="36">
        <v>8</v>
      </c>
      <c r="G1047" s="3">
        <f t="shared" si="292"/>
        <v>471400</v>
      </c>
      <c r="H1047" s="36">
        <v>8</v>
      </c>
      <c r="I1047" s="3">
        <f t="shared" si="293"/>
        <v>471400</v>
      </c>
      <c r="J1047" s="36">
        <v>8</v>
      </c>
      <c r="K1047" s="3">
        <f t="shared" si="294"/>
        <v>471400</v>
      </c>
    </row>
    <row r="1048" spans="2:13" ht="12.95" customHeight="1" x14ac:dyDescent="0.3">
      <c r="B1048" s="89" t="s">
        <v>235</v>
      </c>
      <c r="C1048" s="89" t="s">
        <v>241</v>
      </c>
      <c r="D1048" s="90" t="s">
        <v>34</v>
      </c>
      <c r="E1048" s="31">
        <v>49698</v>
      </c>
      <c r="F1048" s="36">
        <v>8</v>
      </c>
      <c r="G1048" s="3">
        <f t="shared" si="292"/>
        <v>397584</v>
      </c>
      <c r="H1048" s="36">
        <v>8</v>
      </c>
      <c r="I1048" s="3">
        <f t="shared" si="293"/>
        <v>397584</v>
      </c>
      <c r="J1048" s="36">
        <v>8</v>
      </c>
      <c r="K1048" s="3">
        <f t="shared" si="294"/>
        <v>397584</v>
      </c>
    </row>
    <row r="1049" spans="2:13" ht="12.95" customHeight="1" x14ac:dyDescent="0.3">
      <c r="B1049" s="77" t="s">
        <v>30</v>
      </c>
      <c r="C1049" s="96"/>
      <c r="D1049" s="97"/>
      <c r="E1049" s="19"/>
      <c r="F1049" s="36"/>
      <c r="G1049" s="20">
        <f>TRUNC(SUM(G1044:G1048))</f>
        <v>2001954</v>
      </c>
      <c r="H1049" s="36"/>
      <c r="I1049" s="20">
        <f>TRUNC(SUM(I1044:I1048))</f>
        <v>2001954</v>
      </c>
      <c r="J1049" s="36"/>
      <c r="K1049" s="20">
        <f>TRUNC(SUM(K1044:K1048))</f>
        <v>2001954</v>
      </c>
    </row>
    <row r="1050" spans="2:13" ht="12.95" customHeight="1" x14ac:dyDescent="0.3">
      <c r="B1050" s="79"/>
      <c r="C1050" s="79"/>
      <c r="D1050" s="90"/>
      <c r="E1050" s="98"/>
      <c r="F1050" s="36"/>
      <c r="G1050" s="99"/>
      <c r="H1050" s="36"/>
      <c r="I1050" s="99"/>
      <c r="J1050" s="36"/>
      <c r="K1050" s="99"/>
    </row>
    <row r="1051" spans="2:13" ht="12.95" customHeight="1" x14ac:dyDescent="0.3">
      <c r="B1051" s="89" t="s">
        <v>39</v>
      </c>
      <c r="C1051" s="89" t="s">
        <v>40</v>
      </c>
      <c r="D1051" s="90" t="s">
        <v>34</v>
      </c>
      <c r="E1051" s="31">
        <v>59751</v>
      </c>
      <c r="F1051" s="36">
        <v>8</v>
      </c>
      <c r="G1051" s="3">
        <f t="shared" ref="G1051:G1052" si="295">TRUNC($E1051*F1051,1)</f>
        <v>478008</v>
      </c>
      <c r="H1051" s="36">
        <v>8</v>
      </c>
      <c r="I1051" s="3">
        <f t="shared" ref="I1051:I1052" si="296">TRUNC($E1051*H1051,1)</f>
        <v>478008</v>
      </c>
      <c r="J1051" s="36">
        <v>8</v>
      </c>
      <c r="K1051" s="3">
        <f t="shared" ref="K1051:K1052" si="297">TRUNC($E1051*J1051,1)</f>
        <v>478008</v>
      </c>
    </row>
    <row r="1052" spans="2:13" ht="12.95" customHeight="1" x14ac:dyDescent="0.3">
      <c r="B1052" s="89" t="s">
        <v>235</v>
      </c>
      <c r="C1052" s="89" t="s">
        <v>241</v>
      </c>
      <c r="D1052" s="90" t="s">
        <v>34</v>
      </c>
      <c r="E1052" s="31">
        <v>17396</v>
      </c>
      <c r="F1052" s="36">
        <v>8</v>
      </c>
      <c r="G1052" s="3">
        <f t="shared" si="295"/>
        <v>139168</v>
      </c>
      <c r="H1052" s="36">
        <v>8</v>
      </c>
      <c r="I1052" s="3">
        <f t="shared" si="296"/>
        <v>139168</v>
      </c>
      <c r="J1052" s="36">
        <v>8</v>
      </c>
      <c r="K1052" s="3">
        <f t="shared" si="297"/>
        <v>139168</v>
      </c>
    </row>
    <row r="1053" spans="2:13" ht="12.95" customHeight="1" x14ac:dyDescent="0.3">
      <c r="B1053" s="93" t="s">
        <v>31</v>
      </c>
      <c r="C1053" s="96"/>
      <c r="D1053" s="104"/>
      <c r="E1053" s="19"/>
      <c r="F1053" s="138"/>
      <c r="G1053" s="20">
        <f>TRUNC(SUM(G1051:G1052))</f>
        <v>617176</v>
      </c>
      <c r="H1053" s="138"/>
      <c r="I1053" s="20">
        <f>TRUNC(SUM(I1051:I1052))</f>
        <v>617176</v>
      </c>
      <c r="J1053" s="138"/>
      <c r="K1053" s="20">
        <f>TRUNC(SUM(K1051:K1052))</f>
        <v>617176</v>
      </c>
    </row>
    <row r="1054" spans="2:13" ht="12.95" customHeight="1" x14ac:dyDescent="0.3">
      <c r="B1054" s="79"/>
      <c r="C1054" s="79"/>
      <c r="D1054" s="90"/>
      <c r="E1054" s="98"/>
      <c r="F1054" s="98"/>
      <c r="G1054" s="99"/>
      <c r="H1054" s="98"/>
      <c r="I1054" s="99"/>
      <c r="J1054" s="98"/>
      <c r="K1054" s="99"/>
    </row>
    <row r="1055" spans="2:13" ht="12.95" customHeight="1" x14ac:dyDescent="0.3">
      <c r="B1055" s="82" t="s">
        <v>33</v>
      </c>
      <c r="C1055" s="79"/>
      <c r="D1055" s="90"/>
      <c r="E1055" s="152"/>
      <c r="F1055" s="153"/>
      <c r="G1055" s="53">
        <f>SUM(G1042+G1049+G1053)</f>
        <v>2800031</v>
      </c>
      <c r="H1055" s="153"/>
      <c r="I1055" s="53">
        <f>SUM(I1042+I1049+I1053)</f>
        <v>2800031</v>
      </c>
      <c r="J1055" s="153"/>
      <c r="K1055" s="53">
        <f>SUM(K1042+K1049+K1053)</f>
        <v>2800031</v>
      </c>
    </row>
    <row r="1056" spans="2:13" ht="12.95" customHeight="1" x14ac:dyDescent="0.3">
      <c r="B1056" s="84" t="s">
        <v>325</v>
      </c>
      <c r="C1056" s="85"/>
      <c r="D1056" s="86"/>
      <c r="E1056" s="87"/>
      <c r="F1056" s="88"/>
      <c r="G1056" s="7">
        <f>TRUNC(G1055/G1037)</f>
        <v>933343</v>
      </c>
      <c r="H1056" s="88"/>
      <c r="I1056" s="7">
        <f>TRUNC(I1055/I1037)</f>
        <v>1120012</v>
      </c>
      <c r="J1056" s="88"/>
      <c r="K1056" s="7">
        <f>TRUNC(K1055/K1037)</f>
        <v>1400015</v>
      </c>
      <c r="L1056" s="4"/>
      <c r="M1056" s="4"/>
    </row>
    <row r="1057" spans="2:13" ht="12.95" customHeight="1" x14ac:dyDescent="0.3">
      <c r="B1057" s="176" t="s">
        <v>21</v>
      </c>
      <c r="C1057" s="170" t="s">
        <v>25</v>
      </c>
      <c r="D1057" s="170" t="s">
        <v>26</v>
      </c>
      <c r="E1057" s="170" t="s">
        <v>22</v>
      </c>
      <c r="F1057" s="180" t="s">
        <v>331</v>
      </c>
      <c r="G1057" s="181"/>
      <c r="H1057" s="181"/>
      <c r="I1057" s="181"/>
      <c r="J1057" s="181"/>
      <c r="K1057" s="181"/>
      <c r="L1057" s="11"/>
      <c r="M1057" s="11"/>
    </row>
    <row r="1058" spans="2:13" ht="12.95" customHeight="1" x14ac:dyDescent="0.3">
      <c r="B1058" s="177"/>
      <c r="C1058" s="179"/>
      <c r="D1058" s="179"/>
      <c r="E1058" s="179"/>
      <c r="F1058" s="185" t="s">
        <v>326</v>
      </c>
      <c r="G1058" s="186"/>
      <c r="H1058" s="185" t="s">
        <v>327</v>
      </c>
      <c r="I1058" s="186"/>
      <c r="J1058" s="185" t="s">
        <v>328</v>
      </c>
      <c r="K1058" s="186"/>
    </row>
    <row r="1059" spans="2:13" ht="12.95" customHeight="1" x14ac:dyDescent="0.3">
      <c r="B1059" s="177"/>
      <c r="C1059" s="179"/>
      <c r="D1059" s="179"/>
      <c r="E1059" s="179"/>
      <c r="F1059" s="68" t="s">
        <v>324</v>
      </c>
      <c r="G1059" s="145">
        <v>2.5</v>
      </c>
      <c r="H1059" s="68" t="s">
        <v>324</v>
      </c>
      <c r="I1059" s="145">
        <v>2</v>
      </c>
      <c r="J1059" s="68" t="s">
        <v>324</v>
      </c>
      <c r="K1059" s="145">
        <v>1.7</v>
      </c>
    </row>
    <row r="1060" spans="2:13" ht="12.95" customHeight="1" x14ac:dyDescent="0.3">
      <c r="B1060" s="178"/>
      <c r="C1060" s="171"/>
      <c r="D1060" s="171"/>
      <c r="E1060" s="171"/>
      <c r="F1060" s="71" t="s">
        <v>287</v>
      </c>
      <c r="G1060" s="72" t="s">
        <v>288</v>
      </c>
      <c r="H1060" s="71" t="s">
        <v>287</v>
      </c>
      <c r="I1060" s="72" t="s">
        <v>288</v>
      </c>
      <c r="J1060" s="71" t="s">
        <v>287</v>
      </c>
      <c r="K1060" s="72" t="s">
        <v>288</v>
      </c>
      <c r="L1060" s="4"/>
      <c r="M1060" s="4"/>
    </row>
    <row r="1061" spans="2:13" ht="12.95" customHeight="1" x14ac:dyDescent="0.3">
      <c r="B1061" s="89" t="s">
        <v>39</v>
      </c>
      <c r="C1061" s="89" t="s">
        <v>40</v>
      </c>
      <c r="D1061" s="90" t="s">
        <v>34</v>
      </c>
      <c r="E1061" s="31">
        <v>12764</v>
      </c>
      <c r="F1061" s="36">
        <v>8</v>
      </c>
      <c r="G1061" s="3">
        <f t="shared" ref="G1061:G1062" si="298">TRUNC($E1061*F1061,1)</f>
        <v>102112</v>
      </c>
      <c r="H1061" s="36">
        <v>8</v>
      </c>
      <c r="I1061" s="3">
        <f t="shared" ref="I1061:I1062" si="299">TRUNC($E1061*H1061,1)</f>
        <v>102112</v>
      </c>
      <c r="J1061" s="36">
        <v>8</v>
      </c>
      <c r="K1061" s="3">
        <f t="shared" ref="K1061:K1062" si="300">TRUNC($E1061*J1061,1)</f>
        <v>102112</v>
      </c>
    </row>
    <row r="1062" spans="2:13" ht="12.95" customHeight="1" x14ac:dyDescent="0.3">
      <c r="B1062" s="89" t="s">
        <v>235</v>
      </c>
      <c r="C1062" s="89" t="s">
        <v>241</v>
      </c>
      <c r="D1062" s="90" t="s">
        <v>34</v>
      </c>
      <c r="E1062" s="31">
        <v>5600</v>
      </c>
      <c r="F1062" s="36">
        <v>8</v>
      </c>
      <c r="G1062" s="3">
        <f t="shared" si="298"/>
        <v>44800</v>
      </c>
      <c r="H1062" s="36">
        <v>8</v>
      </c>
      <c r="I1062" s="3">
        <f t="shared" si="299"/>
        <v>44800</v>
      </c>
      <c r="J1062" s="36">
        <v>8</v>
      </c>
      <c r="K1062" s="3">
        <f t="shared" si="300"/>
        <v>44800</v>
      </c>
    </row>
    <row r="1063" spans="2:13" ht="12.95" customHeight="1" x14ac:dyDescent="0.3">
      <c r="B1063" s="89" t="s">
        <v>27</v>
      </c>
      <c r="C1063" s="91" t="s">
        <v>32</v>
      </c>
      <c r="D1063" s="90" t="s">
        <v>35</v>
      </c>
      <c r="E1063" s="92"/>
      <c r="F1063" s="36">
        <v>1</v>
      </c>
      <c r="G1063" s="6">
        <f>TRUNC(SUM(G1066:G1068)*0.03,1)</f>
        <v>33989.1</v>
      </c>
      <c r="H1063" s="36">
        <v>1</v>
      </c>
      <c r="I1063" s="6">
        <f>TRUNC(SUM(I1066:I1068)*0.03,1)</f>
        <v>33989.1</v>
      </c>
      <c r="J1063" s="36">
        <v>1</v>
      </c>
      <c r="K1063" s="6">
        <f>TRUNC(SUM(K1066:K1068)*0.03,1)</f>
        <v>33989.1</v>
      </c>
    </row>
    <row r="1064" spans="2:13" ht="12.95" customHeight="1" x14ac:dyDescent="0.3">
      <c r="B1064" s="93" t="s">
        <v>29</v>
      </c>
      <c r="C1064" s="96"/>
      <c r="D1064" s="97"/>
      <c r="E1064" s="138"/>
      <c r="F1064" s="36"/>
      <c r="G1064" s="20">
        <f>TRUNC(SUM(G1061:G1063))</f>
        <v>180901</v>
      </c>
      <c r="H1064" s="36"/>
      <c r="I1064" s="20">
        <f>TRUNC(SUM(I1061:I1063))</f>
        <v>180901</v>
      </c>
      <c r="J1064" s="36"/>
      <c r="K1064" s="20">
        <f>TRUNC(SUM(K1061:K1063))</f>
        <v>180901</v>
      </c>
    </row>
    <row r="1065" spans="2:13" ht="12.95" customHeight="1" x14ac:dyDescent="0.3">
      <c r="B1065" s="79"/>
      <c r="C1065" s="79"/>
      <c r="D1065" s="90"/>
      <c r="E1065" s="98"/>
      <c r="F1065" s="36"/>
      <c r="G1065" s="99"/>
      <c r="H1065" s="36"/>
      <c r="I1065" s="99"/>
      <c r="J1065" s="36"/>
      <c r="K1065" s="99"/>
    </row>
    <row r="1066" spans="2:13" ht="12.95" customHeight="1" x14ac:dyDescent="0.3">
      <c r="B1066" s="73" t="s">
        <v>42</v>
      </c>
      <c r="C1066" s="74"/>
      <c r="D1066" s="75" t="s">
        <v>28</v>
      </c>
      <c r="E1066" s="51">
        <v>226122</v>
      </c>
      <c r="F1066" s="36">
        <v>3</v>
      </c>
      <c r="G1066" s="3">
        <f t="shared" ref="G1066:G1070" si="301">TRUNC($E1066*F1066,1)</f>
        <v>678366</v>
      </c>
      <c r="H1066" s="36">
        <v>3</v>
      </c>
      <c r="I1066" s="3">
        <f t="shared" ref="I1066:I1070" si="302">TRUNC($E1066*H1066,1)</f>
        <v>678366</v>
      </c>
      <c r="J1066" s="36">
        <v>3</v>
      </c>
      <c r="K1066" s="3">
        <f t="shared" ref="K1066:K1070" si="303">TRUNC($E1066*J1066,1)</f>
        <v>678366</v>
      </c>
    </row>
    <row r="1067" spans="2:13" ht="12.95" customHeight="1" x14ac:dyDescent="0.3">
      <c r="B1067" s="73" t="s">
        <v>8</v>
      </c>
      <c r="C1067" s="74"/>
      <c r="D1067" s="75" t="s">
        <v>28</v>
      </c>
      <c r="E1067" s="51">
        <v>172068</v>
      </c>
      <c r="F1067" s="36">
        <v>1</v>
      </c>
      <c r="G1067" s="3">
        <f t="shared" si="301"/>
        <v>172068</v>
      </c>
      <c r="H1067" s="36">
        <v>1</v>
      </c>
      <c r="I1067" s="3">
        <f t="shared" si="302"/>
        <v>172068</v>
      </c>
      <c r="J1067" s="36">
        <v>1</v>
      </c>
      <c r="K1067" s="3">
        <f t="shared" si="303"/>
        <v>172068</v>
      </c>
    </row>
    <row r="1068" spans="2:13" ht="12.95" customHeight="1" x14ac:dyDescent="0.3">
      <c r="B1068" s="73" t="s">
        <v>92</v>
      </c>
      <c r="C1068" s="74"/>
      <c r="D1068" s="75" t="s">
        <v>28</v>
      </c>
      <c r="E1068" s="51">
        <v>282536</v>
      </c>
      <c r="F1068" s="36">
        <v>1</v>
      </c>
      <c r="G1068" s="3">
        <f t="shared" si="301"/>
        <v>282536</v>
      </c>
      <c r="H1068" s="36">
        <v>1</v>
      </c>
      <c r="I1068" s="3">
        <f t="shared" si="302"/>
        <v>282536</v>
      </c>
      <c r="J1068" s="36">
        <v>1</v>
      </c>
      <c r="K1068" s="3">
        <f t="shared" si="303"/>
        <v>282536</v>
      </c>
    </row>
    <row r="1069" spans="2:13" ht="12.95" customHeight="1" x14ac:dyDescent="0.3">
      <c r="B1069" s="89" t="s">
        <v>39</v>
      </c>
      <c r="C1069" s="89" t="s">
        <v>40</v>
      </c>
      <c r="D1069" s="90" t="s">
        <v>34</v>
      </c>
      <c r="E1069" s="31">
        <v>58925</v>
      </c>
      <c r="F1069" s="36">
        <v>8</v>
      </c>
      <c r="G1069" s="3">
        <f t="shared" si="301"/>
        <v>471400</v>
      </c>
      <c r="H1069" s="36">
        <v>8</v>
      </c>
      <c r="I1069" s="3">
        <f t="shared" si="302"/>
        <v>471400</v>
      </c>
      <c r="J1069" s="36">
        <v>8</v>
      </c>
      <c r="K1069" s="3">
        <f t="shared" si="303"/>
        <v>471400</v>
      </c>
    </row>
    <row r="1070" spans="2:13" ht="12.95" customHeight="1" x14ac:dyDescent="0.3">
      <c r="B1070" s="89" t="s">
        <v>235</v>
      </c>
      <c r="C1070" s="89" t="s">
        <v>241</v>
      </c>
      <c r="D1070" s="90" t="s">
        <v>34</v>
      </c>
      <c r="E1070" s="31">
        <v>49698</v>
      </c>
      <c r="F1070" s="36">
        <v>8</v>
      </c>
      <c r="G1070" s="3">
        <f t="shared" si="301"/>
        <v>397584</v>
      </c>
      <c r="H1070" s="36">
        <v>8</v>
      </c>
      <c r="I1070" s="3">
        <f t="shared" si="302"/>
        <v>397584</v>
      </c>
      <c r="J1070" s="36">
        <v>8</v>
      </c>
      <c r="K1070" s="3">
        <f t="shared" si="303"/>
        <v>397584</v>
      </c>
    </row>
    <row r="1071" spans="2:13" ht="12.95" customHeight="1" x14ac:dyDescent="0.3">
      <c r="B1071" s="77" t="s">
        <v>30</v>
      </c>
      <c r="C1071" s="96"/>
      <c r="D1071" s="97"/>
      <c r="E1071" s="19"/>
      <c r="F1071" s="36"/>
      <c r="G1071" s="20">
        <f>TRUNC(SUM(G1066:G1070))</f>
        <v>2001954</v>
      </c>
      <c r="H1071" s="36"/>
      <c r="I1071" s="20">
        <f>TRUNC(SUM(I1066:I1070))</f>
        <v>2001954</v>
      </c>
      <c r="J1071" s="36"/>
      <c r="K1071" s="20">
        <f>TRUNC(SUM(K1066:K1070))</f>
        <v>2001954</v>
      </c>
    </row>
    <row r="1072" spans="2:13" ht="12.95" customHeight="1" x14ac:dyDescent="0.3">
      <c r="B1072" s="79"/>
      <c r="C1072" s="79"/>
      <c r="D1072" s="90"/>
      <c r="E1072" s="98"/>
      <c r="F1072" s="36"/>
      <c r="G1072" s="99"/>
      <c r="H1072" s="36"/>
      <c r="I1072" s="99"/>
      <c r="J1072" s="36"/>
      <c r="K1072" s="99"/>
    </row>
    <row r="1073" spans="2:13" ht="12.95" customHeight="1" x14ac:dyDescent="0.3">
      <c r="B1073" s="89" t="s">
        <v>39</v>
      </c>
      <c r="C1073" s="89" t="s">
        <v>40</v>
      </c>
      <c r="D1073" s="90" t="s">
        <v>34</v>
      </c>
      <c r="E1073" s="31">
        <v>59751</v>
      </c>
      <c r="F1073" s="36">
        <v>8</v>
      </c>
      <c r="G1073" s="3">
        <f t="shared" ref="G1073:G1074" si="304">TRUNC($E1073*F1073,1)</f>
        <v>478008</v>
      </c>
      <c r="H1073" s="36">
        <v>8</v>
      </c>
      <c r="I1073" s="3">
        <f t="shared" ref="I1073:I1074" si="305">TRUNC($E1073*H1073,1)</f>
        <v>478008</v>
      </c>
      <c r="J1073" s="36">
        <v>8</v>
      </c>
      <c r="K1073" s="3">
        <f t="shared" ref="K1073:K1074" si="306">TRUNC($E1073*J1073,1)</f>
        <v>478008</v>
      </c>
    </row>
    <row r="1074" spans="2:13" ht="12.95" customHeight="1" x14ac:dyDescent="0.3">
      <c r="B1074" s="89" t="s">
        <v>235</v>
      </c>
      <c r="C1074" s="89" t="s">
        <v>241</v>
      </c>
      <c r="D1074" s="90" t="s">
        <v>34</v>
      </c>
      <c r="E1074" s="31">
        <v>17396</v>
      </c>
      <c r="F1074" s="36">
        <v>8</v>
      </c>
      <c r="G1074" s="3">
        <f t="shared" si="304"/>
        <v>139168</v>
      </c>
      <c r="H1074" s="36">
        <v>8</v>
      </c>
      <c r="I1074" s="3">
        <f t="shared" si="305"/>
        <v>139168</v>
      </c>
      <c r="J1074" s="36">
        <v>8</v>
      </c>
      <c r="K1074" s="3">
        <f t="shared" si="306"/>
        <v>139168</v>
      </c>
    </row>
    <row r="1075" spans="2:13" ht="12.95" customHeight="1" x14ac:dyDescent="0.3">
      <c r="B1075" s="93" t="s">
        <v>31</v>
      </c>
      <c r="C1075" s="96"/>
      <c r="D1075" s="104"/>
      <c r="E1075" s="19"/>
      <c r="F1075" s="138"/>
      <c r="G1075" s="20">
        <f>TRUNC(SUM(G1073:G1074))</f>
        <v>617176</v>
      </c>
      <c r="H1075" s="138"/>
      <c r="I1075" s="20">
        <f>TRUNC(SUM(I1073:I1074))</f>
        <v>617176</v>
      </c>
      <c r="J1075" s="138"/>
      <c r="K1075" s="20">
        <f>TRUNC(SUM(K1073:K1074))</f>
        <v>617176</v>
      </c>
    </row>
    <row r="1076" spans="2:13" ht="12.95" customHeight="1" x14ac:dyDescent="0.3">
      <c r="B1076" s="79"/>
      <c r="C1076" s="79"/>
      <c r="D1076" s="90"/>
      <c r="E1076" s="98"/>
      <c r="F1076" s="98"/>
      <c r="G1076" s="99"/>
      <c r="H1076" s="98"/>
      <c r="I1076" s="99"/>
      <c r="J1076" s="98"/>
      <c r="K1076" s="99"/>
    </row>
    <row r="1077" spans="2:13" ht="12.95" customHeight="1" x14ac:dyDescent="0.3">
      <c r="B1077" s="82" t="s">
        <v>33</v>
      </c>
      <c r="C1077" s="79"/>
      <c r="D1077" s="90"/>
      <c r="E1077" s="152"/>
      <c r="F1077" s="153"/>
      <c r="G1077" s="53">
        <f>SUM(G1064+G1071+G1075)</f>
        <v>2800031</v>
      </c>
      <c r="H1077" s="153"/>
      <c r="I1077" s="53">
        <f>SUM(I1064+I1071+I1075)</f>
        <v>2800031</v>
      </c>
      <c r="J1077" s="153"/>
      <c r="K1077" s="53">
        <f>SUM(K1064+K1071+K1075)</f>
        <v>2800031</v>
      </c>
    </row>
    <row r="1078" spans="2:13" ht="12.95" customHeight="1" x14ac:dyDescent="0.3">
      <c r="B1078" s="84" t="s">
        <v>325</v>
      </c>
      <c r="C1078" s="85"/>
      <c r="D1078" s="86"/>
      <c r="E1078" s="87"/>
      <c r="F1078" s="88"/>
      <c r="G1078" s="7">
        <f>TRUNC(G1077/G1059)</f>
        <v>1120012</v>
      </c>
      <c r="H1078" s="88"/>
      <c r="I1078" s="7">
        <f>TRUNC(I1077/I1059)</f>
        <v>1400015</v>
      </c>
      <c r="J1078" s="88"/>
      <c r="K1078" s="7">
        <f>TRUNC(K1077/K1059)</f>
        <v>1647077</v>
      </c>
      <c r="L1078" s="4"/>
      <c r="M1078" s="4"/>
    </row>
    <row r="1079" spans="2:13" ht="12.95" customHeight="1" x14ac:dyDescent="0.3">
      <c r="B1079" s="176" t="s">
        <v>21</v>
      </c>
      <c r="C1079" s="170" t="s">
        <v>25</v>
      </c>
      <c r="D1079" s="170" t="s">
        <v>26</v>
      </c>
      <c r="E1079" s="170" t="s">
        <v>22</v>
      </c>
      <c r="F1079" s="180" t="s">
        <v>332</v>
      </c>
      <c r="G1079" s="181"/>
      <c r="H1079" s="181"/>
      <c r="I1079" s="181"/>
      <c r="J1079" s="181"/>
      <c r="K1079" s="181"/>
      <c r="L1079" s="11"/>
      <c r="M1079" s="11"/>
    </row>
    <row r="1080" spans="2:13" ht="12.95" customHeight="1" x14ac:dyDescent="0.3">
      <c r="B1080" s="177"/>
      <c r="C1080" s="179"/>
      <c r="D1080" s="179"/>
      <c r="E1080" s="179"/>
      <c r="F1080" s="185" t="s">
        <v>326</v>
      </c>
      <c r="G1080" s="186"/>
      <c r="H1080" s="185" t="s">
        <v>327</v>
      </c>
      <c r="I1080" s="186"/>
      <c r="J1080" s="185" t="s">
        <v>328</v>
      </c>
      <c r="K1080" s="186"/>
    </row>
    <row r="1081" spans="2:13" ht="12.95" customHeight="1" x14ac:dyDescent="0.3">
      <c r="B1081" s="177"/>
      <c r="C1081" s="179"/>
      <c r="D1081" s="179"/>
      <c r="E1081" s="179"/>
      <c r="F1081" s="68" t="s">
        <v>324</v>
      </c>
      <c r="G1081" s="145">
        <v>2.2999999999999998</v>
      </c>
      <c r="H1081" s="68" t="s">
        <v>324</v>
      </c>
      <c r="I1081" s="145">
        <v>1.8</v>
      </c>
      <c r="J1081" s="68" t="s">
        <v>324</v>
      </c>
      <c r="K1081" s="145">
        <v>1.5</v>
      </c>
    </row>
    <row r="1082" spans="2:13" ht="12.95" customHeight="1" x14ac:dyDescent="0.3">
      <c r="B1082" s="178"/>
      <c r="C1082" s="171"/>
      <c r="D1082" s="171"/>
      <c r="E1082" s="171"/>
      <c r="F1082" s="71" t="s">
        <v>287</v>
      </c>
      <c r="G1082" s="72" t="s">
        <v>288</v>
      </c>
      <c r="H1082" s="71" t="s">
        <v>287</v>
      </c>
      <c r="I1082" s="72" t="s">
        <v>288</v>
      </c>
      <c r="J1082" s="71" t="s">
        <v>287</v>
      </c>
      <c r="K1082" s="72" t="s">
        <v>288</v>
      </c>
      <c r="L1082" s="4"/>
      <c r="M1082" s="4"/>
    </row>
    <row r="1083" spans="2:13" ht="12.95" customHeight="1" x14ac:dyDescent="0.3">
      <c r="B1083" s="89" t="s">
        <v>39</v>
      </c>
      <c r="C1083" s="89" t="s">
        <v>40</v>
      </c>
      <c r="D1083" s="90" t="s">
        <v>34</v>
      </c>
      <c r="E1083" s="31">
        <v>12764</v>
      </c>
      <c r="F1083" s="36">
        <v>8</v>
      </c>
      <c r="G1083" s="3">
        <f t="shared" ref="G1083:G1084" si="307">TRUNC($E1083*F1083,1)</f>
        <v>102112</v>
      </c>
      <c r="H1083" s="36">
        <v>8</v>
      </c>
      <c r="I1083" s="3">
        <f t="shared" ref="I1083:I1084" si="308">TRUNC($E1083*H1083,1)</f>
        <v>102112</v>
      </c>
      <c r="J1083" s="36">
        <v>8</v>
      </c>
      <c r="K1083" s="3">
        <f t="shared" ref="K1083:K1084" si="309">TRUNC($E1083*J1083,1)</f>
        <v>102112</v>
      </c>
    </row>
    <row r="1084" spans="2:13" ht="12.95" customHeight="1" x14ac:dyDescent="0.3">
      <c r="B1084" s="89" t="s">
        <v>235</v>
      </c>
      <c r="C1084" s="89" t="s">
        <v>241</v>
      </c>
      <c r="D1084" s="90" t="s">
        <v>34</v>
      </c>
      <c r="E1084" s="31">
        <v>5600</v>
      </c>
      <c r="F1084" s="36">
        <v>8</v>
      </c>
      <c r="G1084" s="3">
        <f t="shared" si="307"/>
        <v>44800</v>
      </c>
      <c r="H1084" s="36">
        <v>8</v>
      </c>
      <c r="I1084" s="3">
        <f t="shared" si="308"/>
        <v>44800</v>
      </c>
      <c r="J1084" s="36">
        <v>8</v>
      </c>
      <c r="K1084" s="3">
        <f t="shared" si="309"/>
        <v>44800</v>
      </c>
    </row>
    <row r="1085" spans="2:13" ht="12.95" customHeight="1" x14ac:dyDescent="0.3">
      <c r="B1085" s="89" t="s">
        <v>27</v>
      </c>
      <c r="C1085" s="91" t="s">
        <v>32</v>
      </c>
      <c r="D1085" s="90" t="s">
        <v>35</v>
      </c>
      <c r="E1085" s="92"/>
      <c r="F1085" s="36">
        <v>1</v>
      </c>
      <c r="G1085" s="6">
        <f>TRUNC(SUM(G1088:G1090)*0.03,1)</f>
        <v>40772.699999999997</v>
      </c>
      <c r="H1085" s="36">
        <v>1</v>
      </c>
      <c r="I1085" s="6">
        <f>TRUNC(SUM(I1088:I1090)*0.03,1)</f>
        <v>40772.699999999997</v>
      </c>
      <c r="J1085" s="36">
        <v>1</v>
      </c>
      <c r="K1085" s="6">
        <f>TRUNC(SUM(K1088:K1090)*0.03,1)</f>
        <v>40772.699999999997</v>
      </c>
    </row>
    <row r="1086" spans="2:13" ht="12.95" customHeight="1" x14ac:dyDescent="0.3">
      <c r="B1086" s="93" t="s">
        <v>29</v>
      </c>
      <c r="C1086" s="96"/>
      <c r="D1086" s="97"/>
      <c r="E1086" s="138"/>
      <c r="F1086" s="36"/>
      <c r="G1086" s="20">
        <f>TRUNC(SUM(G1083:G1085))</f>
        <v>187684</v>
      </c>
      <c r="H1086" s="36"/>
      <c r="I1086" s="20">
        <f>TRUNC(SUM(I1083:I1085))</f>
        <v>187684</v>
      </c>
      <c r="J1086" s="36"/>
      <c r="K1086" s="20">
        <f>TRUNC(SUM(K1083:K1085))</f>
        <v>187684</v>
      </c>
    </row>
    <row r="1087" spans="2:13" ht="12.95" customHeight="1" x14ac:dyDescent="0.3">
      <c r="B1087" s="79"/>
      <c r="C1087" s="79"/>
      <c r="D1087" s="90"/>
      <c r="E1087" s="98"/>
      <c r="F1087" s="36"/>
      <c r="G1087" s="99"/>
      <c r="H1087" s="36"/>
      <c r="I1087" s="99"/>
      <c r="J1087" s="36"/>
      <c r="K1087" s="99"/>
    </row>
    <row r="1088" spans="2:13" ht="12.95" customHeight="1" x14ac:dyDescent="0.3">
      <c r="B1088" s="73" t="s">
        <v>42</v>
      </c>
      <c r="C1088" s="74"/>
      <c r="D1088" s="75" t="s">
        <v>28</v>
      </c>
      <c r="E1088" s="51">
        <v>226122</v>
      </c>
      <c r="F1088" s="36">
        <v>4</v>
      </c>
      <c r="G1088" s="3">
        <f t="shared" ref="G1088:G1092" si="310">TRUNC($E1088*F1088,1)</f>
        <v>904488</v>
      </c>
      <c r="H1088" s="36">
        <v>4</v>
      </c>
      <c r="I1088" s="3">
        <f t="shared" ref="I1088:I1092" si="311">TRUNC($E1088*H1088,1)</f>
        <v>904488</v>
      </c>
      <c r="J1088" s="36">
        <v>4</v>
      </c>
      <c r="K1088" s="3">
        <f t="shared" ref="K1088:K1092" si="312">TRUNC($E1088*J1088,1)</f>
        <v>904488</v>
      </c>
    </row>
    <row r="1089" spans="2:13" ht="12.95" customHeight="1" x14ac:dyDescent="0.3">
      <c r="B1089" s="73" t="s">
        <v>8</v>
      </c>
      <c r="C1089" s="74"/>
      <c r="D1089" s="75" t="s">
        <v>28</v>
      </c>
      <c r="E1089" s="51">
        <v>172068</v>
      </c>
      <c r="F1089" s="36">
        <v>1</v>
      </c>
      <c r="G1089" s="3">
        <f t="shared" si="310"/>
        <v>172068</v>
      </c>
      <c r="H1089" s="36">
        <v>1</v>
      </c>
      <c r="I1089" s="3">
        <f t="shared" si="311"/>
        <v>172068</v>
      </c>
      <c r="J1089" s="36">
        <v>1</v>
      </c>
      <c r="K1089" s="3">
        <f t="shared" si="312"/>
        <v>172068</v>
      </c>
    </row>
    <row r="1090" spans="2:13" ht="12.95" customHeight="1" x14ac:dyDescent="0.3">
      <c r="B1090" s="73" t="s">
        <v>92</v>
      </c>
      <c r="C1090" s="74"/>
      <c r="D1090" s="75" t="s">
        <v>28</v>
      </c>
      <c r="E1090" s="51">
        <v>282536</v>
      </c>
      <c r="F1090" s="36">
        <v>1</v>
      </c>
      <c r="G1090" s="3">
        <f t="shared" si="310"/>
        <v>282536</v>
      </c>
      <c r="H1090" s="36">
        <v>1</v>
      </c>
      <c r="I1090" s="3">
        <f t="shared" si="311"/>
        <v>282536</v>
      </c>
      <c r="J1090" s="36">
        <v>1</v>
      </c>
      <c r="K1090" s="3">
        <f t="shared" si="312"/>
        <v>282536</v>
      </c>
    </row>
    <row r="1091" spans="2:13" ht="12.95" customHeight="1" x14ac:dyDescent="0.3">
      <c r="B1091" s="89" t="s">
        <v>39</v>
      </c>
      <c r="C1091" s="89" t="s">
        <v>40</v>
      </c>
      <c r="D1091" s="90" t="s">
        <v>34</v>
      </c>
      <c r="E1091" s="31">
        <v>58925</v>
      </c>
      <c r="F1091" s="36">
        <v>8</v>
      </c>
      <c r="G1091" s="3">
        <f t="shared" si="310"/>
        <v>471400</v>
      </c>
      <c r="H1091" s="36">
        <v>8</v>
      </c>
      <c r="I1091" s="3">
        <f t="shared" si="311"/>
        <v>471400</v>
      </c>
      <c r="J1091" s="36">
        <v>8</v>
      </c>
      <c r="K1091" s="3">
        <f t="shared" si="312"/>
        <v>471400</v>
      </c>
    </row>
    <row r="1092" spans="2:13" ht="12.95" customHeight="1" x14ac:dyDescent="0.3">
      <c r="B1092" s="89" t="s">
        <v>235</v>
      </c>
      <c r="C1092" s="89" t="s">
        <v>241</v>
      </c>
      <c r="D1092" s="90" t="s">
        <v>34</v>
      </c>
      <c r="E1092" s="31">
        <v>49698</v>
      </c>
      <c r="F1092" s="36">
        <v>8</v>
      </c>
      <c r="G1092" s="3">
        <f t="shared" si="310"/>
        <v>397584</v>
      </c>
      <c r="H1092" s="36">
        <v>8</v>
      </c>
      <c r="I1092" s="3">
        <f t="shared" si="311"/>
        <v>397584</v>
      </c>
      <c r="J1092" s="36">
        <v>8</v>
      </c>
      <c r="K1092" s="3">
        <f t="shared" si="312"/>
        <v>397584</v>
      </c>
    </row>
    <row r="1093" spans="2:13" ht="12.95" customHeight="1" x14ac:dyDescent="0.3">
      <c r="B1093" s="77" t="s">
        <v>30</v>
      </c>
      <c r="C1093" s="96"/>
      <c r="D1093" s="97"/>
      <c r="E1093" s="19"/>
      <c r="F1093" s="36"/>
      <c r="G1093" s="20">
        <f>TRUNC(SUM(G1088:G1092))</f>
        <v>2228076</v>
      </c>
      <c r="H1093" s="36"/>
      <c r="I1093" s="20">
        <f>TRUNC(SUM(I1088:I1092))</f>
        <v>2228076</v>
      </c>
      <c r="J1093" s="36"/>
      <c r="K1093" s="20">
        <f>TRUNC(SUM(K1088:K1092))</f>
        <v>2228076</v>
      </c>
    </row>
    <row r="1094" spans="2:13" ht="12.95" customHeight="1" x14ac:dyDescent="0.3">
      <c r="B1094" s="79"/>
      <c r="C1094" s="79"/>
      <c r="D1094" s="90"/>
      <c r="E1094" s="98"/>
      <c r="F1094" s="36"/>
      <c r="G1094" s="99"/>
      <c r="H1094" s="36"/>
      <c r="I1094" s="99"/>
      <c r="J1094" s="36"/>
      <c r="K1094" s="99"/>
    </row>
    <row r="1095" spans="2:13" ht="12.95" customHeight="1" x14ac:dyDescent="0.3">
      <c r="B1095" s="89" t="s">
        <v>39</v>
      </c>
      <c r="C1095" s="89" t="s">
        <v>40</v>
      </c>
      <c r="D1095" s="90" t="s">
        <v>34</v>
      </c>
      <c r="E1095" s="31">
        <v>59751</v>
      </c>
      <c r="F1095" s="36">
        <v>8</v>
      </c>
      <c r="G1095" s="3">
        <f t="shared" ref="G1095:G1096" si="313">TRUNC($E1095*F1095,1)</f>
        <v>478008</v>
      </c>
      <c r="H1095" s="36">
        <v>8</v>
      </c>
      <c r="I1095" s="3">
        <f t="shared" ref="I1095:I1096" si="314">TRUNC($E1095*H1095,1)</f>
        <v>478008</v>
      </c>
      <c r="J1095" s="36">
        <v>8</v>
      </c>
      <c r="K1095" s="3">
        <f t="shared" ref="K1095:K1096" si="315">TRUNC($E1095*J1095,1)</f>
        <v>478008</v>
      </c>
    </row>
    <row r="1096" spans="2:13" ht="12.95" customHeight="1" x14ac:dyDescent="0.3">
      <c r="B1096" s="89" t="s">
        <v>235</v>
      </c>
      <c r="C1096" s="89" t="s">
        <v>241</v>
      </c>
      <c r="D1096" s="90" t="s">
        <v>34</v>
      </c>
      <c r="E1096" s="31">
        <v>17396</v>
      </c>
      <c r="F1096" s="36">
        <v>8</v>
      </c>
      <c r="G1096" s="3">
        <f t="shared" si="313"/>
        <v>139168</v>
      </c>
      <c r="H1096" s="36">
        <v>8</v>
      </c>
      <c r="I1096" s="3">
        <f t="shared" si="314"/>
        <v>139168</v>
      </c>
      <c r="J1096" s="36">
        <v>8</v>
      </c>
      <c r="K1096" s="3">
        <f t="shared" si="315"/>
        <v>139168</v>
      </c>
    </row>
    <row r="1097" spans="2:13" ht="12.95" customHeight="1" x14ac:dyDescent="0.3">
      <c r="B1097" s="93" t="s">
        <v>31</v>
      </c>
      <c r="C1097" s="96"/>
      <c r="D1097" s="104"/>
      <c r="E1097" s="19"/>
      <c r="F1097" s="138"/>
      <c r="G1097" s="20">
        <f>TRUNC(SUM(G1095:G1096))</f>
        <v>617176</v>
      </c>
      <c r="H1097" s="138"/>
      <c r="I1097" s="20">
        <f>TRUNC(SUM(I1095:I1096))</f>
        <v>617176</v>
      </c>
      <c r="J1097" s="138"/>
      <c r="K1097" s="20">
        <f>TRUNC(SUM(K1095:K1096))</f>
        <v>617176</v>
      </c>
    </row>
    <row r="1098" spans="2:13" ht="12.95" customHeight="1" x14ac:dyDescent="0.3">
      <c r="B1098" s="79"/>
      <c r="C1098" s="79"/>
      <c r="D1098" s="90"/>
      <c r="E1098" s="98"/>
      <c r="F1098" s="98"/>
      <c r="G1098" s="99"/>
      <c r="H1098" s="98"/>
      <c r="I1098" s="99"/>
      <c r="J1098" s="98"/>
      <c r="K1098" s="99"/>
    </row>
    <row r="1099" spans="2:13" ht="12.95" customHeight="1" x14ac:dyDescent="0.3">
      <c r="B1099" s="82" t="s">
        <v>33</v>
      </c>
      <c r="C1099" s="79"/>
      <c r="D1099" s="90"/>
      <c r="E1099" s="152"/>
      <c r="F1099" s="153"/>
      <c r="G1099" s="53">
        <f>SUM(G1086+G1093+G1097)</f>
        <v>3032936</v>
      </c>
      <c r="H1099" s="153"/>
      <c r="I1099" s="53">
        <f>SUM(I1086+I1093+I1097)</f>
        <v>3032936</v>
      </c>
      <c r="J1099" s="153"/>
      <c r="K1099" s="53">
        <f>SUM(K1086+K1093+K1097)</f>
        <v>3032936</v>
      </c>
    </row>
    <row r="1100" spans="2:13" ht="12.95" customHeight="1" x14ac:dyDescent="0.3">
      <c r="B1100" s="84" t="s">
        <v>325</v>
      </c>
      <c r="C1100" s="85"/>
      <c r="D1100" s="86"/>
      <c r="E1100" s="87"/>
      <c r="F1100" s="88"/>
      <c r="G1100" s="7">
        <f>TRUNC(G1099/G1081)</f>
        <v>1318667</v>
      </c>
      <c r="H1100" s="88"/>
      <c r="I1100" s="7">
        <f>TRUNC(I1099/I1081)</f>
        <v>1684964</v>
      </c>
      <c r="J1100" s="88"/>
      <c r="K1100" s="7">
        <f>TRUNC(K1099/K1081)</f>
        <v>2021957</v>
      </c>
      <c r="L1100" s="4"/>
      <c r="M1100" s="4"/>
    </row>
    <row r="1101" spans="2:13" ht="12.95" customHeight="1" x14ac:dyDescent="0.3">
      <c r="B1101" s="176" t="s">
        <v>21</v>
      </c>
      <c r="C1101" s="170" t="s">
        <v>25</v>
      </c>
      <c r="D1101" s="170" t="s">
        <v>26</v>
      </c>
      <c r="E1101" s="170" t="s">
        <v>22</v>
      </c>
      <c r="F1101" s="180" t="s">
        <v>333</v>
      </c>
      <c r="G1101" s="181"/>
      <c r="H1101" s="181"/>
      <c r="I1101" s="181"/>
      <c r="J1101" s="181"/>
      <c r="K1101" s="181"/>
      <c r="L1101" s="11"/>
      <c r="M1101" s="11"/>
    </row>
    <row r="1102" spans="2:13" ht="12.95" customHeight="1" x14ac:dyDescent="0.3">
      <c r="B1102" s="177"/>
      <c r="C1102" s="179"/>
      <c r="D1102" s="179"/>
      <c r="E1102" s="179"/>
      <c r="F1102" s="185" t="s">
        <v>326</v>
      </c>
      <c r="G1102" s="186"/>
      <c r="H1102" s="185" t="s">
        <v>327</v>
      </c>
      <c r="I1102" s="186"/>
      <c r="J1102" s="185" t="s">
        <v>328</v>
      </c>
      <c r="K1102" s="186"/>
    </row>
    <row r="1103" spans="2:13" ht="12.95" customHeight="1" x14ac:dyDescent="0.3">
      <c r="B1103" s="177"/>
      <c r="C1103" s="179"/>
      <c r="D1103" s="179"/>
      <c r="E1103" s="179"/>
      <c r="F1103" s="68" t="s">
        <v>324</v>
      </c>
      <c r="G1103" s="145">
        <v>2</v>
      </c>
      <c r="H1103" s="68" t="s">
        <v>324</v>
      </c>
      <c r="I1103" s="145">
        <v>1.5</v>
      </c>
      <c r="J1103" s="68" t="s">
        <v>324</v>
      </c>
      <c r="K1103" s="145">
        <v>1.3</v>
      </c>
    </row>
    <row r="1104" spans="2:13" ht="12.95" customHeight="1" x14ac:dyDescent="0.3">
      <c r="B1104" s="178"/>
      <c r="C1104" s="171"/>
      <c r="D1104" s="171"/>
      <c r="E1104" s="171"/>
      <c r="F1104" s="71" t="s">
        <v>287</v>
      </c>
      <c r="G1104" s="72" t="s">
        <v>288</v>
      </c>
      <c r="H1104" s="71" t="s">
        <v>287</v>
      </c>
      <c r="I1104" s="72" t="s">
        <v>288</v>
      </c>
      <c r="J1104" s="71" t="s">
        <v>287</v>
      </c>
      <c r="K1104" s="72" t="s">
        <v>288</v>
      </c>
      <c r="L1104" s="4"/>
      <c r="M1104" s="4"/>
    </row>
    <row r="1105" spans="2:11" ht="12.95" customHeight="1" x14ac:dyDescent="0.3">
      <c r="B1105" s="89" t="s">
        <v>39</v>
      </c>
      <c r="C1105" s="89" t="s">
        <v>40</v>
      </c>
      <c r="D1105" s="90" t="s">
        <v>34</v>
      </c>
      <c r="E1105" s="31">
        <v>12764</v>
      </c>
      <c r="F1105" s="36">
        <v>8</v>
      </c>
      <c r="G1105" s="3">
        <f t="shared" ref="G1105:G1106" si="316">TRUNC($E1105*F1105,1)</f>
        <v>102112</v>
      </c>
      <c r="H1105" s="36">
        <v>8</v>
      </c>
      <c r="I1105" s="3">
        <f t="shared" ref="I1105:I1106" si="317">TRUNC($E1105*H1105,1)</f>
        <v>102112</v>
      </c>
      <c r="J1105" s="36">
        <v>8</v>
      </c>
      <c r="K1105" s="3">
        <f t="shared" ref="K1105:K1106" si="318">TRUNC($E1105*J1105,1)</f>
        <v>102112</v>
      </c>
    </row>
    <row r="1106" spans="2:11" ht="12.95" customHeight="1" x14ac:dyDescent="0.3">
      <c r="B1106" s="89" t="s">
        <v>235</v>
      </c>
      <c r="C1106" s="89" t="s">
        <v>241</v>
      </c>
      <c r="D1106" s="90" t="s">
        <v>34</v>
      </c>
      <c r="E1106" s="31">
        <v>5600</v>
      </c>
      <c r="F1106" s="36">
        <v>8</v>
      </c>
      <c r="G1106" s="3">
        <f t="shared" si="316"/>
        <v>44800</v>
      </c>
      <c r="H1106" s="36">
        <v>8</v>
      </c>
      <c r="I1106" s="3">
        <f t="shared" si="317"/>
        <v>44800</v>
      </c>
      <c r="J1106" s="36">
        <v>8</v>
      </c>
      <c r="K1106" s="3">
        <f t="shared" si="318"/>
        <v>44800</v>
      </c>
    </row>
    <row r="1107" spans="2:11" ht="12.95" customHeight="1" x14ac:dyDescent="0.3">
      <c r="B1107" s="89" t="s">
        <v>27</v>
      </c>
      <c r="C1107" s="91" t="s">
        <v>32</v>
      </c>
      <c r="D1107" s="90" t="s">
        <v>35</v>
      </c>
      <c r="E1107" s="92"/>
      <c r="F1107" s="36">
        <v>1</v>
      </c>
      <c r="G1107" s="6">
        <f>TRUNC(SUM(G1110:G1112)*0.03,1)</f>
        <v>40772.699999999997</v>
      </c>
      <c r="H1107" s="36">
        <v>1</v>
      </c>
      <c r="I1107" s="6">
        <f>TRUNC(SUM(I1110:I1112)*0.03,1)</f>
        <v>40772.699999999997</v>
      </c>
      <c r="J1107" s="36">
        <v>1</v>
      </c>
      <c r="K1107" s="6">
        <f>TRUNC(SUM(K1110:K1112)*0.03,1)</f>
        <v>40772.699999999997</v>
      </c>
    </row>
    <row r="1108" spans="2:11" ht="12.95" customHeight="1" x14ac:dyDescent="0.3">
      <c r="B1108" s="93" t="s">
        <v>29</v>
      </c>
      <c r="C1108" s="96"/>
      <c r="D1108" s="97"/>
      <c r="E1108" s="138"/>
      <c r="F1108" s="36"/>
      <c r="G1108" s="20">
        <f>TRUNC(SUM(G1105:G1107))</f>
        <v>187684</v>
      </c>
      <c r="H1108" s="36"/>
      <c r="I1108" s="20">
        <f>TRUNC(SUM(I1105:I1107))</f>
        <v>187684</v>
      </c>
      <c r="J1108" s="36"/>
      <c r="K1108" s="20">
        <f>TRUNC(SUM(K1105:K1107))</f>
        <v>187684</v>
      </c>
    </row>
    <row r="1109" spans="2:11" ht="12.95" customHeight="1" x14ac:dyDescent="0.3">
      <c r="B1109" s="79"/>
      <c r="C1109" s="79"/>
      <c r="D1109" s="90"/>
      <c r="E1109" s="98"/>
      <c r="F1109" s="36"/>
      <c r="G1109" s="99"/>
      <c r="H1109" s="36"/>
      <c r="I1109" s="99"/>
      <c r="J1109" s="36"/>
      <c r="K1109" s="99"/>
    </row>
    <row r="1110" spans="2:11" ht="12.95" customHeight="1" x14ac:dyDescent="0.3">
      <c r="B1110" s="73" t="s">
        <v>42</v>
      </c>
      <c r="C1110" s="74"/>
      <c r="D1110" s="75" t="s">
        <v>28</v>
      </c>
      <c r="E1110" s="51">
        <v>226122</v>
      </c>
      <c r="F1110" s="36">
        <v>4</v>
      </c>
      <c r="G1110" s="3">
        <f t="shared" ref="G1110:G1114" si="319">TRUNC($E1110*F1110,1)</f>
        <v>904488</v>
      </c>
      <c r="H1110" s="36">
        <v>4</v>
      </c>
      <c r="I1110" s="3">
        <f t="shared" ref="I1110:I1114" si="320">TRUNC($E1110*H1110,1)</f>
        <v>904488</v>
      </c>
      <c r="J1110" s="36">
        <v>4</v>
      </c>
      <c r="K1110" s="3">
        <f t="shared" ref="K1110:K1114" si="321">TRUNC($E1110*J1110,1)</f>
        <v>904488</v>
      </c>
    </row>
    <row r="1111" spans="2:11" ht="12.95" customHeight="1" x14ac:dyDescent="0.3">
      <c r="B1111" s="73" t="s">
        <v>8</v>
      </c>
      <c r="C1111" s="74"/>
      <c r="D1111" s="75" t="s">
        <v>28</v>
      </c>
      <c r="E1111" s="51">
        <v>172068</v>
      </c>
      <c r="F1111" s="36">
        <v>1</v>
      </c>
      <c r="G1111" s="3">
        <f t="shared" si="319"/>
        <v>172068</v>
      </c>
      <c r="H1111" s="36">
        <v>1</v>
      </c>
      <c r="I1111" s="3">
        <f t="shared" si="320"/>
        <v>172068</v>
      </c>
      <c r="J1111" s="36">
        <v>1</v>
      </c>
      <c r="K1111" s="3">
        <f t="shared" si="321"/>
        <v>172068</v>
      </c>
    </row>
    <row r="1112" spans="2:11" ht="12.95" customHeight="1" x14ac:dyDescent="0.3">
      <c r="B1112" s="73" t="s">
        <v>92</v>
      </c>
      <c r="C1112" s="74"/>
      <c r="D1112" s="75" t="s">
        <v>28</v>
      </c>
      <c r="E1112" s="51">
        <v>282536</v>
      </c>
      <c r="F1112" s="36">
        <v>1</v>
      </c>
      <c r="G1112" s="3">
        <f t="shared" si="319"/>
        <v>282536</v>
      </c>
      <c r="H1112" s="36">
        <v>1</v>
      </c>
      <c r="I1112" s="3">
        <f t="shared" si="320"/>
        <v>282536</v>
      </c>
      <c r="J1112" s="36">
        <v>1</v>
      </c>
      <c r="K1112" s="3">
        <f t="shared" si="321"/>
        <v>282536</v>
      </c>
    </row>
    <row r="1113" spans="2:11" ht="12.95" customHeight="1" x14ac:dyDescent="0.3">
      <c r="B1113" s="89" t="s">
        <v>39</v>
      </c>
      <c r="C1113" s="89" t="s">
        <v>40</v>
      </c>
      <c r="D1113" s="90" t="s">
        <v>34</v>
      </c>
      <c r="E1113" s="31">
        <v>58925</v>
      </c>
      <c r="F1113" s="36">
        <v>8</v>
      </c>
      <c r="G1113" s="3">
        <f t="shared" si="319"/>
        <v>471400</v>
      </c>
      <c r="H1113" s="36">
        <v>8</v>
      </c>
      <c r="I1113" s="3">
        <f t="shared" si="320"/>
        <v>471400</v>
      </c>
      <c r="J1113" s="36">
        <v>8</v>
      </c>
      <c r="K1113" s="3">
        <f t="shared" si="321"/>
        <v>471400</v>
      </c>
    </row>
    <row r="1114" spans="2:11" ht="12.95" customHeight="1" x14ac:dyDescent="0.3">
      <c r="B1114" s="89" t="s">
        <v>235</v>
      </c>
      <c r="C1114" s="89" t="s">
        <v>241</v>
      </c>
      <c r="D1114" s="90" t="s">
        <v>34</v>
      </c>
      <c r="E1114" s="31">
        <v>49698</v>
      </c>
      <c r="F1114" s="36">
        <v>8</v>
      </c>
      <c r="G1114" s="3">
        <f t="shared" si="319"/>
        <v>397584</v>
      </c>
      <c r="H1114" s="36">
        <v>8</v>
      </c>
      <c r="I1114" s="3">
        <f t="shared" si="320"/>
        <v>397584</v>
      </c>
      <c r="J1114" s="36">
        <v>8</v>
      </c>
      <c r="K1114" s="3">
        <f t="shared" si="321"/>
        <v>397584</v>
      </c>
    </row>
    <row r="1115" spans="2:11" ht="12.95" customHeight="1" x14ac:dyDescent="0.3">
      <c r="B1115" s="77" t="s">
        <v>30</v>
      </c>
      <c r="C1115" s="96"/>
      <c r="D1115" s="97"/>
      <c r="E1115" s="19"/>
      <c r="F1115" s="36"/>
      <c r="G1115" s="20">
        <f>TRUNC(SUM(G1110:G1114))</f>
        <v>2228076</v>
      </c>
      <c r="H1115" s="36"/>
      <c r="I1115" s="20">
        <f>TRUNC(SUM(I1110:I1114))</f>
        <v>2228076</v>
      </c>
      <c r="J1115" s="36"/>
      <c r="K1115" s="20">
        <f>TRUNC(SUM(K1110:K1114))</f>
        <v>2228076</v>
      </c>
    </row>
    <row r="1116" spans="2:11" ht="12.95" customHeight="1" x14ac:dyDescent="0.3">
      <c r="B1116" s="79"/>
      <c r="C1116" s="79"/>
      <c r="D1116" s="90"/>
      <c r="E1116" s="98"/>
      <c r="F1116" s="36"/>
      <c r="G1116" s="99"/>
      <c r="H1116" s="36"/>
      <c r="I1116" s="99"/>
      <c r="J1116" s="36"/>
      <c r="K1116" s="99"/>
    </row>
    <row r="1117" spans="2:11" ht="12.95" customHeight="1" x14ac:dyDescent="0.3">
      <c r="B1117" s="89" t="s">
        <v>39</v>
      </c>
      <c r="C1117" s="89" t="s">
        <v>40</v>
      </c>
      <c r="D1117" s="90" t="s">
        <v>34</v>
      </c>
      <c r="E1117" s="31">
        <v>59751</v>
      </c>
      <c r="F1117" s="36">
        <v>8</v>
      </c>
      <c r="G1117" s="3">
        <f t="shared" ref="G1117:G1118" si="322">TRUNC($E1117*F1117,1)</f>
        <v>478008</v>
      </c>
      <c r="H1117" s="36">
        <v>8</v>
      </c>
      <c r="I1117" s="3">
        <f t="shared" ref="I1117:I1118" si="323">TRUNC($E1117*H1117,1)</f>
        <v>478008</v>
      </c>
      <c r="J1117" s="36">
        <v>8</v>
      </c>
      <c r="K1117" s="3">
        <f t="shared" ref="K1117:K1118" si="324">TRUNC($E1117*J1117,1)</f>
        <v>478008</v>
      </c>
    </row>
    <row r="1118" spans="2:11" ht="12.95" customHeight="1" x14ac:dyDescent="0.3">
      <c r="B1118" s="89" t="s">
        <v>235</v>
      </c>
      <c r="C1118" s="89" t="s">
        <v>241</v>
      </c>
      <c r="D1118" s="90" t="s">
        <v>34</v>
      </c>
      <c r="E1118" s="31">
        <v>17396</v>
      </c>
      <c r="F1118" s="36">
        <v>8</v>
      </c>
      <c r="G1118" s="3">
        <f t="shared" si="322"/>
        <v>139168</v>
      </c>
      <c r="H1118" s="36">
        <v>8</v>
      </c>
      <c r="I1118" s="3">
        <f t="shared" si="323"/>
        <v>139168</v>
      </c>
      <c r="J1118" s="36">
        <v>8</v>
      </c>
      <c r="K1118" s="3">
        <f t="shared" si="324"/>
        <v>139168</v>
      </c>
    </row>
    <row r="1119" spans="2:11" ht="12.95" customHeight="1" x14ac:dyDescent="0.3">
      <c r="B1119" s="93" t="s">
        <v>31</v>
      </c>
      <c r="C1119" s="96"/>
      <c r="D1119" s="104"/>
      <c r="E1119" s="19"/>
      <c r="F1119" s="138"/>
      <c r="G1119" s="20">
        <f>TRUNC(SUM(G1117:G1118))</f>
        <v>617176</v>
      </c>
      <c r="H1119" s="138"/>
      <c r="I1119" s="20">
        <f>TRUNC(SUM(I1117:I1118))</f>
        <v>617176</v>
      </c>
      <c r="J1119" s="138"/>
      <c r="K1119" s="20">
        <f>TRUNC(SUM(K1117:K1118))</f>
        <v>617176</v>
      </c>
    </row>
    <row r="1120" spans="2:11" ht="12.95" customHeight="1" x14ac:dyDescent="0.3">
      <c r="B1120" s="79"/>
      <c r="C1120" s="79"/>
      <c r="D1120" s="90"/>
      <c r="E1120" s="98"/>
      <c r="F1120" s="98"/>
      <c r="G1120" s="99"/>
      <c r="H1120" s="98"/>
      <c r="I1120" s="99"/>
      <c r="J1120" s="98"/>
      <c r="K1120" s="99"/>
    </row>
    <row r="1121" spans="2:13" ht="12.95" customHeight="1" x14ac:dyDescent="0.3">
      <c r="B1121" s="82" t="s">
        <v>33</v>
      </c>
      <c r="C1121" s="79"/>
      <c r="D1121" s="90"/>
      <c r="E1121" s="152"/>
      <c r="F1121" s="153"/>
      <c r="G1121" s="53">
        <f>SUM(G1108+G1115+G1119)</f>
        <v>3032936</v>
      </c>
      <c r="H1121" s="153"/>
      <c r="I1121" s="53">
        <f>SUM(I1108+I1115+I1119)</f>
        <v>3032936</v>
      </c>
      <c r="J1121" s="153"/>
      <c r="K1121" s="53">
        <f>SUM(K1108+K1115+K1119)</f>
        <v>3032936</v>
      </c>
    </row>
    <row r="1122" spans="2:13" ht="12.95" customHeight="1" x14ac:dyDescent="0.3">
      <c r="B1122" s="84" t="s">
        <v>325</v>
      </c>
      <c r="C1122" s="85"/>
      <c r="D1122" s="86"/>
      <c r="E1122" s="87"/>
      <c r="F1122" s="88"/>
      <c r="G1122" s="7">
        <f>TRUNC(G1121/G1103)</f>
        <v>1516468</v>
      </c>
      <c r="H1122" s="88"/>
      <c r="I1122" s="7">
        <f>TRUNC(I1121/I1103)</f>
        <v>2021957</v>
      </c>
      <c r="J1122" s="88"/>
      <c r="K1122" s="7">
        <f>TRUNC(K1121/K1103)</f>
        <v>2333027</v>
      </c>
      <c r="L1122" s="4"/>
      <c r="M1122" s="4"/>
    </row>
    <row r="1124" spans="2:13" ht="12.95" customHeight="1" x14ac:dyDescent="0.3">
      <c r="B1124" s="1" t="s">
        <v>247</v>
      </c>
      <c r="G1124" s="137"/>
      <c r="I1124" s="137"/>
      <c r="K1124" s="137"/>
      <c r="M1124" s="137" t="s">
        <v>239</v>
      </c>
    </row>
    <row r="1125" spans="2:13" ht="12.95" customHeight="1" x14ac:dyDescent="0.3">
      <c r="B1125" s="176" t="s">
        <v>21</v>
      </c>
      <c r="C1125" s="176" t="s">
        <v>25</v>
      </c>
      <c r="D1125" s="170" t="s">
        <v>26</v>
      </c>
      <c r="E1125" s="170" t="s">
        <v>22</v>
      </c>
      <c r="F1125" s="174" t="s">
        <v>243</v>
      </c>
      <c r="G1125" s="175"/>
      <c r="H1125" s="174" t="s">
        <v>244</v>
      </c>
      <c r="I1125" s="175"/>
      <c r="J1125" s="174" t="s">
        <v>245</v>
      </c>
      <c r="K1125" s="175"/>
      <c r="L1125" s="174" t="s">
        <v>246</v>
      </c>
      <c r="M1125" s="175"/>
    </row>
    <row r="1126" spans="2:13" ht="12.95" customHeight="1" x14ac:dyDescent="0.3">
      <c r="B1126" s="177"/>
      <c r="C1126" s="177"/>
      <c r="D1126" s="179"/>
      <c r="E1126" s="179"/>
      <c r="F1126" s="68" t="s">
        <v>300</v>
      </c>
      <c r="G1126" s="70">
        <v>17</v>
      </c>
      <c r="H1126" s="68" t="s">
        <v>300</v>
      </c>
      <c r="I1126" s="70">
        <v>15</v>
      </c>
      <c r="J1126" s="68" t="s">
        <v>300</v>
      </c>
      <c r="K1126" s="70">
        <v>13</v>
      </c>
      <c r="L1126" s="68" t="s">
        <v>334</v>
      </c>
      <c r="M1126" s="70">
        <v>10</v>
      </c>
    </row>
    <row r="1127" spans="2:13" ht="12.95" customHeight="1" x14ac:dyDescent="0.3">
      <c r="B1127" s="178"/>
      <c r="C1127" s="178"/>
      <c r="D1127" s="171"/>
      <c r="E1127" s="171"/>
      <c r="F1127" s="71" t="s">
        <v>287</v>
      </c>
      <c r="G1127" s="72" t="s">
        <v>288</v>
      </c>
      <c r="H1127" s="71" t="s">
        <v>287</v>
      </c>
      <c r="I1127" s="72" t="s">
        <v>288</v>
      </c>
      <c r="J1127" s="71" t="s">
        <v>287</v>
      </c>
      <c r="K1127" s="72" t="s">
        <v>288</v>
      </c>
      <c r="L1127" s="71" t="s">
        <v>287</v>
      </c>
      <c r="M1127" s="72" t="s">
        <v>288</v>
      </c>
    </row>
    <row r="1128" spans="2:13" ht="12.95" customHeight="1" x14ac:dyDescent="0.3">
      <c r="B1128" s="89" t="s">
        <v>39</v>
      </c>
      <c r="C1128" s="89" t="s">
        <v>212</v>
      </c>
      <c r="D1128" s="90" t="s">
        <v>34</v>
      </c>
      <c r="E1128" s="31">
        <v>7951</v>
      </c>
      <c r="F1128" s="36">
        <v>8</v>
      </c>
      <c r="G1128" s="3">
        <f t="shared" ref="G1128:G1129" si="325">TRUNC($E1128*F1128,1)</f>
        <v>63608</v>
      </c>
      <c r="H1128" s="36">
        <v>8</v>
      </c>
      <c r="I1128" s="3">
        <f t="shared" ref="I1128:I1129" si="326">TRUNC($E1128*H1128,1)</f>
        <v>63608</v>
      </c>
      <c r="J1128" s="36">
        <v>8</v>
      </c>
      <c r="K1128" s="3">
        <f t="shared" ref="K1128:K1129" si="327">TRUNC($E1128*J1128,1)</f>
        <v>63608</v>
      </c>
      <c r="L1128" s="36">
        <v>8</v>
      </c>
      <c r="M1128" s="3">
        <f t="shared" ref="M1128:M1129" si="328">TRUNC($E1128*L1128,1)</f>
        <v>63608</v>
      </c>
    </row>
    <row r="1129" spans="2:13" ht="12.95" customHeight="1" x14ac:dyDescent="0.3">
      <c r="B1129" s="89" t="s">
        <v>381</v>
      </c>
      <c r="C1129" s="89" t="s">
        <v>15</v>
      </c>
      <c r="D1129" s="90" t="s">
        <v>34</v>
      </c>
      <c r="E1129" s="31">
        <v>9107</v>
      </c>
      <c r="F1129" s="36">
        <v>8</v>
      </c>
      <c r="G1129" s="3">
        <f t="shared" si="325"/>
        <v>72856</v>
      </c>
      <c r="H1129" s="36">
        <v>8</v>
      </c>
      <c r="I1129" s="3">
        <f t="shared" si="326"/>
        <v>72856</v>
      </c>
      <c r="J1129" s="36">
        <v>8</v>
      </c>
      <c r="K1129" s="3">
        <f t="shared" si="327"/>
        <v>72856</v>
      </c>
      <c r="L1129" s="36">
        <v>8</v>
      </c>
      <c r="M1129" s="3">
        <f t="shared" si="328"/>
        <v>72856</v>
      </c>
    </row>
    <row r="1130" spans="2:13" ht="12.95" customHeight="1" x14ac:dyDescent="0.3">
      <c r="B1130" s="89" t="s">
        <v>27</v>
      </c>
      <c r="C1130" s="91" t="s">
        <v>188</v>
      </c>
      <c r="D1130" s="90" t="s">
        <v>35</v>
      </c>
      <c r="E1130" s="92"/>
      <c r="F1130" s="36">
        <v>1</v>
      </c>
      <c r="G1130" s="6">
        <f>TRUNC(SUM(G1133:G1136)*0.06,1)</f>
        <v>101342.7</v>
      </c>
      <c r="H1130" s="36">
        <v>1</v>
      </c>
      <c r="I1130" s="6">
        <f>TRUNC(SUM(I1133:I1136)*0.06,1)</f>
        <v>101342.7</v>
      </c>
      <c r="J1130" s="36">
        <v>1</v>
      </c>
      <c r="K1130" s="6">
        <f>TRUNC(SUM(K1133:K1136)*0.06,1)</f>
        <v>101342.7</v>
      </c>
      <c r="L1130" s="36">
        <v>1</v>
      </c>
      <c r="M1130" s="6">
        <f>TRUNC(SUM(M1133:M1136)*0.06,1)</f>
        <v>101342.7</v>
      </c>
    </row>
    <row r="1131" spans="2:13" ht="12.95" customHeight="1" x14ac:dyDescent="0.3">
      <c r="B1131" s="93" t="s">
        <v>29</v>
      </c>
      <c r="C1131" s="96"/>
      <c r="D1131" s="97"/>
      <c r="E1131" s="138"/>
      <c r="F1131" s="36"/>
      <c r="G1131" s="20">
        <f>TRUNC(SUM(G1128:G1130))</f>
        <v>237806</v>
      </c>
      <c r="H1131" s="36"/>
      <c r="I1131" s="20">
        <f>TRUNC(SUM(I1128:I1130))</f>
        <v>237806</v>
      </c>
      <c r="J1131" s="36"/>
      <c r="K1131" s="20">
        <f>TRUNC(SUM(K1128:K1130))</f>
        <v>237806</v>
      </c>
      <c r="L1131" s="36"/>
      <c r="M1131" s="20">
        <f>TRUNC(SUM(M1128:M1130))</f>
        <v>237806</v>
      </c>
    </row>
    <row r="1132" spans="2:13" ht="12.95" customHeight="1" x14ac:dyDescent="0.3">
      <c r="B1132" s="79"/>
      <c r="C1132" s="79"/>
      <c r="D1132" s="90"/>
      <c r="E1132" s="98"/>
      <c r="F1132" s="36"/>
      <c r="G1132" s="99"/>
      <c r="H1132" s="36"/>
      <c r="I1132" s="99"/>
      <c r="J1132" s="36"/>
      <c r="K1132" s="99"/>
      <c r="L1132" s="36"/>
      <c r="M1132" s="99"/>
    </row>
    <row r="1133" spans="2:13" ht="12.95" customHeight="1" x14ac:dyDescent="0.3">
      <c r="B1133" s="73" t="s">
        <v>92</v>
      </c>
      <c r="C1133" s="74"/>
      <c r="D1133" s="75" t="s">
        <v>28</v>
      </c>
      <c r="E1133" s="32">
        <v>282536</v>
      </c>
      <c r="F1133" s="36">
        <v>2</v>
      </c>
      <c r="G1133" s="3">
        <f t="shared" ref="G1133:G1138" si="329">TRUNC($E1133*F1133,1)</f>
        <v>565072</v>
      </c>
      <c r="H1133" s="36">
        <v>2</v>
      </c>
      <c r="I1133" s="3">
        <f t="shared" ref="I1133:I1138" si="330">TRUNC($E1133*H1133,1)</f>
        <v>565072</v>
      </c>
      <c r="J1133" s="36">
        <v>2</v>
      </c>
      <c r="K1133" s="3">
        <f t="shared" ref="K1133:K1138" si="331">TRUNC($E1133*J1133,1)</f>
        <v>565072</v>
      </c>
      <c r="L1133" s="36">
        <v>2</v>
      </c>
      <c r="M1133" s="3">
        <f t="shared" ref="M1133:M1138" si="332">TRUNC($E1133*L1133,1)</f>
        <v>565072</v>
      </c>
    </row>
    <row r="1134" spans="2:13" ht="12.95" customHeight="1" x14ac:dyDescent="0.3">
      <c r="B1134" s="73" t="s">
        <v>0</v>
      </c>
      <c r="C1134" s="74"/>
      <c r="D1134" s="75" t="s">
        <v>28</v>
      </c>
      <c r="E1134" s="32">
        <v>273540</v>
      </c>
      <c r="F1134" s="36">
        <v>1</v>
      </c>
      <c r="G1134" s="3">
        <f t="shared" si="329"/>
        <v>273540</v>
      </c>
      <c r="H1134" s="36">
        <v>1</v>
      </c>
      <c r="I1134" s="3">
        <f t="shared" si="330"/>
        <v>273540</v>
      </c>
      <c r="J1134" s="36">
        <v>1</v>
      </c>
      <c r="K1134" s="3">
        <f t="shared" si="331"/>
        <v>273540</v>
      </c>
      <c r="L1134" s="36">
        <v>1</v>
      </c>
      <c r="M1134" s="3">
        <f t="shared" si="332"/>
        <v>273540</v>
      </c>
    </row>
    <row r="1135" spans="2:13" ht="12.95" customHeight="1" x14ac:dyDescent="0.3">
      <c r="B1135" s="73" t="s">
        <v>42</v>
      </c>
      <c r="C1135" s="74"/>
      <c r="D1135" s="75" t="s">
        <v>28</v>
      </c>
      <c r="E1135" s="51">
        <v>226122</v>
      </c>
      <c r="F1135" s="36">
        <v>3</v>
      </c>
      <c r="G1135" s="3">
        <f t="shared" si="329"/>
        <v>678366</v>
      </c>
      <c r="H1135" s="36">
        <v>3</v>
      </c>
      <c r="I1135" s="3">
        <f t="shared" si="330"/>
        <v>678366</v>
      </c>
      <c r="J1135" s="36">
        <v>3</v>
      </c>
      <c r="K1135" s="3">
        <f t="shared" si="331"/>
        <v>678366</v>
      </c>
      <c r="L1135" s="36">
        <v>3</v>
      </c>
      <c r="M1135" s="3">
        <f t="shared" si="332"/>
        <v>678366</v>
      </c>
    </row>
    <row r="1136" spans="2:13" ht="12.95" customHeight="1" x14ac:dyDescent="0.3">
      <c r="B1136" s="73" t="s">
        <v>8</v>
      </c>
      <c r="C1136" s="74"/>
      <c r="D1136" s="75" t="s">
        <v>28</v>
      </c>
      <c r="E1136" s="51">
        <v>172068</v>
      </c>
      <c r="F1136" s="36">
        <v>1</v>
      </c>
      <c r="G1136" s="3">
        <f t="shared" si="329"/>
        <v>172068</v>
      </c>
      <c r="H1136" s="36">
        <v>1</v>
      </c>
      <c r="I1136" s="3">
        <f t="shared" si="330"/>
        <v>172068</v>
      </c>
      <c r="J1136" s="36">
        <v>1</v>
      </c>
      <c r="K1136" s="3">
        <f t="shared" si="331"/>
        <v>172068</v>
      </c>
      <c r="L1136" s="36">
        <v>1</v>
      </c>
      <c r="M1136" s="3">
        <f t="shared" si="332"/>
        <v>172068</v>
      </c>
    </row>
    <row r="1137" spans="2:13" ht="12.95" customHeight="1" x14ac:dyDescent="0.3">
      <c r="B1137" s="89" t="s">
        <v>39</v>
      </c>
      <c r="C1137" s="89" t="s">
        <v>212</v>
      </c>
      <c r="D1137" s="90" t="s">
        <v>34</v>
      </c>
      <c r="E1137" s="31">
        <v>58925</v>
      </c>
      <c r="F1137" s="36">
        <v>8</v>
      </c>
      <c r="G1137" s="3">
        <f t="shared" si="329"/>
        <v>471400</v>
      </c>
      <c r="H1137" s="36">
        <v>8</v>
      </c>
      <c r="I1137" s="3">
        <f t="shared" si="330"/>
        <v>471400</v>
      </c>
      <c r="J1137" s="36">
        <v>8</v>
      </c>
      <c r="K1137" s="3">
        <f t="shared" si="331"/>
        <v>471400</v>
      </c>
      <c r="L1137" s="36">
        <v>8</v>
      </c>
      <c r="M1137" s="3">
        <f t="shared" si="332"/>
        <v>471400</v>
      </c>
    </row>
    <row r="1138" spans="2:13" ht="12.95" customHeight="1" x14ac:dyDescent="0.3">
      <c r="B1138" s="89" t="s">
        <v>381</v>
      </c>
      <c r="C1138" s="89" t="s">
        <v>15</v>
      </c>
      <c r="D1138" s="90" t="s">
        <v>34</v>
      </c>
      <c r="E1138" s="31">
        <v>58925</v>
      </c>
      <c r="F1138" s="36">
        <v>8</v>
      </c>
      <c r="G1138" s="3">
        <f t="shared" si="329"/>
        <v>471400</v>
      </c>
      <c r="H1138" s="36">
        <v>8</v>
      </c>
      <c r="I1138" s="3">
        <f t="shared" si="330"/>
        <v>471400</v>
      </c>
      <c r="J1138" s="36">
        <v>8</v>
      </c>
      <c r="K1138" s="3">
        <f t="shared" si="331"/>
        <v>471400</v>
      </c>
      <c r="L1138" s="36">
        <v>8</v>
      </c>
      <c r="M1138" s="3">
        <f t="shared" si="332"/>
        <v>471400</v>
      </c>
    </row>
    <row r="1139" spans="2:13" ht="12.95" customHeight="1" x14ac:dyDescent="0.3">
      <c r="B1139" s="77" t="s">
        <v>30</v>
      </c>
      <c r="C1139" s="96"/>
      <c r="D1139" s="97"/>
      <c r="E1139" s="19"/>
      <c r="F1139" s="36"/>
      <c r="G1139" s="20">
        <f>TRUNC(SUM(G1133:G1138))</f>
        <v>2631846</v>
      </c>
      <c r="H1139" s="36"/>
      <c r="I1139" s="20">
        <f>TRUNC(SUM(I1133:I1138))</f>
        <v>2631846</v>
      </c>
      <c r="J1139" s="36"/>
      <c r="K1139" s="20">
        <f>TRUNC(SUM(K1133:K1138))</f>
        <v>2631846</v>
      </c>
      <c r="L1139" s="36"/>
      <c r="M1139" s="20">
        <f>TRUNC(SUM(M1133:M1138))</f>
        <v>2631846</v>
      </c>
    </row>
    <row r="1140" spans="2:13" ht="12.95" customHeight="1" x14ac:dyDescent="0.3">
      <c r="B1140" s="79"/>
      <c r="C1140" s="79"/>
      <c r="D1140" s="90"/>
      <c r="E1140" s="98"/>
      <c r="F1140" s="36"/>
      <c r="G1140" s="99"/>
      <c r="H1140" s="36"/>
      <c r="I1140" s="99"/>
      <c r="J1140" s="36"/>
      <c r="K1140" s="99"/>
      <c r="L1140" s="36"/>
      <c r="M1140" s="99"/>
    </row>
    <row r="1141" spans="2:13" ht="12.95" customHeight="1" x14ac:dyDescent="0.3">
      <c r="B1141" s="89" t="s">
        <v>39</v>
      </c>
      <c r="C1141" s="89" t="s">
        <v>212</v>
      </c>
      <c r="D1141" s="90" t="s">
        <v>34</v>
      </c>
      <c r="E1141" s="31">
        <v>31344</v>
      </c>
      <c r="F1141" s="36">
        <v>8</v>
      </c>
      <c r="G1141" s="3">
        <f t="shared" ref="G1141:G1143" si="333">TRUNC($E1141*F1141,1)</f>
        <v>250752</v>
      </c>
      <c r="H1141" s="36">
        <v>8</v>
      </c>
      <c r="I1141" s="3">
        <f t="shared" ref="I1141:I1143" si="334">TRUNC($E1141*H1141,1)</f>
        <v>250752</v>
      </c>
      <c r="J1141" s="36">
        <v>8</v>
      </c>
      <c r="K1141" s="3">
        <f t="shared" ref="K1141:K1143" si="335">TRUNC($E1141*J1141,1)</f>
        <v>250752</v>
      </c>
      <c r="L1141" s="36">
        <v>8</v>
      </c>
      <c r="M1141" s="3">
        <f t="shared" ref="M1141:M1143" si="336">TRUNC($E1141*L1141,1)</f>
        <v>250752</v>
      </c>
    </row>
    <row r="1142" spans="2:13" ht="12.95" customHeight="1" x14ac:dyDescent="0.3">
      <c r="B1142" s="89" t="s">
        <v>381</v>
      </c>
      <c r="C1142" s="89" t="s">
        <v>15</v>
      </c>
      <c r="D1142" s="90" t="s">
        <v>34</v>
      </c>
      <c r="E1142" s="31">
        <v>13873</v>
      </c>
      <c r="F1142" s="36">
        <v>8</v>
      </c>
      <c r="G1142" s="3">
        <f t="shared" si="333"/>
        <v>110984</v>
      </c>
      <c r="H1142" s="36">
        <v>8</v>
      </c>
      <c r="I1142" s="3">
        <f t="shared" si="334"/>
        <v>110984</v>
      </c>
      <c r="J1142" s="36">
        <v>8</v>
      </c>
      <c r="K1142" s="3">
        <f t="shared" si="335"/>
        <v>110984</v>
      </c>
      <c r="L1142" s="36">
        <v>8</v>
      </c>
      <c r="M1142" s="3">
        <f t="shared" si="336"/>
        <v>110984</v>
      </c>
    </row>
    <row r="1143" spans="2:13" ht="12.95" customHeight="1" x14ac:dyDescent="0.3">
      <c r="B1143" s="89" t="s">
        <v>213</v>
      </c>
      <c r="C1143" s="89" t="s">
        <v>15</v>
      </c>
      <c r="D1143" s="90" t="s">
        <v>34</v>
      </c>
      <c r="E1143" s="31">
        <v>3009</v>
      </c>
      <c r="F1143" s="36">
        <v>8</v>
      </c>
      <c r="G1143" s="3">
        <f t="shared" si="333"/>
        <v>24072</v>
      </c>
      <c r="H1143" s="36">
        <v>8</v>
      </c>
      <c r="I1143" s="3">
        <f t="shared" si="334"/>
        <v>24072</v>
      </c>
      <c r="J1143" s="36">
        <v>8</v>
      </c>
      <c r="K1143" s="3">
        <f t="shared" si="335"/>
        <v>24072</v>
      </c>
      <c r="L1143" s="36">
        <v>8</v>
      </c>
      <c r="M1143" s="3">
        <f t="shared" si="336"/>
        <v>24072</v>
      </c>
    </row>
    <row r="1144" spans="2:13" ht="12.95" customHeight="1" x14ac:dyDescent="0.3">
      <c r="B1144" s="93" t="s">
        <v>31</v>
      </c>
      <c r="C1144" s="96"/>
      <c r="D1144" s="104"/>
      <c r="E1144" s="19"/>
      <c r="F1144" s="138"/>
      <c r="G1144" s="20">
        <f>TRUNC(SUM(G1141:G1143))</f>
        <v>385808</v>
      </c>
      <c r="H1144" s="138"/>
      <c r="I1144" s="20">
        <f>TRUNC(SUM(I1141:I1143))</f>
        <v>385808</v>
      </c>
      <c r="J1144" s="138"/>
      <c r="K1144" s="20">
        <f>TRUNC(SUM(K1141:K1143))</f>
        <v>385808</v>
      </c>
      <c r="L1144" s="138"/>
      <c r="M1144" s="20">
        <f>TRUNC(SUM(M1141:M1143))</f>
        <v>385808</v>
      </c>
    </row>
    <row r="1145" spans="2:13" ht="12.95" customHeight="1" x14ac:dyDescent="0.3">
      <c r="B1145" s="79"/>
      <c r="C1145" s="79"/>
      <c r="D1145" s="90"/>
      <c r="E1145" s="98"/>
      <c r="F1145" s="98"/>
      <c r="G1145" s="99"/>
      <c r="H1145" s="98"/>
      <c r="I1145" s="99"/>
      <c r="J1145" s="98"/>
      <c r="K1145" s="99"/>
      <c r="L1145" s="98"/>
      <c r="M1145" s="99"/>
    </row>
    <row r="1146" spans="2:13" ht="12.95" customHeight="1" x14ac:dyDescent="0.3">
      <c r="B1146" s="82" t="s">
        <v>33</v>
      </c>
      <c r="C1146" s="79"/>
      <c r="D1146" s="90"/>
      <c r="E1146" s="152"/>
      <c r="F1146" s="153"/>
      <c r="G1146" s="53">
        <f>SUM(G1131+G1139+G1144)</f>
        <v>3255460</v>
      </c>
      <c r="H1146" s="153"/>
      <c r="I1146" s="53">
        <f>SUM(I1131+I1139+I1144)</f>
        <v>3255460</v>
      </c>
      <c r="J1146" s="153"/>
      <c r="K1146" s="53">
        <f>SUM(K1131+K1139+K1144)</f>
        <v>3255460</v>
      </c>
      <c r="L1146" s="153"/>
      <c r="M1146" s="53">
        <f>SUM(M1131+M1139+M1144)</f>
        <v>3255460</v>
      </c>
    </row>
    <row r="1147" spans="2:13" ht="12.95" customHeight="1" x14ac:dyDescent="0.3">
      <c r="B1147" s="84" t="s">
        <v>335</v>
      </c>
      <c r="C1147" s="85"/>
      <c r="D1147" s="86"/>
      <c r="E1147" s="87"/>
      <c r="F1147" s="88"/>
      <c r="G1147" s="7">
        <f>TRUNC((G1146/G1126)*10)</f>
        <v>1914976</v>
      </c>
      <c r="H1147" s="88"/>
      <c r="I1147" s="7">
        <f>TRUNC((I1146/I1126)*10)</f>
        <v>2170306</v>
      </c>
      <c r="J1147" s="88"/>
      <c r="K1147" s="7">
        <f>TRUNC((K1146/K1126)*10)</f>
        <v>2504200</v>
      </c>
      <c r="L1147" s="88"/>
      <c r="M1147" s="7">
        <f>TRUNC((M1146/M1126)*10)</f>
        <v>3255460</v>
      </c>
    </row>
    <row r="1149" spans="2:13" ht="12.95" customHeight="1" x14ac:dyDescent="0.3">
      <c r="B1149" s="1" t="s">
        <v>248</v>
      </c>
      <c r="G1149" s="137" t="s">
        <v>239</v>
      </c>
    </row>
    <row r="1150" spans="2:13" ht="12.95" customHeight="1" x14ac:dyDescent="0.3">
      <c r="B1150" s="165" t="s">
        <v>21</v>
      </c>
      <c r="C1150" s="167" t="s">
        <v>36</v>
      </c>
      <c r="D1150" s="169" t="s">
        <v>26</v>
      </c>
      <c r="E1150" s="170" t="s">
        <v>22</v>
      </c>
      <c r="F1150" s="68" t="s">
        <v>334</v>
      </c>
      <c r="G1150" s="145">
        <v>7.5</v>
      </c>
    </row>
    <row r="1151" spans="2:13" ht="12.95" customHeight="1" x14ac:dyDescent="0.3">
      <c r="B1151" s="166"/>
      <c r="C1151" s="168"/>
      <c r="D1151" s="169"/>
      <c r="E1151" s="171"/>
      <c r="F1151" s="71" t="s">
        <v>287</v>
      </c>
      <c r="G1151" s="72" t="s">
        <v>288</v>
      </c>
      <c r="H1151" s="4"/>
    </row>
    <row r="1152" spans="2:13" ht="12.95" customHeight="1" x14ac:dyDescent="0.3">
      <c r="B1152" s="89" t="s">
        <v>27</v>
      </c>
      <c r="C1152" s="91" t="s">
        <v>32</v>
      </c>
      <c r="D1152" s="90" t="s">
        <v>35</v>
      </c>
      <c r="E1152" s="92"/>
      <c r="F1152" s="36">
        <v>1</v>
      </c>
      <c r="G1152" s="6">
        <f>TRUNC(SUM(G1155:G1156)*0.03,1)</f>
        <v>32296.6</v>
      </c>
    </row>
    <row r="1153" spans="2:9" ht="12.95" customHeight="1" x14ac:dyDescent="0.3">
      <c r="B1153" s="129" t="s">
        <v>29</v>
      </c>
      <c r="C1153" s="130"/>
      <c r="D1153" s="131"/>
      <c r="E1153" s="132"/>
      <c r="F1153" s="44"/>
      <c r="G1153" s="40">
        <f>TRUNC(SUM(G1152:G1152))</f>
        <v>32296</v>
      </c>
    </row>
    <row r="1154" spans="2:9" ht="12.95" customHeight="1" x14ac:dyDescent="0.3">
      <c r="B1154" s="126"/>
      <c r="C1154" s="126"/>
      <c r="D1154" s="127"/>
      <c r="E1154" s="76"/>
      <c r="F1154" s="25"/>
      <c r="G1154" s="29"/>
    </row>
    <row r="1155" spans="2:9" ht="12.95" customHeight="1" x14ac:dyDescent="0.3">
      <c r="B1155" s="73" t="s">
        <v>42</v>
      </c>
      <c r="C1155" s="74"/>
      <c r="D1155" s="75" t="s">
        <v>28</v>
      </c>
      <c r="E1155" s="51">
        <v>226122</v>
      </c>
      <c r="F1155" s="36">
        <v>4</v>
      </c>
      <c r="G1155" s="3">
        <f t="shared" ref="G1155:G1156" si="337">TRUNC($E1155*F1155,1)</f>
        <v>904488</v>
      </c>
      <c r="H1155" s="4"/>
    </row>
    <row r="1156" spans="2:9" ht="12.95" customHeight="1" x14ac:dyDescent="0.3">
      <c r="B1156" s="73" t="s">
        <v>8</v>
      </c>
      <c r="C1156" s="74"/>
      <c r="D1156" s="75" t="s">
        <v>28</v>
      </c>
      <c r="E1156" s="51">
        <v>172068</v>
      </c>
      <c r="F1156" s="36">
        <v>1</v>
      </c>
      <c r="G1156" s="3">
        <f t="shared" si="337"/>
        <v>172068</v>
      </c>
      <c r="H1156" s="4"/>
    </row>
    <row r="1157" spans="2:9" ht="12.95" customHeight="1" x14ac:dyDescent="0.3">
      <c r="B1157" s="77" t="s">
        <v>30</v>
      </c>
      <c r="C1157" s="78"/>
      <c r="D1157" s="78"/>
      <c r="E1157" s="24"/>
      <c r="F1157" s="36"/>
      <c r="G1157" s="55">
        <f>TRUNC(SUM(G1155:G1156))</f>
        <v>1076556</v>
      </c>
      <c r="H1157" s="4"/>
    </row>
    <row r="1158" spans="2:9" ht="12.95" customHeight="1" x14ac:dyDescent="0.3">
      <c r="B1158" s="79"/>
      <c r="C1158" s="80"/>
      <c r="D1158" s="80"/>
      <c r="E1158" s="81"/>
      <c r="F1158" s="37"/>
      <c r="G1158" s="57"/>
      <c r="H1158" s="4"/>
    </row>
    <row r="1159" spans="2:9" ht="12.95" customHeight="1" x14ac:dyDescent="0.3">
      <c r="B1159" s="82" t="s">
        <v>33</v>
      </c>
      <c r="C1159" s="78"/>
      <c r="D1159" s="78"/>
      <c r="E1159" s="83"/>
      <c r="F1159" s="83"/>
      <c r="G1159" s="58">
        <f>SUM(G1153+G1157)</f>
        <v>1108852</v>
      </c>
      <c r="H1159" s="4"/>
    </row>
    <row r="1160" spans="2:9" ht="12.95" customHeight="1" x14ac:dyDescent="0.3">
      <c r="B1160" s="84" t="s">
        <v>335</v>
      </c>
      <c r="C1160" s="85"/>
      <c r="D1160" s="86"/>
      <c r="E1160" s="87"/>
      <c r="F1160" s="88"/>
      <c r="G1160" s="7">
        <f>TRUNC((G1159/G1150)*10)</f>
        <v>1478469</v>
      </c>
      <c r="H1160" s="4"/>
    </row>
    <row r="1162" spans="2:9" ht="12.95" customHeight="1" x14ac:dyDescent="0.3">
      <c r="B1162" s="1" t="s">
        <v>249</v>
      </c>
      <c r="I1162" s="137" t="s">
        <v>239</v>
      </c>
    </row>
    <row r="1163" spans="2:9" ht="12.95" customHeight="1" x14ac:dyDescent="0.3">
      <c r="B1163" s="176" t="s">
        <v>21</v>
      </c>
      <c r="C1163" s="176" t="s">
        <v>25</v>
      </c>
      <c r="D1163" s="170" t="s">
        <v>26</v>
      </c>
      <c r="E1163" s="170" t="s">
        <v>22</v>
      </c>
      <c r="F1163" s="174" t="s">
        <v>337</v>
      </c>
      <c r="G1163" s="175"/>
      <c r="H1163" s="174" t="s">
        <v>338</v>
      </c>
      <c r="I1163" s="175"/>
    </row>
    <row r="1164" spans="2:9" ht="12.95" customHeight="1" x14ac:dyDescent="0.3">
      <c r="B1164" s="177"/>
      <c r="C1164" s="177"/>
      <c r="D1164" s="179"/>
      <c r="E1164" s="179"/>
      <c r="F1164" s="143" t="s">
        <v>339</v>
      </c>
      <c r="G1164" s="70">
        <v>65</v>
      </c>
      <c r="H1164" s="143" t="s">
        <v>339</v>
      </c>
      <c r="I1164" s="70">
        <v>50</v>
      </c>
    </row>
    <row r="1165" spans="2:9" ht="12.95" customHeight="1" x14ac:dyDescent="0.3">
      <c r="B1165" s="178"/>
      <c r="C1165" s="178"/>
      <c r="D1165" s="171"/>
      <c r="E1165" s="171"/>
      <c r="F1165" s="71" t="s">
        <v>287</v>
      </c>
      <c r="G1165" s="72" t="s">
        <v>288</v>
      </c>
      <c r="H1165" s="71" t="s">
        <v>287</v>
      </c>
      <c r="I1165" s="72" t="s">
        <v>288</v>
      </c>
    </row>
    <row r="1166" spans="2:9" ht="12.95" customHeight="1" x14ac:dyDescent="0.3">
      <c r="B1166" s="89" t="s">
        <v>39</v>
      </c>
      <c r="C1166" s="89" t="s">
        <v>37</v>
      </c>
      <c r="D1166" s="90" t="s">
        <v>34</v>
      </c>
      <c r="E1166" s="76">
        <v>9835</v>
      </c>
      <c r="F1166" s="36">
        <v>8</v>
      </c>
      <c r="G1166" s="3">
        <f t="shared" ref="G1166:G1169" si="338">TRUNC($E1166*F1166,1)</f>
        <v>78680</v>
      </c>
      <c r="H1166" s="36">
        <v>0</v>
      </c>
      <c r="I1166" s="3">
        <f t="shared" ref="I1166:I1169" si="339">TRUNC($E1166*H1166,1)</f>
        <v>0</v>
      </c>
    </row>
    <row r="1167" spans="2:9" ht="12.95" customHeight="1" x14ac:dyDescent="0.3">
      <c r="B1167" s="89" t="s">
        <v>39</v>
      </c>
      <c r="C1167" s="89" t="s">
        <v>214</v>
      </c>
      <c r="D1167" s="90" t="s">
        <v>34</v>
      </c>
      <c r="E1167" s="76">
        <v>20090</v>
      </c>
      <c r="F1167" s="36">
        <v>0</v>
      </c>
      <c r="G1167" s="3">
        <f t="shared" si="338"/>
        <v>0</v>
      </c>
      <c r="H1167" s="36">
        <v>8</v>
      </c>
      <c r="I1167" s="3">
        <f t="shared" si="339"/>
        <v>160720</v>
      </c>
    </row>
    <row r="1168" spans="2:9" ht="12.95" customHeight="1" x14ac:dyDescent="0.3">
      <c r="B1168" s="89" t="s">
        <v>235</v>
      </c>
      <c r="C1168" s="89" t="s">
        <v>241</v>
      </c>
      <c r="D1168" s="90" t="s">
        <v>34</v>
      </c>
      <c r="E1168" s="76">
        <v>5600</v>
      </c>
      <c r="F1168" s="36">
        <v>8</v>
      </c>
      <c r="G1168" s="3">
        <f t="shared" si="338"/>
        <v>44800</v>
      </c>
      <c r="H1168" s="36">
        <v>0</v>
      </c>
      <c r="I1168" s="3">
        <f t="shared" si="339"/>
        <v>0</v>
      </c>
    </row>
    <row r="1169" spans="2:9" ht="12.95" customHeight="1" x14ac:dyDescent="0.3">
      <c r="B1169" s="89" t="s">
        <v>235</v>
      </c>
      <c r="C1169" s="89" t="s">
        <v>216</v>
      </c>
      <c r="D1169" s="90" t="s">
        <v>34</v>
      </c>
      <c r="E1169" s="76">
        <v>9213</v>
      </c>
      <c r="F1169" s="36">
        <v>0</v>
      </c>
      <c r="G1169" s="3">
        <f t="shared" si="338"/>
        <v>0</v>
      </c>
      <c r="H1169" s="36">
        <v>8</v>
      </c>
      <c r="I1169" s="3">
        <f t="shared" si="339"/>
        <v>73704</v>
      </c>
    </row>
    <row r="1170" spans="2:9" ht="12.95" customHeight="1" x14ac:dyDescent="0.3">
      <c r="B1170" s="89" t="s">
        <v>27</v>
      </c>
      <c r="C1170" s="91" t="s">
        <v>32</v>
      </c>
      <c r="D1170" s="90" t="s">
        <v>35</v>
      </c>
      <c r="E1170" s="15"/>
      <c r="F1170" s="36">
        <v>1</v>
      </c>
      <c r="G1170" s="6">
        <f>TRUNC(SUM(G1173:G1174)*0.03,1)</f>
        <v>26744.7</v>
      </c>
      <c r="H1170" s="36">
        <v>1</v>
      </c>
      <c r="I1170" s="6">
        <f>TRUNC(SUM(I1173:I1174)*0.03,1)</f>
        <v>26744.7</v>
      </c>
    </row>
    <row r="1171" spans="2:9" ht="12.95" customHeight="1" x14ac:dyDescent="0.3">
      <c r="B1171" s="93" t="s">
        <v>29</v>
      </c>
      <c r="C1171" s="96"/>
      <c r="D1171" s="97"/>
      <c r="E1171" s="154"/>
      <c r="F1171" s="36"/>
      <c r="G1171" s="20">
        <f>TRUNC(SUM(G1166:G1170))</f>
        <v>150224</v>
      </c>
      <c r="H1171" s="36"/>
      <c r="I1171" s="20">
        <f>TRUNC(SUM(I1166:I1170))</f>
        <v>261168</v>
      </c>
    </row>
    <row r="1172" spans="2:9" ht="12.95" customHeight="1" x14ac:dyDescent="0.3">
      <c r="B1172" s="79"/>
      <c r="C1172" s="79"/>
      <c r="D1172" s="90"/>
      <c r="E1172" s="154"/>
      <c r="F1172" s="36"/>
      <c r="G1172" s="99"/>
      <c r="H1172" s="36"/>
      <c r="I1172" s="99"/>
    </row>
    <row r="1173" spans="2:9" ht="12.95" customHeight="1" x14ac:dyDescent="0.3">
      <c r="B1173" s="73" t="s">
        <v>13</v>
      </c>
      <c r="C1173" s="74"/>
      <c r="D1173" s="75" t="s">
        <v>28</v>
      </c>
      <c r="E1173" s="76">
        <v>239808</v>
      </c>
      <c r="F1173" s="36">
        <v>3</v>
      </c>
      <c r="G1173" s="3">
        <f t="shared" ref="G1173:G1178" si="340">TRUNC($E1173*F1173,1)</f>
        <v>719424</v>
      </c>
      <c r="H1173" s="36">
        <v>3</v>
      </c>
      <c r="I1173" s="3">
        <f t="shared" ref="I1173:I1178" si="341">TRUNC($E1173*H1173,1)</f>
        <v>719424</v>
      </c>
    </row>
    <row r="1174" spans="2:9" ht="12.95" customHeight="1" x14ac:dyDescent="0.3">
      <c r="B1174" s="73" t="s">
        <v>8</v>
      </c>
      <c r="C1174" s="74"/>
      <c r="D1174" s="75" t="s">
        <v>28</v>
      </c>
      <c r="E1174" s="76">
        <v>172068</v>
      </c>
      <c r="F1174" s="36">
        <v>1</v>
      </c>
      <c r="G1174" s="3">
        <f t="shared" si="340"/>
        <v>172068</v>
      </c>
      <c r="H1174" s="36">
        <v>1</v>
      </c>
      <c r="I1174" s="3">
        <f t="shared" si="341"/>
        <v>172068</v>
      </c>
    </row>
    <row r="1175" spans="2:9" ht="12.95" customHeight="1" x14ac:dyDescent="0.3">
      <c r="B1175" s="89" t="s">
        <v>39</v>
      </c>
      <c r="C1175" s="89" t="s">
        <v>37</v>
      </c>
      <c r="D1175" s="90" t="s">
        <v>34</v>
      </c>
      <c r="E1175" s="76">
        <v>58925</v>
      </c>
      <c r="F1175" s="36">
        <v>8</v>
      </c>
      <c r="G1175" s="3">
        <f t="shared" si="340"/>
        <v>471400</v>
      </c>
      <c r="H1175" s="36">
        <v>0</v>
      </c>
      <c r="I1175" s="3">
        <f t="shared" si="341"/>
        <v>0</v>
      </c>
    </row>
    <row r="1176" spans="2:9" ht="12.95" customHeight="1" x14ac:dyDescent="0.3">
      <c r="B1176" s="89" t="s">
        <v>39</v>
      </c>
      <c r="C1176" s="89" t="s">
        <v>214</v>
      </c>
      <c r="D1176" s="90" t="s">
        <v>34</v>
      </c>
      <c r="E1176" s="76">
        <v>58925</v>
      </c>
      <c r="F1176" s="36">
        <v>0</v>
      </c>
      <c r="G1176" s="3">
        <f t="shared" si="340"/>
        <v>0</v>
      </c>
      <c r="H1176" s="36">
        <v>8</v>
      </c>
      <c r="I1176" s="3">
        <f t="shared" si="341"/>
        <v>471400</v>
      </c>
    </row>
    <row r="1177" spans="2:9" ht="12.95" customHeight="1" x14ac:dyDescent="0.3">
      <c r="B1177" s="89" t="s">
        <v>235</v>
      </c>
      <c r="C1177" s="89" t="s">
        <v>241</v>
      </c>
      <c r="D1177" s="90" t="s">
        <v>34</v>
      </c>
      <c r="E1177" s="76">
        <v>49698</v>
      </c>
      <c r="F1177" s="36">
        <v>8</v>
      </c>
      <c r="G1177" s="3">
        <f t="shared" si="340"/>
        <v>397584</v>
      </c>
      <c r="H1177" s="36">
        <v>0</v>
      </c>
      <c r="I1177" s="3">
        <f t="shared" si="341"/>
        <v>0</v>
      </c>
    </row>
    <row r="1178" spans="2:9" ht="12.95" customHeight="1" x14ac:dyDescent="0.3">
      <c r="B1178" s="89" t="s">
        <v>235</v>
      </c>
      <c r="C1178" s="89" t="s">
        <v>216</v>
      </c>
      <c r="D1178" s="90" t="s">
        <v>34</v>
      </c>
      <c r="E1178" s="76">
        <v>49698</v>
      </c>
      <c r="F1178" s="36">
        <v>0</v>
      </c>
      <c r="G1178" s="3">
        <f t="shared" si="340"/>
        <v>0</v>
      </c>
      <c r="H1178" s="36">
        <v>8</v>
      </c>
      <c r="I1178" s="3">
        <f t="shared" si="341"/>
        <v>397584</v>
      </c>
    </row>
    <row r="1179" spans="2:9" ht="12.95" customHeight="1" x14ac:dyDescent="0.3">
      <c r="B1179" s="77" t="s">
        <v>30</v>
      </c>
      <c r="C1179" s="96"/>
      <c r="D1179" s="97"/>
      <c r="E1179" s="154"/>
      <c r="F1179" s="36"/>
      <c r="G1179" s="20">
        <f>TRUNC(SUM(G1173:G1178))</f>
        <v>1760476</v>
      </c>
      <c r="H1179" s="36"/>
      <c r="I1179" s="20">
        <f>TRUNC(SUM(I1173:I1178))</f>
        <v>1760476</v>
      </c>
    </row>
    <row r="1180" spans="2:9" ht="12.95" customHeight="1" x14ac:dyDescent="0.3">
      <c r="B1180" s="79"/>
      <c r="C1180" s="79"/>
      <c r="D1180" s="90"/>
      <c r="E1180" s="154"/>
      <c r="F1180" s="36"/>
      <c r="G1180" s="99"/>
      <c r="H1180" s="36"/>
      <c r="I1180" s="99"/>
    </row>
    <row r="1181" spans="2:9" ht="12.95" customHeight="1" x14ac:dyDescent="0.3">
      <c r="B1181" s="89" t="s">
        <v>39</v>
      </c>
      <c r="C1181" s="89" t="s">
        <v>37</v>
      </c>
      <c r="D1181" s="90" t="s">
        <v>34</v>
      </c>
      <c r="E1181" s="76">
        <v>43014</v>
      </c>
      <c r="F1181" s="36">
        <v>8</v>
      </c>
      <c r="G1181" s="3">
        <f t="shared" ref="G1181:G1184" si="342">TRUNC($E1181*F1181,1)</f>
        <v>344112</v>
      </c>
      <c r="H1181" s="36">
        <v>0</v>
      </c>
      <c r="I1181" s="3">
        <f t="shared" ref="I1181:I1184" si="343">TRUNC($E1181*H1181,1)</f>
        <v>0</v>
      </c>
    </row>
    <row r="1182" spans="2:9" ht="12.95" customHeight="1" x14ac:dyDescent="0.3">
      <c r="B1182" s="89" t="s">
        <v>39</v>
      </c>
      <c r="C1182" s="89" t="s">
        <v>214</v>
      </c>
      <c r="D1182" s="90" t="s">
        <v>34</v>
      </c>
      <c r="E1182" s="76">
        <v>68913</v>
      </c>
      <c r="F1182" s="36">
        <v>0</v>
      </c>
      <c r="G1182" s="3">
        <f t="shared" si="342"/>
        <v>0</v>
      </c>
      <c r="H1182" s="36">
        <v>8</v>
      </c>
      <c r="I1182" s="3">
        <f t="shared" si="343"/>
        <v>551304</v>
      </c>
    </row>
    <row r="1183" spans="2:9" ht="12.95" customHeight="1" x14ac:dyDescent="0.3">
      <c r="B1183" s="89" t="s">
        <v>235</v>
      </c>
      <c r="C1183" s="89" t="s">
        <v>241</v>
      </c>
      <c r="D1183" s="90" t="s">
        <v>34</v>
      </c>
      <c r="E1183" s="76">
        <v>17396</v>
      </c>
      <c r="F1183" s="36">
        <v>8</v>
      </c>
      <c r="G1183" s="3">
        <f t="shared" si="342"/>
        <v>139168</v>
      </c>
      <c r="H1183" s="36">
        <v>0</v>
      </c>
      <c r="I1183" s="3">
        <f t="shared" si="343"/>
        <v>0</v>
      </c>
    </row>
    <row r="1184" spans="2:9" ht="12.95" customHeight="1" x14ac:dyDescent="0.3">
      <c r="B1184" s="89" t="s">
        <v>235</v>
      </c>
      <c r="C1184" s="89" t="s">
        <v>216</v>
      </c>
      <c r="D1184" s="90" t="s">
        <v>34</v>
      </c>
      <c r="E1184" s="76">
        <v>36594</v>
      </c>
      <c r="F1184" s="36">
        <v>0</v>
      </c>
      <c r="G1184" s="3">
        <f t="shared" si="342"/>
        <v>0</v>
      </c>
      <c r="H1184" s="36">
        <v>8</v>
      </c>
      <c r="I1184" s="3">
        <f t="shared" si="343"/>
        <v>292752</v>
      </c>
    </row>
    <row r="1185" spans="2:9" ht="12.95" customHeight="1" x14ac:dyDescent="0.3">
      <c r="B1185" s="93" t="s">
        <v>31</v>
      </c>
      <c r="C1185" s="96"/>
      <c r="D1185" s="104"/>
      <c r="E1185" s="19"/>
      <c r="F1185" s="138"/>
      <c r="G1185" s="20">
        <f>TRUNC(SUM(G1181:G1184))</f>
        <v>483280</v>
      </c>
      <c r="H1185" s="159"/>
      <c r="I1185" s="20">
        <f>TRUNC(SUM(I1181:I1184))</f>
        <v>844056</v>
      </c>
    </row>
    <row r="1186" spans="2:9" ht="12.95" customHeight="1" x14ac:dyDescent="0.3">
      <c r="B1186" s="79"/>
      <c r="C1186" s="79"/>
      <c r="D1186" s="90"/>
      <c r="E1186" s="98"/>
      <c r="F1186" s="98"/>
      <c r="G1186" s="99"/>
      <c r="H1186" s="98"/>
      <c r="I1186" s="99"/>
    </row>
    <row r="1187" spans="2:9" ht="12.95" customHeight="1" x14ac:dyDescent="0.3">
      <c r="B1187" s="82" t="s">
        <v>33</v>
      </c>
      <c r="C1187" s="79"/>
      <c r="D1187" s="90"/>
      <c r="E1187" s="152"/>
      <c r="F1187" s="153"/>
      <c r="G1187" s="53">
        <f>SUM(G1171+G1179+G1185)</f>
        <v>2393980</v>
      </c>
      <c r="H1187" s="153"/>
      <c r="I1187" s="53">
        <f>SUM(I1171+I1179+I1185)</f>
        <v>2865700</v>
      </c>
    </row>
    <row r="1188" spans="2:9" ht="12.95" customHeight="1" x14ac:dyDescent="0.3">
      <c r="B1188" s="84" t="s">
        <v>336</v>
      </c>
      <c r="C1188" s="85"/>
      <c r="D1188" s="86"/>
      <c r="E1188" s="87"/>
      <c r="F1188" s="88"/>
      <c r="G1188" s="7">
        <f>TRUNC(G1187/G1164)</f>
        <v>36830</v>
      </c>
      <c r="H1188" s="88"/>
      <c r="I1188" s="7">
        <f>TRUNC(I1187/I1164)</f>
        <v>57314</v>
      </c>
    </row>
    <row r="1190" spans="2:9" ht="12.95" customHeight="1" x14ac:dyDescent="0.3">
      <c r="B1190" s="1" t="s">
        <v>250</v>
      </c>
      <c r="I1190" s="137" t="s">
        <v>239</v>
      </c>
    </row>
    <row r="1191" spans="2:9" ht="12.95" customHeight="1" x14ac:dyDescent="0.3">
      <c r="B1191" s="176" t="s">
        <v>21</v>
      </c>
      <c r="C1191" s="176" t="s">
        <v>25</v>
      </c>
      <c r="D1191" s="170" t="s">
        <v>26</v>
      </c>
      <c r="E1191" s="170" t="s">
        <v>22</v>
      </c>
      <c r="F1191" s="174" t="s">
        <v>337</v>
      </c>
      <c r="G1191" s="175"/>
      <c r="H1191" s="174" t="s">
        <v>338</v>
      </c>
      <c r="I1191" s="175"/>
    </row>
    <row r="1192" spans="2:9" ht="12.95" customHeight="1" x14ac:dyDescent="0.3">
      <c r="B1192" s="177"/>
      <c r="C1192" s="177"/>
      <c r="D1192" s="179"/>
      <c r="E1192" s="179"/>
      <c r="F1192" s="143" t="s">
        <v>339</v>
      </c>
      <c r="G1192" s="70">
        <v>17</v>
      </c>
      <c r="H1192" s="143" t="s">
        <v>339</v>
      </c>
      <c r="I1192" s="70">
        <v>15</v>
      </c>
    </row>
    <row r="1193" spans="2:9" ht="12.95" customHeight="1" x14ac:dyDescent="0.3">
      <c r="B1193" s="178"/>
      <c r="C1193" s="178"/>
      <c r="D1193" s="171"/>
      <c r="E1193" s="171"/>
      <c r="F1193" s="71" t="s">
        <v>287</v>
      </c>
      <c r="G1193" s="72" t="s">
        <v>288</v>
      </c>
      <c r="H1193" s="71" t="s">
        <v>287</v>
      </c>
      <c r="I1193" s="72" t="s">
        <v>288</v>
      </c>
    </row>
    <row r="1194" spans="2:9" ht="12.95" customHeight="1" x14ac:dyDescent="0.3">
      <c r="B1194" s="89" t="s">
        <v>39</v>
      </c>
      <c r="C1194" s="89" t="s">
        <v>37</v>
      </c>
      <c r="D1194" s="90" t="s">
        <v>34</v>
      </c>
      <c r="E1194" s="76">
        <v>9835</v>
      </c>
      <c r="F1194" s="36">
        <v>8</v>
      </c>
      <c r="G1194" s="3">
        <f t="shared" ref="G1194:G1197" si="344">TRUNC($E1194*F1194,1)</f>
        <v>78680</v>
      </c>
      <c r="H1194" s="36">
        <v>0</v>
      </c>
      <c r="I1194" s="3">
        <f t="shared" ref="I1194:I1197" si="345">TRUNC($E1194*H1194,1)</f>
        <v>0</v>
      </c>
    </row>
    <row r="1195" spans="2:9" ht="12.95" customHeight="1" x14ac:dyDescent="0.3">
      <c r="B1195" s="89" t="s">
        <v>39</v>
      </c>
      <c r="C1195" s="89" t="s">
        <v>214</v>
      </c>
      <c r="D1195" s="90" t="s">
        <v>34</v>
      </c>
      <c r="E1195" s="76">
        <v>20090</v>
      </c>
      <c r="F1195" s="36">
        <v>0</v>
      </c>
      <c r="G1195" s="3">
        <f t="shared" si="344"/>
        <v>0</v>
      </c>
      <c r="H1195" s="36">
        <v>8</v>
      </c>
      <c r="I1195" s="3">
        <f t="shared" si="345"/>
        <v>160720</v>
      </c>
    </row>
    <row r="1196" spans="2:9" ht="12.95" customHeight="1" x14ac:dyDescent="0.3">
      <c r="B1196" s="89" t="s">
        <v>235</v>
      </c>
      <c r="C1196" s="89" t="s">
        <v>241</v>
      </c>
      <c r="D1196" s="90" t="s">
        <v>34</v>
      </c>
      <c r="E1196" s="76">
        <v>5600</v>
      </c>
      <c r="F1196" s="36">
        <v>8</v>
      </c>
      <c r="G1196" s="3">
        <f t="shared" si="344"/>
        <v>44800</v>
      </c>
      <c r="H1196" s="36">
        <v>0</v>
      </c>
      <c r="I1196" s="3">
        <f t="shared" si="345"/>
        <v>0</v>
      </c>
    </row>
    <row r="1197" spans="2:9" ht="12.95" customHeight="1" x14ac:dyDescent="0.3">
      <c r="B1197" s="89" t="s">
        <v>235</v>
      </c>
      <c r="C1197" s="89" t="s">
        <v>216</v>
      </c>
      <c r="D1197" s="90" t="s">
        <v>34</v>
      </c>
      <c r="E1197" s="76">
        <v>9213</v>
      </c>
      <c r="F1197" s="36">
        <v>0</v>
      </c>
      <c r="G1197" s="3">
        <f t="shared" si="344"/>
        <v>0</v>
      </c>
      <c r="H1197" s="36">
        <v>8</v>
      </c>
      <c r="I1197" s="3">
        <f t="shared" si="345"/>
        <v>73704</v>
      </c>
    </row>
    <row r="1198" spans="2:9" ht="12.95" customHeight="1" x14ac:dyDescent="0.3">
      <c r="B1198" s="89" t="s">
        <v>27</v>
      </c>
      <c r="C1198" s="91" t="s">
        <v>32</v>
      </c>
      <c r="D1198" s="90" t="s">
        <v>35</v>
      </c>
      <c r="E1198" s="15"/>
      <c r="F1198" s="36">
        <v>1</v>
      </c>
      <c r="G1198" s="6">
        <f>TRUNC(SUM(G1201:G1202)*0.03,1)</f>
        <v>26744.7</v>
      </c>
      <c r="H1198" s="36">
        <v>1</v>
      </c>
      <c r="I1198" s="6">
        <f>TRUNC(SUM(I1201:I1202)*0.03,1)</f>
        <v>26744.7</v>
      </c>
    </row>
    <row r="1199" spans="2:9" ht="12.95" customHeight="1" x14ac:dyDescent="0.3">
      <c r="B1199" s="93" t="s">
        <v>29</v>
      </c>
      <c r="C1199" s="96"/>
      <c r="D1199" s="97"/>
      <c r="E1199" s="154"/>
      <c r="F1199" s="36"/>
      <c r="G1199" s="20">
        <f>TRUNC(SUM(G1194:G1198))</f>
        <v>150224</v>
      </c>
      <c r="H1199" s="36"/>
      <c r="I1199" s="20">
        <f>TRUNC(SUM(I1194:I1198))</f>
        <v>261168</v>
      </c>
    </row>
    <row r="1200" spans="2:9" ht="12.95" customHeight="1" x14ac:dyDescent="0.3">
      <c r="B1200" s="79"/>
      <c r="C1200" s="79"/>
      <c r="D1200" s="90"/>
      <c r="E1200" s="154"/>
      <c r="F1200" s="36"/>
      <c r="G1200" s="99"/>
      <c r="H1200" s="36"/>
      <c r="I1200" s="99"/>
    </row>
    <row r="1201" spans="2:9" ht="12.95" customHeight="1" x14ac:dyDescent="0.3">
      <c r="B1201" s="73" t="s">
        <v>13</v>
      </c>
      <c r="C1201" s="74"/>
      <c r="D1201" s="75" t="s">
        <v>28</v>
      </c>
      <c r="E1201" s="76">
        <v>239808</v>
      </c>
      <c r="F1201" s="36">
        <v>3</v>
      </c>
      <c r="G1201" s="3">
        <f t="shared" ref="G1201:G1206" si="346">TRUNC($E1201*F1201,1)</f>
        <v>719424</v>
      </c>
      <c r="H1201" s="36">
        <v>3</v>
      </c>
      <c r="I1201" s="3">
        <f t="shared" ref="I1201:I1206" si="347">TRUNC($E1201*H1201,1)</f>
        <v>719424</v>
      </c>
    </row>
    <row r="1202" spans="2:9" ht="12.95" customHeight="1" x14ac:dyDescent="0.3">
      <c r="B1202" s="73" t="s">
        <v>8</v>
      </c>
      <c r="C1202" s="74"/>
      <c r="D1202" s="75" t="s">
        <v>28</v>
      </c>
      <c r="E1202" s="76">
        <v>172068</v>
      </c>
      <c r="F1202" s="36">
        <v>1</v>
      </c>
      <c r="G1202" s="3">
        <f t="shared" si="346"/>
        <v>172068</v>
      </c>
      <c r="H1202" s="36">
        <v>1</v>
      </c>
      <c r="I1202" s="3">
        <f t="shared" si="347"/>
        <v>172068</v>
      </c>
    </row>
    <row r="1203" spans="2:9" ht="12.95" customHeight="1" x14ac:dyDescent="0.3">
      <c r="B1203" s="89" t="s">
        <v>39</v>
      </c>
      <c r="C1203" s="89" t="s">
        <v>37</v>
      </c>
      <c r="D1203" s="90" t="s">
        <v>34</v>
      </c>
      <c r="E1203" s="76">
        <v>58925</v>
      </c>
      <c r="F1203" s="36">
        <v>8</v>
      </c>
      <c r="G1203" s="3">
        <f t="shared" si="346"/>
        <v>471400</v>
      </c>
      <c r="H1203" s="36">
        <v>0</v>
      </c>
      <c r="I1203" s="3">
        <f t="shared" si="347"/>
        <v>0</v>
      </c>
    </row>
    <row r="1204" spans="2:9" ht="12.95" customHeight="1" x14ac:dyDescent="0.3">
      <c r="B1204" s="89" t="s">
        <v>39</v>
      </c>
      <c r="C1204" s="89" t="s">
        <v>214</v>
      </c>
      <c r="D1204" s="90" t="s">
        <v>34</v>
      </c>
      <c r="E1204" s="76">
        <v>58925</v>
      </c>
      <c r="F1204" s="36">
        <v>0</v>
      </c>
      <c r="G1204" s="3">
        <f t="shared" si="346"/>
        <v>0</v>
      </c>
      <c r="H1204" s="36">
        <v>8</v>
      </c>
      <c r="I1204" s="3">
        <f t="shared" si="347"/>
        <v>471400</v>
      </c>
    </row>
    <row r="1205" spans="2:9" ht="12.95" customHeight="1" x14ac:dyDescent="0.3">
      <c r="B1205" s="89" t="s">
        <v>235</v>
      </c>
      <c r="C1205" s="89" t="s">
        <v>241</v>
      </c>
      <c r="D1205" s="90" t="s">
        <v>34</v>
      </c>
      <c r="E1205" s="76">
        <v>49698</v>
      </c>
      <c r="F1205" s="36">
        <v>8</v>
      </c>
      <c r="G1205" s="3">
        <f t="shared" si="346"/>
        <v>397584</v>
      </c>
      <c r="H1205" s="36">
        <v>0</v>
      </c>
      <c r="I1205" s="3">
        <f t="shared" si="347"/>
        <v>0</v>
      </c>
    </row>
    <row r="1206" spans="2:9" ht="12.95" customHeight="1" x14ac:dyDescent="0.3">
      <c r="B1206" s="89" t="s">
        <v>235</v>
      </c>
      <c r="C1206" s="89" t="s">
        <v>216</v>
      </c>
      <c r="D1206" s="90" t="s">
        <v>34</v>
      </c>
      <c r="E1206" s="76">
        <v>49698</v>
      </c>
      <c r="F1206" s="36">
        <v>0</v>
      </c>
      <c r="G1206" s="3">
        <f t="shared" si="346"/>
        <v>0</v>
      </c>
      <c r="H1206" s="36">
        <v>8</v>
      </c>
      <c r="I1206" s="3">
        <f t="shared" si="347"/>
        <v>397584</v>
      </c>
    </row>
    <row r="1207" spans="2:9" ht="12.95" customHeight="1" x14ac:dyDescent="0.3">
      <c r="B1207" s="77" t="s">
        <v>30</v>
      </c>
      <c r="C1207" s="96"/>
      <c r="D1207" s="97"/>
      <c r="E1207" s="154"/>
      <c r="F1207" s="36"/>
      <c r="G1207" s="20">
        <f>TRUNC(SUM(G1201:G1206))</f>
        <v>1760476</v>
      </c>
      <c r="H1207" s="36"/>
      <c r="I1207" s="20">
        <f>TRUNC(SUM(I1201:I1206))</f>
        <v>1760476</v>
      </c>
    </row>
    <row r="1208" spans="2:9" ht="12.95" customHeight="1" x14ac:dyDescent="0.3">
      <c r="B1208" s="79"/>
      <c r="C1208" s="79"/>
      <c r="D1208" s="90"/>
      <c r="E1208" s="154"/>
      <c r="F1208" s="36"/>
      <c r="G1208" s="99"/>
      <c r="H1208" s="36"/>
      <c r="I1208" s="99"/>
    </row>
    <row r="1209" spans="2:9" ht="12.95" customHeight="1" x14ac:dyDescent="0.3">
      <c r="B1209" s="89" t="s">
        <v>39</v>
      </c>
      <c r="C1209" s="89" t="s">
        <v>37</v>
      </c>
      <c r="D1209" s="90" t="s">
        <v>34</v>
      </c>
      <c r="E1209" s="76">
        <v>43014</v>
      </c>
      <c r="F1209" s="36">
        <v>8</v>
      </c>
      <c r="G1209" s="3">
        <f t="shared" ref="G1209:G1212" si="348">TRUNC($E1209*F1209,1)</f>
        <v>344112</v>
      </c>
      <c r="H1209" s="36">
        <v>0</v>
      </c>
      <c r="I1209" s="3">
        <f t="shared" ref="I1209:I1212" si="349">TRUNC($E1209*H1209,1)</f>
        <v>0</v>
      </c>
    </row>
    <row r="1210" spans="2:9" ht="12.95" customHeight="1" x14ac:dyDescent="0.3">
      <c r="B1210" s="89" t="s">
        <v>39</v>
      </c>
      <c r="C1210" s="89" t="s">
        <v>214</v>
      </c>
      <c r="D1210" s="90" t="s">
        <v>34</v>
      </c>
      <c r="E1210" s="76">
        <v>68913</v>
      </c>
      <c r="F1210" s="36">
        <v>0</v>
      </c>
      <c r="G1210" s="3">
        <f t="shared" si="348"/>
        <v>0</v>
      </c>
      <c r="H1210" s="36">
        <v>8</v>
      </c>
      <c r="I1210" s="3">
        <f t="shared" si="349"/>
        <v>551304</v>
      </c>
    </row>
    <row r="1211" spans="2:9" ht="12.95" customHeight="1" x14ac:dyDescent="0.3">
      <c r="B1211" s="89" t="s">
        <v>235</v>
      </c>
      <c r="C1211" s="89" t="s">
        <v>241</v>
      </c>
      <c r="D1211" s="90" t="s">
        <v>34</v>
      </c>
      <c r="E1211" s="76">
        <v>17396</v>
      </c>
      <c r="F1211" s="36">
        <v>8</v>
      </c>
      <c r="G1211" s="3">
        <f t="shared" si="348"/>
        <v>139168</v>
      </c>
      <c r="H1211" s="36">
        <v>0</v>
      </c>
      <c r="I1211" s="3">
        <f t="shared" si="349"/>
        <v>0</v>
      </c>
    </row>
    <row r="1212" spans="2:9" ht="12.95" customHeight="1" x14ac:dyDescent="0.3">
      <c r="B1212" s="89" t="s">
        <v>235</v>
      </c>
      <c r="C1212" s="89" t="s">
        <v>216</v>
      </c>
      <c r="D1212" s="90" t="s">
        <v>34</v>
      </c>
      <c r="E1212" s="76">
        <v>36594</v>
      </c>
      <c r="F1212" s="36">
        <v>0</v>
      </c>
      <c r="G1212" s="3">
        <f t="shared" si="348"/>
        <v>0</v>
      </c>
      <c r="H1212" s="36">
        <v>8</v>
      </c>
      <c r="I1212" s="3">
        <f t="shared" si="349"/>
        <v>292752</v>
      </c>
    </row>
    <row r="1213" spans="2:9" ht="12.95" customHeight="1" x14ac:dyDescent="0.3">
      <c r="B1213" s="93" t="s">
        <v>31</v>
      </c>
      <c r="C1213" s="96"/>
      <c r="D1213" s="104"/>
      <c r="E1213" s="19"/>
      <c r="F1213" s="138"/>
      <c r="G1213" s="20">
        <f>TRUNC(SUM(G1209:G1212))</f>
        <v>483280</v>
      </c>
      <c r="H1213" s="159"/>
      <c r="I1213" s="20">
        <f>TRUNC(SUM(I1209:I1212))</f>
        <v>844056</v>
      </c>
    </row>
    <row r="1214" spans="2:9" ht="12.95" customHeight="1" x14ac:dyDescent="0.3">
      <c r="B1214" s="79"/>
      <c r="C1214" s="79"/>
      <c r="D1214" s="90"/>
      <c r="E1214" s="98"/>
      <c r="F1214" s="98"/>
      <c r="G1214" s="99"/>
      <c r="H1214" s="98"/>
      <c r="I1214" s="99"/>
    </row>
    <row r="1215" spans="2:9" ht="12.95" customHeight="1" x14ac:dyDescent="0.3">
      <c r="B1215" s="82" t="s">
        <v>33</v>
      </c>
      <c r="C1215" s="79"/>
      <c r="D1215" s="90"/>
      <c r="E1215" s="152"/>
      <c r="F1215" s="153"/>
      <c r="G1215" s="53">
        <f>SUM(G1199+G1207+G1213)</f>
        <v>2393980</v>
      </c>
      <c r="H1215" s="153"/>
      <c r="I1215" s="53">
        <f>SUM(I1199+I1207+I1213)</f>
        <v>2865700</v>
      </c>
    </row>
    <row r="1216" spans="2:9" ht="12.95" customHeight="1" x14ac:dyDescent="0.3">
      <c r="B1216" s="84" t="s">
        <v>336</v>
      </c>
      <c r="C1216" s="85"/>
      <c r="D1216" s="86"/>
      <c r="E1216" s="87"/>
      <c r="F1216" s="88"/>
      <c r="G1216" s="7">
        <f>TRUNC(G1215/G1192)</f>
        <v>140822</v>
      </c>
      <c r="H1216" s="88"/>
      <c r="I1216" s="7">
        <f>TRUNC(I1215/I1192)</f>
        <v>191046</v>
      </c>
    </row>
    <row r="1218" spans="2:9" ht="12.95" customHeight="1" x14ac:dyDescent="0.3">
      <c r="B1218" s="1" t="s">
        <v>283</v>
      </c>
      <c r="I1218" s="137" t="s">
        <v>239</v>
      </c>
    </row>
    <row r="1219" spans="2:9" ht="12.95" customHeight="1" x14ac:dyDescent="0.3">
      <c r="B1219" s="176" t="s">
        <v>21</v>
      </c>
      <c r="C1219" s="176" t="s">
        <v>25</v>
      </c>
      <c r="D1219" s="170" t="s">
        <v>26</v>
      </c>
      <c r="E1219" s="170" t="s">
        <v>22</v>
      </c>
      <c r="F1219" s="185" t="s">
        <v>252</v>
      </c>
      <c r="G1219" s="186"/>
      <c r="H1219" s="185" t="s">
        <v>253</v>
      </c>
      <c r="I1219" s="186"/>
    </row>
    <row r="1220" spans="2:9" ht="12.95" customHeight="1" x14ac:dyDescent="0.3">
      <c r="B1220" s="177"/>
      <c r="C1220" s="177"/>
      <c r="D1220" s="179"/>
      <c r="E1220" s="179"/>
      <c r="F1220" s="143" t="s">
        <v>318</v>
      </c>
      <c r="G1220" s="70">
        <v>85</v>
      </c>
      <c r="H1220" s="143" t="s">
        <v>316</v>
      </c>
      <c r="I1220" s="70">
        <v>70</v>
      </c>
    </row>
    <row r="1221" spans="2:9" ht="12.95" customHeight="1" x14ac:dyDescent="0.3">
      <c r="B1221" s="178"/>
      <c r="C1221" s="178"/>
      <c r="D1221" s="171"/>
      <c r="E1221" s="171"/>
      <c r="F1221" s="71" t="s">
        <v>287</v>
      </c>
      <c r="G1221" s="72" t="s">
        <v>288</v>
      </c>
      <c r="H1221" s="71" t="s">
        <v>287</v>
      </c>
      <c r="I1221" s="72" t="s">
        <v>288</v>
      </c>
    </row>
    <row r="1222" spans="2:9" ht="12.95" customHeight="1" x14ac:dyDescent="0.3">
      <c r="B1222" s="89" t="s">
        <v>251</v>
      </c>
      <c r="C1222" s="89"/>
      <c r="D1222" s="90" t="s">
        <v>34</v>
      </c>
      <c r="E1222" s="158">
        <v>0</v>
      </c>
      <c r="F1222" s="36">
        <v>8</v>
      </c>
      <c r="G1222" s="3">
        <f t="shared" ref="G1222:G1224" si="350">TRUNC($E1222*F1222,1)</f>
        <v>0</v>
      </c>
      <c r="H1222" s="36">
        <v>0</v>
      </c>
      <c r="I1222" s="3">
        <f t="shared" ref="I1222:I1224" si="351">TRUNC($E1222*H1222,1)</f>
        <v>0</v>
      </c>
    </row>
    <row r="1223" spans="2:9" ht="12.95" customHeight="1" x14ac:dyDescent="0.3">
      <c r="B1223" s="89" t="s">
        <v>237</v>
      </c>
      <c r="C1223" s="89" t="s">
        <v>215</v>
      </c>
      <c r="D1223" s="90" t="s">
        <v>34</v>
      </c>
      <c r="E1223" s="158">
        <v>29071</v>
      </c>
      <c r="F1223" s="36">
        <v>0</v>
      </c>
      <c r="G1223" s="3">
        <f t="shared" si="350"/>
        <v>0</v>
      </c>
      <c r="H1223" s="36">
        <v>8</v>
      </c>
      <c r="I1223" s="3">
        <f t="shared" si="351"/>
        <v>232568</v>
      </c>
    </row>
    <row r="1224" spans="2:9" ht="12.95" customHeight="1" x14ac:dyDescent="0.3">
      <c r="B1224" s="89" t="s">
        <v>17</v>
      </c>
      <c r="C1224" s="89" t="s">
        <v>216</v>
      </c>
      <c r="D1224" s="90" t="s">
        <v>34</v>
      </c>
      <c r="E1224" s="158">
        <v>11755</v>
      </c>
      <c r="F1224" s="36">
        <v>8</v>
      </c>
      <c r="G1224" s="3">
        <f t="shared" si="350"/>
        <v>94040</v>
      </c>
      <c r="H1224" s="36">
        <v>8</v>
      </c>
      <c r="I1224" s="3">
        <f t="shared" si="351"/>
        <v>94040</v>
      </c>
    </row>
    <row r="1225" spans="2:9" ht="12.95" customHeight="1" x14ac:dyDescent="0.3">
      <c r="B1225" s="93" t="s">
        <v>29</v>
      </c>
      <c r="C1225" s="96"/>
      <c r="D1225" s="97"/>
      <c r="E1225" s="138"/>
      <c r="F1225" s="36"/>
      <c r="G1225" s="20">
        <f>TRUNC(SUM(G1222:G1224))</f>
        <v>94040</v>
      </c>
      <c r="H1225" s="36"/>
      <c r="I1225" s="20">
        <f>TRUNC(SUM(I1222:I1224))</f>
        <v>326608</v>
      </c>
    </row>
    <row r="1226" spans="2:9" ht="12.95" customHeight="1" x14ac:dyDescent="0.3">
      <c r="B1226" s="79"/>
      <c r="C1226" s="79"/>
      <c r="D1226" s="90"/>
      <c r="E1226" s="98"/>
      <c r="F1226" s="36"/>
      <c r="G1226" s="99"/>
      <c r="H1226" s="36"/>
      <c r="I1226" s="99"/>
    </row>
    <row r="1227" spans="2:9" ht="12.95" customHeight="1" x14ac:dyDescent="0.3">
      <c r="B1227" s="73" t="s">
        <v>8</v>
      </c>
      <c r="C1227" s="74"/>
      <c r="D1227" s="75" t="s">
        <v>28</v>
      </c>
      <c r="E1227" s="76">
        <v>172068</v>
      </c>
      <c r="F1227" s="36">
        <v>4</v>
      </c>
      <c r="G1227" s="3">
        <f t="shared" ref="G1227:G1232" si="352">TRUNC($E1227*F1227,1)</f>
        <v>688272</v>
      </c>
      <c r="H1227" s="36">
        <v>4</v>
      </c>
      <c r="I1227" s="3">
        <f t="shared" ref="I1227:I1232" si="353">TRUNC($E1227*H1227,1)</f>
        <v>688272</v>
      </c>
    </row>
    <row r="1228" spans="2:9" ht="12.95" customHeight="1" x14ac:dyDescent="0.3">
      <c r="B1228" s="73" t="s">
        <v>42</v>
      </c>
      <c r="C1228" s="74"/>
      <c r="D1228" s="75" t="s">
        <v>28</v>
      </c>
      <c r="E1228" s="76">
        <v>226122</v>
      </c>
      <c r="F1228" s="36">
        <v>1</v>
      </c>
      <c r="G1228" s="3">
        <f t="shared" si="352"/>
        <v>226122</v>
      </c>
      <c r="H1228" s="36">
        <v>1</v>
      </c>
      <c r="I1228" s="3">
        <f t="shared" si="353"/>
        <v>226122</v>
      </c>
    </row>
    <row r="1229" spans="2:9" ht="12.95" customHeight="1" x14ac:dyDescent="0.3">
      <c r="B1229" s="73" t="s">
        <v>0</v>
      </c>
      <c r="C1229" s="74"/>
      <c r="D1229" s="75" t="s">
        <v>28</v>
      </c>
      <c r="E1229" s="76">
        <v>273540</v>
      </c>
      <c r="F1229" s="36">
        <v>1</v>
      </c>
      <c r="G1229" s="3">
        <f t="shared" si="352"/>
        <v>273540</v>
      </c>
      <c r="H1229" s="36">
        <v>1</v>
      </c>
      <c r="I1229" s="3">
        <f t="shared" si="353"/>
        <v>273540</v>
      </c>
    </row>
    <row r="1230" spans="2:9" ht="12.95" customHeight="1" x14ac:dyDescent="0.3">
      <c r="B1230" s="89" t="s">
        <v>251</v>
      </c>
      <c r="C1230" s="89"/>
      <c r="D1230" s="90" t="s">
        <v>34</v>
      </c>
      <c r="E1230" s="158">
        <v>0</v>
      </c>
      <c r="F1230" s="36">
        <v>8</v>
      </c>
      <c r="G1230" s="3">
        <f t="shared" si="352"/>
        <v>0</v>
      </c>
      <c r="H1230" s="36">
        <v>0</v>
      </c>
      <c r="I1230" s="3">
        <f t="shared" si="353"/>
        <v>0</v>
      </c>
    </row>
    <row r="1231" spans="2:9" ht="12.95" customHeight="1" x14ac:dyDescent="0.3">
      <c r="B1231" s="89" t="s">
        <v>237</v>
      </c>
      <c r="C1231" s="89" t="s">
        <v>215</v>
      </c>
      <c r="D1231" s="90" t="s">
        <v>34</v>
      </c>
      <c r="E1231" s="158">
        <v>58925</v>
      </c>
      <c r="F1231" s="36">
        <v>0</v>
      </c>
      <c r="G1231" s="3">
        <f t="shared" si="352"/>
        <v>0</v>
      </c>
      <c r="H1231" s="36">
        <v>8</v>
      </c>
      <c r="I1231" s="3">
        <f t="shared" si="353"/>
        <v>471400</v>
      </c>
    </row>
    <row r="1232" spans="2:9" ht="12.95" customHeight="1" x14ac:dyDescent="0.3">
      <c r="B1232" s="89" t="s">
        <v>17</v>
      </c>
      <c r="C1232" s="89" t="s">
        <v>216</v>
      </c>
      <c r="D1232" s="90" t="s">
        <v>34</v>
      </c>
      <c r="E1232" s="158">
        <v>58925</v>
      </c>
      <c r="F1232" s="36">
        <v>8</v>
      </c>
      <c r="G1232" s="3">
        <f t="shared" si="352"/>
        <v>471400</v>
      </c>
      <c r="H1232" s="36">
        <v>8</v>
      </c>
      <c r="I1232" s="3">
        <f t="shared" si="353"/>
        <v>471400</v>
      </c>
    </row>
    <row r="1233" spans="2:9" ht="12.95" customHeight="1" x14ac:dyDescent="0.3">
      <c r="B1233" s="77" t="s">
        <v>30</v>
      </c>
      <c r="C1233" s="96"/>
      <c r="D1233" s="97"/>
      <c r="E1233" s="19"/>
      <c r="F1233" s="36"/>
      <c r="G1233" s="20">
        <f>TRUNC(SUM(G1227:G1232))</f>
        <v>1659334</v>
      </c>
      <c r="H1233" s="36"/>
      <c r="I1233" s="20">
        <f>TRUNC(SUM(I1227:I1232))</f>
        <v>2130734</v>
      </c>
    </row>
    <row r="1234" spans="2:9" ht="12.95" customHeight="1" x14ac:dyDescent="0.3">
      <c r="B1234" s="79"/>
      <c r="C1234" s="79"/>
      <c r="D1234" s="90"/>
      <c r="E1234" s="98"/>
      <c r="F1234" s="36"/>
      <c r="G1234" s="99"/>
      <c r="H1234" s="36"/>
      <c r="I1234" s="99"/>
    </row>
    <row r="1235" spans="2:9" ht="12.95" customHeight="1" x14ac:dyDescent="0.3">
      <c r="B1235" s="89" t="s">
        <v>251</v>
      </c>
      <c r="C1235" s="89"/>
      <c r="D1235" s="90" t="s">
        <v>34</v>
      </c>
      <c r="E1235" s="158">
        <v>0</v>
      </c>
      <c r="F1235" s="36">
        <v>8</v>
      </c>
      <c r="G1235" s="3">
        <f t="shared" ref="G1235:G1237" si="354">TRUNC($E1235*F1235,1)</f>
        <v>0</v>
      </c>
      <c r="H1235" s="36">
        <v>0</v>
      </c>
      <c r="I1235" s="3">
        <f t="shared" ref="I1235:I1237" si="355">TRUNC($E1235*H1235,1)</f>
        <v>0</v>
      </c>
    </row>
    <row r="1236" spans="2:9" ht="12.95" customHeight="1" x14ac:dyDescent="0.3">
      <c r="B1236" s="89" t="s">
        <v>237</v>
      </c>
      <c r="C1236" s="89" t="s">
        <v>215</v>
      </c>
      <c r="D1236" s="90" t="s">
        <v>34</v>
      </c>
      <c r="E1236" s="158">
        <v>137368</v>
      </c>
      <c r="F1236" s="36">
        <v>0</v>
      </c>
      <c r="G1236" s="3">
        <f t="shared" si="354"/>
        <v>0</v>
      </c>
      <c r="H1236" s="36">
        <v>8</v>
      </c>
      <c r="I1236" s="3">
        <f t="shared" si="355"/>
        <v>1098944</v>
      </c>
    </row>
    <row r="1237" spans="2:9" ht="12.95" customHeight="1" x14ac:dyDescent="0.3">
      <c r="B1237" s="89" t="s">
        <v>17</v>
      </c>
      <c r="C1237" s="89" t="s">
        <v>216</v>
      </c>
      <c r="D1237" s="90" t="s">
        <v>34</v>
      </c>
      <c r="E1237" s="158">
        <v>7157</v>
      </c>
      <c r="F1237" s="36">
        <v>8</v>
      </c>
      <c r="G1237" s="3">
        <f t="shared" si="354"/>
        <v>57256</v>
      </c>
      <c r="H1237" s="36">
        <v>8</v>
      </c>
      <c r="I1237" s="3">
        <f t="shared" si="355"/>
        <v>57256</v>
      </c>
    </row>
    <row r="1238" spans="2:9" ht="12.95" customHeight="1" x14ac:dyDescent="0.3">
      <c r="B1238" s="93" t="s">
        <v>31</v>
      </c>
      <c r="C1238" s="96"/>
      <c r="D1238" s="104"/>
      <c r="E1238" s="19"/>
      <c r="F1238" s="138"/>
      <c r="G1238" s="20">
        <f>TRUNC(SUM(G1235:G1237))</f>
        <v>57256</v>
      </c>
      <c r="H1238" s="138"/>
      <c r="I1238" s="20">
        <f>TRUNC(SUM(I1235:I1237))</f>
        <v>1156200</v>
      </c>
    </row>
    <row r="1239" spans="2:9" ht="12.95" customHeight="1" x14ac:dyDescent="0.3">
      <c r="B1239" s="79"/>
      <c r="C1239" s="79"/>
      <c r="D1239" s="90"/>
      <c r="E1239" s="98"/>
      <c r="F1239" s="98"/>
      <c r="G1239" s="99"/>
      <c r="H1239" s="98"/>
      <c r="I1239" s="99"/>
    </row>
    <row r="1240" spans="2:9" ht="12.95" customHeight="1" x14ac:dyDescent="0.3">
      <c r="B1240" s="82" t="s">
        <v>33</v>
      </c>
      <c r="C1240" s="79"/>
      <c r="D1240" s="90"/>
      <c r="E1240" s="152"/>
      <c r="F1240" s="153"/>
      <c r="G1240" s="53">
        <f>SUM(G1225+G1233+G1238)</f>
        <v>1810630</v>
      </c>
      <c r="H1240" s="153"/>
      <c r="I1240" s="53">
        <f>SUM(I1225+I1233+I1238)</f>
        <v>3613542</v>
      </c>
    </row>
    <row r="1241" spans="2:9" ht="12.95" customHeight="1" x14ac:dyDescent="0.3">
      <c r="B1241" s="84" t="s">
        <v>319</v>
      </c>
      <c r="C1241" s="85"/>
      <c r="D1241" s="86"/>
      <c r="E1241" s="87"/>
      <c r="F1241" s="88"/>
      <c r="G1241" s="7">
        <f>TRUNC(G1240/G1220)</f>
        <v>21301</v>
      </c>
      <c r="H1241" s="88"/>
      <c r="I1241" s="7">
        <f>TRUNC(I1240/I1220)</f>
        <v>51622</v>
      </c>
    </row>
    <row r="1243" spans="2:9" ht="12.95" customHeight="1" x14ac:dyDescent="0.3">
      <c r="B1243" s="1" t="s">
        <v>284</v>
      </c>
      <c r="G1243" s="137" t="s">
        <v>239</v>
      </c>
    </row>
    <row r="1244" spans="2:9" ht="12.95" customHeight="1" x14ac:dyDescent="0.3">
      <c r="B1244" s="187" t="s">
        <v>21</v>
      </c>
      <c r="C1244" s="188" t="s">
        <v>25</v>
      </c>
      <c r="D1244" s="189" t="s">
        <v>26</v>
      </c>
      <c r="E1244" s="169" t="s">
        <v>22</v>
      </c>
      <c r="F1244" s="143" t="s">
        <v>334</v>
      </c>
      <c r="G1244" s="70">
        <v>14</v>
      </c>
    </row>
    <row r="1245" spans="2:9" ht="12.95" customHeight="1" x14ac:dyDescent="0.3">
      <c r="B1245" s="187"/>
      <c r="C1245" s="188"/>
      <c r="D1245" s="189"/>
      <c r="E1245" s="169"/>
      <c r="F1245" s="71" t="s">
        <v>287</v>
      </c>
      <c r="G1245" s="72" t="s">
        <v>288</v>
      </c>
    </row>
    <row r="1246" spans="2:9" ht="12.95" customHeight="1" x14ac:dyDescent="0.3">
      <c r="B1246" s="89" t="s">
        <v>235</v>
      </c>
      <c r="C1246" s="89" t="s">
        <v>216</v>
      </c>
      <c r="D1246" s="90" t="s">
        <v>34</v>
      </c>
      <c r="E1246" s="76">
        <v>9213</v>
      </c>
      <c r="F1246" s="36">
        <v>8</v>
      </c>
      <c r="G1246" s="3">
        <f t="shared" ref="G1246" si="356">TRUNC($E1246*F1246,1)</f>
        <v>73704</v>
      </c>
    </row>
    <row r="1247" spans="2:9" ht="12.95" customHeight="1" x14ac:dyDescent="0.3">
      <c r="B1247" s="89" t="s">
        <v>27</v>
      </c>
      <c r="C1247" s="91" t="s">
        <v>32</v>
      </c>
      <c r="D1247" s="90" t="s">
        <v>35</v>
      </c>
      <c r="E1247" s="92"/>
      <c r="F1247" s="36">
        <v>1</v>
      </c>
      <c r="G1247" s="6">
        <f>TRUNC(SUM(G1250:G1251)*0.03,1)</f>
        <v>27472.7</v>
      </c>
    </row>
    <row r="1248" spans="2:9" ht="12.95" customHeight="1" x14ac:dyDescent="0.3">
      <c r="B1248" s="93" t="s">
        <v>29</v>
      </c>
      <c r="C1248" s="96"/>
      <c r="D1248" s="97"/>
      <c r="E1248" s="138"/>
      <c r="F1248" s="36"/>
      <c r="G1248" s="20">
        <f>TRUNC(SUM(G1246:G1247))</f>
        <v>101176</v>
      </c>
    </row>
    <row r="1249" spans="2:13" ht="12.95" customHeight="1" x14ac:dyDescent="0.3">
      <c r="B1249" s="79"/>
      <c r="C1249" s="79"/>
      <c r="D1249" s="90"/>
      <c r="E1249" s="98"/>
      <c r="F1249" s="36"/>
      <c r="G1249" s="99"/>
    </row>
    <row r="1250" spans="2:13" ht="12.95" customHeight="1" x14ac:dyDescent="0.3">
      <c r="B1250" s="73" t="s">
        <v>7</v>
      </c>
      <c r="C1250" s="74"/>
      <c r="D1250" s="75" t="s">
        <v>28</v>
      </c>
      <c r="E1250" s="76">
        <v>247897</v>
      </c>
      <c r="F1250" s="36">
        <v>3</v>
      </c>
      <c r="G1250" s="3">
        <f t="shared" ref="G1250:G1252" si="357">TRUNC($E1250*F1250,1)</f>
        <v>743691</v>
      </c>
    </row>
    <row r="1251" spans="2:13" ht="12.95" customHeight="1" x14ac:dyDescent="0.3">
      <c r="B1251" s="73" t="s">
        <v>8</v>
      </c>
      <c r="C1251" s="74"/>
      <c r="D1251" s="75" t="s">
        <v>28</v>
      </c>
      <c r="E1251" s="76">
        <v>172068</v>
      </c>
      <c r="F1251" s="36">
        <v>1</v>
      </c>
      <c r="G1251" s="3">
        <f t="shared" si="357"/>
        <v>172068</v>
      </c>
    </row>
    <row r="1252" spans="2:13" ht="12.95" customHeight="1" x14ac:dyDescent="0.3">
      <c r="B1252" s="89" t="s">
        <v>235</v>
      </c>
      <c r="C1252" s="89" t="s">
        <v>216</v>
      </c>
      <c r="D1252" s="90" t="s">
        <v>34</v>
      </c>
      <c r="E1252" s="76">
        <v>49698</v>
      </c>
      <c r="F1252" s="36">
        <v>8</v>
      </c>
      <c r="G1252" s="3">
        <f t="shared" si="357"/>
        <v>397584</v>
      </c>
    </row>
    <row r="1253" spans="2:13" ht="12.95" customHeight="1" x14ac:dyDescent="0.3">
      <c r="B1253" s="77" t="s">
        <v>30</v>
      </c>
      <c r="C1253" s="96"/>
      <c r="D1253" s="97"/>
      <c r="E1253" s="19"/>
      <c r="F1253" s="36"/>
      <c r="G1253" s="20">
        <f>TRUNC(SUM(G1250:G1252))</f>
        <v>1313343</v>
      </c>
    </row>
    <row r="1254" spans="2:13" ht="12.95" customHeight="1" x14ac:dyDescent="0.3">
      <c r="B1254" s="79"/>
      <c r="C1254" s="79"/>
      <c r="D1254" s="90"/>
      <c r="E1254" s="98"/>
      <c r="F1254" s="36"/>
      <c r="G1254" s="99"/>
    </row>
    <row r="1255" spans="2:13" ht="12.95" customHeight="1" x14ac:dyDescent="0.3">
      <c r="B1255" s="89" t="s">
        <v>235</v>
      </c>
      <c r="C1255" s="89" t="s">
        <v>216</v>
      </c>
      <c r="D1255" s="90" t="s">
        <v>34</v>
      </c>
      <c r="E1255" s="76">
        <v>36594</v>
      </c>
      <c r="F1255" s="36">
        <v>8</v>
      </c>
      <c r="G1255" s="3">
        <f t="shared" ref="G1255" si="358">TRUNC($E1255*F1255,1)</f>
        <v>292752</v>
      </c>
    </row>
    <row r="1256" spans="2:13" ht="12.95" customHeight="1" x14ac:dyDescent="0.3">
      <c r="B1256" s="93" t="s">
        <v>31</v>
      </c>
      <c r="C1256" s="96"/>
      <c r="D1256" s="104"/>
      <c r="E1256" s="19"/>
      <c r="F1256" s="138"/>
      <c r="G1256" s="20">
        <f>TRUNC(SUM(G1255:G1255))</f>
        <v>292752</v>
      </c>
    </row>
    <row r="1257" spans="2:13" ht="12.95" customHeight="1" x14ac:dyDescent="0.3">
      <c r="B1257" s="79"/>
      <c r="C1257" s="79"/>
      <c r="D1257" s="90"/>
      <c r="E1257" s="98"/>
      <c r="F1257" s="98"/>
      <c r="G1257" s="99"/>
    </row>
    <row r="1258" spans="2:13" ht="12.95" customHeight="1" x14ac:dyDescent="0.3">
      <c r="B1258" s="82" t="s">
        <v>33</v>
      </c>
      <c r="C1258" s="79"/>
      <c r="D1258" s="90"/>
      <c r="E1258" s="152"/>
      <c r="F1258" s="153"/>
      <c r="G1258" s="53">
        <f>SUM(G1248+G1253+G1256)</f>
        <v>1707271</v>
      </c>
    </row>
    <row r="1259" spans="2:13" ht="12.95" customHeight="1" x14ac:dyDescent="0.3">
      <c r="B1259" s="84" t="s">
        <v>302</v>
      </c>
      <c r="C1259" s="85"/>
      <c r="D1259" s="86"/>
      <c r="E1259" s="87"/>
      <c r="F1259" s="88"/>
      <c r="G1259" s="7">
        <f>TRUNC(G1258/G1244)</f>
        <v>121947</v>
      </c>
    </row>
    <row r="1261" spans="2:13" ht="12.95" customHeight="1" x14ac:dyDescent="0.3">
      <c r="B1261" s="61" t="s">
        <v>217</v>
      </c>
    </row>
    <row r="1262" spans="2:13" ht="12.95" customHeight="1" x14ac:dyDescent="0.3">
      <c r="B1262" s="1" t="s">
        <v>254</v>
      </c>
      <c r="M1262" s="137" t="s">
        <v>239</v>
      </c>
    </row>
    <row r="1263" spans="2:13" ht="12.95" customHeight="1" x14ac:dyDescent="0.3">
      <c r="B1263" s="176" t="s">
        <v>21</v>
      </c>
      <c r="C1263" s="170" t="s">
        <v>25</v>
      </c>
      <c r="D1263" s="170" t="s">
        <v>26</v>
      </c>
      <c r="E1263" s="170" t="s">
        <v>22</v>
      </c>
      <c r="F1263" s="185" t="s">
        <v>220</v>
      </c>
      <c r="G1263" s="186"/>
      <c r="H1263" s="185" t="s">
        <v>221</v>
      </c>
      <c r="I1263" s="186"/>
      <c r="J1263" s="185" t="s">
        <v>222</v>
      </c>
      <c r="K1263" s="186"/>
      <c r="L1263" s="185" t="s">
        <v>223</v>
      </c>
      <c r="M1263" s="186"/>
    </row>
    <row r="1264" spans="2:13" ht="12.95" customHeight="1" x14ac:dyDescent="0.3">
      <c r="B1264" s="177"/>
      <c r="C1264" s="179"/>
      <c r="D1264" s="179"/>
      <c r="E1264" s="179"/>
      <c r="F1264" s="143" t="s">
        <v>334</v>
      </c>
      <c r="G1264" s="157">
        <v>75</v>
      </c>
      <c r="H1264" s="143" t="s">
        <v>300</v>
      </c>
      <c r="I1264" s="157">
        <v>63</v>
      </c>
      <c r="J1264" s="143" t="s">
        <v>300</v>
      </c>
      <c r="K1264" s="157">
        <v>52</v>
      </c>
      <c r="L1264" s="143" t="s">
        <v>300</v>
      </c>
      <c r="M1264" s="157">
        <v>42</v>
      </c>
    </row>
    <row r="1265" spans="2:13" ht="12.95" customHeight="1" x14ac:dyDescent="0.3">
      <c r="B1265" s="178"/>
      <c r="C1265" s="171"/>
      <c r="D1265" s="171"/>
      <c r="E1265" s="171"/>
      <c r="F1265" s="71" t="s">
        <v>287</v>
      </c>
      <c r="G1265" s="72" t="s">
        <v>288</v>
      </c>
      <c r="H1265" s="71" t="s">
        <v>287</v>
      </c>
      <c r="I1265" s="72" t="s">
        <v>288</v>
      </c>
      <c r="J1265" s="71" t="s">
        <v>287</v>
      </c>
      <c r="K1265" s="72" t="s">
        <v>288</v>
      </c>
      <c r="L1265" s="71" t="s">
        <v>287</v>
      </c>
      <c r="M1265" s="72" t="s">
        <v>288</v>
      </c>
    </row>
    <row r="1266" spans="2:13" ht="12.95" customHeight="1" x14ac:dyDescent="0.3">
      <c r="B1266" s="89" t="s">
        <v>378</v>
      </c>
      <c r="C1266" s="89" t="s">
        <v>19</v>
      </c>
      <c r="D1266" s="90" t="s">
        <v>34</v>
      </c>
      <c r="E1266" s="76">
        <v>30428</v>
      </c>
      <c r="F1266" s="36">
        <v>8</v>
      </c>
      <c r="G1266" s="3">
        <f t="shared" ref="G1266" si="359">TRUNC($E1266*F1266,1)</f>
        <v>243424</v>
      </c>
      <c r="H1266" s="36">
        <v>8</v>
      </c>
      <c r="I1266" s="3">
        <f t="shared" ref="I1266" si="360">TRUNC($E1266*H1266,1)</f>
        <v>243424</v>
      </c>
      <c r="J1266" s="36">
        <v>8</v>
      </c>
      <c r="K1266" s="3">
        <f t="shared" ref="K1266" si="361">TRUNC($E1266*J1266,1)</f>
        <v>243424</v>
      </c>
      <c r="L1266" s="36">
        <v>8</v>
      </c>
      <c r="M1266" s="3">
        <f t="shared" ref="M1266" si="362">TRUNC($E1266*L1266,1)</f>
        <v>243424</v>
      </c>
    </row>
    <row r="1267" spans="2:13" ht="12.95" customHeight="1" x14ac:dyDescent="0.3">
      <c r="B1267" s="89" t="s">
        <v>27</v>
      </c>
      <c r="C1267" s="91" t="s">
        <v>219</v>
      </c>
      <c r="D1267" s="90" t="s">
        <v>35</v>
      </c>
      <c r="E1267" s="92"/>
      <c r="F1267" s="36">
        <v>1</v>
      </c>
      <c r="G1267" s="6">
        <f>TRUNC(SUM(G1270:G1271)*0.08,1)</f>
        <v>49944.9</v>
      </c>
      <c r="H1267" s="36">
        <v>1</v>
      </c>
      <c r="I1267" s="6">
        <f>TRUNC(SUM(I1270:I1271)*0.08,1)</f>
        <v>49944.9</v>
      </c>
      <c r="J1267" s="36">
        <v>1</v>
      </c>
      <c r="K1267" s="6">
        <f>TRUNC(SUM(K1270:K1271)*0.08,1)</f>
        <v>49944.9</v>
      </c>
      <c r="L1267" s="36">
        <v>1</v>
      </c>
      <c r="M1267" s="6">
        <f>TRUNC(SUM(M1270:M1271)*0.08,1)</f>
        <v>49944.9</v>
      </c>
    </row>
    <row r="1268" spans="2:13" ht="12.95" customHeight="1" x14ac:dyDescent="0.3">
      <c r="B1268" s="93" t="s">
        <v>29</v>
      </c>
      <c r="C1268" s="96"/>
      <c r="D1268" s="97"/>
      <c r="E1268" s="138"/>
      <c r="F1268" s="36"/>
      <c r="G1268" s="20">
        <f>TRUNC(SUM(G1266:G1267))</f>
        <v>293368</v>
      </c>
      <c r="H1268" s="36"/>
      <c r="I1268" s="20">
        <f>TRUNC(SUM(I1266:I1267))</f>
        <v>293368</v>
      </c>
      <c r="J1268" s="36"/>
      <c r="K1268" s="20">
        <f>TRUNC(SUM(K1266:K1267))</f>
        <v>293368</v>
      </c>
      <c r="L1268" s="36"/>
      <c r="M1268" s="20">
        <f>TRUNC(SUM(M1266:M1267))</f>
        <v>293368</v>
      </c>
    </row>
    <row r="1269" spans="2:13" ht="12.95" customHeight="1" x14ac:dyDescent="0.3">
      <c r="B1269" s="79"/>
      <c r="C1269" s="79"/>
      <c r="D1269" s="90"/>
      <c r="E1269" s="98"/>
      <c r="F1269" s="36"/>
      <c r="G1269" s="99"/>
      <c r="H1269" s="36"/>
      <c r="I1269" s="99"/>
      <c r="J1269" s="36"/>
      <c r="K1269" s="99"/>
      <c r="L1269" s="36"/>
      <c r="M1269" s="99"/>
    </row>
    <row r="1270" spans="2:13" ht="12.95" customHeight="1" x14ac:dyDescent="0.3">
      <c r="B1270" s="73" t="s">
        <v>42</v>
      </c>
      <c r="C1270" s="74"/>
      <c r="D1270" s="75" t="s">
        <v>28</v>
      </c>
      <c r="E1270" s="160">
        <v>226122</v>
      </c>
      <c r="F1270" s="36">
        <v>2</v>
      </c>
      <c r="G1270" s="3">
        <f t="shared" ref="G1270:G1272" si="363">TRUNC($E1270*F1270,1)</f>
        <v>452244</v>
      </c>
      <c r="H1270" s="36">
        <v>2</v>
      </c>
      <c r="I1270" s="3">
        <f t="shared" ref="I1270:I1272" si="364">TRUNC($E1270*H1270,1)</f>
        <v>452244</v>
      </c>
      <c r="J1270" s="36">
        <v>2</v>
      </c>
      <c r="K1270" s="3">
        <f t="shared" ref="K1270:K1272" si="365">TRUNC($E1270*J1270,1)</f>
        <v>452244</v>
      </c>
      <c r="L1270" s="36">
        <v>2</v>
      </c>
      <c r="M1270" s="3">
        <f t="shared" ref="M1270:M1272" si="366">TRUNC($E1270*L1270,1)</f>
        <v>452244</v>
      </c>
    </row>
    <row r="1271" spans="2:13" ht="12.95" customHeight="1" x14ac:dyDescent="0.3">
      <c r="B1271" s="73" t="s">
        <v>8</v>
      </c>
      <c r="C1271" s="74"/>
      <c r="D1271" s="75" t="s">
        <v>28</v>
      </c>
      <c r="E1271" s="160">
        <v>172068</v>
      </c>
      <c r="F1271" s="36">
        <v>1</v>
      </c>
      <c r="G1271" s="3">
        <f t="shared" si="363"/>
        <v>172068</v>
      </c>
      <c r="H1271" s="36">
        <v>1</v>
      </c>
      <c r="I1271" s="3">
        <f t="shared" si="364"/>
        <v>172068</v>
      </c>
      <c r="J1271" s="36">
        <v>1</v>
      </c>
      <c r="K1271" s="3">
        <f t="shared" si="365"/>
        <v>172068</v>
      </c>
      <c r="L1271" s="36">
        <v>1</v>
      </c>
      <c r="M1271" s="3">
        <f t="shared" si="366"/>
        <v>172068</v>
      </c>
    </row>
    <row r="1272" spans="2:13" ht="12.95" customHeight="1" x14ac:dyDescent="0.3">
      <c r="B1272" s="89" t="s">
        <v>378</v>
      </c>
      <c r="C1272" s="89" t="s">
        <v>19</v>
      </c>
      <c r="D1272" s="90" t="s">
        <v>34</v>
      </c>
      <c r="E1272" s="76">
        <v>58925</v>
      </c>
      <c r="F1272" s="36">
        <v>8</v>
      </c>
      <c r="G1272" s="3">
        <f t="shared" si="363"/>
        <v>471400</v>
      </c>
      <c r="H1272" s="36">
        <v>8</v>
      </c>
      <c r="I1272" s="3">
        <f t="shared" si="364"/>
        <v>471400</v>
      </c>
      <c r="J1272" s="36">
        <v>8</v>
      </c>
      <c r="K1272" s="3">
        <f t="shared" si="365"/>
        <v>471400</v>
      </c>
      <c r="L1272" s="36">
        <v>8</v>
      </c>
      <c r="M1272" s="3">
        <f t="shared" si="366"/>
        <v>471400</v>
      </c>
    </row>
    <row r="1273" spans="2:13" ht="12.95" customHeight="1" x14ac:dyDescent="0.3">
      <c r="B1273" s="77" t="s">
        <v>30</v>
      </c>
      <c r="C1273" s="96"/>
      <c r="D1273" s="97"/>
      <c r="E1273" s="19"/>
      <c r="F1273" s="36"/>
      <c r="G1273" s="20">
        <f>TRUNC(SUM(G1270:G1272))</f>
        <v>1095712</v>
      </c>
      <c r="H1273" s="36"/>
      <c r="I1273" s="20">
        <f>TRUNC(SUM(I1270:I1272))</f>
        <v>1095712</v>
      </c>
      <c r="J1273" s="36"/>
      <c r="K1273" s="20">
        <f>TRUNC(SUM(K1270:K1272))</f>
        <v>1095712</v>
      </c>
      <c r="L1273" s="36"/>
      <c r="M1273" s="20">
        <f>TRUNC(SUM(M1270:M1272))</f>
        <v>1095712</v>
      </c>
    </row>
    <row r="1274" spans="2:13" ht="12.95" customHeight="1" x14ac:dyDescent="0.3">
      <c r="B1274" s="79"/>
      <c r="C1274" s="79"/>
      <c r="D1274" s="90"/>
      <c r="E1274" s="98"/>
      <c r="F1274" s="36"/>
      <c r="G1274" s="99"/>
      <c r="H1274" s="36"/>
      <c r="I1274" s="99"/>
      <c r="J1274" s="36"/>
      <c r="K1274" s="99"/>
      <c r="L1274" s="36"/>
      <c r="M1274" s="99"/>
    </row>
    <row r="1275" spans="2:13" ht="12.95" customHeight="1" x14ac:dyDescent="0.3">
      <c r="B1275" s="89" t="s">
        <v>378</v>
      </c>
      <c r="C1275" s="89" t="s">
        <v>19</v>
      </c>
      <c r="D1275" s="90" t="s">
        <v>34</v>
      </c>
      <c r="E1275" s="76">
        <v>32172</v>
      </c>
      <c r="F1275" s="36">
        <v>8</v>
      </c>
      <c r="G1275" s="3">
        <f t="shared" ref="G1275" si="367">TRUNC($E1275*F1275,1)</f>
        <v>257376</v>
      </c>
      <c r="H1275" s="36">
        <v>8</v>
      </c>
      <c r="I1275" s="3">
        <f t="shared" ref="I1275" si="368">TRUNC($E1275*H1275,1)</f>
        <v>257376</v>
      </c>
      <c r="J1275" s="36">
        <v>8</v>
      </c>
      <c r="K1275" s="3">
        <f t="shared" ref="K1275" si="369">TRUNC($E1275*J1275,1)</f>
        <v>257376</v>
      </c>
      <c r="L1275" s="36">
        <v>8</v>
      </c>
      <c r="M1275" s="3">
        <f t="shared" ref="M1275" si="370">TRUNC($E1275*L1275,1)</f>
        <v>257376</v>
      </c>
    </row>
    <row r="1276" spans="2:13" ht="12.95" customHeight="1" x14ac:dyDescent="0.3">
      <c r="B1276" s="93" t="s">
        <v>31</v>
      </c>
      <c r="C1276" s="96"/>
      <c r="D1276" s="104"/>
      <c r="E1276" s="19"/>
      <c r="F1276" s="138"/>
      <c r="G1276" s="20">
        <f>TRUNC(SUM(G1275:G1275))</f>
        <v>257376</v>
      </c>
      <c r="H1276" s="138"/>
      <c r="I1276" s="20">
        <f>TRUNC(SUM(I1275:I1275))</f>
        <v>257376</v>
      </c>
      <c r="J1276" s="138"/>
      <c r="K1276" s="20">
        <f>TRUNC(SUM(K1275:K1275))</f>
        <v>257376</v>
      </c>
      <c r="L1276" s="138"/>
      <c r="M1276" s="20">
        <f>TRUNC(SUM(M1275:M1275))</f>
        <v>257376</v>
      </c>
    </row>
    <row r="1277" spans="2:13" ht="12.95" customHeight="1" x14ac:dyDescent="0.3">
      <c r="B1277" s="79"/>
      <c r="C1277" s="79"/>
      <c r="D1277" s="90"/>
      <c r="E1277" s="98"/>
      <c r="F1277" s="98"/>
      <c r="G1277" s="99"/>
      <c r="H1277" s="98"/>
      <c r="I1277" s="99"/>
      <c r="J1277" s="98"/>
      <c r="K1277" s="99"/>
      <c r="L1277" s="98"/>
      <c r="M1277" s="99"/>
    </row>
    <row r="1278" spans="2:13" ht="12.95" customHeight="1" x14ac:dyDescent="0.3">
      <c r="B1278" s="82" t="s">
        <v>33</v>
      </c>
      <c r="C1278" s="79"/>
      <c r="D1278" s="90"/>
      <c r="E1278" s="152"/>
      <c r="F1278" s="153"/>
      <c r="G1278" s="53">
        <f>SUM(G1268+G1273+G1276)</f>
        <v>1646456</v>
      </c>
      <c r="H1278" s="153"/>
      <c r="I1278" s="53">
        <f>SUM(I1268+I1273+I1276)</f>
        <v>1646456</v>
      </c>
      <c r="J1278" s="153"/>
      <c r="K1278" s="53">
        <f>SUM(K1268+K1273+K1276)</f>
        <v>1646456</v>
      </c>
      <c r="L1278" s="153"/>
      <c r="M1278" s="53">
        <f>SUM(M1268+M1273+M1276)</f>
        <v>1646456</v>
      </c>
    </row>
    <row r="1279" spans="2:13" ht="12.95" customHeight="1" x14ac:dyDescent="0.3">
      <c r="B1279" s="84" t="s">
        <v>368</v>
      </c>
      <c r="C1279" s="85"/>
      <c r="D1279" s="86"/>
      <c r="E1279" s="87"/>
      <c r="F1279" s="88"/>
      <c r="G1279" s="7">
        <f>TRUNC(G1278/G1264)</f>
        <v>21952</v>
      </c>
      <c r="H1279" s="88"/>
      <c r="I1279" s="7">
        <f>TRUNC(I1278/I1264)</f>
        <v>26134</v>
      </c>
      <c r="J1279" s="88"/>
      <c r="K1279" s="7">
        <f>TRUNC(K1278/K1264)</f>
        <v>31662</v>
      </c>
      <c r="L1279" s="88"/>
      <c r="M1279" s="7">
        <f>TRUNC(M1278/M1264)</f>
        <v>39201</v>
      </c>
    </row>
    <row r="1280" spans="2:13" ht="12.95" customHeight="1" x14ac:dyDescent="0.3">
      <c r="B1280" s="176" t="s">
        <v>21</v>
      </c>
      <c r="C1280" s="170" t="s">
        <v>25</v>
      </c>
      <c r="D1280" s="170" t="s">
        <v>26</v>
      </c>
      <c r="E1280" s="170" t="s">
        <v>22</v>
      </c>
      <c r="F1280" s="185" t="s">
        <v>224</v>
      </c>
      <c r="G1280" s="186"/>
      <c r="H1280" s="185" t="s">
        <v>225</v>
      </c>
      <c r="I1280" s="186"/>
      <c r="J1280" s="185" t="s">
        <v>226</v>
      </c>
      <c r="K1280" s="186"/>
    </row>
    <row r="1281" spans="2:11" ht="12.95" customHeight="1" x14ac:dyDescent="0.3">
      <c r="B1281" s="177"/>
      <c r="C1281" s="179"/>
      <c r="D1281" s="179"/>
      <c r="E1281" s="179"/>
      <c r="F1281" s="143" t="s">
        <v>334</v>
      </c>
      <c r="G1281" s="157">
        <v>36</v>
      </c>
      <c r="H1281" s="143" t="s">
        <v>300</v>
      </c>
      <c r="I1281" s="157">
        <v>31</v>
      </c>
      <c r="J1281" s="143" t="s">
        <v>300</v>
      </c>
      <c r="K1281" s="157">
        <v>27</v>
      </c>
    </row>
    <row r="1282" spans="2:11" ht="12.95" customHeight="1" x14ac:dyDescent="0.3">
      <c r="B1282" s="178"/>
      <c r="C1282" s="171"/>
      <c r="D1282" s="171"/>
      <c r="E1282" s="171"/>
      <c r="F1282" s="71" t="s">
        <v>287</v>
      </c>
      <c r="G1282" s="72" t="s">
        <v>288</v>
      </c>
      <c r="H1282" s="71" t="s">
        <v>287</v>
      </c>
      <c r="I1282" s="72" t="s">
        <v>288</v>
      </c>
      <c r="J1282" s="71" t="s">
        <v>287</v>
      </c>
      <c r="K1282" s="72" t="s">
        <v>288</v>
      </c>
    </row>
    <row r="1283" spans="2:11" ht="12.95" customHeight="1" x14ac:dyDescent="0.3">
      <c r="B1283" s="89" t="s">
        <v>378</v>
      </c>
      <c r="C1283" s="89" t="s">
        <v>19</v>
      </c>
      <c r="D1283" s="90" t="s">
        <v>34</v>
      </c>
      <c r="E1283" s="76">
        <v>30428</v>
      </c>
      <c r="F1283" s="36">
        <v>8</v>
      </c>
      <c r="G1283" s="3">
        <f t="shared" ref="G1283" si="371">TRUNC($E1283*F1283,1)</f>
        <v>243424</v>
      </c>
      <c r="H1283" s="36">
        <v>8</v>
      </c>
      <c r="I1283" s="3">
        <f t="shared" ref="I1283" si="372">TRUNC($E1283*H1283,1)</f>
        <v>243424</v>
      </c>
      <c r="J1283" s="36">
        <v>8</v>
      </c>
      <c r="K1283" s="3">
        <f t="shared" ref="K1283" si="373">TRUNC($E1283*J1283,1)</f>
        <v>243424</v>
      </c>
    </row>
    <row r="1284" spans="2:11" ht="12.95" customHeight="1" x14ac:dyDescent="0.3">
      <c r="B1284" s="89" t="s">
        <v>27</v>
      </c>
      <c r="C1284" s="91" t="s">
        <v>219</v>
      </c>
      <c r="D1284" s="90" t="s">
        <v>35</v>
      </c>
      <c r="E1284" s="92"/>
      <c r="F1284" s="36">
        <v>1</v>
      </c>
      <c r="G1284" s="6">
        <f>TRUNC(SUM(G1287:G1288)*0.08,1)</f>
        <v>49944.9</v>
      </c>
      <c r="H1284" s="36">
        <v>1</v>
      </c>
      <c r="I1284" s="6">
        <f>TRUNC(SUM(I1287:I1288)*0.08,1)</f>
        <v>49944.9</v>
      </c>
      <c r="J1284" s="36">
        <v>1</v>
      </c>
      <c r="K1284" s="6">
        <f>TRUNC(SUM(K1287:K1288)*0.08,1)</f>
        <v>49944.9</v>
      </c>
    </row>
    <row r="1285" spans="2:11" ht="12.95" customHeight="1" x14ac:dyDescent="0.3">
      <c r="B1285" s="93" t="s">
        <v>29</v>
      </c>
      <c r="C1285" s="96"/>
      <c r="D1285" s="97"/>
      <c r="E1285" s="138"/>
      <c r="F1285" s="36"/>
      <c r="G1285" s="20">
        <f>TRUNC(SUM(G1283:G1284))</f>
        <v>293368</v>
      </c>
      <c r="H1285" s="36"/>
      <c r="I1285" s="20">
        <f>TRUNC(SUM(I1283:I1284))</f>
        <v>293368</v>
      </c>
      <c r="J1285" s="36"/>
      <c r="K1285" s="20">
        <f>TRUNC(SUM(K1283:K1284))</f>
        <v>293368</v>
      </c>
    </row>
    <row r="1286" spans="2:11" ht="12.95" customHeight="1" x14ac:dyDescent="0.3">
      <c r="B1286" s="79"/>
      <c r="C1286" s="79"/>
      <c r="D1286" s="90"/>
      <c r="E1286" s="98"/>
      <c r="F1286" s="36"/>
      <c r="G1286" s="99"/>
      <c r="H1286" s="36"/>
      <c r="I1286" s="99"/>
      <c r="J1286" s="36"/>
      <c r="K1286" s="99"/>
    </row>
    <row r="1287" spans="2:11" ht="12.95" customHeight="1" x14ac:dyDescent="0.3">
      <c r="B1287" s="73" t="s">
        <v>42</v>
      </c>
      <c r="C1287" s="74"/>
      <c r="D1287" s="75" t="s">
        <v>28</v>
      </c>
      <c r="E1287" s="160">
        <v>226122</v>
      </c>
      <c r="F1287" s="36">
        <v>2</v>
      </c>
      <c r="G1287" s="3">
        <f t="shared" ref="G1287:G1289" si="374">TRUNC($E1287*F1287,1)</f>
        <v>452244</v>
      </c>
      <c r="H1287" s="36">
        <v>2</v>
      </c>
      <c r="I1287" s="3">
        <f t="shared" ref="I1287:I1289" si="375">TRUNC($E1287*H1287,1)</f>
        <v>452244</v>
      </c>
      <c r="J1287" s="36">
        <v>2</v>
      </c>
      <c r="K1287" s="3">
        <f t="shared" ref="K1287:K1289" si="376">TRUNC($E1287*J1287,1)</f>
        <v>452244</v>
      </c>
    </row>
    <row r="1288" spans="2:11" ht="12.95" customHeight="1" x14ac:dyDescent="0.3">
      <c r="B1288" s="73" t="s">
        <v>8</v>
      </c>
      <c r="C1288" s="74"/>
      <c r="D1288" s="75" t="s">
        <v>28</v>
      </c>
      <c r="E1288" s="160">
        <v>172068</v>
      </c>
      <c r="F1288" s="36">
        <v>1</v>
      </c>
      <c r="G1288" s="3">
        <f t="shared" si="374"/>
        <v>172068</v>
      </c>
      <c r="H1288" s="36">
        <v>1</v>
      </c>
      <c r="I1288" s="3">
        <f t="shared" si="375"/>
        <v>172068</v>
      </c>
      <c r="J1288" s="36">
        <v>1</v>
      </c>
      <c r="K1288" s="3">
        <f t="shared" si="376"/>
        <v>172068</v>
      </c>
    </row>
    <row r="1289" spans="2:11" ht="12.95" customHeight="1" x14ac:dyDescent="0.3">
      <c r="B1289" s="89" t="s">
        <v>378</v>
      </c>
      <c r="C1289" s="89" t="s">
        <v>19</v>
      </c>
      <c r="D1289" s="90" t="s">
        <v>34</v>
      </c>
      <c r="E1289" s="76">
        <v>58925</v>
      </c>
      <c r="F1289" s="36">
        <v>8</v>
      </c>
      <c r="G1289" s="3">
        <f t="shared" si="374"/>
        <v>471400</v>
      </c>
      <c r="H1289" s="36">
        <v>8</v>
      </c>
      <c r="I1289" s="3">
        <f t="shared" si="375"/>
        <v>471400</v>
      </c>
      <c r="J1289" s="36">
        <v>8</v>
      </c>
      <c r="K1289" s="3">
        <f t="shared" si="376"/>
        <v>471400</v>
      </c>
    </row>
    <row r="1290" spans="2:11" ht="12.95" customHeight="1" x14ac:dyDescent="0.3">
      <c r="B1290" s="77" t="s">
        <v>30</v>
      </c>
      <c r="C1290" s="96"/>
      <c r="D1290" s="97"/>
      <c r="E1290" s="19"/>
      <c r="F1290" s="36"/>
      <c r="G1290" s="20">
        <f>TRUNC(SUM(G1287:G1289))</f>
        <v>1095712</v>
      </c>
      <c r="H1290" s="36"/>
      <c r="I1290" s="20">
        <f>TRUNC(SUM(I1287:I1289))</f>
        <v>1095712</v>
      </c>
      <c r="J1290" s="36"/>
      <c r="K1290" s="20">
        <f>TRUNC(SUM(K1287:K1289))</f>
        <v>1095712</v>
      </c>
    </row>
    <row r="1291" spans="2:11" ht="12.95" customHeight="1" x14ac:dyDescent="0.3">
      <c r="B1291" s="79"/>
      <c r="C1291" s="79"/>
      <c r="D1291" s="90"/>
      <c r="E1291" s="98"/>
      <c r="F1291" s="36"/>
      <c r="G1291" s="99"/>
      <c r="H1291" s="36"/>
      <c r="I1291" s="99"/>
      <c r="J1291" s="36"/>
      <c r="K1291" s="99"/>
    </row>
    <row r="1292" spans="2:11" ht="12.95" customHeight="1" x14ac:dyDescent="0.3">
      <c r="B1292" s="89" t="s">
        <v>378</v>
      </c>
      <c r="C1292" s="89" t="s">
        <v>19</v>
      </c>
      <c r="D1292" s="90" t="s">
        <v>34</v>
      </c>
      <c r="E1292" s="76">
        <v>32172</v>
      </c>
      <c r="F1292" s="36">
        <v>8</v>
      </c>
      <c r="G1292" s="3">
        <f t="shared" ref="G1292" si="377">TRUNC($E1292*F1292,1)</f>
        <v>257376</v>
      </c>
      <c r="H1292" s="36">
        <v>8</v>
      </c>
      <c r="I1292" s="3">
        <f t="shared" ref="I1292" si="378">TRUNC($E1292*H1292,1)</f>
        <v>257376</v>
      </c>
      <c r="J1292" s="36">
        <v>8</v>
      </c>
      <c r="K1292" s="3">
        <f t="shared" ref="K1292" si="379">TRUNC($E1292*J1292,1)</f>
        <v>257376</v>
      </c>
    </row>
    <row r="1293" spans="2:11" ht="12.95" customHeight="1" x14ac:dyDescent="0.3">
      <c r="B1293" s="93" t="s">
        <v>31</v>
      </c>
      <c r="C1293" s="96"/>
      <c r="D1293" s="104"/>
      <c r="E1293" s="19"/>
      <c r="F1293" s="138"/>
      <c r="G1293" s="20">
        <f>TRUNC(SUM(G1292:G1292))</f>
        <v>257376</v>
      </c>
      <c r="H1293" s="138"/>
      <c r="I1293" s="20">
        <f>TRUNC(SUM(I1292:I1292))</f>
        <v>257376</v>
      </c>
      <c r="J1293" s="138"/>
      <c r="K1293" s="20">
        <f>TRUNC(SUM(K1292:K1292))</f>
        <v>257376</v>
      </c>
    </row>
    <row r="1294" spans="2:11" ht="12.95" customHeight="1" x14ac:dyDescent="0.3">
      <c r="B1294" s="79"/>
      <c r="C1294" s="79"/>
      <c r="D1294" s="90"/>
      <c r="E1294" s="98"/>
      <c r="F1294" s="98"/>
      <c r="G1294" s="99"/>
      <c r="H1294" s="98"/>
      <c r="I1294" s="99"/>
      <c r="J1294" s="98"/>
      <c r="K1294" s="99"/>
    </row>
    <row r="1295" spans="2:11" ht="12.95" customHeight="1" x14ac:dyDescent="0.3">
      <c r="B1295" s="82" t="s">
        <v>33</v>
      </c>
      <c r="C1295" s="79"/>
      <c r="D1295" s="90"/>
      <c r="E1295" s="152"/>
      <c r="F1295" s="153"/>
      <c r="G1295" s="53">
        <f>SUM(G1285+G1290+G1293)</f>
        <v>1646456</v>
      </c>
      <c r="H1295" s="153"/>
      <c r="I1295" s="53">
        <f>SUM(I1285+I1290+I1293)</f>
        <v>1646456</v>
      </c>
      <c r="J1295" s="153"/>
      <c r="K1295" s="53">
        <f>SUM(K1285+K1290+K1293)</f>
        <v>1646456</v>
      </c>
    </row>
    <row r="1296" spans="2:11" ht="12.95" customHeight="1" x14ac:dyDescent="0.3">
      <c r="B1296" s="84" t="s">
        <v>368</v>
      </c>
      <c r="C1296" s="85"/>
      <c r="D1296" s="86"/>
      <c r="E1296" s="87"/>
      <c r="F1296" s="88"/>
      <c r="G1296" s="7">
        <f>TRUNC(G1295/G1281)</f>
        <v>45734</v>
      </c>
      <c r="H1296" s="88"/>
      <c r="I1296" s="7">
        <f>TRUNC(I1295/I1281)</f>
        <v>53111</v>
      </c>
      <c r="J1296" s="88"/>
      <c r="K1296" s="7">
        <f>TRUNC(K1295/K1281)</f>
        <v>60979</v>
      </c>
    </row>
    <row r="1297" spans="2:11" ht="12.95" customHeight="1" x14ac:dyDescent="0.3">
      <c r="B1297" s="176" t="s">
        <v>21</v>
      </c>
      <c r="C1297" s="170" t="s">
        <v>25</v>
      </c>
      <c r="D1297" s="170" t="s">
        <v>26</v>
      </c>
      <c r="E1297" s="170" t="s">
        <v>22</v>
      </c>
      <c r="F1297" s="185" t="s">
        <v>255</v>
      </c>
      <c r="G1297" s="186"/>
      <c r="H1297" s="185" t="s">
        <v>256</v>
      </c>
      <c r="I1297" s="186"/>
      <c r="J1297" s="185" t="s">
        <v>257</v>
      </c>
      <c r="K1297" s="186"/>
    </row>
    <row r="1298" spans="2:11" ht="12.95" customHeight="1" x14ac:dyDescent="0.3">
      <c r="B1298" s="177"/>
      <c r="C1298" s="179"/>
      <c r="D1298" s="179"/>
      <c r="E1298" s="179"/>
      <c r="F1298" s="143" t="s">
        <v>334</v>
      </c>
      <c r="G1298" s="157">
        <v>23</v>
      </c>
      <c r="H1298" s="143" t="s">
        <v>300</v>
      </c>
      <c r="I1298" s="157">
        <v>20</v>
      </c>
      <c r="J1298" s="143" t="s">
        <v>300</v>
      </c>
      <c r="K1298" s="157">
        <v>17</v>
      </c>
    </row>
    <row r="1299" spans="2:11" ht="12.95" customHeight="1" x14ac:dyDescent="0.3">
      <c r="B1299" s="178"/>
      <c r="C1299" s="171"/>
      <c r="D1299" s="171"/>
      <c r="E1299" s="171"/>
      <c r="F1299" s="71" t="s">
        <v>287</v>
      </c>
      <c r="G1299" s="72" t="s">
        <v>288</v>
      </c>
      <c r="H1299" s="71" t="s">
        <v>287</v>
      </c>
      <c r="I1299" s="72" t="s">
        <v>288</v>
      </c>
      <c r="J1299" s="71" t="s">
        <v>287</v>
      </c>
      <c r="K1299" s="72" t="s">
        <v>288</v>
      </c>
    </row>
    <row r="1300" spans="2:11" ht="12.95" customHeight="1" x14ac:dyDescent="0.3">
      <c r="B1300" s="89" t="s">
        <v>378</v>
      </c>
      <c r="C1300" s="89" t="s">
        <v>19</v>
      </c>
      <c r="D1300" s="90" t="s">
        <v>34</v>
      </c>
      <c r="E1300" s="76">
        <v>30428</v>
      </c>
      <c r="F1300" s="36">
        <v>8</v>
      </c>
      <c r="G1300" s="3">
        <f t="shared" ref="G1300" si="380">TRUNC($E1300*F1300,1)</f>
        <v>243424</v>
      </c>
      <c r="H1300" s="36">
        <v>8</v>
      </c>
      <c r="I1300" s="3">
        <f t="shared" ref="I1300" si="381">TRUNC($E1300*H1300,1)</f>
        <v>243424</v>
      </c>
      <c r="J1300" s="36">
        <v>8</v>
      </c>
      <c r="K1300" s="3">
        <f t="shared" ref="K1300" si="382">TRUNC($E1300*J1300,1)</f>
        <v>243424</v>
      </c>
    </row>
    <row r="1301" spans="2:11" ht="12.95" customHeight="1" x14ac:dyDescent="0.3">
      <c r="B1301" s="89" t="s">
        <v>27</v>
      </c>
      <c r="C1301" s="91" t="s">
        <v>219</v>
      </c>
      <c r="D1301" s="90" t="s">
        <v>35</v>
      </c>
      <c r="E1301" s="92"/>
      <c r="F1301" s="36">
        <v>1</v>
      </c>
      <c r="G1301" s="6">
        <f>TRUNC(SUM(G1304:G1305)*0.08,1)</f>
        <v>49944.9</v>
      </c>
      <c r="H1301" s="36">
        <v>1</v>
      </c>
      <c r="I1301" s="6">
        <f>TRUNC(SUM(I1304:I1305)*0.08,1)</f>
        <v>49944.9</v>
      </c>
      <c r="J1301" s="36">
        <v>1</v>
      </c>
      <c r="K1301" s="6">
        <f>TRUNC(SUM(K1304:K1305)*0.08,1)</f>
        <v>49944.9</v>
      </c>
    </row>
    <row r="1302" spans="2:11" ht="12.95" customHeight="1" x14ac:dyDescent="0.3">
      <c r="B1302" s="93" t="s">
        <v>29</v>
      </c>
      <c r="C1302" s="96"/>
      <c r="D1302" s="97"/>
      <c r="E1302" s="138"/>
      <c r="F1302" s="36"/>
      <c r="G1302" s="20">
        <f>TRUNC(SUM(G1300:G1301))</f>
        <v>293368</v>
      </c>
      <c r="H1302" s="36"/>
      <c r="I1302" s="20">
        <f>TRUNC(SUM(I1300:I1301))</f>
        <v>293368</v>
      </c>
      <c r="J1302" s="36"/>
      <c r="K1302" s="20">
        <f>TRUNC(SUM(K1300:K1301))</f>
        <v>293368</v>
      </c>
    </row>
    <row r="1303" spans="2:11" ht="12.95" customHeight="1" x14ac:dyDescent="0.3">
      <c r="B1303" s="79"/>
      <c r="C1303" s="79"/>
      <c r="D1303" s="90"/>
      <c r="E1303" s="98"/>
      <c r="F1303" s="36"/>
      <c r="G1303" s="99"/>
      <c r="H1303" s="36"/>
      <c r="I1303" s="99"/>
      <c r="J1303" s="36"/>
      <c r="K1303" s="99"/>
    </row>
    <row r="1304" spans="2:11" ht="12.95" customHeight="1" x14ac:dyDescent="0.3">
      <c r="B1304" s="73" t="s">
        <v>42</v>
      </c>
      <c r="C1304" s="74"/>
      <c r="D1304" s="75" t="s">
        <v>28</v>
      </c>
      <c r="E1304" s="160">
        <v>226122</v>
      </c>
      <c r="F1304" s="36">
        <v>2</v>
      </c>
      <c r="G1304" s="3">
        <f t="shared" ref="G1304:G1306" si="383">TRUNC($E1304*F1304,1)</f>
        <v>452244</v>
      </c>
      <c r="H1304" s="36">
        <v>2</v>
      </c>
      <c r="I1304" s="3">
        <f t="shared" ref="I1304:I1306" si="384">TRUNC($E1304*H1304,1)</f>
        <v>452244</v>
      </c>
      <c r="J1304" s="36">
        <v>2</v>
      </c>
      <c r="K1304" s="3">
        <f t="shared" ref="K1304:K1306" si="385">TRUNC($E1304*J1304,1)</f>
        <v>452244</v>
      </c>
    </row>
    <row r="1305" spans="2:11" ht="12.95" customHeight="1" x14ac:dyDescent="0.3">
      <c r="B1305" s="73" t="s">
        <v>8</v>
      </c>
      <c r="C1305" s="74"/>
      <c r="D1305" s="75" t="s">
        <v>28</v>
      </c>
      <c r="E1305" s="160">
        <v>172068</v>
      </c>
      <c r="F1305" s="36">
        <v>1</v>
      </c>
      <c r="G1305" s="3">
        <f t="shared" si="383"/>
        <v>172068</v>
      </c>
      <c r="H1305" s="36">
        <v>1</v>
      </c>
      <c r="I1305" s="3">
        <f t="shared" si="384"/>
        <v>172068</v>
      </c>
      <c r="J1305" s="36">
        <v>1</v>
      </c>
      <c r="K1305" s="3">
        <f t="shared" si="385"/>
        <v>172068</v>
      </c>
    </row>
    <row r="1306" spans="2:11" ht="12.95" customHeight="1" x14ac:dyDescent="0.3">
      <c r="B1306" s="89" t="s">
        <v>378</v>
      </c>
      <c r="C1306" s="89" t="s">
        <v>19</v>
      </c>
      <c r="D1306" s="90" t="s">
        <v>34</v>
      </c>
      <c r="E1306" s="76">
        <v>58925</v>
      </c>
      <c r="F1306" s="36">
        <v>8</v>
      </c>
      <c r="G1306" s="3">
        <f t="shared" si="383"/>
        <v>471400</v>
      </c>
      <c r="H1306" s="36">
        <v>8</v>
      </c>
      <c r="I1306" s="3">
        <f t="shared" si="384"/>
        <v>471400</v>
      </c>
      <c r="J1306" s="36">
        <v>8</v>
      </c>
      <c r="K1306" s="3">
        <f t="shared" si="385"/>
        <v>471400</v>
      </c>
    </row>
    <row r="1307" spans="2:11" ht="12.95" customHeight="1" x14ac:dyDescent="0.3">
      <c r="B1307" s="77" t="s">
        <v>30</v>
      </c>
      <c r="C1307" s="96"/>
      <c r="D1307" s="97"/>
      <c r="E1307" s="19"/>
      <c r="F1307" s="36"/>
      <c r="G1307" s="20">
        <f>TRUNC(SUM(G1304:G1306))</f>
        <v>1095712</v>
      </c>
      <c r="H1307" s="36"/>
      <c r="I1307" s="20">
        <f>TRUNC(SUM(I1304:I1306))</f>
        <v>1095712</v>
      </c>
      <c r="J1307" s="36"/>
      <c r="K1307" s="20">
        <f>TRUNC(SUM(K1304:K1306))</f>
        <v>1095712</v>
      </c>
    </row>
    <row r="1308" spans="2:11" ht="12.95" customHeight="1" x14ac:dyDescent="0.3">
      <c r="B1308" s="79"/>
      <c r="C1308" s="79"/>
      <c r="D1308" s="90"/>
      <c r="E1308" s="98"/>
      <c r="F1308" s="36"/>
      <c r="G1308" s="99"/>
      <c r="H1308" s="36"/>
      <c r="I1308" s="99"/>
      <c r="J1308" s="36"/>
      <c r="K1308" s="99"/>
    </row>
    <row r="1309" spans="2:11" ht="12.95" customHeight="1" x14ac:dyDescent="0.3">
      <c r="B1309" s="89" t="s">
        <v>378</v>
      </c>
      <c r="C1309" s="89" t="s">
        <v>19</v>
      </c>
      <c r="D1309" s="90" t="s">
        <v>34</v>
      </c>
      <c r="E1309" s="76">
        <v>32172</v>
      </c>
      <c r="F1309" s="36">
        <v>8</v>
      </c>
      <c r="G1309" s="3">
        <f t="shared" ref="G1309" si="386">TRUNC($E1309*F1309,1)</f>
        <v>257376</v>
      </c>
      <c r="H1309" s="36">
        <v>8</v>
      </c>
      <c r="I1309" s="3">
        <f t="shared" ref="I1309" si="387">TRUNC($E1309*H1309,1)</f>
        <v>257376</v>
      </c>
      <c r="J1309" s="36">
        <v>8</v>
      </c>
      <c r="K1309" s="3">
        <f t="shared" ref="K1309" si="388">TRUNC($E1309*J1309,1)</f>
        <v>257376</v>
      </c>
    </row>
    <row r="1310" spans="2:11" ht="12.95" customHeight="1" x14ac:dyDescent="0.3">
      <c r="B1310" s="93" t="s">
        <v>31</v>
      </c>
      <c r="C1310" s="96"/>
      <c r="D1310" s="104"/>
      <c r="E1310" s="19"/>
      <c r="F1310" s="138"/>
      <c r="G1310" s="20">
        <f>TRUNC(SUM(G1309:G1309))</f>
        <v>257376</v>
      </c>
      <c r="H1310" s="138"/>
      <c r="I1310" s="20">
        <f>TRUNC(SUM(I1309:I1309))</f>
        <v>257376</v>
      </c>
      <c r="J1310" s="138"/>
      <c r="K1310" s="20">
        <f>TRUNC(SUM(K1309:K1309))</f>
        <v>257376</v>
      </c>
    </row>
    <row r="1311" spans="2:11" ht="12.95" customHeight="1" x14ac:dyDescent="0.3">
      <c r="B1311" s="79"/>
      <c r="C1311" s="79"/>
      <c r="D1311" s="90"/>
      <c r="E1311" s="98"/>
      <c r="F1311" s="98"/>
      <c r="G1311" s="99"/>
      <c r="H1311" s="98"/>
      <c r="I1311" s="99"/>
      <c r="J1311" s="98"/>
      <c r="K1311" s="99"/>
    </row>
    <row r="1312" spans="2:11" ht="12.95" customHeight="1" x14ac:dyDescent="0.3">
      <c r="B1312" s="82" t="s">
        <v>33</v>
      </c>
      <c r="C1312" s="79"/>
      <c r="D1312" s="90"/>
      <c r="E1312" s="152"/>
      <c r="F1312" s="153"/>
      <c r="G1312" s="53">
        <f>SUM(G1302+G1307+G1310)</f>
        <v>1646456</v>
      </c>
      <c r="H1312" s="153"/>
      <c r="I1312" s="53">
        <f>SUM(I1302+I1307+I1310)</f>
        <v>1646456</v>
      </c>
      <c r="J1312" s="153"/>
      <c r="K1312" s="53">
        <f>SUM(K1302+K1307+K1310)</f>
        <v>1646456</v>
      </c>
    </row>
    <row r="1313" spans="2:13" ht="12.95" customHeight="1" x14ac:dyDescent="0.3">
      <c r="B1313" s="84" t="s">
        <v>368</v>
      </c>
      <c r="C1313" s="85"/>
      <c r="D1313" s="86"/>
      <c r="E1313" s="87"/>
      <c r="F1313" s="88"/>
      <c r="G1313" s="7">
        <f>TRUNC(G1312/G1298)</f>
        <v>71585</v>
      </c>
      <c r="H1313" s="88"/>
      <c r="I1313" s="7">
        <f>TRUNC(I1312/I1298)</f>
        <v>82322</v>
      </c>
      <c r="J1313" s="88"/>
      <c r="K1313" s="7">
        <f>TRUNC(K1312/K1298)</f>
        <v>96850</v>
      </c>
    </row>
    <row r="1315" spans="2:13" ht="12.95" customHeight="1" x14ac:dyDescent="0.3">
      <c r="B1315" s="1" t="s">
        <v>285</v>
      </c>
      <c r="K1315" s="137"/>
      <c r="M1315" s="137" t="s">
        <v>178</v>
      </c>
    </row>
    <row r="1316" spans="2:13" ht="12.95" customHeight="1" x14ac:dyDescent="0.3">
      <c r="B1316" s="176" t="s">
        <v>21</v>
      </c>
      <c r="C1316" s="176" t="s">
        <v>25</v>
      </c>
      <c r="D1316" s="170" t="s">
        <v>26</v>
      </c>
      <c r="E1316" s="170" t="s">
        <v>22</v>
      </c>
      <c r="F1316" s="180" t="s">
        <v>227</v>
      </c>
      <c r="G1316" s="181"/>
      <c r="H1316" s="181"/>
      <c r="I1316" s="181"/>
      <c r="J1316" s="180" t="s">
        <v>228</v>
      </c>
      <c r="K1316" s="181"/>
      <c r="L1316" s="181"/>
      <c r="M1316" s="181"/>
    </row>
    <row r="1317" spans="2:13" ht="12.95" customHeight="1" x14ac:dyDescent="0.3">
      <c r="B1317" s="177"/>
      <c r="C1317" s="177"/>
      <c r="D1317" s="179"/>
      <c r="E1317" s="179"/>
      <c r="F1317" s="182" t="s">
        <v>229</v>
      </c>
      <c r="G1317" s="183"/>
      <c r="H1317" s="182" t="s">
        <v>230</v>
      </c>
      <c r="I1317" s="183"/>
      <c r="J1317" s="182" t="s">
        <v>229</v>
      </c>
      <c r="K1317" s="183"/>
      <c r="L1317" s="182" t="s">
        <v>230</v>
      </c>
      <c r="M1317" s="184"/>
    </row>
    <row r="1318" spans="2:13" ht="12.95" customHeight="1" x14ac:dyDescent="0.3">
      <c r="B1318" s="178"/>
      <c r="C1318" s="178"/>
      <c r="D1318" s="171"/>
      <c r="E1318" s="171"/>
      <c r="F1318" s="102" t="s">
        <v>23</v>
      </c>
      <c r="G1318" s="102" t="s">
        <v>24</v>
      </c>
      <c r="H1318" s="102" t="s">
        <v>23</v>
      </c>
      <c r="I1318" s="67" t="s">
        <v>24</v>
      </c>
      <c r="J1318" s="102" t="s">
        <v>23</v>
      </c>
      <c r="K1318" s="67" t="s">
        <v>24</v>
      </c>
      <c r="L1318" s="102" t="s">
        <v>23</v>
      </c>
      <c r="M1318" s="67" t="s">
        <v>24</v>
      </c>
    </row>
    <row r="1319" spans="2:13" ht="12.95" customHeight="1" x14ac:dyDescent="0.3">
      <c r="B1319" s="161" t="s">
        <v>39</v>
      </c>
      <c r="C1319" s="161" t="s">
        <v>212</v>
      </c>
      <c r="D1319" s="162" t="s">
        <v>34</v>
      </c>
      <c r="E1319" s="163">
        <v>7951</v>
      </c>
      <c r="F1319" s="52">
        <v>0.98</v>
      </c>
      <c r="G1319" s="33">
        <f t="shared" ref="G1319" si="389">TRUNC($E1319*F1319,1)</f>
        <v>7791.9</v>
      </c>
      <c r="H1319" s="52">
        <v>0.5</v>
      </c>
      <c r="I1319" s="33">
        <f t="shared" ref="I1319" si="390">TRUNC($E1319*H1319,1)</f>
        <v>3975.5</v>
      </c>
      <c r="J1319" s="52">
        <v>1.1200000000000001</v>
      </c>
      <c r="K1319" s="33">
        <f>TRUNC($E1319*J1319,1)</f>
        <v>8905.1</v>
      </c>
      <c r="L1319" s="52">
        <v>0.56999999999999995</v>
      </c>
      <c r="M1319" s="33">
        <f>TRUNC($E1319*L1319,1)</f>
        <v>4532</v>
      </c>
    </row>
    <row r="1320" spans="2:13" ht="12.95" customHeight="1" x14ac:dyDescent="0.3">
      <c r="B1320" s="93" t="s">
        <v>29</v>
      </c>
      <c r="C1320" s="96"/>
      <c r="D1320" s="97"/>
      <c r="E1320" s="138"/>
      <c r="F1320" s="48" t="s">
        <v>218</v>
      </c>
      <c r="G1320" s="20">
        <f>TRUNC(SUM(G1319:G1319))</f>
        <v>7791</v>
      </c>
      <c r="H1320" s="48" t="s">
        <v>218</v>
      </c>
      <c r="I1320" s="20">
        <f>TRUNC(SUM(I1319:I1319))</f>
        <v>3975</v>
      </c>
      <c r="J1320" s="48" t="s">
        <v>218</v>
      </c>
      <c r="K1320" s="20">
        <f>TRUNC(SUM(K1319:K1319))</f>
        <v>8905</v>
      </c>
      <c r="L1320" s="48" t="s">
        <v>218</v>
      </c>
      <c r="M1320" s="20">
        <f>TRUNC(SUM(M1319:M1319))</f>
        <v>4532</v>
      </c>
    </row>
    <row r="1321" spans="2:13" ht="12.95" customHeight="1" x14ac:dyDescent="0.3">
      <c r="B1321" s="79"/>
      <c r="C1321" s="79"/>
      <c r="D1321" s="90"/>
      <c r="E1321" s="98"/>
      <c r="F1321" s="48"/>
      <c r="G1321" s="99"/>
      <c r="H1321" s="48"/>
      <c r="I1321" s="99"/>
      <c r="J1321" s="48"/>
      <c r="K1321" s="99"/>
      <c r="L1321" s="48"/>
      <c r="M1321" s="99"/>
    </row>
    <row r="1322" spans="2:13" ht="12.95" customHeight="1" x14ac:dyDescent="0.3">
      <c r="B1322" s="73" t="s">
        <v>42</v>
      </c>
      <c r="C1322" s="74"/>
      <c r="D1322" s="75" t="s">
        <v>28</v>
      </c>
      <c r="E1322" s="160">
        <v>226122</v>
      </c>
      <c r="F1322" s="37">
        <v>0.48</v>
      </c>
      <c r="G1322" s="3">
        <f t="shared" ref="G1322:G1324" si="391">TRUNC($E1322*F1322,1)</f>
        <v>108538.5</v>
      </c>
      <c r="H1322" s="37">
        <v>0.25</v>
      </c>
      <c r="I1322" s="3">
        <f t="shared" ref="I1322:I1324" si="392">TRUNC($E1322*H1322,1)</f>
        <v>56530.5</v>
      </c>
      <c r="J1322" s="37">
        <v>0.64</v>
      </c>
      <c r="K1322" s="3">
        <f>TRUNC($E1322*J1322,1)</f>
        <v>144718</v>
      </c>
      <c r="L1322" s="37">
        <v>0.33</v>
      </c>
      <c r="M1322" s="3">
        <f>TRUNC($E1322*L1322,1)</f>
        <v>74620.2</v>
      </c>
    </row>
    <row r="1323" spans="2:13" ht="12.95" customHeight="1" x14ac:dyDescent="0.3">
      <c r="B1323" s="73" t="s">
        <v>8</v>
      </c>
      <c r="C1323" s="74"/>
      <c r="D1323" s="75" t="s">
        <v>28</v>
      </c>
      <c r="E1323" s="160">
        <v>172068</v>
      </c>
      <c r="F1323" s="37">
        <v>0.23</v>
      </c>
      <c r="G1323" s="3">
        <f t="shared" si="391"/>
        <v>39575.599999999999</v>
      </c>
      <c r="H1323" s="37">
        <v>0.12</v>
      </c>
      <c r="I1323" s="3">
        <f t="shared" si="392"/>
        <v>20648.099999999999</v>
      </c>
      <c r="J1323" s="37">
        <v>0.3</v>
      </c>
      <c r="K1323" s="3">
        <f>TRUNC($E1323*J1323,1)</f>
        <v>51620.4</v>
      </c>
      <c r="L1323" s="37">
        <v>0.15</v>
      </c>
      <c r="M1323" s="3">
        <f>TRUNC($E1323*L1323,1)</f>
        <v>25810.2</v>
      </c>
    </row>
    <row r="1324" spans="2:13" ht="12.95" customHeight="1" x14ac:dyDescent="0.3">
      <c r="B1324" s="89" t="s">
        <v>39</v>
      </c>
      <c r="C1324" s="89" t="s">
        <v>212</v>
      </c>
      <c r="D1324" s="90" t="s">
        <v>34</v>
      </c>
      <c r="E1324" s="160">
        <v>58925</v>
      </c>
      <c r="F1324" s="37">
        <v>0.98</v>
      </c>
      <c r="G1324" s="3">
        <f t="shared" si="391"/>
        <v>57746.5</v>
      </c>
      <c r="H1324" s="37">
        <v>0.5</v>
      </c>
      <c r="I1324" s="3">
        <f t="shared" si="392"/>
        <v>29462.5</v>
      </c>
      <c r="J1324" s="37">
        <v>1.1200000000000001</v>
      </c>
      <c r="K1324" s="3">
        <f>TRUNC($E1324*J1324,1)</f>
        <v>65996</v>
      </c>
      <c r="L1324" s="37">
        <v>0.56999999999999995</v>
      </c>
      <c r="M1324" s="3">
        <f>TRUNC($E1324*L1324,1)</f>
        <v>33587.199999999997</v>
      </c>
    </row>
    <row r="1325" spans="2:13" ht="12.95" customHeight="1" x14ac:dyDescent="0.3">
      <c r="B1325" s="77" t="s">
        <v>30</v>
      </c>
      <c r="C1325" s="96"/>
      <c r="D1325" s="97"/>
      <c r="E1325" s="19"/>
      <c r="F1325" s="37"/>
      <c r="G1325" s="20">
        <f>TRUNC(SUM(G1322:G1324))</f>
        <v>205860</v>
      </c>
      <c r="H1325" s="37"/>
      <c r="I1325" s="20">
        <f>TRUNC(SUM(I1322:I1324))</f>
        <v>106641</v>
      </c>
      <c r="J1325" s="37"/>
      <c r="K1325" s="20">
        <f>TRUNC(SUM(K1322:K1324))</f>
        <v>262334</v>
      </c>
      <c r="L1325" s="37"/>
      <c r="M1325" s="20">
        <f>TRUNC(SUM(M1322:M1324))</f>
        <v>134017</v>
      </c>
    </row>
    <row r="1326" spans="2:13" ht="12.95" customHeight="1" x14ac:dyDescent="0.3">
      <c r="B1326" s="79"/>
      <c r="C1326" s="79"/>
      <c r="D1326" s="90"/>
      <c r="E1326" s="98"/>
      <c r="F1326" s="37"/>
      <c r="G1326" s="99"/>
      <c r="H1326" s="37"/>
      <c r="I1326" s="99"/>
      <c r="J1326" s="37"/>
      <c r="K1326" s="99"/>
      <c r="L1326" s="37"/>
      <c r="M1326" s="99"/>
    </row>
    <row r="1327" spans="2:13" ht="12.95" customHeight="1" x14ac:dyDescent="0.3">
      <c r="B1327" s="89" t="s">
        <v>39</v>
      </c>
      <c r="C1327" s="89" t="s">
        <v>212</v>
      </c>
      <c r="D1327" s="90" t="s">
        <v>34</v>
      </c>
      <c r="E1327" s="160">
        <v>31344</v>
      </c>
      <c r="F1327" s="37">
        <v>0.98</v>
      </c>
      <c r="G1327" s="3">
        <f t="shared" ref="G1327" si="393">TRUNC($E1327*F1327,1)</f>
        <v>30717.1</v>
      </c>
      <c r="H1327" s="37">
        <v>0.5</v>
      </c>
      <c r="I1327" s="3">
        <f t="shared" ref="I1327" si="394">TRUNC($E1327*H1327,1)</f>
        <v>15672</v>
      </c>
      <c r="J1327" s="37">
        <v>1.1200000000000001</v>
      </c>
      <c r="K1327" s="3">
        <f>TRUNC($E1327*J1327,1)</f>
        <v>35105.199999999997</v>
      </c>
      <c r="L1327" s="37">
        <v>0.56999999999999995</v>
      </c>
      <c r="M1327" s="3">
        <f>TRUNC($E1327*L1327,1)</f>
        <v>17866</v>
      </c>
    </row>
    <row r="1328" spans="2:13" ht="12.95" customHeight="1" x14ac:dyDescent="0.3">
      <c r="B1328" s="93" t="s">
        <v>31</v>
      </c>
      <c r="C1328" s="96"/>
      <c r="D1328" s="104"/>
      <c r="E1328" s="19"/>
      <c r="F1328" s="138"/>
      <c r="G1328" s="20">
        <f>TRUNC(SUM(G1327:G1327))</f>
        <v>30717</v>
      </c>
      <c r="H1328" s="138"/>
      <c r="I1328" s="20">
        <f>TRUNC(SUM(I1327:I1327))</f>
        <v>15672</v>
      </c>
      <c r="J1328" s="138"/>
      <c r="K1328" s="20">
        <f>TRUNC(SUM(K1327:K1327))</f>
        <v>35105</v>
      </c>
      <c r="L1328" s="138"/>
      <c r="M1328" s="20">
        <f>TRUNC(SUM(M1327:M1327))</f>
        <v>17866</v>
      </c>
    </row>
    <row r="1329" spans="2:13" ht="12.95" customHeight="1" x14ac:dyDescent="0.3">
      <c r="B1329" s="79"/>
      <c r="C1329" s="79"/>
      <c r="D1329" s="90"/>
      <c r="E1329" s="98"/>
      <c r="F1329" s="98"/>
      <c r="G1329" s="99"/>
      <c r="H1329" s="98"/>
      <c r="I1329" s="99"/>
      <c r="J1329" s="98"/>
      <c r="K1329" s="99"/>
      <c r="L1329" s="98"/>
      <c r="M1329" s="99"/>
    </row>
    <row r="1330" spans="2:13" ht="12.95" customHeight="1" x14ac:dyDescent="0.3">
      <c r="B1330" s="84" t="s">
        <v>33</v>
      </c>
      <c r="C1330" s="85"/>
      <c r="D1330" s="86"/>
      <c r="E1330" s="87"/>
      <c r="F1330" s="88"/>
      <c r="G1330" s="7">
        <f>SUM(G1320+G1325+G1328)</f>
        <v>244368</v>
      </c>
      <c r="H1330" s="88"/>
      <c r="I1330" s="7">
        <f>SUM(I1320+I1325+I1328)</f>
        <v>126288</v>
      </c>
      <c r="J1330" s="88"/>
      <c r="K1330" s="7">
        <f>SUM(K1320+K1325+K1328)</f>
        <v>306344</v>
      </c>
      <c r="L1330" s="88"/>
      <c r="M1330" s="7">
        <f>SUM(M1320+M1325+M1328)</f>
        <v>156415</v>
      </c>
    </row>
    <row r="1331" spans="2:13" ht="12.95" customHeight="1" x14ac:dyDescent="0.3">
      <c r="B1331" s="176" t="s">
        <v>21</v>
      </c>
      <c r="C1331" s="176" t="s">
        <v>25</v>
      </c>
      <c r="D1331" s="170" t="s">
        <v>26</v>
      </c>
      <c r="E1331" s="170" t="s">
        <v>22</v>
      </c>
      <c r="F1331" s="180" t="s">
        <v>231</v>
      </c>
      <c r="G1331" s="181"/>
      <c r="H1331" s="181"/>
      <c r="I1331" s="181"/>
      <c r="J1331" s="180" t="s">
        <v>232</v>
      </c>
      <c r="K1331" s="181"/>
      <c r="L1331" s="181"/>
      <c r="M1331" s="181"/>
    </row>
    <row r="1332" spans="2:13" ht="12.95" customHeight="1" x14ac:dyDescent="0.3">
      <c r="B1332" s="177"/>
      <c r="C1332" s="177"/>
      <c r="D1332" s="179"/>
      <c r="E1332" s="179"/>
      <c r="F1332" s="182" t="s">
        <v>229</v>
      </c>
      <c r="G1332" s="183"/>
      <c r="H1332" s="182" t="s">
        <v>230</v>
      </c>
      <c r="I1332" s="183"/>
      <c r="J1332" s="182" t="s">
        <v>229</v>
      </c>
      <c r="K1332" s="183"/>
      <c r="L1332" s="182" t="s">
        <v>230</v>
      </c>
      <c r="M1332" s="184"/>
    </row>
    <row r="1333" spans="2:13" ht="12.95" customHeight="1" x14ac:dyDescent="0.3">
      <c r="B1333" s="178"/>
      <c r="C1333" s="178"/>
      <c r="D1333" s="171"/>
      <c r="E1333" s="171"/>
      <c r="F1333" s="102" t="s">
        <v>23</v>
      </c>
      <c r="G1333" s="102" t="s">
        <v>24</v>
      </c>
      <c r="H1333" s="102" t="s">
        <v>23</v>
      </c>
      <c r="I1333" s="67" t="s">
        <v>24</v>
      </c>
      <c r="J1333" s="102" t="s">
        <v>23</v>
      </c>
      <c r="K1333" s="67" t="s">
        <v>24</v>
      </c>
      <c r="L1333" s="102" t="s">
        <v>23</v>
      </c>
      <c r="M1333" s="67" t="s">
        <v>24</v>
      </c>
    </row>
    <row r="1334" spans="2:13" ht="12.95" customHeight="1" x14ac:dyDescent="0.3">
      <c r="B1334" s="161" t="s">
        <v>39</v>
      </c>
      <c r="C1334" s="161" t="s">
        <v>212</v>
      </c>
      <c r="D1334" s="162" t="s">
        <v>34</v>
      </c>
      <c r="E1334" s="163">
        <v>7951</v>
      </c>
      <c r="F1334" s="52">
        <v>1.25</v>
      </c>
      <c r="G1334" s="33">
        <f t="shared" ref="G1334" si="395">TRUNC($E1334*F1334,1)</f>
        <v>9938.7000000000007</v>
      </c>
      <c r="H1334" s="52">
        <v>0.64</v>
      </c>
      <c r="I1334" s="33">
        <f t="shared" ref="I1334" si="396">TRUNC($E1334*H1334,1)</f>
        <v>5088.6000000000004</v>
      </c>
      <c r="J1334" s="52">
        <v>1.44</v>
      </c>
      <c r="K1334" s="33">
        <f>TRUNC($E1334*J1334,1)</f>
        <v>11449.4</v>
      </c>
      <c r="L1334" s="52">
        <v>0.83</v>
      </c>
      <c r="M1334" s="33">
        <f>TRUNC($E1334*L1334,1)</f>
        <v>6599.3</v>
      </c>
    </row>
    <row r="1335" spans="2:13" ht="12.95" customHeight="1" x14ac:dyDescent="0.3">
      <c r="B1335" s="93" t="s">
        <v>29</v>
      </c>
      <c r="C1335" s="96"/>
      <c r="D1335" s="97"/>
      <c r="E1335" s="138"/>
      <c r="F1335" s="48" t="s">
        <v>218</v>
      </c>
      <c r="G1335" s="20">
        <f>TRUNC(SUM(G1334:G1334))</f>
        <v>9938</v>
      </c>
      <c r="H1335" s="48" t="s">
        <v>218</v>
      </c>
      <c r="I1335" s="20">
        <f>TRUNC(SUM(I1334:I1334))</f>
        <v>5088</v>
      </c>
      <c r="J1335" s="48" t="s">
        <v>218</v>
      </c>
      <c r="K1335" s="20">
        <f>TRUNC(SUM(K1334:K1334))</f>
        <v>11449</v>
      </c>
      <c r="L1335" s="48" t="s">
        <v>218</v>
      </c>
      <c r="M1335" s="20">
        <f>TRUNC(SUM(M1334:M1334))</f>
        <v>6599</v>
      </c>
    </row>
    <row r="1336" spans="2:13" ht="12.95" customHeight="1" x14ac:dyDescent="0.3">
      <c r="B1336" s="79"/>
      <c r="C1336" s="79"/>
      <c r="D1336" s="90"/>
      <c r="E1336" s="98"/>
      <c r="F1336" s="48"/>
      <c r="G1336" s="99"/>
      <c r="H1336" s="48"/>
      <c r="I1336" s="99"/>
      <c r="J1336" s="48"/>
      <c r="K1336" s="99"/>
      <c r="L1336" s="48"/>
      <c r="M1336" s="99"/>
    </row>
    <row r="1337" spans="2:13" ht="12.95" customHeight="1" x14ac:dyDescent="0.3">
      <c r="B1337" s="73" t="s">
        <v>42</v>
      </c>
      <c r="C1337" s="74"/>
      <c r="D1337" s="75" t="s">
        <v>28</v>
      </c>
      <c r="E1337" s="160">
        <v>226122</v>
      </c>
      <c r="F1337" s="37">
        <v>0.8</v>
      </c>
      <c r="G1337" s="3">
        <f t="shared" ref="G1337:G1339" si="397">TRUNC($E1337*F1337,1)</f>
        <v>180897.6</v>
      </c>
      <c r="H1337" s="37">
        <v>0.41</v>
      </c>
      <c r="I1337" s="3">
        <f t="shared" ref="I1337:I1339" si="398">TRUNC($E1337*H1337,1)</f>
        <v>92710</v>
      </c>
      <c r="J1337" s="37">
        <v>0.96</v>
      </c>
      <c r="K1337" s="3">
        <f>TRUNC($E1337*J1337,1)</f>
        <v>217077.1</v>
      </c>
      <c r="L1337" s="37">
        <v>0.46</v>
      </c>
      <c r="M1337" s="3">
        <f>TRUNC($E1337*L1337,1)</f>
        <v>104016.1</v>
      </c>
    </row>
    <row r="1338" spans="2:13" ht="12.95" customHeight="1" x14ac:dyDescent="0.3">
      <c r="B1338" s="73" t="s">
        <v>8</v>
      </c>
      <c r="C1338" s="74"/>
      <c r="D1338" s="75" t="s">
        <v>28</v>
      </c>
      <c r="E1338" s="160">
        <v>172068</v>
      </c>
      <c r="F1338" s="37">
        <v>0.38</v>
      </c>
      <c r="G1338" s="3">
        <f t="shared" si="397"/>
        <v>65385.8</v>
      </c>
      <c r="H1338" s="37">
        <v>0.19</v>
      </c>
      <c r="I1338" s="3">
        <f t="shared" si="398"/>
        <v>32692.9</v>
      </c>
      <c r="J1338" s="37">
        <v>0.48</v>
      </c>
      <c r="K1338" s="3">
        <f>TRUNC($E1338*J1338,1)</f>
        <v>82592.600000000006</v>
      </c>
      <c r="L1338" s="37">
        <v>0.23</v>
      </c>
      <c r="M1338" s="3">
        <f>TRUNC($E1338*L1338,1)</f>
        <v>39575.599999999999</v>
      </c>
    </row>
    <row r="1339" spans="2:13" ht="12.95" customHeight="1" x14ac:dyDescent="0.3">
      <c r="B1339" s="89" t="s">
        <v>39</v>
      </c>
      <c r="C1339" s="89" t="s">
        <v>212</v>
      </c>
      <c r="D1339" s="90" t="s">
        <v>34</v>
      </c>
      <c r="E1339" s="160">
        <v>58925</v>
      </c>
      <c r="F1339" s="37">
        <v>1.25</v>
      </c>
      <c r="G1339" s="3">
        <f t="shared" si="397"/>
        <v>73656.2</v>
      </c>
      <c r="H1339" s="37">
        <v>0.64</v>
      </c>
      <c r="I1339" s="3">
        <f t="shared" si="398"/>
        <v>37712</v>
      </c>
      <c r="J1339" s="37">
        <v>1.44</v>
      </c>
      <c r="K1339" s="3">
        <f>TRUNC($E1339*J1339,1)</f>
        <v>84852</v>
      </c>
      <c r="L1339" s="37">
        <v>0.83</v>
      </c>
      <c r="M1339" s="3">
        <f>TRUNC($E1339*L1339,1)</f>
        <v>48907.7</v>
      </c>
    </row>
    <row r="1340" spans="2:13" ht="12.95" customHeight="1" x14ac:dyDescent="0.3">
      <c r="B1340" s="77" t="s">
        <v>30</v>
      </c>
      <c r="C1340" s="96"/>
      <c r="D1340" s="97"/>
      <c r="E1340" s="19"/>
      <c r="F1340" s="37"/>
      <c r="G1340" s="20">
        <f>TRUNC(SUM(G1337:G1339))</f>
        <v>319939</v>
      </c>
      <c r="H1340" s="37"/>
      <c r="I1340" s="20">
        <f>TRUNC(SUM(I1337:I1339))</f>
        <v>163114</v>
      </c>
      <c r="J1340" s="37"/>
      <c r="K1340" s="20">
        <f>TRUNC(SUM(K1337:K1339))</f>
        <v>384521</v>
      </c>
      <c r="L1340" s="37"/>
      <c r="M1340" s="20">
        <f>TRUNC(SUM(M1337:M1339))</f>
        <v>192499</v>
      </c>
    </row>
    <row r="1341" spans="2:13" ht="12.95" customHeight="1" x14ac:dyDescent="0.3">
      <c r="B1341" s="79"/>
      <c r="C1341" s="79"/>
      <c r="D1341" s="90"/>
      <c r="E1341" s="98"/>
      <c r="F1341" s="37"/>
      <c r="G1341" s="99"/>
      <c r="H1341" s="37"/>
      <c r="I1341" s="99"/>
      <c r="J1341" s="37"/>
      <c r="K1341" s="99"/>
      <c r="L1341" s="37"/>
      <c r="M1341" s="99"/>
    </row>
    <row r="1342" spans="2:13" ht="12.95" customHeight="1" x14ac:dyDescent="0.3">
      <c r="B1342" s="89" t="s">
        <v>39</v>
      </c>
      <c r="C1342" s="89" t="s">
        <v>212</v>
      </c>
      <c r="D1342" s="90" t="s">
        <v>34</v>
      </c>
      <c r="E1342" s="160">
        <v>31344</v>
      </c>
      <c r="F1342" s="37">
        <v>1.25</v>
      </c>
      <c r="G1342" s="3">
        <f t="shared" ref="G1342" si="399">TRUNC($E1342*F1342,1)</f>
        <v>39180</v>
      </c>
      <c r="H1342" s="37">
        <v>0.64</v>
      </c>
      <c r="I1342" s="3">
        <f t="shared" ref="I1342" si="400">TRUNC($E1342*H1342,1)</f>
        <v>20060.099999999999</v>
      </c>
      <c r="J1342" s="37">
        <v>1.44</v>
      </c>
      <c r="K1342" s="3">
        <f>TRUNC($E1342*J1342,1)</f>
        <v>45135.3</v>
      </c>
      <c r="L1342" s="37">
        <v>0.83</v>
      </c>
      <c r="M1342" s="3">
        <f>TRUNC($E1342*L1342,1)</f>
        <v>26015.5</v>
      </c>
    </row>
    <row r="1343" spans="2:13" ht="12.95" customHeight="1" x14ac:dyDescent="0.3">
      <c r="B1343" s="93" t="s">
        <v>31</v>
      </c>
      <c r="C1343" s="96"/>
      <c r="D1343" s="104"/>
      <c r="E1343" s="19"/>
      <c r="F1343" s="138"/>
      <c r="G1343" s="20">
        <f>TRUNC(SUM(G1342:G1342))</f>
        <v>39180</v>
      </c>
      <c r="H1343" s="138"/>
      <c r="I1343" s="20">
        <f>TRUNC(SUM(I1342:I1342))</f>
        <v>20060</v>
      </c>
      <c r="J1343" s="138"/>
      <c r="K1343" s="20">
        <f>TRUNC(SUM(K1342:K1342))</f>
        <v>45135</v>
      </c>
      <c r="L1343" s="138"/>
      <c r="M1343" s="20">
        <f>TRUNC(SUM(M1342:M1342))</f>
        <v>26015</v>
      </c>
    </row>
    <row r="1344" spans="2:13" ht="12.95" customHeight="1" x14ac:dyDescent="0.3">
      <c r="B1344" s="79"/>
      <c r="C1344" s="79"/>
      <c r="D1344" s="90"/>
      <c r="E1344" s="98"/>
      <c r="F1344" s="98"/>
      <c r="G1344" s="99"/>
      <c r="H1344" s="98"/>
      <c r="I1344" s="99"/>
      <c r="J1344" s="98"/>
      <c r="K1344" s="99"/>
      <c r="L1344" s="98"/>
      <c r="M1344" s="99"/>
    </row>
    <row r="1345" spans="2:13" ht="12.95" customHeight="1" x14ac:dyDescent="0.3">
      <c r="B1345" s="84" t="s">
        <v>33</v>
      </c>
      <c r="C1345" s="85"/>
      <c r="D1345" s="86"/>
      <c r="E1345" s="87"/>
      <c r="F1345" s="88"/>
      <c r="G1345" s="7">
        <f>SUM(G1335+G1340+G1343)</f>
        <v>369057</v>
      </c>
      <c r="H1345" s="88"/>
      <c r="I1345" s="7">
        <f>SUM(I1335+I1340+I1343)</f>
        <v>188262</v>
      </c>
      <c r="J1345" s="88"/>
      <c r="K1345" s="7">
        <f>SUM(K1335+K1340+K1343)</f>
        <v>441105</v>
      </c>
      <c r="L1345" s="88"/>
      <c r="M1345" s="7">
        <f>SUM(M1335+M1340+M1343)</f>
        <v>225113</v>
      </c>
    </row>
    <row r="1347" spans="2:13" ht="12.95" customHeight="1" x14ac:dyDescent="0.3">
      <c r="B1347" s="1" t="s">
        <v>286</v>
      </c>
      <c r="K1347" s="137" t="s">
        <v>239</v>
      </c>
    </row>
    <row r="1348" spans="2:13" ht="12.95" customHeight="1" x14ac:dyDescent="0.3">
      <c r="B1348" s="176" t="s">
        <v>21</v>
      </c>
      <c r="C1348" s="170" t="s">
        <v>25</v>
      </c>
      <c r="D1348" s="170" t="s">
        <v>26</v>
      </c>
      <c r="E1348" s="170" t="s">
        <v>22</v>
      </c>
      <c r="F1348" s="180" t="s">
        <v>343</v>
      </c>
      <c r="G1348" s="181"/>
      <c r="H1348" s="181"/>
      <c r="I1348" s="181"/>
      <c r="J1348" s="181"/>
      <c r="K1348" s="181"/>
    </row>
    <row r="1349" spans="2:13" ht="12.95" customHeight="1" x14ac:dyDescent="0.3">
      <c r="B1349" s="177"/>
      <c r="C1349" s="179"/>
      <c r="D1349" s="179"/>
      <c r="E1349" s="179"/>
      <c r="F1349" s="174" t="s">
        <v>340</v>
      </c>
      <c r="G1349" s="175"/>
      <c r="H1349" s="174" t="s">
        <v>341</v>
      </c>
      <c r="I1349" s="175"/>
      <c r="J1349" s="174" t="s">
        <v>342</v>
      </c>
      <c r="K1349" s="175"/>
    </row>
    <row r="1350" spans="2:13" ht="12.95" customHeight="1" x14ac:dyDescent="0.3">
      <c r="B1350" s="177"/>
      <c r="C1350" s="179"/>
      <c r="D1350" s="179"/>
      <c r="E1350" s="179"/>
      <c r="F1350" s="143" t="s">
        <v>278</v>
      </c>
      <c r="G1350" s="164">
        <v>20</v>
      </c>
      <c r="H1350" s="143" t="s">
        <v>278</v>
      </c>
      <c r="I1350" s="164">
        <v>16</v>
      </c>
      <c r="J1350" s="143" t="s">
        <v>278</v>
      </c>
      <c r="K1350" s="164">
        <v>14</v>
      </c>
    </row>
    <row r="1351" spans="2:13" ht="12.95" customHeight="1" x14ac:dyDescent="0.3">
      <c r="B1351" s="178"/>
      <c r="C1351" s="171"/>
      <c r="D1351" s="171"/>
      <c r="E1351" s="171"/>
      <c r="F1351" s="102" t="s">
        <v>23</v>
      </c>
      <c r="G1351" s="102" t="s">
        <v>24</v>
      </c>
      <c r="H1351" s="102" t="s">
        <v>23</v>
      </c>
      <c r="I1351" s="67" t="s">
        <v>24</v>
      </c>
      <c r="J1351" s="102" t="s">
        <v>23</v>
      </c>
      <c r="K1351" s="67" t="s">
        <v>24</v>
      </c>
    </row>
    <row r="1352" spans="2:13" ht="12.95" customHeight="1" x14ac:dyDescent="0.3">
      <c r="B1352" s="89" t="s">
        <v>39</v>
      </c>
      <c r="C1352" s="89" t="s">
        <v>277</v>
      </c>
      <c r="D1352" s="90" t="s">
        <v>34</v>
      </c>
      <c r="E1352" s="31">
        <v>16112</v>
      </c>
      <c r="F1352" s="36">
        <v>8</v>
      </c>
      <c r="G1352" s="3">
        <f>TRUNC($E1352*F1352,1)</f>
        <v>128896</v>
      </c>
      <c r="H1352" s="36">
        <v>8</v>
      </c>
      <c r="I1352" s="3">
        <f>TRUNC($E1352*H1352,1)</f>
        <v>128896</v>
      </c>
      <c r="J1352" s="36">
        <v>8</v>
      </c>
      <c r="K1352" s="3">
        <f>TRUNC($E1352*J1352,1)</f>
        <v>128896</v>
      </c>
    </row>
    <row r="1353" spans="2:13" ht="12.95" customHeight="1" x14ac:dyDescent="0.3">
      <c r="B1353" s="89" t="s">
        <v>27</v>
      </c>
      <c r="C1353" s="91" t="s">
        <v>281</v>
      </c>
      <c r="D1353" s="90" t="s">
        <v>35</v>
      </c>
      <c r="E1353" s="92"/>
      <c r="F1353" s="36">
        <v>1</v>
      </c>
      <c r="G1353" s="6">
        <f>TRUNC(SUM(G1356:G1358)*0.025,1)</f>
        <v>45005.1</v>
      </c>
      <c r="H1353" s="36">
        <v>1</v>
      </c>
      <c r="I1353" s="6">
        <f>TRUNC(SUM(I1356:I1358)*0.025,1)</f>
        <v>45005.1</v>
      </c>
      <c r="J1353" s="36">
        <v>1</v>
      </c>
      <c r="K1353" s="6">
        <f>TRUNC(SUM(K1356:K1358)*0.025,1)</f>
        <v>45005.1</v>
      </c>
    </row>
    <row r="1354" spans="2:13" ht="12.95" customHeight="1" x14ac:dyDescent="0.3">
      <c r="B1354" s="93" t="s">
        <v>29</v>
      </c>
      <c r="C1354" s="96"/>
      <c r="D1354" s="97"/>
      <c r="E1354" s="138"/>
      <c r="F1354" s="37"/>
      <c r="G1354" s="20">
        <f>TRUNC(SUM(G1352:G1353))</f>
        <v>173901</v>
      </c>
      <c r="H1354" s="37"/>
      <c r="I1354" s="20">
        <f>TRUNC(SUM(I1352:I1353))</f>
        <v>173901</v>
      </c>
      <c r="J1354" s="37"/>
      <c r="K1354" s="20">
        <f>TRUNC(SUM(K1352:K1353))</f>
        <v>173901</v>
      </c>
    </row>
    <row r="1355" spans="2:13" ht="12.95" customHeight="1" x14ac:dyDescent="0.3">
      <c r="B1355" s="79"/>
      <c r="C1355" s="79"/>
      <c r="D1355" s="90"/>
      <c r="E1355" s="98"/>
      <c r="F1355" s="37"/>
      <c r="G1355" s="99"/>
      <c r="H1355" s="37"/>
      <c r="I1355" s="99"/>
      <c r="J1355" s="37"/>
      <c r="K1355" s="99"/>
    </row>
    <row r="1356" spans="2:13" ht="12.95" customHeight="1" x14ac:dyDescent="0.3">
      <c r="B1356" s="126" t="s">
        <v>4</v>
      </c>
      <c r="C1356" s="126"/>
      <c r="D1356" s="75" t="s">
        <v>28</v>
      </c>
      <c r="E1356" s="139">
        <v>275790</v>
      </c>
      <c r="F1356" s="36">
        <v>2</v>
      </c>
      <c r="G1356" s="3">
        <f>TRUNC($E1356*F1356,1)</f>
        <v>551580</v>
      </c>
      <c r="H1356" s="36">
        <v>2</v>
      </c>
      <c r="I1356" s="3">
        <f>TRUNC($E1356*H1356,1)</f>
        <v>551580</v>
      </c>
      <c r="J1356" s="36">
        <v>2</v>
      </c>
      <c r="K1356" s="3">
        <f>TRUNC($E1356*J1356,1)</f>
        <v>551580</v>
      </c>
    </row>
    <row r="1357" spans="2:13" ht="12.95" customHeight="1" x14ac:dyDescent="0.3">
      <c r="B1357" s="73" t="s">
        <v>42</v>
      </c>
      <c r="C1357" s="74"/>
      <c r="D1357" s="75" t="s">
        <v>28</v>
      </c>
      <c r="E1357" s="160">
        <v>226122</v>
      </c>
      <c r="F1357" s="36">
        <v>4</v>
      </c>
      <c r="G1357" s="3">
        <f>TRUNC($E1357*F1357,1)</f>
        <v>904488</v>
      </c>
      <c r="H1357" s="36">
        <v>4</v>
      </c>
      <c r="I1357" s="3">
        <f>TRUNC($E1357*H1357,1)</f>
        <v>904488</v>
      </c>
      <c r="J1357" s="36">
        <v>4</v>
      </c>
      <c r="K1357" s="3">
        <f>TRUNC($E1357*J1357,1)</f>
        <v>904488</v>
      </c>
    </row>
    <row r="1358" spans="2:13" ht="12.95" customHeight="1" x14ac:dyDescent="0.3">
      <c r="B1358" s="73" t="s">
        <v>8</v>
      </c>
      <c r="C1358" s="74"/>
      <c r="D1358" s="75" t="s">
        <v>28</v>
      </c>
      <c r="E1358" s="51">
        <v>172068</v>
      </c>
      <c r="F1358" s="36">
        <v>2</v>
      </c>
      <c r="G1358" s="3">
        <f>TRUNC($E1358*F1358,1)</f>
        <v>344136</v>
      </c>
      <c r="H1358" s="36">
        <v>2</v>
      </c>
      <c r="I1358" s="3">
        <f>TRUNC($E1358*H1358,1)</f>
        <v>344136</v>
      </c>
      <c r="J1358" s="36">
        <v>2</v>
      </c>
      <c r="K1358" s="3">
        <f>TRUNC($E1358*J1358,1)</f>
        <v>344136</v>
      </c>
    </row>
    <row r="1359" spans="2:13" ht="12.95" customHeight="1" x14ac:dyDescent="0.3">
      <c r="B1359" s="89" t="s">
        <v>39</v>
      </c>
      <c r="C1359" s="89" t="s">
        <v>277</v>
      </c>
      <c r="D1359" s="90" t="s">
        <v>34</v>
      </c>
      <c r="E1359" s="31">
        <v>58925</v>
      </c>
      <c r="F1359" s="36">
        <v>8</v>
      </c>
      <c r="G1359" s="3">
        <f>TRUNC($E1359*F1359,1)</f>
        <v>471400</v>
      </c>
      <c r="H1359" s="36">
        <v>8</v>
      </c>
      <c r="I1359" s="3">
        <f>TRUNC($E1359*H1359,1)</f>
        <v>471400</v>
      </c>
      <c r="J1359" s="36">
        <v>8</v>
      </c>
      <c r="K1359" s="3">
        <f>TRUNC($E1359*J1359,1)</f>
        <v>471400</v>
      </c>
    </row>
    <row r="1360" spans="2:13" ht="12.95" customHeight="1" x14ac:dyDescent="0.3">
      <c r="B1360" s="77" t="s">
        <v>30</v>
      </c>
      <c r="C1360" s="96"/>
      <c r="D1360" s="97"/>
      <c r="E1360" s="19"/>
      <c r="F1360" s="37"/>
      <c r="G1360" s="20">
        <f>TRUNC(SUM(G1356:G1359))</f>
        <v>2271604</v>
      </c>
      <c r="H1360" s="37"/>
      <c r="I1360" s="20">
        <f>TRUNC(SUM(I1356:I1359))</f>
        <v>2271604</v>
      </c>
      <c r="J1360" s="37"/>
      <c r="K1360" s="20">
        <f>TRUNC(SUM(K1356:K1359))</f>
        <v>2271604</v>
      </c>
    </row>
    <row r="1361" spans="2:11" ht="12.95" customHeight="1" x14ac:dyDescent="0.3">
      <c r="B1361" s="79"/>
      <c r="C1361" s="79"/>
      <c r="D1361" s="90"/>
      <c r="E1361" s="98"/>
      <c r="F1361" s="37"/>
      <c r="G1361" s="99"/>
      <c r="H1361" s="37"/>
      <c r="I1361" s="99"/>
      <c r="J1361" s="37"/>
      <c r="K1361" s="99"/>
    </row>
    <row r="1362" spans="2:11" ht="12.95" customHeight="1" x14ac:dyDescent="0.3">
      <c r="B1362" s="89" t="s">
        <v>39</v>
      </c>
      <c r="C1362" s="89" t="s">
        <v>277</v>
      </c>
      <c r="D1362" s="90" t="s">
        <v>34</v>
      </c>
      <c r="E1362" s="31">
        <v>57685</v>
      </c>
      <c r="F1362" s="36">
        <v>8</v>
      </c>
      <c r="G1362" s="3">
        <f>TRUNC($E1362*F1362,1)</f>
        <v>461480</v>
      </c>
      <c r="H1362" s="36">
        <v>8</v>
      </c>
      <c r="I1362" s="3">
        <f>TRUNC($E1362*H1362,1)</f>
        <v>461480</v>
      </c>
      <c r="J1362" s="36">
        <v>8</v>
      </c>
      <c r="K1362" s="3">
        <f>TRUNC($E1362*J1362,1)</f>
        <v>461480</v>
      </c>
    </row>
    <row r="1363" spans="2:11" ht="12.95" customHeight="1" x14ac:dyDescent="0.3">
      <c r="B1363" s="89" t="s">
        <v>184</v>
      </c>
      <c r="C1363" s="89" t="s">
        <v>282</v>
      </c>
      <c r="D1363" s="90" t="s">
        <v>34</v>
      </c>
      <c r="E1363" s="31">
        <v>3897</v>
      </c>
      <c r="F1363" s="36">
        <v>8</v>
      </c>
      <c r="G1363" s="3">
        <f>TRUNC($E1363*F1363,1)</f>
        <v>31176</v>
      </c>
      <c r="H1363" s="36">
        <v>8</v>
      </c>
      <c r="I1363" s="3">
        <f>TRUNC($E1363*H1363,1)</f>
        <v>31176</v>
      </c>
      <c r="J1363" s="36">
        <v>8</v>
      </c>
      <c r="K1363" s="3">
        <f>TRUNC($E1363*J1363,1)</f>
        <v>31176</v>
      </c>
    </row>
    <row r="1364" spans="2:11" ht="12.95" customHeight="1" x14ac:dyDescent="0.3">
      <c r="B1364" s="93" t="s">
        <v>31</v>
      </c>
      <c r="C1364" s="96"/>
      <c r="D1364" s="104"/>
      <c r="E1364" s="19"/>
      <c r="F1364" s="138"/>
      <c r="G1364" s="20">
        <f>TRUNC(SUM(G1362:G1363))</f>
        <v>492656</v>
      </c>
      <c r="H1364" s="138"/>
      <c r="I1364" s="20">
        <f>TRUNC(SUM(I1362:I1363))</f>
        <v>492656</v>
      </c>
      <c r="J1364" s="138"/>
      <c r="K1364" s="20">
        <f>TRUNC(SUM(K1362:K1363))</f>
        <v>492656</v>
      </c>
    </row>
    <row r="1365" spans="2:11" ht="12.95" customHeight="1" x14ac:dyDescent="0.3">
      <c r="B1365" s="79"/>
      <c r="C1365" s="79"/>
      <c r="D1365" s="90"/>
      <c r="E1365" s="98"/>
      <c r="F1365" s="98"/>
      <c r="G1365" s="99"/>
      <c r="H1365" s="98"/>
      <c r="I1365" s="99"/>
      <c r="J1365" s="98"/>
      <c r="K1365" s="99"/>
    </row>
    <row r="1366" spans="2:11" ht="12.95" customHeight="1" x14ac:dyDescent="0.3">
      <c r="B1366" s="82" t="s">
        <v>33</v>
      </c>
      <c r="C1366" s="79"/>
      <c r="D1366" s="90"/>
      <c r="E1366" s="152"/>
      <c r="F1366" s="153"/>
      <c r="G1366" s="53">
        <f>SUM(G1354+G1360+G1364)</f>
        <v>2938161</v>
      </c>
      <c r="H1366" s="153"/>
      <c r="I1366" s="53">
        <f>SUM(I1354+I1360+I1364)</f>
        <v>2938161</v>
      </c>
      <c r="J1366" s="153"/>
      <c r="K1366" s="53">
        <f>SUM(K1354+K1360+K1364)</f>
        <v>2938161</v>
      </c>
    </row>
    <row r="1367" spans="2:11" ht="12.95" customHeight="1" x14ac:dyDescent="0.3">
      <c r="B1367" s="84" t="s">
        <v>280</v>
      </c>
      <c r="C1367" s="85"/>
      <c r="D1367" s="86"/>
      <c r="E1367" s="87"/>
      <c r="F1367" s="88"/>
      <c r="G1367" s="7">
        <f>TRUNC(G1366/G1350)</f>
        <v>146908</v>
      </c>
      <c r="H1367" s="88"/>
      <c r="I1367" s="7">
        <f>TRUNC(I1366/I1350)</f>
        <v>183635</v>
      </c>
      <c r="J1367" s="88"/>
      <c r="K1367" s="7">
        <f>TRUNC(K1366/K1350)</f>
        <v>209868</v>
      </c>
    </row>
    <row r="1368" spans="2:11" ht="12.95" customHeight="1" x14ac:dyDescent="0.3">
      <c r="B1368" s="176" t="s">
        <v>21</v>
      </c>
      <c r="C1368" s="170" t="s">
        <v>25</v>
      </c>
      <c r="D1368" s="170" t="s">
        <v>26</v>
      </c>
      <c r="E1368" s="170" t="s">
        <v>22</v>
      </c>
      <c r="F1368" s="180" t="s">
        <v>344</v>
      </c>
      <c r="G1368" s="181"/>
      <c r="H1368" s="181"/>
      <c r="I1368" s="181"/>
      <c r="J1368" s="181"/>
      <c r="K1368" s="181"/>
    </row>
    <row r="1369" spans="2:11" ht="12.95" customHeight="1" x14ac:dyDescent="0.3">
      <c r="B1369" s="177"/>
      <c r="C1369" s="179"/>
      <c r="D1369" s="179"/>
      <c r="E1369" s="179"/>
      <c r="F1369" s="174" t="s">
        <v>340</v>
      </c>
      <c r="G1369" s="175"/>
      <c r="H1369" s="174" t="s">
        <v>341</v>
      </c>
      <c r="I1369" s="175"/>
      <c r="J1369" s="174" t="s">
        <v>342</v>
      </c>
      <c r="K1369" s="175"/>
    </row>
    <row r="1370" spans="2:11" ht="12.95" customHeight="1" x14ac:dyDescent="0.3">
      <c r="B1370" s="177"/>
      <c r="C1370" s="179"/>
      <c r="D1370" s="179"/>
      <c r="E1370" s="179"/>
      <c r="F1370" s="143" t="s">
        <v>278</v>
      </c>
      <c r="G1370" s="164">
        <v>15</v>
      </c>
      <c r="H1370" s="143" t="s">
        <v>278</v>
      </c>
      <c r="I1370" s="164">
        <v>12</v>
      </c>
      <c r="J1370" s="143" t="s">
        <v>278</v>
      </c>
      <c r="K1370" s="164">
        <v>11</v>
      </c>
    </row>
    <row r="1371" spans="2:11" ht="12.95" customHeight="1" x14ac:dyDescent="0.3">
      <c r="B1371" s="178"/>
      <c r="C1371" s="171"/>
      <c r="D1371" s="171"/>
      <c r="E1371" s="171"/>
      <c r="F1371" s="102" t="s">
        <v>23</v>
      </c>
      <c r="G1371" s="102" t="s">
        <v>24</v>
      </c>
      <c r="H1371" s="102" t="s">
        <v>23</v>
      </c>
      <c r="I1371" s="67" t="s">
        <v>24</v>
      </c>
      <c r="J1371" s="102" t="s">
        <v>23</v>
      </c>
      <c r="K1371" s="67" t="s">
        <v>24</v>
      </c>
    </row>
    <row r="1372" spans="2:11" ht="12.95" customHeight="1" x14ac:dyDescent="0.3">
      <c r="B1372" s="89" t="s">
        <v>39</v>
      </c>
      <c r="C1372" s="89" t="s">
        <v>277</v>
      </c>
      <c r="D1372" s="90" t="s">
        <v>34</v>
      </c>
      <c r="E1372" s="31">
        <v>16112</v>
      </c>
      <c r="F1372" s="36">
        <v>8</v>
      </c>
      <c r="G1372" s="3">
        <f>TRUNC($E1372*F1372,1)</f>
        <v>128896</v>
      </c>
      <c r="H1372" s="36">
        <v>8</v>
      </c>
      <c r="I1372" s="3">
        <f>TRUNC($E1372*H1372,1)</f>
        <v>128896</v>
      </c>
      <c r="J1372" s="36">
        <v>8</v>
      </c>
      <c r="K1372" s="3">
        <f>TRUNC($E1372*J1372,1)</f>
        <v>128896</v>
      </c>
    </row>
    <row r="1373" spans="2:11" ht="12.95" customHeight="1" x14ac:dyDescent="0.3">
      <c r="B1373" s="89" t="s">
        <v>27</v>
      </c>
      <c r="C1373" s="91" t="s">
        <v>281</v>
      </c>
      <c r="D1373" s="90" t="s">
        <v>35</v>
      </c>
      <c r="E1373" s="92"/>
      <c r="F1373" s="36">
        <v>1</v>
      </c>
      <c r="G1373" s="6">
        <f>TRUNC(SUM(G1376:G1378)*0.025,1)</f>
        <v>45005.1</v>
      </c>
      <c r="H1373" s="36">
        <v>1</v>
      </c>
      <c r="I1373" s="6">
        <f>TRUNC(SUM(I1376:I1378)*0.025,1)</f>
        <v>45005.1</v>
      </c>
      <c r="J1373" s="36">
        <v>1</v>
      </c>
      <c r="K1373" s="6">
        <f>TRUNC(SUM(K1376:K1378)*0.025,1)</f>
        <v>45005.1</v>
      </c>
    </row>
    <row r="1374" spans="2:11" ht="12.95" customHeight="1" x14ac:dyDescent="0.3">
      <c r="B1374" s="93" t="s">
        <v>29</v>
      </c>
      <c r="C1374" s="96"/>
      <c r="D1374" s="97"/>
      <c r="E1374" s="138"/>
      <c r="F1374" s="37"/>
      <c r="G1374" s="20">
        <f>TRUNC(SUM(G1372:G1373))</f>
        <v>173901</v>
      </c>
      <c r="H1374" s="37"/>
      <c r="I1374" s="20">
        <f>TRUNC(SUM(I1372:I1373))</f>
        <v>173901</v>
      </c>
      <c r="J1374" s="37"/>
      <c r="K1374" s="20">
        <f>TRUNC(SUM(K1372:K1373))</f>
        <v>173901</v>
      </c>
    </row>
    <row r="1375" spans="2:11" ht="12.95" customHeight="1" x14ac:dyDescent="0.3">
      <c r="B1375" s="79"/>
      <c r="C1375" s="79"/>
      <c r="D1375" s="90"/>
      <c r="E1375" s="98"/>
      <c r="F1375" s="37"/>
      <c r="G1375" s="99"/>
      <c r="H1375" s="37"/>
      <c r="I1375" s="99"/>
      <c r="J1375" s="37"/>
      <c r="K1375" s="99"/>
    </row>
    <row r="1376" spans="2:11" ht="12.95" customHeight="1" x14ac:dyDescent="0.3">
      <c r="B1376" s="126" t="s">
        <v>4</v>
      </c>
      <c r="C1376" s="126"/>
      <c r="D1376" s="75" t="s">
        <v>28</v>
      </c>
      <c r="E1376" s="139">
        <v>275790</v>
      </c>
      <c r="F1376" s="36">
        <v>2</v>
      </c>
      <c r="G1376" s="3">
        <f>TRUNC($E1376*F1376,1)</f>
        <v>551580</v>
      </c>
      <c r="H1376" s="36">
        <v>2</v>
      </c>
      <c r="I1376" s="3">
        <f>TRUNC($E1376*H1376,1)</f>
        <v>551580</v>
      </c>
      <c r="J1376" s="36">
        <v>2</v>
      </c>
      <c r="K1376" s="3">
        <f>TRUNC($E1376*J1376,1)</f>
        <v>551580</v>
      </c>
    </row>
    <row r="1377" spans="2:11" ht="12.95" customHeight="1" x14ac:dyDescent="0.3">
      <c r="B1377" s="73" t="s">
        <v>42</v>
      </c>
      <c r="C1377" s="74"/>
      <c r="D1377" s="75" t="s">
        <v>28</v>
      </c>
      <c r="E1377" s="160">
        <v>226122</v>
      </c>
      <c r="F1377" s="36">
        <v>4</v>
      </c>
      <c r="G1377" s="3">
        <f>TRUNC($E1377*F1377,1)</f>
        <v>904488</v>
      </c>
      <c r="H1377" s="36">
        <v>4</v>
      </c>
      <c r="I1377" s="3">
        <f>TRUNC($E1377*H1377,1)</f>
        <v>904488</v>
      </c>
      <c r="J1377" s="36">
        <v>4</v>
      </c>
      <c r="K1377" s="3">
        <f>TRUNC($E1377*J1377,1)</f>
        <v>904488</v>
      </c>
    </row>
    <row r="1378" spans="2:11" ht="12.95" customHeight="1" x14ac:dyDescent="0.3">
      <c r="B1378" s="73" t="s">
        <v>8</v>
      </c>
      <c r="C1378" s="74"/>
      <c r="D1378" s="75" t="s">
        <v>28</v>
      </c>
      <c r="E1378" s="51">
        <v>172068</v>
      </c>
      <c r="F1378" s="36">
        <v>2</v>
      </c>
      <c r="G1378" s="3">
        <f>TRUNC($E1378*F1378,1)</f>
        <v>344136</v>
      </c>
      <c r="H1378" s="36">
        <v>2</v>
      </c>
      <c r="I1378" s="3">
        <f>TRUNC($E1378*H1378,1)</f>
        <v>344136</v>
      </c>
      <c r="J1378" s="36">
        <v>2</v>
      </c>
      <c r="K1378" s="3">
        <f>TRUNC($E1378*J1378,1)</f>
        <v>344136</v>
      </c>
    </row>
    <row r="1379" spans="2:11" ht="12.95" customHeight="1" x14ac:dyDescent="0.3">
      <c r="B1379" s="89" t="s">
        <v>39</v>
      </c>
      <c r="C1379" s="89" t="s">
        <v>277</v>
      </c>
      <c r="D1379" s="90" t="s">
        <v>34</v>
      </c>
      <c r="E1379" s="31">
        <v>58925</v>
      </c>
      <c r="F1379" s="36">
        <v>8</v>
      </c>
      <c r="G1379" s="3">
        <f>TRUNC($E1379*F1379,1)</f>
        <v>471400</v>
      </c>
      <c r="H1379" s="36">
        <v>8</v>
      </c>
      <c r="I1379" s="3">
        <f>TRUNC($E1379*H1379,1)</f>
        <v>471400</v>
      </c>
      <c r="J1379" s="36">
        <v>8</v>
      </c>
      <c r="K1379" s="3">
        <f>TRUNC($E1379*J1379,1)</f>
        <v>471400</v>
      </c>
    </row>
    <row r="1380" spans="2:11" ht="12.95" customHeight="1" x14ac:dyDescent="0.3">
      <c r="B1380" s="77" t="s">
        <v>30</v>
      </c>
      <c r="C1380" s="96"/>
      <c r="D1380" s="97"/>
      <c r="E1380" s="19"/>
      <c r="F1380" s="37"/>
      <c r="G1380" s="20">
        <f>TRUNC(SUM(G1376:G1379))</f>
        <v>2271604</v>
      </c>
      <c r="H1380" s="37"/>
      <c r="I1380" s="20">
        <f>TRUNC(SUM(I1376:I1379))</f>
        <v>2271604</v>
      </c>
      <c r="J1380" s="37"/>
      <c r="K1380" s="20">
        <f>TRUNC(SUM(K1376:K1379))</f>
        <v>2271604</v>
      </c>
    </row>
    <row r="1381" spans="2:11" ht="12.95" customHeight="1" x14ac:dyDescent="0.3">
      <c r="B1381" s="79"/>
      <c r="C1381" s="79"/>
      <c r="D1381" s="90"/>
      <c r="E1381" s="98"/>
      <c r="F1381" s="37"/>
      <c r="G1381" s="99"/>
      <c r="H1381" s="37"/>
      <c r="I1381" s="99"/>
      <c r="J1381" s="37"/>
      <c r="K1381" s="99"/>
    </row>
    <row r="1382" spans="2:11" ht="12.95" customHeight="1" x14ac:dyDescent="0.3">
      <c r="B1382" s="89" t="s">
        <v>39</v>
      </c>
      <c r="C1382" s="89" t="s">
        <v>277</v>
      </c>
      <c r="D1382" s="90" t="s">
        <v>34</v>
      </c>
      <c r="E1382" s="31">
        <v>57685</v>
      </c>
      <c r="F1382" s="36">
        <v>8</v>
      </c>
      <c r="G1382" s="3">
        <f>TRUNC($E1382*F1382,1)</f>
        <v>461480</v>
      </c>
      <c r="H1382" s="36">
        <v>8</v>
      </c>
      <c r="I1382" s="3">
        <f>TRUNC($E1382*H1382,1)</f>
        <v>461480</v>
      </c>
      <c r="J1382" s="36">
        <v>8</v>
      </c>
      <c r="K1382" s="3">
        <f>TRUNC($E1382*J1382,1)</f>
        <v>461480</v>
      </c>
    </row>
    <row r="1383" spans="2:11" ht="12.95" customHeight="1" x14ac:dyDescent="0.3">
      <c r="B1383" s="89" t="s">
        <v>184</v>
      </c>
      <c r="C1383" s="89" t="s">
        <v>282</v>
      </c>
      <c r="D1383" s="90" t="s">
        <v>34</v>
      </c>
      <c r="E1383" s="31">
        <v>3897</v>
      </c>
      <c r="F1383" s="36">
        <v>8</v>
      </c>
      <c r="G1383" s="3">
        <f>TRUNC($E1383*F1383,1)</f>
        <v>31176</v>
      </c>
      <c r="H1383" s="36">
        <v>8</v>
      </c>
      <c r="I1383" s="3">
        <f>TRUNC($E1383*H1383,1)</f>
        <v>31176</v>
      </c>
      <c r="J1383" s="36">
        <v>8</v>
      </c>
      <c r="K1383" s="3">
        <f>TRUNC($E1383*J1383,1)</f>
        <v>31176</v>
      </c>
    </row>
    <row r="1384" spans="2:11" ht="12.95" customHeight="1" x14ac:dyDescent="0.3">
      <c r="B1384" s="93" t="s">
        <v>31</v>
      </c>
      <c r="C1384" s="96"/>
      <c r="D1384" s="104"/>
      <c r="E1384" s="19"/>
      <c r="F1384" s="138"/>
      <c r="G1384" s="20">
        <f>TRUNC(SUM(G1382:G1383))</f>
        <v>492656</v>
      </c>
      <c r="H1384" s="138"/>
      <c r="I1384" s="20">
        <f>TRUNC(SUM(I1382:I1383))</f>
        <v>492656</v>
      </c>
      <c r="J1384" s="138"/>
      <c r="K1384" s="20">
        <f>TRUNC(SUM(K1382:K1383))</f>
        <v>492656</v>
      </c>
    </row>
    <row r="1385" spans="2:11" ht="12.95" customHeight="1" x14ac:dyDescent="0.3">
      <c r="B1385" s="79"/>
      <c r="C1385" s="79"/>
      <c r="D1385" s="90"/>
      <c r="E1385" s="98"/>
      <c r="F1385" s="98"/>
      <c r="G1385" s="99"/>
      <c r="H1385" s="98"/>
      <c r="I1385" s="99"/>
      <c r="J1385" s="98"/>
      <c r="K1385" s="99"/>
    </row>
    <row r="1386" spans="2:11" ht="12.95" customHeight="1" x14ac:dyDescent="0.3">
      <c r="B1386" s="82" t="s">
        <v>33</v>
      </c>
      <c r="C1386" s="79"/>
      <c r="D1386" s="90"/>
      <c r="E1386" s="152"/>
      <c r="F1386" s="153"/>
      <c r="G1386" s="53">
        <f>SUM(G1374+G1380+G1384)</f>
        <v>2938161</v>
      </c>
      <c r="H1386" s="153"/>
      <c r="I1386" s="53">
        <f>SUM(I1374+I1380+I1384)</f>
        <v>2938161</v>
      </c>
      <c r="J1386" s="153"/>
      <c r="K1386" s="53">
        <f>SUM(K1374+K1380+K1384)</f>
        <v>2938161</v>
      </c>
    </row>
    <row r="1387" spans="2:11" ht="12.95" customHeight="1" x14ac:dyDescent="0.3">
      <c r="B1387" s="84" t="s">
        <v>280</v>
      </c>
      <c r="C1387" s="85"/>
      <c r="D1387" s="86"/>
      <c r="E1387" s="87"/>
      <c r="F1387" s="88"/>
      <c r="G1387" s="7">
        <f>TRUNC(G1386/G1370)</f>
        <v>195877</v>
      </c>
      <c r="H1387" s="88"/>
      <c r="I1387" s="7">
        <f>TRUNC(I1386/I1370)</f>
        <v>244846</v>
      </c>
      <c r="J1387" s="88"/>
      <c r="K1387" s="7">
        <f>TRUNC(K1386/K1370)</f>
        <v>267105</v>
      </c>
    </row>
    <row r="1389" spans="2:11" ht="12.95" customHeight="1" x14ac:dyDescent="0.3">
      <c r="B1389" s="1" t="s">
        <v>271</v>
      </c>
      <c r="K1389" s="137" t="s">
        <v>239</v>
      </c>
    </row>
    <row r="1390" spans="2:11" ht="12.95" customHeight="1" x14ac:dyDescent="0.3">
      <c r="B1390" s="176" t="s">
        <v>21</v>
      </c>
      <c r="C1390" s="170" t="s">
        <v>25</v>
      </c>
      <c r="D1390" s="170" t="s">
        <v>26</v>
      </c>
      <c r="E1390" s="170" t="s">
        <v>22</v>
      </c>
      <c r="F1390" s="180" t="s">
        <v>272</v>
      </c>
      <c r="G1390" s="181"/>
      <c r="H1390" s="181"/>
      <c r="I1390" s="181"/>
      <c r="J1390" s="181"/>
      <c r="K1390" s="181"/>
    </row>
    <row r="1391" spans="2:11" ht="12.95" customHeight="1" x14ac:dyDescent="0.3">
      <c r="B1391" s="177"/>
      <c r="C1391" s="179"/>
      <c r="D1391" s="179"/>
      <c r="E1391" s="179"/>
      <c r="F1391" s="174" t="s">
        <v>345</v>
      </c>
      <c r="G1391" s="175"/>
      <c r="H1391" s="174" t="s">
        <v>273</v>
      </c>
      <c r="I1391" s="175"/>
      <c r="J1391" s="174" t="s">
        <v>274</v>
      </c>
      <c r="K1391" s="175"/>
    </row>
    <row r="1392" spans="2:11" ht="12.95" customHeight="1" x14ac:dyDescent="0.3">
      <c r="B1392" s="177"/>
      <c r="C1392" s="179"/>
      <c r="D1392" s="179"/>
      <c r="E1392" s="179"/>
      <c r="F1392" s="143" t="s">
        <v>278</v>
      </c>
      <c r="G1392" s="164">
        <v>16</v>
      </c>
      <c r="H1392" s="143" t="s">
        <v>278</v>
      </c>
      <c r="I1392" s="164">
        <v>15</v>
      </c>
      <c r="J1392" s="143" t="s">
        <v>278</v>
      </c>
      <c r="K1392" s="164">
        <v>13</v>
      </c>
    </row>
    <row r="1393" spans="2:11" ht="12.95" customHeight="1" x14ac:dyDescent="0.3">
      <c r="B1393" s="178"/>
      <c r="C1393" s="171"/>
      <c r="D1393" s="171"/>
      <c r="E1393" s="171"/>
      <c r="F1393" s="102" t="s">
        <v>23</v>
      </c>
      <c r="G1393" s="102" t="s">
        <v>24</v>
      </c>
      <c r="H1393" s="102" t="s">
        <v>23</v>
      </c>
      <c r="I1393" s="67" t="s">
        <v>24</v>
      </c>
      <c r="J1393" s="102" t="s">
        <v>23</v>
      </c>
      <c r="K1393" s="67" t="s">
        <v>24</v>
      </c>
    </row>
    <row r="1394" spans="2:11" ht="12.95" customHeight="1" x14ac:dyDescent="0.3">
      <c r="B1394" s="89" t="s">
        <v>39</v>
      </c>
      <c r="C1394" s="89" t="s">
        <v>214</v>
      </c>
      <c r="D1394" s="90" t="s">
        <v>34</v>
      </c>
      <c r="E1394" s="31">
        <v>20090</v>
      </c>
      <c r="F1394" s="36">
        <v>8</v>
      </c>
      <c r="G1394" s="3">
        <f t="shared" ref="G1394" si="401">TRUNC($E1394*F1394,1)</f>
        <v>160720</v>
      </c>
      <c r="H1394" s="36">
        <v>8</v>
      </c>
      <c r="I1394" s="3">
        <f t="shared" ref="I1394" si="402">TRUNC($E1394*H1394,1)</f>
        <v>160720</v>
      </c>
      <c r="J1394" s="36">
        <v>8</v>
      </c>
      <c r="K1394" s="3">
        <f t="shared" ref="K1394" si="403">TRUNC($E1394*J1394,1)</f>
        <v>160720</v>
      </c>
    </row>
    <row r="1395" spans="2:11" ht="12.95" customHeight="1" x14ac:dyDescent="0.3">
      <c r="B1395" s="89" t="s">
        <v>27</v>
      </c>
      <c r="C1395" s="91" t="s">
        <v>279</v>
      </c>
      <c r="D1395" s="90" t="s">
        <v>35</v>
      </c>
      <c r="E1395" s="92"/>
      <c r="F1395" s="36">
        <v>1</v>
      </c>
      <c r="G1395" s="6">
        <f>TRUNC(SUM(G1398:G1399)*0.15,1)</f>
        <v>175725.9</v>
      </c>
      <c r="H1395" s="36">
        <v>1</v>
      </c>
      <c r="I1395" s="6">
        <f>TRUNC(SUM(I1398:I1399)*0.15,1)</f>
        <v>175725.9</v>
      </c>
      <c r="J1395" s="36">
        <v>1</v>
      </c>
      <c r="K1395" s="6">
        <f>TRUNC(SUM(K1398:K1399)*0.15,1)</f>
        <v>175725.9</v>
      </c>
    </row>
    <row r="1396" spans="2:11" ht="12.95" customHeight="1" x14ac:dyDescent="0.3">
      <c r="B1396" s="93" t="s">
        <v>29</v>
      </c>
      <c r="C1396" s="96"/>
      <c r="D1396" s="97"/>
      <c r="E1396" s="138"/>
      <c r="F1396" s="37"/>
      <c r="G1396" s="20">
        <f>TRUNC(SUM(G1394:G1395))</f>
        <v>336445</v>
      </c>
      <c r="H1396" s="37"/>
      <c r="I1396" s="20">
        <f>TRUNC(SUM(I1394:I1395))</f>
        <v>336445</v>
      </c>
      <c r="J1396" s="37"/>
      <c r="K1396" s="20">
        <f>TRUNC(SUM(K1394:K1395))</f>
        <v>336445</v>
      </c>
    </row>
    <row r="1397" spans="2:11" ht="12.95" customHeight="1" x14ac:dyDescent="0.3">
      <c r="B1397" s="79"/>
      <c r="C1397" s="79"/>
      <c r="D1397" s="90"/>
      <c r="E1397" s="98"/>
      <c r="F1397" s="37"/>
      <c r="G1397" s="99"/>
      <c r="H1397" s="37"/>
      <c r="I1397" s="99"/>
      <c r="J1397" s="37"/>
      <c r="K1397" s="99"/>
    </row>
    <row r="1398" spans="2:11" ht="12.95" customHeight="1" x14ac:dyDescent="0.3">
      <c r="B1398" s="126" t="s">
        <v>4</v>
      </c>
      <c r="C1398" s="126"/>
      <c r="D1398" s="75" t="s">
        <v>28</v>
      </c>
      <c r="E1398" s="139">
        <v>275790</v>
      </c>
      <c r="F1398" s="36">
        <v>3</v>
      </c>
      <c r="G1398" s="3">
        <f t="shared" ref="G1398:G1400" si="404">TRUNC($E1398*F1398,1)</f>
        <v>827370</v>
      </c>
      <c r="H1398" s="36">
        <v>3</v>
      </c>
      <c r="I1398" s="3">
        <f t="shared" ref="I1398:I1400" si="405">TRUNC($E1398*H1398,1)</f>
        <v>827370</v>
      </c>
      <c r="J1398" s="36">
        <v>3</v>
      </c>
      <c r="K1398" s="3">
        <f t="shared" ref="K1398:K1400" si="406">TRUNC($E1398*J1398,1)</f>
        <v>827370</v>
      </c>
    </row>
    <row r="1399" spans="2:11" ht="12.95" customHeight="1" x14ac:dyDescent="0.3">
      <c r="B1399" s="73" t="s">
        <v>8</v>
      </c>
      <c r="C1399" s="74"/>
      <c r="D1399" s="75" t="s">
        <v>28</v>
      </c>
      <c r="E1399" s="51">
        <v>172068</v>
      </c>
      <c r="F1399" s="36">
        <v>2</v>
      </c>
      <c r="G1399" s="3">
        <f t="shared" si="404"/>
        <v>344136</v>
      </c>
      <c r="H1399" s="36">
        <v>2</v>
      </c>
      <c r="I1399" s="3">
        <f t="shared" si="405"/>
        <v>344136</v>
      </c>
      <c r="J1399" s="36">
        <v>2</v>
      </c>
      <c r="K1399" s="3">
        <f t="shared" si="406"/>
        <v>344136</v>
      </c>
    </row>
    <row r="1400" spans="2:11" ht="12.95" customHeight="1" x14ac:dyDescent="0.3">
      <c r="B1400" s="89" t="s">
        <v>39</v>
      </c>
      <c r="C1400" s="89" t="s">
        <v>214</v>
      </c>
      <c r="D1400" s="90" t="s">
        <v>34</v>
      </c>
      <c r="E1400" s="31">
        <v>58925</v>
      </c>
      <c r="F1400" s="36">
        <v>8</v>
      </c>
      <c r="G1400" s="3">
        <f t="shared" si="404"/>
        <v>471400</v>
      </c>
      <c r="H1400" s="36">
        <v>8</v>
      </c>
      <c r="I1400" s="3">
        <f t="shared" si="405"/>
        <v>471400</v>
      </c>
      <c r="J1400" s="36">
        <v>8</v>
      </c>
      <c r="K1400" s="3">
        <f t="shared" si="406"/>
        <v>471400</v>
      </c>
    </row>
    <row r="1401" spans="2:11" ht="12.95" customHeight="1" x14ac:dyDescent="0.3">
      <c r="B1401" s="77" t="s">
        <v>30</v>
      </c>
      <c r="C1401" s="96"/>
      <c r="D1401" s="97"/>
      <c r="E1401" s="19"/>
      <c r="F1401" s="37"/>
      <c r="G1401" s="20">
        <f>TRUNC(SUM(G1398:G1400))</f>
        <v>1642906</v>
      </c>
      <c r="H1401" s="37"/>
      <c r="I1401" s="20">
        <f>TRUNC(SUM(I1398:I1400))</f>
        <v>1642906</v>
      </c>
      <c r="J1401" s="37"/>
      <c r="K1401" s="20">
        <f>TRUNC(SUM(K1398:K1400))</f>
        <v>1642906</v>
      </c>
    </row>
    <row r="1402" spans="2:11" ht="12.95" customHeight="1" x14ac:dyDescent="0.3">
      <c r="B1402" s="79"/>
      <c r="C1402" s="79"/>
      <c r="D1402" s="90"/>
      <c r="E1402" s="98"/>
      <c r="F1402" s="37"/>
      <c r="G1402" s="99"/>
      <c r="H1402" s="37"/>
      <c r="I1402" s="99"/>
      <c r="J1402" s="37"/>
      <c r="K1402" s="99"/>
    </row>
    <row r="1403" spans="2:11" ht="12.95" customHeight="1" x14ac:dyDescent="0.3">
      <c r="B1403" s="89" t="s">
        <v>39</v>
      </c>
      <c r="C1403" s="89" t="s">
        <v>214</v>
      </c>
      <c r="D1403" s="90" t="s">
        <v>34</v>
      </c>
      <c r="E1403" s="31">
        <v>68913</v>
      </c>
      <c r="F1403" s="36">
        <v>8</v>
      </c>
      <c r="G1403" s="3">
        <f t="shared" ref="G1403" si="407">TRUNC($E1403*F1403,1)</f>
        <v>551304</v>
      </c>
      <c r="H1403" s="36">
        <v>8</v>
      </c>
      <c r="I1403" s="3">
        <f t="shared" ref="I1403" si="408">TRUNC($E1403*H1403,1)</f>
        <v>551304</v>
      </c>
      <c r="J1403" s="36">
        <v>8</v>
      </c>
      <c r="K1403" s="3">
        <f t="shared" ref="K1403" si="409">TRUNC($E1403*J1403,1)</f>
        <v>551304</v>
      </c>
    </row>
    <row r="1404" spans="2:11" ht="12.95" customHeight="1" x14ac:dyDescent="0.3">
      <c r="B1404" s="93" t="s">
        <v>31</v>
      </c>
      <c r="C1404" s="96"/>
      <c r="D1404" s="104"/>
      <c r="E1404" s="19"/>
      <c r="F1404" s="138"/>
      <c r="G1404" s="20">
        <f>TRUNC(SUM(G1403:G1403))</f>
        <v>551304</v>
      </c>
      <c r="H1404" s="138"/>
      <c r="I1404" s="20">
        <f>TRUNC(SUM(I1403:I1403))</f>
        <v>551304</v>
      </c>
      <c r="J1404" s="138"/>
      <c r="K1404" s="20">
        <f>TRUNC(SUM(K1403:K1403))</f>
        <v>551304</v>
      </c>
    </row>
    <row r="1405" spans="2:11" ht="12.95" customHeight="1" x14ac:dyDescent="0.3">
      <c r="B1405" s="79"/>
      <c r="C1405" s="79"/>
      <c r="D1405" s="90"/>
      <c r="E1405" s="98"/>
      <c r="F1405" s="98"/>
      <c r="G1405" s="99"/>
      <c r="H1405" s="98"/>
      <c r="I1405" s="99"/>
      <c r="J1405" s="98"/>
      <c r="K1405" s="99"/>
    </row>
    <row r="1406" spans="2:11" ht="12.95" customHeight="1" x14ac:dyDescent="0.3">
      <c r="B1406" s="82" t="s">
        <v>33</v>
      </c>
      <c r="C1406" s="79"/>
      <c r="D1406" s="90"/>
      <c r="E1406" s="152"/>
      <c r="F1406" s="153"/>
      <c r="G1406" s="53">
        <f>SUM(G1396+G1401+G1404)</f>
        <v>2530655</v>
      </c>
      <c r="H1406" s="153"/>
      <c r="I1406" s="53">
        <f>SUM(I1396+I1401+I1404)</f>
        <v>2530655</v>
      </c>
      <c r="J1406" s="153"/>
      <c r="K1406" s="53">
        <f>SUM(K1396+K1401+K1404)</f>
        <v>2530655</v>
      </c>
    </row>
    <row r="1407" spans="2:11" ht="12.95" customHeight="1" x14ac:dyDescent="0.3">
      <c r="B1407" s="84" t="s">
        <v>280</v>
      </c>
      <c r="C1407" s="85"/>
      <c r="D1407" s="86"/>
      <c r="E1407" s="87"/>
      <c r="F1407" s="88"/>
      <c r="G1407" s="7">
        <f>TRUNC(G1406/G1392)</f>
        <v>158165</v>
      </c>
      <c r="H1407" s="88"/>
      <c r="I1407" s="7">
        <f>TRUNC(I1406/I1392)</f>
        <v>168710</v>
      </c>
      <c r="J1407" s="88"/>
      <c r="K1407" s="7">
        <f>TRUNC(K1406/K1392)</f>
        <v>194665</v>
      </c>
    </row>
    <row r="1408" spans="2:11" ht="12.95" customHeight="1" x14ac:dyDescent="0.3">
      <c r="B1408" s="176" t="s">
        <v>21</v>
      </c>
      <c r="C1408" s="170" t="s">
        <v>25</v>
      </c>
      <c r="D1408" s="170" t="s">
        <v>26</v>
      </c>
      <c r="E1408" s="170" t="s">
        <v>22</v>
      </c>
      <c r="F1408" s="180" t="s">
        <v>272</v>
      </c>
      <c r="G1408" s="181"/>
      <c r="H1408" s="181"/>
      <c r="I1408" s="181"/>
    </row>
    <row r="1409" spans="2:9" ht="12.95" customHeight="1" x14ac:dyDescent="0.3">
      <c r="B1409" s="177"/>
      <c r="C1409" s="179"/>
      <c r="D1409" s="179"/>
      <c r="E1409" s="179"/>
      <c r="F1409" s="174" t="s">
        <v>275</v>
      </c>
      <c r="G1409" s="175"/>
      <c r="H1409" s="174" t="s">
        <v>276</v>
      </c>
      <c r="I1409" s="175"/>
    </row>
    <row r="1410" spans="2:9" ht="12.95" customHeight="1" x14ac:dyDescent="0.3">
      <c r="B1410" s="177"/>
      <c r="C1410" s="179"/>
      <c r="D1410" s="179"/>
      <c r="E1410" s="179"/>
      <c r="F1410" s="143" t="s">
        <v>278</v>
      </c>
      <c r="G1410" s="164">
        <v>10</v>
      </c>
      <c r="H1410" s="143" t="s">
        <v>278</v>
      </c>
      <c r="I1410" s="164">
        <v>8</v>
      </c>
    </row>
    <row r="1411" spans="2:9" ht="12.95" customHeight="1" x14ac:dyDescent="0.3">
      <c r="B1411" s="178"/>
      <c r="C1411" s="171"/>
      <c r="D1411" s="171"/>
      <c r="E1411" s="171"/>
      <c r="F1411" s="102" t="s">
        <v>23</v>
      </c>
      <c r="G1411" s="67" t="s">
        <v>24</v>
      </c>
      <c r="H1411" s="102" t="s">
        <v>23</v>
      </c>
      <c r="I1411" s="67" t="s">
        <v>24</v>
      </c>
    </row>
    <row r="1412" spans="2:9" ht="12.95" customHeight="1" x14ac:dyDescent="0.3">
      <c r="B1412" s="89" t="s">
        <v>39</v>
      </c>
      <c r="C1412" s="89" t="s">
        <v>214</v>
      </c>
      <c r="D1412" s="90" t="s">
        <v>34</v>
      </c>
      <c r="E1412" s="31">
        <v>20090</v>
      </c>
      <c r="F1412" s="36">
        <v>8</v>
      </c>
      <c r="G1412" s="3">
        <f t="shared" ref="G1412" si="410">TRUNC($E1412*F1412,1)</f>
        <v>160720</v>
      </c>
      <c r="H1412" s="36">
        <v>8</v>
      </c>
      <c r="I1412" s="3">
        <f t="shared" ref="I1412" si="411">TRUNC($E1412*H1412,1)</f>
        <v>160720</v>
      </c>
    </row>
    <row r="1413" spans="2:9" ht="12.95" customHeight="1" x14ac:dyDescent="0.3">
      <c r="B1413" s="89" t="s">
        <v>27</v>
      </c>
      <c r="C1413" s="91" t="s">
        <v>279</v>
      </c>
      <c r="D1413" s="90" t="s">
        <v>35</v>
      </c>
      <c r="E1413" s="92"/>
      <c r="F1413" s="36">
        <v>1</v>
      </c>
      <c r="G1413" s="6">
        <f>TRUNC(SUM(G1416:G1417)*0.15,1)</f>
        <v>175725.9</v>
      </c>
      <c r="H1413" s="36">
        <v>1</v>
      </c>
      <c r="I1413" s="6">
        <f>TRUNC(SUM(I1416:I1417)*0.15,1)</f>
        <v>175725.9</v>
      </c>
    </row>
    <row r="1414" spans="2:9" ht="12.95" customHeight="1" x14ac:dyDescent="0.3">
      <c r="B1414" s="93" t="s">
        <v>29</v>
      </c>
      <c r="C1414" s="96"/>
      <c r="D1414" s="97"/>
      <c r="E1414" s="138"/>
      <c r="F1414" s="37"/>
      <c r="G1414" s="20">
        <f>TRUNC(SUM(G1412:G1413))</f>
        <v>336445</v>
      </c>
      <c r="H1414" s="37"/>
      <c r="I1414" s="20">
        <f>TRUNC(SUM(I1412:I1413))</f>
        <v>336445</v>
      </c>
    </row>
    <row r="1415" spans="2:9" ht="12.95" customHeight="1" x14ac:dyDescent="0.3">
      <c r="B1415" s="79"/>
      <c r="C1415" s="79"/>
      <c r="D1415" s="90"/>
      <c r="E1415" s="98"/>
      <c r="F1415" s="37"/>
      <c r="G1415" s="99"/>
      <c r="H1415" s="37"/>
      <c r="I1415" s="99"/>
    </row>
    <row r="1416" spans="2:9" ht="12.95" customHeight="1" x14ac:dyDescent="0.3">
      <c r="B1416" s="126" t="s">
        <v>4</v>
      </c>
      <c r="C1416" s="126"/>
      <c r="D1416" s="75" t="s">
        <v>28</v>
      </c>
      <c r="E1416" s="139">
        <v>275790</v>
      </c>
      <c r="F1416" s="36">
        <v>3</v>
      </c>
      <c r="G1416" s="3">
        <f t="shared" ref="G1416:G1418" si="412">TRUNC($E1416*F1416,1)</f>
        <v>827370</v>
      </c>
      <c r="H1416" s="36">
        <v>3</v>
      </c>
      <c r="I1416" s="3">
        <f t="shared" ref="I1416:I1418" si="413">TRUNC($E1416*H1416,1)</f>
        <v>827370</v>
      </c>
    </row>
    <row r="1417" spans="2:9" ht="12.95" customHeight="1" x14ac:dyDescent="0.3">
      <c r="B1417" s="73" t="s">
        <v>8</v>
      </c>
      <c r="C1417" s="74"/>
      <c r="D1417" s="75" t="s">
        <v>28</v>
      </c>
      <c r="E1417" s="51">
        <v>172068</v>
      </c>
      <c r="F1417" s="36">
        <v>2</v>
      </c>
      <c r="G1417" s="3">
        <f t="shared" si="412"/>
        <v>344136</v>
      </c>
      <c r="H1417" s="36">
        <v>2</v>
      </c>
      <c r="I1417" s="3">
        <f t="shared" si="413"/>
        <v>344136</v>
      </c>
    </row>
    <row r="1418" spans="2:9" ht="12.95" customHeight="1" x14ac:dyDescent="0.3">
      <c r="B1418" s="89" t="s">
        <v>39</v>
      </c>
      <c r="C1418" s="89" t="s">
        <v>214</v>
      </c>
      <c r="D1418" s="90" t="s">
        <v>34</v>
      </c>
      <c r="E1418" s="31">
        <v>58925</v>
      </c>
      <c r="F1418" s="36">
        <v>8</v>
      </c>
      <c r="G1418" s="3">
        <f t="shared" si="412"/>
        <v>471400</v>
      </c>
      <c r="H1418" s="36">
        <v>8</v>
      </c>
      <c r="I1418" s="3">
        <f t="shared" si="413"/>
        <v>471400</v>
      </c>
    </row>
    <row r="1419" spans="2:9" ht="12.95" customHeight="1" x14ac:dyDescent="0.3">
      <c r="B1419" s="77" t="s">
        <v>30</v>
      </c>
      <c r="C1419" s="96"/>
      <c r="D1419" s="97"/>
      <c r="E1419" s="19"/>
      <c r="F1419" s="37"/>
      <c r="G1419" s="20">
        <f>TRUNC(SUM(G1416:G1418))</f>
        <v>1642906</v>
      </c>
      <c r="H1419" s="37"/>
      <c r="I1419" s="20">
        <f>TRUNC(SUM(I1416:I1418))</f>
        <v>1642906</v>
      </c>
    </row>
    <row r="1420" spans="2:9" ht="12.95" customHeight="1" x14ac:dyDescent="0.3">
      <c r="B1420" s="79"/>
      <c r="C1420" s="79"/>
      <c r="D1420" s="90"/>
      <c r="E1420" s="98"/>
      <c r="F1420" s="37"/>
      <c r="G1420" s="99"/>
      <c r="H1420" s="37"/>
      <c r="I1420" s="99"/>
    </row>
    <row r="1421" spans="2:9" ht="12.95" customHeight="1" x14ac:dyDescent="0.3">
      <c r="B1421" s="89" t="s">
        <v>39</v>
      </c>
      <c r="C1421" s="89" t="s">
        <v>214</v>
      </c>
      <c r="D1421" s="90" t="s">
        <v>34</v>
      </c>
      <c r="E1421" s="31">
        <v>68913</v>
      </c>
      <c r="F1421" s="36">
        <v>8</v>
      </c>
      <c r="G1421" s="3">
        <f t="shared" ref="G1421" si="414">TRUNC($E1421*F1421,1)</f>
        <v>551304</v>
      </c>
      <c r="H1421" s="36">
        <v>8</v>
      </c>
      <c r="I1421" s="3">
        <f t="shared" ref="I1421" si="415">TRUNC($E1421*H1421,1)</f>
        <v>551304</v>
      </c>
    </row>
    <row r="1422" spans="2:9" ht="12.95" customHeight="1" x14ac:dyDescent="0.3">
      <c r="B1422" s="93" t="s">
        <v>31</v>
      </c>
      <c r="C1422" s="96"/>
      <c r="D1422" s="104"/>
      <c r="E1422" s="19"/>
      <c r="F1422" s="138"/>
      <c r="G1422" s="20">
        <f>TRUNC(SUM(G1421:G1421))</f>
        <v>551304</v>
      </c>
      <c r="H1422" s="138"/>
      <c r="I1422" s="20">
        <f>TRUNC(SUM(I1421:I1421))</f>
        <v>551304</v>
      </c>
    </row>
    <row r="1423" spans="2:9" ht="12.95" customHeight="1" x14ac:dyDescent="0.3">
      <c r="B1423" s="79"/>
      <c r="C1423" s="79"/>
      <c r="D1423" s="90"/>
      <c r="E1423" s="98"/>
      <c r="F1423" s="98"/>
      <c r="G1423" s="99"/>
      <c r="H1423" s="98"/>
      <c r="I1423" s="99"/>
    </row>
    <row r="1424" spans="2:9" ht="12.95" customHeight="1" x14ac:dyDescent="0.3">
      <c r="B1424" s="82" t="s">
        <v>33</v>
      </c>
      <c r="C1424" s="79"/>
      <c r="D1424" s="90"/>
      <c r="E1424" s="152"/>
      <c r="F1424" s="153"/>
      <c r="G1424" s="53">
        <f>SUM(G1414+G1419+G1422)</f>
        <v>2530655</v>
      </c>
      <c r="H1424" s="153"/>
      <c r="I1424" s="53">
        <f>SUM(I1414+I1419+I1422)</f>
        <v>2530655</v>
      </c>
    </row>
    <row r="1425" spans="2:11" ht="12.95" customHeight="1" x14ac:dyDescent="0.3">
      <c r="B1425" s="84" t="s">
        <v>280</v>
      </c>
      <c r="C1425" s="85"/>
      <c r="D1425" s="86"/>
      <c r="E1425" s="87"/>
      <c r="F1425" s="88"/>
      <c r="G1425" s="7">
        <f>TRUNC(G1424/G1410)</f>
        <v>253065</v>
      </c>
      <c r="H1425" s="88"/>
      <c r="I1425" s="7">
        <f>TRUNC(I1424/I1410)</f>
        <v>316331</v>
      </c>
    </row>
    <row r="1427" spans="2:11" ht="12.95" customHeight="1" x14ac:dyDescent="0.3">
      <c r="B1427" s="1" t="s">
        <v>346</v>
      </c>
      <c r="K1427" s="137" t="s">
        <v>239</v>
      </c>
    </row>
    <row r="1428" spans="2:11" ht="12.95" customHeight="1" x14ac:dyDescent="0.3">
      <c r="B1428" s="176" t="s">
        <v>21</v>
      </c>
      <c r="C1428" s="170" t="s">
        <v>25</v>
      </c>
      <c r="D1428" s="170" t="s">
        <v>26</v>
      </c>
      <c r="E1428" s="170" t="s">
        <v>22</v>
      </c>
      <c r="F1428" s="180" t="s">
        <v>272</v>
      </c>
      <c r="G1428" s="181"/>
      <c r="H1428" s="181"/>
      <c r="I1428" s="181"/>
      <c r="J1428" s="181"/>
      <c r="K1428" s="181"/>
    </row>
    <row r="1429" spans="2:11" ht="12.95" customHeight="1" x14ac:dyDescent="0.3">
      <c r="B1429" s="177"/>
      <c r="C1429" s="179"/>
      <c r="D1429" s="179"/>
      <c r="E1429" s="179"/>
      <c r="F1429" s="174" t="s">
        <v>345</v>
      </c>
      <c r="G1429" s="175"/>
      <c r="H1429" s="174" t="s">
        <v>273</v>
      </c>
      <c r="I1429" s="175"/>
      <c r="J1429" s="174" t="s">
        <v>274</v>
      </c>
      <c r="K1429" s="175"/>
    </row>
    <row r="1430" spans="2:11" ht="12.95" customHeight="1" x14ac:dyDescent="0.3">
      <c r="B1430" s="177"/>
      <c r="C1430" s="179"/>
      <c r="D1430" s="179"/>
      <c r="E1430" s="179"/>
      <c r="F1430" s="143" t="s">
        <v>278</v>
      </c>
      <c r="G1430" s="164">
        <v>12</v>
      </c>
      <c r="H1430" s="143" t="s">
        <v>278</v>
      </c>
      <c r="I1430" s="164">
        <v>11</v>
      </c>
      <c r="J1430" s="143" t="s">
        <v>278</v>
      </c>
      <c r="K1430" s="164">
        <v>10</v>
      </c>
    </row>
    <row r="1431" spans="2:11" ht="12.95" customHeight="1" x14ac:dyDescent="0.3">
      <c r="B1431" s="178"/>
      <c r="C1431" s="171"/>
      <c r="D1431" s="171"/>
      <c r="E1431" s="171"/>
      <c r="F1431" s="102" t="s">
        <v>23</v>
      </c>
      <c r="G1431" s="102" t="s">
        <v>24</v>
      </c>
      <c r="H1431" s="102" t="s">
        <v>23</v>
      </c>
      <c r="I1431" s="67" t="s">
        <v>24</v>
      </c>
      <c r="J1431" s="102" t="s">
        <v>23</v>
      </c>
      <c r="K1431" s="67" t="s">
        <v>24</v>
      </c>
    </row>
    <row r="1432" spans="2:11" ht="12.95" customHeight="1" x14ac:dyDescent="0.3">
      <c r="B1432" s="89" t="s">
        <v>39</v>
      </c>
      <c r="C1432" s="89" t="s">
        <v>214</v>
      </c>
      <c r="D1432" s="90" t="s">
        <v>34</v>
      </c>
      <c r="E1432" s="31">
        <v>20090</v>
      </c>
      <c r="F1432" s="36">
        <v>8</v>
      </c>
      <c r="G1432" s="3">
        <f t="shared" ref="G1432" si="416">TRUNC($E1432*F1432,1)</f>
        <v>160720</v>
      </c>
      <c r="H1432" s="36">
        <v>8</v>
      </c>
      <c r="I1432" s="3">
        <f t="shared" ref="I1432" si="417">TRUNC($E1432*H1432,1)</f>
        <v>160720</v>
      </c>
      <c r="J1432" s="36">
        <v>8</v>
      </c>
      <c r="K1432" s="3">
        <f t="shared" ref="K1432" si="418">TRUNC($E1432*J1432,1)</f>
        <v>160720</v>
      </c>
    </row>
    <row r="1433" spans="2:11" ht="12.95" customHeight="1" x14ac:dyDescent="0.3">
      <c r="B1433" s="89" t="s">
        <v>27</v>
      </c>
      <c r="C1433" s="91" t="s">
        <v>279</v>
      </c>
      <c r="D1433" s="90" t="s">
        <v>35</v>
      </c>
      <c r="E1433" s="92"/>
      <c r="F1433" s="36">
        <v>1</v>
      </c>
      <c r="G1433" s="6">
        <f>TRUNC(SUM(G1436:G1437)*0.15,1)</f>
        <v>175725.9</v>
      </c>
      <c r="H1433" s="36">
        <v>1</v>
      </c>
      <c r="I1433" s="6">
        <f>TRUNC(SUM(I1436:I1437)*0.15,1)</f>
        <v>175725.9</v>
      </c>
      <c r="J1433" s="36">
        <v>1</v>
      </c>
      <c r="K1433" s="6">
        <f>TRUNC(SUM(K1436:K1437)*0.15,1)</f>
        <v>175725.9</v>
      </c>
    </row>
    <row r="1434" spans="2:11" ht="12.95" customHeight="1" x14ac:dyDescent="0.3">
      <c r="B1434" s="93" t="s">
        <v>29</v>
      </c>
      <c r="C1434" s="96"/>
      <c r="D1434" s="97"/>
      <c r="E1434" s="138"/>
      <c r="F1434" s="37"/>
      <c r="G1434" s="20">
        <f>TRUNC(SUM(G1432:G1433))</f>
        <v>336445</v>
      </c>
      <c r="H1434" s="37"/>
      <c r="I1434" s="20">
        <f>TRUNC(SUM(I1432:I1433))</f>
        <v>336445</v>
      </c>
      <c r="J1434" s="37"/>
      <c r="K1434" s="20">
        <f>TRUNC(SUM(K1432:K1433))</f>
        <v>336445</v>
      </c>
    </row>
    <row r="1435" spans="2:11" ht="12.95" customHeight="1" x14ac:dyDescent="0.3">
      <c r="B1435" s="79"/>
      <c r="C1435" s="79"/>
      <c r="D1435" s="90"/>
      <c r="E1435" s="98"/>
      <c r="F1435" s="37"/>
      <c r="G1435" s="99"/>
      <c r="H1435" s="37"/>
      <c r="I1435" s="99"/>
      <c r="J1435" s="37"/>
      <c r="K1435" s="99"/>
    </row>
    <row r="1436" spans="2:11" ht="12.95" customHeight="1" x14ac:dyDescent="0.3">
      <c r="B1436" s="126" t="s">
        <v>4</v>
      </c>
      <c r="C1436" s="126"/>
      <c r="D1436" s="75" t="s">
        <v>28</v>
      </c>
      <c r="E1436" s="139">
        <v>275790</v>
      </c>
      <c r="F1436" s="36">
        <v>3</v>
      </c>
      <c r="G1436" s="3">
        <f t="shared" ref="G1436:G1438" si="419">TRUNC($E1436*F1436,1)</f>
        <v>827370</v>
      </c>
      <c r="H1436" s="36">
        <v>3</v>
      </c>
      <c r="I1436" s="3">
        <f t="shared" ref="I1436:I1438" si="420">TRUNC($E1436*H1436,1)</f>
        <v>827370</v>
      </c>
      <c r="J1436" s="36">
        <v>3</v>
      </c>
      <c r="K1436" s="3">
        <f t="shared" ref="K1436:K1438" si="421">TRUNC($E1436*J1436,1)</f>
        <v>827370</v>
      </c>
    </row>
    <row r="1437" spans="2:11" ht="12.95" customHeight="1" x14ac:dyDescent="0.3">
      <c r="B1437" s="73" t="s">
        <v>8</v>
      </c>
      <c r="C1437" s="74"/>
      <c r="D1437" s="75" t="s">
        <v>28</v>
      </c>
      <c r="E1437" s="51">
        <v>172068</v>
      </c>
      <c r="F1437" s="36">
        <v>2</v>
      </c>
      <c r="G1437" s="3">
        <f t="shared" si="419"/>
        <v>344136</v>
      </c>
      <c r="H1437" s="36">
        <v>2</v>
      </c>
      <c r="I1437" s="3">
        <f t="shared" si="420"/>
        <v>344136</v>
      </c>
      <c r="J1437" s="36">
        <v>2</v>
      </c>
      <c r="K1437" s="3">
        <f t="shared" si="421"/>
        <v>344136</v>
      </c>
    </row>
    <row r="1438" spans="2:11" ht="12.95" customHeight="1" x14ac:dyDescent="0.3">
      <c r="B1438" s="89" t="s">
        <v>39</v>
      </c>
      <c r="C1438" s="89" t="s">
        <v>214</v>
      </c>
      <c r="D1438" s="90" t="s">
        <v>34</v>
      </c>
      <c r="E1438" s="31">
        <v>58925</v>
      </c>
      <c r="F1438" s="36">
        <v>8</v>
      </c>
      <c r="G1438" s="3">
        <f t="shared" si="419"/>
        <v>471400</v>
      </c>
      <c r="H1438" s="36">
        <v>8</v>
      </c>
      <c r="I1438" s="3">
        <f t="shared" si="420"/>
        <v>471400</v>
      </c>
      <c r="J1438" s="36">
        <v>8</v>
      </c>
      <c r="K1438" s="3">
        <f t="shared" si="421"/>
        <v>471400</v>
      </c>
    </row>
    <row r="1439" spans="2:11" ht="12.95" customHeight="1" x14ac:dyDescent="0.3">
      <c r="B1439" s="77" t="s">
        <v>30</v>
      </c>
      <c r="C1439" s="96"/>
      <c r="D1439" s="97"/>
      <c r="E1439" s="19"/>
      <c r="F1439" s="37"/>
      <c r="G1439" s="20">
        <f>TRUNC(SUM(G1436:G1438))</f>
        <v>1642906</v>
      </c>
      <c r="H1439" s="37"/>
      <c r="I1439" s="20">
        <f>TRUNC(SUM(I1436:I1438))</f>
        <v>1642906</v>
      </c>
      <c r="J1439" s="37"/>
      <c r="K1439" s="20">
        <f>TRUNC(SUM(K1436:K1438))</f>
        <v>1642906</v>
      </c>
    </row>
    <row r="1440" spans="2:11" ht="12.95" customHeight="1" x14ac:dyDescent="0.3">
      <c r="B1440" s="79"/>
      <c r="C1440" s="79"/>
      <c r="D1440" s="90"/>
      <c r="E1440" s="98"/>
      <c r="F1440" s="37"/>
      <c r="G1440" s="99"/>
      <c r="H1440" s="37"/>
      <c r="I1440" s="99"/>
      <c r="J1440" s="37"/>
      <c r="K1440" s="99"/>
    </row>
    <row r="1441" spans="2:11" ht="12.95" customHeight="1" x14ac:dyDescent="0.3">
      <c r="B1441" s="89" t="s">
        <v>39</v>
      </c>
      <c r="C1441" s="89" t="s">
        <v>214</v>
      </c>
      <c r="D1441" s="90" t="s">
        <v>34</v>
      </c>
      <c r="E1441" s="31">
        <v>68913</v>
      </c>
      <c r="F1441" s="36">
        <v>8</v>
      </c>
      <c r="G1441" s="3">
        <f t="shared" ref="G1441" si="422">TRUNC($E1441*F1441,1)</f>
        <v>551304</v>
      </c>
      <c r="H1441" s="36">
        <v>8</v>
      </c>
      <c r="I1441" s="3">
        <f t="shared" ref="I1441" si="423">TRUNC($E1441*H1441,1)</f>
        <v>551304</v>
      </c>
      <c r="J1441" s="36">
        <v>8</v>
      </c>
      <c r="K1441" s="3">
        <f t="shared" ref="K1441" si="424">TRUNC($E1441*J1441,1)</f>
        <v>551304</v>
      </c>
    </row>
    <row r="1442" spans="2:11" ht="12.95" customHeight="1" x14ac:dyDescent="0.3">
      <c r="B1442" s="93" t="s">
        <v>31</v>
      </c>
      <c r="C1442" s="96"/>
      <c r="D1442" s="104"/>
      <c r="E1442" s="19"/>
      <c r="F1442" s="138"/>
      <c r="G1442" s="20">
        <f>TRUNC(SUM(G1441:G1441))</f>
        <v>551304</v>
      </c>
      <c r="H1442" s="138"/>
      <c r="I1442" s="20">
        <f>TRUNC(SUM(I1441:I1441))</f>
        <v>551304</v>
      </c>
      <c r="J1442" s="138"/>
      <c r="K1442" s="20">
        <f>TRUNC(SUM(K1441:K1441))</f>
        <v>551304</v>
      </c>
    </row>
    <row r="1443" spans="2:11" ht="12.95" customHeight="1" x14ac:dyDescent="0.3">
      <c r="B1443" s="79"/>
      <c r="C1443" s="79"/>
      <c r="D1443" s="90"/>
      <c r="E1443" s="98"/>
      <c r="F1443" s="98"/>
      <c r="G1443" s="99"/>
      <c r="H1443" s="98"/>
      <c r="I1443" s="99"/>
      <c r="J1443" s="98"/>
      <c r="K1443" s="99"/>
    </row>
    <row r="1444" spans="2:11" ht="12.95" customHeight="1" x14ac:dyDescent="0.3">
      <c r="B1444" s="82" t="s">
        <v>33</v>
      </c>
      <c r="C1444" s="79"/>
      <c r="D1444" s="90"/>
      <c r="E1444" s="152"/>
      <c r="F1444" s="153"/>
      <c r="G1444" s="53">
        <f>SUM(G1434+G1439+G1442)</f>
        <v>2530655</v>
      </c>
      <c r="H1444" s="153"/>
      <c r="I1444" s="53">
        <f>SUM(I1434+I1439+I1442)</f>
        <v>2530655</v>
      </c>
      <c r="J1444" s="153"/>
      <c r="K1444" s="53">
        <f>SUM(K1434+K1439+K1442)</f>
        <v>2530655</v>
      </c>
    </row>
    <row r="1445" spans="2:11" ht="12.95" customHeight="1" x14ac:dyDescent="0.3">
      <c r="B1445" s="84" t="s">
        <v>280</v>
      </c>
      <c r="C1445" s="85"/>
      <c r="D1445" s="86"/>
      <c r="E1445" s="87"/>
      <c r="F1445" s="88"/>
      <c r="G1445" s="7">
        <f>TRUNC(G1444/G1430)</f>
        <v>210887</v>
      </c>
      <c r="H1445" s="88"/>
      <c r="I1445" s="7">
        <f>TRUNC(I1444/I1430)</f>
        <v>230059</v>
      </c>
      <c r="J1445" s="88"/>
      <c r="K1445" s="7">
        <f>TRUNC(K1444/K1430)</f>
        <v>253065</v>
      </c>
    </row>
    <row r="1446" spans="2:11" ht="12.95" customHeight="1" x14ac:dyDescent="0.3">
      <c r="B1446" s="176" t="s">
        <v>21</v>
      </c>
      <c r="C1446" s="170" t="s">
        <v>25</v>
      </c>
      <c r="D1446" s="170" t="s">
        <v>26</v>
      </c>
      <c r="E1446" s="170" t="s">
        <v>22</v>
      </c>
      <c r="F1446" s="180" t="s">
        <v>272</v>
      </c>
      <c r="G1446" s="181"/>
      <c r="H1446" s="181"/>
      <c r="I1446" s="181"/>
    </row>
    <row r="1447" spans="2:11" ht="12.95" customHeight="1" x14ac:dyDescent="0.3">
      <c r="B1447" s="177"/>
      <c r="C1447" s="179"/>
      <c r="D1447" s="179"/>
      <c r="E1447" s="179"/>
      <c r="F1447" s="174" t="s">
        <v>275</v>
      </c>
      <c r="G1447" s="175"/>
      <c r="H1447" s="174" t="s">
        <v>276</v>
      </c>
      <c r="I1447" s="175"/>
    </row>
    <row r="1448" spans="2:11" ht="12.95" customHeight="1" x14ac:dyDescent="0.3">
      <c r="B1448" s="177"/>
      <c r="C1448" s="179"/>
      <c r="D1448" s="179"/>
      <c r="E1448" s="179"/>
      <c r="F1448" s="143" t="s">
        <v>278</v>
      </c>
      <c r="G1448" s="164">
        <v>8</v>
      </c>
      <c r="H1448" s="143" t="s">
        <v>278</v>
      </c>
      <c r="I1448" s="164">
        <v>6</v>
      </c>
    </row>
    <row r="1449" spans="2:11" ht="12.95" customHeight="1" x14ac:dyDescent="0.3">
      <c r="B1449" s="178"/>
      <c r="C1449" s="171"/>
      <c r="D1449" s="171"/>
      <c r="E1449" s="171"/>
      <c r="F1449" s="102" t="s">
        <v>23</v>
      </c>
      <c r="G1449" s="67" t="s">
        <v>24</v>
      </c>
      <c r="H1449" s="102" t="s">
        <v>23</v>
      </c>
      <c r="I1449" s="67" t="s">
        <v>24</v>
      </c>
    </row>
    <row r="1450" spans="2:11" ht="12.95" customHeight="1" x14ac:dyDescent="0.3">
      <c r="B1450" s="89" t="s">
        <v>39</v>
      </c>
      <c r="C1450" s="89" t="s">
        <v>214</v>
      </c>
      <c r="D1450" s="90" t="s">
        <v>34</v>
      </c>
      <c r="E1450" s="31">
        <v>20090</v>
      </c>
      <c r="F1450" s="36">
        <v>8</v>
      </c>
      <c r="G1450" s="3">
        <f t="shared" ref="G1450" si="425">TRUNC($E1450*F1450,1)</f>
        <v>160720</v>
      </c>
      <c r="H1450" s="36">
        <v>8</v>
      </c>
      <c r="I1450" s="3">
        <f t="shared" ref="I1450" si="426">TRUNC($E1450*H1450,1)</f>
        <v>160720</v>
      </c>
    </row>
    <row r="1451" spans="2:11" ht="12.95" customHeight="1" x14ac:dyDescent="0.3">
      <c r="B1451" s="89" t="s">
        <v>27</v>
      </c>
      <c r="C1451" s="91" t="s">
        <v>279</v>
      </c>
      <c r="D1451" s="90" t="s">
        <v>35</v>
      </c>
      <c r="E1451" s="92"/>
      <c r="F1451" s="36">
        <v>1</v>
      </c>
      <c r="G1451" s="6">
        <f>TRUNC(SUM(G1454:G1455)*0.15,1)</f>
        <v>175725.9</v>
      </c>
      <c r="H1451" s="36">
        <v>1</v>
      </c>
      <c r="I1451" s="6">
        <f>TRUNC(SUM(I1454:I1455)*0.15,1)</f>
        <v>175725.9</v>
      </c>
    </row>
    <row r="1452" spans="2:11" ht="12.95" customHeight="1" x14ac:dyDescent="0.3">
      <c r="B1452" s="93" t="s">
        <v>29</v>
      </c>
      <c r="C1452" s="96"/>
      <c r="D1452" s="97"/>
      <c r="E1452" s="138"/>
      <c r="F1452" s="37"/>
      <c r="G1452" s="20">
        <f>TRUNC(SUM(G1450:G1451))</f>
        <v>336445</v>
      </c>
      <c r="H1452" s="37"/>
      <c r="I1452" s="20">
        <f>TRUNC(SUM(I1450:I1451))</f>
        <v>336445</v>
      </c>
    </row>
    <row r="1453" spans="2:11" ht="12.95" customHeight="1" x14ac:dyDescent="0.3">
      <c r="B1453" s="79"/>
      <c r="C1453" s="79"/>
      <c r="D1453" s="90"/>
      <c r="E1453" s="98"/>
      <c r="F1453" s="37"/>
      <c r="G1453" s="99"/>
      <c r="H1453" s="37"/>
      <c r="I1453" s="99"/>
    </row>
    <row r="1454" spans="2:11" ht="12.95" customHeight="1" x14ac:dyDescent="0.3">
      <c r="B1454" s="126" t="s">
        <v>4</v>
      </c>
      <c r="C1454" s="126"/>
      <c r="D1454" s="75" t="s">
        <v>28</v>
      </c>
      <c r="E1454" s="139">
        <v>275790</v>
      </c>
      <c r="F1454" s="36">
        <v>3</v>
      </c>
      <c r="G1454" s="3">
        <f t="shared" ref="G1454:G1456" si="427">TRUNC($E1454*F1454,1)</f>
        <v>827370</v>
      </c>
      <c r="H1454" s="36">
        <v>3</v>
      </c>
      <c r="I1454" s="3">
        <f t="shared" ref="I1454:I1456" si="428">TRUNC($E1454*H1454,1)</f>
        <v>827370</v>
      </c>
    </row>
    <row r="1455" spans="2:11" ht="12.95" customHeight="1" x14ac:dyDescent="0.3">
      <c r="B1455" s="73" t="s">
        <v>8</v>
      </c>
      <c r="C1455" s="74"/>
      <c r="D1455" s="75" t="s">
        <v>28</v>
      </c>
      <c r="E1455" s="51">
        <v>172068</v>
      </c>
      <c r="F1455" s="36">
        <v>2</v>
      </c>
      <c r="G1455" s="3">
        <f t="shared" si="427"/>
        <v>344136</v>
      </c>
      <c r="H1455" s="36">
        <v>2</v>
      </c>
      <c r="I1455" s="3">
        <f t="shared" si="428"/>
        <v>344136</v>
      </c>
    </row>
    <row r="1456" spans="2:11" ht="12.95" customHeight="1" x14ac:dyDescent="0.3">
      <c r="B1456" s="89" t="s">
        <v>39</v>
      </c>
      <c r="C1456" s="89" t="s">
        <v>214</v>
      </c>
      <c r="D1456" s="90" t="s">
        <v>34</v>
      </c>
      <c r="E1456" s="31">
        <v>58925</v>
      </c>
      <c r="F1456" s="36">
        <v>8</v>
      </c>
      <c r="G1456" s="3">
        <f t="shared" si="427"/>
        <v>471400</v>
      </c>
      <c r="H1456" s="36">
        <v>8</v>
      </c>
      <c r="I1456" s="3">
        <f t="shared" si="428"/>
        <v>471400</v>
      </c>
    </row>
    <row r="1457" spans="2:11" ht="12.95" customHeight="1" x14ac:dyDescent="0.3">
      <c r="B1457" s="77" t="s">
        <v>30</v>
      </c>
      <c r="C1457" s="96"/>
      <c r="D1457" s="97"/>
      <c r="E1457" s="19"/>
      <c r="F1457" s="37"/>
      <c r="G1457" s="20">
        <f>TRUNC(SUM(G1454:G1456))</f>
        <v>1642906</v>
      </c>
      <c r="H1457" s="37"/>
      <c r="I1457" s="20">
        <f>TRUNC(SUM(I1454:I1456))</f>
        <v>1642906</v>
      </c>
    </row>
    <row r="1458" spans="2:11" ht="12.95" customHeight="1" x14ac:dyDescent="0.3">
      <c r="B1458" s="79"/>
      <c r="C1458" s="79"/>
      <c r="D1458" s="90"/>
      <c r="E1458" s="98"/>
      <c r="F1458" s="37"/>
      <c r="G1458" s="99"/>
      <c r="H1458" s="37"/>
      <c r="I1458" s="99"/>
    </row>
    <row r="1459" spans="2:11" ht="12.95" customHeight="1" x14ac:dyDescent="0.3">
      <c r="B1459" s="89" t="s">
        <v>39</v>
      </c>
      <c r="C1459" s="89" t="s">
        <v>214</v>
      </c>
      <c r="D1459" s="90" t="s">
        <v>34</v>
      </c>
      <c r="E1459" s="31">
        <v>68913</v>
      </c>
      <c r="F1459" s="36">
        <v>8</v>
      </c>
      <c r="G1459" s="3">
        <f t="shared" ref="G1459" si="429">TRUNC($E1459*F1459,1)</f>
        <v>551304</v>
      </c>
      <c r="H1459" s="36">
        <v>8</v>
      </c>
      <c r="I1459" s="3">
        <f t="shared" ref="I1459" si="430">TRUNC($E1459*H1459,1)</f>
        <v>551304</v>
      </c>
    </row>
    <row r="1460" spans="2:11" ht="12.95" customHeight="1" x14ac:dyDescent="0.3">
      <c r="B1460" s="93" t="s">
        <v>31</v>
      </c>
      <c r="C1460" s="96"/>
      <c r="D1460" s="104"/>
      <c r="E1460" s="19"/>
      <c r="F1460" s="138"/>
      <c r="G1460" s="20">
        <f>TRUNC(SUM(G1459:G1459))</f>
        <v>551304</v>
      </c>
      <c r="H1460" s="138"/>
      <c r="I1460" s="20">
        <f>TRUNC(SUM(I1459:I1459))</f>
        <v>551304</v>
      </c>
    </row>
    <row r="1461" spans="2:11" ht="12.95" customHeight="1" x14ac:dyDescent="0.3">
      <c r="B1461" s="79"/>
      <c r="C1461" s="79"/>
      <c r="D1461" s="90"/>
      <c r="E1461" s="98"/>
      <c r="F1461" s="98"/>
      <c r="G1461" s="99"/>
      <c r="H1461" s="98"/>
      <c r="I1461" s="99"/>
    </row>
    <row r="1462" spans="2:11" ht="12.95" customHeight="1" x14ac:dyDescent="0.3">
      <c r="B1462" s="82" t="s">
        <v>33</v>
      </c>
      <c r="C1462" s="79"/>
      <c r="D1462" s="90"/>
      <c r="E1462" s="152"/>
      <c r="F1462" s="153"/>
      <c r="G1462" s="53">
        <f>SUM(G1452+G1457+G1460)</f>
        <v>2530655</v>
      </c>
      <c r="H1462" s="153"/>
      <c r="I1462" s="53">
        <f>SUM(I1452+I1457+I1460)</f>
        <v>2530655</v>
      </c>
    </row>
    <row r="1463" spans="2:11" ht="12.95" customHeight="1" x14ac:dyDescent="0.3">
      <c r="B1463" s="84" t="s">
        <v>280</v>
      </c>
      <c r="C1463" s="85"/>
      <c r="D1463" s="86"/>
      <c r="E1463" s="87"/>
      <c r="F1463" s="88"/>
      <c r="G1463" s="7">
        <f>TRUNC(G1462/G1448)</f>
        <v>316331</v>
      </c>
      <c r="H1463" s="88"/>
      <c r="I1463" s="7">
        <f>TRUNC(I1462/I1448)</f>
        <v>421775</v>
      </c>
    </row>
    <row r="1465" spans="2:11" ht="12.95" customHeight="1" x14ac:dyDescent="0.3">
      <c r="B1465" s="1" t="s">
        <v>347</v>
      </c>
      <c r="K1465" s="137" t="s">
        <v>239</v>
      </c>
    </row>
    <row r="1466" spans="2:11" ht="12.95" customHeight="1" x14ac:dyDescent="0.3">
      <c r="B1466" s="176" t="s">
        <v>21</v>
      </c>
      <c r="C1466" s="170" t="s">
        <v>25</v>
      </c>
      <c r="D1466" s="170" t="s">
        <v>26</v>
      </c>
      <c r="E1466" s="170" t="s">
        <v>22</v>
      </c>
      <c r="F1466" s="180" t="s">
        <v>272</v>
      </c>
      <c r="G1466" s="181"/>
      <c r="H1466" s="181"/>
      <c r="I1466" s="181"/>
      <c r="J1466" s="181"/>
      <c r="K1466" s="181"/>
    </row>
    <row r="1467" spans="2:11" ht="12.95" customHeight="1" x14ac:dyDescent="0.3">
      <c r="B1467" s="177"/>
      <c r="C1467" s="179"/>
      <c r="D1467" s="179"/>
      <c r="E1467" s="179"/>
      <c r="F1467" s="174" t="s">
        <v>345</v>
      </c>
      <c r="G1467" s="175"/>
      <c r="H1467" s="174" t="s">
        <v>273</v>
      </c>
      <c r="I1467" s="175"/>
      <c r="J1467" s="174" t="s">
        <v>274</v>
      </c>
      <c r="K1467" s="175"/>
    </row>
    <row r="1468" spans="2:11" ht="12.95" customHeight="1" x14ac:dyDescent="0.3">
      <c r="B1468" s="177"/>
      <c r="C1468" s="179"/>
      <c r="D1468" s="179"/>
      <c r="E1468" s="179"/>
      <c r="F1468" s="143" t="s">
        <v>278</v>
      </c>
      <c r="G1468" s="164">
        <v>21</v>
      </c>
      <c r="H1468" s="143" t="s">
        <v>278</v>
      </c>
      <c r="I1468" s="164">
        <v>19</v>
      </c>
      <c r="J1468" s="143" t="s">
        <v>278</v>
      </c>
      <c r="K1468" s="164">
        <v>17</v>
      </c>
    </row>
    <row r="1469" spans="2:11" ht="12.95" customHeight="1" x14ac:dyDescent="0.3">
      <c r="B1469" s="178"/>
      <c r="C1469" s="171"/>
      <c r="D1469" s="171"/>
      <c r="E1469" s="171"/>
      <c r="F1469" s="102" t="s">
        <v>23</v>
      </c>
      <c r="G1469" s="102" t="s">
        <v>24</v>
      </c>
      <c r="H1469" s="102" t="s">
        <v>23</v>
      </c>
      <c r="I1469" s="67" t="s">
        <v>24</v>
      </c>
      <c r="J1469" s="102" t="s">
        <v>23</v>
      </c>
      <c r="K1469" s="67" t="s">
        <v>24</v>
      </c>
    </row>
    <row r="1470" spans="2:11" ht="12.95" customHeight="1" x14ac:dyDescent="0.3">
      <c r="B1470" s="89" t="s">
        <v>39</v>
      </c>
      <c r="C1470" s="89" t="s">
        <v>214</v>
      </c>
      <c r="D1470" s="90" t="s">
        <v>34</v>
      </c>
      <c r="E1470" s="31">
        <v>20090</v>
      </c>
      <c r="F1470" s="36">
        <v>8</v>
      </c>
      <c r="G1470" s="3">
        <f t="shared" ref="G1470" si="431">TRUNC($E1470*F1470,1)</f>
        <v>160720</v>
      </c>
      <c r="H1470" s="36">
        <v>8</v>
      </c>
      <c r="I1470" s="3">
        <f t="shared" ref="I1470" si="432">TRUNC($E1470*H1470,1)</f>
        <v>160720</v>
      </c>
      <c r="J1470" s="36">
        <v>8</v>
      </c>
      <c r="K1470" s="3">
        <f t="shared" ref="K1470" si="433">TRUNC($E1470*J1470,1)</f>
        <v>160720</v>
      </c>
    </row>
    <row r="1471" spans="2:11" ht="12.95" customHeight="1" x14ac:dyDescent="0.3">
      <c r="B1471" s="89" t="s">
        <v>27</v>
      </c>
      <c r="C1471" s="91" t="s">
        <v>279</v>
      </c>
      <c r="D1471" s="90" t="s">
        <v>35</v>
      </c>
      <c r="E1471" s="92"/>
      <c r="F1471" s="36">
        <v>1</v>
      </c>
      <c r="G1471" s="6">
        <f>TRUNC(SUM(G1474:G1476)*0.15,1)</f>
        <v>209644.2</v>
      </c>
      <c r="H1471" s="36">
        <v>1</v>
      </c>
      <c r="I1471" s="6">
        <f>TRUNC(SUM(I1474:I1476)*0.15,1)</f>
        <v>209644.2</v>
      </c>
      <c r="J1471" s="36">
        <v>1</v>
      </c>
      <c r="K1471" s="6">
        <f>TRUNC(SUM(K1474:K1476)*0.15,1)</f>
        <v>209644.2</v>
      </c>
    </row>
    <row r="1472" spans="2:11" ht="12.95" customHeight="1" x14ac:dyDescent="0.3">
      <c r="B1472" s="93" t="s">
        <v>29</v>
      </c>
      <c r="C1472" s="96"/>
      <c r="D1472" s="97"/>
      <c r="E1472" s="138"/>
      <c r="F1472" s="37"/>
      <c r="G1472" s="20">
        <f>TRUNC(SUM(G1470:G1471))</f>
        <v>370364</v>
      </c>
      <c r="H1472" s="37"/>
      <c r="I1472" s="20">
        <f>TRUNC(SUM(I1470:I1471))</f>
        <v>370364</v>
      </c>
      <c r="J1472" s="37"/>
      <c r="K1472" s="20">
        <f>TRUNC(SUM(K1470:K1471))</f>
        <v>370364</v>
      </c>
    </row>
    <row r="1473" spans="2:11" ht="12.95" customHeight="1" x14ac:dyDescent="0.3">
      <c r="B1473" s="79"/>
      <c r="C1473" s="79"/>
      <c r="D1473" s="90"/>
      <c r="E1473" s="98"/>
      <c r="F1473" s="37"/>
      <c r="G1473" s="99"/>
      <c r="H1473" s="37"/>
      <c r="I1473" s="99"/>
      <c r="J1473" s="37"/>
      <c r="K1473" s="99"/>
    </row>
    <row r="1474" spans="2:11" ht="12.95" customHeight="1" x14ac:dyDescent="0.3">
      <c r="B1474" s="126" t="s">
        <v>4</v>
      </c>
      <c r="C1474" s="126"/>
      <c r="D1474" s="75" t="s">
        <v>28</v>
      </c>
      <c r="E1474" s="139">
        <v>275790</v>
      </c>
      <c r="F1474" s="36">
        <v>3</v>
      </c>
      <c r="G1474" s="3">
        <f t="shared" ref="G1474:G1477" si="434">TRUNC($E1474*F1474,1)</f>
        <v>827370</v>
      </c>
      <c r="H1474" s="36">
        <v>3</v>
      </c>
      <c r="I1474" s="3">
        <f t="shared" ref="I1474:I1477" si="435">TRUNC($E1474*H1474,1)</f>
        <v>827370</v>
      </c>
      <c r="J1474" s="36">
        <v>3</v>
      </c>
      <c r="K1474" s="3">
        <f t="shared" ref="K1474:K1477" si="436">TRUNC($E1474*J1474,1)</f>
        <v>827370</v>
      </c>
    </row>
    <row r="1475" spans="2:11" ht="12.95" customHeight="1" x14ac:dyDescent="0.3">
      <c r="B1475" s="73" t="s">
        <v>42</v>
      </c>
      <c r="C1475" s="74"/>
      <c r="D1475" s="75" t="s">
        <v>28</v>
      </c>
      <c r="E1475" s="160">
        <v>226122</v>
      </c>
      <c r="F1475" s="36">
        <v>1</v>
      </c>
      <c r="G1475" s="3">
        <f t="shared" si="434"/>
        <v>226122</v>
      </c>
      <c r="H1475" s="36">
        <v>1</v>
      </c>
      <c r="I1475" s="3">
        <f t="shared" si="435"/>
        <v>226122</v>
      </c>
      <c r="J1475" s="36">
        <v>1</v>
      </c>
      <c r="K1475" s="3">
        <f t="shared" si="436"/>
        <v>226122</v>
      </c>
    </row>
    <row r="1476" spans="2:11" ht="12.95" customHeight="1" x14ac:dyDescent="0.3">
      <c r="B1476" s="73" t="s">
        <v>8</v>
      </c>
      <c r="C1476" s="74"/>
      <c r="D1476" s="75" t="s">
        <v>28</v>
      </c>
      <c r="E1476" s="51">
        <v>172068</v>
      </c>
      <c r="F1476" s="36">
        <v>2</v>
      </c>
      <c r="G1476" s="3">
        <f t="shared" si="434"/>
        <v>344136</v>
      </c>
      <c r="H1476" s="36">
        <v>2</v>
      </c>
      <c r="I1476" s="3">
        <f t="shared" si="435"/>
        <v>344136</v>
      </c>
      <c r="J1476" s="36">
        <v>2</v>
      </c>
      <c r="K1476" s="3">
        <f t="shared" si="436"/>
        <v>344136</v>
      </c>
    </row>
    <row r="1477" spans="2:11" ht="12.95" customHeight="1" x14ac:dyDescent="0.3">
      <c r="B1477" s="89" t="s">
        <v>39</v>
      </c>
      <c r="C1477" s="89" t="s">
        <v>214</v>
      </c>
      <c r="D1477" s="90" t="s">
        <v>34</v>
      </c>
      <c r="E1477" s="31">
        <v>58925</v>
      </c>
      <c r="F1477" s="36">
        <v>8</v>
      </c>
      <c r="G1477" s="3">
        <f t="shared" si="434"/>
        <v>471400</v>
      </c>
      <c r="H1477" s="36">
        <v>8</v>
      </c>
      <c r="I1477" s="3">
        <f t="shared" si="435"/>
        <v>471400</v>
      </c>
      <c r="J1477" s="36">
        <v>8</v>
      </c>
      <c r="K1477" s="3">
        <f t="shared" si="436"/>
        <v>471400</v>
      </c>
    </row>
    <row r="1478" spans="2:11" ht="12.95" customHeight="1" x14ac:dyDescent="0.3">
      <c r="B1478" s="77" t="s">
        <v>30</v>
      </c>
      <c r="C1478" s="96"/>
      <c r="D1478" s="97"/>
      <c r="E1478" s="19"/>
      <c r="F1478" s="37"/>
      <c r="G1478" s="20">
        <f>TRUNC(SUM(G1474:G1477))</f>
        <v>1869028</v>
      </c>
      <c r="H1478" s="37"/>
      <c r="I1478" s="20">
        <f>TRUNC(SUM(I1474:I1477))</f>
        <v>1869028</v>
      </c>
      <c r="J1478" s="37"/>
      <c r="K1478" s="20">
        <f>TRUNC(SUM(K1474:K1477))</f>
        <v>1869028</v>
      </c>
    </row>
    <row r="1479" spans="2:11" ht="12.95" customHeight="1" x14ac:dyDescent="0.3">
      <c r="B1479" s="79"/>
      <c r="C1479" s="79"/>
      <c r="D1479" s="90"/>
      <c r="E1479" s="98"/>
      <c r="F1479" s="37"/>
      <c r="G1479" s="99"/>
      <c r="H1479" s="37"/>
      <c r="I1479" s="99"/>
      <c r="J1479" s="37"/>
      <c r="K1479" s="99"/>
    </row>
    <row r="1480" spans="2:11" ht="12.95" customHeight="1" x14ac:dyDescent="0.3">
      <c r="B1480" s="89" t="s">
        <v>39</v>
      </c>
      <c r="C1480" s="89" t="s">
        <v>214</v>
      </c>
      <c r="D1480" s="90" t="s">
        <v>34</v>
      </c>
      <c r="E1480" s="31">
        <v>68913</v>
      </c>
      <c r="F1480" s="36">
        <v>8</v>
      </c>
      <c r="G1480" s="3">
        <f t="shared" ref="G1480" si="437">TRUNC($E1480*F1480,1)</f>
        <v>551304</v>
      </c>
      <c r="H1480" s="36">
        <v>8</v>
      </c>
      <c r="I1480" s="3">
        <f t="shared" ref="I1480" si="438">TRUNC($E1480*H1480,1)</f>
        <v>551304</v>
      </c>
      <c r="J1480" s="36">
        <v>8</v>
      </c>
      <c r="K1480" s="3">
        <f t="shared" ref="K1480" si="439">TRUNC($E1480*J1480,1)</f>
        <v>551304</v>
      </c>
    </row>
    <row r="1481" spans="2:11" ht="12.95" customHeight="1" x14ac:dyDescent="0.3">
      <c r="B1481" s="93" t="s">
        <v>31</v>
      </c>
      <c r="C1481" s="96"/>
      <c r="D1481" s="104"/>
      <c r="E1481" s="19"/>
      <c r="F1481" s="138"/>
      <c r="G1481" s="20">
        <f>TRUNC(SUM(G1480:G1480))</f>
        <v>551304</v>
      </c>
      <c r="H1481" s="138"/>
      <c r="I1481" s="20">
        <f>TRUNC(SUM(I1480:I1480))</f>
        <v>551304</v>
      </c>
      <c r="J1481" s="138"/>
      <c r="K1481" s="20">
        <f>TRUNC(SUM(K1480:K1480))</f>
        <v>551304</v>
      </c>
    </row>
    <row r="1482" spans="2:11" ht="12.95" customHeight="1" x14ac:dyDescent="0.3">
      <c r="B1482" s="79"/>
      <c r="C1482" s="79"/>
      <c r="D1482" s="90"/>
      <c r="E1482" s="98"/>
      <c r="F1482" s="98"/>
      <c r="G1482" s="99"/>
      <c r="H1482" s="98"/>
      <c r="I1482" s="99"/>
      <c r="J1482" s="98"/>
      <c r="K1482" s="99"/>
    </row>
    <row r="1483" spans="2:11" ht="12.95" customHeight="1" x14ac:dyDescent="0.3">
      <c r="B1483" s="82" t="s">
        <v>33</v>
      </c>
      <c r="C1483" s="79"/>
      <c r="D1483" s="90"/>
      <c r="E1483" s="152"/>
      <c r="F1483" s="153"/>
      <c r="G1483" s="53">
        <f>SUM(G1472+G1478+G1481)</f>
        <v>2790696</v>
      </c>
      <c r="H1483" s="153"/>
      <c r="I1483" s="53">
        <f>SUM(I1472+I1478+I1481)</f>
        <v>2790696</v>
      </c>
      <c r="J1483" s="153"/>
      <c r="K1483" s="53">
        <f>SUM(K1472+K1478+K1481)</f>
        <v>2790696</v>
      </c>
    </row>
    <row r="1484" spans="2:11" ht="12.95" customHeight="1" x14ac:dyDescent="0.3">
      <c r="B1484" s="84" t="s">
        <v>280</v>
      </c>
      <c r="C1484" s="85"/>
      <c r="D1484" s="86"/>
      <c r="E1484" s="87"/>
      <c r="F1484" s="88"/>
      <c r="G1484" s="7">
        <f>TRUNC(G1483/G1468)</f>
        <v>132890</v>
      </c>
      <c r="H1484" s="88"/>
      <c r="I1484" s="7">
        <f>TRUNC(I1483/I1468)</f>
        <v>146878</v>
      </c>
      <c r="J1484" s="88"/>
      <c r="K1484" s="7">
        <f>TRUNC(K1483/K1468)</f>
        <v>164158</v>
      </c>
    </row>
    <row r="1485" spans="2:11" ht="12.95" customHeight="1" x14ac:dyDescent="0.3">
      <c r="B1485" s="176" t="s">
        <v>21</v>
      </c>
      <c r="C1485" s="170" t="s">
        <v>25</v>
      </c>
      <c r="D1485" s="170" t="s">
        <v>26</v>
      </c>
      <c r="E1485" s="170" t="s">
        <v>22</v>
      </c>
      <c r="F1485" s="180" t="s">
        <v>272</v>
      </c>
      <c r="G1485" s="181"/>
      <c r="H1485" s="181"/>
      <c r="I1485" s="181"/>
    </row>
    <row r="1486" spans="2:11" ht="12.95" customHeight="1" x14ac:dyDescent="0.3">
      <c r="B1486" s="177"/>
      <c r="C1486" s="179"/>
      <c r="D1486" s="179"/>
      <c r="E1486" s="179"/>
      <c r="F1486" s="174" t="s">
        <v>275</v>
      </c>
      <c r="G1486" s="175"/>
      <c r="H1486" s="174" t="s">
        <v>276</v>
      </c>
      <c r="I1486" s="175"/>
    </row>
    <row r="1487" spans="2:11" ht="12.95" customHeight="1" x14ac:dyDescent="0.3">
      <c r="B1487" s="177"/>
      <c r="C1487" s="179"/>
      <c r="D1487" s="179"/>
      <c r="E1487" s="179"/>
      <c r="F1487" s="143" t="s">
        <v>278</v>
      </c>
      <c r="G1487" s="164">
        <v>15</v>
      </c>
      <c r="H1487" s="143" t="s">
        <v>278</v>
      </c>
      <c r="I1487" s="164">
        <v>12</v>
      </c>
    </row>
    <row r="1488" spans="2:11" ht="12.95" customHeight="1" x14ac:dyDescent="0.3">
      <c r="B1488" s="178"/>
      <c r="C1488" s="171"/>
      <c r="D1488" s="171"/>
      <c r="E1488" s="171"/>
      <c r="F1488" s="102" t="s">
        <v>23</v>
      </c>
      <c r="G1488" s="67" t="s">
        <v>24</v>
      </c>
      <c r="H1488" s="102" t="s">
        <v>23</v>
      </c>
      <c r="I1488" s="67" t="s">
        <v>24</v>
      </c>
    </row>
    <row r="1489" spans="2:9" ht="12.95" customHeight="1" x14ac:dyDescent="0.3">
      <c r="B1489" s="89" t="s">
        <v>39</v>
      </c>
      <c r="C1489" s="89" t="s">
        <v>214</v>
      </c>
      <c r="D1489" s="90" t="s">
        <v>34</v>
      </c>
      <c r="E1489" s="31">
        <v>20090</v>
      </c>
      <c r="F1489" s="36">
        <v>8</v>
      </c>
      <c r="G1489" s="3">
        <f t="shared" ref="G1489" si="440">TRUNC($E1489*F1489,1)</f>
        <v>160720</v>
      </c>
      <c r="H1489" s="36">
        <v>8</v>
      </c>
      <c r="I1489" s="3">
        <f t="shared" ref="I1489" si="441">TRUNC($E1489*H1489,1)</f>
        <v>160720</v>
      </c>
    </row>
    <row r="1490" spans="2:9" ht="12.95" customHeight="1" x14ac:dyDescent="0.3">
      <c r="B1490" s="89" t="s">
        <v>27</v>
      </c>
      <c r="C1490" s="91" t="s">
        <v>279</v>
      </c>
      <c r="D1490" s="90" t="s">
        <v>35</v>
      </c>
      <c r="E1490" s="92"/>
      <c r="F1490" s="36">
        <v>1</v>
      </c>
      <c r="G1490" s="6">
        <f>TRUNC(SUM(G1493:G1495)*0.15,1)</f>
        <v>209644.2</v>
      </c>
      <c r="H1490" s="36">
        <v>1</v>
      </c>
      <c r="I1490" s="6">
        <f>TRUNC(SUM(I1493:I1495)*0.15,1)</f>
        <v>209644.2</v>
      </c>
    </row>
    <row r="1491" spans="2:9" ht="12.95" customHeight="1" x14ac:dyDescent="0.3">
      <c r="B1491" s="93" t="s">
        <v>29</v>
      </c>
      <c r="C1491" s="96"/>
      <c r="D1491" s="97"/>
      <c r="E1491" s="138"/>
      <c r="F1491" s="37"/>
      <c r="G1491" s="20">
        <f>TRUNC(SUM(G1489:G1490))</f>
        <v>370364</v>
      </c>
      <c r="H1491" s="37"/>
      <c r="I1491" s="20">
        <f>TRUNC(SUM(I1489:I1490))</f>
        <v>370364</v>
      </c>
    </row>
    <row r="1492" spans="2:9" ht="12.95" customHeight="1" x14ac:dyDescent="0.3">
      <c r="B1492" s="79"/>
      <c r="C1492" s="79"/>
      <c r="D1492" s="90"/>
      <c r="E1492" s="98"/>
      <c r="F1492" s="37"/>
      <c r="G1492" s="99"/>
      <c r="H1492" s="37"/>
      <c r="I1492" s="99"/>
    </row>
    <row r="1493" spans="2:9" ht="12.95" customHeight="1" x14ac:dyDescent="0.3">
      <c r="B1493" s="126" t="s">
        <v>4</v>
      </c>
      <c r="C1493" s="126"/>
      <c r="D1493" s="75" t="s">
        <v>28</v>
      </c>
      <c r="E1493" s="139">
        <v>275790</v>
      </c>
      <c r="F1493" s="36">
        <v>3</v>
      </c>
      <c r="G1493" s="3">
        <f t="shared" ref="G1493:G1496" si="442">TRUNC($E1493*F1493,1)</f>
        <v>827370</v>
      </c>
      <c r="H1493" s="36">
        <v>3</v>
      </c>
      <c r="I1493" s="3">
        <f t="shared" ref="I1493:I1496" si="443">TRUNC($E1493*H1493,1)</f>
        <v>827370</v>
      </c>
    </row>
    <row r="1494" spans="2:9" ht="12.95" customHeight="1" x14ac:dyDescent="0.3">
      <c r="B1494" s="73" t="s">
        <v>42</v>
      </c>
      <c r="C1494" s="74"/>
      <c r="D1494" s="75" t="s">
        <v>28</v>
      </c>
      <c r="E1494" s="160">
        <v>226122</v>
      </c>
      <c r="F1494" s="36">
        <v>1</v>
      </c>
      <c r="G1494" s="3">
        <f t="shared" si="442"/>
        <v>226122</v>
      </c>
      <c r="H1494" s="36">
        <v>1</v>
      </c>
      <c r="I1494" s="3">
        <f t="shared" si="443"/>
        <v>226122</v>
      </c>
    </row>
    <row r="1495" spans="2:9" ht="12.95" customHeight="1" x14ac:dyDescent="0.3">
      <c r="B1495" s="73" t="s">
        <v>8</v>
      </c>
      <c r="C1495" s="74"/>
      <c r="D1495" s="75" t="s">
        <v>28</v>
      </c>
      <c r="E1495" s="51">
        <v>172068</v>
      </c>
      <c r="F1495" s="36">
        <v>2</v>
      </c>
      <c r="G1495" s="3">
        <f t="shared" si="442"/>
        <v>344136</v>
      </c>
      <c r="H1495" s="36">
        <v>2</v>
      </c>
      <c r="I1495" s="3">
        <f t="shared" si="443"/>
        <v>344136</v>
      </c>
    </row>
    <row r="1496" spans="2:9" ht="12.95" customHeight="1" x14ac:dyDescent="0.3">
      <c r="B1496" s="89" t="s">
        <v>39</v>
      </c>
      <c r="C1496" s="89" t="s">
        <v>214</v>
      </c>
      <c r="D1496" s="90" t="s">
        <v>34</v>
      </c>
      <c r="E1496" s="31">
        <v>58925</v>
      </c>
      <c r="F1496" s="36">
        <v>8</v>
      </c>
      <c r="G1496" s="3">
        <f t="shared" si="442"/>
        <v>471400</v>
      </c>
      <c r="H1496" s="36">
        <v>8</v>
      </c>
      <c r="I1496" s="3">
        <f t="shared" si="443"/>
        <v>471400</v>
      </c>
    </row>
    <row r="1497" spans="2:9" ht="12.95" customHeight="1" x14ac:dyDescent="0.3">
      <c r="B1497" s="77" t="s">
        <v>30</v>
      </c>
      <c r="C1497" s="96"/>
      <c r="D1497" s="97"/>
      <c r="E1497" s="19"/>
      <c r="F1497" s="37"/>
      <c r="G1497" s="20">
        <f>TRUNC(SUM(G1493:G1496))</f>
        <v>1869028</v>
      </c>
      <c r="H1497" s="37"/>
      <c r="I1497" s="20">
        <f>TRUNC(SUM(I1493:I1496))</f>
        <v>1869028</v>
      </c>
    </row>
    <row r="1498" spans="2:9" ht="12.95" customHeight="1" x14ac:dyDescent="0.3">
      <c r="B1498" s="79"/>
      <c r="C1498" s="79"/>
      <c r="D1498" s="90"/>
      <c r="E1498" s="98"/>
      <c r="F1498" s="37"/>
      <c r="G1498" s="99"/>
      <c r="H1498" s="37"/>
      <c r="I1498" s="99"/>
    </row>
    <row r="1499" spans="2:9" ht="12.95" customHeight="1" x14ac:dyDescent="0.3">
      <c r="B1499" s="89" t="s">
        <v>39</v>
      </c>
      <c r="C1499" s="89" t="s">
        <v>214</v>
      </c>
      <c r="D1499" s="90" t="s">
        <v>34</v>
      </c>
      <c r="E1499" s="31">
        <v>68913</v>
      </c>
      <c r="F1499" s="36">
        <v>8</v>
      </c>
      <c r="G1499" s="3">
        <f t="shared" ref="G1499" si="444">TRUNC($E1499*F1499,1)</f>
        <v>551304</v>
      </c>
      <c r="H1499" s="36">
        <v>8</v>
      </c>
      <c r="I1499" s="3">
        <f t="shared" ref="I1499" si="445">TRUNC($E1499*H1499,1)</f>
        <v>551304</v>
      </c>
    </row>
    <row r="1500" spans="2:9" ht="12.95" customHeight="1" x14ac:dyDescent="0.3">
      <c r="B1500" s="93" t="s">
        <v>31</v>
      </c>
      <c r="C1500" s="96"/>
      <c r="D1500" s="104"/>
      <c r="E1500" s="19"/>
      <c r="F1500" s="138"/>
      <c r="G1500" s="20">
        <f>TRUNC(SUM(G1499:G1499))</f>
        <v>551304</v>
      </c>
      <c r="H1500" s="138"/>
      <c r="I1500" s="20">
        <f>TRUNC(SUM(I1499:I1499))</f>
        <v>551304</v>
      </c>
    </row>
    <row r="1501" spans="2:9" ht="12.95" customHeight="1" x14ac:dyDescent="0.3">
      <c r="B1501" s="79"/>
      <c r="C1501" s="79"/>
      <c r="D1501" s="90"/>
      <c r="E1501" s="98"/>
      <c r="F1501" s="98"/>
      <c r="G1501" s="99"/>
      <c r="H1501" s="98"/>
      <c r="I1501" s="99"/>
    </row>
    <row r="1502" spans="2:9" ht="12.95" customHeight="1" x14ac:dyDescent="0.3">
      <c r="B1502" s="82" t="s">
        <v>33</v>
      </c>
      <c r="C1502" s="79"/>
      <c r="D1502" s="90"/>
      <c r="E1502" s="152"/>
      <c r="F1502" s="153"/>
      <c r="G1502" s="53">
        <f>SUM(G1491+G1497+G1500)</f>
        <v>2790696</v>
      </c>
      <c r="H1502" s="153"/>
      <c r="I1502" s="53">
        <f>SUM(I1491+I1497+I1500)</f>
        <v>2790696</v>
      </c>
    </row>
    <row r="1503" spans="2:9" ht="12.95" customHeight="1" x14ac:dyDescent="0.3">
      <c r="B1503" s="84" t="s">
        <v>280</v>
      </c>
      <c r="C1503" s="85"/>
      <c r="D1503" s="86"/>
      <c r="E1503" s="87"/>
      <c r="F1503" s="88"/>
      <c r="G1503" s="7">
        <f>TRUNC(G1502/G1487)</f>
        <v>186046</v>
      </c>
      <c r="H1503" s="88"/>
      <c r="I1503" s="7">
        <f>TRUNC(I1502/I1487)</f>
        <v>232558</v>
      </c>
    </row>
    <row r="1505" spans="2:11" ht="12.95" customHeight="1" x14ac:dyDescent="0.3">
      <c r="B1505" s="1" t="s">
        <v>348</v>
      </c>
      <c r="K1505" s="137" t="s">
        <v>239</v>
      </c>
    </row>
    <row r="1506" spans="2:11" ht="12.95" customHeight="1" x14ac:dyDescent="0.3">
      <c r="B1506" s="176" t="s">
        <v>21</v>
      </c>
      <c r="C1506" s="170" t="s">
        <v>25</v>
      </c>
      <c r="D1506" s="170" t="s">
        <v>26</v>
      </c>
      <c r="E1506" s="170" t="s">
        <v>22</v>
      </c>
      <c r="F1506" s="180" t="s">
        <v>272</v>
      </c>
      <c r="G1506" s="181"/>
      <c r="H1506" s="181"/>
      <c r="I1506" s="181"/>
      <c r="J1506" s="181"/>
      <c r="K1506" s="181"/>
    </row>
    <row r="1507" spans="2:11" ht="12.95" customHeight="1" x14ac:dyDescent="0.3">
      <c r="B1507" s="177"/>
      <c r="C1507" s="179"/>
      <c r="D1507" s="179"/>
      <c r="E1507" s="179"/>
      <c r="F1507" s="174" t="s">
        <v>345</v>
      </c>
      <c r="G1507" s="175"/>
      <c r="H1507" s="174" t="s">
        <v>273</v>
      </c>
      <c r="I1507" s="175"/>
      <c r="J1507" s="174" t="s">
        <v>274</v>
      </c>
      <c r="K1507" s="175"/>
    </row>
    <row r="1508" spans="2:11" ht="12.95" customHeight="1" x14ac:dyDescent="0.3">
      <c r="B1508" s="177"/>
      <c r="C1508" s="179"/>
      <c r="D1508" s="179"/>
      <c r="E1508" s="179"/>
      <c r="F1508" s="143" t="s">
        <v>278</v>
      </c>
      <c r="G1508" s="164">
        <v>27</v>
      </c>
      <c r="H1508" s="143" t="s">
        <v>278</v>
      </c>
      <c r="I1508" s="164">
        <v>25</v>
      </c>
      <c r="J1508" s="143" t="s">
        <v>278</v>
      </c>
      <c r="K1508" s="164">
        <v>22</v>
      </c>
    </row>
    <row r="1509" spans="2:11" ht="12.95" customHeight="1" x14ac:dyDescent="0.3">
      <c r="B1509" s="178"/>
      <c r="C1509" s="171"/>
      <c r="D1509" s="171"/>
      <c r="E1509" s="171"/>
      <c r="F1509" s="102" t="s">
        <v>23</v>
      </c>
      <c r="G1509" s="102" t="s">
        <v>24</v>
      </c>
      <c r="H1509" s="102" t="s">
        <v>23</v>
      </c>
      <c r="I1509" s="102" t="s">
        <v>24</v>
      </c>
      <c r="J1509" s="102" t="s">
        <v>23</v>
      </c>
      <c r="K1509" s="67" t="s">
        <v>24</v>
      </c>
    </row>
    <row r="1510" spans="2:11" ht="12.95" customHeight="1" x14ac:dyDescent="0.3">
      <c r="B1510" s="89" t="s">
        <v>39</v>
      </c>
      <c r="C1510" s="89" t="s">
        <v>277</v>
      </c>
      <c r="D1510" s="90" t="s">
        <v>34</v>
      </c>
      <c r="E1510" s="31">
        <v>16112</v>
      </c>
      <c r="F1510" s="36">
        <v>8</v>
      </c>
      <c r="G1510" s="3">
        <f t="shared" ref="G1510" si="446">TRUNC($E1510*F1510,1)</f>
        <v>128896</v>
      </c>
      <c r="H1510" s="36">
        <v>8</v>
      </c>
      <c r="I1510" s="3">
        <f t="shared" ref="I1510" si="447">TRUNC($E1510*H1510,1)</f>
        <v>128896</v>
      </c>
      <c r="J1510" s="36">
        <v>8</v>
      </c>
      <c r="K1510" s="3">
        <f t="shared" ref="K1510" si="448">TRUNC($E1510*J1510,1)</f>
        <v>128896</v>
      </c>
    </row>
    <row r="1511" spans="2:11" ht="12.95" customHeight="1" x14ac:dyDescent="0.3">
      <c r="B1511" s="89" t="s">
        <v>27</v>
      </c>
      <c r="C1511" s="91" t="s">
        <v>279</v>
      </c>
      <c r="D1511" s="90" t="s">
        <v>35</v>
      </c>
      <c r="E1511" s="92"/>
      <c r="F1511" s="36">
        <v>1</v>
      </c>
      <c r="G1511" s="6">
        <f>TRUNC(SUM(G1514:G1516)*0.15,1)</f>
        <v>209644.2</v>
      </c>
      <c r="H1511" s="36">
        <v>1</v>
      </c>
      <c r="I1511" s="6">
        <f>TRUNC(SUM(I1514:I1516)*0.15,1)</f>
        <v>209644.2</v>
      </c>
      <c r="J1511" s="36">
        <v>1</v>
      </c>
      <c r="K1511" s="6">
        <f>TRUNC(SUM(K1514:K1516)*0.15,1)</f>
        <v>209644.2</v>
      </c>
    </row>
    <row r="1512" spans="2:11" ht="12.95" customHeight="1" x14ac:dyDescent="0.3">
      <c r="B1512" s="93" t="s">
        <v>29</v>
      </c>
      <c r="C1512" s="96"/>
      <c r="D1512" s="97"/>
      <c r="E1512" s="138"/>
      <c r="F1512" s="37"/>
      <c r="G1512" s="20">
        <f>TRUNC(SUM(G1510:G1511))</f>
        <v>338540</v>
      </c>
      <c r="H1512" s="37"/>
      <c r="I1512" s="20">
        <f>TRUNC(SUM(I1510:I1511))</f>
        <v>338540</v>
      </c>
      <c r="J1512" s="37"/>
      <c r="K1512" s="20">
        <f>TRUNC(SUM(K1510:K1511))</f>
        <v>338540</v>
      </c>
    </row>
    <row r="1513" spans="2:11" ht="12.95" customHeight="1" x14ac:dyDescent="0.3">
      <c r="B1513" s="79"/>
      <c r="C1513" s="79"/>
      <c r="D1513" s="90"/>
      <c r="E1513" s="98"/>
      <c r="F1513" s="37"/>
      <c r="G1513" s="99"/>
      <c r="H1513" s="37"/>
      <c r="I1513" s="99"/>
      <c r="J1513" s="37"/>
      <c r="K1513" s="99"/>
    </row>
    <row r="1514" spans="2:11" ht="12.95" customHeight="1" x14ac:dyDescent="0.3">
      <c r="B1514" s="126" t="s">
        <v>4</v>
      </c>
      <c r="C1514" s="126"/>
      <c r="D1514" s="75" t="s">
        <v>28</v>
      </c>
      <c r="E1514" s="139">
        <v>275790</v>
      </c>
      <c r="F1514" s="36">
        <v>3</v>
      </c>
      <c r="G1514" s="3">
        <f t="shared" ref="G1514:G1517" si="449">TRUNC($E1514*F1514,1)</f>
        <v>827370</v>
      </c>
      <c r="H1514" s="36">
        <v>3</v>
      </c>
      <c r="I1514" s="3">
        <f t="shared" ref="I1514:I1517" si="450">TRUNC($E1514*H1514,1)</f>
        <v>827370</v>
      </c>
      <c r="J1514" s="36">
        <v>3</v>
      </c>
      <c r="K1514" s="3">
        <f t="shared" ref="K1514:K1517" si="451">TRUNC($E1514*J1514,1)</f>
        <v>827370</v>
      </c>
    </row>
    <row r="1515" spans="2:11" ht="12.95" customHeight="1" x14ac:dyDescent="0.3">
      <c r="B1515" s="73" t="s">
        <v>42</v>
      </c>
      <c r="C1515" s="74"/>
      <c r="D1515" s="75" t="s">
        <v>28</v>
      </c>
      <c r="E1515" s="160">
        <v>226122</v>
      </c>
      <c r="F1515" s="36">
        <v>1</v>
      </c>
      <c r="G1515" s="3">
        <f t="shared" si="449"/>
        <v>226122</v>
      </c>
      <c r="H1515" s="36">
        <v>1</v>
      </c>
      <c r="I1515" s="3">
        <f t="shared" si="450"/>
        <v>226122</v>
      </c>
      <c r="J1515" s="36">
        <v>1</v>
      </c>
      <c r="K1515" s="3">
        <f t="shared" si="451"/>
        <v>226122</v>
      </c>
    </row>
    <row r="1516" spans="2:11" ht="12.95" customHeight="1" x14ac:dyDescent="0.3">
      <c r="B1516" s="73" t="s">
        <v>8</v>
      </c>
      <c r="C1516" s="74"/>
      <c r="D1516" s="75" t="s">
        <v>28</v>
      </c>
      <c r="E1516" s="51">
        <v>172068</v>
      </c>
      <c r="F1516" s="36">
        <v>2</v>
      </c>
      <c r="G1516" s="3">
        <f t="shared" si="449"/>
        <v>344136</v>
      </c>
      <c r="H1516" s="36">
        <v>2</v>
      </c>
      <c r="I1516" s="3">
        <f t="shared" si="450"/>
        <v>344136</v>
      </c>
      <c r="J1516" s="36">
        <v>2</v>
      </c>
      <c r="K1516" s="3">
        <f t="shared" si="451"/>
        <v>344136</v>
      </c>
    </row>
    <row r="1517" spans="2:11" ht="12.95" customHeight="1" x14ac:dyDescent="0.3">
      <c r="B1517" s="89" t="s">
        <v>39</v>
      </c>
      <c r="C1517" s="89" t="s">
        <v>277</v>
      </c>
      <c r="D1517" s="90" t="s">
        <v>34</v>
      </c>
      <c r="E1517" s="31">
        <v>58925</v>
      </c>
      <c r="F1517" s="36">
        <v>8</v>
      </c>
      <c r="G1517" s="3">
        <f t="shared" si="449"/>
        <v>471400</v>
      </c>
      <c r="H1517" s="36">
        <v>8</v>
      </c>
      <c r="I1517" s="3">
        <f t="shared" si="450"/>
        <v>471400</v>
      </c>
      <c r="J1517" s="36">
        <v>8</v>
      </c>
      <c r="K1517" s="3">
        <f t="shared" si="451"/>
        <v>471400</v>
      </c>
    </row>
    <row r="1518" spans="2:11" ht="12.95" customHeight="1" x14ac:dyDescent="0.3">
      <c r="B1518" s="77" t="s">
        <v>30</v>
      </c>
      <c r="C1518" s="96"/>
      <c r="D1518" s="97"/>
      <c r="E1518" s="19"/>
      <c r="F1518" s="37"/>
      <c r="G1518" s="20">
        <f>TRUNC(SUM(G1514:G1517))</f>
        <v>1869028</v>
      </c>
      <c r="H1518" s="37"/>
      <c r="I1518" s="20">
        <f>TRUNC(SUM(I1514:I1517))</f>
        <v>1869028</v>
      </c>
      <c r="J1518" s="37"/>
      <c r="K1518" s="20">
        <f>TRUNC(SUM(K1514:K1517))</f>
        <v>1869028</v>
      </c>
    </row>
    <row r="1519" spans="2:11" ht="12.95" customHeight="1" x14ac:dyDescent="0.3">
      <c r="B1519" s="79"/>
      <c r="C1519" s="79"/>
      <c r="D1519" s="90"/>
      <c r="E1519" s="98"/>
      <c r="F1519" s="37"/>
      <c r="G1519" s="99"/>
      <c r="H1519" s="37"/>
      <c r="I1519" s="99"/>
      <c r="J1519" s="37"/>
      <c r="K1519" s="99"/>
    </row>
    <row r="1520" spans="2:11" ht="12.95" customHeight="1" x14ac:dyDescent="0.3">
      <c r="B1520" s="89" t="s">
        <v>39</v>
      </c>
      <c r="C1520" s="89" t="s">
        <v>277</v>
      </c>
      <c r="D1520" s="90" t="s">
        <v>34</v>
      </c>
      <c r="E1520" s="31">
        <v>57685</v>
      </c>
      <c r="F1520" s="36">
        <v>8</v>
      </c>
      <c r="G1520" s="3">
        <f t="shared" ref="G1520" si="452">TRUNC($E1520*F1520,1)</f>
        <v>461480</v>
      </c>
      <c r="H1520" s="36">
        <v>8</v>
      </c>
      <c r="I1520" s="3">
        <f t="shared" ref="I1520" si="453">TRUNC($E1520*H1520,1)</f>
        <v>461480</v>
      </c>
      <c r="J1520" s="36">
        <v>8</v>
      </c>
      <c r="K1520" s="3">
        <f t="shared" ref="K1520" si="454">TRUNC($E1520*J1520,1)</f>
        <v>461480</v>
      </c>
    </row>
    <row r="1521" spans="2:11" ht="12.95" customHeight="1" x14ac:dyDescent="0.3">
      <c r="B1521" s="93" t="s">
        <v>31</v>
      </c>
      <c r="C1521" s="96"/>
      <c r="D1521" s="104"/>
      <c r="E1521" s="19"/>
      <c r="F1521" s="138"/>
      <c r="G1521" s="20">
        <f>TRUNC(SUM(G1520:G1520))</f>
        <v>461480</v>
      </c>
      <c r="H1521" s="138"/>
      <c r="I1521" s="20">
        <f>TRUNC(SUM(I1520:I1520))</f>
        <v>461480</v>
      </c>
      <c r="J1521" s="138"/>
      <c r="K1521" s="20">
        <f>TRUNC(SUM(K1520:K1520))</f>
        <v>461480</v>
      </c>
    </row>
    <row r="1522" spans="2:11" ht="12.95" customHeight="1" x14ac:dyDescent="0.3">
      <c r="B1522" s="79"/>
      <c r="C1522" s="79"/>
      <c r="D1522" s="90"/>
      <c r="E1522" s="98"/>
      <c r="F1522" s="98"/>
      <c r="G1522" s="99"/>
      <c r="H1522" s="98"/>
      <c r="I1522" s="99"/>
      <c r="J1522" s="98"/>
      <c r="K1522" s="99"/>
    </row>
    <row r="1523" spans="2:11" ht="12.95" customHeight="1" x14ac:dyDescent="0.3">
      <c r="B1523" s="82" t="s">
        <v>33</v>
      </c>
      <c r="C1523" s="79"/>
      <c r="D1523" s="90"/>
      <c r="E1523" s="152"/>
      <c r="F1523" s="153"/>
      <c r="G1523" s="53">
        <f>SUM(G1512+G1518+G1521)</f>
        <v>2669048</v>
      </c>
      <c r="H1523" s="153"/>
      <c r="I1523" s="53">
        <f>SUM(I1512+I1518+I1521)</f>
        <v>2669048</v>
      </c>
      <c r="J1523" s="153"/>
      <c r="K1523" s="53">
        <f>SUM(K1512+K1518+K1521)</f>
        <v>2669048</v>
      </c>
    </row>
    <row r="1524" spans="2:11" ht="12.95" customHeight="1" x14ac:dyDescent="0.3">
      <c r="B1524" s="84" t="s">
        <v>280</v>
      </c>
      <c r="C1524" s="85"/>
      <c r="D1524" s="86"/>
      <c r="E1524" s="87"/>
      <c r="F1524" s="88"/>
      <c r="G1524" s="7">
        <f>TRUNC(G1523/G1508)</f>
        <v>98853</v>
      </c>
      <c r="H1524" s="88"/>
      <c r="I1524" s="7">
        <f>TRUNC(I1523/I1508)</f>
        <v>106761</v>
      </c>
      <c r="J1524" s="88"/>
      <c r="K1524" s="7">
        <f>TRUNC(K1523/K1508)</f>
        <v>121320</v>
      </c>
    </row>
    <row r="1526" spans="2:11" ht="12.95" customHeight="1" x14ac:dyDescent="0.3">
      <c r="B1526" s="1" t="s">
        <v>349</v>
      </c>
      <c r="G1526" s="137" t="s">
        <v>239</v>
      </c>
    </row>
    <row r="1527" spans="2:11" ht="12.95" customHeight="1" x14ac:dyDescent="0.3">
      <c r="B1527" s="165" t="s">
        <v>21</v>
      </c>
      <c r="C1527" s="167" t="s">
        <v>36</v>
      </c>
      <c r="D1527" s="169" t="s">
        <v>26</v>
      </c>
      <c r="E1527" s="170" t="s">
        <v>22</v>
      </c>
      <c r="F1527" s="68" t="s">
        <v>350</v>
      </c>
      <c r="G1527" s="145">
        <v>0.3</v>
      </c>
    </row>
    <row r="1528" spans="2:11" ht="12.95" customHeight="1" x14ac:dyDescent="0.3">
      <c r="B1528" s="166"/>
      <c r="C1528" s="168"/>
      <c r="D1528" s="169"/>
      <c r="E1528" s="171"/>
      <c r="F1528" s="71" t="s">
        <v>287</v>
      </c>
      <c r="G1528" s="72" t="s">
        <v>288</v>
      </c>
      <c r="H1528" s="4"/>
    </row>
    <row r="1529" spans="2:11" ht="12.95" customHeight="1" x14ac:dyDescent="0.3">
      <c r="B1529" s="89" t="s">
        <v>27</v>
      </c>
      <c r="C1529" s="91" t="s">
        <v>126</v>
      </c>
      <c r="D1529" s="90" t="s">
        <v>35</v>
      </c>
      <c r="E1529" s="92"/>
      <c r="F1529" s="36">
        <v>1</v>
      </c>
      <c r="G1529" s="6">
        <f>TRUNC(SUM(G1532:G1533)*0.05,1)</f>
        <v>50194.8</v>
      </c>
    </row>
    <row r="1530" spans="2:11" ht="12.95" customHeight="1" x14ac:dyDescent="0.3">
      <c r="B1530" s="129" t="s">
        <v>29</v>
      </c>
      <c r="C1530" s="130"/>
      <c r="D1530" s="131"/>
      <c r="E1530" s="132"/>
      <c r="F1530" s="44"/>
      <c r="G1530" s="40">
        <f>TRUNC(SUM(G1529:G1529))</f>
        <v>50194</v>
      </c>
    </row>
    <row r="1531" spans="2:11" ht="12.95" customHeight="1" x14ac:dyDescent="0.3">
      <c r="B1531" s="126"/>
      <c r="C1531" s="126"/>
      <c r="D1531" s="127"/>
      <c r="E1531" s="76"/>
      <c r="F1531" s="25"/>
      <c r="G1531" s="29"/>
    </row>
    <row r="1532" spans="2:11" ht="12.95" customHeight="1" x14ac:dyDescent="0.3">
      <c r="B1532" s="73" t="s">
        <v>5</v>
      </c>
      <c r="C1532" s="74"/>
      <c r="D1532" s="75" t="s">
        <v>28</v>
      </c>
      <c r="E1532" s="76">
        <v>277276</v>
      </c>
      <c r="F1532" s="36">
        <v>3</v>
      </c>
      <c r="G1532" s="3">
        <f t="shared" ref="G1532:G1533" si="455">TRUNC($E1532*F1532,1)</f>
        <v>831828</v>
      </c>
      <c r="H1532" s="4"/>
    </row>
    <row r="1533" spans="2:11" ht="12.95" customHeight="1" x14ac:dyDescent="0.3">
      <c r="B1533" s="73" t="s">
        <v>8</v>
      </c>
      <c r="C1533" s="74"/>
      <c r="D1533" s="75" t="s">
        <v>28</v>
      </c>
      <c r="E1533" s="51">
        <v>172068</v>
      </c>
      <c r="F1533" s="36">
        <v>1</v>
      </c>
      <c r="G1533" s="3">
        <f t="shared" si="455"/>
        <v>172068</v>
      </c>
      <c r="H1533" s="4"/>
    </row>
    <row r="1534" spans="2:11" ht="12.95" customHeight="1" x14ac:dyDescent="0.3">
      <c r="B1534" s="77" t="s">
        <v>30</v>
      </c>
      <c r="C1534" s="78"/>
      <c r="D1534" s="78"/>
      <c r="E1534" s="24"/>
      <c r="F1534" s="36"/>
      <c r="G1534" s="55">
        <f>TRUNC(SUM(G1532:G1533))</f>
        <v>1003896</v>
      </c>
      <c r="H1534" s="4"/>
    </row>
    <row r="1535" spans="2:11" ht="12.95" customHeight="1" x14ac:dyDescent="0.3">
      <c r="B1535" s="79"/>
      <c r="C1535" s="80"/>
      <c r="D1535" s="80"/>
      <c r="E1535" s="81"/>
      <c r="F1535" s="37"/>
      <c r="G1535" s="57"/>
      <c r="H1535" s="4"/>
    </row>
    <row r="1536" spans="2:11" ht="12.95" customHeight="1" x14ac:dyDescent="0.3">
      <c r="B1536" s="82" t="s">
        <v>33</v>
      </c>
      <c r="C1536" s="78"/>
      <c r="D1536" s="78"/>
      <c r="E1536" s="83"/>
      <c r="F1536" s="83"/>
      <c r="G1536" s="58">
        <f>SUM(G1530+G1534)</f>
        <v>1054090</v>
      </c>
      <c r="H1536" s="4"/>
    </row>
    <row r="1537" spans="2:11" ht="12.95" customHeight="1" x14ac:dyDescent="0.3">
      <c r="B1537" s="84" t="s">
        <v>290</v>
      </c>
      <c r="C1537" s="85"/>
      <c r="D1537" s="86"/>
      <c r="E1537" s="87"/>
      <c r="F1537" s="88"/>
      <c r="G1537" s="7">
        <f>TRUNC(G1536/G1527)</f>
        <v>3513633</v>
      </c>
      <c r="H1537" s="4"/>
    </row>
    <row r="1539" spans="2:11" ht="12.95" customHeight="1" x14ac:dyDescent="0.3">
      <c r="B1539" s="1" t="s">
        <v>351</v>
      </c>
      <c r="K1539" s="117" t="s">
        <v>315</v>
      </c>
    </row>
    <row r="1540" spans="2:11" ht="12.95" customHeight="1" x14ac:dyDescent="0.3">
      <c r="B1540" s="176" t="s">
        <v>21</v>
      </c>
      <c r="C1540" s="170" t="s">
        <v>25</v>
      </c>
      <c r="D1540" s="170" t="s">
        <v>26</v>
      </c>
      <c r="E1540" s="170" t="s">
        <v>22</v>
      </c>
      <c r="F1540" s="174" t="s">
        <v>379</v>
      </c>
      <c r="G1540" s="175"/>
      <c r="H1540" s="175"/>
      <c r="I1540" s="175"/>
      <c r="J1540" s="175"/>
      <c r="K1540" s="175"/>
    </row>
    <row r="1541" spans="2:11" ht="12.95" customHeight="1" x14ac:dyDescent="0.3">
      <c r="B1541" s="177"/>
      <c r="C1541" s="179"/>
      <c r="D1541" s="179"/>
      <c r="E1541" s="179"/>
      <c r="F1541" s="174" t="s">
        <v>380</v>
      </c>
      <c r="G1541" s="175"/>
      <c r="H1541" s="174" t="s">
        <v>353</v>
      </c>
      <c r="I1541" s="175"/>
      <c r="J1541" s="174" t="s">
        <v>354</v>
      </c>
      <c r="K1541" s="175"/>
    </row>
    <row r="1542" spans="2:11" ht="12.95" customHeight="1" x14ac:dyDescent="0.3">
      <c r="B1542" s="177"/>
      <c r="C1542" s="179"/>
      <c r="D1542" s="179"/>
      <c r="E1542" s="179"/>
      <c r="F1542" s="143" t="s">
        <v>278</v>
      </c>
      <c r="G1542" s="70">
        <v>12</v>
      </c>
      <c r="H1542" s="143" t="s">
        <v>278</v>
      </c>
      <c r="I1542" s="70">
        <v>6</v>
      </c>
      <c r="J1542" s="143" t="s">
        <v>278</v>
      </c>
      <c r="K1542" s="70">
        <v>4</v>
      </c>
    </row>
    <row r="1543" spans="2:11" ht="12.95" customHeight="1" x14ac:dyDescent="0.3">
      <c r="B1543" s="178"/>
      <c r="C1543" s="171"/>
      <c r="D1543" s="171"/>
      <c r="E1543" s="171"/>
      <c r="F1543" s="71" t="s">
        <v>287</v>
      </c>
      <c r="G1543" s="72" t="s">
        <v>288</v>
      </c>
      <c r="H1543" s="71" t="s">
        <v>287</v>
      </c>
      <c r="I1543" s="72" t="s">
        <v>288</v>
      </c>
      <c r="J1543" s="71" t="s">
        <v>287</v>
      </c>
      <c r="K1543" s="72" t="s">
        <v>288</v>
      </c>
    </row>
    <row r="1544" spans="2:11" ht="12.95" customHeight="1" x14ac:dyDescent="0.3">
      <c r="B1544" s="89" t="s">
        <v>39</v>
      </c>
      <c r="C1544" s="89" t="s">
        <v>277</v>
      </c>
      <c r="D1544" s="90" t="s">
        <v>34</v>
      </c>
      <c r="E1544" s="31">
        <v>16112</v>
      </c>
      <c r="F1544" s="36">
        <v>8</v>
      </c>
      <c r="G1544" s="3">
        <f t="shared" ref="G1544" si="456">TRUNC($E1544*F1544,1)</f>
        <v>128896</v>
      </c>
      <c r="H1544" s="36">
        <v>8</v>
      </c>
      <c r="I1544" s="3">
        <f t="shared" ref="I1544" si="457">TRUNC($E1544*H1544,1)</f>
        <v>128896</v>
      </c>
      <c r="J1544" s="36">
        <v>8</v>
      </c>
      <c r="K1544" s="3">
        <f t="shared" ref="K1544" si="458">TRUNC($E1544*J1544,1)</f>
        <v>128896</v>
      </c>
    </row>
    <row r="1545" spans="2:11" ht="12.95" customHeight="1" x14ac:dyDescent="0.3">
      <c r="B1545" s="89" t="s">
        <v>27</v>
      </c>
      <c r="C1545" s="91" t="s">
        <v>126</v>
      </c>
      <c r="D1545" s="90" t="s">
        <v>35</v>
      </c>
      <c r="E1545" s="92"/>
      <c r="F1545" s="36">
        <v>1</v>
      </c>
      <c r="G1545" s="29">
        <f>TRUNC(SUM(G1548:G1550)*0.05,1)</f>
        <v>81743.8</v>
      </c>
      <c r="H1545" s="36">
        <v>1</v>
      </c>
      <c r="I1545" s="29">
        <f>TRUNC(SUM(I1548:I1550)*0.05,1)</f>
        <v>81743.8</v>
      </c>
      <c r="J1545" s="36">
        <v>1</v>
      </c>
      <c r="K1545" s="29">
        <f>TRUNC(SUM(K1548:K1550)*0.05,1)</f>
        <v>81743.8</v>
      </c>
    </row>
    <row r="1546" spans="2:11" ht="12.95" customHeight="1" x14ac:dyDescent="0.3">
      <c r="B1546" s="93" t="s">
        <v>29</v>
      </c>
      <c r="C1546" s="96"/>
      <c r="D1546" s="97"/>
      <c r="E1546" s="138"/>
      <c r="F1546" s="36"/>
      <c r="G1546" s="20">
        <f t="shared" ref="G1546" si="459">TRUNC(SUM(G1544:G1545))</f>
        <v>210639</v>
      </c>
      <c r="H1546" s="36"/>
      <c r="I1546" s="20">
        <f t="shared" ref="I1546" si="460">TRUNC(SUM(I1544:I1545))</f>
        <v>210639</v>
      </c>
      <c r="J1546" s="36"/>
      <c r="K1546" s="20">
        <f t="shared" ref="K1546" si="461">TRUNC(SUM(K1544:K1545))</f>
        <v>210639</v>
      </c>
    </row>
    <row r="1547" spans="2:11" ht="12.95" customHeight="1" x14ac:dyDescent="0.3">
      <c r="B1547" s="79"/>
      <c r="C1547" s="79"/>
      <c r="D1547" s="90"/>
      <c r="E1547" s="98"/>
      <c r="F1547" s="36"/>
      <c r="G1547" s="99"/>
      <c r="H1547" s="36"/>
      <c r="I1547" s="99"/>
      <c r="J1547" s="36"/>
      <c r="K1547" s="99"/>
    </row>
    <row r="1548" spans="2:11" ht="12.95" customHeight="1" x14ac:dyDescent="0.3">
      <c r="B1548" s="73" t="s">
        <v>352</v>
      </c>
      <c r="C1548" s="74"/>
      <c r="D1548" s="75" t="s">
        <v>28</v>
      </c>
      <c r="E1548" s="150">
        <v>252641</v>
      </c>
      <c r="F1548" s="36">
        <v>4</v>
      </c>
      <c r="G1548" s="3">
        <f t="shared" ref="G1548:G1551" si="462">TRUNC($E1548*F1548,1)</f>
        <v>1010564</v>
      </c>
      <c r="H1548" s="36">
        <v>4</v>
      </c>
      <c r="I1548" s="3">
        <f t="shared" ref="I1548:I1551" si="463">TRUNC($E1548*H1548,1)</f>
        <v>1010564</v>
      </c>
      <c r="J1548" s="36">
        <v>4</v>
      </c>
      <c r="K1548" s="3">
        <f t="shared" ref="K1548:K1551" si="464">TRUNC($E1548*J1548,1)</f>
        <v>1010564</v>
      </c>
    </row>
    <row r="1549" spans="2:11" ht="12.95" customHeight="1" x14ac:dyDescent="0.3">
      <c r="B1549" s="73" t="s">
        <v>42</v>
      </c>
      <c r="C1549" s="74"/>
      <c r="D1549" s="75" t="s">
        <v>28</v>
      </c>
      <c r="E1549" s="160">
        <v>226122</v>
      </c>
      <c r="F1549" s="36">
        <v>2</v>
      </c>
      <c r="G1549" s="3">
        <f t="shared" si="462"/>
        <v>452244</v>
      </c>
      <c r="H1549" s="36">
        <v>2</v>
      </c>
      <c r="I1549" s="3">
        <f t="shared" si="463"/>
        <v>452244</v>
      </c>
      <c r="J1549" s="36">
        <v>2</v>
      </c>
      <c r="K1549" s="3">
        <f t="shared" si="464"/>
        <v>452244</v>
      </c>
    </row>
    <row r="1550" spans="2:11" ht="12.95" customHeight="1" x14ac:dyDescent="0.3">
      <c r="B1550" s="73" t="s">
        <v>8</v>
      </c>
      <c r="C1550" s="74"/>
      <c r="D1550" s="75" t="s">
        <v>28</v>
      </c>
      <c r="E1550" s="150">
        <v>172068</v>
      </c>
      <c r="F1550" s="36">
        <v>1</v>
      </c>
      <c r="G1550" s="3">
        <f t="shared" si="462"/>
        <v>172068</v>
      </c>
      <c r="H1550" s="36">
        <v>1</v>
      </c>
      <c r="I1550" s="3">
        <f t="shared" si="463"/>
        <v>172068</v>
      </c>
      <c r="J1550" s="36">
        <v>1</v>
      </c>
      <c r="K1550" s="3">
        <f t="shared" si="464"/>
        <v>172068</v>
      </c>
    </row>
    <row r="1551" spans="2:11" ht="12.95" customHeight="1" x14ac:dyDescent="0.3">
      <c r="B1551" s="89" t="s">
        <v>39</v>
      </c>
      <c r="C1551" s="89" t="s">
        <v>277</v>
      </c>
      <c r="D1551" s="90" t="s">
        <v>34</v>
      </c>
      <c r="E1551" s="31">
        <v>58925</v>
      </c>
      <c r="F1551" s="36">
        <v>8</v>
      </c>
      <c r="G1551" s="3">
        <f t="shared" si="462"/>
        <v>471400</v>
      </c>
      <c r="H1551" s="36">
        <v>8</v>
      </c>
      <c r="I1551" s="3">
        <f t="shared" si="463"/>
        <v>471400</v>
      </c>
      <c r="J1551" s="36">
        <v>8</v>
      </c>
      <c r="K1551" s="3">
        <f t="shared" si="464"/>
        <v>471400</v>
      </c>
    </row>
    <row r="1552" spans="2:11" ht="12.95" customHeight="1" x14ac:dyDescent="0.3">
      <c r="B1552" s="77" t="s">
        <v>30</v>
      </c>
      <c r="C1552" s="96"/>
      <c r="D1552" s="97"/>
      <c r="E1552" s="19"/>
      <c r="F1552" s="36"/>
      <c r="G1552" s="20">
        <f>TRUNC(SUM(G1548:G1551))</f>
        <v>2106276</v>
      </c>
      <c r="H1552" s="36"/>
      <c r="I1552" s="20">
        <f>TRUNC(SUM(I1548:I1551))</f>
        <v>2106276</v>
      </c>
      <c r="J1552" s="36"/>
      <c r="K1552" s="20">
        <f>TRUNC(SUM(K1548:K1551))</f>
        <v>2106276</v>
      </c>
    </row>
    <row r="1553" spans="2:11" ht="12.95" customHeight="1" x14ac:dyDescent="0.3">
      <c r="B1553" s="79"/>
      <c r="C1553" s="79"/>
      <c r="D1553" s="90"/>
      <c r="E1553" s="98"/>
      <c r="F1553" s="36"/>
      <c r="G1553" s="99"/>
      <c r="H1553" s="36"/>
      <c r="I1553" s="99"/>
      <c r="J1553" s="36"/>
      <c r="K1553" s="99"/>
    </row>
    <row r="1554" spans="2:11" ht="12.95" customHeight="1" x14ac:dyDescent="0.3">
      <c r="B1554" s="89" t="s">
        <v>39</v>
      </c>
      <c r="C1554" s="89" t="s">
        <v>277</v>
      </c>
      <c r="D1554" s="90" t="s">
        <v>34</v>
      </c>
      <c r="E1554" s="31">
        <v>57685</v>
      </c>
      <c r="F1554" s="36">
        <v>8</v>
      </c>
      <c r="G1554" s="3">
        <f t="shared" ref="G1554" si="465">TRUNC($E1554*F1554,1)</f>
        <v>461480</v>
      </c>
      <c r="H1554" s="36">
        <v>8</v>
      </c>
      <c r="I1554" s="3">
        <f t="shared" ref="I1554" si="466">TRUNC($E1554*H1554,1)</f>
        <v>461480</v>
      </c>
      <c r="J1554" s="36">
        <v>8</v>
      </c>
      <c r="K1554" s="3">
        <f t="shared" ref="K1554" si="467">TRUNC($E1554*J1554,1)</f>
        <v>461480</v>
      </c>
    </row>
    <row r="1555" spans="2:11" ht="12.95" customHeight="1" x14ac:dyDescent="0.3">
      <c r="B1555" s="93" t="s">
        <v>31</v>
      </c>
      <c r="C1555" s="96"/>
      <c r="D1555" s="104"/>
      <c r="E1555" s="19"/>
      <c r="F1555" s="138"/>
      <c r="G1555" s="20">
        <f t="shared" ref="G1555" si="468">TRUNC(SUM(G1554))</f>
        <v>461480</v>
      </c>
      <c r="H1555" s="138"/>
      <c r="I1555" s="20">
        <f t="shared" ref="I1555" si="469">TRUNC(SUM(I1554))</f>
        <v>461480</v>
      </c>
      <c r="J1555" s="138"/>
      <c r="K1555" s="20">
        <f t="shared" ref="K1555" si="470">TRUNC(SUM(K1554))</f>
        <v>461480</v>
      </c>
    </row>
    <row r="1556" spans="2:11" ht="12.95" customHeight="1" x14ac:dyDescent="0.3">
      <c r="B1556" s="79"/>
      <c r="C1556" s="79"/>
      <c r="D1556" s="90"/>
      <c r="E1556" s="98"/>
      <c r="F1556" s="98"/>
      <c r="G1556" s="99"/>
      <c r="H1556" s="98"/>
      <c r="I1556" s="99"/>
      <c r="J1556" s="98"/>
      <c r="K1556" s="99"/>
    </row>
    <row r="1557" spans="2:11" ht="12.95" customHeight="1" x14ac:dyDescent="0.3">
      <c r="B1557" s="82" t="s">
        <v>33</v>
      </c>
      <c r="C1557" s="79"/>
      <c r="D1557" s="90"/>
      <c r="E1557" s="152"/>
      <c r="F1557" s="153"/>
      <c r="G1557" s="53">
        <f>SUM(G1546+G1552+G1555)</f>
        <v>2778395</v>
      </c>
      <c r="H1557" s="153"/>
      <c r="I1557" s="53">
        <f>SUM(I1546+I1552+I1555)</f>
        <v>2778395</v>
      </c>
      <c r="J1557" s="153"/>
      <c r="K1557" s="53">
        <f>SUM(K1546+K1552+K1555)</f>
        <v>2778395</v>
      </c>
    </row>
    <row r="1558" spans="2:11" ht="12.95" customHeight="1" x14ac:dyDescent="0.3">
      <c r="B1558" s="84" t="s">
        <v>280</v>
      </c>
      <c r="C1558" s="85"/>
      <c r="D1558" s="86"/>
      <c r="E1558" s="87"/>
      <c r="F1558" s="88"/>
      <c r="G1558" s="7">
        <f>TRUNC(G1557/G1542)</f>
        <v>231532</v>
      </c>
      <c r="H1558" s="88"/>
      <c r="I1558" s="7">
        <f>TRUNC(I1557/I1542)</f>
        <v>463065</v>
      </c>
      <c r="J1558" s="88"/>
      <c r="K1558" s="7">
        <f>TRUNC(K1557/K1542)</f>
        <v>694598</v>
      </c>
    </row>
  </sheetData>
  <mergeCells count="681">
    <mergeCell ref="B238:B239"/>
    <mergeCell ref="C238:C239"/>
    <mergeCell ref="D238:D239"/>
    <mergeCell ref="E238:E239"/>
    <mergeCell ref="B4:B7"/>
    <mergeCell ref="C4:C7"/>
    <mergeCell ref="D4:D7"/>
    <mergeCell ref="E4:E7"/>
    <mergeCell ref="F4:I4"/>
    <mergeCell ref="F5:G5"/>
    <mergeCell ref="H5:I5"/>
    <mergeCell ref="B34:B36"/>
    <mergeCell ref="C34:C36"/>
    <mergeCell ref="D34:D36"/>
    <mergeCell ref="E34:E36"/>
    <mergeCell ref="F34:K34"/>
    <mergeCell ref="F35:G35"/>
    <mergeCell ref="H35:I35"/>
    <mergeCell ref="J35:K35"/>
    <mergeCell ref="B14:B17"/>
    <mergeCell ref="C14:C17"/>
    <mergeCell ref="D14:D17"/>
    <mergeCell ref="E14:E17"/>
    <mergeCell ref="F14:I14"/>
    <mergeCell ref="F15:G15"/>
    <mergeCell ref="H15:I15"/>
    <mergeCell ref="F52:F53"/>
    <mergeCell ref="G52:G53"/>
    <mergeCell ref="B42:B44"/>
    <mergeCell ref="C42:C44"/>
    <mergeCell ref="D42:D44"/>
    <mergeCell ref="E42:E44"/>
    <mergeCell ref="F42:K42"/>
    <mergeCell ref="F43:G43"/>
    <mergeCell ref="H43:I43"/>
    <mergeCell ref="J43:K43"/>
    <mergeCell ref="B60:B61"/>
    <mergeCell ref="C60:C61"/>
    <mergeCell ref="D60:D61"/>
    <mergeCell ref="E60:E61"/>
    <mergeCell ref="B75:B77"/>
    <mergeCell ref="C75:C77"/>
    <mergeCell ref="D75:D77"/>
    <mergeCell ref="E75:E77"/>
    <mergeCell ref="B52:B53"/>
    <mergeCell ref="C52:C53"/>
    <mergeCell ref="D52:D53"/>
    <mergeCell ref="E52:E53"/>
    <mergeCell ref="B100:B103"/>
    <mergeCell ref="C100:C103"/>
    <mergeCell ref="D100:D103"/>
    <mergeCell ref="E100:E103"/>
    <mergeCell ref="F100:I100"/>
    <mergeCell ref="F101:G101"/>
    <mergeCell ref="H101:I101"/>
    <mergeCell ref="F75:I75"/>
    <mergeCell ref="F76:G76"/>
    <mergeCell ref="H76:I76"/>
    <mergeCell ref="B95:B98"/>
    <mergeCell ref="C95:C98"/>
    <mergeCell ref="D95:D98"/>
    <mergeCell ref="E95:E98"/>
    <mergeCell ref="F95:I95"/>
    <mergeCell ref="F96:G96"/>
    <mergeCell ref="H96:I96"/>
    <mergeCell ref="H122:I122"/>
    <mergeCell ref="B112:B114"/>
    <mergeCell ref="C112:C114"/>
    <mergeCell ref="D112:D114"/>
    <mergeCell ref="E112:E114"/>
    <mergeCell ref="F112:G112"/>
    <mergeCell ref="H112:I112"/>
    <mergeCell ref="B105:B108"/>
    <mergeCell ref="C105:C108"/>
    <mergeCell ref="D105:D108"/>
    <mergeCell ref="E105:E108"/>
    <mergeCell ref="F105:I105"/>
    <mergeCell ref="F106:G106"/>
    <mergeCell ref="H106:I106"/>
    <mergeCell ref="B136:B137"/>
    <mergeCell ref="C136:C137"/>
    <mergeCell ref="D136:D137"/>
    <mergeCell ref="E136:E137"/>
    <mergeCell ref="F136:F137"/>
    <mergeCell ref="G136:G137"/>
    <mergeCell ref="B122:B123"/>
    <mergeCell ref="C122:C123"/>
    <mergeCell ref="D122:D123"/>
    <mergeCell ref="E122:E123"/>
    <mergeCell ref="F122:G122"/>
    <mergeCell ref="J158:K158"/>
    <mergeCell ref="B172:B174"/>
    <mergeCell ref="C172:C174"/>
    <mergeCell ref="D172:D174"/>
    <mergeCell ref="E172:E174"/>
    <mergeCell ref="F172:G172"/>
    <mergeCell ref="H172:I172"/>
    <mergeCell ref="B158:B160"/>
    <mergeCell ref="C158:C160"/>
    <mergeCell ref="D158:D160"/>
    <mergeCell ref="E158:E160"/>
    <mergeCell ref="F158:G158"/>
    <mergeCell ref="H158:I158"/>
    <mergeCell ref="C210:D210"/>
    <mergeCell ref="E210:F210"/>
    <mergeCell ref="G210:H210"/>
    <mergeCell ref="C211:D211"/>
    <mergeCell ref="E211:F211"/>
    <mergeCell ref="G211:H211"/>
    <mergeCell ref="J184:K184"/>
    <mergeCell ref="B196:B198"/>
    <mergeCell ref="C196:C198"/>
    <mergeCell ref="D196:D198"/>
    <mergeCell ref="E196:E198"/>
    <mergeCell ref="F196:G196"/>
    <mergeCell ref="H196:I196"/>
    <mergeCell ref="B184:B186"/>
    <mergeCell ref="C184:C186"/>
    <mergeCell ref="D184:D186"/>
    <mergeCell ref="E184:E186"/>
    <mergeCell ref="F184:G184"/>
    <mergeCell ref="H184:I184"/>
    <mergeCell ref="J214:K214"/>
    <mergeCell ref="B223:B224"/>
    <mergeCell ref="C223:C224"/>
    <mergeCell ref="D223:D224"/>
    <mergeCell ref="E223:E224"/>
    <mergeCell ref="F223:F224"/>
    <mergeCell ref="G223:G224"/>
    <mergeCell ref="B214:B215"/>
    <mergeCell ref="C214:C215"/>
    <mergeCell ref="D214:D215"/>
    <mergeCell ref="E214:E215"/>
    <mergeCell ref="F214:G214"/>
    <mergeCell ref="H214:I214"/>
    <mergeCell ref="J254:K254"/>
    <mergeCell ref="B262:B263"/>
    <mergeCell ref="C262:C263"/>
    <mergeCell ref="D262:D263"/>
    <mergeCell ref="E262:E263"/>
    <mergeCell ref="F262:G262"/>
    <mergeCell ref="H262:I262"/>
    <mergeCell ref="J262:K262"/>
    <mergeCell ref="B254:B255"/>
    <mergeCell ref="C254:C255"/>
    <mergeCell ref="D254:D255"/>
    <mergeCell ref="E254:E255"/>
    <mergeCell ref="F254:G254"/>
    <mergeCell ref="H254:I254"/>
    <mergeCell ref="J272:K272"/>
    <mergeCell ref="B284:B286"/>
    <mergeCell ref="C284:C286"/>
    <mergeCell ref="D284:D286"/>
    <mergeCell ref="E284:E286"/>
    <mergeCell ref="F284:G284"/>
    <mergeCell ref="H284:I284"/>
    <mergeCell ref="B272:B274"/>
    <mergeCell ref="C272:C274"/>
    <mergeCell ref="D272:D274"/>
    <mergeCell ref="E272:E274"/>
    <mergeCell ref="F272:G272"/>
    <mergeCell ref="H272:I272"/>
    <mergeCell ref="B326:B328"/>
    <mergeCell ref="C326:C328"/>
    <mergeCell ref="D326:D328"/>
    <mergeCell ref="E326:E328"/>
    <mergeCell ref="F326:G326"/>
    <mergeCell ref="H326:I326"/>
    <mergeCell ref="J299:K299"/>
    <mergeCell ref="B309:B311"/>
    <mergeCell ref="C309:C311"/>
    <mergeCell ref="D309:D311"/>
    <mergeCell ref="E309:E311"/>
    <mergeCell ref="F309:G309"/>
    <mergeCell ref="B299:B300"/>
    <mergeCell ref="C299:C300"/>
    <mergeCell ref="D299:D300"/>
    <mergeCell ref="E299:E300"/>
    <mergeCell ref="F299:G299"/>
    <mergeCell ref="H299:I299"/>
    <mergeCell ref="B364:B366"/>
    <mergeCell ref="C364:C366"/>
    <mergeCell ref="D364:D366"/>
    <mergeCell ref="E364:E366"/>
    <mergeCell ref="F364:G364"/>
    <mergeCell ref="H364:I364"/>
    <mergeCell ref="J364:K364"/>
    <mergeCell ref="F347:G347"/>
    <mergeCell ref="H347:I347"/>
    <mergeCell ref="B346:B348"/>
    <mergeCell ref="C346:C348"/>
    <mergeCell ref="D346:D348"/>
    <mergeCell ref="E346:E348"/>
    <mergeCell ref="F346:K346"/>
    <mergeCell ref="B354:B356"/>
    <mergeCell ref="C354:C356"/>
    <mergeCell ref="D354:D356"/>
    <mergeCell ref="E354:E356"/>
    <mergeCell ref="F354:K354"/>
    <mergeCell ref="F355:G355"/>
    <mergeCell ref="H355:I355"/>
    <mergeCell ref="J355:K355"/>
    <mergeCell ref="J347:K347"/>
    <mergeCell ref="B387:B389"/>
    <mergeCell ref="C387:C389"/>
    <mergeCell ref="D387:D389"/>
    <mergeCell ref="E387:E389"/>
    <mergeCell ref="F387:K387"/>
    <mergeCell ref="F388:G388"/>
    <mergeCell ref="H388:I388"/>
    <mergeCell ref="J388:K388"/>
    <mergeCell ref="B378:B379"/>
    <mergeCell ref="C378:C379"/>
    <mergeCell ref="D378:D379"/>
    <mergeCell ref="E378:E379"/>
    <mergeCell ref="F378:F379"/>
    <mergeCell ref="G378:G379"/>
    <mergeCell ref="B403:B405"/>
    <mergeCell ref="C403:C405"/>
    <mergeCell ref="D403:D405"/>
    <mergeCell ref="E403:E405"/>
    <mergeCell ref="F403:K403"/>
    <mergeCell ref="F404:G404"/>
    <mergeCell ref="H404:I404"/>
    <mergeCell ref="J404:K404"/>
    <mergeCell ref="B395:B397"/>
    <mergeCell ref="C395:C397"/>
    <mergeCell ref="D395:D397"/>
    <mergeCell ref="E395:E397"/>
    <mergeCell ref="F395:I395"/>
    <mergeCell ref="F396:G396"/>
    <mergeCell ref="H396:I396"/>
    <mergeCell ref="B422:B423"/>
    <mergeCell ref="C422:C423"/>
    <mergeCell ref="D422:D423"/>
    <mergeCell ref="E422:E423"/>
    <mergeCell ref="F422:G422"/>
    <mergeCell ref="H422:I422"/>
    <mergeCell ref="B411:B413"/>
    <mergeCell ref="C411:C413"/>
    <mergeCell ref="D411:D413"/>
    <mergeCell ref="E411:E413"/>
    <mergeCell ref="F411:I411"/>
    <mergeCell ref="F412:G412"/>
    <mergeCell ref="H412:I412"/>
    <mergeCell ref="B448:B449"/>
    <mergeCell ref="C448:C449"/>
    <mergeCell ref="D448:D449"/>
    <mergeCell ref="E448:E449"/>
    <mergeCell ref="F448:G448"/>
    <mergeCell ref="H448:I448"/>
    <mergeCell ref="B439:B440"/>
    <mergeCell ref="C439:C440"/>
    <mergeCell ref="D439:D440"/>
    <mergeCell ref="E439:E440"/>
    <mergeCell ref="F439:F440"/>
    <mergeCell ref="G439:G440"/>
    <mergeCell ref="B487:B489"/>
    <mergeCell ref="C487:C489"/>
    <mergeCell ref="D487:D489"/>
    <mergeCell ref="E487:E489"/>
    <mergeCell ref="F487:G487"/>
    <mergeCell ref="H487:I487"/>
    <mergeCell ref="J458:K458"/>
    <mergeCell ref="B470:B472"/>
    <mergeCell ref="C470:C472"/>
    <mergeCell ref="D470:D472"/>
    <mergeCell ref="E470:E472"/>
    <mergeCell ref="F470:G470"/>
    <mergeCell ref="B458:B460"/>
    <mergeCell ref="C458:C460"/>
    <mergeCell ref="D458:D460"/>
    <mergeCell ref="E458:E460"/>
    <mergeCell ref="F458:G458"/>
    <mergeCell ref="H458:I458"/>
    <mergeCell ref="B517:B518"/>
    <mergeCell ref="C517:C518"/>
    <mergeCell ref="D517:D518"/>
    <mergeCell ref="E517:E518"/>
    <mergeCell ref="F517:F518"/>
    <mergeCell ref="G517:G518"/>
    <mergeCell ref="B502:B503"/>
    <mergeCell ref="C502:C503"/>
    <mergeCell ref="D502:D503"/>
    <mergeCell ref="E502:E503"/>
    <mergeCell ref="F502:F503"/>
    <mergeCell ref="G502:G503"/>
    <mergeCell ref="F545:F546"/>
    <mergeCell ref="G545:G546"/>
    <mergeCell ref="B536:B537"/>
    <mergeCell ref="C536:C537"/>
    <mergeCell ref="D536:D537"/>
    <mergeCell ref="E536:E537"/>
    <mergeCell ref="F536:F537"/>
    <mergeCell ref="G536:G537"/>
    <mergeCell ref="B527:B528"/>
    <mergeCell ref="C527:C528"/>
    <mergeCell ref="D527:D528"/>
    <mergeCell ref="E527:E528"/>
    <mergeCell ref="F527:F528"/>
    <mergeCell ref="G527:G528"/>
    <mergeCell ref="B559:B560"/>
    <mergeCell ref="C559:C560"/>
    <mergeCell ref="D559:D560"/>
    <mergeCell ref="E559:E560"/>
    <mergeCell ref="B579:B580"/>
    <mergeCell ref="C579:C580"/>
    <mergeCell ref="D579:D580"/>
    <mergeCell ref="E579:E580"/>
    <mergeCell ref="B545:B546"/>
    <mergeCell ref="C545:C546"/>
    <mergeCell ref="D545:D546"/>
    <mergeCell ref="E545:E546"/>
    <mergeCell ref="H605:I605"/>
    <mergeCell ref="B620:B622"/>
    <mergeCell ref="C620:C622"/>
    <mergeCell ref="D620:D622"/>
    <mergeCell ref="E620:E622"/>
    <mergeCell ref="F620:G620"/>
    <mergeCell ref="H620:I620"/>
    <mergeCell ref="B592:B593"/>
    <mergeCell ref="C592:C593"/>
    <mergeCell ref="D592:D593"/>
    <mergeCell ref="E592:E593"/>
    <mergeCell ref="B605:B607"/>
    <mergeCell ref="C605:C607"/>
    <mergeCell ref="D605:D607"/>
    <mergeCell ref="E605:E607"/>
    <mergeCell ref="B641:B642"/>
    <mergeCell ref="C641:C642"/>
    <mergeCell ref="D641:D642"/>
    <mergeCell ref="E641:E642"/>
    <mergeCell ref="B659:B660"/>
    <mergeCell ref="C659:C660"/>
    <mergeCell ref="D659:D660"/>
    <mergeCell ref="E659:E660"/>
    <mergeCell ref="F605:G605"/>
    <mergeCell ref="B704:B705"/>
    <mergeCell ref="C704:C705"/>
    <mergeCell ref="D704:D705"/>
    <mergeCell ref="E704:E705"/>
    <mergeCell ref="F704:G704"/>
    <mergeCell ref="H704:I704"/>
    <mergeCell ref="J680:K680"/>
    <mergeCell ref="B692:B693"/>
    <mergeCell ref="C692:C693"/>
    <mergeCell ref="D692:D693"/>
    <mergeCell ref="E692:E693"/>
    <mergeCell ref="F692:G692"/>
    <mergeCell ref="H692:I692"/>
    <mergeCell ref="J692:K692"/>
    <mergeCell ref="B680:B681"/>
    <mergeCell ref="C680:C681"/>
    <mergeCell ref="D680:D681"/>
    <mergeCell ref="E680:E681"/>
    <mergeCell ref="F680:G680"/>
    <mergeCell ref="H680:I680"/>
    <mergeCell ref="B716:B718"/>
    <mergeCell ref="C716:C718"/>
    <mergeCell ref="D716:D718"/>
    <mergeCell ref="E716:E718"/>
    <mergeCell ref="F716:M716"/>
    <mergeCell ref="F717:G717"/>
    <mergeCell ref="H717:I717"/>
    <mergeCell ref="J717:K717"/>
    <mergeCell ref="L717:M717"/>
    <mergeCell ref="B731:B733"/>
    <mergeCell ref="C731:C733"/>
    <mergeCell ref="D731:D733"/>
    <mergeCell ref="E731:E733"/>
    <mergeCell ref="F731:M731"/>
    <mergeCell ref="F732:G732"/>
    <mergeCell ref="H732:I732"/>
    <mergeCell ref="J732:K732"/>
    <mergeCell ref="L732:M732"/>
    <mergeCell ref="B746:B748"/>
    <mergeCell ref="C746:C748"/>
    <mergeCell ref="D746:D748"/>
    <mergeCell ref="E746:E748"/>
    <mergeCell ref="F746:M746"/>
    <mergeCell ref="F747:G747"/>
    <mergeCell ref="H747:I747"/>
    <mergeCell ref="J747:K747"/>
    <mergeCell ref="L747:M747"/>
    <mergeCell ref="B778:B779"/>
    <mergeCell ref="C778:C779"/>
    <mergeCell ref="D778:D779"/>
    <mergeCell ref="E778:E779"/>
    <mergeCell ref="F778:F779"/>
    <mergeCell ref="G778:G779"/>
    <mergeCell ref="B761:B763"/>
    <mergeCell ref="C761:C763"/>
    <mergeCell ref="D761:D763"/>
    <mergeCell ref="E761:E763"/>
    <mergeCell ref="F761:M761"/>
    <mergeCell ref="F762:G762"/>
    <mergeCell ref="H762:I762"/>
    <mergeCell ref="J762:K762"/>
    <mergeCell ref="L762:M762"/>
    <mergeCell ref="B818:B821"/>
    <mergeCell ref="C818:C821"/>
    <mergeCell ref="D818:D821"/>
    <mergeCell ref="E818:E821"/>
    <mergeCell ref="F818:K818"/>
    <mergeCell ref="F819:G819"/>
    <mergeCell ref="H819:I819"/>
    <mergeCell ref="J819:K819"/>
    <mergeCell ref="B796:B799"/>
    <mergeCell ref="C796:C799"/>
    <mergeCell ref="D796:D799"/>
    <mergeCell ref="E796:E799"/>
    <mergeCell ref="F796:K796"/>
    <mergeCell ref="F797:G797"/>
    <mergeCell ref="H797:I797"/>
    <mergeCell ref="J797:K797"/>
    <mergeCell ref="B879:B882"/>
    <mergeCell ref="C879:C882"/>
    <mergeCell ref="D879:D882"/>
    <mergeCell ref="E879:E882"/>
    <mergeCell ref="F879:K879"/>
    <mergeCell ref="F880:G880"/>
    <mergeCell ref="H880:I880"/>
    <mergeCell ref="J880:K880"/>
    <mergeCell ref="J837:K837"/>
    <mergeCell ref="B857:B860"/>
    <mergeCell ref="C857:C860"/>
    <mergeCell ref="D857:D860"/>
    <mergeCell ref="E857:E860"/>
    <mergeCell ref="F857:K857"/>
    <mergeCell ref="F858:G858"/>
    <mergeCell ref="H858:I858"/>
    <mergeCell ref="J858:K858"/>
    <mergeCell ref="B837:B839"/>
    <mergeCell ref="C837:C839"/>
    <mergeCell ref="D837:D839"/>
    <mergeCell ref="E837:E839"/>
    <mergeCell ref="F837:G837"/>
    <mergeCell ref="H837:I837"/>
    <mergeCell ref="B923:B926"/>
    <mergeCell ref="C923:C926"/>
    <mergeCell ref="D923:D926"/>
    <mergeCell ref="E923:E926"/>
    <mergeCell ref="F923:K923"/>
    <mergeCell ref="F924:G924"/>
    <mergeCell ref="H924:I924"/>
    <mergeCell ref="J924:K924"/>
    <mergeCell ref="B901:B904"/>
    <mergeCell ref="C901:C904"/>
    <mergeCell ref="D901:D904"/>
    <mergeCell ref="E901:E904"/>
    <mergeCell ref="F901:K901"/>
    <mergeCell ref="F902:G902"/>
    <mergeCell ref="H902:I902"/>
    <mergeCell ref="J902:K902"/>
    <mergeCell ref="B967:B970"/>
    <mergeCell ref="C967:C970"/>
    <mergeCell ref="D967:D970"/>
    <mergeCell ref="E967:E970"/>
    <mergeCell ref="F967:K967"/>
    <mergeCell ref="F968:G968"/>
    <mergeCell ref="H968:I968"/>
    <mergeCell ref="J968:K968"/>
    <mergeCell ref="B945:B948"/>
    <mergeCell ref="C945:C948"/>
    <mergeCell ref="D945:D948"/>
    <mergeCell ref="E945:E948"/>
    <mergeCell ref="F945:K945"/>
    <mergeCell ref="F946:G946"/>
    <mergeCell ref="H946:I946"/>
    <mergeCell ref="J946:K946"/>
    <mergeCell ref="B1013:B1016"/>
    <mergeCell ref="C1013:C1016"/>
    <mergeCell ref="D1013:D1016"/>
    <mergeCell ref="E1013:E1016"/>
    <mergeCell ref="F1013:K1013"/>
    <mergeCell ref="F1014:G1014"/>
    <mergeCell ref="H1014:I1014"/>
    <mergeCell ref="J1014:K1014"/>
    <mergeCell ref="B991:B994"/>
    <mergeCell ref="C991:C994"/>
    <mergeCell ref="D991:D994"/>
    <mergeCell ref="E991:E994"/>
    <mergeCell ref="F991:K991"/>
    <mergeCell ref="F992:G992"/>
    <mergeCell ref="H992:I992"/>
    <mergeCell ref="J992:K992"/>
    <mergeCell ref="B1057:B1060"/>
    <mergeCell ref="C1057:C1060"/>
    <mergeCell ref="D1057:D1060"/>
    <mergeCell ref="E1057:E1060"/>
    <mergeCell ref="F1057:K1057"/>
    <mergeCell ref="F1058:G1058"/>
    <mergeCell ref="H1058:I1058"/>
    <mergeCell ref="J1058:K1058"/>
    <mergeCell ref="B1035:B1038"/>
    <mergeCell ref="C1035:C1038"/>
    <mergeCell ref="D1035:D1038"/>
    <mergeCell ref="E1035:E1038"/>
    <mergeCell ref="F1035:K1035"/>
    <mergeCell ref="F1036:G1036"/>
    <mergeCell ref="H1036:I1036"/>
    <mergeCell ref="J1036:K1036"/>
    <mergeCell ref="B1101:B1104"/>
    <mergeCell ref="C1101:C1104"/>
    <mergeCell ref="D1101:D1104"/>
    <mergeCell ref="E1101:E1104"/>
    <mergeCell ref="F1101:K1101"/>
    <mergeCell ref="F1102:G1102"/>
    <mergeCell ref="H1102:I1102"/>
    <mergeCell ref="J1102:K1102"/>
    <mergeCell ref="B1079:B1082"/>
    <mergeCell ref="C1079:C1082"/>
    <mergeCell ref="D1079:D1082"/>
    <mergeCell ref="E1079:E1082"/>
    <mergeCell ref="F1079:K1079"/>
    <mergeCell ref="F1080:G1080"/>
    <mergeCell ref="H1080:I1080"/>
    <mergeCell ref="J1080:K1080"/>
    <mergeCell ref="B1163:B1165"/>
    <mergeCell ref="C1163:C1165"/>
    <mergeCell ref="D1163:D1165"/>
    <mergeCell ref="E1163:E1165"/>
    <mergeCell ref="F1163:G1163"/>
    <mergeCell ref="H1163:I1163"/>
    <mergeCell ref="J1125:K1125"/>
    <mergeCell ref="L1125:M1125"/>
    <mergeCell ref="B1150:B1151"/>
    <mergeCell ref="C1150:C1151"/>
    <mergeCell ref="D1150:D1151"/>
    <mergeCell ref="E1150:E1151"/>
    <mergeCell ref="B1125:B1127"/>
    <mergeCell ref="C1125:C1127"/>
    <mergeCell ref="D1125:D1127"/>
    <mergeCell ref="E1125:E1127"/>
    <mergeCell ref="F1125:G1125"/>
    <mergeCell ref="H1125:I1125"/>
    <mergeCell ref="B1219:B1221"/>
    <mergeCell ref="C1219:C1221"/>
    <mergeCell ref="D1219:D1221"/>
    <mergeCell ref="E1219:E1221"/>
    <mergeCell ref="F1219:G1219"/>
    <mergeCell ref="H1219:I1219"/>
    <mergeCell ref="B1191:B1193"/>
    <mergeCell ref="C1191:C1193"/>
    <mergeCell ref="D1191:D1193"/>
    <mergeCell ref="E1191:E1193"/>
    <mergeCell ref="F1191:G1191"/>
    <mergeCell ref="H1191:I1191"/>
    <mergeCell ref="L1263:M1263"/>
    <mergeCell ref="B1280:B1282"/>
    <mergeCell ref="C1280:C1282"/>
    <mergeCell ref="D1280:D1282"/>
    <mergeCell ref="E1280:E1282"/>
    <mergeCell ref="F1280:G1280"/>
    <mergeCell ref="H1280:I1280"/>
    <mergeCell ref="B1244:B1245"/>
    <mergeCell ref="C1244:C1245"/>
    <mergeCell ref="D1244:D1245"/>
    <mergeCell ref="E1244:E1245"/>
    <mergeCell ref="B1263:B1265"/>
    <mergeCell ref="C1263:C1265"/>
    <mergeCell ref="D1263:D1265"/>
    <mergeCell ref="E1263:E1265"/>
    <mergeCell ref="J1280:K1280"/>
    <mergeCell ref="B1297:B1299"/>
    <mergeCell ref="C1297:C1299"/>
    <mergeCell ref="D1297:D1299"/>
    <mergeCell ref="E1297:E1299"/>
    <mergeCell ref="F1297:G1297"/>
    <mergeCell ref="H1297:I1297"/>
    <mergeCell ref="J1297:K1297"/>
    <mergeCell ref="F1263:G1263"/>
    <mergeCell ref="H1263:I1263"/>
    <mergeCell ref="J1263:K1263"/>
    <mergeCell ref="B1316:B1318"/>
    <mergeCell ref="C1316:C1318"/>
    <mergeCell ref="D1316:D1318"/>
    <mergeCell ref="E1316:E1318"/>
    <mergeCell ref="F1316:I1316"/>
    <mergeCell ref="J1316:M1316"/>
    <mergeCell ref="F1317:G1317"/>
    <mergeCell ref="H1317:I1317"/>
    <mergeCell ref="J1317:K1317"/>
    <mergeCell ref="L1317:M1317"/>
    <mergeCell ref="B1348:B1351"/>
    <mergeCell ref="C1348:C1351"/>
    <mergeCell ref="D1348:D1351"/>
    <mergeCell ref="E1348:E1351"/>
    <mergeCell ref="F1348:K1348"/>
    <mergeCell ref="F1349:G1349"/>
    <mergeCell ref="H1349:I1349"/>
    <mergeCell ref="J1349:K1349"/>
    <mergeCell ref="B1331:B1333"/>
    <mergeCell ref="C1331:C1333"/>
    <mergeCell ref="D1331:D1333"/>
    <mergeCell ref="E1331:E1333"/>
    <mergeCell ref="F1331:I1331"/>
    <mergeCell ref="J1331:M1331"/>
    <mergeCell ref="F1332:G1332"/>
    <mergeCell ref="H1332:I1332"/>
    <mergeCell ref="J1332:K1332"/>
    <mergeCell ref="L1332:M1332"/>
    <mergeCell ref="B1390:B1393"/>
    <mergeCell ref="C1390:C1393"/>
    <mergeCell ref="D1390:D1393"/>
    <mergeCell ref="E1390:E1393"/>
    <mergeCell ref="F1390:K1390"/>
    <mergeCell ref="F1391:G1391"/>
    <mergeCell ref="H1391:I1391"/>
    <mergeCell ref="J1391:K1391"/>
    <mergeCell ref="B1368:B1371"/>
    <mergeCell ref="C1368:C1371"/>
    <mergeCell ref="D1368:D1371"/>
    <mergeCell ref="E1368:E1371"/>
    <mergeCell ref="F1368:K1368"/>
    <mergeCell ref="F1369:G1369"/>
    <mergeCell ref="H1369:I1369"/>
    <mergeCell ref="J1369:K1369"/>
    <mergeCell ref="B1428:B1431"/>
    <mergeCell ref="C1428:C1431"/>
    <mergeCell ref="D1428:D1431"/>
    <mergeCell ref="E1428:E1431"/>
    <mergeCell ref="F1428:K1428"/>
    <mergeCell ref="F1429:G1429"/>
    <mergeCell ref="H1429:I1429"/>
    <mergeCell ref="J1429:K1429"/>
    <mergeCell ref="B1408:B1411"/>
    <mergeCell ref="C1408:C1411"/>
    <mergeCell ref="D1408:D1411"/>
    <mergeCell ref="E1408:E1411"/>
    <mergeCell ref="F1408:I1408"/>
    <mergeCell ref="F1409:G1409"/>
    <mergeCell ref="H1409:I1409"/>
    <mergeCell ref="B1466:B1469"/>
    <mergeCell ref="C1466:C1469"/>
    <mergeCell ref="D1466:D1469"/>
    <mergeCell ref="E1466:E1469"/>
    <mergeCell ref="F1466:K1466"/>
    <mergeCell ref="F1467:G1467"/>
    <mergeCell ref="H1467:I1467"/>
    <mergeCell ref="J1467:K1467"/>
    <mergeCell ref="B1446:B1449"/>
    <mergeCell ref="C1446:C1449"/>
    <mergeCell ref="D1446:D1449"/>
    <mergeCell ref="E1446:E1449"/>
    <mergeCell ref="F1446:I1446"/>
    <mergeCell ref="F1447:G1447"/>
    <mergeCell ref="H1447:I1447"/>
    <mergeCell ref="H1507:I1507"/>
    <mergeCell ref="J1507:K1507"/>
    <mergeCell ref="B1485:B1488"/>
    <mergeCell ref="C1485:C1488"/>
    <mergeCell ref="D1485:D1488"/>
    <mergeCell ref="E1485:E1488"/>
    <mergeCell ref="F1485:I1485"/>
    <mergeCell ref="F1486:G1486"/>
    <mergeCell ref="H1486:I1486"/>
    <mergeCell ref="B148:B149"/>
    <mergeCell ref="C148:C149"/>
    <mergeCell ref="D148:D149"/>
    <mergeCell ref="E148:E149"/>
    <mergeCell ref="F148:F149"/>
    <mergeCell ref="G148:G149"/>
    <mergeCell ref="F1540:K1540"/>
    <mergeCell ref="F1541:G1541"/>
    <mergeCell ref="H1541:I1541"/>
    <mergeCell ref="J1541:K1541"/>
    <mergeCell ref="B1527:B1528"/>
    <mergeCell ref="C1527:C1528"/>
    <mergeCell ref="D1527:D1528"/>
    <mergeCell ref="E1527:E1528"/>
    <mergeCell ref="B1540:B1543"/>
    <mergeCell ref="C1540:C1543"/>
    <mergeCell ref="D1540:D1543"/>
    <mergeCell ref="E1540:E1543"/>
    <mergeCell ref="B1506:B1509"/>
    <mergeCell ref="C1506:C1509"/>
    <mergeCell ref="D1506:D1509"/>
    <mergeCell ref="E1506:E1509"/>
    <mergeCell ref="F1506:K1506"/>
    <mergeCell ref="F1507:G1507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철근콘크리트공사(상반기)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2026-01-01T07:58:16Z</dcterms:modified>
</cp:coreProperties>
</file>