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2.토목부문(2026년)\"/>
    </mc:Choice>
  </mc:AlternateContent>
  <xr:revisionPtr revIDLastSave="0" documentId="13_ncr:1_{AA979262-261A-4233-AB80-4A724CE9438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항만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6" i="6" l="1"/>
  <c r="G427" i="6" s="1"/>
  <c r="K423" i="6"/>
  <c r="K422" i="6"/>
  <c r="K424" i="6" s="1"/>
  <c r="M412" i="6"/>
  <c r="M413" i="6" s="1"/>
  <c r="G409" i="6"/>
  <c r="G405" i="6"/>
  <c r="G406" i="6" s="1"/>
  <c r="M398" i="6"/>
  <c r="M399" i="6" s="1"/>
  <c r="G395" i="6"/>
  <c r="K394" i="6"/>
  <c r="M391" i="6"/>
  <c r="M392" i="6" s="1"/>
  <c r="M384" i="6"/>
  <c r="M385" i="6" s="1"/>
  <c r="G381" i="6"/>
  <c r="K380" i="6"/>
  <c r="M377" i="6"/>
  <c r="M378" i="6" s="1"/>
  <c r="I365" i="6"/>
  <c r="G363" i="6"/>
  <c r="G353" i="6"/>
  <c r="G354" i="6" s="1"/>
  <c r="G349" i="6"/>
  <c r="I348" i="6"/>
  <c r="G345" i="6"/>
  <c r="G346" i="6" s="1"/>
  <c r="K338" i="6"/>
  <c r="K339" i="6" s="1"/>
  <c r="M335" i="6"/>
  <c r="M334" i="6"/>
  <c r="G333" i="6"/>
  <c r="K330" i="6"/>
  <c r="K331" i="6" s="1"/>
  <c r="G323" i="6"/>
  <c r="G324" i="6" s="1"/>
  <c r="M320" i="6"/>
  <c r="G319" i="6"/>
  <c r="M315" i="6"/>
  <c r="M316" i="6" s="1"/>
  <c r="G306" i="6"/>
  <c r="G307" i="6" s="1"/>
  <c r="K303" i="6"/>
  <c r="K302" i="6"/>
  <c r="K301" i="6"/>
  <c r="G298" i="6"/>
  <c r="G299" i="6" s="1"/>
  <c r="G291" i="6"/>
  <c r="G292" i="6" s="1"/>
  <c r="I288" i="6"/>
  <c r="I287" i="6"/>
  <c r="K286" i="6"/>
  <c r="I286" i="6"/>
  <c r="K283" i="6"/>
  <c r="K284" i="6" s="1"/>
  <c r="M276" i="6"/>
  <c r="M277" i="6" s="1"/>
  <c r="G273" i="6"/>
  <c r="I272" i="6"/>
  <c r="K271" i="6"/>
  <c r="M268" i="6"/>
  <c r="M269" i="6" s="1"/>
  <c r="M261" i="6"/>
  <c r="M262" i="6" s="1"/>
  <c r="I258" i="6"/>
  <c r="K257" i="6"/>
  <c r="M256" i="6"/>
  <c r="G253" i="6"/>
  <c r="G254" i="6" s="1"/>
  <c r="G246" i="6"/>
  <c r="G247" i="6" s="1"/>
  <c r="K243" i="6"/>
  <c r="K242" i="6"/>
  <c r="K241" i="6"/>
  <c r="G238" i="6"/>
  <c r="G239" i="6" s="1"/>
  <c r="G231" i="6"/>
  <c r="G232" i="6" s="1"/>
  <c r="K228" i="6"/>
  <c r="K226" i="6"/>
  <c r="G223" i="6"/>
  <c r="G224" i="6" s="1"/>
  <c r="M216" i="6"/>
  <c r="M217" i="6" s="1"/>
  <c r="K216" i="6"/>
  <c r="K217" i="6" s="1"/>
  <c r="G213" i="6"/>
  <c r="M212" i="6"/>
  <c r="G211" i="6"/>
  <c r="K208" i="6"/>
  <c r="K209" i="6" s="1"/>
  <c r="M208" i="6"/>
  <c r="M209" i="6" s="1"/>
  <c r="M201" i="6"/>
  <c r="M202" i="6" s="1"/>
  <c r="M198" i="6"/>
  <c r="G197" i="6"/>
  <c r="M196" i="6"/>
  <c r="M193" i="6"/>
  <c r="M194" i="6" s="1"/>
  <c r="G193" i="6"/>
  <c r="G194" i="6" s="1"/>
  <c r="G183" i="6"/>
  <c r="K182" i="6"/>
  <c r="M175" i="6"/>
  <c r="G174" i="6"/>
  <c r="K167" i="6"/>
  <c r="G166" i="6"/>
  <c r="M159" i="6"/>
  <c r="M158" i="6"/>
  <c r="G151" i="6"/>
  <c r="G150" i="6"/>
  <c r="G152" i="6" s="1"/>
  <c r="G154" i="6" s="1"/>
  <c r="M143" i="6"/>
  <c r="K135" i="6"/>
  <c r="I135" i="6"/>
  <c r="G135" i="6"/>
  <c r="G134" i="6"/>
  <c r="M127" i="6"/>
  <c r="G126" i="6"/>
  <c r="G117" i="6"/>
  <c r="G116" i="6"/>
  <c r="G118" i="6" s="1"/>
  <c r="G120" i="6" s="1"/>
  <c r="G109" i="6"/>
  <c r="G108" i="6"/>
  <c r="G101" i="6"/>
  <c r="G100" i="6"/>
  <c r="K93" i="6"/>
  <c r="K92" i="6"/>
  <c r="K94" i="6" s="1"/>
  <c r="K96" i="6" s="1"/>
  <c r="M83" i="6"/>
  <c r="G82" i="6"/>
  <c r="I81" i="6"/>
  <c r="K73" i="6"/>
  <c r="M72" i="6"/>
  <c r="I63" i="6"/>
  <c r="I62" i="6"/>
  <c r="G59" i="6"/>
  <c r="I58" i="6"/>
  <c r="I57" i="6"/>
  <c r="G57" i="6"/>
  <c r="G56" i="6"/>
  <c r="I56" i="6"/>
  <c r="G53" i="6"/>
  <c r="I52" i="6"/>
  <c r="I46" i="6"/>
  <c r="I45" i="6"/>
  <c r="G42" i="6"/>
  <c r="G41" i="6"/>
  <c r="G40" i="6"/>
  <c r="G39" i="6"/>
  <c r="K36" i="6"/>
  <c r="K35" i="6"/>
  <c r="G27" i="6"/>
  <c r="I26" i="6"/>
  <c r="G25" i="6"/>
  <c r="I17" i="6"/>
  <c r="G16" i="6"/>
  <c r="I15" i="6"/>
  <c r="G7" i="6"/>
  <c r="I6" i="6"/>
  <c r="K37" i="6" l="1"/>
  <c r="I41" i="6"/>
  <c r="I211" i="6"/>
  <c r="K306" i="6"/>
  <c r="K307" i="6" s="1"/>
  <c r="G45" i="6"/>
  <c r="I117" i="6"/>
  <c r="K288" i="6"/>
  <c r="I16" i="6"/>
  <c r="I18" i="6" s="1"/>
  <c r="I20" i="6" s="1"/>
  <c r="I271" i="6"/>
  <c r="G83" i="6"/>
  <c r="M271" i="6"/>
  <c r="I83" i="6"/>
  <c r="M380" i="6"/>
  <c r="K117" i="6"/>
  <c r="I175" i="6"/>
  <c r="K212" i="6"/>
  <c r="G422" i="6"/>
  <c r="K151" i="6"/>
  <c r="I276" i="6"/>
  <c r="I277" i="6" s="1"/>
  <c r="I422" i="6"/>
  <c r="M126" i="6"/>
  <c r="M128" i="6" s="1"/>
  <c r="M130" i="6" s="1"/>
  <c r="G36" i="6"/>
  <c r="I60" i="6"/>
  <c r="G73" i="6"/>
  <c r="I93" i="6"/>
  <c r="G158" i="6"/>
  <c r="I183" i="6"/>
  <c r="M213" i="6"/>
  <c r="I238" i="6"/>
  <c r="I239" i="6" s="1"/>
  <c r="G423" i="6"/>
  <c r="K287" i="6"/>
  <c r="I59" i="6"/>
  <c r="K196" i="6"/>
  <c r="G175" i="6"/>
  <c r="G176" i="6" s="1"/>
  <c r="G178" i="6" s="1"/>
  <c r="G276" i="6"/>
  <c r="G277" i="6" s="1"/>
  <c r="I291" i="6"/>
  <c r="I292" i="6" s="1"/>
  <c r="G52" i="6"/>
  <c r="G54" i="6" s="1"/>
  <c r="K256" i="6"/>
  <c r="M330" i="6"/>
  <c r="M331" i="6" s="1"/>
  <c r="K183" i="6"/>
  <c r="K184" i="6" s="1"/>
  <c r="K186" i="6" s="1"/>
  <c r="K238" i="6"/>
  <c r="K239" i="6" s="1"/>
  <c r="I423" i="6"/>
  <c r="K211" i="6"/>
  <c r="G212" i="6"/>
  <c r="G214" i="6" s="1"/>
  <c r="G92" i="6"/>
  <c r="G94" i="6" s="1"/>
  <c r="G96" i="6" s="1"/>
  <c r="I212" i="6"/>
  <c r="I349" i="6"/>
  <c r="I92" i="6"/>
  <c r="I94" i="6" s="1"/>
  <c r="I96" i="6" s="1"/>
  <c r="I151" i="6"/>
  <c r="G35" i="6"/>
  <c r="G72" i="6"/>
  <c r="K291" i="6"/>
  <c r="K292" i="6" s="1"/>
  <c r="G93" i="6"/>
  <c r="M81" i="6"/>
  <c r="I289" i="6"/>
  <c r="K304" i="6"/>
  <c r="G6" i="6"/>
  <c r="G8" i="6" s="1"/>
  <c r="G10" i="6" s="1"/>
  <c r="G17" i="6"/>
  <c r="G26" i="6"/>
  <c r="G28" i="6" s="1"/>
  <c r="G30" i="6" s="1"/>
  <c r="I35" i="6"/>
  <c r="I36" i="6"/>
  <c r="I40" i="6"/>
  <c r="K41" i="6"/>
  <c r="K45" i="6"/>
  <c r="G62" i="6"/>
  <c r="I72" i="6"/>
  <c r="I73" i="6"/>
  <c r="I116" i="6"/>
  <c r="I134" i="6"/>
  <c r="I136" i="6" s="1"/>
  <c r="I138" i="6" s="1"/>
  <c r="I150" i="6"/>
  <c r="I152" i="6" s="1"/>
  <c r="I154" i="6" s="1"/>
  <c r="I174" i="6"/>
  <c r="I176" i="6" s="1"/>
  <c r="I178" i="6" s="1"/>
  <c r="G198" i="6"/>
  <c r="G201" i="6"/>
  <c r="G202" i="6" s="1"/>
  <c r="K258" i="6"/>
  <c r="G268" i="6"/>
  <c r="G269" i="6" s="1"/>
  <c r="K273" i="6"/>
  <c r="G301" i="6"/>
  <c r="G302" i="6"/>
  <c r="G303" i="6"/>
  <c r="G320" i="6"/>
  <c r="G334" i="6"/>
  <c r="G335" i="6"/>
  <c r="G336" i="6" s="1"/>
  <c r="G348" i="6"/>
  <c r="G384" i="6"/>
  <c r="G385" i="6" s="1"/>
  <c r="G391" i="6"/>
  <c r="G392" i="6" s="1"/>
  <c r="G398" i="6"/>
  <c r="G399" i="6" s="1"/>
  <c r="G412" i="6"/>
  <c r="G413" i="6" s="1"/>
  <c r="M160" i="6"/>
  <c r="M162" i="6" s="1"/>
  <c r="K40" i="6"/>
  <c r="I47" i="6"/>
  <c r="I64" i="6"/>
  <c r="K72" i="6"/>
  <c r="K74" i="6" s="1"/>
  <c r="K76" i="6" s="1"/>
  <c r="M82" i="6"/>
  <c r="K83" i="6"/>
  <c r="I100" i="6"/>
  <c r="K116" i="6"/>
  <c r="K118" i="6" s="1"/>
  <c r="K120" i="6" s="1"/>
  <c r="K127" i="6"/>
  <c r="K134" i="6"/>
  <c r="K136" i="6" s="1"/>
  <c r="K138" i="6" s="1"/>
  <c r="K150" i="6"/>
  <c r="K159" i="6"/>
  <c r="K174" i="6"/>
  <c r="K175" i="6"/>
  <c r="I197" i="6"/>
  <c r="I198" i="6"/>
  <c r="I223" i="6"/>
  <c r="I224" i="6" s="1"/>
  <c r="I253" i="6"/>
  <c r="I254" i="6" s="1"/>
  <c r="G256" i="6"/>
  <c r="I257" i="6"/>
  <c r="M258" i="6"/>
  <c r="I268" i="6"/>
  <c r="I269" i="6" s="1"/>
  <c r="K272" i="6"/>
  <c r="M273" i="6"/>
  <c r="K276" i="6"/>
  <c r="K277" i="6" s="1"/>
  <c r="G283" i="6"/>
  <c r="G284" i="6" s="1"/>
  <c r="G286" i="6"/>
  <c r="G287" i="6"/>
  <c r="G288" i="6"/>
  <c r="I301" i="6"/>
  <c r="I302" i="6"/>
  <c r="I303" i="6"/>
  <c r="G315" i="6"/>
  <c r="G316" i="6" s="1"/>
  <c r="I319" i="6"/>
  <c r="I320" i="6"/>
  <c r="I333" i="6"/>
  <c r="I334" i="6"/>
  <c r="I345" i="6"/>
  <c r="I346" i="6" s="1"/>
  <c r="G365" i="6"/>
  <c r="I381" i="6"/>
  <c r="I384" i="6"/>
  <c r="I385" i="6" s="1"/>
  <c r="I395" i="6"/>
  <c r="I398" i="6"/>
  <c r="I399" i="6" s="1"/>
  <c r="I409" i="6"/>
  <c r="I412" i="6"/>
  <c r="I413" i="6" s="1"/>
  <c r="I426" i="6"/>
  <c r="I427" i="6" s="1"/>
  <c r="K259" i="6"/>
  <c r="G43" i="6"/>
  <c r="K100" i="6"/>
  <c r="K197" i="6"/>
  <c r="K198" i="6"/>
  <c r="K223" i="6"/>
  <c r="K224" i="6" s="1"/>
  <c r="K253" i="6"/>
  <c r="K254" i="6" s="1"/>
  <c r="I256" i="6"/>
  <c r="M257" i="6"/>
  <c r="K268" i="6"/>
  <c r="K269" i="6" s="1"/>
  <c r="M272" i="6"/>
  <c r="I283" i="6"/>
  <c r="I284" i="6" s="1"/>
  <c r="I306" i="6"/>
  <c r="I307" i="6" s="1"/>
  <c r="K319" i="6"/>
  <c r="K320" i="6"/>
  <c r="K333" i="6"/>
  <c r="K334" i="6"/>
  <c r="I353" i="6"/>
  <c r="I354" i="6" s="1"/>
  <c r="I363" i="6"/>
  <c r="K381" i="6"/>
  <c r="K382" i="6" s="1"/>
  <c r="K384" i="6"/>
  <c r="K385" i="6" s="1"/>
  <c r="K395" i="6"/>
  <c r="K396" i="6" s="1"/>
  <c r="K398" i="6"/>
  <c r="K399" i="6" s="1"/>
  <c r="K409" i="6"/>
  <c r="K412" i="6"/>
  <c r="K413" i="6" s="1"/>
  <c r="K426" i="6"/>
  <c r="K427" i="6" s="1"/>
  <c r="G110" i="6"/>
  <c r="G112" i="6" s="1"/>
  <c r="K244" i="6"/>
  <c r="I25" i="6"/>
  <c r="I39" i="6"/>
  <c r="I53" i="6"/>
  <c r="I54" i="6" s="1"/>
  <c r="G136" i="6"/>
  <c r="G138" i="6" s="1"/>
  <c r="K142" i="6"/>
  <c r="I142" i="6"/>
  <c r="K143" i="6"/>
  <c r="I318" i="6"/>
  <c r="G318" i="6"/>
  <c r="M318" i="6"/>
  <c r="I408" i="6"/>
  <c r="G408" i="6"/>
  <c r="G410" i="6" s="1"/>
  <c r="M408" i="6"/>
  <c r="K408" i="6"/>
  <c r="K419" i="6"/>
  <c r="K420" i="6" s="1"/>
  <c r="I419" i="6"/>
  <c r="I420" i="6" s="1"/>
  <c r="G419" i="6"/>
  <c r="G420" i="6" s="1"/>
  <c r="G15" i="6"/>
  <c r="I27" i="6"/>
  <c r="K39" i="6"/>
  <c r="I42" i="6"/>
  <c r="G46" i="6"/>
  <c r="G47" i="6" s="1"/>
  <c r="G58" i="6"/>
  <c r="G60" i="6" s="1"/>
  <c r="G63" i="6"/>
  <c r="M73" i="6"/>
  <c r="M74" i="6" s="1"/>
  <c r="M76" i="6" s="1"/>
  <c r="G81" i="6"/>
  <c r="I82" i="6"/>
  <c r="G102" i="6"/>
  <c r="G104" i="6" s="1"/>
  <c r="I101" i="6"/>
  <c r="I127" i="6"/>
  <c r="G127" i="6"/>
  <c r="G128" i="6" s="1"/>
  <c r="G130" i="6" s="1"/>
  <c r="G142" i="6"/>
  <c r="I159" i="6"/>
  <c r="G159" i="6"/>
  <c r="G160" i="6" s="1"/>
  <c r="G162" i="6" s="1"/>
  <c r="I167" i="6"/>
  <c r="G167" i="6"/>
  <c r="G168" i="6" s="1"/>
  <c r="G170" i="6" s="1"/>
  <c r="I182" i="6"/>
  <c r="I184" i="6" s="1"/>
  <c r="I186" i="6" s="1"/>
  <c r="G182" i="6"/>
  <c r="G184" i="6" s="1"/>
  <c r="G186" i="6" s="1"/>
  <c r="K193" i="6"/>
  <c r="K194" i="6" s="1"/>
  <c r="I193" i="6"/>
  <c r="I194" i="6" s="1"/>
  <c r="I208" i="6"/>
  <c r="I209" i="6" s="1"/>
  <c r="G208" i="6"/>
  <c r="G209" i="6" s="1"/>
  <c r="K213" i="6"/>
  <c r="I213" i="6"/>
  <c r="I226" i="6"/>
  <c r="G226" i="6"/>
  <c r="I228" i="6"/>
  <c r="G228" i="6"/>
  <c r="K246" i="6"/>
  <c r="K247" i="6" s="1"/>
  <c r="I246" i="6"/>
  <c r="I247" i="6" s="1"/>
  <c r="K298" i="6"/>
  <c r="K299" i="6" s="1"/>
  <c r="I298" i="6"/>
  <c r="I299" i="6" s="1"/>
  <c r="K318" i="6"/>
  <c r="K323" i="6"/>
  <c r="K324" i="6" s="1"/>
  <c r="I323" i="6"/>
  <c r="I324" i="6" s="1"/>
  <c r="M323" i="6"/>
  <c r="M324" i="6" s="1"/>
  <c r="K405" i="6"/>
  <c r="K406" i="6" s="1"/>
  <c r="I405" i="6"/>
  <c r="I406" i="6" s="1"/>
  <c r="M405" i="6"/>
  <c r="M406" i="6" s="1"/>
  <c r="I143" i="6"/>
  <c r="G143" i="6"/>
  <c r="I227" i="6"/>
  <c r="G227" i="6"/>
  <c r="G261" i="6"/>
  <c r="G262" i="6" s="1"/>
  <c r="K261" i="6"/>
  <c r="K262" i="6" s="1"/>
  <c r="I261" i="6"/>
  <c r="I262" i="6" s="1"/>
  <c r="I7" i="6"/>
  <c r="I8" i="6" s="1"/>
  <c r="I10" i="6" s="1"/>
  <c r="K109" i="6"/>
  <c r="I109" i="6"/>
  <c r="K227" i="6"/>
  <c r="K231" i="6"/>
  <c r="K232" i="6" s="1"/>
  <c r="I231" i="6"/>
  <c r="I232" i="6" s="1"/>
  <c r="I242" i="6"/>
  <c r="G242" i="6"/>
  <c r="K42" i="6"/>
  <c r="K46" i="6"/>
  <c r="K81" i="6"/>
  <c r="K82" i="6"/>
  <c r="K101" i="6"/>
  <c r="K108" i="6"/>
  <c r="K110" i="6" s="1"/>
  <c r="K112" i="6" s="1"/>
  <c r="I108" i="6"/>
  <c r="K126" i="6"/>
  <c r="I126" i="6"/>
  <c r="M142" i="6"/>
  <c r="M144" i="6" s="1"/>
  <c r="M146" i="6" s="1"/>
  <c r="K158" i="6"/>
  <c r="K160" i="6" s="1"/>
  <c r="K162" i="6" s="1"/>
  <c r="I158" i="6"/>
  <c r="K166" i="6"/>
  <c r="K168" i="6" s="1"/>
  <c r="K170" i="6" s="1"/>
  <c r="I166" i="6"/>
  <c r="I196" i="6"/>
  <c r="G196" i="6"/>
  <c r="K201" i="6"/>
  <c r="K202" i="6" s="1"/>
  <c r="I201" i="6"/>
  <c r="I202" i="6" s="1"/>
  <c r="I216" i="6"/>
  <c r="I217" i="6" s="1"/>
  <c r="G216" i="6"/>
  <c r="G217" i="6" s="1"/>
  <c r="K229" i="6"/>
  <c r="I241" i="6"/>
  <c r="G241" i="6"/>
  <c r="I243" i="6"/>
  <c r="G243" i="6"/>
  <c r="I338" i="6"/>
  <c r="I339" i="6" s="1"/>
  <c r="G338" i="6"/>
  <c r="G339" i="6" s="1"/>
  <c r="M338" i="6"/>
  <c r="M339" i="6" s="1"/>
  <c r="I394" i="6"/>
  <c r="G394" i="6"/>
  <c r="G396" i="6" s="1"/>
  <c r="M394" i="6"/>
  <c r="M174" i="6"/>
  <c r="M176" i="6" s="1"/>
  <c r="M178" i="6" s="1"/>
  <c r="M197" i="6"/>
  <c r="M199" i="6" s="1"/>
  <c r="M204" i="6" s="1"/>
  <c r="M211" i="6"/>
  <c r="M214" i="6" s="1"/>
  <c r="M219" i="6" s="1"/>
  <c r="M253" i="6"/>
  <c r="M254" i="6" s="1"/>
  <c r="I360" i="6"/>
  <c r="I361" i="6" s="1"/>
  <c r="G360" i="6"/>
  <c r="G361" i="6" s="1"/>
  <c r="K377" i="6"/>
  <c r="K378" i="6" s="1"/>
  <c r="I377" i="6"/>
  <c r="I378" i="6" s="1"/>
  <c r="G257" i="6"/>
  <c r="G258" i="6"/>
  <c r="G271" i="6"/>
  <c r="G272" i="6"/>
  <c r="I273" i="6"/>
  <c r="K315" i="6"/>
  <c r="K316" i="6" s="1"/>
  <c r="I315" i="6"/>
  <c r="I316" i="6" s="1"/>
  <c r="I330" i="6"/>
  <c r="I331" i="6" s="1"/>
  <c r="G330" i="6"/>
  <c r="G331" i="6" s="1"/>
  <c r="K335" i="6"/>
  <c r="I335" i="6"/>
  <c r="I350" i="6"/>
  <c r="G350" i="6"/>
  <c r="I364" i="6"/>
  <c r="G364" i="6"/>
  <c r="I368" i="6"/>
  <c r="I369" i="6" s="1"/>
  <c r="G368" i="6"/>
  <c r="G369" i="6" s="1"/>
  <c r="G377" i="6"/>
  <c r="G378" i="6" s="1"/>
  <c r="I380" i="6"/>
  <c r="G380" i="6"/>
  <c r="G382" i="6" s="1"/>
  <c r="K391" i="6"/>
  <c r="K392" i="6" s="1"/>
  <c r="I391" i="6"/>
  <c r="I392" i="6" s="1"/>
  <c r="M319" i="6"/>
  <c r="M333" i="6"/>
  <c r="M336" i="6" s="1"/>
  <c r="M381" i="6"/>
  <c r="M382" i="6" s="1"/>
  <c r="M387" i="6" s="1"/>
  <c r="M395" i="6"/>
  <c r="M409" i="6"/>
  <c r="I294" i="6" l="1"/>
  <c r="K152" i="6"/>
  <c r="K154" i="6" s="1"/>
  <c r="I396" i="6"/>
  <c r="I401" i="6" s="1"/>
  <c r="K289" i="6"/>
  <c r="K294" i="6" s="1"/>
  <c r="I351" i="6"/>
  <c r="I214" i="6"/>
  <c r="I336" i="6"/>
  <c r="I341" i="6" s="1"/>
  <c r="K214" i="6"/>
  <c r="K219" i="6" s="1"/>
  <c r="I321" i="6"/>
  <c r="I326" i="6" s="1"/>
  <c r="K47" i="6"/>
  <c r="I366" i="6"/>
  <c r="I371" i="6" s="1"/>
  <c r="K199" i="6"/>
  <c r="K204" i="6" s="1"/>
  <c r="K84" i="6"/>
  <c r="K86" i="6" s="1"/>
  <c r="I168" i="6"/>
  <c r="I170" i="6" s="1"/>
  <c r="I160" i="6"/>
  <c r="I162" i="6" s="1"/>
  <c r="I102" i="6"/>
  <c r="I104" i="6" s="1"/>
  <c r="G18" i="6"/>
  <c r="G20" i="6" s="1"/>
  <c r="I74" i="6"/>
  <c r="I76" i="6" s="1"/>
  <c r="I84" i="6"/>
  <c r="I86" i="6" s="1"/>
  <c r="K429" i="6"/>
  <c r="G37" i="6"/>
  <c r="G49" i="6" s="1"/>
  <c r="G424" i="6"/>
  <c r="G429" i="6" s="1"/>
  <c r="I259" i="6"/>
  <c r="I264" i="6" s="1"/>
  <c r="K176" i="6"/>
  <c r="K178" i="6" s="1"/>
  <c r="K321" i="6"/>
  <c r="K326" i="6" s="1"/>
  <c r="I128" i="6"/>
  <c r="I130" i="6" s="1"/>
  <c r="G74" i="6"/>
  <c r="G76" i="6" s="1"/>
  <c r="G366" i="6"/>
  <c r="G371" i="6" s="1"/>
  <c r="G84" i="6"/>
  <c r="G86" i="6" s="1"/>
  <c r="K102" i="6"/>
  <c r="K104" i="6" s="1"/>
  <c r="K43" i="6"/>
  <c r="K274" i="6"/>
  <c r="K279" i="6" s="1"/>
  <c r="I274" i="6"/>
  <c r="I279" i="6" s="1"/>
  <c r="K309" i="6"/>
  <c r="G401" i="6"/>
  <c r="G64" i="6"/>
  <c r="G66" i="6" s="1"/>
  <c r="G415" i="6"/>
  <c r="M84" i="6"/>
  <c r="M86" i="6" s="1"/>
  <c r="G219" i="6"/>
  <c r="I424" i="6"/>
  <c r="I429" i="6" s="1"/>
  <c r="I66" i="6"/>
  <c r="M341" i="6"/>
  <c r="I356" i="6"/>
  <c r="I199" i="6"/>
  <c r="I204" i="6" s="1"/>
  <c r="I118" i="6"/>
  <c r="I120" i="6" s="1"/>
  <c r="K49" i="6"/>
  <c r="I382" i="6"/>
  <c r="I387" i="6" s="1"/>
  <c r="M396" i="6"/>
  <c r="M401" i="6" s="1"/>
  <c r="K234" i="6"/>
  <c r="I229" i="6"/>
  <c r="I234" i="6" s="1"/>
  <c r="I410" i="6"/>
  <c r="I415" i="6" s="1"/>
  <c r="M274" i="6"/>
  <c r="M279" i="6" s="1"/>
  <c r="G289" i="6"/>
  <c r="G294" i="6" s="1"/>
  <c r="I37" i="6"/>
  <c r="K336" i="6"/>
  <c r="K341" i="6" s="1"/>
  <c r="K387" i="6"/>
  <c r="G199" i="6"/>
  <c r="G204" i="6" s="1"/>
  <c r="K128" i="6"/>
  <c r="K130" i="6" s="1"/>
  <c r="K264" i="6"/>
  <c r="K410" i="6"/>
  <c r="M321" i="6"/>
  <c r="M326" i="6" s="1"/>
  <c r="I304" i="6"/>
  <c r="I309" i="6" s="1"/>
  <c r="G229" i="6"/>
  <c r="G234" i="6" s="1"/>
  <c r="K401" i="6"/>
  <c r="G351" i="6"/>
  <c r="G356" i="6" s="1"/>
  <c r="G341" i="6"/>
  <c r="K415" i="6"/>
  <c r="M410" i="6"/>
  <c r="M415" i="6" s="1"/>
  <c r="G321" i="6"/>
  <c r="G326" i="6" s="1"/>
  <c r="K249" i="6"/>
  <c r="M259" i="6"/>
  <c r="M264" i="6" s="1"/>
  <c r="G304" i="6"/>
  <c r="G309" i="6" s="1"/>
  <c r="G259" i="6"/>
  <c r="G264" i="6" s="1"/>
  <c r="G274" i="6"/>
  <c r="G279" i="6" s="1"/>
  <c r="G244" i="6"/>
  <c r="G249" i="6" s="1"/>
  <c r="I219" i="6"/>
  <c r="I144" i="6"/>
  <c r="I146" i="6" s="1"/>
  <c r="I43" i="6"/>
  <c r="G387" i="6"/>
  <c r="I244" i="6"/>
  <c r="I249" i="6" s="1"/>
  <c r="I110" i="6"/>
  <c r="I112" i="6" s="1"/>
  <c r="G144" i="6"/>
  <c r="G146" i="6" s="1"/>
  <c r="K144" i="6"/>
  <c r="K146" i="6" s="1"/>
  <c r="I28" i="6"/>
  <c r="I30" i="6" s="1"/>
  <c r="I49" i="6" l="1"/>
</calcChain>
</file>

<file path=xl/sharedStrings.xml><?xml version="1.0" encoding="utf-8"?>
<sst xmlns="http://schemas.openxmlformats.org/spreadsheetml/2006/main" count="988" uniqueCount="171">
  <si>
    <t>1.0㎥</t>
  </si>
  <si>
    <t>보통인부</t>
  </si>
  <si>
    <t>비계공</t>
  </si>
  <si>
    <t>잠수부</t>
  </si>
  <si>
    <t>트럭탑재형크레인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</si>
  <si>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</si>
  <si>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</si>
  <si>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</si>
  <si>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</si>
  <si>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</si>
  <si>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</si>
  <si>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</si>
  <si>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</si>
  <si>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</si>
  <si>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</si>
  <si>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합   계</t>
    <phoneticPr fontId="3" type="noConversion"/>
  </si>
  <si>
    <t>규격</t>
    <phoneticPr fontId="5" type="noConversion"/>
  </si>
  <si>
    <t>hr</t>
  </si>
  <si>
    <t>특별인부</t>
  </si>
  <si>
    <t>(일당)</t>
    <phoneticPr fontId="3" type="noConversion"/>
  </si>
  <si>
    <t>크레인(무한궤도)</t>
    <phoneticPr fontId="3" type="noConversion"/>
  </si>
  <si>
    <t>(본당)</t>
    <phoneticPr fontId="3" type="noConversion"/>
  </si>
  <si>
    <t>배관공(수도)</t>
  </si>
  <si>
    <t>10ton</t>
  </si>
  <si>
    <t>관경 300㎜</t>
    <phoneticPr fontId="3" type="noConversion"/>
  </si>
  <si>
    <t>관경 350㎜</t>
    <phoneticPr fontId="3" type="noConversion"/>
  </si>
  <si>
    <t>관경 400㎜</t>
    <phoneticPr fontId="3" type="noConversion"/>
  </si>
  <si>
    <t>제 7 장 항만공사</t>
  </si>
  <si>
    <t>7-2 사석</t>
  </si>
  <si>
    <t>7-2-1 적재 및 운반</t>
  </si>
  <si>
    <t>(10㎥당)</t>
  </si>
  <si>
    <t>0.03㎥이하(덤프트럭 대선 진입)</t>
    <phoneticPr fontId="3" type="noConversion"/>
  </si>
  <si>
    <t>0.1㎥이상(크레인 적재)</t>
    <phoneticPr fontId="3" type="noConversion"/>
  </si>
  <si>
    <t>7-2-2 해상투하</t>
    <phoneticPr fontId="3" type="noConversion"/>
  </si>
  <si>
    <t>(10㎥당)</t>
    <phoneticPr fontId="3" type="noConversion"/>
  </si>
  <si>
    <t>0.1㎥이상 크레인 투하</t>
    <phoneticPr fontId="3" type="noConversion"/>
  </si>
  <si>
    <t>4인 1조</t>
    <phoneticPr fontId="3" type="noConversion"/>
  </si>
  <si>
    <t>7-2-3 육상투하</t>
    <phoneticPr fontId="3" type="noConversion"/>
  </si>
  <si>
    <t>석공</t>
  </si>
  <si>
    <t>기초 고르기</t>
    <phoneticPr fontId="3" type="noConversion"/>
  </si>
  <si>
    <t>피복석 고르기</t>
    <phoneticPr fontId="3" type="noConversion"/>
  </si>
  <si>
    <t>필터사석 고르기</t>
    <phoneticPr fontId="3" type="noConversion"/>
  </si>
  <si>
    <t>(10㎡당)</t>
    <phoneticPr fontId="3" type="noConversion"/>
  </si>
  <si>
    <t>7-2-4 수상고르기</t>
  </si>
  <si>
    <t>7-3 블록</t>
  </si>
  <si>
    <t>(개당)</t>
    <phoneticPr fontId="3" type="noConversion"/>
  </si>
  <si>
    <t>7-3-1 케이슨 진수</t>
  </si>
  <si>
    <t>7-3-2 케이슨 거치</t>
  </si>
  <si>
    <t>7-3-3 일반블록 거치</t>
  </si>
  <si>
    <t>수상</t>
    <phoneticPr fontId="3" type="noConversion"/>
  </si>
  <si>
    <t>500∼1,000ton</t>
  </si>
  <si>
    <t>1,000∼2,000ton</t>
  </si>
  <si>
    <t>2,000∼3,000ton</t>
  </si>
  <si>
    <t>500ton 미만</t>
    <phoneticPr fontId="3" type="noConversion"/>
  </si>
  <si>
    <t>5ton 미만 (작업량 14~20개)</t>
    <phoneticPr fontId="3" type="noConversion"/>
  </si>
  <si>
    <t>5~10ton (작업량 12~16개)</t>
    <phoneticPr fontId="3" type="noConversion"/>
  </si>
  <si>
    <t>10~15ton (작업량 10~14개)</t>
    <phoneticPr fontId="3" type="noConversion"/>
  </si>
  <si>
    <t>15~20ton (작업량 8~12개)</t>
    <phoneticPr fontId="3" type="noConversion"/>
  </si>
  <si>
    <t>20~30ton (작업량 6~8개)</t>
    <phoneticPr fontId="3" type="noConversion"/>
  </si>
  <si>
    <t>30ton 이상 (작업량 5~7개)</t>
    <phoneticPr fontId="3" type="noConversion"/>
  </si>
  <si>
    <t>수중</t>
    <phoneticPr fontId="3" type="noConversion"/>
  </si>
  <si>
    <t>5ton 미만 (작업량 12~18개)</t>
    <phoneticPr fontId="3" type="noConversion"/>
  </si>
  <si>
    <t>5~10ton (작업량 11~15개)</t>
    <phoneticPr fontId="3" type="noConversion"/>
  </si>
  <si>
    <t>10~15ton (작업량 9~12개)</t>
    <phoneticPr fontId="3" type="noConversion"/>
  </si>
  <si>
    <t>15~20ton (작업량 8~10개)</t>
    <phoneticPr fontId="3" type="noConversion"/>
  </si>
  <si>
    <t>20~30ton (작업량 6~9개)</t>
    <phoneticPr fontId="3" type="noConversion"/>
  </si>
  <si>
    <t>수상 : 충적</t>
    <phoneticPr fontId="3" type="noConversion"/>
  </si>
  <si>
    <t>7-3-4 소파블록 거치</t>
    <phoneticPr fontId="3" type="noConversion"/>
  </si>
  <si>
    <t>2ton 미만 (작업량 22~28개)</t>
    <phoneticPr fontId="3" type="noConversion"/>
  </si>
  <si>
    <t>2~5ton (작업량 18~24개)</t>
    <phoneticPr fontId="3" type="noConversion"/>
  </si>
  <si>
    <t>5~10ton (작업량 14~18개)</t>
    <phoneticPr fontId="3" type="noConversion"/>
  </si>
  <si>
    <t>10~15ton (작업량 12~16개)</t>
    <phoneticPr fontId="3" type="noConversion"/>
  </si>
  <si>
    <t>15~20ton (작업량 10~14개)</t>
    <phoneticPr fontId="3" type="noConversion"/>
  </si>
  <si>
    <t>30ton 이상 (작업량 8~12개)</t>
    <phoneticPr fontId="3" type="noConversion"/>
  </si>
  <si>
    <t>20~30ton (작업량 9~13개)</t>
    <phoneticPr fontId="3" type="noConversion"/>
  </si>
  <si>
    <t>수상 : 난적</t>
    <phoneticPr fontId="3" type="noConversion"/>
  </si>
  <si>
    <t>2ton 미만 (작업량 26~34개)</t>
    <phoneticPr fontId="3" type="noConversion"/>
  </si>
  <si>
    <t>2~5ton (작업량 22~29개)</t>
    <phoneticPr fontId="3" type="noConversion"/>
  </si>
  <si>
    <t>5~10ton (작업량 17~22개)</t>
    <phoneticPr fontId="3" type="noConversion"/>
  </si>
  <si>
    <t>10~15ton (작업량 14~19개)</t>
    <phoneticPr fontId="3" type="noConversion"/>
  </si>
  <si>
    <t>15~20ton (작업량 12~17개)</t>
    <phoneticPr fontId="3" type="noConversion"/>
  </si>
  <si>
    <t>20~30ton (작업량 11~16개)</t>
    <phoneticPr fontId="3" type="noConversion"/>
  </si>
  <si>
    <t>30ton 이상 (작업량 10~14개)</t>
    <phoneticPr fontId="3" type="noConversion"/>
  </si>
  <si>
    <t>수중 : 충적</t>
    <phoneticPr fontId="3" type="noConversion"/>
  </si>
  <si>
    <t>2ton 미만 (작업량 18~26개)</t>
    <phoneticPr fontId="3" type="noConversion"/>
  </si>
  <si>
    <t>2~5ton (작업량 16~22개)</t>
    <phoneticPr fontId="3" type="noConversion"/>
  </si>
  <si>
    <t>20~30ton (작업량 8~10개)</t>
    <phoneticPr fontId="3" type="noConversion"/>
  </si>
  <si>
    <t>30ton 이상 (작업량 6~10개)</t>
    <phoneticPr fontId="3" type="noConversion"/>
  </si>
  <si>
    <t>수중 : 난적</t>
    <phoneticPr fontId="3" type="noConversion"/>
  </si>
  <si>
    <t>2ton 미만 (작업량 22~31개)</t>
    <phoneticPr fontId="3" type="noConversion"/>
  </si>
  <si>
    <t>2~5ton (작업량 19~26개)</t>
    <phoneticPr fontId="3" type="noConversion"/>
  </si>
  <si>
    <t>5~10ton (작업량 14~19개)</t>
    <phoneticPr fontId="3" type="noConversion"/>
  </si>
  <si>
    <t>10~15ton (작업량 12~17개)</t>
    <phoneticPr fontId="3" type="noConversion"/>
  </si>
  <si>
    <t>20~30ton (작업량 10~12개)</t>
    <phoneticPr fontId="3" type="noConversion"/>
  </si>
  <si>
    <t>30ton 이상 (작업량 7~12개)</t>
    <phoneticPr fontId="3" type="noConversion"/>
  </si>
  <si>
    <t>7-4 준설</t>
    <phoneticPr fontId="3" type="noConversion"/>
  </si>
  <si>
    <t>7-4-1 배송관 접합</t>
  </si>
  <si>
    <t>(접합개소당)</t>
    <phoneticPr fontId="3" type="noConversion"/>
  </si>
  <si>
    <t>플랜지접합</t>
    <phoneticPr fontId="3" type="noConversion"/>
  </si>
  <si>
    <t>관경 250㎜이하</t>
    <phoneticPr fontId="3" type="noConversion"/>
  </si>
  <si>
    <t>관경 510㎜</t>
    <phoneticPr fontId="3" type="noConversion"/>
  </si>
  <si>
    <t>관경 560㎜</t>
    <phoneticPr fontId="3" type="noConversion"/>
  </si>
  <si>
    <t>관경 610㎜</t>
    <phoneticPr fontId="3" type="noConversion"/>
  </si>
  <si>
    <t>관경 630㎜</t>
    <phoneticPr fontId="3" type="noConversion"/>
  </si>
  <si>
    <t>관경 660㎜</t>
    <phoneticPr fontId="3" type="noConversion"/>
  </si>
  <si>
    <t>관경 685㎜</t>
    <phoneticPr fontId="3" type="noConversion"/>
  </si>
  <si>
    <t>관경 710㎜</t>
    <phoneticPr fontId="3" type="noConversion"/>
  </si>
  <si>
    <t>15ton</t>
    <phoneticPr fontId="3" type="noConversion"/>
  </si>
  <si>
    <t>관경 760㎜</t>
    <phoneticPr fontId="3" type="noConversion"/>
  </si>
  <si>
    <t>관경 840㎜</t>
    <phoneticPr fontId="3" type="noConversion"/>
  </si>
  <si>
    <t>관경 860㎜</t>
    <phoneticPr fontId="3" type="noConversion"/>
  </si>
  <si>
    <t>고무슬리브접합</t>
    <phoneticPr fontId="3" type="noConversion"/>
  </si>
  <si>
    <t>7-4-2 배송관 띄우개(부함) 접합</t>
  </si>
  <si>
    <t>배송관 적용규격 200㎜</t>
    <phoneticPr fontId="3" type="noConversion"/>
  </si>
  <si>
    <t>관경 430㎜ 길이 4.5m</t>
    <phoneticPr fontId="3" type="noConversion"/>
  </si>
  <si>
    <t>관경 500㎜ 길이 4.5m</t>
    <phoneticPr fontId="3" type="noConversion"/>
  </si>
  <si>
    <t>배송관 적용규격 250㎜</t>
    <phoneticPr fontId="3" type="noConversion"/>
  </si>
  <si>
    <t>관경 600㎜ 길이 4.5m</t>
    <phoneticPr fontId="3" type="noConversion"/>
  </si>
  <si>
    <t>배송관 적용규격 300㎜</t>
    <phoneticPr fontId="3" type="noConversion"/>
  </si>
  <si>
    <t>관경 700㎜ 길이 4.5m</t>
    <phoneticPr fontId="3" type="noConversion"/>
  </si>
  <si>
    <t>배송관 적용규격 350㎜</t>
    <phoneticPr fontId="3" type="noConversion"/>
  </si>
  <si>
    <t>관경 900㎜ 길이 4.5m</t>
    <phoneticPr fontId="3" type="noConversion"/>
  </si>
  <si>
    <t>배송관 적용규격 400㎜</t>
    <phoneticPr fontId="3" type="noConversion"/>
  </si>
  <si>
    <t>관경 1,000㎜ 길이 4.5m</t>
    <phoneticPr fontId="3" type="noConversion"/>
  </si>
  <si>
    <t>배송관 적용규격 510㎜</t>
    <phoneticPr fontId="3" type="noConversion"/>
  </si>
  <si>
    <t>관경 1,100㎜ 길이 4.5m</t>
    <phoneticPr fontId="3" type="noConversion"/>
  </si>
  <si>
    <t>배송관 적용규격 560㎜</t>
    <phoneticPr fontId="3" type="noConversion"/>
  </si>
  <si>
    <t>관경 1,200㎜ 길이 4.5m</t>
    <phoneticPr fontId="3" type="noConversion"/>
  </si>
  <si>
    <t>배송관 적용규격 610~630㎜</t>
    <phoneticPr fontId="3" type="noConversion"/>
  </si>
  <si>
    <t>관경 1,300㎜ 길이 5.0m</t>
    <phoneticPr fontId="3" type="noConversion"/>
  </si>
  <si>
    <t>배송관 적용규격 660㎜</t>
    <phoneticPr fontId="3" type="noConversion"/>
  </si>
  <si>
    <t>관경 1,400㎜ 길이 5.0m</t>
    <phoneticPr fontId="3" type="noConversion"/>
  </si>
  <si>
    <t>배송관 적용규격 685~710㎜</t>
    <phoneticPr fontId="3" type="noConversion"/>
  </si>
  <si>
    <t>관경 1,500㎜ 길이 5.0m</t>
    <phoneticPr fontId="3" type="noConversion"/>
  </si>
  <si>
    <t>배송관 적용규격 760㎜</t>
    <phoneticPr fontId="3" type="noConversion"/>
  </si>
  <si>
    <t>관경 1,600㎜ 길이 5.0m</t>
    <phoneticPr fontId="3" type="noConversion"/>
  </si>
  <si>
    <t>배송관 적용규격 840~860㎜</t>
    <phoneticPr fontId="3" type="noConversion"/>
  </si>
  <si>
    <t>관경 200㎜, 고무슬리브 길이 0.8m</t>
    <phoneticPr fontId="3" type="noConversion"/>
  </si>
  <si>
    <t>배송관 띄우개 관경 430㎜ 길이 4.5m</t>
    <phoneticPr fontId="3" type="noConversion"/>
  </si>
  <si>
    <t>관경 250㎜, 고무슬리브 길이 0.8m</t>
    <phoneticPr fontId="3" type="noConversion"/>
  </si>
  <si>
    <t>배송관 띄우개 관경 500㎜ 길이 4.5m</t>
    <phoneticPr fontId="3" type="noConversion"/>
  </si>
  <si>
    <t>관경 300㎜, 고무슬리브 길이 0.9m</t>
    <phoneticPr fontId="3" type="noConversion"/>
  </si>
  <si>
    <t>배송관 띄우개 관경 600㎜ 길이 4.5m</t>
    <phoneticPr fontId="3" type="noConversion"/>
  </si>
  <si>
    <t>관경 350㎜, 고무슬리브 길이 1.0m</t>
    <phoneticPr fontId="3" type="noConversion"/>
  </si>
  <si>
    <t>배송관 띄우개 관경 700㎜ 길이 4.5m</t>
    <phoneticPr fontId="3" type="noConversion"/>
  </si>
  <si>
    <t>(Set당)</t>
    <phoneticPr fontId="3" type="noConversion"/>
  </si>
  <si>
    <t>관경 400㎜, 고무슬리브 길이 1.0m</t>
    <phoneticPr fontId="3" type="noConversion"/>
  </si>
  <si>
    <t>배송관 띄우개 관경 900㎜ 길이 4.5m</t>
    <phoneticPr fontId="3" type="noConversion"/>
  </si>
  <si>
    <t>관경 510㎜, 고무슬리브 길이 1.2m</t>
    <phoneticPr fontId="3" type="noConversion"/>
  </si>
  <si>
    <t>배송관 띄우개 관경 1,000㎜ 길이 4.5m</t>
    <phoneticPr fontId="3" type="noConversion"/>
  </si>
  <si>
    <t>관경 560㎜, 고무슬리브 길이 1.3m</t>
    <phoneticPr fontId="3" type="noConversion"/>
  </si>
  <si>
    <t>배송관 띄우개 관경 1,100㎜ 길이 4.5m</t>
    <phoneticPr fontId="3" type="noConversion"/>
  </si>
  <si>
    <t>관경 610㎜, 고무슬리브 길이 1.3m</t>
    <phoneticPr fontId="3" type="noConversion"/>
  </si>
  <si>
    <t>배송관 띄우개 관경 1,200㎜ 길이 4.5m</t>
    <phoneticPr fontId="3" type="noConversion"/>
  </si>
  <si>
    <t>관경 630㎜, 고무슬리브 길이 1.4m</t>
    <phoneticPr fontId="3" type="noConversion"/>
  </si>
  <si>
    <t>관경 660㎜, 고무슬리브 길이 1.5m</t>
    <phoneticPr fontId="3" type="noConversion"/>
  </si>
  <si>
    <t>배송관 띄우개 관경 1,300㎜ 길이 5.0m</t>
    <phoneticPr fontId="3" type="noConversion"/>
  </si>
  <si>
    <t>관경 685㎜, 고무슬리브 길이 1.5m</t>
    <phoneticPr fontId="3" type="noConversion"/>
  </si>
  <si>
    <t>배송관 띄우개 관경 1,400㎜ 길이 5.0m</t>
    <phoneticPr fontId="3" type="noConversion"/>
  </si>
  <si>
    <t>관경 710㎜, 고무슬리브 길이 1.6m</t>
    <phoneticPr fontId="3" type="noConversion"/>
  </si>
  <si>
    <t>관경 760㎜, 고무슬리브 길이 1.7m</t>
    <phoneticPr fontId="3" type="noConversion"/>
  </si>
  <si>
    <t>배송관 띄우개 관경 1,500㎜ 길이 5.0m</t>
    <phoneticPr fontId="3" type="noConversion"/>
  </si>
  <si>
    <t>관경 840㎜, 고무슬리브 길이 1.9m</t>
    <phoneticPr fontId="3" type="noConversion"/>
  </si>
  <si>
    <t>배송관 띄우개 관경 1,600㎜ 길이 5.0m</t>
    <phoneticPr fontId="3" type="noConversion"/>
  </si>
  <si>
    <t>관경 860㎜, 고무슬리브 길이 1.9m</t>
    <phoneticPr fontId="3" type="noConversion"/>
  </si>
  <si>
    <t>7-4-3 배송관 진수</t>
  </si>
  <si>
    <t>피복석 거친고르기</t>
    <phoneticPr fontId="3" type="noConversion"/>
  </si>
  <si>
    <t>내부사석 고르기</t>
    <phoneticPr fontId="3" type="noConversion"/>
  </si>
  <si>
    <t>굴착기(무한궤도)</t>
  </si>
  <si>
    <t>0.03㎥이하 굴착기 투하</t>
  </si>
  <si>
    <t>0.03㎥이하 덤프트럭+굴착기투하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</si>
</sst>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0_-;\-* #,##0.00_-;_-* &quot;-&quot;_-;_-@_-"/>
    <numFmt numFmtId="182" formatCode="_-* #,##0.000_-;\-* #,##0.000_-;_-* &quot;-&quot;_-;_-@_-"/>
    <numFmt numFmtId="184" formatCode="#,##0.00_);[Red]\(#,##0.0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9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80" fontId="9" fillId="0" borderId="5" xfId="1" applyNumberFormat="1" applyFont="1" applyFill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180" fontId="9" fillId="0" borderId="6" xfId="1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9" fillId="0" borderId="5" xfId="3" applyFont="1" applyBorder="1" applyAlignment="1">
      <alignment vertical="center" shrinkToFit="1"/>
    </xf>
    <xf numFmtId="0" fontId="9" fillId="0" borderId="7" xfId="3" applyFont="1" applyBorder="1" applyAlignment="1">
      <alignment vertical="center" shrinkToFit="1"/>
    </xf>
    <xf numFmtId="0" fontId="14" fillId="0" borderId="0" xfId="6" applyFont="1" applyAlignment="1">
      <alignment vertical="center"/>
    </xf>
    <xf numFmtId="0" fontId="9" fillId="0" borderId="4" xfId="6" applyFont="1" applyBorder="1" applyAlignment="1">
      <alignment horizontal="left" vertical="center"/>
    </xf>
    <xf numFmtId="0" fontId="10" fillId="0" borderId="9" xfId="6" applyFont="1" applyBorder="1" applyAlignment="1">
      <alignment horizontal="left" vertical="center"/>
    </xf>
    <xf numFmtId="0" fontId="12" fillId="0" borderId="4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13" fillId="0" borderId="5" xfId="3" applyFont="1" applyBorder="1" applyAlignment="1">
      <alignment vertical="center"/>
    </xf>
    <xf numFmtId="41" fontId="13" fillId="0" borderId="5" xfId="5" applyFont="1" applyFill="1" applyBorder="1" applyAlignment="1">
      <alignment vertical="center"/>
    </xf>
    <xf numFmtId="41" fontId="13" fillId="0" borderId="6" xfId="5" applyFont="1" applyFill="1" applyBorder="1" applyAlignment="1">
      <alignment vertical="center"/>
    </xf>
    <xf numFmtId="0" fontId="13" fillId="0" borderId="7" xfId="3" applyFont="1" applyBorder="1" applyAlignment="1">
      <alignment vertical="center"/>
    </xf>
    <xf numFmtId="41" fontId="13" fillId="0" borderId="8" xfId="5" applyFont="1" applyFill="1" applyBorder="1" applyAlignment="1">
      <alignment vertical="center"/>
    </xf>
    <xf numFmtId="0" fontId="9" fillId="0" borderId="0" xfId="6" applyFont="1" applyAlignment="1">
      <alignment vertical="center"/>
    </xf>
    <xf numFmtId="0" fontId="12" fillId="0" borderId="0" xfId="3" applyFont="1" applyAlignment="1">
      <alignment vertical="center"/>
    </xf>
    <xf numFmtId="0" fontId="16" fillId="0" borderId="4" xfId="3" applyFont="1" applyBorder="1" applyAlignment="1">
      <alignment vertical="center"/>
    </xf>
    <xf numFmtId="0" fontId="17" fillId="0" borderId="5" xfId="3" applyFont="1" applyBorder="1" applyAlignment="1">
      <alignment vertical="center"/>
    </xf>
    <xf numFmtId="41" fontId="17" fillId="0" borderId="5" xfId="5" applyFont="1" applyFill="1" applyBorder="1" applyAlignment="1">
      <alignment vertical="center"/>
    </xf>
    <xf numFmtId="41" fontId="17" fillId="0" borderId="6" xfId="5" applyFont="1" applyFill="1" applyBorder="1" applyAlignment="1">
      <alignment vertical="center"/>
    </xf>
    <xf numFmtId="0" fontId="16" fillId="0" borderId="4" xfId="6" applyFont="1" applyBorder="1" applyAlignment="1">
      <alignment horizontal="left" vertical="center"/>
    </xf>
    <xf numFmtId="0" fontId="18" fillId="0" borderId="5" xfId="3" applyFont="1" applyBorder="1" applyAlignment="1">
      <alignment vertical="center" shrinkToFit="1"/>
    </xf>
    <xf numFmtId="0" fontId="18" fillId="0" borderId="4" xfId="3" applyFont="1" applyBorder="1" applyAlignment="1">
      <alignment horizontal="center" vertical="center"/>
    </xf>
    <xf numFmtId="0" fontId="12" fillId="0" borderId="0" xfId="3" applyFont="1" applyAlignment="1">
      <alignment horizontal="right" vertical="center"/>
    </xf>
    <xf numFmtId="0" fontId="9" fillId="0" borderId="9" xfId="3" applyFont="1" applyBorder="1" applyAlignment="1">
      <alignment horizontal="center" vertical="center"/>
    </xf>
    <xf numFmtId="0" fontId="9" fillId="0" borderId="0" xfId="0" applyFont="1">
      <alignment vertical="center"/>
    </xf>
    <xf numFmtId="181" fontId="9" fillId="0" borderId="5" xfId="7" applyNumberFormat="1" applyFont="1" applyBorder="1" applyAlignment="1">
      <alignment vertical="center"/>
    </xf>
    <xf numFmtId="180" fontId="9" fillId="0" borderId="0" xfId="7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left" vertical="center"/>
    </xf>
    <xf numFmtId="0" fontId="10" fillId="0" borderId="5" xfId="2" applyFont="1" applyBorder="1" applyAlignment="1">
      <alignment vertical="center"/>
    </xf>
    <xf numFmtId="41" fontId="10" fillId="0" borderId="0" xfId="7" applyFont="1" applyBorder="1" applyAlignment="1">
      <alignment vertical="center"/>
    </xf>
    <xf numFmtId="182" fontId="10" fillId="0" borderId="5" xfId="7" applyNumberFormat="1" applyFont="1" applyFill="1" applyBorder="1" applyAlignment="1">
      <alignment vertical="center"/>
    </xf>
    <xf numFmtId="41" fontId="9" fillId="0" borderId="5" xfId="2" applyNumberFormat="1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41" fontId="10" fillId="0" borderId="8" xfId="7" applyFont="1" applyBorder="1" applyAlignment="1">
      <alignment vertical="center"/>
    </xf>
    <xf numFmtId="0" fontId="10" fillId="0" borderId="4" xfId="2" applyFont="1" applyBorder="1" applyAlignment="1">
      <alignment horizontal="left" vertical="center"/>
    </xf>
    <xf numFmtId="0" fontId="19" fillId="0" borderId="4" xfId="2" applyFont="1" applyBorder="1" applyAlignment="1">
      <alignment horizontal="left" vertical="center"/>
    </xf>
    <xf numFmtId="0" fontId="19" fillId="0" borderId="9" xfId="2" applyFont="1" applyBorder="1" applyAlignment="1">
      <alignment horizontal="left" vertical="center"/>
    </xf>
    <xf numFmtId="0" fontId="9" fillId="0" borderId="4" xfId="2" applyFont="1" applyBorder="1" applyAlignment="1">
      <alignment horizontal="center" vertical="center"/>
    </xf>
    <xf numFmtId="41" fontId="16" fillId="0" borderId="6" xfId="7" applyFont="1" applyBorder="1" applyAlignment="1">
      <alignment vertical="center"/>
    </xf>
    <xf numFmtId="41" fontId="16" fillId="0" borderId="6" xfId="7" applyFont="1" applyFill="1" applyBorder="1" applyAlignment="1">
      <alignment vertical="center"/>
    </xf>
    <xf numFmtId="41" fontId="10" fillId="0" borderId="5" xfId="1" applyFont="1" applyBorder="1" applyAlignment="1">
      <alignment vertical="center"/>
    </xf>
    <xf numFmtId="41" fontId="11" fillId="0" borderId="5" xfId="0" applyNumberFormat="1" applyFont="1" applyBorder="1">
      <alignment vertical="center"/>
    </xf>
    <xf numFmtId="41" fontId="11" fillId="0" borderId="5" xfId="1" applyFont="1" applyFill="1" applyBorder="1" applyAlignment="1">
      <alignment horizontal="right" vertical="center"/>
    </xf>
    <xf numFmtId="181" fontId="10" fillId="0" borderId="5" xfId="7" applyNumberFormat="1" applyFont="1" applyBorder="1" applyAlignment="1">
      <alignment vertical="center"/>
    </xf>
    <xf numFmtId="41" fontId="11" fillId="0" borderId="5" xfId="3" applyNumberFormat="1" applyFont="1" applyBorder="1" applyAlignment="1">
      <alignment vertical="center"/>
    </xf>
    <xf numFmtId="181" fontId="12" fillId="0" borderId="5" xfId="1" applyNumberFormat="1" applyFont="1" applyBorder="1" applyAlignment="1">
      <alignment vertical="center"/>
    </xf>
    <xf numFmtId="41" fontId="11" fillId="0" borderId="5" xfId="1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2" fillId="0" borderId="3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41" fontId="11" fillId="0" borderId="10" xfId="0" applyNumberFormat="1" applyFont="1" applyBorder="1">
      <alignment vertical="center"/>
    </xf>
    <xf numFmtId="182" fontId="12" fillId="0" borderId="5" xfId="1" applyNumberFormat="1" applyFont="1" applyBorder="1" applyAlignment="1">
      <alignment vertical="center"/>
    </xf>
    <xf numFmtId="180" fontId="12" fillId="0" borderId="5" xfId="1" applyNumberFormat="1" applyFont="1" applyBorder="1" applyAlignment="1">
      <alignment vertical="center"/>
    </xf>
    <xf numFmtId="184" fontId="20" fillId="0" borderId="0" xfId="4" applyNumberFormat="1" applyFont="1" applyAlignment="1">
      <alignment vertical="center"/>
    </xf>
    <xf numFmtId="0" fontId="6" fillId="0" borderId="0" xfId="0" applyFont="1" applyAlignment="1"/>
    <xf numFmtId="0" fontId="12" fillId="0" borderId="2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shrinkToFit="1"/>
    </xf>
    <xf numFmtId="0" fontId="9" fillId="0" borderId="2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 shrinkToFit="1"/>
    </xf>
    <xf numFmtId="0" fontId="12" fillId="0" borderId="3" xfId="3" applyFont="1" applyBorder="1" applyAlignment="1">
      <alignment horizontal="center" vertical="center" shrinkToFit="1"/>
    </xf>
    <xf numFmtId="0" fontId="12" fillId="0" borderId="12" xfId="3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0" fontId="12" fillId="0" borderId="4" xfId="3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 shrinkToFit="1"/>
    </xf>
    <xf numFmtId="0" fontId="9" fillId="0" borderId="5" xfId="3" applyFont="1" applyBorder="1" applyAlignment="1">
      <alignment horizontal="center" vertical="center" shrinkToFit="1"/>
    </xf>
    <xf numFmtId="0" fontId="9" fillId="0" borderId="7" xfId="3" applyFont="1" applyBorder="1" applyAlignment="1">
      <alignment horizontal="center" vertical="center" shrinkToFit="1"/>
    </xf>
    <xf numFmtId="0" fontId="9" fillId="0" borderId="10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12" fillId="0" borderId="11" xfId="3" applyFont="1" applyBorder="1" applyAlignment="1">
      <alignment horizontal="center" vertical="center" shrinkToFit="1"/>
    </xf>
    <xf numFmtId="0" fontId="12" fillId="0" borderId="15" xfId="3" applyFont="1" applyBorder="1" applyAlignment="1">
      <alignment horizontal="center" vertical="center" shrinkToFit="1"/>
    </xf>
    <xf numFmtId="0" fontId="12" fillId="0" borderId="8" xfId="3" applyFont="1" applyBorder="1" applyAlignment="1">
      <alignment horizontal="center" vertical="center" shrinkToFit="1"/>
    </xf>
    <xf numFmtId="0" fontId="12" fillId="0" borderId="14" xfId="3" applyFont="1" applyBorder="1" applyAlignment="1">
      <alignment horizontal="center" vertical="center" shrinkToFit="1"/>
    </xf>
  </cellXfs>
  <cellStyles count="8">
    <cellStyle name="쉼표 [0]" xfId="1" builtinId="6"/>
    <cellStyle name="콤마 [0]_가설공사(1)" xfId="5" xr:uid="{00000000-0005-0000-0000-000002000000}"/>
    <cellStyle name="콤마 [0]_조경공사" xfId="7" xr:uid="{00000000-0005-0000-0000-000003000000}"/>
    <cellStyle name="표준" xfId="0" builtinId="0"/>
    <cellStyle name="표준_Sheet1" xfId="4" xr:uid="{00000000-0005-0000-0000-000005000000}"/>
    <cellStyle name="표준_가설공사(1)" xfId="3" xr:uid="{00000000-0005-0000-0000-000006000000}"/>
    <cellStyle name="표준_가설공사(2)" xfId="6" xr:uid="{00000000-0005-0000-0000-000007000000}"/>
    <cellStyle name="표준_조경공사" xfId="2" xr:uid="{00000000-0005-0000-0000-00000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E56B-00A3-48D2-BFB1-6D576D63FE73}">
  <sheetPr>
    <pageSetUpPr fitToPage="1"/>
  </sheetPr>
  <dimension ref="A1:O429"/>
  <sheetViews>
    <sheetView tabSelected="1" zoomScaleNormal="100" workbookViewId="0">
      <selection activeCell="J19" sqref="J19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6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5" ht="12.95" customHeight="1" x14ac:dyDescent="0.3">
      <c r="A1" s="61"/>
      <c r="B1" s="8" t="s">
        <v>27</v>
      </c>
      <c r="C1" s="5"/>
      <c r="D1" s="1"/>
    </row>
    <row r="2" spans="1:15" ht="12.95" customHeight="1" x14ac:dyDescent="0.15">
      <c r="A2" s="62"/>
      <c r="B2" s="1" t="s">
        <v>28</v>
      </c>
    </row>
    <row r="3" spans="1:15" ht="12.95" customHeight="1" x14ac:dyDescent="0.3">
      <c r="B3" s="2" t="s">
        <v>29</v>
      </c>
      <c r="I3" s="55" t="s">
        <v>30</v>
      </c>
    </row>
    <row r="4" spans="1:15" ht="12.95" customHeight="1" x14ac:dyDescent="0.3">
      <c r="B4" s="63" t="s">
        <v>5</v>
      </c>
      <c r="C4" s="64" t="s">
        <v>9</v>
      </c>
      <c r="D4" s="65" t="s">
        <v>10</v>
      </c>
      <c r="E4" s="66" t="s">
        <v>6</v>
      </c>
      <c r="F4" s="67" t="s">
        <v>31</v>
      </c>
      <c r="G4" s="68"/>
      <c r="H4" s="67" t="s">
        <v>32</v>
      </c>
      <c r="I4" s="68"/>
    </row>
    <row r="5" spans="1:15" ht="12.95" customHeight="1" x14ac:dyDescent="0.3">
      <c r="B5" s="63"/>
      <c r="C5" s="64"/>
      <c r="D5" s="65"/>
      <c r="E5" s="66"/>
      <c r="F5" s="57" t="s">
        <v>7</v>
      </c>
      <c r="G5" s="56" t="s">
        <v>8</v>
      </c>
      <c r="H5" s="57" t="s">
        <v>7</v>
      </c>
      <c r="I5" s="56" t="s">
        <v>8</v>
      </c>
    </row>
    <row r="6" spans="1:15" ht="12.95" customHeight="1" x14ac:dyDescent="0.3">
      <c r="B6" s="14" t="s">
        <v>18</v>
      </c>
      <c r="C6" s="9"/>
      <c r="D6" s="4" t="s">
        <v>11</v>
      </c>
      <c r="E6" s="58">
        <v>226122</v>
      </c>
      <c r="F6" s="53">
        <v>0</v>
      </c>
      <c r="G6" s="3">
        <f t="shared" ref="G6:G7" si="0">TRUNC($E6*F6,1)</f>
        <v>0</v>
      </c>
      <c r="H6" s="53">
        <v>0.09</v>
      </c>
      <c r="I6" s="7">
        <f t="shared" ref="I6:I7" si="1">TRUNC($E6*H6,1)</f>
        <v>20350.900000000001</v>
      </c>
    </row>
    <row r="7" spans="1:15" ht="12.95" customHeight="1" x14ac:dyDescent="0.3">
      <c r="B7" s="14" t="s">
        <v>1</v>
      </c>
      <c r="C7" s="9"/>
      <c r="D7" s="4" t="s">
        <v>11</v>
      </c>
      <c r="E7" s="52">
        <v>172068</v>
      </c>
      <c r="F7" s="53">
        <v>0.06</v>
      </c>
      <c r="G7" s="3">
        <f t="shared" si="0"/>
        <v>10324</v>
      </c>
      <c r="H7" s="53">
        <v>0.1</v>
      </c>
      <c r="I7" s="7">
        <f t="shared" si="1"/>
        <v>17206.8</v>
      </c>
    </row>
    <row r="8" spans="1:15" ht="12.95" customHeight="1" x14ac:dyDescent="0.3">
      <c r="B8" s="23" t="s">
        <v>13</v>
      </c>
      <c r="C8" s="28"/>
      <c r="D8" s="29"/>
      <c r="E8" s="24"/>
      <c r="F8" s="24"/>
      <c r="G8" s="25">
        <f>TRUNC(SUM(G6:G7))</f>
        <v>10324</v>
      </c>
      <c r="H8" s="24"/>
      <c r="I8" s="26">
        <f>TRUNC(SUM(I6:I7))</f>
        <v>37557</v>
      </c>
    </row>
    <row r="9" spans="1:15" ht="12.95" customHeight="1" x14ac:dyDescent="0.3">
      <c r="B9" s="15"/>
      <c r="C9" s="9"/>
      <c r="D9" s="4"/>
      <c r="E9" s="16"/>
      <c r="F9" s="16"/>
      <c r="G9" s="17"/>
      <c r="H9" s="16"/>
      <c r="I9" s="18"/>
    </row>
    <row r="10" spans="1:15" ht="12.95" customHeight="1" x14ac:dyDescent="0.3">
      <c r="B10" s="13" t="s">
        <v>15</v>
      </c>
      <c r="C10" s="10"/>
      <c r="D10" s="31"/>
      <c r="E10" s="19"/>
      <c r="F10" s="19"/>
      <c r="G10" s="20">
        <f>SUM(G8)</f>
        <v>10324</v>
      </c>
      <c r="H10" s="19"/>
      <c r="I10" s="20">
        <f>SUM(I8)</f>
        <v>37557</v>
      </c>
    </row>
    <row r="12" spans="1:15" ht="12.95" customHeight="1" x14ac:dyDescent="0.3">
      <c r="B12" s="2" t="s">
        <v>33</v>
      </c>
      <c r="I12" s="55" t="s">
        <v>34</v>
      </c>
    </row>
    <row r="13" spans="1:15" ht="12.95" customHeight="1" x14ac:dyDescent="0.3">
      <c r="B13" s="63" t="s">
        <v>5</v>
      </c>
      <c r="C13" s="64" t="s">
        <v>9</v>
      </c>
      <c r="D13" s="65" t="s">
        <v>10</v>
      </c>
      <c r="E13" s="66" t="s">
        <v>6</v>
      </c>
      <c r="F13" s="67" t="s">
        <v>169</v>
      </c>
      <c r="G13" s="68"/>
      <c r="H13" s="67" t="s">
        <v>35</v>
      </c>
      <c r="I13" s="68"/>
      <c r="O13" s="32"/>
    </row>
    <row r="14" spans="1:15" ht="12.95" customHeight="1" x14ac:dyDescent="0.3">
      <c r="B14" s="63"/>
      <c r="C14" s="64"/>
      <c r="D14" s="65"/>
      <c r="E14" s="66"/>
      <c r="F14" s="57" t="s">
        <v>7</v>
      </c>
      <c r="G14" s="56" t="s">
        <v>8</v>
      </c>
      <c r="H14" s="57" t="s">
        <v>7</v>
      </c>
      <c r="I14" s="56" t="s">
        <v>8</v>
      </c>
      <c r="N14" s="32"/>
      <c r="O14" s="32"/>
    </row>
    <row r="15" spans="1:15" ht="12.95" customHeight="1" x14ac:dyDescent="0.3">
      <c r="B15" s="14" t="s">
        <v>3</v>
      </c>
      <c r="C15" s="9" t="s">
        <v>36</v>
      </c>
      <c r="D15" s="4" t="s">
        <v>11</v>
      </c>
      <c r="E15" s="52">
        <v>387342</v>
      </c>
      <c r="F15" s="53">
        <v>0.28000000000000003</v>
      </c>
      <c r="G15" s="3">
        <f t="shared" ref="G15:G17" si="2">TRUNC($E15*F15,1)</f>
        <v>108455.7</v>
      </c>
      <c r="H15" s="53">
        <v>0.36</v>
      </c>
      <c r="I15" s="7">
        <f t="shared" ref="I15:I17" si="3">TRUNC($E15*H15,1)</f>
        <v>139443.1</v>
      </c>
      <c r="N15" s="32"/>
      <c r="O15" s="32"/>
    </row>
    <row r="16" spans="1:15" ht="12.95" customHeight="1" x14ac:dyDescent="0.3">
      <c r="B16" s="14" t="s">
        <v>18</v>
      </c>
      <c r="C16" s="9"/>
      <c r="D16" s="4" t="s">
        <v>11</v>
      </c>
      <c r="E16" s="49">
        <v>226122</v>
      </c>
      <c r="F16" s="53">
        <v>0.04</v>
      </c>
      <c r="G16" s="3">
        <f t="shared" si="2"/>
        <v>9044.7999999999993</v>
      </c>
      <c r="H16" s="53">
        <v>0.2</v>
      </c>
      <c r="I16" s="7">
        <f t="shared" si="3"/>
        <v>45224.4</v>
      </c>
      <c r="N16" s="32"/>
      <c r="O16" s="32"/>
    </row>
    <row r="17" spans="2:15" ht="12.95" customHeight="1" x14ac:dyDescent="0.3">
      <c r="B17" s="14" t="s">
        <v>1</v>
      </c>
      <c r="C17" s="9"/>
      <c r="D17" s="4" t="s">
        <v>11</v>
      </c>
      <c r="E17" s="52">
        <v>172068</v>
      </c>
      <c r="F17" s="53">
        <v>0.12</v>
      </c>
      <c r="G17" s="3">
        <f t="shared" si="2"/>
        <v>20648.099999999999</v>
      </c>
      <c r="H17" s="53">
        <v>0.22</v>
      </c>
      <c r="I17" s="7">
        <f t="shared" si="3"/>
        <v>37854.9</v>
      </c>
      <c r="N17" s="32"/>
      <c r="O17" s="32"/>
    </row>
    <row r="18" spans="2:15" ht="12.95" customHeight="1" x14ac:dyDescent="0.3">
      <c r="B18" s="23" t="s">
        <v>13</v>
      </c>
      <c r="C18" s="28"/>
      <c r="D18" s="29"/>
      <c r="E18" s="24"/>
      <c r="F18" s="24"/>
      <c r="G18" s="25">
        <f>TRUNC(SUM(G15:G17))</f>
        <v>138148</v>
      </c>
      <c r="H18" s="24"/>
      <c r="I18" s="26">
        <f>TRUNC(SUM(I15:I17))</f>
        <v>222522</v>
      </c>
      <c r="N18" s="32"/>
      <c r="O18" s="32"/>
    </row>
    <row r="19" spans="2:15" ht="12.95" customHeight="1" x14ac:dyDescent="0.3">
      <c r="B19" s="15"/>
      <c r="C19" s="9"/>
      <c r="D19" s="4"/>
      <c r="E19" s="16"/>
      <c r="F19" s="16"/>
      <c r="G19" s="17"/>
      <c r="H19" s="16"/>
      <c r="I19" s="18"/>
      <c r="N19" s="32"/>
      <c r="O19" s="32"/>
    </row>
    <row r="20" spans="2:15" ht="12.95" customHeight="1" x14ac:dyDescent="0.3">
      <c r="B20" s="13" t="s">
        <v>15</v>
      </c>
      <c r="C20" s="10"/>
      <c r="D20" s="31"/>
      <c r="E20" s="19"/>
      <c r="F20" s="19"/>
      <c r="G20" s="20">
        <f>SUM(G18)</f>
        <v>138148</v>
      </c>
      <c r="H20" s="19"/>
      <c r="I20" s="20">
        <f>SUM(I18)</f>
        <v>222522</v>
      </c>
      <c r="N20" s="32"/>
      <c r="O20" s="32"/>
    </row>
    <row r="21" spans="2:15" ht="12.95" customHeight="1" x14ac:dyDescent="0.3">
      <c r="N21" s="32"/>
      <c r="O21" s="32"/>
    </row>
    <row r="22" spans="2:15" ht="12.95" customHeight="1" x14ac:dyDescent="0.3">
      <c r="B22" s="2" t="s">
        <v>37</v>
      </c>
      <c r="I22" s="55" t="s">
        <v>34</v>
      </c>
      <c r="N22" s="32"/>
      <c r="O22" s="32"/>
    </row>
    <row r="23" spans="2:15" ht="12.95" customHeight="1" x14ac:dyDescent="0.3">
      <c r="B23" s="63" t="s">
        <v>5</v>
      </c>
      <c r="C23" s="64" t="s">
        <v>9</v>
      </c>
      <c r="D23" s="65" t="s">
        <v>10</v>
      </c>
      <c r="E23" s="66" t="s">
        <v>6</v>
      </c>
      <c r="F23" s="67" t="s">
        <v>170</v>
      </c>
      <c r="G23" s="68"/>
      <c r="H23" s="67" t="s">
        <v>35</v>
      </c>
      <c r="I23" s="68"/>
      <c r="N23" s="32"/>
      <c r="O23" s="32"/>
    </row>
    <row r="24" spans="2:15" ht="12.95" customHeight="1" x14ac:dyDescent="0.3">
      <c r="B24" s="63"/>
      <c r="C24" s="64"/>
      <c r="D24" s="65"/>
      <c r="E24" s="66"/>
      <c r="F24" s="57" t="s">
        <v>7</v>
      </c>
      <c r="G24" s="56" t="s">
        <v>8</v>
      </c>
      <c r="H24" s="57" t="s">
        <v>7</v>
      </c>
      <c r="I24" s="56" t="s">
        <v>8</v>
      </c>
    </row>
    <row r="25" spans="2:15" ht="12.95" customHeight="1" x14ac:dyDescent="0.3">
      <c r="B25" s="14" t="s">
        <v>3</v>
      </c>
      <c r="C25" s="9" t="s">
        <v>36</v>
      </c>
      <c r="D25" s="4" t="s">
        <v>11</v>
      </c>
      <c r="E25" s="52">
        <v>387342</v>
      </c>
      <c r="F25" s="53">
        <v>0</v>
      </c>
      <c r="G25" s="3">
        <f t="shared" ref="G25:G27" si="4">TRUNC($E25*F25,1)</f>
        <v>0</v>
      </c>
      <c r="H25" s="53">
        <v>0.36</v>
      </c>
      <c r="I25" s="7">
        <f t="shared" ref="I25:I27" si="5">TRUNC($E25*H25,1)</f>
        <v>139443.1</v>
      </c>
    </row>
    <row r="26" spans="2:15" ht="12.95" customHeight="1" x14ac:dyDescent="0.3">
      <c r="B26" s="14" t="s">
        <v>18</v>
      </c>
      <c r="C26" s="9"/>
      <c r="D26" s="4" t="s">
        <v>11</v>
      </c>
      <c r="E26" s="49">
        <v>226122</v>
      </c>
      <c r="F26" s="53">
        <v>0</v>
      </c>
      <c r="G26" s="3">
        <f t="shared" si="4"/>
        <v>0</v>
      </c>
      <c r="H26" s="53">
        <v>0.13</v>
      </c>
      <c r="I26" s="7">
        <f t="shared" si="5"/>
        <v>29395.8</v>
      </c>
    </row>
    <row r="27" spans="2:15" ht="12.95" customHeight="1" x14ac:dyDescent="0.3">
      <c r="B27" s="14" t="s">
        <v>1</v>
      </c>
      <c r="C27" s="9"/>
      <c r="D27" s="4" t="s">
        <v>11</v>
      </c>
      <c r="E27" s="52">
        <v>172068</v>
      </c>
      <c r="F27" s="59">
        <v>8.0000000000000002E-3</v>
      </c>
      <c r="G27" s="3">
        <f t="shared" si="4"/>
        <v>1376.5</v>
      </c>
      <c r="H27" s="53">
        <v>0.13</v>
      </c>
      <c r="I27" s="7">
        <f t="shared" si="5"/>
        <v>22368.799999999999</v>
      </c>
    </row>
    <row r="28" spans="2:15" ht="12.95" customHeight="1" x14ac:dyDescent="0.3">
      <c r="B28" s="23" t="s">
        <v>13</v>
      </c>
      <c r="C28" s="28"/>
      <c r="D28" s="29"/>
      <c r="E28" s="24"/>
      <c r="F28" s="24"/>
      <c r="G28" s="25">
        <f>TRUNC(SUM(G25:G27))</f>
        <v>1376</v>
      </c>
      <c r="H28" s="24"/>
      <c r="I28" s="26">
        <f>TRUNC(SUM(I25:I27))</f>
        <v>191207</v>
      </c>
    </row>
    <row r="29" spans="2:15" ht="12.95" customHeight="1" x14ac:dyDescent="0.3">
      <c r="B29" s="15"/>
      <c r="C29" s="9"/>
      <c r="D29" s="4"/>
      <c r="E29" s="16"/>
      <c r="F29" s="16"/>
      <c r="G29" s="17"/>
      <c r="H29" s="16"/>
      <c r="I29" s="18"/>
    </row>
    <row r="30" spans="2:15" ht="12.95" customHeight="1" x14ac:dyDescent="0.3">
      <c r="B30" s="13" t="s">
        <v>15</v>
      </c>
      <c r="C30" s="10"/>
      <c r="D30" s="31"/>
      <c r="E30" s="19"/>
      <c r="F30" s="19"/>
      <c r="G30" s="20">
        <f>SUM(G28)</f>
        <v>1376</v>
      </c>
      <c r="H30" s="19"/>
      <c r="I30" s="20">
        <f>SUM(I28)</f>
        <v>191207</v>
      </c>
    </row>
    <row r="32" spans="2:15" ht="12.95" customHeight="1" x14ac:dyDescent="0.3">
      <c r="B32" s="2" t="s">
        <v>43</v>
      </c>
      <c r="C32" s="22"/>
      <c r="D32" s="22"/>
      <c r="E32" s="22"/>
      <c r="F32" s="22"/>
      <c r="G32" s="22"/>
      <c r="H32" s="22"/>
      <c r="I32" s="30"/>
      <c r="K32" s="30" t="s">
        <v>42</v>
      </c>
    </row>
    <row r="33" spans="2:11" ht="12.95" customHeight="1" x14ac:dyDescent="0.3">
      <c r="B33" s="70" t="s">
        <v>5</v>
      </c>
      <c r="C33" s="72" t="s">
        <v>16</v>
      </c>
      <c r="D33" s="74" t="s">
        <v>10</v>
      </c>
      <c r="E33" s="75" t="s">
        <v>6</v>
      </c>
      <c r="F33" s="68" t="s">
        <v>39</v>
      </c>
      <c r="G33" s="69"/>
      <c r="H33" s="68" t="s">
        <v>40</v>
      </c>
      <c r="I33" s="69"/>
      <c r="J33" s="68" t="s">
        <v>166</v>
      </c>
      <c r="K33" s="69"/>
    </row>
    <row r="34" spans="2:11" ht="12.95" customHeight="1" x14ac:dyDescent="0.3">
      <c r="B34" s="71"/>
      <c r="C34" s="73"/>
      <c r="D34" s="74"/>
      <c r="E34" s="76"/>
      <c r="F34" s="57" t="s">
        <v>7</v>
      </c>
      <c r="G34" s="56" t="s">
        <v>8</v>
      </c>
      <c r="H34" s="57" t="s">
        <v>7</v>
      </c>
      <c r="I34" s="56" t="s">
        <v>8</v>
      </c>
      <c r="J34" s="57" t="s">
        <v>7</v>
      </c>
      <c r="K34" s="56" t="s">
        <v>8</v>
      </c>
    </row>
    <row r="35" spans="2:11" ht="12.95" customHeight="1" x14ac:dyDescent="0.3">
      <c r="B35" s="35" t="s">
        <v>168</v>
      </c>
      <c r="C35" s="35" t="s">
        <v>0</v>
      </c>
      <c r="D35" s="45" t="s">
        <v>17</v>
      </c>
      <c r="E35" s="50">
        <v>35814</v>
      </c>
      <c r="F35" s="33">
        <v>1.72</v>
      </c>
      <c r="G35" s="7">
        <f t="shared" ref="G35:G36" si="6">TRUNC($E35*F35,1)</f>
        <v>61600</v>
      </c>
      <c r="H35" s="33">
        <v>0</v>
      </c>
      <c r="I35" s="7">
        <f t="shared" ref="I35:I36" si="7">TRUNC($E35*H35,1)</f>
        <v>0</v>
      </c>
      <c r="J35" s="33">
        <v>0</v>
      </c>
      <c r="K35" s="7">
        <f t="shared" ref="K35:K36" si="8">TRUNC($E35*J35,1)</f>
        <v>0</v>
      </c>
    </row>
    <row r="36" spans="2:11" ht="12.95" customHeight="1" x14ac:dyDescent="0.3">
      <c r="B36" s="35" t="s">
        <v>20</v>
      </c>
      <c r="C36" s="35" t="s">
        <v>23</v>
      </c>
      <c r="D36" s="45" t="s">
        <v>17</v>
      </c>
      <c r="E36" s="50">
        <v>10477</v>
      </c>
      <c r="F36" s="33">
        <v>0</v>
      </c>
      <c r="G36" s="7">
        <f t="shared" si="6"/>
        <v>0</v>
      </c>
      <c r="H36" s="33">
        <v>1.53</v>
      </c>
      <c r="I36" s="7">
        <f t="shared" si="7"/>
        <v>16029.8</v>
      </c>
      <c r="J36" s="33">
        <v>1.36</v>
      </c>
      <c r="K36" s="7">
        <f t="shared" si="8"/>
        <v>14248.7</v>
      </c>
    </row>
    <row r="37" spans="2:11" ht="12.95" customHeight="1" x14ac:dyDescent="0.3">
      <c r="B37" s="27" t="s">
        <v>12</v>
      </c>
      <c r="C37" s="43"/>
      <c r="D37" s="43"/>
      <c r="E37" s="48"/>
      <c r="F37" s="51"/>
      <c r="G37" s="46">
        <f>TRUNC(SUM(G35:G36))</f>
        <v>61600</v>
      </c>
      <c r="H37" s="51"/>
      <c r="I37" s="46">
        <f>TRUNC(SUM(I35:I36))</f>
        <v>16029</v>
      </c>
      <c r="J37" s="51"/>
      <c r="K37" s="46">
        <f>TRUNC(SUM(K35:K36))</f>
        <v>14248</v>
      </c>
    </row>
    <row r="38" spans="2:11" ht="12.95" customHeight="1" x14ac:dyDescent="0.3">
      <c r="B38" s="42"/>
      <c r="C38" s="43"/>
      <c r="D38" s="43"/>
      <c r="E38" s="48"/>
      <c r="F38" s="51"/>
      <c r="G38" s="37"/>
      <c r="H38" s="51"/>
      <c r="I38" s="37"/>
      <c r="J38" s="51"/>
      <c r="K38" s="37"/>
    </row>
    <row r="39" spans="2:11" ht="12.95" customHeight="1" x14ac:dyDescent="0.3">
      <c r="B39" s="14" t="s">
        <v>38</v>
      </c>
      <c r="C39" s="9"/>
      <c r="D39" s="4" t="s">
        <v>11</v>
      </c>
      <c r="E39" s="49">
        <v>268908</v>
      </c>
      <c r="F39" s="33">
        <v>0.7</v>
      </c>
      <c r="G39" s="7">
        <f t="shared" ref="G39:G42" si="9">TRUNC($E39*F39,1)</f>
        <v>188235.6</v>
      </c>
      <c r="H39" s="33">
        <v>0.62</v>
      </c>
      <c r="I39" s="7">
        <f t="shared" ref="I39:I42" si="10">TRUNC($E39*H39,1)</f>
        <v>166722.9</v>
      </c>
      <c r="J39" s="33">
        <v>0.55000000000000004</v>
      </c>
      <c r="K39" s="7">
        <f t="shared" ref="K39:K42" si="11">TRUNC($E39*J39,1)</f>
        <v>147899.4</v>
      </c>
    </row>
    <row r="40" spans="2:11" ht="12.95" customHeight="1" x14ac:dyDescent="0.3">
      <c r="B40" s="14" t="s">
        <v>1</v>
      </c>
      <c r="C40" s="9"/>
      <c r="D40" s="4" t="s">
        <v>11</v>
      </c>
      <c r="E40" s="49">
        <v>172068</v>
      </c>
      <c r="F40" s="33">
        <v>0.42</v>
      </c>
      <c r="G40" s="7">
        <f t="shared" si="9"/>
        <v>72268.5</v>
      </c>
      <c r="H40" s="33">
        <v>0.39</v>
      </c>
      <c r="I40" s="7">
        <f t="shared" si="10"/>
        <v>67106.5</v>
      </c>
      <c r="J40" s="33">
        <v>0.36</v>
      </c>
      <c r="K40" s="7">
        <f t="shared" si="11"/>
        <v>61944.4</v>
      </c>
    </row>
    <row r="41" spans="2:11" ht="12.95" customHeight="1" x14ac:dyDescent="0.3">
      <c r="B41" s="35" t="s">
        <v>168</v>
      </c>
      <c r="C41" s="35" t="s">
        <v>0</v>
      </c>
      <c r="D41" s="45" t="s">
        <v>17</v>
      </c>
      <c r="E41" s="50">
        <v>58925</v>
      </c>
      <c r="F41" s="33">
        <v>1.72</v>
      </c>
      <c r="G41" s="7">
        <f t="shared" si="9"/>
        <v>101351</v>
      </c>
      <c r="H41" s="33">
        <v>0</v>
      </c>
      <c r="I41" s="7">
        <f t="shared" si="10"/>
        <v>0</v>
      </c>
      <c r="J41" s="33">
        <v>0</v>
      </c>
      <c r="K41" s="7">
        <f t="shared" si="11"/>
        <v>0</v>
      </c>
    </row>
    <row r="42" spans="2:11" ht="12.95" customHeight="1" x14ac:dyDescent="0.3">
      <c r="B42" s="35" t="s">
        <v>20</v>
      </c>
      <c r="C42" s="35" t="s">
        <v>23</v>
      </c>
      <c r="D42" s="45" t="s">
        <v>17</v>
      </c>
      <c r="E42" s="50">
        <v>58925</v>
      </c>
      <c r="F42" s="33">
        <v>0</v>
      </c>
      <c r="G42" s="7">
        <f t="shared" si="9"/>
        <v>0</v>
      </c>
      <c r="H42" s="33">
        <v>1.53</v>
      </c>
      <c r="I42" s="7">
        <f t="shared" si="10"/>
        <v>90155.199999999997</v>
      </c>
      <c r="J42" s="33">
        <v>1.36</v>
      </c>
      <c r="K42" s="7">
        <f t="shared" si="11"/>
        <v>80138</v>
      </c>
    </row>
    <row r="43" spans="2:11" ht="12.95" customHeight="1" x14ac:dyDescent="0.3">
      <c r="B43" s="23" t="s">
        <v>13</v>
      </c>
      <c r="C43" s="43"/>
      <c r="D43" s="43"/>
      <c r="E43" s="48"/>
      <c r="F43" s="51"/>
      <c r="G43" s="46">
        <f>TRUNC(SUM(G39:G42))</f>
        <v>361855</v>
      </c>
      <c r="H43" s="51"/>
      <c r="I43" s="46">
        <f>TRUNC(SUM(I39:I42))</f>
        <v>323984</v>
      </c>
      <c r="J43" s="51"/>
      <c r="K43" s="46">
        <f>TRUNC(SUM(K39:K42))</f>
        <v>289981</v>
      </c>
    </row>
    <row r="44" spans="2:11" ht="12.95" customHeight="1" x14ac:dyDescent="0.3">
      <c r="B44" s="42"/>
      <c r="C44" s="43"/>
      <c r="D44" s="43"/>
      <c r="E44" s="48"/>
      <c r="F44" s="51"/>
      <c r="G44" s="37"/>
      <c r="H44" s="51"/>
      <c r="I44" s="37"/>
      <c r="J44" s="51"/>
      <c r="K44" s="37"/>
    </row>
    <row r="45" spans="2:11" ht="12.95" customHeight="1" x14ac:dyDescent="0.3">
      <c r="B45" s="35" t="s">
        <v>168</v>
      </c>
      <c r="C45" s="35" t="s">
        <v>0</v>
      </c>
      <c r="D45" s="45" t="s">
        <v>17</v>
      </c>
      <c r="E45" s="50">
        <v>29621</v>
      </c>
      <c r="F45" s="33">
        <v>1.72</v>
      </c>
      <c r="G45" s="7">
        <f t="shared" ref="G45:G46" si="12">TRUNC($E45*F45,1)</f>
        <v>50948.1</v>
      </c>
      <c r="H45" s="33">
        <v>0</v>
      </c>
      <c r="I45" s="7">
        <f t="shared" ref="I45:I46" si="13">TRUNC($E45*H45,1)</f>
        <v>0</v>
      </c>
      <c r="J45" s="33">
        <v>0</v>
      </c>
      <c r="K45" s="7">
        <f t="shared" ref="K45:K46" si="14">TRUNC($E45*J45,1)</f>
        <v>0</v>
      </c>
    </row>
    <row r="46" spans="2:11" ht="12.95" customHeight="1" x14ac:dyDescent="0.3">
      <c r="B46" s="35" t="s">
        <v>20</v>
      </c>
      <c r="C46" s="35" t="s">
        <v>23</v>
      </c>
      <c r="D46" s="45" t="s">
        <v>17</v>
      </c>
      <c r="E46" s="50">
        <v>14120</v>
      </c>
      <c r="F46" s="33">
        <v>0</v>
      </c>
      <c r="G46" s="7">
        <f t="shared" si="12"/>
        <v>0</v>
      </c>
      <c r="H46" s="33">
        <v>1.53</v>
      </c>
      <c r="I46" s="7">
        <f t="shared" si="13"/>
        <v>21603.599999999999</v>
      </c>
      <c r="J46" s="33">
        <v>1.36</v>
      </c>
      <c r="K46" s="7">
        <f t="shared" si="14"/>
        <v>19203.2</v>
      </c>
    </row>
    <row r="47" spans="2:11" ht="12.95" customHeight="1" x14ac:dyDescent="0.3">
      <c r="B47" s="27" t="s">
        <v>14</v>
      </c>
      <c r="C47" s="43"/>
      <c r="D47" s="43"/>
      <c r="E47" s="36"/>
      <c r="F47" s="38"/>
      <c r="G47" s="46">
        <f>TRUNC(SUM(G45:G46))</f>
        <v>50948</v>
      </c>
      <c r="H47" s="38"/>
      <c r="I47" s="46">
        <f>TRUNC(SUM(I45:I46))</f>
        <v>21603</v>
      </c>
      <c r="J47" s="38"/>
      <c r="K47" s="46">
        <f>TRUNC(SUM(K45:K46))</f>
        <v>19203</v>
      </c>
    </row>
    <row r="48" spans="2:11" ht="12.95" customHeight="1" x14ac:dyDescent="0.3">
      <c r="B48" s="12"/>
      <c r="C48" s="35"/>
      <c r="D48" s="35"/>
      <c r="E48" s="39"/>
      <c r="F48" s="33"/>
      <c r="G48" s="34"/>
      <c r="H48" s="33"/>
      <c r="I48" s="34"/>
      <c r="J48" s="33"/>
      <c r="K48" s="34"/>
    </row>
    <row r="49" spans="2:11" ht="12.95" customHeight="1" x14ac:dyDescent="0.3">
      <c r="B49" s="13" t="s">
        <v>15</v>
      </c>
      <c r="C49" s="44"/>
      <c r="D49" s="44"/>
      <c r="E49" s="40"/>
      <c r="F49" s="40"/>
      <c r="G49" s="41">
        <f>SUM(G37+G43+G47)</f>
        <v>474403</v>
      </c>
      <c r="H49" s="40"/>
      <c r="I49" s="41">
        <f>SUM(I37+I43+I47)</f>
        <v>361616</v>
      </c>
      <c r="J49" s="40"/>
      <c r="K49" s="41">
        <f>SUM(K37+K43+K47)</f>
        <v>323432</v>
      </c>
    </row>
    <row r="50" spans="2:11" ht="12.95" customHeight="1" x14ac:dyDescent="0.3">
      <c r="B50" s="70" t="s">
        <v>5</v>
      </c>
      <c r="C50" s="72" t="s">
        <v>16</v>
      </c>
      <c r="D50" s="74" t="s">
        <v>10</v>
      </c>
      <c r="E50" s="75" t="s">
        <v>6</v>
      </c>
      <c r="F50" s="68" t="s">
        <v>167</v>
      </c>
      <c r="G50" s="69"/>
      <c r="H50" s="68" t="s">
        <v>41</v>
      </c>
      <c r="I50" s="69"/>
    </row>
    <row r="51" spans="2:11" ht="12.95" customHeight="1" x14ac:dyDescent="0.3">
      <c r="B51" s="71"/>
      <c r="C51" s="73"/>
      <c r="D51" s="74"/>
      <c r="E51" s="76"/>
      <c r="F51" s="57" t="s">
        <v>7</v>
      </c>
      <c r="G51" s="56" t="s">
        <v>8</v>
      </c>
      <c r="H51" s="57" t="s">
        <v>7</v>
      </c>
      <c r="I51" s="56" t="s">
        <v>8</v>
      </c>
    </row>
    <row r="52" spans="2:11" ht="12.95" customHeight="1" x14ac:dyDescent="0.3">
      <c r="B52" s="35" t="s">
        <v>168</v>
      </c>
      <c r="C52" s="35" t="s">
        <v>0</v>
      </c>
      <c r="D52" s="45" t="s">
        <v>17</v>
      </c>
      <c r="E52" s="50">
        <v>35814</v>
      </c>
      <c r="F52" s="33">
        <v>1.36</v>
      </c>
      <c r="G52" s="7">
        <f t="shared" ref="G52:G53" si="15">TRUNC($E52*F52,1)</f>
        <v>48707</v>
      </c>
      <c r="H52" s="33">
        <v>0.31</v>
      </c>
      <c r="I52" s="7">
        <f t="shared" ref="I52:I53" si="16">TRUNC($E52*H52,1)</f>
        <v>11102.3</v>
      </c>
    </row>
    <row r="53" spans="2:11" ht="12.95" customHeight="1" x14ac:dyDescent="0.3">
      <c r="B53" s="35" t="s">
        <v>20</v>
      </c>
      <c r="C53" s="35" t="s">
        <v>23</v>
      </c>
      <c r="D53" s="45" t="s">
        <v>17</v>
      </c>
      <c r="E53" s="50">
        <v>10477</v>
      </c>
      <c r="F53" s="33">
        <v>0</v>
      </c>
      <c r="G53" s="7">
        <f t="shared" si="15"/>
        <v>0</v>
      </c>
      <c r="H53" s="33">
        <v>0</v>
      </c>
      <c r="I53" s="7">
        <f t="shared" si="16"/>
        <v>0</v>
      </c>
    </row>
    <row r="54" spans="2:11" ht="12.95" customHeight="1" x14ac:dyDescent="0.3">
      <c r="B54" s="27" t="s">
        <v>12</v>
      </c>
      <c r="C54" s="43"/>
      <c r="D54" s="43"/>
      <c r="E54" s="48"/>
      <c r="F54" s="51"/>
      <c r="G54" s="46">
        <f>TRUNC(SUM(G52:G53))</f>
        <v>48707</v>
      </c>
      <c r="H54" s="51"/>
      <c r="I54" s="46">
        <f>TRUNC(SUM(I52:I53))</f>
        <v>11102</v>
      </c>
    </row>
    <row r="55" spans="2:11" ht="12.95" customHeight="1" x14ac:dyDescent="0.3">
      <c r="B55" s="42"/>
      <c r="C55" s="43"/>
      <c r="D55" s="43"/>
      <c r="E55" s="48"/>
      <c r="F55" s="51"/>
      <c r="G55" s="37"/>
      <c r="H55" s="51"/>
      <c r="I55" s="37"/>
    </row>
    <row r="56" spans="2:11" ht="12.95" customHeight="1" x14ac:dyDescent="0.3">
      <c r="B56" s="14" t="s">
        <v>38</v>
      </c>
      <c r="C56" s="9"/>
      <c r="D56" s="4" t="s">
        <v>11</v>
      </c>
      <c r="E56" s="49">
        <v>268908</v>
      </c>
      <c r="F56" s="33">
        <v>0.55000000000000004</v>
      </c>
      <c r="G56" s="7">
        <f t="shared" ref="G56:G59" si="17">TRUNC($E56*F56,1)</f>
        <v>147899.4</v>
      </c>
      <c r="H56" s="33">
        <v>7.0000000000000007E-2</v>
      </c>
      <c r="I56" s="7">
        <f t="shared" ref="I56:I59" si="18">TRUNC($E56*H56,1)</f>
        <v>18823.5</v>
      </c>
    </row>
    <row r="57" spans="2:11" ht="12.95" customHeight="1" x14ac:dyDescent="0.3">
      <c r="B57" s="14" t="s">
        <v>1</v>
      </c>
      <c r="C57" s="9"/>
      <c r="D57" s="4" t="s">
        <v>11</v>
      </c>
      <c r="E57" s="49">
        <v>172068</v>
      </c>
      <c r="F57" s="33">
        <v>0.36</v>
      </c>
      <c r="G57" s="7">
        <f t="shared" si="17"/>
        <v>61944.4</v>
      </c>
      <c r="H57" s="33">
        <v>0</v>
      </c>
      <c r="I57" s="7">
        <f t="shared" si="18"/>
        <v>0</v>
      </c>
    </row>
    <row r="58" spans="2:11" ht="12.95" customHeight="1" x14ac:dyDescent="0.3">
      <c r="B58" s="35" t="s">
        <v>168</v>
      </c>
      <c r="C58" s="35" t="s">
        <v>0</v>
      </c>
      <c r="D58" s="45" t="s">
        <v>17</v>
      </c>
      <c r="E58" s="50">
        <v>58925</v>
      </c>
      <c r="F58" s="33">
        <v>1.36</v>
      </c>
      <c r="G58" s="7">
        <f t="shared" si="17"/>
        <v>80138</v>
      </c>
      <c r="H58" s="33">
        <v>0.31</v>
      </c>
      <c r="I58" s="7">
        <f t="shared" si="18"/>
        <v>18266.7</v>
      </c>
    </row>
    <row r="59" spans="2:11" ht="12.95" customHeight="1" x14ac:dyDescent="0.3">
      <c r="B59" s="35" t="s">
        <v>20</v>
      </c>
      <c r="C59" s="35" t="s">
        <v>23</v>
      </c>
      <c r="D59" s="45" t="s">
        <v>17</v>
      </c>
      <c r="E59" s="50">
        <v>58925</v>
      </c>
      <c r="F59" s="33">
        <v>0</v>
      </c>
      <c r="G59" s="7">
        <f t="shared" si="17"/>
        <v>0</v>
      </c>
      <c r="H59" s="33">
        <v>0</v>
      </c>
      <c r="I59" s="7">
        <f t="shared" si="18"/>
        <v>0</v>
      </c>
    </row>
    <row r="60" spans="2:11" ht="12.95" customHeight="1" x14ac:dyDescent="0.3">
      <c r="B60" s="23" t="s">
        <v>13</v>
      </c>
      <c r="C60" s="43"/>
      <c r="D60" s="43"/>
      <c r="E60" s="48"/>
      <c r="F60" s="51"/>
      <c r="G60" s="46">
        <f>TRUNC(SUM(G56:G59))</f>
        <v>289981</v>
      </c>
      <c r="H60" s="51"/>
      <c r="I60" s="46">
        <f>TRUNC(SUM(I56:I59))</f>
        <v>37090</v>
      </c>
    </row>
    <row r="61" spans="2:11" ht="12.95" customHeight="1" x14ac:dyDescent="0.3">
      <c r="B61" s="42"/>
      <c r="C61" s="43"/>
      <c r="D61" s="43"/>
      <c r="E61" s="48"/>
      <c r="F61" s="51"/>
      <c r="G61" s="37"/>
      <c r="H61" s="51"/>
      <c r="I61" s="37"/>
    </row>
    <row r="62" spans="2:11" ht="12.95" customHeight="1" x14ac:dyDescent="0.3">
      <c r="B62" s="35" t="s">
        <v>168</v>
      </c>
      <c r="C62" s="35" t="s">
        <v>0</v>
      </c>
      <c r="D62" s="45" t="s">
        <v>17</v>
      </c>
      <c r="E62" s="50">
        <v>29621</v>
      </c>
      <c r="F62" s="33">
        <v>1.36</v>
      </c>
      <c r="G62" s="7">
        <f t="shared" ref="G62:G63" si="19">TRUNC($E62*F62,1)</f>
        <v>40284.5</v>
      </c>
      <c r="H62" s="33">
        <v>0.31</v>
      </c>
      <c r="I62" s="7">
        <f t="shared" ref="I62:I63" si="20">TRUNC($E62*H62,1)</f>
        <v>9182.5</v>
      </c>
    </row>
    <row r="63" spans="2:11" ht="12.95" customHeight="1" x14ac:dyDescent="0.3">
      <c r="B63" s="35" t="s">
        <v>20</v>
      </c>
      <c r="C63" s="35" t="s">
        <v>23</v>
      </c>
      <c r="D63" s="45" t="s">
        <v>17</v>
      </c>
      <c r="E63" s="50">
        <v>14120</v>
      </c>
      <c r="F63" s="33">
        <v>0</v>
      </c>
      <c r="G63" s="7">
        <f t="shared" si="19"/>
        <v>0</v>
      </c>
      <c r="H63" s="33">
        <v>0</v>
      </c>
      <c r="I63" s="7">
        <f t="shared" si="20"/>
        <v>0</v>
      </c>
    </row>
    <row r="64" spans="2:11" ht="12.95" customHeight="1" x14ac:dyDescent="0.3">
      <c r="B64" s="27" t="s">
        <v>14</v>
      </c>
      <c r="C64" s="43"/>
      <c r="D64" s="43"/>
      <c r="E64" s="36"/>
      <c r="F64" s="38"/>
      <c r="G64" s="46">
        <f>TRUNC(SUM(G62:G63))</f>
        <v>40284</v>
      </c>
      <c r="H64" s="38"/>
      <c r="I64" s="46">
        <f>TRUNC(SUM(I62:I63))</f>
        <v>9182</v>
      </c>
    </row>
    <row r="65" spans="2:13" ht="12.95" customHeight="1" x14ac:dyDescent="0.3">
      <c r="B65" s="12"/>
      <c r="C65" s="35"/>
      <c r="D65" s="35"/>
      <c r="E65" s="39"/>
      <c r="F65" s="33"/>
      <c r="G65" s="34"/>
      <c r="H65" s="33"/>
      <c r="I65" s="34"/>
    </row>
    <row r="66" spans="2:13" ht="12.95" customHeight="1" x14ac:dyDescent="0.3">
      <c r="B66" s="13" t="s">
        <v>15</v>
      </c>
      <c r="C66" s="44"/>
      <c r="D66" s="44"/>
      <c r="E66" s="40"/>
      <c r="F66" s="40"/>
      <c r="G66" s="41">
        <f>SUM(G54+G60+G64)</f>
        <v>378972</v>
      </c>
      <c r="H66" s="40"/>
      <c r="I66" s="41">
        <f>SUM(I54+I60+I64)</f>
        <v>57374</v>
      </c>
    </row>
    <row r="68" spans="2:13" ht="12.95" customHeight="1" x14ac:dyDescent="0.3">
      <c r="B68" s="1" t="s">
        <v>44</v>
      </c>
    </row>
    <row r="69" spans="2:13" ht="12.95" customHeight="1" x14ac:dyDescent="0.3">
      <c r="B69" s="2" t="s">
        <v>46</v>
      </c>
      <c r="M69" s="55" t="s">
        <v>45</v>
      </c>
    </row>
    <row r="70" spans="2:13" ht="12.95" customHeight="1" x14ac:dyDescent="0.3">
      <c r="B70" s="63" t="s">
        <v>5</v>
      </c>
      <c r="C70" s="64" t="s">
        <v>9</v>
      </c>
      <c r="D70" s="65" t="s">
        <v>10</v>
      </c>
      <c r="E70" s="66" t="s">
        <v>6</v>
      </c>
      <c r="F70" s="67" t="s">
        <v>53</v>
      </c>
      <c r="G70" s="68"/>
      <c r="H70" s="67" t="s">
        <v>50</v>
      </c>
      <c r="I70" s="68"/>
      <c r="J70" s="67" t="s">
        <v>51</v>
      </c>
      <c r="K70" s="68"/>
      <c r="L70" s="67" t="s">
        <v>52</v>
      </c>
      <c r="M70" s="68"/>
    </row>
    <row r="71" spans="2:13" ht="12.95" customHeight="1" x14ac:dyDescent="0.3">
      <c r="B71" s="63"/>
      <c r="C71" s="64"/>
      <c r="D71" s="65"/>
      <c r="E71" s="66"/>
      <c r="F71" s="57" t="s">
        <v>7</v>
      </c>
      <c r="G71" s="56" t="s">
        <v>8</v>
      </c>
      <c r="H71" s="57" t="s">
        <v>7</v>
      </c>
      <c r="I71" s="56" t="s">
        <v>8</v>
      </c>
      <c r="J71" s="57" t="s">
        <v>7</v>
      </c>
      <c r="K71" s="56" t="s">
        <v>8</v>
      </c>
      <c r="L71" s="57" t="s">
        <v>7</v>
      </c>
      <c r="M71" s="56" t="s">
        <v>8</v>
      </c>
    </row>
    <row r="72" spans="2:13" ht="12.95" customHeight="1" x14ac:dyDescent="0.3">
      <c r="B72" s="14" t="s">
        <v>2</v>
      </c>
      <c r="C72" s="9"/>
      <c r="D72" s="4" t="s">
        <v>11</v>
      </c>
      <c r="E72" s="49">
        <v>281939</v>
      </c>
      <c r="F72" s="60">
        <v>1.5</v>
      </c>
      <c r="G72" s="3">
        <f t="shared" ref="G72:G73" si="21">TRUNC($E72*F72,1)</f>
        <v>422908.5</v>
      </c>
      <c r="H72" s="60">
        <v>2.5</v>
      </c>
      <c r="I72" s="7">
        <f t="shared" ref="I72:I73" si="22">TRUNC($E72*H72,1)</f>
        <v>704847.5</v>
      </c>
      <c r="J72" s="60">
        <v>3.5</v>
      </c>
      <c r="K72" s="3">
        <f t="shared" ref="K72:K73" si="23">TRUNC($E72*J72,1)</f>
        <v>986786.5</v>
      </c>
      <c r="L72" s="60">
        <v>5</v>
      </c>
      <c r="M72" s="7">
        <f t="shared" ref="M72:M73" si="24">TRUNC($E72*L72,1)</f>
        <v>1409695</v>
      </c>
    </row>
    <row r="73" spans="2:13" ht="12.95" customHeight="1" x14ac:dyDescent="0.3">
      <c r="B73" s="14" t="s">
        <v>1</v>
      </c>
      <c r="C73" s="9"/>
      <c r="D73" s="4" t="s">
        <v>11</v>
      </c>
      <c r="E73" s="52">
        <v>172068</v>
      </c>
      <c r="F73" s="60">
        <v>2.5</v>
      </c>
      <c r="G73" s="3">
        <f t="shared" si="21"/>
        <v>430170</v>
      </c>
      <c r="H73" s="60">
        <v>3</v>
      </c>
      <c r="I73" s="7">
        <f t="shared" si="22"/>
        <v>516204</v>
      </c>
      <c r="J73" s="60">
        <v>4.5</v>
      </c>
      <c r="K73" s="3">
        <f t="shared" si="23"/>
        <v>774306</v>
      </c>
      <c r="L73" s="60">
        <v>6</v>
      </c>
      <c r="M73" s="7">
        <f t="shared" si="24"/>
        <v>1032408</v>
      </c>
    </row>
    <row r="74" spans="2:13" ht="12.95" customHeight="1" x14ac:dyDescent="0.3">
      <c r="B74" s="23" t="s">
        <v>13</v>
      </c>
      <c r="C74" s="28"/>
      <c r="D74" s="29"/>
      <c r="E74" s="24"/>
      <c r="F74" s="24"/>
      <c r="G74" s="25">
        <f>TRUNC(SUM(G72:G73))</f>
        <v>853078</v>
      </c>
      <c r="H74" s="24"/>
      <c r="I74" s="26">
        <f>TRUNC(SUM(I72:I73))</f>
        <v>1221051</v>
      </c>
      <c r="J74" s="24"/>
      <c r="K74" s="25">
        <f>TRUNC(SUM(K72:K73))</f>
        <v>1761092</v>
      </c>
      <c r="L74" s="24"/>
      <c r="M74" s="26">
        <f>TRUNC(SUM(M72:M73))</f>
        <v>2442103</v>
      </c>
    </row>
    <row r="75" spans="2:13" ht="12.95" customHeight="1" x14ac:dyDescent="0.3">
      <c r="B75" s="15"/>
      <c r="C75" s="9"/>
      <c r="D75" s="4"/>
      <c r="E75" s="16"/>
      <c r="F75" s="16"/>
      <c r="G75" s="17"/>
      <c r="H75" s="16"/>
      <c r="I75" s="18"/>
      <c r="J75" s="16"/>
      <c r="K75" s="17"/>
      <c r="L75" s="16"/>
      <c r="M75" s="18"/>
    </row>
    <row r="76" spans="2:13" ht="12.95" customHeight="1" x14ac:dyDescent="0.3">
      <c r="B76" s="13" t="s">
        <v>15</v>
      </c>
      <c r="C76" s="10"/>
      <c r="D76" s="31"/>
      <c r="E76" s="19"/>
      <c r="F76" s="19"/>
      <c r="G76" s="20">
        <f>SUM(G74)</f>
        <v>853078</v>
      </c>
      <c r="H76" s="19"/>
      <c r="I76" s="20">
        <f>SUM(I74)</f>
        <v>1221051</v>
      </c>
      <c r="J76" s="19"/>
      <c r="K76" s="20">
        <f>SUM(K74)</f>
        <v>1761092</v>
      </c>
      <c r="L76" s="19"/>
      <c r="M76" s="20">
        <f>SUM(M74)</f>
        <v>2442103</v>
      </c>
    </row>
    <row r="78" spans="2:13" ht="12.95" customHeight="1" x14ac:dyDescent="0.3">
      <c r="B78" s="2" t="s">
        <v>47</v>
      </c>
      <c r="M78" s="55" t="s">
        <v>45</v>
      </c>
    </row>
    <row r="79" spans="2:13" ht="12.95" customHeight="1" x14ac:dyDescent="0.3">
      <c r="B79" s="63" t="s">
        <v>5</v>
      </c>
      <c r="C79" s="64" t="s">
        <v>9</v>
      </c>
      <c r="D79" s="65" t="s">
        <v>10</v>
      </c>
      <c r="E79" s="66" t="s">
        <v>6</v>
      </c>
      <c r="F79" s="67" t="s">
        <v>53</v>
      </c>
      <c r="G79" s="68"/>
      <c r="H79" s="67" t="s">
        <v>50</v>
      </c>
      <c r="I79" s="68"/>
      <c r="J79" s="67" t="s">
        <v>51</v>
      </c>
      <c r="K79" s="68"/>
      <c r="L79" s="67" t="s">
        <v>52</v>
      </c>
      <c r="M79" s="68"/>
    </row>
    <row r="80" spans="2:13" ht="12.95" customHeight="1" x14ac:dyDescent="0.3">
      <c r="B80" s="63"/>
      <c r="C80" s="64"/>
      <c r="D80" s="65"/>
      <c r="E80" s="66"/>
      <c r="F80" s="57" t="s">
        <v>7</v>
      </c>
      <c r="G80" s="56" t="s">
        <v>8</v>
      </c>
      <c r="H80" s="57" t="s">
        <v>7</v>
      </c>
      <c r="I80" s="56" t="s">
        <v>8</v>
      </c>
      <c r="J80" s="57" t="s">
        <v>7</v>
      </c>
      <c r="K80" s="56" t="s">
        <v>8</v>
      </c>
      <c r="L80" s="57" t="s">
        <v>7</v>
      </c>
      <c r="M80" s="56" t="s">
        <v>8</v>
      </c>
    </row>
    <row r="81" spans="2:13" ht="12.95" customHeight="1" x14ac:dyDescent="0.3">
      <c r="B81" s="14" t="s">
        <v>3</v>
      </c>
      <c r="C81" s="9" t="s">
        <v>36</v>
      </c>
      <c r="D81" s="4" t="s">
        <v>11</v>
      </c>
      <c r="E81" s="52">
        <v>387342</v>
      </c>
      <c r="F81" s="60">
        <v>6</v>
      </c>
      <c r="G81" s="3">
        <f t="shared" ref="G81:G83" si="25">TRUNC($E81*F81,1)</f>
        <v>2324052</v>
      </c>
      <c r="H81" s="60">
        <v>6</v>
      </c>
      <c r="I81" s="7">
        <f t="shared" ref="I81:I83" si="26">TRUNC($E81*H81,1)</f>
        <v>2324052</v>
      </c>
      <c r="J81" s="60">
        <v>10</v>
      </c>
      <c r="K81" s="3">
        <f t="shared" ref="K81:K83" si="27">TRUNC($E81*J81,1)</f>
        <v>3873420</v>
      </c>
      <c r="L81" s="60">
        <v>10</v>
      </c>
      <c r="M81" s="7">
        <f t="shared" ref="M81:M83" si="28">TRUNC($E81*L81,1)</f>
        <v>3873420</v>
      </c>
    </row>
    <row r="82" spans="2:13" ht="12.95" customHeight="1" x14ac:dyDescent="0.3">
      <c r="B82" s="14" t="s">
        <v>2</v>
      </c>
      <c r="C82" s="9"/>
      <c r="D82" s="4" t="s">
        <v>11</v>
      </c>
      <c r="E82" s="49">
        <v>281939</v>
      </c>
      <c r="F82" s="60">
        <v>1.5</v>
      </c>
      <c r="G82" s="3">
        <f t="shared" si="25"/>
        <v>422908.5</v>
      </c>
      <c r="H82" s="60">
        <v>2.5</v>
      </c>
      <c r="I82" s="7">
        <f t="shared" si="26"/>
        <v>704847.5</v>
      </c>
      <c r="J82" s="60">
        <v>3.5</v>
      </c>
      <c r="K82" s="3">
        <f t="shared" si="27"/>
        <v>986786.5</v>
      </c>
      <c r="L82" s="60">
        <v>4.5</v>
      </c>
      <c r="M82" s="7">
        <f t="shared" si="28"/>
        <v>1268725.5</v>
      </c>
    </row>
    <row r="83" spans="2:13" ht="12.95" customHeight="1" x14ac:dyDescent="0.3">
      <c r="B83" s="14" t="s">
        <v>1</v>
      </c>
      <c r="C83" s="9"/>
      <c r="D83" s="4" t="s">
        <v>11</v>
      </c>
      <c r="E83" s="52">
        <v>172068</v>
      </c>
      <c r="F83" s="60">
        <v>2.5</v>
      </c>
      <c r="G83" s="3">
        <f t="shared" si="25"/>
        <v>430170</v>
      </c>
      <c r="H83" s="60">
        <v>3.5</v>
      </c>
      <c r="I83" s="7">
        <f t="shared" si="26"/>
        <v>602238</v>
      </c>
      <c r="J83" s="60">
        <v>5</v>
      </c>
      <c r="K83" s="3">
        <f t="shared" si="27"/>
        <v>860340</v>
      </c>
      <c r="L83" s="60">
        <v>6</v>
      </c>
      <c r="M83" s="7">
        <f t="shared" si="28"/>
        <v>1032408</v>
      </c>
    </row>
    <row r="84" spans="2:13" ht="12.95" customHeight="1" x14ac:dyDescent="0.3">
      <c r="B84" s="23" t="s">
        <v>13</v>
      </c>
      <c r="C84" s="28"/>
      <c r="D84" s="29"/>
      <c r="E84" s="24"/>
      <c r="F84" s="24"/>
      <c r="G84" s="25">
        <f>TRUNC(SUM(G81:G83))</f>
        <v>3177130</v>
      </c>
      <c r="H84" s="24"/>
      <c r="I84" s="26">
        <f>TRUNC(SUM(I81:I83))</f>
        <v>3631137</v>
      </c>
      <c r="J84" s="24"/>
      <c r="K84" s="25">
        <f>TRUNC(SUM(K81:K83))</f>
        <v>5720546</v>
      </c>
      <c r="L84" s="24"/>
      <c r="M84" s="26">
        <f>TRUNC(SUM(M81:M83))</f>
        <v>6174553</v>
      </c>
    </row>
    <row r="85" spans="2:13" ht="12.95" customHeight="1" x14ac:dyDescent="0.3">
      <c r="B85" s="15"/>
      <c r="C85" s="9"/>
      <c r="D85" s="4"/>
      <c r="E85" s="16"/>
      <c r="F85" s="16"/>
      <c r="G85" s="17"/>
      <c r="H85" s="16"/>
      <c r="I85" s="18"/>
      <c r="J85" s="16"/>
      <c r="K85" s="17"/>
      <c r="L85" s="16"/>
      <c r="M85" s="18"/>
    </row>
    <row r="86" spans="2:13" ht="12.95" customHeight="1" x14ac:dyDescent="0.3">
      <c r="B86" s="13" t="s">
        <v>15</v>
      </c>
      <c r="C86" s="10"/>
      <c r="D86" s="31"/>
      <c r="E86" s="19"/>
      <c r="F86" s="19"/>
      <c r="G86" s="20">
        <f>SUM(G84)</f>
        <v>3177130</v>
      </c>
      <c r="H86" s="19"/>
      <c r="I86" s="20">
        <f>SUM(I84)</f>
        <v>3631137</v>
      </c>
      <c r="J86" s="19"/>
      <c r="K86" s="20">
        <f>SUM(K84)</f>
        <v>5720546</v>
      </c>
      <c r="L86" s="19"/>
      <c r="M86" s="20">
        <f>SUM(M84)</f>
        <v>6174553</v>
      </c>
    </row>
    <row r="88" spans="2:13" ht="12.95" customHeight="1" x14ac:dyDescent="0.3">
      <c r="B88" s="2" t="s">
        <v>48</v>
      </c>
      <c r="I88" s="55"/>
      <c r="K88" s="55" t="s">
        <v>19</v>
      </c>
    </row>
    <row r="89" spans="2:13" ht="12.95" customHeight="1" x14ac:dyDescent="0.3">
      <c r="B89" s="77" t="s">
        <v>5</v>
      </c>
      <c r="C89" s="80" t="s">
        <v>9</v>
      </c>
      <c r="D89" s="83" t="s">
        <v>10</v>
      </c>
      <c r="E89" s="86" t="s">
        <v>6</v>
      </c>
      <c r="F89" s="68" t="s">
        <v>49</v>
      </c>
      <c r="G89" s="69"/>
      <c r="H89" s="69"/>
      <c r="I89" s="69"/>
      <c r="J89" s="69"/>
      <c r="K89" s="69"/>
    </row>
    <row r="90" spans="2:13" ht="12.95" customHeight="1" x14ac:dyDescent="0.3">
      <c r="B90" s="78"/>
      <c r="C90" s="81"/>
      <c r="D90" s="84"/>
      <c r="E90" s="87"/>
      <c r="F90" s="67" t="s">
        <v>54</v>
      </c>
      <c r="G90" s="68"/>
      <c r="H90" s="67" t="s">
        <v>55</v>
      </c>
      <c r="I90" s="68"/>
      <c r="J90" s="67" t="s">
        <v>56</v>
      </c>
      <c r="K90" s="68"/>
    </row>
    <row r="91" spans="2:13" ht="12.95" customHeight="1" x14ac:dyDescent="0.3">
      <c r="B91" s="79"/>
      <c r="C91" s="82"/>
      <c r="D91" s="85"/>
      <c r="E91" s="88"/>
      <c r="F91" s="57" t="s">
        <v>7</v>
      </c>
      <c r="G91" s="56" t="s">
        <v>8</v>
      </c>
      <c r="H91" s="57" t="s">
        <v>7</v>
      </c>
      <c r="I91" s="56" t="s">
        <v>8</v>
      </c>
      <c r="J91" s="57" t="s">
        <v>7</v>
      </c>
      <c r="K91" s="56" t="s">
        <v>8</v>
      </c>
    </row>
    <row r="92" spans="2:13" ht="12.95" customHeight="1" x14ac:dyDescent="0.3">
      <c r="B92" s="14" t="s">
        <v>18</v>
      </c>
      <c r="C92" s="9"/>
      <c r="D92" s="4" t="s">
        <v>11</v>
      </c>
      <c r="E92" s="58">
        <v>226122</v>
      </c>
      <c r="F92" s="60">
        <v>1</v>
      </c>
      <c r="G92" s="3">
        <f t="shared" ref="G92:G93" si="29">TRUNC($E92*F92,1)</f>
        <v>226122</v>
      </c>
      <c r="H92" s="60">
        <v>1</v>
      </c>
      <c r="I92" s="7">
        <f t="shared" ref="I92:I93" si="30">TRUNC($E92*H92,1)</f>
        <v>226122</v>
      </c>
      <c r="J92" s="60">
        <v>2</v>
      </c>
      <c r="K92" s="7">
        <f t="shared" ref="K92:K93" si="31">TRUNC($E92*J92,1)</f>
        <v>452244</v>
      </c>
    </row>
    <row r="93" spans="2:13" ht="12.95" customHeight="1" x14ac:dyDescent="0.3">
      <c r="B93" s="14" t="s">
        <v>1</v>
      </c>
      <c r="C93" s="9"/>
      <c r="D93" s="4" t="s">
        <v>11</v>
      </c>
      <c r="E93" s="52">
        <v>172068</v>
      </c>
      <c r="F93" s="60">
        <v>4</v>
      </c>
      <c r="G93" s="3">
        <f t="shared" si="29"/>
        <v>688272</v>
      </c>
      <c r="H93" s="60">
        <v>4</v>
      </c>
      <c r="I93" s="7">
        <f t="shared" si="30"/>
        <v>688272</v>
      </c>
      <c r="J93" s="60">
        <v>5</v>
      </c>
      <c r="K93" s="7">
        <f t="shared" si="31"/>
        <v>860340</v>
      </c>
    </row>
    <row r="94" spans="2:13" ht="12.95" customHeight="1" x14ac:dyDescent="0.3">
      <c r="B94" s="23" t="s">
        <v>13</v>
      </c>
      <c r="C94" s="28"/>
      <c r="D94" s="29"/>
      <c r="E94" s="24"/>
      <c r="F94" s="24"/>
      <c r="G94" s="25">
        <f>TRUNC(SUM(G92:G93))</f>
        <v>914394</v>
      </c>
      <c r="H94" s="24"/>
      <c r="I94" s="26">
        <f>TRUNC(SUM(I92:I93))</f>
        <v>914394</v>
      </c>
      <c r="J94" s="24"/>
      <c r="K94" s="26">
        <f>TRUNC(SUM(K92:K93))</f>
        <v>1312584</v>
      </c>
    </row>
    <row r="95" spans="2:13" ht="12.95" customHeight="1" x14ac:dyDescent="0.3">
      <c r="B95" s="15"/>
      <c r="C95" s="9"/>
      <c r="D95" s="4"/>
      <c r="E95" s="16"/>
      <c r="F95" s="16"/>
      <c r="G95" s="17"/>
      <c r="H95" s="16"/>
      <c r="I95" s="18"/>
      <c r="J95" s="16"/>
      <c r="K95" s="18"/>
    </row>
    <row r="96" spans="2:13" ht="12.95" customHeight="1" x14ac:dyDescent="0.3">
      <c r="B96" s="13" t="s">
        <v>15</v>
      </c>
      <c r="C96" s="10"/>
      <c r="D96" s="31"/>
      <c r="E96" s="19"/>
      <c r="F96" s="19"/>
      <c r="G96" s="20">
        <f>SUM(G94)</f>
        <v>914394</v>
      </c>
      <c r="H96" s="19"/>
      <c r="I96" s="20">
        <f>SUM(I94)</f>
        <v>914394</v>
      </c>
      <c r="J96" s="19"/>
      <c r="K96" s="20">
        <f>SUM(K94)</f>
        <v>1312584</v>
      </c>
    </row>
    <row r="97" spans="2:11" ht="12.95" customHeight="1" x14ac:dyDescent="0.3">
      <c r="B97" s="77" t="s">
        <v>5</v>
      </c>
      <c r="C97" s="80" t="s">
        <v>9</v>
      </c>
      <c r="D97" s="83" t="s">
        <v>10</v>
      </c>
      <c r="E97" s="86" t="s">
        <v>6</v>
      </c>
      <c r="F97" s="68" t="s">
        <v>49</v>
      </c>
      <c r="G97" s="69"/>
      <c r="H97" s="69"/>
      <c r="I97" s="69"/>
      <c r="J97" s="69"/>
      <c r="K97" s="69"/>
    </row>
    <row r="98" spans="2:11" ht="12.95" customHeight="1" x14ac:dyDescent="0.3">
      <c r="B98" s="78"/>
      <c r="C98" s="81"/>
      <c r="D98" s="84"/>
      <c r="E98" s="87"/>
      <c r="F98" s="67" t="s">
        <v>57</v>
      </c>
      <c r="G98" s="68"/>
      <c r="H98" s="67" t="s">
        <v>58</v>
      </c>
      <c r="I98" s="68"/>
      <c r="J98" s="67" t="s">
        <v>59</v>
      </c>
      <c r="K98" s="68"/>
    </row>
    <row r="99" spans="2:11" ht="12.95" customHeight="1" x14ac:dyDescent="0.3">
      <c r="B99" s="79"/>
      <c r="C99" s="82"/>
      <c r="D99" s="85"/>
      <c r="E99" s="88"/>
      <c r="F99" s="57" t="s">
        <v>7</v>
      </c>
      <c r="G99" s="56" t="s">
        <v>8</v>
      </c>
      <c r="H99" s="57" t="s">
        <v>7</v>
      </c>
      <c r="I99" s="56" t="s">
        <v>8</v>
      </c>
      <c r="J99" s="57" t="s">
        <v>7</v>
      </c>
      <c r="K99" s="56" t="s">
        <v>8</v>
      </c>
    </row>
    <row r="100" spans="2:11" ht="12.95" customHeight="1" x14ac:dyDescent="0.3">
      <c r="B100" s="14" t="s">
        <v>18</v>
      </c>
      <c r="C100" s="9"/>
      <c r="D100" s="4" t="s">
        <v>11</v>
      </c>
      <c r="E100" s="58">
        <v>226122</v>
      </c>
      <c r="F100" s="60">
        <v>2</v>
      </c>
      <c r="G100" s="3">
        <f t="shared" ref="G100:G101" si="32">TRUNC($E100*F100,1)</f>
        <v>452244</v>
      </c>
      <c r="H100" s="60">
        <v>3</v>
      </c>
      <c r="I100" s="7">
        <f t="shared" ref="I100:I101" si="33">TRUNC($E100*H100,1)</f>
        <v>678366</v>
      </c>
      <c r="J100" s="60">
        <v>3</v>
      </c>
      <c r="K100" s="7">
        <f t="shared" ref="K100:K101" si="34">TRUNC($E100*J100,1)</f>
        <v>678366</v>
      </c>
    </row>
    <row r="101" spans="2:11" ht="12.95" customHeight="1" x14ac:dyDescent="0.3">
      <c r="B101" s="14" t="s">
        <v>1</v>
      </c>
      <c r="C101" s="9"/>
      <c r="D101" s="4" t="s">
        <v>11</v>
      </c>
      <c r="E101" s="52">
        <v>172068</v>
      </c>
      <c r="F101" s="60">
        <v>5</v>
      </c>
      <c r="G101" s="3">
        <f t="shared" si="32"/>
        <v>860340</v>
      </c>
      <c r="H101" s="60">
        <v>7.5</v>
      </c>
      <c r="I101" s="7">
        <f t="shared" si="33"/>
        <v>1290510</v>
      </c>
      <c r="J101" s="60">
        <v>7.5</v>
      </c>
      <c r="K101" s="7">
        <f t="shared" si="34"/>
        <v>1290510</v>
      </c>
    </row>
    <row r="102" spans="2:11" ht="12.95" customHeight="1" x14ac:dyDescent="0.3">
      <c r="B102" s="23" t="s">
        <v>13</v>
      </c>
      <c r="C102" s="28"/>
      <c r="D102" s="29"/>
      <c r="E102" s="24"/>
      <c r="F102" s="24"/>
      <c r="G102" s="25">
        <f>TRUNC(SUM(G100:G101))</f>
        <v>1312584</v>
      </c>
      <c r="H102" s="24"/>
      <c r="I102" s="26">
        <f>TRUNC(SUM(I100:I101))</f>
        <v>1968876</v>
      </c>
      <c r="J102" s="24"/>
      <c r="K102" s="26">
        <f>TRUNC(SUM(K100:K101))</f>
        <v>1968876</v>
      </c>
    </row>
    <row r="103" spans="2:11" ht="12.95" customHeight="1" x14ac:dyDescent="0.3">
      <c r="B103" s="15"/>
      <c r="C103" s="9"/>
      <c r="D103" s="4"/>
      <c r="E103" s="16"/>
      <c r="F103" s="16"/>
      <c r="G103" s="17"/>
      <c r="H103" s="16"/>
      <c r="I103" s="18"/>
      <c r="J103" s="16"/>
      <c r="K103" s="18"/>
    </row>
    <row r="104" spans="2:11" ht="12.95" customHeight="1" x14ac:dyDescent="0.3">
      <c r="B104" s="13" t="s">
        <v>15</v>
      </c>
      <c r="C104" s="10"/>
      <c r="D104" s="31"/>
      <c r="E104" s="19"/>
      <c r="F104" s="19"/>
      <c r="G104" s="20">
        <f>SUM(G102)</f>
        <v>1312584</v>
      </c>
      <c r="H104" s="19"/>
      <c r="I104" s="20">
        <f>SUM(I102)</f>
        <v>1968876</v>
      </c>
      <c r="J104" s="19"/>
      <c r="K104" s="20">
        <f>SUM(K102)</f>
        <v>1968876</v>
      </c>
    </row>
    <row r="105" spans="2:11" ht="12.95" customHeight="1" x14ac:dyDescent="0.3">
      <c r="B105" s="77" t="s">
        <v>5</v>
      </c>
      <c r="C105" s="80" t="s">
        <v>9</v>
      </c>
      <c r="D105" s="83" t="s">
        <v>10</v>
      </c>
      <c r="E105" s="86" t="s">
        <v>6</v>
      </c>
      <c r="F105" s="68" t="s">
        <v>60</v>
      </c>
      <c r="G105" s="69"/>
      <c r="H105" s="69"/>
      <c r="I105" s="69"/>
      <c r="J105" s="69"/>
      <c r="K105" s="69"/>
    </row>
    <row r="106" spans="2:11" ht="12.95" customHeight="1" x14ac:dyDescent="0.3">
      <c r="B106" s="78"/>
      <c r="C106" s="81"/>
      <c r="D106" s="84"/>
      <c r="E106" s="87"/>
      <c r="F106" s="67" t="s">
        <v>61</v>
      </c>
      <c r="G106" s="68"/>
      <c r="H106" s="67" t="s">
        <v>62</v>
      </c>
      <c r="I106" s="68"/>
      <c r="J106" s="67" t="s">
        <v>63</v>
      </c>
      <c r="K106" s="68"/>
    </row>
    <row r="107" spans="2:11" ht="12.95" customHeight="1" x14ac:dyDescent="0.3">
      <c r="B107" s="79"/>
      <c r="C107" s="82"/>
      <c r="D107" s="85"/>
      <c r="E107" s="88"/>
      <c r="F107" s="57" t="s">
        <v>7</v>
      </c>
      <c r="G107" s="56" t="s">
        <v>8</v>
      </c>
      <c r="H107" s="57" t="s">
        <v>7</v>
      </c>
      <c r="I107" s="56" t="s">
        <v>8</v>
      </c>
      <c r="J107" s="57" t="s">
        <v>7</v>
      </c>
      <c r="K107" s="56" t="s">
        <v>8</v>
      </c>
    </row>
    <row r="108" spans="2:11" ht="12.95" customHeight="1" x14ac:dyDescent="0.3">
      <c r="B108" s="14" t="s">
        <v>3</v>
      </c>
      <c r="C108" s="9" t="s">
        <v>36</v>
      </c>
      <c r="D108" s="4" t="s">
        <v>11</v>
      </c>
      <c r="E108" s="52">
        <v>387342</v>
      </c>
      <c r="F108" s="60">
        <v>4</v>
      </c>
      <c r="G108" s="3">
        <f t="shared" ref="G108:G109" si="35">TRUNC($E108*F108,1)</f>
        <v>1549368</v>
      </c>
      <c r="H108" s="60">
        <v>4</v>
      </c>
      <c r="I108" s="7">
        <f t="shared" ref="I108:I109" si="36">TRUNC($E108*H108,1)</f>
        <v>1549368</v>
      </c>
      <c r="J108" s="60">
        <v>4</v>
      </c>
      <c r="K108" s="7">
        <f t="shared" ref="K108:K109" si="37">TRUNC($E108*J108,1)</f>
        <v>1549368</v>
      </c>
    </row>
    <row r="109" spans="2:11" ht="12.95" customHeight="1" x14ac:dyDescent="0.3">
      <c r="B109" s="14" t="s">
        <v>1</v>
      </c>
      <c r="C109" s="9"/>
      <c r="D109" s="4" t="s">
        <v>11</v>
      </c>
      <c r="E109" s="52">
        <v>172068</v>
      </c>
      <c r="F109" s="60">
        <v>3.5</v>
      </c>
      <c r="G109" s="3">
        <f t="shared" si="35"/>
        <v>602238</v>
      </c>
      <c r="H109" s="60">
        <v>3.5</v>
      </c>
      <c r="I109" s="7">
        <f t="shared" si="36"/>
        <v>602238</v>
      </c>
      <c r="J109" s="60">
        <v>5</v>
      </c>
      <c r="K109" s="7">
        <f t="shared" si="37"/>
        <v>860340</v>
      </c>
    </row>
    <row r="110" spans="2:11" ht="12.95" customHeight="1" x14ac:dyDescent="0.3">
      <c r="B110" s="23" t="s">
        <v>13</v>
      </c>
      <c r="C110" s="28"/>
      <c r="D110" s="29"/>
      <c r="E110" s="24"/>
      <c r="F110" s="24"/>
      <c r="G110" s="25">
        <f>TRUNC(SUM(G108:G109))</f>
        <v>2151606</v>
      </c>
      <c r="H110" s="24"/>
      <c r="I110" s="26">
        <f>TRUNC(SUM(I108:I109))</f>
        <v>2151606</v>
      </c>
      <c r="J110" s="24"/>
      <c r="K110" s="26">
        <f>TRUNC(SUM(K108:K109))</f>
        <v>2409708</v>
      </c>
    </row>
    <row r="111" spans="2:11" ht="12.95" customHeight="1" x14ac:dyDescent="0.3">
      <c r="B111" s="15"/>
      <c r="C111" s="9"/>
      <c r="D111" s="4"/>
      <c r="E111" s="16"/>
      <c r="F111" s="16"/>
      <c r="G111" s="17"/>
      <c r="H111" s="16"/>
      <c r="I111" s="18"/>
      <c r="J111" s="16"/>
      <c r="K111" s="18"/>
    </row>
    <row r="112" spans="2:11" ht="12.95" customHeight="1" x14ac:dyDescent="0.3">
      <c r="B112" s="13" t="s">
        <v>15</v>
      </c>
      <c r="C112" s="10"/>
      <c r="D112" s="31"/>
      <c r="E112" s="19"/>
      <c r="F112" s="19"/>
      <c r="G112" s="20">
        <f>SUM(G110)</f>
        <v>2151606</v>
      </c>
      <c r="H112" s="19"/>
      <c r="I112" s="20">
        <f>SUM(I110)</f>
        <v>2151606</v>
      </c>
      <c r="J112" s="19"/>
      <c r="K112" s="20">
        <f>SUM(K110)</f>
        <v>2409708</v>
      </c>
    </row>
    <row r="113" spans="2:13" ht="12.95" customHeight="1" x14ac:dyDescent="0.3">
      <c r="B113" s="77" t="s">
        <v>5</v>
      </c>
      <c r="C113" s="80" t="s">
        <v>9</v>
      </c>
      <c r="D113" s="83" t="s">
        <v>10</v>
      </c>
      <c r="E113" s="86" t="s">
        <v>6</v>
      </c>
      <c r="F113" s="68" t="s">
        <v>60</v>
      </c>
      <c r="G113" s="69"/>
      <c r="H113" s="69"/>
      <c r="I113" s="69"/>
      <c r="J113" s="69"/>
      <c r="K113" s="69"/>
    </row>
    <row r="114" spans="2:13" ht="12.95" customHeight="1" x14ac:dyDescent="0.3">
      <c r="B114" s="78"/>
      <c r="C114" s="81"/>
      <c r="D114" s="84"/>
      <c r="E114" s="87"/>
      <c r="F114" s="67" t="s">
        <v>64</v>
      </c>
      <c r="G114" s="68"/>
      <c r="H114" s="67" t="s">
        <v>65</v>
      </c>
      <c r="I114" s="68"/>
      <c r="J114" s="67" t="s">
        <v>59</v>
      </c>
      <c r="K114" s="68"/>
    </row>
    <row r="115" spans="2:13" ht="12.95" customHeight="1" x14ac:dyDescent="0.3">
      <c r="B115" s="79"/>
      <c r="C115" s="82"/>
      <c r="D115" s="85"/>
      <c r="E115" s="88"/>
      <c r="F115" s="57" t="s">
        <v>7</v>
      </c>
      <c r="G115" s="56" t="s">
        <v>8</v>
      </c>
      <c r="H115" s="57" t="s">
        <v>7</v>
      </c>
      <c r="I115" s="56" t="s">
        <v>8</v>
      </c>
      <c r="J115" s="57" t="s">
        <v>7</v>
      </c>
      <c r="K115" s="56" t="s">
        <v>8</v>
      </c>
    </row>
    <row r="116" spans="2:13" ht="12.95" customHeight="1" x14ac:dyDescent="0.3">
      <c r="B116" s="14" t="s">
        <v>3</v>
      </c>
      <c r="C116" s="9" t="s">
        <v>36</v>
      </c>
      <c r="D116" s="4" t="s">
        <v>11</v>
      </c>
      <c r="E116" s="52">
        <v>387342</v>
      </c>
      <c r="F116" s="60">
        <v>4</v>
      </c>
      <c r="G116" s="3">
        <f t="shared" ref="G116:G117" si="38">TRUNC($E116*F116,1)</f>
        <v>1549368</v>
      </c>
      <c r="H116" s="60">
        <v>8</v>
      </c>
      <c r="I116" s="7">
        <f t="shared" ref="I116:I117" si="39">TRUNC($E116*H116,1)</f>
        <v>3098736</v>
      </c>
      <c r="J116" s="60">
        <v>8</v>
      </c>
      <c r="K116" s="7">
        <f t="shared" ref="K116:K117" si="40">TRUNC($E116*J116,1)</f>
        <v>3098736</v>
      </c>
    </row>
    <row r="117" spans="2:13" ht="12.95" customHeight="1" x14ac:dyDescent="0.3">
      <c r="B117" s="14" t="s">
        <v>1</v>
      </c>
      <c r="C117" s="9"/>
      <c r="D117" s="4" t="s">
        <v>11</v>
      </c>
      <c r="E117" s="52">
        <v>172068</v>
      </c>
      <c r="F117" s="60">
        <v>5</v>
      </c>
      <c r="G117" s="3">
        <f t="shared" si="38"/>
        <v>860340</v>
      </c>
      <c r="H117" s="60">
        <v>6</v>
      </c>
      <c r="I117" s="7">
        <f t="shared" si="39"/>
        <v>1032408</v>
      </c>
      <c r="J117" s="60">
        <v>6</v>
      </c>
      <c r="K117" s="7">
        <f t="shared" si="40"/>
        <v>1032408</v>
      </c>
    </row>
    <row r="118" spans="2:13" ht="12.95" customHeight="1" x14ac:dyDescent="0.3">
      <c r="B118" s="23" t="s">
        <v>13</v>
      </c>
      <c r="C118" s="28"/>
      <c r="D118" s="29"/>
      <c r="E118" s="24"/>
      <c r="F118" s="24"/>
      <c r="G118" s="25">
        <f>TRUNC(SUM(G116:G117))</f>
        <v>2409708</v>
      </c>
      <c r="H118" s="24"/>
      <c r="I118" s="26">
        <f>TRUNC(SUM(I116:I117))</f>
        <v>4131144</v>
      </c>
      <c r="J118" s="24"/>
      <c r="K118" s="26">
        <f>TRUNC(SUM(K116:K117))</f>
        <v>4131144</v>
      </c>
    </row>
    <row r="119" spans="2:13" ht="12.95" customHeight="1" x14ac:dyDescent="0.3">
      <c r="B119" s="15"/>
      <c r="C119" s="9"/>
      <c r="D119" s="4"/>
      <c r="E119" s="16"/>
      <c r="F119" s="16"/>
      <c r="G119" s="17"/>
      <c r="H119" s="16"/>
      <c r="I119" s="18"/>
      <c r="J119" s="16"/>
      <c r="K119" s="18"/>
    </row>
    <row r="120" spans="2:13" ht="12.95" customHeight="1" x14ac:dyDescent="0.3">
      <c r="B120" s="13" t="s">
        <v>15</v>
      </c>
      <c r="C120" s="10"/>
      <c r="D120" s="31"/>
      <c r="E120" s="19"/>
      <c r="F120" s="19"/>
      <c r="G120" s="20">
        <f>SUM(G118)</f>
        <v>2409708</v>
      </c>
      <c r="H120" s="19"/>
      <c r="I120" s="20">
        <f>SUM(I118)</f>
        <v>4131144</v>
      </c>
      <c r="J120" s="19"/>
      <c r="K120" s="20">
        <f>SUM(K118)</f>
        <v>4131144</v>
      </c>
    </row>
    <row r="122" spans="2:13" ht="12.95" customHeight="1" x14ac:dyDescent="0.3">
      <c r="B122" s="2" t="s">
        <v>67</v>
      </c>
      <c r="I122" s="55"/>
      <c r="M122" s="55" t="s">
        <v>19</v>
      </c>
    </row>
    <row r="123" spans="2:13" ht="12.95" customHeight="1" x14ac:dyDescent="0.3">
      <c r="B123" s="77" t="s">
        <v>5</v>
      </c>
      <c r="C123" s="80" t="s">
        <v>9</v>
      </c>
      <c r="D123" s="83" t="s">
        <v>10</v>
      </c>
      <c r="E123" s="86" t="s">
        <v>6</v>
      </c>
      <c r="F123" s="68" t="s">
        <v>66</v>
      </c>
      <c r="G123" s="69"/>
      <c r="H123" s="69"/>
      <c r="I123" s="69"/>
      <c r="J123" s="69"/>
      <c r="K123" s="69"/>
      <c r="L123" s="69"/>
      <c r="M123" s="69"/>
    </row>
    <row r="124" spans="2:13" ht="12.95" customHeight="1" x14ac:dyDescent="0.3">
      <c r="B124" s="78"/>
      <c r="C124" s="81"/>
      <c r="D124" s="84"/>
      <c r="E124" s="87"/>
      <c r="F124" s="67" t="s">
        <v>68</v>
      </c>
      <c r="G124" s="68"/>
      <c r="H124" s="67" t="s">
        <v>69</v>
      </c>
      <c r="I124" s="68"/>
      <c r="J124" s="67" t="s">
        <v>70</v>
      </c>
      <c r="K124" s="68"/>
      <c r="L124" s="67" t="s">
        <v>71</v>
      </c>
      <c r="M124" s="68"/>
    </row>
    <row r="125" spans="2:13" ht="12.95" customHeight="1" x14ac:dyDescent="0.3">
      <c r="B125" s="79"/>
      <c r="C125" s="82"/>
      <c r="D125" s="85"/>
      <c r="E125" s="88"/>
      <c r="F125" s="57" t="s">
        <v>7</v>
      </c>
      <c r="G125" s="56" t="s">
        <v>8</v>
      </c>
      <c r="H125" s="57" t="s">
        <v>7</v>
      </c>
      <c r="I125" s="56" t="s">
        <v>8</v>
      </c>
      <c r="J125" s="57" t="s">
        <v>7</v>
      </c>
      <c r="K125" s="56" t="s">
        <v>8</v>
      </c>
      <c r="L125" s="57" t="s">
        <v>7</v>
      </c>
      <c r="M125" s="56" t="s">
        <v>8</v>
      </c>
    </row>
    <row r="126" spans="2:13" ht="12.95" customHeight="1" x14ac:dyDescent="0.3">
      <c r="B126" s="14" t="s">
        <v>18</v>
      </c>
      <c r="C126" s="9"/>
      <c r="D126" s="4" t="s">
        <v>11</v>
      </c>
      <c r="E126" s="58">
        <v>226122</v>
      </c>
      <c r="F126" s="60">
        <v>1</v>
      </c>
      <c r="G126" s="3">
        <f t="shared" ref="G126:G127" si="41">TRUNC($E126*F126,1)</f>
        <v>226122</v>
      </c>
      <c r="H126" s="60">
        <v>1</v>
      </c>
      <c r="I126" s="7">
        <f t="shared" ref="I126:I127" si="42">TRUNC($E126*H126,1)</f>
        <v>226122</v>
      </c>
      <c r="J126" s="60">
        <v>1</v>
      </c>
      <c r="K126" s="7">
        <f t="shared" ref="K126:K127" si="43">TRUNC($E126*J126,1)</f>
        <v>226122</v>
      </c>
      <c r="L126" s="60">
        <v>1</v>
      </c>
      <c r="M126" s="7">
        <f t="shared" ref="M126:M127" si="44">TRUNC($E126*L126,1)</f>
        <v>226122</v>
      </c>
    </row>
    <row r="127" spans="2:13" ht="12.95" customHeight="1" x14ac:dyDescent="0.3">
      <c r="B127" s="14" t="s">
        <v>1</v>
      </c>
      <c r="C127" s="9"/>
      <c r="D127" s="4" t="s">
        <v>11</v>
      </c>
      <c r="E127" s="52">
        <v>172068</v>
      </c>
      <c r="F127" s="60">
        <v>3</v>
      </c>
      <c r="G127" s="3">
        <f t="shared" si="41"/>
        <v>516204</v>
      </c>
      <c r="H127" s="60">
        <v>3</v>
      </c>
      <c r="I127" s="7">
        <f t="shared" si="42"/>
        <v>516204</v>
      </c>
      <c r="J127" s="60">
        <v>3</v>
      </c>
      <c r="K127" s="7">
        <f t="shared" si="43"/>
        <v>516204</v>
      </c>
      <c r="L127" s="60">
        <v>3</v>
      </c>
      <c r="M127" s="7">
        <f t="shared" si="44"/>
        <v>516204</v>
      </c>
    </row>
    <row r="128" spans="2:13" ht="12.95" customHeight="1" x14ac:dyDescent="0.3">
      <c r="B128" s="23" t="s">
        <v>13</v>
      </c>
      <c r="C128" s="28"/>
      <c r="D128" s="29"/>
      <c r="E128" s="24"/>
      <c r="F128" s="24"/>
      <c r="G128" s="25">
        <f>TRUNC(SUM(G126:G127))</f>
        <v>742326</v>
      </c>
      <c r="H128" s="24"/>
      <c r="I128" s="26">
        <f>TRUNC(SUM(I126:I127))</f>
        <v>742326</v>
      </c>
      <c r="J128" s="24"/>
      <c r="K128" s="26">
        <f>TRUNC(SUM(K126:K127))</f>
        <v>742326</v>
      </c>
      <c r="L128" s="24"/>
      <c r="M128" s="26">
        <f>TRUNC(SUM(M126:M127))</f>
        <v>742326</v>
      </c>
    </row>
    <row r="129" spans="2:13" ht="12.95" customHeight="1" x14ac:dyDescent="0.3">
      <c r="B129" s="15"/>
      <c r="C129" s="9"/>
      <c r="D129" s="4"/>
      <c r="E129" s="16"/>
      <c r="F129" s="16"/>
      <c r="G129" s="17"/>
      <c r="H129" s="16"/>
      <c r="I129" s="18"/>
      <c r="J129" s="16"/>
      <c r="K129" s="18"/>
      <c r="L129" s="16"/>
      <c r="M129" s="18"/>
    </row>
    <row r="130" spans="2:13" ht="12.95" customHeight="1" x14ac:dyDescent="0.3">
      <c r="B130" s="13" t="s">
        <v>15</v>
      </c>
      <c r="C130" s="10"/>
      <c r="D130" s="31"/>
      <c r="E130" s="19"/>
      <c r="F130" s="19"/>
      <c r="G130" s="20">
        <f>SUM(G128)</f>
        <v>742326</v>
      </c>
      <c r="H130" s="19"/>
      <c r="I130" s="20">
        <f>SUM(I128)</f>
        <v>742326</v>
      </c>
      <c r="J130" s="19"/>
      <c r="K130" s="20">
        <f>SUM(K128)</f>
        <v>742326</v>
      </c>
      <c r="L130" s="19"/>
      <c r="M130" s="20">
        <f>SUM(M128)</f>
        <v>742326</v>
      </c>
    </row>
    <row r="131" spans="2:13" ht="12.95" customHeight="1" x14ac:dyDescent="0.3">
      <c r="B131" s="77" t="s">
        <v>5</v>
      </c>
      <c r="C131" s="80" t="s">
        <v>9</v>
      </c>
      <c r="D131" s="83" t="s">
        <v>10</v>
      </c>
      <c r="E131" s="86" t="s">
        <v>6</v>
      </c>
      <c r="F131" s="68" t="s">
        <v>66</v>
      </c>
      <c r="G131" s="69"/>
      <c r="H131" s="69"/>
      <c r="I131" s="69"/>
      <c r="J131" s="69"/>
      <c r="K131" s="69"/>
    </row>
    <row r="132" spans="2:13" ht="12.95" customHeight="1" x14ac:dyDescent="0.3">
      <c r="B132" s="78"/>
      <c r="C132" s="81"/>
      <c r="D132" s="84"/>
      <c r="E132" s="87"/>
      <c r="F132" s="67" t="s">
        <v>72</v>
      </c>
      <c r="G132" s="68"/>
      <c r="H132" s="67" t="s">
        <v>74</v>
      </c>
      <c r="I132" s="68"/>
      <c r="J132" s="67" t="s">
        <v>73</v>
      </c>
      <c r="K132" s="68"/>
    </row>
    <row r="133" spans="2:13" ht="12.95" customHeight="1" x14ac:dyDescent="0.3">
      <c r="B133" s="79"/>
      <c r="C133" s="82"/>
      <c r="D133" s="85"/>
      <c r="E133" s="88"/>
      <c r="F133" s="57" t="s">
        <v>7</v>
      </c>
      <c r="G133" s="56" t="s">
        <v>8</v>
      </c>
      <c r="H133" s="57" t="s">
        <v>7</v>
      </c>
      <c r="I133" s="56" t="s">
        <v>8</v>
      </c>
      <c r="J133" s="57" t="s">
        <v>7</v>
      </c>
      <c r="K133" s="56" t="s">
        <v>8</v>
      </c>
    </row>
    <row r="134" spans="2:13" ht="12.95" customHeight="1" x14ac:dyDescent="0.3">
      <c r="B134" s="14" t="s">
        <v>18</v>
      </c>
      <c r="C134" s="9"/>
      <c r="D134" s="4" t="s">
        <v>11</v>
      </c>
      <c r="E134" s="58">
        <v>226122</v>
      </c>
      <c r="F134" s="60">
        <v>1</v>
      </c>
      <c r="G134" s="3">
        <f t="shared" ref="G134:G135" si="45">TRUNC($E134*F134,1)</f>
        <v>226122</v>
      </c>
      <c r="H134" s="60">
        <v>2</v>
      </c>
      <c r="I134" s="7">
        <f t="shared" ref="I134:I135" si="46">TRUNC($E134*H134,1)</f>
        <v>452244</v>
      </c>
      <c r="J134" s="60">
        <v>2</v>
      </c>
      <c r="K134" s="7">
        <f t="shared" ref="K134:K135" si="47">TRUNC($E134*J134,1)</f>
        <v>452244</v>
      </c>
    </row>
    <row r="135" spans="2:13" ht="12.95" customHeight="1" x14ac:dyDescent="0.3">
      <c r="B135" s="14" t="s">
        <v>1</v>
      </c>
      <c r="C135" s="9"/>
      <c r="D135" s="4" t="s">
        <v>11</v>
      </c>
      <c r="E135" s="52">
        <v>172068</v>
      </c>
      <c r="F135" s="60">
        <v>3</v>
      </c>
      <c r="G135" s="3">
        <f t="shared" si="45"/>
        <v>516204</v>
      </c>
      <c r="H135" s="60">
        <v>4</v>
      </c>
      <c r="I135" s="7">
        <f t="shared" si="46"/>
        <v>688272</v>
      </c>
      <c r="J135" s="60">
        <v>4</v>
      </c>
      <c r="K135" s="7">
        <f t="shared" si="47"/>
        <v>688272</v>
      </c>
    </row>
    <row r="136" spans="2:13" ht="12.95" customHeight="1" x14ac:dyDescent="0.3">
      <c r="B136" s="23" t="s">
        <v>13</v>
      </c>
      <c r="C136" s="28"/>
      <c r="D136" s="29"/>
      <c r="E136" s="24"/>
      <c r="F136" s="24"/>
      <c r="G136" s="25">
        <f>TRUNC(SUM(G134:G135))</f>
        <v>742326</v>
      </c>
      <c r="H136" s="24"/>
      <c r="I136" s="26">
        <f>TRUNC(SUM(I134:I135))</f>
        <v>1140516</v>
      </c>
      <c r="J136" s="24"/>
      <c r="K136" s="26">
        <f>TRUNC(SUM(K134:K135))</f>
        <v>1140516</v>
      </c>
    </row>
    <row r="137" spans="2:13" ht="12.95" customHeight="1" x14ac:dyDescent="0.3">
      <c r="B137" s="15"/>
      <c r="C137" s="9"/>
      <c r="D137" s="4"/>
      <c r="E137" s="16"/>
      <c r="F137" s="16"/>
      <c r="G137" s="17"/>
      <c r="H137" s="16"/>
      <c r="I137" s="18"/>
      <c r="J137" s="16"/>
      <c r="K137" s="18"/>
    </row>
    <row r="138" spans="2:13" ht="12.95" customHeight="1" x14ac:dyDescent="0.3">
      <c r="B138" s="13" t="s">
        <v>15</v>
      </c>
      <c r="C138" s="10"/>
      <c r="D138" s="31"/>
      <c r="E138" s="19"/>
      <c r="F138" s="19"/>
      <c r="G138" s="20">
        <f>SUM(G136)</f>
        <v>742326</v>
      </c>
      <c r="H138" s="19"/>
      <c r="I138" s="20">
        <f>SUM(I136)</f>
        <v>1140516</v>
      </c>
      <c r="J138" s="19"/>
      <c r="K138" s="20">
        <f>SUM(K136)</f>
        <v>1140516</v>
      </c>
    </row>
    <row r="139" spans="2:13" ht="12.95" customHeight="1" x14ac:dyDescent="0.3">
      <c r="B139" s="77" t="s">
        <v>5</v>
      </c>
      <c r="C139" s="80" t="s">
        <v>9</v>
      </c>
      <c r="D139" s="83" t="s">
        <v>10</v>
      </c>
      <c r="E139" s="86" t="s">
        <v>6</v>
      </c>
      <c r="F139" s="68" t="s">
        <v>75</v>
      </c>
      <c r="G139" s="69"/>
      <c r="H139" s="69"/>
      <c r="I139" s="69"/>
      <c r="J139" s="69"/>
      <c r="K139" s="69"/>
      <c r="L139" s="69"/>
      <c r="M139" s="69"/>
    </row>
    <row r="140" spans="2:13" ht="12.95" customHeight="1" x14ac:dyDescent="0.3">
      <c r="B140" s="78"/>
      <c r="C140" s="81"/>
      <c r="D140" s="84"/>
      <c r="E140" s="87"/>
      <c r="F140" s="67" t="s">
        <v>76</v>
      </c>
      <c r="G140" s="68"/>
      <c r="H140" s="67" t="s">
        <v>77</v>
      </c>
      <c r="I140" s="68"/>
      <c r="J140" s="67" t="s">
        <v>78</v>
      </c>
      <c r="K140" s="68"/>
      <c r="L140" s="67" t="s">
        <v>79</v>
      </c>
      <c r="M140" s="68"/>
    </row>
    <row r="141" spans="2:13" ht="12.95" customHeight="1" x14ac:dyDescent="0.3">
      <c r="B141" s="79"/>
      <c r="C141" s="82"/>
      <c r="D141" s="85"/>
      <c r="E141" s="88"/>
      <c r="F141" s="57" t="s">
        <v>7</v>
      </c>
      <c r="G141" s="56" t="s">
        <v>8</v>
      </c>
      <c r="H141" s="57" t="s">
        <v>7</v>
      </c>
      <c r="I141" s="56" t="s">
        <v>8</v>
      </c>
      <c r="J141" s="57" t="s">
        <v>7</v>
      </c>
      <c r="K141" s="56" t="s">
        <v>8</v>
      </c>
      <c r="L141" s="57" t="s">
        <v>7</v>
      </c>
      <c r="M141" s="56" t="s">
        <v>8</v>
      </c>
    </row>
    <row r="142" spans="2:13" ht="12.95" customHeight="1" x14ac:dyDescent="0.3">
      <c r="B142" s="14" t="s">
        <v>18</v>
      </c>
      <c r="C142" s="9"/>
      <c r="D142" s="4" t="s">
        <v>11</v>
      </c>
      <c r="E142" s="58">
        <v>226122</v>
      </c>
      <c r="F142" s="60">
        <v>1</v>
      </c>
      <c r="G142" s="3">
        <f t="shared" ref="G142:G143" si="48">TRUNC($E142*F142,1)</f>
        <v>226122</v>
      </c>
      <c r="H142" s="60">
        <v>1</v>
      </c>
      <c r="I142" s="7">
        <f t="shared" ref="I142:I143" si="49">TRUNC($E142*H142,1)</f>
        <v>226122</v>
      </c>
      <c r="J142" s="60">
        <v>1</v>
      </c>
      <c r="K142" s="7">
        <f t="shared" ref="K142:K143" si="50">TRUNC($E142*J142,1)</f>
        <v>226122</v>
      </c>
      <c r="L142" s="60">
        <v>1</v>
      </c>
      <c r="M142" s="7">
        <f t="shared" ref="M142:M143" si="51">TRUNC($E142*L142,1)</f>
        <v>226122</v>
      </c>
    </row>
    <row r="143" spans="2:13" ht="12.95" customHeight="1" x14ac:dyDescent="0.3">
      <c r="B143" s="14" t="s">
        <v>1</v>
      </c>
      <c r="C143" s="9"/>
      <c r="D143" s="4" t="s">
        <v>11</v>
      </c>
      <c r="E143" s="52">
        <v>172068</v>
      </c>
      <c r="F143" s="60">
        <v>3</v>
      </c>
      <c r="G143" s="3">
        <f t="shared" si="48"/>
        <v>516204</v>
      </c>
      <c r="H143" s="60">
        <v>3</v>
      </c>
      <c r="I143" s="7">
        <f t="shared" si="49"/>
        <v>516204</v>
      </c>
      <c r="J143" s="60">
        <v>3</v>
      </c>
      <c r="K143" s="7">
        <f t="shared" si="50"/>
        <v>516204</v>
      </c>
      <c r="L143" s="60">
        <v>3</v>
      </c>
      <c r="M143" s="7">
        <f t="shared" si="51"/>
        <v>516204</v>
      </c>
    </row>
    <row r="144" spans="2:13" ht="12.95" customHeight="1" x14ac:dyDescent="0.3">
      <c r="B144" s="23" t="s">
        <v>13</v>
      </c>
      <c r="C144" s="28"/>
      <c r="D144" s="29"/>
      <c r="E144" s="24"/>
      <c r="F144" s="24"/>
      <c r="G144" s="25">
        <f>TRUNC(SUM(G142:G143))</f>
        <v>742326</v>
      </c>
      <c r="H144" s="24"/>
      <c r="I144" s="26">
        <f>TRUNC(SUM(I142:I143))</f>
        <v>742326</v>
      </c>
      <c r="J144" s="24"/>
      <c r="K144" s="26">
        <f>TRUNC(SUM(K142:K143))</f>
        <v>742326</v>
      </c>
      <c r="L144" s="24"/>
      <c r="M144" s="26">
        <f>TRUNC(SUM(M142:M143))</f>
        <v>742326</v>
      </c>
    </row>
    <row r="145" spans="2:13" ht="12.95" customHeight="1" x14ac:dyDescent="0.3">
      <c r="B145" s="15"/>
      <c r="C145" s="9"/>
      <c r="D145" s="4"/>
      <c r="E145" s="16"/>
      <c r="F145" s="16"/>
      <c r="G145" s="17"/>
      <c r="H145" s="16"/>
      <c r="I145" s="18"/>
      <c r="J145" s="16"/>
      <c r="K145" s="18"/>
      <c r="L145" s="16"/>
      <c r="M145" s="18"/>
    </row>
    <row r="146" spans="2:13" ht="12.95" customHeight="1" x14ac:dyDescent="0.3">
      <c r="B146" s="13" t="s">
        <v>15</v>
      </c>
      <c r="C146" s="10"/>
      <c r="D146" s="31"/>
      <c r="E146" s="19"/>
      <c r="F146" s="19"/>
      <c r="G146" s="20">
        <f>SUM(G144)</f>
        <v>742326</v>
      </c>
      <c r="H146" s="19"/>
      <c r="I146" s="20">
        <f>SUM(I144)</f>
        <v>742326</v>
      </c>
      <c r="J146" s="19"/>
      <c r="K146" s="20">
        <f>SUM(K144)</f>
        <v>742326</v>
      </c>
      <c r="L146" s="19"/>
      <c r="M146" s="20">
        <f>SUM(M144)</f>
        <v>742326</v>
      </c>
    </row>
    <row r="147" spans="2:13" ht="12.95" customHeight="1" x14ac:dyDescent="0.3">
      <c r="B147" s="77" t="s">
        <v>5</v>
      </c>
      <c r="C147" s="80" t="s">
        <v>9</v>
      </c>
      <c r="D147" s="83" t="s">
        <v>10</v>
      </c>
      <c r="E147" s="86" t="s">
        <v>6</v>
      </c>
      <c r="F147" s="68" t="s">
        <v>75</v>
      </c>
      <c r="G147" s="69"/>
      <c r="H147" s="69"/>
      <c r="I147" s="69"/>
      <c r="J147" s="69"/>
      <c r="K147" s="69"/>
    </row>
    <row r="148" spans="2:13" ht="12.95" customHeight="1" x14ac:dyDescent="0.3">
      <c r="B148" s="78"/>
      <c r="C148" s="81"/>
      <c r="D148" s="84"/>
      <c r="E148" s="87"/>
      <c r="F148" s="67" t="s">
        <v>80</v>
      </c>
      <c r="G148" s="68"/>
      <c r="H148" s="67" t="s">
        <v>81</v>
      </c>
      <c r="I148" s="68"/>
      <c r="J148" s="67" t="s">
        <v>82</v>
      </c>
      <c r="K148" s="68"/>
    </row>
    <row r="149" spans="2:13" ht="12.95" customHeight="1" x14ac:dyDescent="0.3">
      <c r="B149" s="79"/>
      <c r="C149" s="82"/>
      <c r="D149" s="85"/>
      <c r="E149" s="88"/>
      <c r="F149" s="57" t="s">
        <v>7</v>
      </c>
      <c r="G149" s="56" t="s">
        <v>8</v>
      </c>
      <c r="H149" s="57" t="s">
        <v>7</v>
      </c>
      <c r="I149" s="56" t="s">
        <v>8</v>
      </c>
      <c r="J149" s="57" t="s">
        <v>7</v>
      </c>
      <c r="K149" s="56" t="s">
        <v>8</v>
      </c>
    </row>
    <row r="150" spans="2:13" ht="12.95" customHeight="1" x14ac:dyDescent="0.3">
      <c r="B150" s="14" t="s">
        <v>18</v>
      </c>
      <c r="C150" s="9"/>
      <c r="D150" s="4" t="s">
        <v>11</v>
      </c>
      <c r="E150" s="58">
        <v>226122</v>
      </c>
      <c r="F150" s="60">
        <v>1</v>
      </c>
      <c r="G150" s="3">
        <f t="shared" ref="G150:G151" si="52">TRUNC($E150*F150,1)</f>
        <v>226122</v>
      </c>
      <c r="H150" s="60">
        <v>2</v>
      </c>
      <c r="I150" s="7">
        <f t="shared" ref="I150:I151" si="53">TRUNC($E150*H150,1)</f>
        <v>452244</v>
      </c>
      <c r="J150" s="60">
        <v>2</v>
      </c>
      <c r="K150" s="7">
        <f t="shared" ref="K150:K151" si="54">TRUNC($E150*J150,1)</f>
        <v>452244</v>
      </c>
    </row>
    <row r="151" spans="2:13" ht="12.95" customHeight="1" x14ac:dyDescent="0.3">
      <c r="B151" s="14" t="s">
        <v>1</v>
      </c>
      <c r="C151" s="9"/>
      <c r="D151" s="4" t="s">
        <v>11</v>
      </c>
      <c r="E151" s="52">
        <v>172068</v>
      </c>
      <c r="F151" s="60">
        <v>3</v>
      </c>
      <c r="G151" s="3">
        <f t="shared" si="52"/>
        <v>516204</v>
      </c>
      <c r="H151" s="60">
        <v>4</v>
      </c>
      <c r="I151" s="7">
        <f t="shared" si="53"/>
        <v>688272</v>
      </c>
      <c r="J151" s="60">
        <v>4</v>
      </c>
      <c r="K151" s="7">
        <f t="shared" si="54"/>
        <v>688272</v>
      </c>
    </row>
    <row r="152" spans="2:13" ht="12.95" customHeight="1" x14ac:dyDescent="0.3">
      <c r="B152" s="23" t="s">
        <v>13</v>
      </c>
      <c r="C152" s="28"/>
      <c r="D152" s="29"/>
      <c r="E152" s="24"/>
      <c r="F152" s="24"/>
      <c r="G152" s="25">
        <f>TRUNC(SUM(G150:G151))</f>
        <v>742326</v>
      </c>
      <c r="H152" s="24"/>
      <c r="I152" s="26">
        <f>TRUNC(SUM(I150:I151))</f>
        <v>1140516</v>
      </c>
      <c r="J152" s="24"/>
      <c r="K152" s="26">
        <f>TRUNC(SUM(K150:K151))</f>
        <v>1140516</v>
      </c>
    </row>
    <row r="153" spans="2:13" ht="12.95" customHeight="1" x14ac:dyDescent="0.3">
      <c r="B153" s="15"/>
      <c r="C153" s="9"/>
      <c r="D153" s="4"/>
      <c r="E153" s="16"/>
      <c r="F153" s="16"/>
      <c r="G153" s="17"/>
      <c r="H153" s="16"/>
      <c r="I153" s="18"/>
      <c r="J153" s="16"/>
      <c r="K153" s="18"/>
    </row>
    <row r="154" spans="2:13" ht="12.95" customHeight="1" x14ac:dyDescent="0.3">
      <c r="B154" s="13" t="s">
        <v>15</v>
      </c>
      <c r="C154" s="10"/>
      <c r="D154" s="31"/>
      <c r="E154" s="19"/>
      <c r="F154" s="19"/>
      <c r="G154" s="20">
        <f>SUM(G152)</f>
        <v>742326</v>
      </c>
      <c r="H154" s="19"/>
      <c r="I154" s="20">
        <f>SUM(I152)</f>
        <v>1140516</v>
      </c>
      <c r="J154" s="19"/>
      <c r="K154" s="20">
        <f>SUM(K152)</f>
        <v>1140516</v>
      </c>
    </row>
    <row r="155" spans="2:13" ht="12.95" customHeight="1" x14ac:dyDescent="0.3">
      <c r="B155" s="77" t="s">
        <v>5</v>
      </c>
      <c r="C155" s="80" t="s">
        <v>9</v>
      </c>
      <c r="D155" s="83" t="s">
        <v>10</v>
      </c>
      <c r="E155" s="86" t="s">
        <v>6</v>
      </c>
      <c r="F155" s="68" t="s">
        <v>83</v>
      </c>
      <c r="G155" s="69"/>
      <c r="H155" s="69"/>
      <c r="I155" s="69"/>
      <c r="J155" s="69"/>
      <c r="K155" s="69"/>
      <c r="L155" s="69"/>
      <c r="M155" s="69"/>
    </row>
    <row r="156" spans="2:13" ht="12.95" customHeight="1" x14ac:dyDescent="0.3">
      <c r="B156" s="78"/>
      <c r="C156" s="81"/>
      <c r="D156" s="84"/>
      <c r="E156" s="87"/>
      <c r="F156" s="67" t="s">
        <v>84</v>
      </c>
      <c r="G156" s="68"/>
      <c r="H156" s="67" t="s">
        <v>85</v>
      </c>
      <c r="I156" s="68"/>
      <c r="J156" s="67" t="s">
        <v>55</v>
      </c>
      <c r="K156" s="68"/>
      <c r="L156" s="67" t="s">
        <v>56</v>
      </c>
      <c r="M156" s="68"/>
    </row>
    <row r="157" spans="2:13" ht="12.95" customHeight="1" x14ac:dyDescent="0.3">
      <c r="B157" s="79"/>
      <c r="C157" s="82"/>
      <c r="D157" s="85"/>
      <c r="E157" s="88"/>
      <c r="F157" s="57" t="s">
        <v>7</v>
      </c>
      <c r="G157" s="56" t="s">
        <v>8</v>
      </c>
      <c r="H157" s="57" t="s">
        <v>7</v>
      </c>
      <c r="I157" s="56" t="s">
        <v>8</v>
      </c>
      <c r="J157" s="57" t="s">
        <v>7</v>
      </c>
      <c r="K157" s="56" t="s">
        <v>8</v>
      </c>
      <c r="L157" s="57" t="s">
        <v>7</v>
      </c>
      <c r="M157" s="56" t="s">
        <v>8</v>
      </c>
    </row>
    <row r="158" spans="2:13" ht="12.95" customHeight="1" x14ac:dyDescent="0.3">
      <c r="B158" s="14" t="s">
        <v>3</v>
      </c>
      <c r="C158" s="9" t="s">
        <v>36</v>
      </c>
      <c r="D158" s="4" t="s">
        <v>11</v>
      </c>
      <c r="E158" s="52">
        <v>387342</v>
      </c>
      <c r="F158" s="60">
        <v>4</v>
      </c>
      <c r="G158" s="3">
        <f t="shared" ref="G158:G159" si="55">TRUNC($E158*F158,1)</f>
        <v>1549368</v>
      </c>
      <c r="H158" s="60">
        <v>4</v>
      </c>
      <c r="I158" s="7">
        <f t="shared" ref="I158:I159" si="56">TRUNC($E158*H158,1)</f>
        <v>1549368</v>
      </c>
      <c r="J158" s="60">
        <v>4</v>
      </c>
      <c r="K158" s="7">
        <f t="shared" ref="K158:K159" si="57">TRUNC($E158*J158,1)</f>
        <v>1549368</v>
      </c>
      <c r="L158" s="60">
        <v>4</v>
      </c>
      <c r="M158" s="7">
        <f t="shared" ref="M158:M159" si="58">TRUNC($E158*L158,1)</f>
        <v>1549368</v>
      </c>
    </row>
    <row r="159" spans="2:13" ht="12.95" customHeight="1" x14ac:dyDescent="0.3">
      <c r="B159" s="14" t="s">
        <v>1</v>
      </c>
      <c r="C159" s="9"/>
      <c r="D159" s="4" t="s">
        <v>11</v>
      </c>
      <c r="E159" s="52">
        <v>172068</v>
      </c>
      <c r="F159" s="60">
        <v>3.5</v>
      </c>
      <c r="G159" s="3">
        <f t="shared" si="55"/>
        <v>602238</v>
      </c>
      <c r="H159" s="60">
        <v>3.5</v>
      </c>
      <c r="I159" s="7">
        <f t="shared" si="56"/>
        <v>602238</v>
      </c>
      <c r="J159" s="60">
        <v>3.5</v>
      </c>
      <c r="K159" s="7">
        <f t="shared" si="57"/>
        <v>602238</v>
      </c>
      <c r="L159" s="60">
        <v>3.5</v>
      </c>
      <c r="M159" s="7">
        <f t="shared" si="58"/>
        <v>602238</v>
      </c>
    </row>
    <row r="160" spans="2:13" ht="12.95" customHeight="1" x14ac:dyDescent="0.3">
      <c r="B160" s="23" t="s">
        <v>13</v>
      </c>
      <c r="C160" s="28"/>
      <c r="D160" s="29"/>
      <c r="E160" s="24"/>
      <c r="F160" s="24"/>
      <c r="G160" s="25">
        <f>TRUNC(SUM(G158:G159))</f>
        <v>2151606</v>
      </c>
      <c r="H160" s="24"/>
      <c r="I160" s="26">
        <f>TRUNC(SUM(I158:I159))</f>
        <v>2151606</v>
      </c>
      <c r="J160" s="24"/>
      <c r="K160" s="26">
        <f>TRUNC(SUM(K158:K159))</f>
        <v>2151606</v>
      </c>
      <c r="L160" s="24"/>
      <c r="M160" s="26">
        <f>TRUNC(SUM(M158:M159))</f>
        <v>2151606</v>
      </c>
    </row>
    <row r="161" spans="2:13" ht="12.95" customHeight="1" x14ac:dyDescent="0.3">
      <c r="B161" s="15"/>
      <c r="C161" s="9"/>
      <c r="D161" s="4"/>
      <c r="E161" s="16"/>
      <c r="F161" s="16"/>
      <c r="G161" s="17"/>
      <c r="H161" s="16"/>
      <c r="I161" s="18"/>
      <c r="J161" s="16"/>
      <c r="K161" s="18"/>
      <c r="L161" s="16"/>
      <c r="M161" s="18"/>
    </row>
    <row r="162" spans="2:13" ht="12.95" customHeight="1" x14ac:dyDescent="0.3">
      <c r="B162" s="13" t="s">
        <v>15</v>
      </c>
      <c r="C162" s="10"/>
      <c r="D162" s="31"/>
      <c r="E162" s="19"/>
      <c r="F162" s="19"/>
      <c r="G162" s="20">
        <f>SUM(G160)</f>
        <v>2151606</v>
      </c>
      <c r="H162" s="19"/>
      <c r="I162" s="20">
        <f>SUM(I160)</f>
        <v>2151606</v>
      </c>
      <c r="J162" s="19"/>
      <c r="K162" s="20">
        <f>SUM(K160)</f>
        <v>2151606</v>
      </c>
      <c r="L162" s="19"/>
      <c r="M162" s="20">
        <f>SUM(M160)</f>
        <v>2151606</v>
      </c>
    </row>
    <row r="163" spans="2:13" ht="12.95" customHeight="1" x14ac:dyDescent="0.3">
      <c r="B163" s="77" t="s">
        <v>5</v>
      </c>
      <c r="C163" s="80" t="s">
        <v>9</v>
      </c>
      <c r="D163" s="83" t="s">
        <v>10</v>
      </c>
      <c r="E163" s="86" t="s">
        <v>6</v>
      </c>
      <c r="F163" s="68" t="s">
        <v>66</v>
      </c>
      <c r="G163" s="69"/>
      <c r="H163" s="69"/>
      <c r="I163" s="69"/>
      <c r="J163" s="69"/>
      <c r="K163" s="69"/>
    </row>
    <row r="164" spans="2:13" ht="12.95" customHeight="1" x14ac:dyDescent="0.3">
      <c r="B164" s="78"/>
      <c r="C164" s="81"/>
      <c r="D164" s="84"/>
      <c r="E164" s="87"/>
      <c r="F164" s="67" t="s">
        <v>57</v>
      </c>
      <c r="G164" s="68"/>
      <c r="H164" s="67" t="s">
        <v>86</v>
      </c>
      <c r="I164" s="68"/>
      <c r="J164" s="67" t="s">
        <v>87</v>
      </c>
      <c r="K164" s="68"/>
    </row>
    <row r="165" spans="2:13" ht="12.95" customHeight="1" x14ac:dyDescent="0.3">
      <c r="B165" s="79"/>
      <c r="C165" s="82"/>
      <c r="D165" s="85"/>
      <c r="E165" s="88"/>
      <c r="F165" s="57" t="s">
        <v>7</v>
      </c>
      <c r="G165" s="56" t="s">
        <v>8</v>
      </c>
      <c r="H165" s="57" t="s">
        <v>7</v>
      </c>
      <c r="I165" s="56" t="s">
        <v>8</v>
      </c>
      <c r="J165" s="57" t="s">
        <v>7</v>
      </c>
      <c r="K165" s="56" t="s">
        <v>8</v>
      </c>
    </row>
    <row r="166" spans="2:13" ht="12.95" customHeight="1" x14ac:dyDescent="0.3">
      <c r="B166" s="14" t="s">
        <v>3</v>
      </c>
      <c r="C166" s="9" t="s">
        <v>36</v>
      </c>
      <c r="D166" s="4" t="s">
        <v>11</v>
      </c>
      <c r="E166" s="52">
        <v>387342</v>
      </c>
      <c r="F166" s="60">
        <v>4</v>
      </c>
      <c r="G166" s="3">
        <f t="shared" ref="G166:G167" si="59">TRUNC($E166*F166,1)</f>
        <v>1549368</v>
      </c>
      <c r="H166" s="60">
        <v>4</v>
      </c>
      <c r="I166" s="7">
        <f t="shared" ref="I166:I167" si="60">TRUNC($E166*H166,1)</f>
        <v>1549368</v>
      </c>
      <c r="J166" s="60">
        <v>6</v>
      </c>
      <c r="K166" s="7">
        <f t="shared" ref="K166:K167" si="61">TRUNC($E166*J166,1)</f>
        <v>2324052</v>
      </c>
    </row>
    <row r="167" spans="2:13" ht="12.95" customHeight="1" x14ac:dyDescent="0.3">
      <c r="B167" s="14" t="s">
        <v>1</v>
      </c>
      <c r="C167" s="9"/>
      <c r="D167" s="4" t="s">
        <v>11</v>
      </c>
      <c r="E167" s="52">
        <v>172068</v>
      </c>
      <c r="F167" s="60">
        <v>3.5</v>
      </c>
      <c r="G167" s="3">
        <f t="shared" si="59"/>
        <v>602238</v>
      </c>
      <c r="H167" s="60">
        <v>5</v>
      </c>
      <c r="I167" s="7">
        <f t="shared" si="60"/>
        <v>860340</v>
      </c>
      <c r="J167" s="60">
        <v>5</v>
      </c>
      <c r="K167" s="7">
        <f t="shared" si="61"/>
        <v>860340</v>
      </c>
    </row>
    <row r="168" spans="2:13" ht="12.95" customHeight="1" x14ac:dyDescent="0.3">
      <c r="B168" s="23" t="s">
        <v>13</v>
      </c>
      <c r="C168" s="28"/>
      <c r="D168" s="29"/>
      <c r="E168" s="24"/>
      <c r="F168" s="24"/>
      <c r="G168" s="25">
        <f>TRUNC(SUM(G166:G167))</f>
        <v>2151606</v>
      </c>
      <c r="H168" s="24"/>
      <c r="I168" s="26">
        <f>TRUNC(SUM(I166:I167))</f>
        <v>2409708</v>
      </c>
      <c r="J168" s="24"/>
      <c r="K168" s="26">
        <f>TRUNC(SUM(K166:K167))</f>
        <v>3184392</v>
      </c>
    </row>
    <row r="169" spans="2:13" ht="12.95" customHeight="1" x14ac:dyDescent="0.3">
      <c r="B169" s="15"/>
      <c r="C169" s="9"/>
      <c r="D169" s="4"/>
      <c r="E169" s="16"/>
      <c r="F169" s="16"/>
      <c r="G169" s="17"/>
      <c r="H169" s="16"/>
      <c r="I169" s="18"/>
      <c r="J169" s="16"/>
      <c r="K169" s="18"/>
    </row>
    <row r="170" spans="2:13" ht="12.95" customHeight="1" x14ac:dyDescent="0.3">
      <c r="B170" s="13" t="s">
        <v>15</v>
      </c>
      <c r="C170" s="10"/>
      <c r="D170" s="31"/>
      <c r="E170" s="19"/>
      <c r="F170" s="19"/>
      <c r="G170" s="20">
        <f>SUM(G168)</f>
        <v>2151606</v>
      </c>
      <c r="H170" s="19"/>
      <c r="I170" s="20">
        <f>SUM(I168)</f>
        <v>2409708</v>
      </c>
      <c r="J170" s="19"/>
      <c r="K170" s="20">
        <f>SUM(K168)</f>
        <v>3184392</v>
      </c>
    </row>
    <row r="171" spans="2:13" ht="12.95" customHeight="1" x14ac:dyDescent="0.3">
      <c r="B171" s="77" t="s">
        <v>5</v>
      </c>
      <c r="C171" s="80" t="s">
        <v>9</v>
      </c>
      <c r="D171" s="83" t="s">
        <v>10</v>
      </c>
      <c r="E171" s="86" t="s">
        <v>6</v>
      </c>
      <c r="F171" s="68" t="s">
        <v>88</v>
      </c>
      <c r="G171" s="69"/>
      <c r="H171" s="69"/>
      <c r="I171" s="69"/>
      <c r="J171" s="69"/>
      <c r="K171" s="69"/>
      <c r="L171" s="69"/>
      <c r="M171" s="69"/>
    </row>
    <row r="172" spans="2:13" ht="12.95" customHeight="1" x14ac:dyDescent="0.3">
      <c r="B172" s="78"/>
      <c r="C172" s="81"/>
      <c r="D172" s="84"/>
      <c r="E172" s="87"/>
      <c r="F172" s="67" t="s">
        <v>89</v>
      </c>
      <c r="G172" s="68"/>
      <c r="H172" s="67" t="s">
        <v>90</v>
      </c>
      <c r="I172" s="68"/>
      <c r="J172" s="67" t="s">
        <v>91</v>
      </c>
      <c r="K172" s="68"/>
      <c r="L172" s="67" t="s">
        <v>92</v>
      </c>
      <c r="M172" s="68"/>
    </row>
    <row r="173" spans="2:13" ht="12.95" customHeight="1" x14ac:dyDescent="0.3">
      <c r="B173" s="79"/>
      <c r="C173" s="82"/>
      <c r="D173" s="85"/>
      <c r="E173" s="88"/>
      <c r="F173" s="57" t="s">
        <v>7</v>
      </c>
      <c r="G173" s="56" t="s">
        <v>8</v>
      </c>
      <c r="H173" s="57" t="s">
        <v>7</v>
      </c>
      <c r="I173" s="56" t="s">
        <v>8</v>
      </c>
      <c r="J173" s="57" t="s">
        <v>7</v>
      </c>
      <c r="K173" s="56" t="s">
        <v>8</v>
      </c>
      <c r="L173" s="57" t="s">
        <v>7</v>
      </c>
      <c r="M173" s="56" t="s">
        <v>8</v>
      </c>
    </row>
    <row r="174" spans="2:13" ht="12.95" customHeight="1" x14ac:dyDescent="0.3">
      <c r="B174" s="14" t="s">
        <v>3</v>
      </c>
      <c r="C174" s="9" t="s">
        <v>36</v>
      </c>
      <c r="D174" s="4" t="s">
        <v>11</v>
      </c>
      <c r="E174" s="52">
        <v>387342</v>
      </c>
      <c r="F174" s="60">
        <v>4</v>
      </c>
      <c r="G174" s="3">
        <f t="shared" ref="G174:G175" si="62">TRUNC($E174*F174,1)</f>
        <v>1549368</v>
      </c>
      <c r="H174" s="60">
        <v>4</v>
      </c>
      <c r="I174" s="7">
        <f t="shared" ref="I174:I175" si="63">TRUNC($E174*H174,1)</f>
        <v>1549368</v>
      </c>
      <c r="J174" s="60">
        <v>4</v>
      </c>
      <c r="K174" s="7">
        <f t="shared" ref="K174:K175" si="64">TRUNC($E174*J174,1)</f>
        <v>1549368</v>
      </c>
      <c r="L174" s="60">
        <v>4</v>
      </c>
      <c r="M174" s="7">
        <f t="shared" ref="M174:M175" si="65">TRUNC($E174*L174,1)</f>
        <v>1549368</v>
      </c>
    </row>
    <row r="175" spans="2:13" ht="12.95" customHeight="1" x14ac:dyDescent="0.3">
      <c r="B175" s="14" t="s">
        <v>1</v>
      </c>
      <c r="C175" s="9"/>
      <c r="D175" s="4" t="s">
        <v>11</v>
      </c>
      <c r="E175" s="52">
        <v>172068</v>
      </c>
      <c r="F175" s="60">
        <v>3.5</v>
      </c>
      <c r="G175" s="3">
        <f t="shared" si="62"/>
        <v>602238</v>
      </c>
      <c r="H175" s="60">
        <v>3.5</v>
      </c>
      <c r="I175" s="7">
        <f t="shared" si="63"/>
        <v>602238</v>
      </c>
      <c r="J175" s="60">
        <v>3.5</v>
      </c>
      <c r="K175" s="7">
        <f t="shared" si="64"/>
        <v>602238</v>
      </c>
      <c r="L175" s="60">
        <v>3.5</v>
      </c>
      <c r="M175" s="7">
        <f t="shared" si="65"/>
        <v>602238</v>
      </c>
    </row>
    <row r="176" spans="2:13" ht="12.95" customHeight="1" x14ac:dyDescent="0.3">
      <c r="B176" s="23" t="s">
        <v>13</v>
      </c>
      <c r="C176" s="28"/>
      <c r="D176" s="29"/>
      <c r="E176" s="24"/>
      <c r="F176" s="24"/>
      <c r="G176" s="25">
        <f>TRUNC(SUM(G174:G175))</f>
        <v>2151606</v>
      </c>
      <c r="H176" s="24"/>
      <c r="I176" s="26">
        <f>TRUNC(SUM(I174:I175))</f>
        <v>2151606</v>
      </c>
      <c r="J176" s="24"/>
      <c r="K176" s="26">
        <f>TRUNC(SUM(K174:K175))</f>
        <v>2151606</v>
      </c>
      <c r="L176" s="24"/>
      <c r="M176" s="26">
        <f>TRUNC(SUM(M174:M175))</f>
        <v>2151606</v>
      </c>
    </row>
    <row r="177" spans="2:13" ht="12.95" customHeight="1" x14ac:dyDescent="0.3">
      <c r="B177" s="15"/>
      <c r="C177" s="9"/>
      <c r="D177" s="4"/>
      <c r="E177" s="16"/>
      <c r="F177" s="16"/>
      <c r="G177" s="17"/>
      <c r="H177" s="16"/>
      <c r="I177" s="18"/>
      <c r="J177" s="16"/>
      <c r="K177" s="18"/>
      <c r="L177" s="16"/>
      <c r="M177" s="18"/>
    </row>
    <row r="178" spans="2:13" ht="12.95" customHeight="1" x14ac:dyDescent="0.3">
      <c r="B178" s="13" t="s">
        <v>15</v>
      </c>
      <c r="C178" s="10"/>
      <c r="D178" s="31"/>
      <c r="E178" s="19"/>
      <c r="F178" s="19"/>
      <c r="G178" s="20">
        <f>SUM(G176)</f>
        <v>2151606</v>
      </c>
      <c r="H178" s="19"/>
      <c r="I178" s="20">
        <f>SUM(I176)</f>
        <v>2151606</v>
      </c>
      <c r="J178" s="19"/>
      <c r="K178" s="20">
        <f>SUM(K176)</f>
        <v>2151606</v>
      </c>
      <c r="L178" s="19"/>
      <c r="M178" s="20">
        <f>SUM(M176)</f>
        <v>2151606</v>
      </c>
    </row>
    <row r="179" spans="2:13" ht="12.95" customHeight="1" x14ac:dyDescent="0.3">
      <c r="B179" s="77" t="s">
        <v>5</v>
      </c>
      <c r="C179" s="80" t="s">
        <v>9</v>
      </c>
      <c r="D179" s="83" t="s">
        <v>10</v>
      </c>
      <c r="E179" s="86" t="s">
        <v>6</v>
      </c>
      <c r="F179" s="68" t="s">
        <v>75</v>
      </c>
      <c r="G179" s="69"/>
      <c r="H179" s="69"/>
      <c r="I179" s="69"/>
      <c r="J179" s="69"/>
      <c r="K179" s="69"/>
    </row>
    <row r="180" spans="2:13" ht="12.95" customHeight="1" x14ac:dyDescent="0.3">
      <c r="B180" s="78"/>
      <c r="C180" s="81"/>
      <c r="D180" s="84"/>
      <c r="E180" s="87"/>
      <c r="F180" s="67" t="s">
        <v>72</v>
      </c>
      <c r="G180" s="68"/>
      <c r="H180" s="67" t="s">
        <v>93</v>
      </c>
      <c r="I180" s="68"/>
      <c r="J180" s="67" t="s">
        <v>94</v>
      </c>
      <c r="K180" s="68"/>
    </row>
    <row r="181" spans="2:13" ht="12.95" customHeight="1" x14ac:dyDescent="0.3">
      <c r="B181" s="79"/>
      <c r="C181" s="82"/>
      <c r="D181" s="85"/>
      <c r="E181" s="88"/>
      <c r="F181" s="57" t="s">
        <v>7</v>
      </c>
      <c r="G181" s="56" t="s">
        <v>8</v>
      </c>
      <c r="H181" s="57" t="s">
        <v>7</v>
      </c>
      <c r="I181" s="56" t="s">
        <v>8</v>
      </c>
      <c r="J181" s="57" t="s">
        <v>7</v>
      </c>
      <c r="K181" s="56" t="s">
        <v>8</v>
      </c>
    </row>
    <row r="182" spans="2:13" ht="12.95" customHeight="1" x14ac:dyDescent="0.3">
      <c r="B182" s="14" t="s">
        <v>3</v>
      </c>
      <c r="C182" s="9" t="s">
        <v>36</v>
      </c>
      <c r="D182" s="4" t="s">
        <v>11</v>
      </c>
      <c r="E182" s="52">
        <v>387342</v>
      </c>
      <c r="F182" s="60">
        <v>4</v>
      </c>
      <c r="G182" s="3">
        <f t="shared" ref="G182:G183" si="66">TRUNC($E182*F182,1)</f>
        <v>1549368</v>
      </c>
      <c r="H182" s="60">
        <v>4</v>
      </c>
      <c r="I182" s="7">
        <f t="shared" ref="I182:I183" si="67">TRUNC($E182*H182,1)</f>
        <v>1549368</v>
      </c>
      <c r="J182" s="60">
        <v>6</v>
      </c>
      <c r="K182" s="7">
        <f t="shared" ref="K182:K183" si="68">TRUNC($E182*J182,1)</f>
        <v>2324052</v>
      </c>
    </row>
    <row r="183" spans="2:13" ht="12.95" customHeight="1" x14ac:dyDescent="0.3">
      <c r="B183" s="14" t="s">
        <v>1</v>
      </c>
      <c r="C183" s="9"/>
      <c r="D183" s="4" t="s">
        <v>11</v>
      </c>
      <c r="E183" s="52">
        <v>172068</v>
      </c>
      <c r="F183" s="60">
        <v>3.5</v>
      </c>
      <c r="G183" s="3">
        <f t="shared" si="66"/>
        <v>602238</v>
      </c>
      <c r="H183" s="60">
        <v>5</v>
      </c>
      <c r="I183" s="7">
        <f t="shared" si="67"/>
        <v>860340</v>
      </c>
      <c r="J183" s="60">
        <v>5</v>
      </c>
      <c r="K183" s="7">
        <f t="shared" si="68"/>
        <v>860340</v>
      </c>
    </row>
    <row r="184" spans="2:13" ht="12.95" customHeight="1" x14ac:dyDescent="0.3">
      <c r="B184" s="23" t="s">
        <v>13</v>
      </c>
      <c r="C184" s="28"/>
      <c r="D184" s="29"/>
      <c r="E184" s="24"/>
      <c r="F184" s="24"/>
      <c r="G184" s="25">
        <f>TRUNC(SUM(G182:G183))</f>
        <v>2151606</v>
      </c>
      <c r="H184" s="24"/>
      <c r="I184" s="26">
        <f>TRUNC(SUM(I182:I183))</f>
        <v>2409708</v>
      </c>
      <c r="J184" s="24"/>
      <c r="K184" s="26">
        <f>TRUNC(SUM(K182:K183))</f>
        <v>3184392</v>
      </c>
    </row>
    <row r="185" spans="2:13" ht="12.95" customHeight="1" x14ac:dyDescent="0.3">
      <c r="B185" s="15"/>
      <c r="C185" s="9"/>
      <c r="D185" s="4"/>
      <c r="E185" s="16"/>
      <c r="F185" s="16"/>
      <c r="G185" s="17"/>
      <c r="H185" s="16"/>
      <c r="I185" s="18"/>
      <c r="J185" s="16"/>
      <c r="K185" s="18"/>
    </row>
    <row r="186" spans="2:13" ht="12.95" customHeight="1" x14ac:dyDescent="0.3">
      <c r="B186" s="13" t="s">
        <v>15</v>
      </c>
      <c r="C186" s="10"/>
      <c r="D186" s="31"/>
      <c r="E186" s="19"/>
      <c r="F186" s="19"/>
      <c r="G186" s="20">
        <f>SUM(G184)</f>
        <v>2151606</v>
      </c>
      <c r="H186" s="19"/>
      <c r="I186" s="20">
        <f>SUM(I184)</f>
        <v>2409708</v>
      </c>
      <c r="J186" s="19"/>
      <c r="K186" s="20">
        <f>SUM(K184)</f>
        <v>3184392</v>
      </c>
    </row>
    <row r="188" spans="2:13" ht="12.95" customHeight="1" x14ac:dyDescent="0.3">
      <c r="B188" s="1" t="s">
        <v>95</v>
      </c>
    </row>
    <row r="189" spans="2:13" ht="12.95" customHeight="1" x14ac:dyDescent="0.3">
      <c r="B189" s="2" t="s">
        <v>96</v>
      </c>
      <c r="C189" s="22"/>
      <c r="D189" s="22"/>
      <c r="E189" s="22"/>
      <c r="F189" s="22"/>
      <c r="G189" s="22"/>
      <c r="H189" s="22"/>
      <c r="I189" s="30"/>
      <c r="M189" s="30" t="s">
        <v>97</v>
      </c>
    </row>
    <row r="190" spans="2:13" ht="12.95" customHeight="1" x14ac:dyDescent="0.3">
      <c r="B190" s="77" t="s">
        <v>5</v>
      </c>
      <c r="C190" s="80" t="s">
        <v>9</v>
      </c>
      <c r="D190" s="83" t="s">
        <v>10</v>
      </c>
      <c r="E190" s="86" t="s">
        <v>6</v>
      </c>
      <c r="F190" s="68" t="s">
        <v>98</v>
      </c>
      <c r="G190" s="69"/>
      <c r="H190" s="69"/>
      <c r="I190" s="69"/>
      <c r="J190" s="69"/>
      <c r="K190" s="69"/>
      <c r="L190" s="69"/>
      <c r="M190" s="69"/>
    </row>
    <row r="191" spans="2:13" ht="12.95" customHeight="1" x14ac:dyDescent="0.3">
      <c r="B191" s="78"/>
      <c r="C191" s="81"/>
      <c r="D191" s="84"/>
      <c r="E191" s="87"/>
      <c r="F191" s="68" t="s">
        <v>99</v>
      </c>
      <c r="G191" s="69"/>
      <c r="H191" s="68" t="s">
        <v>24</v>
      </c>
      <c r="I191" s="69"/>
      <c r="J191" s="68" t="s">
        <v>25</v>
      </c>
      <c r="K191" s="69"/>
      <c r="L191" s="68" t="s">
        <v>26</v>
      </c>
      <c r="M191" s="69"/>
    </row>
    <row r="192" spans="2:13" ht="12.95" customHeight="1" x14ac:dyDescent="0.3">
      <c r="B192" s="79"/>
      <c r="C192" s="82"/>
      <c r="D192" s="85"/>
      <c r="E192" s="88"/>
      <c r="F192" s="57" t="s">
        <v>7</v>
      </c>
      <c r="G192" s="56" t="s">
        <v>8</v>
      </c>
      <c r="H192" s="57" t="s">
        <v>7</v>
      </c>
      <c r="I192" s="56" t="s">
        <v>8</v>
      </c>
      <c r="J192" s="57" t="s">
        <v>7</v>
      </c>
      <c r="K192" s="56" t="s">
        <v>8</v>
      </c>
      <c r="L192" s="57" t="s">
        <v>7</v>
      </c>
      <c r="M192" s="56" t="s">
        <v>8</v>
      </c>
    </row>
    <row r="193" spans="2:13" ht="12.95" customHeight="1" x14ac:dyDescent="0.3">
      <c r="B193" s="35" t="s">
        <v>4</v>
      </c>
      <c r="C193" s="35" t="s">
        <v>23</v>
      </c>
      <c r="D193" s="45" t="s">
        <v>17</v>
      </c>
      <c r="E193" s="54">
        <v>18607</v>
      </c>
      <c r="F193" s="33">
        <v>0.22</v>
      </c>
      <c r="G193" s="7">
        <f t="shared" ref="G193" si="69">TRUNC($E193*F193,1)</f>
        <v>4093.5</v>
      </c>
      <c r="H193" s="33">
        <v>0.24</v>
      </c>
      <c r="I193" s="7">
        <f t="shared" ref="I193" si="70">TRUNC($E193*H193,1)</f>
        <v>4465.6000000000004</v>
      </c>
      <c r="J193" s="33">
        <v>0.25</v>
      </c>
      <c r="K193" s="7">
        <f t="shared" ref="K193" si="71">TRUNC($E193*J193,1)</f>
        <v>4651.7</v>
      </c>
      <c r="L193" s="33">
        <v>0.27</v>
      </c>
      <c r="M193" s="7">
        <f t="shared" ref="M193" si="72">TRUNC($E193*L193,1)</f>
        <v>5023.8</v>
      </c>
    </row>
    <row r="194" spans="2:13" ht="12.95" customHeight="1" x14ac:dyDescent="0.3">
      <c r="B194" s="27" t="s">
        <v>12</v>
      </c>
      <c r="C194" s="43"/>
      <c r="D194" s="43"/>
      <c r="E194" s="48"/>
      <c r="F194" s="51"/>
      <c r="G194" s="46">
        <f>TRUNC(SUM(G193:G193))</f>
        <v>4093</v>
      </c>
      <c r="H194" s="51"/>
      <c r="I194" s="46">
        <f>TRUNC(SUM(I193:I193))</f>
        <v>4465</v>
      </c>
      <c r="J194" s="51"/>
      <c r="K194" s="46">
        <f>TRUNC(SUM(K193:K193))</f>
        <v>4651</v>
      </c>
      <c r="L194" s="51"/>
      <c r="M194" s="46">
        <f>TRUNC(SUM(M193:M193))</f>
        <v>5023</v>
      </c>
    </row>
    <row r="195" spans="2:13" ht="12.95" customHeight="1" x14ac:dyDescent="0.3">
      <c r="B195" s="42"/>
      <c r="C195" s="43"/>
      <c r="D195" s="43"/>
      <c r="E195" s="48"/>
      <c r="F195" s="51"/>
      <c r="G195" s="37"/>
      <c r="H195" s="51"/>
      <c r="I195" s="37"/>
      <c r="J195" s="51"/>
      <c r="K195" s="37"/>
      <c r="L195" s="51"/>
      <c r="M195" s="37"/>
    </row>
    <row r="196" spans="2:13" ht="12.95" customHeight="1" x14ac:dyDescent="0.3">
      <c r="B196" s="14" t="s">
        <v>22</v>
      </c>
      <c r="C196" s="9"/>
      <c r="D196" s="4" t="s">
        <v>11</v>
      </c>
      <c r="E196" s="49">
        <v>262580</v>
      </c>
      <c r="F196" s="33">
        <v>0.03</v>
      </c>
      <c r="G196" s="7">
        <f t="shared" ref="G196:G198" si="73">TRUNC($E196*F196,1)</f>
        <v>7877.4</v>
      </c>
      <c r="H196" s="33">
        <v>0.03</v>
      </c>
      <c r="I196" s="7">
        <f t="shared" ref="I196:I198" si="74">TRUNC($E196*H196,1)</f>
        <v>7877.4</v>
      </c>
      <c r="J196" s="33">
        <v>0.04</v>
      </c>
      <c r="K196" s="7">
        <f t="shared" ref="K196:K198" si="75">TRUNC($E196*J196,1)</f>
        <v>10503.2</v>
      </c>
      <c r="L196" s="33">
        <v>0.04</v>
      </c>
      <c r="M196" s="7">
        <f t="shared" ref="M196:M198" si="76">TRUNC($E196*L196,1)</f>
        <v>10503.2</v>
      </c>
    </row>
    <row r="197" spans="2:13" ht="12.95" customHeight="1" x14ac:dyDescent="0.3">
      <c r="B197" s="14" t="s">
        <v>1</v>
      </c>
      <c r="C197" s="9"/>
      <c r="D197" s="4" t="s">
        <v>11</v>
      </c>
      <c r="E197" s="52">
        <v>172068</v>
      </c>
      <c r="F197" s="33">
        <v>0.02</v>
      </c>
      <c r="G197" s="7">
        <f t="shared" si="73"/>
        <v>3441.3</v>
      </c>
      <c r="H197" s="33">
        <v>0.02</v>
      </c>
      <c r="I197" s="7">
        <f t="shared" si="74"/>
        <v>3441.3</v>
      </c>
      <c r="J197" s="33">
        <v>0.02</v>
      </c>
      <c r="K197" s="7">
        <f t="shared" si="75"/>
        <v>3441.3</v>
      </c>
      <c r="L197" s="33">
        <v>0.03</v>
      </c>
      <c r="M197" s="7">
        <f t="shared" si="76"/>
        <v>5162</v>
      </c>
    </row>
    <row r="198" spans="2:13" ht="12.95" customHeight="1" x14ac:dyDescent="0.3">
      <c r="B198" s="35" t="s">
        <v>4</v>
      </c>
      <c r="C198" s="35" t="s">
        <v>23</v>
      </c>
      <c r="D198" s="45" t="s">
        <v>17</v>
      </c>
      <c r="E198" s="54">
        <v>49698</v>
      </c>
      <c r="F198" s="33">
        <v>0.22</v>
      </c>
      <c r="G198" s="7">
        <f t="shared" si="73"/>
        <v>10933.5</v>
      </c>
      <c r="H198" s="33">
        <v>0.24</v>
      </c>
      <c r="I198" s="7">
        <f t="shared" si="74"/>
        <v>11927.5</v>
      </c>
      <c r="J198" s="33">
        <v>0.25</v>
      </c>
      <c r="K198" s="7">
        <f t="shared" si="75"/>
        <v>12424.5</v>
      </c>
      <c r="L198" s="33">
        <v>0.27</v>
      </c>
      <c r="M198" s="7">
        <f t="shared" si="76"/>
        <v>13418.4</v>
      </c>
    </row>
    <row r="199" spans="2:13" ht="12.95" customHeight="1" x14ac:dyDescent="0.3">
      <c r="B199" s="23" t="s">
        <v>13</v>
      </c>
      <c r="C199" s="43"/>
      <c r="D199" s="43"/>
      <c r="E199" s="48"/>
      <c r="F199" s="51"/>
      <c r="G199" s="46">
        <f>TRUNC(SUM(G196:G198))</f>
        <v>22252</v>
      </c>
      <c r="H199" s="51"/>
      <c r="I199" s="46">
        <f>TRUNC(SUM(I196:I198))</f>
        <v>23246</v>
      </c>
      <c r="J199" s="51"/>
      <c r="K199" s="46">
        <f>TRUNC(SUM(K196:K198))</f>
        <v>26369</v>
      </c>
      <c r="L199" s="51"/>
      <c r="M199" s="46">
        <f>TRUNC(SUM(M196:M198))</f>
        <v>29083</v>
      </c>
    </row>
    <row r="200" spans="2:13" ht="12.95" customHeight="1" x14ac:dyDescent="0.3">
      <c r="B200" s="42"/>
      <c r="C200" s="43"/>
      <c r="D200" s="43"/>
      <c r="E200" s="48"/>
      <c r="F200" s="51"/>
      <c r="G200" s="37"/>
      <c r="H200" s="51"/>
      <c r="I200" s="37"/>
      <c r="J200" s="51"/>
      <c r="K200" s="37"/>
      <c r="L200" s="51"/>
      <c r="M200" s="37"/>
    </row>
    <row r="201" spans="2:13" ht="12.95" customHeight="1" x14ac:dyDescent="0.3">
      <c r="B201" s="35" t="s">
        <v>4</v>
      </c>
      <c r="C201" s="35" t="s">
        <v>23</v>
      </c>
      <c r="D201" s="45" t="s">
        <v>17</v>
      </c>
      <c r="E201" s="54">
        <v>23795</v>
      </c>
      <c r="F201" s="33">
        <v>0.22</v>
      </c>
      <c r="G201" s="7">
        <f t="shared" ref="G201" si="77">TRUNC($E201*F201,1)</f>
        <v>5234.8999999999996</v>
      </c>
      <c r="H201" s="33">
        <v>0.24</v>
      </c>
      <c r="I201" s="7">
        <f t="shared" ref="I201" si="78">TRUNC($E201*H201,1)</f>
        <v>5710.8</v>
      </c>
      <c r="J201" s="33">
        <v>0.25</v>
      </c>
      <c r="K201" s="7">
        <f t="shared" ref="K201" si="79">TRUNC($E201*J201,1)</f>
        <v>5948.7</v>
      </c>
      <c r="L201" s="33">
        <v>0.27</v>
      </c>
      <c r="M201" s="7">
        <f t="shared" ref="M201" si="80">TRUNC($E201*L201,1)</f>
        <v>6424.6</v>
      </c>
    </row>
    <row r="202" spans="2:13" ht="12.95" customHeight="1" x14ac:dyDescent="0.3">
      <c r="B202" s="27" t="s">
        <v>14</v>
      </c>
      <c r="C202" s="43"/>
      <c r="D202" s="43"/>
      <c r="E202" s="36"/>
      <c r="F202" s="38"/>
      <c r="G202" s="47">
        <f>TRUNC(SUM(G201:G201))</f>
        <v>5234</v>
      </c>
      <c r="H202" s="38"/>
      <c r="I202" s="47">
        <f>TRUNC(SUM(I201:I201))</f>
        <v>5710</v>
      </c>
      <c r="J202" s="38"/>
      <c r="K202" s="47">
        <f>TRUNC(SUM(K201:K201))</f>
        <v>5948</v>
      </c>
      <c r="L202" s="38"/>
      <c r="M202" s="47">
        <f>TRUNC(SUM(M201:M201))</f>
        <v>6424</v>
      </c>
    </row>
    <row r="203" spans="2:13" ht="12.95" customHeight="1" x14ac:dyDescent="0.3">
      <c r="B203" s="12"/>
      <c r="C203" s="35"/>
      <c r="D203" s="35"/>
      <c r="E203" s="39"/>
      <c r="F203" s="33"/>
      <c r="G203" s="34"/>
      <c r="H203" s="33"/>
      <c r="I203" s="34"/>
      <c r="J203" s="33"/>
      <c r="K203" s="34"/>
      <c r="L203" s="33"/>
      <c r="M203" s="34"/>
    </row>
    <row r="204" spans="2:13" ht="12.95" customHeight="1" x14ac:dyDescent="0.3">
      <c r="B204" s="13" t="s">
        <v>15</v>
      </c>
      <c r="C204" s="44"/>
      <c r="D204" s="44"/>
      <c r="E204" s="40"/>
      <c r="F204" s="40"/>
      <c r="G204" s="41">
        <f>SUM(G194+G199+G202)</f>
        <v>31579</v>
      </c>
      <c r="H204" s="40"/>
      <c r="I204" s="41">
        <f>SUM(I194+I199+I202)</f>
        <v>33421</v>
      </c>
      <c r="J204" s="40"/>
      <c r="K204" s="41">
        <f>SUM(K194+K199+K202)</f>
        <v>36968</v>
      </c>
      <c r="L204" s="40"/>
      <c r="M204" s="41">
        <f>SUM(M194+M199+M202)</f>
        <v>40530</v>
      </c>
    </row>
    <row r="205" spans="2:13" ht="12.95" customHeight="1" x14ac:dyDescent="0.3">
      <c r="B205" s="77" t="s">
        <v>5</v>
      </c>
      <c r="C205" s="80" t="s">
        <v>9</v>
      </c>
      <c r="D205" s="83" t="s">
        <v>10</v>
      </c>
      <c r="E205" s="86" t="s">
        <v>6</v>
      </c>
      <c r="F205" s="68" t="s">
        <v>98</v>
      </c>
      <c r="G205" s="69"/>
      <c r="H205" s="69"/>
      <c r="I205" s="69"/>
      <c r="J205" s="69"/>
      <c r="K205" s="69"/>
      <c r="L205" s="69"/>
      <c r="M205" s="69"/>
    </row>
    <row r="206" spans="2:13" ht="12.95" customHeight="1" x14ac:dyDescent="0.3">
      <c r="B206" s="78"/>
      <c r="C206" s="81"/>
      <c r="D206" s="84"/>
      <c r="E206" s="87"/>
      <c r="F206" s="68" t="s">
        <v>100</v>
      </c>
      <c r="G206" s="69"/>
      <c r="H206" s="68" t="s">
        <v>101</v>
      </c>
      <c r="I206" s="69"/>
      <c r="J206" s="68" t="s">
        <v>102</v>
      </c>
      <c r="K206" s="69"/>
      <c r="L206" s="68" t="s">
        <v>103</v>
      </c>
      <c r="M206" s="69"/>
    </row>
    <row r="207" spans="2:13" ht="12.95" customHeight="1" x14ac:dyDescent="0.3">
      <c r="B207" s="79"/>
      <c r="C207" s="82"/>
      <c r="D207" s="85"/>
      <c r="E207" s="88"/>
      <c r="F207" s="57" t="s">
        <v>7</v>
      </c>
      <c r="G207" s="56" t="s">
        <v>8</v>
      </c>
      <c r="H207" s="57" t="s">
        <v>7</v>
      </c>
      <c r="I207" s="56" t="s">
        <v>8</v>
      </c>
      <c r="J207" s="57" t="s">
        <v>7</v>
      </c>
      <c r="K207" s="56" t="s">
        <v>8</v>
      </c>
      <c r="L207" s="57" t="s">
        <v>7</v>
      </c>
      <c r="M207" s="56" t="s">
        <v>8</v>
      </c>
    </row>
    <row r="208" spans="2:13" ht="12.95" customHeight="1" x14ac:dyDescent="0.3">
      <c r="B208" s="35" t="s">
        <v>4</v>
      </c>
      <c r="C208" s="35" t="s">
        <v>23</v>
      </c>
      <c r="D208" s="45" t="s">
        <v>17</v>
      </c>
      <c r="E208" s="54">
        <v>18607</v>
      </c>
      <c r="F208" s="33">
        <v>0.33</v>
      </c>
      <c r="G208" s="7">
        <f t="shared" ref="G208" si="81">TRUNC($E208*F208,1)</f>
        <v>6140.3</v>
      </c>
      <c r="H208" s="33">
        <v>0.36</v>
      </c>
      <c r="I208" s="7">
        <f t="shared" ref="I208" si="82">TRUNC($E208*H208,1)</f>
        <v>6698.5</v>
      </c>
      <c r="J208" s="33">
        <v>0.38</v>
      </c>
      <c r="K208" s="7">
        <f t="shared" ref="K208" si="83">TRUNC($E208*J208,1)</f>
        <v>7070.6</v>
      </c>
      <c r="L208" s="33">
        <v>0.39</v>
      </c>
      <c r="M208" s="7">
        <f t="shared" ref="M208" si="84">TRUNC($E208*L208,1)</f>
        <v>7256.7</v>
      </c>
    </row>
    <row r="209" spans="2:13" ht="12.95" customHeight="1" x14ac:dyDescent="0.3">
      <c r="B209" s="27" t="s">
        <v>12</v>
      </c>
      <c r="C209" s="43"/>
      <c r="D209" s="43"/>
      <c r="E209" s="48"/>
      <c r="F209" s="51"/>
      <c r="G209" s="46">
        <f>TRUNC(SUM(G208:G208))</f>
        <v>6140</v>
      </c>
      <c r="H209" s="51"/>
      <c r="I209" s="46">
        <f>TRUNC(SUM(I208:I208))</f>
        <v>6698</v>
      </c>
      <c r="J209" s="51"/>
      <c r="K209" s="46">
        <f>TRUNC(SUM(K208:K208))</f>
        <v>7070</v>
      </c>
      <c r="L209" s="51"/>
      <c r="M209" s="46">
        <f>TRUNC(SUM(M208:M208))</f>
        <v>7256</v>
      </c>
    </row>
    <row r="210" spans="2:13" ht="12.95" customHeight="1" x14ac:dyDescent="0.3">
      <c r="B210" s="42"/>
      <c r="C210" s="43"/>
      <c r="D210" s="43"/>
      <c r="E210" s="48"/>
      <c r="F210" s="51"/>
      <c r="G210" s="37"/>
      <c r="H210" s="51"/>
      <c r="I210" s="37"/>
      <c r="J210" s="51"/>
      <c r="K210" s="37"/>
      <c r="L210" s="51"/>
      <c r="M210" s="37"/>
    </row>
    <row r="211" spans="2:13" ht="12.95" customHeight="1" x14ac:dyDescent="0.3">
      <c r="B211" s="14" t="s">
        <v>22</v>
      </c>
      <c r="C211" s="9"/>
      <c r="D211" s="4" t="s">
        <v>11</v>
      </c>
      <c r="E211" s="49">
        <v>262580</v>
      </c>
      <c r="F211" s="33">
        <v>0.06</v>
      </c>
      <c r="G211" s="7">
        <f t="shared" ref="G211:G213" si="85">TRUNC($E211*F211,1)</f>
        <v>15754.8</v>
      </c>
      <c r="H211" s="33">
        <v>7.0000000000000007E-2</v>
      </c>
      <c r="I211" s="7">
        <f t="shared" ref="I211:I213" si="86">TRUNC($E211*H211,1)</f>
        <v>18380.599999999999</v>
      </c>
      <c r="J211" s="33">
        <v>0.08</v>
      </c>
      <c r="K211" s="7">
        <f t="shared" ref="K211:K213" si="87">TRUNC($E211*J211,1)</f>
        <v>21006.400000000001</v>
      </c>
      <c r="L211" s="33">
        <v>0.09</v>
      </c>
      <c r="M211" s="7">
        <f t="shared" ref="M211:M213" si="88">TRUNC($E211*L211,1)</f>
        <v>23632.2</v>
      </c>
    </row>
    <row r="212" spans="2:13" ht="12.95" customHeight="1" x14ac:dyDescent="0.3">
      <c r="B212" s="14" t="s">
        <v>1</v>
      </c>
      <c r="C212" s="9"/>
      <c r="D212" s="4" t="s">
        <v>11</v>
      </c>
      <c r="E212" s="52">
        <v>172068</v>
      </c>
      <c r="F212" s="33">
        <v>0.04</v>
      </c>
      <c r="G212" s="7">
        <f t="shared" si="85"/>
        <v>6882.7</v>
      </c>
      <c r="H212" s="33">
        <v>0.04</v>
      </c>
      <c r="I212" s="7">
        <f t="shared" si="86"/>
        <v>6882.7</v>
      </c>
      <c r="J212" s="33">
        <v>0.04</v>
      </c>
      <c r="K212" s="7">
        <f t="shared" si="87"/>
        <v>6882.7</v>
      </c>
      <c r="L212" s="33">
        <v>0.05</v>
      </c>
      <c r="M212" s="7">
        <f t="shared" si="88"/>
        <v>8603.4</v>
      </c>
    </row>
    <row r="213" spans="2:13" ht="12.95" customHeight="1" x14ac:dyDescent="0.3">
      <c r="B213" s="35" t="s">
        <v>4</v>
      </c>
      <c r="C213" s="35" t="s">
        <v>23</v>
      </c>
      <c r="D213" s="45" t="s">
        <v>17</v>
      </c>
      <c r="E213" s="54">
        <v>49698</v>
      </c>
      <c r="F213" s="33">
        <v>0.33</v>
      </c>
      <c r="G213" s="7">
        <f t="shared" si="85"/>
        <v>16400.3</v>
      </c>
      <c r="H213" s="33">
        <v>0.36</v>
      </c>
      <c r="I213" s="7">
        <f t="shared" si="86"/>
        <v>17891.2</v>
      </c>
      <c r="J213" s="33">
        <v>0.38</v>
      </c>
      <c r="K213" s="7">
        <f t="shared" si="87"/>
        <v>18885.2</v>
      </c>
      <c r="L213" s="33">
        <v>0.39</v>
      </c>
      <c r="M213" s="7">
        <f t="shared" si="88"/>
        <v>19382.2</v>
      </c>
    </row>
    <row r="214" spans="2:13" ht="12.95" customHeight="1" x14ac:dyDescent="0.3">
      <c r="B214" s="23" t="s">
        <v>13</v>
      </c>
      <c r="C214" s="43"/>
      <c r="D214" s="43"/>
      <c r="E214" s="48"/>
      <c r="F214" s="51"/>
      <c r="G214" s="46">
        <f>TRUNC(SUM(G211:G213))</f>
        <v>39037</v>
      </c>
      <c r="H214" s="51"/>
      <c r="I214" s="46">
        <f>TRUNC(SUM(I211:I213))</f>
        <v>43154</v>
      </c>
      <c r="J214" s="51"/>
      <c r="K214" s="46">
        <f>TRUNC(SUM(K211:K213))</f>
        <v>46774</v>
      </c>
      <c r="L214" s="51"/>
      <c r="M214" s="46">
        <f>TRUNC(SUM(M211:M213))</f>
        <v>51617</v>
      </c>
    </row>
    <row r="215" spans="2:13" ht="12.95" customHeight="1" x14ac:dyDescent="0.3">
      <c r="B215" s="42"/>
      <c r="C215" s="43"/>
      <c r="D215" s="43"/>
      <c r="E215" s="48"/>
      <c r="F215" s="51"/>
      <c r="G215" s="37"/>
      <c r="H215" s="51"/>
      <c r="I215" s="37"/>
      <c r="J215" s="51"/>
      <c r="K215" s="37"/>
      <c r="L215" s="51"/>
      <c r="M215" s="37"/>
    </row>
    <row r="216" spans="2:13" ht="12.95" customHeight="1" x14ac:dyDescent="0.3">
      <c r="B216" s="35" t="s">
        <v>4</v>
      </c>
      <c r="C216" s="35" t="s">
        <v>23</v>
      </c>
      <c r="D216" s="45" t="s">
        <v>17</v>
      </c>
      <c r="E216" s="54">
        <v>23795</v>
      </c>
      <c r="F216" s="33">
        <v>0.33</v>
      </c>
      <c r="G216" s="7">
        <f t="shared" ref="G216" si="89">TRUNC($E216*F216,1)</f>
        <v>7852.3</v>
      </c>
      <c r="H216" s="33">
        <v>0.36</v>
      </c>
      <c r="I216" s="7">
        <f t="shared" ref="I216" si="90">TRUNC($E216*H216,1)</f>
        <v>8566.2000000000007</v>
      </c>
      <c r="J216" s="33">
        <v>0.38</v>
      </c>
      <c r="K216" s="7">
        <f t="shared" ref="K216" si="91">TRUNC($E216*J216,1)</f>
        <v>9042.1</v>
      </c>
      <c r="L216" s="33">
        <v>0.39</v>
      </c>
      <c r="M216" s="7">
        <f t="shared" ref="M216" si="92">TRUNC($E216*L216,1)</f>
        <v>9280</v>
      </c>
    </row>
    <row r="217" spans="2:13" ht="12.95" customHeight="1" x14ac:dyDescent="0.3">
      <c r="B217" s="27" t="s">
        <v>14</v>
      </c>
      <c r="C217" s="43"/>
      <c r="D217" s="43"/>
      <c r="E217" s="36"/>
      <c r="F217" s="38"/>
      <c r="G217" s="47">
        <f>TRUNC(SUM(G216:G216))</f>
        <v>7852</v>
      </c>
      <c r="H217" s="38"/>
      <c r="I217" s="47">
        <f>TRUNC(SUM(I216:I216))</f>
        <v>8566</v>
      </c>
      <c r="J217" s="38"/>
      <c r="K217" s="47">
        <f>TRUNC(SUM(K216:K216))</f>
        <v>9042</v>
      </c>
      <c r="L217" s="38"/>
      <c r="M217" s="47">
        <f>TRUNC(SUM(M216:M216))</f>
        <v>9280</v>
      </c>
    </row>
    <row r="218" spans="2:13" ht="12.95" customHeight="1" x14ac:dyDescent="0.3">
      <c r="B218" s="12"/>
      <c r="C218" s="35"/>
      <c r="D218" s="35"/>
      <c r="E218" s="39"/>
      <c r="F218" s="33"/>
      <c r="G218" s="34"/>
      <c r="H218" s="33"/>
      <c r="I218" s="34"/>
      <c r="J218" s="33"/>
      <c r="K218" s="34"/>
      <c r="L218" s="33"/>
      <c r="M218" s="34"/>
    </row>
    <row r="219" spans="2:13" ht="12.95" customHeight="1" x14ac:dyDescent="0.3">
      <c r="B219" s="13" t="s">
        <v>15</v>
      </c>
      <c r="C219" s="44"/>
      <c r="D219" s="44"/>
      <c r="E219" s="40"/>
      <c r="F219" s="40"/>
      <c r="G219" s="41">
        <f>SUM(G209+G214+G217)</f>
        <v>53029</v>
      </c>
      <c r="H219" s="40"/>
      <c r="I219" s="41">
        <f>SUM(I209+I214+I217)</f>
        <v>58418</v>
      </c>
      <c r="J219" s="40"/>
      <c r="K219" s="41">
        <f>SUM(K209+K214+K217)</f>
        <v>62886</v>
      </c>
      <c r="L219" s="40"/>
      <c r="M219" s="41">
        <f>SUM(M209+M214+M217)</f>
        <v>68153</v>
      </c>
    </row>
    <row r="220" spans="2:13" ht="12.95" customHeight="1" x14ac:dyDescent="0.3">
      <c r="B220" s="77" t="s">
        <v>5</v>
      </c>
      <c r="C220" s="80" t="s">
        <v>9</v>
      </c>
      <c r="D220" s="83" t="s">
        <v>10</v>
      </c>
      <c r="E220" s="86" t="s">
        <v>6</v>
      </c>
      <c r="F220" s="68" t="s">
        <v>98</v>
      </c>
      <c r="G220" s="69"/>
      <c r="H220" s="69"/>
      <c r="I220" s="69"/>
      <c r="J220" s="69"/>
      <c r="K220" s="69"/>
    </row>
    <row r="221" spans="2:13" ht="12.95" customHeight="1" x14ac:dyDescent="0.3">
      <c r="B221" s="78"/>
      <c r="C221" s="81"/>
      <c r="D221" s="84"/>
      <c r="E221" s="87"/>
      <c r="F221" s="68" t="s">
        <v>104</v>
      </c>
      <c r="G221" s="69"/>
      <c r="H221" s="68" t="s">
        <v>105</v>
      </c>
      <c r="I221" s="69"/>
      <c r="J221" s="68" t="s">
        <v>106</v>
      </c>
      <c r="K221" s="69"/>
    </row>
    <row r="222" spans="2:13" ht="12.95" customHeight="1" x14ac:dyDescent="0.3">
      <c r="B222" s="79"/>
      <c r="C222" s="82"/>
      <c r="D222" s="85"/>
      <c r="E222" s="88"/>
      <c r="F222" s="57" t="s">
        <v>7</v>
      </c>
      <c r="G222" s="56" t="s">
        <v>8</v>
      </c>
      <c r="H222" s="57" t="s">
        <v>7</v>
      </c>
      <c r="I222" s="56" t="s">
        <v>8</v>
      </c>
      <c r="J222" s="57" t="s">
        <v>7</v>
      </c>
      <c r="K222" s="56" t="s">
        <v>8</v>
      </c>
    </row>
    <row r="223" spans="2:13" ht="12.95" customHeight="1" x14ac:dyDescent="0.3">
      <c r="B223" s="35" t="s">
        <v>4</v>
      </c>
      <c r="C223" s="35" t="s">
        <v>23</v>
      </c>
      <c r="D223" s="45" t="s">
        <v>17</v>
      </c>
      <c r="E223" s="54">
        <v>18607</v>
      </c>
      <c r="F223" s="33">
        <v>0.4</v>
      </c>
      <c r="G223" s="7">
        <f t="shared" ref="G223" si="93">TRUNC($E223*F223,1)</f>
        <v>7442.8</v>
      </c>
      <c r="H223" s="33">
        <v>0.41</v>
      </c>
      <c r="I223" s="7">
        <f t="shared" ref="I223" si="94">TRUNC($E223*H223,1)</f>
        <v>7628.8</v>
      </c>
      <c r="J223" s="33">
        <v>0.42</v>
      </c>
      <c r="K223" s="7">
        <f t="shared" ref="K223" si="95">TRUNC($E223*J223,1)</f>
        <v>7814.9</v>
      </c>
    </row>
    <row r="224" spans="2:13" ht="12.95" customHeight="1" x14ac:dyDescent="0.3">
      <c r="B224" s="27" t="s">
        <v>12</v>
      </c>
      <c r="C224" s="43"/>
      <c r="D224" s="43"/>
      <c r="E224" s="48"/>
      <c r="F224" s="51"/>
      <c r="G224" s="46">
        <f>TRUNC(SUM(G223:G223))</f>
        <v>7442</v>
      </c>
      <c r="H224" s="51"/>
      <c r="I224" s="46">
        <f>TRUNC(SUM(I223:I223))</f>
        <v>7628</v>
      </c>
      <c r="J224" s="51"/>
      <c r="K224" s="46">
        <f>TRUNC(SUM(K223:K223))</f>
        <v>7814</v>
      </c>
    </row>
    <row r="225" spans="2:11" ht="12.95" customHeight="1" x14ac:dyDescent="0.3">
      <c r="B225" s="42"/>
      <c r="C225" s="43"/>
      <c r="D225" s="43"/>
      <c r="E225" s="48"/>
      <c r="F225" s="51"/>
      <c r="G225" s="37"/>
      <c r="H225" s="51"/>
      <c r="I225" s="37"/>
      <c r="J225" s="51"/>
      <c r="K225" s="37"/>
    </row>
    <row r="226" spans="2:11" ht="12.95" customHeight="1" x14ac:dyDescent="0.3">
      <c r="B226" s="14" t="s">
        <v>22</v>
      </c>
      <c r="C226" s="9"/>
      <c r="D226" s="4" t="s">
        <v>11</v>
      </c>
      <c r="E226" s="49">
        <v>262580</v>
      </c>
      <c r="F226" s="33">
        <v>0.09</v>
      </c>
      <c r="G226" s="7">
        <f t="shared" ref="G226:G228" si="96">TRUNC($E226*F226,1)</f>
        <v>23632.2</v>
      </c>
      <c r="H226" s="33">
        <v>0.1</v>
      </c>
      <c r="I226" s="7">
        <f t="shared" ref="I226:I228" si="97">TRUNC($E226*H226,1)</f>
        <v>26258</v>
      </c>
      <c r="J226" s="33">
        <v>0.1</v>
      </c>
      <c r="K226" s="7">
        <f t="shared" ref="K226:K228" si="98">TRUNC($E226*J226,1)</f>
        <v>26258</v>
      </c>
    </row>
    <row r="227" spans="2:11" ht="12.95" customHeight="1" x14ac:dyDescent="0.3">
      <c r="B227" s="14" t="s">
        <v>1</v>
      </c>
      <c r="C227" s="9"/>
      <c r="D227" s="4" t="s">
        <v>11</v>
      </c>
      <c r="E227" s="52">
        <v>172068</v>
      </c>
      <c r="F227" s="33">
        <v>0.05</v>
      </c>
      <c r="G227" s="7">
        <f t="shared" si="96"/>
        <v>8603.4</v>
      </c>
      <c r="H227" s="33">
        <v>0.05</v>
      </c>
      <c r="I227" s="7">
        <f t="shared" si="97"/>
        <v>8603.4</v>
      </c>
      <c r="J227" s="33">
        <v>0.05</v>
      </c>
      <c r="K227" s="7">
        <f t="shared" si="98"/>
        <v>8603.4</v>
      </c>
    </row>
    <row r="228" spans="2:11" ht="12.95" customHeight="1" x14ac:dyDescent="0.3">
      <c r="B228" s="35" t="s">
        <v>4</v>
      </c>
      <c r="C228" s="35" t="s">
        <v>23</v>
      </c>
      <c r="D228" s="45" t="s">
        <v>17</v>
      </c>
      <c r="E228" s="54">
        <v>49698</v>
      </c>
      <c r="F228" s="33">
        <v>0.4</v>
      </c>
      <c r="G228" s="7">
        <f t="shared" si="96"/>
        <v>19879.2</v>
      </c>
      <c r="H228" s="33">
        <v>0.41</v>
      </c>
      <c r="I228" s="7">
        <f t="shared" si="97"/>
        <v>20376.099999999999</v>
      </c>
      <c r="J228" s="33">
        <v>0.42</v>
      </c>
      <c r="K228" s="7">
        <f t="shared" si="98"/>
        <v>20873.099999999999</v>
      </c>
    </row>
    <row r="229" spans="2:11" ht="12.95" customHeight="1" x14ac:dyDescent="0.3">
      <c r="B229" s="23" t="s">
        <v>13</v>
      </c>
      <c r="C229" s="43"/>
      <c r="D229" s="43"/>
      <c r="E229" s="48"/>
      <c r="F229" s="51"/>
      <c r="G229" s="46">
        <f>TRUNC(SUM(G226:G228))</f>
        <v>52114</v>
      </c>
      <c r="H229" s="51"/>
      <c r="I229" s="46">
        <f>TRUNC(SUM(I226:I228))</f>
        <v>55237</v>
      </c>
      <c r="J229" s="51"/>
      <c r="K229" s="46">
        <f>TRUNC(SUM(K226:K228))</f>
        <v>55734</v>
      </c>
    </row>
    <row r="230" spans="2:11" ht="12.95" customHeight="1" x14ac:dyDescent="0.3">
      <c r="B230" s="42"/>
      <c r="C230" s="43"/>
      <c r="D230" s="43"/>
      <c r="E230" s="48"/>
      <c r="F230" s="51"/>
      <c r="G230" s="37"/>
      <c r="H230" s="51"/>
      <c r="I230" s="37"/>
      <c r="J230" s="51"/>
      <c r="K230" s="37"/>
    </row>
    <row r="231" spans="2:11" ht="12.95" customHeight="1" x14ac:dyDescent="0.3">
      <c r="B231" s="35" t="s">
        <v>4</v>
      </c>
      <c r="C231" s="35" t="s">
        <v>23</v>
      </c>
      <c r="D231" s="45" t="s">
        <v>17</v>
      </c>
      <c r="E231" s="54">
        <v>23795</v>
      </c>
      <c r="F231" s="33">
        <v>0.4</v>
      </c>
      <c r="G231" s="7">
        <f t="shared" ref="G231" si="99">TRUNC($E231*F231,1)</f>
        <v>9518</v>
      </c>
      <c r="H231" s="33">
        <v>0.41</v>
      </c>
      <c r="I231" s="7">
        <f t="shared" ref="I231" si="100">TRUNC($E231*H231,1)</f>
        <v>9755.9</v>
      </c>
      <c r="J231" s="33">
        <v>0.42</v>
      </c>
      <c r="K231" s="7">
        <f t="shared" ref="K231" si="101">TRUNC($E231*J231,1)</f>
        <v>9993.9</v>
      </c>
    </row>
    <row r="232" spans="2:11" ht="12.95" customHeight="1" x14ac:dyDescent="0.3">
      <c r="B232" s="27" t="s">
        <v>14</v>
      </c>
      <c r="C232" s="43"/>
      <c r="D232" s="43"/>
      <c r="E232" s="36"/>
      <c r="F232" s="38"/>
      <c r="G232" s="47">
        <f>TRUNC(SUM(G231:G231))</f>
        <v>9518</v>
      </c>
      <c r="H232" s="38"/>
      <c r="I232" s="47">
        <f>TRUNC(SUM(I231:I231))</f>
        <v>9755</v>
      </c>
      <c r="J232" s="38"/>
      <c r="K232" s="47">
        <f>TRUNC(SUM(K231:K231))</f>
        <v>9993</v>
      </c>
    </row>
    <row r="233" spans="2:11" ht="12.95" customHeight="1" x14ac:dyDescent="0.3">
      <c r="B233" s="12"/>
      <c r="C233" s="35"/>
      <c r="D233" s="35"/>
      <c r="E233" s="39"/>
      <c r="F233" s="33"/>
      <c r="G233" s="34"/>
      <c r="H233" s="33"/>
      <c r="I233" s="34"/>
      <c r="J233" s="33"/>
      <c r="K233" s="34"/>
    </row>
    <row r="234" spans="2:11" ht="12.95" customHeight="1" x14ac:dyDescent="0.3">
      <c r="B234" s="13" t="s">
        <v>15</v>
      </c>
      <c r="C234" s="44"/>
      <c r="D234" s="44"/>
      <c r="E234" s="40"/>
      <c r="F234" s="40"/>
      <c r="G234" s="41">
        <f>SUM(G224+G229+G232)</f>
        <v>69074</v>
      </c>
      <c r="H234" s="40"/>
      <c r="I234" s="41">
        <f>SUM(I224+I229+I232)</f>
        <v>72620</v>
      </c>
      <c r="J234" s="40"/>
      <c r="K234" s="41">
        <f>SUM(K224+K229+K232)</f>
        <v>73541</v>
      </c>
    </row>
    <row r="235" spans="2:11" ht="12.95" customHeight="1" x14ac:dyDescent="0.3">
      <c r="B235" s="77" t="s">
        <v>5</v>
      </c>
      <c r="C235" s="80" t="s">
        <v>9</v>
      </c>
      <c r="D235" s="83" t="s">
        <v>10</v>
      </c>
      <c r="E235" s="86" t="s">
        <v>6</v>
      </c>
      <c r="F235" s="68" t="s">
        <v>98</v>
      </c>
      <c r="G235" s="69"/>
      <c r="H235" s="69"/>
      <c r="I235" s="69"/>
      <c r="J235" s="69"/>
      <c r="K235" s="69"/>
    </row>
    <row r="236" spans="2:11" ht="12.95" customHeight="1" x14ac:dyDescent="0.3">
      <c r="B236" s="78"/>
      <c r="C236" s="81"/>
      <c r="D236" s="84"/>
      <c r="E236" s="87"/>
      <c r="F236" s="68" t="s">
        <v>108</v>
      </c>
      <c r="G236" s="69"/>
      <c r="H236" s="68" t="s">
        <v>109</v>
      </c>
      <c r="I236" s="69"/>
      <c r="J236" s="68" t="s">
        <v>110</v>
      </c>
      <c r="K236" s="69"/>
    </row>
    <row r="237" spans="2:11" ht="12.95" customHeight="1" x14ac:dyDescent="0.3">
      <c r="B237" s="79"/>
      <c r="C237" s="82"/>
      <c r="D237" s="85"/>
      <c r="E237" s="88"/>
      <c r="F237" s="57" t="s">
        <v>7</v>
      </c>
      <c r="G237" s="56" t="s">
        <v>8</v>
      </c>
      <c r="H237" s="57" t="s">
        <v>7</v>
      </c>
      <c r="I237" s="56" t="s">
        <v>8</v>
      </c>
      <c r="J237" s="57" t="s">
        <v>7</v>
      </c>
      <c r="K237" s="56" t="s">
        <v>8</v>
      </c>
    </row>
    <row r="238" spans="2:11" ht="12.95" customHeight="1" x14ac:dyDescent="0.3">
      <c r="B238" s="35" t="s">
        <v>4</v>
      </c>
      <c r="C238" s="35" t="s">
        <v>107</v>
      </c>
      <c r="D238" s="45" t="s">
        <v>17</v>
      </c>
      <c r="E238" s="54">
        <v>19871</v>
      </c>
      <c r="F238" s="33">
        <v>0.43</v>
      </c>
      <c r="G238" s="7">
        <f t="shared" ref="G238" si="102">TRUNC($E238*F238,1)</f>
        <v>8544.5</v>
      </c>
      <c r="H238" s="33">
        <v>0.47</v>
      </c>
      <c r="I238" s="7">
        <f t="shared" ref="I238" si="103">TRUNC($E238*H238,1)</f>
        <v>9339.2999999999993</v>
      </c>
      <c r="J238" s="33">
        <v>0.48</v>
      </c>
      <c r="K238" s="7">
        <f t="shared" ref="K238" si="104">TRUNC($E238*J238,1)</f>
        <v>9538</v>
      </c>
    </row>
    <row r="239" spans="2:11" ht="12.95" customHeight="1" x14ac:dyDescent="0.3">
      <c r="B239" s="27" t="s">
        <v>12</v>
      </c>
      <c r="C239" s="43"/>
      <c r="D239" s="43"/>
      <c r="E239" s="48"/>
      <c r="F239" s="51"/>
      <c r="G239" s="46">
        <f>TRUNC(SUM(G238:G238))</f>
        <v>8544</v>
      </c>
      <c r="H239" s="51"/>
      <c r="I239" s="46">
        <f>TRUNC(SUM(I238:I238))</f>
        <v>9339</v>
      </c>
      <c r="J239" s="51"/>
      <c r="K239" s="46">
        <f>TRUNC(SUM(K238:K238))</f>
        <v>9538</v>
      </c>
    </row>
    <row r="240" spans="2:11" ht="12.95" customHeight="1" x14ac:dyDescent="0.3">
      <c r="B240" s="42"/>
      <c r="C240" s="43"/>
      <c r="D240" s="43"/>
      <c r="E240" s="48"/>
      <c r="F240" s="51"/>
      <c r="G240" s="37"/>
      <c r="H240" s="51"/>
      <c r="I240" s="37"/>
      <c r="J240" s="51"/>
      <c r="K240" s="37"/>
    </row>
    <row r="241" spans="2:13" ht="12.95" customHeight="1" x14ac:dyDescent="0.3">
      <c r="B241" s="14" t="s">
        <v>22</v>
      </c>
      <c r="C241" s="9"/>
      <c r="D241" s="4" t="s">
        <v>11</v>
      </c>
      <c r="E241" s="49">
        <v>262580</v>
      </c>
      <c r="F241" s="33">
        <v>0.11</v>
      </c>
      <c r="G241" s="7">
        <f t="shared" ref="G241:G243" si="105">TRUNC($E241*F241,1)</f>
        <v>28883.8</v>
      </c>
      <c r="H241" s="33">
        <v>0.12</v>
      </c>
      <c r="I241" s="7">
        <f t="shared" ref="I241:I243" si="106">TRUNC($E241*H241,1)</f>
        <v>31509.599999999999</v>
      </c>
      <c r="J241" s="33">
        <v>0.12</v>
      </c>
      <c r="K241" s="7">
        <f t="shared" ref="K241:K243" si="107">TRUNC($E241*J241,1)</f>
        <v>31509.599999999999</v>
      </c>
    </row>
    <row r="242" spans="2:13" ht="12.95" customHeight="1" x14ac:dyDescent="0.3">
      <c r="B242" s="14" t="s">
        <v>1</v>
      </c>
      <c r="C242" s="9"/>
      <c r="D242" s="4" t="s">
        <v>11</v>
      </c>
      <c r="E242" s="52">
        <v>172068</v>
      </c>
      <c r="F242" s="33">
        <v>0.05</v>
      </c>
      <c r="G242" s="7">
        <f t="shared" si="105"/>
        <v>8603.4</v>
      </c>
      <c r="H242" s="33">
        <v>0.06</v>
      </c>
      <c r="I242" s="7">
        <f t="shared" si="106"/>
        <v>10324</v>
      </c>
      <c r="J242" s="33">
        <v>0.06</v>
      </c>
      <c r="K242" s="7">
        <f t="shared" si="107"/>
        <v>10324</v>
      </c>
    </row>
    <row r="243" spans="2:13" ht="12.95" customHeight="1" x14ac:dyDescent="0.3">
      <c r="B243" s="35" t="s">
        <v>4</v>
      </c>
      <c r="C243" s="35" t="s">
        <v>107</v>
      </c>
      <c r="D243" s="45" t="s">
        <v>17</v>
      </c>
      <c r="E243" s="54">
        <v>49698</v>
      </c>
      <c r="F243" s="33">
        <v>0.43</v>
      </c>
      <c r="G243" s="7">
        <f t="shared" si="105"/>
        <v>21370.1</v>
      </c>
      <c r="H243" s="33">
        <v>0.47</v>
      </c>
      <c r="I243" s="7">
        <f t="shared" si="106"/>
        <v>23358</v>
      </c>
      <c r="J243" s="33">
        <v>0.48</v>
      </c>
      <c r="K243" s="7">
        <f t="shared" si="107"/>
        <v>23855</v>
      </c>
    </row>
    <row r="244" spans="2:13" ht="12.95" customHeight="1" x14ac:dyDescent="0.3">
      <c r="B244" s="23" t="s">
        <v>13</v>
      </c>
      <c r="C244" s="43"/>
      <c r="D244" s="43"/>
      <c r="E244" s="48"/>
      <c r="F244" s="51"/>
      <c r="G244" s="46">
        <f>TRUNC(SUM(G241:G243))</f>
        <v>58857</v>
      </c>
      <c r="H244" s="51"/>
      <c r="I244" s="46">
        <f>TRUNC(SUM(I241:I243))</f>
        <v>65191</v>
      </c>
      <c r="J244" s="51"/>
      <c r="K244" s="46">
        <f>TRUNC(SUM(K241:K243))</f>
        <v>65688</v>
      </c>
    </row>
    <row r="245" spans="2:13" ht="12.95" customHeight="1" x14ac:dyDescent="0.3">
      <c r="B245" s="42"/>
      <c r="C245" s="43"/>
      <c r="D245" s="43"/>
      <c r="E245" s="48"/>
      <c r="F245" s="51"/>
      <c r="G245" s="37"/>
      <c r="H245" s="51"/>
      <c r="I245" s="37"/>
      <c r="J245" s="51"/>
      <c r="K245" s="37"/>
    </row>
    <row r="246" spans="2:13" ht="12.95" customHeight="1" x14ac:dyDescent="0.3">
      <c r="B246" s="35" t="s">
        <v>4</v>
      </c>
      <c r="C246" s="35" t="s">
        <v>107</v>
      </c>
      <c r="D246" s="45" t="s">
        <v>17</v>
      </c>
      <c r="E246" s="54">
        <v>31327</v>
      </c>
      <c r="F246" s="33">
        <v>0.43</v>
      </c>
      <c r="G246" s="7">
        <f t="shared" ref="G246" si="108">TRUNC($E246*F246,1)</f>
        <v>13470.6</v>
      </c>
      <c r="H246" s="33">
        <v>0.47</v>
      </c>
      <c r="I246" s="7">
        <f t="shared" ref="I246" si="109">TRUNC($E246*H246,1)</f>
        <v>14723.6</v>
      </c>
      <c r="J246" s="33">
        <v>0.48</v>
      </c>
      <c r="K246" s="7">
        <f t="shared" ref="K246" si="110">TRUNC($E246*J246,1)</f>
        <v>15036.9</v>
      </c>
    </row>
    <row r="247" spans="2:13" ht="12.95" customHeight="1" x14ac:dyDescent="0.3">
      <c r="B247" s="27" t="s">
        <v>14</v>
      </c>
      <c r="C247" s="43"/>
      <c r="D247" s="43"/>
      <c r="E247" s="36"/>
      <c r="F247" s="38"/>
      <c r="G247" s="47">
        <f>TRUNC(SUM(G246:G246))</f>
        <v>13470</v>
      </c>
      <c r="H247" s="38"/>
      <c r="I247" s="47">
        <f>TRUNC(SUM(I246:I246))</f>
        <v>14723</v>
      </c>
      <c r="J247" s="38"/>
      <c r="K247" s="47">
        <f>TRUNC(SUM(K246:K246))</f>
        <v>15036</v>
      </c>
    </row>
    <row r="248" spans="2:13" ht="12.95" customHeight="1" x14ac:dyDescent="0.3">
      <c r="B248" s="12"/>
      <c r="C248" s="35"/>
      <c r="D248" s="35"/>
      <c r="E248" s="39"/>
      <c r="F248" s="33"/>
      <c r="G248" s="34"/>
      <c r="H248" s="33"/>
      <c r="I248" s="34"/>
      <c r="J248" s="33"/>
      <c r="K248" s="34"/>
    </row>
    <row r="249" spans="2:13" ht="12.95" customHeight="1" x14ac:dyDescent="0.3">
      <c r="B249" s="13" t="s">
        <v>15</v>
      </c>
      <c r="C249" s="44"/>
      <c r="D249" s="44"/>
      <c r="E249" s="40"/>
      <c r="F249" s="40"/>
      <c r="G249" s="41">
        <f>SUM(G239+G244+G247)</f>
        <v>80871</v>
      </c>
      <c r="H249" s="40"/>
      <c r="I249" s="41">
        <f>SUM(I239+I244+I247)</f>
        <v>89253</v>
      </c>
      <c r="J249" s="40"/>
      <c r="K249" s="41">
        <f>SUM(K239+K244+K247)</f>
        <v>90262</v>
      </c>
    </row>
    <row r="250" spans="2:13" ht="12.95" customHeight="1" x14ac:dyDescent="0.3">
      <c r="B250" s="77" t="s">
        <v>5</v>
      </c>
      <c r="C250" s="80" t="s">
        <v>9</v>
      </c>
      <c r="D250" s="83" t="s">
        <v>10</v>
      </c>
      <c r="E250" s="86" t="s">
        <v>6</v>
      </c>
      <c r="F250" s="68" t="s">
        <v>111</v>
      </c>
      <c r="G250" s="69"/>
      <c r="H250" s="69"/>
      <c r="I250" s="69"/>
      <c r="J250" s="69"/>
      <c r="K250" s="69"/>
      <c r="L250" s="69"/>
      <c r="M250" s="69"/>
    </row>
    <row r="251" spans="2:13" ht="12.95" customHeight="1" x14ac:dyDescent="0.3">
      <c r="B251" s="78"/>
      <c r="C251" s="81"/>
      <c r="D251" s="84"/>
      <c r="E251" s="87"/>
      <c r="F251" s="68" t="s">
        <v>99</v>
      </c>
      <c r="G251" s="69"/>
      <c r="H251" s="68" t="s">
        <v>24</v>
      </c>
      <c r="I251" s="69"/>
      <c r="J251" s="68" t="s">
        <v>25</v>
      </c>
      <c r="K251" s="69"/>
      <c r="L251" s="68" t="s">
        <v>26</v>
      </c>
      <c r="M251" s="69"/>
    </row>
    <row r="252" spans="2:13" ht="12.95" customHeight="1" x14ac:dyDescent="0.3">
      <c r="B252" s="79"/>
      <c r="C252" s="82"/>
      <c r="D252" s="85"/>
      <c r="E252" s="88"/>
      <c r="F252" s="57" t="s">
        <v>7</v>
      </c>
      <c r="G252" s="56" t="s">
        <v>8</v>
      </c>
      <c r="H252" s="57" t="s">
        <v>7</v>
      </c>
      <c r="I252" s="56" t="s">
        <v>8</v>
      </c>
      <c r="J252" s="57" t="s">
        <v>7</v>
      </c>
      <c r="K252" s="56" t="s">
        <v>8</v>
      </c>
      <c r="L252" s="57" t="s">
        <v>7</v>
      </c>
      <c r="M252" s="56" t="s">
        <v>8</v>
      </c>
    </row>
    <row r="253" spans="2:13" ht="12.95" customHeight="1" x14ac:dyDescent="0.3">
      <c r="B253" s="35" t="s">
        <v>4</v>
      </c>
      <c r="C253" s="35" t="s">
        <v>23</v>
      </c>
      <c r="D253" s="45" t="s">
        <v>17</v>
      </c>
      <c r="E253" s="54">
        <v>18607</v>
      </c>
      <c r="F253" s="33">
        <v>0.18</v>
      </c>
      <c r="G253" s="7">
        <f t="shared" ref="G253" si="111">TRUNC($E253*F253,1)</f>
        <v>3349.2</v>
      </c>
      <c r="H253" s="33">
        <v>0.19</v>
      </c>
      <c r="I253" s="7">
        <f t="shared" ref="I253" si="112">TRUNC($E253*H253,1)</f>
        <v>3535.3</v>
      </c>
      <c r="J253" s="33">
        <v>0.2</v>
      </c>
      <c r="K253" s="7">
        <f t="shared" ref="K253" si="113">TRUNC($E253*J253,1)</f>
        <v>3721.4</v>
      </c>
      <c r="L253" s="33">
        <v>0.22</v>
      </c>
      <c r="M253" s="7">
        <f t="shared" ref="M253" si="114">TRUNC($E253*L253,1)</f>
        <v>4093.5</v>
      </c>
    </row>
    <row r="254" spans="2:13" ht="12.95" customHeight="1" x14ac:dyDescent="0.3">
      <c r="B254" s="27" t="s">
        <v>12</v>
      </c>
      <c r="C254" s="43"/>
      <c r="D254" s="43"/>
      <c r="E254" s="48"/>
      <c r="F254" s="51"/>
      <c r="G254" s="46">
        <f>TRUNC(SUM(G253:G253))</f>
        <v>3349</v>
      </c>
      <c r="H254" s="51"/>
      <c r="I254" s="46">
        <f>TRUNC(SUM(I253:I253))</f>
        <v>3535</v>
      </c>
      <c r="J254" s="51"/>
      <c r="K254" s="46">
        <f>TRUNC(SUM(K253:K253))</f>
        <v>3721</v>
      </c>
      <c r="L254" s="51"/>
      <c r="M254" s="46">
        <f>TRUNC(SUM(M253:M253))</f>
        <v>4093</v>
      </c>
    </row>
    <row r="255" spans="2:13" ht="12.95" customHeight="1" x14ac:dyDescent="0.3">
      <c r="B255" s="42"/>
      <c r="C255" s="43"/>
      <c r="D255" s="43"/>
      <c r="E255" s="48"/>
      <c r="F255" s="51"/>
      <c r="G255" s="37"/>
      <c r="H255" s="51"/>
      <c r="I255" s="37"/>
      <c r="J255" s="51"/>
      <c r="K255" s="37"/>
      <c r="L255" s="51"/>
      <c r="M255" s="37"/>
    </row>
    <row r="256" spans="2:13" ht="12.95" customHeight="1" x14ac:dyDescent="0.3">
      <c r="B256" s="14" t="s">
        <v>22</v>
      </c>
      <c r="C256" s="9"/>
      <c r="D256" s="4" t="s">
        <v>11</v>
      </c>
      <c r="E256" s="49">
        <v>262580</v>
      </c>
      <c r="F256" s="33">
        <v>0.03</v>
      </c>
      <c r="G256" s="7">
        <f t="shared" ref="G256:G258" si="115">TRUNC($E256*F256,1)</f>
        <v>7877.4</v>
      </c>
      <c r="H256" s="33">
        <v>0.03</v>
      </c>
      <c r="I256" s="7">
        <f t="shared" ref="I256:I258" si="116">TRUNC($E256*H256,1)</f>
        <v>7877.4</v>
      </c>
      <c r="J256" s="33">
        <v>0.04</v>
      </c>
      <c r="K256" s="7">
        <f t="shared" ref="K256:K258" si="117">TRUNC($E256*J256,1)</f>
        <v>10503.2</v>
      </c>
      <c r="L256" s="33">
        <v>0.04</v>
      </c>
      <c r="M256" s="7">
        <f t="shared" ref="M256:M258" si="118">TRUNC($E256*L256,1)</f>
        <v>10503.2</v>
      </c>
    </row>
    <row r="257" spans="2:13" ht="12.95" customHeight="1" x14ac:dyDescent="0.3">
      <c r="B257" s="14" t="s">
        <v>1</v>
      </c>
      <c r="C257" s="9"/>
      <c r="D257" s="4" t="s">
        <v>11</v>
      </c>
      <c r="E257" s="52">
        <v>172068</v>
      </c>
      <c r="F257" s="33">
        <v>0.02</v>
      </c>
      <c r="G257" s="7">
        <f t="shared" si="115"/>
        <v>3441.3</v>
      </c>
      <c r="H257" s="33">
        <v>0.02</v>
      </c>
      <c r="I257" s="7">
        <f t="shared" si="116"/>
        <v>3441.3</v>
      </c>
      <c r="J257" s="33">
        <v>0.02</v>
      </c>
      <c r="K257" s="7">
        <f t="shared" si="117"/>
        <v>3441.3</v>
      </c>
      <c r="L257" s="33">
        <v>0.03</v>
      </c>
      <c r="M257" s="7">
        <f t="shared" si="118"/>
        <v>5162</v>
      </c>
    </row>
    <row r="258" spans="2:13" ht="12.95" customHeight="1" x14ac:dyDescent="0.3">
      <c r="B258" s="35" t="s">
        <v>4</v>
      </c>
      <c r="C258" s="35" t="s">
        <v>23</v>
      </c>
      <c r="D258" s="45" t="s">
        <v>17</v>
      </c>
      <c r="E258" s="54">
        <v>49698</v>
      </c>
      <c r="F258" s="33">
        <v>0.18</v>
      </c>
      <c r="G258" s="7">
        <f t="shared" si="115"/>
        <v>8945.6</v>
      </c>
      <c r="H258" s="33">
        <v>0.19</v>
      </c>
      <c r="I258" s="7">
        <f t="shared" si="116"/>
        <v>9442.6</v>
      </c>
      <c r="J258" s="33">
        <v>0.2</v>
      </c>
      <c r="K258" s="7">
        <f t="shared" si="117"/>
        <v>9939.6</v>
      </c>
      <c r="L258" s="33">
        <v>0.22</v>
      </c>
      <c r="M258" s="7">
        <f t="shared" si="118"/>
        <v>10933.5</v>
      </c>
    </row>
    <row r="259" spans="2:13" ht="12.95" customHeight="1" x14ac:dyDescent="0.3">
      <c r="B259" s="23" t="s">
        <v>13</v>
      </c>
      <c r="C259" s="43"/>
      <c r="D259" s="43"/>
      <c r="E259" s="48"/>
      <c r="F259" s="51"/>
      <c r="G259" s="46">
        <f>TRUNC(SUM(G256:G258))</f>
        <v>20264</v>
      </c>
      <c r="H259" s="51"/>
      <c r="I259" s="46">
        <f>TRUNC(SUM(I256:I258))</f>
        <v>20761</v>
      </c>
      <c r="J259" s="51"/>
      <c r="K259" s="46">
        <f>TRUNC(SUM(K256:K258))</f>
        <v>23884</v>
      </c>
      <c r="L259" s="51"/>
      <c r="M259" s="46">
        <f>TRUNC(SUM(M256:M258))</f>
        <v>26598</v>
      </c>
    </row>
    <row r="260" spans="2:13" ht="12.95" customHeight="1" x14ac:dyDescent="0.3">
      <c r="B260" s="42"/>
      <c r="C260" s="43"/>
      <c r="D260" s="43"/>
      <c r="E260" s="48"/>
      <c r="F260" s="51"/>
      <c r="G260" s="37"/>
      <c r="H260" s="51"/>
      <c r="I260" s="37"/>
      <c r="J260" s="51"/>
      <c r="K260" s="37"/>
      <c r="L260" s="51"/>
      <c r="M260" s="37"/>
    </row>
    <row r="261" spans="2:13" ht="12.95" customHeight="1" x14ac:dyDescent="0.3">
      <c r="B261" s="35" t="s">
        <v>4</v>
      </c>
      <c r="C261" s="35" t="s">
        <v>23</v>
      </c>
      <c r="D261" s="45" t="s">
        <v>17</v>
      </c>
      <c r="E261" s="54">
        <v>23795</v>
      </c>
      <c r="F261" s="33">
        <v>0.18</v>
      </c>
      <c r="G261" s="7">
        <f t="shared" ref="G261" si="119">TRUNC($E261*F261,1)</f>
        <v>4283.1000000000004</v>
      </c>
      <c r="H261" s="33">
        <v>0.19</v>
      </c>
      <c r="I261" s="7">
        <f t="shared" ref="I261" si="120">TRUNC($E261*H261,1)</f>
        <v>4521</v>
      </c>
      <c r="J261" s="33">
        <v>0.2</v>
      </c>
      <c r="K261" s="7">
        <f t="shared" ref="K261" si="121">TRUNC($E261*J261,1)</f>
        <v>4759</v>
      </c>
      <c r="L261" s="33">
        <v>0.22</v>
      </c>
      <c r="M261" s="7">
        <f t="shared" ref="M261" si="122">TRUNC($E261*L261,1)</f>
        <v>5234.8999999999996</v>
      </c>
    </row>
    <row r="262" spans="2:13" ht="12.95" customHeight="1" x14ac:dyDescent="0.3">
      <c r="B262" s="27" t="s">
        <v>14</v>
      </c>
      <c r="C262" s="43"/>
      <c r="D262" s="43"/>
      <c r="E262" s="36"/>
      <c r="F262" s="38"/>
      <c r="G262" s="47">
        <f>TRUNC(SUM(G261:G261))</f>
        <v>4283</v>
      </c>
      <c r="H262" s="38"/>
      <c r="I262" s="47">
        <f>TRUNC(SUM(I261:I261))</f>
        <v>4521</v>
      </c>
      <c r="J262" s="38"/>
      <c r="K262" s="47">
        <f>TRUNC(SUM(K261:K261))</f>
        <v>4759</v>
      </c>
      <c r="L262" s="38"/>
      <c r="M262" s="47">
        <f>TRUNC(SUM(M261:M261))</f>
        <v>5234</v>
      </c>
    </row>
    <row r="263" spans="2:13" ht="12.95" customHeight="1" x14ac:dyDescent="0.3">
      <c r="B263" s="12"/>
      <c r="C263" s="35"/>
      <c r="D263" s="35"/>
      <c r="E263" s="39"/>
      <c r="F263" s="33"/>
      <c r="G263" s="34"/>
      <c r="H263" s="33"/>
      <c r="I263" s="34"/>
      <c r="J263" s="33"/>
      <c r="K263" s="34"/>
      <c r="L263" s="33"/>
      <c r="M263" s="34"/>
    </row>
    <row r="264" spans="2:13" ht="12.95" customHeight="1" x14ac:dyDescent="0.3">
      <c r="B264" s="13" t="s">
        <v>15</v>
      </c>
      <c r="C264" s="44"/>
      <c r="D264" s="44"/>
      <c r="E264" s="40"/>
      <c r="F264" s="40"/>
      <c r="G264" s="41">
        <f>SUM(G254+G259+G262)</f>
        <v>27896</v>
      </c>
      <c r="H264" s="40"/>
      <c r="I264" s="41">
        <f>SUM(I254+I259+I262)</f>
        <v>28817</v>
      </c>
      <c r="J264" s="40"/>
      <c r="K264" s="41">
        <f>SUM(K254+K259+K262)</f>
        <v>32364</v>
      </c>
      <c r="L264" s="40"/>
      <c r="M264" s="41">
        <f>SUM(M254+M259+M262)</f>
        <v>35925</v>
      </c>
    </row>
    <row r="265" spans="2:13" ht="12.95" customHeight="1" x14ac:dyDescent="0.3">
      <c r="B265" s="77" t="s">
        <v>5</v>
      </c>
      <c r="C265" s="80" t="s">
        <v>9</v>
      </c>
      <c r="D265" s="83" t="s">
        <v>10</v>
      </c>
      <c r="E265" s="86" t="s">
        <v>6</v>
      </c>
      <c r="F265" s="68" t="s">
        <v>111</v>
      </c>
      <c r="G265" s="69"/>
      <c r="H265" s="69"/>
      <c r="I265" s="69"/>
      <c r="J265" s="69"/>
      <c r="K265" s="69"/>
      <c r="L265" s="69"/>
      <c r="M265" s="69"/>
    </row>
    <row r="266" spans="2:13" ht="12.95" customHeight="1" x14ac:dyDescent="0.3">
      <c r="B266" s="78"/>
      <c r="C266" s="81"/>
      <c r="D266" s="84"/>
      <c r="E266" s="87"/>
      <c r="F266" s="68" t="s">
        <v>100</v>
      </c>
      <c r="G266" s="69"/>
      <c r="H266" s="68" t="s">
        <v>101</v>
      </c>
      <c r="I266" s="69"/>
      <c r="J266" s="68" t="s">
        <v>102</v>
      </c>
      <c r="K266" s="69"/>
      <c r="L266" s="68" t="s">
        <v>103</v>
      </c>
      <c r="M266" s="69"/>
    </row>
    <row r="267" spans="2:13" ht="12.95" customHeight="1" x14ac:dyDescent="0.3">
      <c r="B267" s="79"/>
      <c r="C267" s="82"/>
      <c r="D267" s="85"/>
      <c r="E267" s="88"/>
      <c r="F267" s="57" t="s">
        <v>7</v>
      </c>
      <c r="G267" s="56" t="s">
        <v>8</v>
      </c>
      <c r="H267" s="57" t="s">
        <v>7</v>
      </c>
      <c r="I267" s="56" t="s">
        <v>8</v>
      </c>
      <c r="J267" s="57" t="s">
        <v>7</v>
      </c>
      <c r="K267" s="56" t="s">
        <v>8</v>
      </c>
      <c r="L267" s="57" t="s">
        <v>7</v>
      </c>
      <c r="M267" s="56" t="s">
        <v>8</v>
      </c>
    </row>
    <row r="268" spans="2:13" ht="12.95" customHeight="1" x14ac:dyDescent="0.3">
      <c r="B268" s="35" t="s">
        <v>4</v>
      </c>
      <c r="C268" s="35" t="s">
        <v>23</v>
      </c>
      <c r="D268" s="45" t="s">
        <v>17</v>
      </c>
      <c r="E268" s="54">
        <v>18607</v>
      </c>
      <c r="F268" s="33">
        <v>0.26</v>
      </c>
      <c r="G268" s="7">
        <f t="shared" ref="G268" si="123">TRUNC($E268*F268,1)</f>
        <v>4837.8</v>
      </c>
      <c r="H268" s="33">
        <v>0.28999999999999998</v>
      </c>
      <c r="I268" s="7">
        <f t="shared" ref="I268" si="124">TRUNC($E268*H268,1)</f>
        <v>5396</v>
      </c>
      <c r="J268" s="33">
        <v>0.3</v>
      </c>
      <c r="K268" s="7">
        <f t="shared" ref="K268" si="125">TRUNC($E268*J268,1)</f>
        <v>5582.1</v>
      </c>
      <c r="L268" s="33">
        <v>0.31</v>
      </c>
      <c r="M268" s="7">
        <f t="shared" ref="M268" si="126">TRUNC($E268*L268,1)</f>
        <v>5768.1</v>
      </c>
    </row>
    <row r="269" spans="2:13" ht="12.95" customHeight="1" x14ac:dyDescent="0.3">
      <c r="B269" s="27" t="s">
        <v>12</v>
      </c>
      <c r="C269" s="43"/>
      <c r="D269" s="43"/>
      <c r="E269" s="48"/>
      <c r="F269" s="51"/>
      <c r="G269" s="46">
        <f>TRUNC(SUM(G268:G268))</f>
        <v>4837</v>
      </c>
      <c r="H269" s="51"/>
      <c r="I269" s="46">
        <f>TRUNC(SUM(I268:I268))</f>
        <v>5396</v>
      </c>
      <c r="J269" s="51"/>
      <c r="K269" s="46">
        <f>TRUNC(SUM(K268:K268))</f>
        <v>5582</v>
      </c>
      <c r="L269" s="51"/>
      <c r="M269" s="46">
        <f>TRUNC(SUM(M268:M268))</f>
        <v>5768</v>
      </c>
    </row>
    <row r="270" spans="2:13" ht="12.95" customHeight="1" x14ac:dyDescent="0.3">
      <c r="B270" s="42"/>
      <c r="C270" s="43"/>
      <c r="D270" s="43"/>
      <c r="E270" s="48"/>
      <c r="F270" s="51"/>
      <c r="G270" s="37"/>
      <c r="H270" s="51"/>
      <c r="I270" s="37"/>
      <c r="J270" s="51"/>
      <c r="K270" s="37"/>
      <c r="L270" s="51"/>
      <c r="M270" s="37"/>
    </row>
    <row r="271" spans="2:13" ht="12.95" customHeight="1" x14ac:dyDescent="0.3">
      <c r="B271" s="14" t="s">
        <v>22</v>
      </c>
      <c r="C271" s="9"/>
      <c r="D271" s="4" t="s">
        <v>11</v>
      </c>
      <c r="E271" s="49">
        <v>262580</v>
      </c>
      <c r="F271" s="33">
        <v>0.06</v>
      </c>
      <c r="G271" s="7">
        <f t="shared" ref="G271:G273" si="127">TRUNC($E271*F271,1)</f>
        <v>15754.8</v>
      </c>
      <c r="H271" s="33">
        <v>7.0000000000000007E-2</v>
      </c>
      <c r="I271" s="7">
        <f t="shared" ref="I271:I273" si="128">TRUNC($E271*H271,1)</f>
        <v>18380.599999999999</v>
      </c>
      <c r="J271" s="33">
        <v>0.08</v>
      </c>
      <c r="K271" s="7">
        <f t="shared" ref="K271:K273" si="129">TRUNC($E271*J271,1)</f>
        <v>21006.400000000001</v>
      </c>
      <c r="L271" s="33">
        <v>0.09</v>
      </c>
      <c r="M271" s="7">
        <f t="shared" ref="M271:M273" si="130">TRUNC($E271*L271,1)</f>
        <v>23632.2</v>
      </c>
    </row>
    <row r="272" spans="2:13" ht="12.95" customHeight="1" x14ac:dyDescent="0.3">
      <c r="B272" s="14" t="s">
        <v>1</v>
      </c>
      <c r="C272" s="9"/>
      <c r="D272" s="4" t="s">
        <v>11</v>
      </c>
      <c r="E272" s="52">
        <v>172068</v>
      </c>
      <c r="F272" s="33">
        <v>0.04</v>
      </c>
      <c r="G272" s="7">
        <f t="shared" si="127"/>
        <v>6882.7</v>
      </c>
      <c r="H272" s="33">
        <v>0.04</v>
      </c>
      <c r="I272" s="7">
        <f t="shared" si="128"/>
        <v>6882.7</v>
      </c>
      <c r="J272" s="33">
        <v>0.04</v>
      </c>
      <c r="K272" s="7">
        <f t="shared" si="129"/>
        <v>6882.7</v>
      </c>
      <c r="L272" s="33">
        <v>0.05</v>
      </c>
      <c r="M272" s="7">
        <f t="shared" si="130"/>
        <v>8603.4</v>
      </c>
    </row>
    <row r="273" spans="2:13" ht="12.95" customHeight="1" x14ac:dyDescent="0.3">
      <c r="B273" s="35" t="s">
        <v>4</v>
      </c>
      <c r="C273" s="35" t="s">
        <v>23</v>
      </c>
      <c r="D273" s="45" t="s">
        <v>17</v>
      </c>
      <c r="E273" s="54">
        <v>49698</v>
      </c>
      <c r="F273" s="33">
        <v>0.26</v>
      </c>
      <c r="G273" s="7">
        <f t="shared" si="127"/>
        <v>12921.4</v>
      </c>
      <c r="H273" s="33">
        <v>0.28999999999999998</v>
      </c>
      <c r="I273" s="7">
        <f t="shared" si="128"/>
        <v>14412.4</v>
      </c>
      <c r="J273" s="33">
        <v>0.3</v>
      </c>
      <c r="K273" s="7">
        <f t="shared" si="129"/>
        <v>14909.4</v>
      </c>
      <c r="L273" s="33">
        <v>0.31</v>
      </c>
      <c r="M273" s="7">
        <f t="shared" si="130"/>
        <v>15406.3</v>
      </c>
    </row>
    <row r="274" spans="2:13" ht="12.95" customHeight="1" x14ac:dyDescent="0.3">
      <c r="B274" s="23" t="s">
        <v>13</v>
      </c>
      <c r="C274" s="43"/>
      <c r="D274" s="43"/>
      <c r="E274" s="48"/>
      <c r="F274" s="51"/>
      <c r="G274" s="46">
        <f>TRUNC(SUM(G271:G273))</f>
        <v>35558</v>
      </c>
      <c r="H274" s="51"/>
      <c r="I274" s="46">
        <f>TRUNC(SUM(I271:I273))</f>
        <v>39675</v>
      </c>
      <c r="J274" s="51"/>
      <c r="K274" s="46">
        <f>TRUNC(SUM(K271:K273))</f>
        <v>42798</v>
      </c>
      <c r="L274" s="51"/>
      <c r="M274" s="46">
        <f>TRUNC(SUM(M271:M273))</f>
        <v>47641</v>
      </c>
    </row>
    <row r="275" spans="2:13" ht="12.95" customHeight="1" x14ac:dyDescent="0.3">
      <c r="B275" s="42"/>
      <c r="C275" s="43"/>
      <c r="D275" s="43"/>
      <c r="E275" s="48"/>
      <c r="F275" s="51"/>
      <c r="G275" s="37"/>
      <c r="H275" s="51"/>
      <c r="I275" s="37"/>
      <c r="J275" s="51"/>
      <c r="K275" s="37"/>
      <c r="L275" s="51"/>
      <c r="M275" s="37"/>
    </row>
    <row r="276" spans="2:13" ht="12.95" customHeight="1" x14ac:dyDescent="0.3">
      <c r="B276" s="35" t="s">
        <v>4</v>
      </c>
      <c r="C276" s="35" t="s">
        <v>23</v>
      </c>
      <c r="D276" s="45" t="s">
        <v>17</v>
      </c>
      <c r="E276" s="54">
        <v>23795</v>
      </c>
      <c r="F276" s="33">
        <v>0.26</v>
      </c>
      <c r="G276" s="7">
        <f t="shared" ref="G276" si="131">TRUNC($E276*F276,1)</f>
        <v>6186.7</v>
      </c>
      <c r="H276" s="33">
        <v>0.28999999999999998</v>
      </c>
      <c r="I276" s="7">
        <f t="shared" ref="I276" si="132">TRUNC($E276*H276,1)</f>
        <v>6900.5</v>
      </c>
      <c r="J276" s="33">
        <v>0.3</v>
      </c>
      <c r="K276" s="7">
        <f t="shared" ref="K276" si="133">TRUNC($E276*J276,1)</f>
        <v>7138.5</v>
      </c>
      <c r="L276" s="33">
        <v>0.31</v>
      </c>
      <c r="M276" s="7">
        <f t="shared" ref="M276" si="134">TRUNC($E276*L276,1)</f>
        <v>7376.4</v>
      </c>
    </row>
    <row r="277" spans="2:13" ht="12.95" customHeight="1" x14ac:dyDescent="0.3">
      <c r="B277" s="27" t="s">
        <v>14</v>
      </c>
      <c r="C277" s="43"/>
      <c r="D277" s="43"/>
      <c r="E277" s="36"/>
      <c r="F277" s="38"/>
      <c r="G277" s="47">
        <f>TRUNC(SUM(G276:G276))</f>
        <v>6186</v>
      </c>
      <c r="H277" s="38"/>
      <c r="I277" s="47">
        <f>TRUNC(SUM(I276:I276))</f>
        <v>6900</v>
      </c>
      <c r="J277" s="38"/>
      <c r="K277" s="47">
        <f>TRUNC(SUM(K276:K276))</f>
        <v>7138</v>
      </c>
      <c r="L277" s="38"/>
      <c r="M277" s="47">
        <f>TRUNC(SUM(M276:M276))</f>
        <v>7376</v>
      </c>
    </row>
    <row r="278" spans="2:13" ht="12.95" customHeight="1" x14ac:dyDescent="0.3">
      <c r="B278" s="12"/>
      <c r="C278" s="35"/>
      <c r="D278" s="35"/>
      <c r="E278" s="39"/>
      <c r="F278" s="33"/>
      <c r="G278" s="34"/>
      <c r="H278" s="33"/>
      <c r="I278" s="34"/>
      <c r="J278" s="33"/>
      <c r="K278" s="34"/>
      <c r="L278" s="33"/>
      <c r="M278" s="34"/>
    </row>
    <row r="279" spans="2:13" ht="12.95" customHeight="1" x14ac:dyDescent="0.3">
      <c r="B279" s="13" t="s">
        <v>15</v>
      </c>
      <c r="C279" s="44"/>
      <c r="D279" s="44"/>
      <c r="E279" s="40"/>
      <c r="F279" s="40"/>
      <c r="G279" s="41">
        <f>SUM(G269+G274+G277)</f>
        <v>46581</v>
      </c>
      <c r="H279" s="40"/>
      <c r="I279" s="41">
        <f>SUM(I269+I274+I277)</f>
        <v>51971</v>
      </c>
      <c r="J279" s="40"/>
      <c r="K279" s="41">
        <f>SUM(K269+K274+K277)</f>
        <v>55518</v>
      </c>
      <c r="L279" s="40"/>
      <c r="M279" s="41">
        <f>SUM(M269+M274+M277)</f>
        <v>60785</v>
      </c>
    </row>
    <row r="280" spans="2:13" ht="12.95" customHeight="1" x14ac:dyDescent="0.3">
      <c r="B280" s="77" t="s">
        <v>5</v>
      </c>
      <c r="C280" s="80" t="s">
        <v>9</v>
      </c>
      <c r="D280" s="83" t="s">
        <v>10</v>
      </c>
      <c r="E280" s="86" t="s">
        <v>6</v>
      </c>
      <c r="F280" s="68" t="s">
        <v>111</v>
      </c>
      <c r="G280" s="69"/>
      <c r="H280" s="69"/>
      <c r="I280" s="69"/>
      <c r="J280" s="69"/>
      <c r="K280" s="69"/>
    </row>
    <row r="281" spans="2:13" ht="12.95" customHeight="1" x14ac:dyDescent="0.3">
      <c r="B281" s="78"/>
      <c r="C281" s="81"/>
      <c r="D281" s="84"/>
      <c r="E281" s="87"/>
      <c r="F281" s="68" t="s">
        <v>104</v>
      </c>
      <c r="G281" s="69"/>
      <c r="H281" s="68" t="s">
        <v>105</v>
      </c>
      <c r="I281" s="69"/>
      <c r="J281" s="68" t="s">
        <v>106</v>
      </c>
      <c r="K281" s="69"/>
    </row>
    <row r="282" spans="2:13" ht="12.95" customHeight="1" x14ac:dyDescent="0.3">
      <c r="B282" s="79"/>
      <c r="C282" s="82"/>
      <c r="D282" s="85"/>
      <c r="E282" s="88"/>
      <c r="F282" s="57" t="s">
        <v>7</v>
      </c>
      <c r="G282" s="56" t="s">
        <v>8</v>
      </c>
      <c r="H282" s="57" t="s">
        <v>7</v>
      </c>
      <c r="I282" s="56" t="s">
        <v>8</v>
      </c>
      <c r="J282" s="57" t="s">
        <v>7</v>
      </c>
      <c r="K282" s="56" t="s">
        <v>8</v>
      </c>
    </row>
    <row r="283" spans="2:13" ht="12.95" customHeight="1" x14ac:dyDescent="0.3">
      <c r="B283" s="35" t="s">
        <v>4</v>
      </c>
      <c r="C283" s="35" t="s">
        <v>23</v>
      </c>
      <c r="D283" s="45" t="s">
        <v>17</v>
      </c>
      <c r="E283" s="54">
        <v>18607</v>
      </c>
      <c r="F283" s="33">
        <v>0.32</v>
      </c>
      <c r="G283" s="7">
        <f t="shared" ref="G283" si="135">TRUNC($E283*F283,1)</f>
        <v>5954.2</v>
      </c>
      <c r="H283" s="33">
        <v>0.33</v>
      </c>
      <c r="I283" s="7">
        <f t="shared" ref="I283" si="136">TRUNC($E283*H283,1)</f>
        <v>6140.3</v>
      </c>
      <c r="J283" s="33">
        <v>0.34</v>
      </c>
      <c r="K283" s="7">
        <f t="shared" ref="K283" si="137">TRUNC($E283*J283,1)</f>
        <v>6326.3</v>
      </c>
    </row>
    <row r="284" spans="2:13" ht="12.95" customHeight="1" x14ac:dyDescent="0.3">
      <c r="B284" s="27" t="s">
        <v>12</v>
      </c>
      <c r="C284" s="43"/>
      <c r="D284" s="43"/>
      <c r="E284" s="48"/>
      <c r="F284" s="51"/>
      <c r="G284" s="46">
        <f>TRUNC(SUM(G283:G283))</f>
        <v>5954</v>
      </c>
      <c r="H284" s="51"/>
      <c r="I284" s="46">
        <f>TRUNC(SUM(I283:I283))</f>
        <v>6140</v>
      </c>
      <c r="J284" s="51"/>
      <c r="K284" s="46">
        <f>TRUNC(SUM(K283:K283))</f>
        <v>6326</v>
      </c>
    </row>
    <row r="285" spans="2:13" ht="12.95" customHeight="1" x14ac:dyDescent="0.3">
      <c r="B285" s="42"/>
      <c r="C285" s="43"/>
      <c r="D285" s="43"/>
      <c r="E285" s="48"/>
      <c r="F285" s="51"/>
      <c r="G285" s="37"/>
      <c r="H285" s="51"/>
      <c r="I285" s="37"/>
      <c r="J285" s="51"/>
      <c r="K285" s="37"/>
    </row>
    <row r="286" spans="2:13" ht="12.95" customHeight="1" x14ac:dyDescent="0.3">
      <c r="B286" s="14" t="s">
        <v>22</v>
      </c>
      <c r="C286" s="9"/>
      <c r="D286" s="4" t="s">
        <v>11</v>
      </c>
      <c r="E286" s="49">
        <v>262580</v>
      </c>
      <c r="F286" s="33">
        <v>0.09</v>
      </c>
      <c r="G286" s="7">
        <f t="shared" ref="G286:G288" si="138">TRUNC($E286*F286,1)</f>
        <v>23632.2</v>
      </c>
      <c r="H286" s="33">
        <v>0.1</v>
      </c>
      <c r="I286" s="7">
        <f t="shared" ref="I286:I288" si="139">TRUNC($E286*H286,1)</f>
        <v>26258</v>
      </c>
      <c r="J286" s="33">
        <v>0.1</v>
      </c>
      <c r="K286" s="7">
        <f t="shared" ref="K286:K288" si="140">TRUNC($E286*J286,1)</f>
        <v>26258</v>
      </c>
    </row>
    <row r="287" spans="2:13" ht="12.95" customHeight="1" x14ac:dyDescent="0.3">
      <c r="B287" s="14" t="s">
        <v>1</v>
      </c>
      <c r="C287" s="9"/>
      <c r="D287" s="4" t="s">
        <v>11</v>
      </c>
      <c r="E287" s="52">
        <v>172068</v>
      </c>
      <c r="F287" s="33">
        <v>0.05</v>
      </c>
      <c r="G287" s="7">
        <f t="shared" si="138"/>
        <v>8603.4</v>
      </c>
      <c r="H287" s="33">
        <v>0.05</v>
      </c>
      <c r="I287" s="7">
        <f t="shared" si="139"/>
        <v>8603.4</v>
      </c>
      <c r="J287" s="33">
        <v>0.05</v>
      </c>
      <c r="K287" s="7">
        <f t="shared" si="140"/>
        <v>8603.4</v>
      </c>
    </row>
    <row r="288" spans="2:13" ht="12.95" customHeight="1" x14ac:dyDescent="0.3">
      <c r="B288" s="35" t="s">
        <v>4</v>
      </c>
      <c r="C288" s="35" t="s">
        <v>23</v>
      </c>
      <c r="D288" s="45" t="s">
        <v>17</v>
      </c>
      <c r="E288" s="54">
        <v>49698</v>
      </c>
      <c r="F288" s="33">
        <v>0.32</v>
      </c>
      <c r="G288" s="7">
        <f t="shared" si="138"/>
        <v>15903.3</v>
      </c>
      <c r="H288" s="33">
        <v>0.33</v>
      </c>
      <c r="I288" s="7">
        <f t="shared" si="139"/>
        <v>16400.3</v>
      </c>
      <c r="J288" s="33">
        <v>0.34</v>
      </c>
      <c r="K288" s="7">
        <f t="shared" si="140"/>
        <v>16897.3</v>
      </c>
    </row>
    <row r="289" spans="2:15" ht="12.95" customHeight="1" x14ac:dyDescent="0.3">
      <c r="B289" s="23" t="s">
        <v>13</v>
      </c>
      <c r="C289" s="43"/>
      <c r="D289" s="43"/>
      <c r="E289" s="48"/>
      <c r="F289" s="51"/>
      <c r="G289" s="46">
        <f>TRUNC(SUM(G286:G288))</f>
        <v>48138</v>
      </c>
      <c r="H289" s="51"/>
      <c r="I289" s="46">
        <f>TRUNC(SUM(I286:I288))</f>
        <v>51261</v>
      </c>
      <c r="J289" s="51"/>
      <c r="K289" s="46">
        <f>TRUNC(SUM(K286:K288))</f>
        <v>51758</v>
      </c>
    </row>
    <row r="290" spans="2:15" ht="12.95" customHeight="1" x14ac:dyDescent="0.3">
      <c r="B290" s="42"/>
      <c r="C290" s="43"/>
      <c r="D290" s="43"/>
      <c r="E290" s="48"/>
      <c r="F290" s="51"/>
      <c r="G290" s="37"/>
      <c r="H290" s="51"/>
      <c r="I290" s="37"/>
      <c r="J290" s="51"/>
      <c r="K290" s="37"/>
    </row>
    <row r="291" spans="2:15" ht="12.95" customHeight="1" x14ac:dyDescent="0.3">
      <c r="B291" s="35" t="s">
        <v>4</v>
      </c>
      <c r="C291" s="35" t="s">
        <v>23</v>
      </c>
      <c r="D291" s="45" t="s">
        <v>17</v>
      </c>
      <c r="E291" s="54">
        <v>23795</v>
      </c>
      <c r="F291" s="33">
        <v>0.32</v>
      </c>
      <c r="G291" s="7">
        <f t="shared" ref="G291" si="141">TRUNC($E291*F291,1)</f>
        <v>7614.4</v>
      </c>
      <c r="H291" s="33">
        <v>0.33</v>
      </c>
      <c r="I291" s="7">
        <f t="shared" ref="I291" si="142">TRUNC($E291*H291,1)</f>
        <v>7852.3</v>
      </c>
      <c r="J291" s="33">
        <v>0.34</v>
      </c>
      <c r="K291" s="7">
        <f t="shared" ref="K291" si="143">TRUNC($E291*J291,1)</f>
        <v>8090.3</v>
      </c>
      <c r="O291" s="11"/>
    </row>
    <row r="292" spans="2:15" ht="12.95" customHeight="1" x14ac:dyDescent="0.3">
      <c r="B292" s="27" t="s">
        <v>14</v>
      </c>
      <c r="C292" s="43"/>
      <c r="D292" s="43"/>
      <c r="E292" s="36"/>
      <c r="F292" s="38"/>
      <c r="G292" s="47">
        <f>TRUNC(SUM(G291:G291))</f>
        <v>7614</v>
      </c>
      <c r="H292" s="38"/>
      <c r="I292" s="47">
        <f>TRUNC(SUM(I291:I291))</f>
        <v>7852</v>
      </c>
      <c r="J292" s="38"/>
      <c r="K292" s="47">
        <f>TRUNC(SUM(K291:K291))</f>
        <v>8090</v>
      </c>
      <c r="N292" s="11"/>
      <c r="O292" s="11"/>
    </row>
    <row r="293" spans="2:15" ht="12.95" customHeight="1" x14ac:dyDescent="0.3">
      <c r="B293" s="12"/>
      <c r="C293" s="35"/>
      <c r="D293" s="35"/>
      <c r="E293" s="39"/>
      <c r="F293" s="33"/>
      <c r="G293" s="34"/>
      <c r="H293" s="33"/>
      <c r="I293" s="34"/>
      <c r="J293" s="33"/>
      <c r="K293" s="34"/>
      <c r="N293" s="11"/>
      <c r="O293" s="11"/>
    </row>
    <row r="294" spans="2:15" ht="12.95" customHeight="1" x14ac:dyDescent="0.3">
      <c r="B294" s="13" t="s">
        <v>15</v>
      </c>
      <c r="C294" s="44"/>
      <c r="D294" s="44"/>
      <c r="E294" s="40"/>
      <c r="F294" s="40"/>
      <c r="G294" s="41">
        <f>SUM(G284+G289+G292)</f>
        <v>61706</v>
      </c>
      <c r="H294" s="40"/>
      <c r="I294" s="41">
        <f>SUM(I284+I289+I292)</f>
        <v>65253</v>
      </c>
      <c r="J294" s="40"/>
      <c r="K294" s="41">
        <f>SUM(K284+K289+K292)</f>
        <v>66174</v>
      </c>
      <c r="N294" s="11"/>
      <c r="O294" s="11"/>
    </row>
    <row r="295" spans="2:15" ht="12.95" customHeight="1" x14ac:dyDescent="0.3">
      <c r="B295" s="77" t="s">
        <v>5</v>
      </c>
      <c r="C295" s="80" t="s">
        <v>9</v>
      </c>
      <c r="D295" s="83" t="s">
        <v>10</v>
      </c>
      <c r="E295" s="86" t="s">
        <v>6</v>
      </c>
      <c r="F295" s="68" t="s">
        <v>111</v>
      </c>
      <c r="G295" s="69"/>
      <c r="H295" s="69"/>
      <c r="I295" s="69"/>
      <c r="J295" s="69"/>
      <c r="K295" s="69"/>
      <c r="N295" s="11"/>
      <c r="O295" s="11"/>
    </row>
    <row r="296" spans="2:15" ht="12.95" customHeight="1" x14ac:dyDescent="0.3">
      <c r="B296" s="78"/>
      <c r="C296" s="81"/>
      <c r="D296" s="84"/>
      <c r="E296" s="87"/>
      <c r="F296" s="68" t="s">
        <v>108</v>
      </c>
      <c r="G296" s="69"/>
      <c r="H296" s="68" t="s">
        <v>109</v>
      </c>
      <c r="I296" s="69"/>
      <c r="J296" s="68" t="s">
        <v>110</v>
      </c>
      <c r="K296" s="69"/>
      <c r="N296" s="11"/>
      <c r="O296" s="11"/>
    </row>
    <row r="297" spans="2:15" ht="12.95" customHeight="1" x14ac:dyDescent="0.3">
      <c r="B297" s="79"/>
      <c r="C297" s="82"/>
      <c r="D297" s="85"/>
      <c r="E297" s="88"/>
      <c r="F297" s="57" t="s">
        <v>7</v>
      </c>
      <c r="G297" s="56" t="s">
        <v>8</v>
      </c>
      <c r="H297" s="57" t="s">
        <v>7</v>
      </c>
      <c r="I297" s="56" t="s">
        <v>8</v>
      </c>
      <c r="J297" s="57" t="s">
        <v>7</v>
      </c>
      <c r="K297" s="56" t="s">
        <v>8</v>
      </c>
      <c r="N297" s="11"/>
      <c r="O297" s="11"/>
    </row>
    <row r="298" spans="2:15" ht="12.95" customHeight="1" x14ac:dyDescent="0.3">
      <c r="B298" s="35" t="s">
        <v>4</v>
      </c>
      <c r="C298" s="35" t="s">
        <v>107</v>
      </c>
      <c r="D298" s="45" t="s">
        <v>17</v>
      </c>
      <c r="E298" s="54">
        <v>19871</v>
      </c>
      <c r="F298" s="33">
        <v>0.34</v>
      </c>
      <c r="G298" s="7">
        <f t="shared" ref="G298" si="144">TRUNC($E298*F298,1)</f>
        <v>6756.1</v>
      </c>
      <c r="H298" s="33">
        <v>0.38</v>
      </c>
      <c r="I298" s="7">
        <f t="shared" ref="I298" si="145">TRUNC($E298*H298,1)</f>
        <v>7550.9</v>
      </c>
      <c r="J298" s="33">
        <v>0.38</v>
      </c>
      <c r="K298" s="7">
        <f t="shared" ref="K298" si="146">TRUNC($E298*J298,1)</f>
        <v>7550.9</v>
      </c>
      <c r="N298" s="11"/>
      <c r="O298" s="11"/>
    </row>
    <row r="299" spans="2:15" ht="12.95" customHeight="1" x14ac:dyDescent="0.3">
      <c r="B299" s="27" t="s">
        <v>12</v>
      </c>
      <c r="C299" s="43"/>
      <c r="D299" s="43"/>
      <c r="E299" s="48"/>
      <c r="F299" s="51"/>
      <c r="G299" s="46">
        <f>TRUNC(SUM(G298:G298))</f>
        <v>6756</v>
      </c>
      <c r="H299" s="51"/>
      <c r="I299" s="46">
        <f>TRUNC(SUM(I298:I298))</f>
        <v>7550</v>
      </c>
      <c r="J299" s="51"/>
      <c r="K299" s="46">
        <f>TRUNC(SUM(K298:K298))</f>
        <v>7550</v>
      </c>
      <c r="N299" s="11"/>
      <c r="O299" s="11"/>
    </row>
    <row r="300" spans="2:15" ht="12.95" customHeight="1" x14ac:dyDescent="0.3">
      <c r="B300" s="42"/>
      <c r="C300" s="43"/>
      <c r="D300" s="43"/>
      <c r="E300" s="48"/>
      <c r="F300" s="51"/>
      <c r="G300" s="37"/>
      <c r="H300" s="51"/>
      <c r="I300" s="37"/>
      <c r="J300" s="51"/>
      <c r="K300" s="37"/>
      <c r="N300" s="11"/>
      <c r="O300" s="11"/>
    </row>
    <row r="301" spans="2:15" ht="12.95" customHeight="1" x14ac:dyDescent="0.3">
      <c r="B301" s="14" t="s">
        <v>22</v>
      </c>
      <c r="C301" s="9"/>
      <c r="D301" s="4" t="s">
        <v>11</v>
      </c>
      <c r="E301" s="49">
        <v>262580</v>
      </c>
      <c r="F301" s="33">
        <v>0.11</v>
      </c>
      <c r="G301" s="7">
        <f t="shared" ref="G301:G303" si="147">TRUNC($E301*F301,1)</f>
        <v>28883.8</v>
      </c>
      <c r="H301" s="33">
        <v>0.12</v>
      </c>
      <c r="I301" s="7">
        <f t="shared" ref="I301:I303" si="148">TRUNC($E301*H301,1)</f>
        <v>31509.599999999999</v>
      </c>
      <c r="J301" s="33">
        <v>0.12</v>
      </c>
      <c r="K301" s="7">
        <f t="shared" ref="K301:K303" si="149">TRUNC($E301*J301,1)</f>
        <v>31509.599999999999</v>
      </c>
      <c r="N301" s="11"/>
      <c r="O301" s="11"/>
    </row>
    <row r="302" spans="2:15" ht="12.95" customHeight="1" x14ac:dyDescent="0.3">
      <c r="B302" s="14" t="s">
        <v>1</v>
      </c>
      <c r="C302" s="9"/>
      <c r="D302" s="4" t="s">
        <v>11</v>
      </c>
      <c r="E302" s="52">
        <v>172068</v>
      </c>
      <c r="F302" s="33">
        <v>0.05</v>
      </c>
      <c r="G302" s="7">
        <f t="shared" si="147"/>
        <v>8603.4</v>
      </c>
      <c r="H302" s="33">
        <v>0.06</v>
      </c>
      <c r="I302" s="7">
        <f t="shared" si="148"/>
        <v>10324</v>
      </c>
      <c r="J302" s="33">
        <v>0.06</v>
      </c>
      <c r="K302" s="7">
        <f t="shared" si="149"/>
        <v>10324</v>
      </c>
      <c r="N302" s="11"/>
      <c r="O302" s="11"/>
    </row>
    <row r="303" spans="2:15" ht="12.95" customHeight="1" x14ac:dyDescent="0.3">
      <c r="B303" s="35" t="s">
        <v>4</v>
      </c>
      <c r="C303" s="35" t="s">
        <v>107</v>
      </c>
      <c r="D303" s="45" t="s">
        <v>17</v>
      </c>
      <c r="E303" s="54">
        <v>49698</v>
      </c>
      <c r="F303" s="33">
        <v>0.34</v>
      </c>
      <c r="G303" s="7">
        <f t="shared" si="147"/>
        <v>16897.3</v>
      </c>
      <c r="H303" s="33">
        <v>0.38</v>
      </c>
      <c r="I303" s="7">
        <f t="shared" si="148"/>
        <v>18885.2</v>
      </c>
      <c r="J303" s="33">
        <v>0.38</v>
      </c>
      <c r="K303" s="7">
        <f t="shared" si="149"/>
        <v>18885.2</v>
      </c>
      <c r="N303" s="11"/>
      <c r="O303" s="11"/>
    </row>
    <row r="304" spans="2:15" ht="12.95" customHeight="1" x14ac:dyDescent="0.3">
      <c r="B304" s="23" t="s">
        <v>13</v>
      </c>
      <c r="C304" s="43"/>
      <c r="D304" s="43"/>
      <c r="E304" s="48"/>
      <c r="F304" s="51"/>
      <c r="G304" s="46">
        <f>TRUNC(SUM(G301:G303))</f>
        <v>54384</v>
      </c>
      <c r="H304" s="51"/>
      <c r="I304" s="46">
        <f>TRUNC(SUM(I301:I303))</f>
        <v>60718</v>
      </c>
      <c r="J304" s="51"/>
      <c r="K304" s="46">
        <f>TRUNC(SUM(K301:K303))</f>
        <v>60718</v>
      </c>
      <c r="N304" s="11"/>
      <c r="O304" s="11"/>
    </row>
    <row r="305" spans="2:15" ht="12.95" customHeight="1" x14ac:dyDescent="0.3">
      <c r="B305" s="42"/>
      <c r="C305" s="43"/>
      <c r="D305" s="43"/>
      <c r="E305" s="48"/>
      <c r="F305" s="51"/>
      <c r="G305" s="37"/>
      <c r="H305" s="51"/>
      <c r="I305" s="37"/>
      <c r="J305" s="51"/>
      <c r="K305" s="37"/>
      <c r="N305" s="11"/>
      <c r="O305" s="11"/>
    </row>
    <row r="306" spans="2:15" ht="12.95" customHeight="1" x14ac:dyDescent="0.3">
      <c r="B306" s="35" t="s">
        <v>4</v>
      </c>
      <c r="C306" s="35" t="s">
        <v>107</v>
      </c>
      <c r="D306" s="45" t="s">
        <v>17</v>
      </c>
      <c r="E306" s="54">
        <v>31327</v>
      </c>
      <c r="F306" s="33">
        <v>0.34</v>
      </c>
      <c r="G306" s="7">
        <f t="shared" ref="G306" si="150">TRUNC($E306*F306,1)</f>
        <v>10651.1</v>
      </c>
      <c r="H306" s="33">
        <v>0.38</v>
      </c>
      <c r="I306" s="7">
        <f t="shared" ref="I306" si="151">TRUNC($E306*H306,1)</f>
        <v>11904.2</v>
      </c>
      <c r="J306" s="33">
        <v>0.38</v>
      </c>
      <c r="K306" s="7">
        <f t="shared" ref="K306" si="152">TRUNC($E306*J306,1)</f>
        <v>11904.2</v>
      </c>
      <c r="N306" s="11"/>
      <c r="O306" s="11"/>
    </row>
    <row r="307" spans="2:15" ht="12.95" customHeight="1" x14ac:dyDescent="0.3">
      <c r="B307" s="27" t="s">
        <v>14</v>
      </c>
      <c r="C307" s="43"/>
      <c r="D307" s="43"/>
      <c r="E307" s="36"/>
      <c r="F307" s="38"/>
      <c r="G307" s="47">
        <f>TRUNC(SUM(G306:G306))</f>
        <v>10651</v>
      </c>
      <c r="H307" s="38"/>
      <c r="I307" s="47">
        <f>TRUNC(SUM(I306:I306))</f>
        <v>11904</v>
      </c>
      <c r="J307" s="38"/>
      <c r="K307" s="47">
        <f>TRUNC(SUM(K306:K306))</f>
        <v>11904</v>
      </c>
      <c r="N307" s="11"/>
      <c r="O307" s="11"/>
    </row>
    <row r="308" spans="2:15" ht="12.95" customHeight="1" x14ac:dyDescent="0.3">
      <c r="B308" s="12"/>
      <c r="C308" s="35"/>
      <c r="D308" s="35"/>
      <c r="E308" s="39"/>
      <c r="F308" s="33"/>
      <c r="G308" s="34"/>
      <c r="H308" s="33"/>
      <c r="I308" s="34"/>
      <c r="J308" s="33"/>
      <c r="K308" s="34"/>
      <c r="N308" s="11"/>
    </row>
    <row r="309" spans="2:15" ht="12.95" customHeight="1" x14ac:dyDescent="0.3">
      <c r="B309" s="13" t="s">
        <v>15</v>
      </c>
      <c r="C309" s="44"/>
      <c r="D309" s="44"/>
      <c r="E309" s="40"/>
      <c r="F309" s="40"/>
      <c r="G309" s="41">
        <f>SUM(G299+G304+G307)</f>
        <v>71791</v>
      </c>
      <c r="H309" s="40"/>
      <c r="I309" s="41">
        <f>SUM(I299+I304+I307)</f>
        <v>80172</v>
      </c>
      <c r="J309" s="40"/>
      <c r="K309" s="41">
        <f>SUM(K299+K304+K307)</f>
        <v>80172</v>
      </c>
    </row>
    <row r="311" spans="2:15" ht="12.95" customHeight="1" x14ac:dyDescent="0.3">
      <c r="B311" s="2" t="s">
        <v>112</v>
      </c>
      <c r="C311" s="22"/>
      <c r="D311" s="22"/>
      <c r="E311" s="22"/>
      <c r="F311" s="22"/>
      <c r="G311" s="22"/>
      <c r="H311" s="22"/>
      <c r="I311" s="30"/>
      <c r="M311" s="30" t="s">
        <v>21</v>
      </c>
    </row>
    <row r="312" spans="2:15" ht="12.95" customHeight="1" x14ac:dyDescent="0.3">
      <c r="B312" s="77" t="s">
        <v>5</v>
      </c>
      <c r="C312" s="80" t="s">
        <v>9</v>
      </c>
      <c r="D312" s="83" t="s">
        <v>10</v>
      </c>
      <c r="E312" s="86" t="s">
        <v>6</v>
      </c>
      <c r="F312" s="89" t="s">
        <v>114</v>
      </c>
      <c r="G312" s="90"/>
      <c r="H312" s="89" t="s">
        <v>115</v>
      </c>
      <c r="I312" s="90"/>
      <c r="J312" s="89" t="s">
        <v>117</v>
      </c>
      <c r="K312" s="90"/>
      <c r="L312" s="89" t="s">
        <v>119</v>
      </c>
      <c r="M312" s="90"/>
    </row>
    <row r="313" spans="2:15" ht="12.95" customHeight="1" x14ac:dyDescent="0.3">
      <c r="B313" s="78"/>
      <c r="C313" s="81"/>
      <c r="D313" s="84"/>
      <c r="E313" s="87"/>
      <c r="F313" s="91" t="s">
        <v>113</v>
      </c>
      <c r="G313" s="92"/>
      <c r="H313" s="91" t="s">
        <v>116</v>
      </c>
      <c r="I313" s="92"/>
      <c r="J313" s="91" t="s">
        <v>118</v>
      </c>
      <c r="K313" s="92"/>
      <c r="L313" s="91" t="s">
        <v>120</v>
      </c>
      <c r="M313" s="92"/>
    </row>
    <row r="314" spans="2:15" ht="12.95" customHeight="1" x14ac:dyDescent="0.3">
      <c r="B314" s="79"/>
      <c r="C314" s="82"/>
      <c r="D314" s="85"/>
      <c r="E314" s="88"/>
      <c r="F314" s="57" t="s">
        <v>7</v>
      </c>
      <c r="G314" s="56" t="s">
        <v>8</v>
      </c>
      <c r="H314" s="57" t="s">
        <v>7</v>
      </c>
      <c r="I314" s="56" t="s">
        <v>8</v>
      </c>
      <c r="J314" s="57" t="s">
        <v>7</v>
      </c>
      <c r="K314" s="56" t="s">
        <v>8</v>
      </c>
      <c r="L314" s="57" t="s">
        <v>7</v>
      </c>
      <c r="M314" s="56" t="s">
        <v>8</v>
      </c>
    </row>
    <row r="315" spans="2:15" ht="12.95" customHeight="1" x14ac:dyDescent="0.3">
      <c r="B315" s="35" t="s">
        <v>4</v>
      </c>
      <c r="C315" s="35" t="s">
        <v>23</v>
      </c>
      <c r="D315" s="45" t="s">
        <v>17</v>
      </c>
      <c r="E315" s="54">
        <v>18607</v>
      </c>
      <c r="F315" s="33">
        <v>0.05</v>
      </c>
      <c r="G315" s="7">
        <f t="shared" ref="G315" si="153">TRUNC($E315*F315,1)</f>
        <v>930.3</v>
      </c>
      <c r="H315" s="33">
        <v>0.05</v>
      </c>
      <c r="I315" s="7">
        <f t="shared" ref="I315" si="154">TRUNC($E315*H315,1)</f>
        <v>930.3</v>
      </c>
      <c r="J315" s="33">
        <v>0.05</v>
      </c>
      <c r="K315" s="7">
        <f t="shared" ref="K315" si="155">TRUNC($E315*J315,1)</f>
        <v>930.3</v>
      </c>
      <c r="L315" s="33">
        <v>0.05</v>
      </c>
      <c r="M315" s="7">
        <f t="shared" ref="M315" si="156">TRUNC($E315*L315,1)</f>
        <v>930.3</v>
      </c>
    </row>
    <row r="316" spans="2:15" ht="12.95" customHeight="1" x14ac:dyDescent="0.3">
      <c r="B316" s="27" t="s">
        <v>12</v>
      </c>
      <c r="C316" s="43"/>
      <c r="D316" s="43"/>
      <c r="E316" s="48"/>
      <c r="F316" s="51"/>
      <c r="G316" s="46">
        <f>TRUNC(SUM(G315:G315))</f>
        <v>930</v>
      </c>
      <c r="H316" s="51"/>
      <c r="I316" s="46">
        <f>TRUNC(SUM(I315:I315))</f>
        <v>930</v>
      </c>
      <c r="J316" s="51"/>
      <c r="K316" s="46">
        <f>TRUNC(SUM(K315:K315))</f>
        <v>930</v>
      </c>
      <c r="L316" s="51"/>
      <c r="M316" s="46">
        <f>TRUNC(SUM(M315:M315))</f>
        <v>930</v>
      </c>
    </row>
    <row r="317" spans="2:15" ht="12.95" customHeight="1" x14ac:dyDescent="0.3">
      <c r="B317" s="42"/>
      <c r="C317" s="43"/>
      <c r="D317" s="43"/>
      <c r="E317" s="48"/>
      <c r="F317" s="51"/>
      <c r="G317" s="37"/>
      <c r="H317" s="51"/>
      <c r="I317" s="37"/>
      <c r="J317" s="51"/>
      <c r="K317" s="37"/>
      <c r="L317" s="51"/>
      <c r="M317" s="37"/>
    </row>
    <row r="318" spans="2:15" ht="12.95" customHeight="1" x14ac:dyDescent="0.3">
      <c r="B318" s="14" t="s">
        <v>18</v>
      </c>
      <c r="C318" s="9"/>
      <c r="D318" s="4" t="s">
        <v>11</v>
      </c>
      <c r="E318" s="49">
        <v>226122</v>
      </c>
      <c r="F318" s="33">
        <v>0.02</v>
      </c>
      <c r="G318" s="7">
        <f t="shared" ref="G318:G320" si="157">TRUNC($E318*F318,1)</f>
        <v>4522.3999999999996</v>
      </c>
      <c r="H318" s="33">
        <v>0.02</v>
      </c>
      <c r="I318" s="7">
        <f t="shared" ref="I318:I320" si="158">TRUNC($E318*H318,1)</f>
        <v>4522.3999999999996</v>
      </c>
      <c r="J318" s="33">
        <v>0.03</v>
      </c>
      <c r="K318" s="7">
        <f t="shared" ref="K318:K320" si="159">TRUNC($E318*J318,1)</f>
        <v>6783.6</v>
      </c>
      <c r="L318" s="33">
        <v>0.03</v>
      </c>
      <c r="M318" s="7">
        <f t="shared" ref="M318:M320" si="160">TRUNC($E318*L318,1)</f>
        <v>6783.6</v>
      </c>
    </row>
    <row r="319" spans="2:15" ht="12.95" customHeight="1" x14ac:dyDescent="0.3">
      <c r="B319" s="14" t="s">
        <v>1</v>
      </c>
      <c r="C319" s="9"/>
      <c r="D319" s="4" t="s">
        <v>11</v>
      </c>
      <c r="E319" s="52">
        <v>172068</v>
      </c>
      <c r="F319" s="33">
        <v>0.01</v>
      </c>
      <c r="G319" s="7">
        <f t="shared" si="157"/>
        <v>1720.6</v>
      </c>
      <c r="H319" s="33">
        <v>0.01</v>
      </c>
      <c r="I319" s="7">
        <f t="shared" si="158"/>
        <v>1720.6</v>
      </c>
      <c r="J319" s="33">
        <v>0.01</v>
      </c>
      <c r="K319" s="7">
        <f t="shared" si="159"/>
        <v>1720.6</v>
      </c>
      <c r="L319" s="33">
        <v>0.01</v>
      </c>
      <c r="M319" s="7">
        <f t="shared" si="160"/>
        <v>1720.6</v>
      </c>
    </row>
    <row r="320" spans="2:15" ht="12.95" customHeight="1" x14ac:dyDescent="0.3">
      <c r="B320" s="35" t="s">
        <v>4</v>
      </c>
      <c r="C320" s="35" t="s">
        <v>23</v>
      </c>
      <c r="D320" s="45" t="s">
        <v>17</v>
      </c>
      <c r="E320" s="54">
        <v>49698</v>
      </c>
      <c r="F320" s="33">
        <v>0.05</v>
      </c>
      <c r="G320" s="7">
        <f t="shared" si="157"/>
        <v>2484.9</v>
      </c>
      <c r="H320" s="33">
        <v>0.05</v>
      </c>
      <c r="I320" s="7">
        <f t="shared" si="158"/>
        <v>2484.9</v>
      </c>
      <c r="J320" s="33">
        <v>0.05</v>
      </c>
      <c r="K320" s="7">
        <f t="shared" si="159"/>
        <v>2484.9</v>
      </c>
      <c r="L320" s="33">
        <v>0.05</v>
      </c>
      <c r="M320" s="7">
        <f t="shared" si="160"/>
        <v>2484.9</v>
      </c>
    </row>
    <row r="321" spans="2:13" ht="12.95" customHeight="1" x14ac:dyDescent="0.3">
      <c r="B321" s="23" t="s">
        <v>13</v>
      </c>
      <c r="C321" s="43"/>
      <c r="D321" s="43"/>
      <c r="E321" s="48"/>
      <c r="F321" s="51"/>
      <c r="G321" s="46">
        <f>TRUNC(SUM(G318:G320))</f>
        <v>8727</v>
      </c>
      <c r="H321" s="51"/>
      <c r="I321" s="46">
        <f>TRUNC(SUM(I318:I320))</f>
        <v>8727</v>
      </c>
      <c r="J321" s="51"/>
      <c r="K321" s="46">
        <f>TRUNC(SUM(K318:K320))</f>
        <v>10989</v>
      </c>
      <c r="L321" s="51"/>
      <c r="M321" s="46">
        <f>TRUNC(SUM(M318:M320))</f>
        <v>10989</v>
      </c>
    </row>
    <row r="322" spans="2:13" ht="12.95" customHeight="1" x14ac:dyDescent="0.3">
      <c r="B322" s="42"/>
      <c r="C322" s="43"/>
      <c r="D322" s="43"/>
      <c r="E322" s="48"/>
      <c r="F322" s="51"/>
      <c r="G322" s="37"/>
      <c r="H322" s="51"/>
      <c r="I322" s="37"/>
      <c r="J322" s="51"/>
      <c r="K322" s="37"/>
      <c r="L322" s="51"/>
      <c r="M322" s="37"/>
    </row>
    <row r="323" spans="2:13" ht="12.95" customHeight="1" x14ac:dyDescent="0.3">
      <c r="B323" s="35" t="s">
        <v>4</v>
      </c>
      <c r="C323" s="35" t="s">
        <v>23</v>
      </c>
      <c r="D323" s="45" t="s">
        <v>17</v>
      </c>
      <c r="E323" s="54">
        <v>23795</v>
      </c>
      <c r="F323" s="33">
        <v>0.05</v>
      </c>
      <c r="G323" s="7">
        <f t="shared" ref="G323" si="161">TRUNC($E323*F323,1)</f>
        <v>1189.7</v>
      </c>
      <c r="H323" s="33">
        <v>0.05</v>
      </c>
      <c r="I323" s="7">
        <f t="shared" ref="I323" si="162">TRUNC($E323*H323,1)</f>
        <v>1189.7</v>
      </c>
      <c r="J323" s="33">
        <v>0.05</v>
      </c>
      <c r="K323" s="7">
        <f t="shared" ref="K323" si="163">TRUNC($E323*J323,1)</f>
        <v>1189.7</v>
      </c>
      <c r="L323" s="33">
        <v>0.05</v>
      </c>
      <c r="M323" s="7">
        <f t="shared" ref="M323" si="164">TRUNC($E323*L323,1)</f>
        <v>1189.7</v>
      </c>
    </row>
    <row r="324" spans="2:13" ht="12.95" customHeight="1" x14ac:dyDescent="0.3">
      <c r="B324" s="27" t="s">
        <v>14</v>
      </c>
      <c r="C324" s="43"/>
      <c r="D324" s="43"/>
      <c r="E324" s="36"/>
      <c r="F324" s="38"/>
      <c r="G324" s="47">
        <f>TRUNC(SUM(G323:G323))</f>
        <v>1189</v>
      </c>
      <c r="H324" s="38"/>
      <c r="I324" s="47">
        <f>TRUNC(SUM(I323:I323))</f>
        <v>1189</v>
      </c>
      <c r="J324" s="38"/>
      <c r="K324" s="47">
        <f>TRUNC(SUM(K323:K323))</f>
        <v>1189</v>
      </c>
      <c r="L324" s="38"/>
      <c r="M324" s="47">
        <f>TRUNC(SUM(M323:M323))</f>
        <v>1189</v>
      </c>
    </row>
    <row r="325" spans="2:13" ht="12.95" customHeight="1" x14ac:dyDescent="0.3">
      <c r="B325" s="12"/>
      <c r="C325" s="35"/>
      <c r="D325" s="35"/>
      <c r="E325" s="39"/>
      <c r="F325" s="33"/>
      <c r="G325" s="34"/>
      <c r="H325" s="33"/>
      <c r="I325" s="34"/>
      <c r="J325" s="33"/>
      <c r="K325" s="34"/>
      <c r="L325" s="33"/>
      <c r="M325" s="34"/>
    </row>
    <row r="326" spans="2:13" ht="12.95" customHeight="1" x14ac:dyDescent="0.3">
      <c r="B326" s="13" t="s">
        <v>15</v>
      </c>
      <c r="C326" s="44"/>
      <c r="D326" s="44"/>
      <c r="E326" s="40"/>
      <c r="F326" s="40"/>
      <c r="G326" s="41">
        <f>SUM(G316+G321+G324)</f>
        <v>10846</v>
      </c>
      <c r="H326" s="40"/>
      <c r="I326" s="41">
        <f>SUM(I316+I321+I324)</f>
        <v>10846</v>
      </c>
      <c r="J326" s="40"/>
      <c r="K326" s="41">
        <f>SUM(K316+K321+K324)</f>
        <v>13108</v>
      </c>
      <c r="L326" s="40"/>
      <c r="M326" s="41">
        <f>SUM(M316+M321+M324)</f>
        <v>13108</v>
      </c>
    </row>
    <row r="327" spans="2:13" ht="12.95" customHeight="1" x14ac:dyDescent="0.3">
      <c r="B327" s="77" t="s">
        <v>5</v>
      </c>
      <c r="C327" s="80" t="s">
        <v>9</v>
      </c>
      <c r="D327" s="83" t="s">
        <v>10</v>
      </c>
      <c r="E327" s="86" t="s">
        <v>6</v>
      </c>
      <c r="F327" s="89" t="s">
        <v>121</v>
      </c>
      <c r="G327" s="90"/>
      <c r="H327" s="89" t="s">
        <v>123</v>
      </c>
      <c r="I327" s="90"/>
      <c r="J327" s="89" t="s">
        <v>125</v>
      </c>
      <c r="K327" s="90"/>
      <c r="L327" s="89" t="s">
        <v>127</v>
      </c>
      <c r="M327" s="90"/>
    </row>
    <row r="328" spans="2:13" ht="12.95" customHeight="1" x14ac:dyDescent="0.3">
      <c r="B328" s="78"/>
      <c r="C328" s="81"/>
      <c r="D328" s="84"/>
      <c r="E328" s="87"/>
      <c r="F328" s="91" t="s">
        <v>122</v>
      </c>
      <c r="G328" s="92"/>
      <c r="H328" s="91" t="s">
        <v>124</v>
      </c>
      <c r="I328" s="92"/>
      <c r="J328" s="91" t="s">
        <v>126</v>
      </c>
      <c r="K328" s="92"/>
      <c r="L328" s="91" t="s">
        <v>128</v>
      </c>
      <c r="M328" s="92"/>
    </row>
    <row r="329" spans="2:13" ht="12.95" customHeight="1" x14ac:dyDescent="0.3">
      <c r="B329" s="79"/>
      <c r="C329" s="82"/>
      <c r="D329" s="85"/>
      <c r="E329" s="88"/>
      <c r="F329" s="57" t="s">
        <v>7</v>
      </c>
      <c r="G329" s="56" t="s">
        <v>8</v>
      </c>
      <c r="H329" s="57" t="s">
        <v>7</v>
      </c>
      <c r="I329" s="56" t="s">
        <v>8</v>
      </c>
      <c r="J329" s="57" t="s">
        <v>7</v>
      </c>
      <c r="K329" s="56" t="s">
        <v>8</v>
      </c>
      <c r="L329" s="57" t="s">
        <v>7</v>
      </c>
      <c r="M329" s="56" t="s">
        <v>8</v>
      </c>
    </row>
    <row r="330" spans="2:13" ht="12.95" customHeight="1" x14ac:dyDescent="0.3">
      <c r="B330" s="35" t="s">
        <v>4</v>
      </c>
      <c r="C330" s="35" t="s">
        <v>23</v>
      </c>
      <c r="D330" s="45" t="s">
        <v>17</v>
      </c>
      <c r="E330" s="54">
        <v>18607</v>
      </c>
      <c r="F330" s="33">
        <v>0.06</v>
      </c>
      <c r="G330" s="7">
        <f t="shared" ref="G330" si="165">TRUNC($E330*F330,1)</f>
        <v>1116.4000000000001</v>
      </c>
      <c r="H330" s="33">
        <v>0.06</v>
      </c>
      <c r="I330" s="7">
        <f t="shared" ref="I330" si="166">TRUNC($E330*H330,1)</f>
        <v>1116.4000000000001</v>
      </c>
      <c r="J330" s="33">
        <v>0.06</v>
      </c>
      <c r="K330" s="7">
        <f t="shared" ref="K330" si="167">TRUNC($E330*J330,1)</f>
        <v>1116.4000000000001</v>
      </c>
      <c r="L330" s="33">
        <v>0.06</v>
      </c>
      <c r="M330" s="7">
        <f t="shared" ref="M330" si="168">TRUNC($E330*L330,1)</f>
        <v>1116.4000000000001</v>
      </c>
    </row>
    <row r="331" spans="2:13" ht="12.95" customHeight="1" x14ac:dyDescent="0.3">
      <c r="B331" s="27" t="s">
        <v>12</v>
      </c>
      <c r="C331" s="43"/>
      <c r="D331" s="43"/>
      <c r="E331" s="48"/>
      <c r="F331" s="51"/>
      <c r="G331" s="46">
        <f>TRUNC(SUM(G330:G330))</f>
        <v>1116</v>
      </c>
      <c r="H331" s="51"/>
      <c r="I331" s="46">
        <f>TRUNC(SUM(I330:I330))</f>
        <v>1116</v>
      </c>
      <c r="J331" s="51"/>
      <c r="K331" s="46">
        <f>TRUNC(SUM(K330:K330))</f>
        <v>1116</v>
      </c>
      <c r="L331" s="51"/>
      <c r="M331" s="46">
        <f>TRUNC(SUM(M330:M330))</f>
        <v>1116</v>
      </c>
    </row>
    <row r="332" spans="2:13" ht="12.95" customHeight="1" x14ac:dyDescent="0.3">
      <c r="B332" s="42"/>
      <c r="C332" s="43"/>
      <c r="D332" s="43"/>
      <c r="E332" s="48"/>
      <c r="F332" s="51"/>
      <c r="G332" s="37"/>
      <c r="H332" s="51"/>
      <c r="I332" s="37"/>
      <c r="J332" s="51"/>
      <c r="K332" s="37"/>
      <c r="L332" s="51"/>
      <c r="M332" s="37"/>
    </row>
    <row r="333" spans="2:13" ht="12.95" customHeight="1" x14ac:dyDescent="0.3">
      <c r="B333" s="14" t="s">
        <v>18</v>
      </c>
      <c r="C333" s="9"/>
      <c r="D333" s="4" t="s">
        <v>11</v>
      </c>
      <c r="E333" s="49">
        <v>226122</v>
      </c>
      <c r="F333" s="33">
        <v>0.03</v>
      </c>
      <c r="G333" s="7">
        <f t="shared" ref="G333:G335" si="169">TRUNC($E333*F333,1)</f>
        <v>6783.6</v>
      </c>
      <c r="H333" s="33">
        <v>0.03</v>
      </c>
      <c r="I333" s="7">
        <f t="shared" ref="I333:I335" si="170">TRUNC($E333*H333,1)</f>
        <v>6783.6</v>
      </c>
      <c r="J333" s="33">
        <v>0.03</v>
      </c>
      <c r="K333" s="7">
        <f t="shared" ref="K333:K335" si="171">TRUNC($E333*J333,1)</f>
        <v>6783.6</v>
      </c>
      <c r="L333" s="33">
        <v>0.03</v>
      </c>
      <c r="M333" s="7">
        <f t="shared" ref="M333:M335" si="172">TRUNC($E333*L333,1)</f>
        <v>6783.6</v>
      </c>
    </row>
    <row r="334" spans="2:13" ht="12.95" customHeight="1" x14ac:dyDescent="0.3">
      <c r="B334" s="14" t="s">
        <v>1</v>
      </c>
      <c r="C334" s="9"/>
      <c r="D334" s="4" t="s">
        <v>11</v>
      </c>
      <c r="E334" s="52">
        <v>172068</v>
      </c>
      <c r="F334" s="33">
        <v>0.01</v>
      </c>
      <c r="G334" s="7">
        <f t="shared" si="169"/>
        <v>1720.6</v>
      </c>
      <c r="H334" s="33">
        <v>0.02</v>
      </c>
      <c r="I334" s="7">
        <f t="shared" si="170"/>
        <v>3441.3</v>
      </c>
      <c r="J334" s="33">
        <v>0.02</v>
      </c>
      <c r="K334" s="7">
        <f t="shared" si="171"/>
        <v>3441.3</v>
      </c>
      <c r="L334" s="33">
        <v>0.02</v>
      </c>
      <c r="M334" s="7">
        <f t="shared" si="172"/>
        <v>3441.3</v>
      </c>
    </row>
    <row r="335" spans="2:13" ht="12.95" customHeight="1" x14ac:dyDescent="0.3">
      <c r="B335" s="35" t="s">
        <v>4</v>
      </c>
      <c r="C335" s="35" t="s">
        <v>23</v>
      </c>
      <c r="D335" s="45" t="s">
        <v>17</v>
      </c>
      <c r="E335" s="54">
        <v>49698</v>
      </c>
      <c r="F335" s="33">
        <v>0.06</v>
      </c>
      <c r="G335" s="7">
        <f t="shared" si="169"/>
        <v>2981.8</v>
      </c>
      <c r="H335" s="33">
        <v>0.06</v>
      </c>
      <c r="I335" s="7">
        <f t="shared" si="170"/>
        <v>2981.8</v>
      </c>
      <c r="J335" s="33">
        <v>0.06</v>
      </c>
      <c r="K335" s="7">
        <f t="shared" si="171"/>
        <v>2981.8</v>
      </c>
      <c r="L335" s="33">
        <v>0.06</v>
      </c>
      <c r="M335" s="7">
        <f t="shared" si="172"/>
        <v>2981.8</v>
      </c>
    </row>
    <row r="336" spans="2:13" ht="12.95" customHeight="1" x14ac:dyDescent="0.3">
      <c r="B336" s="23" t="s">
        <v>13</v>
      </c>
      <c r="C336" s="43"/>
      <c r="D336" s="43"/>
      <c r="E336" s="48"/>
      <c r="F336" s="51"/>
      <c r="G336" s="46">
        <f>TRUNC(SUM(G333:G335))</f>
        <v>11486</v>
      </c>
      <c r="H336" s="51"/>
      <c r="I336" s="46">
        <f>TRUNC(SUM(I333:I335))</f>
        <v>13206</v>
      </c>
      <c r="J336" s="51"/>
      <c r="K336" s="46">
        <f>TRUNC(SUM(K333:K335))</f>
        <v>13206</v>
      </c>
      <c r="L336" s="51"/>
      <c r="M336" s="46">
        <f>TRUNC(SUM(M333:M335))</f>
        <v>13206</v>
      </c>
    </row>
    <row r="337" spans="2:14" ht="12.95" customHeight="1" x14ac:dyDescent="0.3">
      <c r="B337" s="42"/>
      <c r="C337" s="43"/>
      <c r="D337" s="43"/>
      <c r="E337" s="48"/>
      <c r="F337" s="51"/>
      <c r="G337" s="37"/>
      <c r="H337" s="51"/>
      <c r="I337" s="37"/>
      <c r="J337" s="51"/>
      <c r="K337" s="37"/>
      <c r="L337" s="51"/>
      <c r="M337" s="37"/>
    </row>
    <row r="338" spans="2:14" ht="12.95" customHeight="1" x14ac:dyDescent="0.3">
      <c r="B338" s="35" t="s">
        <v>4</v>
      </c>
      <c r="C338" s="35" t="s">
        <v>23</v>
      </c>
      <c r="D338" s="45" t="s">
        <v>17</v>
      </c>
      <c r="E338" s="54">
        <v>23795</v>
      </c>
      <c r="F338" s="33">
        <v>0.06</v>
      </c>
      <c r="G338" s="7">
        <f t="shared" ref="G338" si="173">TRUNC($E338*F338,1)</f>
        <v>1427.7</v>
      </c>
      <c r="H338" s="33">
        <v>0.06</v>
      </c>
      <c r="I338" s="7">
        <f t="shared" ref="I338" si="174">TRUNC($E338*H338,1)</f>
        <v>1427.7</v>
      </c>
      <c r="J338" s="33">
        <v>0.06</v>
      </c>
      <c r="K338" s="7">
        <f t="shared" ref="K338" si="175">TRUNC($E338*J338,1)</f>
        <v>1427.7</v>
      </c>
      <c r="L338" s="33">
        <v>0.06</v>
      </c>
      <c r="M338" s="7">
        <f t="shared" ref="M338" si="176">TRUNC($E338*L338,1)</f>
        <v>1427.7</v>
      </c>
    </row>
    <row r="339" spans="2:14" ht="12.95" customHeight="1" x14ac:dyDescent="0.3">
      <c r="B339" s="27" t="s">
        <v>14</v>
      </c>
      <c r="C339" s="43"/>
      <c r="D339" s="43"/>
      <c r="E339" s="36"/>
      <c r="F339" s="38"/>
      <c r="G339" s="47">
        <f>TRUNC(SUM(G338:G338))</f>
        <v>1427</v>
      </c>
      <c r="H339" s="38"/>
      <c r="I339" s="47">
        <f>TRUNC(SUM(I338:I338))</f>
        <v>1427</v>
      </c>
      <c r="J339" s="38"/>
      <c r="K339" s="47">
        <f>TRUNC(SUM(K338:K338))</f>
        <v>1427</v>
      </c>
      <c r="L339" s="38"/>
      <c r="M339" s="47">
        <f>TRUNC(SUM(M338:M338))</f>
        <v>1427</v>
      </c>
    </row>
    <row r="340" spans="2:14" ht="12.95" customHeight="1" x14ac:dyDescent="0.3">
      <c r="B340" s="12"/>
      <c r="C340" s="35"/>
      <c r="D340" s="35"/>
      <c r="E340" s="39"/>
      <c r="F340" s="33"/>
      <c r="G340" s="34"/>
      <c r="H340" s="33"/>
      <c r="I340" s="34"/>
      <c r="J340" s="33"/>
      <c r="K340" s="34"/>
      <c r="L340" s="33"/>
      <c r="M340" s="34"/>
      <c r="N340" s="21"/>
    </row>
    <row r="341" spans="2:14" ht="12.95" customHeight="1" x14ac:dyDescent="0.3">
      <c r="B341" s="13" t="s">
        <v>15</v>
      </c>
      <c r="C341" s="44"/>
      <c r="D341" s="44"/>
      <c r="E341" s="40"/>
      <c r="F341" s="40"/>
      <c r="G341" s="41">
        <f>SUM(G331+G336+G339)</f>
        <v>14029</v>
      </c>
      <c r="H341" s="40"/>
      <c r="I341" s="41">
        <f>SUM(I331+I336+I339)</f>
        <v>15749</v>
      </c>
      <c r="J341" s="40"/>
      <c r="K341" s="41">
        <f>SUM(K331+K336+K339)</f>
        <v>15749</v>
      </c>
      <c r="L341" s="40"/>
      <c r="M341" s="41">
        <f>SUM(M331+M336+M339)</f>
        <v>15749</v>
      </c>
      <c r="N341" s="21"/>
    </row>
    <row r="342" spans="2:14" ht="12.95" customHeight="1" x14ac:dyDescent="0.3">
      <c r="B342" s="77" t="s">
        <v>5</v>
      </c>
      <c r="C342" s="80" t="s">
        <v>9</v>
      </c>
      <c r="D342" s="83" t="s">
        <v>10</v>
      </c>
      <c r="E342" s="86" t="s">
        <v>6</v>
      </c>
      <c r="F342" s="89" t="s">
        <v>129</v>
      </c>
      <c r="G342" s="90"/>
      <c r="H342" s="89" t="s">
        <v>131</v>
      </c>
      <c r="I342" s="90"/>
      <c r="N342" s="21"/>
    </row>
    <row r="343" spans="2:14" ht="12.95" customHeight="1" x14ac:dyDescent="0.3">
      <c r="B343" s="78"/>
      <c r="C343" s="81"/>
      <c r="D343" s="84"/>
      <c r="E343" s="87"/>
      <c r="F343" s="91" t="s">
        <v>130</v>
      </c>
      <c r="G343" s="92"/>
      <c r="H343" s="91" t="s">
        <v>132</v>
      </c>
      <c r="I343" s="92"/>
      <c r="N343" s="21"/>
    </row>
    <row r="344" spans="2:14" ht="12.95" customHeight="1" x14ac:dyDescent="0.3">
      <c r="B344" s="79"/>
      <c r="C344" s="82"/>
      <c r="D344" s="85"/>
      <c r="E344" s="88"/>
      <c r="F344" s="57" t="s">
        <v>7</v>
      </c>
      <c r="G344" s="56" t="s">
        <v>8</v>
      </c>
      <c r="H344" s="57" t="s">
        <v>7</v>
      </c>
      <c r="I344" s="56" t="s">
        <v>8</v>
      </c>
      <c r="N344" s="11"/>
    </row>
    <row r="345" spans="2:14" ht="12.95" customHeight="1" x14ac:dyDescent="0.3">
      <c r="B345" s="35" t="s">
        <v>4</v>
      </c>
      <c r="C345" s="35" t="s">
        <v>23</v>
      </c>
      <c r="D345" s="45" t="s">
        <v>17</v>
      </c>
      <c r="E345" s="54">
        <v>18607</v>
      </c>
      <c r="F345" s="33">
        <v>0.06</v>
      </c>
      <c r="G345" s="7">
        <f t="shared" ref="G345" si="177">TRUNC($E345*F345,1)</f>
        <v>1116.4000000000001</v>
      </c>
      <c r="H345" s="33">
        <v>7.0000000000000007E-2</v>
      </c>
      <c r="I345" s="7">
        <f t="shared" ref="I345" si="178">TRUNC($E345*H345,1)</f>
        <v>1302.4000000000001</v>
      </c>
    </row>
    <row r="346" spans="2:14" ht="12.95" customHeight="1" x14ac:dyDescent="0.3">
      <c r="B346" s="27" t="s">
        <v>12</v>
      </c>
      <c r="C346" s="43"/>
      <c r="D346" s="43"/>
      <c r="E346" s="48"/>
      <c r="F346" s="51"/>
      <c r="G346" s="46">
        <f>TRUNC(SUM(G345:G345))</f>
        <v>1116</v>
      </c>
      <c r="H346" s="51"/>
      <c r="I346" s="46">
        <f>TRUNC(SUM(I345:I345))</f>
        <v>1302</v>
      </c>
    </row>
    <row r="347" spans="2:14" ht="12.95" customHeight="1" x14ac:dyDescent="0.3">
      <c r="B347" s="42"/>
      <c r="C347" s="43"/>
      <c r="D347" s="43"/>
      <c r="E347" s="48"/>
      <c r="F347" s="51"/>
      <c r="G347" s="37"/>
      <c r="H347" s="51"/>
      <c r="I347" s="37"/>
    </row>
    <row r="348" spans="2:14" ht="12.95" customHeight="1" x14ac:dyDescent="0.3">
      <c r="B348" s="14" t="s">
        <v>18</v>
      </c>
      <c r="C348" s="9"/>
      <c r="D348" s="4" t="s">
        <v>11</v>
      </c>
      <c r="E348" s="49">
        <v>226122</v>
      </c>
      <c r="F348" s="33">
        <v>0.03</v>
      </c>
      <c r="G348" s="7">
        <f t="shared" ref="G348:G350" si="179">TRUNC($E348*F348,1)</f>
        <v>6783.6</v>
      </c>
      <c r="H348" s="33">
        <v>0.04</v>
      </c>
      <c r="I348" s="7">
        <f t="shared" ref="I348:I350" si="180">TRUNC($E348*H348,1)</f>
        <v>9044.7999999999993</v>
      </c>
    </row>
    <row r="349" spans="2:14" ht="12.95" customHeight="1" x14ac:dyDescent="0.3">
      <c r="B349" s="14" t="s">
        <v>1</v>
      </c>
      <c r="C349" s="9"/>
      <c r="D349" s="4" t="s">
        <v>11</v>
      </c>
      <c r="E349" s="52">
        <v>172068</v>
      </c>
      <c r="F349" s="33">
        <v>0.02</v>
      </c>
      <c r="G349" s="7">
        <f t="shared" si="179"/>
        <v>3441.3</v>
      </c>
      <c r="H349" s="33">
        <v>0.02</v>
      </c>
      <c r="I349" s="7">
        <f t="shared" si="180"/>
        <v>3441.3</v>
      </c>
      <c r="J349" s="11"/>
    </row>
    <row r="350" spans="2:14" ht="12.95" customHeight="1" x14ac:dyDescent="0.3">
      <c r="B350" s="35" t="s">
        <v>4</v>
      </c>
      <c r="C350" s="35" t="s">
        <v>23</v>
      </c>
      <c r="D350" s="45" t="s">
        <v>17</v>
      </c>
      <c r="E350" s="54">
        <v>49698</v>
      </c>
      <c r="F350" s="33">
        <v>0.06</v>
      </c>
      <c r="G350" s="7">
        <f t="shared" si="179"/>
        <v>2981.8</v>
      </c>
      <c r="H350" s="33">
        <v>7.0000000000000007E-2</v>
      </c>
      <c r="I350" s="7">
        <f t="shared" si="180"/>
        <v>3478.8</v>
      </c>
      <c r="J350" s="11"/>
    </row>
    <row r="351" spans="2:14" ht="12.95" customHeight="1" x14ac:dyDescent="0.3">
      <c r="B351" s="23" t="s">
        <v>13</v>
      </c>
      <c r="C351" s="43"/>
      <c r="D351" s="43"/>
      <c r="E351" s="48"/>
      <c r="F351" s="51"/>
      <c r="G351" s="46">
        <f>TRUNC(SUM(G348:G350))</f>
        <v>13206</v>
      </c>
      <c r="H351" s="51"/>
      <c r="I351" s="46">
        <f>TRUNC(SUM(I348:I350))</f>
        <v>15964</v>
      </c>
      <c r="J351" s="11"/>
    </row>
    <row r="352" spans="2:14" ht="12.95" customHeight="1" x14ac:dyDescent="0.3">
      <c r="B352" s="42"/>
      <c r="C352" s="43"/>
      <c r="D352" s="43"/>
      <c r="E352" s="48"/>
      <c r="F352" s="51"/>
      <c r="G352" s="37"/>
      <c r="H352" s="51"/>
      <c r="I352" s="37"/>
      <c r="J352" s="11"/>
    </row>
    <row r="353" spans="2:14" ht="12.95" customHeight="1" x14ac:dyDescent="0.3">
      <c r="B353" s="35" t="s">
        <v>4</v>
      </c>
      <c r="C353" s="35" t="s">
        <v>23</v>
      </c>
      <c r="D353" s="45" t="s">
        <v>17</v>
      </c>
      <c r="E353" s="54">
        <v>23795</v>
      </c>
      <c r="F353" s="33">
        <v>0.06</v>
      </c>
      <c r="G353" s="7">
        <f t="shared" ref="G353" si="181">TRUNC($E353*F353,1)</f>
        <v>1427.7</v>
      </c>
      <c r="H353" s="33">
        <v>7.0000000000000007E-2</v>
      </c>
      <c r="I353" s="7">
        <f t="shared" ref="I353" si="182">TRUNC($E353*H353,1)</f>
        <v>1665.6</v>
      </c>
      <c r="J353" s="11"/>
    </row>
    <row r="354" spans="2:14" ht="12.95" customHeight="1" x14ac:dyDescent="0.3">
      <c r="B354" s="27" t="s">
        <v>14</v>
      </c>
      <c r="C354" s="43"/>
      <c r="D354" s="43"/>
      <c r="E354" s="36"/>
      <c r="F354" s="38"/>
      <c r="G354" s="47">
        <f>TRUNC(SUM(G353:G353))</f>
        <v>1427</v>
      </c>
      <c r="H354" s="38"/>
      <c r="I354" s="47">
        <f>TRUNC(SUM(I353:I353))</f>
        <v>1665</v>
      </c>
      <c r="N354" s="11"/>
    </row>
    <row r="355" spans="2:14" ht="12.95" customHeight="1" x14ac:dyDescent="0.3">
      <c r="B355" s="12"/>
      <c r="C355" s="35"/>
      <c r="D355" s="35"/>
      <c r="E355" s="39"/>
      <c r="F355" s="33"/>
      <c r="G355" s="34"/>
      <c r="H355" s="33"/>
      <c r="I355" s="34"/>
      <c r="N355" s="11"/>
    </row>
    <row r="356" spans="2:14" ht="12.95" customHeight="1" x14ac:dyDescent="0.3">
      <c r="B356" s="13" t="s">
        <v>15</v>
      </c>
      <c r="C356" s="44"/>
      <c r="D356" s="44"/>
      <c r="E356" s="40"/>
      <c r="F356" s="40"/>
      <c r="G356" s="41">
        <f>SUM(G346+G351+G354)</f>
        <v>15749</v>
      </c>
      <c r="H356" s="40"/>
      <c r="I356" s="41">
        <f>SUM(I346+I351+I354)</f>
        <v>18931</v>
      </c>
      <c r="J356" s="21"/>
      <c r="N356" s="11"/>
    </row>
    <row r="357" spans="2:14" ht="12.95" customHeight="1" x14ac:dyDescent="0.3">
      <c r="B357" s="77" t="s">
        <v>5</v>
      </c>
      <c r="C357" s="80" t="s">
        <v>9</v>
      </c>
      <c r="D357" s="83" t="s">
        <v>10</v>
      </c>
      <c r="E357" s="86" t="s">
        <v>6</v>
      </c>
      <c r="F357" s="89" t="s">
        <v>133</v>
      </c>
      <c r="G357" s="90"/>
      <c r="H357" s="89" t="s">
        <v>135</v>
      </c>
      <c r="I357" s="90"/>
      <c r="N357" s="11"/>
    </row>
    <row r="358" spans="2:14" ht="12.95" customHeight="1" x14ac:dyDescent="0.3">
      <c r="B358" s="78"/>
      <c r="C358" s="81"/>
      <c r="D358" s="84"/>
      <c r="E358" s="87"/>
      <c r="F358" s="91" t="s">
        <v>134</v>
      </c>
      <c r="G358" s="92"/>
      <c r="H358" s="91" t="s">
        <v>136</v>
      </c>
      <c r="I358" s="92"/>
      <c r="N358" s="11"/>
    </row>
    <row r="359" spans="2:14" ht="12.95" customHeight="1" x14ac:dyDescent="0.3">
      <c r="B359" s="79"/>
      <c r="C359" s="82"/>
      <c r="D359" s="85"/>
      <c r="E359" s="88"/>
      <c r="F359" s="57" t="s">
        <v>7</v>
      </c>
      <c r="G359" s="56" t="s">
        <v>8</v>
      </c>
      <c r="H359" s="57" t="s">
        <v>7</v>
      </c>
      <c r="I359" s="56" t="s">
        <v>8</v>
      </c>
      <c r="N359" s="11"/>
    </row>
    <row r="360" spans="2:14" ht="12.95" customHeight="1" x14ac:dyDescent="0.3">
      <c r="B360" s="35" t="s">
        <v>4</v>
      </c>
      <c r="C360" s="35" t="s">
        <v>107</v>
      </c>
      <c r="D360" s="45" t="s">
        <v>17</v>
      </c>
      <c r="E360" s="54">
        <v>19871</v>
      </c>
      <c r="F360" s="33">
        <v>7.0000000000000007E-2</v>
      </c>
      <c r="G360" s="7">
        <f t="shared" ref="G360" si="183">TRUNC($E360*F360,1)</f>
        <v>1390.9</v>
      </c>
      <c r="H360" s="33">
        <v>7.0000000000000007E-2</v>
      </c>
      <c r="I360" s="7">
        <f t="shared" ref="I360" si="184">TRUNC($E360*H360,1)</f>
        <v>1390.9</v>
      </c>
    </row>
    <row r="361" spans="2:14" ht="12.95" customHeight="1" x14ac:dyDescent="0.3">
      <c r="B361" s="27" t="s">
        <v>12</v>
      </c>
      <c r="C361" s="43"/>
      <c r="D361" s="43"/>
      <c r="E361" s="48"/>
      <c r="F361" s="51"/>
      <c r="G361" s="46">
        <f>TRUNC(SUM(G360:G360))</f>
        <v>1390</v>
      </c>
      <c r="H361" s="51"/>
      <c r="I361" s="46">
        <f>TRUNC(SUM(I360:I360))</f>
        <v>1390</v>
      </c>
    </row>
    <row r="362" spans="2:14" ht="12.95" customHeight="1" x14ac:dyDescent="0.3">
      <c r="B362" s="42"/>
      <c r="C362" s="43"/>
      <c r="D362" s="43"/>
      <c r="E362" s="48"/>
      <c r="F362" s="51"/>
      <c r="G362" s="37"/>
      <c r="H362" s="51"/>
      <c r="I362" s="37"/>
    </row>
    <row r="363" spans="2:14" ht="12.95" customHeight="1" x14ac:dyDescent="0.3">
      <c r="B363" s="14" t="s">
        <v>18</v>
      </c>
      <c r="C363" s="9"/>
      <c r="D363" s="4" t="s">
        <v>11</v>
      </c>
      <c r="E363" s="49">
        <v>226122</v>
      </c>
      <c r="F363" s="33">
        <v>0.04</v>
      </c>
      <c r="G363" s="7">
        <f t="shared" ref="G363:G365" si="185">TRUNC($E363*F363,1)</f>
        <v>9044.7999999999993</v>
      </c>
      <c r="H363" s="33">
        <v>0.04</v>
      </c>
      <c r="I363" s="7">
        <f t="shared" ref="I363:I365" si="186">TRUNC($E363*H363,1)</f>
        <v>9044.7999999999993</v>
      </c>
    </row>
    <row r="364" spans="2:14" ht="12.95" customHeight="1" x14ac:dyDescent="0.3">
      <c r="B364" s="14" t="s">
        <v>1</v>
      </c>
      <c r="C364" s="9"/>
      <c r="D364" s="4" t="s">
        <v>11</v>
      </c>
      <c r="E364" s="52">
        <v>172068</v>
      </c>
      <c r="F364" s="33">
        <v>0.02</v>
      </c>
      <c r="G364" s="7">
        <f t="shared" si="185"/>
        <v>3441.3</v>
      </c>
      <c r="H364" s="33">
        <v>0.02</v>
      </c>
      <c r="I364" s="7">
        <f t="shared" si="186"/>
        <v>3441.3</v>
      </c>
      <c r="J364" s="11"/>
    </row>
    <row r="365" spans="2:14" ht="12.95" customHeight="1" x14ac:dyDescent="0.3">
      <c r="B365" s="35" t="s">
        <v>4</v>
      </c>
      <c r="C365" s="35" t="s">
        <v>107</v>
      </c>
      <c r="D365" s="45" t="s">
        <v>17</v>
      </c>
      <c r="E365" s="54">
        <v>49698</v>
      </c>
      <c r="F365" s="33">
        <v>7.0000000000000007E-2</v>
      </c>
      <c r="G365" s="7">
        <f t="shared" si="185"/>
        <v>3478.8</v>
      </c>
      <c r="H365" s="33">
        <v>7.0000000000000007E-2</v>
      </c>
      <c r="I365" s="7">
        <f t="shared" si="186"/>
        <v>3478.8</v>
      </c>
      <c r="J365" s="11"/>
    </row>
    <row r="366" spans="2:14" ht="12.95" customHeight="1" x14ac:dyDescent="0.3">
      <c r="B366" s="23" t="s">
        <v>13</v>
      </c>
      <c r="C366" s="43"/>
      <c r="D366" s="43"/>
      <c r="E366" s="48"/>
      <c r="F366" s="51"/>
      <c r="G366" s="46">
        <f>TRUNC(SUM(G363:G365))</f>
        <v>15964</v>
      </c>
      <c r="H366" s="51"/>
      <c r="I366" s="46">
        <f>TRUNC(SUM(I363:I365))</f>
        <v>15964</v>
      </c>
      <c r="J366" s="11"/>
    </row>
    <row r="367" spans="2:14" ht="12.95" customHeight="1" x14ac:dyDescent="0.3">
      <c r="B367" s="42"/>
      <c r="C367" s="43"/>
      <c r="D367" s="43"/>
      <c r="E367" s="48"/>
      <c r="F367" s="51"/>
      <c r="G367" s="37"/>
      <c r="H367" s="51"/>
      <c r="I367" s="37"/>
      <c r="J367" s="11"/>
    </row>
    <row r="368" spans="2:14" ht="12.95" customHeight="1" x14ac:dyDescent="0.3">
      <c r="B368" s="35" t="s">
        <v>4</v>
      </c>
      <c r="C368" s="35" t="s">
        <v>107</v>
      </c>
      <c r="D368" s="45" t="s">
        <v>17</v>
      </c>
      <c r="E368" s="54">
        <v>31327</v>
      </c>
      <c r="F368" s="33">
        <v>7.0000000000000007E-2</v>
      </c>
      <c r="G368" s="7">
        <f t="shared" ref="G368" si="187">TRUNC($E368*F368,1)</f>
        <v>2192.8000000000002</v>
      </c>
      <c r="H368" s="33">
        <v>7.0000000000000007E-2</v>
      </c>
      <c r="I368" s="7">
        <f t="shared" ref="I368" si="188">TRUNC($E368*H368,1)</f>
        <v>2192.8000000000002</v>
      </c>
      <c r="J368" s="11"/>
    </row>
    <row r="369" spans="2:13" ht="12.95" customHeight="1" x14ac:dyDescent="0.3">
      <c r="B369" s="27" t="s">
        <v>14</v>
      </c>
      <c r="C369" s="43"/>
      <c r="D369" s="43"/>
      <c r="E369" s="36"/>
      <c r="F369" s="38"/>
      <c r="G369" s="47">
        <f>TRUNC(SUM(G368:G368))</f>
        <v>2192</v>
      </c>
      <c r="H369" s="38"/>
      <c r="I369" s="47">
        <f>TRUNC(SUM(I368:I368))</f>
        <v>2192</v>
      </c>
    </row>
    <row r="370" spans="2:13" ht="12.95" customHeight="1" x14ac:dyDescent="0.3">
      <c r="B370" s="12"/>
      <c r="C370" s="35"/>
      <c r="D370" s="35"/>
      <c r="E370" s="39"/>
      <c r="F370" s="33"/>
      <c r="G370" s="34"/>
      <c r="H370" s="33"/>
      <c r="I370" s="34"/>
    </row>
    <row r="371" spans="2:13" ht="12.95" customHeight="1" x14ac:dyDescent="0.3">
      <c r="B371" s="13" t="s">
        <v>15</v>
      </c>
      <c r="C371" s="44"/>
      <c r="D371" s="44"/>
      <c r="E371" s="40"/>
      <c r="F371" s="40"/>
      <c r="G371" s="41">
        <f>SUM(G361+G366+G369)</f>
        <v>19546</v>
      </c>
      <c r="H371" s="40"/>
      <c r="I371" s="41">
        <f>SUM(I361+I366+I369)</f>
        <v>19546</v>
      </c>
      <c r="J371" s="21"/>
    </row>
    <row r="373" spans="2:13" ht="12.95" customHeight="1" x14ac:dyDescent="0.3">
      <c r="B373" s="2" t="s">
        <v>165</v>
      </c>
      <c r="C373" s="22"/>
      <c r="D373" s="22"/>
      <c r="E373" s="22"/>
      <c r="F373" s="22"/>
      <c r="G373" s="22"/>
      <c r="H373" s="22"/>
      <c r="I373" s="30"/>
      <c r="M373" s="30" t="s">
        <v>145</v>
      </c>
    </row>
    <row r="374" spans="2:13" ht="12.95" customHeight="1" x14ac:dyDescent="0.3">
      <c r="B374" s="77" t="s">
        <v>5</v>
      </c>
      <c r="C374" s="80" t="s">
        <v>9</v>
      </c>
      <c r="D374" s="83" t="s">
        <v>10</v>
      </c>
      <c r="E374" s="86" t="s">
        <v>6</v>
      </c>
      <c r="F374" s="89" t="s">
        <v>137</v>
      </c>
      <c r="G374" s="90"/>
      <c r="H374" s="89" t="s">
        <v>139</v>
      </c>
      <c r="I374" s="90"/>
      <c r="J374" s="89" t="s">
        <v>141</v>
      </c>
      <c r="K374" s="90"/>
      <c r="L374" s="89" t="s">
        <v>143</v>
      </c>
      <c r="M374" s="90"/>
    </row>
    <row r="375" spans="2:13" ht="12.95" customHeight="1" x14ac:dyDescent="0.3">
      <c r="B375" s="78"/>
      <c r="C375" s="81"/>
      <c r="D375" s="84"/>
      <c r="E375" s="87"/>
      <c r="F375" s="91" t="s">
        <v>138</v>
      </c>
      <c r="G375" s="92"/>
      <c r="H375" s="91" t="s">
        <v>140</v>
      </c>
      <c r="I375" s="92"/>
      <c r="J375" s="91" t="s">
        <v>142</v>
      </c>
      <c r="K375" s="92"/>
      <c r="L375" s="91" t="s">
        <v>144</v>
      </c>
      <c r="M375" s="92"/>
    </row>
    <row r="376" spans="2:13" ht="12.95" customHeight="1" x14ac:dyDescent="0.3">
      <c r="B376" s="79"/>
      <c r="C376" s="82"/>
      <c r="D376" s="85"/>
      <c r="E376" s="88"/>
      <c r="F376" s="57" t="s">
        <v>7</v>
      </c>
      <c r="G376" s="56" t="s">
        <v>8</v>
      </c>
      <c r="H376" s="57" t="s">
        <v>7</v>
      </c>
      <c r="I376" s="56" t="s">
        <v>8</v>
      </c>
      <c r="J376" s="57" t="s">
        <v>7</v>
      </c>
      <c r="K376" s="56" t="s">
        <v>8</v>
      </c>
      <c r="L376" s="57" t="s">
        <v>7</v>
      </c>
      <c r="M376" s="56" t="s">
        <v>8</v>
      </c>
    </row>
    <row r="377" spans="2:13" ht="12.95" customHeight="1" x14ac:dyDescent="0.3">
      <c r="B377" s="35" t="s">
        <v>4</v>
      </c>
      <c r="C377" s="35" t="s">
        <v>23</v>
      </c>
      <c r="D377" s="45" t="s">
        <v>17</v>
      </c>
      <c r="E377" s="54">
        <v>18607</v>
      </c>
      <c r="F377" s="33">
        <v>0.06</v>
      </c>
      <c r="G377" s="7">
        <f t="shared" ref="G377" si="189">TRUNC($E377*F377,1)</f>
        <v>1116.4000000000001</v>
      </c>
      <c r="H377" s="33">
        <v>7.0000000000000007E-2</v>
      </c>
      <c r="I377" s="7">
        <f t="shared" ref="I377" si="190">TRUNC($E377*H377,1)</f>
        <v>1302.4000000000001</v>
      </c>
      <c r="J377" s="33">
        <v>0.08</v>
      </c>
      <c r="K377" s="7">
        <f t="shared" ref="K377" si="191">TRUNC($E377*J377,1)</f>
        <v>1488.5</v>
      </c>
      <c r="L377" s="33">
        <v>0.09</v>
      </c>
      <c r="M377" s="7">
        <f t="shared" ref="M377" si="192">TRUNC($E377*L377,1)</f>
        <v>1674.6</v>
      </c>
    </row>
    <row r="378" spans="2:13" ht="12.95" customHeight="1" x14ac:dyDescent="0.3">
      <c r="B378" s="27" t="s">
        <v>12</v>
      </c>
      <c r="C378" s="43"/>
      <c r="D378" s="43"/>
      <c r="E378" s="48"/>
      <c r="F378" s="51"/>
      <c r="G378" s="46">
        <f>TRUNC(SUM(G377:G377))</f>
        <v>1116</v>
      </c>
      <c r="H378" s="51"/>
      <c r="I378" s="46">
        <f>TRUNC(SUM(I377:I377))</f>
        <v>1302</v>
      </c>
      <c r="J378" s="51"/>
      <c r="K378" s="46">
        <f>TRUNC(SUM(K377:K377))</f>
        <v>1488</v>
      </c>
      <c r="L378" s="51"/>
      <c r="M378" s="46">
        <f>TRUNC(SUM(M377:M377))</f>
        <v>1674</v>
      </c>
    </row>
    <row r="379" spans="2:13" ht="12.95" customHeight="1" x14ac:dyDescent="0.3">
      <c r="B379" s="42"/>
      <c r="C379" s="43"/>
      <c r="D379" s="43"/>
      <c r="E379" s="48"/>
      <c r="F379" s="51"/>
      <c r="G379" s="37"/>
      <c r="H379" s="51"/>
      <c r="I379" s="37"/>
      <c r="J379" s="51"/>
      <c r="K379" s="37"/>
      <c r="L379" s="51"/>
      <c r="M379" s="37"/>
    </row>
    <row r="380" spans="2:13" ht="12.95" customHeight="1" x14ac:dyDescent="0.3">
      <c r="B380" s="14" t="s">
        <v>1</v>
      </c>
      <c r="C380" s="9"/>
      <c r="D380" s="4" t="s">
        <v>11</v>
      </c>
      <c r="E380" s="52">
        <v>172068</v>
      </c>
      <c r="F380" s="33">
        <v>0.02</v>
      </c>
      <c r="G380" s="7">
        <f t="shared" ref="G380:G381" si="193">TRUNC($E380*F380,1)</f>
        <v>3441.3</v>
      </c>
      <c r="H380" s="33">
        <v>0.02</v>
      </c>
      <c r="I380" s="7">
        <f t="shared" ref="I380:I381" si="194">TRUNC($E380*H380,1)</f>
        <v>3441.3</v>
      </c>
      <c r="J380" s="33">
        <v>0.02</v>
      </c>
      <c r="K380" s="7">
        <f t="shared" ref="K380:K381" si="195">TRUNC($E380*J380,1)</f>
        <v>3441.3</v>
      </c>
      <c r="L380" s="33">
        <v>0.02</v>
      </c>
      <c r="M380" s="7">
        <f t="shared" ref="M380:M381" si="196">TRUNC($E380*L380,1)</f>
        <v>3441.3</v>
      </c>
    </row>
    <row r="381" spans="2:13" ht="12.95" customHeight="1" x14ac:dyDescent="0.3">
      <c r="B381" s="35" t="s">
        <v>4</v>
      </c>
      <c r="C381" s="35" t="s">
        <v>23</v>
      </c>
      <c r="D381" s="45" t="s">
        <v>17</v>
      </c>
      <c r="E381" s="54">
        <v>49698</v>
      </c>
      <c r="F381" s="33">
        <v>0.06</v>
      </c>
      <c r="G381" s="7">
        <f t="shared" si="193"/>
        <v>2981.8</v>
      </c>
      <c r="H381" s="33">
        <v>7.0000000000000007E-2</v>
      </c>
      <c r="I381" s="7">
        <f t="shared" si="194"/>
        <v>3478.8</v>
      </c>
      <c r="J381" s="33">
        <v>0.08</v>
      </c>
      <c r="K381" s="7">
        <f t="shared" si="195"/>
        <v>3975.8</v>
      </c>
      <c r="L381" s="33">
        <v>0.09</v>
      </c>
      <c r="M381" s="7">
        <f t="shared" si="196"/>
        <v>4472.8</v>
      </c>
    </row>
    <row r="382" spans="2:13" ht="12.95" customHeight="1" x14ac:dyDescent="0.3">
      <c r="B382" s="23" t="s">
        <v>13</v>
      </c>
      <c r="C382" s="43"/>
      <c r="D382" s="43"/>
      <c r="E382" s="48"/>
      <c r="F382" s="51"/>
      <c r="G382" s="46">
        <f>TRUNC(SUM(G380:G381))</f>
        <v>6423</v>
      </c>
      <c r="H382" s="51"/>
      <c r="I382" s="46">
        <f>TRUNC(SUM(I380:I381))</f>
        <v>6920</v>
      </c>
      <c r="J382" s="51"/>
      <c r="K382" s="46">
        <f>TRUNC(SUM(K380:K381))</f>
        <v>7417</v>
      </c>
      <c r="L382" s="51"/>
      <c r="M382" s="46">
        <f>TRUNC(SUM(M380:M381))</f>
        <v>7914</v>
      </c>
    </row>
    <row r="383" spans="2:13" ht="12.95" customHeight="1" x14ac:dyDescent="0.3">
      <c r="B383" s="42"/>
      <c r="C383" s="43"/>
      <c r="D383" s="43"/>
      <c r="E383" s="48"/>
      <c r="F383" s="51"/>
      <c r="G383" s="37"/>
      <c r="H383" s="51"/>
      <c r="I383" s="37"/>
      <c r="J383" s="51"/>
      <c r="K383" s="37"/>
      <c r="L383" s="51"/>
      <c r="M383" s="37"/>
    </row>
    <row r="384" spans="2:13" ht="12.95" customHeight="1" x14ac:dyDescent="0.3">
      <c r="B384" s="35" t="s">
        <v>4</v>
      </c>
      <c r="C384" s="35" t="s">
        <v>23</v>
      </c>
      <c r="D384" s="45" t="s">
        <v>17</v>
      </c>
      <c r="E384" s="54">
        <v>23795</v>
      </c>
      <c r="F384" s="33">
        <v>0.06</v>
      </c>
      <c r="G384" s="7">
        <f t="shared" ref="G384" si="197">TRUNC($E384*F384,1)</f>
        <v>1427.7</v>
      </c>
      <c r="H384" s="33">
        <v>7.0000000000000007E-2</v>
      </c>
      <c r="I384" s="7">
        <f t="shared" ref="I384" si="198">TRUNC($E384*H384,1)</f>
        <v>1665.6</v>
      </c>
      <c r="J384" s="33">
        <v>0.08</v>
      </c>
      <c r="K384" s="7">
        <f t="shared" ref="K384" si="199">TRUNC($E384*J384,1)</f>
        <v>1903.6</v>
      </c>
      <c r="L384" s="33">
        <v>0.09</v>
      </c>
      <c r="M384" s="7">
        <f t="shared" ref="M384" si="200">TRUNC($E384*L384,1)</f>
        <v>2141.5</v>
      </c>
    </row>
    <row r="385" spans="2:13" ht="12.95" customHeight="1" x14ac:dyDescent="0.3">
      <c r="B385" s="27" t="s">
        <v>14</v>
      </c>
      <c r="C385" s="43"/>
      <c r="D385" s="43"/>
      <c r="E385" s="36"/>
      <c r="F385" s="38"/>
      <c r="G385" s="47">
        <f>TRUNC(SUM(G384:G384))</f>
        <v>1427</v>
      </c>
      <c r="H385" s="38"/>
      <c r="I385" s="47">
        <f>TRUNC(SUM(I384:I384))</f>
        <v>1665</v>
      </c>
      <c r="J385" s="38"/>
      <c r="K385" s="47">
        <f>TRUNC(SUM(K384:K384))</f>
        <v>1903</v>
      </c>
      <c r="L385" s="38"/>
      <c r="M385" s="47">
        <f>TRUNC(SUM(M384:M384))</f>
        <v>2141</v>
      </c>
    </row>
    <row r="386" spans="2:13" ht="12.95" customHeight="1" x14ac:dyDescent="0.3">
      <c r="B386" s="12"/>
      <c r="C386" s="35"/>
      <c r="D386" s="35"/>
      <c r="E386" s="39"/>
      <c r="F386" s="33"/>
      <c r="G386" s="34"/>
      <c r="H386" s="33"/>
      <c r="I386" s="34"/>
      <c r="J386" s="33"/>
      <c r="K386" s="34"/>
      <c r="L386" s="33"/>
      <c r="M386" s="34"/>
    </row>
    <row r="387" spans="2:13" ht="12.95" customHeight="1" x14ac:dyDescent="0.3">
      <c r="B387" s="13" t="s">
        <v>15</v>
      </c>
      <c r="C387" s="44"/>
      <c r="D387" s="44"/>
      <c r="E387" s="40"/>
      <c r="F387" s="40"/>
      <c r="G387" s="41">
        <f>SUM(G378+G382+G385)</f>
        <v>8966</v>
      </c>
      <c r="H387" s="40"/>
      <c r="I387" s="41">
        <f>SUM(I378+I382+I385)</f>
        <v>9887</v>
      </c>
      <c r="J387" s="40"/>
      <c r="K387" s="41">
        <f>SUM(K378+K382+K385)</f>
        <v>10808</v>
      </c>
      <c r="L387" s="40"/>
      <c r="M387" s="41">
        <f>SUM(M378+M382+M385)</f>
        <v>11729</v>
      </c>
    </row>
    <row r="388" spans="2:13" ht="12.95" customHeight="1" x14ac:dyDescent="0.3">
      <c r="B388" s="77" t="s">
        <v>5</v>
      </c>
      <c r="C388" s="80" t="s">
        <v>9</v>
      </c>
      <c r="D388" s="83" t="s">
        <v>10</v>
      </c>
      <c r="E388" s="86" t="s">
        <v>6</v>
      </c>
      <c r="F388" s="89" t="s">
        <v>146</v>
      </c>
      <c r="G388" s="90"/>
      <c r="H388" s="89" t="s">
        <v>148</v>
      </c>
      <c r="I388" s="90"/>
      <c r="J388" s="89" t="s">
        <v>150</v>
      </c>
      <c r="K388" s="90"/>
      <c r="L388" s="89" t="s">
        <v>152</v>
      </c>
      <c r="M388" s="90"/>
    </row>
    <row r="389" spans="2:13" ht="12.95" customHeight="1" x14ac:dyDescent="0.3">
      <c r="B389" s="78"/>
      <c r="C389" s="81"/>
      <c r="D389" s="84"/>
      <c r="E389" s="87"/>
      <c r="F389" s="91" t="s">
        <v>147</v>
      </c>
      <c r="G389" s="92"/>
      <c r="H389" s="91" t="s">
        <v>149</v>
      </c>
      <c r="I389" s="92"/>
      <c r="J389" s="91" t="s">
        <v>151</v>
      </c>
      <c r="K389" s="92"/>
      <c r="L389" s="91" t="s">
        <v>153</v>
      </c>
      <c r="M389" s="92"/>
    </row>
    <row r="390" spans="2:13" ht="12.95" customHeight="1" x14ac:dyDescent="0.3">
      <c r="B390" s="79"/>
      <c r="C390" s="82"/>
      <c r="D390" s="85"/>
      <c r="E390" s="88"/>
      <c r="F390" s="57" t="s">
        <v>7</v>
      </c>
      <c r="G390" s="56" t="s">
        <v>8</v>
      </c>
      <c r="H390" s="57" t="s">
        <v>7</v>
      </c>
      <c r="I390" s="56" t="s">
        <v>8</v>
      </c>
      <c r="J390" s="57" t="s">
        <v>7</v>
      </c>
      <c r="K390" s="56" t="s">
        <v>8</v>
      </c>
      <c r="L390" s="57" t="s">
        <v>7</v>
      </c>
      <c r="M390" s="56" t="s">
        <v>8</v>
      </c>
    </row>
    <row r="391" spans="2:13" ht="12.95" customHeight="1" x14ac:dyDescent="0.3">
      <c r="B391" s="35" t="s">
        <v>4</v>
      </c>
      <c r="C391" s="35" t="s">
        <v>23</v>
      </c>
      <c r="D391" s="45" t="s">
        <v>17</v>
      </c>
      <c r="E391" s="54">
        <v>18607</v>
      </c>
      <c r="F391" s="33">
        <v>0.1</v>
      </c>
      <c r="G391" s="7">
        <f t="shared" ref="G391" si="201">TRUNC($E391*F391,1)</f>
        <v>1860.7</v>
      </c>
      <c r="H391" s="33">
        <v>0.13</v>
      </c>
      <c r="I391" s="7">
        <f t="shared" ref="I391" si="202">TRUNC($E391*H391,1)</f>
        <v>2418.9</v>
      </c>
      <c r="J391" s="33">
        <v>0.16</v>
      </c>
      <c r="K391" s="7">
        <f t="shared" ref="K391" si="203">TRUNC($E391*J391,1)</f>
        <v>2977.1</v>
      </c>
      <c r="L391" s="33">
        <v>0.18</v>
      </c>
      <c r="M391" s="7">
        <f t="shared" ref="M391" si="204">TRUNC($E391*L391,1)</f>
        <v>3349.2</v>
      </c>
    </row>
    <row r="392" spans="2:13" ht="12.95" customHeight="1" x14ac:dyDescent="0.3">
      <c r="B392" s="27" t="s">
        <v>12</v>
      </c>
      <c r="C392" s="43"/>
      <c r="D392" s="43"/>
      <c r="E392" s="48"/>
      <c r="F392" s="51"/>
      <c r="G392" s="46">
        <f>TRUNC(SUM(G391:G391))</f>
        <v>1860</v>
      </c>
      <c r="H392" s="51"/>
      <c r="I392" s="46">
        <f>TRUNC(SUM(I391:I391))</f>
        <v>2418</v>
      </c>
      <c r="J392" s="51"/>
      <c r="K392" s="46">
        <f>TRUNC(SUM(K391:K391))</f>
        <v>2977</v>
      </c>
      <c r="L392" s="51"/>
      <c r="M392" s="46">
        <f>TRUNC(SUM(M391:M391))</f>
        <v>3349</v>
      </c>
    </row>
    <row r="393" spans="2:13" ht="12.95" customHeight="1" x14ac:dyDescent="0.3">
      <c r="B393" s="42"/>
      <c r="C393" s="43"/>
      <c r="D393" s="43"/>
      <c r="E393" s="48"/>
      <c r="F393" s="51"/>
      <c r="G393" s="37"/>
      <c r="H393" s="51"/>
      <c r="I393" s="37"/>
      <c r="J393" s="51"/>
      <c r="K393" s="37"/>
      <c r="L393" s="51"/>
      <c r="M393" s="37"/>
    </row>
    <row r="394" spans="2:13" ht="12.95" customHeight="1" x14ac:dyDescent="0.3">
      <c r="B394" s="14" t="s">
        <v>1</v>
      </c>
      <c r="C394" s="9"/>
      <c r="D394" s="4" t="s">
        <v>11</v>
      </c>
      <c r="E394" s="52">
        <v>172068</v>
      </c>
      <c r="F394" s="33">
        <v>0.03</v>
      </c>
      <c r="G394" s="7">
        <f t="shared" ref="G394:G395" si="205">TRUNC($E394*F394,1)</f>
        <v>5162</v>
      </c>
      <c r="H394" s="33">
        <v>0.03</v>
      </c>
      <c r="I394" s="7">
        <f t="shared" ref="I394:I395" si="206">TRUNC($E394*H394,1)</f>
        <v>5162</v>
      </c>
      <c r="J394" s="33">
        <v>0.04</v>
      </c>
      <c r="K394" s="7">
        <f t="shared" ref="K394:K395" si="207">TRUNC($E394*J394,1)</f>
        <v>6882.7</v>
      </c>
      <c r="L394" s="33">
        <v>0.04</v>
      </c>
      <c r="M394" s="7">
        <f t="shared" ref="M394:M395" si="208">TRUNC($E394*L394,1)</f>
        <v>6882.7</v>
      </c>
    </row>
    <row r="395" spans="2:13" ht="12.95" customHeight="1" x14ac:dyDescent="0.3">
      <c r="B395" s="35" t="s">
        <v>4</v>
      </c>
      <c r="C395" s="35" t="s">
        <v>23</v>
      </c>
      <c r="D395" s="45" t="s">
        <v>17</v>
      </c>
      <c r="E395" s="54">
        <v>49698</v>
      </c>
      <c r="F395" s="33">
        <v>0.1</v>
      </c>
      <c r="G395" s="7">
        <f t="shared" si="205"/>
        <v>4969.8</v>
      </c>
      <c r="H395" s="33">
        <v>0.13</v>
      </c>
      <c r="I395" s="7">
        <f t="shared" si="206"/>
        <v>6460.7</v>
      </c>
      <c r="J395" s="33">
        <v>0.16</v>
      </c>
      <c r="K395" s="7">
        <f t="shared" si="207"/>
        <v>7951.6</v>
      </c>
      <c r="L395" s="33">
        <v>0.18</v>
      </c>
      <c r="M395" s="7">
        <f t="shared" si="208"/>
        <v>8945.6</v>
      </c>
    </row>
    <row r="396" spans="2:13" ht="12.95" customHeight="1" x14ac:dyDescent="0.3">
      <c r="B396" s="23" t="s">
        <v>13</v>
      </c>
      <c r="C396" s="43"/>
      <c r="D396" s="43"/>
      <c r="E396" s="48"/>
      <c r="F396" s="51"/>
      <c r="G396" s="46">
        <f>TRUNC(SUM(G394:G395))</f>
        <v>10131</v>
      </c>
      <c r="H396" s="51"/>
      <c r="I396" s="46">
        <f>TRUNC(SUM(I394:I395))</f>
        <v>11622</v>
      </c>
      <c r="J396" s="51"/>
      <c r="K396" s="46">
        <f>TRUNC(SUM(K394:K395))</f>
        <v>14834</v>
      </c>
      <c r="L396" s="51"/>
      <c r="M396" s="46">
        <f>TRUNC(SUM(M394:M395))</f>
        <v>15828</v>
      </c>
    </row>
    <row r="397" spans="2:13" ht="12.95" customHeight="1" x14ac:dyDescent="0.3">
      <c r="B397" s="42"/>
      <c r="C397" s="43"/>
      <c r="D397" s="43"/>
      <c r="E397" s="48"/>
      <c r="F397" s="51"/>
      <c r="G397" s="37"/>
      <c r="H397" s="51"/>
      <c r="I397" s="37"/>
      <c r="J397" s="51"/>
      <c r="K397" s="37"/>
      <c r="L397" s="51"/>
      <c r="M397" s="37"/>
    </row>
    <row r="398" spans="2:13" ht="12.95" customHeight="1" x14ac:dyDescent="0.3">
      <c r="B398" s="35" t="s">
        <v>4</v>
      </c>
      <c r="C398" s="35" t="s">
        <v>23</v>
      </c>
      <c r="D398" s="45" t="s">
        <v>17</v>
      </c>
      <c r="E398" s="54">
        <v>23795</v>
      </c>
      <c r="F398" s="33">
        <v>0.1</v>
      </c>
      <c r="G398" s="7">
        <f t="shared" ref="G398" si="209">TRUNC($E398*F398,1)</f>
        <v>2379.5</v>
      </c>
      <c r="H398" s="33">
        <v>0.13</v>
      </c>
      <c r="I398" s="7">
        <f t="shared" ref="I398" si="210">TRUNC($E398*H398,1)</f>
        <v>3093.3</v>
      </c>
      <c r="J398" s="33">
        <v>0.16</v>
      </c>
      <c r="K398" s="7">
        <f t="shared" ref="K398" si="211">TRUNC($E398*J398,1)</f>
        <v>3807.2</v>
      </c>
      <c r="L398" s="33">
        <v>0.18</v>
      </c>
      <c r="M398" s="7">
        <f t="shared" ref="M398" si="212">TRUNC($E398*L398,1)</f>
        <v>4283.1000000000004</v>
      </c>
    </row>
    <row r="399" spans="2:13" ht="12.95" customHeight="1" x14ac:dyDescent="0.3">
      <c r="B399" s="27" t="s">
        <v>14</v>
      </c>
      <c r="C399" s="43"/>
      <c r="D399" s="43"/>
      <c r="E399" s="36"/>
      <c r="F399" s="38"/>
      <c r="G399" s="47">
        <f>TRUNC(SUM(G398:G398))</f>
        <v>2379</v>
      </c>
      <c r="H399" s="38"/>
      <c r="I399" s="47">
        <f>TRUNC(SUM(I398:I398))</f>
        <v>3093</v>
      </c>
      <c r="J399" s="38"/>
      <c r="K399" s="47">
        <f>TRUNC(SUM(K398:K398))</f>
        <v>3807</v>
      </c>
      <c r="L399" s="38"/>
      <c r="M399" s="47">
        <f>TRUNC(SUM(M398:M398))</f>
        <v>4283</v>
      </c>
    </row>
    <row r="400" spans="2:13" ht="12.95" customHeight="1" x14ac:dyDescent="0.3">
      <c r="B400" s="12"/>
      <c r="C400" s="35"/>
      <c r="D400" s="35"/>
      <c r="E400" s="39"/>
      <c r="F400" s="33"/>
      <c r="G400" s="34"/>
      <c r="H400" s="33"/>
      <c r="I400" s="34"/>
      <c r="J400" s="33"/>
      <c r="K400" s="34"/>
      <c r="L400" s="33"/>
      <c r="M400" s="34"/>
    </row>
    <row r="401" spans="2:13" ht="12.95" customHeight="1" x14ac:dyDescent="0.3">
      <c r="B401" s="13" t="s">
        <v>15</v>
      </c>
      <c r="C401" s="44"/>
      <c r="D401" s="44"/>
      <c r="E401" s="40"/>
      <c r="F401" s="40"/>
      <c r="G401" s="41">
        <f>SUM(G392+G396+G399)</f>
        <v>14370</v>
      </c>
      <c r="H401" s="40"/>
      <c r="I401" s="41">
        <f>SUM(I392+I396+I399)</f>
        <v>17133</v>
      </c>
      <c r="J401" s="40"/>
      <c r="K401" s="41">
        <f>SUM(K392+K396+K399)</f>
        <v>21618</v>
      </c>
      <c r="L401" s="40"/>
      <c r="M401" s="41">
        <f>SUM(M392+M396+M399)</f>
        <v>23460</v>
      </c>
    </row>
    <row r="402" spans="2:13" ht="12.95" customHeight="1" x14ac:dyDescent="0.3">
      <c r="B402" s="77" t="s">
        <v>5</v>
      </c>
      <c r="C402" s="80" t="s">
        <v>9</v>
      </c>
      <c r="D402" s="83" t="s">
        <v>10</v>
      </c>
      <c r="E402" s="86" t="s">
        <v>6</v>
      </c>
      <c r="F402" s="89" t="s">
        <v>154</v>
      </c>
      <c r="G402" s="90"/>
      <c r="H402" s="89" t="s">
        <v>155</v>
      </c>
      <c r="I402" s="90"/>
      <c r="J402" s="89" t="s">
        <v>157</v>
      </c>
      <c r="K402" s="90"/>
      <c r="L402" s="89" t="s">
        <v>159</v>
      </c>
      <c r="M402" s="90"/>
    </row>
    <row r="403" spans="2:13" ht="12.95" customHeight="1" x14ac:dyDescent="0.3">
      <c r="B403" s="78"/>
      <c r="C403" s="81"/>
      <c r="D403" s="84"/>
      <c r="E403" s="87"/>
      <c r="F403" s="91" t="s">
        <v>153</v>
      </c>
      <c r="G403" s="92"/>
      <c r="H403" s="91" t="s">
        <v>156</v>
      </c>
      <c r="I403" s="92"/>
      <c r="J403" s="91" t="s">
        <v>158</v>
      </c>
      <c r="K403" s="92"/>
      <c r="L403" s="91" t="s">
        <v>158</v>
      </c>
      <c r="M403" s="92"/>
    </row>
    <row r="404" spans="2:13" ht="12.95" customHeight="1" x14ac:dyDescent="0.3">
      <c r="B404" s="79"/>
      <c r="C404" s="82"/>
      <c r="D404" s="85"/>
      <c r="E404" s="88"/>
      <c r="F404" s="57" t="s">
        <v>7</v>
      </c>
      <c r="G404" s="56" t="s">
        <v>8</v>
      </c>
      <c r="H404" s="57" t="s">
        <v>7</v>
      </c>
      <c r="I404" s="56" t="s">
        <v>8</v>
      </c>
      <c r="J404" s="57" t="s">
        <v>7</v>
      </c>
      <c r="K404" s="56" t="s">
        <v>8</v>
      </c>
      <c r="L404" s="57" t="s">
        <v>7</v>
      </c>
      <c r="M404" s="56" t="s">
        <v>8</v>
      </c>
    </row>
    <row r="405" spans="2:13" ht="12.95" customHeight="1" x14ac:dyDescent="0.3">
      <c r="B405" s="35" t="s">
        <v>4</v>
      </c>
      <c r="C405" s="35" t="s">
        <v>23</v>
      </c>
      <c r="D405" s="45" t="s">
        <v>17</v>
      </c>
      <c r="E405" s="54">
        <v>18607</v>
      </c>
      <c r="F405" s="33">
        <v>0.18</v>
      </c>
      <c r="G405" s="7">
        <f t="shared" ref="G405" si="213">TRUNC($E405*F405,1)</f>
        <v>3349.2</v>
      </c>
      <c r="H405" s="33">
        <v>0.2</v>
      </c>
      <c r="I405" s="7">
        <f t="shared" ref="I405" si="214">TRUNC($E405*H405,1)</f>
        <v>3721.4</v>
      </c>
      <c r="J405" s="33">
        <v>0.2</v>
      </c>
      <c r="K405" s="7">
        <f t="shared" ref="K405" si="215">TRUNC($E405*J405,1)</f>
        <v>3721.4</v>
      </c>
      <c r="L405" s="33">
        <v>0.21</v>
      </c>
      <c r="M405" s="7">
        <f t="shared" ref="M405" si="216">TRUNC($E405*L405,1)</f>
        <v>3907.4</v>
      </c>
    </row>
    <row r="406" spans="2:13" ht="12.95" customHeight="1" x14ac:dyDescent="0.3">
      <c r="B406" s="27" t="s">
        <v>12</v>
      </c>
      <c r="C406" s="43"/>
      <c r="D406" s="43"/>
      <c r="E406" s="48"/>
      <c r="F406" s="51"/>
      <c r="G406" s="46">
        <f>TRUNC(SUM(G405:G405))</f>
        <v>3349</v>
      </c>
      <c r="H406" s="51"/>
      <c r="I406" s="46">
        <f>TRUNC(SUM(I405:I405))</f>
        <v>3721</v>
      </c>
      <c r="J406" s="51"/>
      <c r="K406" s="46">
        <f>TRUNC(SUM(K405:K405))</f>
        <v>3721</v>
      </c>
      <c r="L406" s="51"/>
      <c r="M406" s="46">
        <f>TRUNC(SUM(M405:M405))</f>
        <v>3907</v>
      </c>
    </row>
    <row r="407" spans="2:13" ht="12.95" customHeight="1" x14ac:dyDescent="0.3">
      <c r="B407" s="42"/>
      <c r="C407" s="43"/>
      <c r="D407" s="43"/>
      <c r="E407" s="48"/>
      <c r="F407" s="51"/>
      <c r="G407" s="37"/>
      <c r="H407" s="51"/>
      <c r="I407" s="37"/>
      <c r="J407" s="51"/>
      <c r="K407" s="37"/>
      <c r="L407" s="51"/>
      <c r="M407" s="37"/>
    </row>
    <row r="408" spans="2:13" ht="12.95" customHeight="1" x14ac:dyDescent="0.3">
      <c r="B408" s="14" t="s">
        <v>1</v>
      </c>
      <c r="C408" s="9"/>
      <c r="D408" s="4" t="s">
        <v>11</v>
      </c>
      <c r="E408" s="52">
        <v>172068</v>
      </c>
      <c r="F408" s="33">
        <v>0.05</v>
      </c>
      <c r="G408" s="7">
        <f t="shared" ref="G408:G409" si="217">TRUNC($E408*F408,1)</f>
        <v>8603.4</v>
      </c>
      <c r="H408" s="33">
        <v>0.05</v>
      </c>
      <c r="I408" s="7">
        <f t="shared" ref="I408:I409" si="218">TRUNC($E408*H408,1)</f>
        <v>8603.4</v>
      </c>
      <c r="J408" s="33">
        <v>0.05</v>
      </c>
      <c r="K408" s="7">
        <f t="shared" ref="K408:K409" si="219">TRUNC($E408*J408,1)</f>
        <v>8603.4</v>
      </c>
      <c r="L408" s="33">
        <v>0.05</v>
      </c>
      <c r="M408" s="7">
        <f t="shared" ref="M408:M409" si="220">TRUNC($E408*L408,1)</f>
        <v>8603.4</v>
      </c>
    </row>
    <row r="409" spans="2:13" ht="12.95" customHeight="1" x14ac:dyDescent="0.3">
      <c r="B409" s="35" t="s">
        <v>4</v>
      </c>
      <c r="C409" s="35" t="s">
        <v>23</v>
      </c>
      <c r="D409" s="45" t="s">
        <v>17</v>
      </c>
      <c r="E409" s="54">
        <v>49698</v>
      </c>
      <c r="F409" s="33">
        <v>0.18</v>
      </c>
      <c r="G409" s="7">
        <f t="shared" si="217"/>
        <v>8945.6</v>
      </c>
      <c r="H409" s="33">
        <v>0.2</v>
      </c>
      <c r="I409" s="7">
        <f t="shared" si="218"/>
        <v>9939.6</v>
      </c>
      <c r="J409" s="33">
        <v>0.2</v>
      </c>
      <c r="K409" s="7">
        <f t="shared" si="219"/>
        <v>9939.6</v>
      </c>
      <c r="L409" s="33">
        <v>0.21</v>
      </c>
      <c r="M409" s="7">
        <f t="shared" si="220"/>
        <v>10436.5</v>
      </c>
    </row>
    <row r="410" spans="2:13" ht="12.95" customHeight="1" x14ac:dyDescent="0.3">
      <c r="B410" s="23" t="s">
        <v>13</v>
      </c>
      <c r="C410" s="43"/>
      <c r="D410" s="43"/>
      <c r="E410" s="48"/>
      <c r="F410" s="51"/>
      <c r="G410" s="46">
        <f>TRUNC(SUM(G408:G409))</f>
        <v>17549</v>
      </c>
      <c r="H410" s="51"/>
      <c r="I410" s="46">
        <f>TRUNC(SUM(I408:I409))</f>
        <v>18543</v>
      </c>
      <c r="J410" s="51"/>
      <c r="K410" s="46">
        <f>TRUNC(SUM(K408:K409))</f>
        <v>18543</v>
      </c>
      <c r="L410" s="51"/>
      <c r="M410" s="46">
        <f>TRUNC(SUM(M408:M409))</f>
        <v>19039</v>
      </c>
    </row>
    <row r="411" spans="2:13" ht="12.95" customHeight="1" x14ac:dyDescent="0.3">
      <c r="B411" s="42"/>
      <c r="C411" s="43"/>
      <c r="D411" s="43"/>
      <c r="E411" s="48"/>
      <c r="F411" s="51"/>
      <c r="G411" s="37"/>
      <c r="H411" s="51"/>
      <c r="I411" s="37"/>
      <c r="J411" s="51"/>
      <c r="K411" s="37"/>
      <c r="L411" s="51"/>
      <c r="M411" s="37"/>
    </row>
    <row r="412" spans="2:13" ht="12.95" customHeight="1" x14ac:dyDescent="0.3">
      <c r="B412" s="35" t="s">
        <v>4</v>
      </c>
      <c r="C412" s="35" t="s">
        <v>23</v>
      </c>
      <c r="D412" s="45" t="s">
        <v>17</v>
      </c>
      <c r="E412" s="54">
        <v>23795</v>
      </c>
      <c r="F412" s="33">
        <v>0.18</v>
      </c>
      <c r="G412" s="7">
        <f t="shared" ref="G412" si="221">TRUNC($E412*F412,1)</f>
        <v>4283.1000000000004</v>
      </c>
      <c r="H412" s="33">
        <v>0.2</v>
      </c>
      <c r="I412" s="7">
        <f t="shared" ref="I412" si="222">TRUNC($E412*H412,1)</f>
        <v>4759</v>
      </c>
      <c r="J412" s="33">
        <v>0.2</v>
      </c>
      <c r="K412" s="7">
        <f t="shared" ref="K412" si="223">TRUNC($E412*J412,1)</f>
        <v>4759</v>
      </c>
      <c r="L412" s="33">
        <v>0.21</v>
      </c>
      <c r="M412" s="7">
        <f t="shared" ref="M412" si="224">TRUNC($E412*L412,1)</f>
        <v>4996.8999999999996</v>
      </c>
    </row>
    <row r="413" spans="2:13" ht="12.95" customHeight="1" x14ac:dyDescent="0.3">
      <c r="B413" s="27" t="s">
        <v>14</v>
      </c>
      <c r="C413" s="43"/>
      <c r="D413" s="43"/>
      <c r="E413" s="36"/>
      <c r="F413" s="38"/>
      <c r="G413" s="47">
        <f>TRUNC(SUM(G412:G412))</f>
        <v>4283</v>
      </c>
      <c r="H413" s="38"/>
      <c r="I413" s="47">
        <f>TRUNC(SUM(I412:I412))</f>
        <v>4759</v>
      </c>
      <c r="J413" s="38"/>
      <c r="K413" s="47">
        <f>TRUNC(SUM(K412:K412))</f>
        <v>4759</v>
      </c>
      <c r="L413" s="38"/>
      <c r="M413" s="47">
        <f>TRUNC(SUM(M412:M412))</f>
        <v>4996</v>
      </c>
    </row>
    <row r="414" spans="2:13" ht="12.95" customHeight="1" x14ac:dyDescent="0.3">
      <c r="B414" s="12"/>
      <c r="C414" s="35"/>
      <c r="D414" s="35"/>
      <c r="E414" s="39"/>
      <c r="F414" s="33"/>
      <c r="G414" s="34"/>
      <c r="H414" s="33"/>
      <c r="I414" s="34"/>
      <c r="J414" s="33"/>
      <c r="K414" s="34"/>
      <c r="L414" s="33"/>
      <c r="M414" s="34"/>
    </row>
    <row r="415" spans="2:13" ht="12.95" customHeight="1" x14ac:dyDescent="0.3">
      <c r="B415" s="13" t="s">
        <v>15</v>
      </c>
      <c r="C415" s="44"/>
      <c r="D415" s="44"/>
      <c r="E415" s="40"/>
      <c r="F415" s="40"/>
      <c r="G415" s="41">
        <f>SUM(G406+G410+G413)</f>
        <v>25181</v>
      </c>
      <c r="H415" s="40"/>
      <c r="I415" s="41">
        <f>SUM(I406+I410+I413)</f>
        <v>27023</v>
      </c>
      <c r="J415" s="40"/>
      <c r="K415" s="41">
        <f>SUM(K406+K410+K413)</f>
        <v>27023</v>
      </c>
      <c r="L415" s="40"/>
      <c r="M415" s="41">
        <f>SUM(M406+M410+M413)</f>
        <v>27942</v>
      </c>
    </row>
    <row r="416" spans="2:13" ht="12.95" customHeight="1" x14ac:dyDescent="0.3">
      <c r="B416" s="77" t="s">
        <v>5</v>
      </c>
      <c r="C416" s="80" t="s">
        <v>9</v>
      </c>
      <c r="D416" s="83" t="s">
        <v>10</v>
      </c>
      <c r="E416" s="86" t="s">
        <v>6</v>
      </c>
      <c r="F416" s="89" t="s">
        <v>160</v>
      </c>
      <c r="G416" s="90"/>
      <c r="H416" s="89" t="s">
        <v>162</v>
      </c>
      <c r="I416" s="90"/>
      <c r="J416" s="89" t="s">
        <v>164</v>
      </c>
      <c r="K416" s="90"/>
    </row>
    <row r="417" spans="2:11" ht="12.95" customHeight="1" x14ac:dyDescent="0.3">
      <c r="B417" s="78"/>
      <c r="C417" s="81"/>
      <c r="D417" s="84"/>
      <c r="E417" s="87"/>
      <c r="F417" s="91" t="s">
        <v>161</v>
      </c>
      <c r="G417" s="92"/>
      <c r="H417" s="91" t="s">
        <v>163</v>
      </c>
      <c r="I417" s="92"/>
      <c r="J417" s="91" t="s">
        <v>163</v>
      </c>
      <c r="K417" s="92"/>
    </row>
    <row r="418" spans="2:11" ht="12.95" customHeight="1" x14ac:dyDescent="0.3">
      <c r="B418" s="79"/>
      <c r="C418" s="82"/>
      <c r="D418" s="85"/>
      <c r="E418" s="88"/>
      <c r="F418" s="57" t="s">
        <v>7</v>
      </c>
      <c r="G418" s="56" t="s">
        <v>8</v>
      </c>
      <c r="H418" s="57" t="s">
        <v>7</v>
      </c>
      <c r="I418" s="56" t="s">
        <v>8</v>
      </c>
      <c r="J418" s="57" t="s">
        <v>7</v>
      </c>
      <c r="K418" s="56" t="s">
        <v>8</v>
      </c>
    </row>
    <row r="419" spans="2:11" ht="12.95" customHeight="1" x14ac:dyDescent="0.3">
      <c r="B419" s="35" t="s">
        <v>4</v>
      </c>
      <c r="C419" s="35" t="s">
        <v>107</v>
      </c>
      <c r="D419" s="45" t="s">
        <v>17</v>
      </c>
      <c r="E419" s="54">
        <v>19871</v>
      </c>
      <c r="F419" s="33">
        <v>0.21</v>
      </c>
      <c r="G419" s="7">
        <f t="shared" ref="G419" si="225">TRUNC($E419*F419,1)</f>
        <v>4172.8999999999996</v>
      </c>
      <c r="H419" s="33">
        <v>0.25</v>
      </c>
      <c r="I419" s="7">
        <f t="shared" ref="I419" si="226">TRUNC($E419*H419,1)</f>
        <v>4967.7</v>
      </c>
      <c r="J419" s="33">
        <v>0.27</v>
      </c>
      <c r="K419" s="7">
        <f t="shared" ref="K419" si="227">TRUNC($E419*J419,1)</f>
        <v>5365.1</v>
      </c>
    </row>
    <row r="420" spans="2:11" ht="12.95" customHeight="1" x14ac:dyDescent="0.3">
      <c r="B420" s="27" t="s">
        <v>12</v>
      </c>
      <c r="C420" s="43"/>
      <c r="D420" s="43"/>
      <c r="E420" s="48"/>
      <c r="F420" s="51"/>
      <c r="G420" s="46">
        <f>TRUNC(SUM(G419:G419))</f>
        <v>4172</v>
      </c>
      <c r="H420" s="51"/>
      <c r="I420" s="46">
        <f>TRUNC(SUM(I419:I419))</f>
        <v>4967</v>
      </c>
      <c r="J420" s="51"/>
      <c r="K420" s="46">
        <f>TRUNC(SUM(K419:K419))</f>
        <v>5365</v>
      </c>
    </row>
    <row r="421" spans="2:11" ht="12.95" customHeight="1" x14ac:dyDescent="0.3">
      <c r="B421" s="42"/>
      <c r="C421" s="43"/>
      <c r="D421" s="43"/>
      <c r="E421" s="48"/>
      <c r="F421" s="51"/>
      <c r="G421" s="37"/>
      <c r="H421" s="51"/>
      <c r="I421" s="37"/>
      <c r="J421" s="51"/>
      <c r="K421" s="37"/>
    </row>
    <row r="422" spans="2:11" ht="12.95" customHeight="1" x14ac:dyDescent="0.3">
      <c r="B422" s="14" t="s">
        <v>1</v>
      </c>
      <c r="C422" s="9"/>
      <c r="D422" s="4" t="s">
        <v>11</v>
      </c>
      <c r="E422" s="52">
        <v>172068</v>
      </c>
      <c r="F422" s="33">
        <v>0.05</v>
      </c>
      <c r="G422" s="7">
        <f t="shared" ref="G422:G423" si="228">TRUNC($E422*F422,1)</f>
        <v>8603.4</v>
      </c>
      <c r="H422" s="33">
        <v>0.06</v>
      </c>
      <c r="I422" s="7">
        <f t="shared" ref="I422:I423" si="229">TRUNC($E422*H422,1)</f>
        <v>10324</v>
      </c>
      <c r="J422" s="33">
        <v>7.0000000000000007E-2</v>
      </c>
      <c r="K422" s="7">
        <f t="shared" ref="K422:K423" si="230">TRUNC($E422*J422,1)</f>
        <v>12044.7</v>
      </c>
    </row>
    <row r="423" spans="2:11" ht="12.95" customHeight="1" x14ac:dyDescent="0.3">
      <c r="B423" s="35" t="s">
        <v>4</v>
      </c>
      <c r="C423" s="35" t="s">
        <v>107</v>
      </c>
      <c r="D423" s="45" t="s">
        <v>17</v>
      </c>
      <c r="E423" s="54">
        <v>49698</v>
      </c>
      <c r="F423" s="33">
        <v>0.21</v>
      </c>
      <c r="G423" s="7">
        <f t="shared" si="228"/>
        <v>10436.5</v>
      </c>
      <c r="H423" s="33">
        <v>0.25</v>
      </c>
      <c r="I423" s="7">
        <f t="shared" si="229"/>
        <v>12424.5</v>
      </c>
      <c r="J423" s="33">
        <v>0.27</v>
      </c>
      <c r="K423" s="7">
        <f t="shared" si="230"/>
        <v>13418.4</v>
      </c>
    </row>
    <row r="424" spans="2:11" ht="12.95" customHeight="1" x14ac:dyDescent="0.3">
      <c r="B424" s="23" t="s">
        <v>13</v>
      </c>
      <c r="C424" s="43"/>
      <c r="D424" s="43"/>
      <c r="E424" s="48"/>
      <c r="F424" s="51"/>
      <c r="G424" s="46">
        <f>TRUNC(SUM(G422:G423))</f>
        <v>19039</v>
      </c>
      <c r="H424" s="51"/>
      <c r="I424" s="46">
        <f>TRUNC(SUM(I422:I423))</f>
        <v>22748</v>
      </c>
      <c r="J424" s="51"/>
      <c r="K424" s="46">
        <f>TRUNC(SUM(K422:K423))</f>
        <v>25463</v>
      </c>
    </row>
    <row r="425" spans="2:11" ht="12.95" customHeight="1" x14ac:dyDescent="0.3">
      <c r="B425" s="42"/>
      <c r="C425" s="43"/>
      <c r="D425" s="43"/>
      <c r="E425" s="48"/>
      <c r="F425" s="51"/>
      <c r="G425" s="37"/>
      <c r="H425" s="51"/>
      <c r="I425" s="37"/>
      <c r="J425" s="51"/>
      <c r="K425" s="37"/>
    </row>
    <row r="426" spans="2:11" ht="12.95" customHeight="1" x14ac:dyDescent="0.3">
      <c r="B426" s="35" t="s">
        <v>4</v>
      </c>
      <c r="C426" s="35" t="s">
        <v>107</v>
      </c>
      <c r="D426" s="45" t="s">
        <v>17</v>
      </c>
      <c r="E426" s="54">
        <v>31327</v>
      </c>
      <c r="F426" s="33">
        <v>0.21</v>
      </c>
      <c r="G426" s="7">
        <f t="shared" ref="G426" si="231">TRUNC($E426*F426,1)</f>
        <v>6578.6</v>
      </c>
      <c r="H426" s="33">
        <v>0.25</v>
      </c>
      <c r="I426" s="7">
        <f t="shared" ref="I426" si="232">TRUNC($E426*H426,1)</f>
        <v>7831.7</v>
      </c>
      <c r="J426" s="33">
        <v>0.27</v>
      </c>
      <c r="K426" s="7">
        <f t="shared" ref="K426" si="233">TRUNC($E426*J426,1)</f>
        <v>8458.2000000000007</v>
      </c>
    </row>
    <row r="427" spans="2:11" ht="12.95" customHeight="1" x14ac:dyDescent="0.3">
      <c r="B427" s="27" t="s">
        <v>14</v>
      </c>
      <c r="C427" s="43"/>
      <c r="D427" s="43"/>
      <c r="E427" s="36"/>
      <c r="F427" s="38"/>
      <c r="G427" s="47">
        <f>TRUNC(SUM(G426:G426))</f>
        <v>6578</v>
      </c>
      <c r="H427" s="38"/>
      <c r="I427" s="47">
        <f>TRUNC(SUM(I426:I426))</f>
        <v>7831</v>
      </c>
      <c r="J427" s="38"/>
      <c r="K427" s="47">
        <f>TRUNC(SUM(K426:K426))</f>
        <v>8458</v>
      </c>
    </row>
    <row r="428" spans="2:11" ht="12.95" customHeight="1" x14ac:dyDescent="0.3">
      <c r="B428" s="12"/>
      <c r="C428" s="35"/>
      <c r="D428" s="35"/>
      <c r="E428" s="39"/>
      <c r="F428" s="33"/>
      <c r="G428" s="34"/>
      <c r="H428" s="33"/>
      <c r="I428" s="34"/>
      <c r="J428" s="33"/>
      <c r="K428" s="34"/>
    </row>
    <row r="429" spans="2:11" ht="12.95" customHeight="1" x14ac:dyDescent="0.3">
      <c r="B429" s="13" t="s">
        <v>15</v>
      </c>
      <c r="C429" s="44"/>
      <c r="D429" s="44"/>
      <c r="E429" s="40"/>
      <c r="F429" s="40"/>
      <c r="G429" s="41">
        <f>SUM(G420+G424+G427)</f>
        <v>29789</v>
      </c>
      <c r="H429" s="40"/>
      <c r="I429" s="41">
        <f>SUM(I420+I424+I427)</f>
        <v>35546</v>
      </c>
      <c r="J429" s="40"/>
      <c r="K429" s="41">
        <f>SUM(K420+K424+K427)</f>
        <v>39286</v>
      </c>
    </row>
  </sheetData>
  <mergeCells count="301">
    <mergeCell ref="J416:K416"/>
    <mergeCell ref="F417:G417"/>
    <mergeCell ref="H417:I417"/>
    <mergeCell ref="J417:K417"/>
    <mergeCell ref="B416:B418"/>
    <mergeCell ref="C416:C418"/>
    <mergeCell ref="D416:D418"/>
    <mergeCell ref="E416:E418"/>
    <mergeCell ref="F416:G416"/>
    <mergeCell ref="H416:I416"/>
    <mergeCell ref="J402:K402"/>
    <mergeCell ref="L402:M402"/>
    <mergeCell ref="F403:G403"/>
    <mergeCell ref="H403:I403"/>
    <mergeCell ref="J403:K403"/>
    <mergeCell ref="L403:M403"/>
    <mergeCell ref="B402:B404"/>
    <mergeCell ref="C402:C404"/>
    <mergeCell ref="D402:D404"/>
    <mergeCell ref="E402:E404"/>
    <mergeCell ref="F402:G402"/>
    <mergeCell ref="H402:I402"/>
    <mergeCell ref="J388:K388"/>
    <mergeCell ref="L388:M388"/>
    <mergeCell ref="F389:G389"/>
    <mergeCell ref="H389:I389"/>
    <mergeCell ref="J389:K389"/>
    <mergeCell ref="L389:M389"/>
    <mergeCell ref="B388:B390"/>
    <mergeCell ref="C388:C390"/>
    <mergeCell ref="D388:D390"/>
    <mergeCell ref="E388:E390"/>
    <mergeCell ref="F388:G388"/>
    <mergeCell ref="H388:I388"/>
    <mergeCell ref="J374:K374"/>
    <mergeCell ref="L374:M374"/>
    <mergeCell ref="F375:G375"/>
    <mergeCell ref="H375:I375"/>
    <mergeCell ref="J375:K375"/>
    <mergeCell ref="L375:M375"/>
    <mergeCell ref="B374:B376"/>
    <mergeCell ref="C374:C376"/>
    <mergeCell ref="D374:D376"/>
    <mergeCell ref="E374:E376"/>
    <mergeCell ref="F374:G374"/>
    <mergeCell ref="H374:I374"/>
    <mergeCell ref="B357:B359"/>
    <mergeCell ref="C357:C359"/>
    <mergeCell ref="D357:D359"/>
    <mergeCell ref="E357:E359"/>
    <mergeCell ref="F357:G357"/>
    <mergeCell ref="H357:I357"/>
    <mergeCell ref="F358:G358"/>
    <mergeCell ref="H358:I358"/>
    <mergeCell ref="B342:B344"/>
    <mergeCell ref="C342:C344"/>
    <mergeCell ref="D342:D344"/>
    <mergeCell ref="E342:E344"/>
    <mergeCell ref="F342:G342"/>
    <mergeCell ref="H342:I342"/>
    <mergeCell ref="F343:G343"/>
    <mergeCell ref="H343:I343"/>
    <mergeCell ref="J327:K327"/>
    <mergeCell ref="L327:M327"/>
    <mergeCell ref="F328:G328"/>
    <mergeCell ref="H328:I328"/>
    <mergeCell ref="J328:K328"/>
    <mergeCell ref="L328:M328"/>
    <mergeCell ref="B327:B329"/>
    <mergeCell ref="C327:C329"/>
    <mergeCell ref="D327:D329"/>
    <mergeCell ref="E327:E329"/>
    <mergeCell ref="F327:G327"/>
    <mergeCell ref="H327:I327"/>
    <mergeCell ref="J312:K312"/>
    <mergeCell ref="L312:M312"/>
    <mergeCell ref="F313:G313"/>
    <mergeCell ref="H313:I313"/>
    <mergeCell ref="J313:K313"/>
    <mergeCell ref="L313:M313"/>
    <mergeCell ref="B312:B314"/>
    <mergeCell ref="C312:C314"/>
    <mergeCell ref="D312:D314"/>
    <mergeCell ref="E312:E314"/>
    <mergeCell ref="F312:G312"/>
    <mergeCell ref="H312:I312"/>
    <mergeCell ref="B295:B297"/>
    <mergeCell ref="C295:C297"/>
    <mergeCell ref="D295:D297"/>
    <mergeCell ref="E295:E297"/>
    <mergeCell ref="F295:K295"/>
    <mergeCell ref="F296:G296"/>
    <mergeCell ref="H296:I296"/>
    <mergeCell ref="J296:K296"/>
    <mergeCell ref="B280:B282"/>
    <mergeCell ref="C280:C282"/>
    <mergeCell ref="D280:D282"/>
    <mergeCell ref="E280:E282"/>
    <mergeCell ref="F280:K280"/>
    <mergeCell ref="F281:G281"/>
    <mergeCell ref="H281:I281"/>
    <mergeCell ref="J281:K281"/>
    <mergeCell ref="B265:B267"/>
    <mergeCell ref="C265:C267"/>
    <mergeCell ref="D265:D267"/>
    <mergeCell ref="E265:E267"/>
    <mergeCell ref="F265:M265"/>
    <mergeCell ref="F266:G266"/>
    <mergeCell ref="H266:I266"/>
    <mergeCell ref="J266:K266"/>
    <mergeCell ref="L266:M266"/>
    <mergeCell ref="B250:B252"/>
    <mergeCell ref="C250:C252"/>
    <mergeCell ref="D250:D252"/>
    <mergeCell ref="E250:E252"/>
    <mergeCell ref="F250:M250"/>
    <mergeCell ref="F251:G251"/>
    <mergeCell ref="H251:I251"/>
    <mergeCell ref="J251:K251"/>
    <mergeCell ref="L251:M251"/>
    <mergeCell ref="B235:B237"/>
    <mergeCell ref="C235:C237"/>
    <mergeCell ref="D235:D237"/>
    <mergeCell ref="E235:E237"/>
    <mergeCell ref="F235:K235"/>
    <mergeCell ref="F236:G236"/>
    <mergeCell ref="H236:I236"/>
    <mergeCell ref="J236:K236"/>
    <mergeCell ref="B220:B222"/>
    <mergeCell ref="C220:C222"/>
    <mergeCell ref="D220:D222"/>
    <mergeCell ref="E220:E222"/>
    <mergeCell ref="F220:K220"/>
    <mergeCell ref="F221:G221"/>
    <mergeCell ref="H221:I221"/>
    <mergeCell ref="J221:K221"/>
    <mergeCell ref="B205:B207"/>
    <mergeCell ref="C205:C207"/>
    <mergeCell ref="D205:D207"/>
    <mergeCell ref="E205:E207"/>
    <mergeCell ref="F205:M205"/>
    <mergeCell ref="F206:G206"/>
    <mergeCell ref="H206:I206"/>
    <mergeCell ref="J206:K206"/>
    <mergeCell ref="L206:M206"/>
    <mergeCell ref="B190:B192"/>
    <mergeCell ref="C190:C192"/>
    <mergeCell ref="D190:D192"/>
    <mergeCell ref="E190:E192"/>
    <mergeCell ref="F190:M190"/>
    <mergeCell ref="F191:G191"/>
    <mergeCell ref="H191:I191"/>
    <mergeCell ref="J191:K191"/>
    <mergeCell ref="L191:M191"/>
    <mergeCell ref="B179:B181"/>
    <mergeCell ref="C179:C181"/>
    <mergeCell ref="D179:D181"/>
    <mergeCell ref="E179:E181"/>
    <mergeCell ref="F179:K179"/>
    <mergeCell ref="F180:G180"/>
    <mergeCell ref="H180:I180"/>
    <mergeCell ref="J180:K180"/>
    <mergeCell ref="B171:B173"/>
    <mergeCell ref="C171:C173"/>
    <mergeCell ref="D171:D173"/>
    <mergeCell ref="E171:E173"/>
    <mergeCell ref="F171:M171"/>
    <mergeCell ref="F172:G172"/>
    <mergeCell ref="H172:I172"/>
    <mergeCell ref="J172:K172"/>
    <mergeCell ref="L172:M172"/>
    <mergeCell ref="B163:B165"/>
    <mergeCell ref="C163:C165"/>
    <mergeCell ref="D163:D165"/>
    <mergeCell ref="E163:E165"/>
    <mergeCell ref="F163:K163"/>
    <mergeCell ref="F164:G164"/>
    <mergeCell ref="H164:I164"/>
    <mergeCell ref="J164:K164"/>
    <mergeCell ref="B155:B157"/>
    <mergeCell ref="C155:C157"/>
    <mergeCell ref="D155:D157"/>
    <mergeCell ref="E155:E157"/>
    <mergeCell ref="F155:M155"/>
    <mergeCell ref="F156:G156"/>
    <mergeCell ref="H156:I156"/>
    <mergeCell ref="J156:K156"/>
    <mergeCell ref="L156:M156"/>
    <mergeCell ref="B147:B149"/>
    <mergeCell ref="C147:C149"/>
    <mergeCell ref="D147:D149"/>
    <mergeCell ref="E147:E149"/>
    <mergeCell ref="F147:K147"/>
    <mergeCell ref="F148:G148"/>
    <mergeCell ref="H148:I148"/>
    <mergeCell ref="J148:K148"/>
    <mergeCell ref="B139:B141"/>
    <mergeCell ref="C139:C141"/>
    <mergeCell ref="D139:D141"/>
    <mergeCell ref="E139:E141"/>
    <mergeCell ref="F139:M139"/>
    <mergeCell ref="F140:G140"/>
    <mergeCell ref="H140:I140"/>
    <mergeCell ref="J140:K140"/>
    <mergeCell ref="L140:M140"/>
    <mergeCell ref="B131:B133"/>
    <mergeCell ref="C131:C133"/>
    <mergeCell ref="D131:D133"/>
    <mergeCell ref="E131:E133"/>
    <mergeCell ref="F131:K131"/>
    <mergeCell ref="F132:G132"/>
    <mergeCell ref="H132:I132"/>
    <mergeCell ref="J132:K132"/>
    <mergeCell ref="B123:B125"/>
    <mergeCell ref="C123:C125"/>
    <mergeCell ref="D123:D125"/>
    <mergeCell ref="E123:E125"/>
    <mergeCell ref="F123:M123"/>
    <mergeCell ref="F124:G124"/>
    <mergeCell ref="H124:I124"/>
    <mergeCell ref="J124:K124"/>
    <mergeCell ref="L124:M124"/>
    <mergeCell ref="B113:B115"/>
    <mergeCell ref="C113:C115"/>
    <mergeCell ref="D113:D115"/>
    <mergeCell ref="E113:E115"/>
    <mergeCell ref="F113:K113"/>
    <mergeCell ref="F114:G114"/>
    <mergeCell ref="H114:I114"/>
    <mergeCell ref="J114:K114"/>
    <mergeCell ref="B105:B107"/>
    <mergeCell ref="C105:C107"/>
    <mergeCell ref="D105:D107"/>
    <mergeCell ref="E105:E107"/>
    <mergeCell ref="F105:K105"/>
    <mergeCell ref="F106:G106"/>
    <mergeCell ref="H106:I106"/>
    <mergeCell ref="J106:K106"/>
    <mergeCell ref="B97:B99"/>
    <mergeCell ref="C97:C99"/>
    <mergeCell ref="D97:D99"/>
    <mergeCell ref="E97:E99"/>
    <mergeCell ref="F97:K97"/>
    <mergeCell ref="F98:G98"/>
    <mergeCell ref="H98:I98"/>
    <mergeCell ref="J98:K98"/>
    <mergeCell ref="B89:B91"/>
    <mergeCell ref="C89:C91"/>
    <mergeCell ref="D89:D91"/>
    <mergeCell ref="E89:E91"/>
    <mergeCell ref="F89:K89"/>
    <mergeCell ref="F90:G90"/>
    <mergeCell ref="H90:I90"/>
    <mergeCell ref="J90:K90"/>
    <mergeCell ref="J70:K70"/>
    <mergeCell ref="L70:M70"/>
    <mergeCell ref="B79:B80"/>
    <mergeCell ref="C79:C80"/>
    <mergeCell ref="D79:D80"/>
    <mergeCell ref="E79:E80"/>
    <mergeCell ref="F79:G79"/>
    <mergeCell ref="H79:I79"/>
    <mergeCell ref="J79:K79"/>
    <mergeCell ref="L79:M79"/>
    <mergeCell ref="B70:B71"/>
    <mergeCell ref="C70:C71"/>
    <mergeCell ref="D70:D71"/>
    <mergeCell ref="E70:E71"/>
    <mergeCell ref="F70:G70"/>
    <mergeCell ref="H70:I70"/>
    <mergeCell ref="J33:K33"/>
    <mergeCell ref="B50:B51"/>
    <mergeCell ref="C50:C51"/>
    <mergeCell ref="D50:D51"/>
    <mergeCell ref="E50:E51"/>
    <mergeCell ref="F50:G50"/>
    <mergeCell ref="H50:I50"/>
    <mergeCell ref="B33:B34"/>
    <mergeCell ref="C33:C34"/>
    <mergeCell ref="D33:D34"/>
    <mergeCell ref="E33:E34"/>
    <mergeCell ref="F33:G33"/>
    <mergeCell ref="H33:I33"/>
    <mergeCell ref="B4:B5"/>
    <mergeCell ref="C4:C5"/>
    <mergeCell ref="D4:D5"/>
    <mergeCell ref="E4:E5"/>
    <mergeCell ref="F4:G4"/>
    <mergeCell ref="H4:I4"/>
    <mergeCell ref="B23:B24"/>
    <mergeCell ref="C23:C24"/>
    <mergeCell ref="D23:D24"/>
    <mergeCell ref="E23:E24"/>
    <mergeCell ref="F23:G23"/>
    <mergeCell ref="H23:I23"/>
    <mergeCell ref="B13:B14"/>
    <mergeCell ref="C13:C14"/>
    <mergeCell ref="D13:D14"/>
    <mergeCell ref="E13:E14"/>
    <mergeCell ref="F13:G13"/>
    <mergeCell ref="H13:I13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항만공사(상반기)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2026-01-01T07:58:47Z</dcterms:modified>
</cp:coreProperties>
</file>