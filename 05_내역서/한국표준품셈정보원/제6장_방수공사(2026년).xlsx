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81352AFF-0E38-469B-82C3-67FE041779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방수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0" i="6" l="1"/>
  <c r="G279" i="6"/>
  <c r="G271" i="6"/>
  <c r="G272" i="6" s="1"/>
  <c r="G268" i="6"/>
  <c r="G267" i="6"/>
  <c r="G266" i="6"/>
  <c r="G263" i="6" s="1"/>
  <c r="G262" i="6"/>
  <c r="G264" i="6" s="1"/>
  <c r="G254" i="6"/>
  <c r="G255" i="6" s="1"/>
  <c r="G251" i="6"/>
  <c r="G252" i="6" s="1"/>
  <c r="M242" i="6"/>
  <c r="M241" i="6"/>
  <c r="M237" i="6"/>
  <c r="K237" i="6"/>
  <c r="I237" i="6"/>
  <c r="G237" i="6"/>
  <c r="M236" i="6"/>
  <c r="K236" i="6"/>
  <c r="I236" i="6"/>
  <c r="G236" i="6"/>
  <c r="M235" i="6"/>
  <c r="K235" i="6"/>
  <c r="I235" i="6"/>
  <c r="G235" i="6"/>
  <c r="M234" i="6"/>
  <c r="K234" i="6"/>
  <c r="I234" i="6"/>
  <c r="G234" i="6"/>
  <c r="M233" i="6"/>
  <c r="K233" i="6"/>
  <c r="I233" i="6"/>
  <c r="G233" i="6"/>
  <c r="M232" i="6"/>
  <c r="K232" i="6"/>
  <c r="I232" i="6"/>
  <c r="G232" i="6"/>
  <c r="M231" i="6"/>
  <c r="K231" i="6"/>
  <c r="I231" i="6"/>
  <c r="G231" i="6"/>
  <c r="M230" i="6"/>
  <c r="K230" i="6"/>
  <c r="I230" i="6"/>
  <c r="G230" i="6"/>
  <c r="M229" i="6"/>
  <c r="K229" i="6"/>
  <c r="I229" i="6"/>
  <c r="G229" i="6"/>
  <c r="I220" i="6"/>
  <c r="G209" i="6"/>
  <c r="I208" i="6"/>
  <c r="I199" i="6"/>
  <c r="G186" i="6"/>
  <c r="I185" i="6"/>
  <c r="G185" i="6"/>
  <c r="K174" i="6"/>
  <c r="K173" i="6"/>
  <c r="G162" i="6"/>
  <c r="I161" i="6"/>
  <c r="G150" i="6"/>
  <c r="I149" i="6"/>
  <c r="I137" i="6"/>
  <c r="I136" i="6"/>
  <c r="I138" i="6" s="1"/>
  <c r="I140" i="6" s="1"/>
  <c r="G128" i="6"/>
  <c r="G127" i="6"/>
  <c r="G116" i="6"/>
  <c r="G117" i="6" s="1"/>
  <c r="G119" i="6" s="1"/>
  <c r="I108" i="6"/>
  <c r="G107" i="6"/>
  <c r="G95" i="6"/>
  <c r="I94" i="6"/>
  <c r="I83" i="6"/>
  <c r="I82" i="6"/>
  <c r="G82" i="6"/>
  <c r="I74" i="6"/>
  <c r="G73" i="6"/>
  <c r="G61" i="6"/>
  <c r="G60" i="6"/>
  <c r="I52" i="6"/>
  <c r="G51" i="6"/>
  <c r="I44" i="6"/>
  <c r="I43" i="6"/>
  <c r="G43" i="6"/>
  <c r="G34" i="6"/>
  <c r="G33" i="6"/>
  <c r="G22" i="6"/>
  <c r="I21" i="6"/>
  <c r="I11" i="6"/>
  <c r="G10" i="6"/>
  <c r="G149" i="6" l="1"/>
  <c r="I95" i="6"/>
  <c r="G108" i="6"/>
  <c r="G173" i="6"/>
  <c r="I127" i="6"/>
  <c r="G174" i="6"/>
  <c r="G241" i="6"/>
  <c r="G238" i="6" s="1"/>
  <c r="G239" i="6" s="1"/>
  <c r="G52" i="6"/>
  <c r="G53" i="6" s="1"/>
  <c r="G55" i="6" s="1"/>
  <c r="G62" i="6"/>
  <c r="G64" i="6" s="1"/>
  <c r="I209" i="6"/>
  <c r="I210" i="6" s="1"/>
  <c r="I212" i="6" s="1"/>
  <c r="I22" i="6"/>
  <c r="I23" i="6" s="1"/>
  <c r="G74" i="6"/>
  <c r="G70" i="6" s="1"/>
  <c r="G71" i="6" s="1"/>
  <c r="K170" i="6"/>
  <c r="K171" i="6" s="1"/>
  <c r="K175" i="6"/>
  <c r="I45" i="6"/>
  <c r="I47" i="6" s="1"/>
  <c r="I84" i="6"/>
  <c r="I86" i="6" s="1"/>
  <c r="G104" i="6"/>
  <c r="G105" i="6" s="1"/>
  <c r="I162" i="6"/>
  <c r="I158" i="6" s="1"/>
  <c r="I159" i="6" s="1"/>
  <c r="I173" i="6"/>
  <c r="I174" i="6"/>
  <c r="I186" i="6"/>
  <c r="I182" i="6" s="1"/>
  <c r="I183" i="6" s="1"/>
  <c r="G208" i="6"/>
  <c r="G210" i="6" s="1"/>
  <c r="G212" i="6" s="1"/>
  <c r="I241" i="6"/>
  <c r="I238" i="6" s="1"/>
  <c r="I239" i="6" s="1"/>
  <c r="I51" i="6"/>
  <c r="I53" i="6" s="1"/>
  <c r="I55" i="6" s="1"/>
  <c r="I73" i="6"/>
  <c r="K241" i="6"/>
  <c r="G35" i="6"/>
  <c r="G30" i="6"/>
  <c r="G31" i="6" s="1"/>
  <c r="I96" i="6"/>
  <c r="I91" i="6"/>
  <c r="I92" i="6" s="1"/>
  <c r="I98" i="6" s="1"/>
  <c r="G11" i="6"/>
  <c r="G7" i="6" s="1"/>
  <c r="G8" i="6" s="1"/>
  <c r="G21" i="6"/>
  <c r="G109" i="6"/>
  <c r="G111" i="6" s="1"/>
  <c r="G137" i="6"/>
  <c r="I150" i="6"/>
  <c r="I146" i="6" s="1"/>
  <c r="I147" i="6" s="1"/>
  <c r="G161" i="6"/>
  <c r="G199" i="6"/>
  <c r="I219" i="6"/>
  <c r="G219" i="6"/>
  <c r="G257" i="6"/>
  <c r="G269" i="6"/>
  <c r="G274" i="6" s="1"/>
  <c r="G281" i="6"/>
  <c r="G283" i="6" s="1"/>
  <c r="G12" i="6"/>
  <c r="G44" i="6"/>
  <c r="G45" i="6" s="1"/>
  <c r="G47" i="6" s="1"/>
  <c r="G83" i="6"/>
  <c r="G84" i="6" s="1"/>
  <c r="G86" i="6" s="1"/>
  <c r="G94" i="6"/>
  <c r="I107" i="6"/>
  <c r="I128" i="6"/>
  <c r="G146" i="6"/>
  <c r="G147" i="6" s="1"/>
  <c r="G151" i="6"/>
  <c r="M238" i="6"/>
  <c r="M239" i="6" s="1"/>
  <c r="K242" i="6"/>
  <c r="K238" i="6" s="1"/>
  <c r="K239" i="6" s="1"/>
  <c r="I242" i="6"/>
  <c r="M243" i="6"/>
  <c r="I10" i="6"/>
  <c r="G124" i="6"/>
  <c r="G125" i="6" s="1"/>
  <c r="G129" i="6"/>
  <c r="G136" i="6"/>
  <c r="G182" i="6"/>
  <c r="G183" i="6" s="1"/>
  <c r="G187" i="6"/>
  <c r="I198" i="6"/>
  <c r="G198" i="6"/>
  <c r="G220" i="6"/>
  <c r="G242" i="6"/>
  <c r="G170" i="6" l="1"/>
  <c r="G171" i="6" s="1"/>
  <c r="I124" i="6"/>
  <c r="I125" i="6" s="1"/>
  <c r="I163" i="6"/>
  <c r="G131" i="6"/>
  <c r="I18" i="6"/>
  <c r="I19" i="6" s="1"/>
  <c r="I25" i="6" s="1"/>
  <c r="I243" i="6"/>
  <c r="I187" i="6"/>
  <c r="I189" i="6" s="1"/>
  <c r="G75" i="6"/>
  <c r="G77" i="6" s="1"/>
  <c r="G243" i="6"/>
  <c r="G245" i="6" s="1"/>
  <c r="G175" i="6"/>
  <c r="M245" i="6"/>
  <c r="I165" i="6"/>
  <c r="I75" i="6"/>
  <c r="I70" i="6"/>
  <c r="I71" i="6" s="1"/>
  <c r="I151" i="6"/>
  <c r="K177" i="6"/>
  <c r="G37" i="6"/>
  <c r="I170" i="6"/>
  <c r="I171" i="6" s="1"/>
  <c r="I175" i="6"/>
  <c r="I104" i="6"/>
  <c r="I105" i="6" s="1"/>
  <c r="I109" i="6"/>
  <c r="K243" i="6"/>
  <c r="K245" i="6" s="1"/>
  <c r="G189" i="6"/>
  <c r="I7" i="6"/>
  <c r="I8" i="6" s="1"/>
  <c r="I12" i="6"/>
  <c r="G96" i="6"/>
  <c r="G91" i="6"/>
  <c r="G92" i="6" s="1"/>
  <c r="G200" i="6"/>
  <c r="G195" i="6"/>
  <c r="G196" i="6" s="1"/>
  <c r="G138" i="6"/>
  <c r="G140" i="6" s="1"/>
  <c r="I245" i="6"/>
  <c r="G153" i="6"/>
  <c r="G221" i="6"/>
  <c r="G216" i="6"/>
  <c r="G217" i="6" s="1"/>
  <c r="G163" i="6"/>
  <c r="G158" i="6"/>
  <c r="G159" i="6" s="1"/>
  <c r="G165" i="6" s="1"/>
  <c r="G23" i="6"/>
  <c r="G18" i="6"/>
  <c r="G19" i="6" s="1"/>
  <c r="G14" i="6"/>
  <c r="I195" i="6"/>
  <c r="I196" i="6" s="1"/>
  <c r="I200" i="6"/>
  <c r="I216" i="6"/>
  <c r="I217" i="6" s="1"/>
  <c r="I221" i="6"/>
  <c r="I153" i="6"/>
  <c r="I129" i="6"/>
  <c r="G177" i="6" l="1"/>
  <c r="I131" i="6"/>
  <c r="I177" i="6"/>
  <c r="I77" i="6"/>
  <c r="G25" i="6"/>
  <c r="G223" i="6"/>
  <c r="G98" i="6"/>
  <c r="I223" i="6"/>
  <c r="I14" i="6"/>
  <c r="I111" i="6"/>
  <c r="I202" i="6"/>
  <c r="G202" i="6"/>
</calcChain>
</file>

<file path=xl/sharedStrings.xml><?xml version="1.0" encoding="utf-8"?>
<sst xmlns="http://schemas.openxmlformats.org/spreadsheetml/2006/main" count="518" uniqueCount="96">
  <si>
    <t>미장공</t>
  </si>
  <si>
    <t>방수공</t>
  </si>
  <si>
    <t>보통인부</t>
  </si>
  <si>
    <t>코킹공</t>
  </si>
  <si>
    <t>구분</t>
  </si>
  <si>
    <t>단가</t>
  </si>
  <si>
    <t>수량</t>
  </si>
  <si>
    <t>금액</t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</si>
  <si>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</si>
  <si>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</si>
  <si>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</si>
  <si>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</si>
  <si>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</si>
  <si>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</si>
  <si>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</si>
  <si>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</si>
  <si>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hr</t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</si>
  <si>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</si>
  <si>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</si>
  <si>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</si>
  <si>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</si>
  <si>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</si>
  <si>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인력품의 4%</t>
    <phoneticPr fontId="3" type="noConversion"/>
  </si>
  <si>
    <t>(㎡당)</t>
    <phoneticPr fontId="3" type="noConversion"/>
  </si>
  <si>
    <t>제 6 장 방수공사</t>
    <phoneticPr fontId="3" type="noConversion"/>
  </si>
  <si>
    <t>6-1 공통공사</t>
  </si>
  <si>
    <t>6-1-1 바탕처리</t>
    <phoneticPr fontId="3" type="noConversion"/>
  </si>
  <si>
    <t>인력품의 6%</t>
    <phoneticPr fontId="3" type="noConversion"/>
  </si>
  <si>
    <t>바닥</t>
    <phoneticPr fontId="3" type="noConversion"/>
  </si>
  <si>
    <t>수직부</t>
    <phoneticPr fontId="3" type="noConversion"/>
  </si>
  <si>
    <t>6-1-2 방수프라이머 바름</t>
    <phoneticPr fontId="3" type="noConversion"/>
  </si>
  <si>
    <t>6-1-3 방수층보호재 붙임</t>
    <phoneticPr fontId="3" type="noConversion"/>
  </si>
  <si>
    <t>PE필름</t>
  </si>
  <si>
    <t>PE필름</t>
    <phoneticPr fontId="3" type="noConversion"/>
  </si>
  <si>
    <t>발포 PE시트</t>
    <phoneticPr fontId="3" type="noConversion"/>
  </si>
  <si>
    <t>6-1-4 방수층 누름철물 설치</t>
    <phoneticPr fontId="3" type="noConversion"/>
  </si>
  <si>
    <t>(m당)</t>
    <phoneticPr fontId="3" type="noConversion"/>
  </si>
  <si>
    <t>6-2 도막방수</t>
  </si>
  <si>
    <t>6-2-1 도막바름</t>
    <phoneticPr fontId="3" type="noConversion"/>
  </si>
  <si>
    <t>6-2-2 보강포 붙임</t>
    <phoneticPr fontId="3" type="noConversion"/>
  </si>
  <si>
    <t>6-2-3 마감도료(Top-coat) 바름</t>
    <phoneticPr fontId="3" type="noConversion"/>
  </si>
  <si>
    <t>6-3 시트 방수</t>
  </si>
  <si>
    <t>6-3-1 가열식시트 붙임</t>
    <phoneticPr fontId="3" type="noConversion"/>
  </si>
  <si>
    <t>※ 재료량</t>
    <phoneticPr fontId="3" type="noConversion"/>
  </si>
  <si>
    <t>㎡</t>
    <phoneticPr fontId="3" type="noConversion"/>
  </si>
  <si>
    <t>개</t>
  </si>
  <si>
    <t>㎏</t>
  </si>
  <si>
    <t>시트</t>
  </si>
  <si>
    <t>6-3-2 접착식시트 붙임</t>
    <phoneticPr fontId="3" type="noConversion"/>
  </si>
  <si>
    <t>6-3-3 자착식시트 붙임</t>
    <phoneticPr fontId="3" type="noConversion"/>
  </si>
  <si>
    <t>6-4 시멘트 모르타르계 방수</t>
  </si>
  <si>
    <t>6-4-1 시멘트 액체방수 바름</t>
    <phoneticPr fontId="3" type="noConversion"/>
  </si>
  <si>
    <t>6-4-2 폴리머 시멘트 모르타르방수 바름</t>
    <phoneticPr fontId="3" type="noConversion"/>
  </si>
  <si>
    <t>6-4-3 방수모르타르 바름</t>
    <phoneticPr fontId="3" type="noConversion"/>
  </si>
  <si>
    <t>10㎜이하</t>
    <phoneticPr fontId="3" type="noConversion"/>
  </si>
  <si>
    <t>15㎜이하</t>
    <phoneticPr fontId="3" type="noConversion"/>
  </si>
  <si>
    <t>20㎜이하</t>
    <phoneticPr fontId="3" type="noConversion"/>
  </si>
  <si>
    <t>1종</t>
    <phoneticPr fontId="3" type="noConversion"/>
  </si>
  <si>
    <t>2종</t>
    <phoneticPr fontId="3" type="noConversion"/>
  </si>
  <si>
    <t>6-4-4 시멘트 혼입 폴리머계 도막방수 바름</t>
    <phoneticPr fontId="3" type="noConversion"/>
  </si>
  <si>
    <t>노출 공법</t>
    <phoneticPr fontId="3" type="noConversion"/>
  </si>
  <si>
    <t>비노출 공법</t>
    <phoneticPr fontId="3" type="noConversion"/>
  </si>
  <si>
    <t>6-5 기타방수</t>
  </si>
  <si>
    <t>6-5-1 규산질계 도포방수 바름</t>
    <phoneticPr fontId="3" type="noConversion"/>
  </si>
  <si>
    <t>6-5-2 액상형 흡수방지방수 도포</t>
    <phoneticPr fontId="3" type="noConversion"/>
  </si>
  <si>
    <t>바름</t>
    <phoneticPr fontId="3" type="noConversion"/>
  </si>
  <si>
    <t>뿜칠</t>
    <phoneticPr fontId="3" type="noConversion"/>
  </si>
  <si>
    <t>1층(회)</t>
    <phoneticPr fontId="3" type="noConversion"/>
  </si>
  <si>
    <t>2층(회)</t>
    <phoneticPr fontId="3" type="noConversion"/>
  </si>
  <si>
    <t>6-5-3 벤토나이트방수 붙임</t>
    <phoneticPr fontId="3" type="noConversion"/>
  </si>
  <si>
    <t>벤토나이트 매트</t>
    <phoneticPr fontId="3" type="noConversion"/>
  </si>
  <si>
    <t>벤토나이트 시트</t>
    <phoneticPr fontId="3" type="noConversion"/>
  </si>
  <si>
    <t>벤토나이트방수재</t>
  </si>
  <si>
    <t>㎡</t>
  </si>
  <si>
    <t>시트 1,220×6,700×4.5㎜</t>
  </si>
  <si>
    <t>벤토나이트씰재</t>
  </si>
  <si>
    <t>ℓ</t>
  </si>
  <si>
    <t>벤토나이트알갱이</t>
  </si>
  <si>
    <t>카트리지</t>
  </si>
  <si>
    <t>화약</t>
  </si>
  <si>
    <t>콘크리트못</t>
  </si>
  <si>
    <t>32㎜</t>
  </si>
  <si>
    <t>와셔</t>
  </si>
  <si>
    <t>조인트테이프</t>
  </si>
  <si>
    <t>m</t>
  </si>
  <si>
    <t>0.04㎜</t>
    <phoneticPr fontId="3" type="noConversion"/>
  </si>
  <si>
    <t>매트 1,219×4,570×6.4㎜</t>
    <phoneticPr fontId="3" type="noConversion"/>
  </si>
  <si>
    <t>6-6 부대공사</t>
  </si>
  <si>
    <t>6-6-1 수밀코킹</t>
    <phoneticPr fontId="3" type="noConversion"/>
  </si>
  <si>
    <t>실링재</t>
    <phoneticPr fontId="3" type="noConversion"/>
  </si>
  <si>
    <t>커터</t>
  </si>
  <si>
    <t>320~400㎜</t>
  </si>
  <si>
    <t>6-6-2 줄눈 절단</t>
    <phoneticPr fontId="3" type="noConversion"/>
  </si>
  <si>
    <t>6-6-3 줄눈 설치</t>
    <phoneticPr fontId="3" type="noConversion"/>
  </si>
  <si>
    <t>보통</t>
    <phoneticPr fontId="3" type="noConversion"/>
  </si>
  <si>
    <t>불량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</si>
</sst>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75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12" fillId="0" borderId="0" xfId="6" applyFont="1" applyAlignment="1">
      <alignment vertical="center"/>
    </xf>
    <xf numFmtId="181" fontId="9" fillId="0" borderId="5" xfId="7" applyNumberFormat="1" applyFont="1" applyFill="1" applyBorder="1" applyAlignment="1">
      <alignment vertical="center"/>
    </xf>
    <xf numFmtId="41" fontId="14" fillId="0" borderId="5" xfId="7" applyFont="1" applyFill="1" applyBorder="1" applyAlignment="1">
      <alignment vertical="center"/>
    </xf>
    <xf numFmtId="183" fontId="10" fillId="0" borderId="4" xfId="8" applyNumberFormat="1" applyFont="1" applyFill="1" applyBorder="1" applyAlignment="1">
      <alignment vertical="center"/>
    </xf>
    <xf numFmtId="41" fontId="14" fillId="0" borderId="5" xfId="8" applyFont="1" applyFill="1" applyBorder="1" applyAlignment="1">
      <alignment vertical="center"/>
    </xf>
    <xf numFmtId="185" fontId="17" fillId="0" borderId="0" xfId="4" applyNumberFormat="1" applyFont="1" applyAlignment="1">
      <alignment vertical="center"/>
    </xf>
    <xf numFmtId="0" fontId="6" fillId="0" borderId="0" xfId="0" applyFont="1" applyAlignment="1"/>
    <xf numFmtId="0" fontId="13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11" fillId="0" borderId="0" xfId="3" applyFont="1" applyAlignment="1">
      <alignment horizontal="right" vertical="center"/>
    </xf>
    <xf numFmtId="0" fontId="11" fillId="0" borderId="1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9" fillId="0" borderId="3" xfId="6" applyFont="1" applyBorder="1" applyAlignment="1">
      <alignment vertical="center"/>
    </xf>
    <xf numFmtId="0" fontId="9" fillId="0" borderId="3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0" fontId="9" fillId="0" borderId="4" xfId="6" applyFont="1" applyBorder="1" applyAlignment="1">
      <alignment horizontal="right" vertical="center"/>
    </xf>
    <xf numFmtId="41" fontId="9" fillId="0" borderId="4" xfId="8" applyFont="1" applyFill="1" applyBorder="1" applyAlignment="1">
      <alignment vertical="center"/>
    </xf>
    <xf numFmtId="0" fontId="14" fillId="0" borderId="3" xfId="6" applyFont="1" applyBorder="1" applyAlignment="1">
      <alignment horizontal="left" vertical="center"/>
    </xf>
    <xf numFmtId="0" fontId="15" fillId="0" borderId="3" xfId="6" applyFont="1" applyBorder="1" applyAlignment="1">
      <alignment horizontal="left" vertical="center"/>
    </xf>
    <xf numFmtId="0" fontId="15" fillId="0" borderId="4" xfId="3" applyFont="1" applyBorder="1" applyAlignment="1">
      <alignment horizontal="center" vertical="center"/>
    </xf>
    <xf numFmtId="0" fontId="14" fillId="0" borderId="4" xfId="6" applyFont="1" applyBorder="1" applyAlignment="1">
      <alignment vertical="center"/>
    </xf>
    <xf numFmtId="182" fontId="9" fillId="0" borderId="4" xfId="8" applyNumberFormat="1" applyFont="1" applyFill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6" fillId="0" borderId="3" xfId="2" applyFont="1" applyBorder="1" applyAlignment="1">
      <alignment horizontal="left" vertical="center"/>
    </xf>
    <xf numFmtId="41" fontId="10" fillId="0" borderId="4" xfId="1" applyFont="1" applyFill="1" applyBorder="1" applyAlignment="1">
      <alignment vertical="center"/>
    </xf>
    <xf numFmtId="41" fontId="10" fillId="0" borderId="0" xfId="8" applyFont="1" applyFill="1" applyBorder="1" applyAlignment="1">
      <alignment vertical="center"/>
    </xf>
    <xf numFmtId="0" fontId="11" fillId="0" borderId="3" xfId="3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3" xfId="3" applyFont="1" applyBorder="1" applyAlignment="1">
      <alignment horizontal="center" vertical="center"/>
    </xf>
    <xf numFmtId="41" fontId="15" fillId="0" borderId="4" xfId="0" applyNumberFormat="1" applyFont="1" applyBorder="1">
      <alignment vertical="center"/>
    </xf>
    <xf numFmtId="183" fontId="9" fillId="0" borderId="4" xfId="8" applyNumberFormat="1" applyFont="1" applyFill="1" applyBorder="1" applyAlignment="1">
      <alignment vertical="center"/>
    </xf>
    <xf numFmtId="0" fontId="14" fillId="0" borderId="3" xfId="3" applyFont="1" applyBorder="1" applyAlignment="1">
      <alignment vertical="center"/>
    </xf>
    <xf numFmtId="0" fontId="10" fillId="0" borderId="8" xfId="6" applyFont="1" applyBorder="1" applyAlignment="1">
      <alignment horizontal="left" vertical="center"/>
    </xf>
    <xf numFmtId="0" fontId="16" fillId="0" borderId="8" xfId="2" applyFont="1" applyBorder="1" applyAlignment="1">
      <alignment horizontal="left" vertical="center"/>
    </xf>
    <xf numFmtId="0" fontId="10" fillId="0" borderId="6" xfId="2" applyFont="1" applyBorder="1" applyAlignment="1">
      <alignment vertical="center"/>
    </xf>
    <xf numFmtId="41" fontId="10" fillId="0" borderId="7" xfId="8" applyFont="1" applyFill="1" applyBorder="1" applyAlignme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41" fontId="9" fillId="0" borderId="4" xfId="1" applyFont="1" applyFill="1" applyBorder="1" applyAlignment="1">
      <alignment horizontal="right" vertical="center"/>
    </xf>
    <xf numFmtId="180" fontId="9" fillId="0" borderId="4" xfId="8" applyNumberFormat="1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9" fillId="0" borderId="3" xfId="2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41" fontId="15" fillId="0" borderId="9" xfId="0" applyNumberFormat="1" applyFont="1" applyBorder="1">
      <alignment vertical="center"/>
    </xf>
    <xf numFmtId="182" fontId="10" fillId="0" borderId="4" xfId="8" applyNumberFormat="1" applyFont="1" applyFill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9" fillId="0" borderId="3" xfId="6" applyFont="1" applyBorder="1" applyAlignment="1">
      <alignment horizontal="left" vertical="center"/>
    </xf>
    <xf numFmtId="41" fontId="9" fillId="0" borderId="4" xfId="2" applyNumberFormat="1" applyFont="1" applyBorder="1" applyAlignment="1">
      <alignment vertical="center"/>
    </xf>
    <xf numFmtId="180" fontId="9" fillId="0" borderId="0" xfId="8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 shrinkToFit="1"/>
    </xf>
    <xf numFmtId="0" fontId="11" fillId="0" borderId="11" xfId="3" applyFont="1" applyBorder="1" applyAlignment="1">
      <alignment horizontal="center" vertical="center" shrinkToFit="1"/>
    </xf>
    <xf numFmtId="0" fontId="11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F19B-77BF-4D22-82C4-F67EE004BE5F}">
  <sheetPr>
    <pageSetUpPr fitToPage="1"/>
  </sheetPr>
  <dimension ref="A1:O308"/>
  <sheetViews>
    <sheetView tabSelected="1" zoomScaleNormal="100" workbookViewId="0">
      <selection activeCell="J25" sqref="J25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13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2" ht="12.95" customHeight="1" x14ac:dyDescent="0.3">
      <c r="A1" s="8"/>
      <c r="B1" s="10" t="s">
        <v>24</v>
      </c>
      <c r="C1" s="11"/>
      <c r="D1" s="12"/>
    </row>
    <row r="2" spans="1:12" ht="12.95" customHeight="1" x14ac:dyDescent="0.15">
      <c r="A2" s="9"/>
      <c r="B2" s="12" t="s">
        <v>25</v>
      </c>
    </row>
    <row r="3" spans="1:12" ht="12.95" customHeight="1" x14ac:dyDescent="0.3">
      <c r="B3" s="14" t="s">
        <v>26</v>
      </c>
      <c r="C3" s="15"/>
      <c r="D3" s="16"/>
      <c r="E3" s="17"/>
      <c r="F3" s="16"/>
      <c r="G3" s="16"/>
      <c r="I3" s="18" t="s">
        <v>23</v>
      </c>
    </row>
    <row r="4" spans="1:12" ht="12.95" customHeight="1" x14ac:dyDescent="0.3">
      <c r="B4" s="58" t="s">
        <v>4</v>
      </c>
      <c r="C4" s="61" t="s">
        <v>15</v>
      </c>
      <c r="D4" s="64" t="s">
        <v>8</v>
      </c>
      <c r="E4" s="67" t="s">
        <v>5</v>
      </c>
      <c r="F4" s="70" t="s">
        <v>94</v>
      </c>
      <c r="G4" s="71"/>
      <c r="H4" s="71"/>
      <c r="I4" s="71"/>
    </row>
    <row r="5" spans="1:12" ht="12.95" customHeight="1" x14ac:dyDescent="0.3">
      <c r="B5" s="59"/>
      <c r="C5" s="62"/>
      <c r="D5" s="65"/>
      <c r="E5" s="68"/>
      <c r="F5" s="70" t="s">
        <v>28</v>
      </c>
      <c r="G5" s="71"/>
      <c r="H5" s="70" t="s">
        <v>29</v>
      </c>
      <c r="I5" s="71"/>
    </row>
    <row r="6" spans="1:12" ht="12.95" customHeight="1" x14ac:dyDescent="0.3">
      <c r="B6" s="60"/>
      <c r="C6" s="63"/>
      <c r="D6" s="66"/>
      <c r="E6" s="69"/>
      <c r="F6" s="19" t="s">
        <v>6</v>
      </c>
      <c r="G6" s="20" t="s">
        <v>7</v>
      </c>
      <c r="H6" s="19" t="s">
        <v>6</v>
      </c>
      <c r="I6" s="20" t="s">
        <v>7</v>
      </c>
    </row>
    <row r="7" spans="1:12" ht="12.95" customHeight="1" x14ac:dyDescent="0.3">
      <c r="B7" s="21" t="s">
        <v>19</v>
      </c>
      <c r="C7" s="22" t="s">
        <v>22</v>
      </c>
      <c r="D7" s="23" t="s">
        <v>14</v>
      </c>
      <c r="E7" s="24"/>
      <c r="F7" s="25">
        <v>1</v>
      </c>
      <c r="G7" s="4">
        <f>TRUNC(SUM(G10:G11)*0.04,1)</f>
        <v>356.5</v>
      </c>
      <c r="H7" s="25">
        <v>1</v>
      </c>
      <c r="I7" s="4">
        <f>TRUNC(SUM(I10:I11)*0.04,1)</f>
        <v>388.5</v>
      </c>
    </row>
    <row r="8" spans="1:12" ht="12.95" customHeight="1" x14ac:dyDescent="0.3">
      <c r="B8" s="26" t="s">
        <v>10</v>
      </c>
      <c r="C8" s="27"/>
      <c r="D8" s="28"/>
      <c r="E8" s="29"/>
      <c r="F8" s="30"/>
      <c r="G8" s="5">
        <f>TRUNC(SUM(G7))</f>
        <v>356</v>
      </c>
      <c r="H8" s="30"/>
      <c r="I8" s="5">
        <f>TRUNC(SUM(I7))</f>
        <v>388</v>
      </c>
    </row>
    <row r="9" spans="1:12" ht="12.95" customHeight="1" x14ac:dyDescent="0.3">
      <c r="B9" s="31"/>
      <c r="C9" s="32"/>
      <c r="D9" s="32"/>
      <c r="E9" s="33"/>
      <c r="F9" s="6"/>
      <c r="G9" s="34"/>
      <c r="H9" s="6"/>
      <c r="I9" s="34"/>
    </row>
    <row r="10" spans="1:12" ht="12.95" customHeight="1" x14ac:dyDescent="0.3">
      <c r="B10" s="35" t="s">
        <v>1</v>
      </c>
      <c r="C10" s="36"/>
      <c r="D10" s="37" t="s">
        <v>9</v>
      </c>
      <c r="E10" s="38">
        <v>228286</v>
      </c>
      <c r="F10" s="39">
        <v>0.03</v>
      </c>
      <c r="G10" s="2">
        <f t="shared" ref="G10:G11" si="0">TRUNC($E10*F10,1)</f>
        <v>6848.5</v>
      </c>
      <c r="H10" s="39">
        <v>3.2000000000000001E-2</v>
      </c>
      <c r="I10" s="2">
        <f t="shared" ref="I10:I11" si="1">TRUNC($E10*H10,1)</f>
        <v>7305.1</v>
      </c>
    </row>
    <row r="11" spans="1:12" ht="12.95" customHeight="1" x14ac:dyDescent="0.3">
      <c r="B11" s="35" t="s">
        <v>2</v>
      </c>
      <c r="C11" s="36"/>
      <c r="D11" s="37" t="s">
        <v>9</v>
      </c>
      <c r="E11" s="38">
        <v>172068</v>
      </c>
      <c r="F11" s="39">
        <v>1.2E-2</v>
      </c>
      <c r="G11" s="2">
        <f t="shared" si="0"/>
        <v>2064.8000000000002</v>
      </c>
      <c r="H11" s="39">
        <v>1.4E-2</v>
      </c>
      <c r="I11" s="2">
        <f t="shared" si="1"/>
        <v>2408.9</v>
      </c>
    </row>
    <row r="12" spans="1:12" ht="12.95" customHeight="1" x14ac:dyDescent="0.3">
      <c r="B12" s="40" t="s">
        <v>11</v>
      </c>
      <c r="C12" s="32"/>
      <c r="D12" s="32"/>
      <c r="E12" s="33"/>
      <c r="F12" s="6"/>
      <c r="G12" s="7">
        <f>TRUNC(SUM(G10:G11))</f>
        <v>8913</v>
      </c>
      <c r="H12" s="6"/>
      <c r="I12" s="7">
        <f>TRUNC(SUM(I10:I11))</f>
        <v>9714</v>
      </c>
    </row>
    <row r="13" spans="1:12" ht="12.95" customHeight="1" x14ac:dyDescent="0.3">
      <c r="B13" s="31"/>
      <c r="C13" s="32"/>
      <c r="D13" s="32"/>
      <c r="E13" s="33"/>
      <c r="F13" s="6"/>
      <c r="G13" s="34"/>
      <c r="H13" s="6"/>
      <c r="I13" s="34"/>
    </row>
    <row r="14" spans="1:12" ht="12.95" customHeight="1" x14ac:dyDescent="0.3">
      <c r="B14" s="41" t="s">
        <v>13</v>
      </c>
      <c r="C14" s="42"/>
      <c r="D14" s="42"/>
      <c r="E14" s="43"/>
      <c r="F14" s="43"/>
      <c r="G14" s="44">
        <f>SUM(G8+G12)</f>
        <v>9269</v>
      </c>
      <c r="H14" s="43"/>
      <c r="I14" s="44">
        <f>SUM(I8+I12)</f>
        <v>10102</v>
      </c>
      <c r="L14" s="45"/>
    </row>
    <row r="15" spans="1:12" ht="12.95" customHeight="1" x14ac:dyDescent="0.3">
      <c r="B15" s="58" t="s">
        <v>4</v>
      </c>
      <c r="C15" s="61" t="s">
        <v>15</v>
      </c>
      <c r="D15" s="64" t="s">
        <v>8</v>
      </c>
      <c r="E15" s="67" t="s">
        <v>5</v>
      </c>
      <c r="F15" s="70" t="s">
        <v>95</v>
      </c>
      <c r="G15" s="71"/>
      <c r="H15" s="71"/>
      <c r="I15" s="71"/>
    </row>
    <row r="16" spans="1:12" ht="12.95" customHeight="1" x14ac:dyDescent="0.3">
      <c r="B16" s="59"/>
      <c r="C16" s="62"/>
      <c r="D16" s="65"/>
      <c r="E16" s="68"/>
      <c r="F16" s="70" t="s">
        <v>28</v>
      </c>
      <c r="G16" s="71"/>
      <c r="H16" s="70" t="s">
        <v>29</v>
      </c>
      <c r="I16" s="71"/>
    </row>
    <row r="17" spans="2:12" ht="12.95" customHeight="1" x14ac:dyDescent="0.3">
      <c r="B17" s="60"/>
      <c r="C17" s="63"/>
      <c r="D17" s="66"/>
      <c r="E17" s="69"/>
      <c r="F17" s="19" t="s">
        <v>6</v>
      </c>
      <c r="G17" s="20" t="s">
        <v>7</v>
      </c>
      <c r="H17" s="19" t="s">
        <v>6</v>
      </c>
      <c r="I17" s="20" t="s">
        <v>7</v>
      </c>
    </row>
    <row r="18" spans="2:12" ht="12.95" customHeight="1" x14ac:dyDescent="0.3">
      <c r="B18" s="21" t="s">
        <v>19</v>
      </c>
      <c r="C18" s="22" t="s">
        <v>27</v>
      </c>
      <c r="D18" s="23" t="s">
        <v>14</v>
      </c>
      <c r="E18" s="24"/>
      <c r="F18" s="25">
        <v>1</v>
      </c>
      <c r="G18" s="4">
        <f>TRUNC(SUM(G21:G22)*0.06,1)</f>
        <v>647.9</v>
      </c>
      <c r="H18" s="25">
        <v>1</v>
      </c>
      <c r="I18" s="4">
        <f>TRUNC(SUM(I21:I22)*0.06,1)</f>
        <v>723.3</v>
      </c>
    </row>
    <row r="19" spans="2:12" ht="12.95" customHeight="1" x14ac:dyDescent="0.3">
      <c r="B19" s="26" t="s">
        <v>10</v>
      </c>
      <c r="C19" s="27"/>
      <c r="D19" s="28"/>
      <c r="E19" s="29"/>
      <c r="F19" s="30"/>
      <c r="G19" s="5">
        <f>TRUNC(SUM(G18))</f>
        <v>647</v>
      </c>
      <c r="H19" s="30"/>
      <c r="I19" s="5">
        <f>TRUNC(SUM(I18))</f>
        <v>723</v>
      </c>
    </row>
    <row r="20" spans="2:12" ht="12.95" customHeight="1" x14ac:dyDescent="0.3">
      <c r="B20" s="31"/>
      <c r="C20" s="32"/>
      <c r="D20" s="32"/>
      <c r="E20" s="33"/>
      <c r="F20" s="6"/>
      <c r="G20" s="34"/>
      <c r="H20" s="6"/>
      <c r="I20" s="34"/>
    </row>
    <row r="21" spans="2:12" ht="12.95" customHeight="1" x14ac:dyDescent="0.3">
      <c r="B21" s="35" t="s">
        <v>1</v>
      </c>
      <c r="C21" s="36"/>
      <c r="D21" s="37" t="s">
        <v>9</v>
      </c>
      <c r="E21" s="38">
        <v>228286</v>
      </c>
      <c r="F21" s="39">
        <v>3.5999999999999997E-2</v>
      </c>
      <c r="G21" s="2">
        <f t="shared" ref="G21:G22" si="2">TRUNC($E21*F21,1)</f>
        <v>8218.2000000000007</v>
      </c>
      <c r="H21" s="39">
        <v>0.04</v>
      </c>
      <c r="I21" s="2">
        <f t="shared" ref="I21:I22" si="3">TRUNC($E21*H21,1)</f>
        <v>9131.4</v>
      </c>
    </row>
    <row r="22" spans="2:12" ht="12.95" customHeight="1" x14ac:dyDescent="0.3">
      <c r="B22" s="35" t="s">
        <v>2</v>
      </c>
      <c r="C22" s="36"/>
      <c r="D22" s="37" t="s">
        <v>9</v>
      </c>
      <c r="E22" s="38">
        <v>172068</v>
      </c>
      <c r="F22" s="39">
        <v>1.4999999999999999E-2</v>
      </c>
      <c r="G22" s="2">
        <f t="shared" si="2"/>
        <v>2581</v>
      </c>
      <c r="H22" s="39">
        <v>1.7000000000000001E-2</v>
      </c>
      <c r="I22" s="2">
        <f t="shared" si="3"/>
        <v>2925.1</v>
      </c>
    </row>
    <row r="23" spans="2:12" ht="12.95" customHeight="1" x14ac:dyDescent="0.3">
      <c r="B23" s="40" t="s">
        <v>11</v>
      </c>
      <c r="C23" s="32"/>
      <c r="D23" s="32"/>
      <c r="E23" s="33"/>
      <c r="F23" s="6"/>
      <c r="G23" s="7">
        <f>TRUNC(SUM(G21:G22))</f>
        <v>10799</v>
      </c>
      <c r="H23" s="6"/>
      <c r="I23" s="7">
        <f>TRUNC(SUM(I21:I22))</f>
        <v>12056</v>
      </c>
    </row>
    <row r="24" spans="2:12" ht="12.95" customHeight="1" x14ac:dyDescent="0.3">
      <c r="B24" s="31"/>
      <c r="C24" s="32"/>
      <c r="D24" s="32"/>
      <c r="E24" s="33"/>
      <c r="F24" s="6"/>
      <c r="G24" s="34"/>
      <c r="H24" s="6"/>
      <c r="I24" s="34"/>
    </row>
    <row r="25" spans="2:12" ht="12.95" customHeight="1" x14ac:dyDescent="0.3">
      <c r="B25" s="41" t="s">
        <v>13</v>
      </c>
      <c r="C25" s="42"/>
      <c r="D25" s="42"/>
      <c r="E25" s="43"/>
      <c r="F25" s="43"/>
      <c r="G25" s="44">
        <f>SUM(G19+G23)</f>
        <v>11446</v>
      </c>
      <c r="H25" s="43"/>
      <c r="I25" s="44">
        <f>SUM(I19+I23)</f>
        <v>12779</v>
      </c>
      <c r="L25" s="45"/>
    </row>
    <row r="26" spans="2:12" ht="12.95" customHeight="1" x14ac:dyDescent="0.3">
      <c r="K26" s="45"/>
      <c r="L26" s="45"/>
    </row>
    <row r="27" spans="2:12" ht="12.95" customHeight="1" x14ac:dyDescent="0.3">
      <c r="B27" s="14" t="s">
        <v>30</v>
      </c>
      <c r="C27" s="15"/>
      <c r="D27" s="16"/>
      <c r="E27" s="17"/>
      <c r="F27" s="16"/>
      <c r="G27" s="18" t="s">
        <v>23</v>
      </c>
      <c r="K27" s="45"/>
      <c r="L27" s="45"/>
    </row>
    <row r="28" spans="2:12" ht="12.95" customHeight="1" x14ac:dyDescent="0.3">
      <c r="B28" s="58" t="s">
        <v>4</v>
      </c>
      <c r="C28" s="61" t="s">
        <v>15</v>
      </c>
      <c r="D28" s="72" t="s">
        <v>8</v>
      </c>
      <c r="E28" s="67" t="s">
        <v>5</v>
      </c>
      <c r="F28" s="72" t="s">
        <v>17</v>
      </c>
      <c r="G28" s="73" t="s">
        <v>18</v>
      </c>
      <c r="K28" s="45"/>
      <c r="L28" s="45"/>
    </row>
    <row r="29" spans="2:12" ht="12.95" customHeight="1" x14ac:dyDescent="0.3">
      <c r="B29" s="60"/>
      <c r="C29" s="63"/>
      <c r="D29" s="72"/>
      <c r="E29" s="69"/>
      <c r="F29" s="72"/>
      <c r="G29" s="74"/>
      <c r="K29" s="45"/>
      <c r="L29" s="45"/>
    </row>
    <row r="30" spans="2:12" ht="12.95" customHeight="1" x14ac:dyDescent="0.3">
      <c r="B30" s="21" t="s">
        <v>19</v>
      </c>
      <c r="C30" s="22" t="s">
        <v>20</v>
      </c>
      <c r="D30" s="23" t="s">
        <v>14</v>
      </c>
      <c r="E30" s="24"/>
      <c r="F30" s="25">
        <v>1</v>
      </c>
      <c r="G30" s="4">
        <f>TRUNC(SUM(G33:G34)*0.02,1)</f>
        <v>67.400000000000006</v>
      </c>
      <c r="K30" s="45"/>
      <c r="L30" s="45"/>
    </row>
    <row r="31" spans="2:12" ht="12.95" customHeight="1" x14ac:dyDescent="0.3">
      <c r="B31" s="26" t="s">
        <v>10</v>
      </c>
      <c r="C31" s="27"/>
      <c r="D31" s="28"/>
      <c r="E31" s="29"/>
      <c r="F31" s="30"/>
      <c r="G31" s="5">
        <f>TRUNC(SUM(G30))</f>
        <v>67</v>
      </c>
      <c r="K31" s="45"/>
      <c r="L31" s="45"/>
    </row>
    <row r="32" spans="2:12" ht="12.95" customHeight="1" x14ac:dyDescent="0.3">
      <c r="B32" s="31"/>
      <c r="C32" s="32"/>
      <c r="D32" s="32"/>
      <c r="E32" s="33"/>
      <c r="F32" s="6"/>
      <c r="G32" s="34"/>
    </row>
    <row r="33" spans="2:12" ht="12.95" customHeight="1" x14ac:dyDescent="0.3">
      <c r="B33" s="35" t="s">
        <v>1</v>
      </c>
      <c r="C33" s="36"/>
      <c r="D33" s="37" t="s">
        <v>9</v>
      </c>
      <c r="E33" s="38">
        <v>228286</v>
      </c>
      <c r="F33" s="39">
        <v>1.0999999999999999E-2</v>
      </c>
      <c r="G33" s="2">
        <f t="shared" ref="G33:G34" si="4">TRUNC($E33*F33,1)</f>
        <v>2511.1</v>
      </c>
    </row>
    <row r="34" spans="2:12" ht="12.95" customHeight="1" x14ac:dyDescent="0.3">
      <c r="B34" s="35" t="s">
        <v>2</v>
      </c>
      <c r="C34" s="36"/>
      <c r="D34" s="37" t="s">
        <v>9</v>
      </c>
      <c r="E34" s="38">
        <v>172068</v>
      </c>
      <c r="F34" s="39">
        <v>5.0000000000000001E-3</v>
      </c>
      <c r="G34" s="2">
        <f t="shared" si="4"/>
        <v>860.3</v>
      </c>
    </row>
    <row r="35" spans="2:12" ht="12.95" customHeight="1" x14ac:dyDescent="0.3">
      <c r="B35" s="40" t="s">
        <v>11</v>
      </c>
      <c r="C35" s="32"/>
      <c r="D35" s="32"/>
      <c r="E35" s="33"/>
      <c r="F35" s="6"/>
      <c r="G35" s="7">
        <f>TRUNC(SUM(G33:G34))</f>
        <v>3371</v>
      </c>
    </row>
    <row r="36" spans="2:12" ht="12.95" customHeight="1" x14ac:dyDescent="0.3">
      <c r="B36" s="31"/>
      <c r="C36" s="32"/>
      <c r="D36" s="32"/>
      <c r="E36" s="33"/>
      <c r="F36" s="6"/>
      <c r="G36" s="34"/>
    </row>
    <row r="37" spans="2:12" ht="12.95" customHeight="1" x14ac:dyDescent="0.3">
      <c r="B37" s="41" t="s">
        <v>13</v>
      </c>
      <c r="C37" s="42"/>
      <c r="D37" s="42"/>
      <c r="E37" s="43"/>
      <c r="F37" s="43"/>
      <c r="G37" s="44">
        <f>SUM(G31+G35)</f>
        <v>3438</v>
      </c>
      <c r="I37" s="45"/>
    </row>
    <row r="38" spans="2:12" ht="12.95" customHeight="1" x14ac:dyDescent="0.3">
      <c r="H38" s="45"/>
      <c r="I38" s="45"/>
    </row>
    <row r="39" spans="2:12" ht="12.95" customHeight="1" x14ac:dyDescent="0.3">
      <c r="B39" s="14" t="s">
        <v>31</v>
      </c>
      <c r="C39" s="15"/>
      <c r="D39" s="16"/>
      <c r="E39" s="17"/>
      <c r="F39" s="16"/>
      <c r="G39" s="16"/>
      <c r="I39" s="18" t="s">
        <v>23</v>
      </c>
    </row>
    <row r="40" spans="2:12" ht="12.95" customHeight="1" x14ac:dyDescent="0.3">
      <c r="B40" s="58" t="s">
        <v>4</v>
      </c>
      <c r="C40" s="61" t="s">
        <v>15</v>
      </c>
      <c r="D40" s="64" t="s">
        <v>8</v>
      </c>
      <c r="E40" s="67" t="s">
        <v>5</v>
      </c>
      <c r="F40" s="70" t="s">
        <v>33</v>
      </c>
      <c r="G40" s="71"/>
      <c r="H40" s="71"/>
      <c r="I40" s="71"/>
    </row>
    <row r="41" spans="2:12" ht="12.95" customHeight="1" x14ac:dyDescent="0.3">
      <c r="B41" s="59"/>
      <c r="C41" s="62"/>
      <c r="D41" s="65"/>
      <c r="E41" s="68"/>
      <c r="F41" s="70" t="s">
        <v>28</v>
      </c>
      <c r="G41" s="71"/>
      <c r="H41" s="70" t="s">
        <v>29</v>
      </c>
      <c r="I41" s="71"/>
    </row>
    <row r="42" spans="2:12" ht="12.95" customHeight="1" x14ac:dyDescent="0.3">
      <c r="B42" s="60"/>
      <c r="C42" s="63"/>
      <c r="D42" s="66"/>
      <c r="E42" s="69"/>
      <c r="F42" s="19" t="s">
        <v>6</v>
      </c>
      <c r="G42" s="20" t="s">
        <v>7</v>
      </c>
      <c r="H42" s="19" t="s">
        <v>6</v>
      </c>
      <c r="I42" s="20" t="s">
        <v>7</v>
      </c>
    </row>
    <row r="43" spans="2:12" ht="12.95" customHeight="1" x14ac:dyDescent="0.3">
      <c r="B43" s="35" t="s">
        <v>1</v>
      </c>
      <c r="C43" s="36"/>
      <c r="D43" s="37" t="s">
        <v>9</v>
      </c>
      <c r="E43" s="38">
        <v>228286</v>
      </c>
      <c r="F43" s="39">
        <v>1.0999999999999999E-2</v>
      </c>
      <c r="G43" s="2">
        <f t="shared" ref="G43:G44" si="5">TRUNC($E43*F43,1)</f>
        <v>2511.1</v>
      </c>
      <c r="H43" s="39">
        <v>1.2999999999999999E-2</v>
      </c>
      <c r="I43" s="2">
        <f t="shared" ref="I43:I44" si="6">TRUNC($E43*H43,1)</f>
        <v>2967.7</v>
      </c>
    </row>
    <row r="44" spans="2:12" ht="12.95" customHeight="1" x14ac:dyDescent="0.3">
      <c r="B44" s="35" t="s">
        <v>2</v>
      </c>
      <c r="C44" s="36"/>
      <c r="D44" s="37" t="s">
        <v>9</v>
      </c>
      <c r="E44" s="38">
        <v>172068</v>
      </c>
      <c r="F44" s="39">
        <v>3.0000000000000001E-3</v>
      </c>
      <c r="G44" s="2">
        <f t="shared" si="5"/>
        <v>516.20000000000005</v>
      </c>
      <c r="H44" s="39">
        <v>4.0000000000000001E-3</v>
      </c>
      <c r="I44" s="2">
        <f t="shared" si="6"/>
        <v>688.2</v>
      </c>
    </row>
    <row r="45" spans="2:12" ht="12.95" customHeight="1" x14ac:dyDescent="0.3">
      <c r="B45" s="40" t="s">
        <v>11</v>
      </c>
      <c r="C45" s="32"/>
      <c r="D45" s="32"/>
      <c r="E45" s="33"/>
      <c r="F45" s="6"/>
      <c r="G45" s="7">
        <f>TRUNC(SUM(G43:G44))</f>
        <v>3027</v>
      </c>
      <c r="H45" s="6"/>
      <c r="I45" s="7">
        <f>TRUNC(SUM(I43:I44))</f>
        <v>3655</v>
      </c>
    </row>
    <row r="46" spans="2:12" ht="12.95" customHeight="1" x14ac:dyDescent="0.3">
      <c r="B46" s="31"/>
      <c r="C46" s="32"/>
      <c r="D46" s="32"/>
      <c r="E46" s="33"/>
      <c r="F46" s="6"/>
      <c r="G46" s="34"/>
      <c r="H46" s="6"/>
      <c r="I46" s="34"/>
    </row>
    <row r="47" spans="2:12" ht="12.95" customHeight="1" x14ac:dyDescent="0.3">
      <c r="B47" s="41" t="s">
        <v>13</v>
      </c>
      <c r="C47" s="42"/>
      <c r="D47" s="42"/>
      <c r="E47" s="43"/>
      <c r="F47" s="43"/>
      <c r="G47" s="44">
        <f>SUM(G45)</f>
        <v>3027</v>
      </c>
      <c r="H47" s="43"/>
      <c r="I47" s="44">
        <f>SUM(I45)</f>
        <v>3655</v>
      </c>
      <c r="L47" s="45"/>
    </row>
    <row r="48" spans="2:12" ht="12.95" customHeight="1" x14ac:dyDescent="0.3">
      <c r="B48" s="58" t="s">
        <v>4</v>
      </c>
      <c r="C48" s="61" t="s">
        <v>15</v>
      </c>
      <c r="D48" s="64" t="s">
        <v>8</v>
      </c>
      <c r="E48" s="67" t="s">
        <v>5</v>
      </c>
      <c r="F48" s="70" t="s">
        <v>34</v>
      </c>
      <c r="G48" s="71"/>
      <c r="H48" s="71"/>
      <c r="I48" s="71"/>
    </row>
    <row r="49" spans="2:12" ht="12.95" customHeight="1" x14ac:dyDescent="0.3">
      <c r="B49" s="59"/>
      <c r="C49" s="62"/>
      <c r="D49" s="65"/>
      <c r="E49" s="68"/>
      <c r="F49" s="70" t="s">
        <v>28</v>
      </c>
      <c r="G49" s="71"/>
      <c r="H49" s="70" t="s">
        <v>29</v>
      </c>
      <c r="I49" s="71"/>
    </row>
    <row r="50" spans="2:12" ht="12.95" customHeight="1" x14ac:dyDescent="0.3">
      <c r="B50" s="60"/>
      <c r="C50" s="63"/>
      <c r="D50" s="66"/>
      <c r="E50" s="69"/>
      <c r="F50" s="19" t="s">
        <v>6</v>
      </c>
      <c r="G50" s="20" t="s">
        <v>7</v>
      </c>
      <c r="H50" s="19" t="s">
        <v>6</v>
      </c>
      <c r="I50" s="20" t="s">
        <v>7</v>
      </c>
    </row>
    <row r="51" spans="2:12" ht="12.95" customHeight="1" x14ac:dyDescent="0.3">
      <c r="B51" s="35" t="s">
        <v>1</v>
      </c>
      <c r="C51" s="36"/>
      <c r="D51" s="37" t="s">
        <v>9</v>
      </c>
      <c r="E51" s="38">
        <v>228286</v>
      </c>
      <c r="F51" s="39">
        <v>1.2E-2</v>
      </c>
      <c r="G51" s="2">
        <f t="shared" ref="G51:G52" si="7">TRUNC($E51*F51,1)</f>
        <v>2739.4</v>
      </c>
      <c r="H51" s="39">
        <v>1.6E-2</v>
      </c>
      <c r="I51" s="2">
        <f t="shared" ref="I51:I52" si="8">TRUNC($E51*H51,1)</f>
        <v>3652.5</v>
      </c>
    </row>
    <row r="52" spans="2:12" ht="12.95" customHeight="1" x14ac:dyDescent="0.3">
      <c r="B52" s="35" t="s">
        <v>2</v>
      </c>
      <c r="C52" s="36"/>
      <c r="D52" s="37" t="s">
        <v>9</v>
      </c>
      <c r="E52" s="38">
        <v>172068</v>
      </c>
      <c r="F52" s="39">
        <v>4.0000000000000001E-3</v>
      </c>
      <c r="G52" s="2">
        <f t="shared" si="7"/>
        <v>688.2</v>
      </c>
      <c r="H52" s="39">
        <v>5.0000000000000001E-3</v>
      </c>
      <c r="I52" s="2">
        <f t="shared" si="8"/>
        <v>860.3</v>
      </c>
    </row>
    <row r="53" spans="2:12" ht="12.95" customHeight="1" x14ac:dyDescent="0.3">
      <c r="B53" s="40" t="s">
        <v>11</v>
      </c>
      <c r="C53" s="32"/>
      <c r="D53" s="32"/>
      <c r="E53" s="33"/>
      <c r="F53" s="6"/>
      <c r="G53" s="7">
        <f>TRUNC(SUM(G51:G52))</f>
        <v>3427</v>
      </c>
      <c r="H53" s="6"/>
      <c r="I53" s="7">
        <f>TRUNC(SUM(I51:I52))</f>
        <v>4512</v>
      </c>
    </row>
    <row r="54" spans="2:12" ht="12.95" customHeight="1" x14ac:dyDescent="0.3">
      <c r="B54" s="31"/>
      <c r="C54" s="32"/>
      <c r="D54" s="32"/>
      <c r="E54" s="33"/>
      <c r="F54" s="6"/>
      <c r="G54" s="34"/>
      <c r="H54" s="6"/>
      <c r="I54" s="34"/>
    </row>
    <row r="55" spans="2:12" ht="12.95" customHeight="1" x14ac:dyDescent="0.3">
      <c r="B55" s="41" t="s">
        <v>13</v>
      </c>
      <c r="C55" s="42"/>
      <c r="D55" s="42"/>
      <c r="E55" s="43"/>
      <c r="F55" s="43"/>
      <c r="G55" s="44">
        <f>SUM(G53)</f>
        <v>3427</v>
      </c>
      <c r="H55" s="43"/>
      <c r="I55" s="44">
        <f>SUM(I53)</f>
        <v>4512</v>
      </c>
      <c r="L55" s="45"/>
    </row>
    <row r="56" spans="2:12" ht="12.95" customHeight="1" x14ac:dyDescent="0.3">
      <c r="K56" s="45"/>
      <c r="L56" s="45"/>
    </row>
    <row r="57" spans="2:12" ht="12.95" customHeight="1" x14ac:dyDescent="0.3">
      <c r="B57" s="14" t="s">
        <v>35</v>
      </c>
      <c r="C57" s="15"/>
      <c r="D57" s="16"/>
      <c r="E57" s="17"/>
      <c r="F57" s="16"/>
      <c r="G57" s="18" t="s">
        <v>36</v>
      </c>
      <c r="K57" s="45"/>
      <c r="L57" s="45"/>
    </row>
    <row r="58" spans="2:12" ht="12.95" customHeight="1" x14ac:dyDescent="0.3">
      <c r="B58" s="58" t="s">
        <v>4</v>
      </c>
      <c r="C58" s="61" t="s">
        <v>15</v>
      </c>
      <c r="D58" s="72" t="s">
        <v>8</v>
      </c>
      <c r="E58" s="67" t="s">
        <v>5</v>
      </c>
      <c r="F58" s="72" t="s">
        <v>17</v>
      </c>
      <c r="G58" s="73" t="s">
        <v>18</v>
      </c>
      <c r="K58" s="45"/>
      <c r="L58" s="45"/>
    </row>
    <row r="59" spans="2:12" ht="12.95" customHeight="1" x14ac:dyDescent="0.3">
      <c r="B59" s="60"/>
      <c r="C59" s="63"/>
      <c r="D59" s="72"/>
      <c r="E59" s="69"/>
      <c r="F59" s="72"/>
      <c r="G59" s="74"/>
      <c r="K59" s="45"/>
      <c r="L59" s="45"/>
    </row>
    <row r="60" spans="2:12" ht="12.95" customHeight="1" x14ac:dyDescent="0.3">
      <c r="B60" s="35" t="s">
        <v>1</v>
      </c>
      <c r="C60" s="36"/>
      <c r="D60" s="37" t="s">
        <v>9</v>
      </c>
      <c r="E60" s="38">
        <v>228286</v>
      </c>
      <c r="F60" s="39">
        <v>1.0999999999999999E-2</v>
      </c>
      <c r="G60" s="2">
        <f t="shared" ref="G60:G61" si="9">TRUNC($E60*F60,1)</f>
        <v>2511.1</v>
      </c>
    </row>
    <row r="61" spans="2:12" ht="12.95" customHeight="1" x14ac:dyDescent="0.3">
      <c r="B61" s="35" t="s">
        <v>2</v>
      </c>
      <c r="C61" s="36"/>
      <c r="D61" s="37" t="s">
        <v>9</v>
      </c>
      <c r="E61" s="38">
        <v>172068</v>
      </c>
      <c r="F61" s="39">
        <v>1.0999999999999999E-2</v>
      </c>
      <c r="G61" s="2">
        <f t="shared" si="9"/>
        <v>1892.7</v>
      </c>
    </row>
    <row r="62" spans="2:12" ht="12.95" customHeight="1" x14ac:dyDescent="0.3">
      <c r="B62" s="40" t="s">
        <v>11</v>
      </c>
      <c r="C62" s="32"/>
      <c r="D62" s="32"/>
      <c r="E62" s="33"/>
      <c r="F62" s="6"/>
      <c r="G62" s="7">
        <f>TRUNC(SUM(G60:G61))</f>
        <v>4403</v>
      </c>
    </row>
    <row r="63" spans="2:12" ht="12.95" customHeight="1" x14ac:dyDescent="0.3">
      <c r="B63" s="31"/>
      <c r="C63" s="32"/>
      <c r="D63" s="32"/>
      <c r="E63" s="33"/>
      <c r="F63" s="6"/>
      <c r="G63" s="34"/>
    </row>
    <row r="64" spans="2:12" ht="12.95" customHeight="1" x14ac:dyDescent="0.3">
      <c r="B64" s="41" t="s">
        <v>13</v>
      </c>
      <c r="C64" s="42"/>
      <c r="D64" s="42"/>
      <c r="E64" s="43"/>
      <c r="F64" s="43"/>
      <c r="G64" s="44">
        <f>SUM(G62)</f>
        <v>4403</v>
      </c>
      <c r="I64" s="45"/>
    </row>
    <row r="65" spans="2:12" ht="12.95" customHeight="1" x14ac:dyDescent="0.3">
      <c r="H65" s="45"/>
      <c r="I65" s="45"/>
    </row>
    <row r="66" spans="2:12" ht="12.95" customHeight="1" x14ac:dyDescent="0.3">
      <c r="B66" s="12" t="s">
        <v>37</v>
      </c>
    </row>
    <row r="67" spans="2:12" ht="12.95" customHeight="1" x14ac:dyDescent="0.3">
      <c r="B67" s="14" t="s">
        <v>38</v>
      </c>
      <c r="C67" s="15"/>
      <c r="D67" s="16"/>
      <c r="E67" s="17"/>
      <c r="F67" s="16"/>
      <c r="G67" s="16"/>
      <c r="I67" s="18" t="s">
        <v>23</v>
      </c>
    </row>
    <row r="68" spans="2:12" ht="12.95" customHeight="1" x14ac:dyDescent="0.3">
      <c r="B68" s="58" t="s">
        <v>4</v>
      </c>
      <c r="C68" s="61" t="s">
        <v>15</v>
      </c>
      <c r="D68" s="72" t="s">
        <v>8</v>
      </c>
      <c r="E68" s="67" t="s">
        <v>5</v>
      </c>
      <c r="F68" s="70" t="s">
        <v>28</v>
      </c>
      <c r="G68" s="71"/>
      <c r="H68" s="70" t="s">
        <v>29</v>
      </c>
      <c r="I68" s="71"/>
    </row>
    <row r="69" spans="2:12" ht="12.95" customHeight="1" x14ac:dyDescent="0.3">
      <c r="B69" s="60"/>
      <c r="C69" s="63"/>
      <c r="D69" s="72"/>
      <c r="E69" s="69"/>
      <c r="F69" s="19" t="s">
        <v>6</v>
      </c>
      <c r="G69" s="20" t="s">
        <v>7</v>
      </c>
      <c r="H69" s="19" t="s">
        <v>6</v>
      </c>
      <c r="I69" s="20" t="s">
        <v>7</v>
      </c>
    </row>
    <row r="70" spans="2:12" ht="12.95" customHeight="1" x14ac:dyDescent="0.3">
      <c r="B70" s="21" t="s">
        <v>19</v>
      </c>
      <c r="C70" s="22" t="s">
        <v>20</v>
      </c>
      <c r="D70" s="23" t="s">
        <v>14</v>
      </c>
      <c r="E70" s="24"/>
      <c r="F70" s="25">
        <v>1</v>
      </c>
      <c r="G70" s="4">
        <f>TRUNC(SUM(G73:G74)*0.02,1)</f>
        <v>99.4</v>
      </c>
      <c r="H70" s="25">
        <v>1</v>
      </c>
      <c r="I70" s="4">
        <f>TRUNC(SUM(I73:I74)*0.02,1)</f>
        <v>132.6</v>
      </c>
    </row>
    <row r="71" spans="2:12" ht="12.95" customHeight="1" x14ac:dyDescent="0.3">
      <c r="B71" s="26" t="s">
        <v>10</v>
      </c>
      <c r="C71" s="27"/>
      <c r="D71" s="28"/>
      <c r="E71" s="29"/>
      <c r="F71" s="30"/>
      <c r="G71" s="5">
        <f>TRUNC(SUM(G70))</f>
        <v>99</v>
      </c>
      <c r="H71" s="30"/>
      <c r="I71" s="5">
        <f>TRUNC(SUM(I70))</f>
        <v>132</v>
      </c>
    </row>
    <row r="72" spans="2:12" ht="12.95" customHeight="1" x14ac:dyDescent="0.3">
      <c r="B72" s="31"/>
      <c r="C72" s="32"/>
      <c r="D72" s="32"/>
      <c r="E72" s="33"/>
      <c r="F72" s="6"/>
      <c r="G72" s="34"/>
      <c r="H72" s="6"/>
      <c r="I72" s="34"/>
    </row>
    <row r="73" spans="2:12" ht="12.95" customHeight="1" x14ac:dyDescent="0.3">
      <c r="B73" s="35" t="s">
        <v>1</v>
      </c>
      <c r="C73" s="36"/>
      <c r="D73" s="37" t="s">
        <v>9</v>
      </c>
      <c r="E73" s="38">
        <v>228286</v>
      </c>
      <c r="F73" s="39">
        <v>1.4999999999999999E-2</v>
      </c>
      <c r="G73" s="2">
        <f t="shared" ref="G73:G74" si="10">TRUNC($E73*F73,1)</f>
        <v>3424.2</v>
      </c>
      <c r="H73" s="39">
        <v>0.02</v>
      </c>
      <c r="I73" s="2">
        <f t="shared" ref="I73:I74" si="11">TRUNC($E73*H73,1)</f>
        <v>4565.7</v>
      </c>
    </row>
    <row r="74" spans="2:12" ht="12.95" customHeight="1" x14ac:dyDescent="0.3">
      <c r="B74" s="35" t="s">
        <v>2</v>
      </c>
      <c r="C74" s="36"/>
      <c r="D74" s="37" t="s">
        <v>9</v>
      </c>
      <c r="E74" s="38">
        <v>172068</v>
      </c>
      <c r="F74" s="39">
        <v>8.9999999999999993E-3</v>
      </c>
      <c r="G74" s="2">
        <f t="shared" si="10"/>
        <v>1548.6</v>
      </c>
      <c r="H74" s="39">
        <v>1.2E-2</v>
      </c>
      <c r="I74" s="2">
        <f t="shared" si="11"/>
        <v>2064.8000000000002</v>
      </c>
    </row>
    <row r="75" spans="2:12" ht="12.95" customHeight="1" x14ac:dyDescent="0.3">
      <c r="B75" s="40" t="s">
        <v>11</v>
      </c>
      <c r="C75" s="32"/>
      <c r="D75" s="32"/>
      <c r="E75" s="33"/>
      <c r="F75" s="6"/>
      <c r="G75" s="7">
        <f>TRUNC(SUM(G73:G74))</f>
        <v>4972</v>
      </c>
      <c r="H75" s="6"/>
      <c r="I75" s="7">
        <f>TRUNC(SUM(I73:I74))</f>
        <v>6630</v>
      </c>
    </row>
    <row r="76" spans="2:12" ht="12.95" customHeight="1" x14ac:dyDescent="0.3">
      <c r="B76" s="31"/>
      <c r="C76" s="32"/>
      <c r="D76" s="32"/>
      <c r="E76" s="33"/>
      <c r="F76" s="6"/>
      <c r="G76" s="34"/>
      <c r="H76" s="6"/>
      <c r="I76" s="34"/>
    </row>
    <row r="77" spans="2:12" ht="12.95" customHeight="1" x14ac:dyDescent="0.3">
      <c r="B77" s="41" t="s">
        <v>13</v>
      </c>
      <c r="C77" s="42"/>
      <c r="D77" s="42"/>
      <c r="E77" s="43"/>
      <c r="F77" s="43"/>
      <c r="G77" s="44">
        <f>SUM(G71+G75)</f>
        <v>5071</v>
      </c>
      <c r="H77" s="43"/>
      <c r="I77" s="44">
        <f>SUM(I71+I75)</f>
        <v>6762</v>
      </c>
      <c r="L77" s="45"/>
    </row>
    <row r="78" spans="2:12" ht="12.95" customHeight="1" x14ac:dyDescent="0.3">
      <c r="K78" s="45"/>
      <c r="L78" s="45"/>
    </row>
    <row r="79" spans="2:12" ht="12.95" customHeight="1" x14ac:dyDescent="0.3">
      <c r="B79" s="14" t="s">
        <v>39</v>
      </c>
      <c r="C79" s="15"/>
      <c r="D79" s="16"/>
      <c r="E79" s="17"/>
      <c r="F79" s="16"/>
      <c r="G79" s="16"/>
      <c r="I79" s="18" t="s">
        <v>23</v>
      </c>
    </row>
    <row r="80" spans="2:12" ht="12.95" customHeight="1" x14ac:dyDescent="0.3">
      <c r="B80" s="58" t="s">
        <v>4</v>
      </c>
      <c r="C80" s="61" t="s">
        <v>15</v>
      </c>
      <c r="D80" s="72" t="s">
        <v>8</v>
      </c>
      <c r="E80" s="67" t="s">
        <v>5</v>
      </c>
      <c r="F80" s="70" t="s">
        <v>28</v>
      </c>
      <c r="G80" s="71"/>
      <c r="H80" s="70" t="s">
        <v>29</v>
      </c>
      <c r="I80" s="71"/>
    </row>
    <row r="81" spans="2:12" ht="12.95" customHeight="1" x14ac:dyDescent="0.3">
      <c r="B81" s="60"/>
      <c r="C81" s="63"/>
      <c r="D81" s="72"/>
      <c r="E81" s="69"/>
      <c r="F81" s="19" t="s">
        <v>6</v>
      </c>
      <c r="G81" s="20" t="s">
        <v>7</v>
      </c>
      <c r="H81" s="19" t="s">
        <v>6</v>
      </c>
      <c r="I81" s="20" t="s">
        <v>7</v>
      </c>
    </row>
    <row r="82" spans="2:12" ht="12.95" customHeight="1" x14ac:dyDescent="0.3">
      <c r="B82" s="35" t="s">
        <v>1</v>
      </c>
      <c r="C82" s="36"/>
      <c r="D82" s="37" t="s">
        <v>9</v>
      </c>
      <c r="E82" s="38">
        <v>228286</v>
      </c>
      <c r="F82" s="39">
        <v>0.01</v>
      </c>
      <c r="G82" s="2">
        <f t="shared" ref="G82:G83" si="12">TRUNC($E82*F82,1)</f>
        <v>2282.8000000000002</v>
      </c>
      <c r="H82" s="39">
        <v>1.4999999999999999E-2</v>
      </c>
      <c r="I82" s="2">
        <f t="shared" ref="I82:I83" si="13">TRUNC($E82*H82,1)</f>
        <v>3424.2</v>
      </c>
    </row>
    <row r="83" spans="2:12" ht="12.95" customHeight="1" x14ac:dyDescent="0.3">
      <c r="B83" s="35" t="s">
        <v>2</v>
      </c>
      <c r="C83" s="36"/>
      <c r="D83" s="37" t="s">
        <v>9</v>
      </c>
      <c r="E83" s="38">
        <v>172068</v>
      </c>
      <c r="F83" s="39">
        <v>4.0000000000000001E-3</v>
      </c>
      <c r="G83" s="2">
        <f t="shared" si="12"/>
        <v>688.2</v>
      </c>
      <c r="H83" s="39">
        <v>6.0000000000000001E-3</v>
      </c>
      <c r="I83" s="2">
        <f t="shared" si="13"/>
        <v>1032.4000000000001</v>
      </c>
    </row>
    <row r="84" spans="2:12" ht="12.95" customHeight="1" x14ac:dyDescent="0.3">
      <c r="B84" s="40" t="s">
        <v>11</v>
      </c>
      <c r="C84" s="32"/>
      <c r="D84" s="32"/>
      <c r="E84" s="33"/>
      <c r="F84" s="6"/>
      <c r="G84" s="7">
        <f>TRUNC(SUM(G82:G83))</f>
        <v>2971</v>
      </c>
      <c r="H84" s="6"/>
      <c r="I84" s="7">
        <f>TRUNC(SUM(I82:I83))</f>
        <v>4456</v>
      </c>
    </row>
    <row r="85" spans="2:12" ht="12.95" customHeight="1" x14ac:dyDescent="0.3">
      <c r="B85" s="31"/>
      <c r="C85" s="32"/>
      <c r="D85" s="32"/>
      <c r="E85" s="33"/>
      <c r="F85" s="6"/>
      <c r="G85" s="34"/>
      <c r="H85" s="6"/>
      <c r="I85" s="34"/>
    </row>
    <row r="86" spans="2:12" ht="12.95" customHeight="1" x14ac:dyDescent="0.3">
      <c r="B86" s="41" t="s">
        <v>13</v>
      </c>
      <c r="C86" s="42"/>
      <c r="D86" s="42"/>
      <c r="E86" s="43"/>
      <c r="F86" s="43"/>
      <c r="G86" s="44">
        <f>SUM(G84)</f>
        <v>2971</v>
      </c>
      <c r="H86" s="43"/>
      <c r="I86" s="44">
        <f>SUM(I84)</f>
        <v>4456</v>
      </c>
      <c r="L86" s="45"/>
    </row>
    <row r="87" spans="2:12" ht="12.95" customHeight="1" x14ac:dyDescent="0.3">
      <c r="K87" s="45"/>
      <c r="L87" s="45"/>
    </row>
    <row r="88" spans="2:12" ht="12.95" customHeight="1" x14ac:dyDescent="0.3">
      <c r="B88" s="14" t="s">
        <v>40</v>
      </c>
      <c r="C88" s="15"/>
      <c r="D88" s="16"/>
      <c r="E88" s="17"/>
      <c r="F88" s="16"/>
      <c r="G88" s="16"/>
      <c r="I88" s="18" t="s">
        <v>23</v>
      </c>
    </row>
    <row r="89" spans="2:12" ht="12.95" customHeight="1" x14ac:dyDescent="0.3">
      <c r="B89" s="58" t="s">
        <v>4</v>
      </c>
      <c r="C89" s="61" t="s">
        <v>15</v>
      </c>
      <c r="D89" s="72" t="s">
        <v>8</v>
      </c>
      <c r="E89" s="67" t="s">
        <v>5</v>
      </c>
      <c r="F89" s="70" t="s">
        <v>28</v>
      </c>
      <c r="G89" s="71"/>
      <c r="H89" s="70" t="s">
        <v>29</v>
      </c>
      <c r="I89" s="71"/>
    </row>
    <row r="90" spans="2:12" ht="12.95" customHeight="1" x14ac:dyDescent="0.3">
      <c r="B90" s="60"/>
      <c r="C90" s="63"/>
      <c r="D90" s="72"/>
      <c r="E90" s="69"/>
      <c r="F90" s="19" t="s">
        <v>6</v>
      </c>
      <c r="G90" s="20" t="s">
        <v>7</v>
      </c>
      <c r="H90" s="19" t="s">
        <v>6</v>
      </c>
      <c r="I90" s="20" t="s">
        <v>7</v>
      </c>
    </row>
    <row r="91" spans="2:12" ht="12.95" customHeight="1" x14ac:dyDescent="0.3">
      <c r="B91" s="21" t="s">
        <v>19</v>
      </c>
      <c r="C91" s="22" t="s">
        <v>20</v>
      </c>
      <c r="D91" s="23" t="s">
        <v>14</v>
      </c>
      <c r="E91" s="24"/>
      <c r="F91" s="25">
        <v>1</v>
      </c>
      <c r="G91" s="4">
        <f>TRUNC(SUM(G94:G95)*0.02,1)</f>
        <v>71.900000000000006</v>
      </c>
      <c r="H91" s="25">
        <v>1</v>
      </c>
      <c r="I91" s="4">
        <f>TRUNC(SUM(I94:I95)*0.02,1)</f>
        <v>92.5</v>
      </c>
    </row>
    <row r="92" spans="2:12" ht="12.95" customHeight="1" x14ac:dyDescent="0.3">
      <c r="B92" s="26" t="s">
        <v>10</v>
      </c>
      <c r="C92" s="27"/>
      <c r="D92" s="28"/>
      <c r="E92" s="29"/>
      <c r="F92" s="30"/>
      <c r="G92" s="5">
        <f>TRUNC(SUM(G91))</f>
        <v>71</v>
      </c>
      <c r="H92" s="30"/>
      <c r="I92" s="5">
        <f>TRUNC(SUM(I91))</f>
        <v>92</v>
      </c>
    </row>
    <row r="93" spans="2:12" ht="12.95" customHeight="1" x14ac:dyDescent="0.3">
      <c r="B93" s="31"/>
      <c r="C93" s="32"/>
      <c r="D93" s="32"/>
      <c r="E93" s="33"/>
      <c r="F93" s="6"/>
      <c r="G93" s="34"/>
      <c r="H93" s="6"/>
      <c r="I93" s="34"/>
    </row>
    <row r="94" spans="2:12" ht="12.95" customHeight="1" x14ac:dyDescent="0.3">
      <c r="B94" s="35" t="s">
        <v>1</v>
      </c>
      <c r="C94" s="36"/>
      <c r="D94" s="37" t="s">
        <v>9</v>
      </c>
      <c r="E94" s="38">
        <v>228286</v>
      </c>
      <c r="F94" s="39">
        <v>1.2E-2</v>
      </c>
      <c r="G94" s="2">
        <f t="shared" ref="G94:G95" si="14">TRUNC($E94*F94,1)</f>
        <v>2739.4</v>
      </c>
      <c r="H94" s="39">
        <v>1.4999999999999999E-2</v>
      </c>
      <c r="I94" s="2">
        <f t="shared" ref="I94:I95" si="15">TRUNC($E94*H94,1)</f>
        <v>3424.2</v>
      </c>
    </row>
    <row r="95" spans="2:12" ht="12.95" customHeight="1" x14ac:dyDescent="0.3">
      <c r="B95" s="35" t="s">
        <v>2</v>
      </c>
      <c r="C95" s="36"/>
      <c r="D95" s="37" t="s">
        <v>9</v>
      </c>
      <c r="E95" s="38">
        <v>172068</v>
      </c>
      <c r="F95" s="39">
        <v>5.0000000000000001E-3</v>
      </c>
      <c r="G95" s="2">
        <f t="shared" si="14"/>
        <v>860.3</v>
      </c>
      <c r="H95" s="39">
        <v>7.0000000000000001E-3</v>
      </c>
      <c r="I95" s="2">
        <f t="shared" si="15"/>
        <v>1204.4000000000001</v>
      </c>
    </row>
    <row r="96" spans="2:12" ht="12.95" customHeight="1" x14ac:dyDescent="0.3">
      <c r="B96" s="40" t="s">
        <v>11</v>
      </c>
      <c r="C96" s="32"/>
      <c r="D96" s="32"/>
      <c r="E96" s="33"/>
      <c r="F96" s="6"/>
      <c r="G96" s="7">
        <f>TRUNC(SUM(G94:G95))</f>
        <v>3599</v>
      </c>
      <c r="H96" s="6"/>
      <c r="I96" s="7">
        <f>TRUNC(SUM(I94:I95))</f>
        <v>4628</v>
      </c>
    </row>
    <row r="97" spans="2:12" ht="12.95" customHeight="1" x14ac:dyDescent="0.3">
      <c r="B97" s="31"/>
      <c r="C97" s="32"/>
      <c r="D97" s="32"/>
      <c r="E97" s="33"/>
      <c r="F97" s="6"/>
      <c r="G97" s="34"/>
      <c r="H97" s="6"/>
      <c r="I97" s="34"/>
    </row>
    <row r="98" spans="2:12" ht="12.95" customHeight="1" x14ac:dyDescent="0.3">
      <c r="B98" s="41" t="s">
        <v>13</v>
      </c>
      <c r="C98" s="42"/>
      <c r="D98" s="42"/>
      <c r="E98" s="43"/>
      <c r="F98" s="43"/>
      <c r="G98" s="44">
        <f>SUM(G92+G96)</f>
        <v>3670</v>
      </c>
      <c r="H98" s="43"/>
      <c r="I98" s="44">
        <f>SUM(I92+I96)</f>
        <v>4720</v>
      </c>
      <c r="L98" s="45"/>
    </row>
    <row r="99" spans="2:12" ht="12.95" customHeight="1" x14ac:dyDescent="0.3">
      <c r="K99" s="45"/>
      <c r="L99" s="45"/>
    </row>
    <row r="100" spans="2:12" ht="12.95" customHeight="1" x14ac:dyDescent="0.3">
      <c r="B100" s="12" t="s">
        <v>41</v>
      </c>
    </row>
    <row r="101" spans="2:12" ht="12.95" customHeight="1" x14ac:dyDescent="0.3">
      <c r="B101" s="14" t="s">
        <v>42</v>
      </c>
      <c r="C101" s="15"/>
      <c r="D101" s="16"/>
      <c r="E101" s="17"/>
      <c r="F101" s="16"/>
      <c r="G101" s="16"/>
      <c r="I101" s="18" t="s">
        <v>23</v>
      </c>
    </row>
    <row r="102" spans="2:12" ht="12.95" customHeight="1" x14ac:dyDescent="0.3">
      <c r="B102" s="58" t="s">
        <v>4</v>
      </c>
      <c r="C102" s="61" t="s">
        <v>15</v>
      </c>
      <c r="D102" s="72" t="s">
        <v>8</v>
      </c>
      <c r="E102" s="67" t="s">
        <v>5</v>
      </c>
      <c r="F102" s="70" t="s">
        <v>28</v>
      </c>
      <c r="G102" s="71"/>
      <c r="H102" s="70" t="s">
        <v>29</v>
      </c>
      <c r="I102" s="71"/>
    </row>
    <row r="103" spans="2:12" ht="12.95" customHeight="1" x14ac:dyDescent="0.3">
      <c r="B103" s="60"/>
      <c r="C103" s="63"/>
      <c r="D103" s="72"/>
      <c r="E103" s="69"/>
      <c r="F103" s="19" t="s">
        <v>6</v>
      </c>
      <c r="G103" s="20" t="s">
        <v>7</v>
      </c>
      <c r="H103" s="19" t="s">
        <v>6</v>
      </c>
      <c r="I103" s="20" t="s">
        <v>7</v>
      </c>
    </row>
    <row r="104" spans="2:12" ht="12.95" customHeight="1" x14ac:dyDescent="0.3">
      <c r="B104" s="21" t="s">
        <v>19</v>
      </c>
      <c r="C104" s="22" t="s">
        <v>21</v>
      </c>
      <c r="D104" s="23" t="s">
        <v>14</v>
      </c>
      <c r="E104" s="24"/>
      <c r="F104" s="25">
        <v>1</v>
      </c>
      <c r="G104" s="4">
        <f>TRUNC(SUM(G107:G108)*0.03,1)</f>
        <v>565.70000000000005</v>
      </c>
      <c r="H104" s="25">
        <v>1</v>
      </c>
      <c r="I104" s="4">
        <f>TRUNC(SUM(I107:I108)*0.03,1)</f>
        <v>754.3</v>
      </c>
    </row>
    <row r="105" spans="2:12" ht="12.95" customHeight="1" x14ac:dyDescent="0.3">
      <c r="B105" s="26" t="s">
        <v>10</v>
      </c>
      <c r="C105" s="27"/>
      <c r="D105" s="28"/>
      <c r="E105" s="29"/>
      <c r="F105" s="30"/>
      <c r="G105" s="5">
        <f>TRUNC(SUM(G104))</f>
        <v>565</v>
      </c>
      <c r="H105" s="30"/>
      <c r="I105" s="5">
        <f>TRUNC(SUM(I104))</f>
        <v>754</v>
      </c>
    </row>
    <row r="106" spans="2:12" ht="12.95" customHeight="1" x14ac:dyDescent="0.3">
      <c r="B106" s="31"/>
      <c r="C106" s="32"/>
      <c r="D106" s="32"/>
      <c r="E106" s="33"/>
      <c r="F106" s="6"/>
      <c r="G106" s="34"/>
      <c r="H106" s="6"/>
      <c r="I106" s="34"/>
    </row>
    <row r="107" spans="2:12" ht="12.95" customHeight="1" x14ac:dyDescent="0.3">
      <c r="B107" s="35" t="s">
        <v>1</v>
      </c>
      <c r="C107" s="36"/>
      <c r="D107" s="37" t="s">
        <v>9</v>
      </c>
      <c r="E107" s="38">
        <v>228286</v>
      </c>
      <c r="F107" s="39">
        <v>0.06</v>
      </c>
      <c r="G107" s="2">
        <f t="shared" ref="G107:G108" si="16">TRUNC($E107*F107,1)</f>
        <v>13697.1</v>
      </c>
      <c r="H107" s="39">
        <v>0.08</v>
      </c>
      <c r="I107" s="2">
        <f t="shared" ref="I107:I108" si="17">TRUNC($E107*H107,1)</f>
        <v>18262.8</v>
      </c>
    </row>
    <row r="108" spans="2:12" ht="12.95" customHeight="1" x14ac:dyDescent="0.3">
      <c r="B108" s="35" t="s">
        <v>2</v>
      </c>
      <c r="C108" s="36"/>
      <c r="D108" s="37" t="s">
        <v>9</v>
      </c>
      <c r="E108" s="38">
        <v>172068</v>
      </c>
      <c r="F108" s="39">
        <v>0.03</v>
      </c>
      <c r="G108" s="2">
        <f t="shared" si="16"/>
        <v>5162</v>
      </c>
      <c r="H108" s="39">
        <v>0.04</v>
      </c>
      <c r="I108" s="2">
        <f t="shared" si="17"/>
        <v>6882.7</v>
      </c>
    </row>
    <row r="109" spans="2:12" ht="12.95" customHeight="1" x14ac:dyDescent="0.3">
      <c r="B109" s="40" t="s">
        <v>11</v>
      </c>
      <c r="C109" s="32"/>
      <c r="D109" s="32"/>
      <c r="E109" s="33"/>
      <c r="F109" s="6"/>
      <c r="G109" s="7">
        <f>TRUNC(SUM(G107:G108))</f>
        <v>18859</v>
      </c>
      <c r="H109" s="6"/>
      <c r="I109" s="7">
        <f>TRUNC(SUM(I107:I108))</f>
        <v>25145</v>
      </c>
    </row>
    <row r="110" spans="2:12" ht="12.95" customHeight="1" x14ac:dyDescent="0.3">
      <c r="B110" s="31"/>
      <c r="C110" s="32"/>
      <c r="D110" s="32"/>
      <c r="E110" s="33"/>
      <c r="F110" s="6"/>
      <c r="G110" s="34"/>
      <c r="H110" s="6"/>
      <c r="I110" s="34"/>
    </row>
    <row r="111" spans="2:12" ht="12.95" customHeight="1" x14ac:dyDescent="0.3">
      <c r="B111" s="41" t="s">
        <v>13</v>
      </c>
      <c r="C111" s="42"/>
      <c r="D111" s="42"/>
      <c r="E111" s="43"/>
      <c r="F111" s="43"/>
      <c r="G111" s="44">
        <f>SUM(G105+G109)</f>
        <v>19424</v>
      </c>
      <c r="H111" s="43"/>
      <c r="I111" s="44">
        <f>SUM(I105+I109)</f>
        <v>25899</v>
      </c>
      <c r="L111" s="45"/>
    </row>
    <row r="112" spans="2:12" ht="12.95" customHeight="1" x14ac:dyDescent="0.3">
      <c r="K112" s="45"/>
      <c r="L112" s="45"/>
    </row>
    <row r="113" spans="2:9" ht="12.95" customHeight="1" x14ac:dyDescent="0.3">
      <c r="B113" s="14" t="s">
        <v>43</v>
      </c>
      <c r="C113" s="15"/>
      <c r="D113" s="16"/>
      <c r="E113" s="17"/>
      <c r="F113" s="16"/>
      <c r="G113" s="46" t="s">
        <v>23</v>
      </c>
    </row>
    <row r="114" spans="2:9" ht="12.95" customHeight="1" x14ac:dyDescent="0.3">
      <c r="B114" s="58" t="s">
        <v>4</v>
      </c>
      <c r="C114" s="61" t="s">
        <v>15</v>
      </c>
      <c r="D114" s="72" t="s">
        <v>8</v>
      </c>
      <c r="E114" s="67" t="s">
        <v>5</v>
      </c>
      <c r="F114" s="72" t="s">
        <v>17</v>
      </c>
      <c r="G114" s="73" t="s">
        <v>18</v>
      </c>
    </row>
    <row r="115" spans="2:9" ht="12.95" customHeight="1" x14ac:dyDescent="0.3">
      <c r="B115" s="60"/>
      <c r="C115" s="63"/>
      <c r="D115" s="72"/>
      <c r="E115" s="69"/>
      <c r="F115" s="72"/>
      <c r="G115" s="74"/>
    </row>
    <row r="116" spans="2:9" ht="12.95" customHeight="1" x14ac:dyDescent="0.3">
      <c r="B116" s="21" t="s">
        <v>47</v>
      </c>
      <c r="C116" s="22"/>
      <c r="D116" s="23" t="s">
        <v>44</v>
      </c>
      <c r="E116" s="47">
        <v>0</v>
      </c>
      <c r="F116" s="48">
        <v>1.2</v>
      </c>
      <c r="G116" s="2">
        <f t="shared" ref="G116" si="18">TRUNC($E116*F116,1)</f>
        <v>0</v>
      </c>
    </row>
    <row r="117" spans="2:9" ht="12.95" customHeight="1" x14ac:dyDescent="0.3">
      <c r="B117" s="26" t="s">
        <v>10</v>
      </c>
      <c r="C117" s="27"/>
      <c r="D117" s="28"/>
      <c r="E117" s="29"/>
      <c r="F117" s="30"/>
      <c r="G117" s="5">
        <f>TRUNC(SUM(G116:G116))</f>
        <v>0</v>
      </c>
    </row>
    <row r="118" spans="2:9" ht="12.95" customHeight="1" x14ac:dyDescent="0.3">
      <c r="B118" s="31"/>
      <c r="C118" s="32"/>
      <c r="D118" s="32"/>
      <c r="E118" s="33"/>
      <c r="F118" s="6"/>
      <c r="G118" s="34"/>
    </row>
    <row r="119" spans="2:9" ht="12.95" customHeight="1" x14ac:dyDescent="0.3">
      <c r="B119" s="41" t="s">
        <v>13</v>
      </c>
      <c r="C119" s="42"/>
      <c r="D119" s="42"/>
      <c r="E119" s="43"/>
      <c r="F119" s="43"/>
      <c r="G119" s="44">
        <f>SUM(G117)</f>
        <v>0</v>
      </c>
    </row>
    <row r="121" spans="2:9" ht="12.95" customHeight="1" x14ac:dyDescent="0.3">
      <c r="B121" s="14" t="s">
        <v>48</v>
      </c>
      <c r="C121" s="15"/>
      <c r="D121" s="16"/>
      <c r="E121" s="17"/>
      <c r="F121" s="16"/>
      <c r="G121" s="16"/>
      <c r="I121" s="18" t="s">
        <v>23</v>
      </c>
    </row>
    <row r="122" spans="2:9" ht="12.95" customHeight="1" x14ac:dyDescent="0.3">
      <c r="B122" s="58" t="s">
        <v>4</v>
      </c>
      <c r="C122" s="61" t="s">
        <v>15</v>
      </c>
      <c r="D122" s="72" t="s">
        <v>8</v>
      </c>
      <c r="E122" s="67" t="s">
        <v>5</v>
      </c>
      <c r="F122" s="70" t="s">
        <v>28</v>
      </c>
      <c r="G122" s="71"/>
      <c r="H122" s="70" t="s">
        <v>29</v>
      </c>
      <c r="I122" s="71"/>
    </row>
    <row r="123" spans="2:9" ht="12.95" customHeight="1" x14ac:dyDescent="0.3">
      <c r="B123" s="60"/>
      <c r="C123" s="63"/>
      <c r="D123" s="72"/>
      <c r="E123" s="69"/>
      <c r="F123" s="19" t="s">
        <v>6</v>
      </c>
      <c r="G123" s="20" t="s">
        <v>7</v>
      </c>
      <c r="H123" s="19" t="s">
        <v>6</v>
      </c>
      <c r="I123" s="20" t="s">
        <v>7</v>
      </c>
    </row>
    <row r="124" spans="2:9" ht="12.95" customHeight="1" x14ac:dyDescent="0.3">
      <c r="B124" s="21" t="s">
        <v>19</v>
      </c>
      <c r="C124" s="22" t="s">
        <v>20</v>
      </c>
      <c r="D124" s="23" t="s">
        <v>14</v>
      </c>
      <c r="E124" s="24"/>
      <c r="F124" s="25">
        <v>1</v>
      </c>
      <c r="G124" s="4">
        <f>TRUNC(SUM(G127:G128)*0.02,1)</f>
        <v>224</v>
      </c>
      <c r="H124" s="25">
        <v>1</v>
      </c>
      <c r="I124" s="4">
        <f>TRUNC(SUM(I127:I128)*0.02,1)</f>
        <v>296</v>
      </c>
    </row>
    <row r="125" spans="2:9" ht="12.95" customHeight="1" x14ac:dyDescent="0.3">
      <c r="B125" s="26" t="s">
        <v>10</v>
      </c>
      <c r="C125" s="27"/>
      <c r="D125" s="28"/>
      <c r="E125" s="29"/>
      <c r="F125" s="30"/>
      <c r="G125" s="5">
        <f>TRUNC(SUM(G124))</f>
        <v>224</v>
      </c>
      <c r="H125" s="30"/>
      <c r="I125" s="5">
        <f>TRUNC(SUM(I124))</f>
        <v>296</v>
      </c>
    </row>
    <row r="126" spans="2:9" ht="12.95" customHeight="1" x14ac:dyDescent="0.3">
      <c r="B126" s="31"/>
      <c r="C126" s="32"/>
      <c r="D126" s="32"/>
      <c r="E126" s="33"/>
      <c r="F126" s="6"/>
      <c r="G126" s="34"/>
      <c r="H126" s="6"/>
      <c r="I126" s="34"/>
    </row>
    <row r="127" spans="2:9" ht="12.95" customHeight="1" x14ac:dyDescent="0.3">
      <c r="B127" s="35" t="s">
        <v>1</v>
      </c>
      <c r="C127" s="36"/>
      <c r="D127" s="37" t="s">
        <v>9</v>
      </c>
      <c r="E127" s="38">
        <v>228286</v>
      </c>
      <c r="F127" s="39">
        <v>3.4000000000000002E-2</v>
      </c>
      <c r="G127" s="2">
        <f t="shared" ref="G127:G128" si="19">TRUNC($E127*F127,1)</f>
        <v>7761.7</v>
      </c>
      <c r="H127" s="39">
        <v>4.5999999999999999E-2</v>
      </c>
      <c r="I127" s="2">
        <f t="shared" ref="I127:I128" si="20">TRUNC($E127*H127,1)</f>
        <v>10501.1</v>
      </c>
    </row>
    <row r="128" spans="2:9" ht="12.95" customHeight="1" x14ac:dyDescent="0.3">
      <c r="B128" s="35" t="s">
        <v>2</v>
      </c>
      <c r="C128" s="36"/>
      <c r="D128" s="37" t="s">
        <v>9</v>
      </c>
      <c r="E128" s="38">
        <v>172068</v>
      </c>
      <c r="F128" s="39">
        <v>0.02</v>
      </c>
      <c r="G128" s="2">
        <f t="shared" si="19"/>
        <v>3441.3</v>
      </c>
      <c r="H128" s="39">
        <v>2.5000000000000001E-2</v>
      </c>
      <c r="I128" s="2">
        <f t="shared" si="20"/>
        <v>4301.7</v>
      </c>
    </row>
    <row r="129" spans="2:12" ht="12.95" customHeight="1" x14ac:dyDescent="0.3">
      <c r="B129" s="40" t="s">
        <v>11</v>
      </c>
      <c r="C129" s="32"/>
      <c r="D129" s="32"/>
      <c r="E129" s="33"/>
      <c r="F129" s="6"/>
      <c r="G129" s="7">
        <f>TRUNC(SUM(G127:G128))</f>
        <v>11203</v>
      </c>
      <c r="H129" s="6"/>
      <c r="I129" s="7">
        <f>TRUNC(SUM(I127:I128))</f>
        <v>14802</v>
      </c>
    </row>
    <row r="130" spans="2:12" ht="12.95" customHeight="1" x14ac:dyDescent="0.3">
      <c r="B130" s="31"/>
      <c r="C130" s="32"/>
      <c r="D130" s="32"/>
      <c r="E130" s="33"/>
      <c r="F130" s="6"/>
      <c r="G130" s="34"/>
      <c r="H130" s="6"/>
      <c r="I130" s="34"/>
    </row>
    <row r="131" spans="2:12" ht="12.95" customHeight="1" x14ac:dyDescent="0.3">
      <c r="B131" s="41" t="s">
        <v>13</v>
      </c>
      <c r="C131" s="42"/>
      <c r="D131" s="42"/>
      <c r="E131" s="43"/>
      <c r="F131" s="43"/>
      <c r="G131" s="44">
        <f>SUM(G125+G129)</f>
        <v>11427</v>
      </c>
      <c r="H131" s="43"/>
      <c r="I131" s="44">
        <f>SUM(I125+I129)</f>
        <v>15098</v>
      </c>
      <c r="L131" s="45"/>
    </row>
    <row r="132" spans="2:12" ht="12.95" customHeight="1" x14ac:dyDescent="0.3">
      <c r="K132" s="45"/>
      <c r="L132" s="45"/>
    </row>
    <row r="133" spans="2:12" ht="12.95" customHeight="1" x14ac:dyDescent="0.3">
      <c r="B133" s="14" t="s">
        <v>49</v>
      </c>
      <c r="C133" s="15"/>
      <c r="D133" s="16"/>
      <c r="E133" s="17"/>
      <c r="F133" s="16"/>
      <c r="G133" s="16"/>
      <c r="I133" s="18" t="s">
        <v>23</v>
      </c>
    </row>
    <row r="134" spans="2:12" ht="12.95" customHeight="1" x14ac:dyDescent="0.3">
      <c r="B134" s="58" t="s">
        <v>4</v>
      </c>
      <c r="C134" s="61" t="s">
        <v>15</v>
      </c>
      <c r="D134" s="72" t="s">
        <v>8</v>
      </c>
      <c r="E134" s="67" t="s">
        <v>5</v>
      </c>
      <c r="F134" s="70" t="s">
        <v>28</v>
      </c>
      <c r="G134" s="71"/>
      <c r="H134" s="70" t="s">
        <v>29</v>
      </c>
      <c r="I134" s="71"/>
    </row>
    <row r="135" spans="2:12" ht="12.95" customHeight="1" x14ac:dyDescent="0.3">
      <c r="B135" s="60"/>
      <c r="C135" s="63"/>
      <c r="D135" s="72"/>
      <c r="E135" s="69"/>
      <c r="F135" s="19" t="s">
        <v>6</v>
      </c>
      <c r="G135" s="20" t="s">
        <v>7</v>
      </c>
      <c r="H135" s="19" t="s">
        <v>6</v>
      </c>
      <c r="I135" s="20" t="s">
        <v>7</v>
      </c>
    </row>
    <row r="136" spans="2:12" ht="12.95" customHeight="1" x14ac:dyDescent="0.3">
      <c r="B136" s="35" t="s">
        <v>1</v>
      </c>
      <c r="C136" s="36"/>
      <c r="D136" s="37" t="s">
        <v>9</v>
      </c>
      <c r="E136" s="38">
        <v>228286</v>
      </c>
      <c r="F136" s="39">
        <v>2.5999999999999999E-2</v>
      </c>
      <c r="G136" s="2">
        <f t="shared" ref="G136:G137" si="21">TRUNC($E136*F136,1)</f>
        <v>5935.4</v>
      </c>
      <c r="H136" s="39">
        <v>3.5999999999999997E-2</v>
      </c>
      <c r="I136" s="2">
        <f t="shared" ref="I136:I137" si="22">TRUNC($E136*H136,1)</f>
        <v>8218.2000000000007</v>
      </c>
    </row>
    <row r="137" spans="2:12" ht="12.95" customHeight="1" x14ac:dyDescent="0.3">
      <c r="B137" s="35" t="s">
        <v>2</v>
      </c>
      <c r="C137" s="36"/>
      <c r="D137" s="37" t="s">
        <v>9</v>
      </c>
      <c r="E137" s="38">
        <v>172068</v>
      </c>
      <c r="F137" s="39">
        <v>1.6E-2</v>
      </c>
      <c r="G137" s="2">
        <f t="shared" si="21"/>
        <v>2753</v>
      </c>
      <c r="H137" s="39">
        <v>0.02</v>
      </c>
      <c r="I137" s="2">
        <f t="shared" si="22"/>
        <v>3441.3</v>
      </c>
    </row>
    <row r="138" spans="2:12" ht="12.95" customHeight="1" x14ac:dyDescent="0.3">
      <c r="B138" s="40" t="s">
        <v>11</v>
      </c>
      <c r="C138" s="32"/>
      <c r="D138" s="32"/>
      <c r="E138" s="33"/>
      <c r="F138" s="6"/>
      <c r="G138" s="7">
        <f>TRUNC(SUM(G136:G137))</f>
        <v>8688</v>
      </c>
      <c r="H138" s="6"/>
      <c r="I138" s="7">
        <f>TRUNC(SUM(I136:I137))</f>
        <v>11659</v>
      </c>
    </row>
    <row r="139" spans="2:12" ht="12.95" customHeight="1" x14ac:dyDescent="0.3">
      <c r="B139" s="31"/>
      <c r="C139" s="32"/>
      <c r="D139" s="32"/>
      <c r="E139" s="33"/>
      <c r="F139" s="6"/>
      <c r="G139" s="34"/>
      <c r="H139" s="6"/>
      <c r="I139" s="34"/>
    </row>
    <row r="140" spans="2:12" ht="12.95" customHeight="1" x14ac:dyDescent="0.3">
      <c r="B140" s="41" t="s">
        <v>13</v>
      </c>
      <c r="C140" s="42"/>
      <c r="D140" s="42"/>
      <c r="E140" s="43"/>
      <c r="F140" s="43"/>
      <c r="G140" s="44">
        <f>SUM(G138)</f>
        <v>8688</v>
      </c>
      <c r="H140" s="43"/>
      <c r="I140" s="44">
        <f>SUM(I138)</f>
        <v>11659</v>
      </c>
      <c r="L140" s="45"/>
    </row>
    <row r="141" spans="2:12" ht="12.95" customHeight="1" x14ac:dyDescent="0.3">
      <c r="K141" s="45"/>
      <c r="L141" s="45"/>
    </row>
    <row r="142" spans="2:12" ht="12.95" customHeight="1" x14ac:dyDescent="0.3">
      <c r="B142" s="12" t="s">
        <v>50</v>
      </c>
    </row>
    <row r="143" spans="2:12" ht="12.95" customHeight="1" x14ac:dyDescent="0.3">
      <c r="B143" s="14" t="s">
        <v>51</v>
      </c>
      <c r="C143" s="15"/>
      <c r="D143" s="16"/>
      <c r="E143" s="17"/>
      <c r="F143" s="16"/>
      <c r="G143" s="16"/>
      <c r="I143" s="18" t="s">
        <v>23</v>
      </c>
    </row>
    <row r="144" spans="2:12" ht="12.95" customHeight="1" x14ac:dyDescent="0.3">
      <c r="B144" s="58" t="s">
        <v>4</v>
      </c>
      <c r="C144" s="61" t="s">
        <v>15</v>
      </c>
      <c r="D144" s="72" t="s">
        <v>8</v>
      </c>
      <c r="E144" s="67" t="s">
        <v>5</v>
      </c>
      <c r="F144" s="70" t="s">
        <v>28</v>
      </c>
      <c r="G144" s="71"/>
      <c r="H144" s="70" t="s">
        <v>29</v>
      </c>
      <c r="I144" s="71"/>
    </row>
    <row r="145" spans="2:12" ht="12.95" customHeight="1" x14ac:dyDescent="0.3">
      <c r="B145" s="60"/>
      <c r="C145" s="63"/>
      <c r="D145" s="72"/>
      <c r="E145" s="69"/>
      <c r="F145" s="19" t="s">
        <v>6</v>
      </c>
      <c r="G145" s="20" t="s">
        <v>7</v>
      </c>
      <c r="H145" s="19" t="s">
        <v>6</v>
      </c>
      <c r="I145" s="20" t="s">
        <v>7</v>
      </c>
    </row>
    <row r="146" spans="2:12" ht="12.95" customHeight="1" x14ac:dyDescent="0.3">
      <c r="B146" s="21" t="s">
        <v>19</v>
      </c>
      <c r="C146" s="22" t="s">
        <v>21</v>
      </c>
      <c r="D146" s="23" t="s">
        <v>14</v>
      </c>
      <c r="E146" s="24"/>
      <c r="F146" s="25">
        <v>1</v>
      </c>
      <c r="G146" s="4">
        <f>TRUNC(SUM(G149:G150)*0.03,1)</f>
        <v>720.1</v>
      </c>
      <c r="H146" s="25">
        <v>1</v>
      </c>
      <c r="I146" s="4">
        <f>TRUNC(SUM(I149:I150)*0.03,1)</f>
        <v>565.70000000000005</v>
      </c>
    </row>
    <row r="147" spans="2:12" ht="12.95" customHeight="1" x14ac:dyDescent="0.3">
      <c r="B147" s="26" t="s">
        <v>10</v>
      </c>
      <c r="C147" s="27"/>
      <c r="D147" s="28"/>
      <c r="E147" s="29"/>
      <c r="F147" s="30"/>
      <c r="G147" s="5">
        <f>TRUNC(SUM(G146))</f>
        <v>720</v>
      </c>
      <c r="H147" s="30"/>
      <c r="I147" s="5">
        <f>TRUNC(SUM(I146))</f>
        <v>565</v>
      </c>
    </row>
    <row r="148" spans="2:12" ht="12.95" customHeight="1" x14ac:dyDescent="0.3">
      <c r="B148" s="31"/>
      <c r="C148" s="32"/>
      <c r="D148" s="32"/>
      <c r="E148" s="33"/>
      <c r="F148" s="6"/>
      <c r="G148" s="34"/>
      <c r="H148" s="6"/>
      <c r="I148" s="34"/>
    </row>
    <row r="149" spans="2:12" ht="12.95" customHeight="1" x14ac:dyDescent="0.3">
      <c r="B149" s="35" t="s">
        <v>1</v>
      </c>
      <c r="C149" s="36"/>
      <c r="D149" s="37" t="s">
        <v>9</v>
      </c>
      <c r="E149" s="38">
        <v>228286</v>
      </c>
      <c r="F149" s="39">
        <v>7.4999999999999997E-2</v>
      </c>
      <c r="G149" s="2">
        <f t="shared" ref="G149:G150" si="23">TRUNC($E149*F149,1)</f>
        <v>17121.400000000001</v>
      </c>
      <c r="H149" s="39">
        <v>0.06</v>
      </c>
      <c r="I149" s="2">
        <f t="shared" ref="I149:I150" si="24">TRUNC($E149*H149,1)</f>
        <v>13697.1</v>
      </c>
    </row>
    <row r="150" spans="2:12" ht="12.95" customHeight="1" x14ac:dyDescent="0.3">
      <c r="B150" s="35" t="s">
        <v>2</v>
      </c>
      <c r="C150" s="36"/>
      <c r="D150" s="37" t="s">
        <v>9</v>
      </c>
      <c r="E150" s="38">
        <v>172068</v>
      </c>
      <c r="F150" s="39">
        <v>0.04</v>
      </c>
      <c r="G150" s="2">
        <f t="shared" si="23"/>
        <v>6882.7</v>
      </c>
      <c r="H150" s="39">
        <v>0.03</v>
      </c>
      <c r="I150" s="2">
        <f t="shared" si="24"/>
        <v>5162</v>
      </c>
    </row>
    <row r="151" spans="2:12" ht="12.95" customHeight="1" x14ac:dyDescent="0.3">
      <c r="B151" s="40" t="s">
        <v>11</v>
      </c>
      <c r="C151" s="32"/>
      <c r="D151" s="32"/>
      <c r="E151" s="33"/>
      <c r="F151" s="6"/>
      <c r="G151" s="7">
        <f>TRUNC(SUM(G149:G150))</f>
        <v>24004</v>
      </c>
      <c r="H151" s="6"/>
      <c r="I151" s="7">
        <f>TRUNC(SUM(I149:I150))</f>
        <v>18859</v>
      </c>
    </row>
    <row r="152" spans="2:12" ht="12.95" customHeight="1" x14ac:dyDescent="0.3">
      <c r="B152" s="31"/>
      <c r="C152" s="32"/>
      <c r="D152" s="32"/>
      <c r="E152" s="33"/>
      <c r="F152" s="6"/>
      <c r="G152" s="34"/>
      <c r="H152" s="6"/>
      <c r="I152" s="34"/>
    </row>
    <row r="153" spans="2:12" ht="12.95" customHeight="1" x14ac:dyDescent="0.3">
      <c r="B153" s="41" t="s">
        <v>13</v>
      </c>
      <c r="C153" s="42"/>
      <c r="D153" s="42"/>
      <c r="E153" s="43"/>
      <c r="F153" s="43"/>
      <c r="G153" s="44">
        <f>SUM(G147+G151)</f>
        <v>24724</v>
      </c>
      <c r="H153" s="43"/>
      <c r="I153" s="44">
        <f>SUM(I147+I151)</f>
        <v>19424</v>
      </c>
      <c r="L153" s="45"/>
    </row>
    <row r="154" spans="2:12" ht="12.95" customHeight="1" x14ac:dyDescent="0.3">
      <c r="K154" s="45"/>
      <c r="L154" s="45"/>
    </row>
    <row r="155" spans="2:12" ht="12.95" customHeight="1" x14ac:dyDescent="0.3">
      <c r="B155" s="14" t="s">
        <v>52</v>
      </c>
      <c r="C155" s="15"/>
      <c r="D155" s="16"/>
      <c r="E155" s="17"/>
      <c r="F155" s="16"/>
      <c r="G155" s="16"/>
      <c r="I155" s="18" t="s">
        <v>23</v>
      </c>
    </row>
    <row r="156" spans="2:12" ht="12.95" customHeight="1" x14ac:dyDescent="0.3">
      <c r="B156" s="58" t="s">
        <v>4</v>
      </c>
      <c r="C156" s="61" t="s">
        <v>15</v>
      </c>
      <c r="D156" s="72" t="s">
        <v>8</v>
      </c>
      <c r="E156" s="67" t="s">
        <v>5</v>
      </c>
      <c r="F156" s="70" t="s">
        <v>57</v>
      </c>
      <c r="G156" s="71"/>
      <c r="H156" s="70" t="s">
        <v>58</v>
      </c>
      <c r="I156" s="71"/>
    </row>
    <row r="157" spans="2:12" ht="12.95" customHeight="1" x14ac:dyDescent="0.3">
      <c r="B157" s="60"/>
      <c r="C157" s="63"/>
      <c r="D157" s="72"/>
      <c r="E157" s="69"/>
      <c r="F157" s="19" t="s">
        <v>6</v>
      </c>
      <c r="G157" s="20" t="s">
        <v>7</v>
      </c>
      <c r="H157" s="19" t="s">
        <v>6</v>
      </c>
      <c r="I157" s="20" t="s">
        <v>7</v>
      </c>
    </row>
    <row r="158" spans="2:12" ht="12.95" customHeight="1" x14ac:dyDescent="0.3">
      <c r="B158" s="21" t="s">
        <v>19</v>
      </c>
      <c r="C158" s="22" t="s">
        <v>21</v>
      </c>
      <c r="D158" s="23" t="s">
        <v>14</v>
      </c>
      <c r="E158" s="24"/>
      <c r="F158" s="25">
        <v>1</v>
      </c>
      <c r="G158" s="4">
        <f>TRUNC(SUM(G161:G162)*0.03,1)</f>
        <v>617.29999999999995</v>
      </c>
      <c r="H158" s="25">
        <v>1</v>
      </c>
      <c r="I158" s="4">
        <f>TRUNC(SUM(I161:I162)*0.03,1)</f>
        <v>377.1</v>
      </c>
    </row>
    <row r="159" spans="2:12" ht="12.95" customHeight="1" x14ac:dyDescent="0.3">
      <c r="B159" s="26" t="s">
        <v>10</v>
      </c>
      <c r="C159" s="27"/>
      <c r="D159" s="28"/>
      <c r="E159" s="29"/>
      <c r="F159" s="30"/>
      <c r="G159" s="5">
        <f>TRUNC(SUM(G158))</f>
        <v>617</v>
      </c>
      <c r="H159" s="30"/>
      <c r="I159" s="5">
        <f>TRUNC(SUM(I158))</f>
        <v>377</v>
      </c>
    </row>
    <row r="160" spans="2:12" ht="12.95" customHeight="1" x14ac:dyDescent="0.3">
      <c r="B160" s="31"/>
      <c r="C160" s="32"/>
      <c r="D160" s="32"/>
      <c r="E160" s="33"/>
      <c r="F160" s="6"/>
      <c r="G160" s="34"/>
      <c r="H160" s="6"/>
      <c r="I160" s="34"/>
    </row>
    <row r="161" spans="2:12" ht="12.95" customHeight="1" x14ac:dyDescent="0.3">
      <c r="B161" s="35" t="s">
        <v>1</v>
      </c>
      <c r="C161" s="36"/>
      <c r="D161" s="37" t="s">
        <v>9</v>
      </c>
      <c r="E161" s="38">
        <v>228286</v>
      </c>
      <c r="F161" s="30">
        <v>0.06</v>
      </c>
      <c r="G161" s="2">
        <f t="shared" ref="G161:G162" si="25">TRUNC($E161*F161,1)</f>
        <v>13697.1</v>
      </c>
      <c r="H161" s="30">
        <v>0.04</v>
      </c>
      <c r="I161" s="2">
        <f t="shared" ref="I161:I162" si="26">TRUNC($E161*H161,1)</f>
        <v>9131.4</v>
      </c>
    </row>
    <row r="162" spans="2:12" ht="12.95" customHeight="1" x14ac:dyDescent="0.3">
      <c r="B162" s="35" t="s">
        <v>2</v>
      </c>
      <c r="C162" s="36"/>
      <c r="D162" s="37" t="s">
        <v>9</v>
      </c>
      <c r="E162" s="38">
        <v>172068</v>
      </c>
      <c r="F162" s="30">
        <v>0.04</v>
      </c>
      <c r="G162" s="2">
        <f t="shared" si="25"/>
        <v>6882.7</v>
      </c>
      <c r="H162" s="30">
        <v>0.02</v>
      </c>
      <c r="I162" s="2">
        <f t="shared" si="26"/>
        <v>3441.3</v>
      </c>
    </row>
    <row r="163" spans="2:12" ht="12.95" customHeight="1" x14ac:dyDescent="0.3">
      <c r="B163" s="40" t="s">
        <v>11</v>
      </c>
      <c r="C163" s="32"/>
      <c r="D163" s="32"/>
      <c r="E163" s="33"/>
      <c r="F163" s="6"/>
      <c r="G163" s="7">
        <f>TRUNC(SUM(G161:G162))</f>
        <v>20579</v>
      </c>
      <c r="H163" s="6"/>
      <c r="I163" s="7">
        <f>TRUNC(SUM(I161:I162))</f>
        <v>12572</v>
      </c>
    </row>
    <row r="164" spans="2:12" ht="12.95" customHeight="1" x14ac:dyDescent="0.3">
      <c r="B164" s="31"/>
      <c r="C164" s="32"/>
      <c r="D164" s="32"/>
      <c r="E164" s="33"/>
      <c r="F164" s="6"/>
      <c r="G164" s="34"/>
      <c r="H164" s="6"/>
      <c r="I164" s="34"/>
    </row>
    <row r="165" spans="2:12" ht="12.95" customHeight="1" x14ac:dyDescent="0.3">
      <c r="B165" s="41" t="s">
        <v>13</v>
      </c>
      <c r="C165" s="42"/>
      <c r="D165" s="42"/>
      <c r="E165" s="43"/>
      <c r="F165" s="43"/>
      <c r="G165" s="44">
        <f>SUM(G159+G163)</f>
        <v>21196</v>
      </c>
      <c r="H165" s="43"/>
      <c r="I165" s="44">
        <f>SUM(I159+I163)</f>
        <v>12949</v>
      </c>
      <c r="L165" s="45"/>
    </row>
    <row r="166" spans="2:12" ht="12.95" customHeight="1" x14ac:dyDescent="0.3">
      <c r="K166" s="45"/>
      <c r="L166" s="45"/>
    </row>
    <row r="167" spans="2:12" ht="12.95" customHeight="1" x14ac:dyDescent="0.3">
      <c r="B167" s="14" t="s">
        <v>53</v>
      </c>
      <c r="C167" s="15"/>
      <c r="D167" s="16"/>
      <c r="E167" s="17"/>
      <c r="F167" s="16"/>
      <c r="G167" s="16"/>
      <c r="K167" s="18" t="s">
        <v>23</v>
      </c>
    </row>
    <row r="168" spans="2:12" ht="12.95" customHeight="1" x14ac:dyDescent="0.3">
      <c r="B168" s="58" t="s">
        <v>4</v>
      </c>
      <c r="C168" s="61" t="s">
        <v>15</v>
      </c>
      <c r="D168" s="72" t="s">
        <v>8</v>
      </c>
      <c r="E168" s="67" t="s">
        <v>5</v>
      </c>
      <c r="F168" s="70" t="s">
        <v>54</v>
      </c>
      <c r="G168" s="71"/>
      <c r="H168" s="70" t="s">
        <v>55</v>
      </c>
      <c r="I168" s="71"/>
      <c r="J168" s="70" t="s">
        <v>56</v>
      </c>
      <c r="K168" s="71"/>
    </row>
    <row r="169" spans="2:12" ht="12.95" customHeight="1" x14ac:dyDescent="0.3">
      <c r="B169" s="60"/>
      <c r="C169" s="63"/>
      <c r="D169" s="72"/>
      <c r="E169" s="69"/>
      <c r="F169" s="19" t="s">
        <v>6</v>
      </c>
      <c r="G169" s="20" t="s">
        <v>7</v>
      </c>
      <c r="H169" s="19" t="s">
        <v>6</v>
      </c>
      <c r="I169" s="20" t="s">
        <v>7</v>
      </c>
      <c r="J169" s="19" t="s">
        <v>6</v>
      </c>
      <c r="K169" s="20" t="s">
        <v>7</v>
      </c>
    </row>
    <row r="170" spans="2:12" ht="12.95" customHeight="1" x14ac:dyDescent="0.3">
      <c r="B170" s="21" t="s">
        <v>19</v>
      </c>
      <c r="C170" s="22" t="s">
        <v>20</v>
      </c>
      <c r="D170" s="23" t="s">
        <v>14</v>
      </c>
      <c r="E170" s="24"/>
      <c r="F170" s="25">
        <v>1</v>
      </c>
      <c r="G170" s="4">
        <f>TRUNC(SUM(G173:G174)*0.02,1)</f>
        <v>381</v>
      </c>
      <c r="H170" s="25">
        <v>1</v>
      </c>
      <c r="I170" s="4">
        <f>TRUNC(SUM(I173:I174)*0.02,1)</f>
        <v>458.5</v>
      </c>
      <c r="J170" s="25">
        <v>1</v>
      </c>
      <c r="K170" s="4">
        <f>TRUNC(SUM(K173:K174)*0.02,1)</f>
        <v>570</v>
      </c>
    </row>
    <row r="171" spans="2:12" ht="12.95" customHeight="1" x14ac:dyDescent="0.3">
      <c r="B171" s="26" t="s">
        <v>10</v>
      </c>
      <c r="C171" s="27"/>
      <c r="D171" s="28"/>
      <c r="E171" s="29"/>
      <c r="F171" s="30"/>
      <c r="G171" s="5">
        <f>TRUNC(SUM(G170))</f>
        <v>381</v>
      </c>
      <c r="H171" s="30"/>
      <c r="I171" s="5">
        <f>TRUNC(SUM(I170))</f>
        <v>458</v>
      </c>
      <c r="J171" s="30"/>
      <c r="K171" s="5">
        <f>TRUNC(SUM(K170))</f>
        <v>570</v>
      </c>
    </row>
    <row r="172" spans="2:12" ht="12.95" customHeight="1" x14ac:dyDescent="0.3">
      <c r="B172" s="31"/>
      <c r="C172" s="32"/>
      <c r="D172" s="32"/>
      <c r="E172" s="33"/>
      <c r="F172" s="6"/>
      <c r="G172" s="34"/>
      <c r="H172" s="6"/>
      <c r="I172" s="34"/>
      <c r="J172" s="6"/>
      <c r="K172" s="34"/>
    </row>
    <row r="173" spans="2:12" ht="12.95" customHeight="1" x14ac:dyDescent="0.3">
      <c r="B173" s="35" t="s">
        <v>0</v>
      </c>
      <c r="C173" s="36"/>
      <c r="D173" s="37" t="s">
        <v>9</v>
      </c>
      <c r="E173" s="38">
        <v>277276</v>
      </c>
      <c r="F173" s="39">
        <v>4.7E-2</v>
      </c>
      <c r="G173" s="2">
        <f t="shared" ref="G173:G174" si="27">TRUNC($E173*F173,1)</f>
        <v>13031.9</v>
      </c>
      <c r="H173" s="39">
        <v>5.6000000000000001E-2</v>
      </c>
      <c r="I173" s="2">
        <f t="shared" ref="I173:I174" si="28">TRUNC($E173*H173,1)</f>
        <v>15527.4</v>
      </c>
      <c r="J173" s="39">
        <v>7.2999999999999995E-2</v>
      </c>
      <c r="K173" s="2">
        <f t="shared" ref="K173:K174" si="29">TRUNC($E173*J173,1)</f>
        <v>20241.099999999999</v>
      </c>
    </row>
    <row r="174" spans="2:12" ht="12.95" customHeight="1" x14ac:dyDescent="0.3">
      <c r="B174" s="35" t="s">
        <v>2</v>
      </c>
      <c r="C174" s="36"/>
      <c r="D174" s="37" t="s">
        <v>9</v>
      </c>
      <c r="E174" s="38">
        <v>172068</v>
      </c>
      <c r="F174" s="39">
        <v>3.5000000000000003E-2</v>
      </c>
      <c r="G174" s="2">
        <f t="shared" si="27"/>
        <v>6022.3</v>
      </c>
      <c r="H174" s="39">
        <v>4.2999999999999997E-2</v>
      </c>
      <c r="I174" s="2">
        <f t="shared" si="28"/>
        <v>7398.9</v>
      </c>
      <c r="J174" s="39">
        <v>4.8000000000000001E-2</v>
      </c>
      <c r="K174" s="2">
        <f t="shared" si="29"/>
        <v>8259.2000000000007</v>
      </c>
    </row>
    <row r="175" spans="2:12" ht="12.95" customHeight="1" x14ac:dyDescent="0.3">
      <c r="B175" s="40" t="s">
        <v>11</v>
      </c>
      <c r="C175" s="32"/>
      <c r="D175" s="32"/>
      <c r="E175" s="33"/>
      <c r="F175" s="6"/>
      <c r="G175" s="7">
        <f>TRUNC(SUM(G173:G174))</f>
        <v>19054</v>
      </c>
      <c r="H175" s="6"/>
      <c r="I175" s="7">
        <f>TRUNC(SUM(I173:I174))</f>
        <v>22926</v>
      </c>
      <c r="J175" s="6"/>
      <c r="K175" s="7">
        <f>TRUNC(SUM(K173:K174))</f>
        <v>28500</v>
      </c>
    </row>
    <row r="176" spans="2:12" ht="12.95" customHeight="1" x14ac:dyDescent="0.3">
      <c r="B176" s="31"/>
      <c r="C176" s="32"/>
      <c r="D176" s="32"/>
      <c r="E176" s="33"/>
      <c r="F176" s="6"/>
      <c r="G176" s="34"/>
      <c r="H176" s="6"/>
      <c r="I176" s="34"/>
      <c r="J176" s="6"/>
      <c r="K176" s="34"/>
    </row>
    <row r="177" spans="2:12" ht="12.95" customHeight="1" x14ac:dyDescent="0.3">
      <c r="B177" s="41" t="s">
        <v>13</v>
      </c>
      <c r="C177" s="42"/>
      <c r="D177" s="42"/>
      <c r="E177" s="43"/>
      <c r="F177" s="43"/>
      <c r="G177" s="44">
        <f>SUM(G171+G175)</f>
        <v>19435</v>
      </c>
      <c r="H177" s="43"/>
      <c r="I177" s="44">
        <f>SUM(I171+I175)</f>
        <v>23384</v>
      </c>
      <c r="J177" s="43"/>
      <c r="K177" s="44">
        <f>SUM(K171+K175)</f>
        <v>29070</v>
      </c>
      <c r="L177" s="45"/>
    </row>
    <row r="179" spans="2:12" ht="12.95" customHeight="1" x14ac:dyDescent="0.3">
      <c r="B179" s="14" t="s">
        <v>59</v>
      </c>
      <c r="C179" s="15"/>
      <c r="D179" s="16"/>
      <c r="E179" s="17"/>
      <c r="F179" s="16"/>
      <c r="G179" s="16"/>
      <c r="I179" s="18" t="s">
        <v>23</v>
      </c>
    </row>
    <row r="180" spans="2:12" ht="12.95" customHeight="1" x14ac:dyDescent="0.3">
      <c r="B180" s="58" t="s">
        <v>4</v>
      </c>
      <c r="C180" s="61" t="s">
        <v>15</v>
      </c>
      <c r="D180" s="72" t="s">
        <v>8</v>
      </c>
      <c r="E180" s="67" t="s">
        <v>5</v>
      </c>
      <c r="F180" s="70" t="s">
        <v>60</v>
      </c>
      <c r="G180" s="71"/>
      <c r="H180" s="70" t="s">
        <v>61</v>
      </c>
      <c r="I180" s="71"/>
    </row>
    <row r="181" spans="2:12" ht="12.95" customHeight="1" x14ac:dyDescent="0.3">
      <c r="B181" s="60"/>
      <c r="C181" s="63"/>
      <c r="D181" s="72"/>
      <c r="E181" s="69"/>
      <c r="F181" s="19" t="s">
        <v>6</v>
      </c>
      <c r="G181" s="20" t="s">
        <v>7</v>
      </c>
      <c r="H181" s="19" t="s">
        <v>6</v>
      </c>
      <c r="I181" s="20" t="s">
        <v>7</v>
      </c>
    </row>
    <row r="182" spans="2:12" ht="12.95" customHeight="1" x14ac:dyDescent="0.3">
      <c r="B182" s="21" t="s">
        <v>19</v>
      </c>
      <c r="C182" s="22" t="s">
        <v>21</v>
      </c>
      <c r="D182" s="23" t="s">
        <v>14</v>
      </c>
      <c r="E182" s="24"/>
      <c r="F182" s="25">
        <v>1</v>
      </c>
      <c r="G182" s="4">
        <f>TRUNC(SUM(G185:G186)*0.03,1)</f>
        <v>1046.0999999999999</v>
      </c>
      <c r="H182" s="25">
        <v>1</v>
      </c>
      <c r="I182" s="4">
        <f>TRUNC(SUM(I185:I186)*0.03,1)</f>
        <v>926</v>
      </c>
    </row>
    <row r="183" spans="2:12" ht="12.95" customHeight="1" x14ac:dyDescent="0.3">
      <c r="B183" s="26" t="s">
        <v>10</v>
      </c>
      <c r="C183" s="27"/>
      <c r="D183" s="28"/>
      <c r="E183" s="29"/>
      <c r="F183" s="30"/>
      <c r="G183" s="5">
        <f>TRUNC(SUM(G182))</f>
        <v>1046</v>
      </c>
      <c r="H183" s="30"/>
      <c r="I183" s="5">
        <f>TRUNC(SUM(I182))</f>
        <v>926</v>
      </c>
    </row>
    <row r="184" spans="2:12" ht="12.95" customHeight="1" x14ac:dyDescent="0.3">
      <c r="B184" s="31"/>
      <c r="C184" s="32"/>
      <c r="D184" s="32"/>
      <c r="E184" s="33"/>
      <c r="F184" s="6"/>
      <c r="G184" s="34"/>
      <c r="H184" s="6"/>
      <c r="I184" s="34"/>
    </row>
    <row r="185" spans="2:12" ht="12.95" customHeight="1" x14ac:dyDescent="0.3">
      <c r="B185" s="35" t="s">
        <v>1</v>
      </c>
      <c r="C185" s="36"/>
      <c r="D185" s="37" t="s">
        <v>9</v>
      </c>
      <c r="E185" s="38">
        <v>228286</v>
      </c>
      <c r="F185" s="30">
        <v>0.1</v>
      </c>
      <c r="G185" s="2">
        <f t="shared" ref="G185:G186" si="30">TRUNC($E185*F185,1)</f>
        <v>22828.6</v>
      </c>
      <c r="H185" s="30">
        <v>0.09</v>
      </c>
      <c r="I185" s="2">
        <f t="shared" ref="I185:I186" si="31">TRUNC($E185*H185,1)</f>
        <v>20545.7</v>
      </c>
    </row>
    <row r="186" spans="2:12" ht="12.95" customHeight="1" x14ac:dyDescent="0.3">
      <c r="B186" s="35" t="s">
        <v>2</v>
      </c>
      <c r="C186" s="36"/>
      <c r="D186" s="37" t="s">
        <v>9</v>
      </c>
      <c r="E186" s="38">
        <v>172068</v>
      </c>
      <c r="F186" s="30">
        <v>7.0000000000000007E-2</v>
      </c>
      <c r="G186" s="2">
        <f t="shared" si="30"/>
        <v>12044.7</v>
      </c>
      <c r="H186" s="30">
        <v>0.06</v>
      </c>
      <c r="I186" s="2">
        <f t="shared" si="31"/>
        <v>10324</v>
      </c>
    </row>
    <row r="187" spans="2:12" ht="12.95" customHeight="1" x14ac:dyDescent="0.3">
      <c r="B187" s="40" t="s">
        <v>11</v>
      </c>
      <c r="C187" s="32"/>
      <c r="D187" s="32"/>
      <c r="E187" s="33"/>
      <c r="F187" s="6"/>
      <c r="G187" s="7">
        <f>TRUNC(SUM(G185:G186))</f>
        <v>34873</v>
      </c>
      <c r="H187" s="6"/>
      <c r="I187" s="7">
        <f>TRUNC(SUM(I185:I186))</f>
        <v>30869</v>
      </c>
    </row>
    <row r="188" spans="2:12" ht="12.95" customHeight="1" x14ac:dyDescent="0.3">
      <c r="B188" s="31"/>
      <c r="C188" s="32"/>
      <c r="D188" s="32"/>
      <c r="E188" s="33"/>
      <c r="F188" s="6"/>
      <c r="G188" s="34"/>
      <c r="H188" s="6"/>
      <c r="I188" s="34"/>
    </row>
    <row r="189" spans="2:12" ht="12.95" customHeight="1" x14ac:dyDescent="0.3">
      <c r="B189" s="41" t="s">
        <v>13</v>
      </c>
      <c r="C189" s="42"/>
      <c r="D189" s="42"/>
      <c r="E189" s="43"/>
      <c r="F189" s="43"/>
      <c r="G189" s="44">
        <f>SUM(G183+G187)</f>
        <v>35919</v>
      </c>
      <c r="H189" s="43"/>
      <c r="I189" s="44">
        <f>SUM(I183+I187)</f>
        <v>31795</v>
      </c>
      <c r="L189" s="45"/>
    </row>
    <row r="190" spans="2:12" ht="12.95" customHeight="1" x14ac:dyDescent="0.3">
      <c r="K190" s="45"/>
      <c r="L190" s="45"/>
    </row>
    <row r="191" spans="2:12" ht="12.95" customHeight="1" x14ac:dyDescent="0.3">
      <c r="B191" s="12" t="s">
        <v>62</v>
      </c>
    </row>
    <row r="192" spans="2:12" ht="12.95" customHeight="1" x14ac:dyDescent="0.3">
      <c r="B192" s="14" t="s">
        <v>63</v>
      </c>
      <c r="C192" s="15"/>
      <c r="D192" s="16"/>
      <c r="E192" s="17"/>
      <c r="F192" s="16"/>
      <c r="G192" s="16"/>
      <c r="I192" s="18" t="s">
        <v>23</v>
      </c>
    </row>
    <row r="193" spans="2:12" ht="12.95" customHeight="1" x14ac:dyDescent="0.3">
      <c r="B193" s="58" t="s">
        <v>4</v>
      </c>
      <c r="C193" s="61" t="s">
        <v>15</v>
      </c>
      <c r="D193" s="72" t="s">
        <v>8</v>
      </c>
      <c r="E193" s="67" t="s">
        <v>5</v>
      </c>
      <c r="F193" s="70" t="s">
        <v>28</v>
      </c>
      <c r="G193" s="71"/>
      <c r="H193" s="70" t="s">
        <v>29</v>
      </c>
      <c r="I193" s="71"/>
    </row>
    <row r="194" spans="2:12" ht="12.95" customHeight="1" x14ac:dyDescent="0.3">
      <c r="B194" s="60"/>
      <c r="C194" s="63"/>
      <c r="D194" s="72"/>
      <c r="E194" s="69"/>
      <c r="F194" s="19" t="s">
        <v>6</v>
      </c>
      <c r="G194" s="20" t="s">
        <v>7</v>
      </c>
      <c r="H194" s="19" t="s">
        <v>6</v>
      </c>
      <c r="I194" s="20" t="s">
        <v>7</v>
      </c>
    </row>
    <row r="195" spans="2:12" ht="12.95" customHeight="1" x14ac:dyDescent="0.3">
      <c r="B195" s="21" t="s">
        <v>19</v>
      </c>
      <c r="C195" s="22" t="s">
        <v>21</v>
      </c>
      <c r="D195" s="23" t="s">
        <v>14</v>
      </c>
      <c r="E195" s="24"/>
      <c r="F195" s="25">
        <v>1</v>
      </c>
      <c r="G195" s="4">
        <f>TRUNC(SUM(G198:G199)*0.03,1)</f>
        <v>512.4</v>
      </c>
      <c r="H195" s="25">
        <v>1</v>
      </c>
      <c r="I195" s="4">
        <f>TRUNC(SUM(I198:I199)*0.03,1)</f>
        <v>563.79999999999995</v>
      </c>
    </row>
    <row r="196" spans="2:12" ht="12.95" customHeight="1" x14ac:dyDescent="0.3">
      <c r="B196" s="26" t="s">
        <v>10</v>
      </c>
      <c r="C196" s="27"/>
      <c r="D196" s="28"/>
      <c r="E196" s="29"/>
      <c r="F196" s="30"/>
      <c r="G196" s="5">
        <f>TRUNC(SUM(G195))</f>
        <v>512</v>
      </c>
      <c r="H196" s="30"/>
      <c r="I196" s="5">
        <f>TRUNC(SUM(I195))</f>
        <v>563</v>
      </c>
    </row>
    <row r="197" spans="2:12" ht="12.95" customHeight="1" x14ac:dyDescent="0.3">
      <c r="B197" s="31"/>
      <c r="C197" s="32"/>
      <c r="D197" s="32"/>
      <c r="E197" s="33"/>
      <c r="F197" s="6"/>
      <c r="G197" s="34"/>
      <c r="H197" s="6"/>
      <c r="I197" s="34"/>
    </row>
    <row r="198" spans="2:12" ht="12.95" customHeight="1" x14ac:dyDescent="0.3">
      <c r="B198" s="35" t="s">
        <v>1</v>
      </c>
      <c r="C198" s="36"/>
      <c r="D198" s="37" t="s">
        <v>9</v>
      </c>
      <c r="E198" s="38">
        <v>228286</v>
      </c>
      <c r="F198" s="39">
        <v>5.8999999999999997E-2</v>
      </c>
      <c r="G198" s="2">
        <f t="shared" ref="G198:G199" si="32">TRUNC($E198*F198,1)</f>
        <v>13468.8</v>
      </c>
      <c r="H198" s="39">
        <v>6.5000000000000002E-2</v>
      </c>
      <c r="I198" s="2">
        <f t="shared" ref="I198:I199" si="33">TRUNC($E198*H198,1)</f>
        <v>14838.5</v>
      </c>
    </row>
    <row r="199" spans="2:12" ht="12.95" customHeight="1" x14ac:dyDescent="0.3">
      <c r="B199" s="35" t="s">
        <v>2</v>
      </c>
      <c r="C199" s="36"/>
      <c r="D199" s="37" t="s">
        <v>9</v>
      </c>
      <c r="E199" s="38">
        <v>172068</v>
      </c>
      <c r="F199" s="39">
        <v>2.1000000000000001E-2</v>
      </c>
      <c r="G199" s="2">
        <f t="shared" si="32"/>
        <v>3613.4</v>
      </c>
      <c r="H199" s="39">
        <v>2.3E-2</v>
      </c>
      <c r="I199" s="2">
        <f t="shared" si="33"/>
        <v>3957.5</v>
      </c>
    </row>
    <row r="200" spans="2:12" ht="12.95" customHeight="1" x14ac:dyDescent="0.3">
      <c r="B200" s="40" t="s">
        <v>11</v>
      </c>
      <c r="C200" s="32"/>
      <c r="D200" s="32"/>
      <c r="E200" s="33"/>
      <c r="F200" s="6"/>
      <c r="G200" s="7">
        <f>TRUNC(SUM(G198:G199))</f>
        <v>17082</v>
      </c>
      <c r="H200" s="6"/>
      <c r="I200" s="7">
        <f>TRUNC(SUM(I198:I199))</f>
        <v>18796</v>
      </c>
    </row>
    <row r="201" spans="2:12" ht="12.95" customHeight="1" x14ac:dyDescent="0.3">
      <c r="B201" s="31"/>
      <c r="C201" s="32"/>
      <c r="D201" s="32"/>
      <c r="E201" s="33"/>
      <c r="F201" s="6"/>
      <c r="G201" s="34"/>
      <c r="H201" s="6"/>
      <c r="I201" s="34"/>
    </row>
    <row r="202" spans="2:12" ht="12.95" customHeight="1" x14ac:dyDescent="0.3">
      <c r="B202" s="41" t="s">
        <v>13</v>
      </c>
      <c r="C202" s="42"/>
      <c r="D202" s="42"/>
      <c r="E202" s="43"/>
      <c r="F202" s="43"/>
      <c r="G202" s="44">
        <f>SUM(G196+G200)</f>
        <v>17594</v>
      </c>
      <c r="H202" s="43"/>
      <c r="I202" s="44">
        <f>SUM(I196+I200)</f>
        <v>19359</v>
      </c>
      <c r="L202" s="45"/>
    </row>
    <row r="203" spans="2:12" ht="12.95" customHeight="1" x14ac:dyDescent="0.3">
      <c r="K203" s="45"/>
      <c r="L203" s="45"/>
    </row>
    <row r="204" spans="2:12" ht="12.95" customHeight="1" x14ac:dyDescent="0.3">
      <c r="B204" s="14" t="s">
        <v>64</v>
      </c>
      <c r="C204" s="15"/>
      <c r="D204" s="16"/>
      <c r="E204" s="17"/>
      <c r="F204" s="16"/>
      <c r="G204" s="16"/>
      <c r="I204" s="18" t="s">
        <v>23</v>
      </c>
    </row>
    <row r="205" spans="2:12" ht="12.95" customHeight="1" x14ac:dyDescent="0.3">
      <c r="B205" s="58" t="s">
        <v>4</v>
      </c>
      <c r="C205" s="61" t="s">
        <v>15</v>
      </c>
      <c r="D205" s="64" t="s">
        <v>8</v>
      </c>
      <c r="E205" s="67" t="s">
        <v>5</v>
      </c>
      <c r="F205" s="70" t="s">
        <v>65</v>
      </c>
      <c r="G205" s="71"/>
      <c r="H205" s="71"/>
      <c r="I205" s="71"/>
    </row>
    <row r="206" spans="2:12" ht="12.95" customHeight="1" x14ac:dyDescent="0.3">
      <c r="B206" s="59"/>
      <c r="C206" s="62"/>
      <c r="D206" s="65"/>
      <c r="E206" s="68"/>
      <c r="F206" s="70" t="s">
        <v>67</v>
      </c>
      <c r="G206" s="71"/>
      <c r="H206" s="70" t="s">
        <v>68</v>
      </c>
      <c r="I206" s="71"/>
    </row>
    <row r="207" spans="2:12" ht="12.95" customHeight="1" x14ac:dyDescent="0.3">
      <c r="B207" s="60"/>
      <c r="C207" s="63"/>
      <c r="D207" s="66"/>
      <c r="E207" s="69"/>
      <c r="F207" s="19" t="s">
        <v>6</v>
      </c>
      <c r="G207" s="20" t="s">
        <v>7</v>
      </c>
      <c r="H207" s="19" t="s">
        <v>6</v>
      </c>
      <c r="I207" s="20" t="s">
        <v>7</v>
      </c>
    </row>
    <row r="208" spans="2:12" ht="12.95" customHeight="1" x14ac:dyDescent="0.3">
      <c r="B208" s="35" t="s">
        <v>1</v>
      </c>
      <c r="C208" s="36"/>
      <c r="D208" s="37" t="s">
        <v>9</v>
      </c>
      <c r="E208" s="38">
        <v>228286</v>
      </c>
      <c r="F208" s="39">
        <v>1.4E-2</v>
      </c>
      <c r="G208" s="2">
        <f t="shared" ref="G208:G209" si="34">TRUNC($E208*F208,1)</f>
        <v>3196</v>
      </c>
      <c r="H208" s="39">
        <v>2.1000000000000001E-2</v>
      </c>
      <c r="I208" s="2">
        <f t="shared" ref="I208:I209" si="35">TRUNC($E208*H208,1)</f>
        <v>4794</v>
      </c>
    </row>
    <row r="209" spans="2:12" ht="12.95" customHeight="1" x14ac:dyDescent="0.3">
      <c r="B209" s="35" t="s">
        <v>2</v>
      </c>
      <c r="C209" s="36"/>
      <c r="D209" s="37" t="s">
        <v>9</v>
      </c>
      <c r="E209" s="38">
        <v>172068</v>
      </c>
      <c r="F209" s="39">
        <v>3.0000000000000001E-3</v>
      </c>
      <c r="G209" s="2">
        <f t="shared" si="34"/>
        <v>516.20000000000005</v>
      </c>
      <c r="H209" s="39">
        <v>5.0000000000000001E-3</v>
      </c>
      <c r="I209" s="2">
        <f t="shared" si="35"/>
        <v>860.3</v>
      </c>
    </row>
    <row r="210" spans="2:12" ht="12.95" customHeight="1" x14ac:dyDescent="0.3">
      <c r="B210" s="40" t="s">
        <v>11</v>
      </c>
      <c r="C210" s="32"/>
      <c r="D210" s="32"/>
      <c r="E210" s="33"/>
      <c r="F210" s="6"/>
      <c r="G210" s="7">
        <f>TRUNC(SUM(G208:G209))</f>
        <v>3712</v>
      </c>
      <c r="H210" s="6"/>
      <c r="I210" s="7">
        <f>TRUNC(SUM(I208:I209))</f>
        <v>5654</v>
      </c>
    </row>
    <row r="211" spans="2:12" ht="12.95" customHeight="1" x14ac:dyDescent="0.3">
      <c r="B211" s="31"/>
      <c r="C211" s="32"/>
      <c r="D211" s="32"/>
      <c r="E211" s="33"/>
      <c r="F211" s="6"/>
      <c r="G211" s="34"/>
      <c r="H211" s="6"/>
      <c r="I211" s="34"/>
    </row>
    <row r="212" spans="2:12" ht="12.95" customHeight="1" x14ac:dyDescent="0.3">
      <c r="B212" s="41" t="s">
        <v>13</v>
      </c>
      <c r="C212" s="42"/>
      <c r="D212" s="42"/>
      <c r="E212" s="43"/>
      <c r="F212" s="43"/>
      <c r="G212" s="44">
        <f>SUM(G210)</f>
        <v>3712</v>
      </c>
      <c r="H212" s="43"/>
      <c r="I212" s="44">
        <f>SUM(I210)</f>
        <v>5654</v>
      </c>
    </row>
    <row r="213" spans="2:12" ht="12.95" customHeight="1" x14ac:dyDescent="0.3">
      <c r="B213" s="58" t="s">
        <v>4</v>
      </c>
      <c r="C213" s="61" t="s">
        <v>15</v>
      </c>
      <c r="D213" s="64" t="s">
        <v>8</v>
      </c>
      <c r="E213" s="67" t="s">
        <v>5</v>
      </c>
      <c r="F213" s="70" t="s">
        <v>66</v>
      </c>
      <c r="G213" s="71"/>
      <c r="H213" s="71"/>
      <c r="I213" s="71"/>
    </row>
    <row r="214" spans="2:12" ht="12.95" customHeight="1" x14ac:dyDescent="0.3">
      <c r="B214" s="59"/>
      <c r="C214" s="62"/>
      <c r="D214" s="65"/>
      <c r="E214" s="68"/>
      <c r="F214" s="70" t="s">
        <v>67</v>
      </c>
      <c r="G214" s="71"/>
      <c r="H214" s="70" t="s">
        <v>68</v>
      </c>
      <c r="I214" s="71"/>
    </row>
    <row r="215" spans="2:12" ht="12.95" customHeight="1" x14ac:dyDescent="0.3">
      <c r="B215" s="60"/>
      <c r="C215" s="63"/>
      <c r="D215" s="66"/>
      <c r="E215" s="69"/>
      <c r="F215" s="19" t="s">
        <v>6</v>
      </c>
      <c r="G215" s="20" t="s">
        <v>7</v>
      </c>
      <c r="H215" s="19" t="s">
        <v>6</v>
      </c>
      <c r="I215" s="20" t="s">
        <v>7</v>
      </c>
    </row>
    <row r="216" spans="2:12" ht="12.95" customHeight="1" x14ac:dyDescent="0.3">
      <c r="B216" s="21" t="s">
        <v>19</v>
      </c>
      <c r="C216" s="22" t="s">
        <v>22</v>
      </c>
      <c r="D216" s="23" t="s">
        <v>14</v>
      </c>
      <c r="E216" s="24"/>
      <c r="F216" s="25">
        <v>1</v>
      </c>
      <c r="G216" s="4">
        <f>TRUNC(SUM(G219:G220)*0.04,1)</f>
        <v>121</v>
      </c>
      <c r="H216" s="25">
        <v>1</v>
      </c>
      <c r="I216" s="4">
        <f>TRUNC(SUM(I219:I220)*0.04,1)</f>
        <v>182.7</v>
      </c>
    </row>
    <row r="217" spans="2:12" ht="12.95" customHeight="1" x14ac:dyDescent="0.3">
      <c r="B217" s="26" t="s">
        <v>10</v>
      </c>
      <c r="C217" s="27"/>
      <c r="D217" s="28"/>
      <c r="E217" s="29"/>
      <c r="F217" s="30"/>
      <c r="G217" s="5">
        <f>TRUNC(SUM(G216))</f>
        <v>121</v>
      </c>
      <c r="H217" s="30"/>
      <c r="I217" s="5">
        <f>TRUNC(SUM(I216))</f>
        <v>182</v>
      </c>
    </row>
    <row r="218" spans="2:12" ht="12.95" customHeight="1" x14ac:dyDescent="0.3">
      <c r="B218" s="31"/>
      <c r="C218" s="32"/>
      <c r="D218" s="32"/>
      <c r="E218" s="33"/>
      <c r="F218" s="6"/>
      <c r="G218" s="34"/>
      <c r="H218" s="6"/>
      <c r="I218" s="34"/>
    </row>
    <row r="219" spans="2:12" ht="12.95" customHeight="1" x14ac:dyDescent="0.3">
      <c r="B219" s="35" t="s">
        <v>1</v>
      </c>
      <c r="C219" s="36"/>
      <c r="D219" s="37" t="s">
        <v>9</v>
      </c>
      <c r="E219" s="38">
        <v>228286</v>
      </c>
      <c r="F219" s="39">
        <v>1.0999999999999999E-2</v>
      </c>
      <c r="G219" s="2">
        <f t="shared" ref="G219:G220" si="36">TRUNC($E219*F219,1)</f>
        <v>2511.1</v>
      </c>
      <c r="H219" s="39">
        <v>1.7000000000000001E-2</v>
      </c>
      <c r="I219" s="2">
        <f t="shared" ref="I219:I220" si="37">TRUNC($E219*H219,1)</f>
        <v>3880.8</v>
      </c>
    </row>
    <row r="220" spans="2:12" ht="12.95" customHeight="1" x14ac:dyDescent="0.3">
      <c r="B220" s="35" t="s">
        <v>2</v>
      </c>
      <c r="C220" s="36"/>
      <c r="D220" s="37" t="s">
        <v>9</v>
      </c>
      <c r="E220" s="38">
        <v>172068</v>
      </c>
      <c r="F220" s="39">
        <v>3.0000000000000001E-3</v>
      </c>
      <c r="G220" s="2">
        <f t="shared" si="36"/>
        <v>516.20000000000005</v>
      </c>
      <c r="H220" s="39">
        <v>4.0000000000000001E-3</v>
      </c>
      <c r="I220" s="2">
        <f t="shared" si="37"/>
        <v>688.2</v>
      </c>
    </row>
    <row r="221" spans="2:12" ht="12.95" customHeight="1" x14ac:dyDescent="0.3">
      <c r="B221" s="40" t="s">
        <v>11</v>
      </c>
      <c r="C221" s="32"/>
      <c r="D221" s="32"/>
      <c r="E221" s="33"/>
      <c r="F221" s="6"/>
      <c r="G221" s="7">
        <f>TRUNC(SUM(G219:G220))</f>
        <v>3027</v>
      </c>
      <c r="H221" s="6"/>
      <c r="I221" s="7">
        <f>TRUNC(SUM(I219:I220))</f>
        <v>4569</v>
      </c>
    </row>
    <row r="222" spans="2:12" ht="12.95" customHeight="1" x14ac:dyDescent="0.3">
      <c r="B222" s="31"/>
      <c r="C222" s="32"/>
      <c r="D222" s="32"/>
      <c r="E222" s="33"/>
      <c r="F222" s="6"/>
      <c r="G222" s="34"/>
      <c r="H222" s="6"/>
      <c r="I222" s="34"/>
    </row>
    <row r="223" spans="2:12" ht="12.95" customHeight="1" x14ac:dyDescent="0.3">
      <c r="B223" s="41" t="s">
        <v>13</v>
      </c>
      <c r="C223" s="42"/>
      <c r="D223" s="42"/>
      <c r="E223" s="43"/>
      <c r="F223" s="43"/>
      <c r="G223" s="44">
        <f>SUM(G217+G221)</f>
        <v>3148</v>
      </c>
      <c r="H223" s="43"/>
      <c r="I223" s="44">
        <f>SUM(I217+I221)</f>
        <v>4751</v>
      </c>
    </row>
    <row r="224" spans="2:12" ht="12.95" customHeight="1" x14ac:dyDescent="0.3">
      <c r="K224" s="45"/>
      <c r="L224" s="45"/>
    </row>
    <row r="225" spans="2:13" ht="12.95" customHeight="1" x14ac:dyDescent="0.3">
      <c r="B225" s="14" t="s">
        <v>69</v>
      </c>
      <c r="M225" s="18" t="s">
        <v>23</v>
      </c>
    </row>
    <row r="226" spans="2:13" ht="12.95" customHeight="1" x14ac:dyDescent="0.3">
      <c r="B226" s="58" t="s">
        <v>4</v>
      </c>
      <c r="C226" s="61" t="s">
        <v>15</v>
      </c>
      <c r="D226" s="64" t="s">
        <v>8</v>
      </c>
      <c r="E226" s="67" t="s">
        <v>5</v>
      </c>
      <c r="F226" s="70" t="s">
        <v>70</v>
      </c>
      <c r="G226" s="71"/>
      <c r="H226" s="71"/>
      <c r="I226" s="71"/>
      <c r="J226" s="70" t="s">
        <v>71</v>
      </c>
      <c r="K226" s="71"/>
      <c r="L226" s="71"/>
      <c r="M226" s="71"/>
    </row>
    <row r="227" spans="2:13" ht="12.95" customHeight="1" x14ac:dyDescent="0.3">
      <c r="B227" s="59"/>
      <c r="C227" s="62"/>
      <c r="D227" s="65"/>
      <c r="E227" s="68"/>
      <c r="F227" s="70" t="s">
        <v>28</v>
      </c>
      <c r="G227" s="71"/>
      <c r="H227" s="70" t="s">
        <v>29</v>
      </c>
      <c r="I227" s="71"/>
      <c r="J227" s="70" t="s">
        <v>28</v>
      </c>
      <c r="K227" s="71"/>
      <c r="L227" s="70" t="s">
        <v>29</v>
      </c>
      <c r="M227" s="71"/>
    </row>
    <row r="228" spans="2:13" ht="12.95" customHeight="1" x14ac:dyDescent="0.3">
      <c r="B228" s="60"/>
      <c r="C228" s="63"/>
      <c r="D228" s="66"/>
      <c r="E228" s="69"/>
      <c r="F228" s="19" t="s">
        <v>6</v>
      </c>
      <c r="G228" s="20" t="s">
        <v>7</v>
      </c>
      <c r="H228" s="19" t="s">
        <v>6</v>
      </c>
      <c r="I228" s="20" t="s">
        <v>7</v>
      </c>
      <c r="J228" s="19" t="s">
        <v>6</v>
      </c>
      <c r="K228" s="20" t="s">
        <v>7</v>
      </c>
      <c r="L228" s="19" t="s">
        <v>6</v>
      </c>
      <c r="M228" s="20" t="s">
        <v>7</v>
      </c>
    </row>
    <row r="229" spans="2:13" ht="12.95" customHeight="1" x14ac:dyDescent="0.3">
      <c r="B229" s="21" t="s">
        <v>72</v>
      </c>
      <c r="C229" s="22" t="s">
        <v>86</v>
      </c>
      <c r="D229" s="23" t="s">
        <v>73</v>
      </c>
      <c r="E229" s="47">
        <v>0</v>
      </c>
      <c r="F229" s="30">
        <v>1.18</v>
      </c>
      <c r="G229" s="2">
        <f t="shared" ref="G229:G237" si="38">TRUNC($E229*F229,1)</f>
        <v>0</v>
      </c>
      <c r="H229" s="30">
        <v>1.2</v>
      </c>
      <c r="I229" s="2">
        <f t="shared" ref="I229:I237" si="39">TRUNC($E229*H229,1)</f>
        <v>0</v>
      </c>
      <c r="J229" s="30">
        <v>0</v>
      </c>
      <c r="K229" s="2">
        <f t="shared" ref="K229:K237" si="40">TRUNC($E229*J229,1)</f>
        <v>0</v>
      </c>
      <c r="L229" s="30">
        <v>0</v>
      </c>
      <c r="M229" s="2">
        <f t="shared" ref="M229:M237" si="41">TRUNC($E229*L229,1)</f>
        <v>0</v>
      </c>
    </row>
    <row r="230" spans="2:13" ht="12.95" customHeight="1" x14ac:dyDescent="0.3">
      <c r="B230" s="21" t="s">
        <v>72</v>
      </c>
      <c r="C230" s="22" t="s">
        <v>74</v>
      </c>
      <c r="D230" s="23" t="s">
        <v>73</v>
      </c>
      <c r="E230" s="47">
        <v>0</v>
      </c>
      <c r="F230" s="30">
        <v>0</v>
      </c>
      <c r="G230" s="2">
        <f t="shared" si="38"/>
        <v>0</v>
      </c>
      <c r="H230" s="30">
        <v>0</v>
      </c>
      <c r="I230" s="2">
        <f t="shared" si="39"/>
        <v>0</v>
      </c>
      <c r="J230" s="30">
        <v>1.1499999999999999</v>
      </c>
      <c r="K230" s="2">
        <f t="shared" si="40"/>
        <v>0</v>
      </c>
      <c r="L230" s="30">
        <v>1.2</v>
      </c>
      <c r="M230" s="2">
        <f t="shared" si="41"/>
        <v>0</v>
      </c>
    </row>
    <row r="231" spans="2:13" ht="12.95" customHeight="1" x14ac:dyDescent="0.3">
      <c r="B231" s="21" t="s">
        <v>75</v>
      </c>
      <c r="C231" s="22"/>
      <c r="D231" s="23" t="s">
        <v>76</v>
      </c>
      <c r="E231" s="47">
        <v>0</v>
      </c>
      <c r="F231" s="30">
        <v>0.45</v>
      </c>
      <c r="G231" s="2">
        <f t="shared" si="38"/>
        <v>0</v>
      </c>
      <c r="H231" s="30">
        <v>0.5</v>
      </c>
      <c r="I231" s="2">
        <f t="shared" si="39"/>
        <v>0</v>
      </c>
      <c r="J231" s="30">
        <v>0.15</v>
      </c>
      <c r="K231" s="2">
        <f t="shared" si="40"/>
        <v>0</v>
      </c>
      <c r="L231" s="30">
        <v>0.42</v>
      </c>
      <c r="M231" s="2">
        <f t="shared" si="41"/>
        <v>0</v>
      </c>
    </row>
    <row r="232" spans="2:13" ht="12.95" customHeight="1" x14ac:dyDescent="0.3">
      <c r="B232" s="21" t="s">
        <v>77</v>
      </c>
      <c r="C232" s="22"/>
      <c r="D232" s="23" t="s">
        <v>46</v>
      </c>
      <c r="E232" s="47">
        <v>0</v>
      </c>
      <c r="F232" s="30">
        <v>3.38</v>
      </c>
      <c r="G232" s="2">
        <f t="shared" si="38"/>
        <v>0</v>
      </c>
      <c r="H232" s="30">
        <v>1.46</v>
      </c>
      <c r="I232" s="2">
        <f t="shared" si="39"/>
        <v>0</v>
      </c>
      <c r="J232" s="30">
        <v>0.8</v>
      </c>
      <c r="K232" s="2">
        <f t="shared" si="40"/>
        <v>0</v>
      </c>
      <c r="L232" s="30">
        <v>0.8</v>
      </c>
      <c r="M232" s="2">
        <f t="shared" si="41"/>
        <v>0</v>
      </c>
    </row>
    <row r="233" spans="2:13" ht="12.95" customHeight="1" x14ac:dyDescent="0.3">
      <c r="B233" s="21" t="s">
        <v>32</v>
      </c>
      <c r="C233" s="22" t="s">
        <v>85</v>
      </c>
      <c r="D233" s="23" t="s">
        <v>73</v>
      </c>
      <c r="E233" s="47">
        <v>0</v>
      </c>
      <c r="F233" s="30">
        <v>1.2</v>
      </c>
      <c r="G233" s="2">
        <f t="shared" si="38"/>
        <v>0</v>
      </c>
      <c r="H233" s="30">
        <v>1.2</v>
      </c>
      <c r="I233" s="2">
        <f t="shared" si="39"/>
        <v>0</v>
      </c>
      <c r="J233" s="30">
        <v>0.6</v>
      </c>
      <c r="K233" s="2">
        <f t="shared" si="40"/>
        <v>0</v>
      </c>
      <c r="L233" s="30">
        <v>0.8</v>
      </c>
      <c r="M233" s="2">
        <f t="shared" si="41"/>
        <v>0</v>
      </c>
    </row>
    <row r="234" spans="2:13" ht="12.95" customHeight="1" x14ac:dyDescent="0.3">
      <c r="B234" s="21" t="s">
        <v>78</v>
      </c>
      <c r="C234" s="22" t="s">
        <v>79</v>
      </c>
      <c r="D234" s="23" t="s">
        <v>45</v>
      </c>
      <c r="E234" s="47">
        <v>0</v>
      </c>
      <c r="F234" s="30">
        <v>10</v>
      </c>
      <c r="G234" s="2">
        <f t="shared" si="38"/>
        <v>0</v>
      </c>
      <c r="H234" s="30">
        <v>10</v>
      </c>
      <c r="I234" s="2">
        <f t="shared" si="39"/>
        <v>0</v>
      </c>
      <c r="J234" s="30">
        <v>10.5</v>
      </c>
      <c r="K234" s="2">
        <f t="shared" si="40"/>
        <v>0</v>
      </c>
      <c r="L234" s="30">
        <v>10.5</v>
      </c>
      <c r="M234" s="2">
        <f t="shared" si="41"/>
        <v>0</v>
      </c>
    </row>
    <row r="235" spans="2:13" ht="12.95" customHeight="1" x14ac:dyDescent="0.3">
      <c r="B235" s="21" t="s">
        <v>80</v>
      </c>
      <c r="C235" s="22" t="s">
        <v>81</v>
      </c>
      <c r="D235" s="23" t="s">
        <v>45</v>
      </c>
      <c r="E235" s="47">
        <v>0</v>
      </c>
      <c r="F235" s="30">
        <v>10</v>
      </c>
      <c r="G235" s="2">
        <f t="shared" si="38"/>
        <v>0</v>
      </c>
      <c r="H235" s="30">
        <v>10</v>
      </c>
      <c r="I235" s="2">
        <f t="shared" si="39"/>
        <v>0</v>
      </c>
      <c r="J235" s="30">
        <v>10.5</v>
      </c>
      <c r="K235" s="2">
        <f t="shared" si="40"/>
        <v>0</v>
      </c>
      <c r="L235" s="30">
        <v>10.5</v>
      </c>
      <c r="M235" s="2">
        <f t="shared" si="41"/>
        <v>0</v>
      </c>
    </row>
    <row r="236" spans="2:13" ht="12.95" customHeight="1" x14ac:dyDescent="0.3">
      <c r="B236" s="21" t="s">
        <v>82</v>
      </c>
      <c r="C236" s="22"/>
      <c r="D236" s="23" t="s">
        <v>45</v>
      </c>
      <c r="E236" s="47">
        <v>0</v>
      </c>
      <c r="F236" s="30">
        <v>10</v>
      </c>
      <c r="G236" s="2">
        <f t="shared" si="38"/>
        <v>0</v>
      </c>
      <c r="H236" s="30">
        <v>10</v>
      </c>
      <c r="I236" s="2">
        <f t="shared" si="39"/>
        <v>0</v>
      </c>
      <c r="J236" s="30">
        <v>10.5</v>
      </c>
      <c r="K236" s="2">
        <f t="shared" si="40"/>
        <v>0</v>
      </c>
      <c r="L236" s="30">
        <v>10.5</v>
      </c>
      <c r="M236" s="2">
        <f t="shared" si="41"/>
        <v>0</v>
      </c>
    </row>
    <row r="237" spans="2:13" ht="12.95" customHeight="1" x14ac:dyDescent="0.3">
      <c r="B237" s="21" t="s">
        <v>83</v>
      </c>
      <c r="C237" s="22"/>
      <c r="D237" s="23" t="s">
        <v>84</v>
      </c>
      <c r="E237" s="47">
        <v>0</v>
      </c>
      <c r="F237" s="30">
        <v>0</v>
      </c>
      <c r="G237" s="2">
        <f t="shared" si="38"/>
        <v>0</v>
      </c>
      <c r="H237" s="30">
        <v>0</v>
      </c>
      <c r="I237" s="2">
        <f t="shared" si="39"/>
        <v>0</v>
      </c>
      <c r="J237" s="30">
        <v>1.1000000000000001</v>
      </c>
      <c r="K237" s="2">
        <f t="shared" si="40"/>
        <v>0</v>
      </c>
      <c r="L237" s="30">
        <v>1.1000000000000001</v>
      </c>
      <c r="M237" s="2">
        <f t="shared" si="41"/>
        <v>0</v>
      </c>
    </row>
    <row r="238" spans="2:13" ht="12.95" customHeight="1" x14ac:dyDescent="0.3">
      <c r="B238" s="21" t="s">
        <v>19</v>
      </c>
      <c r="C238" s="22" t="s">
        <v>21</v>
      </c>
      <c r="D238" s="23" t="s">
        <v>14</v>
      </c>
      <c r="E238" s="24"/>
      <c r="F238" s="25">
        <v>1</v>
      </c>
      <c r="G238" s="4">
        <f>TRUNC(SUM(G241:G242)*0.03,1)</f>
        <v>327.3</v>
      </c>
      <c r="H238" s="25">
        <v>1</v>
      </c>
      <c r="I238" s="4">
        <f>TRUNC(SUM(I241:I242)*0.03,1)</f>
        <v>366.7</v>
      </c>
      <c r="J238" s="25">
        <v>1</v>
      </c>
      <c r="K238" s="4">
        <f>TRUNC(SUM(K241:K242)*0.03,1)</f>
        <v>231.3</v>
      </c>
      <c r="L238" s="25">
        <v>1</v>
      </c>
      <c r="M238" s="4">
        <f>TRUNC(SUM(M241:M242)*0.03,1)</f>
        <v>275.89999999999998</v>
      </c>
    </row>
    <row r="239" spans="2:13" ht="12.95" customHeight="1" x14ac:dyDescent="0.3">
      <c r="B239" s="26" t="s">
        <v>10</v>
      </c>
      <c r="C239" s="27"/>
      <c r="D239" s="28"/>
      <c r="E239" s="29"/>
      <c r="F239" s="30"/>
      <c r="G239" s="5">
        <f>TRUNC(SUM(G229:G238))</f>
        <v>327</v>
      </c>
      <c r="H239" s="30"/>
      <c r="I239" s="5">
        <f>TRUNC(SUM(I229:I238))</f>
        <v>366</v>
      </c>
      <c r="J239" s="30"/>
      <c r="K239" s="5">
        <f>TRUNC(SUM(K229:K238))</f>
        <v>231</v>
      </c>
      <c r="L239" s="30"/>
      <c r="M239" s="5">
        <f>TRUNC(SUM(M229:M238))</f>
        <v>275</v>
      </c>
    </row>
    <row r="240" spans="2:13" ht="12.95" customHeight="1" x14ac:dyDescent="0.3">
      <c r="B240" s="31"/>
      <c r="C240" s="32"/>
      <c r="D240" s="32"/>
      <c r="E240" s="33"/>
      <c r="F240" s="6"/>
      <c r="G240" s="34"/>
      <c r="H240" s="6"/>
      <c r="I240" s="34"/>
      <c r="J240" s="6"/>
      <c r="K240" s="34"/>
      <c r="L240" s="6"/>
      <c r="M240" s="34"/>
    </row>
    <row r="241" spans="2:13" ht="12.95" customHeight="1" x14ac:dyDescent="0.3">
      <c r="B241" s="35" t="s">
        <v>1</v>
      </c>
      <c r="C241" s="36"/>
      <c r="D241" s="37" t="s">
        <v>9</v>
      </c>
      <c r="E241" s="38">
        <v>228286</v>
      </c>
      <c r="F241" s="39">
        <v>3.7999999999999999E-2</v>
      </c>
      <c r="G241" s="2">
        <f t="shared" ref="G241:G242" si="42">TRUNC($E241*F241,1)</f>
        <v>8674.7999999999993</v>
      </c>
      <c r="H241" s="39">
        <v>4.2999999999999997E-2</v>
      </c>
      <c r="I241" s="2">
        <f t="shared" ref="I241:I242" si="43">TRUNC($E241*H241,1)</f>
        <v>9816.2000000000007</v>
      </c>
      <c r="J241" s="39">
        <v>2.7E-2</v>
      </c>
      <c r="K241" s="2">
        <f t="shared" ref="K241:K242" si="44">TRUNC($E241*J241,1)</f>
        <v>6163.7</v>
      </c>
      <c r="L241" s="39">
        <v>3.2000000000000001E-2</v>
      </c>
      <c r="M241" s="2">
        <f t="shared" ref="M241:M242" si="45">TRUNC($E241*L241,1)</f>
        <v>7305.1</v>
      </c>
    </row>
    <row r="242" spans="2:13" ht="12.95" customHeight="1" x14ac:dyDescent="0.3">
      <c r="B242" s="35" t="s">
        <v>2</v>
      </c>
      <c r="C242" s="36"/>
      <c r="D242" s="37" t="s">
        <v>9</v>
      </c>
      <c r="E242" s="38">
        <v>172068</v>
      </c>
      <c r="F242" s="39">
        <v>1.2999999999999999E-2</v>
      </c>
      <c r="G242" s="2">
        <f t="shared" si="42"/>
        <v>2236.8000000000002</v>
      </c>
      <c r="H242" s="39">
        <v>1.4E-2</v>
      </c>
      <c r="I242" s="2">
        <f t="shared" si="43"/>
        <v>2408.9</v>
      </c>
      <c r="J242" s="39">
        <v>8.9999999999999993E-3</v>
      </c>
      <c r="K242" s="2">
        <f t="shared" si="44"/>
        <v>1548.6</v>
      </c>
      <c r="L242" s="39">
        <v>1.0999999999999999E-2</v>
      </c>
      <c r="M242" s="2">
        <f t="shared" si="45"/>
        <v>1892.7</v>
      </c>
    </row>
    <row r="243" spans="2:13" ht="12.95" customHeight="1" x14ac:dyDescent="0.3">
      <c r="B243" s="40" t="s">
        <v>11</v>
      </c>
      <c r="C243" s="32"/>
      <c r="D243" s="32"/>
      <c r="E243" s="33"/>
      <c r="F243" s="6"/>
      <c r="G243" s="7">
        <f>TRUNC(SUM(G241:G242))</f>
        <v>10911</v>
      </c>
      <c r="H243" s="6"/>
      <c r="I243" s="7">
        <f>TRUNC(SUM(I241:I242))</f>
        <v>12225</v>
      </c>
      <c r="J243" s="6"/>
      <c r="K243" s="7">
        <f>TRUNC(SUM(K241:K242))</f>
        <v>7712</v>
      </c>
      <c r="L243" s="6"/>
      <c r="M243" s="7">
        <f>TRUNC(SUM(M241:M242))</f>
        <v>9197</v>
      </c>
    </row>
    <row r="244" spans="2:13" ht="12.95" customHeight="1" x14ac:dyDescent="0.3">
      <c r="B244" s="31"/>
      <c r="C244" s="32"/>
      <c r="D244" s="32"/>
      <c r="E244" s="33"/>
      <c r="F244" s="6"/>
      <c r="G244" s="34"/>
      <c r="H244" s="6"/>
      <c r="I244" s="34"/>
      <c r="J244" s="6"/>
      <c r="K244" s="34"/>
      <c r="L244" s="6"/>
      <c r="M244" s="34"/>
    </row>
    <row r="245" spans="2:13" ht="12.95" customHeight="1" x14ac:dyDescent="0.3">
      <c r="B245" s="41" t="s">
        <v>13</v>
      </c>
      <c r="C245" s="42"/>
      <c r="D245" s="42"/>
      <c r="E245" s="43"/>
      <c r="F245" s="43"/>
      <c r="G245" s="44">
        <f>SUM(G239+G243)</f>
        <v>11238</v>
      </c>
      <c r="H245" s="43"/>
      <c r="I245" s="44">
        <f>SUM(I239+I243)</f>
        <v>12591</v>
      </c>
      <c r="J245" s="43"/>
      <c r="K245" s="44">
        <f>SUM(K239+K243)</f>
        <v>7943</v>
      </c>
      <c r="L245" s="43"/>
      <c r="M245" s="44">
        <f>SUM(M239+M243)</f>
        <v>9472</v>
      </c>
    </row>
    <row r="247" spans="2:13" ht="12.95" customHeight="1" x14ac:dyDescent="0.3">
      <c r="B247" s="1" t="s">
        <v>87</v>
      </c>
    </row>
    <row r="248" spans="2:13" ht="12.95" customHeight="1" x14ac:dyDescent="0.3">
      <c r="B248" s="14" t="s">
        <v>88</v>
      </c>
      <c r="C248" s="15"/>
      <c r="D248" s="16"/>
      <c r="E248" s="17"/>
      <c r="F248" s="16"/>
      <c r="G248" s="18" t="s">
        <v>36</v>
      </c>
    </row>
    <row r="249" spans="2:13" ht="12.95" customHeight="1" x14ac:dyDescent="0.3">
      <c r="B249" s="58" t="s">
        <v>4</v>
      </c>
      <c r="C249" s="61" t="s">
        <v>15</v>
      </c>
      <c r="D249" s="72" t="s">
        <v>8</v>
      </c>
      <c r="E249" s="67" t="s">
        <v>5</v>
      </c>
      <c r="F249" s="72" t="s">
        <v>17</v>
      </c>
      <c r="G249" s="73" t="s">
        <v>18</v>
      </c>
    </row>
    <row r="250" spans="2:13" ht="12.95" customHeight="1" x14ac:dyDescent="0.3">
      <c r="B250" s="60"/>
      <c r="C250" s="63"/>
      <c r="D250" s="72"/>
      <c r="E250" s="69"/>
      <c r="F250" s="72"/>
      <c r="G250" s="74"/>
    </row>
    <row r="251" spans="2:13" ht="12.95" customHeight="1" x14ac:dyDescent="0.3">
      <c r="B251" s="21" t="s">
        <v>89</v>
      </c>
      <c r="C251" s="22"/>
      <c r="D251" s="23" t="s">
        <v>84</v>
      </c>
      <c r="E251" s="47">
        <v>0</v>
      </c>
      <c r="F251" s="48">
        <v>1.2</v>
      </c>
      <c r="G251" s="2">
        <f t="shared" ref="G251" si="46">TRUNC($E251*F251,1)</f>
        <v>0</v>
      </c>
    </row>
    <row r="252" spans="2:13" ht="12.95" customHeight="1" x14ac:dyDescent="0.3">
      <c r="B252" s="26" t="s">
        <v>10</v>
      </c>
      <c r="C252" s="27"/>
      <c r="D252" s="28"/>
      <c r="E252" s="29"/>
      <c r="F252" s="30"/>
      <c r="G252" s="5">
        <f>TRUNC(SUM(G251))</f>
        <v>0</v>
      </c>
    </row>
    <row r="253" spans="2:13" ht="12.95" customHeight="1" x14ac:dyDescent="0.3">
      <c r="B253" s="31"/>
      <c r="C253" s="32"/>
      <c r="D253" s="32"/>
      <c r="E253" s="33"/>
      <c r="F253" s="6"/>
      <c r="G253" s="34"/>
    </row>
    <row r="254" spans="2:13" ht="12.95" customHeight="1" x14ac:dyDescent="0.3">
      <c r="B254" s="35" t="s">
        <v>3</v>
      </c>
      <c r="C254" s="36"/>
      <c r="D254" s="37" t="s">
        <v>9</v>
      </c>
      <c r="E254" s="38">
        <v>209131</v>
      </c>
      <c r="F254" s="39">
        <v>2.5000000000000001E-2</v>
      </c>
      <c r="G254" s="2">
        <f t="shared" ref="G254" si="47">TRUNC($E254*F254,1)</f>
        <v>5228.2</v>
      </c>
    </row>
    <row r="255" spans="2:13" ht="12.95" customHeight="1" x14ac:dyDescent="0.3">
      <c r="B255" s="40" t="s">
        <v>11</v>
      </c>
      <c r="C255" s="32"/>
      <c r="D255" s="32"/>
      <c r="E255" s="33"/>
      <c r="F255" s="6"/>
      <c r="G255" s="7">
        <f>TRUNC(SUM(G254:G254))</f>
        <v>5228</v>
      </c>
    </row>
    <row r="256" spans="2:13" ht="12.95" customHeight="1" x14ac:dyDescent="0.3">
      <c r="B256" s="31"/>
      <c r="C256" s="32"/>
      <c r="D256" s="32"/>
      <c r="E256" s="33"/>
      <c r="F256" s="6"/>
      <c r="G256" s="34"/>
    </row>
    <row r="257" spans="2:12" ht="12.95" customHeight="1" x14ac:dyDescent="0.3">
      <c r="B257" s="41" t="s">
        <v>13</v>
      </c>
      <c r="C257" s="42"/>
      <c r="D257" s="42"/>
      <c r="E257" s="43"/>
      <c r="F257" s="43"/>
      <c r="G257" s="44">
        <f>SUM(G252+G255)</f>
        <v>5228</v>
      </c>
      <c r="I257" s="45"/>
    </row>
    <row r="258" spans="2:12" ht="12.95" customHeight="1" x14ac:dyDescent="0.3">
      <c r="K258" s="45"/>
      <c r="L258" s="45"/>
    </row>
    <row r="259" spans="2:12" ht="12.95" customHeight="1" x14ac:dyDescent="0.3">
      <c r="B259" s="1" t="s">
        <v>92</v>
      </c>
      <c r="C259" s="49"/>
      <c r="D259" s="49"/>
      <c r="E259" s="49"/>
      <c r="F259" s="49"/>
      <c r="G259" s="18" t="s">
        <v>36</v>
      </c>
    </row>
    <row r="260" spans="2:12" ht="12.95" customHeight="1" x14ac:dyDescent="0.3">
      <c r="B260" s="58" t="s">
        <v>4</v>
      </c>
      <c r="C260" s="61" t="s">
        <v>15</v>
      </c>
      <c r="D260" s="72" t="s">
        <v>8</v>
      </c>
      <c r="E260" s="67" t="s">
        <v>5</v>
      </c>
      <c r="F260" s="72" t="s">
        <v>17</v>
      </c>
      <c r="G260" s="73" t="s">
        <v>18</v>
      </c>
    </row>
    <row r="261" spans="2:12" ht="12.95" customHeight="1" x14ac:dyDescent="0.3">
      <c r="B261" s="60"/>
      <c r="C261" s="63"/>
      <c r="D261" s="72"/>
      <c r="E261" s="69"/>
      <c r="F261" s="72"/>
      <c r="G261" s="74"/>
    </row>
    <row r="262" spans="2:12" ht="12.95" customHeight="1" x14ac:dyDescent="0.3">
      <c r="B262" s="50" t="s">
        <v>90</v>
      </c>
      <c r="C262" s="50" t="s">
        <v>91</v>
      </c>
      <c r="D262" s="51" t="s">
        <v>16</v>
      </c>
      <c r="E262" s="52">
        <v>10648</v>
      </c>
      <c r="F262" s="39">
        <v>1.7000000000000001E-2</v>
      </c>
      <c r="G262" s="2">
        <f t="shared" ref="G262" si="48">TRUNC($E262*F262,1)</f>
        <v>181</v>
      </c>
    </row>
    <row r="263" spans="2:12" ht="12.95" customHeight="1" x14ac:dyDescent="0.3">
      <c r="B263" s="21" t="s">
        <v>19</v>
      </c>
      <c r="C263" s="22" t="s">
        <v>20</v>
      </c>
      <c r="D263" s="23" t="s">
        <v>14</v>
      </c>
      <c r="E263" s="24"/>
      <c r="F263" s="25">
        <v>1</v>
      </c>
      <c r="G263" s="4">
        <f>TRUNC(SUM(G266:G267)*0.02,1)</f>
        <v>26.2</v>
      </c>
    </row>
    <row r="264" spans="2:12" ht="12.95" customHeight="1" x14ac:dyDescent="0.3">
      <c r="B264" s="26" t="s">
        <v>10</v>
      </c>
      <c r="C264" s="32"/>
      <c r="D264" s="32"/>
      <c r="E264" s="33"/>
      <c r="F264" s="53"/>
      <c r="G264" s="7">
        <f>TRUNC(SUM(G262:G262))</f>
        <v>181</v>
      </c>
    </row>
    <row r="265" spans="2:12" ht="12.95" customHeight="1" x14ac:dyDescent="0.3">
      <c r="B265" s="31"/>
      <c r="C265" s="32"/>
      <c r="D265" s="32"/>
      <c r="E265" s="33"/>
      <c r="F265" s="53"/>
      <c r="G265" s="34"/>
    </row>
    <row r="266" spans="2:12" ht="12.95" customHeight="1" x14ac:dyDescent="0.3">
      <c r="B266" s="35" t="s">
        <v>1</v>
      </c>
      <c r="C266" s="36"/>
      <c r="D266" s="37" t="s">
        <v>9</v>
      </c>
      <c r="E266" s="38">
        <v>228286</v>
      </c>
      <c r="F266" s="39">
        <v>5.0000000000000001E-3</v>
      </c>
      <c r="G266" s="2">
        <f t="shared" ref="G266:G268" si="49">TRUNC($E266*F266,1)</f>
        <v>1141.4000000000001</v>
      </c>
    </row>
    <row r="267" spans="2:12" ht="12.95" customHeight="1" x14ac:dyDescent="0.3">
      <c r="B267" s="35" t="s">
        <v>2</v>
      </c>
      <c r="C267" s="36"/>
      <c r="D267" s="37" t="s">
        <v>9</v>
      </c>
      <c r="E267" s="38">
        <v>172068</v>
      </c>
      <c r="F267" s="39">
        <v>1E-3</v>
      </c>
      <c r="G267" s="2">
        <f t="shared" si="49"/>
        <v>172</v>
      </c>
    </row>
    <row r="268" spans="2:12" ht="12.95" customHeight="1" x14ac:dyDescent="0.3">
      <c r="B268" s="50" t="s">
        <v>90</v>
      </c>
      <c r="C268" s="50" t="s">
        <v>91</v>
      </c>
      <c r="D268" s="51" t="s">
        <v>16</v>
      </c>
      <c r="E268" s="38">
        <v>36190</v>
      </c>
      <c r="F268" s="39">
        <v>1.7000000000000001E-2</v>
      </c>
      <c r="G268" s="2">
        <f t="shared" si="49"/>
        <v>615.20000000000005</v>
      </c>
    </row>
    <row r="269" spans="2:12" ht="12.95" customHeight="1" x14ac:dyDescent="0.3">
      <c r="B269" s="40" t="s">
        <v>11</v>
      </c>
      <c r="C269" s="32"/>
      <c r="D269" s="32"/>
      <c r="E269" s="33"/>
      <c r="F269" s="6"/>
      <c r="G269" s="7">
        <f>TRUNC(SUM(G266:G268))</f>
        <v>1928</v>
      </c>
    </row>
    <row r="270" spans="2:12" ht="12.95" customHeight="1" x14ac:dyDescent="0.3">
      <c r="B270" s="31"/>
      <c r="C270" s="32"/>
      <c r="D270" s="32"/>
      <c r="E270" s="33"/>
      <c r="F270" s="6"/>
      <c r="G270" s="34"/>
    </row>
    <row r="271" spans="2:12" ht="12.95" customHeight="1" x14ac:dyDescent="0.3">
      <c r="B271" s="50" t="s">
        <v>90</v>
      </c>
      <c r="C271" s="50" t="s">
        <v>91</v>
      </c>
      <c r="D271" s="51" t="s">
        <v>16</v>
      </c>
      <c r="E271" s="38">
        <v>2064</v>
      </c>
      <c r="F271" s="39">
        <v>1.7000000000000001E-2</v>
      </c>
      <c r="G271" s="2">
        <f t="shared" ref="G271" si="50">TRUNC($E271*F271,1)</f>
        <v>35</v>
      </c>
    </row>
    <row r="272" spans="2:12" ht="12.95" customHeight="1" x14ac:dyDescent="0.3">
      <c r="B272" s="26" t="s">
        <v>12</v>
      </c>
      <c r="C272" s="32"/>
      <c r="D272" s="32"/>
      <c r="E272" s="54"/>
      <c r="F272" s="6"/>
      <c r="G272" s="7">
        <f>TRUNC(SUM(G271:G271))</f>
        <v>35</v>
      </c>
    </row>
    <row r="273" spans="2:7" ht="12.95" customHeight="1" x14ac:dyDescent="0.3">
      <c r="B273" s="55"/>
      <c r="C273" s="50"/>
      <c r="D273" s="50"/>
      <c r="E273" s="56"/>
      <c r="F273" s="30"/>
      <c r="G273" s="57"/>
    </row>
    <row r="274" spans="2:7" ht="12.95" customHeight="1" x14ac:dyDescent="0.3">
      <c r="B274" s="41" t="s">
        <v>13</v>
      </c>
      <c r="C274" s="42"/>
      <c r="D274" s="42"/>
      <c r="E274" s="43"/>
      <c r="F274" s="43"/>
      <c r="G274" s="44">
        <f>SUM(G264+G269+G272)</f>
        <v>2144</v>
      </c>
    </row>
    <row r="276" spans="2:7" ht="12.95" customHeight="1" x14ac:dyDescent="0.3">
      <c r="B276" s="14" t="s">
        <v>93</v>
      </c>
      <c r="C276" s="15"/>
      <c r="D276" s="16"/>
      <c r="E276" s="17"/>
      <c r="F276" s="16"/>
      <c r="G276" s="18" t="s">
        <v>36</v>
      </c>
    </row>
    <row r="277" spans="2:7" ht="12.95" customHeight="1" x14ac:dyDescent="0.3">
      <c r="B277" s="58" t="s">
        <v>4</v>
      </c>
      <c r="C277" s="61" t="s">
        <v>15</v>
      </c>
      <c r="D277" s="72" t="s">
        <v>8</v>
      </c>
      <c r="E277" s="67" t="s">
        <v>5</v>
      </c>
      <c r="F277" s="72" t="s">
        <v>17</v>
      </c>
      <c r="G277" s="73" t="s">
        <v>18</v>
      </c>
    </row>
    <row r="278" spans="2:7" ht="12.95" customHeight="1" x14ac:dyDescent="0.3">
      <c r="B278" s="60"/>
      <c r="C278" s="63"/>
      <c r="D278" s="72"/>
      <c r="E278" s="69"/>
      <c r="F278" s="72"/>
      <c r="G278" s="74"/>
    </row>
    <row r="279" spans="2:7" ht="12.95" customHeight="1" x14ac:dyDescent="0.3">
      <c r="B279" s="35" t="s">
        <v>1</v>
      </c>
      <c r="C279" s="36"/>
      <c r="D279" s="37" t="s">
        <v>9</v>
      </c>
      <c r="E279" s="38">
        <v>228286</v>
      </c>
      <c r="F279" s="39">
        <v>5.0000000000000001E-3</v>
      </c>
      <c r="G279" s="2">
        <f t="shared" ref="G279:G280" si="51">TRUNC($E279*F279,1)</f>
        <v>1141.4000000000001</v>
      </c>
    </row>
    <row r="280" spans="2:7" ht="12.95" customHeight="1" x14ac:dyDescent="0.3">
      <c r="B280" s="35" t="s">
        <v>2</v>
      </c>
      <c r="C280" s="36"/>
      <c r="D280" s="37" t="s">
        <v>9</v>
      </c>
      <c r="E280" s="38">
        <v>172068</v>
      </c>
      <c r="F280" s="39">
        <v>1E-3</v>
      </c>
      <c r="G280" s="2">
        <f t="shared" si="51"/>
        <v>172</v>
      </c>
    </row>
    <row r="281" spans="2:7" ht="12.95" customHeight="1" x14ac:dyDescent="0.3">
      <c r="B281" s="40" t="s">
        <v>11</v>
      </c>
      <c r="C281" s="32"/>
      <c r="D281" s="32"/>
      <c r="E281" s="33"/>
      <c r="F281" s="6"/>
      <c r="G281" s="7">
        <f>TRUNC(SUM(G279:G280))</f>
        <v>1313</v>
      </c>
    </row>
    <row r="282" spans="2:7" ht="12.95" customHeight="1" x14ac:dyDescent="0.3">
      <c r="B282" s="31"/>
      <c r="C282" s="32"/>
      <c r="D282" s="32"/>
      <c r="E282" s="33"/>
      <c r="F282" s="6"/>
      <c r="G282" s="34"/>
    </row>
    <row r="283" spans="2:7" ht="12.95" customHeight="1" x14ac:dyDescent="0.3">
      <c r="B283" s="41" t="s">
        <v>13</v>
      </c>
      <c r="C283" s="42"/>
      <c r="D283" s="42"/>
      <c r="E283" s="43"/>
      <c r="F283" s="43"/>
      <c r="G283" s="44">
        <f>SUM(G281)</f>
        <v>1313</v>
      </c>
    </row>
    <row r="291" spans="14:15" ht="12.95" customHeight="1" x14ac:dyDescent="0.3">
      <c r="O291" s="3"/>
    </row>
    <row r="292" spans="14:15" ht="12.95" customHeight="1" x14ac:dyDescent="0.3">
      <c r="N292" s="3"/>
      <c r="O292" s="3"/>
    </row>
    <row r="293" spans="14:15" ht="12.95" customHeight="1" x14ac:dyDescent="0.3">
      <c r="N293" s="3"/>
      <c r="O293" s="3"/>
    </row>
    <row r="294" spans="14:15" ht="12.95" customHeight="1" x14ac:dyDescent="0.3">
      <c r="N294" s="3"/>
      <c r="O294" s="3"/>
    </row>
    <row r="295" spans="14:15" ht="12.95" customHeight="1" x14ac:dyDescent="0.3">
      <c r="N295" s="3"/>
      <c r="O295" s="3"/>
    </row>
    <row r="296" spans="14:15" ht="12.95" customHeight="1" x14ac:dyDescent="0.3">
      <c r="N296" s="3"/>
      <c r="O296" s="3"/>
    </row>
    <row r="297" spans="14:15" ht="12.95" customHeight="1" x14ac:dyDescent="0.3">
      <c r="N297" s="3"/>
      <c r="O297" s="3"/>
    </row>
    <row r="298" spans="14:15" ht="12.95" customHeight="1" x14ac:dyDescent="0.3">
      <c r="N298" s="3"/>
      <c r="O298" s="3"/>
    </row>
    <row r="299" spans="14:15" ht="12.95" customHeight="1" x14ac:dyDescent="0.3">
      <c r="N299" s="3"/>
      <c r="O299" s="3"/>
    </row>
    <row r="300" spans="14:15" ht="12.95" customHeight="1" x14ac:dyDescent="0.3">
      <c r="N300" s="3"/>
      <c r="O300" s="3"/>
    </row>
    <row r="301" spans="14:15" ht="12.95" customHeight="1" x14ac:dyDescent="0.3">
      <c r="N301" s="3"/>
      <c r="O301" s="3"/>
    </row>
    <row r="302" spans="14:15" ht="12.95" customHeight="1" x14ac:dyDescent="0.3">
      <c r="N302" s="3"/>
      <c r="O302" s="3"/>
    </row>
    <row r="303" spans="14:15" ht="12.95" customHeight="1" x14ac:dyDescent="0.3">
      <c r="N303" s="3"/>
      <c r="O303" s="3"/>
    </row>
    <row r="304" spans="14:15" ht="12.95" customHeight="1" x14ac:dyDescent="0.3">
      <c r="N304" s="3"/>
      <c r="O304" s="3"/>
    </row>
    <row r="305" spans="14:15" ht="12.95" customHeight="1" x14ac:dyDescent="0.3">
      <c r="N305" s="3"/>
      <c r="O305" s="3"/>
    </row>
    <row r="306" spans="14:15" ht="12.95" customHeight="1" x14ac:dyDescent="0.3">
      <c r="N306" s="3"/>
      <c r="O306" s="3"/>
    </row>
    <row r="307" spans="14:15" ht="12.95" customHeight="1" x14ac:dyDescent="0.3">
      <c r="N307" s="3"/>
      <c r="O307" s="3"/>
    </row>
    <row r="308" spans="14:15" ht="12.95" customHeight="1" x14ac:dyDescent="0.3">
      <c r="N308" s="3"/>
    </row>
  </sheetData>
  <mergeCells count="155">
    <mergeCell ref="B277:B278"/>
    <mergeCell ref="C277:C278"/>
    <mergeCell ref="D277:D278"/>
    <mergeCell ref="E277:E278"/>
    <mergeCell ref="F277:F278"/>
    <mergeCell ref="G277:G278"/>
    <mergeCell ref="B260:B261"/>
    <mergeCell ref="C260:C261"/>
    <mergeCell ref="D260:D261"/>
    <mergeCell ref="E260:E261"/>
    <mergeCell ref="F260:F261"/>
    <mergeCell ref="G260:G261"/>
    <mergeCell ref="B249:B250"/>
    <mergeCell ref="C249:C250"/>
    <mergeCell ref="D249:D250"/>
    <mergeCell ref="E249:E250"/>
    <mergeCell ref="F249:F250"/>
    <mergeCell ref="G249:G250"/>
    <mergeCell ref="B226:B228"/>
    <mergeCell ref="C226:C228"/>
    <mergeCell ref="D226:D228"/>
    <mergeCell ref="E226:E228"/>
    <mergeCell ref="F226:I226"/>
    <mergeCell ref="J226:M226"/>
    <mergeCell ref="F227:G227"/>
    <mergeCell ref="H227:I227"/>
    <mergeCell ref="J227:K227"/>
    <mergeCell ref="L227:M227"/>
    <mergeCell ref="B213:B215"/>
    <mergeCell ref="C213:C215"/>
    <mergeCell ref="D213:D215"/>
    <mergeCell ref="E213:E215"/>
    <mergeCell ref="F213:I213"/>
    <mergeCell ref="F214:G214"/>
    <mergeCell ref="H214:I214"/>
    <mergeCell ref="B205:B207"/>
    <mergeCell ref="C205:C207"/>
    <mergeCell ref="D205:D207"/>
    <mergeCell ref="E205:E207"/>
    <mergeCell ref="F205:I205"/>
    <mergeCell ref="F206:G206"/>
    <mergeCell ref="H206:I206"/>
    <mergeCell ref="B193:B194"/>
    <mergeCell ref="C193:C194"/>
    <mergeCell ref="D193:D194"/>
    <mergeCell ref="E193:E194"/>
    <mergeCell ref="F193:G193"/>
    <mergeCell ref="H193:I193"/>
    <mergeCell ref="J168:K168"/>
    <mergeCell ref="B180:B181"/>
    <mergeCell ref="C180:C181"/>
    <mergeCell ref="D180:D181"/>
    <mergeCell ref="E180:E181"/>
    <mergeCell ref="F180:G180"/>
    <mergeCell ref="H180:I180"/>
    <mergeCell ref="B168:B169"/>
    <mergeCell ref="C168:C169"/>
    <mergeCell ref="D168:D169"/>
    <mergeCell ref="E168:E169"/>
    <mergeCell ref="F168:G168"/>
    <mergeCell ref="H168:I168"/>
    <mergeCell ref="B156:B157"/>
    <mergeCell ref="C156:C157"/>
    <mergeCell ref="D156:D157"/>
    <mergeCell ref="E156:E157"/>
    <mergeCell ref="F156:G156"/>
    <mergeCell ref="H156:I156"/>
    <mergeCell ref="B144:B145"/>
    <mergeCell ref="C144:C145"/>
    <mergeCell ref="D144:D145"/>
    <mergeCell ref="E144:E145"/>
    <mergeCell ref="F144:G144"/>
    <mergeCell ref="H144:I144"/>
    <mergeCell ref="B134:B135"/>
    <mergeCell ref="C134:C135"/>
    <mergeCell ref="D134:D135"/>
    <mergeCell ref="E134:E135"/>
    <mergeCell ref="F134:G134"/>
    <mergeCell ref="H134:I134"/>
    <mergeCell ref="B122:B123"/>
    <mergeCell ref="C122:C123"/>
    <mergeCell ref="D122:D123"/>
    <mergeCell ref="E122:E123"/>
    <mergeCell ref="F122:G122"/>
    <mergeCell ref="H122:I122"/>
    <mergeCell ref="B114:B115"/>
    <mergeCell ref="C114:C115"/>
    <mergeCell ref="D114:D115"/>
    <mergeCell ref="E114:E115"/>
    <mergeCell ref="F114:F115"/>
    <mergeCell ref="G114:G115"/>
    <mergeCell ref="B102:B103"/>
    <mergeCell ref="C102:C103"/>
    <mergeCell ref="D102:D103"/>
    <mergeCell ref="E102:E103"/>
    <mergeCell ref="F102:G102"/>
    <mergeCell ref="H102:I102"/>
    <mergeCell ref="B89:B90"/>
    <mergeCell ref="C89:C90"/>
    <mergeCell ref="D89:D90"/>
    <mergeCell ref="E89:E90"/>
    <mergeCell ref="F89:G89"/>
    <mergeCell ref="H89:I89"/>
    <mergeCell ref="B80:B81"/>
    <mergeCell ref="C80:C81"/>
    <mergeCell ref="D80:D81"/>
    <mergeCell ref="E80:E81"/>
    <mergeCell ref="F80:G80"/>
    <mergeCell ref="H80:I80"/>
    <mergeCell ref="B68:B69"/>
    <mergeCell ref="C68:C69"/>
    <mergeCell ref="D68:D69"/>
    <mergeCell ref="E68:E69"/>
    <mergeCell ref="F68:G68"/>
    <mergeCell ref="H68:I68"/>
    <mergeCell ref="B58:B59"/>
    <mergeCell ref="C58:C59"/>
    <mergeCell ref="D58:D59"/>
    <mergeCell ref="E58:E59"/>
    <mergeCell ref="F58:F59"/>
    <mergeCell ref="G58:G59"/>
    <mergeCell ref="B48:B50"/>
    <mergeCell ref="C48:C50"/>
    <mergeCell ref="D48:D50"/>
    <mergeCell ref="E48:E50"/>
    <mergeCell ref="F48:I48"/>
    <mergeCell ref="F49:G49"/>
    <mergeCell ref="H49:I49"/>
    <mergeCell ref="B40:B42"/>
    <mergeCell ref="C40:C42"/>
    <mergeCell ref="D40:D42"/>
    <mergeCell ref="E40:E42"/>
    <mergeCell ref="F40:I40"/>
    <mergeCell ref="F41:G41"/>
    <mergeCell ref="H41:I41"/>
    <mergeCell ref="B4:B6"/>
    <mergeCell ref="C4:C6"/>
    <mergeCell ref="D4:D6"/>
    <mergeCell ref="E4:E6"/>
    <mergeCell ref="F4:I4"/>
    <mergeCell ref="F5:G5"/>
    <mergeCell ref="H5:I5"/>
    <mergeCell ref="B28:B29"/>
    <mergeCell ref="C28:C29"/>
    <mergeCell ref="D28:D29"/>
    <mergeCell ref="E28:E29"/>
    <mergeCell ref="F28:F29"/>
    <mergeCell ref="G28:G29"/>
    <mergeCell ref="B15:B17"/>
    <mergeCell ref="C15:C17"/>
    <mergeCell ref="D15:D17"/>
    <mergeCell ref="E15:E17"/>
    <mergeCell ref="F15:I15"/>
    <mergeCell ref="F16:G16"/>
    <mergeCell ref="H16:I16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방수공사(상반기)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2026-01-01T08:03:23Z</dcterms:modified>
</cp:coreProperties>
</file>